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DismissalLog" sheetId="20" state="visible" r:id="rId20"/>
    <sheet name="ScoresGrid" sheetId="21" state="visible" r:id="rId21"/>
    <sheet name="Ranking" sheetId="22" state="visible" r:id="rId22"/>
    <sheet name="WatchList" sheetId="23" state="visible" r:id="rId23"/>
    <sheet name="CadetProfile" sheetId="24" state="visible" r:id="rId24"/>
    <sheet name="Transcript" sheetId="25" state="visible" r:id="rId25"/>
    <sheet name="GradChecklist" sheetId="26" state="visible" r:id="rId26"/>
    <sheet name="Audit" sheetId="27" state="visible" r:id="rId27"/>
    <sheet name="Addendum" sheetId="28" state="visible" r:id="rId28"/>
    <sheet name="ChapterPacket" sheetId="29" state="visible" r:id="rId29"/>
    <sheet name="ExamSheet" sheetId="30" state="visible" r:id="rId30"/>
    <sheet name="SignIn" sheetId="31" state="visible" r:id="rId31"/>
    <sheet name="EvalSheet" sheetId="32" state="visible" r:id="rId32"/>
    <sheet name="SpellingPrint" sheetId="33" state="visible" r:id="rId33"/>
    <sheet name="WritingHandout" sheetId="34" state="visible" r:id="rId34"/>
    <sheet name="EmailPreview" sheetId="35" state="visible" r:id="rId35"/>
    <sheet name="EmailLog" sheetId="36" state="visible" r:id="rId36"/>
    <sheet name="Settings" sheetId="37" state="visible" r:id="rId37"/>
    <sheet name="Lists" sheetId="38" state="visible" r:id="rId38"/>
    <sheet name="Agencies" sheetId="39" state="visible" r:id="rId39"/>
    <sheet name="Instructors" sheetId="40" state="visible" r:id="rId40"/>
    <sheet name="InstructorBanks" sheetId="41" state="visible" r:id="rId41"/>
    <sheet name="ChapterMaster" sheetId="42" state="visible" r:id="rId42"/>
    <sheet name="ExamMaster" sheetId="43" state="visible" r:id="rId43"/>
    <sheet name="ExamPlan" sheetId="44" state="visible" r:id="rId44"/>
    <sheet name="SkillsMaster" sheetId="45" state="visible" r:id="rId45"/>
    <sheet name="SpellingMaster" sheetId="46" state="visible" r:id="rId46"/>
    <sheet name="WritingMaster" sheetId="47" state="visible" r:id="rId47"/>
    <sheet name="Control" sheetId="48" state="visible" r:id="rId48"/>
    <sheet name="Schedule" sheetId="49" state="visible" r:id="rId49"/>
    <sheet name="sysGrades" sheetId="50" state="visible" r:id="rId50"/>
    <sheet name="sysAttendance" sheetId="51" state="visible" r:id="rId51"/>
    <sheet name="sysSkills" sheetId="52" state="visible" r:id="rId52"/>
    <sheet name="sysIncidents" sheetId="53" state="visible" r:id="rId53"/>
    <sheet name="sysFlags" sheetId="54" state="visible" r:id="rId54"/>
    <sheet name="sysChecks" sheetId="55" state="visible" r:id="rId55"/>
    <sheet name="sysAwards" sheetId="56" state="visible" r:id="rId56"/>
    <sheet name="sysAudit" sheetId="57" state="visible" r:id="rId57"/>
    <sheet name="sysListsHelper" sheetId="58" state="hidden" r:id="rId58"/>
    <sheet name="NamedRanges" sheetId="59" state="visible" r:id="rId59"/>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ID">'Attendance'!$B$6:$B$805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'sysFlags'!$R$6:$R$55</definedName>
    <definedName name="nrFLreasons">'sysFlags'!$S$6:$S$55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'sysAudit'!$E$6:$E$19</definedName>
    <definedName name="nrAUDcheck">'sysAudit'!$B$6:$B$19</definedName>
    <definedName name="nrSGclassavg">'ScoresGrid'!$D$57:$AB$57</definedName>
    <definedName name="cfgProfileCadet">'CadetProfile'!$C$5</definedName>
    <definedName name="cfgTranscriptCadet">'Transcript'!$C$5</definedName>
    <definedName name="nrPRGitems">'Audit'!$B$30:$B$41</definedName>
    <definedName name="nrPRGmet">'Audit'!$F$30:$F$41</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'ExamScores'!$B$5:$W$5</definedName>
    <definedName name="_xlnm._FilterDatabase" localSheetId="7" hidden="1">'Attendance'!$B$5:$O$5</definedName>
    <definedName name="_xlnm._FilterDatabase" localSheetId="8" hidden="1">'Makeup'!$B$5:$M$5</definedName>
    <definedName name="_xlnm._FilterDatabase" localSheetId="9" hidden="1">'Skills'!$B$5:$R$5</definedName>
    <definedName name="_xlnm._FilterDatabase" localSheetId="11" hidden="1">'Incidents'!$B$5:$N$5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19" hidden="1">'DismissalLog'!$B$5:$O$5</definedName>
    <definedName name="_xlnm.Print_Titles" localSheetId="21">'Ranking'!$5:$5</definedName>
    <definedName name="_xlnm.Print_Area" localSheetId="21">'Ranking'!$B$5:$J$60</definedName>
    <definedName name="_xlnm.Print_Titles" localSheetId="22">'WatchList'!$5:$5</definedName>
    <definedName name="_xlnm.Print_Area" localSheetId="22">'WatchList'!$B$5:$I$60</definedName>
    <definedName name="_xlnm.Print_Area" localSheetId="23">'CadetProfile'!$B$5:$J$86</definedName>
    <definedName name="_xlnm.Print_Area" localSheetId="24">'Transcript'!$B$5:$J$58</definedName>
    <definedName name="_xlnm.Print_Titles" localSheetId="25">'GradChecklist'!$5:$5</definedName>
    <definedName name="_xlnm.Print_Area" localSheetId="25">'GradChecklist'!$B$5:$P$55</definedName>
    <definedName name="_xlnm.Print_Titles" localSheetId="26">'Audit'!$44:$44</definedName>
    <definedName name="_xlnm.Print_Area" localSheetId="26">'Audit'!$B$5:$I$94</definedName>
    <definedName name="_xlnm.Print_Titles" localSheetId="27">'Addendum'!$8:$8</definedName>
    <definedName name="_xlnm.Print_Area" localSheetId="27">'Addendum'!$B$5:$G$60</definedName>
    <definedName name="_xlnm.Print_Area" localSheetId="28">'ChapterPacket'!$B$5:$I$65</definedName>
    <definedName name="_xlnm.Print_Titles" localSheetId="29">'ExamSheet'!$10:$10</definedName>
    <definedName name="_xlnm.Print_Area" localSheetId="29">'ExamSheet'!$B$7:$I$64</definedName>
    <definedName name="_xlnm.Print_Area" localSheetId="30">'SignIn'!$B$5:$H$81</definedName>
    <definedName name="_xlnm.Print_Area" localSheetId="31">'EvalSheet'!$B$7:$H$36</definedName>
    <definedName name="_xlnm.Print_Area" localSheetId="32">'SpellingPrint'!$B$7:$F$26</definedName>
    <definedName name="_xlnm.Print_Area" localSheetId="33">'WritingHandout'!$B$7:$F$19</definedName>
    <definedName name="_xlnm._FilterDatabase" localSheetId="35" hidden="1">'EmailLog'!$B$5:$I$5</definedName>
    <definedName name="_xlnm._FilterDatabase" localSheetId="48" hidden="1">'Schedule'!$B$5:$N$5</definedName>
    <definedName name="_xlnm.Print_Titles" localSheetId="48">'Schedule'!$5:$5</definedName>
    <definedName name="_xlnm.Print_Area" localSheetId="48">'Schedule'!$B$5:$M$406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styles" Target="styles.xml" Id="rId60" /><Relationship Type="http://schemas.openxmlformats.org/officeDocument/2006/relationships/theme" Target="theme/theme1.xml" Id="rId61"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IFERROR(_xlfn._xlws.FILTER(_xlfn.HSTACK(TEXT(nrSCH_Start,"h:mm AM/PM"),TEXT(nrSCH_End,"h:mm AM/PM"),nrSCH_Act,nrSCH_Instr,nrSCH_Loc),nrSCH_Date=TODAY()),"—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IFERROR(_xlfn._xlws.FILTER(_xlfn.HSTACK(TEXT(nrSCH_Start,"h:mm AM/PM"),TEXT(nrSCH_End,"h:mm AM/PM"),nrSCH_Act,nrSCH_Instr,nrSCH_Loc),nrSCH_Date=TODAY()),"No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Overdue retests</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IFERROR(_xlfn.SORTBY(_xlfn._xlws.FILTER(_xlfn.HSTACK(rngCadetNames,nrCadetAgency,nrFLcount,nrFLreasons),(nrFLcount&gt;0)*(nrCadetStatus="Active")),_xlfn._xlws.FILTER(nrFLcount,(nrFLcount&gt;0)*(nrCadetStatus="Active")),-1),"No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IFERROR(_xlfn._xlws.FILTER(_xlfn.HSTACK(rngCadetNames,nrCadetAgency,nrCERTmissing),(nrCERTmissing&lt;&gt;"")*(nrCadetStatus="Active")),"All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IFERROR(_xlfn._xlws.FILTER(_xlfn.HSTACK(nrAT_ID,Attendance!$D$6:$D$805,TEXT(nrAT_Date,"mm/dd"),Attendance!$G$6:$G$805,Attendance!$H$6:$H$805,nrAT_Balance),(nrAT_Cleared="OPEN")),"All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IFERROR(_xlfn._xlws.FILTER(_xlfn.HSTACK(Memos!$B$6:$B$305,nrME_Cadet,TEXT(nrME_Assigned,"mm/dd"),nrME_Ref,nrME_Subject,TEXT(nrME_Due,"mm/dd"),nrME_Status),(nrME_Cadet&lt;&gt;"")*(nrME_Received="")),"No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blue = you type it,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1"/>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Blue cells = type here, gray = calculated.</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16" customHeight="1">
      <c r="B37" s="7" t="inlineStr">
        <is>
          <t>End of academy / as needed</t>
        </is>
      </c>
      <c r="C37" s="8" t="n"/>
      <c r="D37" s="8" t="n"/>
      <c r="E37" s="8" t="n"/>
      <c r="F37" s="8" t="n"/>
      <c r="G37" s="8" t="n"/>
      <c r="H37" s="8" t="n"/>
    </row>
    <row r="38" ht="26" customHeight="1">
      <c r="B38" s="3">
        <f>HYPERLINK("#Audit!B6","Audit")</f>
        <v/>
      </c>
      <c r="C38" s="13" t="inlineStr">
        <is>
          <t>Program-requirement checklist answers + per-cadet enrollment documents grid.</t>
        </is>
      </c>
    </row>
    <row r="39" ht="26" customHeight="1">
      <c r="B39" s="3">
        <f>HYPERLINK("#EmailPreview!B6","EmailPreview")</f>
        <v/>
      </c>
      <c r="C39" s="13" t="inlineStr">
        <is>
          <t>Pick an agency to preview its email; the button builds Outlook drafts.</t>
        </is>
      </c>
    </row>
    <row r="40" ht="26" customHeight="1">
      <c r="B40" s="3">
        <f>HYPERLINK("#sysAwards!B6","sysAwards")</f>
        <v/>
      </c>
      <c r="C40" s="13" t="inlineStr">
        <is>
          <t>Award override cells — your pick always wins.</t>
        </is>
      </c>
    </row>
    <row r="41" ht="26" customHeight="1">
      <c r="B41" s="3">
        <f>HYPERLINK("#PrintCenter!B6","PrintCenter")</f>
        <v/>
      </c>
      <c r="C41" s="13" t="inlineStr">
        <is>
          <t>Every printable in one place (buttons after VBA install).</t>
        </is>
      </c>
    </row>
  </sheetData>
  <mergeCells count="36">
    <mergeCell ref="C25:H25"/>
    <mergeCell ref="C10:H10"/>
    <mergeCell ref="C16:H16"/>
    <mergeCell ref="C41:H41"/>
    <mergeCell ref="C22:H22"/>
    <mergeCell ref="C40:H40"/>
    <mergeCell ref="C9:H9"/>
    <mergeCell ref="C31:H31"/>
    <mergeCell ref="B6:H6"/>
    <mergeCell ref="C12:H12"/>
    <mergeCell ref="B20:H20"/>
    <mergeCell ref="C21:H21"/>
    <mergeCell ref="B37:H37"/>
    <mergeCell ref="C11:H11"/>
    <mergeCell ref="C36:H36"/>
    <mergeCell ref="C27:H27"/>
    <mergeCell ref="C23:H23"/>
    <mergeCell ref="C39:H39"/>
    <mergeCell ref="C8:H8"/>
    <mergeCell ref="C17:H17"/>
    <mergeCell ref="C7:H7"/>
    <mergeCell ref="C32:H32"/>
    <mergeCell ref="C38:H38"/>
    <mergeCell ref="C19:H19"/>
    <mergeCell ref="C28:H28"/>
    <mergeCell ref="C13:H13"/>
    <mergeCell ref="C18:H18"/>
    <mergeCell ref="C34:H34"/>
    <mergeCell ref="C30:H30"/>
    <mergeCell ref="C15:H15"/>
    <mergeCell ref="C33:H33"/>
    <mergeCell ref="C24:H24"/>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3"/>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Course critique stack</t>
        </is>
      </c>
      <c r="C10" s="14" t="inlineStr">
        <is>
          <t>Set chapter on EvalSheet; prints one per active cadet</t>
        </is>
      </c>
      <c r="D10" s="14" t="inlineStr">
        <is>
          <t>EvalSheet</t>
        </is>
      </c>
      <c r="E10" s="2" t="inlineStr">
        <is>
          <t>btnPrintEvals</t>
        </is>
      </c>
    </row>
    <row r="11" ht="20" customHeight="1">
      <c r="B11" s="3" t="inlineStr">
        <is>
          <t>Spelling test / key</t>
        </is>
      </c>
      <c r="C11" s="14" t="inlineStr">
        <is>
          <t>Set test # and mode on SpellingPrint</t>
        </is>
      </c>
      <c r="D11" s="14" t="inlineStr">
        <is>
          <t>SpellingPrint</t>
        </is>
      </c>
      <c r="E11" s="2" t="inlineStr">
        <is>
          <t>btnPrintSpelling</t>
        </is>
      </c>
    </row>
    <row r="12" ht="20" customHeight="1">
      <c r="B12" s="3" t="inlineStr">
        <is>
          <t>Writing handout (week)</t>
        </is>
      </c>
      <c r="C12" s="14" t="inlineStr">
        <is>
          <t>Set week # on WritingHandout</t>
        </is>
      </c>
      <c r="D12" s="14" t="inlineStr">
        <is>
          <t>WritingHandout</t>
        </is>
      </c>
      <c r="E12" s="2" t="inlineStr">
        <is>
          <t>btnPrintWriting</t>
        </is>
      </c>
    </row>
    <row r="13" ht="20" customHeight="1">
      <c r="B13" s="3" t="inlineStr">
        <is>
          <t>Cadet profile</t>
        </is>
      </c>
      <c r="C13" s="14" t="inlineStr">
        <is>
          <t>Set cadet on CadetProfile</t>
        </is>
      </c>
      <c r="D13" s="14" t="inlineStr">
        <is>
          <t>CadetProfile</t>
        </is>
      </c>
      <c r="E13" s="2" t="inlineStr">
        <is>
          <t>btnPrintProfile</t>
        </is>
      </c>
    </row>
    <row r="14" ht="20" customHeight="1">
      <c r="B14" s="3" t="inlineStr">
        <is>
          <t>Transcript</t>
        </is>
      </c>
      <c r="C14" s="14" t="inlineStr">
        <is>
          <t>Set cadet on Transcript (button can run all cadets)</t>
        </is>
      </c>
      <c r="D14" s="14" t="inlineStr">
        <is>
          <t>Transcript</t>
        </is>
      </c>
      <c r="E14" s="2" t="inlineStr">
        <is>
          <t>btnPrintTranscript</t>
        </is>
      </c>
    </row>
    <row r="15" ht="20" customHeight="1">
      <c r="B15" s="3" t="inlineStr">
        <is>
          <t>Class ranking</t>
        </is>
      </c>
      <c r="C15" s="14" t="inlineStr">
        <is>
          <t>Prints as-is</t>
        </is>
      </c>
      <c r="D15" s="14" t="inlineStr">
        <is>
          <t>Ranking</t>
        </is>
      </c>
      <c r="E15" s="2" t="inlineStr">
        <is>
          <t>btnPrintRanking</t>
        </is>
      </c>
    </row>
    <row r="16" ht="20" customHeight="1">
      <c r="B16" s="3" t="inlineStr">
        <is>
          <t>Graduation checklist</t>
        </is>
      </c>
      <c r="C16" s="14" t="inlineStr">
        <is>
          <t>Prints as-is</t>
        </is>
      </c>
      <c r="D16" s="14" t="inlineStr">
        <is>
          <t>GradChecklist</t>
        </is>
      </c>
      <c r="E16" s="2" t="inlineStr">
        <is>
          <t>btnPrintGradCheck</t>
        </is>
      </c>
    </row>
    <row r="17" ht="20" customHeight="1">
      <c r="B17" s="3" t="inlineStr">
        <is>
          <t>Audit packet</t>
        </is>
      </c>
      <c r="C17" s="14" t="inlineStr">
        <is>
          <t>Program checks + enrollment docs</t>
        </is>
      </c>
      <c r="D17" s="14" t="inlineStr">
        <is>
          <t>Audit</t>
        </is>
      </c>
      <c r="E17" s="2" t="inlineStr">
        <is>
          <t>btnPrintAudit</t>
        </is>
      </c>
    </row>
    <row r="18" ht="20" customHeight="1">
      <c r="B18" s="3" t="inlineStr">
        <is>
          <t>Chapter packet</t>
        </is>
      </c>
      <c r="C18" s="14" t="inlineStr">
        <is>
          <t>Set chapter on ChapterPacket — the full training-file page for the auditor</t>
        </is>
      </c>
      <c r="D18" s="14" t="inlineStr">
        <is>
          <t>ChapterPacket</t>
        </is>
      </c>
      <c r="E18" s="2" t="inlineStr">
        <is>
          <t>btnPrintChapterPacket</t>
        </is>
      </c>
    </row>
    <row r="19" ht="20" customHeight="1">
      <c r="B19" s="3" t="inlineStr">
        <is>
          <t>Exam grade sheet</t>
        </is>
      </c>
      <c r="C19" s="14" t="inlineStr">
        <is>
          <t>Set exam # on ExamSheet — the IRG-required grade sheet per assessment</t>
        </is>
      </c>
      <c r="D19" s="14" t="inlineStr">
        <is>
          <t>ExamSheet</t>
        </is>
      </c>
      <c r="E19" s="2" t="inlineStr">
        <is>
          <t>btnPrintGradeSheet</t>
        </is>
      </c>
    </row>
    <row r="20" ht="20" customHeight="1">
      <c r="B20" s="3" t="inlineStr">
        <is>
          <t>Addendum (excess hours)</t>
        </is>
      </c>
      <c r="C20" s="14" t="inlineStr">
        <is>
          <t>Per-class excess vs TCOLE minimum with reporting course #s (#101 / #2040 / #2046 / #2055)</t>
        </is>
      </c>
      <c r="D20" s="14" t="inlineStr">
        <is>
          <t>Addendum</t>
        </is>
      </c>
      <c r="E20" s="2" t="inlineStr">
        <is>
          <t>btnPrintAddendum</t>
        </is>
      </c>
    </row>
    <row r="21" ht="20" customHeight="1">
      <c r="B21" s="3" t="inlineStr">
        <is>
          <t>Schedule</t>
        </is>
      </c>
      <c r="C21" s="14" t="inlineStr">
        <is>
          <t>Full schedule listing</t>
        </is>
      </c>
      <c r="D21" s="14" t="inlineStr">
        <is>
          <t>Schedule</t>
        </is>
      </c>
      <c r="E21" s="2" t="inlineStr">
        <is>
          <t>btnPrintSchedule</t>
        </is>
      </c>
    </row>
    <row r="22"/>
    <row r="23" ht="30" customHeight="1">
      <c r="B23" s="15" t="inlineStr">
        <is>
          <t>Buttons are added by the VBA install (see docs/Setup). Each button prints its sheet's defined print area to the default printer; Ctrl+P on the sheet does the same thing manually.</t>
        </is>
      </c>
    </row>
  </sheetData>
  <mergeCells count="1">
    <mergeCell ref="B23:F23"/>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10">
        <f>HYPERLINK("#Dashboard!B5","◄ Dashboard")</f>
        <v/>
      </c>
    </row>
    <row r="2"/>
    <row r="3"/>
    <row r="4">
      <c r="B4" s="11" t="inlineStr">
        <is>
          <t>One row per attempt. Attempt 2 of a failed exam records at the 70 cap when passed (policy 300.5). Retest Due By = 5 class days after the failed attempt's date.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IF($C6="","",IF($L6="","",IF($K6=1,IF(COUNTIFS(nrES_PID,$D6,nrES_Code,$F6,nrES_Att,2)&gt;0,"",$L6),IF(COUNTIFS(nrES_PID,$D6,nrES_Code,$F6,nrES_Att,1)=0,$L6,IF($L6&gt;=$J6,cfgRetakeRecordedCap,SUMIFS(nrES_Raw,nrES_PID,$D6,nrES_Code,$F6,nrES_Att,1))))))</f>
        <v/>
      </c>
      <c r="N6" s="17">
        <f>IF($C6="","",IF($L6="","",IF($L6&gt;=$J6,"Yes","No")))</f>
        <v/>
      </c>
      <c r="O6" s="17">
        <f>IF($C6="","",IF($M6="","",IF($M6&gt;=$J6,"Yes","No")))</f>
        <v/>
      </c>
      <c r="P6" s="17">
        <f>IF($C6="","",IF($K6="","",IF(COUNTIFS(nrES_PID,$D6,nrES_Code,$F6,nrES_Att,"&gt;"&amp;$K6)=0,"Yes","No")))</f>
        <v/>
      </c>
      <c r="Q6" s="17">
        <f>IF($C6="","",IF($L6="","",IF(AND($K6=1,$L6&lt;$J6,COUNTIFS(nrES_PID,$D6,nrES_Code,$F6,nrES_Att,2)=0),"Yes","No")))</f>
        <v/>
      </c>
      <c r="R6" s="17">
        <f>IF($C6="","",IF($L6="","",IF(AND($K6=2,$L6&lt;$J6,COUNTIFS(nrES_PID,$D6,nrES_Code,$F6,nrES_Att,1)&gt;0),"Yes","No")))</f>
        <v/>
      </c>
      <c r="S6" s="18" t="n"/>
      <c r="T6" s="19">
        <f>IF($Q6&lt;&gt;"Yes","",IF($S6="","(enter date)",_xlfn.LET(_xlpm.dn,IFERROR(_xlfn.XLOOKUP($S6,nrCDdate,nrCDnum),""),IF(_xlpm.dn="","(not a class day)",IFERROR(_xlfn.XLOOKUP(_xlpm.dn+cfgRetestClassDays,nrCDnum,nrCDdate),"")))))</f>
        <v/>
      </c>
      <c r="U6" s="17">
        <f>IF($Q6&lt;&gt;"Yes","",IF(COUNTIFS(nrES_PID,$D6,nrES_Code,$F6,nrES_Att,2)&gt;0,"Retested",IF(OR($T6="",NOT(ISNUMBER($T6))),"Pending",IF(TODAY()&gt;$T6,"OVERDUE","Due "&amp;TEXT($T6,"mm/dd")))))</f>
        <v/>
      </c>
      <c r="V6" s="16" t="n"/>
      <c r="W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IF($C7="","",IF($L7="","",IF($K7=1,IF(COUNTIFS(nrES_PID,$D7,nrES_Code,$F7,nrES_Att,2)&gt;0,"",$L7),IF(COUNTIFS(nrES_PID,$D7,nrES_Code,$F7,nrES_Att,1)=0,$L7,IF($L7&gt;=$J7,cfgRetakeRecordedCap,SUMIFS(nrES_Raw,nrES_PID,$D7,nrES_Code,$F7,nrES_Att,1))))))</f>
        <v/>
      </c>
      <c r="N7" s="17">
        <f>IF($C7="","",IF($L7="","",IF($L7&gt;=$J7,"Yes","No")))</f>
        <v/>
      </c>
      <c r="O7" s="17">
        <f>IF($C7="","",IF($M7="","",IF($M7&gt;=$J7,"Yes","No")))</f>
        <v/>
      </c>
      <c r="P7" s="17">
        <f>IF($C7="","",IF($K7="","",IF(COUNTIFS(nrES_PID,$D7,nrES_Code,$F7,nrES_Att,"&gt;"&amp;$K7)=0,"Yes","No")))</f>
        <v/>
      </c>
      <c r="Q7" s="17">
        <f>IF($C7="","",IF($L7="","",IF(AND($K7=1,$L7&lt;$J7,COUNTIFS(nrES_PID,$D7,nrES_Code,$F7,nrES_Att,2)=0),"Yes","No")))</f>
        <v/>
      </c>
      <c r="R7" s="17">
        <f>IF($C7="","",IF($L7="","",IF(AND($K7=2,$L7&lt;$J7,COUNTIFS(nrES_PID,$D7,nrES_Code,$F7,nrES_Att,1)&gt;0),"Yes","No")))</f>
        <v/>
      </c>
      <c r="S7" s="18" t="n"/>
      <c r="T7" s="19">
        <f>IF($Q7&lt;&gt;"Yes","",IF($S7="","(enter date)",_xlfn.LET(_xlpm.dn,IFERROR(_xlfn.XLOOKUP($S7,nrCDdate,nrCDnum),""),IF(_xlpm.dn="","(not a class day)",IFERROR(_xlfn.XLOOKUP(_xlpm.dn+cfgRetestClassDays,nrCDnum,nrCDdate),"")))))</f>
        <v/>
      </c>
      <c r="U7" s="17">
        <f>IF($Q7&lt;&gt;"Yes","",IF(COUNTIFS(nrES_PID,$D7,nrES_Code,$F7,nrES_Att,2)&gt;0,"Retested",IF(OR($T7="",NOT(ISNUMBER($T7))),"Pending",IF(TODAY()&gt;$T7,"OVERDUE","Due "&amp;TEXT($T7,"mm/dd")))))</f>
        <v/>
      </c>
      <c r="V7" s="16" t="n"/>
      <c r="W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IF($C8="","",IF($L8="","",IF($K8=1,IF(COUNTIFS(nrES_PID,$D8,nrES_Code,$F8,nrES_Att,2)&gt;0,"",$L8),IF(COUNTIFS(nrES_PID,$D8,nrES_Code,$F8,nrES_Att,1)=0,$L8,IF($L8&gt;=$J8,cfgRetakeRecordedCap,SUMIFS(nrES_Raw,nrES_PID,$D8,nrES_Code,$F8,nrES_Att,1))))))</f>
        <v/>
      </c>
      <c r="N8" s="17">
        <f>IF($C8="","",IF($L8="","",IF($L8&gt;=$J8,"Yes","No")))</f>
        <v/>
      </c>
      <c r="O8" s="17">
        <f>IF($C8="","",IF($M8="","",IF($M8&gt;=$J8,"Yes","No")))</f>
        <v/>
      </c>
      <c r="P8" s="17">
        <f>IF($C8="","",IF($K8="","",IF(COUNTIFS(nrES_PID,$D8,nrES_Code,$F8,nrES_Att,"&gt;"&amp;$K8)=0,"Yes","No")))</f>
        <v/>
      </c>
      <c r="Q8" s="17">
        <f>IF($C8="","",IF($L8="","",IF(AND($K8=1,$L8&lt;$J8,COUNTIFS(nrES_PID,$D8,nrES_Code,$F8,nrES_Att,2)=0),"Yes","No")))</f>
        <v/>
      </c>
      <c r="R8" s="17">
        <f>IF($C8="","",IF($L8="","",IF(AND($K8=2,$L8&lt;$J8,COUNTIFS(nrES_PID,$D8,nrES_Code,$F8,nrES_Att,1)&gt;0),"Yes","No")))</f>
        <v/>
      </c>
      <c r="S8" s="18" t="n"/>
      <c r="T8" s="19">
        <f>IF($Q8&lt;&gt;"Yes","",IF($S8="","(enter date)",_xlfn.LET(_xlpm.dn,IFERROR(_xlfn.XLOOKUP($S8,nrCDdate,nrCDnum),""),IF(_xlpm.dn="","(not a class day)",IFERROR(_xlfn.XLOOKUP(_xlpm.dn+cfgRetestClassDays,nrCDnum,nrCDdate),"")))))</f>
        <v/>
      </c>
      <c r="U8" s="17">
        <f>IF($Q8&lt;&gt;"Yes","",IF(COUNTIFS(nrES_PID,$D8,nrES_Code,$F8,nrES_Att,2)&gt;0,"Retested",IF(OR($T8="",NOT(ISNUMBER($T8))),"Pending",IF(TODAY()&gt;$T8,"OVERDUE","Due "&amp;TEXT($T8,"mm/dd")))))</f>
        <v/>
      </c>
      <c r="V8" s="16" t="n"/>
      <c r="W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IF($C9="","",IF($L9="","",IF($K9=1,IF(COUNTIFS(nrES_PID,$D9,nrES_Code,$F9,nrES_Att,2)&gt;0,"",$L9),IF(COUNTIFS(nrES_PID,$D9,nrES_Code,$F9,nrES_Att,1)=0,$L9,IF($L9&gt;=$J9,cfgRetakeRecordedCap,SUMIFS(nrES_Raw,nrES_PID,$D9,nrES_Code,$F9,nrES_Att,1))))))</f>
        <v/>
      </c>
      <c r="N9" s="17">
        <f>IF($C9="","",IF($L9="","",IF($L9&gt;=$J9,"Yes","No")))</f>
        <v/>
      </c>
      <c r="O9" s="17">
        <f>IF($C9="","",IF($M9="","",IF($M9&gt;=$J9,"Yes","No")))</f>
        <v/>
      </c>
      <c r="P9" s="17">
        <f>IF($C9="","",IF($K9="","",IF(COUNTIFS(nrES_PID,$D9,nrES_Code,$F9,nrES_Att,"&gt;"&amp;$K9)=0,"Yes","No")))</f>
        <v/>
      </c>
      <c r="Q9" s="17">
        <f>IF($C9="","",IF($L9="","",IF(AND($K9=1,$L9&lt;$J9,COUNTIFS(nrES_PID,$D9,nrES_Code,$F9,nrES_Att,2)=0),"Yes","No")))</f>
        <v/>
      </c>
      <c r="R9" s="17">
        <f>IF($C9="","",IF($L9="","",IF(AND($K9=2,$L9&lt;$J9,COUNTIFS(nrES_PID,$D9,nrES_Code,$F9,nrES_Att,1)&gt;0),"Yes","No")))</f>
        <v/>
      </c>
      <c r="S9" s="18" t="n"/>
      <c r="T9" s="19">
        <f>IF($Q9&lt;&gt;"Yes","",IF($S9="","(enter date)",_xlfn.LET(_xlpm.dn,IFERROR(_xlfn.XLOOKUP($S9,nrCDdate,nrCDnum),""),IF(_xlpm.dn="","(not a class day)",IFERROR(_xlfn.XLOOKUP(_xlpm.dn+cfgRetestClassDays,nrCDnum,nrCDdate),"")))))</f>
        <v/>
      </c>
      <c r="U9" s="17">
        <f>IF($Q9&lt;&gt;"Yes","",IF(COUNTIFS(nrES_PID,$D9,nrES_Code,$F9,nrES_Att,2)&gt;0,"Retested",IF(OR($T9="",NOT(ISNUMBER($T9))),"Pending",IF(TODAY()&gt;$T9,"OVERDUE","Due "&amp;TEXT($T9,"mm/dd")))))</f>
        <v/>
      </c>
      <c r="V9" s="16" t="n"/>
      <c r="W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IF($C10="","",IF($L10="","",IF($K10=1,IF(COUNTIFS(nrES_PID,$D10,nrES_Code,$F10,nrES_Att,2)&gt;0,"",$L10),IF(COUNTIFS(nrES_PID,$D10,nrES_Code,$F10,nrES_Att,1)=0,$L10,IF($L10&gt;=$J10,cfgRetakeRecordedCap,SUMIFS(nrES_Raw,nrES_PID,$D10,nrES_Code,$F10,nrES_Att,1))))))</f>
        <v/>
      </c>
      <c r="N10" s="17">
        <f>IF($C10="","",IF($L10="","",IF($L10&gt;=$J10,"Yes","No")))</f>
        <v/>
      </c>
      <c r="O10" s="17">
        <f>IF($C10="","",IF($M10="","",IF($M10&gt;=$J10,"Yes","No")))</f>
        <v/>
      </c>
      <c r="P10" s="17">
        <f>IF($C10="","",IF($K10="","",IF(COUNTIFS(nrES_PID,$D10,nrES_Code,$F10,nrES_Att,"&gt;"&amp;$K10)=0,"Yes","No")))</f>
        <v/>
      </c>
      <c r="Q10" s="17">
        <f>IF($C10="","",IF($L10="","",IF(AND($K10=1,$L10&lt;$J10,COUNTIFS(nrES_PID,$D10,nrES_Code,$F10,nrES_Att,2)=0),"Yes","No")))</f>
        <v/>
      </c>
      <c r="R10" s="17">
        <f>IF($C10="","",IF($L10="","",IF(AND($K10=2,$L10&lt;$J10,COUNTIFS(nrES_PID,$D10,nrES_Code,$F10,nrES_Att,1)&gt;0),"Yes","No")))</f>
        <v/>
      </c>
      <c r="S10" s="18" t="n"/>
      <c r="T10" s="19">
        <f>IF($Q10&lt;&gt;"Yes","",IF($S10="","(enter date)",_xlfn.LET(_xlpm.dn,IFERROR(_xlfn.XLOOKUP($S10,nrCDdate,nrCDnum),""),IF(_xlpm.dn="","(not a class day)",IFERROR(_xlfn.XLOOKUP(_xlpm.dn+cfgRetestClassDays,nrCDnum,nrCDdate),"")))))</f>
        <v/>
      </c>
      <c r="U10" s="17">
        <f>IF($Q10&lt;&gt;"Yes","",IF(COUNTIFS(nrES_PID,$D10,nrES_Code,$F10,nrES_Att,2)&gt;0,"Retested",IF(OR($T10="",NOT(ISNUMBER($T10))),"Pending",IF(TODAY()&gt;$T10,"OVERDUE","Due "&amp;TEXT($T10,"mm/dd")))))</f>
        <v/>
      </c>
      <c r="V10" s="16" t="n"/>
      <c r="W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IF($C11="","",IF($L11="","",IF($K11=1,IF(COUNTIFS(nrES_PID,$D11,nrES_Code,$F11,nrES_Att,2)&gt;0,"",$L11),IF(COUNTIFS(nrES_PID,$D11,nrES_Code,$F11,nrES_Att,1)=0,$L11,IF($L11&gt;=$J11,cfgRetakeRecordedCap,SUMIFS(nrES_Raw,nrES_PID,$D11,nrES_Code,$F11,nrES_Att,1))))))</f>
        <v/>
      </c>
      <c r="N11" s="17">
        <f>IF($C11="","",IF($L11="","",IF($L11&gt;=$J11,"Yes","No")))</f>
        <v/>
      </c>
      <c r="O11" s="17">
        <f>IF($C11="","",IF($M11="","",IF($M11&gt;=$J11,"Yes","No")))</f>
        <v/>
      </c>
      <c r="P11" s="17">
        <f>IF($C11="","",IF($K11="","",IF(COUNTIFS(nrES_PID,$D11,nrES_Code,$F11,nrES_Att,"&gt;"&amp;$K11)=0,"Yes","No")))</f>
        <v/>
      </c>
      <c r="Q11" s="17">
        <f>IF($C11="","",IF($L11="","",IF(AND($K11=1,$L11&lt;$J11,COUNTIFS(nrES_PID,$D11,nrES_Code,$F11,nrES_Att,2)=0),"Yes","No")))</f>
        <v/>
      </c>
      <c r="R11" s="17">
        <f>IF($C11="","",IF($L11="","",IF(AND($K11=2,$L11&lt;$J11,COUNTIFS(nrES_PID,$D11,nrES_Code,$F11,nrES_Att,1)&gt;0),"Yes","No")))</f>
        <v/>
      </c>
      <c r="S11" s="18" t="n"/>
      <c r="T11" s="19">
        <f>IF($Q11&lt;&gt;"Yes","",IF($S11="","(enter date)",_xlfn.LET(_xlpm.dn,IFERROR(_xlfn.XLOOKUP($S11,nrCDdate,nrCDnum),""),IF(_xlpm.dn="","(not a class day)",IFERROR(_xlfn.XLOOKUP(_xlpm.dn+cfgRetestClassDays,nrCDnum,nrCDdate),"")))))</f>
        <v/>
      </c>
      <c r="U11" s="17">
        <f>IF($Q11&lt;&gt;"Yes","",IF(COUNTIFS(nrES_PID,$D11,nrES_Code,$F11,nrES_Att,2)&gt;0,"Retested",IF(OR($T11="",NOT(ISNUMBER($T11))),"Pending",IF(TODAY()&gt;$T11,"OVERDUE","Due "&amp;TEXT($T11,"mm/dd")))))</f>
        <v/>
      </c>
      <c r="V11" s="16" t="n"/>
      <c r="W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IF($C12="","",IF($L12="","",IF($K12=1,IF(COUNTIFS(nrES_PID,$D12,nrES_Code,$F12,nrES_Att,2)&gt;0,"",$L12),IF(COUNTIFS(nrES_PID,$D12,nrES_Code,$F12,nrES_Att,1)=0,$L12,IF($L12&gt;=$J12,cfgRetakeRecordedCap,SUMIFS(nrES_Raw,nrES_PID,$D12,nrES_Code,$F12,nrES_Att,1))))))</f>
        <v/>
      </c>
      <c r="N12" s="17">
        <f>IF($C12="","",IF($L12="","",IF($L12&gt;=$J12,"Yes","No")))</f>
        <v/>
      </c>
      <c r="O12" s="17">
        <f>IF($C12="","",IF($M12="","",IF($M12&gt;=$J12,"Yes","No")))</f>
        <v/>
      </c>
      <c r="P12" s="17">
        <f>IF($C12="","",IF($K12="","",IF(COUNTIFS(nrES_PID,$D12,nrES_Code,$F12,nrES_Att,"&gt;"&amp;$K12)=0,"Yes","No")))</f>
        <v/>
      </c>
      <c r="Q12" s="17">
        <f>IF($C12="","",IF($L12="","",IF(AND($K12=1,$L12&lt;$J12,COUNTIFS(nrES_PID,$D12,nrES_Code,$F12,nrES_Att,2)=0),"Yes","No")))</f>
        <v/>
      </c>
      <c r="R12" s="17">
        <f>IF($C12="","",IF($L12="","",IF(AND($K12=2,$L12&lt;$J12,COUNTIFS(nrES_PID,$D12,nrES_Code,$F12,nrES_Att,1)&gt;0),"Yes","No")))</f>
        <v/>
      </c>
      <c r="S12" s="18" t="n"/>
      <c r="T12" s="19">
        <f>IF($Q12&lt;&gt;"Yes","",IF($S12="","(enter date)",_xlfn.LET(_xlpm.dn,IFERROR(_xlfn.XLOOKUP($S12,nrCDdate,nrCDnum),""),IF(_xlpm.dn="","(not a class day)",IFERROR(_xlfn.XLOOKUP(_xlpm.dn+cfgRetestClassDays,nrCDnum,nrCDdate),"")))))</f>
        <v/>
      </c>
      <c r="U12" s="17">
        <f>IF($Q12&lt;&gt;"Yes","",IF(COUNTIFS(nrES_PID,$D12,nrES_Code,$F12,nrES_Att,2)&gt;0,"Retested",IF(OR($T12="",NOT(ISNUMBER($T12))),"Pending",IF(TODAY()&gt;$T12,"OVERDUE","Due "&amp;TEXT($T12,"mm/dd")))))</f>
        <v/>
      </c>
      <c r="V12" s="16" t="n"/>
      <c r="W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IF($C13="","",IF($L13="","",IF($K13=1,IF(COUNTIFS(nrES_PID,$D13,nrES_Code,$F13,nrES_Att,2)&gt;0,"",$L13),IF(COUNTIFS(nrES_PID,$D13,nrES_Code,$F13,nrES_Att,1)=0,$L13,IF($L13&gt;=$J13,cfgRetakeRecordedCap,SUMIFS(nrES_Raw,nrES_PID,$D13,nrES_Code,$F13,nrES_Att,1))))))</f>
        <v/>
      </c>
      <c r="N13" s="17">
        <f>IF($C13="","",IF($L13="","",IF($L13&gt;=$J13,"Yes","No")))</f>
        <v/>
      </c>
      <c r="O13" s="17">
        <f>IF($C13="","",IF($M13="","",IF($M13&gt;=$J13,"Yes","No")))</f>
        <v/>
      </c>
      <c r="P13" s="17">
        <f>IF($C13="","",IF($K13="","",IF(COUNTIFS(nrES_PID,$D13,nrES_Code,$F13,nrES_Att,"&gt;"&amp;$K13)=0,"Yes","No")))</f>
        <v/>
      </c>
      <c r="Q13" s="17">
        <f>IF($C13="","",IF($L13="","",IF(AND($K13=1,$L13&lt;$J13,COUNTIFS(nrES_PID,$D13,nrES_Code,$F13,nrES_Att,2)=0),"Yes","No")))</f>
        <v/>
      </c>
      <c r="R13" s="17">
        <f>IF($C13="","",IF($L13="","",IF(AND($K13=2,$L13&lt;$J13,COUNTIFS(nrES_PID,$D13,nrES_Code,$F13,nrES_Att,1)&gt;0),"Yes","No")))</f>
        <v/>
      </c>
      <c r="S13" s="18" t="n"/>
      <c r="T13" s="19">
        <f>IF($Q13&lt;&gt;"Yes","",IF($S13="","(enter date)",_xlfn.LET(_xlpm.dn,IFERROR(_xlfn.XLOOKUP($S13,nrCDdate,nrCDnum),""),IF(_xlpm.dn="","(not a class day)",IFERROR(_xlfn.XLOOKUP(_xlpm.dn+cfgRetestClassDays,nrCDnum,nrCDdate),"")))))</f>
        <v/>
      </c>
      <c r="U13" s="17">
        <f>IF($Q13&lt;&gt;"Yes","",IF(COUNTIFS(nrES_PID,$D13,nrES_Code,$F13,nrES_Att,2)&gt;0,"Retested",IF(OR($T13="",NOT(ISNUMBER($T13))),"Pending",IF(TODAY()&gt;$T13,"OVERDUE","Due "&amp;TEXT($T13,"mm/dd")))))</f>
        <v/>
      </c>
      <c r="V13" s="16" t="n"/>
      <c r="W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IF($C14="","",IF($L14="","",IF($K14=1,IF(COUNTIFS(nrES_PID,$D14,nrES_Code,$F14,nrES_Att,2)&gt;0,"",$L14),IF(COUNTIFS(nrES_PID,$D14,nrES_Code,$F14,nrES_Att,1)=0,$L14,IF($L14&gt;=$J14,cfgRetakeRecordedCap,SUMIFS(nrES_Raw,nrES_PID,$D14,nrES_Code,$F14,nrES_Att,1))))))</f>
        <v/>
      </c>
      <c r="N14" s="17">
        <f>IF($C14="","",IF($L14="","",IF($L14&gt;=$J14,"Yes","No")))</f>
        <v/>
      </c>
      <c r="O14" s="17">
        <f>IF($C14="","",IF($M14="","",IF($M14&gt;=$J14,"Yes","No")))</f>
        <v/>
      </c>
      <c r="P14" s="17">
        <f>IF($C14="","",IF($K14="","",IF(COUNTIFS(nrES_PID,$D14,nrES_Code,$F14,nrES_Att,"&gt;"&amp;$K14)=0,"Yes","No")))</f>
        <v/>
      </c>
      <c r="Q14" s="17">
        <f>IF($C14="","",IF($L14="","",IF(AND($K14=1,$L14&lt;$J14,COUNTIFS(nrES_PID,$D14,nrES_Code,$F14,nrES_Att,2)=0),"Yes","No")))</f>
        <v/>
      </c>
      <c r="R14" s="17">
        <f>IF($C14="","",IF($L14="","",IF(AND($K14=2,$L14&lt;$J14,COUNTIFS(nrES_PID,$D14,nrES_Code,$F14,nrES_Att,1)&gt;0),"Yes","No")))</f>
        <v/>
      </c>
      <c r="S14" s="18" t="n"/>
      <c r="T14" s="19">
        <f>IF($Q14&lt;&gt;"Yes","",IF($S14="","(enter date)",_xlfn.LET(_xlpm.dn,IFERROR(_xlfn.XLOOKUP($S14,nrCDdate,nrCDnum),""),IF(_xlpm.dn="","(not a class day)",IFERROR(_xlfn.XLOOKUP(_xlpm.dn+cfgRetestClassDays,nrCDnum,nrCDdate),"")))))</f>
        <v/>
      </c>
      <c r="U14" s="17">
        <f>IF($Q14&lt;&gt;"Yes","",IF(COUNTIFS(nrES_PID,$D14,nrES_Code,$F14,nrES_Att,2)&gt;0,"Retested",IF(OR($T14="",NOT(ISNUMBER($T14))),"Pending",IF(TODAY()&gt;$T14,"OVERDUE","Due "&amp;TEXT($T14,"mm/dd")))))</f>
        <v/>
      </c>
      <c r="V14" s="16" t="n"/>
      <c r="W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IF($C15="","",IF($L15="","",IF($K15=1,IF(COUNTIFS(nrES_PID,$D15,nrES_Code,$F15,nrES_Att,2)&gt;0,"",$L15),IF(COUNTIFS(nrES_PID,$D15,nrES_Code,$F15,nrES_Att,1)=0,$L15,IF($L15&gt;=$J15,cfgRetakeRecordedCap,SUMIFS(nrES_Raw,nrES_PID,$D15,nrES_Code,$F15,nrES_Att,1))))))</f>
        <v/>
      </c>
      <c r="N15" s="17">
        <f>IF($C15="","",IF($L15="","",IF($L15&gt;=$J15,"Yes","No")))</f>
        <v/>
      </c>
      <c r="O15" s="17">
        <f>IF($C15="","",IF($M15="","",IF($M15&gt;=$J15,"Yes","No")))</f>
        <v/>
      </c>
      <c r="P15" s="17">
        <f>IF($C15="","",IF($K15="","",IF(COUNTIFS(nrES_PID,$D15,nrES_Code,$F15,nrES_Att,"&gt;"&amp;$K15)=0,"Yes","No")))</f>
        <v/>
      </c>
      <c r="Q15" s="17">
        <f>IF($C15="","",IF($L15="","",IF(AND($K15=1,$L15&lt;$J15,COUNTIFS(nrES_PID,$D15,nrES_Code,$F15,nrES_Att,2)=0),"Yes","No")))</f>
        <v/>
      </c>
      <c r="R15" s="17">
        <f>IF($C15="","",IF($L15="","",IF(AND($K15=2,$L15&lt;$J15,COUNTIFS(nrES_PID,$D15,nrES_Code,$F15,nrES_Att,1)&gt;0),"Yes","No")))</f>
        <v/>
      </c>
      <c r="S15" s="18" t="n"/>
      <c r="T15" s="19">
        <f>IF($Q15&lt;&gt;"Yes","",IF($S15="","(enter date)",_xlfn.LET(_xlpm.dn,IFERROR(_xlfn.XLOOKUP($S15,nrCDdate,nrCDnum),""),IF(_xlpm.dn="","(not a class day)",IFERROR(_xlfn.XLOOKUP(_xlpm.dn+cfgRetestClassDays,nrCDnum,nrCDdate),"")))))</f>
        <v/>
      </c>
      <c r="U15" s="17">
        <f>IF($Q15&lt;&gt;"Yes","",IF(COUNTIFS(nrES_PID,$D15,nrES_Code,$F15,nrES_Att,2)&gt;0,"Retested",IF(OR($T15="",NOT(ISNUMBER($T15))),"Pending",IF(TODAY()&gt;$T15,"OVERDUE","Due "&amp;TEXT($T15,"mm/dd")))))</f>
        <v/>
      </c>
      <c r="V15" s="16" t="n"/>
      <c r="W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IF($C16="","",IF($L16="","",IF($K16=1,IF(COUNTIFS(nrES_PID,$D16,nrES_Code,$F16,nrES_Att,2)&gt;0,"",$L16),IF(COUNTIFS(nrES_PID,$D16,nrES_Code,$F16,nrES_Att,1)=0,$L16,IF($L16&gt;=$J16,cfgRetakeRecordedCap,SUMIFS(nrES_Raw,nrES_PID,$D16,nrES_Code,$F16,nrES_Att,1))))))</f>
        <v/>
      </c>
      <c r="N16" s="17">
        <f>IF($C16="","",IF($L16="","",IF($L16&gt;=$J16,"Yes","No")))</f>
        <v/>
      </c>
      <c r="O16" s="17">
        <f>IF($C16="","",IF($M16="","",IF($M16&gt;=$J16,"Yes","No")))</f>
        <v/>
      </c>
      <c r="P16" s="17">
        <f>IF($C16="","",IF($K16="","",IF(COUNTIFS(nrES_PID,$D16,nrES_Code,$F16,nrES_Att,"&gt;"&amp;$K16)=0,"Yes","No")))</f>
        <v/>
      </c>
      <c r="Q16" s="17">
        <f>IF($C16="","",IF($L16="","",IF(AND($K16=1,$L16&lt;$J16,COUNTIFS(nrES_PID,$D16,nrES_Code,$F16,nrES_Att,2)=0),"Yes","No")))</f>
        <v/>
      </c>
      <c r="R16" s="17">
        <f>IF($C16="","",IF($L16="","",IF(AND($K16=2,$L16&lt;$J16,COUNTIFS(nrES_PID,$D16,nrES_Code,$F16,nrES_Att,1)&gt;0),"Yes","No")))</f>
        <v/>
      </c>
      <c r="S16" s="18" t="n"/>
      <c r="T16" s="19">
        <f>IF($Q16&lt;&gt;"Yes","",IF($S16="","(enter date)",_xlfn.LET(_xlpm.dn,IFERROR(_xlfn.XLOOKUP($S16,nrCDdate,nrCDnum),""),IF(_xlpm.dn="","(not a class day)",IFERROR(_xlfn.XLOOKUP(_xlpm.dn+cfgRetestClassDays,nrCDnum,nrCDdate),"")))))</f>
        <v/>
      </c>
      <c r="U16" s="17">
        <f>IF($Q16&lt;&gt;"Yes","",IF(COUNTIFS(nrES_PID,$D16,nrES_Code,$F16,nrES_Att,2)&gt;0,"Retested",IF(OR($T16="",NOT(ISNUMBER($T16))),"Pending",IF(TODAY()&gt;$T16,"OVERDUE","Due "&amp;TEXT($T16,"mm/dd")))))</f>
        <v/>
      </c>
      <c r="V16" s="16" t="n"/>
      <c r="W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IF($C17="","",IF($L17="","",IF($K17=1,IF(COUNTIFS(nrES_PID,$D17,nrES_Code,$F17,nrES_Att,2)&gt;0,"",$L17),IF(COUNTIFS(nrES_PID,$D17,nrES_Code,$F17,nrES_Att,1)=0,$L17,IF($L17&gt;=$J17,cfgRetakeRecordedCap,SUMIFS(nrES_Raw,nrES_PID,$D17,nrES_Code,$F17,nrES_Att,1))))))</f>
        <v/>
      </c>
      <c r="N17" s="17">
        <f>IF($C17="","",IF($L17="","",IF($L17&gt;=$J17,"Yes","No")))</f>
        <v/>
      </c>
      <c r="O17" s="17">
        <f>IF($C17="","",IF($M17="","",IF($M17&gt;=$J17,"Yes","No")))</f>
        <v/>
      </c>
      <c r="P17" s="17">
        <f>IF($C17="","",IF($K17="","",IF(COUNTIFS(nrES_PID,$D17,nrES_Code,$F17,nrES_Att,"&gt;"&amp;$K17)=0,"Yes","No")))</f>
        <v/>
      </c>
      <c r="Q17" s="17">
        <f>IF($C17="","",IF($L17="","",IF(AND($K17=1,$L17&lt;$J17,COUNTIFS(nrES_PID,$D17,nrES_Code,$F17,nrES_Att,2)=0),"Yes","No")))</f>
        <v/>
      </c>
      <c r="R17" s="17">
        <f>IF($C17="","",IF($L17="","",IF(AND($K17=2,$L17&lt;$J17,COUNTIFS(nrES_PID,$D17,nrES_Code,$F17,nrES_Att,1)&gt;0),"Yes","No")))</f>
        <v/>
      </c>
      <c r="S17" s="18" t="n"/>
      <c r="T17" s="19">
        <f>IF($Q17&lt;&gt;"Yes","",IF($S17="","(enter date)",_xlfn.LET(_xlpm.dn,IFERROR(_xlfn.XLOOKUP($S17,nrCDdate,nrCDnum),""),IF(_xlpm.dn="","(not a class day)",IFERROR(_xlfn.XLOOKUP(_xlpm.dn+cfgRetestClassDays,nrCDnum,nrCDdate),"")))))</f>
        <v/>
      </c>
      <c r="U17" s="17">
        <f>IF($Q17&lt;&gt;"Yes","",IF(COUNTIFS(nrES_PID,$D17,nrES_Code,$F17,nrES_Att,2)&gt;0,"Retested",IF(OR($T17="",NOT(ISNUMBER($T17))),"Pending",IF(TODAY()&gt;$T17,"OVERDUE","Due "&amp;TEXT($T17,"mm/dd")))))</f>
        <v/>
      </c>
      <c r="V17" s="16" t="n"/>
      <c r="W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IF($C18="","",IF($L18="","",IF($K18=1,IF(COUNTIFS(nrES_PID,$D18,nrES_Code,$F18,nrES_Att,2)&gt;0,"",$L18),IF(COUNTIFS(nrES_PID,$D18,nrES_Code,$F18,nrES_Att,1)=0,$L18,IF($L18&gt;=$J18,cfgRetakeRecordedCap,SUMIFS(nrES_Raw,nrES_PID,$D18,nrES_Code,$F18,nrES_Att,1))))))</f>
        <v/>
      </c>
      <c r="N18" s="17">
        <f>IF($C18="","",IF($L18="","",IF($L18&gt;=$J18,"Yes","No")))</f>
        <v/>
      </c>
      <c r="O18" s="17">
        <f>IF($C18="","",IF($M18="","",IF($M18&gt;=$J18,"Yes","No")))</f>
        <v/>
      </c>
      <c r="P18" s="17">
        <f>IF($C18="","",IF($K18="","",IF(COUNTIFS(nrES_PID,$D18,nrES_Code,$F18,nrES_Att,"&gt;"&amp;$K18)=0,"Yes","No")))</f>
        <v/>
      </c>
      <c r="Q18" s="17">
        <f>IF($C18="","",IF($L18="","",IF(AND($K18=1,$L18&lt;$J18,COUNTIFS(nrES_PID,$D18,nrES_Code,$F18,nrES_Att,2)=0),"Yes","No")))</f>
        <v/>
      </c>
      <c r="R18" s="17">
        <f>IF($C18="","",IF($L18="","",IF(AND($K18=2,$L18&lt;$J18,COUNTIFS(nrES_PID,$D18,nrES_Code,$F18,nrES_Att,1)&gt;0),"Yes","No")))</f>
        <v/>
      </c>
      <c r="S18" s="18" t="n"/>
      <c r="T18" s="19">
        <f>IF($Q18&lt;&gt;"Yes","",IF($S18="","(enter date)",_xlfn.LET(_xlpm.dn,IFERROR(_xlfn.XLOOKUP($S18,nrCDdate,nrCDnum),""),IF(_xlpm.dn="","(not a class day)",IFERROR(_xlfn.XLOOKUP(_xlpm.dn+cfgRetestClassDays,nrCDnum,nrCDdate),"")))))</f>
        <v/>
      </c>
      <c r="U18" s="17">
        <f>IF($Q18&lt;&gt;"Yes","",IF(COUNTIFS(nrES_PID,$D18,nrES_Code,$F18,nrES_Att,2)&gt;0,"Retested",IF(OR($T18="",NOT(ISNUMBER($T18))),"Pending",IF(TODAY()&gt;$T18,"OVERDUE","Due "&amp;TEXT($T18,"mm/dd")))))</f>
        <v/>
      </c>
      <c r="V18" s="16" t="n"/>
      <c r="W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IF($C19="","",IF($L19="","",IF($K19=1,IF(COUNTIFS(nrES_PID,$D19,nrES_Code,$F19,nrES_Att,2)&gt;0,"",$L19),IF(COUNTIFS(nrES_PID,$D19,nrES_Code,$F19,nrES_Att,1)=0,$L19,IF($L19&gt;=$J19,cfgRetakeRecordedCap,SUMIFS(nrES_Raw,nrES_PID,$D19,nrES_Code,$F19,nrES_Att,1))))))</f>
        <v/>
      </c>
      <c r="N19" s="17">
        <f>IF($C19="","",IF($L19="","",IF($L19&gt;=$J19,"Yes","No")))</f>
        <v/>
      </c>
      <c r="O19" s="17">
        <f>IF($C19="","",IF($M19="","",IF($M19&gt;=$J19,"Yes","No")))</f>
        <v/>
      </c>
      <c r="P19" s="17">
        <f>IF($C19="","",IF($K19="","",IF(COUNTIFS(nrES_PID,$D19,nrES_Code,$F19,nrES_Att,"&gt;"&amp;$K19)=0,"Yes","No")))</f>
        <v/>
      </c>
      <c r="Q19" s="17">
        <f>IF($C19="","",IF($L19="","",IF(AND($K19=1,$L19&lt;$J19,COUNTIFS(nrES_PID,$D19,nrES_Code,$F19,nrES_Att,2)=0),"Yes","No")))</f>
        <v/>
      </c>
      <c r="R19" s="17">
        <f>IF($C19="","",IF($L19="","",IF(AND($K19=2,$L19&lt;$J19,COUNTIFS(nrES_PID,$D19,nrES_Code,$F19,nrES_Att,1)&gt;0),"Yes","No")))</f>
        <v/>
      </c>
      <c r="S19" s="18" t="n"/>
      <c r="T19" s="19">
        <f>IF($Q19&lt;&gt;"Yes","",IF($S19="","(enter date)",_xlfn.LET(_xlpm.dn,IFERROR(_xlfn.XLOOKUP($S19,nrCDdate,nrCDnum),""),IF(_xlpm.dn="","(not a class day)",IFERROR(_xlfn.XLOOKUP(_xlpm.dn+cfgRetestClassDays,nrCDnum,nrCDdate),"")))))</f>
        <v/>
      </c>
      <c r="U19" s="17">
        <f>IF($Q19&lt;&gt;"Yes","",IF(COUNTIFS(nrES_PID,$D19,nrES_Code,$F19,nrES_Att,2)&gt;0,"Retested",IF(OR($T19="",NOT(ISNUMBER($T19))),"Pending",IF(TODAY()&gt;$T19,"OVERDUE","Due "&amp;TEXT($T19,"mm/dd")))))</f>
        <v/>
      </c>
      <c r="V19" s="16" t="n"/>
      <c r="W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IF($C20="","",IF($L20="","",IF($K20=1,IF(COUNTIFS(nrES_PID,$D20,nrES_Code,$F20,nrES_Att,2)&gt;0,"",$L20),IF(COUNTIFS(nrES_PID,$D20,nrES_Code,$F20,nrES_Att,1)=0,$L20,IF($L20&gt;=$J20,cfgRetakeRecordedCap,SUMIFS(nrES_Raw,nrES_PID,$D20,nrES_Code,$F20,nrES_Att,1))))))</f>
        <v/>
      </c>
      <c r="N20" s="17">
        <f>IF($C20="","",IF($L20="","",IF($L20&gt;=$J20,"Yes","No")))</f>
        <v/>
      </c>
      <c r="O20" s="17">
        <f>IF($C20="","",IF($M20="","",IF($M20&gt;=$J20,"Yes","No")))</f>
        <v/>
      </c>
      <c r="P20" s="17">
        <f>IF($C20="","",IF($K20="","",IF(COUNTIFS(nrES_PID,$D20,nrES_Code,$F20,nrES_Att,"&gt;"&amp;$K20)=0,"Yes","No")))</f>
        <v/>
      </c>
      <c r="Q20" s="17">
        <f>IF($C20="","",IF($L20="","",IF(AND($K20=1,$L20&lt;$J20,COUNTIFS(nrES_PID,$D20,nrES_Code,$F20,nrES_Att,2)=0),"Yes","No")))</f>
        <v/>
      </c>
      <c r="R20" s="17">
        <f>IF($C20="","",IF($L20="","",IF(AND($K20=2,$L20&lt;$J20,COUNTIFS(nrES_PID,$D20,nrES_Code,$F20,nrES_Att,1)&gt;0),"Yes","No")))</f>
        <v/>
      </c>
      <c r="S20" s="18" t="n"/>
      <c r="T20" s="19">
        <f>IF($Q20&lt;&gt;"Yes","",IF($S20="","(enter date)",_xlfn.LET(_xlpm.dn,IFERROR(_xlfn.XLOOKUP($S20,nrCDdate,nrCDnum),""),IF(_xlpm.dn="","(not a class day)",IFERROR(_xlfn.XLOOKUP(_xlpm.dn+cfgRetestClassDays,nrCDnum,nrCDdate),"")))))</f>
        <v/>
      </c>
      <c r="U20" s="17">
        <f>IF($Q20&lt;&gt;"Yes","",IF(COUNTIFS(nrES_PID,$D20,nrES_Code,$F20,nrES_Att,2)&gt;0,"Retested",IF(OR($T20="",NOT(ISNUMBER($T20))),"Pending",IF(TODAY()&gt;$T20,"OVERDUE","Due "&amp;TEXT($T20,"mm/dd")))))</f>
        <v/>
      </c>
      <c r="V20" s="16" t="n"/>
      <c r="W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IF($C21="","",IF($L21="","",IF($K21=1,IF(COUNTIFS(nrES_PID,$D21,nrES_Code,$F21,nrES_Att,2)&gt;0,"",$L21),IF(COUNTIFS(nrES_PID,$D21,nrES_Code,$F21,nrES_Att,1)=0,$L21,IF($L21&gt;=$J21,cfgRetakeRecordedCap,SUMIFS(nrES_Raw,nrES_PID,$D21,nrES_Code,$F21,nrES_Att,1))))))</f>
        <v/>
      </c>
      <c r="N21" s="17">
        <f>IF($C21="","",IF($L21="","",IF($L21&gt;=$J21,"Yes","No")))</f>
        <v/>
      </c>
      <c r="O21" s="17">
        <f>IF($C21="","",IF($M21="","",IF($M21&gt;=$J21,"Yes","No")))</f>
        <v/>
      </c>
      <c r="P21" s="17">
        <f>IF($C21="","",IF($K21="","",IF(COUNTIFS(nrES_PID,$D21,nrES_Code,$F21,nrES_Att,"&gt;"&amp;$K21)=0,"Yes","No")))</f>
        <v/>
      </c>
      <c r="Q21" s="17">
        <f>IF($C21="","",IF($L21="","",IF(AND($K21=1,$L21&lt;$J21,COUNTIFS(nrES_PID,$D21,nrES_Code,$F21,nrES_Att,2)=0),"Yes","No")))</f>
        <v/>
      </c>
      <c r="R21" s="17">
        <f>IF($C21="","",IF($L21="","",IF(AND($K21=2,$L21&lt;$J21,COUNTIFS(nrES_PID,$D21,nrES_Code,$F21,nrES_Att,1)&gt;0),"Yes","No")))</f>
        <v/>
      </c>
      <c r="S21" s="18" t="n"/>
      <c r="T21" s="19">
        <f>IF($Q21&lt;&gt;"Yes","",IF($S21="","(enter date)",_xlfn.LET(_xlpm.dn,IFERROR(_xlfn.XLOOKUP($S21,nrCDdate,nrCDnum),""),IF(_xlpm.dn="","(not a class day)",IFERROR(_xlfn.XLOOKUP(_xlpm.dn+cfgRetestClassDays,nrCDnum,nrCDdate),"")))))</f>
        <v/>
      </c>
      <c r="U21" s="17">
        <f>IF($Q21&lt;&gt;"Yes","",IF(COUNTIFS(nrES_PID,$D21,nrES_Code,$F21,nrES_Att,2)&gt;0,"Retested",IF(OR($T21="",NOT(ISNUMBER($T21))),"Pending",IF(TODAY()&gt;$T21,"OVERDUE","Due "&amp;TEXT($T21,"mm/dd")))))</f>
        <v/>
      </c>
      <c r="V21" s="16" t="n"/>
      <c r="W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IF($C22="","",IF($L22="","",IF($K22=1,IF(COUNTIFS(nrES_PID,$D22,nrES_Code,$F22,nrES_Att,2)&gt;0,"",$L22),IF(COUNTIFS(nrES_PID,$D22,nrES_Code,$F22,nrES_Att,1)=0,$L22,IF($L22&gt;=$J22,cfgRetakeRecordedCap,SUMIFS(nrES_Raw,nrES_PID,$D22,nrES_Code,$F22,nrES_Att,1))))))</f>
        <v/>
      </c>
      <c r="N22" s="17">
        <f>IF($C22="","",IF($L22="","",IF($L22&gt;=$J22,"Yes","No")))</f>
        <v/>
      </c>
      <c r="O22" s="17">
        <f>IF($C22="","",IF($M22="","",IF($M22&gt;=$J22,"Yes","No")))</f>
        <v/>
      </c>
      <c r="P22" s="17">
        <f>IF($C22="","",IF($K22="","",IF(COUNTIFS(nrES_PID,$D22,nrES_Code,$F22,nrES_Att,"&gt;"&amp;$K22)=0,"Yes","No")))</f>
        <v/>
      </c>
      <c r="Q22" s="17">
        <f>IF($C22="","",IF($L22="","",IF(AND($K22=1,$L22&lt;$J22,COUNTIFS(nrES_PID,$D22,nrES_Code,$F22,nrES_Att,2)=0),"Yes","No")))</f>
        <v/>
      </c>
      <c r="R22" s="17">
        <f>IF($C22="","",IF($L22="","",IF(AND($K22=2,$L22&lt;$J22,COUNTIFS(nrES_PID,$D22,nrES_Code,$F22,nrES_Att,1)&gt;0),"Yes","No")))</f>
        <v/>
      </c>
      <c r="S22" s="18" t="n"/>
      <c r="T22" s="19">
        <f>IF($Q22&lt;&gt;"Yes","",IF($S22="","(enter date)",_xlfn.LET(_xlpm.dn,IFERROR(_xlfn.XLOOKUP($S22,nrCDdate,nrCDnum),""),IF(_xlpm.dn="","(not a class day)",IFERROR(_xlfn.XLOOKUP(_xlpm.dn+cfgRetestClassDays,nrCDnum,nrCDdate),"")))))</f>
        <v/>
      </c>
      <c r="U22" s="17">
        <f>IF($Q22&lt;&gt;"Yes","",IF(COUNTIFS(nrES_PID,$D22,nrES_Code,$F22,nrES_Att,2)&gt;0,"Retested",IF(OR($T22="",NOT(ISNUMBER($T22))),"Pending",IF(TODAY()&gt;$T22,"OVERDUE","Due "&amp;TEXT($T22,"mm/dd")))))</f>
        <v/>
      </c>
      <c r="V22" s="16" t="n"/>
      <c r="W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IF($C23="","",IF($L23="","",IF($K23=1,IF(COUNTIFS(nrES_PID,$D23,nrES_Code,$F23,nrES_Att,2)&gt;0,"",$L23),IF(COUNTIFS(nrES_PID,$D23,nrES_Code,$F23,nrES_Att,1)=0,$L23,IF($L23&gt;=$J23,cfgRetakeRecordedCap,SUMIFS(nrES_Raw,nrES_PID,$D23,nrES_Code,$F23,nrES_Att,1))))))</f>
        <v/>
      </c>
      <c r="N23" s="17">
        <f>IF($C23="","",IF($L23="","",IF($L23&gt;=$J23,"Yes","No")))</f>
        <v/>
      </c>
      <c r="O23" s="17">
        <f>IF($C23="","",IF($M23="","",IF($M23&gt;=$J23,"Yes","No")))</f>
        <v/>
      </c>
      <c r="P23" s="17">
        <f>IF($C23="","",IF($K23="","",IF(COUNTIFS(nrES_PID,$D23,nrES_Code,$F23,nrES_Att,"&gt;"&amp;$K23)=0,"Yes","No")))</f>
        <v/>
      </c>
      <c r="Q23" s="17">
        <f>IF($C23="","",IF($L23="","",IF(AND($K23=1,$L23&lt;$J23,COUNTIFS(nrES_PID,$D23,nrES_Code,$F23,nrES_Att,2)=0),"Yes","No")))</f>
        <v/>
      </c>
      <c r="R23" s="17">
        <f>IF($C23="","",IF($L23="","",IF(AND($K23=2,$L23&lt;$J23,COUNTIFS(nrES_PID,$D23,nrES_Code,$F23,nrES_Att,1)&gt;0),"Yes","No")))</f>
        <v/>
      </c>
      <c r="S23" s="18" t="n"/>
      <c r="T23" s="19">
        <f>IF($Q23&lt;&gt;"Yes","",IF($S23="","(enter date)",_xlfn.LET(_xlpm.dn,IFERROR(_xlfn.XLOOKUP($S23,nrCDdate,nrCDnum),""),IF(_xlpm.dn="","(not a class day)",IFERROR(_xlfn.XLOOKUP(_xlpm.dn+cfgRetestClassDays,nrCDnum,nrCDdate),"")))))</f>
        <v/>
      </c>
      <c r="U23" s="17">
        <f>IF($Q23&lt;&gt;"Yes","",IF(COUNTIFS(nrES_PID,$D23,nrES_Code,$F23,nrES_Att,2)&gt;0,"Retested",IF(OR($T23="",NOT(ISNUMBER($T23))),"Pending",IF(TODAY()&gt;$T23,"OVERDUE","Due "&amp;TEXT($T23,"mm/dd")))))</f>
        <v/>
      </c>
      <c r="V23" s="16" t="n"/>
      <c r="W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IF($C24="","",IF($L24="","",IF($K24=1,IF(COUNTIFS(nrES_PID,$D24,nrES_Code,$F24,nrES_Att,2)&gt;0,"",$L24),IF(COUNTIFS(nrES_PID,$D24,nrES_Code,$F24,nrES_Att,1)=0,$L24,IF($L24&gt;=$J24,cfgRetakeRecordedCap,SUMIFS(nrES_Raw,nrES_PID,$D24,nrES_Code,$F24,nrES_Att,1))))))</f>
        <v/>
      </c>
      <c r="N24" s="17">
        <f>IF($C24="","",IF($L24="","",IF($L24&gt;=$J24,"Yes","No")))</f>
        <v/>
      </c>
      <c r="O24" s="17">
        <f>IF($C24="","",IF($M24="","",IF($M24&gt;=$J24,"Yes","No")))</f>
        <v/>
      </c>
      <c r="P24" s="17">
        <f>IF($C24="","",IF($K24="","",IF(COUNTIFS(nrES_PID,$D24,nrES_Code,$F24,nrES_Att,"&gt;"&amp;$K24)=0,"Yes","No")))</f>
        <v/>
      </c>
      <c r="Q24" s="17">
        <f>IF($C24="","",IF($L24="","",IF(AND($K24=1,$L24&lt;$J24,COUNTIFS(nrES_PID,$D24,nrES_Code,$F24,nrES_Att,2)=0),"Yes","No")))</f>
        <v/>
      </c>
      <c r="R24" s="17">
        <f>IF($C24="","",IF($L24="","",IF(AND($K24=2,$L24&lt;$J24,COUNTIFS(nrES_PID,$D24,nrES_Code,$F24,nrES_Att,1)&gt;0),"Yes","No")))</f>
        <v/>
      </c>
      <c r="S24" s="18" t="n"/>
      <c r="T24" s="19">
        <f>IF($Q24&lt;&gt;"Yes","",IF($S24="","(enter date)",_xlfn.LET(_xlpm.dn,IFERROR(_xlfn.XLOOKUP($S24,nrCDdate,nrCDnum),""),IF(_xlpm.dn="","(not a class day)",IFERROR(_xlfn.XLOOKUP(_xlpm.dn+cfgRetestClassDays,nrCDnum,nrCDdate),"")))))</f>
        <v/>
      </c>
      <c r="U24" s="17">
        <f>IF($Q24&lt;&gt;"Yes","",IF(COUNTIFS(nrES_PID,$D24,nrES_Code,$F24,nrES_Att,2)&gt;0,"Retested",IF(OR($T24="",NOT(ISNUMBER($T24))),"Pending",IF(TODAY()&gt;$T24,"OVERDUE","Due "&amp;TEXT($T24,"mm/dd")))))</f>
        <v/>
      </c>
      <c r="V24" s="16" t="n"/>
      <c r="W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IF($C25="","",IF($L25="","",IF($K25=1,IF(COUNTIFS(nrES_PID,$D25,nrES_Code,$F25,nrES_Att,2)&gt;0,"",$L25),IF(COUNTIFS(nrES_PID,$D25,nrES_Code,$F25,nrES_Att,1)=0,$L25,IF($L25&gt;=$J25,cfgRetakeRecordedCap,SUMIFS(nrES_Raw,nrES_PID,$D25,nrES_Code,$F25,nrES_Att,1))))))</f>
        <v/>
      </c>
      <c r="N25" s="17">
        <f>IF($C25="","",IF($L25="","",IF($L25&gt;=$J25,"Yes","No")))</f>
        <v/>
      </c>
      <c r="O25" s="17">
        <f>IF($C25="","",IF($M25="","",IF($M25&gt;=$J25,"Yes","No")))</f>
        <v/>
      </c>
      <c r="P25" s="17">
        <f>IF($C25="","",IF($K25="","",IF(COUNTIFS(nrES_PID,$D25,nrES_Code,$F25,nrES_Att,"&gt;"&amp;$K25)=0,"Yes","No")))</f>
        <v/>
      </c>
      <c r="Q25" s="17">
        <f>IF($C25="","",IF($L25="","",IF(AND($K25=1,$L25&lt;$J25,COUNTIFS(nrES_PID,$D25,nrES_Code,$F25,nrES_Att,2)=0),"Yes","No")))</f>
        <v/>
      </c>
      <c r="R25" s="17">
        <f>IF($C25="","",IF($L25="","",IF(AND($K25=2,$L25&lt;$J25,COUNTIFS(nrES_PID,$D25,nrES_Code,$F25,nrES_Att,1)&gt;0),"Yes","No")))</f>
        <v/>
      </c>
      <c r="S25" s="18" t="n"/>
      <c r="T25" s="19">
        <f>IF($Q25&lt;&gt;"Yes","",IF($S25="","(enter date)",_xlfn.LET(_xlpm.dn,IFERROR(_xlfn.XLOOKUP($S25,nrCDdate,nrCDnum),""),IF(_xlpm.dn="","(not a class day)",IFERROR(_xlfn.XLOOKUP(_xlpm.dn+cfgRetestClassDays,nrCDnum,nrCDdate),"")))))</f>
        <v/>
      </c>
      <c r="U25" s="17">
        <f>IF($Q25&lt;&gt;"Yes","",IF(COUNTIFS(nrES_PID,$D25,nrES_Code,$F25,nrES_Att,2)&gt;0,"Retested",IF(OR($T25="",NOT(ISNUMBER($T25))),"Pending",IF(TODAY()&gt;$T25,"OVERDUE","Due "&amp;TEXT($T25,"mm/dd")))))</f>
        <v/>
      </c>
      <c r="V25" s="16" t="n"/>
      <c r="W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IF($C26="","",IF($L26="","",IF($K26=1,IF(COUNTIFS(nrES_PID,$D26,nrES_Code,$F26,nrES_Att,2)&gt;0,"",$L26),IF(COUNTIFS(nrES_PID,$D26,nrES_Code,$F26,nrES_Att,1)=0,$L26,IF($L26&gt;=$J26,cfgRetakeRecordedCap,SUMIFS(nrES_Raw,nrES_PID,$D26,nrES_Code,$F26,nrES_Att,1))))))</f>
        <v/>
      </c>
      <c r="N26" s="17">
        <f>IF($C26="","",IF($L26="","",IF($L26&gt;=$J26,"Yes","No")))</f>
        <v/>
      </c>
      <c r="O26" s="17">
        <f>IF($C26="","",IF($M26="","",IF($M26&gt;=$J26,"Yes","No")))</f>
        <v/>
      </c>
      <c r="P26" s="17">
        <f>IF($C26="","",IF($K26="","",IF(COUNTIFS(nrES_PID,$D26,nrES_Code,$F26,nrES_Att,"&gt;"&amp;$K26)=0,"Yes","No")))</f>
        <v/>
      </c>
      <c r="Q26" s="17">
        <f>IF($C26="","",IF($L26="","",IF(AND($K26=1,$L26&lt;$J26,COUNTIFS(nrES_PID,$D26,nrES_Code,$F26,nrES_Att,2)=0),"Yes","No")))</f>
        <v/>
      </c>
      <c r="R26" s="17">
        <f>IF($C26="","",IF($L26="","",IF(AND($K26=2,$L26&lt;$J26,COUNTIFS(nrES_PID,$D26,nrES_Code,$F26,nrES_Att,1)&gt;0),"Yes","No")))</f>
        <v/>
      </c>
      <c r="S26" s="18" t="n"/>
      <c r="T26" s="19">
        <f>IF($Q26&lt;&gt;"Yes","",IF($S26="","(enter date)",_xlfn.LET(_xlpm.dn,IFERROR(_xlfn.XLOOKUP($S26,nrCDdate,nrCDnum),""),IF(_xlpm.dn="","(not a class day)",IFERROR(_xlfn.XLOOKUP(_xlpm.dn+cfgRetestClassDays,nrCDnum,nrCDdate),"")))))</f>
        <v/>
      </c>
      <c r="U26" s="17">
        <f>IF($Q26&lt;&gt;"Yes","",IF(COUNTIFS(nrES_PID,$D26,nrES_Code,$F26,nrES_Att,2)&gt;0,"Retested",IF(OR($T26="",NOT(ISNUMBER($T26))),"Pending",IF(TODAY()&gt;$T26,"OVERDUE","Due "&amp;TEXT($T26,"mm/dd")))))</f>
        <v/>
      </c>
      <c r="V26" s="16" t="n"/>
      <c r="W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IF($C27="","",IF($L27="","",IF($K27=1,IF(COUNTIFS(nrES_PID,$D27,nrES_Code,$F27,nrES_Att,2)&gt;0,"",$L27),IF(COUNTIFS(nrES_PID,$D27,nrES_Code,$F27,nrES_Att,1)=0,$L27,IF($L27&gt;=$J27,cfgRetakeRecordedCap,SUMIFS(nrES_Raw,nrES_PID,$D27,nrES_Code,$F27,nrES_Att,1))))))</f>
        <v/>
      </c>
      <c r="N27" s="17">
        <f>IF($C27="","",IF($L27="","",IF($L27&gt;=$J27,"Yes","No")))</f>
        <v/>
      </c>
      <c r="O27" s="17">
        <f>IF($C27="","",IF($M27="","",IF($M27&gt;=$J27,"Yes","No")))</f>
        <v/>
      </c>
      <c r="P27" s="17">
        <f>IF($C27="","",IF($K27="","",IF(COUNTIFS(nrES_PID,$D27,nrES_Code,$F27,nrES_Att,"&gt;"&amp;$K27)=0,"Yes","No")))</f>
        <v/>
      </c>
      <c r="Q27" s="17">
        <f>IF($C27="","",IF($L27="","",IF(AND($K27=1,$L27&lt;$J27,COUNTIFS(nrES_PID,$D27,nrES_Code,$F27,nrES_Att,2)=0),"Yes","No")))</f>
        <v/>
      </c>
      <c r="R27" s="17">
        <f>IF($C27="","",IF($L27="","",IF(AND($K27=2,$L27&lt;$J27,COUNTIFS(nrES_PID,$D27,nrES_Code,$F27,nrES_Att,1)&gt;0),"Yes","No")))</f>
        <v/>
      </c>
      <c r="S27" s="18" t="n"/>
      <c r="T27" s="19">
        <f>IF($Q27&lt;&gt;"Yes","",IF($S27="","(enter date)",_xlfn.LET(_xlpm.dn,IFERROR(_xlfn.XLOOKUP($S27,nrCDdate,nrCDnum),""),IF(_xlpm.dn="","(not a class day)",IFERROR(_xlfn.XLOOKUP(_xlpm.dn+cfgRetestClassDays,nrCDnum,nrCDdate),"")))))</f>
        <v/>
      </c>
      <c r="U27" s="17">
        <f>IF($Q27&lt;&gt;"Yes","",IF(COUNTIFS(nrES_PID,$D27,nrES_Code,$F27,nrES_Att,2)&gt;0,"Retested",IF(OR($T27="",NOT(ISNUMBER($T27))),"Pending",IF(TODAY()&gt;$T27,"OVERDUE","Due "&amp;TEXT($T27,"mm/dd")))))</f>
        <v/>
      </c>
      <c r="V27" s="16" t="n"/>
      <c r="W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IF($C28="","",IF($L28="","",IF($K28=1,IF(COUNTIFS(nrES_PID,$D28,nrES_Code,$F28,nrES_Att,2)&gt;0,"",$L28),IF(COUNTIFS(nrES_PID,$D28,nrES_Code,$F28,nrES_Att,1)=0,$L28,IF($L28&gt;=$J28,cfgRetakeRecordedCap,SUMIFS(nrES_Raw,nrES_PID,$D28,nrES_Code,$F28,nrES_Att,1))))))</f>
        <v/>
      </c>
      <c r="N28" s="17">
        <f>IF($C28="","",IF($L28="","",IF($L28&gt;=$J28,"Yes","No")))</f>
        <v/>
      </c>
      <c r="O28" s="17">
        <f>IF($C28="","",IF($M28="","",IF($M28&gt;=$J28,"Yes","No")))</f>
        <v/>
      </c>
      <c r="P28" s="17">
        <f>IF($C28="","",IF($K28="","",IF(COUNTIFS(nrES_PID,$D28,nrES_Code,$F28,nrES_Att,"&gt;"&amp;$K28)=0,"Yes","No")))</f>
        <v/>
      </c>
      <c r="Q28" s="17">
        <f>IF($C28="","",IF($L28="","",IF(AND($K28=1,$L28&lt;$J28,COUNTIFS(nrES_PID,$D28,nrES_Code,$F28,nrES_Att,2)=0),"Yes","No")))</f>
        <v/>
      </c>
      <c r="R28" s="17">
        <f>IF($C28="","",IF($L28="","",IF(AND($K28=2,$L28&lt;$J28,COUNTIFS(nrES_PID,$D28,nrES_Code,$F28,nrES_Att,1)&gt;0),"Yes","No")))</f>
        <v/>
      </c>
      <c r="S28" s="18" t="n"/>
      <c r="T28" s="19">
        <f>IF($Q28&lt;&gt;"Yes","",IF($S28="","(enter date)",_xlfn.LET(_xlpm.dn,IFERROR(_xlfn.XLOOKUP($S28,nrCDdate,nrCDnum),""),IF(_xlpm.dn="","(not a class day)",IFERROR(_xlfn.XLOOKUP(_xlpm.dn+cfgRetestClassDays,nrCDnum,nrCDdate),"")))))</f>
        <v/>
      </c>
      <c r="U28" s="17">
        <f>IF($Q28&lt;&gt;"Yes","",IF(COUNTIFS(nrES_PID,$D28,nrES_Code,$F28,nrES_Att,2)&gt;0,"Retested",IF(OR($T28="",NOT(ISNUMBER($T28))),"Pending",IF(TODAY()&gt;$T28,"OVERDUE","Due "&amp;TEXT($T28,"mm/dd")))))</f>
        <v/>
      </c>
      <c r="V28" s="16" t="n"/>
      <c r="W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IF($C29="","",IF($L29="","",IF($K29=1,IF(COUNTIFS(nrES_PID,$D29,nrES_Code,$F29,nrES_Att,2)&gt;0,"",$L29),IF(COUNTIFS(nrES_PID,$D29,nrES_Code,$F29,nrES_Att,1)=0,$L29,IF($L29&gt;=$J29,cfgRetakeRecordedCap,SUMIFS(nrES_Raw,nrES_PID,$D29,nrES_Code,$F29,nrES_Att,1))))))</f>
        <v/>
      </c>
      <c r="N29" s="17">
        <f>IF($C29="","",IF($L29="","",IF($L29&gt;=$J29,"Yes","No")))</f>
        <v/>
      </c>
      <c r="O29" s="17">
        <f>IF($C29="","",IF($M29="","",IF($M29&gt;=$J29,"Yes","No")))</f>
        <v/>
      </c>
      <c r="P29" s="17">
        <f>IF($C29="","",IF($K29="","",IF(COUNTIFS(nrES_PID,$D29,nrES_Code,$F29,nrES_Att,"&gt;"&amp;$K29)=0,"Yes","No")))</f>
        <v/>
      </c>
      <c r="Q29" s="17">
        <f>IF($C29="","",IF($L29="","",IF(AND($K29=1,$L29&lt;$J29,COUNTIFS(nrES_PID,$D29,nrES_Code,$F29,nrES_Att,2)=0),"Yes","No")))</f>
        <v/>
      </c>
      <c r="R29" s="17">
        <f>IF($C29="","",IF($L29="","",IF(AND($K29=2,$L29&lt;$J29,COUNTIFS(nrES_PID,$D29,nrES_Code,$F29,nrES_Att,1)&gt;0),"Yes","No")))</f>
        <v/>
      </c>
      <c r="S29" s="18" t="n"/>
      <c r="T29" s="19">
        <f>IF($Q29&lt;&gt;"Yes","",IF($S29="","(enter date)",_xlfn.LET(_xlpm.dn,IFERROR(_xlfn.XLOOKUP($S29,nrCDdate,nrCDnum),""),IF(_xlpm.dn="","(not a class day)",IFERROR(_xlfn.XLOOKUP(_xlpm.dn+cfgRetestClassDays,nrCDnum,nrCDdate),"")))))</f>
        <v/>
      </c>
      <c r="U29" s="17">
        <f>IF($Q29&lt;&gt;"Yes","",IF(COUNTIFS(nrES_PID,$D29,nrES_Code,$F29,nrES_Att,2)&gt;0,"Retested",IF(OR($T29="",NOT(ISNUMBER($T29))),"Pending",IF(TODAY()&gt;$T29,"OVERDUE","Due "&amp;TEXT($T29,"mm/dd")))))</f>
        <v/>
      </c>
      <c r="V29" s="16" t="n"/>
      <c r="W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IF($C30="","",IF($L30="","",IF($K30=1,IF(COUNTIFS(nrES_PID,$D30,nrES_Code,$F30,nrES_Att,2)&gt;0,"",$L30),IF(COUNTIFS(nrES_PID,$D30,nrES_Code,$F30,nrES_Att,1)=0,$L30,IF($L30&gt;=$J30,cfgRetakeRecordedCap,SUMIFS(nrES_Raw,nrES_PID,$D30,nrES_Code,$F30,nrES_Att,1))))))</f>
        <v/>
      </c>
      <c r="N30" s="17">
        <f>IF($C30="","",IF($L30="","",IF($L30&gt;=$J30,"Yes","No")))</f>
        <v/>
      </c>
      <c r="O30" s="17">
        <f>IF($C30="","",IF($M30="","",IF($M30&gt;=$J30,"Yes","No")))</f>
        <v/>
      </c>
      <c r="P30" s="17">
        <f>IF($C30="","",IF($K30="","",IF(COUNTIFS(nrES_PID,$D30,nrES_Code,$F30,nrES_Att,"&gt;"&amp;$K30)=0,"Yes","No")))</f>
        <v/>
      </c>
      <c r="Q30" s="17">
        <f>IF($C30="","",IF($L30="","",IF(AND($K30=1,$L30&lt;$J30,COUNTIFS(nrES_PID,$D30,nrES_Code,$F30,nrES_Att,2)=0),"Yes","No")))</f>
        <v/>
      </c>
      <c r="R30" s="17">
        <f>IF($C30="","",IF($L30="","",IF(AND($K30=2,$L30&lt;$J30,COUNTIFS(nrES_PID,$D30,nrES_Code,$F30,nrES_Att,1)&gt;0),"Yes","No")))</f>
        <v/>
      </c>
      <c r="S30" s="18" t="n"/>
      <c r="T30" s="19">
        <f>IF($Q30&lt;&gt;"Yes","",IF($S30="","(enter date)",_xlfn.LET(_xlpm.dn,IFERROR(_xlfn.XLOOKUP($S30,nrCDdate,nrCDnum),""),IF(_xlpm.dn="","(not a class day)",IFERROR(_xlfn.XLOOKUP(_xlpm.dn+cfgRetestClassDays,nrCDnum,nrCDdate),"")))))</f>
        <v/>
      </c>
      <c r="U30" s="17">
        <f>IF($Q30&lt;&gt;"Yes","",IF(COUNTIFS(nrES_PID,$D30,nrES_Code,$F30,nrES_Att,2)&gt;0,"Retested",IF(OR($T30="",NOT(ISNUMBER($T30))),"Pending",IF(TODAY()&gt;$T30,"OVERDUE","Due "&amp;TEXT($T30,"mm/dd")))))</f>
        <v/>
      </c>
      <c r="V30" s="16" t="n"/>
      <c r="W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IF($C31="","",IF($L31="","",IF($K31=1,IF(COUNTIFS(nrES_PID,$D31,nrES_Code,$F31,nrES_Att,2)&gt;0,"",$L31),IF(COUNTIFS(nrES_PID,$D31,nrES_Code,$F31,nrES_Att,1)=0,$L31,IF($L31&gt;=$J31,cfgRetakeRecordedCap,SUMIFS(nrES_Raw,nrES_PID,$D31,nrES_Code,$F31,nrES_Att,1))))))</f>
        <v/>
      </c>
      <c r="N31" s="17">
        <f>IF($C31="","",IF($L31="","",IF($L31&gt;=$J31,"Yes","No")))</f>
        <v/>
      </c>
      <c r="O31" s="17">
        <f>IF($C31="","",IF($M31="","",IF($M31&gt;=$J31,"Yes","No")))</f>
        <v/>
      </c>
      <c r="P31" s="17">
        <f>IF($C31="","",IF($K31="","",IF(COUNTIFS(nrES_PID,$D31,nrES_Code,$F31,nrES_Att,"&gt;"&amp;$K31)=0,"Yes","No")))</f>
        <v/>
      </c>
      <c r="Q31" s="17">
        <f>IF($C31="","",IF($L31="","",IF(AND($K31=1,$L31&lt;$J31,COUNTIFS(nrES_PID,$D31,nrES_Code,$F31,nrES_Att,2)=0),"Yes","No")))</f>
        <v/>
      </c>
      <c r="R31" s="17">
        <f>IF($C31="","",IF($L31="","",IF(AND($K31=2,$L31&lt;$J31,COUNTIFS(nrES_PID,$D31,nrES_Code,$F31,nrES_Att,1)&gt;0),"Yes","No")))</f>
        <v/>
      </c>
      <c r="S31" s="18" t="n"/>
      <c r="T31" s="19">
        <f>IF($Q31&lt;&gt;"Yes","",IF($S31="","(enter date)",_xlfn.LET(_xlpm.dn,IFERROR(_xlfn.XLOOKUP($S31,nrCDdate,nrCDnum),""),IF(_xlpm.dn="","(not a class day)",IFERROR(_xlfn.XLOOKUP(_xlpm.dn+cfgRetestClassDays,nrCDnum,nrCDdate),"")))))</f>
        <v/>
      </c>
      <c r="U31" s="17">
        <f>IF($Q31&lt;&gt;"Yes","",IF(COUNTIFS(nrES_PID,$D31,nrES_Code,$F31,nrES_Att,2)&gt;0,"Retested",IF(OR($T31="",NOT(ISNUMBER($T31))),"Pending",IF(TODAY()&gt;$T31,"OVERDUE","Due "&amp;TEXT($T31,"mm/dd")))))</f>
        <v/>
      </c>
      <c r="V31" s="16" t="n"/>
      <c r="W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IF($C32="","",IF($L32="","",IF($K32=1,IF(COUNTIFS(nrES_PID,$D32,nrES_Code,$F32,nrES_Att,2)&gt;0,"",$L32),IF(COUNTIFS(nrES_PID,$D32,nrES_Code,$F32,nrES_Att,1)=0,$L32,IF($L32&gt;=$J32,cfgRetakeRecordedCap,SUMIFS(nrES_Raw,nrES_PID,$D32,nrES_Code,$F32,nrES_Att,1))))))</f>
        <v/>
      </c>
      <c r="N32" s="17">
        <f>IF($C32="","",IF($L32="","",IF($L32&gt;=$J32,"Yes","No")))</f>
        <v/>
      </c>
      <c r="O32" s="17">
        <f>IF($C32="","",IF($M32="","",IF($M32&gt;=$J32,"Yes","No")))</f>
        <v/>
      </c>
      <c r="P32" s="17">
        <f>IF($C32="","",IF($K32="","",IF(COUNTIFS(nrES_PID,$D32,nrES_Code,$F32,nrES_Att,"&gt;"&amp;$K32)=0,"Yes","No")))</f>
        <v/>
      </c>
      <c r="Q32" s="17">
        <f>IF($C32="","",IF($L32="","",IF(AND($K32=1,$L32&lt;$J32,COUNTIFS(nrES_PID,$D32,nrES_Code,$F32,nrES_Att,2)=0),"Yes","No")))</f>
        <v/>
      </c>
      <c r="R32" s="17">
        <f>IF($C32="","",IF($L32="","",IF(AND($K32=2,$L32&lt;$J32,COUNTIFS(nrES_PID,$D32,nrES_Code,$F32,nrES_Att,1)&gt;0),"Yes","No")))</f>
        <v/>
      </c>
      <c r="S32" s="18" t="n"/>
      <c r="T32" s="19">
        <f>IF($Q32&lt;&gt;"Yes","",IF($S32="","(enter date)",_xlfn.LET(_xlpm.dn,IFERROR(_xlfn.XLOOKUP($S32,nrCDdate,nrCDnum),""),IF(_xlpm.dn="","(not a class day)",IFERROR(_xlfn.XLOOKUP(_xlpm.dn+cfgRetestClassDays,nrCDnum,nrCDdate),"")))))</f>
        <v/>
      </c>
      <c r="U32" s="17">
        <f>IF($Q32&lt;&gt;"Yes","",IF(COUNTIFS(nrES_PID,$D32,nrES_Code,$F32,nrES_Att,2)&gt;0,"Retested",IF(OR($T32="",NOT(ISNUMBER($T32))),"Pending",IF(TODAY()&gt;$T32,"OVERDUE","Due "&amp;TEXT($T32,"mm/dd")))))</f>
        <v/>
      </c>
      <c r="V32" s="16" t="n"/>
      <c r="W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IF($C33="","",IF($L33="","",IF($K33=1,IF(COUNTIFS(nrES_PID,$D33,nrES_Code,$F33,nrES_Att,2)&gt;0,"",$L33),IF(COUNTIFS(nrES_PID,$D33,nrES_Code,$F33,nrES_Att,1)=0,$L33,IF($L33&gt;=$J33,cfgRetakeRecordedCap,SUMIFS(nrES_Raw,nrES_PID,$D33,nrES_Code,$F33,nrES_Att,1))))))</f>
        <v/>
      </c>
      <c r="N33" s="17">
        <f>IF($C33="","",IF($L33="","",IF($L33&gt;=$J33,"Yes","No")))</f>
        <v/>
      </c>
      <c r="O33" s="17">
        <f>IF($C33="","",IF($M33="","",IF($M33&gt;=$J33,"Yes","No")))</f>
        <v/>
      </c>
      <c r="P33" s="17">
        <f>IF($C33="","",IF($K33="","",IF(COUNTIFS(nrES_PID,$D33,nrES_Code,$F33,nrES_Att,"&gt;"&amp;$K33)=0,"Yes","No")))</f>
        <v/>
      </c>
      <c r="Q33" s="17">
        <f>IF($C33="","",IF($L33="","",IF(AND($K33=1,$L33&lt;$J33,COUNTIFS(nrES_PID,$D33,nrES_Code,$F33,nrES_Att,2)=0),"Yes","No")))</f>
        <v/>
      </c>
      <c r="R33" s="17">
        <f>IF($C33="","",IF($L33="","",IF(AND($K33=2,$L33&lt;$J33,COUNTIFS(nrES_PID,$D33,nrES_Code,$F33,nrES_Att,1)&gt;0),"Yes","No")))</f>
        <v/>
      </c>
      <c r="S33" s="18" t="n"/>
      <c r="T33" s="19">
        <f>IF($Q33&lt;&gt;"Yes","",IF($S33="","(enter date)",_xlfn.LET(_xlpm.dn,IFERROR(_xlfn.XLOOKUP($S33,nrCDdate,nrCDnum),""),IF(_xlpm.dn="","(not a class day)",IFERROR(_xlfn.XLOOKUP(_xlpm.dn+cfgRetestClassDays,nrCDnum,nrCDdate),"")))))</f>
        <v/>
      </c>
      <c r="U33" s="17">
        <f>IF($Q33&lt;&gt;"Yes","",IF(COUNTIFS(nrES_PID,$D33,nrES_Code,$F33,nrES_Att,2)&gt;0,"Retested",IF(OR($T33="",NOT(ISNUMBER($T33))),"Pending",IF(TODAY()&gt;$T33,"OVERDUE","Due "&amp;TEXT($T33,"mm/dd")))))</f>
        <v/>
      </c>
      <c r="V33" s="16" t="n"/>
      <c r="W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IF($C34="","",IF($L34="","",IF($K34=1,IF(COUNTIFS(nrES_PID,$D34,nrES_Code,$F34,nrES_Att,2)&gt;0,"",$L34),IF(COUNTIFS(nrES_PID,$D34,nrES_Code,$F34,nrES_Att,1)=0,$L34,IF($L34&gt;=$J34,cfgRetakeRecordedCap,SUMIFS(nrES_Raw,nrES_PID,$D34,nrES_Code,$F34,nrES_Att,1))))))</f>
        <v/>
      </c>
      <c r="N34" s="17">
        <f>IF($C34="","",IF($L34="","",IF($L34&gt;=$J34,"Yes","No")))</f>
        <v/>
      </c>
      <c r="O34" s="17">
        <f>IF($C34="","",IF($M34="","",IF($M34&gt;=$J34,"Yes","No")))</f>
        <v/>
      </c>
      <c r="P34" s="17">
        <f>IF($C34="","",IF($K34="","",IF(COUNTIFS(nrES_PID,$D34,nrES_Code,$F34,nrES_Att,"&gt;"&amp;$K34)=0,"Yes","No")))</f>
        <v/>
      </c>
      <c r="Q34" s="17">
        <f>IF($C34="","",IF($L34="","",IF(AND($K34=1,$L34&lt;$J34,COUNTIFS(nrES_PID,$D34,nrES_Code,$F34,nrES_Att,2)=0),"Yes","No")))</f>
        <v/>
      </c>
      <c r="R34" s="17">
        <f>IF($C34="","",IF($L34="","",IF(AND($K34=2,$L34&lt;$J34,COUNTIFS(nrES_PID,$D34,nrES_Code,$F34,nrES_Att,1)&gt;0),"Yes","No")))</f>
        <v/>
      </c>
      <c r="S34" s="18" t="n"/>
      <c r="T34" s="19">
        <f>IF($Q34&lt;&gt;"Yes","",IF($S34="","(enter date)",_xlfn.LET(_xlpm.dn,IFERROR(_xlfn.XLOOKUP($S34,nrCDdate,nrCDnum),""),IF(_xlpm.dn="","(not a class day)",IFERROR(_xlfn.XLOOKUP(_xlpm.dn+cfgRetestClassDays,nrCDnum,nrCDdate),"")))))</f>
        <v/>
      </c>
      <c r="U34" s="17">
        <f>IF($Q34&lt;&gt;"Yes","",IF(COUNTIFS(nrES_PID,$D34,nrES_Code,$F34,nrES_Att,2)&gt;0,"Retested",IF(OR($T34="",NOT(ISNUMBER($T34))),"Pending",IF(TODAY()&gt;$T34,"OVERDUE","Due "&amp;TEXT($T34,"mm/dd")))))</f>
        <v/>
      </c>
      <c r="V34" s="16" t="n"/>
      <c r="W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IF($C35="","",IF($L35="","",IF($K35=1,IF(COUNTIFS(nrES_PID,$D35,nrES_Code,$F35,nrES_Att,2)&gt;0,"",$L35),IF(COUNTIFS(nrES_PID,$D35,nrES_Code,$F35,nrES_Att,1)=0,$L35,IF($L35&gt;=$J35,cfgRetakeRecordedCap,SUMIFS(nrES_Raw,nrES_PID,$D35,nrES_Code,$F35,nrES_Att,1))))))</f>
        <v/>
      </c>
      <c r="N35" s="17">
        <f>IF($C35="","",IF($L35="","",IF($L35&gt;=$J35,"Yes","No")))</f>
        <v/>
      </c>
      <c r="O35" s="17">
        <f>IF($C35="","",IF($M35="","",IF($M35&gt;=$J35,"Yes","No")))</f>
        <v/>
      </c>
      <c r="P35" s="17">
        <f>IF($C35="","",IF($K35="","",IF(COUNTIFS(nrES_PID,$D35,nrES_Code,$F35,nrES_Att,"&gt;"&amp;$K35)=0,"Yes","No")))</f>
        <v/>
      </c>
      <c r="Q35" s="17">
        <f>IF($C35="","",IF($L35="","",IF(AND($K35=1,$L35&lt;$J35,COUNTIFS(nrES_PID,$D35,nrES_Code,$F35,nrES_Att,2)=0),"Yes","No")))</f>
        <v/>
      </c>
      <c r="R35" s="17">
        <f>IF($C35="","",IF($L35="","",IF(AND($K35=2,$L35&lt;$J35,COUNTIFS(nrES_PID,$D35,nrES_Code,$F35,nrES_Att,1)&gt;0),"Yes","No")))</f>
        <v/>
      </c>
      <c r="S35" s="18" t="n"/>
      <c r="T35" s="19">
        <f>IF($Q35&lt;&gt;"Yes","",IF($S35="","(enter date)",_xlfn.LET(_xlpm.dn,IFERROR(_xlfn.XLOOKUP($S35,nrCDdate,nrCDnum),""),IF(_xlpm.dn="","(not a class day)",IFERROR(_xlfn.XLOOKUP(_xlpm.dn+cfgRetestClassDays,nrCDnum,nrCDdate),"")))))</f>
        <v/>
      </c>
      <c r="U35" s="17">
        <f>IF($Q35&lt;&gt;"Yes","",IF(COUNTIFS(nrES_PID,$D35,nrES_Code,$F35,nrES_Att,2)&gt;0,"Retested",IF(OR($T35="",NOT(ISNUMBER($T35))),"Pending",IF(TODAY()&gt;$T35,"OVERDUE","Due "&amp;TEXT($T35,"mm/dd")))))</f>
        <v/>
      </c>
      <c r="V35" s="16" t="n"/>
      <c r="W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IF($C36="","",IF($L36="","",IF($K36=1,IF(COUNTIFS(nrES_PID,$D36,nrES_Code,$F36,nrES_Att,2)&gt;0,"",$L36),IF(COUNTIFS(nrES_PID,$D36,nrES_Code,$F36,nrES_Att,1)=0,$L36,IF($L36&gt;=$J36,cfgRetakeRecordedCap,SUMIFS(nrES_Raw,nrES_PID,$D36,nrES_Code,$F36,nrES_Att,1))))))</f>
        <v/>
      </c>
      <c r="N36" s="17">
        <f>IF($C36="","",IF($L36="","",IF($L36&gt;=$J36,"Yes","No")))</f>
        <v/>
      </c>
      <c r="O36" s="17">
        <f>IF($C36="","",IF($M36="","",IF($M36&gt;=$J36,"Yes","No")))</f>
        <v/>
      </c>
      <c r="P36" s="17">
        <f>IF($C36="","",IF($K36="","",IF(COUNTIFS(nrES_PID,$D36,nrES_Code,$F36,nrES_Att,"&gt;"&amp;$K36)=0,"Yes","No")))</f>
        <v/>
      </c>
      <c r="Q36" s="17">
        <f>IF($C36="","",IF($L36="","",IF(AND($K36=1,$L36&lt;$J36,COUNTIFS(nrES_PID,$D36,nrES_Code,$F36,nrES_Att,2)=0),"Yes","No")))</f>
        <v/>
      </c>
      <c r="R36" s="17">
        <f>IF($C36="","",IF($L36="","",IF(AND($K36=2,$L36&lt;$J36,COUNTIFS(nrES_PID,$D36,nrES_Code,$F36,nrES_Att,1)&gt;0),"Yes","No")))</f>
        <v/>
      </c>
      <c r="S36" s="18" t="n"/>
      <c r="T36" s="19">
        <f>IF($Q36&lt;&gt;"Yes","",IF($S36="","(enter date)",_xlfn.LET(_xlpm.dn,IFERROR(_xlfn.XLOOKUP($S36,nrCDdate,nrCDnum),""),IF(_xlpm.dn="","(not a class day)",IFERROR(_xlfn.XLOOKUP(_xlpm.dn+cfgRetestClassDays,nrCDnum,nrCDdate),"")))))</f>
        <v/>
      </c>
      <c r="U36" s="17">
        <f>IF($Q36&lt;&gt;"Yes","",IF(COUNTIFS(nrES_PID,$D36,nrES_Code,$F36,nrES_Att,2)&gt;0,"Retested",IF(OR($T36="",NOT(ISNUMBER($T36))),"Pending",IF(TODAY()&gt;$T36,"OVERDUE","Due "&amp;TEXT($T36,"mm/dd")))))</f>
        <v/>
      </c>
      <c r="V36" s="16" t="n"/>
      <c r="W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IF($C37="","",IF($L37="","",IF($K37=1,IF(COUNTIFS(nrES_PID,$D37,nrES_Code,$F37,nrES_Att,2)&gt;0,"",$L37),IF(COUNTIFS(nrES_PID,$D37,nrES_Code,$F37,nrES_Att,1)=0,$L37,IF($L37&gt;=$J37,cfgRetakeRecordedCap,SUMIFS(nrES_Raw,nrES_PID,$D37,nrES_Code,$F37,nrES_Att,1))))))</f>
        <v/>
      </c>
      <c r="N37" s="17">
        <f>IF($C37="","",IF($L37="","",IF($L37&gt;=$J37,"Yes","No")))</f>
        <v/>
      </c>
      <c r="O37" s="17">
        <f>IF($C37="","",IF($M37="","",IF($M37&gt;=$J37,"Yes","No")))</f>
        <v/>
      </c>
      <c r="P37" s="17">
        <f>IF($C37="","",IF($K37="","",IF(COUNTIFS(nrES_PID,$D37,nrES_Code,$F37,nrES_Att,"&gt;"&amp;$K37)=0,"Yes","No")))</f>
        <v/>
      </c>
      <c r="Q37" s="17">
        <f>IF($C37="","",IF($L37="","",IF(AND($K37=1,$L37&lt;$J37,COUNTIFS(nrES_PID,$D37,nrES_Code,$F37,nrES_Att,2)=0),"Yes","No")))</f>
        <v/>
      </c>
      <c r="R37" s="17">
        <f>IF($C37="","",IF($L37="","",IF(AND($K37=2,$L37&lt;$J37,COUNTIFS(nrES_PID,$D37,nrES_Code,$F37,nrES_Att,1)&gt;0),"Yes","No")))</f>
        <v/>
      </c>
      <c r="S37" s="18" t="n"/>
      <c r="T37" s="19">
        <f>IF($Q37&lt;&gt;"Yes","",IF($S37="","(enter date)",_xlfn.LET(_xlpm.dn,IFERROR(_xlfn.XLOOKUP($S37,nrCDdate,nrCDnum),""),IF(_xlpm.dn="","(not a class day)",IFERROR(_xlfn.XLOOKUP(_xlpm.dn+cfgRetestClassDays,nrCDnum,nrCDdate),"")))))</f>
        <v/>
      </c>
      <c r="U37" s="17">
        <f>IF($Q37&lt;&gt;"Yes","",IF(COUNTIFS(nrES_PID,$D37,nrES_Code,$F37,nrES_Att,2)&gt;0,"Retested",IF(OR($T37="",NOT(ISNUMBER($T37))),"Pending",IF(TODAY()&gt;$T37,"OVERDUE","Due "&amp;TEXT($T37,"mm/dd")))))</f>
        <v/>
      </c>
      <c r="V37" s="16" t="n"/>
      <c r="W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IF($C38="","",IF($L38="","",IF($K38=1,IF(COUNTIFS(nrES_PID,$D38,nrES_Code,$F38,nrES_Att,2)&gt;0,"",$L38),IF(COUNTIFS(nrES_PID,$D38,nrES_Code,$F38,nrES_Att,1)=0,$L38,IF($L38&gt;=$J38,cfgRetakeRecordedCap,SUMIFS(nrES_Raw,nrES_PID,$D38,nrES_Code,$F38,nrES_Att,1))))))</f>
        <v/>
      </c>
      <c r="N38" s="17">
        <f>IF($C38="","",IF($L38="","",IF($L38&gt;=$J38,"Yes","No")))</f>
        <v/>
      </c>
      <c r="O38" s="17">
        <f>IF($C38="","",IF($M38="","",IF($M38&gt;=$J38,"Yes","No")))</f>
        <v/>
      </c>
      <c r="P38" s="17">
        <f>IF($C38="","",IF($K38="","",IF(COUNTIFS(nrES_PID,$D38,nrES_Code,$F38,nrES_Att,"&gt;"&amp;$K38)=0,"Yes","No")))</f>
        <v/>
      </c>
      <c r="Q38" s="17">
        <f>IF($C38="","",IF($L38="","",IF(AND($K38=1,$L38&lt;$J38,COUNTIFS(nrES_PID,$D38,nrES_Code,$F38,nrES_Att,2)=0),"Yes","No")))</f>
        <v/>
      </c>
      <c r="R38" s="17">
        <f>IF($C38="","",IF($L38="","",IF(AND($K38=2,$L38&lt;$J38,COUNTIFS(nrES_PID,$D38,nrES_Code,$F38,nrES_Att,1)&gt;0),"Yes","No")))</f>
        <v/>
      </c>
      <c r="S38" s="18" t="n"/>
      <c r="T38" s="19">
        <f>IF($Q38&lt;&gt;"Yes","",IF($S38="","(enter date)",_xlfn.LET(_xlpm.dn,IFERROR(_xlfn.XLOOKUP($S38,nrCDdate,nrCDnum),""),IF(_xlpm.dn="","(not a class day)",IFERROR(_xlfn.XLOOKUP(_xlpm.dn+cfgRetestClassDays,nrCDnum,nrCDdate),"")))))</f>
        <v/>
      </c>
      <c r="U38" s="17">
        <f>IF($Q38&lt;&gt;"Yes","",IF(COUNTIFS(nrES_PID,$D38,nrES_Code,$F38,nrES_Att,2)&gt;0,"Retested",IF(OR($T38="",NOT(ISNUMBER($T38))),"Pending",IF(TODAY()&gt;$T38,"OVERDUE","Due "&amp;TEXT($T38,"mm/dd")))))</f>
        <v/>
      </c>
      <c r="V38" s="16" t="n"/>
      <c r="W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IF($C39="","",IF($L39="","",IF($K39=1,IF(COUNTIFS(nrES_PID,$D39,nrES_Code,$F39,nrES_Att,2)&gt;0,"",$L39),IF(COUNTIFS(nrES_PID,$D39,nrES_Code,$F39,nrES_Att,1)=0,$L39,IF($L39&gt;=$J39,cfgRetakeRecordedCap,SUMIFS(nrES_Raw,nrES_PID,$D39,nrES_Code,$F39,nrES_Att,1))))))</f>
        <v/>
      </c>
      <c r="N39" s="17">
        <f>IF($C39="","",IF($L39="","",IF($L39&gt;=$J39,"Yes","No")))</f>
        <v/>
      </c>
      <c r="O39" s="17">
        <f>IF($C39="","",IF($M39="","",IF($M39&gt;=$J39,"Yes","No")))</f>
        <v/>
      </c>
      <c r="P39" s="17">
        <f>IF($C39="","",IF($K39="","",IF(COUNTIFS(nrES_PID,$D39,nrES_Code,$F39,nrES_Att,"&gt;"&amp;$K39)=0,"Yes","No")))</f>
        <v/>
      </c>
      <c r="Q39" s="17">
        <f>IF($C39="","",IF($L39="","",IF(AND($K39=1,$L39&lt;$J39,COUNTIFS(nrES_PID,$D39,nrES_Code,$F39,nrES_Att,2)=0),"Yes","No")))</f>
        <v/>
      </c>
      <c r="R39" s="17">
        <f>IF($C39="","",IF($L39="","",IF(AND($K39=2,$L39&lt;$J39,COUNTIFS(nrES_PID,$D39,nrES_Code,$F39,nrES_Att,1)&gt;0),"Yes","No")))</f>
        <v/>
      </c>
      <c r="S39" s="18" t="n"/>
      <c r="T39" s="19">
        <f>IF($Q39&lt;&gt;"Yes","",IF($S39="","(enter date)",_xlfn.LET(_xlpm.dn,IFERROR(_xlfn.XLOOKUP($S39,nrCDdate,nrCDnum),""),IF(_xlpm.dn="","(not a class day)",IFERROR(_xlfn.XLOOKUP(_xlpm.dn+cfgRetestClassDays,nrCDnum,nrCDdate),"")))))</f>
        <v/>
      </c>
      <c r="U39" s="17">
        <f>IF($Q39&lt;&gt;"Yes","",IF(COUNTIFS(nrES_PID,$D39,nrES_Code,$F39,nrES_Att,2)&gt;0,"Retested",IF(OR($T39="",NOT(ISNUMBER($T39))),"Pending",IF(TODAY()&gt;$T39,"OVERDUE","Due "&amp;TEXT($T39,"mm/dd")))))</f>
        <v/>
      </c>
      <c r="V39" s="16" t="n"/>
      <c r="W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IF($C40="","",IF($L40="","",IF($K40=1,IF(COUNTIFS(nrES_PID,$D40,nrES_Code,$F40,nrES_Att,2)&gt;0,"",$L40),IF(COUNTIFS(nrES_PID,$D40,nrES_Code,$F40,nrES_Att,1)=0,$L40,IF($L40&gt;=$J40,cfgRetakeRecordedCap,SUMIFS(nrES_Raw,nrES_PID,$D40,nrES_Code,$F40,nrES_Att,1))))))</f>
        <v/>
      </c>
      <c r="N40" s="17">
        <f>IF($C40="","",IF($L40="","",IF($L40&gt;=$J40,"Yes","No")))</f>
        <v/>
      </c>
      <c r="O40" s="17">
        <f>IF($C40="","",IF($M40="","",IF($M40&gt;=$J40,"Yes","No")))</f>
        <v/>
      </c>
      <c r="P40" s="17">
        <f>IF($C40="","",IF($K40="","",IF(COUNTIFS(nrES_PID,$D40,nrES_Code,$F40,nrES_Att,"&gt;"&amp;$K40)=0,"Yes","No")))</f>
        <v/>
      </c>
      <c r="Q40" s="17">
        <f>IF($C40="","",IF($L40="","",IF(AND($K40=1,$L40&lt;$J40,COUNTIFS(nrES_PID,$D40,nrES_Code,$F40,nrES_Att,2)=0),"Yes","No")))</f>
        <v/>
      </c>
      <c r="R40" s="17">
        <f>IF($C40="","",IF($L40="","",IF(AND($K40=2,$L40&lt;$J40,COUNTIFS(nrES_PID,$D40,nrES_Code,$F40,nrES_Att,1)&gt;0),"Yes","No")))</f>
        <v/>
      </c>
      <c r="S40" s="18" t="n"/>
      <c r="T40" s="19">
        <f>IF($Q40&lt;&gt;"Yes","",IF($S40="","(enter date)",_xlfn.LET(_xlpm.dn,IFERROR(_xlfn.XLOOKUP($S40,nrCDdate,nrCDnum),""),IF(_xlpm.dn="","(not a class day)",IFERROR(_xlfn.XLOOKUP(_xlpm.dn+cfgRetestClassDays,nrCDnum,nrCDdate),"")))))</f>
        <v/>
      </c>
      <c r="U40" s="17">
        <f>IF($Q40&lt;&gt;"Yes","",IF(COUNTIFS(nrES_PID,$D40,nrES_Code,$F40,nrES_Att,2)&gt;0,"Retested",IF(OR($T40="",NOT(ISNUMBER($T40))),"Pending",IF(TODAY()&gt;$T40,"OVERDUE","Due "&amp;TEXT($T40,"mm/dd")))))</f>
        <v/>
      </c>
      <c r="V40" s="16" t="n"/>
      <c r="W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IF($C41="","",IF($L41="","",IF($K41=1,IF(COUNTIFS(nrES_PID,$D41,nrES_Code,$F41,nrES_Att,2)&gt;0,"",$L41),IF(COUNTIFS(nrES_PID,$D41,nrES_Code,$F41,nrES_Att,1)=0,$L41,IF($L41&gt;=$J41,cfgRetakeRecordedCap,SUMIFS(nrES_Raw,nrES_PID,$D41,nrES_Code,$F41,nrES_Att,1))))))</f>
        <v/>
      </c>
      <c r="N41" s="17">
        <f>IF($C41="","",IF($L41="","",IF($L41&gt;=$J41,"Yes","No")))</f>
        <v/>
      </c>
      <c r="O41" s="17">
        <f>IF($C41="","",IF($M41="","",IF($M41&gt;=$J41,"Yes","No")))</f>
        <v/>
      </c>
      <c r="P41" s="17">
        <f>IF($C41="","",IF($K41="","",IF(COUNTIFS(nrES_PID,$D41,nrES_Code,$F41,nrES_Att,"&gt;"&amp;$K41)=0,"Yes","No")))</f>
        <v/>
      </c>
      <c r="Q41" s="17">
        <f>IF($C41="","",IF($L41="","",IF(AND($K41=1,$L41&lt;$J41,COUNTIFS(nrES_PID,$D41,nrES_Code,$F41,nrES_Att,2)=0),"Yes","No")))</f>
        <v/>
      </c>
      <c r="R41" s="17">
        <f>IF($C41="","",IF($L41="","",IF(AND($K41=2,$L41&lt;$J41,COUNTIFS(nrES_PID,$D41,nrES_Code,$F41,nrES_Att,1)&gt;0),"Yes","No")))</f>
        <v/>
      </c>
      <c r="S41" s="18" t="n"/>
      <c r="T41" s="19">
        <f>IF($Q41&lt;&gt;"Yes","",IF($S41="","(enter date)",_xlfn.LET(_xlpm.dn,IFERROR(_xlfn.XLOOKUP($S41,nrCDdate,nrCDnum),""),IF(_xlpm.dn="","(not a class day)",IFERROR(_xlfn.XLOOKUP(_xlpm.dn+cfgRetestClassDays,nrCDnum,nrCDdate),"")))))</f>
        <v/>
      </c>
      <c r="U41" s="17">
        <f>IF($Q41&lt;&gt;"Yes","",IF(COUNTIFS(nrES_PID,$D41,nrES_Code,$F41,nrES_Att,2)&gt;0,"Retested",IF(OR($T41="",NOT(ISNUMBER($T41))),"Pending",IF(TODAY()&gt;$T41,"OVERDUE","Due "&amp;TEXT($T41,"mm/dd")))))</f>
        <v/>
      </c>
      <c r="V41" s="16" t="n"/>
      <c r="W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IF($C42="","",IF($L42="","",IF($K42=1,IF(COUNTIFS(nrES_PID,$D42,nrES_Code,$F42,nrES_Att,2)&gt;0,"",$L42),IF(COUNTIFS(nrES_PID,$D42,nrES_Code,$F42,nrES_Att,1)=0,$L42,IF($L42&gt;=$J42,cfgRetakeRecordedCap,SUMIFS(nrES_Raw,nrES_PID,$D42,nrES_Code,$F42,nrES_Att,1))))))</f>
        <v/>
      </c>
      <c r="N42" s="17">
        <f>IF($C42="","",IF($L42="","",IF($L42&gt;=$J42,"Yes","No")))</f>
        <v/>
      </c>
      <c r="O42" s="17">
        <f>IF($C42="","",IF($M42="","",IF($M42&gt;=$J42,"Yes","No")))</f>
        <v/>
      </c>
      <c r="P42" s="17">
        <f>IF($C42="","",IF($K42="","",IF(COUNTIFS(nrES_PID,$D42,nrES_Code,$F42,nrES_Att,"&gt;"&amp;$K42)=0,"Yes","No")))</f>
        <v/>
      </c>
      <c r="Q42" s="17">
        <f>IF($C42="","",IF($L42="","",IF(AND($K42=1,$L42&lt;$J42,COUNTIFS(nrES_PID,$D42,nrES_Code,$F42,nrES_Att,2)=0),"Yes","No")))</f>
        <v/>
      </c>
      <c r="R42" s="17">
        <f>IF($C42="","",IF($L42="","",IF(AND($K42=2,$L42&lt;$J42,COUNTIFS(nrES_PID,$D42,nrES_Code,$F42,nrES_Att,1)&gt;0),"Yes","No")))</f>
        <v/>
      </c>
      <c r="S42" s="18" t="n"/>
      <c r="T42" s="19">
        <f>IF($Q42&lt;&gt;"Yes","",IF($S42="","(enter date)",_xlfn.LET(_xlpm.dn,IFERROR(_xlfn.XLOOKUP($S42,nrCDdate,nrCDnum),""),IF(_xlpm.dn="","(not a class day)",IFERROR(_xlfn.XLOOKUP(_xlpm.dn+cfgRetestClassDays,nrCDnum,nrCDdate),"")))))</f>
        <v/>
      </c>
      <c r="U42" s="17">
        <f>IF($Q42&lt;&gt;"Yes","",IF(COUNTIFS(nrES_PID,$D42,nrES_Code,$F42,nrES_Att,2)&gt;0,"Retested",IF(OR($T42="",NOT(ISNUMBER($T42))),"Pending",IF(TODAY()&gt;$T42,"OVERDUE","Due "&amp;TEXT($T42,"mm/dd")))))</f>
        <v/>
      </c>
      <c r="V42" s="16" t="n"/>
      <c r="W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IF($C43="","",IF($L43="","",IF($K43=1,IF(COUNTIFS(nrES_PID,$D43,nrES_Code,$F43,nrES_Att,2)&gt;0,"",$L43),IF(COUNTIFS(nrES_PID,$D43,nrES_Code,$F43,nrES_Att,1)=0,$L43,IF($L43&gt;=$J43,cfgRetakeRecordedCap,SUMIFS(nrES_Raw,nrES_PID,$D43,nrES_Code,$F43,nrES_Att,1))))))</f>
        <v/>
      </c>
      <c r="N43" s="17">
        <f>IF($C43="","",IF($L43="","",IF($L43&gt;=$J43,"Yes","No")))</f>
        <v/>
      </c>
      <c r="O43" s="17">
        <f>IF($C43="","",IF($M43="","",IF($M43&gt;=$J43,"Yes","No")))</f>
        <v/>
      </c>
      <c r="P43" s="17">
        <f>IF($C43="","",IF($K43="","",IF(COUNTIFS(nrES_PID,$D43,nrES_Code,$F43,nrES_Att,"&gt;"&amp;$K43)=0,"Yes","No")))</f>
        <v/>
      </c>
      <c r="Q43" s="17">
        <f>IF($C43="","",IF($L43="","",IF(AND($K43=1,$L43&lt;$J43,COUNTIFS(nrES_PID,$D43,nrES_Code,$F43,nrES_Att,2)=0),"Yes","No")))</f>
        <v/>
      </c>
      <c r="R43" s="17">
        <f>IF($C43="","",IF($L43="","",IF(AND($K43=2,$L43&lt;$J43,COUNTIFS(nrES_PID,$D43,nrES_Code,$F43,nrES_Att,1)&gt;0),"Yes","No")))</f>
        <v/>
      </c>
      <c r="S43" s="18" t="n"/>
      <c r="T43" s="19">
        <f>IF($Q43&lt;&gt;"Yes","",IF($S43="","(enter date)",_xlfn.LET(_xlpm.dn,IFERROR(_xlfn.XLOOKUP($S43,nrCDdate,nrCDnum),""),IF(_xlpm.dn="","(not a class day)",IFERROR(_xlfn.XLOOKUP(_xlpm.dn+cfgRetestClassDays,nrCDnum,nrCDdate),"")))))</f>
        <v/>
      </c>
      <c r="U43" s="17">
        <f>IF($Q43&lt;&gt;"Yes","",IF(COUNTIFS(nrES_PID,$D43,nrES_Code,$F43,nrES_Att,2)&gt;0,"Retested",IF(OR($T43="",NOT(ISNUMBER($T43))),"Pending",IF(TODAY()&gt;$T43,"OVERDUE","Due "&amp;TEXT($T43,"mm/dd")))))</f>
        <v/>
      </c>
      <c r="V43" s="16" t="n"/>
      <c r="W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IF($C44="","",IF($L44="","",IF($K44=1,IF(COUNTIFS(nrES_PID,$D44,nrES_Code,$F44,nrES_Att,2)&gt;0,"",$L44),IF(COUNTIFS(nrES_PID,$D44,nrES_Code,$F44,nrES_Att,1)=0,$L44,IF($L44&gt;=$J44,cfgRetakeRecordedCap,SUMIFS(nrES_Raw,nrES_PID,$D44,nrES_Code,$F44,nrES_Att,1))))))</f>
        <v/>
      </c>
      <c r="N44" s="17">
        <f>IF($C44="","",IF($L44="","",IF($L44&gt;=$J44,"Yes","No")))</f>
        <v/>
      </c>
      <c r="O44" s="17">
        <f>IF($C44="","",IF($M44="","",IF($M44&gt;=$J44,"Yes","No")))</f>
        <v/>
      </c>
      <c r="P44" s="17">
        <f>IF($C44="","",IF($K44="","",IF(COUNTIFS(nrES_PID,$D44,nrES_Code,$F44,nrES_Att,"&gt;"&amp;$K44)=0,"Yes","No")))</f>
        <v/>
      </c>
      <c r="Q44" s="17">
        <f>IF($C44="","",IF($L44="","",IF(AND($K44=1,$L44&lt;$J44,COUNTIFS(nrES_PID,$D44,nrES_Code,$F44,nrES_Att,2)=0),"Yes","No")))</f>
        <v/>
      </c>
      <c r="R44" s="17">
        <f>IF($C44="","",IF($L44="","",IF(AND($K44=2,$L44&lt;$J44,COUNTIFS(nrES_PID,$D44,nrES_Code,$F44,nrES_Att,1)&gt;0),"Yes","No")))</f>
        <v/>
      </c>
      <c r="S44" s="18" t="n"/>
      <c r="T44" s="19">
        <f>IF($Q44&lt;&gt;"Yes","",IF($S44="","(enter date)",_xlfn.LET(_xlpm.dn,IFERROR(_xlfn.XLOOKUP($S44,nrCDdate,nrCDnum),""),IF(_xlpm.dn="","(not a class day)",IFERROR(_xlfn.XLOOKUP(_xlpm.dn+cfgRetestClassDays,nrCDnum,nrCDdate),"")))))</f>
        <v/>
      </c>
      <c r="U44" s="17">
        <f>IF($Q44&lt;&gt;"Yes","",IF(COUNTIFS(nrES_PID,$D44,nrES_Code,$F44,nrES_Att,2)&gt;0,"Retested",IF(OR($T44="",NOT(ISNUMBER($T44))),"Pending",IF(TODAY()&gt;$T44,"OVERDUE","Due "&amp;TEXT($T44,"mm/dd")))))</f>
        <v/>
      </c>
      <c r="V44" s="16" t="n"/>
      <c r="W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IF($C45="","",IF($L45="","",IF($K45=1,IF(COUNTIFS(nrES_PID,$D45,nrES_Code,$F45,nrES_Att,2)&gt;0,"",$L45),IF(COUNTIFS(nrES_PID,$D45,nrES_Code,$F45,nrES_Att,1)=0,$L45,IF($L45&gt;=$J45,cfgRetakeRecordedCap,SUMIFS(nrES_Raw,nrES_PID,$D45,nrES_Code,$F45,nrES_Att,1))))))</f>
        <v/>
      </c>
      <c r="N45" s="17">
        <f>IF($C45="","",IF($L45="","",IF($L45&gt;=$J45,"Yes","No")))</f>
        <v/>
      </c>
      <c r="O45" s="17">
        <f>IF($C45="","",IF($M45="","",IF($M45&gt;=$J45,"Yes","No")))</f>
        <v/>
      </c>
      <c r="P45" s="17">
        <f>IF($C45="","",IF($K45="","",IF(COUNTIFS(nrES_PID,$D45,nrES_Code,$F45,nrES_Att,"&gt;"&amp;$K45)=0,"Yes","No")))</f>
        <v/>
      </c>
      <c r="Q45" s="17">
        <f>IF($C45="","",IF($L45="","",IF(AND($K45=1,$L45&lt;$J45,COUNTIFS(nrES_PID,$D45,nrES_Code,$F45,nrES_Att,2)=0),"Yes","No")))</f>
        <v/>
      </c>
      <c r="R45" s="17">
        <f>IF($C45="","",IF($L45="","",IF(AND($K45=2,$L45&lt;$J45,COUNTIFS(nrES_PID,$D45,nrES_Code,$F45,nrES_Att,1)&gt;0),"Yes","No")))</f>
        <v/>
      </c>
      <c r="S45" s="18" t="n"/>
      <c r="T45" s="19">
        <f>IF($Q45&lt;&gt;"Yes","",IF($S45="","(enter date)",_xlfn.LET(_xlpm.dn,IFERROR(_xlfn.XLOOKUP($S45,nrCDdate,nrCDnum),""),IF(_xlpm.dn="","(not a class day)",IFERROR(_xlfn.XLOOKUP(_xlpm.dn+cfgRetestClassDays,nrCDnum,nrCDdate),"")))))</f>
        <v/>
      </c>
      <c r="U45" s="17">
        <f>IF($Q45&lt;&gt;"Yes","",IF(COUNTIFS(nrES_PID,$D45,nrES_Code,$F45,nrES_Att,2)&gt;0,"Retested",IF(OR($T45="",NOT(ISNUMBER($T45))),"Pending",IF(TODAY()&gt;$T45,"OVERDUE","Due "&amp;TEXT($T45,"mm/dd")))))</f>
        <v/>
      </c>
      <c r="V45" s="16" t="n"/>
      <c r="W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IF($C46="","",IF($L46="","",IF($K46=1,IF(COUNTIFS(nrES_PID,$D46,nrES_Code,$F46,nrES_Att,2)&gt;0,"",$L46),IF(COUNTIFS(nrES_PID,$D46,nrES_Code,$F46,nrES_Att,1)=0,$L46,IF($L46&gt;=$J46,cfgRetakeRecordedCap,SUMIFS(nrES_Raw,nrES_PID,$D46,nrES_Code,$F46,nrES_Att,1))))))</f>
        <v/>
      </c>
      <c r="N46" s="17">
        <f>IF($C46="","",IF($L46="","",IF($L46&gt;=$J46,"Yes","No")))</f>
        <v/>
      </c>
      <c r="O46" s="17">
        <f>IF($C46="","",IF($M46="","",IF($M46&gt;=$J46,"Yes","No")))</f>
        <v/>
      </c>
      <c r="P46" s="17">
        <f>IF($C46="","",IF($K46="","",IF(COUNTIFS(nrES_PID,$D46,nrES_Code,$F46,nrES_Att,"&gt;"&amp;$K46)=0,"Yes","No")))</f>
        <v/>
      </c>
      <c r="Q46" s="17">
        <f>IF($C46="","",IF($L46="","",IF(AND($K46=1,$L46&lt;$J46,COUNTIFS(nrES_PID,$D46,nrES_Code,$F46,nrES_Att,2)=0),"Yes","No")))</f>
        <v/>
      </c>
      <c r="R46" s="17">
        <f>IF($C46="","",IF($L46="","",IF(AND($K46=2,$L46&lt;$J46,COUNTIFS(nrES_PID,$D46,nrES_Code,$F46,nrES_Att,1)&gt;0),"Yes","No")))</f>
        <v/>
      </c>
      <c r="S46" s="18" t="n"/>
      <c r="T46" s="19">
        <f>IF($Q46&lt;&gt;"Yes","",IF($S46="","(enter date)",_xlfn.LET(_xlpm.dn,IFERROR(_xlfn.XLOOKUP($S46,nrCDdate,nrCDnum),""),IF(_xlpm.dn="","(not a class day)",IFERROR(_xlfn.XLOOKUP(_xlpm.dn+cfgRetestClassDays,nrCDnum,nrCDdate),"")))))</f>
        <v/>
      </c>
      <c r="U46" s="17">
        <f>IF($Q46&lt;&gt;"Yes","",IF(COUNTIFS(nrES_PID,$D46,nrES_Code,$F46,nrES_Att,2)&gt;0,"Retested",IF(OR($T46="",NOT(ISNUMBER($T46))),"Pending",IF(TODAY()&gt;$T46,"OVERDUE","Due "&amp;TEXT($T46,"mm/dd")))))</f>
        <v/>
      </c>
      <c r="V46" s="16" t="n"/>
      <c r="W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IF($C47="","",IF($L47="","",IF($K47=1,IF(COUNTIFS(nrES_PID,$D47,nrES_Code,$F47,nrES_Att,2)&gt;0,"",$L47),IF(COUNTIFS(nrES_PID,$D47,nrES_Code,$F47,nrES_Att,1)=0,$L47,IF($L47&gt;=$J47,cfgRetakeRecordedCap,SUMIFS(nrES_Raw,nrES_PID,$D47,nrES_Code,$F47,nrES_Att,1))))))</f>
        <v/>
      </c>
      <c r="N47" s="17">
        <f>IF($C47="","",IF($L47="","",IF($L47&gt;=$J47,"Yes","No")))</f>
        <v/>
      </c>
      <c r="O47" s="17">
        <f>IF($C47="","",IF($M47="","",IF($M47&gt;=$J47,"Yes","No")))</f>
        <v/>
      </c>
      <c r="P47" s="17">
        <f>IF($C47="","",IF($K47="","",IF(COUNTIFS(nrES_PID,$D47,nrES_Code,$F47,nrES_Att,"&gt;"&amp;$K47)=0,"Yes","No")))</f>
        <v/>
      </c>
      <c r="Q47" s="17">
        <f>IF($C47="","",IF($L47="","",IF(AND($K47=1,$L47&lt;$J47,COUNTIFS(nrES_PID,$D47,nrES_Code,$F47,nrES_Att,2)=0),"Yes","No")))</f>
        <v/>
      </c>
      <c r="R47" s="17">
        <f>IF($C47="","",IF($L47="","",IF(AND($K47=2,$L47&lt;$J47,COUNTIFS(nrES_PID,$D47,nrES_Code,$F47,nrES_Att,1)&gt;0),"Yes","No")))</f>
        <v/>
      </c>
      <c r="S47" s="18" t="n"/>
      <c r="T47" s="19">
        <f>IF($Q47&lt;&gt;"Yes","",IF($S47="","(enter date)",_xlfn.LET(_xlpm.dn,IFERROR(_xlfn.XLOOKUP($S47,nrCDdate,nrCDnum),""),IF(_xlpm.dn="","(not a class day)",IFERROR(_xlfn.XLOOKUP(_xlpm.dn+cfgRetestClassDays,nrCDnum,nrCDdate),"")))))</f>
        <v/>
      </c>
      <c r="U47" s="17">
        <f>IF($Q47&lt;&gt;"Yes","",IF(COUNTIFS(nrES_PID,$D47,nrES_Code,$F47,nrES_Att,2)&gt;0,"Retested",IF(OR($T47="",NOT(ISNUMBER($T47))),"Pending",IF(TODAY()&gt;$T47,"OVERDUE","Due "&amp;TEXT($T47,"mm/dd")))))</f>
        <v/>
      </c>
      <c r="V47" s="16" t="n"/>
      <c r="W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IF($C48="","",IF($L48="","",IF($K48=1,IF(COUNTIFS(nrES_PID,$D48,nrES_Code,$F48,nrES_Att,2)&gt;0,"",$L48),IF(COUNTIFS(nrES_PID,$D48,nrES_Code,$F48,nrES_Att,1)=0,$L48,IF($L48&gt;=$J48,cfgRetakeRecordedCap,SUMIFS(nrES_Raw,nrES_PID,$D48,nrES_Code,$F48,nrES_Att,1))))))</f>
        <v/>
      </c>
      <c r="N48" s="17">
        <f>IF($C48="","",IF($L48="","",IF($L48&gt;=$J48,"Yes","No")))</f>
        <v/>
      </c>
      <c r="O48" s="17">
        <f>IF($C48="","",IF($M48="","",IF($M48&gt;=$J48,"Yes","No")))</f>
        <v/>
      </c>
      <c r="P48" s="17">
        <f>IF($C48="","",IF($K48="","",IF(COUNTIFS(nrES_PID,$D48,nrES_Code,$F48,nrES_Att,"&gt;"&amp;$K48)=0,"Yes","No")))</f>
        <v/>
      </c>
      <c r="Q48" s="17">
        <f>IF($C48="","",IF($L48="","",IF(AND($K48=1,$L48&lt;$J48,COUNTIFS(nrES_PID,$D48,nrES_Code,$F48,nrES_Att,2)=0),"Yes","No")))</f>
        <v/>
      </c>
      <c r="R48" s="17">
        <f>IF($C48="","",IF($L48="","",IF(AND($K48=2,$L48&lt;$J48,COUNTIFS(nrES_PID,$D48,nrES_Code,$F48,nrES_Att,1)&gt;0),"Yes","No")))</f>
        <v/>
      </c>
      <c r="S48" s="18" t="n"/>
      <c r="T48" s="19">
        <f>IF($Q48&lt;&gt;"Yes","",IF($S48="","(enter date)",_xlfn.LET(_xlpm.dn,IFERROR(_xlfn.XLOOKUP($S48,nrCDdate,nrCDnum),""),IF(_xlpm.dn="","(not a class day)",IFERROR(_xlfn.XLOOKUP(_xlpm.dn+cfgRetestClassDays,nrCDnum,nrCDdate),"")))))</f>
        <v/>
      </c>
      <c r="U48" s="17">
        <f>IF($Q48&lt;&gt;"Yes","",IF(COUNTIFS(nrES_PID,$D48,nrES_Code,$F48,nrES_Att,2)&gt;0,"Retested",IF(OR($T48="",NOT(ISNUMBER($T48))),"Pending",IF(TODAY()&gt;$T48,"OVERDUE","Due "&amp;TEXT($T48,"mm/dd")))))</f>
        <v/>
      </c>
      <c r="V48" s="16" t="n"/>
      <c r="W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IF($C49="","",IF($L49="","",IF($K49=1,IF(COUNTIFS(nrES_PID,$D49,nrES_Code,$F49,nrES_Att,2)&gt;0,"",$L49),IF(COUNTIFS(nrES_PID,$D49,nrES_Code,$F49,nrES_Att,1)=0,$L49,IF($L49&gt;=$J49,cfgRetakeRecordedCap,SUMIFS(nrES_Raw,nrES_PID,$D49,nrES_Code,$F49,nrES_Att,1))))))</f>
        <v/>
      </c>
      <c r="N49" s="17">
        <f>IF($C49="","",IF($L49="","",IF($L49&gt;=$J49,"Yes","No")))</f>
        <v/>
      </c>
      <c r="O49" s="17">
        <f>IF($C49="","",IF($M49="","",IF($M49&gt;=$J49,"Yes","No")))</f>
        <v/>
      </c>
      <c r="P49" s="17">
        <f>IF($C49="","",IF($K49="","",IF(COUNTIFS(nrES_PID,$D49,nrES_Code,$F49,nrES_Att,"&gt;"&amp;$K49)=0,"Yes","No")))</f>
        <v/>
      </c>
      <c r="Q49" s="17">
        <f>IF($C49="","",IF($L49="","",IF(AND($K49=1,$L49&lt;$J49,COUNTIFS(nrES_PID,$D49,nrES_Code,$F49,nrES_Att,2)=0),"Yes","No")))</f>
        <v/>
      </c>
      <c r="R49" s="17">
        <f>IF($C49="","",IF($L49="","",IF(AND($K49=2,$L49&lt;$J49,COUNTIFS(nrES_PID,$D49,nrES_Code,$F49,nrES_Att,1)&gt;0),"Yes","No")))</f>
        <v/>
      </c>
      <c r="S49" s="18" t="n"/>
      <c r="T49" s="19">
        <f>IF($Q49&lt;&gt;"Yes","",IF($S49="","(enter date)",_xlfn.LET(_xlpm.dn,IFERROR(_xlfn.XLOOKUP($S49,nrCDdate,nrCDnum),""),IF(_xlpm.dn="","(not a class day)",IFERROR(_xlfn.XLOOKUP(_xlpm.dn+cfgRetestClassDays,nrCDnum,nrCDdate),"")))))</f>
        <v/>
      </c>
      <c r="U49" s="17">
        <f>IF($Q49&lt;&gt;"Yes","",IF(COUNTIFS(nrES_PID,$D49,nrES_Code,$F49,nrES_Att,2)&gt;0,"Retested",IF(OR($T49="",NOT(ISNUMBER($T49))),"Pending",IF(TODAY()&gt;$T49,"OVERDUE","Due "&amp;TEXT($T49,"mm/dd")))))</f>
        <v/>
      </c>
      <c r="V49" s="16" t="n"/>
      <c r="W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IF($C50="","",IF($L50="","",IF($K50=1,IF(COUNTIFS(nrES_PID,$D50,nrES_Code,$F50,nrES_Att,2)&gt;0,"",$L50),IF(COUNTIFS(nrES_PID,$D50,nrES_Code,$F50,nrES_Att,1)=0,$L50,IF($L50&gt;=$J50,cfgRetakeRecordedCap,SUMIFS(nrES_Raw,nrES_PID,$D50,nrES_Code,$F50,nrES_Att,1))))))</f>
        <v/>
      </c>
      <c r="N50" s="17">
        <f>IF($C50="","",IF($L50="","",IF($L50&gt;=$J50,"Yes","No")))</f>
        <v/>
      </c>
      <c r="O50" s="17">
        <f>IF($C50="","",IF($M50="","",IF($M50&gt;=$J50,"Yes","No")))</f>
        <v/>
      </c>
      <c r="P50" s="17">
        <f>IF($C50="","",IF($K50="","",IF(COUNTIFS(nrES_PID,$D50,nrES_Code,$F50,nrES_Att,"&gt;"&amp;$K50)=0,"Yes","No")))</f>
        <v/>
      </c>
      <c r="Q50" s="17">
        <f>IF($C50="","",IF($L50="","",IF(AND($K50=1,$L50&lt;$J50,COUNTIFS(nrES_PID,$D50,nrES_Code,$F50,nrES_Att,2)=0),"Yes","No")))</f>
        <v/>
      </c>
      <c r="R50" s="17">
        <f>IF($C50="","",IF($L50="","",IF(AND($K50=2,$L50&lt;$J50,COUNTIFS(nrES_PID,$D50,nrES_Code,$F50,nrES_Att,1)&gt;0),"Yes","No")))</f>
        <v/>
      </c>
      <c r="S50" s="18" t="n"/>
      <c r="T50" s="19">
        <f>IF($Q50&lt;&gt;"Yes","",IF($S50="","(enter date)",_xlfn.LET(_xlpm.dn,IFERROR(_xlfn.XLOOKUP($S50,nrCDdate,nrCDnum),""),IF(_xlpm.dn="","(not a class day)",IFERROR(_xlfn.XLOOKUP(_xlpm.dn+cfgRetestClassDays,nrCDnum,nrCDdate),"")))))</f>
        <v/>
      </c>
      <c r="U50" s="17">
        <f>IF($Q50&lt;&gt;"Yes","",IF(COUNTIFS(nrES_PID,$D50,nrES_Code,$F50,nrES_Att,2)&gt;0,"Retested",IF(OR($T50="",NOT(ISNUMBER($T50))),"Pending",IF(TODAY()&gt;$T50,"OVERDUE","Due "&amp;TEXT($T50,"mm/dd")))))</f>
        <v/>
      </c>
      <c r="V50" s="16" t="n"/>
      <c r="W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IF($C51="","",IF($L51="","",IF($K51=1,IF(COUNTIFS(nrES_PID,$D51,nrES_Code,$F51,nrES_Att,2)&gt;0,"",$L51),IF(COUNTIFS(nrES_PID,$D51,nrES_Code,$F51,nrES_Att,1)=0,$L51,IF($L51&gt;=$J51,cfgRetakeRecordedCap,SUMIFS(nrES_Raw,nrES_PID,$D51,nrES_Code,$F51,nrES_Att,1))))))</f>
        <v/>
      </c>
      <c r="N51" s="17">
        <f>IF($C51="","",IF($L51="","",IF($L51&gt;=$J51,"Yes","No")))</f>
        <v/>
      </c>
      <c r="O51" s="17">
        <f>IF($C51="","",IF($M51="","",IF($M51&gt;=$J51,"Yes","No")))</f>
        <v/>
      </c>
      <c r="P51" s="17">
        <f>IF($C51="","",IF($K51="","",IF(COUNTIFS(nrES_PID,$D51,nrES_Code,$F51,nrES_Att,"&gt;"&amp;$K51)=0,"Yes","No")))</f>
        <v/>
      </c>
      <c r="Q51" s="17">
        <f>IF($C51="","",IF($L51="","",IF(AND($K51=1,$L51&lt;$J51,COUNTIFS(nrES_PID,$D51,nrES_Code,$F51,nrES_Att,2)=0),"Yes","No")))</f>
        <v/>
      </c>
      <c r="R51" s="17">
        <f>IF($C51="","",IF($L51="","",IF(AND($K51=2,$L51&lt;$J51,COUNTIFS(nrES_PID,$D51,nrES_Code,$F51,nrES_Att,1)&gt;0),"Yes","No")))</f>
        <v/>
      </c>
      <c r="S51" s="18" t="n"/>
      <c r="T51" s="19">
        <f>IF($Q51&lt;&gt;"Yes","",IF($S51="","(enter date)",_xlfn.LET(_xlpm.dn,IFERROR(_xlfn.XLOOKUP($S51,nrCDdate,nrCDnum),""),IF(_xlpm.dn="","(not a class day)",IFERROR(_xlfn.XLOOKUP(_xlpm.dn+cfgRetestClassDays,nrCDnum,nrCDdate),"")))))</f>
        <v/>
      </c>
      <c r="U51" s="17">
        <f>IF($Q51&lt;&gt;"Yes","",IF(COUNTIFS(nrES_PID,$D51,nrES_Code,$F51,nrES_Att,2)&gt;0,"Retested",IF(OR($T51="",NOT(ISNUMBER($T51))),"Pending",IF(TODAY()&gt;$T51,"OVERDUE","Due "&amp;TEXT($T51,"mm/dd")))))</f>
        <v/>
      </c>
      <c r="V51" s="16" t="n"/>
      <c r="W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IF($C52="","",IF($L52="","",IF($K52=1,IF(COUNTIFS(nrES_PID,$D52,nrES_Code,$F52,nrES_Att,2)&gt;0,"",$L52),IF(COUNTIFS(nrES_PID,$D52,nrES_Code,$F52,nrES_Att,1)=0,$L52,IF($L52&gt;=$J52,cfgRetakeRecordedCap,SUMIFS(nrES_Raw,nrES_PID,$D52,nrES_Code,$F52,nrES_Att,1))))))</f>
        <v/>
      </c>
      <c r="N52" s="17">
        <f>IF($C52="","",IF($L52="","",IF($L52&gt;=$J52,"Yes","No")))</f>
        <v/>
      </c>
      <c r="O52" s="17">
        <f>IF($C52="","",IF($M52="","",IF($M52&gt;=$J52,"Yes","No")))</f>
        <v/>
      </c>
      <c r="P52" s="17">
        <f>IF($C52="","",IF($K52="","",IF(COUNTIFS(nrES_PID,$D52,nrES_Code,$F52,nrES_Att,"&gt;"&amp;$K52)=0,"Yes","No")))</f>
        <v/>
      </c>
      <c r="Q52" s="17">
        <f>IF($C52="","",IF($L52="","",IF(AND($K52=1,$L52&lt;$J52,COUNTIFS(nrES_PID,$D52,nrES_Code,$F52,nrES_Att,2)=0),"Yes","No")))</f>
        <v/>
      </c>
      <c r="R52" s="17">
        <f>IF($C52="","",IF($L52="","",IF(AND($K52=2,$L52&lt;$J52,COUNTIFS(nrES_PID,$D52,nrES_Code,$F52,nrES_Att,1)&gt;0),"Yes","No")))</f>
        <v/>
      </c>
      <c r="S52" s="18" t="n"/>
      <c r="T52" s="19">
        <f>IF($Q52&lt;&gt;"Yes","",IF($S52="","(enter date)",_xlfn.LET(_xlpm.dn,IFERROR(_xlfn.XLOOKUP($S52,nrCDdate,nrCDnum),""),IF(_xlpm.dn="","(not a class day)",IFERROR(_xlfn.XLOOKUP(_xlpm.dn+cfgRetestClassDays,nrCDnum,nrCDdate),"")))))</f>
        <v/>
      </c>
      <c r="U52" s="17">
        <f>IF($Q52&lt;&gt;"Yes","",IF(COUNTIFS(nrES_PID,$D52,nrES_Code,$F52,nrES_Att,2)&gt;0,"Retested",IF(OR($T52="",NOT(ISNUMBER($T52))),"Pending",IF(TODAY()&gt;$T52,"OVERDUE","Due "&amp;TEXT($T52,"mm/dd")))))</f>
        <v/>
      </c>
      <c r="V52" s="16" t="n"/>
      <c r="W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IF($C53="","",IF($L53="","",IF($K53=1,IF(COUNTIFS(nrES_PID,$D53,nrES_Code,$F53,nrES_Att,2)&gt;0,"",$L53),IF(COUNTIFS(nrES_PID,$D53,nrES_Code,$F53,nrES_Att,1)=0,$L53,IF($L53&gt;=$J53,cfgRetakeRecordedCap,SUMIFS(nrES_Raw,nrES_PID,$D53,nrES_Code,$F53,nrES_Att,1))))))</f>
        <v/>
      </c>
      <c r="N53" s="17">
        <f>IF($C53="","",IF($L53="","",IF($L53&gt;=$J53,"Yes","No")))</f>
        <v/>
      </c>
      <c r="O53" s="17">
        <f>IF($C53="","",IF($M53="","",IF($M53&gt;=$J53,"Yes","No")))</f>
        <v/>
      </c>
      <c r="P53" s="17">
        <f>IF($C53="","",IF($K53="","",IF(COUNTIFS(nrES_PID,$D53,nrES_Code,$F53,nrES_Att,"&gt;"&amp;$K53)=0,"Yes","No")))</f>
        <v/>
      </c>
      <c r="Q53" s="17">
        <f>IF($C53="","",IF($L53="","",IF(AND($K53=1,$L53&lt;$J53,COUNTIFS(nrES_PID,$D53,nrES_Code,$F53,nrES_Att,2)=0),"Yes","No")))</f>
        <v/>
      </c>
      <c r="R53" s="17">
        <f>IF($C53="","",IF($L53="","",IF(AND($K53=2,$L53&lt;$J53,COUNTIFS(nrES_PID,$D53,nrES_Code,$F53,nrES_Att,1)&gt;0),"Yes","No")))</f>
        <v/>
      </c>
      <c r="S53" s="18" t="n"/>
      <c r="T53" s="19">
        <f>IF($Q53&lt;&gt;"Yes","",IF($S53="","(enter date)",_xlfn.LET(_xlpm.dn,IFERROR(_xlfn.XLOOKUP($S53,nrCDdate,nrCDnum),""),IF(_xlpm.dn="","(not a class day)",IFERROR(_xlfn.XLOOKUP(_xlpm.dn+cfgRetestClassDays,nrCDnum,nrCDdate),"")))))</f>
        <v/>
      </c>
      <c r="U53" s="17">
        <f>IF($Q53&lt;&gt;"Yes","",IF(COUNTIFS(nrES_PID,$D53,nrES_Code,$F53,nrES_Att,2)&gt;0,"Retested",IF(OR($T53="",NOT(ISNUMBER($T53))),"Pending",IF(TODAY()&gt;$T53,"OVERDUE","Due "&amp;TEXT($T53,"mm/dd")))))</f>
        <v/>
      </c>
      <c r="V53" s="16" t="n"/>
      <c r="W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IF($C54="","",IF($L54="","",IF($K54=1,IF(COUNTIFS(nrES_PID,$D54,nrES_Code,$F54,nrES_Att,2)&gt;0,"",$L54),IF(COUNTIFS(nrES_PID,$D54,nrES_Code,$F54,nrES_Att,1)=0,$L54,IF($L54&gt;=$J54,cfgRetakeRecordedCap,SUMIFS(nrES_Raw,nrES_PID,$D54,nrES_Code,$F54,nrES_Att,1))))))</f>
        <v/>
      </c>
      <c r="N54" s="17">
        <f>IF($C54="","",IF($L54="","",IF($L54&gt;=$J54,"Yes","No")))</f>
        <v/>
      </c>
      <c r="O54" s="17">
        <f>IF($C54="","",IF($M54="","",IF($M54&gt;=$J54,"Yes","No")))</f>
        <v/>
      </c>
      <c r="P54" s="17">
        <f>IF($C54="","",IF($K54="","",IF(COUNTIFS(nrES_PID,$D54,nrES_Code,$F54,nrES_Att,"&gt;"&amp;$K54)=0,"Yes","No")))</f>
        <v/>
      </c>
      <c r="Q54" s="17">
        <f>IF($C54="","",IF($L54="","",IF(AND($K54=1,$L54&lt;$J54,COUNTIFS(nrES_PID,$D54,nrES_Code,$F54,nrES_Att,2)=0),"Yes","No")))</f>
        <v/>
      </c>
      <c r="R54" s="17">
        <f>IF($C54="","",IF($L54="","",IF(AND($K54=2,$L54&lt;$J54,COUNTIFS(nrES_PID,$D54,nrES_Code,$F54,nrES_Att,1)&gt;0),"Yes","No")))</f>
        <v/>
      </c>
      <c r="S54" s="18" t="n"/>
      <c r="T54" s="19">
        <f>IF($Q54&lt;&gt;"Yes","",IF($S54="","(enter date)",_xlfn.LET(_xlpm.dn,IFERROR(_xlfn.XLOOKUP($S54,nrCDdate,nrCDnum),""),IF(_xlpm.dn="","(not a class day)",IFERROR(_xlfn.XLOOKUP(_xlpm.dn+cfgRetestClassDays,nrCDnum,nrCDdate),"")))))</f>
        <v/>
      </c>
      <c r="U54" s="17">
        <f>IF($Q54&lt;&gt;"Yes","",IF(COUNTIFS(nrES_PID,$D54,nrES_Code,$F54,nrES_Att,2)&gt;0,"Retested",IF(OR($T54="",NOT(ISNUMBER($T54))),"Pending",IF(TODAY()&gt;$T54,"OVERDUE","Due "&amp;TEXT($T54,"mm/dd")))))</f>
        <v/>
      </c>
      <c r="V54" s="16" t="n"/>
      <c r="W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IF($C55="","",IF($L55="","",IF($K55=1,IF(COUNTIFS(nrES_PID,$D55,nrES_Code,$F55,nrES_Att,2)&gt;0,"",$L55),IF(COUNTIFS(nrES_PID,$D55,nrES_Code,$F55,nrES_Att,1)=0,$L55,IF($L55&gt;=$J55,cfgRetakeRecordedCap,SUMIFS(nrES_Raw,nrES_PID,$D55,nrES_Code,$F55,nrES_Att,1))))))</f>
        <v/>
      </c>
      <c r="N55" s="17">
        <f>IF($C55="","",IF($L55="","",IF($L55&gt;=$J55,"Yes","No")))</f>
        <v/>
      </c>
      <c r="O55" s="17">
        <f>IF($C55="","",IF($M55="","",IF($M55&gt;=$J55,"Yes","No")))</f>
        <v/>
      </c>
      <c r="P55" s="17">
        <f>IF($C55="","",IF($K55="","",IF(COUNTIFS(nrES_PID,$D55,nrES_Code,$F55,nrES_Att,"&gt;"&amp;$K55)=0,"Yes","No")))</f>
        <v/>
      </c>
      <c r="Q55" s="17">
        <f>IF($C55="","",IF($L55="","",IF(AND($K55=1,$L55&lt;$J55,COUNTIFS(nrES_PID,$D55,nrES_Code,$F55,nrES_Att,2)=0),"Yes","No")))</f>
        <v/>
      </c>
      <c r="R55" s="17">
        <f>IF($C55="","",IF($L55="","",IF(AND($K55=2,$L55&lt;$J55,COUNTIFS(nrES_PID,$D55,nrES_Code,$F55,nrES_Att,1)&gt;0),"Yes","No")))</f>
        <v/>
      </c>
      <c r="S55" s="18" t="n"/>
      <c r="T55" s="19">
        <f>IF($Q55&lt;&gt;"Yes","",IF($S55="","(enter date)",_xlfn.LET(_xlpm.dn,IFERROR(_xlfn.XLOOKUP($S55,nrCDdate,nrCDnum),""),IF(_xlpm.dn="","(not a class day)",IFERROR(_xlfn.XLOOKUP(_xlpm.dn+cfgRetestClassDays,nrCDnum,nrCDdate),"")))))</f>
        <v/>
      </c>
      <c r="U55" s="17">
        <f>IF($Q55&lt;&gt;"Yes","",IF(COUNTIFS(nrES_PID,$D55,nrES_Code,$F55,nrES_Att,2)&gt;0,"Retested",IF(OR($T55="",NOT(ISNUMBER($T55))),"Pending",IF(TODAY()&gt;$T55,"OVERDUE","Due "&amp;TEXT($T55,"mm/dd")))))</f>
        <v/>
      </c>
      <c r="V55" s="16" t="n"/>
      <c r="W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IF($C56="","",IF($L56="","",IF($K56=1,IF(COUNTIFS(nrES_PID,$D56,nrES_Code,$F56,nrES_Att,2)&gt;0,"",$L56),IF(COUNTIFS(nrES_PID,$D56,nrES_Code,$F56,nrES_Att,1)=0,$L56,IF($L56&gt;=$J56,cfgRetakeRecordedCap,SUMIFS(nrES_Raw,nrES_PID,$D56,nrES_Code,$F56,nrES_Att,1))))))</f>
        <v/>
      </c>
      <c r="N56" s="17">
        <f>IF($C56="","",IF($L56="","",IF($L56&gt;=$J56,"Yes","No")))</f>
        <v/>
      </c>
      <c r="O56" s="17">
        <f>IF($C56="","",IF($M56="","",IF($M56&gt;=$J56,"Yes","No")))</f>
        <v/>
      </c>
      <c r="P56" s="17">
        <f>IF($C56="","",IF($K56="","",IF(COUNTIFS(nrES_PID,$D56,nrES_Code,$F56,nrES_Att,"&gt;"&amp;$K56)=0,"Yes","No")))</f>
        <v/>
      </c>
      <c r="Q56" s="17">
        <f>IF($C56="","",IF($L56="","",IF(AND($K56=1,$L56&lt;$J56,COUNTIFS(nrES_PID,$D56,nrES_Code,$F56,nrES_Att,2)=0),"Yes","No")))</f>
        <v/>
      </c>
      <c r="R56" s="17">
        <f>IF($C56="","",IF($L56="","",IF(AND($K56=2,$L56&lt;$J56,COUNTIFS(nrES_PID,$D56,nrES_Code,$F56,nrES_Att,1)&gt;0),"Yes","No")))</f>
        <v/>
      </c>
      <c r="S56" s="18" t="n"/>
      <c r="T56" s="19">
        <f>IF($Q56&lt;&gt;"Yes","",IF($S56="","(enter date)",_xlfn.LET(_xlpm.dn,IFERROR(_xlfn.XLOOKUP($S56,nrCDdate,nrCDnum),""),IF(_xlpm.dn="","(not a class day)",IFERROR(_xlfn.XLOOKUP(_xlpm.dn+cfgRetestClassDays,nrCDnum,nrCDdate),"")))))</f>
        <v/>
      </c>
      <c r="U56" s="17">
        <f>IF($Q56&lt;&gt;"Yes","",IF(COUNTIFS(nrES_PID,$D56,nrES_Code,$F56,nrES_Att,2)&gt;0,"Retested",IF(OR($T56="",NOT(ISNUMBER($T56))),"Pending",IF(TODAY()&gt;$T56,"OVERDUE","Due "&amp;TEXT($T56,"mm/dd")))))</f>
        <v/>
      </c>
      <c r="V56" s="16" t="n"/>
      <c r="W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IF($C57="","",IF($L57="","",IF($K57=1,IF(COUNTIFS(nrES_PID,$D57,nrES_Code,$F57,nrES_Att,2)&gt;0,"",$L57),IF(COUNTIFS(nrES_PID,$D57,nrES_Code,$F57,nrES_Att,1)=0,$L57,IF($L57&gt;=$J57,cfgRetakeRecordedCap,SUMIFS(nrES_Raw,nrES_PID,$D57,nrES_Code,$F57,nrES_Att,1))))))</f>
        <v/>
      </c>
      <c r="N57" s="17">
        <f>IF($C57="","",IF($L57="","",IF($L57&gt;=$J57,"Yes","No")))</f>
        <v/>
      </c>
      <c r="O57" s="17">
        <f>IF($C57="","",IF($M57="","",IF($M57&gt;=$J57,"Yes","No")))</f>
        <v/>
      </c>
      <c r="P57" s="17">
        <f>IF($C57="","",IF($K57="","",IF(COUNTIFS(nrES_PID,$D57,nrES_Code,$F57,nrES_Att,"&gt;"&amp;$K57)=0,"Yes","No")))</f>
        <v/>
      </c>
      <c r="Q57" s="17">
        <f>IF($C57="","",IF($L57="","",IF(AND($K57=1,$L57&lt;$J57,COUNTIFS(nrES_PID,$D57,nrES_Code,$F57,nrES_Att,2)=0),"Yes","No")))</f>
        <v/>
      </c>
      <c r="R57" s="17">
        <f>IF($C57="","",IF($L57="","",IF(AND($K57=2,$L57&lt;$J57,COUNTIFS(nrES_PID,$D57,nrES_Code,$F57,nrES_Att,1)&gt;0),"Yes","No")))</f>
        <v/>
      </c>
      <c r="S57" s="18" t="n"/>
      <c r="T57" s="19">
        <f>IF($Q57&lt;&gt;"Yes","",IF($S57="","(enter date)",_xlfn.LET(_xlpm.dn,IFERROR(_xlfn.XLOOKUP($S57,nrCDdate,nrCDnum),""),IF(_xlpm.dn="","(not a class day)",IFERROR(_xlfn.XLOOKUP(_xlpm.dn+cfgRetestClassDays,nrCDnum,nrCDdate),"")))))</f>
        <v/>
      </c>
      <c r="U57" s="17">
        <f>IF($Q57&lt;&gt;"Yes","",IF(COUNTIFS(nrES_PID,$D57,nrES_Code,$F57,nrES_Att,2)&gt;0,"Retested",IF(OR($T57="",NOT(ISNUMBER($T57))),"Pending",IF(TODAY()&gt;$T57,"OVERDUE","Due "&amp;TEXT($T57,"mm/dd")))))</f>
        <v/>
      </c>
      <c r="V57" s="16" t="n"/>
      <c r="W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IF($C58="","",IF($L58="","",IF($K58=1,IF(COUNTIFS(nrES_PID,$D58,nrES_Code,$F58,nrES_Att,2)&gt;0,"",$L58),IF(COUNTIFS(nrES_PID,$D58,nrES_Code,$F58,nrES_Att,1)=0,$L58,IF($L58&gt;=$J58,cfgRetakeRecordedCap,SUMIFS(nrES_Raw,nrES_PID,$D58,nrES_Code,$F58,nrES_Att,1))))))</f>
        <v/>
      </c>
      <c r="N58" s="17">
        <f>IF($C58="","",IF($L58="","",IF($L58&gt;=$J58,"Yes","No")))</f>
        <v/>
      </c>
      <c r="O58" s="17">
        <f>IF($C58="","",IF($M58="","",IF($M58&gt;=$J58,"Yes","No")))</f>
        <v/>
      </c>
      <c r="P58" s="17">
        <f>IF($C58="","",IF($K58="","",IF(COUNTIFS(nrES_PID,$D58,nrES_Code,$F58,nrES_Att,"&gt;"&amp;$K58)=0,"Yes","No")))</f>
        <v/>
      </c>
      <c r="Q58" s="17">
        <f>IF($C58="","",IF($L58="","",IF(AND($K58=1,$L58&lt;$J58,COUNTIFS(nrES_PID,$D58,nrES_Code,$F58,nrES_Att,2)=0),"Yes","No")))</f>
        <v/>
      </c>
      <c r="R58" s="17">
        <f>IF($C58="","",IF($L58="","",IF(AND($K58=2,$L58&lt;$J58,COUNTIFS(nrES_PID,$D58,nrES_Code,$F58,nrES_Att,1)&gt;0),"Yes","No")))</f>
        <v/>
      </c>
      <c r="S58" s="18" t="n"/>
      <c r="T58" s="19">
        <f>IF($Q58&lt;&gt;"Yes","",IF($S58="","(enter date)",_xlfn.LET(_xlpm.dn,IFERROR(_xlfn.XLOOKUP($S58,nrCDdate,nrCDnum),""),IF(_xlpm.dn="","(not a class day)",IFERROR(_xlfn.XLOOKUP(_xlpm.dn+cfgRetestClassDays,nrCDnum,nrCDdate),"")))))</f>
        <v/>
      </c>
      <c r="U58" s="17">
        <f>IF($Q58&lt;&gt;"Yes","",IF(COUNTIFS(nrES_PID,$D58,nrES_Code,$F58,nrES_Att,2)&gt;0,"Retested",IF(OR($T58="",NOT(ISNUMBER($T58))),"Pending",IF(TODAY()&gt;$T58,"OVERDUE","Due "&amp;TEXT($T58,"mm/dd")))))</f>
        <v/>
      </c>
      <c r="V58" s="16" t="n"/>
      <c r="W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IF($C59="","",IF($L59="","",IF($K59=1,IF(COUNTIFS(nrES_PID,$D59,nrES_Code,$F59,nrES_Att,2)&gt;0,"",$L59),IF(COUNTIFS(nrES_PID,$D59,nrES_Code,$F59,nrES_Att,1)=0,$L59,IF($L59&gt;=$J59,cfgRetakeRecordedCap,SUMIFS(nrES_Raw,nrES_PID,$D59,nrES_Code,$F59,nrES_Att,1))))))</f>
        <v/>
      </c>
      <c r="N59" s="17">
        <f>IF($C59="","",IF($L59="","",IF($L59&gt;=$J59,"Yes","No")))</f>
        <v/>
      </c>
      <c r="O59" s="17">
        <f>IF($C59="","",IF($M59="","",IF($M59&gt;=$J59,"Yes","No")))</f>
        <v/>
      </c>
      <c r="P59" s="17">
        <f>IF($C59="","",IF($K59="","",IF(COUNTIFS(nrES_PID,$D59,nrES_Code,$F59,nrES_Att,"&gt;"&amp;$K59)=0,"Yes","No")))</f>
        <v/>
      </c>
      <c r="Q59" s="17">
        <f>IF($C59="","",IF($L59="","",IF(AND($K59=1,$L59&lt;$J59,COUNTIFS(nrES_PID,$D59,nrES_Code,$F59,nrES_Att,2)=0),"Yes","No")))</f>
        <v/>
      </c>
      <c r="R59" s="17">
        <f>IF($C59="","",IF($L59="","",IF(AND($K59=2,$L59&lt;$J59,COUNTIFS(nrES_PID,$D59,nrES_Code,$F59,nrES_Att,1)&gt;0),"Yes","No")))</f>
        <v/>
      </c>
      <c r="S59" s="18" t="n"/>
      <c r="T59" s="19">
        <f>IF($Q59&lt;&gt;"Yes","",IF($S59="","(enter date)",_xlfn.LET(_xlpm.dn,IFERROR(_xlfn.XLOOKUP($S59,nrCDdate,nrCDnum),""),IF(_xlpm.dn="","(not a class day)",IFERROR(_xlfn.XLOOKUP(_xlpm.dn+cfgRetestClassDays,nrCDnum,nrCDdate),"")))))</f>
        <v/>
      </c>
      <c r="U59" s="17">
        <f>IF($Q59&lt;&gt;"Yes","",IF(COUNTIFS(nrES_PID,$D59,nrES_Code,$F59,nrES_Att,2)&gt;0,"Retested",IF(OR($T59="",NOT(ISNUMBER($T59))),"Pending",IF(TODAY()&gt;$T59,"OVERDUE","Due "&amp;TEXT($T59,"mm/dd")))))</f>
        <v/>
      </c>
      <c r="V59" s="16" t="n"/>
      <c r="W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IF($C60="","",IF($L60="","",IF($K60=1,IF(COUNTIFS(nrES_PID,$D60,nrES_Code,$F60,nrES_Att,2)&gt;0,"",$L60),IF(COUNTIFS(nrES_PID,$D60,nrES_Code,$F60,nrES_Att,1)=0,$L60,IF($L60&gt;=$J60,cfgRetakeRecordedCap,SUMIFS(nrES_Raw,nrES_PID,$D60,nrES_Code,$F60,nrES_Att,1))))))</f>
        <v/>
      </c>
      <c r="N60" s="17">
        <f>IF($C60="","",IF($L60="","",IF($L60&gt;=$J60,"Yes","No")))</f>
        <v/>
      </c>
      <c r="O60" s="17">
        <f>IF($C60="","",IF($M60="","",IF($M60&gt;=$J60,"Yes","No")))</f>
        <v/>
      </c>
      <c r="P60" s="17">
        <f>IF($C60="","",IF($K60="","",IF(COUNTIFS(nrES_PID,$D60,nrES_Code,$F60,nrES_Att,"&gt;"&amp;$K60)=0,"Yes","No")))</f>
        <v/>
      </c>
      <c r="Q60" s="17">
        <f>IF($C60="","",IF($L60="","",IF(AND($K60=1,$L60&lt;$J60,COUNTIFS(nrES_PID,$D60,nrES_Code,$F60,nrES_Att,2)=0),"Yes","No")))</f>
        <v/>
      </c>
      <c r="R60" s="17">
        <f>IF($C60="","",IF($L60="","",IF(AND($K60=2,$L60&lt;$J60,COUNTIFS(nrES_PID,$D60,nrES_Code,$F60,nrES_Att,1)&gt;0),"Yes","No")))</f>
        <v/>
      </c>
      <c r="S60" s="18" t="n"/>
      <c r="T60" s="19">
        <f>IF($Q60&lt;&gt;"Yes","",IF($S60="","(enter date)",_xlfn.LET(_xlpm.dn,IFERROR(_xlfn.XLOOKUP($S60,nrCDdate,nrCDnum),""),IF(_xlpm.dn="","(not a class day)",IFERROR(_xlfn.XLOOKUP(_xlpm.dn+cfgRetestClassDays,nrCDnum,nrCDdate),"")))))</f>
        <v/>
      </c>
      <c r="U60" s="17">
        <f>IF($Q60&lt;&gt;"Yes","",IF(COUNTIFS(nrES_PID,$D60,nrES_Code,$F60,nrES_Att,2)&gt;0,"Retested",IF(OR($T60="",NOT(ISNUMBER($T60))),"Pending",IF(TODAY()&gt;$T60,"OVERDUE","Due "&amp;TEXT($T60,"mm/dd")))))</f>
        <v/>
      </c>
      <c r="V60" s="16" t="n"/>
      <c r="W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IF($C61="","",IF($L61="","",IF($K61=1,IF(COUNTIFS(nrES_PID,$D61,nrES_Code,$F61,nrES_Att,2)&gt;0,"",$L61),IF(COUNTIFS(nrES_PID,$D61,nrES_Code,$F61,nrES_Att,1)=0,$L61,IF($L61&gt;=$J61,cfgRetakeRecordedCap,SUMIFS(nrES_Raw,nrES_PID,$D61,nrES_Code,$F61,nrES_Att,1))))))</f>
        <v/>
      </c>
      <c r="N61" s="17">
        <f>IF($C61="","",IF($L61="","",IF($L61&gt;=$J61,"Yes","No")))</f>
        <v/>
      </c>
      <c r="O61" s="17">
        <f>IF($C61="","",IF($M61="","",IF($M61&gt;=$J61,"Yes","No")))</f>
        <v/>
      </c>
      <c r="P61" s="17">
        <f>IF($C61="","",IF($K61="","",IF(COUNTIFS(nrES_PID,$D61,nrES_Code,$F61,nrES_Att,"&gt;"&amp;$K61)=0,"Yes","No")))</f>
        <v/>
      </c>
      <c r="Q61" s="17">
        <f>IF($C61="","",IF($L61="","",IF(AND($K61=1,$L61&lt;$J61,COUNTIFS(nrES_PID,$D61,nrES_Code,$F61,nrES_Att,2)=0),"Yes","No")))</f>
        <v/>
      </c>
      <c r="R61" s="17">
        <f>IF($C61="","",IF($L61="","",IF(AND($K61=2,$L61&lt;$J61,COUNTIFS(nrES_PID,$D61,nrES_Code,$F61,nrES_Att,1)&gt;0),"Yes","No")))</f>
        <v/>
      </c>
      <c r="S61" s="18" t="n"/>
      <c r="T61" s="19">
        <f>IF($Q61&lt;&gt;"Yes","",IF($S61="","(enter date)",_xlfn.LET(_xlpm.dn,IFERROR(_xlfn.XLOOKUP($S61,nrCDdate,nrCDnum),""),IF(_xlpm.dn="","(not a class day)",IFERROR(_xlfn.XLOOKUP(_xlpm.dn+cfgRetestClassDays,nrCDnum,nrCDdate),"")))))</f>
        <v/>
      </c>
      <c r="U61" s="17">
        <f>IF($Q61&lt;&gt;"Yes","",IF(COUNTIFS(nrES_PID,$D61,nrES_Code,$F61,nrES_Att,2)&gt;0,"Retested",IF(OR($T61="",NOT(ISNUMBER($T61))),"Pending",IF(TODAY()&gt;$T61,"OVERDUE","Due "&amp;TEXT($T61,"mm/dd")))))</f>
        <v/>
      </c>
      <c r="V61" s="16" t="n"/>
      <c r="W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IF($C62="","",IF($L62="","",IF($K62=1,IF(COUNTIFS(nrES_PID,$D62,nrES_Code,$F62,nrES_Att,2)&gt;0,"",$L62),IF(COUNTIFS(nrES_PID,$D62,nrES_Code,$F62,nrES_Att,1)=0,$L62,IF($L62&gt;=$J62,cfgRetakeRecordedCap,SUMIFS(nrES_Raw,nrES_PID,$D62,nrES_Code,$F62,nrES_Att,1))))))</f>
        <v/>
      </c>
      <c r="N62" s="17">
        <f>IF($C62="","",IF($L62="","",IF($L62&gt;=$J62,"Yes","No")))</f>
        <v/>
      </c>
      <c r="O62" s="17">
        <f>IF($C62="","",IF($M62="","",IF($M62&gt;=$J62,"Yes","No")))</f>
        <v/>
      </c>
      <c r="P62" s="17">
        <f>IF($C62="","",IF($K62="","",IF(COUNTIFS(nrES_PID,$D62,nrES_Code,$F62,nrES_Att,"&gt;"&amp;$K62)=0,"Yes","No")))</f>
        <v/>
      </c>
      <c r="Q62" s="17">
        <f>IF($C62="","",IF($L62="","",IF(AND($K62=1,$L62&lt;$J62,COUNTIFS(nrES_PID,$D62,nrES_Code,$F62,nrES_Att,2)=0),"Yes","No")))</f>
        <v/>
      </c>
      <c r="R62" s="17">
        <f>IF($C62="","",IF($L62="","",IF(AND($K62=2,$L62&lt;$J62,COUNTIFS(nrES_PID,$D62,nrES_Code,$F62,nrES_Att,1)&gt;0),"Yes","No")))</f>
        <v/>
      </c>
      <c r="S62" s="18" t="n"/>
      <c r="T62" s="19">
        <f>IF($Q62&lt;&gt;"Yes","",IF($S62="","(enter date)",_xlfn.LET(_xlpm.dn,IFERROR(_xlfn.XLOOKUP($S62,nrCDdate,nrCDnum),""),IF(_xlpm.dn="","(not a class day)",IFERROR(_xlfn.XLOOKUP(_xlpm.dn+cfgRetestClassDays,nrCDnum,nrCDdate),"")))))</f>
        <v/>
      </c>
      <c r="U62" s="17">
        <f>IF($Q62&lt;&gt;"Yes","",IF(COUNTIFS(nrES_PID,$D62,nrES_Code,$F62,nrES_Att,2)&gt;0,"Retested",IF(OR($T62="",NOT(ISNUMBER($T62))),"Pending",IF(TODAY()&gt;$T62,"OVERDUE","Due "&amp;TEXT($T62,"mm/dd")))))</f>
        <v/>
      </c>
      <c r="V62" s="16" t="n"/>
      <c r="W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IF($C63="","",IF($L63="","",IF($K63=1,IF(COUNTIFS(nrES_PID,$D63,nrES_Code,$F63,nrES_Att,2)&gt;0,"",$L63),IF(COUNTIFS(nrES_PID,$D63,nrES_Code,$F63,nrES_Att,1)=0,$L63,IF($L63&gt;=$J63,cfgRetakeRecordedCap,SUMIFS(nrES_Raw,nrES_PID,$D63,nrES_Code,$F63,nrES_Att,1))))))</f>
        <v/>
      </c>
      <c r="N63" s="17">
        <f>IF($C63="","",IF($L63="","",IF($L63&gt;=$J63,"Yes","No")))</f>
        <v/>
      </c>
      <c r="O63" s="17">
        <f>IF($C63="","",IF($M63="","",IF($M63&gt;=$J63,"Yes","No")))</f>
        <v/>
      </c>
      <c r="P63" s="17">
        <f>IF($C63="","",IF($K63="","",IF(COUNTIFS(nrES_PID,$D63,nrES_Code,$F63,nrES_Att,"&gt;"&amp;$K63)=0,"Yes","No")))</f>
        <v/>
      </c>
      <c r="Q63" s="17">
        <f>IF($C63="","",IF($L63="","",IF(AND($K63=1,$L63&lt;$J63,COUNTIFS(nrES_PID,$D63,nrES_Code,$F63,nrES_Att,2)=0),"Yes","No")))</f>
        <v/>
      </c>
      <c r="R63" s="17">
        <f>IF($C63="","",IF($L63="","",IF(AND($K63=2,$L63&lt;$J63,COUNTIFS(nrES_PID,$D63,nrES_Code,$F63,nrES_Att,1)&gt;0),"Yes","No")))</f>
        <v/>
      </c>
      <c r="S63" s="18" t="n"/>
      <c r="T63" s="19">
        <f>IF($Q63&lt;&gt;"Yes","",IF($S63="","(enter date)",_xlfn.LET(_xlpm.dn,IFERROR(_xlfn.XLOOKUP($S63,nrCDdate,nrCDnum),""),IF(_xlpm.dn="","(not a class day)",IFERROR(_xlfn.XLOOKUP(_xlpm.dn+cfgRetestClassDays,nrCDnum,nrCDdate),"")))))</f>
        <v/>
      </c>
      <c r="U63" s="17">
        <f>IF($Q63&lt;&gt;"Yes","",IF(COUNTIFS(nrES_PID,$D63,nrES_Code,$F63,nrES_Att,2)&gt;0,"Retested",IF(OR($T63="",NOT(ISNUMBER($T63))),"Pending",IF(TODAY()&gt;$T63,"OVERDUE","Due "&amp;TEXT($T63,"mm/dd")))))</f>
        <v/>
      </c>
      <c r="V63" s="16" t="n"/>
      <c r="W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IF($C64="","",IF($L64="","",IF($K64=1,IF(COUNTIFS(nrES_PID,$D64,nrES_Code,$F64,nrES_Att,2)&gt;0,"",$L64),IF(COUNTIFS(nrES_PID,$D64,nrES_Code,$F64,nrES_Att,1)=0,$L64,IF($L64&gt;=$J64,cfgRetakeRecordedCap,SUMIFS(nrES_Raw,nrES_PID,$D64,nrES_Code,$F64,nrES_Att,1))))))</f>
        <v/>
      </c>
      <c r="N64" s="17">
        <f>IF($C64="","",IF($L64="","",IF($L64&gt;=$J64,"Yes","No")))</f>
        <v/>
      </c>
      <c r="O64" s="17">
        <f>IF($C64="","",IF($M64="","",IF($M64&gt;=$J64,"Yes","No")))</f>
        <v/>
      </c>
      <c r="P64" s="17">
        <f>IF($C64="","",IF($K64="","",IF(COUNTIFS(nrES_PID,$D64,nrES_Code,$F64,nrES_Att,"&gt;"&amp;$K64)=0,"Yes","No")))</f>
        <v/>
      </c>
      <c r="Q64" s="17">
        <f>IF($C64="","",IF($L64="","",IF(AND($K64=1,$L64&lt;$J64,COUNTIFS(nrES_PID,$D64,nrES_Code,$F64,nrES_Att,2)=0),"Yes","No")))</f>
        <v/>
      </c>
      <c r="R64" s="17">
        <f>IF($C64="","",IF($L64="","",IF(AND($K64=2,$L64&lt;$J64,COUNTIFS(nrES_PID,$D64,nrES_Code,$F64,nrES_Att,1)&gt;0),"Yes","No")))</f>
        <v/>
      </c>
      <c r="S64" s="18" t="n"/>
      <c r="T64" s="19">
        <f>IF($Q64&lt;&gt;"Yes","",IF($S64="","(enter date)",_xlfn.LET(_xlpm.dn,IFERROR(_xlfn.XLOOKUP($S64,nrCDdate,nrCDnum),""),IF(_xlpm.dn="","(not a class day)",IFERROR(_xlfn.XLOOKUP(_xlpm.dn+cfgRetestClassDays,nrCDnum,nrCDdate),"")))))</f>
        <v/>
      </c>
      <c r="U64" s="17">
        <f>IF($Q64&lt;&gt;"Yes","",IF(COUNTIFS(nrES_PID,$D64,nrES_Code,$F64,nrES_Att,2)&gt;0,"Retested",IF(OR($T64="",NOT(ISNUMBER($T64))),"Pending",IF(TODAY()&gt;$T64,"OVERDUE","Due "&amp;TEXT($T64,"mm/dd")))))</f>
        <v/>
      </c>
      <c r="V64" s="16" t="n"/>
      <c r="W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IF($C65="","",IF($L65="","",IF($K65=1,IF(COUNTIFS(nrES_PID,$D65,nrES_Code,$F65,nrES_Att,2)&gt;0,"",$L65),IF(COUNTIFS(nrES_PID,$D65,nrES_Code,$F65,nrES_Att,1)=0,$L65,IF($L65&gt;=$J65,cfgRetakeRecordedCap,SUMIFS(nrES_Raw,nrES_PID,$D65,nrES_Code,$F65,nrES_Att,1))))))</f>
        <v/>
      </c>
      <c r="N65" s="17">
        <f>IF($C65="","",IF($L65="","",IF($L65&gt;=$J65,"Yes","No")))</f>
        <v/>
      </c>
      <c r="O65" s="17">
        <f>IF($C65="","",IF($M65="","",IF($M65&gt;=$J65,"Yes","No")))</f>
        <v/>
      </c>
      <c r="P65" s="17">
        <f>IF($C65="","",IF($K65="","",IF(COUNTIFS(nrES_PID,$D65,nrES_Code,$F65,nrES_Att,"&gt;"&amp;$K65)=0,"Yes","No")))</f>
        <v/>
      </c>
      <c r="Q65" s="17">
        <f>IF($C65="","",IF($L65="","",IF(AND($K65=1,$L65&lt;$J65,COUNTIFS(nrES_PID,$D65,nrES_Code,$F65,nrES_Att,2)=0),"Yes","No")))</f>
        <v/>
      </c>
      <c r="R65" s="17">
        <f>IF($C65="","",IF($L65="","",IF(AND($K65=2,$L65&lt;$J65,COUNTIFS(nrES_PID,$D65,nrES_Code,$F65,nrES_Att,1)&gt;0),"Yes","No")))</f>
        <v/>
      </c>
      <c r="S65" s="18" t="n"/>
      <c r="T65" s="19">
        <f>IF($Q65&lt;&gt;"Yes","",IF($S65="","(enter date)",_xlfn.LET(_xlpm.dn,IFERROR(_xlfn.XLOOKUP($S65,nrCDdate,nrCDnum),""),IF(_xlpm.dn="","(not a class day)",IFERROR(_xlfn.XLOOKUP(_xlpm.dn+cfgRetestClassDays,nrCDnum,nrCDdate),"")))))</f>
        <v/>
      </c>
      <c r="U65" s="17">
        <f>IF($Q65&lt;&gt;"Yes","",IF(COUNTIFS(nrES_PID,$D65,nrES_Code,$F65,nrES_Att,2)&gt;0,"Retested",IF(OR($T65="",NOT(ISNUMBER($T65))),"Pending",IF(TODAY()&gt;$T65,"OVERDUE","Due "&amp;TEXT($T65,"mm/dd")))))</f>
        <v/>
      </c>
      <c r="V65" s="16" t="n"/>
      <c r="W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IF($C66="","",IF($L66="","",IF($K66=1,IF(COUNTIFS(nrES_PID,$D66,nrES_Code,$F66,nrES_Att,2)&gt;0,"",$L66),IF(COUNTIFS(nrES_PID,$D66,nrES_Code,$F66,nrES_Att,1)=0,$L66,IF($L66&gt;=$J66,cfgRetakeRecordedCap,SUMIFS(nrES_Raw,nrES_PID,$D66,nrES_Code,$F66,nrES_Att,1))))))</f>
        <v/>
      </c>
      <c r="N66" s="17">
        <f>IF($C66="","",IF($L66="","",IF($L66&gt;=$J66,"Yes","No")))</f>
        <v/>
      </c>
      <c r="O66" s="17">
        <f>IF($C66="","",IF($M66="","",IF($M66&gt;=$J66,"Yes","No")))</f>
        <v/>
      </c>
      <c r="P66" s="17">
        <f>IF($C66="","",IF($K66="","",IF(COUNTIFS(nrES_PID,$D66,nrES_Code,$F66,nrES_Att,"&gt;"&amp;$K66)=0,"Yes","No")))</f>
        <v/>
      </c>
      <c r="Q66" s="17">
        <f>IF($C66="","",IF($L66="","",IF(AND($K66=1,$L66&lt;$J66,COUNTIFS(nrES_PID,$D66,nrES_Code,$F66,nrES_Att,2)=0),"Yes","No")))</f>
        <v/>
      </c>
      <c r="R66" s="17">
        <f>IF($C66="","",IF($L66="","",IF(AND($K66=2,$L66&lt;$J66,COUNTIFS(nrES_PID,$D66,nrES_Code,$F66,nrES_Att,1)&gt;0),"Yes","No")))</f>
        <v/>
      </c>
      <c r="S66" s="18" t="n"/>
      <c r="T66" s="19">
        <f>IF($Q66&lt;&gt;"Yes","",IF($S66="","(enter date)",_xlfn.LET(_xlpm.dn,IFERROR(_xlfn.XLOOKUP($S66,nrCDdate,nrCDnum),""),IF(_xlpm.dn="","(not a class day)",IFERROR(_xlfn.XLOOKUP(_xlpm.dn+cfgRetestClassDays,nrCDnum,nrCDdate),"")))))</f>
        <v/>
      </c>
      <c r="U66" s="17">
        <f>IF($Q66&lt;&gt;"Yes","",IF(COUNTIFS(nrES_PID,$D66,nrES_Code,$F66,nrES_Att,2)&gt;0,"Retested",IF(OR($T66="",NOT(ISNUMBER($T66))),"Pending",IF(TODAY()&gt;$T66,"OVERDUE","Due "&amp;TEXT($T66,"mm/dd")))))</f>
        <v/>
      </c>
      <c r="V66" s="16" t="n"/>
      <c r="W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IF($C67="","",IF($L67="","",IF($K67=1,IF(COUNTIFS(nrES_PID,$D67,nrES_Code,$F67,nrES_Att,2)&gt;0,"",$L67),IF(COUNTIFS(nrES_PID,$D67,nrES_Code,$F67,nrES_Att,1)=0,$L67,IF($L67&gt;=$J67,cfgRetakeRecordedCap,SUMIFS(nrES_Raw,nrES_PID,$D67,nrES_Code,$F67,nrES_Att,1))))))</f>
        <v/>
      </c>
      <c r="N67" s="17">
        <f>IF($C67="","",IF($L67="","",IF($L67&gt;=$J67,"Yes","No")))</f>
        <v/>
      </c>
      <c r="O67" s="17">
        <f>IF($C67="","",IF($M67="","",IF($M67&gt;=$J67,"Yes","No")))</f>
        <v/>
      </c>
      <c r="P67" s="17">
        <f>IF($C67="","",IF($K67="","",IF(COUNTIFS(nrES_PID,$D67,nrES_Code,$F67,nrES_Att,"&gt;"&amp;$K67)=0,"Yes","No")))</f>
        <v/>
      </c>
      <c r="Q67" s="17">
        <f>IF($C67="","",IF($L67="","",IF(AND($K67=1,$L67&lt;$J67,COUNTIFS(nrES_PID,$D67,nrES_Code,$F67,nrES_Att,2)=0),"Yes","No")))</f>
        <v/>
      </c>
      <c r="R67" s="17">
        <f>IF($C67="","",IF($L67="","",IF(AND($K67=2,$L67&lt;$J67,COUNTIFS(nrES_PID,$D67,nrES_Code,$F67,nrES_Att,1)&gt;0),"Yes","No")))</f>
        <v/>
      </c>
      <c r="S67" s="18" t="n"/>
      <c r="T67" s="19">
        <f>IF($Q67&lt;&gt;"Yes","",IF($S67="","(enter date)",_xlfn.LET(_xlpm.dn,IFERROR(_xlfn.XLOOKUP($S67,nrCDdate,nrCDnum),""),IF(_xlpm.dn="","(not a class day)",IFERROR(_xlfn.XLOOKUP(_xlpm.dn+cfgRetestClassDays,nrCDnum,nrCDdate),"")))))</f>
        <v/>
      </c>
      <c r="U67" s="17">
        <f>IF($Q67&lt;&gt;"Yes","",IF(COUNTIFS(nrES_PID,$D67,nrES_Code,$F67,nrES_Att,2)&gt;0,"Retested",IF(OR($T67="",NOT(ISNUMBER($T67))),"Pending",IF(TODAY()&gt;$T67,"OVERDUE","Due "&amp;TEXT($T67,"mm/dd")))))</f>
        <v/>
      </c>
      <c r="V67" s="16" t="n"/>
      <c r="W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IF($C68="","",IF($L68="","",IF($K68=1,IF(COUNTIFS(nrES_PID,$D68,nrES_Code,$F68,nrES_Att,2)&gt;0,"",$L68),IF(COUNTIFS(nrES_PID,$D68,nrES_Code,$F68,nrES_Att,1)=0,$L68,IF($L68&gt;=$J68,cfgRetakeRecordedCap,SUMIFS(nrES_Raw,nrES_PID,$D68,nrES_Code,$F68,nrES_Att,1))))))</f>
        <v/>
      </c>
      <c r="N68" s="17">
        <f>IF($C68="","",IF($L68="","",IF($L68&gt;=$J68,"Yes","No")))</f>
        <v/>
      </c>
      <c r="O68" s="17">
        <f>IF($C68="","",IF($M68="","",IF($M68&gt;=$J68,"Yes","No")))</f>
        <v/>
      </c>
      <c r="P68" s="17">
        <f>IF($C68="","",IF($K68="","",IF(COUNTIFS(nrES_PID,$D68,nrES_Code,$F68,nrES_Att,"&gt;"&amp;$K68)=0,"Yes","No")))</f>
        <v/>
      </c>
      <c r="Q68" s="17">
        <f>IF($C68="","",IF($L68="","",IF(AND($K68=1,$L68&lt;$J68,COUNTIFS(nrES_PID,$D68,nrES_Code,$F68,nrES_Att,2)=0),"Yes","No")))</f>
        <v/>
      </c>
      <c r="R68" s="17">
        <f>IF($C68="","",IF($L68="","",IF(AND($K68=2,$L68&lt;$J68,COUNTIFS(nrES_PID,$D68,nrES_Code,$F68,nrES_Att,1)&gt;0),"Yes","No")))</f>
        <v/>
      </c>
      <c r="S68" s="18" t="n"/>
      <c r="T68" s="19">
        <f>IF($Q68&lt;&gt;"Yes","",IF($S68="","(enter date)",_xlfn.LET(_xlpm.dn,IFERROR(_xlfn.XLOOKUP($S68,nrCDdate,nrCDnum),""),IF(_xlpm.dn="","(not a class day)",IFERROR(_xlfn.XLOOKUP(_xlpm.dn+cfgRetestClassDays,nrCDnum,nrCDdate),"")))))</f>
        <v/>
      </c>
      <c r="U68" s="17">
        <f>IF($Q68&lt;&gt;"Yes","",IF(COUNTIFS(nrES_PID,$D68,nrES_Code,$F68,nrES_Att,2)&gt;0,"Retested",IF(OR($T68="",NOT(ISNUMBER($T68))),"Pending",IF(TODAY()&gt;$T68,"OVERDUE","Due "&amp;TEXT($T68,"mm/dd")))))</f>
        <v/>
      </c>
      <c r="V68" s="16" t="n"/>
      <c r="W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IF($C69="","",IF($L69="","",IF($K69=1,IF(COUNTIFS(nrES_PID,$D69,nrES_Code,$F69,nrES_Att,2)&gt;0,"",$L69),IF(COUNTIFS(nrES_PID,$D69,nrES_Code,$F69,nrES_Att,1)=0,$L69,IF($L69&gt;=$J69,cfgRetakeRecordedCap,SUMIFS(nrES_Raw,nrES_PID,$D69,nrES_Code,$F69,nrES_Att,1))))))</f>
        <v/>
      </c>
      <c r="N69" s="17">
        <f>IF($C69="","",IF($L69="","",IF($L69&gt;=$J69,"Yes","No")))</f>
        <v/>
      </c>
      <c r="O69" s="17">
        <f>IF($C69="","",IF($M69="","",IF($M69&gt;=$J69,"Yes","No")))</f>
        <v/>
      </c>
      <c r="P69" s="17">
        <f>IF($C69="","",IF($K69="","",IF(COUNTIFS(nrES_PID,$D69,nrES_Code,$F69,nrES_Att,"&gt;"&amp;$K69)=0,"Yes","No")))</f>
        <v/>
      </c>
      <c r="Q69" s="17">
        <f>IF($C69="","",IF($L69="","",IF(AND($K69=1,$L69&lt;$J69,COUNTIFS(nrES_PID,$D69,nrES_Code,$F69,nrES_Att,2)=0),"Yes","No")))</f>
        <v/>
      </c>
      <c r="R69" s="17">
        <f>IF($C69="","",IF($L69="","",IF(AND($K69=2,$L69&lt;$J69,COUNTIFS(nrES_PID,$D69,nrES_Code,$F69,nrES_Att,1)&gt;0),"Yes","No")))</f>
        <v/>
      </c>
      <c r="S69" s="18" t="n"/>
      <c r="T69" s="19">
        <f>IF($Q69&lt;&gt;"Yes","",IF($S69="","(enter date)",_xlfn.LET(_xlpm.dn,IFERROR(_xlfn.XLOOKUP($S69,nrCDdate,nrCDnum),""),IF(_xlpm.dn="","(not a class day)",IFERROR(_xlfn.XLOOKUP(_xlpm.dn+cfgRetestClassDays,nrCDnum,nrCDdate),"")))))</f>
        <v/>
      </c>
      <c r="U69" s="17">
        <f>IF($Q69&lt;&gt;"Yes","",IF(COUNTIFS(nrES_PID,$D69,nrES_Code,$F69,nrES_Att,2)&gt;0,"Retested",IF(OR($T69="",NOT(ISNUMBER($T69))),"Pending",IF(TODAY()&gt;$T69,"OVERDUE","Due "&amp;TEXT($T69,"mm/dd")))))</f>
        <v/>
      </c>
      <c r="V69" s="16" t="n"/>
      <c r="W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IF($C70="","",IF($L70="","",IF($K70=1,IF(COUNTIFS(nrES_PID,$D70,nrES_Code,$F70,nrES_Att,2)&gt;0,"",$L70),IF(COUNTIFS(nrES_PID,$D70,nrES_Code,$F70,nrES_Att,1)=0,$L70,IF($L70&gt;=$J70,cfgRetakeRecordedCap,SUMIFS(nrES_Raw,nrES_PID,$D70,nrES_Code,$F70,nrES_Att,1))))))</f>
        <v/>
      </c>
      <c r="N70" s="17">
        <f>IF($C70="","",IF($L70="","",IF($L70&gt;=$J70,"Yes","No")))</f>
        <v/>
      </c>
      <c r="O70" s="17">
        <f>IF($C70="","",IF($M70="","",IF($M70&gt;=$J70,"Yes","No")))</f>
        <v/>
      </c>
      <c r="P70" s="17">
        <f>IF($C70="","",IF($K70="","",IF(COUNTIFS(nrES_PID,$D70,nrES_Code,$F70,nrES_Att,"&gt;"&amp;$K70)=0,"Yes","No")))</f>
        <v/>
      </c>
      <c r="Q70" s="17">
        <f>IF($C70="","",IF($L70="","",IF(AND($K70=1,$L70&lt;$J70,COUNTIFS(nrES_PID,$D70,nrES_Code,$F70,nrES_Att,2)=0),"Yes","No")))</f>
        <v/>
      </c>
      <c r="R70" s="17">
        <f>IF($C70="","",IF($L70="","",IF(AND($K70=2,$L70&lt;$J70,COUNTIFS(nrES_PID,$D70,nrES_Code,$F70,nrES_Att,1)&gt;0),"Yes","No")))</f>
        <v/>
      </c>
      <c r="S70" s="18" t="n"/>
      <c r="T70" s="19">
        <f>IF($Q70&lt;&gt;"Yes","",IF($S70="","(enter date)",_xlfn.LET(_xlpm.dn,IFERROR(_xlfn.XLOOKUP($S70,nrCDdate,nrCDnum),""),IF(_xlpm.dn="","(not a class day)",IFERROR(_xlfn.XLOOKUP(_xlpm.dn+cfgRetestClassDays,nrCDnum,nrCDdate),"")))))</f>
        <v/>
      </c>
      <c r="U70" s="17">
        <f>IF($Q70&lt;&gt;"Yes","",IF(COUNTIFS(nrES_PID,$D70,nrES_Code,$F70,nrES_Att,2)&gt;0,"Retested",IF(OR($T70="",NOT(ISNUMBER($T70))),"Pending",IF(TODAY()&gt;$T70,"OVERDUE","Due "&amp;TEXT($T70,"mm/dd")))))</f>
        <v/>
      </c>
      <c r="V70" s="16" t="n"/>
      <c r="W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IF($C71="","",IF($L71="","",IF($K71=1,IF(COUNTIFS(nrES_PID,$D71,nrES_Code,$F71,nrES_Att,2)&gt;0,"",$L71),IF(COUNTIFS(nrES_PID,$D71,nrES_Code,$F71,nrES_Att,1)=0,$L71,IF($L71&gt;=$J71,cfgRetakeRecordedCap,SUMIFS(nrES_Raw,nrES_PID,$D71,nrES_Code,$F71,nrES_Att,1))))))</f>
        <v/>
      </c>
      <c r="N71" s="17">
        <f>IF($C71="","",IF($L71="","",IF($L71&gt;=$J71,"Yes","No")))</f>
        <v/>
      </c>
      <c r="O71" s="17">
        <f>IF($C71="","",IF($M71="","",IF($M71&gt;=$J71,"Yes","No")))</f>
        <v/>
      </c>
      <c r="P71" s="17">
        <f>IF($C71="","",IF($K71="","",IF(COUNTIFS(nrES_PID,$D71,nrES_Code,$F71,nrES_Att,"&gt;"&amp;$K71)=0,"Yes","No")))</f>
        <v/>
      </c>
      <c r="Q71" s="17">
        <f>IF($C71="","",IF($L71="","",IF(AND($K71=1,$L71&lt;$J71,COUNTIFS(nrES_PID,$D71,nrES_Code,$F71,nrES_Att,2)=0),"Yes","No")))</f>
        <v/>
      </c>
      <c r="R71" s="17">
        <f>IF($C71="","",IF($L71="","",IF(AND($K71=2,$L71&lt;$J71,COUNTIFS(nrES_PID,$D71,nrES_Code,$F71,nrES_Att,1)&gt;0),"Yes","No")))</f>
        <v/>
      </c>
      <c r="S71" s="18" t="n"/>
      <c r="T71" s="19">
        <f>IF($Q71&lt;&gt;"Yes","",IF($S71="","(enter date)",_xlfn.LET(_xlpm.dn,IFERROR(_xlfn.XLOOKUP($S71,nrCDdate,nrCDnum),""),IF(_xlpm.dn="","(not a class day)",IFERROR(_xlfn.XLOOKUP(_xlpm.dn+cfgRetestClassDays,nrCDnum,nrCDdate),"")))))</f>
        <v/>
      </c>
      <c r="U71" s="17">
        <f>IF($Q71&lt;&gt;"Yes","",IF(COUNTIFS(nrES_PID,$D71,nrES_Code,$F71,nrES_Att,2)&gt;0,"Retested",IF(OR($T71="",NOT(ISNUMBER($T71))),"Pending",IF(TODAY()&gt;$T71,"OVERDUE","Due "&amp;TEXT($T71,"mm/dd")))))</f>
        <v/>
      </c>
      <c r="V71" s="16" t="n"/>
      <c r="W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IF($C72="","",IF($L72="","",IF($K72=1,IF(COUNTIFS(nrES_PID,$D72,nrES_Code,$F72,nrES_Att,2)&gt;0,"",$L72),IF(COUNTIFS(nrES_PID,$D72,nrES_Code,$F72,nrES_Att,1)=0,$L72,IF($L72&gt;=$J72,cfgRetakeRecordedCap,SUMIFS(nrES_Raw,nrES_PID,$D72,nrES_Code,$F72,nrES_Att,1))))))</f>
        <v/>
      </c>
      <c r="N72" s="17">
        <f>IF($C72="","",IF($L72="","",IF($L72&gt;=$J72,"Yes","No")))</f>
        <v/>
      </c>
      <c r="O72" s="17">
        <f>IF($C72="","",IF($M72="","",IF($M72&gt;=$J72,"Yes","No")))</f>
        <v/>
      </c>
      <c r="P72" s="17">
        <f>IF($C72="","",IF($K72="","",IF(COUNTIFS(nrES_PID,$D72,nrES_Code,$F72,nrES_Att,"&gt;"&amp;$K72)=0,"Yes","No")))</f>
        <v/>
      </c>
      <c r="Q72" s="17">
        <f>IF($C72="","",IF($L72="","",IF(AND($K72=1,$L72&lt;$J72,COUNTIFS(nrES_PID,$D72,nrES_Code,$F72,nrES_Att,2)=0),"Yes","No")))</f>
        <v/>
      </c>
      <c r="R72" s="17">
        <f>IF($C72="","",IF($L72="","",IF(AND($K72=2,$L72&lt;$J72,COUNTIFS(nrES_PID,$D72,nrES_Code,$F72,nrES_Att,1)&gt;0),"Yes","No")))</f>
        <v/>
      </c>
      <c r="S72" s="18" t="n"/>
      <c r="T72" s="19">
        <f>IF($Q72&lt;&gt;"Yes","",IF($S72="","(enter date)",_xlfn.LET(_xlpm.dn,IFERROR(_xlfn.XLOOKUP($S72,nrCDdate,nrCDnum),""),IF(_xlpm.dn="","(not a class day)",IFERROR(_xlfn.XLOOKUP(_xlpm.dn+cfgRetestClassDays,nrCDnum,nrCDdate),"")))))</f>
        <v/>
      </c>
      <c r="U72" s="17">
        <f>IF($Q72&lt;&gt;"Yes","",IF(COUNTIFS(nrES_PID,$D72,nrES_Code,$F72,nrES_Att,2)&gt;0,"Retested",IF(OR($T72="",NOT(ISNUMBER($T72))),"Pending",IF(TODAY()&gt;$T72,"OVERDUE","Due "&amp;TEXT($T72,"mm/dd")))))</f>
        <v/>
      </c>
      <c r="V72" s="16" t="n"/>
      <c r="W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IF($C73="","",IF($L73="","",IF($K73=1,IF(COUNTIFS(nrES_PID,$D73,nrES_Code,$F73,nrES_Att,2)&gt;0,"",$L73),IF(COUNTIFS(nrES_PID,$D73,nrES_Code,$F73,nrES_Att,1)=0,$L73,IF($L73&gt;=$J73,cfgRetakeRecordedCap,SUMIFS(nrES_Raw,nrES_PID,$D73,nrES_Code,$F73,nrES_Att,1))))))</f>
        <v/>
      </c>
      <c r="N73" s="17">
        <f>IF($C73="","",IF($L73="","",IF($L73&gt;=$J73,"Yes","No")))</f>
        <v/>
      </c>
      <c r="O73" s="17">
        <f>IF($C73="","",IF($M73="","",IF($M73&gt;=$J73,"Yes","No")))</f>
        <v/>
      </c>
      <c r="P73" s="17">
        <f>IF($C73="","",IF($K73="","",IF(COUNTIFS(nrES_PID,$D73,nrES_Code,$F73,nrES_Att,"&gt;"&amp;$K73)=0,"Yes","No")))</f>
        <v/>
      </c>
      <c r="Q73" s="17">
        <f>IF($C73="","",IF($L73="","",IF(AND($K73=1,$L73&lt;$J73,COUNTIFS(nrES_PID,$D73,nrES_Code,$F73,nrES_Att,2)=0),"Yes","No")))</f>
        <v/>
      </c>
      <c r="R73" s="17">
        <f>IF($C73="","",IF($L73="","",IF(AND($K73=2,$L73&lt;$J73,COUNTIFS(nrES_PID,$D73,nrES_Code,$F73,nrES_Att,1)&gt;0),"Yes","No")))</f>
        <v/>
      </c>
      <c r="S73" s="18" t="n"/>
      <c r="T73" s="19">
        <f>IF($Q73&lt;&gt;"Yes","",IF($S73="","(enter date)",_xlfn.LET(_xlpm.dn,IFERROR(_xlfn.XLOOKUP($S73,nrCDdate,nrCDnum),""),IF(_xlpm.dn="","(not a class day)",IFERROR(_xlfn.XLOOKUP(_xlpm.dn+cfgRetestClassDays,nrCDnum,nrCDdate),"")))))</f>
        <v/>
      </c>
      <c r="U73" s="17">
        <f>IF($Q73&lt;&gt;"Yes","",IF(COUNTIFS(nrES_PID,$D73,nrES_Code,$F73,nrES_Att,2)&gt;0,"Retested",IF(OR($T73="",NOT(ISNUMBER($T73))),"Pending",IF(TODAY()&gt;$T73,"OVERDUE","Due "&amp;TEXT($T73,"mm/dd")))))</f>
        <v/>
      </c>
      <c r="V73" s="16" t="n"/>
      <c r="W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IF($C74="","",IF($L74="","",IF($K74=1,IF(COUNTIFS(nrES_PID,$D74,nrES_Code,$F74,nrES_Att,2)&gt;0,"",$L74),IF(COUNTIFS(nrES_PID,$D74,nrES_Code,$F74,nrES_Att,1)=0,$L74,IF($L74&gt;=$J74,cfgRetakeRecordedCap,SUMIFS(nrES_Raw,nrES_PID,$D74,nrES_Code,$F74,nrES_Att,1))))))</f>
        <v/>
      </c>
      <c r="N74" s="17">
        <f>IF($C74="","",IF($L74="","",IF($L74&gt;=$J74,"Yes","No")))</f>
        <v/>
      </c>
      <c r="O74" s="17">
        <f>IF($C74="","",IF($M74="","",IF($M74&gt;=$J74,"Yes","No")))</f>
        <v/>
      </c>
      <c r="P74" s="17">
        <f>IF($C74="","",IF($K74="","",IF(COUNTIFS(nrES_PID,$D74,nrES_Code,$F74,nrES_Att,"&gt;"&amp;$K74)=0,"Yes","No")))</f>
        <v/>
      </c>
      <c r="Q74" s="17">
        <f>IF($C74="","",IF($L74="","",IF(AND($K74=1,$L74&lt;$J74,COUNTIFS(nrES_PID,$D74,nrES_Code,$F74,nrES_Att,2)=0),"Yes","No")))</f>
        <v/>
      </c>
      <c r="R74" s="17">
        <f>IF($C74="","",IF($L74="","",IF(AND($K74=2,$L74&lt;$J74,COUNTIFS(nrES_PID,$D74,nrES_Code,$F74,nrES_Att,1)&gt;0),"Yes","No")))</f>
        <v/>
      </c>
      <c r="S74" s="18" t="n"/>
      <c r="T74" s="19">
        <f>IF($Q74&lt;&gt;"Yes","",IF($S74="","(enter date)",_xlfn.LET(_xlpm.dn,IFERROR(_xlfn.XLOOKUP($S74,nrCDdate,nrCDnum),""),IF(_xlpm.dn="","(not a class day)",IFERROR(_xlfn.XLOOKUP(_xlpm.dn+cfgRetestClassDays,nrCDnum,nrCDdate),"")))))</f>
        <v/>
      </c>
      <c r="U74" s="17">
        <f>IF($Q74&lt;&gt;"Yes","",IF(COUNTIFS(nrES_PID,$D74,nrES_Code,$F74,nrES_Att,2)&gt;0,"Retested",IF(OR($T74="",NOT(ISNUMBER($T74))),"Pending",IF(TODAY()&gt;$T74,"OVERDUE","Due "&amp;TEXT($T74,"mm/dd")))))</f>
        <v/>
      </c>
      <c r="V74" s="16" t="n"/>
      <c r="W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IF($C75="","",IF($L75="","",IF($K75=1,IF(COUNTIFS(nrES_PID,$D75,nrES_Code,$F75,nrES_Att,2)&gt;0,"",$L75),IF(COUNTIFS(nrES_PID,$D75,nrES_Code,$F75,nrES_Att,1)=0,$L75,IF($L75&gt;=$J75,cfgRetakeRecordedCap,SUMIFS(nrES_Raw,nrES_PID,$D75,nrES_Code,$F75,nrES_Att,1))))))</f>
        <v/>
      </c>
      <c r="N75" s="17">
        <f>IF($C75="","",IF($L75="","",IF($L75&gt;=$J75,"Yes","No")))</f>
        <v/>
      </c>
      <c r="O75" s="17">
        <f>IF($C75="","",IF($M75="","",IF($M75&gt;=$J75,"Yes","No")))</f>
        <v/>
      </c>
      <c r="P75" s="17">
        <f>IF($C75="","",IF($K75="","",IF(COUNTIFS(nrES_PID,$D75,nrES_Code,$F75,nrES_Att,"&gt;"&amp;$K75)=0,"Yes","No")))</f>
        <v/>
      </c>
      <c r="Q75" s="17">
        <f>IF($C75="","",IF($L75="","",IF(AND($K75=1,$L75&lt;$J75,COUNTIFS(nrES_PID,$D75,nrES_Code,$F75,nrES_Att,2)=0),"Yes","No")))</f>
        <v/>
      </c>
      <c r="R75" s="17">
        <f>IF($C75="","",IF($L75="","",IF(AND($K75=2,$L75&lt;$J75,COUNTIFS(nrES_PID,$D75,nrES_Code,$F75,nrES_Att,1)&gt;0),"Yes","No")))</f>
        <v/>
      </c>
      <c r="S75" s="18" t="n"/>
      <c r="T75" s="19">
        <f>IF($Q75&lt;&gt;"Yes","",IF($S75="","(enter date)",_xlfn.LET(_xlpm.dn,IFERROR(_xlfn.XLOOKUP($S75,nrCDdate,nrCDnum),""),IF(_xlpm.dn="","(not a class day)",IFERROR(_xlfn.XLOOKUP(_xlpm.dn+cfgRetestClassDays,nrCDnum,nrCDdate),"")))))</f>
        <v/>
      </c>
      <c r="U75" s="17">
        <f>IF($Q75&lt;&gt;"Yes","",IF(COUNTIFS(nrES_PID,$D75,nrES_Code,$F75,nrES_Att,2)&gt;0,"Retested",IF(OR($T75="",NOT(ISNUMBER($T75))),"Pending",IF(TODAY()&gt;$T75,"OVERDUE","Due "&amp;TEXT($T75,"mm/dd")))))</f>
        <v/>
      </c>
      <c r="V75" s="16" t="n"/>
      <c r="W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IF($C76="","",IF($L76="","",IF($K76=1,IF(COUNTIFS(nrES_PID,$D76,nrES_Code,$F76,nrES_Att,2)&gt;0,"",$L76),IF(COUNTIFS(nrES_PID,$D76,nrES_Code,$F76,nrES_Att,1)=0,$L76,IF($L76&gt;=$J76,cfgRetakeRecordedCap,SUMIFS(nrES_Raw,nrES_PID,$D76,nrES_Code,$F76,nrES_Att,1))))))</f>
        <v/>
      </c>
      <c r="N76" s="17">
        <f>IF($C76="","",IF($L76="","",IF($L76&gt;=$J76,"Yes","No")))</f>
        <v/>
      </c>
      <c r="O76" s="17">
        <f>IF($C76="","",IF($M76="","",IF($M76&gt;=$J76,"Yes","No")))</f>
        <v/>
      </c>
      <c r="P76" s="17">
        <f>IF($C76="","",IF($K76="","",IF(COUNTIFS(nrES_PID,$D76,nrES_Code,$F76,nrES_Att,"&gt;"&amp;$K76)=0,"Yes","No")))</f>
        <v/>
      </c>
      <c r="Q76" s="17">
        <f>IF($C76="","",IF($L76="","",IF(AND($K76=1,$L76&lt;$J76,COUNTIFS(nrES_PID,$D76,nrES_Code,$F76,nrES_Att,2)=0),"Yes","No")))</f>
        <v/>
      </c>
      <c r="R76" s="17">
        <f>IF($C76="","",IF($L76="","",IF(AND($K76=2,$L76&lt;$J76,COUNTIFS(nrES_PID,$D76,nrES_Code,$F76,nrES_Att,1)&gt;0),"Yes","No")))</f>
        <v/>
      </c>
      <c r="S76" s="18" t="n"/>
      <c r="T76" s="19">
        <f>IF($Q76&lt;&gt;"Yes","",IF($S76="","(enter date)",_xlfn.LET(_xlpm.dn,IFERROR(_xlfn.XLOOKUP($S76,nrCDdate,nrCDnum),""),IF(_xlpm.dn="","(not a class day)",IFERROR(_xlfn.XLOOKUP(_xlpm.dn+cfgRetestClassDays,nrCDnum,nrCDdate),"")))))</f>
        <v/>
      </c>
      <c r="U76" s="17">
        <f>IF($Q76&lt;&gt;"Yes","",IF(COUNTIFS(nrES_PID,$D76,nrES_Code,$F76,nrES_Att,2)&gt;0,"Retested",IF(OR($T76="",NOT(ISNUMBER($T76))),"Pending",IF(TODAY()&gt;$T76,"OVERDUE","Due "&amp;TEXT($T76,"mm/dd")))))</f>
        <v/>
      </c>
      <c r="V76" s="16" t="n"/>
      <c r="W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IF($C77="","",IF($L77="","",IF($K77=1,IF(COUNTIFS(nrES_PID,$D77,nrES_Code,$F77,nrES_Att,2)&gt;0,"",$L77),IF(COUNTIFS(nrES_PID,$D77,nrES_Code,$F77,nrES_Att,1)=0,$L77,IF($L77&gt;=$J77,cfgRetakeRecordedCap,SUMIFS(nrES_Raw,nrES_PID,$D77,nrES_Code,$F77,nrES_Att,1))))))</f>
        <v/>
      </c>
      <c r="N77" s="17">
        <f>IF($C77="","",IF($L77="","",IF($L77&gt;=$J77,"Yes","No")))</f>
        <v/>
      </c>
      <c r="O77" s="17">
        <f>IF($C77="","",IF($M77="","",IF($M77&gt;=$J77,"Yes","No")))</f>
        <v/>
      </c>
      <c r="P77" s="17">
        <f>IF($C77="","",IF($K77="","",IF(COUNTIFS(nrES_PID,$D77,nrES_Code,$F77,nrES_Att,"&gt;"&amp;$K77)=0,"Yes","No")))</f>
        <v/>
      </c>
      <c r="Q77" s="17">
        <f>IF($C77="","",IF($L77="","",IF(AND($K77=1,$L77&lt;$J77,COUNTIFS(nrES_PID,$D77,nrES_Code,$F77,nrES_Att,2)=0),"Yes","No")))</f>
        <v/>
      </c>
      <c r="R77" s="17">
        <f>IF($C77="","",IF($L77="","",IF(AND($K77=2,$L77&lt;$J77,COUNTIFS(nrES_PID,$D77,nrES_Code,$F77,nrES_Att,1)&gt;0),"Yes","No")))</f>
        <v/>
      </c>
      <c r="S77" s="18" t="n"/>
      <c r="T77" s="19">
        <f>IF($Q77&lt;&gt;"Yes","",IF($S77="","(enter date)",_xlfn.LET(_xlpm.dn,IFERROR(_xlfn.XLOOKUP($S77,nrCDdate,nrCDnum),""),IF(_xlpm.dn="","(not a class day)",IFERROR(_xlfn.XLOOKUP(_xlpm.dn+cfgRetestClassDays,nrCDnum,nrCDdate),"")))))</f>
        <v/>
      </c>
      <c r="U77" s="17">
        <f>IF($Q77&lt;&gt;"Yes","",IF(COUNTIFS(nrES_PID,$D77,nrES_Code,$F77,nrES_Att,2)&gt;0,"Retested",IF(OR($T77="",NOT(ISNUMBER($T77))),"Pending",IF(TODAY()&gt;$T77,"OVERDUE","Due "&amp;TEXT($T77,"mm/dd")))))</f>
        <v/>
      </c>
      <c r="V77" s="16" t="n"/>
      <c r="W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IF($C78="","",IF($L78="","",IF($K78=1,IF(COUNTIFS(nrES_PID,$D78,nrES_Code,$F78,nrES_Att,2)&gt;0,"",$L78),IF(COUNTIFS(nrES_PID,$D78,nrES_Code,$F78,nrES_Att,1)=0,$L78,IF($L78&gt;=$J78,cfgRetakeRecordedCap,SUMIFS(nrES_Raw,nrES_PID,$D78,nrES_Code,$F78,nrES_Att,1))))))</f>
        <v/>
      </c>
      <c r="N78" s="17">
        <f>IF($C78="","",IF($L78="","",IF($L78&gt;=$J78,"Yes","No")))</f>
        <v/>
      </c>
      <c r="O78" s="17">
        <f>IF($C78="","",IF($M78="","",IF($M78&gt;=$J78,"Yes","No")))</f>
        <v/>
      </c>
      <c r="P78" s="17">
        <f>IF($C78="","",IF($K78="","",IF(COUNTIFS(nrES_PID,$D78,nrES_Code,$F78,nrES_Att,"&gt;"&amp;$K78)=0,"Yes","No")))</f>
        <v/>
      </c>
      <c r="Q78" s="17">
        <f>IF($C78="","",IF($L78="","",IF(AND($K78=1,$L78&lt;$J78,COUNTIFS(nrES_PID,$D78,nrES_Code,$F78,nrES_Att,2)=0),"Yes","No")))</f>
        <v/>
      </c>
      <c r="R78" s="17">
        <f>IF($C78="","",IF($L78="","",IF(AND($K78=2,$L78&lt;$J78,COUNTIFS(nrES_PID,$D78,nrES_Code,$F78,nrES_Att,1)&gt;0),"Yes","No")))</f>
        <v/>
      </c>
      <c r="S78" s="18" t="n"/>
      <c r="T78" s="19">
        <f>IF($Q78&lt;&gt;"Yes","",IF($S78="","(enter date)",_xlfn.LET(_xlpm.dn,IFERROR(_xlfn.XLOOKUP($S78,nrCDdate,nrCDnum),""),IF(_xlpm.dn="","(not a class day)",IFERROR(_xlfn.XLOOKUP(_xlpm.dn+cfgRetestClassDays,nrCDnum,nrCDdate),"")))))</f>
        <v/>
      </c>
      <c r="U78" s="17">
        <f>IF($Q78&lt;&gt;"Yes","",IF(COUNTIFS(nrES_PID,$D78,nrES_Code,$F78,nrES_Att,2)&gt;0,"Retested",IF(OR($T78="",NOT(ISNUMBER($T78))),"Pending",IF(TODAY()&gt;$T78,"OVERDUE","Due "&amp;TEXT($T78,"mm/dd")))))</f>
        <v/>
      </c>
      <c r="V78" s="16" t="n"/>
      <c r="W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IF($C79="","",IF($L79="","",IF($K79=1,IF(COUNTIFS(nrES_PID,$D79,nrES_Code,$F79,nrES_Att,2)&gt;0,"",$L79),IF(COUNTIFS(nrES_PID,$D79,nrES_Code,$F79,nrES_Att,1)=0,$L79,IF($L79&gt;=$J79,cfgRetakeRecordedCap,SUMIFS(nrES_Raw,nrES_PID,$D79,nrES_Code,$F79,nrES_Att,1))))))</f>
        <v/>
      </c>
      <c r="N79" s="17">
        <f>IF($C79="","",IF($L79="","",IF($L79&gt;=$J79,"Yes","No")))</f>
        <v/>
      </c>
      <c r="O79" s="17">
        <f>IF($C79="","",IF($M79="","",IF($M79&gt;=$J79,"Yes","No")))</f>
        <v/>
      </c>
      <c r="P79" s="17">
        <f>IF($C79="","",IF($K79="","",IF(COUNTIFS(nrES_PID,$D79,nrES_Code,$F79,nrES_Att,"&gt;"&amp;$K79)=0,"Yes","No")))</f>
        <v/>
      </c>
      <c r="Q79" s="17">
        <f>IF($C79="","",IF($L79="","",IF(AND($K79=1,$L79&lt;$J79,COUNTIFS(nrES_PID,$D79,nrES_Code,$F79,nrES_Att,2)=0),"Yes","No")))</f>
        <v/>
      </c>
      <c r="R79" s="17">
        <f>IF($C79="","",IF($L79="","",IF(AND($K79=2,$L79&lt;$J79,COUNTIFS(nrES_PID,$D79,nrES_Code,$F79,nrES_Att,1)&gt;0),"Yes","No")))</f>
        <v/>
      </c>
      <c r="S79" s="18" t="n"/>
      <c r="T79" s="19">
        <f>IF($Q79&lt;&gt;"Yes","",IF($S79="","(enter date)",_xlfn.LET(_xlpm.dn,IFERROR(_xlfn.XLOOKUP($S79,nrCDdate,nrCDnum),""),IF(_xlpm.dn="","(not a class day)",IFERROR(_xlfn.XLOOKUP(_xlpm.dn+cfgRetestClassDays,nrCDnum,nrCDdate),"")))))</f>
        <v/>
      </c>
      <c r="U79" s="17">
        <f>IF($Q79&lt;&gt;"Yes","",IF(COUNTIFS(nrES_PID,$D79,nrES_Code,$F79,nrES_Att,2)&gt;0,"Retested",IF(OR($T79="",NOT(ISNUMBER($T79))),"Pending",IF(TODAY()&gt;$T79,"OVERDUE","Due "&amp;TEXT($T79,"mm/dd")))))</f>
        <v/>
      </c>
      <c r="V79" s="16" t="n"/>
      <c r="W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IF($C80="","",IF($L80="","",IF($K80=1,IF(COUNTIFS(nrES_PID,$D80,nrES_Code,$F80,nrES_Att,2)&gt;0,"",$L80),IF(COUNTIFS(nrES_PID,$D80,nrES_Code,$F80,nrES_Att,1)=0,$L80,IF($L80&gt;=$J80,cfgRetakeRecordedCap,SUMIFS(nrES_Raw,nrES_PID,$D80,nrES_Code,$F80,nrES_Att,1))))))</f>
        <v/>
      </c>
      <c r="N80" s="17">
        <f>IF($C80="","",IF($L80="","",IF($L80&gt;=$J80,"Yes","No")))</f>
        <v/>
      </c>
      <c r="O80" s="17">
        <f>IF($C80="","",IF($M80="","",IF($M80&gt;=$J80,"Yes","No")))</f>
        <v/>
      </c>
      <c r="P80" s="17">
        <f>IF($C80="","",IF($K80="","",IF(COUNTIFS(nrES_PID,$D80,nrES_Code,$F80,nrES_Att,"&gt;"&amp;$K80)=0,"Yes","No")))</f>
        <v/>
      </c>
      <c r="Q80" s="17">
        <f>IF($C80="","",IF($L80="","",IF(AND($K80=1,$L80&lt;$J80,COUNTIFS(nrES_PID,$D80,nrES_Code,$F80,nrES_Att,2)=0),"Yes","No")))</f>
        <v/>
      </c>
      <c r="R80" s="17">
        <f>IF($C80="","",IF($L80="","",IF(AND($K80=2,$L80&lt;$J80,COUNTIFS(nrES_PID,$D80,nrES_Code,$F80,nrES_Att,1)&gt;0),"Yes","No")))</f>
        <v/>
      </c>
      <c r="S80" s="18" t="n"/>
      <c r="T80" s="19">
        <f>IF($Q80&lt;&gt;"Yes","",IF($S80="","(enter date)",_xlfn.LET(_xlpm.dn,IFERROR(_xlfn.XLOOKUP($S80,nrCDdate,nrCDnum),""),IF(_xlpm.dn="","(not a class day)",IFERROR(_xlfn.XLOOKUP(_xlpm.dn+cfgRetestClassDays,nrCDnum,nrCDdate),"")))))</f>
        <v/>
      </c>
      <c r="U80" s="17">
        <f>IF($Q80&lt;&gt;"Yes","",IF(COUNTIFS(nrES_PID,$D80,nrES_Code,$F80,nrES_Att,2)&gt;0,"Retested",IF(OR($T80="",NOT(ISNUMBER($T80))),"Pending",IF(TODAY()&gt;$T80,"OVERDUE","Due "&amp;TEXT($T80,"mm/dd")))))</f>
        <v/>
      </c>
      <c r="V80" s="16" t="n"/>
      <c r="W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IF($C81="","",IF($L81="","",IF($K81=1,IF(COUNTIFS(nrES_PID,$D81,nrES_Code,$F81,nrES_Att,2)&gt;0,"",$L81),IF(COUNTIFS(nrES_PID,$D81,nrES_Code,$F81,nrES_Att,1)=0,$L81,IF($L81&gt;=$J81,cfgRetakeRecordedCap,SUMIFS(nrES_Raw,nrES_PID,$D81,nrES_Code,$F81,nrES_Att,1))))))</f>
        <v/>
      </c>
      <c r="N81" s="17">
        <f>IF($C81="","",IF($L81="","",IF($L81&gt;=$J81,"Yes","No")))</f>
        <v/>
      </c>
      <c r="O81" s="17">
        <f>IF($C81="","",IF($M81="","",IF($M81&gt;=$J81,"Yes","No")))</f>
        <v/>
      </c>
      <c r="P81" s="17">
        <f>IF($C81="","",IF($K81="","",IF(COUNTIFS(nrES_PID,$D81,nrES_Code,$F81,nrES_Att,"&gt;"&amp;$K81)=0,"Yes","No")))</f>
        <v/>
      </c>
      <c r="Q81" s="17">
        <f>IF($C81="","",IF($L81="","",IF(AND($K81=1,$L81&lt;$J81,COUNTIFS(nrES_PID,$D81,nrES_Code,$F81,nrES_Att,2)=0),"Yes","No")))</f>
        <v/>
      </c>
      <c r="R81" s="17">
        <f>IF($C81="","",IF($L81="","",IF(AND($K81=2,$L81&lt;$J81,COUNTIFS(nrES_PID,$D81,nrES_Code,$F81,nrES_Att,1)&gt;0),"Yes","No")))</f>
        <v/>
      </c>
      <c r="S81" s="18" t="n"/>
      <c r="T81" s="19">
        <f>IF($Q81&lt;&gt;"Yes","",IF($S81="","(enter date)",_xlfn.LET(_xlpm.dn,IFERROR(_xlfn.XLOOKUP($S81,nrCDdate,nrCDnum),""),IF(_xlpm.dn="","(not a class day)",IFERROR(_xlfn.XLOOKUP(_xlpm.dn+cfgRetestClassDays,nrCDnum,nrCDdate),"")))))</f>
        <v/>
      </c>
      <c r="U81" s="17">
        <f>IF($Q81&lt;&gt;"Yes","",IF(COUNTIFS(nrES_PID,$D81,nrES_Code,$F81,nrES_Att,2)&gt;0,"Retested",IF(OR($T81="",NOT(ISNUMBER($T81))),"Pending",IF(TODAY()&gt;$T81,"OVERDUE","Due "&amp;TEXT($T81,"mm/dd")))))</f>
        <v/>
      </c>
      <c r="V81" s="16" t="n"/>
      <c r="W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IF($C82="","",IF($L82="","",IF($K82=1,IF(COUNTIFS(nrES_PID,$D82,nrES_Code,$F82,nrES_Att,2)&gt;0,"",$L82),IF(COUNTIFS(nrES_PID,$D82,nrES_Code,$F82,nrES_Att,1)=0,$L82,IF($L82&gt;=$J82,cfgRetakeRecordedCap,SUMIFS(nrES_Raw,nrES_PID,$D82,nrES_Code,$F82,nrES_Att,1))))))</f>
        <v/>
      </c>
      <c r="N82" s="17">
        <f>IF($C82="","",IF($L82="","",IF($L82&gt;=$J82,"Yes","No")))</f>
        <v/>
      </c>
      <c r="O82" s="17">
        <f>IF($C82="","",IF($M82="","",IF($M82&gt;=$J82,"Yes","No")))</f>
        <v/>
      </c>
      <c r="P82" s="17">
        <f>IF($C82="","",IF($K82="","",IF(COUNTIFS(nrES_PID,$D82,nrES_Code,$F82,nrES_Att,"&gt;"&amp;$K82)=0,"Yes","No")))</f>
        <v/>
      </c>
      <c r="Q82" s="17">
        <f>IF($C82="","",IF($L82="","",IF(AND($K82=1,$L82&lt;$J82,COUNTIFS(nrES_PID,$D82,nrES_Code,$F82,nrES_Att,2)=0),"Yes","No")))</f>
        <v/>
      </c>
      <c r="R82" s="17">
        <f>IF($C82="","",IF($L82="","",IF(AND($K82=2,$L82&lt;$J82,COUNTIFS(nrES_PID,$D82,nrES_Code,$F82,nrES_Att,1)&gt;0),"Yes","No")))</f>
        <v/>
      </c>
      <c r="S82" s="18" t="n"/>
      <c r="T82" s="19">
        <f>IF($Q82&lt;&gt;"Yes","",IF($S82="","(enter date)",_xlfn.LET(_xlpm.dn,IFERROR(_xlfn.XLOOKUP($S82,nrCDdate,nrCDnum),""),IF(_xlpm.dn="","(not a class day)",IFERROR(_xlfn.XLOOKUP(_xlpm.dn+cfgRetestClassDays,nrCDnum,nrCDdate),"")))))</f>
        <v/>
      </c>
      <c r="U82" s="17">
        <f>IF($Q82&lt;&gt;"Yes","",IF(COUNTIFS(nrES_PID,$D82,nrES_Code,$F82,nrES_Att,2)&gt;0,"Retested",IF(OR($T82="",NOT(ISNUMBER($T82))),"Pending",IF(TODAY()&gt;$T82,"OVERDUE","Due "&amp;TEXT($T82,"mm/dd")))))</f>
        <v/>
      </c>
      <c r="V82" s="16" t="n"/>
      <c r="W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IF($C83="","",IF($L83="","",IF($K83=1,IF(COUNTIFS(nrES_PID,$D83,nrES_Code,$F83,nrES_Att,2)&gt;0,"",$L83),IF(COUNTIFS(nrES_PID,$D83,nrES_Code,$F83,nrES_Att,1)=0,$L83,IF($L83&gt;=$J83,cfgRetakeRecordedCap,SUMIFS(nrES_Raw,nrES_PID,$D83,nrES_Code,$F83,nrES_Att,1))))))</f>
        <v/>
      </c>
      <c r="N83" s="17">
        <f>IF($C83="","",IF($L83="","",IF($L83&gt;=$J83,"Yes","No")))</f>
        <v/>
      </c>
      <c r="O83" s="17">
        <f>IF($C83="","",IF($M83="","",IF($M83&gt;=$J83,"Yes","No")))</f>
        <v/>
      </c>
      <c r="P83" s="17">
        <f>IF($C83="","",IF($K83="","",IF(COUNTIFS(nrES_PID,$D83,nrES_Code,$F83,nrES_Att,"&gt;"&amp;$K83)=0,"Yes","No")))</f>
        <v/>
      </c>
      <c r="Q83" s="17">
        <f>IF($C83="","",IF($L83="","",IF(AND($K83=1,$L83&lt;$J83,COUNTIFS(nrES_PID,$D83,nrES_Code,$F83,nrES_Att,2)=0),"Yes","No")))</f>
        <v/>
      </c>
      <c r="R83" s="17">
        <f>IF($C83="","",IF($L83="","",IF(AND($K83=2,$L83&lt;$J83,COUNTIFS(nrES_PID,$D83,nrES_Code,$F83,nrES_Att,1)&gt;0),"Yes","No")))</f>
        <v/>
      </c>
      <c r="S83" s="18" t="n"/>
      <c r="T83" s="19">
        <f>IF($Q83&lt;&gt;"Yes","",IF($S83="","(enter date)",_xlfn.LET(_xlpm.dn,IFERROR(_xlfn.XLOOKUP($S83,nrCDdate,nrCDnum),""),IF(_xlpm.dn="","(not a class day)",IFERROR(_xlfn.XLOOKUP(_xlpm.dn+cfgRetestClassDays,nrCDnum,nrCDdate),"")))))</f>
        <v/>
      </c>
      <c r="U83" s="17">
        <f>IF($Q83&lt;&gt;"Yes","",IF(COUNTIFS(nrES_PID,$D83,nrES_Code,$F83,nrES_Att,2)&gt;0,"Retested",IF(OR($T83="",NOT(ISNUMBER($T83))),"Pending",IF(TODAY()&gt;$T83,"OVERDUE","Due "&amp;TEXT($T83,"mm/dd")))))</f>
        <v/>
      </c>
      <c r="V83" s="16" t="n"/>
      <c r="W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IF($C84="","",IF($L84="","",IF($K84=1,IF(COUNTIFS(nrES_PID,$D84,nrES_Code,$F84,nrES_Att,2)&gt;0,"",$L84),IF(COUNTIFS(nrES_PID,$D84,nrES_Code,$F84,nrES_Att,1)=0,$L84,IF($L84&gt;=$J84,cfgRetakeRecordedCap,SUMIFS(nrES_Raw,nrES_PID,$D84,nrES_Code,$F84,nrES_Att,1))))))</f>
        <v/>
      </c>
      <c r="N84" s="17">
        <f>IF($C84="","",IF($L84="","",IF($L84&gt;=$J84,"Yes","No")))</f>
        <v/>
      </c>
      <c r="O84" s="17">
        <f>IF($C84="","",IF($M84="","",IF($M84&gt;=$J84,"Yes","No")))</f>
        <v/>
      </c>
      <c r="P84" s="17">
        <f>IF($C84="","",IF($K84="","",IF(COUNTIFS(nrES_PID,$D84,nrES_Code,$F84,nrES_Att,"&gt;"&amp;$K84)=0,"Yes","No")))</f>
        <v/>
      </c>
      <c r="Q84" s="17">
        <f>IF($C84="","",IF($L84="","",IF(AND($K84=1,$L84&lt;$J84,COUNTIFS(nrES_PID,$D84,nrES_Code,$F84,nrES_Att,2)=0),"Yes","No")))</f>
        <v/>
      </c>
      <c r="R84" s="17">
        <f>IF($C84="","",IF($L84="","",IF(AND($K84=2,$L84&lt;$J84,COUNTIFS(nrES_PID,$D84,nrES_Code,$F84,nrES_Att,1)&gt;0),"Yes","No")))</f>
        <v/>
      </c>
      <c r="S84" s="18" t="n"/>
      <c r="T84" s="19">
        <f>IF($Q84&lt;&gt;"Yes","",IF($S84="","(enter date)",_xlfn.LET(_xlpm.dn,IFERROR(_xlfn.XLOOKUP($S84,nrCDdate,nrCDnum),""),IF(_xlpm.dn="","(not a class day)",IFERROR(_xlfn.XLOOKUP(_xlpm.dn+cfgRetestClassDays,nrCDnum,nrCDdate),"")))))</f>
        <v/>
      </c>
      <c r="U84" s="17">
        <f>IF($Q84&lt;&gt;"Yes","",IF(COUNTIFS(nrES_PID,$D84,nrES_Code,$F84,nrES_Att,2)&gt;0,"Retested",IF(OR($T84="",NOT(ISNUMBER($T84))),"Pending",IF(TODAY()&gt;$T84,"OVERDUE","Due "&amp;TEXT($T84,"mm/dd")))))</f>
        <v/>
      </c>
      <c r="V84" s="16" t="n"/>
      <c r="W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IF($C85="","",IF($L85="","",IF($K85=1,IF(COUNTIFS(nrES_PID,$D85,nrES_Code,$F85,nrES_Att,2)&gt;0,"",$L85),IF(COUNTIFS(nrES_PID,$D85,nrES_Code,$F85,nrES_Att,1)=0,$L85,IF($L85&gt;=$J85,cfgRetakeRecordedCap,SUMIFS(nrES_Raw,nrES_PID,$D85,nrES_Code,$F85,nrES_Att,1))))))</f>
        <v/>
      </c>
      <c r="N85" s="17">
        <f>IF($C85="","",IF($L85="","",IF($L85&gt;=$J85,"Yes","No")))</f>
        <v/>
      </c>
      <c r="O85" s="17">
        <f>IF($C85="","",IF($M85="","",IF($M85&gt;=$J85,"Yes","No")))</f>
        <v/>
      </c>
      <c r="P85" s="17">
        <f>IF($C85="","",IF($K85="","",IF(COUNTIFS(nrES_PID,$D85,nrES_Code,$F85,nrES_Att,"&gt;"&amp;$K85)=0,"Yes","No")))</f>
        <v/>
      </c>
      <c r="Q85" s="17">
        <f>IF($C85="","",IF($L85="","",IF(AND($K85=1,$L85&lt;$J85,COUNTIFS(nrES_PID,$D85,nrES_Code,$F85,nrES_Att,2)=0),"Yes","No")))</f>
        <v/>
      </c>
      <c r="R85" s="17">
        <f>IF($C85="","",IF($L85="","",IF(AND($K85=2,$L85&lt;$J85,COUNTIFS(nrES_PID,$D85,nrES_Code,$F85,nrES_Att,1)&gt;0),"Yes","No")))</f>
        <v/>
      </c>
      <c r="S85" s="18" t="n"/>
      <c r="T85" s="19">
        <f>IF($Q85&lt;&gt;"Yes","",IF($S85="","(enter date)",_xlfn.LET(_xlpm.dn,IFERROR(_xlfn.XLOOKUP($S85,nrCDdate,nrCDnum),""),IF(_xlpm.dn="","(not a class day)",IFERROR(_xlfn.XLOOKUP(_xlpm.dn+cfgRetestClassDays,nrCDnum,nrCDdate),"")))))</f>
        <v/>
      </c>
      <c r="U85" s="17">
        <f>IF($Q85&lt;&gt;"Yes","",IF(COUNTIFS(nrES_PID,$D85,nrES_Code,$F85,nrES_Att,2)&gt;0,"Retested",IF(OR($T85="",NOT(ISNUMBER($T85))),"Pending",IF(TODAY()&gt;$T85,"OVERDUE","Due "&amp;TEXT($T85,"mm/dd")))))</f>
        <v/>
      </c>
      <c r="V85" s="16" t="n"/>
      <c r="W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IF($C86="","",IF($L86="","",IF($K86=1,IF(COUNTIFS(nrES_PID,$D86,nrES_Code,$F86,nrES_Att,2)&gt;0,"",$L86),IF(COUNTIFS(nrES_PID,$D86,nrES_Code,$F86,nrES_Att,1)=0,$L86,IF($L86&gt;=$J86,cfgRetakeRecordedCap,SUMIFS(nrES_Raw,nrES_PID,$D86,nrES_Code,$F86,nrES_Att,1))))))</f>
        <v/>
      </c>
      <c r="N86" s="17">
        <f>IF($C86="","",IF($L86="","",IF($L86&gt;=$J86,"Yes","No")))</f>
        <v/>
      </c>
      <c r="O86" s="17">
        <f>IF($C86="","",IF($M86="","",IF($M86&gt;=$J86,"Yes","No")))</f>
        <v/>
      </c>
      <c r="P86" s="17">
        <f>IF($C86="","",IF($K86="","",IF(COUNTIFS(nrES_PID,$D86,nrES_Code,$F86,nrES_Att,"&gt;"&amp;$K86)=0,"Yes","No")))</f>
        <v/>
      </c>
      <c r="Q86" s="17">
        <f>IF($C86="","",IF($L86="","",IF(AND($K86=1,$L86&lt;$J86,COUNTIFS(nrES_PID,$D86,nrES_Code,$F86,nrES_Att,2)=0),"Yes","No")))</f>
        <v/>
      </c>
      <c r="R86" s="17">
        <f>IF($C86="","",IF($L86="","",IF(AND($K86=2,$L86&lt;$J86,COUNTIFS(nrES_PID,$D86,nrES_Code,$F86,nrES_Att,1)&gt;0),"Yes","No")))</f>
        <v/>
      </c>
      <c r="S86" s="18" t="n"/>
      <c r="T86" s="19">
        <f>IF($Q86&lt;&gt;"Yes","",IF($S86="","(enter date)",_xlfn.LET(_xlpm.dn,IFERROR(_xlfn.XLOOKUP($S86,nrCDdate,nrCDnum),""),IF(_xlpm.dn="","(not a class day)",IFERROR(_xlfn.XLOOKUP(_xlpm.dn+cfgRetestClassDays,nrCDnum,nrCDdate),"")))))</f>
        <v/>
      </c>
      <c r="U86" s="17">
        <f>IF($Q86&lt;&gt;"Yes","",IF(COUNTIFS(nrES_PID,$D86,nrES_Code,$F86,nrES_Att,2)&gt;0,"Retested",IF(OR($T86="",NOT(ISNUMBER($T86))),"Pending",IF(TODAY()&gt;$T86,"OVERDUE","Due "&amp;TEXT($T86,"mm/dd")))))</f>
        <v/>
      </c>
      <c r="V86" s="16" t="n"/>
      <c r="W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IF($C87="","",IF($L87="","",IF($K87=1,IF(COUNTIFS(nrES_PID,$D87,nrES_Code,$F87,nrES_Att,2)&gt;0,"",$L87),IF(COUNTIFS(nrES_PID,$D87,nrES_Code,$F87,nrES_Att,1)=0,$L87,IF($L87&gt;=$J87,cfgRetakeRecordedCap,SUMIFS(nrES_Raw,nrES_PID,$D87,nrES_Code,$F87,nrES_Att,1))))))</f>
        <v/>
      </c>
      <c r="N87" s="17">
        <f>IF($C87="","",IF($L87="","",IF($L87&gt;=$J87,"Yes","No")))</f>
        <v/>
      </c>
      <c r="O87" s="17">
        <f>IF($C87="","",IF($M87="","",IF($M87&gt;=$J87,"Yes","No")))</f>
        <v/>
      </c>
      <c r="P87" s="17">
        <f>IF($C87="","",IF($K87="","",IF(COUNTIFS(nrES_PID,$D87,nrES_Code,$F87,nrES_Att,"&gt;"&amp;$K87)=0,"Yes","No")))</f>
        <v/>
      </c>
      <c r="Q87" s="17">
        <f>IF($C87="","",IF($L87="","",IF(AND($K87=1,$L87&lt;$J87,COUNTIFS(nrES_PID,$D87,nrES_Code,$F87,nrES_Att,2)=0),"Yes","No")))</f>
        <v/>
      </c>
      <c r="R87" s="17">
        <f>IF($C87="","",IF($L87="","",IF(AND($K87=2,$L87&lt;$J87,COUNTIFS(nrES_PID,$D87,nrES_Code,$F87,nrES_Att,1)&gt;0),"Yes","No")))</f>
        <v/>
      </c>
      <c r="S87" s="18" t="n"/>
      <c r="T87" s="19">
        <f>IF($Q87&lt;&gt;"Yes","",IF($S87="","(enter date)",_xlfn.LET(_xlpm.dn,IFERROR(_xlfn.XLOOKUP($S87,nrCDdate,nrCDnum),""),IF(_xlpm.dn="","(not a class day)",IFERROR(_xlfn.XLOOKUP(_xlpm.dn+cfgRetestClassDays,nrCDnum,nrCDdate),"")))))</f>
        <v/>
      </c>
      <c r="U87" s="17">
        <f>IF($Q87&lt;&gt;"Yes","",IF(COUNTIFS(nrES_PID,$D87,nrES_Code,$F87,nrES_Att,2)&gt;0,"Retested",IF(OR($T87="",NOT(ISNUMBER($T87))),"Pending",IF(TODAY()&gt;$T87,"OVERDUE","Due "&amp;TEXT($T87,"mm/dd")))))</f>
        <v/>
      </c>
      <c r="V87" s="16" t="n"/>
      <c r="W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IF($C88="","",IF($L88="","",IF($K88=1,IF(COUNTIFS(nrES_PID,$D88,nrES_Code,$F88,nrES_Att,2)&gt;0,"",$L88),IF(COUNTIFS(nrES_PID,$D88,nrES_Code,$F88,nrES_Att,1)=0,$L88,IF($L88&gt;=$J88,cfgRetakeRecordedCap,SUMIFS(nrES_Raw,nrES_PID,$D88,nrES_Code,$F88,nrES_Att,1))))))</f>
        <v/>
      </c>
      <c r="N88" s="17">
        <f>IF($C88="","",IF($L88="","",IF($L88&gt;=$J88,"Yes","No")))</f>
        <v/>
      </c>
      <c r="O88" s="17">
        <f>IF($C88="","",IF($M88="","",IF($M88&gt;=$J88,"Yes","No")))</f>
        <v/>
      </c>
      <c r="P88" s="17">
        <f>IF($C88="","",IF($K88="","",IF(COUNTIFS(nrES_PID,$D88,nrES_Code,$F88,nrES_Att,"&gt;"&amp;$K88)=0,"Yes","No")))</f>
        <v/>
      </c>
      <c r="Q88" s="17">
        <f>IF($C88="","",IF($L88="","",IF(AND($K88=1,$L88&lt;$J88,COUNTIFS(nrES_PID,$D88,nrES_Code,$F88,nrES_Att,2)=0),"Yes","No")))</f>
        <v/>
      </c>
      <c r="R88" s="17">
        <f>IF($C88="","",IF($L88="","",IF(AND($K88=2,$L88&lt;$J88,COUNTIFS(nrES_PID,$D88,nrES_Code,$F88,nrES_Att,1)&gt;0),"Yes","No")))</f>
        <v/>
      </c>
      <c r="S88" s="18" t="n"/>
      <c r="T88" s="19">
        <f>IF($Q88&lt;&gt;"Yes","",IF($S88="","(enter date)",_xlfn.LET(_xlpm.dn,IFERROR(_xlfn.XLOOKUP($S88,nrCDdate,nrCDnum),""),IF(_xlpm.dn="","(not a class day)",IFERROR(_xlfn.XLOOKUP(_xlpm.dn+cfgRetestClassDays,nrCDnum,nrCDdate),"")))))</f>
        <v/>
      </c>
      <c r="U88" s="17">
        <f>IF($Q88&lt;&gt;"Yes","",IF(COUNTIFS(nrES_PID,$D88,nrES_Code,$F88,nrES_Att,2)&gt;0,"Retested",IF(OR($T88="",NOT(ISNUMBER($T88))),"Pending",IF(TODAY()&gt;$T88,"OVERDUE","Due "&amp;TEXT($T88,"mm/dd")))))</f>
        <v/>
      </c>
      <c r="V88" s="16" t="n"/>
      <c r="W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IF($C89="","",IF($L89="","",IF($K89=1,IF(COUNTIFS(nrES_PID,$D89,nrES_Code,$F89,nrES_Att,2)&gt;0,"",$L89),IF(COUNTIFS(nrES_PID,$D89,nrES_Code,$F89,nrES_Att,1)=0,$L89,IF($L89&gt;=$J89,cfgRetakeRecordedCap,SUMIFS(nrES_Raw,nrES_PID,$D89,nrES_Code,$F89,nrES_Att,1))))))</f>
        <v/>
      </c>
      <c r="N89" s="17">
        <f>IF($C89="","",IF($L89="","",IF($L89&gt;=$J89,"Yes","No")))</f>
        <v/>
      </c>
      <c r="O89" s="17">
        <f>IF($C89="","",IF($M89="","",IF($M89&gt;=$J89,"Yes","No")))</f>
        <v/>
      </c>
      <c r="P89" s="17">
        <f>IF($C89="","",IF($K89="","",IF(COUNTIFS(nrES_PID,$D89,nrES_Code,$F89,nrES_Att,"&gt;"&amp;$K89)=0,"Yes","No")))</f>
        <v/>
      </c>
      <c r="Q89" s="17">
        <f>IF($C89="","",IF($L89="","",IF(AND($K89=1,$L89&lt;$J89,COUNTIFS(nrES_PID,$D89,nrES_Code,$F89,nrES_Att,2)=0),"Yes","No")))</f>
        <v/>
      </c>
      <c r="R89" s="17">
        <f>IF($C89="","",IF($L89="","",IF(AND($K89=2,$L89&lt;$J89,COUNTIFS(nrES_PID,$D89,nrES_Code,$F89,nrES_Att,1)&gt;0),"Yes","No")))</f>
        <v/>
      </c>
      <c r="S89" s="18" t="n"/>
      <c r="T89" s="19">
        <f>IF($Q89&lt;&gt;"Yes","",IF($S89="","(enter date)",_xlfn.LET(_xlpm.dn,IFERROR(_xlfn.XLOOKUP($S89,nrCDdate,nrCDnum),""),IF(_xlpm.dn="","(not a class day)",IFERROR(_xlfn.XLOOKUP(_xlpm.dn+cfgRetestClassDays,nrCDnum,nrCDdate),"")))))</f>
        <v/>
      </c>
      <c r="U89" s="17">
        <f>IF($Q89&lt;&gt;"Yes","",IF(COUNTIFS(nrES_PID,$D89,nrES_Code,$F89,nrES_Att,2)&gt;0,"Retested",IF(OR($T89="",NOT(ISNUMBER($T89))),"Pending",IF(TODAY()&gt;$T89,"OVERDUE","Due "&amp;TEXT($T89,"mm/dd")))))</f>
        <v/>
      </c>
      <c r="V89" s="16" t="n"/>
      <c r="W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IF($C90="","",IF($L90="","",IF($K90=1,IF(COUNTIFS(nrES_PID,$D90,nrES_Code,$F90,nrES_Att,2)&gt;0,"",$L90),IF(COUNTIFS(nrES_PID,$D90,nrES_Code,$F90,nrES_Att,1)=0,$L90,IF($L90&gt;=$J90,cfgRetakeRecordedCap,SUMIFS(nrES_Raw,nrES_PID,$D90,nrES_Code,$F90,nrES_Att,1))))))</f>
        <v/>
      </c>
      <c r="N90" s="17">
        <f>IF($C90="","",IF($L90="","",IF($L90&gt;=$J90,"Yes","No")))</f>
        <v/>
      </c>
      <c r="O90" s="17">
        <f>IF($C90="","",IF($M90="","",IF($M90&gt;=$J90,"Yes","No")))</f>
        <v/>
      </c>
      <c r="P90" s="17">
        <f>IF($C90="","",IF($K90="","",IF(COUNTIFS(nrES_PID,$D90,nrES_Code,$F90,nrES_Att,"&gt;"&amp;$K90)=0,"Yes","No")))</f>
        <v/>
      </c>
      <c r="Q90" s="17">
        <f>IF($C90="","",IF($L90="","",IF(AND($K90=1,$L90&lt;$J90,COUNTIFS(nrES_PID,$D90,nrES_Code,$F90,nrES_Att,2)=0),"Yes","No")))</f>
        <v/>
      </c>
      <c r="R90" s="17">
        <f>IF($C90="","",IF($L90="","",IF(AND($K90=2,$L90&lt;$J90,COUNTIFS(nrES_PID,$D90,nrES_Code,$F90,nrES_Att,1)&gt;0),"Yes","No")))</f>
        <v/>
      </c>
      <c r="S90" s="18" t="n"/>
      <c r="T90" s="19">
        <f>IF($Q90&lt;&gt;"Yes","",IF($S90="","(enter date)",_xlfn.LET(_xlpm.dn,IFERROR(_xlfn.XLOOKUP($S90,nrCDdate,nrCDnum),""),IF(_xlpm.dn="","(not a class day)",IFERROR(_xlfn.XLOOKUP(_xlpm.dn+cfgRetestClassDays,nrCDnum,nrCDdate),"")))))</f>
        <v/>
      </c>
      <c r="U90" s="17">
        <f>IF($Q90&lt;&gt;"Yes","",IF(COUNTIFS(nrES_PID,$D90,nrES_Code,$F90,nrES_Att,2)&gt;0,"Retested",IF(OR($T90="",NOT(ISNUMBER($T90))),"Pending",IF(TODAY()&gt;$T90,"OVERDUE","Due "&amp;TEXT($T90,"mm/dd")))))</f>
        <v/>
      </c>
      <c r="V90" s="16" t="n"/>
      <c r="W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IF($C91="","",IF($L91="","",IF($K91=1,IF(COUNTIFS(nrES_PID,$D91,nrES_Code,$F91,nrES_Att,2)&gt;0,"",$L91),IF(COUNTIFS(nrES_PID,$D91,nrES_Code,$F91,nrES_Att,1)=0,$L91,IF($L91&gt;=$J91,cfgRetakeRecordedCap,SUMIFS(nrES_Raw,nrES_PID,$D91,nrES_Code,$F91,nrES_Att,1))))))</f>
        <v/>
      </c>
      <c r="N91" s="17">
        <f>IF($C91="","",IF($L91="","",IF($L91&gt;=$J91,"Yes","No")))</f>
        <v/>
      </c>
      <c r="O91" s="17">
        <f>IF($C91="","",IF($M91="","",IF($M91&gt;=$J91,"Yes","No")))</f>
        <v/>
      </c>
      <c r="P91" s="17">
        <f>IF($C91="","",IF($K91="","",IF(COUNTIFS(nrES_PID,$D91,nrES_Code,$F91,nrES_Att,"&gt;"&amp;$K91)=0,"Yes","No")))</f>
        <v/>
      </c>
      <c r="Q91" s="17">
        <f>IF($C91="","",IF($L91="","",IF(AND($K91=1,$L91&lt;$J91,COUNTIFS(nrES_PID,$D91,nrES_Code,$F91,nrES_Att,2)=0),"Yes","No")))</f>
        <v/>
      </c>
      <c r="R91" s="17">
        <f>IF($C91="","",IF($L91="","",IF(AND($K91=2,$L91&lt;$J91,COUNTIFS(nrES_PID,$D91,nrES_Code,$F91,nrES_Att,1)&gt;0),"Yes","No")))</f>
        <v/>
      </c>
      <c r="S91" s="18" t="n"/>
      <c r="T91" s="19">
        <f>IF($Q91&lt;&gt;"Yes","",IF($S91="","(enter date)",_xlfn.LET(_xlpm.dn,IFERROR(_xlfn.XLOOKUP($S91,nrCDdate,nrCDnum),""),IF(_xlpm.dn="","(not a class day)",IFERROR(_xlfn.XLOOKUP(_xlpm.dn+cfgRetestClassDays,nrCDnum,nrCDdate),"")))))</f>
        <v/>
      </c>
      <c r="U91" s="17">
        <f>IF($Q91&lt;&gt;"Yes","",IF(COUNTIFS(nrES_PID,$D91,nrES_Code,$F91,nrES_Att,2)&gt;0,"Retested",IF(OR($T91="",NOT(ISNUMBER($T91))),"Pending",IF(TODAY()&gt;$T91,"OVERDUE","Due "&amp;TEXT($T91,"mm/dd")))))</f>
        <v/>
      </c>
      <c r="V91" s="16" t="n"/>
      <c r="W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IF($C92="","",IF($L92="","",IF($K92=1,IF(COUNTIFS(nrES_PID,$D92,nrES_Code,$F92,nrES_Att,2)&gt;0,"",$L92),IF(COUNTIFS(nrES_PID,$D92,nrES_Code,$F92,nrES_Att,1)=0,$L92,IF($L92&gt;=$J92,cfgRetakeRecordedCap,SUMIFS(nrES_Raw,nrES_PID,$D92,nrES_Code,$F92,nrES_Att,1))))))</f>
        <v/>
      </c>
      <c r="N92" s="17">
        <f>IF($C92="","",IF($L92="","",IF($L92&gt;=$J92,"Yes","No")))</f>
        <v/>
      </c>
      <c r="O92" s="17">
        <f>IF($C92="","",IF($M92="","",IF($M92&gt;=$J92,"Yes","No")))</f>
        <v/>
      </c>
      <c r="P92" s="17">
        <f>IF($C92="","",IF($K92="","",IF(COUNTIFS(nrES_PID,$D92,nrES_Code,$F92,nrES_Att,"&gt;"&amp;$K92)=0,"Yes","No")))</f>
        <v/>
      </c>
      <c r="Q92" s="17">
        <f>IF($C92="","",IF($L92="","",IF(AND($K92=1,$L92&lt;$J92,COUNTIFS(nrES_PID,$D92,nrES_Code,$F92,nrES_Att,2)=0),"Yes","No")))</f>
        <v/>
      </c>
      <c r="R92" s="17">
        <f>IF($C92="","",IF($L92="","",IF(AND($K92=2,$L92&lt;$J92,COUNTIFS(nrES_PID,$D92,nrES_Code,$F92,nrES_Att,1)&gt;0),"Yes","No")))</f>
        <v/>
      </c>
      <c r="S92" s="18" t="n"/>
      <c r="T92" s="19">
        <f>IF($Q92&lt;&gt;"Yes","",IF($S92="","(enter date)",_xlfn.LET(_xlpm.dn,IFERROR(_xlfn.XLOOKUP($S92,nrCDdate,nrCDnum),""),IF(_xlpm.dn="","(not a class day)",IFERROR(_xlfn.XLOOKUP(_xlpm.dn+cfgRetestClassDays,nrCDnum,nrCDdate),"")))))</f>
        <v/>
      </c>
      <c r="U92" s="17">
        <f>IF($Q92&lt;&gt;"Yes","",IF(COUNTIFS(nrES_PID,$D92,nrES_Code,$F92,nrES_Att,2)&gt;0,"Retested",IF(OR($T92="",NOT(ISNUMBER($T92))),"Pending",IF(TODAY()&gt;$T92,"OVERDUE","Due "&amp;TEXT($T92,"mm/dd")))))</f>
        <v/>
      </c>
      <c r="V92" s="16" t="n"/>
      <c r="W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IF($C93="","",IF($L93="","",IF($K93=1,IF(COUNTIFS(nrES_PID,$D93,nrES_Code,$F93,nrES_Att,2)&gt;0,"",$L93),IF(COUNTIFS(nrES_PID,$D93,nrES_Code,$F93,nrES_Att,1)=0,$L93,IF($L93&gt;=$J93,cfgRetakeRecordedCap,SUMIFS(nrES_Raw,nrES_PID,$D93,nrES_Code,$F93,nrES_Att,1))))))</f>
        <v/>
      </c>
      <c r="N93" s="17">
        <f>IF($C93="","",IF($L93="","",IF($L93&gt;=$J93,"Yes","No")))</f>
        <v/>
      </c>
      <c r="O93" s="17">
        <f>IF($C93="","",IF($M93="","",IF($M93&gt;=$J93,"Yes","No")))</f>
        <v/>
      </c>
      <c r="P93" s="17">
        <f>IF($C93="","",IF($K93="","",IF(COUNTIFS(nrES_PID,$D93,nrES_Code,$F93,nrES_Att,"&gt;"&amp;$K93)=0,"Yes","No")))</f>
        <v/>
      </c>
      <c r="Q93" s="17">
        <f>IF($C93="","",IF($L93="","",IF(AND($K93=1,$L93&lt;$J93,COUNTIFS(nrES_PID,$D93,nrES_Code,$F93,nrES_Att,2)=0),"Yes","No")))</f>
        <v/>
      </c>
      <c r="R93" s="17">
        <f>IF($C93="","",IF($L93="","",IF(AND($K93=2,$L93&lt;$J93,COUNTIFS(nrES_PID,$D93,nrES_Code,$F93,nrES_Att,1)&gt;0),"Yes","No")))</f>
        <v/>
      </c>
      <c r="S93" s="18" t="n"/>
      <c r="T93" s="19">
        <f>IF($Q93&lt;&gt;"Yes","",IF($S93="","(enter date)",_xlfn.LET(_xlpm.dn,IFERROR(_xlfn.XLOOKUP($S93,nrCDdate,nrCDnum),""),IF(_xlpm.dn="","(not a class day)",IFERROR(_xlfn.XLOOKUP(_xlpm.dn+cfgRetestClassDays,nrCDnum,nrCDdate),"")))))</f>
        <v/>
      </c>
      <c r="U93" s="17">
        <f>IF($Q93&lt;&gt;"Yes","",IF(COUNTIFS(nrES_PID,$D93,nrES_Code,$F93,nrES_Att,2)&gt;0,"Retested",IF(OR($T93="",NOT(ISNUMBER($T93))),"Pending",IF(TODAY()&gt;$T93,"OVERDUE","Due "&amp;TEXT($T93,"mm/dd")))))</f>
        <v/>
      </c>
      <c r="V93" s="16" t="n"/>
      <c r="W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IF($C94="","",IF($L94="","",IF($K94=1,IF(COUNTIFS(nrES_PID,$D94,nrES_Code,$F94,nrES_Att,2)&gt;0,"",$L94),IF(COUNTIFS(nrES_PID,$D94,nrES_Code,$F94,nrES_Att,1)=0,$L94,IF($L94&gt;=$J94,cfgRetakeRecordedCap,SUMIFS(nrES_Raw,nrES_PID,$D94,nrES_Code,$F94,nrES_Att,1))))))</f>
        <v/>
      </c>
      <c r="N94" s="17">
        <f>IF($C94="","",IF($L94="","",IF($L94&gt;=$J94,"Yes","No")))</f>
        <v/>
      </c>
      <c r="O94" s="17">
        <f>IF($C94="","",IF($M94="","",IF($M94&gt;=$J94,"Yes","No")))</f>
        <v/>
      </c>
      <c r="P94" s="17">
        <f>IF($C94="","",IF($K94="","",IF(COUNTIFS(nrES_PID,$D94,nrES_Code,$F94,nrES_Att,"&gt;"&amp;$K94)=0,"Yes","No")))</f>
        <v/>
      </c>
      <c r="Q94" s="17">
        <f>IF($C94="","",IF($L94="","",IF(AND($K94=1,$L94&lt;$J94,COUNTIFS(nrES_PID,$D94,nrES_Code,$F94,nrES_Att,2)=0),"Yes","No")))</f>
        <v/>
      </c>
      <c r="R94" s="17">
        <f>IF($C94="","",IF($L94="","",IF(AND($K94=2,$L94&lt;$J94,COUNTIFS(nrES_PID,$D94,nrES_Code,$F94,nrES_Att,1)&gt;0),"Yes","No")))</f>
        <v/>
      </c>
      <c r="S94" s="18" t="n"/>
      <c r="T94" s="19">
        <f>IF($Q94&lt;&gt;"Yes","",IF($S94="","(enter date)",_xlfn.LET(_xlpm.dn,IFERROR(_xlfn.XLOOKUP($S94,nrCDdate,nrCDnum),""),IF(_xlpm.dn="","(not a class day)",IFERROR(_xlfn.XLOOKUP(_xlpm.dn+cfgRetestClassDays,nrCDnum,nrCDdate),"")))))</f>
        <v/>
      </c>
      <c r="U94" s="17">
        <f>IF($Q94&lt;&gt;"Yes","",IF(COUNTIFS(nrES_PID,$D94,nrES_Code,$F94,nrES_Att,2)&gt;0,"Retested",IF(OR($T94="",NOT(ISNUMBER($T94))),"Pending",IF(TODAY()&gt;$T94,"OVERDUE","Due "&amp;TEXT($T94,"mm/dd")))))</f>
        <v/>
      </c>
      <c r="V94" s="16" t="n"/>
      <c r="W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IF($C95="","",IF($L95="","",IF($K95=1,IF(COUNTIFS(nrES_PID,$D95,nrES_Code,$F95,nrES_Att,2)&gt;0,"",$L95),IF(COUNTIFS(nrES_PID,$D95,nrES_Code,$F95,nrES_Att,1)=0,$L95,IF($L95&gt;=$J95,cfgRetakeRecordedCap,SUMIFS(nrES_Raw,nrES_PID,$D95,nrES_Code,$F95,nrES_Att,1))))))</f>
        <v/>
      </c>
      <c r="N95" s="17">
        <f>IF($C95="","",IF($L95="","",IF($L95&gt;=$J95,"Yes","No")))</f>
        <v/>
      </c>
      <c r="O95" s="17">
        <f>IF($C95="","",IF($M95="","",IF($M95&gt;=$J95,"Yes","No")))</f>
        <v/>
      </c>
      <c r="P95" s="17">
        <f>IF($C95="","",IF($K95="","",IF(COUNTIFS(nrES_PID,$D95,nrES_Code,$F95,nrES_Att,"&gt;"&amp;$K95)=0,"Yes","No")))</f>
        <v/>
      </c>
      <c r="Q95" s="17">
        <f>IF($C95="","",IF($L95="","",IF(AND($K95=1,$L95&lt;$J95,COUNTIFS(nrES_PID,$D95,nrES_Code,$F95,nrES_Att,2)=0),"Yes","No")))</f>
        <v/>
      </c>
      <c r="R95" s="17">
        <f>IF($C95="","",IF($L95="","",IF(AND($K95=2,$L95&lt;$J95,COUNTIFS(nrES_PID,$D95,nrES_Code,$F95,nrES_Att,1)&gt;0),"Yes","No")))</f>
        <v/>
      </c>
      <c r="S95" s="18" t="n"/>
      <c r="T95" s="19">
        <f>IF($Q95&lt;&gt;"Yes","",IF($S95="","(enter date)",_xlfn.LET(_xlpm.dn,IFERROR(_xlfn.XLOOKUP($S95,nrCDdate,nrCDnum),""),IF(_xlpm.dn="","(not a class day)",IFERROR(_xlfn.XLOOKUP(_xlpm.dn+cfgRetestClassDays,nrCDnum,nrCDdate),"")))))</f>
        <v/>
      </c>
      <c r="U95" s="17">
        <f>IF($Q95&lt;&gt;"Yes","",IF(COUNTIFS(nrES_PID,$D95,nrES_Code,$F95,nrES_Att,2)&gt;0,"Retested",IF(OR($T95="",NOT(ISNUMBER($T95))),"Pending",IF(TODAY()&gt;$T95,"OVERDUE","Due "&amp;TEXT($T95,"mm/dd")))))</f>
        <v/>
      </c>
      <c r="V95" s="16" t="n"/>
      <c r="W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IF($C96="","",IF($L96="","",IF($K96=1,IF(COUNTIFS(nrES_PID,$D96,nrES_Code,$F96,nrES_Att,2)&gt;0,"",$L96),IF(COUNTIFS(nrES_PID,$D96,nrES_Code,$F96,nrES_Att,1)=0,$L96,IF($L96&gt;=$J96,cfgRetakeRecordedCap,SUMIFS(nrES_Raw,nrES_PID,$D96,nrES_Code,$F96,nrES_Att,1))))))</f>
        <v/>
      </c>
      <c r="N96" s="17">
        <f>IF($C96="","",IF($L96="","",IF($L96&gt;=$J96,"Yes","No")))</f>
        <v/>
      </c>
      <c r="O96" s="17">
        <f>IF($C96="","",IF($M96="","",IF($M96&gt;=$J96,"Yes","No")))</f>
        <v/>
      </c>
      <c r="P96" s="17">
        <f>IF($C96="","",IF($K96="","",IF(COUNTIFS(nrES_PID,$D96,nrES_Code,$F96,nrES_Att,"&gt;"&amp;$K96)=0,"Yes","No")))</f>
        <v/>
      </c>
      <c r="Q96" s="17">
        <f>IF($C96="","",IF($L96="","",IF(AND($K96=1,$L96&lt;$J96,COUNTIFS(nrES_PID,$D96,nrES_Code,$F96,nrES_Att,2)=0),"Yes","No")))</f>
        <v/>
      </c>
      <c r="R96" s="17">
        <f>IF($C96="","",IF($L96="","",IF(AND($K96=2,$L96&lt;$J96,COUNTIFS(nrES_PID,$D96,nrES_Code,$F96,nrES_Att,1)&gt;0),"Yes","No")))</f>
        <v/>
      </c>
      <c r="S96" s="18" t="n"/>
      <c r="T96" s="19">
        <f>IF($Q96&lt;&gt;"Yes","",IF($S96="","(enter date)",_xlfn.LET(_xlpm.dn,IFERROR(_xlfn.XLOOKUP($S96,nrCDdate,nrCDnum),""),IF(_xlpm.dn="","(not a class day)",IFERROR(_xlfn.XLOOKUP(_xlpm.dn+cfgRetestClassDays,nrCDnum,nrCDdate),"")))))</f>
        <v/>
      </c>
      <c r="U96" s="17">
        <f>IF($Q96&lt;&gt;"Yes","",IF(COUNTIFS(nrES_PID,$D96,nrES_Code,$F96,nrES_Att,2)&gt;0,"Retested",IF(OR($T96="",NOT(ISNUMBER($T96))),"Pending",IF(TODAY()&gt;$T96,"OVERDUE","Due "&amp;TEXT($T96,"mm/dd")))))</f>
        <v/>
      </c>
      <c r="V96" s="16" t="n"/>
      <c r="W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IF($C97="","",IF($L97="","",IF($K97=1,IF(COUNTIFS(nrES_PID,$D97,nrES_Code,$F97,nrES_Att,2)&gt;0,"",$L97),IF(COUNTIFS(nrES_PID,$D97,nrES_Code,$F97,nrES_Att,1)=0,$L97,IF($L97&gt;=$J97,cfgRetakeRecordedCap,SUMIFS(nrES_Raw,nrES_PID,$D97,nrES_Code,$F97,nrES_Att,1))))))</f>
        <v/>
      </c>
      <c r="N97" s="17">
        <f>IF($C97="","",IF($L97="","",IF($L97&gt;=$J97,"Yes","No")))</f>
        <v/>
      </c>
      <c r="O97" s="17">
        <f>IF($C97="","",IF($M97="","",IF($M97&gt;=$J97,"Yes","No")))</f>
        <v/>
      </c>
      <c r="P97" s="17">
        <f>IF($C97="","",IF($K97="","",IF(COUNTIFS(nrES_PID,$D97,nrES_Code,$F97,nrES_Att,"&gt;"&amp;$K97)=0,"Yes","No")))</f>
        <v/>
      </c>
      <c r="Q97" s="17">
        <f>IF($C97="","",IF($L97="","",IF(AND($K97=1,$L97&lt;$J97,COUNTIFS(nrES_PID,$D97,nrES_Code,$F97,nrES_Att,2)=0),"Yes","No")))</f>
        <v/>
      </c>
      <c r="R97" s="17">
        <f>IF($C97="","",IF($L97="","",IF(AND($K97=2,$L97&lt;$J97,COUNTIFS(nrES_PID,$D97,nrES_Code,$F97,nrES_Att,1)&gt;0),"Yes","No")))</f>
        <v/>
      </c>
      <c r="S97" s="18" t="n"/>
      <c r="T97" s="19">
        <f>IF($Q97&lt;&gt;"Yes","",IF($S97="","(enter date)",_xlfn.LET(_xlpm.dn,IFERROR(_xlfn.XLOOKUP($S97,nrCDdate,nrCDnum),""),IF(_xlpm.dn="","(not a class day)",IFERROR(_xlfn.XLOOKUP(_xlpm.dn+cfgRetestClassDays,nrCDnum,nrCDdate),"")))))</f>
        <v/>
      </c>
      <c r="U97" s="17">
        <f>IF($Q97&lt;&gt;"Yes","",IF(COUNTIFS(nrES_PID,$D97,nrES_Code,$F97,nrES_Att,2)&gt;0,"Retested",IF(OR($T97="",NOT(ISNUMBER($T97))),"Pending",IF(TODAY()&gt;$T97,"OVERDUE","Due "&amp;TEXT($T97,"mm/dd")))))</f>
        <v/>
      </c>
      <c r="V97" s="16" t="n"/>
      <c r="W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IF($C98="","",IF($L98="","",IF($K98=1,IF(COUNTIFS(nrES_PID,$D98,nrES_Code,$F98,nrES_Att,2)&gt;0,"",$L98),IF(COUNTIFS(nrES_PID,$D98,nrES_Code,$F98,nrES_Att,1)=0,$L98,IF($L98&gt;=$J98,cfgRetakeRecordedCap,SUMIFS(nrES_Raw,nrES_PID,$D98,nrES_Code,$F98,nrES_Att,1))))))</f>
        <v/>
      </c>
      <c r="N98" s="17">
        <f>IF($C98="","",IF($L98="","",IF($L98&gt;=$J98,"Yes","No")))</f>
        <v/>
      </c>
      <c r="O98" s="17">
        <f>IF($C98="","",IF($M98="","",IF($M98&gt;=$J98,"Yes","No")))</f>
        <v/>
      </c>
      <c r="P98" s="17">
        <f>IF($C98="","",IF($K98="","",IF(COUNTIFS(nrES_PID,$D98,nrES_Code,$F98,nrES_Att,"&gt;"&amp;$K98)=0,"Yes","No")))</f>
        <v/>
      </c>
      <c r="Q98" s="17">
        <f>IF($C98="","",IF($L98="","",IF(AND($K98=1,$L98&lt;$J98,COUNTIFS(nrES_PID,$D98,nrES_Code,$F98,nrES_Att,2)=0),"Yes","No")))</f>
        <v/>
      </c>
      <c r="R98" s="17">
        <f>IF($C98="","",IF($L98="","",IF(AND($K98=2,$L98&lt;$J98,COUNTIFS(nrES_PID,$D98,nrES_Code,$F98,nrES_Att,1)&gt;0),"Yes","No")))</f>
        <v/>
      </c>
      <c r="S98" s="18" t="n"/>
      <c r="T98" s="19">
        <f>IF($Q98&lt;&gt;"Yes","",IF($S98="","(enter date)",_xlfn.LET(_xlpm.dn,IFERROR(_xlfn.XLOOKUP($S98,nrCDdate,nrCDnum),""),IF(_xlpm.dn="","(not a class day)",IFERROR(_xlfn.XLOOKUP(_xlpm.dn+cfgRetestClassDays,nrCDnum,nrCDdate),"")))))</f>
        <v/>
      </c>
      <c r="U98" s="17">
        <f>IF($Q98&lt;&gt;"Yes","",IF(COUNTIFS(nrES_PID,$D98,nrES_Code,$F98,nrES_Att,2)&gt;0,"Retested",IF(OR($T98="",NOT(ISNUMBER($T98))),"Pending",IF(TODAY()&gt;$T98,"OVERDUE","Due "&amp;TEXT($T98,"mm/dd")))))</f>
        <v/>
      </c>
      <c r="V98" s="16" t="n"/>
      <c r="W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IF($C99="","",IF($L99="","",IF($K99=1,IF(COUNTIFS(nrES_PID,$D99,nrES_Code,$F99,nrES_Att,2)&gt;0,"",$L99),IF(COUNTIFS(nrES_PID,$D99,nrES_Code,$F99,nrES_Att,1)=0,$L99,IF($L99&gt;=$J99,cfgRetakeRecordedCap,SUMIFS(nrES_Raw,nrES_PID,$D99,nrES_Code,$F99,nrES_Att,1))))))</f>
        <v/>
      </c>
      <c r="N99" s="17">
        <f>IF($C99="","",IF($L99="","",IF($L99&gt;=$J99,"Yes","No")))</f>
        <v/>
      </c>
      <c r="O99" s="17">
        <f>IF($C99="","",IF($M99="","",IF($M99&gt;=$J99,"Yes","No")))</f>
        <v/>
      </c>
      <c r="P99" s="17">
        <f>IF($C99="","",IF($K99="","",IF(COUNTIFS(nrES_PID,$D99,nrES_Code,$F99,nrES_Att,"&gt;"&amp;$K99)=0,"Yes","No")))</f>
        <v/>
      </c>
      <c r="Q99" s="17">
        <f>IF($C99="","",IF($L99="","",IF(AND($K99=1,$L99&lt;$J99,COUNTIFS(nrES_PID,$D99,nrES_Code,$F99,nrES_Att,2)=0),"Yes","No")))</f>
        <v/>
      </c>
      <c r="R99" s="17">
        <f>IF($C99="","",IF($L99="","",IF(AND($K99=2,$L99&lt;$J99,COUNTIFS(nrES_PID,$D99,nrES_Code,$F99,nrES_Att,1)&gt;0),"Yes","No")))</f>
        <v/>
      </c>
      <c r="S99" s="18" t="n"/>
      <c r="T99" s="19">
        <f>IF($Q99&lt;&gt;"Yes","",IF($S99="","(enter date)",_xlfn.LET(_xlpm.dn,IFERROR(_xlfn.XLOOKUP($S99,nrCDdate,nrCDnum),""),IF(_xlpm.dn="","(not a class day)",IFERROR(_xlfn.XLOOKUP(_xlpm.dn+cfgRetestClassDays,nrCDnum,nrCDdate),"")))))</f>
        <v/>
      </c>
      <c r="U99" s="17">
        <f>IF($Q99&lt;&gt;"Yes","",IF(COUNTIFS(nrES_PID,$D99,nrES_Code,$F99,nrES_Att,2)&gt;0,"Retested",IF(OR($T99="",NOT(ISNUMBER($T99))),"Pending",IF(TODAY()&gt;$T99,"OVERDUE","Due "&amp;TEXT($T99,"mm/dd")))))</f>
        <v/>
      </c>
      <c r="V99" s="16" t="n"/>
      <c r="W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IF($C100="","",IF($L100="","",IF($K100=1,IF(COUNTIFS(nrES_PID,$D100,nrES_Code,$F100,nrES_Att,2)&gt;0,"",$L100),IF(COUNTIFS(nrES_PID,$D100,nrES_Code,$F100,nrES_Att,1)=0,$L100,IF($L100&gt;=$J100,cfgRetakeRecordedCap,SUMIFS(nrES_Raw,nrES_PID,$D100,nrES_Code,$F100,nrES_Att,1))))))</f>
        <v/>
      </c>
      <c r="N100" s="17">
        <f>IF($C100="","",IF($L100="","",IF($L100&gt;=$J100,"Yes","No")))</f>
        <v/>
      </c>
      <c r="O100" s="17">
        <f>IF($C100="","",IF($M100="","",IF($M100&gt;=$J100,"Yes","No")))</f>
        <v/>
      </c>
      <c r="P100" s="17">
        <f>IF($C100="","",IF($K100="","",IF(COUNTIFS(nrES_PID,$D100,nrES_Code,$F100,nrES_Att,"&gt;"&amp;$K100)=0,"Yes","No")))</f>
        <v/>
      </c>
      <c r="Q100" s="17">
        <f>IF($C100="","",IF($L100="","",IF(AND($K100=1,$L100&lt;$J100,COUNTIFS(nrES_PID,$D100,nrES_Code,$F100,nrES_Att,2)=0),"Yes","No")))</f>
        <v/>
      </c>
      <c r="R100" s="17">
        <f>IF($C100="","",IF($L100="","",IF(AND($K100=2,$L100&lt;$J100,COUNTIFS(nrES_PID,$D100,nrES_Code,$F100,nrES_Att,1)&gt;0),"Yes","No")))</f>
        <v/>
      </c>
      <c r="S100" s="18" t="n"/>
      <c r="T100" s="19">
        <f>IF($Q100&lt;&gt;"Yes","",IF($S100="","(enter date)",_xlfn.LET(_xlpm.dn,IFERROR(_xlfn.XLOOKUP($S100,nrCDdate,nrCDnum),""),IF(_xlpm.dn="","(not a class day)",IFERROR(_xlfn.XLOOKUP(_xlpm.dn+cfgRetestClassDays,nrCDnum,nrCDdate),"")))))</f>
        <v/>
      </c>
      <c r="U100" s="17">
        <f>IF($Q100&lt;&gt;"Yes","",IF(COUNTIFS(nrES_PID,$D100,nrES_Code,$F100,nrES_Att,2)&gt;0,"Retested",IF(OR($T100="",NOT(ISNUMBER($T100))),"Pending",IF(TODAY()&gt;$T100,"OVERDUE","Due "&amp;TEXT($T100,"mm/dd")))))</f>
        <v/>
      </c>
      <c r="V100" s="16" t="n"/>
      <c r="W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IF($C101="","",IF($L101="","",IF($K101=1,IF(COUNTIFS(nrES_PID,$D101,nrES_Code,$F101,nrES_Att,2)&gt;0,"",$L101),IF(COUNTIFS(nrES_PID,$D101,nrES_Code,$F101,nrES_Att,1)=0,$L101,IF($L101&gt;=$J101,cfgRetakeRecordedCap,SUMIFS(nrES_Raw,nrES_PID,$D101,nrES_Code,$F101,nrES_Att,1))))))</f>
        <v/>
      </c>
      <c r="N101" s="17">
        <f>IF($C101="","",IF($L101="","",IF($L101&gt;=$J101,"Yes","No")))</f>
        <v/>
      </c>
      <c r="O101" s="17">
        <f>IF($C101="","",IF($M101="","",IF($M101&gt;=$J101,"Yes","No")))</f>
        <v/>
      </c>
      <c r="P101" s="17">
        <f>IF($C101="","",IF($K101="","",IF(COUNTIFS(nrES_PID,$D101,nrES_Code,$F101,nrES_Att,"&gt;"&amp;$K101)=0,"Yes","No")))</f>
        <v/>
      </c>
      <c r="Q101" s="17">
        <f>IF($C101="","",IF($L101="","",IF(AND($K101=1,$L101&lt;$J101,COUNTIFS(nrES_PID,$D101,nrES_Code,$F101,nrES_Att,2)=0),"Yes","No")))</f>
        <v/>
      </c>
      <c r="R101" s="17">
        <f>IF($C101="","",IF($L101="","",IF(AND($K101=2,$L101&lt;$J101,COUNTIFS(nrES_PID,$D101,nrES_Code,$F101,nrES_Att,1)&gt;0),"Yes","No")))</f>
        <v/>
      </c>
      <c r="S101" s="18" t="n"/>
      <c r="T101" s="19">
        <f>IF($Q101&lt;&gt;"Yes","",IF($S101="","(enter date)",_xlfn.LET(_xlpm.dn,IFERROR(_xlfn.XLOOKUP($S101,nrCDdate,nrCDnum),""),IF(_xlpm.dn="","(not a class day)",IFERROR(_xlfn.XLOOKUP(_xlpm.dn+cfgRetestClassDays,nrCDnum,nrCDdate),"")))))</f>
        <v/>
      </c>
      <c r="U101" s="17">
        <f>IF($Q101&lt;&gt;"Yes","",IF(COUNTIFS(nrES_PID,$D101,nrES_Code,$F101,nrES_Att,2)&gt;0,"Retested",IF(OR($T101="",NOT(ISNUMBER($T101))),"Pending",IF(TODAY()&gt;$T101,"OVERDUE","Due "&amp;TEXT($T101,"mm/dd")))))</f>
        <v/>
      </c>
      <c r="V101" s="16" t="n"/>
      <c r="W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IF($C102="","",IF($L102="","",IF($K102=1,IF(COUNTIFS(nrES_PID,$D102,nrES_Code,$F102,nrES_Att,2)&gt;0,"",$L102),IF(COUNTIFS(nrES_PID,$D102,nrES_Code,$F102,nrES_Att,1)=0,$L102,IF($L102&gt;=$J102,cfgRetakeRecordedCap,SUMIFS(nrES_Raw,nrES_PID,$D102,nrES_Code,$F102,nrES_Att,1))))))</f>
        <v/>
      </c>
      <c r="N102" s="17">
        <f>IF($C102="","",IF($L102="","",IF($L102&gt;=$J102,"Yes","No")))</f>
        <v/>
      </c>
      <c r="O102" s="17">
        <f>IF($C102="","",IF($M102="","",IF($M102&gt;=$J102,"Yes","No")))</f>
        <v/>
      </c>
      <c r="P102" s="17">
        <f>IF($C102="","",IF($K102="","",IF(COUNTIFS(nrES_PID,$D102,nrES_Code,$F102,nrES_Att,"&gt;"&amp;$K102)=0,"Yes","No")))</f>
        <v/>
      </c>
      <c r="Q102" s="17">
        <f>IF($C102="","",IF($L102="","",IF(AND($K102=1,$L102&lt;$J102,COUNTIFS(nrES_PID,$D102,nrES_Code,$F102,nrES_Att,2)=0),"Yes","No")))</f>
        <v/>
      </c>
      <c r="R102" s="17">
        <f>IF($C102="","",IF($L102="","",IF(AND($K102=2,$L102&lt;$J102,COUNTIFS(nrES_PID,$D102,nrES_Code,$F102,nrES_Att,1)&gt;0),"Yes","No")))</f>
        <v/>
      </c>
      <c r="S102" s="18" t="n"/>
      <c r="T102" s="19">
        <f>IF($Q102&lt;&gt;"Yes","",IF($S102="","(enter date)",_xlfn.LET(_xlpm.dn,IFERROR(_xlfn.XLOOKUP($S102,nrCDdate,nrCDnum),""),IF(_xlpm.dn="","(not a class day)",IFERROR(_xlfn.XLOOKUP(_xlpm.dn+cfgRetestClassDays,nrCDnum,nrCDdate),"")))))</f>
        <v/>
      </c>
      <c r="U102" s="17">
        <f>IF($Q102&lt;&gt;"Yes","",IF(COUNTIFS(nrES_PID,$D102,nrES_Code,$F102,nrES_Att,2)&gt;0,"Retested",IF(OR($T102="",NOT(ISNUMBER($T102))),"Pending",IF(TODAY()&gt;$T102,"OVERDUE","Due "&amp;TEXT($T102,"mm/dd")))))</f>
        <v/>
      </c>
      <c r="V102" s="16" t="n"/>
      <c r="W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IF($C103="","",IF($L103="","",IF($K103=1,IF(COUNTIFS(nrES_PID,$D103,nrES_Code,$F103,nrES_Att,2)&gt;0,"",$L103),IF(COUNTIFS(nrES_PID,$D103,nrES_Code,$F103,nrES_Att,1)=0,$L103,IF($L103&gt;=$J103,cfgRetakeRecordedCap,SUMIFS(nrES_Raw,nrES_PID,$D103,nrES_Code,$F103,nrES_Att,1))))))</f>
        <v/>
      </c>
      <c r="N103" s="17">
        <f>IF($C103="","",IF($L103="","",IF($L103&gt;=$J103,"Yes","No")))</f>
        <v/>
      </c>
      <c r="O103" s="17">
        <f>IF($C103="","",IF($M103="","",IF($M103&gt;=$J103,"Yes","No")))</f>
        <v/>
      </c>
      <c r="P103" s="17">
        <f>IF($C103="","",IF($K103="","",IF(COUNTIFS(nrES_PID,$D103,nrES_Code,$F103,nrES_Att,"&gt;"&amp;$K103)=0,"Yes","No")))</f>
        <v/>
      </c>
      <c r="Q103" s="17">
        <f>IF($C103="","",IF($L103="","",IF(AND($K103=1,$L103&lt;$J103,COUNTIFS(nrES_PID,$D103,nrES_Code,$F103,nrES_Att,2)=0),"Yes","No")))</f>
        <v/>
      </c>
      <c r="R103" s="17">
        <f>IF($C103="","",IF($L103="","",IF(AND($K103=2,$L103&lt;$J103,COUNTIFS(nrES_PID,$D103,nrES_Code,$F103,nrES_Att,1)&gt;0),"Yes","No")))</f>
        <v/>
      </c>
      <c r="S103" s="18" t="n"/>
      <c r="T103" s="19">
        <f>IF($Q103&lt;&gt;"Yes","",IF($S103="","(enter date)",_xlfn.LET(_xlpm.dn,IFERROR(_xlfn.XLOOKUP($S103,nrCDdate,nrCDnum),""),IF(_xlpm.dn="","(not a class day)",IFERROR(_xlfn.XLOOKUP(_xlpm.dn+cfgRetestClassDays,nrCDnum,nrCDdate),"")))))</f>
        <v/>
      </c>
      <c r="U103" s="17">
        <f>IF($Q103&lt;&gt;"Yes","",IF(COUNTIFS(nrES_PID,$D103,nrES_Code,$F103,nrES_Att,2)&gt;0,"Retested",IF(OR($T103="",NOT(ISNUMBER($T103))),"Pending",IF(TODAY()&gt;$T103,"OVERDUE","Due "&amp;TEXT($T103,"mm/dd")))))</f>
        <v/>
      </c>
      <c r="V103" s="16" t="n"/>
      <c r="W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IF($C104="","",IF($L104="","",IF($K104=1,IF(COUNTIFS(nrES_PID,$D104,nrES_Code,$F104,nrES_Att,2)&gt;0,"",$L104),IF(COUNTIFS(nrES_PID,$D104,nrES_Code,$F104,nrES_Att,1)=0,$L104,IF($L104&gt;=$J104,cfgRetakeRecordedCap,SUMIFS(nrES_Raw,nrES_PID,$D104,nrES_Code,$F104,nrES_Att,1))))))</f>
        <v/>
      </c>
      <c r="N104" s="17">
        <f>IF($C104="","",IF($L104="","",IF($L104&gt;=$J104,"Yes","No")))</f>
        <v/>
      </c>
      <c r="O104" s="17">
        <f>IF($C104="","",IF($M104="","",IF($M104&gt;=$J104,"Yes","No")))</f>
        <v/>
      </c>
      <c r="P104" s="17">
        <f>IF($C104="","",IF($K104="","",IF(COUNTIFS(nrES_PID,$D104,nrES_Code,$F104,nrES_Att,"&gt;"&amp;$K104)=0,"Yes","No")))</f>
        <v/>
      </c>
      <c r="Q104" s="17">
        <f>IF($C104="","",IF($L104="","",IF(AND($K104=1,$L104&lt;$J104,COUNTIFS(nrES_PID,$D104,nrES_Code,$F104,nrES_Att,2)=0),"Yes","No")))</f>
        <v/>
      </c>
      <c r="R104" s="17">
        <f>IF($C104="","",IF($L104="","",IF(AND($K104=2,$L104&lt;$J104,COUNTIFS(nrES_PID,$D104,nrES_Code,$F104,nrES_Att,1)&gt;0),"Yes","No")))</f>
        <v/>
      </c>
      <c r="S104" s="18" t="n"/>
      <c r="T104" s="19">
        <f>IF($Q104&lt;&gt;"Yes","",IF($S104="","(enter date)",_xlfn.LET(_xlpm.dn,IFERROR(_xlfn.XLOOKUP($S104,nrCDdate,nrCDnum),""),IF(_xlpm.dn="","(not a class day)",IFERROR(_xlfn.XLOOKUP(_xlpm.dn+cfgRetestClassDays,nrCDnum,nrCDdate),"")))))</f>
        <v/>
      </c>
      <c r="U104" s="17">
        <f>IF($Q104&lt;&gt;"Yes","",IF(COUNTIFS(nrES_PID,$D104,nrES_Code,$F104,nrES_Att,2)&gt;0,"Retested",IF(OR($T104="",NOT(ISNUMBER($T104))),"Pending",IF(TODAY()&gt;$T104,"OVERDUE","Due "&amp;TEXT($T104,"mm/dd")))))</f>
        <v/>
      </c>
      <c r="V104" s="16" t="n"/>
      <c r="W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IF($C105="","",IF($L105="","",IF($K105=1,IF(COUNTIFS(nrES_PID,$D105,nrES_Code,$F105,nrES_Att,2)&gt;0,"",$L105),IF(COUNTIFS(nrES_PID,$D105,nrES_Code,$F105,nrES_Att,1)=0,$L105,IF($L105&gt;=$J105,cfgRetakeRecordedCap,SUMIFS(nrES_Raw,nrES_PID,$D105,nrES_Code,$F105,nrES_Att,1))))))</f>
        <v/>
      </c>
      <c r="N105" s="17">
        <f>IF($C105="","",IF($L105="","",IF($L105&gt;=$J105,"Yes","No")))</f>
        <v/>
      </c>
      <c r="O105" s="17">
        <f>IF($C105="","",IF($M105="","",IF($M105&gt;=$J105,"Yes","No")))</f>
        <v/>
      </c>
      <c r="P105" s="17">
        <f>IF($C105="","",IF($K105="","",IF(COUNTIFS(nrES_PID,$D105,nrES_Code,$F105,nrES_Att,"&gt;"&amp;$K105)=0,"Yes","No")))</f>
        <v/>
      </c>
      <c r="Q105" s="17">
        <f>IF($C105="","",IF($L105="","",IF(AND($K105=1,$L105&lt;$J105,COUNTIFS(nrES_PID,$D105,nrES_Code,$F105,nrES_Att,2)=0),"Yes","No")))</f>
        <v/>
      </c>
      <c r="R105" s="17">
        <f>IF($C105="","",IF($L105="","",IF(AND($K105=2,$L105&lt;$J105,COUNTIFS(nrES_PID,$D105,nrES_Code,$F105,nrES_Att,1)&gt;0),"Yes","No")))</f>
        <v/>
      </c>
      <c r="S105" s="18" t="n"/>
      <c r="T105" s="19">
        <f>IF($Q105&lt;&gt;"Yes","",IF($S105="","(enter date)",_xlfn.LET(_xlpm.dn,IFERROR(_xlfn.XLOOKUP($S105,nrCDdate,nrCDnum),""),IF(_xlpm.dn="","(not a class day)",IFERROR(_xlfn.XLOOKUP(_xlpm.dn+cfgRetestClassDays,nrCDnum,nrCDdate),"")))))</f>
        <v/>
      </c>
      <c r="U105" s="17">
        <f>IF($Q105&lt;&gt;"Yes","",IF(COUNTIFS(nrES_PID,$D105,nrES_Code,$F105,nrES_Att,2)&gt;0,"Retested",IF(OR($T105="",NOT(ISNUMBER($T105))),"Pending",IF(TODAY()&gt;$T105,"OVERDUE","Due "&amp;TEXT($T105,"mm/dd")))))</f>
        <v/>
      </c>
      <c r="V105" s="16" t="n"/>
      <c r="W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IF($C106="","",IF($L106="","",IF($K106=1,IF(COUNTIFS(nrES_PID,$D106,nrES_Code,$F106,nrES_Att,2)&gt;0,"",$L106),IF(COUNTIFS(nrES_PID,$D106,nrES_Code,$F106,nrES_Att,1)=0,$L106,IF($L106&gt;=$J106,cfgRetakeRecordedCap,SUMIFS(nrES_Raw,nrES_PID,$D106,nrES_Code,$F106,nrES_Att,1))))))</f>
        <v/>
      </c>
      <c r="N106" s="17">
        <f>IF($C106="","",IF($L106="","",IF($L106&gt;=$J106,"Yes","No")))</f>
        <v/>
      </c>
      <c r="O106" s="17">
        <f>IF($C106="","",IF($M106="","",IF($M106&gt;=$J106,"Yes","No")))</f>
        <v/>
      </c>
      <c r="P106" s="17">
        <f>IF($C106="","",IF($K106="","",IF(COUNTIFS(nrES_PID,$D106,nrES_Code,$F106,nrES_Att,"&gt;"&amp;$K106)=0,"Yes","No")))</f>
        <v/>
      </c>
      <c r="Q106" s="17">
        <f>IF($C106="","",IF($L106="","",IF(AND($K106=1,$L106&lt;$J106,COUNTIFS(nrES_PID,$D106,nrES_Code,$F106,nrES_Att,2)=0),"Yes","No")))</f>
        <v/>
      </c>
      <c r="R106" s="17">
        <f>IF($C106="","",IF($L106="","",IF(AND($K106=2,$L106&lt;$J106,COUNTIFS(nrES_PID,$D106,nrES_Code,$F106,nrES_Att,1)&gt;0),"Yes","No")))</f>
        <v/>
      </c>
      <c r="S106" s="18" t="n"/>
      <c r="T106" s="19">
        <f>IF($Q106&lt;&gt;"Yes","",IF($S106="","(enter date)",_xlfn.LET(_xlpm.dn,IFERROR(_xlfn.XLOOKUP($S106,nrCDdate,nrCDnum),""),IF(_xlpm.dn="","(not a class day)",IFERROR(_xlfn.XLOOKUP(_xlpm.dn+cfgRetestClassDays,nrCDnum,nrCDdate),"")))))</f>
        <v/>
      </c>
      <c r="U106" s="17">
        <f>IF($Q106&lt;&gt;"Yes","",IF(COUNTIFS(nrES_PID,$D106,nrES_Code,$F106,nrES_Att,2)&gt;0,"Retested",IF(OR($T106="",NOT(ISNUMBER($T106))),"Pending",IF(TODAY()&gt;$T106,"OVERDUE","Due "&amp;TEXT($T106,"mm/dd")))))</f>
        <v/>
      </c>
      <c r="V106" s="16" t="n"/>
      <c r="W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IF($C107="","",IF($L107="","",IF($K107=1,IF(COUNTIFS(nrES_PID,$D107,nrES_Code,$F107,nrES_Att,2)&gt;0,"",$L107),IF(COUNTIFS(nrES_PID,$D107,nrES_Code,$F107,nrES_Att,1)=0,$L107,IF($L107&gt;=$J107,cfgRetakeRecordedCap,SUMIFS(nrES_Raw,nrES_PID,$D107,nrES_Code,$F107,nrES_Att,1))))))</f>
        <v/>
      </c>
      <c r="N107" s="17">
        <f>IF($C107="","",IF($L107="","",IF($L107&gt;=$J107,"Yes","No")))</f>
        <v/>
      </c>
      <c r="O107" s="17">
        <f>IF($C107="","",IF($M107="","",IF($M107&gt;=$J107,"Yes","No")))</f>
        <v/>
      </c>
      <c r="P107" s="17">
        <f>IF($C107="","",IF($K107="","",IF(COUNTIFS(nrES_PID,$D107,nrES_Code,$F107,nrES_Att,"&gt;"&amp;$K107)=0,"Yes","No")))</f>
        <v/>
      </c>
      <c r="Q107" s="17">
        <f>IF($C107="","",IF($L107="","",IF(AND($K107=1,$L107&lt;$J107,COUNTIFS(nrES_PID,$D107,nrES_Code,$F107,nrES_Att,2)=0),"Yes","No")))</f>
        <v/>
      </c>
      <c r="R107" s="17">
        <f>IF($C107="","",IF($L107="","",IF(AND($K107=2,$L107&lt;$J107,COUNTIFS(nrES_PID,$D107,nrES_Code,$F107,nrES_Att,1)&gt;0),"Yes","No")))</f>
        <v/>
      </c>
      <c r="S107" s="18" t="n"/>
      <c r="T107" s="19">
        <f>IF($Q107&lt;&gt;"Yes","",IF($S107="","(enter date)",_xlfn.LET(_xlpm.dn,IFERROR(_xlfn.XLOOKUP($S107,nrCDdate,nrCDnum),""),IF(_xlpm.dn="","(not a class day)",IFERROR(_xlfn.XLOOKUP(_xlpm.dn+cfgRetestClassDays,nrCDnum,nrCDdate),"")))))</f>
        <v/>
      </c>
      <c r="U107" s="17">
        <f>IF($Q107&lt;&gt;"Yes","",IF(COUNTIFS(nrES_PID,$D107,nrES_Code,$F107,nrES_Att,2)&gt;0,"Retested",IF(OR($T107="",NOT(ISNUMBER($T107))),"Pending",IF(TODAY()&gt;$T107,"OVERDUE","Due "&amp;TEXT($T107,"mm/dd")))))</f>
        <v/>
      </c>
      <c r="V107" s="16" t="n"/>
      <c r="W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IF($C108="","",IF($L108="","",IF($K108=1,IF(COUNTIFS(nrES_PID,$D108,nrES_Code,$F108,nrES_Att,2)&gt;0,"",$L108),IF(COUNTIFS(nrES_PID,$D108,nrES_Code,$F108,nrES_Att,1)=0,$L108,IF($L108&gt;=$J108,cfgRetakeRecordedCap,SUMIFS(nrES_Raw,nrES_PID,$D108,nrES_Code,$F108,nrES_Att,1))))))</f>
        <v/>
      </c>
      <c r="N108" s="17">
        <f>IF($C108="","",IF($L108="","",IF($L108&gt;=$J108,"Yes","No")))</f>
        <v/>
      </c>
      <c r="O108" s="17">
        <f>IF($C108="","",IF($M108="","",IF($M108&gt;=$J108,"Yes","No")))</f>
        <v/>
      </c>
      <c r="P108" s="17">
        <f>IF($C108="","",IF($K108="","",IF(COUNTIFS(nrES_PID,$D108,nrES_Code,$F108,nrES_Att,"&gt;"&amp;$K108)=0,"Yes","No")))</f>
        <v/>
      </c>
      <c r="Q108" s="17">
        <f>IF($C108="","",IF($L108="","",IF(AND($K108=1,$L108&lt;$J108,COUNTIFS(nrES_PID,$D108,nrES_Code,$F108,nrES_Att,2)=0),"Yes","No")))</f>
        <v/>
      </c>
      <c r="R108" s="17">
        <f>IF($C108="","",IF($L108="","",IF(AND($K108=2,$L108&lt;$J108,COUNTIFS(nrES_PID,$D108,nrES_Code,$F108,nrES_Att,1)&gt;0),"Yes","No")))</f>
        <v/>
      </c>
      <c r="S108" s="18" t="n"/>
      <c r="T108" s="19">
        <f>IF($Q108&lt;&gt;"Yes","",IF($S108="","(enter date)",_xlfn.LET(_xlpm.dn,IFERROR(_xlfn.XLOOKUP($S108,nrCDdate,nrCDnum),""),IF(_xlpm.dn="","(not a class day)",IFERROR(_xlfn.XLOOKUP(_xlpm.dn+cfgRetestClassDays,nrCDnum,nrCDdate),"")))))</f>
        <v/>
      </c>
      <c r="U108" s="17">
        <f>IF($Q108&lt;&gt;"Yes","",IF(COUNTIFS(nrES_PID,$D108,nrES_Code,$F108,nrES_Att,2)&gt;0,"Retested",IF(OR($T108="",NOT(ISNUMBER($T108))),"Pending",IF(TODAY()&gt;$T108,"OVERDUE","Due "&amp;TEXT($T108,"mm/dd")))))</f>
        <v/>
      </c>
      <c r="V108" s="16" t="n"/>
      <c r="W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IF($C109="","",IF($L109="","",IF($K109=1,IF(COUNTIFS(nrES_PID,$D109,nrES_Code,$F109,nrES_Att,2)&gt;0,"",$L109),IF(COUNTIFS(nrES_PID,$D109,nrES_Code,$F109,nrES_Att,1)=0,$L109,IF($L109&gt;=$J109,cfgRetakeRecordedCap,SUMIFS(nrES_Raw,nrES_PID,$D109,nrES_Code,$F109,nrES_Att,1))))))</f>
        <v/>
      </c>
      <c r="N109" s="17">
        <f>IF($C109="","",IF($L109="","",IF($L109&gt;=$J109,"Yes","No")))</f>
        <v/>
      </c>
      <c r="O109" s="17">
        <f>IF($C109="","",IF($M109="","",IF($M109&gt;=$J109,"Yes","No")))</f>
        <v/>
      </c>
      <c r="P109" s="17">
        <f>IF($C109="","",IF($K109="","",IF(COUNTIFS(nrES_PID,$D109,nrES_Code,$F109,nrES_Att,"&gt;"&amp;$K109)=0,"Yes","No")))</f>
        <v/>
      </c>
      <c r="Q109" s="17">
        <f>IF($C109="","",IF($L109="","",IF(AND($K109=1,$L109&lt;$J109,COUNTIFS(nrES_PID,$D109,nrES_Code,$F109,nrES_Att,2)=0),"Yes","No")))</f>
        <v/>
      </c>
      <c r="R109" s="17">
        <f>IF($C109="","",IF($L109="","",IF(AND($K109=2,$L109&lt;$J109,COUNTIFS(nrES_PID,$D109,nrES_Code,$F109,nrES_Att,1)&gt;0),"Yes","No")))</f>
        <v/>
      </c>
      <c r="S109" s="18" t="n"/>
      <c r="T109" s="19">
        <f>IF($Q109&lt;&gt;"Yes","",IF($S109="","(enter date)",_xlfn.LET(_xlpm.dn,IFERROR(_xlfn.XLOOKUP($S109,nrCDdate,nrCDnum),""),IF(_xlpm.dn="","(not a class day)",IFERROR(_xlfn.XLOOKUP(_xlpm.dn+cfgRetestClassDays,nrCDnum,nrCDdate),"")))))</f>
        <v/>
      </c>
      <c r="U109" s="17">
        <f>IF($Q109&lt;&gt;"Yes","",IF(COUNTIFS(nrES_PID,$D109,nrES_Code,$F109,nrES_Att,2)&gt;0,"Retested",IF(OR($T109="",NOT(ISNUMBER($T109))),"Pending",IF(TODAY()&gt;$T109,"OVERDUE","Due "&amp;TEXT($T109,"mm/dd")))))</f>
        <v/>
      </c>
      <c r="V109" s="16" t="n"/>
      <c r="W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IF($C110="","",IF($L110="","",IF($K110=1,IF(COUNTIFS(nrES_PID,$D110,nrES_Code,$F110,nrES_Att,2)&gt;0,"",$L110),IF(COUNTIFS(nrES_PID,$D110,nrES_Code,$F110,nrES_Att,1)=0,$L110,IF($L110&gt;=$J110,cfgRetakeRecordedCap,SUMIFS(nrES_Raw,nrES_PID,$D110,nrES_Code,$F110,nrES_Att,1))))))</f>
        <v/>
      </c>
      <c r="N110" s="17">
        <f>IF($C110="","",IF($L110="","",IF($L110&gt;=$J110,"Yes","No")))</f>
        <v/>
      </c>
      <c r="O110" s="17">
        <f>IF($C110="","",IF($M110="","",IF($M110&gt;=$J110,"Yes","No")))</f>
        <v/>
      </c>
      <c r="P110" s="17">
        <f>IF($C110="","",IF($K110="","",IF(COUNTIFS(nrES_PID,$D110,nrES_Code,$F110,nrES_Att,"&gt;"&amp;$K110)=0,"Yes","No")))</f>
        <v/>
      </c>
      <c r="Q110" s="17">
        <f>IF($C110="","",IF($L110="","",IF(AND($K110=1,$L110&lt;$J110,COUNTIFS(nrES_PID,$D110,nrES_Code,$F110,nrES_Att,2)=0),"Yes","No")))</f>
        <v/>
      </c>
      <c r="R110" s="17">
        <f>IF($C110="","",IF($L110="","",IF(AND($K110=2,$L110&lt;$J110,COUNTIFS(nrES_PID,$D110,nrES_Code,$F110,nrES_Att,1)&gt;0),"Yes","No")))</f>
        <v/>
      </c>
      <c r="S110" s="18" t="n"/>
      <c r="T110" s="19">
        <f>IF($Q110&lt;&gt;"Yes","",IF($S110="","(enter date)",_xlfn.LET(_xlpm.dn,IFERROR(_xlfn.XLOOKUP($S110,nrCDdate,nrCDnum),""),IF(_xlpm.dn="","(not a class day)",IFERROR(_xlfn.XLOOKUP(_xlpm.dn+cfgRetestClassDays,nrCDnum,nrCDdate),"")))))</f>
        <v/>
      </c>
      <c r="U110" s="17">
        <f>IF($Q110&lt;&gt;"Yes","",IF(COUNTIFS(nrES_PID,$D110,nrES_Code,$F110,nrES_Att,2)&gt;0,"Retested",IF(OR($T110="",NOT(ISNUMBER($T110))),"Pending",IF(TODAY()&gt;$T110,"OVERDUE","Due "&amp;TEXT($T110,"mm/dd")))))</f>
        <v/>
      </c>
      <c r="V110" s="16" t="n"/>
      <c r="W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IF($C111="","",IF($L111="","",IF($K111=1,IF(COUNTIFS(nrES_PID,$D111,nrES_Code,$F111,nrES_Att,2)&gt;0,"",$L111),IF(COUNTIFS(nrES_PID,$D111,nrES_Code,$F111,nrES_Att,1)=0,$L111,IF($L111&gt;=$J111,cfgRetakeRecordedCap,SUMIFS(nrES_Raw,nrES_PID,$D111,nrES_Code,$F111,nrES_Att,1))))))</f>
        <v/>
      </c>
      <c r="N111" s="17">
        <f>IF($C111="","",IF($L111="","",IF($L111&gt;=$J111,"Yes","No")))</f>
        <v/>
      </c>
      <c r="O111" s="17">
        <f>IF($C111="","",IF($M111="","",IF($M111&gt;=$J111,"Yes","No")))</f>
        <v/>
      </c>
      <c r="P111" s="17">
        <f>IF($C111="","",IF($K111="","",IF(COUNTIFS(nrES_PID,$D111,nrES_Code,$F111,nrES_Att,"&gt;"&amp;$K111)=0,"Yes","No")))</f>
        <v/>
      </c>
      <c r="Q111" s="17">
        <f>IF($C111="","",IF($L111="","",IF(AND($K111=1,$L111&lt;$J111,COUNTIFS(nrES_PID,$D111,nrES_Code,$F111,nrES_Att,2)=0),"Yes","No")))</f>
        <v/>
      </c>
      <c r="R111" s="17">
        <f>IF($C111="","",IF($L111="","",IF(AND($K111=2,$L111&lt;$J111,COUNTIFS(nrES_PID,$D111,nrES_Code,$F111,nrES_Att,1)&gt;0),"Yes","No")))</f>
        <v/>
      </c>
      <c r="S111" s="18" t="n"/>
      <c r="T111" s="19">
        <f>IF($Q111&lt;&gt;"Yes","",IF($S111="","(enter date)",_xlfn.LET(_xlpm.dn,IFERROR(_xlfn.XLOOKUP($S111,nrCDdate,nrCDnum),""),IF(_xlpm.dn="","(not a class day)",IFERROR(_xlfn.XLOOKUP(_xlpm.dn+cfgRetestClassDays,nrCDnum,nrCDdate),"")))))</f>
        <v/>
      </c>
      <c r="U111" s="17">
        <f>IF($Q111&lt;&gt;"Yes","",IF(COUNTIFS(nrES_PID,$D111,nrES_Code,$F111,nrES_Att,2)&gt;0,"Retested",IF(OR($T111="",NOT(ISNUMBER($T111))),"Pending",IF(TODAY()&gt;$T111,"OVERDUE","Due "&amp;TEXT($T111,"mm/dd")))))</f>
        <v/>
      </c>
      <c r="V111" s="16" t="n"/>
      <c r="W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IF($C112="","",IF($L112="","",IF($K112=1,IF(COUNTIFS(nrES_PID,$D112,nrES_Code,$F112,nrES_Att,2)&gt;0,"",$L112),IF(COUNTIFS(nrES_PID,$D112,nrES_Code,$F112,nrES_Att,1)=0,$L112,IF($L112&gt;=$J112,cfgRetakeRecordedCap,SUMIFS(nrES_Raw,nrES_PID,$D112,nrES_Code,$F112,nrES_Att,1))))))</f>
        <v/>
      </c>
      <c r="N112" s="17">
        <f>IF($C112="","",IF($L112="","",IF($L112&gt;=$J112,"Yes","No")))</f>
        <v/>
      </c>
      <c r="O112" s="17">
        <f>IF($C112="","",IF($M112="","",IF($M112&gt;=$J112,"Yes","No")))</f>
        <v/>
      </c>
      <c r="P112" s="17">
        <f>IF($C112="","",IF($K112="","",IF(COUNTIFS(nrES_PID,$D112,nrES_Code,$F112,nrES_Att,"&gt;"&amp;$K112)=0,"Yes","No")))</f>
        <v/>
      </c>
      <c r="Q112" s="17">
        <f>IF($C112="","",IF($L112="","",IF(AND($K112=1,$L112&lt;$J112,COUNTIFS(nrES_PID,$D112,nrES_Code,$F112,nrES_Att,2)=0),"Yes","No")))</f>
        <v/>
      </c>
      <c r="R112" s="17">
        <f>IF($C112="","",IF($L112="","",IF(AND($K112=2,$L112&lt;$J112,COUNTIFS(nrES_PID,$D112,nrES_Code,$F112,nrES_Att,1)&gt;0),"Yes","No")))</f>
        <v/>
      </c>
      <c r="S112" s="18" t="n"/>
      <c r="T112" s="19">
        <f>IF($Q112&lt;&gt;"Yes","",IF($S112="","(enter date)",_xlfn.LET(_xlpm.dn,IFERROR(_xlfn.XLOOKUP($S112,nrCDdate,nrCDnum),""),IF(_xlpm.dn="","(not a class day)",IFERROR(_xlfn.XLOOKUP(_xlpm.dn+cfgRetestClassDays,nrCDnum,nrCDdate),"")))))</f>
        <v/>
      </c>
      <c r="U112" s="17">
        <f>IF($Q112&lt;&gt;"Yes","",IF(COUNTIFS(nrES_PID,$D112,nrES_Code,$F112,nrES_Att,2)&gt;0,"Retested",IF(OR($T112="",NOT(ISNUMBER($T112))),"Pending",IF(TODAY()&gt;$T112,"OVERDUE","Due "&amp;TEXT($T112,"mm/dd")))))</f>
        <v/>
      </c>
      <c r="V112" s="16" t="n"/>
      <c r="W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IF($C113="","",IF($L113="","",IF($K113=1,IF(COUNTIFS(nrES_PID,$D113,nrES_Code,$F113,nrES_Att,2)&gt;0,"",$L113),IF(COUNTIFS(nrES_PID,$D113,nrES_Code,$F113,nrES_Att,1)=0,$L113,IF($L113&gt;=$J113,cfgRetakeRecordedCap,SUMIFS(nrES_Raw,nrES_PID,$D113,nrES_Code,$F113,nrES_Att,1))))))</f>
        <v/>
      </c>
      <c r="N113" s="17">
        <f>IF($C113="","",IF($L113="","",IF($L113&gt;=$J113,"Yes","No")))</f>
        <v/>
      </c>
      <c r="O113" s="17">
        <f>IF($C113="","",IF($M113="","",IF($M113&gt;=$J113,"Yes","No")))</f>
        <v/>
      </c>
      <c r="P113" s="17">
        <f>IF($C113="","",IF($K113="","",IF(COUNTIFS(nrES_PID,$D113,nrES_Code,$F113,nrES_Att,"&gt;"&amp;$K113)=0,"Yes","No")))</f>
        <v/>
      </c>
      <c r="Q113" s="17">
        <f>IF($C113="","",IF($L113="","",IF(AND($K113=1,$L113&lt;$J113,COUNTIFS(nrES_PID,$D113,nrES_Code,$F113,nrES_Att,2)=0),"Yes","No")))</f>
        <v/>
      </c>
      <c r="R113" s="17">
        <f>IF($C113="","",IF($L113="","",IF(AND($K113=2,$L113&lt;$J113,COUNTIFS(nrES_PID,$D113,nrES_Code,$F113,nrES_Att,1)&gt;0),"Yes","No")))</f>
        <v/>
      </c>
      <c r="S113" s="18" t="n"/>
      <c r="T113" s="19">
        <f>IF($Q113&lt;&gt;"Yes","",IF($S113="","(enter date)",_xlfn.LET(_xlpm.dn,IFERROR(_xlfn.XLOOKUP($S113,nrCDdate,nrCDnum),""),IF(_xlpm.dn="","(not a class day)",IFERROR(_xlfn.XLOOKUP(_xlpm.dn+cfgRetestClassDays,nrCDnum,nrCDdate),"")))))</f>
        <v/>
      </c>
      <c r="U113" s="17">
        <f>IF($Q113&lt;&gt;"Yes","",IF(COUNTIFS(nrES_PID,$D113,nrES_Code,$F113,nrES_Att,2)&gt;0,"Retested",IF(OR($T113="",NOT(ISNUMBER($T113))),"Pending",IF(TODAY()&gt;$T113,"OVERDUE","Due "&amp;TEXT($T113,"mm/dd")))))</f>
        <v/>
      </c>
      <c r="V113" s="16" t="n"/>
      <c r="W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IF($C114="","",IF($L114="","",IF($K114=1,IF(COUNTIFS(nrES_PID,$D114,nrES_Code,$F114,nrES_Att,2)&gt;0,"",$L114),IF(COUNTIFS(nrES_PID,$D114,nrES_Code,$F114,nrES_Att,1)=0,$L114,IF($L114&gt;=$J114,cfgRetakeRecordedCap,SUMIFS(nrES_Raw,nrES_PID,$D114,nrES_Code,$F114,nrES_Att,1))))))</f>
        <v/>
      </c>
      <c r="N114" s="17">
        <f>IF($C114="","",IF($L114="","",IF($L114&gt;=$J114,"Yes","No")))</f>
        <v/>
      </c>
      <c r="O114" s="17">
        <f>IF($C114="","",IF($M114="","",IF($M114&gt;=$J114,"Yes","No")))</f>
        <v/>
      </c>
      <c r="P114" s="17">
        <f>IF($C114="","",IF($K114="","",IF(COUNTIFS(nrES_PID,$D114,nrES_Code,$F114,nrES_Att,"&gt;"&amp;$K114)=0,"Yes","No")))</f>
        <v/>
      </c>
      <c r="Q114" s="17">
        <f>IF($C114="","",IF($L114="","",IF(AND($K114=1,$L114&lt;$J114,COUNTIFS(nrES_PID,$D114,nrES_Code,$F114,nrES_Att,2)=0),"Yes","No")))</f>
        <v/>
      </c>
      <c r="R114" s="17">
        <f>IF($C114="","",IF($L114="","",IF(AND($K114=2,$L114&lt;$J114,COUNTIFS(nrES_PID,$D114,nrES_Code,$F114,nrES_Att,1)&gt;0),"Yes","No")))</f>
        <v/>
      </c>
      <c r="S114" s="18" t="n"/>
      <c r="T114" s="19">
        <f>IF($Q114&lt;&gt;"Yes","",IF($S114="","(enter date)",_xlfn.LET(_xlpm.dn,IFERROR(_xlfn.XLOOKUP($S114,nrCDdate,nrCDnum),""),IF(_xlpm.dn="","(not a class day)",IFERROR(_xlfn.XLOOKUP(_xlpm.dn+cfgRetestClassDays,nrCDnum,nrCDdate),"")))))</f>
        <v/>
      </c>
      <c r="U114" s="17">
        <f>IF($Q114&lt;&gt;"Yes","",IF(COUNTIFS(nrES_PID,$D114,nrES_Code,$F114,nrES_Att,2)&gt;0,"Retested",IF(OR($T114="",NOT(ISNUMBER($T114))),"Pending",IF(TODAY()&gt;$T114,"OVERDUE","Due "&amp;TEXT($T114,"mm/dd")))))</f>
        <v/>
      </c>
      <c r="V114" s="16" t="n"/>
      <c r="W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IF($C115="","",IF($L115="","",IF($K115=1,IF(COUNTIFS(nrES_PID,$D115,nrES_Code,$F115,nrES_Att,2)&gt;0,"",$L115),IF(COUNTIFS(nrES_PID,$D115,nrES_Code,$F115,nrES_Att,1)=0,$L115,IF($L115&gt;=$J115,cfgRetakeRecordedCap,SUMIFS(nrES_Raw,nrES_PID,$D115,nrES_Code,$F115,nrES_Att,1))))))</f>
        <v/>
      </c>
      <c r="N115" s="17">
        <f>IF($C115="","",IF($L115="","",IF($L115&gt;=$J115,"Yes","No")))</f>
        <v/>
      </c>
      <c r="O115" s="17">
        <f>IF($C115="","",IF($M115="","",IF($M115&gt;=$J115,"Yes","No")))</f>
        <v/>
      </c>
      <c r="P115" s="17">
        <f>IF($C115="","",IF($K115="","",IF(COUNTIFS(nrES_PID,$D115,nrES_Code,$F115,nrES_Att,"&gt;"&amp;$K115)=0,"Yes","No")))</f>
        <v/>
      </c>
      <c r="Q115" s="17">
        <f>IF($C115="","",IF($L115="","",IF(AND($K115=1,$L115&lt;$J115,COUNTIFS(nrES_PID,$D115,nrES_Code,$F115,nrES_Att,2)=0),"Yes","No")))</f>
        <v/>
      </c>
      <c r="R115" s="17">
        <f>IF($C115="","",IF($L115="","",IF(AND($K115=2,$L115&lt;$J115,COUNTIFS(nrES_PID,$D115,nrES_Code,$F115,nrES_Att,1)&gt;0),"Yes","No")))</f>
        <v/>
      </c>
      <c r="S115" s="18" t="n"/>
      <c r="T115" s="19">
        <f>IF($Q115&lt;&gt;"Yes","",IF($S115="","(enter date)",_xlfn.LET(_xlpm.dn,IFERROR(_xlfn.XLOOKUP($S115,nrCDdate,nrCDnum),""),IF(_xlpm.dn="","(not a class day)",IFERROR(_xlfn.XLOOKUP(_xlpm.dn+cfgRetestClassDays,nrCDnum,nrCDdate),"")))))</f>
        <v/>
      </c>
      <c r="U115" s="17">
        <f>IF($Q115&lt;&gt;"Yes","",IF(COUNTIFS(nrES_PID,$D115,nrES_Code,$F115,nrES_Att,2)&gt;0,"Retested",IF(OR($T115="",NOT(ISNUMBER($T115))),"Pending",IF(TODAY()&gt;$T115,"OVERDUE","Due "&amp;TEXT($T115,"mm/dd")))))</f>
        <v/>
      </c>
      <c r="V115" s="16" t="n"/>
      <c r="W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IF($C116="","",IF($L116="","",IF($K116=1,IF(COUNTIFS(nrES_PID,$D116,nrES_Code,$F116,nrES_Att,2)&gt;0,"",$L116),IF(COUNTIFS(nrES_PID,$D116,nrES_Code,$F116,nrES_Att,1)=0,$L116,IF($L116&gt;=$J116,cfgRetakeRecordedCap,SUMIFS(nrES_Raw,nrES_PID,$D116,nrES_Code,$F116,nrES_Att,1))))))</f>
        <v/>
      </c>
      <c r="N116" s="17">
        <f>IF($C116="","",IF($L116="","",IF($L116&gt;=$J116,"Yes","No")))</f>
        <v/>
      </c>
      <c r="O116" s="17">
        <f>IF($C116="","",IF($M116="","",IF($M116&gt;=$J116,"Yes","No")))</f>
        <v/>
      </c>
      <c r="P116" s="17">
        <f>IF($C116="","",IF($K116="","",IF(COUNTIFS(nrES_PID,$D116,nrES_Code,$F116,nrES_Att,"&gt;"&amp;$K116)=0,"Yes","No")))</f>
        <v/>
      </c>
      <c r="Q116" s="17">
        <f>IF($C116="","",IF($L116="","",IF(AND($K116=1,$L116&lt;$J116,COUNTIFS(nrES_PID,$D116,nrES_Code,$F116,nrES_Att,2)=0),"Yes","No")))</f>
        <v/>
      </c>
      <c r="R116" s="17">
        <f>IF($C116="","",IF($L116="","",IF(AND($K116=2,$L116&lt;$J116,COUNTIFS(nrES_PID,$D116,nrES_Code,$F116,nrES_Att,1)&gt;0),"Yes","No")))</f>
        <v/>
      </c>
      <c r="S116" s="18" t="n"/>
      <c r="T116" s="19">
        <f>IF($Q116&lt;&gt;"Yes","",IF($S116="","(enter date)",_xlfn.LET(_xlpm.dn,IFERROR(_xlfn.XLOOKUP($S116,nrCDdate,nrCDnum),""),IF(_xlpm.dn="","(not a class day)",IFERROR(_xlfn.XLOOKUP(_xlpm.dn+cfgRetestClassDays,nrCDnum,nrCDdate),"")))))</f>
        <v/>
      </c>
      <c r="U116" s="17">
        <f>IF($Q116&lt;&gt;"Yes","",IF(COUNTIFS(nrES_PID,$D116,nrES_Code,$F116,nrES_Att,2)&gt;0,"Retested",IF(OR($T116="",NOT(ISNUMBER($T116))),"Pending",IF(TODAY()&gt;$T116,"OVERDUE","Due "&amp;TEXT($T116,"mm/dd")))))</f>
        <v/>
      </c>
      <c r="V116" s="16" t="n"/>
      <c r="W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IF($C117="","",IF($L117="","",IF($K117=1,IF(COUNTIFS(nrES_PID,$D117,nrES_Code,$F117,nrES_Att,2)&gt;0,"",$L117),IF(COUNTIFS(nrES_PID,$D117,nrES_Code,$F117,nrES_Att,1)=0,$L117,IF($L117&gt;=$J117,cfgRetakeRecordedCap,SUMIFS(nrES_Raw,nrES_PID,$D117,nrES_Code,$F117,nrES_Att,1))))))</f>
        <v/>
      </c>
      <c r="N117" s="17">
        <f>IF($C117="","",IF($L117="","",IF($L117&gt;=$J117,"Yes","No")))</f>
        <v/>
      </c>
      <c r="O117" s="17">
        <f>IF($C117="","",IF($M117="","",IF($M117&gt;=$J117,"Yes","No")))</f>
        <v/>
      </c>
      <c r="P117" s="17">
        <f>IF($C117="","",IF($K117="","",IF(COUNTIFS(nrES_PID,$D117,nrES_Code,$F117,nrES_Att,"&gt;"&amp;$K117)=0,"Yes","No")))</f>
        <v/>
      </c>
      <c r="Q117" s="17">
        <f>IF($C117="","",IF($L117="","",IF(AND($K117=1,$L117&lt;$J117,COUNTIFS(nrES_PID,$D117,nrES_Code,$F117,nrES_Att,2)=0),"Yes","No")))</f>
        <v/>
      </c>
      <c r="R117" s="17">
        <f>IF($C117="","",IF($L117="","",IF(AND($K117=2,$L117&lt;$J117,COUNTIFS(nrES_PID,$D117,nrES_Code,$F117,nrES_Att,1)&gt;0),"Yes","No")))</f>
        <v/>
      </c>
      <c r="S117" s="18" t="n"/>
      <c r="T117" s="19">
        <f>IF($Q117&lt;&gt;"Yes","",IF($S117="","(enter date)",_xlfn.LET(_xlpm.dn,IFERROR(_xlfn.XLOOKUP($S117,nrCDdate,nrCDnum),""),IF(_xlpm.dn="","(not a class day)",IFERROR(_xlfn.XLOOKUP(_xlpm.dn+cfgRetestClassDays,nrCDnum,nrCDdate),"")))))</f>
        <v/>
      </c>
      <c r="U117" s="17">
        <f>IF($Q117&lt;&gt;"Yes","",IF(COUNTIFS(nrES_PID,$D117,nrES_Code,$F117,nrES_Att,2)&gt;0,"Retested",IF(OR($T117="",NOT(ISNUMBER($T117))),"Pending",IF(TODAY()&gt;$T117,"OVERDUE","Due "&amp;TEXT($T117,"mm/dd")))))</f>
        <v/>
      </c>
      <c r="V117" s="16" t="n"/>
      <c r="W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IF($C118="","",IF($L118="","",IF($K118=1,IF(COUNTIFS(nrES_PID,$D118,nrES_Code,$F118,nrES_Att,2)&gt;0,"",$L118),IF(COUNTIFS(nrES_PID,$D118,nrES_Code,$F118,nrES_Att,1)=0,$L118,IF($L118&gt;=$J118,cfgRetakeRecordedCap,SUMIFS(nrES_Raw,nrES_PID,$D118,nrES_Code,$F118,nrES_Att,1))))))</f>
        <v/>
      </c>
      <c r="N118" s="17">
        <f>IF($C118="","",IF($L118="","",IF($L118&gt;=$J118,"Yes","No")))</f>
        <v/>
      </c>
      <c r="O118" s="17">
        <f>IF($C118="","",IF($M118="","",IF($M118&gt;=$J118,"Yes","No")))</f>
        <v/>
      </c>
      <c r="P118" s="17">
        <f>IF($C118="","",IF($K118="","",IF(COUNTIFS(nrES_PID,$D118,nrES_Code,$F118,nrES_Att,"&gt;"&amp;$K118)=0,"Yes","No")))</f>
        <v/>
      </c>
      <c r="Q118" s="17">
        <f>IF($C118="","",IF($L118="","",IF(AND($K118=1,$L118&lt;$J118,COUNTIFS(nrES_PID,$D118,nrES_Code,$F118,nrES_Att,2)=0),"Yes","No")))</f>
        <v/>
      </c>
      <c r="R118" s="17">
        <f>IF($C118="","",IF($L118="","",IF(AND($K118=2,$L118&lt;$J118,COUNTIFS(nrES_PID,$D118,nrES_Code,$F118,nrES_Att,1)&gt;0),"Yes","No")))</f>
        <v/>
      </c>
      <c r="S118" s="18" t="n"/>
      <c r="T118" s="19">
        <f>IF($Q118&lt;&gt;"Yes","",IF($S118="","(enter date)",_xlfn.LET(_xlpm.dn,IFERROR(_xlfn.XLOOKUP($S118,nrCDdate,nrCDnum),""),IF(_xlpm.dn="","(not a class day)",IFERROR(_xlfn.XLOOKUP(_xlpm.dn+cfgRetestClassDays,nrCDnum,nrCDdate),"")))))</f>
        <v/>
      </c>
      <c r="U118" s="17">
        <f>IF($Q118&lt;&gt;"Yes","",IF(COUNTIFS(nrES_PID,$D118,nrES_Code,$F118,nrES_Att,2)&gt;0,"Retested",IF(OR($T118="",NOT(ISNUMBER($T118))),"Pending",IF(TODAY()&gt;$T118,"OVERDUE","Due "&amp;TEXT($T118,"mm/dd")))))</f>
        <v/>
      </c>
      <c r="V118" s="16" t="n"/>
      <c r="W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IF($C119="","",IF($L119="","",IF($K119=1,IF(COUNTIFS(nrES_PID,$D119,nrES_Code,$F119,nrES_Att,2)&gt;0,"",$L119),IF(COUNTIFS(nrES_PID,$D119,nrES_Code,$F119,nrES_Att,1)=0,$L119,IF($L119&gt;=$J119,cfgRetakeRecordedCap,SUMIFS(nrES_Raw,nrES_PID,$D119,nrES_Code,$F119,nrES_Att,1))))))</f>
        <v/>
      </c>
      <c r="N119" s="17">
        <f>IF($C119="","",IF($L119="","",IF($L119&gt;=$J119,"Yes","No")))</f>
        <v/>
      </c>
      <c r="O119" s="17">
        <f>IF($C119="","",IF($M119="","",IF($M119&gt;=$J119,"Yes","No")))</f>
        <v/>
      </c>
      <c r="P119" s="17">
        <f>IF($C119="","",IF($K119="","",IF(COUNTIFS(nrES_PID,$D119,nrES_Code,$F119,nrES_Att,"&gt;"&amp;$K119)=0,"Yes","No")))</f>
        <v/>
      </c>
      <c r="Q119" s="17">
        <f>IF($C119="","",IF($L119="","",IF(AND($K119=1,$L119&lt;$J119,COUNTIFS(nrES_PID,$D119,nrES_Code,$F119,nrES_Att,2)=0),"Yes","No")))</f>
        <v/>
      </c>
      <c r="R119" s="17">
        <f>IF($C119="","",IF($L119="","",IF(AND($K119=2,$L119&lt;$J119,COUNTIFS(nrES_PID,$D119,nrES_Code,$F119,nrES_Att,1)&gt;0),"Yes","No")))</f>
        <v/>
      </c>
      <c r="S119" s="18" t="n"/>
      <c r="T119" s="19">
        <f>IF($Q119&lt;&gt;"Yes","",IF($S119="","(enter date)",_xlfn.LET(_xlpm.dn,IFERROR(_xlfn.XLOOKUP($S119,nrCDdate,nrCDnum),""),IF(_xlpm.dn="","(not a class day)",IFERROR(_xlfn.XLOOKUP(_xlpm.dn+cfgRetestClassDays,nrCDnum,nrCDdate),"")))))</f>
        <v/>
      </c>
      <c r="U119" s="17">
        <f>IF($Q119&lt;&gt;"Yes","",IF(COUNTIFS(nrES_PID,$D119,nrES_Code,$F119,nrES_Att,2)&gt;0,"Retested",IF(OR($T119="",NOT(ISNUMBER($T119))),"Pending",IF(TODAY()&gt;$T119,"OVERDUE","Due "&amp;TEXT($T119,"mm/dd")))))</f>
        <v/>
      </c>
      <c r="V119" s="16" t="n"/>
      <c r="W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IF($C120="","",IF($L120="","",IF($K120=1,IF(COUNTIFS(nrES_PID,$D120,nrES_Code,$F120,nrES_Att,2)&gt;0,"",$L120),IF(COUNTIFS(nrES_PID,$D120,nrES_Code,$F120,nrES_Att,1)=0,$L120,IF($L120&gt;=$J120,cfgRetakeRecordedCap,SUMIFS(nrES_Raw,nrES_PID,$D120,nrES_Code,$F120,nrES_Att,1))))))</f>
        <v/>
      </c>
      <c r="N120" s="17">
        <f>IF($C120="","",IF($L120="","",IF($L120&gt;=$J120,"Yes","No")))</f>
        <v/>
      </c>
      <c r="O120" s="17">
        <f>IF($C120="","",IF($M120="","",IF($M120&gt;=$J120,"Yes","No")))</f>
        <v/>
      </c>
      <c r="P120" s="17">
        <f>IF($C120="","",IF($K120="","",IF(COUNTIFS(nrES_PID,$D120,nrES_Code,$F120,nrES_Att,"&gt;"&amp;$K120)=0,"Yes","No")))</f>
        <v/>
      </c>
      <c r="Q120" s="17">
        <f>IF($C120="","",IF($L120="","",IF(AND($K120=1,$L120&lt;$J120,COUNTIFS(nrES_PID,$D120,nrES_Code,$F120,nrES_Att,2)=0),"Yes","No")))</f>
        <v/>
      </c>
      <c r="R120" s="17">
        <f>IF($C120="","",IF($L120="","",IF(AND($K120=2,$L120&lt;$J120,COUNTIFS(nrES_PID,$D120,nrES_Code,$F120,nrES_Att,1)&gt;0),"Yes","No")))</f>
        <v/>
      </c>
      <c r="S120" s="18" t="n"/>
      <c r="T120" s="19">
        <f>IF($Q120&lt;&gt;"Yes","",IF($S120="","(enter date)",_xlfn.LET(_xlpm.dn,IFERROR(_xlfn.XLOOKUP($S120,nrCDdate,nrCDnum),""),IF(_xlpm.dn="","(not a class day)",IFERROR(_xlfn.XLOOKUP(_xlpm.dn+cfgRetestClassDays,nrCDnum,nrCDdate),"")))))</f>
        <v/>
      </c>
      <c r="U120" s="17">
        <f>IF($Q120&lt;&gt;"Yes","",IF(COUNTIFS(nrES_PID,$D120,nrES_Code,$F120,nrES_Att,2)&gt;0,"Retested",IF(OR($T120="",NOT(ISNUMBER($T120))),"Pending",IF(TODAY()&gt;$T120,"OVERDUE","Due "&amp;TEXT($T120,"mm/dd")))))</f>
        <v/>
      </c>
      <c r="V120" s="16" t="n"/>
      <c r="W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IF($C121="","",IF($L121="","",IF($K121=1,IF(COUNTIFS(nrES_PID,$D121,nrES_Code,$F121,nrES_Att,2)&gt;0,"",$L121),IF(COUNTIFS(nrES_PID,$D121,nrES_Code,$F121,nrES_Att,1)=0,$L121,IF($L121&gt;=$J121,cfgRetakeRecordedCap,SUMIFS(nrES_Raw,nrES_PID,$D121,nrES_Code,$F121,nrES_Att,1))))))</f>
        <v/>
      </c>
      <c r="N121" s="17">
        <f>IF($C121="","",IF($L121="","",IF($L121&gt;=$J121,"Yes","No")))</f>
        <v/>
      </c>
      <c r="O121" s="17">
        <f>IF($C121="","",IF($M121="","",IF($M121&gt;=$J121,"Yes","No")))</f>
        <v/>
      </c>
      <c r="P121" s="17">
        <f>IF($C121="","",IF($K121="","",IF(COUNTIFS(nrES_PID,$D121,nrES_Code,$F121,nrES_Att,"&gt;"&amp;$K121)=0,"Yes","No")))</f>
        <v/>
      </c>
      <c r="Q121" s="17">
        <f>IF($C121="","",IF($L121="","",IF(AND($K121=1,$L121&lt;$J121,COUNTIFS(nrES_PID,$D121,nrES_Code,$F121,nrES_Att,2)=0),"Yes","No")))</f>
        <v/>
      </c>
      <c r="R121" s="17">
        <f>IF($C121="","",IF($L121="","",IF(AND($K121=2,$L121&lt;$J121,COUNTIFS(nrES_PID,$D121,nrES_Code,$F121,nrES_Att,1)&gt;0),"Yes","No")))</f>
        <v/>
      </c>
      <c r="S121" s="18" t="n"/>
      <c r="T121" s="19">
        <f>IF($Q121&lt;&gt;"Yes","",IF($S121="","(enter date)",_xlfn.LET(_xlpm.dn,IFERROR(_xlfn.XLOOKUP($S121,nrCDdate,nrCDnum),""),IF(_xlpm.dn="","(not a class day)",IFERROR(_xlfn.XLOOKUP(_xlpm.dn+cfgRetestClassDays,nrCDnum,nrCDdate),"")))))</f>
        <v/>
      </c>
      <c r="U121" s="17">
        <f>IF($Q121&lt;&gt;"Yes","",IF(COUNTIFS(nrES_PID,$D121,nrES_Code,$F121,nrES_Att,2)&gt;0,"Retested",IF(OR($T121="",NOT(ISNUMBER($T121))),"Pending",IF(TODAY()&gt;$T121,"OVERDUE","Due "&amp;TEXT($T121,"mm/dd")))))</f>
        <v/>
      </c>
      <c r="V121" s="16" t="n"/>
      <c r="W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IF($C122="","",IF($L122="","",IF($K122=1,IF(COUNTIFS(nrES_PID,$D122,nrES_Code,$F122,nrES_Att,2)&gt;0,"",$L122),IF(COUNTIFS(nrES_PID,$D122,nrES_Code,$F122,nrES_Att,1)=0,$L122,IF($L122&gt;=$J122,cfgRetakeRecordedCap,SUMIFS(nrES_Raw,nrES_PID,$D122,nrES_Code,$F122,nrES_Att,1))))))</f>
        <v/>
      </c>
      <c r="N122" s="17">
        <f>IF($C122="","",IF($L122="","",IF($L122&gt;=$J122,"Yes","No")))</f>
        <v/>
      </c>
      <c r="O122" s="17">
        <f>IF($C122="","",IF($M122="","",IF($M122&gt;=$J122,"Yes","No")))</f>
        <v/>
      </c>
      <c r="P122" s="17">
        <f>IF($C122="","",IF($K122="","",IF(COUNTIFS(nrES_PID,$D122,nrES_Code,$F122,nrES_Att,"&gt;"&amp;$K122)=0,"Yes","No")))</f>
        <v/>
      </c>
      <c r="Q122" s="17">
        <f>IF($C122="","",IF($L122="","",IF(AND($K122=1,$L122&lt;$J122,COUNTIFS(nrES_PID,$D122,nrES_Code,$F122,nrES_Att,2)=0),"Yes","No")))</f>
        <v/>
      </c>
      <c r="R122" s="17">
        <f>IF($C122="","",IF($L122="","",IF(AND($K122=2,$L122&lt;$J122,COUNTIFS(nrES_PID,$D122,nrES_Code,$F122,nrES_Att,1)&gt;0),"Yes","No")))</f>
        <v/>
      </c>
      <c r="S122" s="18" t="n"/>
      <c r="T122" s="19">
        <f>IF($Q122&lt;&gt;"Yes","",IF($S122="","(enter date)",_xlfn.LET(_xlpm.dn,IFERROR(_xlfn.XLOOKUP($S122,nrCDdate,nrCDnum),""),IF(_xlpm.dn="","(not a class day)",IFERROR(_xlfn.XLOOKUP(_xlpm.dn+cfgRetestClassDays,nrCDnum,nrCDdate),"")))))</f>
        <v/>
      </c>
      <c r="U122" s="17">
        <f>IF($Q122&lt;&gt;"Yes","",IF(COUNTIFS(nrES_PID,$D122,nrES_Code,$F122,nrES_Att,2)&gt;0,"Retested",IF(OR($T122="",NOT(ISNUMBER($T122))),"Pending",IF(TODAY()&gt;$T122,"OVERDUE","Due "&amp;TEXT($T122,"mm/dd")))))</f>
        <v/>
      </c>
      <c r="V122" s="16" t="n"/>
      <c r="W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IF($C123="","",IF($L123="","",IF($K123=1,IF(COUNTIFS(nrES_PID,$D123,nrES_Code,$F123,nrES_Att,2)&gt;0,"",$L123),IF(COUNTIFS(nrES_PID,$D123,nrES_Code,$F123,nrES_Att,1)=0,$L123,IF($L123&gt;=$J123,cfgRetakeRecordedCap,SUMIFS(nrES_Raw,nrES_PID,$D123,nrES_Code,$F123,nrES_Att,1))))))</f>
        <v/>
      </c>
      <c r="N123" s="17">
        <f>IF($C123="","",IF($L123="","",IF($L123&gt;=$J123,"Yes","No")))</f>
        <v/>
      </c>
      <c r="O123" s="17">
        <f>IF($C123="","",IF($M123="","",IF($M123&gt;=$J123,"Yes","No")))</f>
        <v/>
      </c>
      <c r="P123" s="17">
        <f>IF($C123="","",IF($K123="","",IF(COUNTIFS(nrES_PID,$D123,nrES_Code,$F123,nrES_Att,"&gt;"&amp;$K123)=0,"Yes","No")))</f>
        <v/>
      </c>
      <c r="Q123" s="17">
        <f>IF($C123="","",IF($L123="","",IF(AND($K123=1,$L123&lt;$J123,COUNTIFS(nrES_PID,$D123,nrES_Code,$F123,nrES_Att,2)=0),"Yes","No")))</f>
        <v/>
      </c>
      <c r="R123" s="17">
        <f>IF($C123="","",IF($L123="","",IF(AND($K123=2,$L123&lt;$J123,COUNTIFS(nrES_PID,$D123,nrES_Code,$F123,nrES_Att,1)&gt;0),"Yes","No")))</f>
        <v/>
      </c>
      <c r="S123" s="18" t="n"/>
      <c r="T123" s="19">
        <f>IF($Q123&lt;&gt;"Yes","",IF($S123="","(enter date)",_xlfn.LET(_xlpm.dn,IFERROR(_xlfn.XLOOKUP($S123,nrCDdate,nrCDnum),""),IF(_xlpm.dn="","(not a class day)",IFERROR(_xlfn.XLOOKUP(_xlpm.dn+cfgRetestClassDays,nrCDnum,nrCDdate),"")))))</f>
        <v/>
      </c>
      <c r="U123" s="17">
        <f>IF($Q123&lt;&gt;"Yes","",IF(COUNTIFS(nrES_PID,$D123,nrES_Code,$F123,nrES_Att,2)&gt;0,"Retested",IF(OR($T123="",NOT(ISNUMBER($T123))),"Pending",IF(TODAY()&gt;$T123,"OVERDUE","Due "&amp;TEXT($T123,"mm/dd")))))</f>
        <v/>
      </c>
      <c r="V123" s="16" t="n"/>
      <c r="W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IF($C124="","",IF($L124="","",IF($K124=1,IF(COUNTIFS(nrES_PID,$D124,nrES_Code,$F124,nrES_Att,2)&gt;0,"",$L124),IF(COUNTIFS(nrES_PID,$D124,nrES_Code,$F124,nrES_Att,1)=0,$L124,IF($L124&gt;=$J124,cfgRetakeRecordedCap,SUMIFS(nrES_Raw,nrES_PID,$D124,nrES_Code,$F124,nrES_Att,1))))))</f>
        <v/>
      </c>
      <c r="N124" s="17">
        <f>IF($C124="","",IF($L124="","",IF($L124&gt;=$J124,"Yes","No")))</f>
        <v/>
      </c>
      <c r="O124" s="17">
        <f>IF($C124="","",IF($M124="","",IF($M124&gt;=$J124,"Yes","No")))</f>
        <v/>
      </c>
      <c r="P124" s="17">
        <f>IF($C124="","",IF($K124="","",IF(COUNTIFS(nrES_PID,$D124,nrES_Code,$F124,nrES_Att,"&gt;"&amp;$K124)=0,"Yes","No")))</f>
        <v/>
      </c>
      <c r="Q124" s="17">
        <f>IF($C124="","",IF($L124="","",IF(AND($K124=1,$L124&lt;$J124,COUNTIFS(nrES_PID,$D124,nrES_Code,$F124,nrES_Att,2)=0),"Yes","No")))</f>
        <v/>
      </c>
      <c r="R124" s="17">
        <f>IF($C124="","",IF($L124="","",IF(AND($K124=2,$L124&lt;$J124,COUNTIFS(nrES_PID,$D124,nrES_Code,$F124,nrES_Att,1)&gt;0),"Yes","No")))</f>
        <v/>
      </c>
      <c r="S124" s="18" t="n"/>
      <c r="T124" s="19">
        <f>IF($Q124&lt;&gt;"Yes","",IF($S124="","(enter date)",_xlfn.LET(_xlpm.dn,IFERROR(_xlfn.XLOOKUP($S124,nrCDdate,nrCDnum),""),IF(_xlpm.dn="","(not a class day)",IFERROR(_xlfn.XLOOKUP(_xlpm.dn+cfgRetestClassDays,nrCDnum,nrCDdate),"")))))</f>
        <v/>
      </c>
      <c r="U124" s="17">
        <f>IF($Q124&lt;&gt;"Yes","",IF(COUNTIFS(nrES_PID,$D124,nrES_Code,$F124,nrES_Att,2)&gt;0,"Retested",IF(OR($T124="",NOT(ISNUMBER($T124))),"Pending",IF(TODAY()&gt;$T124,"OVERDUE","Due "&amp;TEXT($T124,"mm/dd")))))</f>
        <v/>
      </c>
      <c r="V124" s="16" t="n"/>
      <c r="W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IF($C125="","",IF($L125="","",IF($K125=1,IF(COUNTIFS(nrES_PID,$D125,nrES_Code,$F125,nrES_Att,2)&gt;0,"",$L125),IF(COUNTIFS(nrES_PID,$D125,nrES_Code,$F125,nrES_Att,1)=0,$L125,IF($L125&gt;=$J125,cfgRetakeRecordedCap,SUMIFS(nrES_Raw,nrES_PID,$D125,nrES_Code,$F125,nrES_Att,1))))))</f>
        <v/>
      </c>
      <c r="N125" s="17">
        <f>IF($C125="","",IF($L125="","",IF($L125&gt;=$J125,"Yes","No")))</f>
        <v/>
      </c>
      <c r="O125" s="17">
        <f>IF($C125="","",IF($M125="","",IF($M125&gt;=$J125,"Yes","No")))</f>
        <v/>
      </c>
      <c r="P125" s="17">
        <f>IF($C125="","",IF($K125="","",IF(COUNTIFS(nrES_PID,$D125,nrES_Code,$F125,nrES_Att,"&gt;"&amp;$K125)=0,"Yes","No")))</f>
        <v/>
      </c>
      <c r="Q125" s="17">
        <f>IF($C125="","",IF($L125="","",IF(AND($K125=1,$L125&lt;$J125,COUNTIFS(nrES_PID,$D125,nrES_Code,$F125,nrES_Att,2)=0),"Yes","No")))</f>
        <v/>
      </c>
      <c r="R125" s="17">
        <f>IF($C125="","",IF($L125="","",IF(AND($K125=2,$L125&lt;$J125,COUNTIFS(nrES_PID,$D125,nrES_Code,$F125,nrES_Att,1)&gt;0),"Yes","No")))</f>
        <v/>
      </c>
      <c r="S125" s="18" t="n"/>
      <c r="T125" s="19">
        <f>IF($Q125&lt;&gt;"Yes","",IF($S125="","(enter date)",_xlfn.LET(_xlpm.dn,IFERROR(_xlfn.XLOOKUP($S125,nrCDdate,nrCDnum),""),IF(_xlpm.dn="","(not a class day)",IFERROR(_xlfn.XLOOKUP(_xlpm.dn+cfgRetestClassDays,nrCDnum,nrCDdate),"")))))</f>
        <v/>
      </c>
      <c r="U125" s="17">
        <f>IF($Q125&lt;&gt;"Yes","",IF(COUNTIFS(nrES_PID,$D125,nrES_Code,$F125,nrES_Att,2)&gt;0,"Retested",IF(OR($T125="",NOT(ISNUMBER($T125))),"Pending",IF(TODAY()&gt;$T125,"OVERDUE","Due "&amp;TEXT($T125,"mm/dd")))))</f>
        <v/>
      </c>
      <c r="V125" s="16" t="n"/>
      <c r="W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IF($C126="","",IF($L126="","",IF($K126=1,IF(COUNTIFS(nrES_PID,$D126,nrES_Code,$F126,nrES_Att,2)&gt;0,"",$L126),IF(COUNTIFS(nrES_PID,$D126,nrES_Code,$F126,nrES_Att,1)=0,$L126,IF($L126&gt;=$J126,cfgRetakeRecordedCap,SUMIFS(nrES_Raw,nrES_PID,$D126,nrES_Code,$F126,nrES_Att,1))))))</f>
        <v/>
      </c>
      <c r="N126" s="17">
        <f>IF($C126="","",IF($L126="","",IF($L126&gt;=$J126,"Yes","No")))</f>
        <v/>
      </c>
      <c r="O126" s="17">
        <f>IF($C126="","",IF($M126="","",IF($M126&gt;=$J126,"Yes","No")))</f>
        <v/>
      </c>
      <c r="P126" s="17">
        <f>IF($C126="","",IF($K126="","",IF(COUNTIFS(nrES_PID,$D126,nrES_Code,$F126,nrES_Att,"&gt;"&amp;$K126)=0,"Yes","No")))</f>
        <v/>
      </c>
      <c r="Q126" s="17">
        <f>IF($C126="","",IF($L126="","",IF(AND($K126=1,$L126&lt;$J126,COUNTIFS(nrES_PID,$D126,nrES_Code,$F126,nrES_Att,2)=0),"Yes","No")))</f>
        <v/>
      </c>
      <c r="R126" s="17">
        <f>IF($C126="","",IF($L126="","",IF(AND($K126=2,$L126&lt;$J126,COUNTIFS(nrES_PID,$D126,nrES_Code,$F126,nrES_Att,1)&gt;0),"Yes","No")))</f>
        <v/>
      </c>
      <c r="S126" s="18" t="n"/>
      <c r="T126" s="19">
        <f>IF($Q126&lt;&gt;"Yes","",IF($S126="","(enter date)",_xlfn.LET(_xlpm.dn,IFERROR(_xlfn.XLOOKUP($S126,nrCDdate,nrCDnum),""),IF(_xlpm.dn="","(not a class day)",IFERROR(_xlfn.XLOOKUP(_xlpm.dn+cfgRetestClassDays,nrCDnum,nrCDdate),"")))))</f>
        <v/>
      </c>
      <c r="U126" s="17">
        <f>IF($Q126&lt;&gt;"Yes","",IF(COUNTIFS(nrES_PID,$D126,nrES_Code,$F126,nrES_Att,2)&gt;0,"Retested",IF(OR($T126="",NOT(ISNUMBER($T126))),"Pending",IF(TODAY()&gt;$T126,"OVERDUE","Due "&amp;TEXT($T126,"mm/dd")))))</f>
        <v/>
      </c>
      <c r="V126" s="16" t="n"/>
      <c r="W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IF($C127="","",IF($L127="","",IF($K127=1,IF(COUNTIFS(nrES_PID,$D127,nrES_Code,$F127,nrES_Att,2)&gt;0,"",$L127),IF(COUNTIFS(nrES_PID,$D127,nrES_Code,$F127,nrES_Att,1)=0,$L127,IF($L127&gt;=$J127,cfgRetakeRecordedCap,SUMIFS(nrES_Raw,nrES_PID,$D127,nrES_Code,$F127,nrES_Att,1))))))</f>
        <v/>
      </c>
      <c r="N127" s="17">
        <f>IF($C127="","",IF($L127="","",IF($L127&gt;=$J127,"Yes","No")))</f>
        <v/>
      </c>
      <c r="O127" s="17">
        <f>IF($C127="","",IF($M127="","",IF($M127&gt;=$J127,"Yes","No")))</f>
        <v/>
      </c>
      <c r="P127" s="17">
        <f>IF($C127="","",IF($K127="","",IF(COUNTIFS(nrES_PID,$D127,nrES_Code,$F127,nrES_Att,"&gt;"&amp;$K127)=0,"Yes","No")))</f>
        <v/>
      </c>
      <c r="Q127" s="17">
        <f>IF($C127="","",IF($L127="","",IF(AND($K127=1,$L127&lt;$J127,COUNTIFS(nrES_PID,$D127,nrES_Code,$F127,nrES_Att,2)=0),"Yes","No")))</f>
        <v/>
      </c>
      <c r="R127" s="17">
        <f>IF($C127="","",IF($L127="","",IF(AND($K127=2,$L127&lt;$J127,COUNTIFS(nrES_PID,$D127,nrES_Code,$F127,nrES_Att,1)&gt;0),"Yes","No")))</f>
        <v/>
      </c>
      <c r="S127" s="18" t="n"/>
      <c r="T127" s="19">
        <f>IF($Q127&lt;&gt;"Yes","",IF($S127="","(enter date)",_xlfn.LET(_xlpm.dn,IFERROR(_xlfn.XLOOKUP($S127,nrCDdate,nrCDnum),""),IF(_xlpm.dn="","(not a class day)",IFERROR(_xlfn.XLOOKUP(_xlpm.dn+cfgRetestClassDays,nrCDnum,nrCDdate),"")))))</f>
        <v/>
      </c>
      <c r="U127" s="17">
        <f>IF($Q127&lt;&gt;"Yes","",IF(COUNTIFS(nrES_PID,$D127,nrES_Code,$F127,nrES_Att,2)&gt;0,"Retested",IF(OR($T127="",NOT(ISNUMBER($T127))),"Pending",IF(TODAY()&gt;$T127,"OVERDUE","Due "&amp;TEXT($T127,"mm/dd")))))</f>
        <v/>
      </c>
      <c r="V127" s="16" t="n"/>
      <c r="W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IF($C128="","",IF($L128="","",IF($K128=1,IF(COUNTIFS(nrES_PID,$D128,nrES_Code,$F128,nrES_Att,2)&gt;0,"",$L128),IF(COUNTIFS(nrES_PID,$D128,nrES_Code,$F128,nrES_Att,1)=0,$L128,IF($L128&gt;=$J128,cfgRetakeRecordedCap,SUMIFS(nrES_Raw,nrES_PID,$D128,nrES_Code,$F128,nrES_Att,1))))))</f>
        <v/>
      </c>
      <c r="N128" s="17">
        <f>IF($C128="","",IF($L128="","",IF($L128&gt;=$J128,"Yes","No")))</f>
        <v/>
      </c>
      <c r="O128" s="17">
        <f>IF($C128="","",IF($M128="","",IF($M128&gt;=$J128,"Yes","No")))</f>
        <v/>
      </c>
      <c r="P128" s="17">
        <f>IF($C128="","",IF($K128="","",IF(COUNTIFS(nrES_PID,$D128,nrES_Code,$F128,nrES_Att,"&gt;"&amp;$K128)=0,"Yes","No")))</f>
        <v/>
      </c>
      <c r="Q128" s="17">
        <f>IF($C128="","",IF($L128="","",IF(AND($K128=1,$L128&lt;$J128,COUNTIFS(nrES_PID,$D128,nrES_Code,$F128,nrES_Att,2)=0),"Yes","No")))</f>
        <v/>
      </c>
      <c r="R128" s="17">
        <f>IF($C128="","",IF($L128="","",IF(AND($K128=2,$L128&lt;$J128,COUNTIFS(nrES_PID,$D128,nrES_Code,$F128,nrES_Att,1)&gt;0),"Yes","No")))</f>
        <v/>
      </c>
      <c r="S128" s="18" t="n"/>
      <c r="T128" s="19">
        <f>IF($Q128&lt;&gt;"Yes","",IF($S128="","(enter date)",_xlfn.LET(_xlpm.dn,IFERROR(_xlfn.XLOOKUP($S128,nrCDdate,nrCDnum),""),IF(_xlpm.dn="","(not a class day)",IFERROR(_xlfn.XLOOKUP(_xlpm.dn+cfgRetestClassDays,nrCDnum,nrCDdate),"")))))</f>
        <v/>
      </c>
      <c r="U128" s="17">
        <f>IF($Q128&lt;&gt;"Yes","",IF(COUNTIFS(nrES_PID,$D128,nrES_Code,$F128,nrES_Att,2)&gt;0,"Retested",IF(OR($T128="",NOT(ISNUMBER($T128))),"Pending",IF(TODAY()&gt;$T128,"OVERDUE","Due "&amp;TEXT($T128,"mm/dd")))))</f>
        <v/>
      </c>
      <c r="V128" s="16" t="n"/>
      <c r="W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IF($C129="","",IF($L129="","",IF($K129=1,IF(COUNTIFS(nrES_PID,$D129,nrES_Code,$F129,nrES_Att,2)&gt;0,"",$L129),IF(COUNTIFS(nrES_PID,$D129,nrES_Code,$F129,nrES_Att,1)=0,$L129,IF($L129&gt;=$J129,cfgRetakeRecordedCap,SUMIFS(nrES_Raw,nrES_PID,$D129,nrES_Code,$F129,nrES_Att,1))))))</f>
        <v/>
      </c>
      <c r="N129" s="17">
        <f>IF($C129="","",IF($L129="","",IF($L129&gt;=$J129,"Yes","No")))</f>
        <v/>
      </c>
      <c r="O129" s="17">
        <f>IF($C129="","",IF($M129="","",IF($M129&gt;=$J129,"Yes","No")))</f>
        <v/>
      </c>
      <c r="P129" s="17">
        <f>IF($C129="","",IF($K129="","",IF(COUNTIFS(nrES_PID,$D129,nrES_Code,$F129,nrES_Att,"&gt;"&amp;$K129)=0,"Yes","No")))</f>
        <v/>
      </c>
      <c r="Q129" s="17">
        <f>IF($C129="","",IF($L129="","",IF(AND($K129=1,$L129&lt;$J129,COUNTIFS(nrES_PID,$D129,nrES_Code,$F129,nrES_Att,2)=0),"Yes","No")))</f>
        <v/>
      </c>
      <c r="R129" s="17">
        <f>IF($C129="","",IF($L129="","",IF(AND($K129=2,$L129&lt;$J129,COUNTIFS(nrES_PID,$D129,nrES_Code,$F129,nrES_Att,1)&gt;0),"Yes","No")))</f>
        <v/>
      </c>
      <c r="S129" s="18" t="n"/>
      <c r="T129" s="19">
        <f>IF($Q129&lt;&gt;"Yes","",IF($S129="","(enter date)",_xlfn.LET(_xlpm.dn,IFERROR(_xlfn.XLOOKUP($S129,nrCDdate,nrCDnum),""),IF(_xlpm.dn="","(not a class day)",IFERROR(_xlfn.XLOOKUP(_xlpm.dn+cfgRetestClassDays,nrCDnum,nrCDdate),"")))))</f>
        <v/>
      </c>
      <c r="U129" s="17">
        <f>IF($Q129&lt;&gt;"Yes","",IF(COUNTIFS(nrES_PID,$D129,nrES_Code,$F129,nrES_Att,2)&gt;0,"Retested",IF(OR($T129="",NOT(ISNUMBER($T129))),"Pending",IF(TODAY()&gt;$T129,"OVERDUE","Due "&amp;TEXT($T129,"mm/dd")))))</f>
        <v/>
      </c>
      <c r="V129" s="16" t="n"/>
      <c r="W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IF($C130="","",IF($L130="","",IF($K130=1,IF(COUNTIFS(nrES_PID,$D130,nrES_Code,$F130,nrES_Att,2)&gt;0,"",$L130),IF(COUNTIFS(nrES_PID,$D130,nrES_Code,$F130,nrES_Att,1)=0,$L130,IF($L130&gt;=$J130,cfgRetakeRecordedCap,SUMIFS(nrES_Raw,nrES_PID,$D130,nrES_Code,$F130,nrES_Att,1))))))</f>
        <v/>
      </c>
      <c r="N130" s="17">
        <f>IF($C130="","",IF($L130="","",IF($L130&gt;=$J130,"Yes","No")))</f>
        <v/>
      </c>
      <c r="O130" s="17">
        <f>IF($C130="","",IF($M130="","",IF($M130&gt;=$J130,"Yes","No")))</f>
        <v/>
      </c>
      <c r="P130" s="17">
        <f>IF($C130="","",IF($K130="","",IF(COUNTIFS(nrES_PID,$D130,nrES_Code,$F130,nrES_Att,"&gt;"&amp;$K130)=0,"Yes","No")))</f>
        <v/>
      </c>
      <c r="Q130" s="17">
        <f>IF($C130="","",IF($L130="","",IF(AND($K130=1,$L130&lt;$J130,COUNTIFS(nrES_PID,$D130,nrES_Code,$F130,nrES_Att,2)=0),"Yes","No")))</f>
        <v/>
      </c>
      <c r="R130" s="17">
        <f>IF($C130="","",IF($L130="","",IF(AND($K130=2,$L130&lt;$J130,COUNTIFS(nrES_PID,$D130,nrES_Code,$F130,nrES_Att,1)&gt;0),"Yes","No")))</f>
        <v/>
      </c>
      <c r="S130" s="18" t="n"/>
      <c r="T130" s="19">
        <f>IF($Q130&lt;&gt;"Yes","",IF($S130="","(enter date)",_xlfn.LET(_xlpm.dn,IFERROR(_xlfn.XLOOKUP($S130,nrCDdate,nrCDnum),""),IF(_xlpm.dn="","(not a class day)",IFERROR(_xlfn.XLOOKUP(_xlpm.dn+cfgRetestClassDays,nrCDnum,nrCDdate),"")))))</f>
        <v/>
      </c>
      <c r="U130" s="17">
        <f>IF($Q130&lt;&gt;"Yes","",IF(COUNTIFS(nrES_PID,$D130,nrES_Code,$F130,nrES_Att,2)&gt;0,"Retested",IF(OR($T130="",NOT(ISNUMBER($T130))),"Pending",IF(TODAY()&gt;$T130,"OVERDUE","Due "&amp;TEXT($T130,"mm/dd")))))</f>
        <v/>
      </c>
      <c r="V130" s="16" t="n"/>
      <c r="W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IF($C131="","",IF($L131="","",IF($K131=1,IF(COUNTIFS(nrES_PID,$D131,nrES_Code,$F131,nrES_Att,2)&gt;0,"",$L131),IF(COUNTIFS(nrES_PID,$D131,nrES_Code,$F131,nrES_Att,1)=0,$L131,IF($L131&gt;=$J131,cfgRetakeRecordedCap,SUMIFS(nrES_Raw,nrES_PID,$D131,nrES_Code,$F131,nrES_Att,1))))))</f>
        <v/>
      </c>
      <c r="N131" s="17">
        <f>IF($C131="","",IF($L131="","",IF($L131&gt;=$J131,"Yes","No")))</f>
        <v/>
      </c>
      <c r="O131" s="17">
        <f>IF($C131="","",IF($M131="","",IF($M131&gt;=$J131,"Yes","No")))</f>
        <v/>
      </c>
      <c r="P131" s="17">
        <f>IF($C131="","",IF($K131="","",IF(COUNTIFS(nrES_PID,$D131,nrES_Code,$F131,nrES_Att,"&gt;"&amp;$K131)=0,"Yes","No")))</f>
        <v/>
      </c>
      <c r="Q131" s="17">
        <f>IF($C131="","",IF($L131="","",IF(AND($K131=1,$L131&lt;$J131,COUNTIFS(nrES_PID,$D131,nrES_Code,$F131,nrES_Att,2)=0),"Yes","No")))</f>
        <v/>
      </c>
      <c r="R131" s="17">
        <f>IF($C131="","",IF($L131="","",IF(AND($K131=2,$L131&lt;$J131,COUNTIFS(nrES_PID,$D131,nrES_Code,$F131,nrES_Att,1)&gt;0),"Yes","No")))</f>
        <v/>
      </c>
      <c r="S131" s="18" t="n"/>
      <c r="T131" s="19">
        <f>IF($Q131&lt;&gt;"Yes","",IF($S131="","(enter date)",_xlfn.LET(_xlpm.dn,IFERROR(_xlfn.XLOOKUP($S131,nrCDdate,nrCDnum),""),IF(_xlpm.dn="","(not a class day)",IFERROR(_xlfn.XLOOKUP(_xlpm.dn+cfgRetestClassDays,nrCDnum,nrCDdate),"")))))</f>
        <v/>
      </c>
      <c r="U131" s="17">
        <f>IF($Q131&lt;&gt;"Yes","",IF(COUNTIFS(nrES_PID,$D131,nrES_Code,$F131,nrES_Att,2)&gt;0,"Retested",IF(OR($T131="",NOT(ISNUMBER($T131))),"Pending",IF(TODAY()&gt;$T131,"OVERDUE","Due "&amp;TEXT($T131,"mm/dd")))))</f>
        <v/>
      </c>
      <c r="V131" s="16" t="n"/>
      <c r="W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IF($C132="","",IF($L132="","",IF($K132=1,IF(COUNTIFS(nrES_PID,$D132,nrES_Code,$F132,nrES_Att,2)&gt;0,"",$L132),IF(COUNTIFS(nrES_PID,$D132,nrES_Code,$F132,nrES_Att,1)=0,$L132,IF($L132&gt;=$J132,cfgRetakeRecordedCap,SUMIFS(nrES_Raw,nrES_PID,$D132,nrES_Code,$F132,nrES_Att,1))))))</f>
        <v/>
      </c>
      <c r="N132" s="17">
        <f>IF($C132="","",IF($L132="","",IF($L132&gt;=$J132,"Yes","No")))</f>
        <v/>
      </c>
      <c r="O132" s="17">
        <f>IF($C132="","",IF($M132="","",IF($M132&gt;=$J132,"Yes","No")))</f>
        <v/>
      </c>
      <c r="P132" s="17">
        <f>IF($C132="","",IF($K132="","",IF(COUNTIFS(nrES_PID,$D132,nrES_Code,$F132,nrES_Att,"&gt;"&amp;$K132)=0,"Yes","No")))</f>
        <v/>
      </c>
      <c r="Q132" s="17">
        <f>IF($C132="","",IF($L132="","",IF(AND($K132=1,$L132&lt;$J132,COUNTIFS(nrES_PID,$D132,nrES_Code,$F132,nrES_Att,2)=0),"Yes","No")))</f>
        <v/>
      </c>
      <c r="R132" s="17">
        <f>IF($C132="","",IF($L132="","",IF(AND($K132=2,$L132&lt;$J132,COUNTIFS(nrES_PID,$D132,nrES_Code,$F132,nrES_Att,1)&gt;0),"Yes","No")))</f>
        <v/>
      </c>
      <c r="S132" s="18" t="n"/>
      <c r="T132" s="19">
        <f>IF($Q132&lt;&gt;"Yes","",IF($S132="","(enter date)",_xlfn.LET(_xlpm.dn,IFERROR(_xlfn.XLOOKUP($S132,nrCDdate,nrCDnum),""),IF(_xlpm.dn="","(not a class day)",IFERROR(_xlfn.XLOOKUP(_xlpm.dn+cfgRetestClassDays,nrCDnum,nrCDdate),"")))))</f>
        <v/>
      </c>
      <c r="U132" s="17">
        <f>IF($Q132&lt;&gt;"Yes","",IF(COUNTIFS(nrES_PID,$D132,nrES_Code,$F132,nrES_Att,2)&gt;0,"Retested",IF(OR($T132="",NOT(ISNUMBER($T132))),"Pending",IF(TODAY()&gt;$T132,"OVERDUE","Due "&amp;TEXT($T132,"mm/dd")))))</f>
        <v/>
      </c>
      <c r="V132" s="16" t="n"/>
      <c r="W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IF($C133="","",IF($L133="","",IF($K133=1,IF(COUNTIFS(nrES_PID,$D133,nrES_Code,$F133,nrES_Att,2)&gt;0,"",$L133),IF(COUNTIFS(nrES_PID,$D133,nrES_Code,$F133,nrES_Att,1)=0,$L133,IF($L133&gt;=$J133,cfgRetakeRecordedCap,SUMIFS(nrES_Raw,nrES_PID,$D133,nrES_Code,$F133,nrES_Att,1))))))</f>
        <v/>
      </c>
      <c r="N133" s="17">
        <f>IF($C133="","",IF($L133="","",IF($L133&gt;=$J133,"Yes","No")))</f>
        <v/>
      </c>
      <c r="O133" s="17">
        <f>IF($C133="","",IF($M133="","",IF($M133&gt;=$J133,"Yes","No")))</f>
        <v/>
      </c>
      <c r="P133" s="17">
        <f>IF($C133="","",IF($K133="","",IF(COUNTIFS(nrES_PID,$D133,nrES_Code,$F133,nrES_Att,"&gt;"&amp;$K133)=0,"Yes","No")))</f>
        <v/>
      </c>
      <c r="Q133" s="17">
        <f>IF($C133="","",IF($L133="","",IF(AND($K133=1,$L133&lt;$J133,COUNTIFS(nrES_PID,$D133,nrES_Code,$F133,nrES_Att,2)=0),"Yes","No")))</f>
        <v/>
      </c>
      <c r="R133" s="17">
        <f>IF($C133="","",IF($L133="","",IF(AND($K133=2,$L133&lt;$J133,COUNTIFS(nrES_PID,$D133,nrES_Code,$F133,nrES_Att,1)&gt;0),"Yes","No")))</f>
        <v/>
      </c>
      <c r="S133" s="18" t="n"/>
      <c r="T133" s="19">
        <f>IF($Q133&lt;&gt;"Yes","",IF($S133="","(enter date)",_xlfn.LET(_xlpm.dn,IFERROR(_xlfn.XLOOKUP($S133,nrCDdate,nrCDnum),""),IF(_xlpm.dn="","(not a class day)",IFERROR(_xlfn.XLOOKUP(_xlpm.dn+cfgRetestClassDays,nrCDnum,nrCDdate),"")))))</f>
        <v/>
      </c>
      <c r="U133" s="17">
        <f>IF($Q133&lt;&gt;"Yes","",IF(COUNTIFS(nrES_PID,$D133,nrES_Code,$F133,nrES_Att,2)&gt;0,"Retested",IF(OR($T133="",NOT(ISNUMBER($T133))),"Pending",IF(TODAY()&gt;$T133,"OVERDUE","Due "&amp;TEXT($T133,"mm/dd")))))</f>
        <v/>
      </c>
      <c r="V133" s="16" t="n"/>
      <c r="W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IF($C134="","",IF($L134="","",IF($K134=1,IF(COUNTIFS(nrES_PID,$D134,nrES_Code,$F134,nrES_Att,2)&gt;0,"",$L134),IF(COUNTIFS(nrES_PID,$D134,nrES_Code,$F134,nrES_Att,1)=0,$L134,IF($L134&gt;=$J134,cfgRetakeRecordedCap,SUMIFS(nrES_Raw,nrES_PID,$D134,nrES_Code,$F134,nrES_Att,1))))))</f>
        <v/>
      </c>
      <c r="N134" s="17">
        <f>IF($C134="","",IF($L134="","",IF($L134&gt;=$J134,"Yes","No")))</f>
        <v/>
      </c>
      <c r="O134" s="17">
        <f>IF($C134="","",IF($M134="","",IF($M134&gt;=$J134,"Yes","No")))</f>
        <v/>
      </c>
      <c r="P134" s="17">
        <f>IF($C134="","",IF($K134="","",IF(COUNTIFS(nrES_PID,$D134,nrES_Code,$F134,nrES_Att,"&gt;"&amp;$K134)=0,"Yes","No")))</f>
        <v/>
      </c>
      <c r="Q134" s="17">
        <f>IF($C134="","",IF($L134="","",IF(AND($K134=1,$L134&lt;$J134,COUNTIFS(nrES_PID,$D134,nrES_Code,$F134,nrES_Att,2)=0),"Yes","No")))</f>
        <v/>
      </c>
      <c r="R134" s="17">
        <f>IF($C134="","",IF($L134="","",IF(AND($K134=2,$L134&lt;$J134,COUNTIFS(nrES_PID,$D134,nrES_Code,$F134,nrES_Att,1)&gt;0),"Yes","No")))</f>
        <v/>
      </c>
      <c r="S134" s="18" t="n"/>
      <c r="T134" s="19">
        <f>IF($Q134&lt;&gt;"Yes","",IF($S134="","(enter date)",_xlfn.LET(_xlpm.dn,IFERROR(_xlfn.XLOOKUP($S134,nrCDdate,nrCDnum),""),IF(_xlpm.dn="","(not a class day)",IFERROR(_xlfn.XLOOKUP(_xlpm.dn+cfgRetestClassDays,nrCDnum,nrCDdate),"")))))</f>
        <v/>
      </c>
      <c r="U134" s="17">
        <f>IF($Q134&lt;&gt;"Yes","",IF(COUNTIFS(nrES_PID,$D134,nrES_Code,$F134,nrES_Att,2)&gt;0,"Retested",IF(OR($T134="",NOT(ISNUMBER($T134))),"Pending",IF(TODAY()&gt;$T134,"OVERDUE","Due "&amp;TEXT($T134,"mm/dd")))))</f>
        <v/>
      </c>
      <c r="V134" s="16" t="n"/>
      <c r="W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IF($C135="","",IF($L135="","",IF($K135=1,IF(COUNTIFS(nrES_PID,$D135,nrES_Code,$F135,nrES_Att,2)&gt;0,"",$L135),IF(COUNTIFS(nrES_PID,$D135,nrES_Code,$F135,nrES_Att,1)=0,$L135,IF($L135&gt;=$J135,cfgRetakeRecordedCap,SUMIFS(nrES_Raw,nrES_PID,$D135,nrES_Code,$F135,nrES_Att,1))))))</f>
        <v/>
      </c>
      <c r="N135" s="17">
        <f>IF($C135="","",IF($L135="","",IF($L135&gt;=$J135,"Yes","No")))</f>
        <v/>
      </c>
      <c r="O135" s="17">
        <f>IF($C135="","",IF($M135="","",IF($M135&gt;=$J135,"Yes","No")))</f>
        <v/>
      </c>
      <c r="P135" s="17">
        <f>IF($C135="","",IF($K135="","",IF(COUNTIFS(nrES_PID,$D135,nrES_Code,$F135,nrES_Att,"&gt;"&amp;$K135)=0,"Yes","No")))</f>
        <v/>
      </c>
      <c r="Q135" s="17">
        <f>IF($C135="","",IF($L135="","",IF(AND($K135=1,$L135&lt;$J135,COUNTIFS(nrES_PID,$D135,nrES_Code,$F135,nrES_Att,2)=0),"Yes","No")))</f>
        <v/>
      </c>
      <c r="R135" s="17">
        <f>IF($C135="","",IF($L135="","",IF(AND($K135=2,$L135&lt;$J135,COUNTIFS(nrES_PID,$D135,nrES_Code,$F135,nrES_Att,1)&gt;0),"Yes","No")))</f>
        <v/>
      </c>
      <c r="S135" s="18" t="n"/>
      <c r="T135" s="19">
        <f>IF($Q135&lt;&gt;"Yes","",IF($S135="","(enter date)",_xlfn.LET(_xlpm.dn,IFERROR(_xlfn.XLOOKUP($S135,nrCDdate,nrCDnum),""),IF(_xlpm.dn="","(not a class day)",IFERROR(_xlfn.XLOOKUP(_xlpm.dn+cfgRetestClassDays,nrCDnum,nrCDdate),"")))))</f>
        <v/>
      </c>
      <c r="U135" s="17">
        <f>IF($Q135&lt;&gt;"Yes","",IF(COUNTIFS(nrES_PID,$D135,nrES_Code,$F135,nrES_Att,2)&gt;0,"Retested",IF(OR($T135="",NOT(ISNUMBER($T135))),"Pending",IF(TODAY()&gt;$T135,"OVERDUE","Due "&amp;TEXT($T135,"mm/dd")))))</f>
        <v/>
      </c>
      <c r="V135" s="16" t="n"/>
      <c r="W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IF($C136="","",IF($L136="","",IF($K136=1,IF(COUNTIFS(nrES_PID,$D136,nrES_Code,$F136,nrES_Att,2)&gt;0,"",$L136),IF(COUNTIFS(nrES_PID,$D136,nrES_Code,$F136,nrES_Att,1)=0,$L136,IF($L136&gt;=$J136,cfgRetakeRecordedCap,SUMIFS(nrES_Raw,nrES_PID,$D136,nrES_Code,$F136,nrES_Att,1))))))</f>
        <v/>
      </c>
      <c r="N136" s="17">
        <f>IF($C136="","",IF($L136="","",IF($L136&gt;=$J136,"Yes","No")))</f>
        <v/>
      </c>
      <c r="O136" s="17">
        <f>IF($C136="","",IF($M136="","",IF($M136&gt;=$J136,"Yes","No")))</f>
        <v/>
      </c>
      <c r="P136" s="17">
        <f>IF($C136="","",IF($K136="","",IF(COUNTIFS(nrES_PID,$D136,nrES_Code,$F136,nrES_Att,"&gt;"&amp;$K136)=0,"Yes","No")))</f>
        <v/>
      </c>
      <c r="Q136" s="17">
        <f>IF($C136="","",IF($L136="","",IF(AND($K136=1,$L136&lt;$J136,COUNTIFS(nrES_PID,$D136,nrES_Code,$F136,nrES_Att,2)=0),"Yes","No")))</f>
        <v/>
      </c>
      <c r="R136" s="17">
        <f>IF($C136="","",IF($L136="","",IF(AND($K136=2,$L136&lt;$J136,COUNTIFS(nrES_PID,$D136,nrES_Code,$F136,nrES_Att,1)&gt;0),"Yes","No")))</f>
        <v/>
      </c>
      <c r="S136" s="18" t="n"/>
      <c r="T136" s="19">
        <f>IF($Q136&lt;&gt;"Yes","",IF($S136="","(enter date)",_xlfn.LET(_xlpm.dn,IFERROR(_xlfn.XLOOKUP($S136,nrCDdate,nrCDnum),""),IF(_xlpm.dn="","(not a class day)",IFERROR(_xlfn.XLOOKUP(_xlpm.dn+cfgRetestClassDays,nrCDnum,nrCDdate),"")))))</f>
        <v/>
      </c>
      <c r="U136" s="17">
        <f>IF($Q136&lt;&gt;"Yes","",IF(COUNTIFS(nrES_PID,$D136,nrES_Code,$F136,nrES_Att,2)&gt;0,"Retested",IF(OR($T136="",NOT(ISNUMBER($T136))),"Pending",IF(TODAY()&gt;$T136,"OVERDUE","Due "&amp;TEXT($T136,"mm/dd")))))</f>
        <v/>
      </c>
      <c r="V136" s="16" t="n"/>
      <c r="W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IF($C137="","",IF($L137="","",IF($K137=1,IF(COUNTIFS(nrES_PID,$D137,nrES_Code,$F137,nrES_Att,2)&gt;0,"",$L137),IF(COUNTIFS(nrES_PID,$D137,nrES_Code,$F137,nrES_Att,1)=0,$L137,IF($L137&gt;=$J137,cfgRetakeRecordedCap,SUMIFS(nrES_Raw,nrES_PID,$D137,nrES_Code,$F137,nrES_Att,1))))))</f>
        <v/>
      </c>
      <c r="N137" s="17">
        <f>IF($C137="","",IF($L137="","",IF($L137&gt;=$J137,"Yes","No")))</f>
        <v/>
      </c>
      <c r="O137" s="17">
        <f>IF($C137="","",IF($M137="","",IF($M137&gt;=$J137,"Yes","No")))</f>
        <v/>
      </c>
      <c r="P137" s="17">
        <f>IF($C137="","",IF($K137="","",IF(COUNTIFS(nrES_PID,$D137,nrES_Code,$F137,nrES_Att,"&gt;"&amp;$K137)=0,"Yes","No")))</f>
        <v/>
      </c>
      <c r="Q137" s="17">
        <f>IF($C137="","",IF($L137="","",IF(AND($K137=1,$L137&lt;$J137,COUNTIFS(nrES_PID,$D137,nrES_Code,$F137,nrES_Att,2)=0),"Yes","No")))</f>
        <v/>
      </c>
      <c r="R137" s="17">
        <f>IF($C137="","",IF($L137="","",IF(AND($K137=2,$L137&lt;$J137,COUNTIFS(nrES_PID,$D137,nrES_Code,$F137,nrES_Att,1)&gt;0),"Yes","No")))</f>
        <v/>
      </c>
      <c r="S137" s="18" t="n"/>
      <c r="T137" s="19">
        <f>IF($Q137&lt;&gt;"Yes","",IF($S137="","(enter date)",_xlfn.LET(_xlpm.dn,IFERROR(_xlfn.XLOOKUP($S137,nrCDdate,nrCDnum),""),IF(_xlpm.dn="","(not a class day)",IFERROR(_xlfn.XLOOKUP(_xlpm.dn+cfgRetestClassDays,nrCDnum,nrCDdate),"")))))</f>
        <v/>
      </c>
      <c r="U137" s="17">
        <f>IF($Q137&lt;&gt;"Yes","",IF(COUNTIFS(nrES_PID,$D137,nrES_Code,$F137,nrES_Att,2)&gt;0,"Retested",IF(OR($T137="",NOT(ISNUMBER($T137))),"Pending",IF(TODAY()&gt;$T137,"OVERDUE","Due "&amp;TEXT($T137,"mm/dd")))))</f>
        <v/>
      </c>
      <c r="V137" s="16" t="n"/>
      <c r="W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IF($C138="","",IF($L138="","",IF($K138=1,IF(COUNTIFS(nrES_PID,$D138,nrES_Code,$F138,nrES_Att,2)&gt;0,"",$L138),IF(COUNTIFS(nrES_PID,$D138,nrES_Code,$F138,nrES_Att,1)=0,$L138,IF($L138&gt;=$J138,cfgRetakeRecordedCap,SUMIFS(nrES_Raw,nrES_PID,$D138,nrES_Code,$F138,nrES_Att,1))))))</f>
        <v/>
      </c>
      <c r="N138" s="17">
        <f>IF($C138="","",IF($L138="","",IF($L138&gt;=$J138,"Yes","No")))</f>
        <v/>
      </c>
      <c r="O138" s="17">
        <f>IF($C138="","",IF($M138="","",IF($M138&gt;=$J138,"Yes","No")))</f>
        <v/>
      </c>
      <c r="P138" s="17">
        <f>IF($C138="","",IF($K138="","",IF(COUNTIFS(nrES_PID,$D138,nrES_Code,$F138,nrES_Att,"&gt;"&amp;$K138)=0,"Yes","No")))</f>
        <v/>
      </c>
      <c r="Q138" s="17">
        <f>IF($C138="","",IF($L138="","",IF(AND($K138=1,$L138&lt;$J138,COUNTIFS(nrES_PID,$D138,nrES_Code,$F138,nrES_Att,2)=0),"Yes","No")))</f>
        <v/>
      </c>
      <c r="R138" s="17">
        <f>IF($C138="","",IF($L138="","",IF(AND($K138=2,$L138&lt;$J138,COUNTIFS(nrES_PID,$D138,nrES_Code,$F138,nrES_Att,1)&gt;0),"Yes","No")))</f>
        <v/>
      </c>
      <c r="S138" s="18" t="n"/>
      <c r="T138" s="19">
        <f>IF($Q138&lt;&gt;"Yes","",IF($S138="","(enter date)",_xlfn.LET(_xlpm.dn,IFERROR(_xlfn.XLOOKUP($S138,nrCDdate,nrCDnum),""),IF(_xlpm.dn="","(not a class day)",IFERROR(_xlfn.XLOOKUP(_xlpm.dn+cfgRetestClassDays,nrCDnum,nrCDdate),"")))))</f>
        <v/>
      </c>
      <c r="U138" s="17">
        <f>IF($Q138&lt;&gt;"Yes","",IF(COUNTIFS(nrES_PID,$D138,nrES_Code,$F138,nrES_Att,2)&gt;0,"Retested",IF(OR($T138="",NOT(ISNUMBER($T138))),"Pending",IF(TODAY()&gt;$T138,"OVERDUE","Due "&amp;TEXT($T138,"mm/dd")))))</f>
        <v/>
      </c>
      <c r="V138" s="16" t="n"/>
      <c r="W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IF($C139="","",IF($L139="","",IF($K139=1,IF(COUNTIFS(nrES_PID,$D139,nrES_Code,$F139,nrES_Att,2)&gt;0,"",$L139),IF(COUNTIFS(nrES_PID,$D139,nrES_Code,$F139,nrES_Att,1)=0,$L139,IF($L139&gt;=$J139,cfgRetakeRecordedCap,SUMIFS(nrES_Raw,nrES_PID,$D139,nrES_Code,$F139,nrES_Att,1))))))</f>
        <v/>
      </c>
      <c r="N139" s="17">
        <f>IF($C139="","",IF($L139="","",IF($L139&gt;=$J139,"Yes","No")))</f>
        <v/>
      </c>
      <c r="O139" s="17">
        <f>IF($C139="","",IF($M139="","",IF($M139&gt;=$J139,"Yes","No")))</f>
        <v/>
      </c>
      <c r="P139" s="17">
        <f>IF($C139="","",IF($K139="","",IF(COUNTIFS(nrES_PID,$D139,nrES_Code,$F139,nrES_Att,"&gt;"&amp;$K139)=0,"Yes","No")))</f>
        <v/>
      </c>
      <c r="Q139" s="17">
        <f>IF($C139="","",IF($L139="","",IF(AND($K139=1,$L139&lt;$J139,COUNTIFS(nrES_PID,$D139,nrES_Code,$F139,nrES_Att,2)=0),"Yes","No")))</f>
        <v/>
      </c>
      <c r="R139" s="17">
        <f>IF($C139="","",IF($L139="","",IF(AND($K139=2,$L139&lt;$J139,COUNTIFS(nrES_PID,$D139,nrES_Code,$F139,nrES_Att,1)&gt;0),"Yes","No")))</f>
        <v/>
      </c>
      <c r="S139" s="18" t="n"/>
      <c r="T139" s="19">
        <f>IF($Q139&lt;&gt;"Yes","",IF($S139="","(enter date)",_xlfn.LET(_xlpm.dn,IFERROR(_xlfn.XLOOKUP($S139,nrCDdate,nrCDnum),""),IF(_xlpm.dn="","(not a class day)",IFERROR(_xlfn.XLOOKUP(_xlpm.dn+cfgRetestClassDays,nrCDnum,nrCDdate),"")))))</f>
        <v/>
      </c>
      <c r="U139" s="17">
        <f>IF($Q139&lt;&gt;"Yes","",IF(COUNTIFS(nrES_PID,$D139,nrES_Code,$F139,nrES_Att,2)&gt;0,"Retested",IF(OR($T139="",NOT(ISNUMBER($T139))),"Pending",IF(TODAY()&gt;$T139,"OVERDUE","Due "&amp;TEXT($T139,"mm/dd")))))</f>
        <v/>
      </c>
      <c r="V139" s="16" t="n"/>
      <c r="W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IF($C140="","",IF($L140="","",IF($K140=1,IF(COUNTIFS(nrES_PID,$D140,nrES_Code,$F140,nrES_Att,2)&gt;0,"",$L140),IF(COUNTIFS(nrES_PID,$D140,nrES_Code,$F140,nrES_Att,1)=0,$L140,IF($L140&gt;=$J140,cfgRetakeRecordedCap,SUMIFS(nrES_Raw,nrES_PID,$D140,nrES_Code,$F140,nrES_Att,1))))))</f>
        <v/>
      </c>
      <c r="N140" s="17">
        <f>IF($C140="","",IF($L140="","",IF($L140&gt;=$J140,"Yes","No")))</f>
        <v/>
      </c>
      <c r="O140" s="17">
        <f>IF($C140="","",IF($M140="","",IF($M140&gt;=$J140,"Yes","No")))</f>
        <v/>
      </c>
      <c r="P140" s="17">
        <f>IF($C140="","",IF($K140="","",IF(COUNTIFS(nrES_PID,$D140,nrES_Code,$F140,nrES_Att,"&gt;"&amp;$K140)=0,"Yes","No")))</f>
        <v/>
      </c>
      <c r="Q140" s="17">
        <f>IF($C140="","",IF($L140="","",IF(AND($K140=1,$L140&lt;$J140,COUNTIFS(nrES_PID,$D140,nrES_Code,$F140,nrES_Att,2)=0),"Yes","No")))</f>
        <v/>
      </c>
      <c r="R140" s="17">
        <f>IF($C140="","",IF($L140="","",IF(AND($K140=2,$L140&lt;$J140,COUNTIFS(nrES_PID,$D140,nrES_Code,$F140,nrES_Att,1)&gt;0),"Yes","No")))</f>
        <v/>
      </c>
      <c r="S140" s="18" t="n"/>
      <c r="T140" s="19">
        <f>IF($Q140&lt;&gt;"Yes","",IF($S140="","(enter date)",_xlfn.LET(_xlpm.dn,IFERROR(_xlfn.XLOOKUP($S140,nrCDdate,nrCDnum),""),IF(_xlpm.dn="","(not a class day)",IFERROR(_xlfn.XLOOKUP(_xlpm.dn+cfgRetestClassDays,nrCDnum,nrCDdate),"")))))</f>
        <v/>
      </c>
      <c r="U140" s="17">
        <f>IF($Q140&lt;&gt;"Yes","",IF(COUNTIFS(nrES_PID,$D140,nrES_Code,$F140,nrES_Att,2)&gt;0,"Retested",IF(OR($T140="",NOT(ISNUMBER($T140))),"Pending",IF(TODAY()&gt;$T140,"OVERDUE","Due "&amp;TEXT($T140,"mm/dd")))))</f>
        <v/>
      </c>
      <c r="V140" s="16" t="n"/>
      <c r="W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IF($C141="","",IF($L141="","",IF($K141=1,IF(COUNTIFS(nrES_PID,$D141,nrES_Code,$F141,nrES_Att,2)&gt;0,"",$L141),IF(COUNTIFS(nrES_PID,$D141,nrES_Code,$F141,nrES_Att,1)=0,$L141,IF($L141&gt;=$J141,cfgRetakeRecordedCap,SUMIFS(nrES_Raw,nrES_PID,$D141,nrES_Code,$F141,nrES_Att,1))))))</f>
        <v/>
      </c>
      <c r="N141" s="17">
        <f>IF($C141="","",IF($L141="","",IF($L141&gt;=$J141,"Yes","No")))</f>
        <v/>
      </c>
      <c r="O141" s="17">
        <f>IF($C141="","",IF($M141="","",IF($M141&gt;=$J141,"Yes","No")))</f>
        <v/>
      </c>
      <c r="P141" s="17">
        <f>IF($C141="","",IF($K141="","",IF(COUNTIFS(nrES_PID,$D141,nrES_Code,$F141,nrES_Att,"&gt;"&amp;$K141)=0,"Yes","No")))</f>
        <v/>
      </c>
      <c r="Q141" s="17">
        <f>IF($C141="","",IF($L141="","",IF(AND($K141=1,$L141&lt;$J141,COUNTIFS(nrES_PID,$D141,nrES_Code,$F141,nrES_Att,2)=0),"Yes","No")))</f>
        <v/>
      </c>
      <c r="R141" s="17">
        <f>IF($C141="","",IF($L141="","",IF(AND($K141=2,$L141&lt;$J141,COUNTIFS(nrES_PID,$D141,nrES_Code,$F141,nrES_Att,1)&gt;0),"Yes","No")))</f>
        <v/>
      </c>
      <c r="S141" s="18" t="n"/>
      <c r="T141" s="19">
        <f>IF($Q141&lt;&gt;"Yes","",IF($S141="","(enter date)",_xlfn.LET(_xlpm.dn,IFERROR(_xlfn.XLOOKUP($S141,nrCDdate,nrCDnum),""),IF(_xlpm.dn="","(not a class day)",IFERROR(_xlfn.XLOOKUP(_xlpm.dn+cfgRetestClassDays,nrCDnum,nrCDdate),"")))))</f>
        <v/>
      </c>
      <c r="U141" s="17">
        <f>IF($Q141&lt;&gt;"Yes","",IF(COUNTIFS(nrES_PID,$D141,nrES_Code,$F141,nrES_Att,2)&gt;0,"Retested",IF(OR($T141="",NOT(ISNUMBER($T141))),"Pending",IF(TODAY()&gt;$T141,"OVERDUE","Due "&amp;TEXT($T141,"mm/dd")))))</f>
        <v/>
      </c>
      <c r="V141" s="16" t="n"/>
      <c r="W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IF($C142="","",IF($L142="","",IF($K142=1,IF(COUNTIFS(nrES_PID,$D142,nrES_Code,$F142,nrES_Att,2)&gt;0,"",$L142),IF(COUNTIFS(nrES_PID,$D142,nrES_Code,$F142,nrES_Att,1)=0,$L142,IF($L142&gt;=$J142,cfgRetakeRecordedCap,SUMIFS(nrES_Raw,nrES_PID,$D142,nrES_Code,$F142,nrES_Att,1))))))</f>
        <v/>
      </c>
      <c r="N142" s="17">
        <f>IF($C142="","",IF($L142="","",IF($L142&gt;=$J142,"Yes","No")))</f>
        <v/>
      </c>
      <c r="O142" s="17">
        <f>IF($C142="","",IF($M142="","",IF($M142&gt;=$J142,"Yes","No")))</f>
        <v/>
      </c>
      <c r="P142" s="17">
        <f>IF($C142="","",IF($K142="","",IF(COUNTIFS(nrES_PID,$D142,nrES_Code,$F142,nrES_Att,"&gt;"&amp;$K142)=0,"Yes","No")))</f>
        <v/>
      </c>
      <c r="Q142" s="17">
        <f>IF($C142="","",IF($L142="","",IF(AND($K142=1,$L142&lt;$J142,COUNTIFS(nrES_PID,$D142,nrES_Code,$F142,nrES_Att,2)=0),"Yes","No")))</f>
        <v/>
      </c>
      <c r="R142" s="17">
        <f>IF($C142="","",IF($L142="","",IF(AND($K142=2,$L142&lt;$J142,COUNTIFS(nrES_PID,$D142,nrES_Code,$F142,nrES_Att,1)&gt;0),"Yes","No")))</f>
        <v/>
      </c>
      <c r="S142" s="18" t="n"/>
      <c r="T142" s="19">
        <f>IF($Q142&lt;&gt;"Yes","",IF($S142="","(enter date)",_xlfn.LET(_xlpm.dn,IFERROR(_xlfn.XLOOKUP($S142,nrCDdate,nrCDnum),""),IF(_xlpm.dn="","(not a class day)",IFERROR(_xlfn.XLOOKUP(_xlpm.dn+cfgRetestClassDays,nrCDnum,nrCDdate),"")))))</f>
        <v/>
      </c>
      <c r="U142" s="17">
        <f>IF($Q142&lt;&gt;"Yes","",IF(COUNTIFS(nrES_PID,$D142,nrES_Code,$F142,nrES_Att,2)&gt;0,"Retested",IF(OR($T142="",NOT(ISNUMBER($T142))),"Pending",IF(TODAY()&gt;$T142,"OVERDUE","Due "&amp;TEXT($T142,"mm/dd")))))</f>
        <v/>
      </c>
      <c r="V142" s="16" t="n"/>
      <c r="W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IF($C143="","",IF($L143="","",IF($K143=1,IF(COUNTIFS(nrES_PID,$D143,nrES_Code,$F143,nrES_Att,2)&gt;0,"",$L143),IF(COUNTIFS(nrES_PID,$D143,nrES_Code,$F143,nrES_Att,1)=0,$L143,IF($L143&gt;=$J143,cfgRetakeRecordedCap,SUMIFS(nrES_Raw,nrES_PID,$D143,nrES_Code,$F143,nrES_Att,1))))))</f>
        <v/>
      </c>
      <c r="N143" s="17">
        <f>IF($C143="","",IF($L143="","",IF($L143&gt;=$J143,"Yes","No")))</f>
        <v/>
      </c>
      <c r="O143" s="17">
        <f>IF($C143="","",IF($M143="","",IF($M143&gt;=$J143,"Yes","No")))</f>
        <v/>
      </c>
      <c r="P143" s="17">
        <f>IF($C143="","",IF($K143="","",IF(COUNTIFS(nrES_PID,$D143,nrES_Code,$F143,nrES_Att,"&gt;"&amp;$K143)=0,"Yes","No")))</f>
        <v/>
      </c>
      <c r="Q143" s="17">
        <f>IF($C143="","",IF($L143="","",IF(AND($K143=1,$L143&lt;$J143,COUNTIFS(nrES_PID,$D143,nrES_Code,$F143,nrES_Att,2)=0),"Yes","No")))</f>
        <v/>
      </c>
      <c r="R143" s="17">
        <f>IF($C143="","",IF($L143="","",IF(AND($K143=2,$L143&lt;$J143,COUNTIFS(nrES_PID,$D143,nrES_Code,$F143,nrES_Att,1)&gt;0),"Yes","No")))</f>
        <v/>
      </c>
      <c r="S143" s="18" t="n"/>
      <c r="T143" s="19">
        <f>IF($Q143&lt;&gt;"Yes","",IF($S143="","(enter date)",_xlfn.LET(_xlpm.dn,IFERROR(_xlfn.XLOOKUP($S143,nrCDdate,nrCDnum),""),IF(_xlpm.dn="","(not a class day)",IFERROR(_xlfn.XLOOKUP(_xlpm.dn+cfgRetestClassDays,nrCDnum,nrCDdate),"")))))</f>
        <v/>
      </c>
      <c r="U143" s="17">
        <f>IF($Q143&lt;&gt;"Yes","",IF(COUNTIFS(nrES_PID,$D143,nrES_Code,$F143,nrES_Att,2)&gt;0,"Retested",IF(OR($T143="",NOT(ISNUMBER($T143))),"Pending",IF(TODAY()&gt;$T143,"OVERDUE","Due "&amp;TEXT($T143,"mm/dd")))))</f>
        <v/>
      </c>
      <c r="V143" s="16" t="n"/>
      <c r="W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IF($C144="","",IF($L144="","",IF($K144=1,IF(COUNTIFS(nrES_PID,$D144,nrES_Code,$F144,nrES_Att,2)&gt;0,"",$L144),IF(COUNTIFS(nrES_PID,$D144,nrES_Code,$F144,nrES_Att,1)=0,$L144,IF($L144&gt;=$J144,cfgRetakeRecordedCap,SUMIFS(nrES_Raw,nrES_PID,$D144,nrES_Code,$F144,nrES_Att,1))))))</f>
        <v/>
      </c>
      <c r="N144" s="17">
        <f>IF($C144="","",IF($L144="","",IF($L144&gt;=$J144,"Yes","No")))</f>
        <v/>
      </c>
      <c r="O144" s="17">
        <f>IF($C144="","",IF($M144="","",IF($M144&gt;=$J144,"Yes","No")))</f>
        <v/>
      </c>
      <c r="P144" s="17">
        <f>IF($C144="","",IF($K144="","",IF(COUNTIFS(nrES_PID,$D144,nrES_Code,$F144,nrES_Att,"&gt;"&amp;$K144)=0,"Yes","No")))</f>
        <v/>
      </c>
      <c r="Q144" s="17">
        <f>IF($C144="","",IF($L144="","",IF(AND($K144=1,$L144&lt;$J144,COUNTIFS(nrES_PID,$D144,nrES_Code,$F144,nrES_Att,2)=0),"Yes","No")))</f>
        <v/>
      </c>
      <c r="R144" s="17">
        <f>IF($C144="","",IF($L144="","",IF(AND($K144=2,$L144&lt;$J144,COUNTIFS(nrES_PID,$D144,nrES_Code,$F144,nrES_Att,1)&gt;0),"Yes","No")))</f>
        <v/>
      </c>
      <c r="S144" s="18" t="n"/>
      <c r="T144" s="19">
        <f>IF($Q144&lt;&gt;"Yes","",IF($S144="","(enter date)",_xlfn.LET(_xlpm.dn,IFERROR(_xlfn.XLOOKUP($S144,nrCDdate,nrCDnum),""),IF(_xlpm.dn="","(not a class day)",IFERROR(_xlfn.XLOOKUP(_xlpm.dn+cfgRetestClassDays,nrCDnum,nrCDdate),"")))))</f>
        <v/>
      </c>
      <c r="U144" s="17">
        <f>IF($Q144&lt;&gt;"Yes","",IF(COUNTIFS(nrES_PID,$D144,nrES_Code,$F144,nrES_Att,2)&gt;0,"Retested",IF(OR($T144="",NOT(ISNUMBER($T144))),"Pending",IF(TODAY()&gt;$T144,"OVERDUE","Due "&amp;TEXT($T144,"mm/dd")))))</f>
        <v/>
      </c>
      <c r="V144" s="16" t="n"/>
      <c r="W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IF($C145="","",IF($L145="","",IF($K145=1,IF(COUNTIFS(nrES_PID,$D145,nrES_Code,$F145,nrES_Att,2)&gt;0,"",$L145),IF(COUNTIFS(nrES_PID,$D145,nrES_Code,$F145,nrES_Att,1)=0,$L145,IF($L145&gt;=$J145,cfgRetakeRecordedCap,SUMIFS(nrES_Raw,nrES_PID,$D145,nrES_Code,$F145,nrES_Att,1))))))</f>
        <v/>
      </c>
      <c r="N145" s="17">
        <f>IF($C145="","",IF($L145="","",IF($L145&gt;=$J145,"Yes","No")))</f>
        <v/>
      </c>
      <c r="O145" s="17">
        <f>IF($C145="","",IF($M145="","",IF($M145&gt;=$J145,"Yes","No")))</f>
        <v/>
      </c>
      <c r="P145" s="17">
        <f>IF($C145="","",IF($K145="","",IF(COUNTIFS(nrES_PID,$D145,nrES_Code,$F145,nrES_Att,"&gt;"&amp;$K145)=0,"Yes","No")))</f>
        <v/>
      </c>
      <c r="Q145" s="17">
        <f>IF($C145="","",IF($L145="","",IF(AND($K145=1,$L145&lt;$J145,COUNTIFS(nrES_PID,$D145,nrES_Code,$F145,nrES_Att,2)=0),"Yes","No")))</f>
        <v/>
      </c>
      <c r="R145" s="17">
        <f>IF($C145="","",IF($L145="","",IF(AND($K145=2,$L145&lt;$J145,COUNTIFS(nrES_PID,$D145,nrES_Code,$F145,nrES_Att,1)&gt;0),"Yes","No")))</f>
        <v/>
      </c>
      <c r="S145" s="18" t="n"/>
      <c r="T145" s="19">
        <f>IF($Q145&lt;&gt;"Yes","",IF($S145="","(enter date)",_xlfn.LET(_xlpm.dn,IFERROR(_xlfn.XLOOKUP($S145,nrCDdate,nrCDnum),""),IF(_xlpm.dn="","(not a class day)",IFERROR(_xlfn.XLOOKUP(_xlpm.dn+cfgRetestClassDays,nrCDnum,nrCDdate),"")))))</f>
        <v/>
      </c>
      <c r="U145" s="17">
        <f>IF($Q145&lt;&gt;"Yes","",IF(COUNTIFS(nrES_PID,$D145,nrES_Code,$F145,nrES_Att,2)&gt;0,"Retested",IF(OR($T145="",NOT(ISNUMBER($T145))),"Pending",IF(TODAY()&gt;$T145,"OVERDUE","Due "&amp;TEXT($T145,"mm/dd")))))</f>
        <v/>
      </c>
      <c r="V145" s="16" t="n"/>
      <c r="W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IF($C146="","",IF($L146="","",IF($K146=1,IF(COUNTIFS(nrES_PID,$D146,nrES_Code,$F146,nrES_Att,2)&gt;0,"",$L146),IF(COUNTIFS(nrES_PID,$D146,nrES_Code,$F146,nrES_Att,1)=0,$L146,IF($L146&gt;=$J146,cfgRetakeRecordedCap,SUMIFS(nrES_Raw,nrES_PID,$D146,nrES_Code,$F146,nrES_Att,1))))))</f>
        <v/>
      </c>
      <c r="N146" s="17">
        <f>IF($C146="","",IF($L146="","",IF($L146&gt;=$J146,"Yes","No")))</f>
        <v/>
      </c>
      <c r="O146" s="17">
        <f>IF($C146="","",IF($M146="","",IF($M146&gt;=$J146,"Yes","No")))</f>
        <v/>
      </c>
      <c r="P146" s="17">
        <f>IF($C146="","",IF($K146="","",IF(COUNTIFS(nrES_PID,$D146,nrES_Code,$F146,nrES_Att,"&gt;"&amp;$K146)=0,"Yes","No")))</f>
        <v/>
      </c>
      <c r="Q146" s="17">
        <f>IF($C146="","",IF($L146="","",IF(AND($K146=1,$L146&lt;$J146,COUNTIFS(nrES_PID,$D146,nrES_Code,$F146,nrES_Att,2)=0),"Yes","No")))</f>
        <v/>
      </c>
      <c r="R146" s="17">
        <f>IF($C146="","",IF($L146="","",IF(AND($K146=2,$L146&lt;$J146,COUNTIFS(nrES_PID,$D146,nrES_Code,$F146,nrES_Att,1)&gt;0),"Yes","No")))</f>
        <v/>
      </c>
      <c r="S146" s="18" t="n"/>
      <c r="T146" s="19">
        <f>IF($Q146&lt;&gt;"Yes","",IF($S146="","(enter date)",_xlfn.LET(_xlpm.dn,IFERROR(_xlfn.XLOOKUP($S146,nrCDdate,nrCDnum),""),IF(_xlpm.dn="","(not a class day)",IFERROR(_xlfn.XLOOKUP(_xlpm.dn+cfgRetestClassDays,nrCDnum,nrCDdate),"")))))</f>
        <v/>
      </c>
      <c r="U146" s="17">
        <f>IF($Q146&lt;&gt;"Yes","",IF(COUNTIFS(nrES_PID,$D146,nrES_Code,$F146,nrES_Att,2)&gt;0,"Retested",IF(OR($T146="",NOT(ISNUMBER($T146))),"Pending",IF(TODAY()&gt;$T146,"OVERDUE","Due "&amp;TEXT($T146,"mm/dd")))))</f>
        <v/>
      </c>
      <c r="V146" s="16" t="n"/>
      <c r="W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IF($C147="","",IF($L147="","",IF($K147=1,IF(COUNTIFS(nrES_PID,$D147,nrES_Code,$F147,nrES_Att,2)&gt;0,"",$L147),IF(COUNTIFS(nrES_PID,$D147,nrES_Code,$F147,nrES_Att,1)=0,$L147,IF($L147&gt;=$J147,cfgRetakeRecordedCap,SUMIFS(nrES_Raw,nrES_PID,$D147,nrES_Code,$F147,nrES_Att,1))))))</f>
        <v/>
      </c>
      <c r="N147" s="17">
        <f>IF($C147="","",IF($L147="","",IF($L147&gt;=$J147,"Yes","No")))</f>
        <v/>
      </c>
      <c r="O147" s="17">
        <f>IF($C147="","",IF($M147="","",IF($M147&gt;=$J147,"Yes","No")))</f>
        <v/>
      </c>
      <c r="P147" s="17">
        <f>IF($C147="","",IF($K147="","",IF(COUNTIFS(nrES_PID,$D147,nrES_Code,$F147,nrES_Att,"&gt;"&amp;$K147)=0,"Yes","No")))</f>
        <v/>
      </c>
      <c r="Q147" s="17">
        <f>IF($C147="","",IF($L147="","",IF(AND($K147=1,$L147&lt;$J147,COUNTIFS(nrES_PID,$D147,nrES_Code,$F147,nrES_Att,2)=0),"Yes","No")))</f>
        <v/>
      </c>
      <c r="R147" s="17">
        <f>IF($C147="","",IF($L147="","",IF(AND($K147=2,$L147&lt;$J147,COUNTIFS(nrES_PID,$D147,nrES_Code,$F147,nrES_Att,1)&gt;0),"Yes","No")))</f>
        <v/>
      </c>
      <c r="S147" s="18" t="n"/>
      <c r="T147" s="19">
        <f>IF($Q147&lt;&gt;"Yes","",IF($S147="","(enter date)",_xlfn.LET(_xlpm.dn,IFERROR(_xlfn.XLOOKUP($S147,nrCDdate,nrCDnum),""),IF(_xlpm.dn="","(not a class day)",IFERROR(_xlfn.XLOOKUP(_xlpm.dn+cfgRetestClassDays,nrCDnum,nrCDdate),"")))))</f>
        <v/>
      </c>
      <c r="U147" s="17">
        <f>IF($Q147&lt;&gt;"Yes","",IF(COUNTIFS(nrES_PID,$D147,nrES_Code,$F147,nrES_Att,2)&gt;0,"Retested",IF(OR($T147="",NOT(ISNUMBER($T147))),"Pending",IF(TODAY()&gt;$T147,"OVERDUE","Due "&amp;TEXT($T147,"mm/dd")))))</f>
        <v/>
      </c>
      <c r="V147" s="16" t="n"/>
      <c r="W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IF($C148="","",IF($L148="","",IF($K148=1,IF(COUNTIFS(nrES_PID,$D148,nrES_Code,$F148,nrES_Att,2)&gt;0,"",$L148),IF(COUNTIFS(nrES_PID,$D148,nrES_Code,$F148,nrES_Att,1)=0,$L148,IF($L148&gt;=$J148,cfgRetakeRecordedCap,SUMIFS(nrES_Raw,nrES_PID,$D148,nrES_Code,$F148,nrES_Att,1))))))</f>
        <v/>
      </c>
      <c r="N148" s="17">
        <f>IF($C148="","",IF($L148="","",IF($L148&gt;=$J148,"Yes","No")))</f>
        <v/>
      </c>
      <c r="O148" s="17">
        <f>IF($C148="","",IF($M148="","",IF($M148&gt;=$J148,"Yes","No")))</f>
        <v/>
      </c>
      <c r="P148" s="17">
        <f>IF($C148="","",IF($K148="","",IF(COUNTIFS(nrES_PID,$D148,nrES_Code,$F148,nrES_Att,"&gt;"&amp;$K148)=0,"Yes","No")))</f>
        <v/>
      </c>
      <c r="Q148" s="17">
        <f>IF($C148="","",IF($L148="","",IF(AND($K148=1,$L148&lt;$J148,COUNTIFS(nrES_PID,$D148,nrES_Code,$F148,nrES_Att,2)=0),"Yes","No")))</f>
        <v/>
      </c>
      <c r="R148" s="17">
        <f>IF($C148="","",IF($L148="","",IF(AND($K148=2,$L148&lt;$J148,COUNTIFS(nrES_PID,$D148,nrES_Code,$F148,nrES_Att,1)&gt;0),"Yes","No")))</f>
        <v/>
      </c>
      <c r="S148" s="18" t="n"/>
      <c r="T148" s="19">
        <f>IF($Q148&lt;&gt;"Yes","",IF($S148="","(enter date)",_xlfn.LET(_xlpm.dn,IFERROR(_xlfn.XLOOKUP($S148,nrCDdate,nrCDnum),""),IF(_xlpm.dn="","(not a class day)",IFERROR(_xlfn.XLOOKUP(_xlpm.dn+cfgRetestClassDays,nrCDnum,nrCDdate),"")))))</f>
        <v/>
      </c>
      <c r="U148" s="17">
        <f>IF($Q148&lt;&gt;"Yes","",IF(COUNTIFS(nrES_PID,$D148,nrES_Code,$F148,nrES_Att,2)&gt;0,"Retested",IF(OR($T148="",NOT(ISNUMBER($T148))),"Pending",IF(TODAY()&gt;$T148,"OVERDUE","Due "&amp;TEXT($T148,"mm/dd")))))</f>
        <v/>
      </c>
      <c r="V148" s="16" t="n"/>
      <c r="W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IF($C149="","",IF($L149="","",IF($K149=1,IF(COUNTIFS(nrES_PID,$D149,nrES_Code,$F149,nrES_Att,2)&gt;0,"",$L149),IF(COUNTIFS(nrES_PID,$D149,nrES_Code,$F149,nrES_Att,1)=0,$L149,IF($L149&gt;=$J149,cfgRetakeRecordedCap,SUMIFS(nrES_Raw,nrES_PID,$D149,nrES_Code,$F149,nrES_Att,1))))))</f>
        <v/>
      </c>
      <c r="N149" s="17">
        <f>IF($C149="","",IF($L149="","",IF($L149&gt;=$J149,"Yes","No")))</f>
        <v/>
      </c>
      <c r="O149" s="17">
        <f>IF($C149="","",IF($M149="","",IF($M149&gt;=$J149,"Yes","No")))</f>
        <v/>
      </c>
      <c r="P149" s="17">
        <f>IF($C149="","",IF($K149="","",IF(COUNTIFS(nrES_PID,$D149,nrES_Code,$F149,nrES_Att,"&gt;"&amp;$K149)=0,"Yes","No")))</f>
        <v/>
      </c>
      <c r="Q149" s="17">
        <f>IF($C149="","",IF($L149="","",IF(AND($K149=1,$L149&lt;$J149,COUNTIFS(nrES_PID,$D149,nrES_Code,$F149,nrES_Att,2)=0),"Yes","No")))</f>
        <v/>
      </c>
      <c r="R149" s="17">
        <f>IF($C149="","",IF($L149="","",IF(AND($K149=2,$L149&lt;$J149,COUNTIFS(nrES_PID,$D149,nrES_Code,$F149,nrES_Att,1)&gt;0),"Yes","No")))</f>
        <v/>
      </c>
      <c r="S149" s="18" t="n"/>
      <c r="T149" s="19">
        <f>IF($Q149&lt;&gt;"Yes","",IF($S149="","(enter date)",_xlfn.LET(_xlpm.dn,IFERROR(_xlfn.XLOOKUP($S149,nrCDdate,nrCDnum),""),IF(_xlpm.dn="","(not a class day)",IFERROR(_xlfn.XLOOKUP(_xlpm.dn+cfgRetestClassDays,nrCDnum,nrCDdate),"")))))</f>
        <v/>
      </c>
      <c r="U149" s="17">
        <f>IF($Q149&lt;&gt;"Yes","",IF(COUNTIFS(nrES_PID,$D149,nrES_Code,$F149,nrES_Att,2)&gt;0,"Retested",IF(OR($T149="",NOT(ISNUMBER($T149))),"Pending",IF(TODAY()&gt;$T149,"OVERDUE","Due "&amp;TEXT($T149,"mm/dd")))))</f>
        <v/>
      </c>
      <c r="V149" s="16" t="n"/>
      <c r="W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IF($C150="","",IF($L150="","",IF($K150=1,IF(COUNTIFS(nrES_PID,$D150,nrES_Code,$F150,nrES_Att,2)&gt;0,"",$L150),IF(COUNTIFS(nrES_PID,$D150,nrES_Code,$F150,nrES_Att,1)=0,$L150,IF($L150&gt;=$J150,cfgRetakeRecordedCap,SUMIFS(nrES_Raw,nrES_PID,$D150,nrES_Code,$F150,nrES_Att,1))))))</f>
        <v/>
      </c>
      <c r="N150" s="17">
        <f>IF($C150="","",IF($L150="","",IF($L150&gt;=$J150,"Yes","No")))</f>
        <v/>
      </c>
      <c r="O150" s="17">
        <f>IF($C150="","",IF($M150="","",IF($M150&gt;=$J150,"Yes","No")))</f>
        <v/>
      </c>
      <c r="P150" s="17">
        <f>IF($C150="","",IF($K150="","",IF(COUNTIFS(nrES_PID,$D150,nrES_Code,$F150,nrES_Att,"&gt;"&amp;$K150)=0,"Yes","No")))</f>
        <v/>
      </c>
      <c r="Q150" s="17">
        <f>IF($C150="","",IF($L150="","",IF(AND($K150=1,$L150&lt;$J150,COUNTIFS(nrES_PID,$D150,nrES_Code,$F150,nrES_Att,2)=0),"Yes","No")))</f>
        <v/>
      </c>
      <c r="R150" s="17">
        <f>IF($C150="","",IF($L150="","",IF(AND($K150=2,$L150&lt;$J150,COUNTIFS(nrES_PID,$D150,nrES_Code,$F150,nrES_Att,1)&gt;0),"Yes","No")))</f>
        <v/>
      </c>
      <c r="S150" s="18" t="n"/>
      <c r="T150" s="19">
        <f>IF($Q150&lt;&gt;"Yes","",IF($S150="","(enter date)",_xlfn.LET(_xlpm.dn,IFERROR(_xlfn.XLOOKUP($S150,nrCDdate,nrCDnum),""),IF(_xlpm.dn="","(not a class day)",IFERROR(_xlfn.XLOOKUP(_xlpm.dn+cfgRetestClassDays,nrCDnum,nrCDdate),"")))))</f>
        <v/>
      </c>
      <c r="U150" s="17">
        <f>IF($Q150&lt;&gt;"Yes","",IF(COUNTIFS(nrES_PID,$D150,nrES_Code,$F150,nrES_Att,2)&gt;0,"Retested",IF(OR($T150="",NOT(ISNUMBER($T150))),"Pending",IF(TODAY()&gt;$T150,"OVERDUE","Due "&amp;TEXT($T150,"mm/dd")))))</f>
        <v/>
      </c>
      <c r="V150" s="16" t="n"/>
      <c r="W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IF($C151="","",IF($L151="","",IF($K151=1,IF(COUNTIFS(nrES_PID,$D151,nrES_Code,$F151,nrES_Att,2)&gt;0,"",$L151),IF(COUNTIFS(nrES_PID,$D151,nrES_Code,$F151,nrES_Att,1)=0,$L151,IF($L151&gt;=$J151,cfgRetakeRecordedCap,SUMIFS(nrES_Raw,nrES_PID,$D151,nrES_Code,$F151,nrES_Att,1))))))</f>
        <v/>
      </c>
      <c r="N151" s="17">
        <f>IF($C151="","",IF($L151="","",IF($L151&gt;=$J151,"Yes","No")))</f>
        <v/>
      </c>
      <c r="O151" s="17">
        <f>IF($C151="","",IF($M151="","",IF($M151&gt;=$J151,"Yes","No")))</f>
        <v/>
      </c>
      <c r="P151" s="17">
        <f>IF($C151="","",IF($K151="","",IF(COUNTIFS(nrES_PID,$D151,nrES_Code,$F151,nrES_Att,"&gt;"&amp;$K151)=0,"Yes","No")))</f>
        <v/>
      </c>
      <c r="Q151" s="17">
        <f>IF($C151="","",IF($L151="","",IF(AND($K151=1,$L151&lt;$J151,COUNTIFS(nrES_PID,$D151,nrES_Code,$F151,nrES_Att,2)=0),"Yes","No")))</f>
        <v/>
      </c>
      <c r="R151" s="17">
        <f>IF($C151="","",IF($L151="","",IF(AND($K151=2,$L151&lt;$J151,COUNTIFS(nrES_PID,$D151,nrES_Code,$F151,nrES_Att,1)&gt;0),"Yes","No")))</f>
        <v/>
      </c>
      <c r="S151" s="18" t="n"/>
      <c r="T151" s="19">
        <f>IF($Q151&lt;&gt;"Yes","",IF($S151="","(enter date)",_xlfn.LET(_xlpm.dn,IFERROR(_xlfn.XLOOKUP($S151,nrCDdate,nrCDnum),""),IF(_xlpm.dn="","(not a class day)",IFERROR(_xlfn.XLOOKUP(_xlpm.dn+cfgRetestClassDays,nrCDnum,nrCDdate),"")))))</f>
        <v/>
      </c>
      <c r="U151" s="17">
        <f>IF($Q151&lt;&gt;"Yes","",IF(COUNTIFS(nrES_PID,$D151,nrES_Code,$F151,nrES_Att,2)&gt;0,"Retested",IF(OR($T151="",NOT(ISNUMBER($T151))),"Pending",IF(TODAY()&gt;$T151,"OVERDUE","Due "&amp;TEXT($T151,"mm/dd")))))</f>
        <v/>
      </c>
      <c r="V151" s="16" t="n"/>
      <c r="W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IF($C152="","",IF($L152="","",IF($K152=1,IF(COUNTIFS(nrES_PID,$D152,nrES_Code,$F152,nrES_Att,2)&gt;0,"",$L152),IF(COUNTIFS(nrES_PID,$D152,nrES_Code,$F152,nrES_Att,1)=0,$L152,IF($L152&gt;=$J152,cfgRetakeRecordedCap,SUMIFS(nrES_Raw,nrES_PID,$D152,nrES_Code,$F152,nrES_Att,1))))))</f>
        <v/>
      </c>
      <c r="N152" s="17">
        <f>IF($C152="","",IF($L152="","",IF($L152&gt;=$J152,"Yes","No")))</f>
        <v/>
      </c>
      <c r="O152" s="17">
        <f>IF($C152="","",IF($M152="","",IF($M152&gt;=$J152,"Yes","No")))</f>
        <v/>
      </c>
      <c r="P152" s="17">
        <f>IF($C152="","",IF($K152="","",IF(COUNTIFS(nrES_PID,$D152,nrES_Code,$F152,nrES_Att,"&gt;"&amp;$K152)=0,"Yes","No")))</f>
        <v/>
      </c>
      <c r="Q152" s="17">
        <f>IF($C152="","",IF($L152="","",IF(AND($K152=1,$L152&lt;$J152,COUNTIFS(nrES_PID,$D152,nrES_Code,$F152,nrES_Att,2)=0),"Yes","No")))</f>
        <v/>
      </c>
      <c r="R152" s="17">
        <f>IF($C152="","",IF($L152="","",IF(AND($K152=2,$L152&lt;$J152,COUNTIFS(nrES_PID,$D152,nrES_Code,$F152,nrES_Att,1)&gt;0),"Yes","No")))</f>
        <v/>
      </c>
      <c r="S152" s="18" t="n"/>
      <c r="T152" s="19">
        <f>IF($Q152&lt;&gt;"Yes","",IF($S152="","(enter date)",_xlfn.LET(_xlpm.dn,IFERROR(_xlfn.XLOOKUP($S152,nrCDdate,nrCDnum),""),IF(_xlpm.dn="","(not a class day)",IFERROR(_xlfn.XLOOKUP(_xlpm.dn+cfgRetestClassDays,nrCDnum,nrCDdate),"")))))</f>
        <v/>
      </c>
      <c r="U152" s="17">
        <f>IF($Q152&lt;&gt;"Yes","",IF(COUNTIFS(nrES_PID,$D152,nrES_Code,$F152,nrES_Att,2)&gt;0,"Retested",IF(OR($T152="",NOT(ISNUMBER($T152))),"Pending",IF(TODAY()&gt;$T152,"OVERDUE","Due "&amp;TEXT($T152,"mm/dd")))))</f>
        <v/>
      </c>
      <c r="V152" s="16" t="n"/>
      <c r="W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IF($C153="","",IF($L153="","",IF($K153=1,IF(COUNTIFS(nrES_PID,$D153,nrES_Code,$F153,nrES_Att,2)&gt;0,"",$L153),IF(COUNTIFS(nrES_PID,$D153,nrES_Code,$F153,nrES_Att,1)=0,$L153,IF($L153&gt;=$J153,cfgRetakeRecordedCap,SUMIFS(nrES_Raw,nrES_PID,$D153,nrES_Code,$F153,nrES_Att,1))))))</f>
        <v/>
      </c>
      <c r="N153" s="17">
        <f>IF($C153="","",IF($L153="","",IF($L153&gt;=$J153,"Yes","No")))</f>
        <v/>
      </c>
      <c r="O153" s="17">
        <f>IF($C153="","",IF($M153="","",IF($M153&gt;=$J153,"Yes","No")))</f>
        <v/>
      </c>
      <c r="P153" s="17">
        <f>IF($C153="","",IF($K153="","",IF(COUNTIFS(nrES_PID,$D153,nrES_Code,$F153,nrES_Att,"&gt;"&amp;$K153)=0,"Yes","No")))</f>
        <v/>
      </c>
      <c r="Q153" s="17">
        <f>IF($C153="","",IF($L153="","",IF(AND($K153=1,$L153&lt;$J153,COUNTIFS(nrES_PID,$D153,nrES_Code,$F153,nrES_Att,2)=0),"Yes","No")))</f>
        <v/>
      </c>
      <c r="R153" s="17">
        <f>IF($C153="","",IF($L153="","",IF(AND($K153=2,$L153&lt;$J153,COUNTIFS(nrES_PID,$D153,nrES_Code,$F153,nrES_Att,1)&gt;0),"Yes","No")))</f>
        <v/>
      </c>
      <c r="S153" s="18" t="n"/>
      <c r="T153" s="19">
        <f>IF($Q153&lt;&gt;"Yes","",IF($S153="","(enter date)",_xlfn.LET(_xlpm.dn,IFERROR(_xlfn.XLOOKUP($S153,nrCDdate,nrCDnum),""),IF(_xlpm.dn="","(not a class day)",IFERROR(_xlfn.XLOOKUP(_xlpm.dn+cfgRetestClassDays,nrCDnum,nrCDdate),"")))))</f>
        <v/>
      </c>
      <c r="U153" s="17">
        <f>IF($Q153&lt;&gt;"Yes","",IF(COUNTIFS(nrES_PID,$D153,nrES_Code,$F153,nrES_Att,2)&gt;0,"Retested",IF(OR($T153="",NOT(ISNUMBER($T153))),"Pending",IF(TODAY()&gt;$T153,"OVERDUE","Due "&amp;TEXT($T153,"mm/dd")))))</f>
        <v/>
      </c>
      <c r="V153" s="16" t="n"/>
      <c r="W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IF($C154="","",IF($L154="","",IF($K154=1,IF(COUNTIFS(nrES_PID,$D154,nrES_Code,$F154,nrES_Att,2)&gt;0,"",$L154),IF(COUNTIFS(nrES_PID,$D154,nrES_Code,$F154,nrES_Att,1)=0,$L154,IF($L154&gt;=$J154,cfgRetakeRecordedCap,SUMIFS(nrES_Raw,nrES_PID,$D154,nrES_Code,$F154,nrES_Att,1))))))</f>
        <v/>
      </c>
      <c r="N154" s="17">
        <f>IF($C154="","",IF($L154="","",IF($L154&gt;=$J154,"Yes","No")))</f>
        <v/>
      </c>
      <c r="O154" s="17">
        <f>IF($C154="","",IF($M154="","",IF($M154&gt;=$J154,"Yes","No")))</f>
        <v/>
      </c>
      <c r="P154" s="17">
        <f>IF($C154="","",IF($K154="","",IF(COUNTIFS(nrES_PID,$D154,nrES_Code,$F154,nrES_Att,"&gt;"&amp;$K154)=0,"Yes","No")))</f>
        <v/>
      </c>
      <c r="Q154" s="17">
        <f>IF($C154="","",IF($L154="","",IF(AND($K154=1,$L154&lt;$J154,COUNTIFS(nrES_PID,$D154,nrES_Code,$F154,nrES_Att,2)=0),"Yes","No")))</f>
        <v/>
      </c>
      <c r="R154" s="17">
        <f>IF($C154="","",IF($L154="","",IF(AND($K154=2,$L154&lt;$J154,COUNTIFS(nrES_PID,$D154,nrES_Code,$F154,nrES_Att,1)&gt;0),"Yes","No")))</f>
        <v/>
      </c>
      <c r="S154" s="18" t="n"/>
      <c r="T154" s="19">
        <f>IF($Q154&lt;&gt;"Yes","",IF($S154="","(enter date)",_xlfn.LET(_xlpm.dn,IFERROR(_xlfn.XLOOKUP($S154,nrCDdate,nrCDnum),""),IF(_xlpm.dn="","(not a class day)",IFERROR(_xlfn.XLOOKUP(_xlpm.dn+cfgRetestClassDays,nrCDnum,nrCDdate),"")))))</f>
        <v/>
      </c>
      <c r="U154" s="17">
        <f>IF($Q154&lt;&gt;"Yes","",IF(COUNTIFS(nrES_PID,$D154,nrES_Code,$F154,nrES_Att,2)&gt;0,"Retested",IF(OR($T154="",NOT(ISNUMBER($T154))),"Pending",IF(TODAY()&gt;$T154,"OVERDUE","Due "&amp;TEXT($T154,"mm/dd")))))</f>
        <v/>
      </c>
      <c r="V154" s="16" t="n"/>
      <c r="W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IF($C155="","",IF($L155="","",IF($K155=1,IF(COUNTIFS(nrES_PID,$D155,nrES_Code,$F155,nrES_Att,2)&gt;0,"",$L155),IF(COUNTIFS(nrES_PID,$D155,nrES_Code,$F155,nrES_Att,1)=0,$L155,IF($L155&gt;=$J155,cfgRetakeRecordedCap,SUMIFS(nrES_Raw,nrES_PID,$D155,nrES_Code,$F155,nrES_Att,1))))))</f>
        <v/>
      </c>
      <c r="N155" s="17">
        <f>IF($C155="","",IF($L155="","",IF($L155&gt;=$J155,"Yes","No")))</f>
        <v/>
      </c>
      <c r="O155" s="17">
        <f>IF($C155="","",IF($M155="","",IF($M155&gt;=$J155,"Yes","No")))</f>
        <v/>
      </c>
      <c r="P155" s="17">
        <f>IF($C155="","",IF($K155="","",IF(COUNTIFS(nrES_PID,$D155,nrES_Code,$F155,nrES_Att,"&gt;"&amp;$K155)=0,"Yes","No")))</f>
        <v/>
      </c>
      <c r="Q155" s="17">
        <f>IF($C155="","",IF($L155="","",IF(AND($K155=1,$L155&lt;$J155,COUNTIFS(nrES_PID,$D155,nrES_Code,$F155,nrES_Att,2)=0),"Yes","No")))</f>
        <v/>
      </c>
      <c r="R155" s="17">
        <f>IF($C155="","",IF($L155="","",IF(AND($K155=2,$L155&lt;$J155,COUNTIFS(nrES_PID,$D155,nrES_Code,$F155,nrES_Att,1)&gt;0),"Yes","No")))</f>
        <v/>
      </c>
      <c r="S155" s="18" t="n"/>
      <c r="T155" s="19">
        <f>IF($Q155&lt;&gt;"Yes","",IF($S155="","(enter date)",_xlfn.LET(_xlpm.dn,IFERROR(_xlfn.XLOOKUP($S155,nrCDdate,nrCDnum),""),IF(_xlpm.dn="","(not a class day)",IFERROR(_xlfn.XLOOKUP(_xlpm.dn+cfgRetestClassDays,nrCDnum,nrCDdate),"")))))</f>
        <v/>
      </c>
      <c r="U155" s="17">
        <f>IF($Q155&lt;&gt;"Yes","",IF(COUNTIFS(nrES_PID,$D155,nrES_Code,$F155,nrES_Att,2)&gt;0,"Retested",IF(OR($T155="",NOT(ISNUMBER($T155))),"Pending",IF(TODAY()&gt;$T155,"OVERDUE","Due "&amp;TEXT($T155,"mm/dd")))))</f>
        <v/>
      </c>
      <c r="V155" s="16" t="n"/>
      <c r="W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IF($C156="","",IF($L156="","",IF($K156=1,IF(COUNTIFS(nrES_PID,$D156,nrES_Code,$F156,nrES_Att,2)&gt;0,"",$L156),IF(COUNTIFS(nrES_PID,$D156,nrES_Code,$F156,nrES_Att,1)=0,$L156,IF($L156&gt;=$J156,cfgRetakeRecordedCap,SUMIFS(nrES_Raw,nrES_PID,$D156,nrES_Code,$F156,nrES_Att,1))))))</f>
        <v/>
      </c>
      <c r="N156" s="17">
        <f>IF($C156="","",IF($L156="","",IF($L156&gt;=$J156,"Yes","No")))</f>
        <v/>
      </c>
      <c r="O156" s="17">
        <f>IF($C156="","",IF($M156="","",IF($M156&gt;=$J156,"Yes","No")))</f>
        <v/>
      </c>
      <c r="P156" s="17">
        <f>IF($C156="","",IF($K156="","",IF(COUNTIFS(nrES_PID,$D156,nrES_Code,$F156,nrES_Att,"&gt;"&amp;$K156)=0,"Yes","No")))</f>
        <v/>
      </c>
      <c r="Q156" s="17">
        <f>IF($C156="","",IF($L156="","",IF(AND($K156=1,$L156&lt;$J156,COUNTIFS(nrES_PID,$D156,nrES_Code,$F156,nrES_Att,2)=0),"Yes","No")))</f>
        <v/>
      </c>
      <c r="R156" s="17">
        <f>IF($C156="","",IF($L156="","",IF(AND($K156=2,$L156&lt;$J156,COUNTIFS(nrES_PID,$D156,nrES_Code,$F156,nrES_Att,1)&gt;0),"Yes","No")))</f>
        <v/>
      </c>
      <c r="S156" s="18" t="n"/>
      <c r="T156" s="19">
        <f>IF($Q156&lt;&gt;"Yes","",IF($S156="","(enter date)",_xlfn.LET(_xlpm.dn,IFERROR(_xlfn.XLOOKUP($S156,nrCDdate,nrCDnum),""),IF(_xlpm.dn="","(not a class day)",IFERROR(_xlfn.XLOOKUP(_xlpm.dn+cfgRetestClassDays,nrCDnum,nrCDdate),"")))))</f>
        <v/>
      </c>
      <c r="U156" s="17">
        <f>IF($Q156&lt;&gt;"Yes","",IF(COUNTIFS(nrES_PID,$D156,nrES_Code,$F156,nrES_Att,2)&gt;0,"Retested",IF(OR($T156="",NOT(ISNUMBER($T156))),"Pending",IF(TODAY()&gt;$T156,"OVERDUE","Due "&amp;TEXT($T156,"mm/dd")))))</f>
        <v/>
      </c>
      <c r="V156" s="16" t="n"/>
      <c r="W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IF($C157="","",IF($L157="","",IF($K157=1,IF(COUNTIFS(nrES_PID,$D157,nrES_Code,$F157,nrES_Att,2)&gt;0,"",$L157),IF(COUNTIFS(nrES_PID,$D157,nrES_Code,$F157,nrES_Att,1)=0,$L157,IF($L157&gt;=$J157,cfgRetakeRecordedCap,SUMIFS(nrES_Raw,nrES_PID,$D157,nrES_Code,$F157,nrES_Att,1))))))</f>
        <v/>
      </c>
      <c r="N157" s="17">
        <f>IF($C157="","",IF($L157="","",IF($L157&gt;=$J157,"Yes","No")))</f>
        <v/>
      </c>
      <c r="O157" s="17">
        <f>IF($C157="","",IF($M157="","",IF($M157&gt;=$J157,"Yes","No")))</f>
        <v/>
      </c>
      <c r="P157" s="17">
        <f>IF($C157="","",IF($K157="","",IF(COUNTIFS(nrES_PID,$D157,nrES_Code,$F157,nrES_Att,"&gt;"&amp;$K157)=0,"Yes","No")))</f>
        <v/>
      </c>
      <c r="Q157" s="17">
        <f>IF($C157="","",IF($L157="","",IF(AND($K157=1,$L157&lt;$J157,COUNTIFS(nrES_PID,$D157,nrES_Code,$F157,nrES_Att,2)=0),"Yes","No")))</f>
        <v/>
      </c>
      <c r="R157" s="17">
        <f>IF($C157="","",IF($L157="","",IF(AND($K157=2,$L157&lt;$J157,COUNTIFS(nrES_PID,$D157,nrES_Code,$F157,nrES_Att,1)&gt;0),"Yes","No")))</f>
        <v/>
      </c>
      <c r="S157" s="18" t="n"/>
      <c r="T157" s="19">
        <f>IF($Q157&lt;&gt;"Yes","",IF($S157="","(enter date)",_xlfn.LET(_xlpm.dn,IFERROR(_xlfn.XLOOKUP($S157,nrCDdate,nrCDnum),""),IF(_xlpm.dn="","(not a class day)",IFERROR(_xlfn.XLOOKUP(_xlpm.dn+cfgRetestClassDays,nrCDnum,nrCDdate),"")))))</f>
        <v/>
      </c>
      <c r="U157" s="17">
        <f>IF($Q157&lt;&gt;"Yes","",IF(COUNTIFS(nrES_PID,$D157,nrES_Code,$F157,nrES_Att,2)&gt;0,"Retested",IF(OR($T157="",NOT(ISNUMBER($T157))),"Pending",IF(TODAY()&gt;$T157,"OVERDUE","Due "&amp;TEXT($T157,"mm/dd")))))</f>
        <v/>
      </c>
      <c r="V157" s="16" t="n"/>
      <c r="W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IF($C158="","",IF($L158="","",IF($K158=1,IF(COUNTIFS(nrES_PID,$D158,nrES_Code,$F158,nrES_Att,2)&gt;0,"",$L158),IF(COUNTIFS(nrES_PID,$D158,nrES_Code,$F158,nrES_Att,1)=0,$L158,IF($L158&gt;=$J158,cfgRetakeRecordedCap,SUMIFS(nrES_Raw,nrES_PID,$D158,nrES_Code,$F158,nrES_Att,1))))))</f>
        <v/>
      </c>
      <c r="N158" s="17">
        <f>IF($C158="","",IF($L158="","",IF($L158&gt;=$J158,"Yes","No")))</f>
        <v/>
      </c>
      <c r="O158" s="17">
        <f>IF($C158="","",IF($M158="","",IF($M158&gt;=$J158,"Yes","No")))</f>
        <v/>
      </c>
      <c r="P158" s="17">
        <f>IF($C158="","",IF($K158="","",IF(COUNTIFS(nrES_PID,$D158,nrES_Code,$F158,nrES_Att,"&gt;"&amp;$K158)=0,"Yes","No")))</f>
        <v/>
      </c>
      <c r="Q158" s="17">
        <f>IF($C158="","",IF($L158="","",IF(AND($K158=1,$L158&lt;$J158,COUNTIFS(nrES_PID,$D158,nrES_Code,$F158,nrES_Att,2)=0),"Yes","No")))</f>
        <v/>
      </c>
      <c r="R158" s="17">
        <f>IF($C158="","",IF($L158="","",IF(AND($K158=2,$L158&lt;$J158,COUNTIFS(nrES_PID,$D158,nrES_Code,$F158,nrES_Att,1)&gt;0),"Yes","No")))</f>
        <v/>
      </c>
      <c r="S158" s="18" t="n"/>
      <c r="T158" s="19">
        <f>IF($Q158&lt;&gt;"Yes","",IF($S158="","(enter date)",_xlfn.LET(_xlpm.dn,IFERROR(_xlfn.XLOOKUP($S158,nrCDdate,nrCDnum),""),IF(_xlpm.dn="","(not a class day)",IFERROR(_xlfn.XLOOKUP(_xlpm.dn+cfgRetestClassDays,nrCDnum,nrCDdate),"")))))</f>
        <v/>
      </c>
      <c r="U158" s="17">
        <f>IF($Q158&lt;&gt;"Yes","",IF(COUNTIFS(nrES_PID,$D158,nrES_Code,$F158,nrES_Att,2)&gt;0,"Retested",IF(OR($T158="",NOT(ISNUMBER($T158))),"Pending",IF(TODAY()&gt;$T158,"OVERDUE","Due "&amp;TEXT($T158,"mm/dd")))))</f>
        <v/>
      </c>
      <c r="V158" s="16" t="n"/>
      <c r="W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IF($C159="","",IF($L159="","",IF($K159=1,IF(COUNTIFS(nrES_PID,$D159,nrES_Code,$F159,nrES_Att,2)&gt;0,"",$L159),IF(COUNTIFS(nrES_PID,$D159,nrES_Code,$F159,nrES_Att,1)=0,$L159,IF($L159&gt;=$J159,cfgRetakeRecordedCap,SUMIFS(nrES_Raw,nrES_PID,$D159,nrES_Code,$F159,nrES_Att,1))))))</f>
        <v/>
      </c>
      <c r="N159" s="17">
        <f>IF($C159="","",IF($L159="","",IF($L159&gt;=$J159,"Yes","No")))</f>
        <v/>
      </c>
      <c r="O159" s="17">
        <f>IF($C159="","",IF($M159="","",IF($M159&gt;=$J159,"Yes","No")))</f>
        <v/>
      </c>
      <c r="P159" s="17">
        <f>IF($C159="","",IF($K159="","",IF(COUNTIFS(nrES_PID,$D159,nrES_Code,$F159,nrES_Att,"&gt;"&amp;$K159)=0,"Yes","No")))</f>
        <v/>
      </c>
      <c r="Q159" s="17">
        <f>IF($C159="","",IF($L159="","",IF(AND($K159=1,$L159&lt;$J159,COUNTIFS(nrES_PID,$D159,nrES_Code,$F159,nrES_Att,2)=0),"Yes","No")))</f>
        <v/>
      </c>
      <c r="R159" s="17">
        <f>IF($C159="","",IF($L159="","",IF(AND($K159=2,$L159&lt;$J159,COUNTIFS(nrES_PID,$D159,nrES_Code,$F159,nrES_Att,1)&gt;0),"Yes","No")))</f>
        <v/>
      </c>
      <c r="S159" s="18" t="n"/>
      <c r="T159" s="19">
        <f>IF($Q159&lt;&gt;"Yes","",IF($S159="","(enter date)",_xlfn.LET(_xlpm.dn,IFERROR(_xlfn.XLOOKUP($S159,nrCDdate,nrCDnum),""),IF(_xlpm.dn="","(not a class day)",IFERROR(_xlfn.XLOOKUP(_xlpm.dn+cfgRetestClassDays,nrCDnum,nrCDdate),"")))))</f>
        <v/>
      </c>
      <c r="U159" s="17">
        <f>IF($Q159&lt;&gt;"Yes","",IF(COUNTIFS(nrES_PID,$D159,nrES_Code,$F159,nrES_Att,2)&gt;0,"Retested",IF(OR($T159="",NOT(ISNUMBER($T159))),"Pending",IF(TODAY()&gt;$T159,"OVERDUE","Due "&amp;TEXT($T159,"mm/dd")))))</f>
        <v/>
      </c>
      <c r="V159" s="16" t="n"/>
      <c r="W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IF($C160="","",IF($L160="","",IF($K160=1,IF(COUNTIFS(nrES_PID,$D160,nrES_Code,$F160,nrES_Att,2)&gt;0,"",$L160),IF(COUNTIFS(nrES_PID,$D160,nrES_Code,$F160,nrES_Att,1)=0,$L160,IF($L160&gt;=$J160,cfgRetakeRecordedCap,SUMIFS(nrES_Raw,nrES_PID,$D160,nrES_Code,$F160,nrES_Att,1))))))</f>
        <v/>
      </c>
      <c r="N160" s="17">
        <f>IF($C160="","",IF($L160="","",IF($L160&gt;=$J160,"Yes","No")))</f>
        <v/>
      </c>
      <c r="O160" s="17">
        <f>IF($C160="","",IF($M160="","",IF($M160&gt;=$J160,"Yes","No")))</f>
        <v/>
      </c>
      <c r="P160" s="17">
        <f>IF($C160="","",IF($K160="","",IF(COUNTIFS(nrES_PID,$D160,nrES_Code,$F160,nrES_Att,"&gt;"&amp;$K160)=0,"Yes","No")))</f>
        <v/>
      </c>
      <c r="Q160" s="17">
        <f>IF($C160="","",IF($L160="","",IF(AND($K160=1,$L160&lt;$J160,COUNTIFS(nrES_PID,$D160,nrES_Code,$F160,nrES_Att,2)=0),"Yes","No")))</f>
        <v/>
      </c>
      <c r="R160" s="17">
        <f>IF($C160="","",IF($L160="","",IF(AND($K160=2,$L160&lt;$J160,COUNTIFS(nrES_PID,$D160,nrES_Code,$F160,nrES_Att,1)&gt;0),"Yes","No")))</f>
        <v/>
      </c>
      <c r="S160" s="18" t="n"/>
      <c r="T160" s="19">
        <f>IF($Q160&lt;&gt;"Yes","",IF($S160="","(enter date)",_xlfn.LET(_xlpm.dn,IFERROR(_xlfn.XLOOKUP($S160,nrCDdate,nrCDnum),""),IF(_xlpm.dn="","(not a class day)",IFERROR(_xlfn.XLOOKUP(_xlpm.dn+cfgRetestClassDays,nrCDnum,nrCDdate),"")))))</f>
        <v/>
      </c>
      <c r="U160" s="17">
        <f>IF($Q160&lt;&gt;"Yes","",IF(COUNTIFS(nrES_PID,$D160,nrES_Code,$F160,nrES_Att,2)&gt;0,"Retested",IF(OR($T160="",NOT(ISNUMBER($T160))),"Pending",IF(TODAY()&gt;$T160,"OVERDUE","Due "&amp;TEXT($T160,"mm/dd")))))</f>
        <v/>
      </c>
      <c r="V160" s="16" t="n"/>
      <c r="W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IF($C161="","",IF($L161="","",IF($K161=1,IF(COUNTIFS(nrES_PID,$D161,nrES_Code,$F161,nrES_Att,2)&gt;0,"",$L161),IF(COUNTIFS(nrES_PID,$D161,nrES_Code,$F161,nrES_Att,1)=0,$L161,IF($L161&gt;=$J161,cfgRetakeRecordedCap,SUMIFS(nrES_Raw,nrES_PID,$D161,nrES_Code,$F161,nrES_Att,1))))))</f>
        <v/>
      </c>
      <c r="N161" s="17">
        <f>IF($C161="","",IF($L161="","",IF($L161&gt;=$J161,"Yes","No")))</f>
        <v/>
      </c>
      <c r="O161" s="17">
        <f>IF($C161="","",IF($M161="","",IF($M161&gt;=$J161,"Yes","No")))</f>
        <v/>
      </c>
      <c r="P161" s="17">
        <f>IF($C161="","",IF($K161="","",IF(COUNTIFS(nrES_PID,$D161,nrES_Code,$F161,nrES_Att,"&gt;"&amp;$K161)=0,"Yes","No")))</f>
        <v/>
      </c>
      <c r="Q161" s="17">
        <f>IF($C161="","",IF($L161="","",IF(AND($K161=1,$L161&lt;$J161,COUNTIFS(nrES_PID,$D161,nrES_Code,$F161,nrES_Att,2)=0),"Yes","No")))</f>
        <v/>
      </c>
      <c r="R161" s="17">
        <f>IF($C161="","",IF($L161="","",IF(AND($K161=2,$L161&lt;$J161,COUNTIFS(nrES_PID,$D161,nrES_Code,$F161,nrES_Att,1)&gt;0),"Yes","No")))</f>
        <v/>
      </c>
      <c r="S161" s="18" t="n"/>
      <c r="T161" s="19">
        <f>IF($Q161&lt;&gt;"Yes","",IF($S161="","(enter date)",_xlfn.LET(_xlpm.dn,IFERROR(_xlfn.XLOOKUP($S161,nrCDdate,nrCDnum),""),IF(_xlpm.dn="","(not a class day)",IFERROR(_xlfn.XLOOKUP(_xlpm.dn+cfgRetestClassDays,nrCDnum,nrCDdate),"")))))</f>
        <v/>
      </c>
      <c r="U161" s="17">
        <f>IF($Q161&lt;&gt;"Yes","",IF(COUNTIFS(nrES_PID,$D161,nrES_Code,$F161,nrES_Att,2)&gt;0,"Retested",IF(OR($T161="",NOT(ISNUMBER($T161))),"Pending",IF(TODAY()&gt;$T161,"OVERDUE","Due "&amp;TEXT($T161,"mm/dd")))))</f>
        <v/>
      </c>
      <c r="V161" s="16" t="n"/>
      <c r="W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IF($C162="","",IF($L162="","",IF($K162=1,IF(COUNTIFS(nrES_PID,$D162,nrES_Code,$F162,nrES_Att,2)&gt;0,"",$L162),IF(COUNTIFS(nrES_PID,$D162,nrES_Code,$F162,nrES_Att,1)=0,$L162,IF($L162&gt;=$J162,cfgRetakeRecordedCap,SUMIFS(nrES_Raw,nrES_PID,$D162,nrES_Code,$F162,nrES_Att,1))))))</f>
        <v/>
      </c>
      <c r="N162" s="17">
        <f>IF($C162="","",IF($L162="","",IF($L162&gt;=$J162,"Yes","No")))</f>
        <v/>
      </c>
      <c r="O162" s="17">
        <f>IF($C162="","",IF($M162="","",IF($M162&gt;=$J162,"Yes","No")))</f>
        <v/>
      </c>
      <c r="P162" s="17">
        <f>IF($C162="","",IF($K162="","",IF(COUNTIFS(nrES_PID,$D162,nrES_Code,$F162,nrES_Att,"&gt;"&amp;$K162)=0,"Yes","No")))</f>
        <v/>
      </c>
      <c r="Q162" s="17">
        <f>IF($C162="","",IF($L162="","",IF(AND($K162=1,$L162&lt;$J162,COUNTIFS(nrES_PID,$D162,nrES_Code,$F162,nrES_Att,2)=0),"Yes","No")))</f>
        <v/>
      </c>
      <c r="R162" s="17">
        <f>IF($C162="","",IF($L162="","",IF(AND($K162=2,$L162&lt;$J162,COUNTIFS(nrES_PID,$D162,nrES_Code,$F162,nrES_Att,1)&gt;0),"Yes","No")))</f>
        <v/>
      </c>
      <c r="S162" s="18" t="n"/>
      <c r="T162" s="19">
        <f>IF($Q162&lt;&gt;"Yes","",IF($S162="","(enter date)",_xlfn.LET(_xlpm.dn,IFERROR(_xlfn.XLOOKUP($S162,nrCDdate,nrCDnum),""),IF(_xlpm.dn="","(not a class day)",IFERROR(_xlfn.XLOOKUP(_xlpm.dn+cfgRetestClassDays,nrCDnum,nrCDdate),"")))))</f>
        <v/>
      </c>
      <c r="U162" s="17">
        <f>IF($Q162&lt;&gt;"Yes","",IF(COUNTIFS(nrES_PID,$D162,nrES_Code,$F162,nrES_Att,2)&gt;0,"Retested",IF(OR($T162="",NOT(ISNUMBER($T162))),"Pending",IF(TODAY()&gt;$T162,"OVERDUE","Due "&amp;TEXT($T162,"mm/dd")))))</f>
        <v/>
      </c>
      <c r="V162" s="16" t="n"/>
      <c r="W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IF($C163="","",IF($L163="","",IF($K163=1,IF(COUNTIFS(nrES_PID,$D163,nrES_Code,$F163,nrES_Att,2)&gt;0,"",$L163),IF(COUNTIFS(nrES_PID,$D163,nrES_Code,$F163,nrES_Att,1)=0,$L163,IF($L163&gt;=$J163,cfgRetakeRecordedCap,SUMIFS(nrES_Raw,nrES_PID,$D163,nrES_Code,$F163,nrES_Att,1))))))</f>
        <v/>
      </c>
      <c r="N163" s="17">
        <f>IF($C163="","",IF($L163="","",IF($L163&gt;=$J163,"Yes","No")))</f>
        <v/>
      </c>
      <c r="O163" s="17">
        <f>IF($C163="","",IF($M163="","",IF($M163&gt;=$J163,"Yes","No")))</f>
        <v/>
      </c>
      <c r="P163" s="17">
        <f>IF($C163="","",IF($K163="","",IF(COUNTIFS(nrES_PID,$D163,nrES_Code,$F163,nrES_Att,"&gt;"&amp;$K163)=0,"Yes","No")))</f>
        <v/>
      </c>
      <c r="Q163" s="17">
        <f>IF($C163="","",IF($L163="","",IF(AND($K163=1,$L163&lt;$J163,COUNTIFS(nrES_PID,$D163,nrES_Code,$F163,nrES_Att,2)=0),"Yes","No")))</f>
        <v/>
      </c>
      <c r="R163" s="17">
        <f>IF($C163="","",IF($L163="","",IF(AND($K163=2,$L163&lt;$J163,COUNTIFS(nrES_PID,$D163,nrES_Code,$F163,nrES_Att,1)&gt;0),"Yes","No")))</f>
        <v/>
      </c>
      <c r="S163" s="18" t="n"/>
      <c r="T163" s="19">
        <f>IF($Q163&lt;&gt;"Yes","",IF($S163="","(enter date)",_xlfn.LET(_xlpm.dn,IFERROR(_xlfn.XLOOKUP($S163,nrCDdate,nrCDnum),""),IF(_xlpm.dn="","(not a class day)",IFERROR(_xlfn.XLOOKUP(_xlpm.dn+cfgRetestClassDays,nrCDnum,nrCDdate),"")))))</f>
        <v/>
      </c>
      <c r="U163" s="17">
        <f>IF($Q163&lt;&gt;"Yes","",IF(COUNTIFS(nrES_PID,$D163,nrES_Code,$F163,nrES_Att,2)&gt;0,"Retested",IF(OR($T163="",NOT(ISNUMBER($T163))),"Pending",IF(TODAY()&gt;$T163,"OVERDUE","Due "&amp;TEXT($T163,"mm/dd")))))</f>
        <v/>
      </c>
      <c r="V163" s="16" t="n"/>
      <c r="W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IF($C164="","",IF($L164="","",IF($K164=1,IF(COUNTIFS(nrES_PID,$D164,nrES_Code,$F164,nrES_Att,2)&gt;0,"",$L164),IF(COUNTIFS(nrES_PID,$D164,nrES_Code,$F164,nrES_Att,1)=0,$L164,IF($L164&gt;=$J164,cfgRetakeRecordedCap,SUMIFS(nrES_Raw,nrES_PID,$D164,nrES_Code,$F164,nrES_Att,1))))))</f>
        <v/>
      </c>
      <c r="N164" s="17">
        <f>IF($C164="","",IF($L164="","",IF($L164&gt;=$J164,"Yes","No")))</f>
        <v/>
      </c>
      <c r="O164" s="17">
        <f>IF($C164="","",IF($M164="","",IF($M164&gt;=$J164,"Yes","No")))</f>
        <v/>
      </c>
      <c r="P164" s="17">
        <f>IF($C164="","",IF($K164="","",IF(COUNTIFS(nrES_PID,$D164,nrES_Code,$F164,nrES_Att,"&gt;"&amp;$K164)=0,"Yes","No")))</f>
        <v/>
      </c>
      <c r="Q164" s="17">
        <f>IF($C164="","",IF($L164="","",IF(AND($K164=1,$L164&lt;$J164,COUNTIFS(nrES_PID,$D164,nrES_Code,$F164,nrES_Att,2)=0),"Yes","No")))</f>
        <v/>
      </c>
      <c r="R164" s="17">
        <f>IF($C164="","",IF($L164="","",IF(AND($K164=2,$L164&lt;$J164,COUNTIFS(nrES_PID,$D164,nrES_Code,$F164,nrES_Att,1)&gt;0),"Yes","No")))</f>
        <v/>
      </c>
      <c r="S164" s="18" t="n"/>
      <c r="T164" s="19">
        <f>IF($Q164&lt;&gt;"Yes","",IF($S164="","(enter date)",_xlfn.LET(_xlpm.dn,IFERROR(_xlfn.XLOOKUP($S164,nrCDdate,nrCDnum),""),IF(_xlpm.dn="","(not a class day)",IFERROR(_xlfn.XLOOKUP(_xlpm.dn+cfgRetestClassDays,nrCDnum,nrCDdate),"")))))</f>
        <v/>
      </c>
      <c r="U164" s="17">
        <f>IF($Q164&lt;&gt;"Yes","",IF(COUNTIFS(nrES_PID,$D164,nrES_Code,$F164,nrES_Att,2)&gt;0,"Retested",IF(OR($T164="",NOT(ISNUMBER($T164))),"Pending",IF(TODAY()&gt;$T164,"OVERDUE","Due "&amp;TEXT($T164,"mm/dd")))))</f>
        <v/>
      </c>
      <c r="V164" s="16" t="n"/>
      <c r="W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IF($C165="","",IF($L165="","",IF($K165=1,IF(COUNTIFS(nrES_PID,$D165,nrES_Code,$F165,nrES_Att,2)&gt;0,"",$L165),IF(COUNTIFS(nrES_PID,$D165,nrES_Code,$F165,nrES_Att,1)=0,$L165,IF($L165&gt;=$J165,cfgRetakeRecordedCap,SUMIFS(nrES_Raw,nrES_PID,$D165,nrES_Code,$F165,nrES_Att,1))))))</f>
        <v/>
      </c>
      <c r="N165" s="17">
        <f>IF($C165="","",IF($L165="","",IF($L165&gt;=$J165,"Yes","No")))</f>
        <v/>
      </c>
      <c r="O165" s="17">
        <f>IF($C165="","",IF($M165="","",IF($M165&gt;=$J165,"Yes","No")))</f>
        <v/>
      </c>
      <c r="P165" s="17">
        <f>IF($C165="","",IF($K165="","",IF(COUNTIFS(nrES_PID,$D165,nrES_Code,$F165,nrES_Att,"&gt;"&amp;$K165)=0,"Yes","No")))</f>
        <v/>
      </c>
      <c r="Q165" s="17">
        <f>IF($C165="","",IF($L165="","",IF(AND($K165=1,$L165&lt;$J165,COUNTIFS(nrES_PID,$D165,nrES_Code,$F165,nrES_Att,2)=0),"Yes","No")))</f>
        <v/>
      </c>
      <c r="R165" s="17">
        <f>IF($C165="","",IF($L165="","",IF(AND($K165=2,$L165&lt;$J165,COUNTIFS(nrES_PID,$D165,nrES_Code,$F165,nrES_Att,1)&gt;0),"Yes","No")))</f>
        <v/>
      </c>
      <c r="S165" s="18" t="n"/>
      <c r="T165" s="19">
        <f>IF($Q165&lt;&gt;"Yes","",IF($S165="","(enter date)",_xlfn.LET(_xlpm.dn,IFERROR(_xlfn.XLOOKUP($S165,nrCDdate,nrCDnum),""),IF(_xlpm.dn="","(not a class day)",IFERROR(_xlfn.XLOOKUP(_xlpm.dn+cfgRetestClassDays,nrCDnum,nrCDdate),"")))))</f>
        <v/>
      </c>
      <c r="U165" s="17">
        <f>IF($Q165&lt;&gt;"Yes","",IF(COUNTIFS(nrES_PID,$D165,nrES_Code,$F165,nrES_Att,2)&gt;0,"Retested",IF(OR($T165="",NOT(ISNUMBER($T165))),"Pending",IF(TODAY()&gt;$T165,"OVERDUE","Due "&amp;TEXT($T165,"mm/dd")))))</f>
        <v/>
      </c>
      <c r="V165" s="16" t="n"/>
      <c r="W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IF($C166="","",IF($L166="","",IF($K166=1,IF(COUNTIFS(nrES_PID,$D166,nrES_Code,$F166,nrES_Att,2)&gt;0,"",$L166),IF(COUNTIFS(nrES_PID,$D166,nrES_Code,$F166,nrES_Att,1)=0,$L166,IF($L166&gt;=$J166,cfgRetakeRecordedCap,SUMIFS(nrES_Raw,nrES_PID,$D166,nrES_Code,$F166,nrES_Att,1))))))</f>
        <v/>
      </c>
      <c r="N166" s="17">
        <f>IF($C166="","",IF($L166="","",IF($L166&gt;=$J166,"Yes","No")))</f>
        <v/>
      </c>
      <c r="O166" s="17">
        <f>IF($C166="","",IF($M166="","",IF($M166&gt;=$J166,"Yes","No")))</f>
        <v/>
      </c>
      <c r="P166" s="17">
        <f>IF($C166="","",IF($K166="","",IF(COUNTIFS(nrES_PID,$D166,nrES_Code,$F166,nrES_Att,"&gt;"&amp;$K166)=0,"Yes","No")))</f>
        <v/>
      </c>
      <c r="Q166" s="17">
        <f>IF($C166="","",IF($L166="","",IF(AND($K166=1,$L166&lt;$J166,COUNTIFS(nrES_PID,$D166,nrES_Code,$F166,nrES_Att,2)=0),"Yes","No")))</f>
        <v/>
      </c>
      <c r="R166" s="17">
        <f>IF($C166="","",IF($L166="","",IF(AND($K166=2,$L166&lt;$J166,COUNTIFS(nrES_PID,$D166,nrES_Code,$F166,nrES_Att,1)&gt;0),"Yes","No")))</f>
        <v/>
      </c>
      <c r="S166" s="18" t="n"/>
      <c r="T166" s="19">
        <f>IF($Q166&lt;&gt;"Yes","",IF($S166="","(enter date)",_xlfn.LET(_xlpm.dn,IFERROR(_xlfn.XLOOKUP($S166,nrCDdate,nrCDnum),""),IF(_xlpm.dn="","(not a class day)",IFERROR(_xlfn.XLOOKUP(_xlpm.dn+cfgRetestClassDays,nrCDnum,nrCDdate),"")))))</f>
        <v/>
      </c>
      <c r="U166" s="17">
        <f>IF($Q166&lt;&gt;"Yes","",IF(COUNTIFS(nrES_PID,$D166,nrES_Code,$F166,nrES_Att,2)&gt;0,"Retested",IF(OR($T166="",NOT(ISNUMBER($T166))),"Pending",IF(TODAY()&gt;$T166,"OVERDUE","Due "&amp;TEXT($T166,"mm/dd")))))</f>
        <v/>
      </c>
      <c r="V166" s="16" t="n"/>
      <c r="W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IF($C167="","",IF($L167="","",IF($K167=1,IF(COUNTIFS(nrES_PID,$D167,nrES_Code,$F167,nrES_Att,2)&gt;0,"",$L167),IF(COUNTIFS(nrES_PID,$D167,nrES_Code,$F167,nrES_Att,1)=0,$L167,IF($L167&gt;=$J167,cfgRetakeRecordedCap,SUMIFS(nrES_Raw,nrES_PID,$D167,nrES_Code,$F167,nrES_Att,1))))))</f>
        <v/>
      </c>
      <c r="N167" s="17">
        <f>IF($C167="","",IF($L167="","",IF($L167&gt;=$J167,"Yes","No")))</f>
        <v/>
      </c>
      <c r="O167" s="17">
        <f>IF($C167="","",IF($M167="","",IF($M167&gt;=$J167,"Yes","No")))</f>
        <v/>
      </c>
      <c r="P167" s="17">
        <f>IF($C167="","",IF($K167="","",IF(COUNTIFS(nrES_PID,$D167,nrES_Code,$F167,nrES_Att,"&gt;"&amp;$K167)=0,"Yes","No")))</f>
        <v/>
      </c>
      <c r="Q167" s="17">
        <f>IF($C167="","",IF($L167="","",IF(AND($K167=1,$L167&lt;$J167,COUNTIFS(nrES_PID,$D167,nrES_Code,$F167,nrES_Att,2)=0),"Yes","No")))</f>
        <v/>
      </c>
      <c r="R167" s="17">
        <f>IF($C167="","",IF($L167="","",IF(AND($K167=2,$L167&lt;$J167,COUNTIFS(nrES_PID,$D167,nrES_Code,$F167,nrES_Att,1)&gt;0),"Yes","No")))</f>
        <v/>
      </c>
      <c r="S167" s="18" t="n"/>
      <c r="T167" s="19">
        <f>IF($Q167&lt;&gt;"Yes","",IF($S167="","(enter date)",_xlfn.LET(_xlpm.dn,IFERROR(_xlfn.XLOOKUP($S167,nrCDdate,nrCDnum),""),IF(_xlpm.dn="","(not a class day)",IFERROR(_xlfn.XLOOKUP(_xlpm.dn+cfgRetestClassDays,nrCDnum,nrCDdate),"")))))</f>
        <v/>
      </c>
      <c r="U167" s="17">
        <f>IF($Q167&lt;&gt;"Yes","",IF(COUNTIFS(nrES_PID,$D167,nrES_Code,$F167,nrES_Att,2)&gt;0,"Retested",IF(OR($T167="",NOT(ISNUMBER($T167))),"Pending",IF(TODAY()&gt;$T167,"OVERDUE","Due "&amp;TEXT($T167,"mm/dd")))))</f>
        <v/>
      </c>
      <c r="V167" s="16" t="n"/>
      <c r="W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IF($C168="","",IF($L168="","",IF($K168=1,IF(COUNTIFS(nrES_PID,$D168,nrES_Code,$F168,nrES_Att,2)&gt;0,"",$L168),IF(COUNTIFS(nrES_PID,$D168,nrES_Code,$F168,nrES_Att,1)=0,$L168,IF($L168&gt;=$J168,cfgRetakeRecordedCap,SUMIFS(nrES_Raw,nrES_PID,$D168,nrES_Code,$F168,nrES_Att,1))))))</f>
        <v/>
      </c>
      <c r="N168" s="17">
        <f>IF($C168="","",IF($L168="","",IF($L168&gt;=$J168,"Yes","No")))</f>
        <v/>
      </c>
      <c r="O168" s="17">
        <f>IF($C168="","",IF($M168="","",IF($M168&gt;=$J168,"Yes","No")))</f>
        <v/>
      </c>
      <c r="P168" s="17">
        <f>IF($C168="","",IF($K168="","",IF(COUNTIFS(nrES_PID,$D168,nrES_Code,$F168,nrES_Att,"&gt;"&amp;$K168)=0,"Yes","No")))</f>
        <v/>
      </c>
      <c r="Q168" s="17">
        <f>IF($C168="","",IF($L168="","",IF(AND($K168=1,$L168&lt;$J168,COUNTIFS(nrES_PID,$D168,nrES_Code,$F168,nrES_Att,2)=0),"Yes","No")))</f>
        <v/>
      </c>
      <c r="R168" s="17">
        <f>IF($C168="","",IF($L168="","",IF(AND($K168=2,$L168&lt;$J168,COUNTIFS(nrES_PID,$D168,nrES_Code,$F168,nrES_Att,1)&gt;0),"Yes","No")))</f>
        <v/>
      </c>
      <c r="S168" s="18" t="n"/>
      <c r="T168" s="19">
        <f>IF($Q168&lt;&gt;"Yes","",IF($S168="","(enter date)",_xlfn.LET(_xlpm.dn,IFERROR(_xlfn.XLOOKUP($S168,nrCDdate,nrCDnum),""),IF(_xlpm.dn="","(not a class day)",IFERROR(_xlfn.XLOOKUP(_xlpm.dn+cfgRetestClassDays,nrCDnum,nrCDdate),"")))))</f>
        <v/>
      </c>
      <c r="U168" s="17">
        <f>IF($Q168&lt;&gt;"Yes","",IF(COUNTIFS(nrES_PID,$D168,nrES_Code,$F168,nrES_Att,2)&gt;0,"Retested",IF(OR($T168="",NOT(ISNUMBER($T168))),"Pending",IF(TODAY()&gt;$T168,"OVERDUE","Due "&amp;TEXT($T168,"mm/dd")))))</f>
        <v/>
      </c>
      <c r="V168" s="16" t="n"/>
      <c r="W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IF($C169="","",IF($L169="","",IF($K169=1,IF(COUNTIFS(nrES_PID,$D169,nrES_Code,$F169,nrES_Att,2)&gt;0,"",$L169),IF(COUNTIFS(nrES_PID,$D169,nrES_Code,$F169,nrES_Att,1)=0,$L169,IF($L169&gt;=$J169,cfgRetakeRecordedCap,SUMIFS(nrES_Raw,nrES_PID,$D169,nrES_Code,$F169,nrES_Att,1))))))</f>
        <v/>
      </c>
      <c r="N169" s="17">
        <f>IF($C169="","",IF($L169="","",IF($L169&gt;=$J169,"Yes","No")))</f>
        <v/>
      </c>
      <c r="O169" s="17">
        <f>IF($C169="","",IF($M169="","",IF($M169&gt;=$J169,"Yes","No")))</f>
        <v/>
      </c>
      <c r="P169" s="17">
        <f>IF($C169="","",IF($K169="","",IF(COUNTIFS(nrES_PID,$D169,nrES_Code,$F169,nrES_Att,"&gt;"&amp;$K169)=0,"Yes","No")))</f>
        <v/>
      </c>
      <c r="Q169" s="17">
        <f>IF($C169="","",IF($L169="","",IF(AND($K169=1,$L169&lt;$J169,COUNTIFS(nrES_PID,$D169,nrES_Code,$F169,nrES_Att,2)=0),"Yes","No")))</f>
        <v/>
      </c>
      <c r="R169" s="17">
        <f>IF($C169="","",IF($L169="","",IF(AND($K169=2,$L169&lt;$J169,COUNTIFS(nrES_PID,$D169,nrES_Code,$F169,nrES_Att,1)&gt;0),"Yes","No")))</f>
        <v/>
      </c>
      <c r="S169" s="18" t="n"/>
      <c r="T169" s="19">
        <f>IF($Q169&lt;&gt;"Yes","",IF($S169="","(enter date)",_xlfn.LET(_xlpm.dn,IFERROR(_xlfn.XLOOKUP($S169,nrCDdate,nrCDnum),""),IF(_xlpm.dn="","(not a class day)",IFERROR(_xlfn.XLOOKUP(_xlpm.dn+cfgRetestClassDays,nrCDnum,nrCDdate),"")))))</f>
        <v/>
      </c>
      <c r="U169" s="17">
        <f>IF($Q169&lt;&gt;"Yes","",IF(COUNTIFS(nrES_PID,$D169,nrES_Code,$F169,nrES_Att,2)&gt;0,"Retested",IF(OR($T169="",NOT(ISNUMBER($T169))),"Pending",IF(TODAY()&gt;$T169,"OVERDUE","Due "&amp;TEXT($T169,"mm/dd")))))</f>
        <v/>
      </c>
      <c r="V169" s="16" t="n"/>
      <c r="W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IF($C170="","",IF($L170="","",IF($K170=1,IF(COUNTIFS(nrES_PID,$D170,nrES_Code,$F170,nrES_Att,2)&gt;0,"",$L170),IF(COUNTIFS(nrES_PID,$D170,nrES_Code,$F170,nrES_Att,1)=0,$L170,IF($L170&gt;=$J170,cfgRetakeRecordedCap,SUMIFS(nrES_Raw,nrES_PID,$D170,nrES_Code,$F170,nrES_Att,1))))))</f>
        <v/>
      </c>
      <c r="N170" s="17">
        <f>IF($C170="","",IF($L170="","",IF($L170&gt;=$J170,"Yes","No")))</f>
        <v/>
      </c>
      <c r="O170" s="17">
        <f>IF($C170="","",IF($M170="","",IF($M170&gt;=$J170,"Yes","No")))</f>
        <v/>
      </c>
      <c r="P170" s="17">
        <f>IF($C170="","",IF($K170="","",IF(COUNTIFS(nrES_PID,$D170,nrES_Code,$F170,nrES_Att,"&gt;"&amp;$K170)=0,"Yes","No")))</f>
        <v/>
      </c>
      <c r="Q170" s="17">
        <f>IF($C170="","",IF($L170="","",IF(AND($K170=1,$L170&lt;$J170,COUNTIFS(nrES_PID,$D170,nrES_Code,$F170,nrES_Att,2)=0),"Yes","No")))</f>
        <v/>
      </c>
      <c r="R170" s="17">
        <f>IF($C170="","",IF($L170="","",IF(AND($K170=2,$L170&lt;$J170,COUNTIFS(nrES_PID,$D170,nrES_Code,$F170,nrES_Att,1)&gt;0),"Yes","No")))</f>
        <v/>
      </c>
      <c r="S170" s="18" t="n"/>
      <c r="T170" s="19">
        <f>IF($Q170&lt;&gt;"Yes","",IF($S170="","(enter date)",_xlfn.LET(_xlpm.dn,IFERROR(_xlfn.XLOOKUP($S170,nrCDdate,nrCDnum),""),IF(_xlpm.dn="","(not a class day)",IFERROR(_xlfn.XLOOKUP(_xlpm.dn+cfgRetestClassDays,nrCDnum,nrCDdate),"")))))</f>
        <v/>
      </c>
      <c r="U170" s="17">
        <f>IF($Q170&lt;&gt;"Yes","",IF(COUNTIFS(nrES_PID,$D170,nrES_Code,$F170,nrES_Att,2)&gt;0,"Retested",IF(OR($T170="",NOT(ISNUMBER($T170))),"Pending",IF(TODAY()&gt;$T170,"OVERDUE","Due "&amp;TEXT($T170,"mm/dd")))))</f>
        <v/>
      </c>
      <c r="V170" s="16" t="n"/>
      <c r="W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IF($C171="","",IF($L171="","",IF($K171=1,IF(COUNTIFS(nrES_PID,$D171,nrES_Code,$F171,nrES_Att,2)&gt;0,"",$L171),IF(COUNTIFS(nrES_PID,$D171,nrES_Code,$F171,nrES_Att,1)=0,$L171,IF($L171&gt;=$J171,cfgRetakeRecordedCap,SUMIFS(nrES_Raw,nrES_PID,$D171,nrES_Code,$F171,nrES_Att,1))))))</f>
        <v/>
      </c>
      <c r="N171" s="17">
        <f>IF($C171="","",IF($L171="","",IF($L171&gt;=$J171,"Yes","No")))</f>
        <v/>
      </c>
      <c r="O171" s="17">
        <f>IF($C171="","",IF($M171="","",IF($M171&gt;=$J171,"Yes","No")))</f>
        <v/>
      </c>
      <c r="P171" s="17">
        <f>IF($C171="","",IF($K171="","",IF(COUNTIFS(nrES_PID,$D171,nrES_Code,$F171,nrES_Att,"&gt;"&amp;$K171)=0,"Yes","No")))</f>
        <v/>
      </c>
      <c r="Q171" s="17">
        <f>IF($C171="","",IF($L171="","",IF(AND($K171=1,$L171&lt;$J171,COUNTIFS(nrES_PID,$D171,nrES_Code,$F171,nrES_Att,2)=0),"Yes","No")))</f>
        <v/>
      </c>
      <c r="R171" s="17">
        <f>IF($C171="","",IF($L171="","",IF(AND($K171=2,$L171&lt;$J171,COUNTIFS(nrES_PID,$D171,nrES_Code,$F171,nrES_Att,1)&gt;0),"Yes","No")))</f>
        <v/>
      </c>
      <c r="S171" s="18" t="n"/>
      <c r="T171" s="19">
        <f>IF($Q171&lt;&gt;"Yes","",IF($S171="","(enter date)",_xlfn.LET(_xlpm.dn,IFERROR(_xlfn.XLOOKUP($S171,nrCDdate,nrCDnum),""),IF(_xlpm.dn="","(not a class day)",IFERROR(_xlfn.XLOOKUP(_xlpm.dn+cfgRetestClassDays,nrCDnum,nrCDdate),"")))))</f>
        <v/>
      </c>
      <c r="U171" s="17">
        <f>IF($Q171&lt;&gt;"Yes","",IF(COUNTIFS(nrES_PID,$D171,nrES_Code,$F171,nrES_Att,2)&gt;0,"Retested",IF(OR($T171="",NOT(ISNUMBER($T171))),"Pending",IF(TODAY()&gt;$T171,"OVERDUE","Due "&amp;TEXT($T171,"mm/dd")))))</f>
        <v/>
      </c>
      <c r="V171" s="16" t="n"/>
      <c r="W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IF($C172="","",IF($L172="","",IF($K172=1,IF(COUNTIFS(nrES_PID,$D172,nrES_Code,$F172,nrES_Att,2)&gt;0,"",$L172),IF(COUNTIFS(nrES_PID,$D172,nrES_Code,$F172,nrES_Att,1)=0,$L172,IF($L172&gt;=$J172,cfgRetakeRecordedCap,SUMIFS(nrES_Raw,nrES_PID,$D172,nrES_Code,$F172,nrES_Att,1))))))</f>
        <v/>
      </c>
      <c r="N172" s="17">
        <f>IF($C172="","",IF($L172="","",IF($L172&gt;=$J172,"Yes","No")))</f>
        <v/>
      </c>
      <c r="O172" s="17">
        <f>IF($C172="","",IF($M172="","",IF($M172&gt;=$J172,"Yes","No")))</f>
        <v/>
      </c>
      <c r="P172" s="17">
        <f>IF($C172="","",IF($K172="","",IF(COUNTIFS(nrES_PID,$D172,nrES_Code,$F172,nrES_Att,"&gt;"&amp;$K172)=0,"Yes","No")))</f>
        <v/>
      </c>
      <c r="Q172" s="17">
        <f>IF($C172="","",IF($L172="","",IF(AND($K172=1,$L172&lt;$J172,COUNTIFS(nrES_PID,$D172,nrES_Code,$F172,nrES_Att,2)=0),"Yes","No")))</f>
        <v/>
      </c>
      <c r="R172" s="17">
        <f>IF($C172="","",IF($L172="","",IF(AND($K172=2,$L172&lt;$J172,COUNTIFS(nrES_PID,$D172,nrES_Code,$F172,nrES_Att,1)&gt;0),"Yes","No")))</f>
        <v/>
      </c>
      <c r="S172" s="18" t="n"/>
      <c r="T172" s="19">
        <f>IF($Q172&lt;&gt;"Yes","",IF($S172="","(enter date)",_xlfn.LET(_xlpm.dn,IFERROR(_xlfn.XLOOKUP($S172,nrCDdate,nrCDnum),""),IF(_xlpm.dn="","(not a class day)",IFERROR(_xlfn.XLOOKUP(_xlpm.dn+cfgRetestClassDays,nrCDnum,nrCDdate),"")))))</f>
        <v/>
      </c>
      <c r="U172" s="17">
        <f>IF($Q172&lt;&gt;"Yes","",IF(COUNTIFS(nrES_PID,$D172,nrES_Code,$F172,nrES_Att,2)&gt;0,"Retested",IF(OR($T172="",NOT(ISNUMBER($T172))),"Pending",IF(TODAY()&gt;$T172,"OVERDUE","Due "&amp;TEXT($T172,"mm/dd")))))</f>
        <v/>
      </c>
      <c r="V172" s="16" t="n"/>
      <c r="W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IF($C173="","",IF($L173="","",IF($K173=1,IF(COUNTIFS(nrES_PID,$D173,nrES_Code,$F173,nrES_Att,2)&gt;0,"",$L173),IF(COUNTIFS(nrES_PID,$D173,nrES_Code,$F173,nrES_Att,1)=0,$L173,IF($L173&gt;=$J173,cfgRetakeRecordedCap,SUMIFS(nrES_Raw,nrES_PID,$D173,nrES_Code,$F173,nrES_Att,1))))))</f>
        <v/>
      </c>
      <c r="N173" s="17">
        <f>IF($C173="","",IF($L173="","",IF($L173&gt;=$J173,"Yes","No")))</f>
        <v/>
      </c>
      <c r="O173" s="17">
        <f>IF($C173="","",IF($M173="","",IF($M173&gt;=$J173,"Yes","No")))</f>
        <v/>
      </c>
      <c r="P173" s="17">
        <f>IF($C173="","",IF($K173="","",IF(COUNTIFS(nrES_PID,$D173,nrES_Code,$F173,nrES_Att,"&gt;"&amp;$K173)=0,"Yes","No")))</f>
        <v/>
      </c>
      <c r="Q173" s="17">
        <f>IF($C173="","",IF($L173="","",IF(AND($K173=1,$L173&lt;$J173,COUNTIFS(nrES_PID,$D173,nrES_Code,$F173,nrES_Att,2)=0),"Yes","No")))</f>
        <v/>
      </c>
      <c r="R173" s="17">
        <f>IF($C173="","",IF($L173="","",IF(AND($K173=2,$L173&lt;$J173,COUNTIFS(nrES_PID,$D173,nrES_Code,$F173,nrES_Att,1)&gt;0),"Yes","No")))</f>
        <v/>
      </c>
      <c r="S173" s="18" t="n"/>
      <c r="T173" s="19">
        <f>IF($Q173&lt;&gt;"Yes","",IF($S173="","(enter date)",_xlfn.LET(_xlpm.dn,IFERROR(_xlfn.XLOOKUP($S173,nrCDdate,nrCDnum),""),IF(_xlpm.dn="","(not a class day)",IFERROR(_xlfn.XLOOKUP(_xlpm.dn+cfgRetestClassDays,nrCDnum,nrCDdate),"")))))</f>
        <v/>
      </c>
      <c r="U173" s="17">
        <f>IF($Q173&lt;&gt;"Yes","",IF(COUNTIFS(nrES_PID,$D173,nrES_Code,$F173,nrES_Att,2)&gt;0,"Retested",IF(OR($T173="",NOT(ISNUMBER($T173))),"Pending",IF(TODAY()&gt;$T173,"OVERDUE","Due "&amp;TEXT($T173,"mm/dd")))))</f>
        <v/>
      </c>
      <c r="V173" s="16" t="n"/>
      <c r="W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IF($C174="","",IF($L174="","",IF($K174=1,IF(COUNTIFS(nrES_PID,$D174,nrES_Code,$F174,nrES_Att,2)&gt;0,"",$L174),IF(COUNTIFS(nrES_PID,$D174,nrES_Code,$F174,nrES_Att,1)=0,$L174,IF($L174&gt;=$J174,cfgRetakeRecordedCap,SUMIFS(nrES_Raw,nrES_PID,$D174,nrES_Code,$F174,nrES_Att,1))))))</f>
        <v/>
      </c>
      <c r="N174" s="17">
        <f>IF($C174="","",IF($L174="","",IF($L174&gt;=$J174,"Yes","No")))</f>
        <v/>
      </c>
      <c r="O174" s="17">
        <f>IF($C174="","",IF($M174="","",IF($M174&gt;=$J174,"Yes","No")))</f>
        <v/>
      </c>
      <c r="P174" s="17">
        <f>IF($C174="","",IF($K174="","",IF(COUNTIFS(nrES_PID,$D174,nrES_Code,$F174,nrES_Att,"&gt;"&amp;$K174)=0,"Yes","No")))</f>
        <v/>
      </c>
      <c r="Q174" s="17">
        <f>IF($C174="","",IF($L174="","",IF(AND($K174=1,$L174&lt;$J174,COUNTIFS(nrES_PID,$D174,nrES_Code,$F174,nrES_Att,2)=0),"Yes","No")))</f>
        <v/>
      </c>
      <c r="R174" s="17">
        <f>IF($C174="","",IF($L174="","",IF(AND($K174=2,$L174&lt;$J174,COUNTIFS(nrES_PID,$D174,nrES_Code,$F174,nrES_Att,1)&gt;0),"Yes","No")))</f>
        <v/>
      </c>
      <c r="S174" s="18" t="n"/>
      <c r="T174" s="19">
        <f>IF($Q174&lt;&gt;"Yes","",IF($S174="","(enter date)",_xlfn.LET(_xlpm.dn,IFERROR(_xlfn.XLOOKUP($S174,nrCDdate,nrCDnum),""),IF(_xlpm.dn="","(not a class day)",IFERROR(_xlfn.XLOOKUP(_xlpm.dn+cfgRetestClassDays,nrCDnum,nrCDdate),"")))))</f>
        <v/>
      </c>
      <c r="U174" s="17">
        <f>IF($Q174&lt;&gt;"Yes","",IF(COUNTIFS(nrES_PID,$D174,nrES_Code,$F174,nrES_Att,2)&gt;0,"Retested",IF(OR($T174="",NOT(ISNUMBER($T174))),"Pending",IF(TODAY()&gt;$T174,"OVERDUE","Due "&amp;TEXT($T174,"mm/dd")))))</f>
        <v/>
      </c>
      <c r="V174" s="16" t="n"/>
      <c r="W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IF($C175="","",IF($L175="","",IF($K175=1,IF(COUNTIFS(nrES_PID,$D175,nrES_Code,$F175,nrES_Att,2)&gt;0,"",$L175),IF(COUNTIFS(nrES_PID,$D175,nrES_Code,$F175,nrES_Att,1)=0,$L175,IF($L175&gt;=$J175,cfgRetakeRecordedCap,SUMIFS(nrES_Raw,nrES_PID,$D175,nrES_Code,$F175,nrES_Att,1))))))</f>
        <v/>
      </c>
      <c r="N175" s="17">
        <f>IF($C175="","",IF($L175="","",IF($L175&gt;=$J175,"Yes","No")))</f>
        <v/>
      </c>
      <c r="O175" s="17">
        <f>IF($C175="","",IF($M175="","",IF($M175&gt;=$J175,"Yes","No")))</f>
        <v/>
      </c>
      <c r="P175" s="17">
        <f>IF($C175="","",IF($K175="","",IF(COUNTIFS(nrES_PID,$D175,nrES_Code,$F175,nrES_Att,"&gt;"&amp;$K175)=0,"Yes","No")))</f>
        <v/>
      </c>
      <c r="Q175" s="17">
        <f>IF($C175="","",IF($L175="","",IF(AND($K175=1,$L175&lt;$J175,COUNTIFS(nrES_PID,$D175,nrES_Code,$F175,nrES_Att,2)=0),"Yes","No")))</f>
        <v/>
      </c>
      <c r="R175" s="17">
        <f>IF($C175="","",IF($L175="","",IF(AND($K175=2,$L175&lt;$J175,COUNTIFS(nrES_PID,$D175,nrES_Code,$F175,nrES_Att,1)&gt;0),"Yes","No")))</f>
        <v/>
      </c>
      <c r="S175" s="18" t="n"/>
      <c r="T175" s="19">
        <f>IF($Q175&lt;&gt;"Yes","",IF($S175="","(enter date)",_xlfn.LET(_xlpm.dn,IFERROR(_xlfn.XLOOKUP($S175,nrCDdate,nrCDnum),""),IF(_xlpm.dn="","(not a class day)",IFERROR(_xlfn.XLOOKUP(_xlpm.dn+cfgRetestClassDays,nrCDnum,nrCDdate),"")))))</f>
        <v/>
      </c>
      <c r="U175" s="17">
        <f>IF($Q175&lt;&gt;"Yes","",IF(COUNTIFS(nrES_PID,$D175,nrES_Code,$F175,nrES_Att,2)&gt;0,"Retested",IF(OR($T175="",NOT(ISNUMBER($T175))),"Pending",IF(TODAY()&gt;$T175,"OVERDUE","Due "&amp;TEXT($T175,"mm/dd")))))</f>
        <v/>
      </c>
      <c r="V175" s="16" t="n"/>
      <c r="W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IF($C176="","",IF($L176="","",IF($K176=1,IF(COUNTIFS(nrES_PID,$D176,nrES_Code,$F176,nrES_Att,2)&gt;0,"",$L176),IF(COUNTIFS(nrES_PID,$D176,nrES_Code,$F176,nrES_Att,1)=0,$L176,IF($L176&gt;=$J176,cfgRetakeRecordedCap,SUMIFS(nrES_Raw,nrES_PID,$D176,nrES_Code,$F176,nrES_Att,1))))))</f>
        <v/>
      </c>
      <c r="N176" s="17">
        <f>IF($C176="","",IF($L176="","",IF($L176&gt;=$J176,"Yes","No")))</f>
        <v/>
      </c>
      <c r="O176" s="17">
        <f>IF($C176="","",IF($M176="","",IF($M176&gt;=$J176,"Yes","No")))</f>
        <v/>
      </c>
      <c r="P176" s="17">
        <f>IF($C176="","",IF($K176="","",IF(COUNTIFS(nrES_PID,$D176,nrES_Code,$F176,nrES_Att,"&gt;"&amp;$K176)=0,"Yes","No")))</f>
        <v/>
      </c>
      <c r="Q176" s="17">
        <f>IF($C176="","",IF($L176="","",IF(AND($K176=1,$L176&lt;$J176,COUNTIFS(nrES_PID,$D176,nrES_Code,$F176,nrES_Att,2)=0),"Yes","No")))</f>
        <v/>
      </c>
      <c r="R176" s="17">
        <f>IF($C176="","",IF($L176="","",IF(AND($K176=2,$L176&lt;$J176,COUNTIFS(nrES_PID,$D176,nrES_Code,$F176,nrES_Att,1)&gt;0),"Yes","No")))</f>
        <v/>
      </c>
      <c r="S176" s="18" t="n"/>
      <c r="T176" s="19">
        <f>IF($Q176&lt;&gt;"Yes","",IF($S176="","(enter date)",_xlfn.LET(_xlpm.dn,IFERROR(_xlfn.XLOOKUP($S176,nrCDdate,nrCDnum),""),IF(_xlpm.dn="","(not a class day)",IFERROR(_xlfn.XLOOKUP(_xlpm.dn+cfgRetestClassDays,nrCDnum,nrCDdate),"")))))</f>
        <v/>
      </c>
      <c r="U176" s="17">
        <f>IF($Q176&lt;&gt;"Yes","",IF(COUNTIFS(nrES_PID,$D176,nrES_Code,$F176,nrES_Att,2)&gt;0,"Retested",IF(OR($T176="",NOT(ISNUMBER($T176))),"Pending",IF(TODAY()&gt;$T176,"OVERDUE","Due "&amp;TEXT($T176,"mm/dd")))))</f>
        <v/>
      </c>
      <c r="V176" s="16" t="n"/>
      <c r="W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IF($C177="","",IF($L177="","",IF($K177=1,IF(COUNTIFS(nrES_PID,$D177,nrES_Code,$F177,nrES_Att,2)&gt;0,"",$L177),IF(COUNTIFS(nrES_PID,$D177,nrES_Code,$F177,nrES_Att,1)=0,$L177,IF($L177&gt;=$J177,cfgRetakeRecordedCap,SUMIFS(nrES_Raw,nrES_PID,$D177,nrES_Code,$F177,nrES_Att,1))))))</f>
        <v/>
      </c>
      <c r="N177" s="17">
        <f>IF($C177="","",IF($L177="","",IF($L177&gt;=$J177,"Yes","No")))</f>
        <v/>
      </c>
      <c r="O177" s="17">
        <f>IF($C177="","",IF($M177="","",IF($M177&gt;=$J177,"Yes","No")))</f>
        <v/>
      </c>
      <c r="P177" s="17">
        <f>IF($C177="","",IF($K177="","",IF(COUNTIFS(nrES_PID,$D177,nrES_Code,$F177,nrES_Att,"&gt;"&amp;$K177)=0,"Yes","No")))</f>
        <v/>
      </c>
      <c r="Q177" s="17">
        <f>IF($C177="","",IF($L177="","",IF(AND($K177=1,$L177&lt;$J177,COUNTIFS(nrES_PID,$D177,nrES_Code,$F177,nrES_Att,2)=0),"Yes","No")))</f>
        <v/>
      </c>
      <c r="R177" s="17">
        <f>IF($C177="","",IF($L177="","",IF(AND($K177=2,$L177&lt;$J177,COUNTIFS(nrES_PID,$D177,nrES_Code,$F177,nrES_Att,1)&gt;0),"Yes","No")))</f>
        <v/>
      </c>
      <c r="S177" s="18" t="n"/>
      <c r="T177" s="19">
        <f>IF($Q177&lt;&gt;"Yes","",IF($S177="","(enter date)",_xlfn.LET(_xlpm.dn,IFERROR(_xlfn.XLOOKUP($S177,nrCDdate,nrCDnum),""),IF(_xlpm.dn="","(not a class day)",IFERROR(_xlfn.XLOOKUP(_xlpm.dn+cfgRetestClassDays,nrCDnum,nrCDdate),"")))))</f>
        <v/>
      </c>
      <c r="U177" s="17">
        <f>IF($Q177&lt;&gt;"Yes","",IF(COUNTIFS(nrES_PID,$D177,nrES_Code,$F177,nrES_Att,2)&gt;0,"Retested",IF(OR($T177="",NOT(ISNUMBER($T177))),"Pending",IF(TODAY()&gt;$T177,"OVERDUE","Due "&amp;TEXT($T177,"mm/dd")))))</f>
        <v/>
      </c>
      <c r="V177" s="16" t="n"/>
      <c r="W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IF($C178="","",IF($L178="","",IF($K178=1,IF(COUNTIFS(nrES_PID,$D178,nrES_Code,$F178,nrES_Att,2)&gt;0,"",$L178),IF(COUNTIFS(nrES_PID,$D178,nrES_Code,$F178,nrES_Att,1)=0,$L178,IF($L178&gt;=$J178,cfgRetakeRecordedCap,SUMIFS(nrES_Raw,nrES_PID,$D178,nrES_Code,$F178,nrES_Att,1))))))</f>
        <v/>
      </c>
      <c r="N178" s="17">
        <f>IF($C178="","",IF($L178="","",IF($L178&gt;=$J178,"Yes","No")))</f>
        <v/>
      </c>
      <c r="O178" s="17">
        <f>IF($C178="","",IF($M178="","",IF($M178&gt;=$J178,"Yes","No")))</f>
        <v/>
      </c>
      <c r="P178" s="17">
        <f>IF($C178="","",IF($K178="","",IF(COUNTIFS(nrES_PID,$D178,nrES_Code,$F178,nrES_Att,"&gt;"&amp;$K178)=0,"Yes","No")))</f>
        <v/>
      </c>
      <c r="Q178" s="17">
        <f>IF($C178="","",IF($L178="","",IF(AND($K178=1,$L178&lt;$J178,COUNTIFS(nrES_PID,$D178,nrES_Code,$F178,nrES_Att,2)=0),"Yes","No")))</f>
        <v/>
      </c>
      <c r="R178" s="17">
        <f>IF($C178="","",IF($L178="","",IF(AND($K178=2,$L178&lt;$J178,COUNTIFS(nrES_PID,$D178,nrES_Code,$F178,nrES_Att,1)&gt;0),"Yes","No")))</f>
        <v/>
      </c>
      <c r="S178" s="18" t="n"/>
      <c r="T178" s="19">
        <f>IF($Q178&lt;&gt;"Yes","",IF($S178="","(enter date)",_xlfn.LET(_xlpm.dn,IFERROR(_xlfn.XLOOKUP($S178,nrCDdate,nrCDnum),""),IF(_xlpm.dn="","(not a class day)",IFERROR(_xlfn.XLOOKUP(_xlpm.dn+cfgRetestClassDays,nrCDnum,nrCDdate),"")))))</f>
        <v/>
      </c>
      <c r="U178" s="17">
        <f>IF($Q178&lt;&gt;"Yes","",IF(COUNTIFS(nrES_PID,$D178,nrES_Code,$F178,nrES_Att,2)&gt;0,"Retested",IF(OR($T178="",NOT(ISNUMBER($T178))),"Pending",IF(TODAY()&gt;$T178,"OVERDUE","Due "&amp;TEXT($T178,"mm/dd")))))</f>
        <v/>
      </c>
      <c r="V178" s="16" t="n"/>
      <c r="W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IF($C179="","",IF($L179="","",IF($K179=1,IF(COUNTIFS(nrES_PID,$D179,nrES_Code,$F179,nrES_Att,2)&gt;0,"",$L179),IF(COUNTIFS(nrES_PID,$D179,nrES_Code,$F179,nrES_Att,1)=0,$L179,IF($L179&gt;=$J179,cfgRetakeRecordedCap,SUMIFS(nrES_Raw,nrES_PID,$D179,nrES_Code,$F179,nrES_Att,1))))))</f>
        <v/>
      </c>
      <c r="N179" s="17">
        <f>IF($C179="","",IF($L179="","",IF($L179&gt;=$J179,"Yes","No")))</f>
        <v/>
      </c>
      <c r="O179" s="17">
        <f>IF($C179="","",IF($M179="","",IF($M179&gt;=$J179,"Yes","No")))</f>
        <v/>
      </c>
      <c r="P179" s="17">
        <f>IF($C179="","",IF($K179="","",IF(COUNTIFS(nrES_PID,$D179,nrES_Code,$F179,nrES_Att,"&gt;"&amp;$K179)=0,"Yes","No")))</f>
        <v/>
      </c>
      <c r="Q179" s="17">
        <f>IF($C179="","",IF($L179="","",IF(AND($K179=1,$L179&lt;$J179,COUNTIFS(nrES_PID,$D179,nrES_Code,$F179,nrES_Att,2)=0),"Yes","No")))</f>
        <v/>
      </c>
      <c r="R179" s="17">
        <f>IF($C179="","",IF($L179="","",IF(AND($K179=2,$L179&lt;$J179,COUNTIFS(nrES_PID,$D179,nrES_Code,$F179,nrES_Att,1)&gt;0),"Yes","No")))</f>
        <v/>
      </c>
      <c r="S179" s="18" t="n"/>
      <c r="T179" s="19">
        <f>IF($Q179&lt;&gt;"Yes","",IF($S179="","(enter date)",_xlfn.LET(_xlpm.dn,IFERROR(_xlfn.XLOOKUP($S179,nrCDdate,nrCDnum),""),IF(_xlpm.dn="","(not a class day)",IFERROR(_xlfn.XLOOKUP(_xlpm.dn+cfgRetestClassDays,nrCDnum,nrCDdate),"")))))</f>
        <v/>
      </c>
      <c r="U179" s="17">
        <f>IF($Q179&lt;&gt;"Yes","",IF(COUNTIFS(nrES_PID,$D179,nrES_Code,$F179,nrES_Att,2)&gt;0,"Retested",IF(OR($T179="",NOT(ISNUMBER($T179))),"Pending",IF(TODAY()&gt;$T179,"OVERDUE","Due "&amp;TEXT($T179,"mm/dd")))))</f>
        <v/>
      </c>
      <c r="V179" s="16" t="n"/>
      <c r="W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IF($C180="","",IF($L180="","",IF($K180=1,IF(COUNTIFS(nrES_PID,$D180,nrES_Code,$F180,nrES_Att,2)&gt;0,"",$L180),IF(COUNTIFS(nrES_PID,$D180,nrES_Code,$F180,nrES_Att,1)=0,$L180,IF($L180&gt;=$J180,cfgRetakeRecordedCap,SUMIFS(nrES_Raw,nrES_PID,$D180,nrES_Code,$F180,nrES_Att,1))))))</f>
        <v/>
      </c>
      <c r="N180" s="17">
        <f>IF($C180="","",IF($L180="","",IF($L180&gt;=$J180,"Yes","No")))</f>
        <v/>
      </c>
      <c r="O180" s="17">
        <f>IF($C180="","",IF($M180="","",IF($M180&gt;=$J180,"Yes","No")))</f>
        <v/>
      </c>
      <c r="P180" s="17">
        <f>IF($C180="","",IF($K180="","",IF(COUNTIFS(nrES_PID,$D180,nrES_Code,$F180,nrES_Att,"&gt;"&amp;$K180)=0,"Yes","No")))</f>
        <v/>
      </c>
      <c r="Q180" s="17">
        <f>IF($C180="","",IF($L180="","",IF(AND($K180=1,$L180&lt;$J180,COUNTIFS(nrES_PID,$D180,nrES_Code,$F180,nrES_Att,2)=0),"Yes","No")))</f>
        <v/>
      </c>
      <c r="R180" s="17">
        <f>IF($C180="","",IF($L180="","",IF(AND($K180=2,$L180&lt;$J180,COUNTIFS(nrES_PID,$D180,nrES_Code,$F180,nrES_Att,1)&gt;0),"Yes","No")))</f>
        <v/>
      </c>
      <c r="S180" s="18" t="n"/>
      <c r="T180" s="19">
        <f>IF($Q180&lt;&gt;"Yes","",IF($S180="","(enter date)",_xlfn.LET(_xlpm.dn,IFERROR(_xlfn.XLOOKUP($S180,nrCDdate,nrCDnum),""),IF(_xlpm.dn="","(not a class day)",IFERROR(_xlfn.XLOOKUP(_xlpm.dn+cfgRetestClassDays,nrCDnum,nrCDdate),"")))))</f>
        <v/>
      </c>
      <c r="U180" s="17">
        <f>IF($Q180&lt;&gt;"Yes","",IF(COUNTIFS(nrES_PID,$D180,nrES_Code,$F180,nrES_Att,2)&gt;0,"Retested",IF(OR($T180="",NOT(ISNUMBER($T180))),"Pending",IF(TODAY()&gt;$T180,"OVERDUE","Due "&amp;TEXT($T180,"mm/dd")))))</f>
        <v/>
      </c>
      <c r="V180" s="16" t="n"/>
      <c r="W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IF($C181="","",IF($L181="","",IF($K181=1,IF(COUNTIFS(nrES_PID,$D181,nrES_Code,$F181,nrES_Att,2)&gt;0,"",$L181),IF(COUNTIFS(nrES_PID,$D181,nrES_Code,$F181,nrES_Att,1)=0,$L181,IF($L181&gt;=$J181,cfgRetakeRecordedCap,SUMIFS(nrES_Raw,nrES_PID,$D181,nrES_Code,$F181,nrES_Att,1))))))</f>
        <v/>
      </c>
      <c r="N181" s="17">
        <f>IF($C181="","",IF($L181="","",IF($L181&gt;=$J181,"Yes","No")))</f>
        <v/>
      </c>
      <c r="O181" s="17">
        <f>IF($C181="","",IF($M181="","",IF($M181&gt;=$J181,"Yes","No")))</f>
        <v/>
      </c>
      <c r="P181" s="17">
        <f>IF($C181="","",IF($K181="","",IF(COUNTIFS(nrES_PID,$D181,nrES_Code,$F181,nrES_Att,"&gt;"&amp;$K181)=0,"Yes","No")))</f>
        <v/>
      </c>
      <c r="Q181" s="17">
        <f>IF($C181="","",IF($L181="","",IF(AND($K181=1,$L181&lt;$J181,COUNTIFS(nrES_PID,$D181,nrES_Code,$F181,nrES_Att,2)=0),"Yes","No")))</f>
        <v/>
      </c>
      <c r="R181" s="17">
        <f>IF($C181="","",IF($L181="","",IF(AND($K181=2,$L181&lt;$J181,COUNTIFS(nrES_PID,$D181,nrES_Code,$F181,nrES_Att,1)&gt;0),"Yes","No")))</f>
        <v/>
      </c>
      <c r="S181" s="18" t="n"/>
      <c r="T181" s="19">
        <f>IF($Q181&lt;&gt;"Yes","",IF($S181="","(enter date)",_xlfn.LET(_xlpm.dn,IFERROR(_xlfn.XLOOKUP($S181,nrCDdate,nrCDnum),""),IF(_xlpm.dn="","(not a class day)",IFERROR(_xlfn.XLOOKUP(_xlpm.dn+cfgRetestClassDays,nrCDnum,nrCDdate),"")))))</f>
        <v/>
      </c>
      <c r="U181" s="17">
        <f>IF($Q181&lt;&gt;"Yes","",IF(COUNTIFS(nrES_PID,$D181,nrES_Code,$F181,nrES_Att,2)&gt;0,"Retested",IF(OR($T181="",NOT(ISNUMBER($T181))),"Pending",IF(TODAY()&gt;$T181,"OVERDUE","Due "&amp;TEXT($T181,"mm/dd")))))</f>
        <v/>
      </c>
      <c r="V181" s="16" t="n"/>
      <c r="W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IF($C182="","",IF($L182="","",IF($K182=1,IF(COUNTIFS(nrES_PID,$D182,nrES_Code,$F182,nrES_Att,2)&gt;0,"",$L182),IF(COUNTIFS(nrES_PID,$D182,nrES_Code,$F182,nrES_Att,1)=0,$L182,IF($L182&gt;=$J182,cfgRetakeRecordedCap,SUMIFS(nrES_Raw,nrES_PID,$D182,nrES_Code,$F182,nrES_Att,1))))))</f>
        <v/>
      </c>
      <c r="N182" s="17">
        <f>IF($C182="","",IF($L182="","",IF($L182&gt;=$J182,"Yes","No")))</f>
        <v/>
      </c>
      <c r="O182" s="17">
        <f>IF($C182="","",IF($M182="","",IF($M182&gt;=$J182,"Yes","No")))</f>
        <v/>
      </c>
      <c r="P182" s="17">
        <f>IF($C182="","",IF($K182="","",IF(COUNTIFS(nrES_PID,$D182,nrES_Code,$F182,nrES_Att,"&gt;"&amp;$K182)=0,"Yes","No")))</f>
        <v/>
      </c>
      <c r="Q182" s="17">
        <f>IF($C182="","",IF($L182="","",IF(AND($K182=1,$L182&lt;$J182,COUNTIFS(nrES_PID,$D182,nrES_Code,$F182,nrES_Att,2)=0),"Yes","No")))</f>
        <v/>
      </c>
      <c r="R182" s="17">
        <f>IF($C182="","",IF($L182="","",IF(AND($K182=2,$L182&lt;$J182,COUNTIFS(nrES_PID,$D182,nrES_Code,$F182,nrES_Att,1)&gt;0),"Yes","No")))</f>
        <v/>
      </c>
      <c r="S182" s="18" t="n"/>
      <c r="T182" s="19">
        <f>IF($Q182&lt;&gt;"Yes","",IF($S182="","(enter date)",_xlfn.LET(_xlpm.dn,IFERROR(_xlfn.XLOOKUP($S182,nrCDdate,nrCDnum),""),IF(_xlpm.dn="","(not a class day)",IFERROR(_xlfn.XLOOKUP(_xlpm.dn+cfgRetestClassDays,nrCDnum,nrCDdate),"")))))</f>
        <v/>
      </c>
      <c r="U182" s="17">
        <f>IF($Q182&lt;&gt;"Yes","",IF(COUNTIFS(nrES_PID,$D182,nrES_Code,$F182,nrES_Att,2)&gt;0,"Retested",IF(OR($T182="",NOT(ISNUMBER($T182))),"Pending",IF(TODAY()&gt;$T182,"OVERDUE","Due "&amp;TEXT($T182,"mm/dd")))))</f>
        <v/>
      </c>
      <c r="V182" s="16" t="n"/>
      <c r="W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IF($C183="","",IF($L183="","",IF($K183=1,IF(COUNTIFS(nrES_PID,$D183,nrES_Code,$F183,nrES_Att,2)&gt;0,"",$L183),IF(COUNTIFS(nrES_PID,$D183,nrES_Code,$F183,nrES_Att,1)=0,$L183,IF($L183&gt;=$J183,cfgRetakeRecordedCap,SUMIFS(nrES_Raw,nrES_PID,$D183,nrES_Code,$F183,nrES_Att,1))))))</f>
        <v/>
      </c>
      <c r="N183" s="17">
        <f>IF($C183="","",IF($L183="","",IF($L183&gt;=$J183,"Yes","No")))</f>
        <v/>
      </c>
      <c r="O183" s="17">
        <f>IF($C183="","",IF($M183="","",IF($M183&gt;=$J183,"Yes","No")))</f>
        <v/>
      </c>
      <c r="P183" s="17">
        <f>IF($C183="","",IF($K183="","",IF(COUNTIFS(nrES_PID,$D183,nrES_Code,$F183,nrES_Att,"&gt;"&amp;$K183)=0,"Yes","No")))</f>
        <v/>
      </c>
      <c r="Q183" s="17">
        <f>IF($C183="","",IF($L183="","",IF(AND($K183=1,$L183&lt;$J183,COUNTIFS(nrES_PID,$D183,nrES_Code,$F183,nrES_Att,2)=0),"Yes","No")))</f>
        <v/>
      </c>
      <c r="R183" s="17">
        <f>IF($C183="","",IF($L183="","",IF(AND($K183=2,$L183&lt;$J183,COUNTIFS(nrES_PID,$D183,nrES_Code,$F183,nrES_Att,1)&gt;0),"Yes","No")))</f>
        <v/>
      </c>
      <c r="S183" s="18" t="n"/>
      <c r="T183" s="19">
        <f>IF($Q183&lt;&gt;"Yes","",IF($S183="","(enter date)",_xlfn.LET(_xlpm.dn,IFERROR(_xlfn.XLOOKUP($S183,nrCDdate,nrCDnum),""),IF(_xlpm.dn="","(not a class day)",IFERROR(_xlfn.XLOOKUP(_xlpm.dn+cfgRetestClassDays,nrCDnum,nrCDdate),"")))))</f>
        <v/>
      </c>
      <c r="U183" s="17">
        <f>IF($Q183&lt;&gt;"Yes","",IF(COUNTIFS(nrES_PID,$D183,nrES_Code,$F183,nrES_Att,2)&gt;0,"Retested",IF(OR($T183="",NOT(ISNUMBER($T183))),"Pending",IF(TODAY()&gt;$T183,"OVERDUE","Due "&amp;TEXT($T183,"mm/dd")))))</f>
        <v/>
      </c>
      <c r="V183" s="16" t="n"/>
      <c r="W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IF($C184="","",IF($L184="","",IF($K184=1,IF(COUNTIFS(nrES_PID,$D184,nrES_Code,$F184,nrES_Att,2)&gt;0,"",$L184),IF(COUNTIFS(nrES_PID,$D184,nrES_Code,$F184,nrES_Att,1)=0,$L184,IF($L184&gt;=$J184,cfgRetakeRecordedCap,SUMIFS(nrES_Raw,nrES_PID,$D184,nrES_Code,$F184,nrES_Att,1))))))</f>
        <v/>
      </c>
      <c r="N184" s="17">
        <f>IF($C184="","",IF($L184="","",IF($L184&gt;=$J184,"Yes","No")))</f>
        <v/>
      </c>
      <c r="O184" s="17">
        <f>IF($C184="","",IF($M184="","",IF($M184&gt;=$J184,"Yes","No")))</f>
        <v/>
      </c>
      <c r="P184" s="17">
        <f>IF($C184="","",IF($K184="","",IF(COUNTIFS(nrES_PID,$D184,nrES_Code,$F184,nrES_Att,"&gt;"&amp;$K184)=0,"Yes","No")))</f>
        <v/>
      </c>
      <c r="Q184" s="17">
        <f>IF($C184="","",IF($L184="","",IF(AND($K184=1,$L184&lt;$J184,COUNTIFS(nrES_PID,$D184,nrES_Code,$F184,nrES_Att,2)=0),"Yes","No")))</f>
        <v/>
      </c>
      <c r="R184" s="17">
        <f>IF($C184="","",IF($L184="","",IF(AND($K184=2,$L184&lt;$J184,COUNTIFS(nrES_PID,$D184,nrES_Code,$F184,nrES_Att,1)&gt;0),"Yes","No")))</f>
        <v/>
      </c>
      <c r="S184" s="18" t="n"/>
      <c r="T184" s="19">
        <f>IF($Q184&lt;&gt;"Yes","",IF($S184="","(enter date)",_xlfn.LET(_xlpm.dn,IFERROR(_xlfn.XLOOKUP($S184,nrCDdate,nrCDnum),""),IF(_xlpm.dn="","(not a class day)",IFERROR(_xlfn.XLOOKUP(_xlpm.dn+cfgRetestClassDays,nrCDnum,nrCDdate),"")))))</f>
        <v/>
      </c>
      <c r="U184" s="17">
        <f>IF($Q184&lt;&gt;"Yes","",IF(COUNTIFS(nrES_PID,$D184,nrES_Code,$F184,nrES_Att,2)&gt;0,"Retested",IF(OR($T184="",NOT(ISNUMBER($T184))),"Pending",IF(TODAY()&gt;$T184,"OVERDUE","Due "&amp;TEXT($T184,"mm/dd")))))</f>
        <v/>
      </c>
      <c r="V184" s="16" t="n"/>
      <c r="W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IF($C185="","",IF($L185="","",IF($K185=1,IF(COUNTIFS(nrES_PID,$D185,nrES_Code,$F185,nrES_Att,2)&gt;0,"",$L185),IF(COUNTIFS(nrES_PID,$D185,nrES_Code,$F185,nrES_Att,1)=0,$L185,IF($L185&gt;=$J185,cfgRetakeRecordedCap,SUMIFS(nrES_Raw,nrES_PID,$D185,nrES_Code,$F185,nrES_Att,1))))))</f>
        <v/>
      </c>
      <c r="N185" s="17">
        <f>IF($C185="","",IF($L185="","",IF($L185&gt;=$J185,"Yes","No")))</f>
        <v/>
      </c>
      <c r="O185" s="17">
        <f>IF($C185="","",IF($M185="","",IF($M185&gt;=$J185,"Yes","No")))</f>
        <v/>
      </c>
      <c r="P185" s="17">
        <f>IF($C185="","",IF($K185="","",IF(COUNTIFS(nrES_PID,$D185,nrES_Code,$F185,nrES_Att,"&gt;"&amp;$K185)=0,"Yes","No")))</f>
        <v/>
      </c>
      <c r="Q185" s="17">
        <f>IF($C185="","",IF($L185="","",IF(AND($K185=1,$L185&lt;$J185,COUNTIFS(nrES_PID,$D185,nrES_Code,$F185,nrES_Att,2)=0),"Yes","No")))</f>
        <v/>
      </c>
      <c r="R185" s="17">
        <f>IF($C185="","",IF($L185="","",IF(AND($K185=2,$L185&lt;$J185,COUNTIFS(nrES_PID,$D185,nrES_Code,$F185,nrES_Att,1)&gt;0),"Yes","No")))</f>
        <v/>
      </c>
      <c r="S185" s="18" t="n"/>
      <c r="T185" s="19">
        <f>IF($Q185&lt;&gt;"Yes","",IF($S185="","(enter date)",_xlfn.LET(_xlpm.dn,IFERROR(_xlfn.XLOOKUP($S185,nrCDdate,nrCDnum),""),IF(_xlpm.dn="","(not a class day)",IFERROR(_xlfn.XLOOKUP(_xlpm.dn+cfgRetestClassDays,nrCDnum,nrCDdate),"")))))</f>
        <v/>
      </c>
      <c r="U185" s="17">
        <f>IF($Q185&lt;&gt;"Yes","",IF(COUNTIFS(nrES_PID,$D185,nrES_Code,$F185,nrES_Att,2)&gt;0,"Retested",IF(OR($T185="",NOT(ISNUMBER($T185))),"Pending",IF(TODAY()&gt;$T185,"OVERDUE","Due "&amp;TEXT($T185,"mm/dd")))))</f>
        <v/>
      </c>
      <c r="V185" s="16" t="n"/>
      <c r="W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IF($C186="","",IF($L186="","",IF($K186=1,IF(COUNTIFS(nrES_PID,$D186,nrES_Code,$F186,nrES_Att,2)&gt;0,"",$L186),IF(COUNTIFS(nrES_PID,$D186,nrES_Code,$F186,nrES_Att,1)=0,$L186,IF($L186&gt;=$J186,cfgRetakeRecordedCap,SUMIFS(nrES_Raw,nrES_PID,$D186,nrES_Code,$F186,nrES_Att,1))))))</f>
        <v/>
      </c>
      <c r="N186" s="17">
        <f>IF($C186="","",IF($L186="","",IF($L186&gt;=$J186,"Yes","No")))</f>
        <v/>
      </c>
      <c r="O186" s="17">
        <f>IF($C186="","",IF($M186="","",IF($M186&gt;=$J186,"Yes","No")))</f>
        <v/>
      </c>
      <c r="P186" s="17">
        <f>IF($C186="","",IF($K186="","",IF(COUNTIFS(nrES_PID,$D186,nrES_Code,$F186,nrES_Att,"&gt;"&amp;$K186)=0,"Yes","No")))</f>
        <v/>
      </c>
      <c r="Q186" s="17">
        <f>IF($C186="","",IF($L186="","",IF(AND($K186=1,$L186&lt;$J186,COUNTIFS(nrES_PID,$D186,nrES_Code,$F186,nrES_Att,2)=0),"Yes","No")))</f>
        <v/>
      </c>
      <c r="R186" s="17">
        <f>IF($C186="","",IF($L186="","",IF(AND($K186=2,$L186&lt;$J186,COUNTIFS(nrES_PID,$D186,nrES_Code,$F186,nrES_Att,1)&gt;0),"Yes","No")))</f>
        <v/>
      </c>
      <c r="S186" s="18" t="n"/>
      <c r="T186" s="19">
        <f>IF($Q186&lt;&gt;"Yes","",IF($S186="","(enter date)",_xlfn.LET(_xlpm.dn,IFERROR(_xlfn.XLOOKUP($S186,nrCDdate,nrCDnum),""),IF(_xlpm.dn="","(not a class day)",IFERROR(_xlfn.XLOOKUP(_xlpm.dn+cfgRetestClassDays,nrCDnum,nrCDdate),"")))))</f>
        <v/>
      </c>
      <c r="U186" s="17">
        <f>IF($Q186&lt;&gt;"Yes","",IF(COUNTIFS(nrES_PID,$D186,nrES_Code,$F186,nrES_Att,2)&gt;0,"Retested",IF(OR($T186="",NOT(ISNUMBER($T186))),"Pending",IF(TODAY()&gt;$T186,"OVERDUE","Due "&amp;TEXT($T186,"mm/dd")))))</f>
        <v/>
      </c>
      <c r="V186" s="16" t="n"/>
      <c r="W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IF($C187="","",IF($L187="","",IF($K187=1,IF(COUNTIFS(nrES_PID,$D187,nrES_Code,$F187,nrES_Att,2)&gt;0,"",$L187),IF(COUNTIFS(nrES_PID,$D187,nrES_Code,$F187,nrES_Att,1)=0,$L187,IF($L187&gt;=$J187,cfgRetakeRecordedCap,SUMIFS(nrES_Raw,nrES_PID,$D187,nrES_Code,$F187,nrES_Att,1))))))</f>
        <v/>
      </c>
      <c r="N187" s="17">
        <f>IF($C187="","",IF($L187="","",IF($L187&gt;=$J187,"Yes","No")))</f>
        <v/>
      </c>
      <c r="O187" s="17">
        <f>IF($C187="","",IF($M187="","",IF($M187&gt;=$J187,"Yes","No")))</f>
        <v/>
      </c>
      <c r="P187" s="17">
        <f>IF($C187="","",IF($K187="","",IF(COUNTIFS(nrES_PID,$D187,nrES_Code,$F187,nrES_Att,"&gt;"&amp;$K187)=0,"Yes","No")))</f>
        <v/>
      </c>
      <c r="Q187" s="17">
        <f>IF($C187="","",IF($L187="","",IF(AND($K187=1,$L187&lt;$J187,COUNTIFS(nrES_PID,$D187,nrES_Code,$F187,nrES_Att,2)=0),"Yes","No")))</f>
        <v/>
      </c>
      <c r="R187" s="17">
        <f>IF($C187="","",IF($L187="","",IF(AND($K187=2,$L187&lt;$J187,COUNTIFS(nrES_PID,$D187,nrES_Code,$F187,nrES_Att,1)&gt;0),"Yes","No")))</f>
        <v/>
      </c>
      <c r="S187" s="18" t="n"/>
      <c r="T187" s="19">
        <f>IF($Q187&lt;&gt;"Yes","",IF($S187="","(enter date)",_xlfn.LET(_xlpm.dn,IFERROR(_xlfn.XLOOKUP($S187,nrCDdate,nrCDnum),""),IF(_xlpm.dn="","(not a class day)",IFERROR(_xlfn.XLOOKUP(_xlpm.dn+cfgRetestClassDays,nrCDnum,nrCDdate),"")))))</f>
        <v/>
      </c>
      <c r="U187" s="17">
        <f>IF($Q187&lt;&gt;"Yes","",IF(COUNTIFS(nrES_PID,$D187,nrES_Code,$F187,nrES_Att,2)&gt;0,"Retested",IF(OR($T187="",NOT(ISNUMBER($T187))),"Pending",IF(TODAY()&gt;$T187,"OVERDUE","Due "&amp;TEXT($T187,"mm/dd")))))</f>
        <v/>
      </c>
      <c r="V187" s="16" t="n"/>
      <c r="W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IF($C188="","",IF($L188="","",IF($K188=1,IF(COUNTIFS(nrES_PID,$D188,nrES_Code,$F188,nrES_Att,2)&gt;0,"",$L188),IF(COUNTIFS(nrES_PID,$D188,nrES_Code,$F188,nrES_Att,1)=0,$L188,IF($L188&gt;=$J188,cfgRetakeRecordedCap,SUMIFS(nrES_Raw,nrES_PID,$D188,nrES_Code,$F188,nrES_Att,1))))))</f>
        <v/>
      </c>
      <c r="N188" s="17">
        <f>IF($C188="","",IF($L188="","",IF($L188&gt;=$J188,"Yes","No")))</f>
        <v/>
      </c>
      <c r="O188" s="17">
        <f>IF($C188="","",IF($M188="","",IF($M188&gt;=$J188,"Yes","No")))</f>
        <v/>
      </c>
      <c r="P188" s="17">
        <f>IF($C188="","",IF($K188="","",IF(COUNTIFS(nrES_PID,$D188,nrES_Code,$F188,nrES_Att,"&gt;"&amp;$K188)=0,"Yes","No")))</f>
        <v/>
      </c>
      <c r="Q188" s="17">
        <f>IF($C188="","",IF($L188="","",IF(AND($K188=1,$L188&lt;$J188,COUNTIFS(nrES_PID,$D188,nrES_Code,$F188,nrES_Att,2)=0),"Yes","No")))</f>
        <v/>
      </c>
      <c r="R188" s="17">
        <f>IF($C188="","",IF($L188="","",IF(AND($K188=2,$L188&lt;$J188,COUNTIFS(nrES_PID,$D188,nrES_Code,$F188,nrES_Att,1)&gt;0),"Yes","No")))</f>
        <v/>
      </c>
      <c r="S188" s="18" t="n"/>
      <c r="T188" s="19">
        <f>IF($Q188&lt;&gt;"Yes","",IF($S188="","(enter date)",_xlfn.LET(_xlpm.dn,IFERROR(_xlfn.XLOOKUP($S188,nrCDdate,nrCDnum),""),IF(_xlpm.dn="","(not a class day)",IFERROR(_xlfn.XLOOKUP(_xlpm.dn+cfgRetestClassDays,nrCDnum,nrCDdate),"")))))</f>
        <v/>
      </c>
      <c r="U188" s="17">
        <f>IF($Q188&lt;&gt;"Yes","",IF(COUNTIFS(nrES_PID,$D188,nrES_Code,$F188,nrES_Att,2)&gt;0,"Retested",IF(OR($T188="",NOT(ISNUMBER($T188))),"Pending",IF(TODAY()&gt;$T188,"OVERDUE","Due "&amp;TEXT($T188,"mm/dd")))))</f>
        <v/>
      </c>
      <c r="V188" s="16" t="n"/>
      <c r="W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IF($C189="","",IF($L189="","",IF($K189=1,IF(COUNTIFS(nrES_PID,$D189,nrES_Code,$F189,nrES_Att,2)&gt;0,"",$L189),IF(COUNTIFS(nrES_PID,$D189,nrES_Code,$F189,nrES_Att,1)=0,$L189,IF($L189&gt;=$J189,cfgRetakeRecordedCap,SUMIFS(nrES_Raw,nrES_PID,$D189,nrES_Code,$F189,nrES_Att,1))))))</f>
        <v/>
      </c>
      <c r="N189" s="17">
        <f>IF($C189="","",IF($L189="","",IF($L189&gt;=$J189,"Yes","No")))</f>
        <v/>
      </c>
      <c r="O189" s="17">
        <f>IF($C189="","",IF($M189="","",IF($M189&gt;=$J189,"Yes","No")))</f>
        <v/>
      </c>
      <c r="P189" s="17">
        <f>IF($C189="","",IF($K189="","",IF(COUNTIFS(nrES_PID,$D189,nrES_Code,$F189,nrES_Att,"&gt;"&amp;$K189)=0,"Yes","No")))</f>
        <v/>
      </c>
      <c r="Q189" s="17">
        <f>IF($C189="","",IF($L189="","",IF(AND($K189=1,$L189&lt;$J189,COUNTIFS(nrES_PID,$D189,nrES_Code,$F189,nrES_Att,2)=0),"Yes","No")))</f>
        <v/>
      </c>
      <c r="R189" s="17">
        <f>IF($C189="","",IF($L189="","",IF(AND($K189=2,$L189&lt;$J189,COUNTIFS(nrES_PID,$D189,nrES_Code,$F189,nrES_Att,1)&gt;0),"Yes","No")))</f>
        <v/>
      </c>
      <c r="S189" s="18" t="n"/>
      <c r="T189" s="19">
        <f>IF($Q189&lt;&gt;"Yes","",IF($S189="","(enter date)",_xlfn.LET(_xlpm.dn,IFERROR(_xlfn.XLOOKUP($S189,nrCDdate,nrCDnum),""),IF(_xlpm.dn="","(not a class day)",IFERROR(_xlfn.XLOOKUP(_xlpm.dn+cfgRetestClassDays,nrCDnum,nrCDdate),"")))))</f>
        <v/>
      </c>
      <c r="U189" s="17">
        <f>IF($Q189&lt;&gt;"Yes","",IF(COUNTIFS(nrES_PID,$D189,nrES_Code,$F189,nrES_Att,2)&gt;0,"Retested",IF(OR($T189="",NOT(ISNUMBER($T189))),"Pending",IF(TODAY()&gt;$T189,"OVERDUE","Due "&amp;TEXT($T189,"mm/dd")))))</f>
        <v/>
      </c>
      <c r="V189" s="16" t="n"/>
      <c r="W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IF($C190="","",IF($L190="","",IF($K190=1,IF(COUNTIFS(nrES_PID,$D190,nrES_Code,$F190,nrES_Att,2)&gt;0,"",$L190),IF(COUNTIFS(nrES_PID,$D190,nrES_Code,$F190,nrES_Att,1)=0,$L190,IF($L190&gt;=$J190,cfgRetakeRecordedCap,SUMIFS(nrES_Raw,nrES_PID,$D190,nrES_Code,$F190,nrES_Att,1))))))</f>
        <v/>
      </c>
      <c r="N190" s="17">
        <f>IF($C190="","",IF($L190="","",IF($L190&gt;=$J190,"Yes","No")))</f>
        <v/>
      </c>
      <c r="O190" s="17">
        <f>IF($C190="","",IF($M190="","",IF($M190&gt;=$J190,"Yes","No")))</f>
        <v/>
      </c>
      <c r="P190" s="17">
        <f>IF($C190="","",IF($K190="","",IF(COUNTIFS(nrES_PID,$D190,nrES_Code,$F190,nrES_Att,"&gt;"&amp;$K190)=0,"Yes","No")))</f>
        <v/>
      </c>
      <c r="Q190" s="17">
        <f>IF($C190="","",IF($L190="","",IF(AND($K190=1,$L190&lt;$J190,COUNTIFS(nrES_PID,$D190,nrES_Code,$F190,nrES_Att,2)=0),"Yes","No")))</f>
        <v/>
      </c>
      <c r="R190" s="17">
        <f>IF($C190="","",IF($L190="","",IF(AND($K190=2,$L190&lt;$J190,COUNTIFS(nrES_PID,$D190,nrES_Code,$F190,nrES_Att,1)&gt;0),"Yes","No")))</f>
        <v/>
      </c>
      <c r="S190" s="18" t="n"/>
      <c r="T190" s="19">
        <f>IF($Q190&lt;&gt;"Yes","",IF($S190="","(enter date)",_xlfn.LET(_xlpm.dn,IFERROR(_xlfn.XLOOKUP($S190,nrCDdate,nrCDnum),""),IF(_xlpm.dn="","(not a class day)",IFERROR(_xlfn.XLOOKUP(_xlpm.dn+cfgRetestClassDays,nrCDnum,nrCDdate),"")))))</f>
        <v/>
      </c>
      <c r="U190" s="17">
        <f>IF($Q190&lt;&gt;"Yes","",IF(COUNTIFS(nrES_PID,$D190,nrES_Code,$F190,nrES_Att,2)&gt;0,"Retested",IF(OR($T190="",NOT(ISNUMBER($T190))),"Pending",IF(TODAY()&gt;$T190,"OVERDUE","Due "&amp;TEXT($T190,"mm/dd")))))</f>
        <v/>
      </c>
      <c r="V190" s="16" t="n"/>
      <c r="W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IF($C191="","",IF($L191="","",IF($K191=1,IF(COUNTIFS(nrES_PID,$D191,nrES_Code,$F191,nrES_Att,2)&gt;0,"",$L191),IF(COUNTIFS(nrES_PID,$D191,nrES_Code,$F191,nrES_Att,1)=0,$L191,IF($L191&gt;=$J191,cfgRetakeRecordedCap,SUMIFS(nrES_Raw,nrES_PID,$D191,nrES_Code,$F191,nrES_Att,1))))))</f>
        <v/>
      </c>
      <c r="N191" s="17">
        <f>IF($C191="","",IF($L191="","",IF($L191&gt;=$J191,"Yes","No")))</f>
        <v/>
      </c>
      <c r="O191" s="17">
        <f>IF($C191="","",IF($M191="","",IF($M191&gt;=$J191,"Yes","No")))</f>
        <v/>
      </c>
      <c r="P191" s="17">
        <f>IF($C191="","",IF($K191="","",IF(COUNTIFS(nrES_PID,$D191,nrES_Code,$F191,nrES_Att,"&gt;"&amp;$K191)=0,"Yes","No")))</f>
        <v/>
      </c>
      <c r="Q191" s="17">
        <f>IF($C191="","",IF($L191="","",IF(AND($K191=1,$L191&lt;$J191,COUNTIFS(nrES_PID,$D191,nrES_Code,$F191,nrES_Att,2)=0),"Yes","No")))</f>
        <v/>
      </c>
      <c r="R191" s="17">
        <f>IF($C191="","",IF($L191="","",IF(AND($K191=2,$L191&lt;$J191,COUNTIFS(nrES_PID,$D191,nrES_Code,$F191,nrES_Att,1)&gt;0),"Yes","No")))</f>
        <v/>
      </c>
      <c r="S191" s="18" t="n"/>
      <c r="T191" s="19">
        <f>IF($Q191&lt;&gt;"Yes","",IF($S191="","(enter date)",_xlfn.LET(_xlpm.dn,IFERROR(_xlfn.XLOOKUP($S191,nrCDdate,nrCDnum),""),IF(_xlpm.dn="","(not a class day)",IFERROR(_xlfn.XLOOKUP(_xlpm.dn+cfgRetestClassDays,nrCDnum,nrCDdate),"")))))</f>
        <v/>
      </c>
      <c r="U191" s="17">
        <f>IF($Q191&lt;&gt;"Yes","",IF(COUNTIFS(nrES_PID,$D191,nrES_Code,$F191,nrES_Att,2)&gt;0,"Retested",IF(OR($T191="",NOT(ISNUMBER($T191))),"Pending",IF(TODAY()&gt;$T191,"OVERDUE","Due "&amp;TEXT($T191,"mm/dd")))))</f>
        <v/>
      </c>
      <c r="V191" s="16" t="n"/>
      <c r="W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IF($C192="","",IF($L192="","",IF($K192=1,IF(COUNTIFS(nrES_PID,$D192,nrES_Code,$F192,nrES_Att,2)&gt;0,"",$L192),IF(COUNTIFS(nrES_PID,$D192,nrES_Code,$F192,nrES_Att,1)=0,$L192,IF($L192&gt;=$J192,cfgRetakeRecordedCap,SUMIFS(nrES_Raw,nrES_PID,$D192,nrES_Code,$F192,nrES_Att,1))))))</f>
        <v/>
      </c>
      <c r="N192" s="17">
        <f>IF($C192="","",IF($L192="","",IF($L192&gt;=$J192,"Yes","No")))</f>
        <v/>
      </c>
      <c r="O192" s="17">
        <f>IF($C192="","",IF($M192="","",IF($M192&gt;=$J192,"Yes","No")))</f>
        <v/>
      </c>
      <c r="P192" s="17">
        <f>IF($C192="","",IF($K192="","",IF(COUNTIFS(nrES_PID,$D192,nrES_Code,$F192,nrES_Att,"&gt;"&amp;$K192)=0,"Yes","No")))</f>
        <v/>
      </c>
      <c r="Q192" s="17">
        <f>IF($C192="","",IF($L192="","",IF(AND($K192=1,$L192&lt;$J192,COUNTIFS(nrES_PID,$D192,nrES_Code,$F192,nrES_Att,2)=0),"Yes","No")))</f>
        <v/>
      </c>
      <c r="R192" s="17">
        <f>IF($C192="","",IF($L192="","",IF(AND($K192=2,$L192&lt;$J192,COUNTIFS(nrES_PID,$D192,nrES_Code,$F192,nrES_Att,1)&gt;0),"Yes","No")))</f>
        <v/>
      </c>
      <c r="S192" s="18" t="n"/>
      <c r="T192" s="19">
        <f>IF($Q192&lt;&gt;"Yes","",IF($S192="","(enter date)",_xlfn.LET(_xlpm.dn,IFERROR(_xlfn.XLOOKUP($S192,nrCDdate,nrCDnum),""),IF(_xlpm.dn="","(not a class day)",IFERROR(_xlfn.XLOOKUP(_xlpm.dn+cfgRetestClassDays,nrCDnum,nrCDdate),"")))))</f>
        <v/>
      </c>
      <c r="U192" s="17">
        <f>IF($Q192&lt;&gt;"Yes","",IF(COUNTIFS(nrES_PID,$D192,nrES_Code,$F192,nrES_Att,2)&gt;0,"Retested",IF(OR($T192="",NOT(ISNUMBER($T192))),"Pending",IF(TODAY()&gt;$T192,"OVERDUE","Due "&amp;TEXT($T192,"mm/dd")))))</f>
        <v/>
      </c>
      <c r="V192" s="16" t="n"/>
      <c r="W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IF($C193="","",IF($L193="","",IF($K193=1,IF(COUNTIFS(nrES_PID,$D193,nrES_Code,$F193,nrES_Att,2)&gt;0,"",$L193),IF(COUNTIFS(nrES_PID,$D193,nrES_Code,$F193,nrES_Att,1)=0,$L193,IF($L193&gt;=$J193,cfgRetakeRecordedCap,SUMIFS(nrES_Raw,nrES_PID,$D193,nrES_Code,$F193,nrES_Att,1))))))</f>
        <v/>
      </c>
      <c r="N193" s="17">
        <f>IF($C193="","",IF($L193="","",IF($L193&gt;=$J193,"Yes","No")))</f>
        <v/>
      </c>
      <c r="O193" s="17">
        <f>IF($C193="","",IF($M193="","",IF($M193&gt;=$J193,"Yes","No")))</f>
        <v/>
      </c>
      <c r="P193" s="17">
        <f>IF($C193="","",IF($K193="","",IF(COUNTIFS(nrES_PID,$D193,nrES_Code,$F193,nrES_Att,"&gt;"&amp;$K193)=0,"Yes","No")))</f>
        <v/>
      </c>
      <c r="Q193" s="17">
        <f>IF($C193="","",IF($L193="","",IF(AND($K193=1,$L193&lt;$J193,COUNTIFS(nrES_PID,$D193,nrES_Code,$F193,nrES_Att,2)=0),"Yes","No")))</f>
        <v/>
      </c>
      <c r="R193" s="17">
        <f>IF($C193="","",IF($L193="","",IF(AND($K193=2,$L193&lt;$J193,COUNTIFS(nrES_PID,$D193,nrES_Code,$F193,nrES_Att,1)&gt;0),"Yes","No")))</f>
        <v/>
      </c>
      <c r="S193" s="18" t="n"/>
      <c r="T193" s="19">
        <f>IF($Q193&lt;&gt;"Yes","",IF($S193="","(enter date)",_xlfn.LET(_xlpm.dn,IFERROR(_xlfn.XLOOKUP($S193,nrCDdate,nrCDnum),""),IF(_xlpm.dn="","(not a class day)",IFERROR(_xlfn.XLOOKUP(_xlpm.dn+cfgRetestClassDays,nrCDnum,nrCDdate),"")))))</f>
        <v/>
      </c>
      <c r="U193" s="17">
        <f>IF($Q193&lt;&gt;"Yes","",IF(COUNTIFS(nrES_PID,$D193,nrES_Code,$F193,nrES_Att,2)&gt;0,"Retested",IF(OR($T193="",NOT(ISNUMBER($T193))),"Pending",IF(TODAY()&gt;$T193,"OVERDUE","Due "&amp;TEXT($T193,"mm/dd")))))</f>
        <v/>
      </c>
      <c r="V193" s="16" t="n"/>
      <c r="W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IF($C194="","",IF($L194="","",IF($K194=1,IF(COUNTIFS(nrES_PID,$D194,nrES_Code,$F194,nrES_Att,2)&gt;0,"",$L194),IF(COUNTIFS(nrES_PID,$D194,nrES_Code,$F194,nrES_Att,1)=0,$L194,IF($L194&gt;=$J194,cfgRetakeRecordedCap,SUMIFS(nrES_Raw,nrES_PID,$D194,nrES_Code,$F194,nrES_Att,1))))))</f>
        <v/>
      </c>
      <c r="N194" s="17">
        <f>IF($C194="","",IF($L194="","",IF($L194&gt;=$J194,"Yes","No")))</f>
        <v/>
      </c>
      <c r="O194" s="17">
        <f>IF($C194="","",IF($M194="","",IF($M194&gt;=$J194,"Yes","No")))</f>
        <v/>
      </c>
      <c r="P194" s="17">
        <f>IF($C194="","",IF($K194="","",IF(COUNTIFS(nrES_PID,$D194,nrES_Code,$F194,nrES_Att,"&gt;"&amp;$K194)=0,"Yes","No")))</f>
        <v/>
      </c>
      <c r="Q194" s="17">
        <f>IF($C194="","",IF($L194="","",IF(AND($K194=1,$L194&lt;$J194,COUNTIFS(nrES_PID,$D194,nrES_Code,$F194,nrES_Att,2)=0),"Yes","No")))</f>
        <v/>
      </c>
      <c r="R194" s="17">
        <f>IF($C194="","",IF($L194="","",IF(AND($K194=2,$L194&lt;$J194,COUNTIFS(nrES_PID,$D194,nrES_Code,$F194,nrES_Att,1)&gt;0),"Yes","No")))</f>
        <v/>
      </c>
      <c r="S194" s="18" t="n"/>
      <c r="T194" s="19">
        <f>IF($Q194&lt;&gt;"Yes","",IF($S194="","(enter date)",_xlfn.LET(_xlpm.dn,IFERROR(_xlfn.XLOOKUP($S194,nrCDdate,nrCDnum),""),IF(_xlpm.dn="","(not a class day)",IFERROR(_xlfn.XLOOKUP(_xlpm.dn+cfgRetestClassDays,nrCDnum,nrCDdate),"")))))</f>
        <v/>
      </c>
      <c r="U194" s="17">
        <f>IF($Q194&lt;&gt;"Yes","",IF(COUNTIFS(nrES_PID,$D194,nrES_Code,$F194,nrES_Att,2)&gt;0,"Retested",IF(OR($T194="",NOT(ISNUMBER($T194))),"Pending",IF(TODAY()&gt;$T194,"OVERDUE","Due "&amp;TEXT($T194,"mm/dd")))))</f>
        <v/>
      </c>
      <c r="V194" s="16" t="n"/>
      <c r="W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IF($C195="","",IF($L195="","",IF($K195=1,IF(COUNTIFS(nrES_PID,$D195,nrES_Code,$F195,nrES_Att,2)&gt;0,"",$L195),IF(COUNTIFS(nrES_PID,$D195,nrES_Code,$F195,nrES_Att,1)=0,$L195,IF($L195&gt;=$J195,cfgRetakeRecordedCap,SUMIFS(nrES_Raw,nrES_PID,$D195,nrES_Code,$F195,nrES_Att,1))))))</f>
        <v/>
      </c>
      <c r="N195" s="17">
        <f>IF($C195="","",IF($L195="","",IF($L195&gt;=$J195,"Yes","No")))</f>
        <v/>
      </c>
      <c r="O195" s="17">
        <f>IF($C195="","",IF($M195="","",IF($M195&gt;=$J195,"Yes","No")))</f>
        <v/>
      </c>
      <c r="P195" s="17">
        <f>IF($C195="","",IF($K195="","",IF(COUNTIFS(nrES_PID,$D195,nrES_Code,$F195,nrES_Att,"&gt;"&amp;$K195)=0,"Yes","No")))</f>
        <v/>
      </c>
      <c r="Q195" s="17">
        <f>IF($C195="","",IF($L195="","",IF(AND($K195=1,$L195&lt;$J195,COUNTIFS(nrES_PID,$D195,nrES_Code,$F195,nrES_Att,2)=0),"Yes","No")))</f>
        <v/>
      </c>
      <c r="R195" s="17">
        <f>IF($C195="","",IF($L195="","",IF(AND($K195=2,$L195&lt;$J195,COUNTIFS(nrES_PID,$D195,nrES_Code,$F195,nrES_Att,1)&gt;0),"Yes","No")))</f>
        <v/>
      </c>
      <c r="S195" s="18" t="n"/>
      <c r="T195" s="19">
        <f>IF($Q195&lt;&gt;"Yes","",IF($S195="","(enter date)",_xlfn.LET(_xlpm.dn,IFERROR(_xlfn.XLOOKUP($S195,nrCDdate,nrCDnum),""),IF(_xlpm.dn="","(not a class day)",IFERROR(_xlfn.XLOOKUP(_xlpm.dn+cfgRetestClassDays,nrCDnum,nrCDdate),"")))))</f>
        <v/>
      </c>
      <c r="U195" s="17">
        <f>IF($Q195&lt;&gt;"Yes","",IF(COUNTIFS(nrES_PID,$D195,nrES_Code,$F195,nrES_Att,2)&gt;0,"Retested",IF(OR($T195="",NOT(ISNUMBER($T195))),"Pending",IF(TODAY()&gt;$T195,"OVERDUE","Due "&amp;TEXT($T195,"mm/dd")))))</f>
        <v/>
      </c>
      <c r="V195" s="16" t="n"/>
      <c r="W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IF($C196="","",IF($L196="","",IF($K196=1,IF(COUNTIFS(nrES_PID,$D196,nrES_Code,$F196,nrES_Att,2)&gt;0,"",$L196),IF(COUNTIFS(nrES_PID,$D196,nrES_Code,$F196,nrES_Att,1)=0,$L196,IF($L196&gt;=$J196,cfgRetakeRecordedCap,SUMIFS(nrES_Raw,nrES_PID,$D196,nrES_Code,$F196,nrES_Att,1))))))</f>
        <v/>
      </c>
      <c r="N196" s="17">
        <f>IF($C196="","",IF($L196="","",IF($L196&gt;=$J196,"Yes","No")))</f>
        <v/>
      </c>
      <c r="O196" s="17">
        <f>IF($C196="","",IF($M196="","",IF($M196&gt;=$J196,"Yes","No")))</f>
        <v/>
      </c>
      <c r="P196" s="17">
        <f>IF($C196="","",IF($K196="","",IF(COUNTIFS(nrES_PID,$D196,nrES_Code,$F196,nrES_Att,"&gt;"&amp;$K196)=0,"Yes","No")))</f>
        <v/>
      </c>
      <c r="Q196" s="17">
        <f>IF($C196="","",IF($L196="","",IF(AND($K196=1,$L196&lt;$J196,COUNTIFS(nrES_PID,$D196,nrES_Code,$F196,nrES_Att,2)=0),"Yes","No")))</f>
        <v/>
      </c>
      <c r="R196" s="17">
        <f>IF($C196="","",IF($L196="","",IF(AND($K196=2,$L196&lt;$J196,COUNTIFS(nrES_PID,$D196,nrES_Code,$F196,nrES_Att,1)&gt;0),"Yes","No")))</f>
        <v/>
      </c>
      <c r="S196" s="18" t="n"/>
      <c r="T196" s="19">
        <f>IF($Q196&lt;&gt;"Yes","",IF($S196="","(enter date)",_xlfn.LET(_xlpm.dn,IFERROR(_xlfn.XLOOKUP($S196,nrCDdate,nrCDnum),""),IF(_xlpm.dn="","(not a class day)",IFERROR(_xlfn.XLOOKUP(_xlpm.dn+cfgRetestClassDays,nrCDnum,nrCDdate),"")))))</f>
        <v/>
      </c>
      <c r="U196" s="17">
        <f>IF($Q196&lt;&gt;"Yes","",IF(COUNTIFS(nrES_PID,$D196,nrES_Code,$F196,nrES_Att,2)&gt;0,"Retested",IF(OR($T196="",NOT(ISNUMBER($T196))),"Pending",IF(TODAY()&gt;$T196,"OVERDUE","Due "&amp;TEXT($T196,"mm/dd")))))</f>
        <v/>
      </c>
      <c r="V196" s="16" t="n"/>
      <c r="W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IF($C197="","",IF($L197="","",IF($K197=1,IF(COUNTIFS(nrES_PID,$D197,nrES_Code,$F197,nrES_Att,2)&gt;0,"",$L197),IF(COUNTIFS(nrES_PID,$D197,nrES_Code,$F197,nrES_Att,1)=0,$L197,IF($L197&gt;=$J197,cfgRetakeRecordedCap,SUMIFS(nrES_Raw,nrES_PID,$D197,nrES_Code,$F197,nrES_Att,1))))))</f>
        <v/>
      </c>
      <c r="N197" s="17">
        <f>IF($C197="","",IF($L197="","",IF($L197&gt;=$J197,"Yes","No")))</f>
        <v/>
      </c>
      <c r="O197" s="17">
        <f>IF($C197="","",IF($M197="","",IF($M197&gt;=$J197,"Yes","No")))</f>
        <v/>
      </c>
      <c r="P197" s="17">
        <f>IF($C197="","",IF($K197="","",IF(COUNTIFS(nrES_PID,$D197,nrES_Code,$F197,nrES_Att,"&gt;"&amp;$K197)=0,"Yes","No")))</f>
        <v/>
      </c>
      <c r="Q197" s="17">
        <f>IF($C197="","",IF($L197="","",IF(AND($K197=1,$L197&lt;$J197,COUNTIFS(nrES_PID,$D197,nrES_Code,$F197,nrES_Att,2)=0),"Yes","No")))</f>
        <v/>
      </c>
      <c r="R197" s="17">
        <f>IF($C197="","",IF($L197="","",IF(AND($K197=2,$L197&lt;$J197,COUNTIFS(nrES_PID,$D197,nrES_Code,$F197,nrES_Att,1)&gt;0),"Yes","No")))</f>
        <v/>
      </c>
      <c r="S197" s="18" t="n"/>
      <c r="T197" s="19">
        <f>IF($Q197&lt;&gt;"Yes","",IF($S197="","(enter date)",_xlfn.LET(_xlpm.dn,IFERROR(_xlfn.XLOOKUP($S197,nrCDdate,nrCDnum),""),IF(_xlpm.dn="","(not a class day)",IFERROR(_xlfn.XLOOKUP(_xlpm.dn+cfgRetestClassDays,nrCDnum,nrCDdate),"")))))</f>
        <v/>
      </c>
      <c r="U197" s="17">
        <f>IF($Q197&lt;&gt;"Yes","",IF(COUNTIFS(nrES_PID,$D197,nrES_Code,$F197,nrES_Att,2)&gt;0,"Retested",IF(OR($T197="",NOT(ISNUMBER($T197))),"Pending",IF(TODAY()&gt;$T197,"OVERDUE","Due "&amp;TEXT($T197,"mm/dd")))))</f>
        <v/>
      </c>
      <c r="V197" s="16" t="n"/>
      <c r="W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IF($C198="","",IF($L198="","",IF($K198=1,IF(COUNTIFS(nrES_PID,$D198,nrES_Code,$F198,nrES_Att,2)&gt;0,"",$L198),IF(COUNTIFS(nrES_PID,$D198,nrES_Code,$F198,nrES_Att,1)=0,$L198,IF($L198&gt;=$J198,cfgRetakeRecordedCap,SUMIFS(nrES_Raw,nrES_PID,$D198,nrES_Code,$F198,nrES_Att,1))))))</f>
        <v/>
      </c>
      <c r="N198" s="17">
        <f>IF($C198="","",IF($L198="","",IF($L198&gt;=$J198,"Yes","No")))</f>
        <v/>
      </c>
      <c r="O198" s="17">
        <f>IF($C198="","",IF($M198="","",IF($M198&gt;=$J198,"Yes","No")))</f>
        <v/>
      </c>
      <c r="P198" s="17">
        <f>IF($C198="","",IF($K198="","",IF(COUNTIFS(nrES_PID,$D198,nrES_Code,$F198,nrES_Att,"&gt;"&amp;$K198)=0,"Yes","No")))</f>
        <v/>
      </c>
      <c r="Q198" s="17">
        <f>IF($C198="","",IF($L198="","",IF(AND($K198=1,$L198&lt;$J198,COUNTIFS(nrES_PID,$D198,nrES_Code,$F198,nrES_Att,2)=0),"Yes","No")))</f>
        <v/>
      </c>
      <c r="R198" s="17">
        <f>IF($C198="","",IF($L198="","",IF(AND($K198=2,$L198&lt;$J198,COUNTIFS(nrES_PID,$D198,nrES_Code,$F198,nrES_Att,1)&gt;0),"Yes","No")))</f>
        <v/>
      </c>
      <c r="S198" s="18" t="n"/>
      <c r="T198" s="19">
        <f>IF($Q198&lt;&gt;"Yes","",IF($S198="","(enter date)",_xlfn.LET(_xlpm.dn,IFERROR(_xlfn.XLOOKUP($S198,nrCDdate,nrCDnum),""),IF(_xlpm.dn="","(not a class day)",IFERROR(_xlfn.XLOOKUP(_xlpm.dn+cfgRetestClassDays,nrCDnum,nrCDdate),"")))))</f>
        <v/>
      </c>
      <c r="U198" s="17">
        <f>IF($Q198&lt;&gt;"Yes","",IF(COUNTIFS(nrES_PID,$D198,nrES_Code,$F198,nrES_Att,2)&gt;0,"Retested",IF(OR($T198="",NOT(ISNUMBER($T198))),"Pending",IF(TODAY()&gt;$T198,"OVERDUE","Due "&amp;TEXT($T198,"mm/dd")))))</f>
        <v/>
      </c>
      <c r="V198" s="16" t="n"/>
      <c r="W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IF($C199="","",IF($L199="","",IF($K199=1,IF(COUNTIFS(nrES_PID,$D199,nrES_Code,$F199,nrES_Att,2)&gt;0,"",$L199),IF(COUNTIFS(nrES_PID,$D199,nrES_Code,$F199,nrES_Att,1)=0,$L199,IF($L199&gt;=$J199,cfgRetakeRecordedCap,SUMIFS(nrES_Raw,nrES_PID,$D199,nrES_Code,$F199,nrES_Att,1))))))</f>
        <v/>
      </c>
      <c r="N199" s="17">
        <f>IF($C199="","",IF($L199="","",IF($L199&gt;=$J199,"Yes","No")))</f>
        <v/>
      </c>
      <c r="O199" s="17">
        <f>IF($C199="","",IF($M199="","",IF($M199&gt;=$J199,"Yes","No")))</f>
        <v/>
      </c>
      <c r="P199" s="17">
        <f>IF($C199="","",IF($K199="","",IF(COUNTIFS(nrES_PID,$D199,nrES_Code,$F199,nrES_Att,"&gt;"&amp;$K199)=0,"Yes","No")))</f>
        <v/>
      </c>
      <c r="Q199" s="17">
        <f>IF($C199="","",IF($L199="","",IF(AND($K199=1,$L199&lt;$J199,COUNTIFS(nrES_PID,$D199,nrES_Code,$F199,nrES_Att,2)=0),"Yes","No")))</f>
        <v/>
      </c>
      <c r="R199" s="17">
        <f>IF($C199="","",IF($L199="","",IF(AND($K199=2,$L199&lt;$J199,COUNTIFS(nrES_PID,$D199,nrES_Code,$F199,nrES_Att,1)&gt;0),"Yes","No")))</f>
        <v/>
      </c>
      <c r="S199" s="18" t="n"/>
      <c r="T199" s="19">
        <f>IF($Q199&lt;&gt;"Yes","",IF($S199="","(enter date)",_xlfn.LET(_xlpm.dn,IFERROR(_xlfn.XLOOKUP($S199,nrCDdate,nrCDnum),""),IF(_xlpm.dn="","(not a class day)",IFERROR(_xlfn.XLOOKUP(_xlpm.dn+cfgRetestClassDays,nrCDnum,nrCDdate),"")))))</f>
        <v/>
      </c>
      <c r="U199" s="17">
        <f>IF($Q199&lt;&gt;"Yes","",IF(COUNTIFS(nrES_PID,$D199,nrES_Code,$F199,nrES_Att,2)&gt;0,"Retested",IF(OR($T199="",NOT(ISNUMBER($T199))),"Pending",IF(TODAY()&gt;$T199,"OVERDUE","Due "&amp;TEXT($T199,"mm/dd")))))</f>
        <v/>
      </c>
      <c r="V199" s="16" t="n"/>
      <c r="W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IF($C200="","",IF($L200="","",IF($K200=1,IF(COUNTIFS(nrES_PID,$D200,nrES_Code,$F200,nrES_Att,2)&gt;0,"",$L200),IF(COUNTIFS(nrES_PID,$D200,nrES_Code,$F200,nrES_Att,1)=0,$L200,IF($L200&gt;=$J200,cfgRetakeRecordedCap,SUMIFS(nrES_Raw,nrES_PID,$D200,nrES_Code,$F200,nrES_Att,1))))))</f>
        <v/>
      </c>
      <c r="N200" s="17">
        <f>IF($C200="","",IF($L200="","",IF($L200&gt;=$J200,"Yes","No")))</f>
        <v/>
      </c>
      <c r="O200" s="17">
        <f>IF($C200="","",IF($M200="","",IF($M200&gt;=$J200,"Yes","No")))</f>
        <v/>
      </c>
      <c r="P200" s="17">
        <f>IF($C200="","",IF($K200="","",IF(COUNTIFS(nrES_PID,$D200,nrES_Code,$F200,nrES_Att,"&gt;"&amp;$K200)=0,"Yes","No")))</f>
        <v/>
      </c>
      <c r="Q200" s="17">
        <f>IF($C200="","",IF($L200="","",IF(AND($K200=1,$L200&lt;$J200,COUNTIFS(nrES_PID,$D200,nrES_Code,$F200,nrES_Att,2)=0),"Yes","No")))</f>
        <v/>
      </c>
      <c r="R200" s="17">
        <f>IF($C200="","",IF($L200="","",IF(AND($K200=2,$L200&lt;$J200,COUNTIFS(nrES_PID,$D200,nrES_Code,$F200,nrES_Att,1)&gt;0),"Yes","No")))</f>
        <v/>
      </c>
      <c r="S200" s="18" t="n"/>
      <c r="T200" s="19">
        <f>IF($Q200&lt;&gt;"Yes","",IF($S200="","(enter date)",_xlfn.LET(_xlpm.dn,IFERROR(_xlfn.XLOOKUP($S200,nrCDdate,nrCDnum),""),IF(_xlpm.dn="","(not a class day)",IFERROR(_xlfn.XLOOKUP(_xlpm.dn+cfgRetestClassDays,nrCDnum,nrCDdate),"")))))</f>
        <v/>
      </c>
      <c r="U200" s="17">
        <f>IF($Q200&lt;&gt;"Yes","",IF(COUNTIFS(nrES_PID,$D200,nrES_Code,$F200,nrES_Att,2)&gt;0,"Retested",IF(OR($T200="",NOT(ISNUMBER($T200))),"Pending",IF(TODAY()&gt;$T200,"OVERDUE","Due "&amp;TEXT($T200,"mm/dd")))))</f>
        <v/>
      </c>
      <c r="V200" s="16" t="n"/>
      <c r="W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IF($C201="","",IF($L201="","",IF($K201=1,IF(COUNTIFS(nrES_PID,$D201,nrES_Code,$F201,nrES_Att,2)&gt;0,"",$L201),IF(COUNTIFS(nrES_PID,$D201,nrES_Code,$F201,nrES_Att,1)=0,$L201,IF($L201&gt;=$J201,cfgRetakeRecordedCap,SUMIFS(nrES_Raw,nrES_PID,$D201,nrES_Code,$F201,nrES_Att,1))))))</f>
        <v/>
      </c>
      <c r="N201" s="17">
        <f>IF($C201="","",IF($L201="","",IF($L201&gt;=$J201,"Yes","No")))</f>
        <v/>
      </c>
      <c r="O201" s="17">
        <f>IF($C201="","",IF($M201="","",IF($M201&gt;=$J201,"Yes","No")))</f>
        <v/>
      </c>
      <c r="P201" s="17">
        <f>IF($C201="","",IF($K201="","",IF(COUNTIFS(nrES_PID,$D201,nrES_Code,$F201,nrES_Att,"&gt;"&amp;$K201)=0,"Yes","No")))</f>
        <v/>
      </c>
      <c r="Q201" s="17">
        <f>IF($C201="","",IF($L201="","",IF(AND($K201=1,$L201&lt;$J201,COUNTIFS(nrES_PID,$D201,nrES_Code,$F201,nrES_Att,2)=0),"Yes","No")))</f>
        <v/>
      </c>
      <c r="R201" s="17">
        <f>IF($C201="","",IF($L201="","",IF(AND($K201=2,$L201&lt;$J201,COUNTIFS(nrES_PID,$D201,nrES_Code,$F201,nrES_Att,1)&gt;0),"Yes","No")))</f>
        <v/>
      </c>
      <c r="S201" s="18" t="n"/>
      <c r="T201" s="19">
        <f>IF($Q201&lt;&gt;"Yes","",IF($S201="","(enter date)",_xlfn.LET(_xlpm.dn,IFERROR(_xlfn.XLOOKUP($S201,nrCDdate,nrCDnum),""),IF(_xlpm.dn="","(not a class day)",IFERROR(_xlfn.XLOOKUP(_xlpm.dn+cfgRetestClassDays,nrCDnum,nrCDdate),"")))))</f>
        <v/>
      </c>
      <c r="U201" s="17">
        <f>IF($Q201&lt;&gt;"Yes","",IF(COUNTIFS(nrES_PID,$D201,nrES_Code,$F201,nrES_Att,2)&gt;0,"Retested",IF(OR($T201="",NOT(ISNUMBER($T201))),"Pending",IF(TODAY()&gt;$T201,"OVERDUE","Due "&amp;TEXT($T201,"mm/dd")))))</f>
        <v/>
      </c>
      <c r="V201" s="16" t="n"/>
      <c r="W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IF($C202="","",IF($L202="","",IF($K202=1,IF(COUNTIFS(nrES_PID,$D202,nrES_Code,$F202,nrES_Att,2)&gt;0,"",$L202),IF(COUNTIFS(nrES_PID,$D202,nrES_Code,$F202,nrES_Att,1)=0,$L202,IF($L202&gt;=$J202,cfgRetakeRecordedCap,SUMIFS(nrES_Raw,nrES_PID,$D202,nrES_Code,$F202,nrES_Att,1))))))</f>
        <v/>
      </c>
      <c r="N202" s="17">
        <f>IF($C202="","",IF($L202="","",IF($L202&gt;=$J202,"Yes","No")))</f>
        <v/>
      </c>
      <c r="O202" s="17">
        <f>IF($C202="","",IF($M202="","",IF($M202&gt;=$J202,"Yes","No")))</f>
        <v/>
      </c>
      <c r="P202" s="17">
        <f>IF($C202="","",IF($K202="","",IF(COUNTIFS(nrES_PID,$D202,nrES_Code,$F202,nrES_Att,"&gt;"&amp;$K202)=0,"Yes","No")))</f>
        <v/>
      </c>
      <c r="Q202" s="17">
        <f>IF($C202="","",IF($L202="","",IF(AND($K202=1,$L202&lt;$J202,COUNTIFS(nrES_PID,$D202,nrES_Code,$F202,nrES_Att,2)=0),"Yes","No")))</f>
        <v/>
      </c>
      <c r="R202" s="17">
        <f>IF($C202="","",IF($L202="","",IF(AND($K202=2,$L202&lt;$J202,COUNTIFS(nrES_PID,$D202,nrES_Code,$F202,nrES_Att,1)&gt;0),"Yes","No")))</f>
        <v/>
      </c>
      <c r="S202" s="18" t="n"/>
      <c r="T202" s="19">
        <f>IF($Q202&lt;&gt;"Yes","",IF($S202="","(enter date)",_xlfn.LET(_xlpm.dn,IFERROR(_xlfn.XLOOKUP($S202,nrCDdate,nrCDnum),""),IF(_xlpm.dn="","(not a class day)",IFERROR(_xlfn.XLOOKUP(_xlpm.dn+cfgRetestClassDays,nrCDnum,nrCDdate),"")))))</f>
        <v/>
      </c>
      <c r="U202" s="17">
        <f>IF($Q202&lt;&gt;"Yes","",IF(COUNTIFS(nrES_PID,$D202,nrES_Code,$F202,nrES_Att,2)&gt;0,"Retested",IF(OR($T202="",NOT(ISNUMBER($T202))),"Pending",IF(TODAY()&gt;$T202,"OVERDUE","Due "&amp;TEXT($T202,"mm/dd")))))</f>
        <v/>
      </c>
      <c r="V202" s="16" t="n"/>
      <c r="W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IF($C203="","",IF($L203="","",IF($K203=1,IF(COUNTIFS(nrES_PID,$D203,nrES_Code,$F203,nrES_Att,2)&gt;0,"",$L203),IF(COUNTIFS(nrES_PID,$D203,nrES_Code,$F203,nrES_Att,1)=0,$L203,IF($L203&gt;=$J203,cfgRetakeRecordedCap,SUMIFS(nrES_Raw,nrES_PID,$D203,nrES_Code,$F203,nrES_Att,1))))))</f>
        <v/>
      </c>
      <c r="N203" s="17">
        <f>IF($C203="","",IF($L203="","",IF($L203&gt;=$J203,"Yes","No")))</f>
        <v/>
      </c>
      <c r="O203" s="17">
        <f>IF($C203="","",IF($M203="","",IF($M203&gt;=$J203,"Yes","No")))</f>
        <v/>
      </c>
      <c r="P203" s="17">
        <f>IF($C203="","",IF($K203="","",IF(COUNTIFS(nrES_PID,$D203,nrES_Code,$F203,nrES_Att,"&gt;"&amp;$K203)=0,"Yes","No")))</f>
        <v/>
      </c>
      <c r="Q203" s="17">
        <f>IF($C203="","",IF($L203="","",IF(AND($K203=1,$L203&lt;$J203,COUNTIFS(nrES_PID,$D203,nrES_Code,$F203,nrES_Att,2)=0),"Yes","No")))</f>
        <v/>
      </c>
      <c r="R203" s="17">
        <f>IF($C203="","",IF($L203="","",IF(AND($K203=2,$L203&lt;$J203,COUNTIFS(nrES_PID,$D203,nrES_Code,$F203,nrES_Att,1)&gt;0),"Yes","No")))</f>
        <v/>
      </c>
      <c r="S203" s="18" t="n"/>
      <c r="T203" s="19">
        <f>IF($Q203&lt;&gt;"Yes","",IF($S203="","(enter date)",_xlfn.LET(_xlpm.dn,IFERROR(_xlfn.XLOOKUP($S203,nrCDdate,nrCDnum),""),IF(_xlpm.dn="","(not a class day)",IFERROR(_xlfn.XLOOKUP(_xlpm.dn+cfgRetestClassDays,nrCDnum,nrCDdate),"")))))</f>
        <v/>
      </c>
      <c r="U203" s="17">
        <f>IF($Q203&lt;&gt;"Yes","",IF(COUNTIFS(nrES_PID,$D203,nrES_Code,$F203,nrES_Att,2)&gt;0,"Retested",IF(OR($T203="",NOT(ISNUMBER($T203))),"Pending",IF(TODAY()&gt;$T203,"OVERDUE","Due "&amp;TEXT($T203,"mm/dd")))))</f>
        <v/>
      </c>
      <c r="V203" s="16" t="n"/>
      <c r="W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IF($C204="","",IF($L204="","",IF($K204=1,IF(COUNTIFS(nrES_PID,$D204,nrES_Code,$F204,nrES_Att,2)&gt;0,"",$L204),IF(COUNTIFS(nrES_PID,$D204,nrES_Code,$F204,nrES_Att,1)=0,$L204,IF($L204&gt;=$J204,cfgRetakeRecordedCap,SUMIFS(nrES_Raw,nrES_PID,$D204,nrES_Code,$F204,nrES_Att,1))))))</f>
        <v/>
      </c>
      <c r="N204" s="17">
        <f>IF($C204="","",IF($L204="","",IF($L204&gt;=$J204,"Yes","No")))</f>
        <v/>
      </c>
      <c r="O204" s="17">
        <f>IF($C204="","",IF($M204="","",IF($M204&gt;=$J204,"Yes","No")))</f>
        <v/>
      </c>
      <c r="P204" s="17">
        <f>IF($C204="","",IF($K204="","",IF(COUNTIFS(nrES_PID,$D204,nrES_Code,$F204,nrES_Att,"&gt;"&amp;$K204)=0,"Yes","No")))</f>
        <v/>
      </c>
      <c r="Q204" s="17">
        <f>IF($C204="","",IF($L204="","",IF(AND($K204=1,$L204&lt;$J204,COUNTIFS(nrES_PID,$D204,nrES_Code,$F204,nrES_Att,2)=0),"Yes","No")))</f>
        <v/>
      </c>
      <c r="R204" s="17">
        <f>IF($C204="","",IF($L204="","",IF(AND($K204=2,$L204&lt;$J204,COUNTIFS(nrES_PID,$D204,nrES_Code,$F204,nrES_Att,1)&gt;0),"Yes","No")))</f>
        <v/>
      </c>
      <c r="S204" s="18" t="n"/>
      <c r="T204" s="19">
        <f>IF($Q204&lt;&gt;"Yes","",IF($S204="","(enter date)",_xlfn.LET(_xlpm.dn,IFERROR(_xlfn.XLOOKUP($S204,nrCDdate,nrCDnum),""),IF(_xlpm.dn="","(not a class day)",IFERROR(_xlfn.XLOOKUP(_xlpm.dn+cfgRetestClassDays,nrCDnum,nrCDdate),"")))))</f>
        <v/>
      </c>
      <c r="U204" s="17">
        <f>IF($Q204&lt;&gt;"Yes","",IF(COUNTIFS(nrES_PID,$D204,nrES_Code,$F204,nrES_Att,2)&gt;0,"Retested",IF(OR($T204="",NOT(ISNUMBER($T204))),"Pending",IF(TODAY()&gt;$T204,"OVERDUE","Due "&amp;TEXT($T204,"mm/dd")))))</f>
        <v/>
      </c>
      <c r="V204" s="16" t="n"/>
      <c r="W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IF($C205="","",IF($L205="","",IF($K205=1,IF(COUNTIFS(nrES_PID,$D205,nrES_Code,$F205,nrES_Att,2)&gt;0,"",$L205),IF(COUNTIFS(nrES_PID,$D205,nrES_Code,$F205,nrES_Att,1)=0,$L205,IF($L205&gt;=$J205,cfgRetakeRecordedCap,SUMIFS(nrES_Raw,nrES_PID,$D205,nrES_Code,$F205,nrES_Att,1))))))</f>
        <v/>
      </c>
      <c r="N205" s="17">
        <f>IF($C205="","",IF($L205="","",IF($L205&gt;=$J205,"Yes","No")))</f>
        <v/>
      </c>
      <c r="O205" s="17">
        <f>IF($C205="","",IF($M205="","",IF($M205&gt;=$J205,"Yes","No")))</f>
        <v/>
      </c>
      <c r="P205" s="17">
        <f>IF($C205="","",IF($K205="","",IF(COUNTIFS(nrES_PID,$D205,nrES_Code,$F205,nrES_Att,"&gt;"&amp;$K205)=0,"Yes","No")))</f>
        <v/>
      </c>
      <c r="Q205" s="17">
        <f>IF($C205="","",IF($L205="","",IF(AND($K205=1,$L205&lt;$J205,COUNTIFS(nrES_PID,$D205,nrES_Code,$F205,nrES_Att,2)=0),"Yes","No")))</f>
        <v/>
      </c>
      <c r="R205" s="17">
        <f>IF($C205="","",IF($L205="","",IF(AND($K205=2,$L205&lt;$J205,COUNTIFS(nrES_PID,$D205,nrES_Code,$F205,nrES_Att,1)&gt;0),"Yes","No")))</f>
        <v/>
      </c>
      <c r="S205" s="18" t="n"/>
      <c r="T205" s="19">
        <f>IF($Q205&lt;&gt;"Yes","",IF($S205="","(enter date)",_xlfn.LET(_xlpm.dn,IFERROR(_xlfn.XLOOKUP($S205,nrCDdate,nrCDnum),""),IF(_xlpm.dn="","(not a class day)",IFERROR(_xlfn.XLOOKUP(_xlpm.dn+cfgRetestClassDays,nrCDnum,nrCDdate),"")))))</f>
        <v/>
      </c>
      <c r="U205" s="17">
        <f>IF($Q205&lt;&gt;"Yes","",IF(COUNTIFS(nrES_PID,$D205,nrES_Code,$F205,nrES_Att,2)&gt;0,"Retested",IF(OR($T205="",NOT(ISNUMBER($T205))),"Pending",IF(TODAY()&gt;$T205,"OVERDUE","Due "&amp;TEXT($T205,"mm/dd")))))</f>
        <v/>
      </c>
      <c r="V205" s="16" t="n"/>
      <c r="W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IF($C206="","",IF($L206="","",IF($K206=1,IF(COUNTIFS(nrES_PID,$D206,nrES_Code,$F206,nrES_Att,2)&gt;0,"",$L206),IF(COUNTIFS(nrES_PID,$D206,nrES_Code,$F206,nrES_Att,1)=0,$L206,IF($L206&gt;=$J206,cfgRetakeRecordedCap,SUMIFS(nrES_Raw,nrES_PID,$D206,nrES_Code,$F206,nrES_Att,1))))))</f>
        <v/>
      </c>
      <c r="N206" s="17">
        <f>IF($C206="","",IF($L206="","",IF($L206&gt;=$J206,"Yes","No")))</f>
        <v/>
      </c>
      <c r="O206" s="17">
        <f>IF($C206="","",IF($M206="","",IF($M206&gt;=$J206,"Yes","No")))</f>
        <v/>
      </c>
      <c r="P206" s="17">
        <f>IF($C206="","",IF($K206="","",IF(COUNTIFS(nrES_PID,$D206,nrES_Code,$F206,nrES_Att,"&gt;"&amp;$K206)=0,"Yes","No")))</f>
        <v/>
      </c>
      <c r="Q206" s="17">
        <f>IF($C206="","",IF($L206="","",IF(AND($K206=1,$L206&lt;$J206,COUNTIFS(nrES_PID,$D206,nrES_Code,$F206,nrES_Att,2)=0),"Yes","No")))</f>
        <v/>
      </c>
      <c r="R206" s="17">
        <f>IF($C206="","",IF($L206="","",IF(AND($K206=2,$L206&lt;$J206,COUNTIFS(nrES_PID,$D206,nrES_Code,$F206,nrES_Att,1)&gt;0),"Yes","No")))</f>
        <v/>
      </c>
      <c r="S206" s="18" t="n"/>
      <c r="T206" s="19">
        <f>IF($Q206&lt;&gt;"Yes","",IF($S206="","(enter date)",_xlfn.LET(_xlpm.dn,IFERROR(_xlfn.XLOOKUP($S206,nrCDdate,nrCDnum),""),IF(_xlpm.dn="","(not a class day)",IFERROR(_xlfn.XLOOKUP(_xlpm.dn+cfgRetestClassDays,nrCDnum,nrCDdate),"")))))</f>
        <v/>
      </c>
      <c r="U206" s="17">
        <f>IF($Q206&lt;&gt;"Yes","",IF(COUNTIFS(nrES_PID,$D206,nrES_Code,$F206,nrES_Att,2)&gt;0,"Retested",IF(OR($T206="",NOT(ISNUMBER($T206))),"Pending",IF(TODAY()&gt;$T206,"OVERDUE","Due "&amp;TEXT($T206,"mm/dd")))))</f>
        <v/>
      </c>
      <c r="V206" s="16" t="n"/>
      <c r="W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IF($C207="","",IF($L207="","",IF($K207=1,IF(COUNTIFS(nrES_PID,$D207,nrES_Code,$F207,nrES_Att,2)&gt;0,"",$L207),IF(COUNTIFS(nrES_PID,$D207,nrES_Code,$F207,nrES_Att,1)=0,$L207,IF($L207&gt;=$J207,cfgRetakeRecordedCap,SUMIFS(nrES_Raw,nrES_PID,$D207,nrES_Code,$F207,nrES_Att,1))))))</f>
        <v/>
      </c>
      <c r="N207" s="17">
        <f>IF($C207="","",IF($L207="","",IF($L207&gt;=$J207,"Yes","No")))</f>
        <v/>
      </c>
      <c r="O207" s="17">
        <f>IF($C207="","",IF($M207="","",IF($M207&gt;=$J207,"Yes","No")))</f>
        <v/>
      </c>
      <c r="P207" s="17">
        <f>IF($C207="","",IF($K207="","",IF(COUNTIFS(nrES_PID,$D207,nrES_Code,$F207,nrES_Att,"&gt;"&amp;$K207)=0,"Yes","No")))</f>
        <v/>
      </c>
      <c r="Q207" s="17">
        <f>IF($C207="","",IF($L207="","",IF(AND($K207=1,$L207&lt;$J207,COUNTIFS(nrES_PID,$D207,nrES_Code,$F207,nrES_Att,2)=0),"Yes","No")))</f>
        <v/>
      </c>
      <c r="R207" s="17">
        <f>IF($C207="","",IF($L207="","",IF(AND($K207=2,$L207&lt;$J207,COUNTIFS(nrES_PID,$D207,nrES_Code,$F207,nrES_Att,1)&gt;0),"Yes","No")))</f>
        <v/>
      </c>
      <c r="S207" s="18" t="n"/>
      <c r="T207" s="19">
        <f>IF($Q207&lt;&gt;"Yes","",IF($S207="","(enter date)",_xlfn.LET(_xlpm.dn,IFERROR(_xlfn.XLOOKUP($S207,nrCDdate,nrCDnum),""),IF(_xlpm.dn="","(not a class day)",IFERROR(_xlfn.XLOOKUP(_xlpm.dn+cfgRetestClassDays,nrCDnum,nrCDdate),"")))))</f>
        <v/>
      </c>
      <c r="U207" s="17">
        <f>IF($Q207&lt;&gt;"Yes","",IF(COUNTIFS(nrES_PID,$D207,nrES_Code,$F207,nrES_Att,2)&gt;0,"Retested",IF(OR($T207="",NOT(ISNUMBER($T207))),"Pending",IF(TODAY()&gt;$T207,"OVERDUE","Due "&amp;TEXT($T207,"mm/dd")))))</f>
        <v/>
      </c>
      <c r="V207" s="16" t="n"/>
      <c r="W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IF($C208="","",IF($L208="","",IF($K208=1,IF(COUNTIFS(nrES_PID,$D208,nrES_Code,$F208,nrES_Att,2)&gt;0,"",$L208),IF(COUNTIFS(nrES_PID,$D208,nrES_Code,$F208,nrES_Att,1)=0,$L208,IF($L208&gt;=$J208,cfgRetakeRecordedCap,SUMIFS(nrES_Raw,nrES_PID,$D208,nrES_Code,$F208,nrES_Att,1))))))</f>
        <v/>
      </c>
      <c r="N208" s="17">
        <f>IF($C208="","",IF($L208="","",IF($L208&gt;=$J208,"Yes","No")))</f>
        <v/>
      </c>
      <c r="O208" s="17">
        <f>IF($C208="","",IF($M208="","",IF($M208&gt;=$J208,"Yes","No")))</f>
        <v/>
      </c>
      <c r="P208" s="17">
        <f>IF($C208="","",IF($K208="","",IF(COUNTIFS(nrES_PID,$D208,nrES_Code,$F208,nrES_Att,"&gt;"&amp;$K208)=0,"Yes","No")))</f>
        <v/>
      </c>
      <c r="Q208" s="17">
        <f>IF($C208="","",IF($L208="","",IF(AND($K208=1,$L208&lt;$J208,COUNTIFS(nrES_PID,$D208,nrES_Code,$F208,nrES_Att,2)=0),"Yes","No")))</f>
        <v/>
      </c>
      <c r="R208" s="17">
        <f>IF($C208="","",IF($L208="","",IF(AND($K208=2,$L208&lt;$J208,COUNTIFS(nrES_PID,$D208,nrES_Code,$F208,nrES_Att,1)&gt;0),"Yes","No")))</f>
        <v/>
      </c>
      <c r="S208" s="18" t="n"/>
      <c r="T208" s="19">
        <f>IF($Q208&lt;&gt;"Yes","",IF($S208="","(enter date)",_xlfn.LET(_xlpm.dn,IFERROR(_xlfn.XLOOKUP($S208,nrCDdate,nrCDnum),""),IF(_xlpm.dn="","(not a class day)",IFERROR(_xlfn.XLOOKUP(_xlpm.dn+cfgRetestClassDays,nrCDnum,nrCDdate),"")))))</f>
        <v/>
      </c>
      <c r="U208" s="17">
        <f>IF($Q208&lt;&gt;"Yes","",IF(COUNTIFS(nrES_PID,$D208,nrES_Code,$F208,nrES_Att,2)&gt;0,"Retested",IF(OR($T208="",NOT(ISNUMBER($T208))),"Pending",IF(TODAY()&gt;$T208,"OVERDUE","Due "&amp;TEXT($T208,"mm/dd")))))</f>
        <v/>
      </c>
      <c r="V208" s="16" t="n"/>
      <c r="W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IF($C209="","",IF($L209="","",IF($K209=1,IF(COUNTIFS(nrES_PID,$D209,nrES_Code,$F209,nrES_Att,2)&gt;0,"",$L209),IF(COUNTIFS(nrES_PID,$D209,nrES_Code,$F209,nrES_Att,1)=0,$L209,IF($L209&gt;=$J209,cfgRetakeRecordedCap,SUMIFS(nrES_Raw,nrES_PID,$D209,nrES_Code,$F209,nrES_Att,1))))))</f>
        <v/>
      </c>
      <c r="N209" s="17">
        <f>IF($C209="","",IF($L209="","",IF($L209&gt;=$J209,"Yes","No")))</f>
        <v/>
      </c>
      <c r="O209" s="17">
        <f>IF($C209="","",IF($M209="","",IF($M209&gt;=$J209,"Yes","No")))</f>
        <v/>
      </c>
      <c r="P209" s="17">
        <f>IF($C209="","",IF($K209="","",IF(COUNTIFS(nrES_PID,$D209,nrES_Code,$F209,nrES_Att,"&gt;"&amp;$K209)=0,"Yes","No")))</f>
        <v/>
      </c>
      <c r="Q209" s="17">
        <f>IF($C209="","",IF($L209="","",IF(AND($K209=1,$L209&lt;$J209,COUNTIFS(nrES_PID,$D209,nrES_Code,$F209,nrES_Att,2)=0),"Yes","No")))</f>
        <v/>
      </c>
      <c r="R209" s="17">
        <f>IF($C209="","",IF($L209="","",IF(AND($K209=2,$L209&lt;$J209,COUNTIFS(nrES_PID,$D209,nrES_Code,$F209,nrES_Att,1)&gt;0),"Yes","No")))</f>
        <v/>
      </c>
      <c r="S209" s="18" t="n"/>
      <c r="T209" s="19">
        <f>IF($Q209&lt;&gt;"Yes","",IF($S209="","(enter date)",_xlfn.LET(_xlpm.dn,IFERROR(_xlfn.XLOOKUP($S209,nrCDdate,nrCDnum),""),IF(_xlpm.dn="","(not a class day)",IFERROR(_xlfn.XLOOKUP(_xlpm.dn+cfgRetestClassDays,nrCDnum,nrCDdate),"")))))</f>
        <v/>
      </c>
      <c r="U209" s="17">
        <f>IF($Q209&lt;&gt;"Yes","",IF(COUNTIFS(nrES_PID,$D209,nrES_Code,$F209,nrES_Att,2)&gt;0,"Retested",IF(OR($T209="",NOT(ISNUMBER($T209))),"Pending",IF(TODAY()&gt;$T209,"OVERDUE","Due "&amp;TEXT($T209,"mm/dd")))))</f>
        <v/>
      </c>
      <c r="V209" s="16" t="n"/>
      <c r="W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IF($C210="","",IF($L210="","",IF($K210=1,IF(COUNTIFS(nrES_PID,$D210,nrES_Code,$F210,nrES_Att,2)&gt;0,"",$L210),IF(COUNTIFS(nrES_PID,$D210,nrES_Code,$F210,nrES_Att,1)=0,$L210,IF($L210&gt;=$J210,cfgRetakeRecordedCap,SUMIFS(nrES_Raw,nrES_PID,$D210,nrES_Code,$F210,nrES_Att,1))))))</f>
        <v/>
      </c>
      <c r="N210" s="17">
        <f>IF($C210="","",IF($L210="","",IF($L210&gt;=$J210,"Yes","No")))</f>
        <v/>
      </c>
      <c r="O210" s="17">
        <f>IF($C210="","",IF($M210="","",IF($M210&gt;=$J210,"Yes","No")))</f>
        <v/>
      </c>
      <c r="P210" s="17">
        <f>IF($C210="","",IF($K210="","",IF(COUNTIFS(nrES_PID,$D210,nrES_Code,$F210,nrES_Att,"&gt;"&amp;$K210)=0,"Yes","No")))</f>
        <v/>
      </c>
      <c r="Q210" s="17">
        <f>IF($C210="","",IF($L210="","",IF(AND($K210=1,$L210&lt;$J210,COUNTIFS(nrES_PID,$D210,nrES_Code,$F210,nrES_Att,2)=0),"Yes","No")))</f>
        <v/>
      </c>
      <c r="R210" s="17">
        <f>IF($C210="","",IF($L210="","",IF(AND($K210=2,$L210&lt;$J210,COUNTIFS(nrES_PID,$D210,nrES_Code,$F210,nrES_Att,1)&gt;0),"Yes","No")))</f>
        <v/>
      </c>
      <c r="S210" s="18" t="n"/>
      <c r="T210" s="19">
        <f>IF($Q210&lt;&gt;"Yes","",IF($S210="","(enter date)",_xlfn.LET(_xlpm.dn,IFERROR(_xlfn.XLOOKUP($S210,nrCDdate,nrCDnum),""),IF(_xlpm.dn="","(not a class day)",IFERROR(_xlfn.XLOOKUP(_xlpm.dn+cfgRetestClassDays,nrCDnum,nrCDdate),"")))))</f>
        <v/>
      </c>
      <c r="U210" s="17">
        <f>IF($Q210&lt;&gt;"Yes","",IF(COUNTIFS(nrES_PID,$D210,nrES_Code,$F210,nrES_Att,2)&gt;0,"Retested",IF(OR($T210="",NOT(ISNUMBER($T210))),"Pending",IF(TODAY()&gt;$T210,"OVERDUE","Due "&amp;TEXT($T210,"mm/dd")))))</f>
        <v/>
      </c>
      <c r="V210" s="16" t="n"/>
      <c r="W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IF($C211="","",IF($L211="","",IF($K211=1,IF(COUNTIFS(nrES_PID,$D211,nrES_Code,$F211,nrES_Att,2)&gt;0,"",$L211),IF(COUNTIFS(nrES_PID,$D211,nrES_Code,$F211,nrES_Att,1)=0,$L211,IF($L211&gt;=$J211,cfgRetakeRecordedCap,SUMIFS(nrES_Raw,nrES_PID,$D211,nrES_Code,$F211,nrES_Att,1))))))</f>
        <v/>
      </c>
      <c r="N211" s="17">
        <f>IF($C211="","",IF($L211="","",IF($L211&gt;=$J211,"Yes","No")))</f>
        <v/>
      </c>
      <c r="O211" s="17">
        <f>IF($C211="","",IF($M211="","",IF($M211&gt;=$J211,"Yes","No")))</f>
        <v/>
      </c>
      <c r="P211" s="17">
        <f>IF($C211="","",IF($K211="","",IF(COUNTIFS(nrES_PID,$D211,nrES_Code,$F211,nrES_Att,"&gt;"&amp;$K211)=0,"Yes","No")))</f>
        <v/>
      </c>
      <c r="Q211" s="17">
        <f>IF($C211="","",IF($L211="","",IF(AND($K211=1,$L211&lt;$J211,COUNTIFS(nrES_PID,$D211,nrES_Code,$F211,nrES_Att,2)=0),"Yes","No")))</f>
        <v/>
      </c>
      <c r="R211" s="17">
        <f>IF($C211="","",IF($L211="","",IF(AND($K211=2,$L211&lt;$J211,COUNTIFS(nrES_PID,$D211,nrES_Code,$F211,nrES_Att,1)&gt;0),"Yes","No")))</f>
        <v/>
      </c>
      <c r="S211" s="18" t="n"/>
      <c r="T211" s="19">
        <f>IF($Q211&lt;&gt;"Yes","",IF($S211="","(enter date)",_xlfn.LET(_xlpm.dn,IFERROR(_xlfn.XLOOKUP($S211,nrCDdate,nrCDnum),""),IF(_xlpm.dn="","(not a class day)",IFERROR(_xlfn.XLOOKUP(_xlpm.dn+cfgRetestClassDays,nrCDnum,nrCDdate),"")))))</f>
        <v/>
      </c>
      <c r="U211" s="17">
        <f>IF($Q211&lt;&gt;"Yes","",IF(COUNTIFS(nrES_PID,$D211,nrES_Code,$F211,nrES_Att,2)&gt;0,"Retested",IF(OR($T211="",NOT(ISNUMBER($T211))),"Pending",IF(TODAY()&gt;$T211,"OVERDUE","Due "&amp;TEXT($T211,"mm/dd")))))</f>
        <v/>
      </c>
      <c r="V211" s="16" t="n"/>
      <c r="W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IF($C212="","",IF($L212="","",IF($K212=1,IF(COUNTIFS(nrES_PID,$D212,nrES_Code,$F212,nrES_Att,2)&gt;0,"",$L212),IF(COUNTIFS(nrES_PID,$D212,nrES_Code,$F212,nrES_Att,1)=0,$L212,IF($L212&gt;=$J212,cfgRetakeRecordedCap,SUMIFS(nrES_Raw,nrES_PID,$D212,nrES_Code,$F212,nrES_Att,1))))))</f>
        <v/>
      </c>
      <c r="N212" s="17">
        <f>IF($C212="","",IF($L212="","",IF($L212&gt;=$J212,"Yes","No")))</f>
        <v/>
      </c>
      <c r="O212" s="17">
        <f>IF($C212="","",IF($M212="","",IF($M212&gt;=$J212,"Yes","No")))</f>
        <v/>
      </c>
      <c r="P212" s="17">
        <f>IF($C212="","",IF($K212="","",IF(COUNTIFS(nrES_PID,$D212,nrES_Code,$F212,nrES_Att,"&gt;"&amp;$K212)=0,"Yes","No")))</f>
        <v/>
      </c>
      <c r="Q212" s="17">
        <f>IF($C212="","",IF($L212="","",IF(AND($K212=1,$L212&lt;$J212,COUNTIFS(nrES_PID,$D212,nrES_Code,$F212,nrES_Att,2)=0),"Yes","No")))</f>
        <v/>
      </c>
      <c r="R212" s="17">
        <f>IF($C212="","",IF($L212="","",IF(AND($K212=2,$L212&lt;$J212,COUNTIFS(nrES_PID,$D212,nrES_Code,$F212,nrES_Att,1)&gt;0),"Yes","No")))</f>
        <v/>
      </c>
      <c r="S212" s="18" t="n"/>
      <c r="T212" s="19">
        <f>IF($Q212&lt;&gt;"Yes","",IF($S212="","(enter date)",_xlfn.LET(_xlpm.dn,IFERROR(_xlfn.XLOOKUP($S212,nrCDdate,nrCDnum),""),IF(_xlpm.dn="","(not a class day)",IFERROR(_xlfn.XLOOKUP(_xlpm.dn+cfgRetestClassDays,nrCDnum,nrCDdate),"")))))</f>
        <v/>
      </c>
      <c r="U212" s="17">
        <f>IF($Q212&lt;&gt;"Yes","",IF(COUNTIFS(nrES_PID,$D212,nrES_Code,$F212,nrES_Att,2)&gt;0,"Retested",IF(OR($T212="",NOT(ISNUMBER($T212))),"Pending",IF(TODAY()&gt;$T212,"OVERDUE","Due "&amp;TEXT($T212,"mm/dd")))))</f>
        <v/>
      </c>
      <c r="V212" s="16" t="n"/>
      <c r="W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IF($C213="","",IF($L213="","",IF($K213=1,IF(COUNTIFS(nrES_PID,$D213,nrES_Code,$F213,nrES_Att,2)&gt;0,"",$L213),IF(COUNTIFS(nrES_PID,$D213,nrES_Code,$F213,nrES_Att,1)=0,$L213,IF($L213&gt;=$J213,cfgRetakeRecordedCap,SUMIFS(nrES_Raw,nrES_PID,$D213,nrES_Code,$F213,nrES_Att,1))))))</f>
        <v/>
      </c>
      <c r="N213" s="17">
        <f>IF($C213="","",IF($L213="","",IF($L213&gt;=$J213,"Yes","No")))</f>
        <v/>
      </c>
      <c r="O213" s="17">
        <f>IF($C213="","",IF($M213="","",IF($M213&gt;=$J213,"Yes","No")))</f>
        <v/>
      </c>
      <c r="P213" s="17">
        <f>IF($C213="","",IF($K213="","",IF(COUNTIFS(nrES_PID,$D213,nrES_Code,$F213,nrES_Att,"&gt;"&amp;$K213)=0,"Yes","No")))</f>
        <v/>
      </c>
      <c r="Q213" s="17">
        <f>IF($C213="","",IF($L213="","",IF(AND($K213=1,$L213&lt;$J213,COUNTIFS(nrES_PID,$D213,nrES_Code,$F213,nrES_Att,2)=0),"Yes","No")))</f>
        <v/>
      </c>
      <c r="R213" s="17">
        <f>IF($C213="","",IF($L213="","",IF(AND($K213=2,$L213&lt;$J213,COUNTIFS(nrES_PID,$D213,nrES_Code,$F213,nrES_Att,1)&gt;0),"Yes","No")))</f>
        <v/>
      </c>
      <c r="S213" s="18" t="n"/>
      <c r="T213" s="19">
        <f>IF($Q213&lt;&gt;"Yes","",IF($S213="","(enter date)",_xlfn.LET(_xlpm.dn,IFERROR(_xlfn.XLOOKUP($S213,nrCDdate,nrCDnum),""),IF(_xlpm.dn="","(not a class day)",IFERROR(_xlfn.XLOOKUP(_xlpm.dn+cfgRetestClassDays,nrCDnum,nrCDdate),"")))))</f>
        <v/>
      </c>
      <c r="U213" s="17">
        <f>IF($Q213&lt;&gt;"Yes","",IF(COUNTIFS(nrES_PID,$D213,nrES_Code,$F213,nrES_Att,2)&gt;0,"Retested",IF(OR($T213="",NOT(ISNUMBER($T213))),"Pending",IF(TODAY()&gt;$T213,"OVERDUE","Due "&amp;TEXT($T213,"mm/dd")))))</f>
        <v/>
      </c>
      <c r="V213" s="16" t="n"/>
      <c r="W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IF($C214="","",IF($L214="","",IF($K214=1,IF(COUNTIFS(nrES_PID,$D214,nrES_Code,$F214,nrES_Att,2)&gt;0,"",$L214),IF(COUNTIFS(nrES_PID,$D214,nrES_Code,$F214,nrES_Att,1)=0,$L214,IF($L214&gt;=$J214,cfgRetakeRecordedCap,SUMIFS(nrES_Raw,nrES_PID,$D214,nrES_Code,$F214,nrES_Att,1))))))</f>
        <v/>
      </c>
      <c r="N214" s="17">
        <f>IF($C214="","",IF($L214="","",IF($L214&gt;=$J214,"Yes","No")))</f>
        <v/>
      </c>
      <c r="O214" s="17">
        <f>IF($C214="","",IF($M214="","",IF($M214&gt;=$J214,"Yes","No")))</f>
        <v/>
      </c>
      <c r="P214" s="17">
        <f>IF($C214="","",IF($K214="","",IF(COUNTIFS(nrES_PID,$D214,nrES_Code,$F214,nrES_Att,"&gt;"&amp;$K214)=0,"Yes","No")))</f>
        <v/>
      </c>
      <c r="Q214" s="17">
        <f>IF($C214="","",IF($L214="","",IF(AND($K214=1,$L214&lt;$J214,COUNTIFS(nrES_PID,$D214,nrES_Code,$F214,nrES_Att,2)=0),"Yes","No")))</f>
        <v/>
      </c>
      <c r="R214" s="17">
        <f>IF($C214="","",IF($L214="","",IF(AND($K214=2,$L214&lt;$J214,COUNTIFS(nrES_PID,$D214,nrES_Code,$F214,nrES_Att,1)&gt;0),"Yes","No")))</f>
        <v/>
      </c>
      <c r="S214" s="18" t="n"/>
      <c r="T214" s="19">
        <f>IF($Q214&lt;&gt;"Yes","",IF($S214="","(enter date)",_xlfn.LET(_xlpm.dn,IFERROR(_xlfn.XLOOKUP($S214,nrCDdate,nrCDnum),""),IF(_xlpm.dn="","(not a class day)",IFERROR(_xlfn.XLOOKUP(_xlpm.dn+cfgRetestClassDays,nrCDnum,nrCDdate),"")))))</f>
        <v/>
      </c>
      <c r="U214" s="17">
        <f>IF($Q214&lt;&gt;"Yes","",IF(COUNTIFS(nrES_PID,$D214,nrES_Code,$F214,nrES_Att,2)&gt;0,"Retested",IF(OR($T214="",NOT(ISNUMBER($T214))),"Pending",IF(TODAY()&gt;$T214,"OVERDUE","Due "&amp;TEXT($T214,"mm/dd")))))</f>
        <v/>
      </c>
      <c r="V214" s="16" t="n"/>
      <c r="W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IF($C215="","",IF($L215="","",IF($K215=1,IF(COUNTIFS(nrES_PID,$D215,nrES_Code,$F215,nrES_Att,2)&gt;0,"",$L215),IF(COUNTIFS(nrES_PID,$D215,nrES_Code,$F215,nrES_Att,1)=0,$L215,IF($L215&gt;=$J215,cfgRetakeRecordedCap,SUMIFS(nrES_Raw,nrES_PID,$D215,nrES_Code,$F215,nrES_Att,1))))))</f>
        <v/>
      </c>
      <c r="N215" s="17">
        <f>IF($C215="","",IF($L215="","",IF($L215&gt;=$J215,"Yes","No")))</f>
        <v/>
      </c>
      <c r="O215" s="17">
        <f>IF($C215="","",IF($M215="","",IF($M215&gt;=$J215,"Yes","No")))</f>
        <v/>
      </c>
      <c r="P215" s="17">
        <f>IF($C215="","",IF($K215="","",IF(COUNTIFS(nrES_PID,$D215,nrES_Code,$F215,nrES_Att,"&gt;"&amp;$K215)=0,"Yes","No")))</f>
        <v/>
      </c>
      <c r="Q215" s="17">
        <f>IF($C215="","",IF($L215="","",IF(AND($K215=1,$L215&lt;$J215,COUNTIFS(nrES_PID,$D215,nrES_Code,$F215,nrES_Att,2)=0),"Yes","No")))</f>
        <v/>
      </c>
      <c r="R215" s="17">
        <f>IF($C215="","",IF($L215="","",IF(AND($K215=2,$L215&lt;$J215,COUNTIFS(nrES_PID,$D215,nrES_Code,$F215,nrES_Att,1)&gt;0),"Yes","No")))</f>
        <v/>
      </c>
      <c r="S215" s="18" t="n"/>
      <c r="T215" s="19">
        <f>IF($Q215&lt;&gt;"Yes","",IF($S215="","(enter date)",_xlfn.LET(_xlpm.dn,IFERROR(_xlfn.XLOOKUP($S215,nrCDdate,nrCDnum),""),IF(_xlpm.dn="","(not a class day)",IFERROR(_xlfn.XLOOKUP(_xlpm.dn+cfgRetestClassDays,nrCDnum,nrCDdate),"")))))</f>
        <v/>
      </c>
      <c r="U215" s="17">
        <f>IF($Q215&lt;&gt;"Yes","",IF(COUNTIFS(nrES_PID,$D215,nrES_Code,$F215,nrES_Att,2)&gt;0,"Retested",IF(OR($T215="",NOT(ISNUMBER($T215))),"Pending",IF(TODAY()&gt;$T215,"OVERDUE","Due "&amp;TEXT($T215,"mm/dd")))))</f>
        <v/>
      </c>
      <c r="V215" s="16" t="n"/>
      <c r="W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IF($C216="","",IF($L216="","",IF($K216=1,IF(COUNTIFS(nrES_PID,$D216,nrES_Code,$F216,nrES_Att,2)&gt;0,"",$L216),IF(COUNTIFS(nrES_PID,$D216,nrES_Code,$F216,nrES_Att,1)=0,$L216,IF($L216&gt;=$J216,cfgRetakeRecordedCap,SUMIFS(nrES_Raw,nrES_PID,$D216,nrES_Code,$F216,nrES_Att,1))))))</f>
        <v/>
      </c>
      <c r="N216" s="17">
        <f>IF($C216="","",IF($L216="","",IF($L216&gt;=$J216,"Yes","No")))</f>
        <v/>
      </c>
      <c r="O216" s="17">
        <f>IF($C216="","",IF($M216="","",IF($M216&gt;=$J216,"Yes","No")))</f>
        <v/>
      </c>
      <c r="P216" s="17">
        <f>IF($C216="","",IF($K216="","",IF(COUNTIFS(nrES_PID,$D216,nrES_Code,$F216,nrES_Att,"&gt;"&amp;$K216)=0,"Yes","No")))</f>
        <v/>
      </c>
      <c r="Q216" s="17">
        <f>IF($C216="","",IF($L216="","",IF(AND($K216=1,$L216&lt;$J216,COUNTIFS(nrES_PID,$D216,nrES_Code,$F216,nrES_Att,2)=0),"Yes","No")))</f>
        <v/>
      </c>
      <c r="R216" s="17">
        <f>IF($C216="","",IF($L216="","",IF(AND($K216=2,$L216&lt;$J216,COUNTIFS(nrES_PID,$D216,nrES_Code,$F216,nrES_Att,1)&gt;0),"Yes","No")))</f>
        <v/>
      </c>
      <c r="S216" s="18" t="n"/>
      <c r="T216" s="19">
        <f>IF($Q216&lt;&gt;"Yes","",IF($S216="","(enter date)",_xlfn.LET(_xlpm.dn,IFERROR(_xlfn.XLOOKUP($S216,nrCDdate,nrCDnum),""),IF(_xlpm.dn="","(not a class day)",IFERROR(_xlfn.XLOOKUP(_xlpm.dn+cfgRetestClassDays,nrCDnum,nrCDdate),"")))))</f>
        <v/>
      </c>
      <c r="U216" s="17">
        <f>IF($Q216&lt;&gt;"Yes","",IF(COUNTIFS(nrES_PID,$D216,nrES_Code,$F216,nrES_Att,2)&gt;0,"Retested",IF(OR($T216="",NOT(ISNUMBER($T216))),"Pending",IF(TODAY()&gt;$T216,"OVERDUE","Due "&amp;TEXT($T216,"mm/dd")))))</f>
        <v/>
      </c>
      <c r="V216" s="16" t="n"/>
      <c r="W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IF($C217="","",IF($L217="","",IF($K217=1,IF(COUNTIFS(nrES_PID,$D217,nrES_Code,$F217,nrES_Att,2)&gt;0,"",$L217),IF(COUNTIFS(nrES_PID,$D217,nrES_Code,$F217,nrES_Att,1)=0,$L217,IF($L217&gt;=$J217,cfgRetakeRecordedCap,SUMIFS(nrES_Raw,nrES_PID,$D217,nrES_Code,$F217,nrES_Att,1))))))</f>
        <v/>
      </c>
      <c r="N217" s="17">
        <f>IF($C217="","",IF($L217="","",IF($L217&gt;=$J217,"Yes","No")))</f>
        <v/>
      </c>
      <c r="O217" s="17">
        <f>IF($C217="","",IF($M217="","",IF($M217&gt;=$J217,"Yes","No")))</f>
        <v/>
      </c>
      <c r="P217" s="17">
        <f>IF($C217="","",IF($K217="","",IF(COUNTIFS(nrES_PID,$D217,nrES_Code,$F217,nrES_Att,"&gt;"&amp;$K217)=0,"Yes","No")))</f>
        <v/>
      </c>
      <c r="Q217" s="17">
        <f>IF($C217="","",IF($L217="","",IF(AND($K217=1,$L217&lt;$J217,COUNTIFS(nrES_PID,$D217,nrES_Code,$F217,nrES_Att,2)=0),"Yes","No")))</f>
        <v/>
      </c>
      <c r="R217" s="17">
        <f>IF($C217="","",IF($L217="","",IF(AND($K217=2,$L217&lt;$J217,COUNTIFS(nrES_PID,$D217,nrES_Code,$F217,nrES_Att,1)&gt;0),"Yes","No")))</f>
        <v/>
      </c>
      <c r="S217" s="18" t="n"/>
      <c r="T217" s="19">
        <f>IF($Q217&lt;&gt;"Yes","",IF($S217="","(enter date)",_xlfn.LET(_xlpm.dn,IFERROR(_xlfn.XLOOKUP($S217,nrCDdate,nrCDnum),""),IF(_xlpm.dn="","(not a class day)",IFERROR(_xlfn.XLOOKUP(_xlpm.dn+cfgRetestClassDays,nrCDnum,nrCDdate),"")))))</f>
        <v/>
      </c>
      <c r="U217" s="17">
        <f>IF($Q217&lt;&gt;"Yes","",IF(COUNTIFS(nrES_PID,$D217,nrES_Code,$F217,nrES_Att,2)&gt;0,"Retested",IF(OR($T217="",NOT(ISNUMBER($T217))),"Pending",IF(TODAY()&gt;$T217,"OVERDUE","Due "&amp;TEXT($T217,"mm/dd")))))</f>
        <v/>
      </c>
      <c r="V217" s="16" t="n"/>
      <c r="W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IF($C218="","",IF($L218="","",IF($K218=1,IF(COUNTIFS(nrES_PID,$D218,nrES_Code,$F218,nrES_Att,2)&gt;0,"",$L218),IF(COUNTIFS(nrES_PID,$D218,nrES_Code,$F218,nrES_Att,1)=0,$L218,IF($L218&gt;=$J218,cfgRetakeRecordedCap,SUMIFS(nrES_Raw,nrES_PID,$D218,nrES_Code,$F218,nrES_Att,1))))))</f>
        <v/>
      </c>
      <c r="N218" s="17">
        <f>IF($C218="","",IF($L218="","",IF($L218&gt;=$J218,"Yes","No")))</f>
        <v/>
      </c>
      <c r="O218" s="17">
        <f>IF($C218="","",IF($M218="","",IF($M218&gt;=$J218,"Yes","No")))</f>
        <v/>
      </c>
      <c r="P218" s="17">
        <f>IF($C218="","",IF($K218="","",IF(COUNTIFS(nrES_PID,$D218,nrES_Code,$F218,nrES_Att,"&gt;"&amp;$K218)=0,"Yes","No")))</f>
        <v/>
      </c>
      <c r="Q218" s="17">
        <f>IF($C218="","",IF($L218="","",IF(AND($K218=1,$L218&lt;$J218,COUNTIFS(nrES_PID,$D218,nrES_Code,$F218,nrES_Att,2)=0),"Yes","No")))</f>
        <v/>
      </c>
      <c r="R218" s="17">
        <f>IF($C218="","",IF($L218="","",IF(AND($K218=2,$L218&lt;$J218,COUNTIFS(nrES_PID,$D218,nrES_Code,$F218,nrES_Att,1)&gt;0),"Yes","No")))</f>
        <v/>
      </c>
      <c r="S218" s="18" t="n"/>
      <c r="T218" s="19">
        <f>IF($Q218&lt;&gt;"Yes","",IF($S218="","(enter date)",_xlfn.LET(_xlpm.dn,IFERROR(_xlfn.XLOOKUP($S218,nrCDdate,nrCDnum),""),IF(_xlpm.dn="","(not a class day)",IFERROR(_xlfn.XLOOKUP(_xlpm.dn+cfgRetestClassDays,nrCDnum,nrCDdate),"")))))</f>
        <v/>
      </c>
      <c r="U218" s="17">
        <f>IF($Q218&lt;&gt;"Yes","",IF(COUNTIFS(nrES_PID,$D218,nrES_Code,$F218,nrES_Att,2)&gt;0,"Retested",IF(OR($T218="",NOT(ISNUMBER($T218))),"Pending",IF(TODAY()&gt;$T218,"OVERDUE","Due "&amp;TEXT($T218,"mm/dd")))))</f>
        <v/>
      </c>
      <c r="V218" s="16" t="n"/>
      <c r="W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IF($C219="","",IF($L219="","",IF($K219=1,IF(COUNTIFS(nrES_PID,$D219,nrES_Code,$F219,nrES_Att,2)&gt;0,"",$L219),IF(COUNTIFS(nrES_PID,$D219,nrES_Code,$F219,nrES_Att,1)=0,$L219,IF($L219&gt;=$J219,cfgRetakeRecordedCap,SUMIFS(nrES_Raw,nrES_PID,$D219,nrES_Code,$F219,nrES_Att,1))))))</f>
        <v/>
      </c>
      <c r="N219" s="17">
        <f>IF($C219="","",IF($L219="","",IF($L219&gt;=$J219,"Yes","No")))</f>
        <v/>
      </c>
      <c r="O219" s="17">
        <f>IF($C219="","",IF($M219="","",IF($M219&gt;=$J219,"Yes","No")))</f>
        <v/>
      </c>
      <c r="P219" s="17">
        <f>IF($C219="","",IF($K219="","",IF(COUNTIFS(nrES_PID,$D219,nrES_Code,$F219,nrES_Att,"&gt;"&amp;$K219)=0,"Yes","No")))</f>
        <v/>
      </c>
      <c r="Q219" s="17">
        <f>IF($C219="","",IF($L219="","",IF(AND($K219=1,$L219&lt;$J219,COUNTIFS(nrES_PID,$D219,nrES_Code,$F219,nrES_Att,2)=0),"Yes","No")))</f>
        <v/>
      </c>
      <c r="R219" s="17">
        <f>IF($C219="","",IF($L219="","",IF(AND($K219=2,$L219&lt;$J219,COUNTIFS(nrES_PID,$D219,nrES_Code,$F219,nrES_Att,1)&gt;0),"Yes","No")))</f>
        <v/>
      </c>
      <c r="S219" s="18" t="n"/>
      <c r="T219" s="19">
        <f>IF($Q219&lt;&gt;"Yes","",IF($S219="","(enter date)",_xlfn.LET(_xlpm.dn,IFERROR(_xlfn.XLOOKUP($S219,nrCDdate,nrCDnum),""),IF(_xlpm.dn="","(not a class day)",IFERROR(_xlfn.XLOOKUP(_xlpm.dn+cfgRetestClassDays,nrCDnum,nrCDdate),"")))))</f>
        <v/>
      </c>
      <c r="U219" s="17">
        <f>IF($Q219&lt;&gt;"Yes","",IF(COUNTIFS(nrES_PID,$D219,nrES_Code,$F219,nrES_Att,2)&gt;0,"Retested",IF(OR($T219="",NOT(ISNUMBER($T219))),"Pending",IF(TODAY()&gt;$T219,"OVERDUE","Due "&amp;TEXT($T219,"mm/dd")))))</f>
        <v/>
      </c>
      <c r="V219" s="16" t="n"/>
      <c r="W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IF($C220="","",IF($L220="","",IF($K220=1,IF(COUNTIFS(nrES_PID,$D220,nrES_Code,$F220,nrES_Att,2)&gt;0,"",$L220),IF(COUNTIFS(nrES_PID,$D220,nrES_Code,$F220,nrES_Att,1)=0,$L220,IF($L220&gt;=$J220,cfgRetakeRecordedCap,SUMIFS(nrES_Raw,nrES_PID,$D220,nrES_Code,$F220,nrES_Att,1))))))</f>
        <v/>
      </c>
      <c r="N220" s="17">
        <f>IF($C220="","",IF($L220="","",IF($L220&gt;=$J220,"Yes","No")))</f>
        <v/>
      </c>
      <c r="O220" s="17">
        <f>IF($C220="","",IF($M220="","",IF($M220&gt;=$J220,"Yes","No")))</f>
        <v/>
      </c>
      <c r="P220" s="17">
        <f>IF($C220="","",IF($K220="","",IF(COUNTIFS(nrES_PID,$D220,nrES_Code,$F220,nrES_Att,"&gt;"&amp;$K220)=0,"Yes","No")))</f>
        <v/>
      </c>
      <c r="Q220" s="17">
        <f>IF($C220="","",IF($L220="","",IF(AND($K220=1,$L220&lt;$J220,COUNTIFS(nrES_PID,$D220,nrES_Code,$F220,nrES_Att,2)=0),"Yes","No")))</f>
        <v/>
      </c>
      <c r="R220" s="17">
        <f>IF($C220="","",IF($L220="","",IF(AND($K220=2,$L220&lt;$J220,COUNTIFS(nrES_PID,$D220,nrES_Code,$F220,nrES_Att,1)&gt;0),"Yes","No")))</f>
        <v/>
      </c>
      <c r="S220" s="18" t="n"/>
      <c r="T220" s="19">
        <f>IF($Q220&lt;&gt;"Yes","",IF($S220="","(enter date)",_xlfn.LET(_xlpm.dn,IFERROR(_xlfn.XLOOKUP($S220,nrCDdate,nrCDnum),""),IF(_xlpm.dn="","(not a class day)",IFERROR(_xlfn.XLOOKUP(_xlpm.dn+cfgRetestClassDays,nrCDnum,nrCDdate),"")))))</f>
        <v/>
      </c>
      <c r="U220" s="17">
        <f>IF($Q220&lt;&gt;"Yes","",IF(COUNTIFS(nrES_PID,$D220,nrES_Code,$F220,nrES_Att,2)&gt;0,"Retested",IF(OR($T220="",NOT(ISNUMBER($T220))),"Pending",IF(TODAY()&gt;$T220,"OVERDUE","Due "&amp;TEXT($T220,"mm/dd")))))</f>
        <v/>
      </c>
      <c r="V220" s="16" t="n"/>
      <c r="W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IF($C221="","",IF($L221="","",IF($K221=1,IF(COUNTIFS(nrES_PID,$D221,nrES_Code,$F221,nrES_Att,2)&gt;0,"",$L221),IF(COUNTIFS(nrES_PID,$D221,nrES_Code,$F221,nrES_Att,1)=0,$L221,IF($L221&gt;=$J221,cfgRetakeRecordedCap,SUMIFS(nrES_Raw,nrES_PID,$D221,nrES_Code,$F221,nrES_Att,1))))))</f>
        <v/>
      </c>
      <c r="N221" s="17">
        <f>IF($C221="","",IF($L221="","",IF($L221&gt;=$J221,"Yes","No")))</f>
        <v/>
      </c>
      <c r="O221" s="17">
        <f>IF($C221="","",IF($M221="","",IF($M221&gt;=$J221,"Yes","No")))</f>
        <v/>
      </c>
      <c r="P221" s="17">
        <f>IF($C221="","",IF($K221="","",IF(COUNTIFS(nrES_PID,$D221,nrES_Code,$F221,nrES_Att,"&gt;"&amp;$K221)=0,"Yes","No")))</f>
        <v/>
      </c>
      <c r="Q221" s="17">
        <f>IF($C221="","",IF($L221="","",IF(AND($K221=1,$L221&lt;$J221,COUNTIFS(nrES_PID,$D221,nrES_Code,$F221,nrES_Att,2)=0),"Yes","No")))</f>
        <v/>
      </c>
      <c r="R221" s="17">
        <f>IF($C221="","",IF($L221="","",IF(AND($K221=2,$L221&lt;$J221,COUNTIFS(nrES_PID,$D221,nrES_Code,$F221,nrES_Att,1)&gt;0),"Yes","No")))</f>
        <v/>
      </c>
      <c r="S221" s="18" t="n"/>
      <c r="T221" s="19">
        <f>IF($Q221&lt;&gt;"Yes","",IF($S221="","(enter date)",_xlfn.LET(_xlpm.dn,IFERROR(_xlfn.XLOOKUP($S221,nrCDdate,nrCDnum),""),IF(_xlpm.dn="","(not a class day)",IFERROR(_xlfn.XLOOKUP(_xlpm.dn+cfgRetestClassDays,nrCDnum,nrCDdate),"")))))</f>
        <v/>
      </c>
      <c r="U221" s="17">
        <f>IF($Q221&lt;&gt;"Yes","",IF(COUNTIFS(nrES_PID,$D221,nrES_Code,$F221,nrES_Att,2)&gt;0,"Retested",IF(OR($T221="",NOT(ISNUMBER($T221))),"Pending",IF(TODAY()&gt;$T221,"OVERDUE","Due "&amp;TEXT($T221,"mm/dd")))))</f>
        <v/>
      </c>
      <c r="V221" s="16" t="n"/>
      <c r="W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IF($C222="","",IF($L222="","",IF($K222=1,IF(COUNTIFS(nrES_PID,$D222,nrES_Code,$F222,nrES_Att,2)&gt;0,"",$L222),IF(COUNTIFS(nrES_PID,$D222,nrES_Code,$F222,nrES_Att,1)=0,$L222,IF($L222&gt;=$J222,cfgRetakeRecordedCap,SUMIFS(nrES_Raw,nrES_PID,$D222,nrES_Code,$F222,nrES_Att,1))))))</f>
        <v/>
      </c>
      <c r="N222" s="17">
        <f>IF($C222="","",IF($L222="","",IF($L222&gt;=$J222,"Yes","No")))</f>
        <v/>
      </c>
      <c r="O222" s="17">
        <f>IF($C222="","",IF($M222="","",IF($M222&gt;=$J222,"Yes","No")))</f>
        <v/>
      </c>
      <c r="P222" s="17">
        <f>IF($C222="","",IF($K222="","",IF(COUNTIFS(nrES_PID,$D222,nrES_Code,$F222,nrES_Att,"&gt;"&amp;$K222)=0,"Yes","No")))</f>
        <v/>
      </c>
      <c r="Q222" s="17">
        <f>IF($C222="","",IF($L222="","",IF(AND($K222=1,$L222&lt;$J222,COUNTIFS(nrES_PID,$D222,nrES_Code,$F222,nrES_Att,2)=0),"Yes","No")))</f>
        <v/>
      </c>
      <c r="R222" s="17">
        <f>IF($C222="","",IF($L222="","",IF(AND($K222=2,$L222&lt;$J222,COUNTIFS(nrES_PID,$D222,nrES_Code,$F222,nrES_Att,1)&gt;0),"Yes","No")))</f>
        <v/>
      </c>
      <c r="S222" s="18" t="n"/>
      <c r="T222" s="19">
        <f>IF($Q222&lt;&gt;"Yes","",IF($S222="","(enter date)",_xlfn.LET(_xlpm.dn,IFERROR(_xlfn.XLOOKUP($S222,nrCDdate,nrCDnum),""),IF(_xlpm.dn="","(not a class day)",IFERROR(_xlfn.XLOOKUP(_xlpm.dn+cfgRetestClassDays,nrCDnum,nrCDdate),"")))))</f>
        <v/>
      </c>
      <c r="U222" s="17">
        <f>IF($Q222&lt;&gt;"Yes","",IF(COUNTIFS(nrES_PID,$D222,nrES_Code,$F222,nrES_Att,2)&gt;0,"Retested",IF(OR($T222="",NOT(ISNUMBER($T222))),"Pending",IF(TODAY()&gt;$T222,"OVERDUE","Due "&amp;TEXT($T222,"mm/dd")))))</f>
        <v/>
      </c>
      <c r="V222" s="16" t="n"/>
      <c r="W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IF($C223="","",IF($L223="","",IF($K223=1,IF(COUNTIFS(nrES_PID,$D223,nrES_Code,$F223,nrES_Att,2)&gt;0,"",$L223),IF(COUNTIFS(nrES_PID,$D223,nrES_Code,$F223,nrES_Att,1)=0,$L223,IF($L223&gt;=$J223,cfgRetakeRecordedCap,SUMIFS(nrES_Raw,nrES_PID,$D223,nrES_Code,$F223,nrES_Att,1))))))</f>
        <v/>
      </c>
      <c r="N223" s="17">
        <f>IF($C223="","",IF($L223="","",IF($L223&gt;=$J223,"Yes","No")))</f>
        <v/>
      </c>
      <c r="O223" s="17">
        <f>IF($C223="","",IF($M223="","",IF($M223&gt;=$J223,"Yes","No")))</f>
        <v/>
      </c>
      <c r="P223" s="17">
        <f>IF($C223="","",IF($K223="","",IF(COUNTIFS(nrES_PID,$D223,nrES_Code,$F223,nrES_Att,"&gt;"&amp;$K223)=0,"Yes","No")))</f>
        <v/>
      </c>
      <c r="Q223" s="17">
        <f>IF($C223="","",IF($L223="","",IF(AND($K223=1,$L223&lt;$J223,COUNTIFS(nrES_PID,$D223,nrES_Code,$F223,nrES_Att,2)=0),"Yes","No")))</f>
        <v/>
      </c>
      <c r="R223" s="17">
        <f>IF($C223="","",IF($L223="","",IF(AND($K223=2,$L223&lt;$J223,COUNTIFS(nrES_PID,$D223,nrES_Code,$F223,nrES_Att,1)&gt;0),"Yes","No")))</f>
        <v/>
      </c>
      <c r="S223" s="18" t="n"/>
      <c r="T223" s="19">
        <f>IF($Q223&lt;&gt;"Yes","",IF($S223="","(enter date)",_xlfn.LET(_xlpm.dn,IFERROR(_xlfn.XLOOKUP($S223,nrCDdate,nrCDnum),""),IF(_xlpm.dn="","(not a class day)",IFERROR(_xlfn.XLOOKUP(_xlpm.dn+cfgRetestClassDays,nrCDnum,nrCDdate),"")))))</f>
        <v/>
      </c>
      <c r="U223" s="17">
        <f>IF($Q223&lt;&gt;"Yes","",IF(COUNTIFS(nrES_PID,$D223,nrES_Code,$F223,nrES_Att,2)&gt;0,"Retested",IF(OR($T223="",NOT(ISNUMBER($T223))),"Pending",IF(TODAY()&gt;$T223,"OVERDUE","Due "&amp;TEXT($T223,"mm/dd")))))</f>
        <v/>
      </c>
      <c r="V223" s="16" t="n"/>
      <c r="W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IF($C224="","",IF($L224="","",IF($K224=1,IF(COUNTIFS(nrES_PID,$D224,nrES_Code,$F224,nrES_Att,2)&gt;0,"",$L224),IF(COUNTIFS(nrES_PID,$D224,nrES_Code,$F224,nrES_Att,1)=0,$L224,IF($L224&gt;=$J224,cfgRetakeRecordedCap,SUMIFS(nrES_Raw,nrES_PID,$D224,nrES_Code,$F224,nrES_Att,1))))))</f>
        <v/>
      </c>
      <c r="N224" s="17">
        <f>IF($C224="","",IF($L224="","",IF($L224&gt;=$J224,"Yes","No")))</f>
        <v/>
      </c>
      <c r="O224" s="17">
        <f>IF($C224="","",IF($M224="","",IF($M224&gt;=$J224,"Yes","No")))</f>
        <v/>
      </c>
      <c r="P224" s="17">
        <f>IF($C224="","",IF($K224="","",IF(COUNTIFS(nrES_PID,$D224,nrES_Code,$F224,nrES_Att,"&gt;"&amp;$K224)=0,"Yes","No")))</f>
        <v/>
      </c>
      <c r="Q224" s="17">
        <f>IF($C224="","",IF($L224="","",IF(AND($K224=1,$L224&lt;$J224,COUNTIFS(nrES_PID,$D224,nrES_Code,$F224,nrES_Att,2)=0),"Yes","No")))</f>
        <v/>
      </c>
      <c r="R224" s="17">
        <f>IF($C224="","",IF($L224="","",IF(AND($K224=2,$L224&lt;$J224,COUNTIFS(nrES_PID,$D224,nrES_Code,$F224,nrES_Att,1)&gt;0),"Yes","No")))</f>
        <v/>
      </c>
      <c r="S224" s="18" t="n"/>
      <c r="T224" s="19">
        <f>IF($Q224&lt;&gt;"Yes","",IF($S224="","(enter date)",_xlfn.LET(_xlpm.dn,IFERROR(_xlfn.XLOOKUP($S224,nrCDdate,nrCDnum),""),IF(_xlpm.dn="","(not a class day)",IFERROR(_xlfn.XLOOKUP(_xlpm.dn+cfgRetestClassDays,nrCDnum,nrCDdate),"")))))</f>
        <v/>
      </c>
      <c r="U224" s="17">
        <f>IF($Q224&lt;&gt;"Yes","",IF(COUNTIFS(nrES_PID,$D224,nrES_Code,$F224,nrES_Att,2)&gt;0,"Retested",IF(OR($T224="",NOT(ISNUMBER($T224))),"Pending",IF(TODAY()&gt;$T224,"OVERDUE","Due "&amp;TEXT($T224,"mm/dd")))))</f>
        <v/>
      </c>
      <c r="V224" s="16" t="n"/>
      <c r="W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IF($C225="","",IF($L225="","",IF($K225=1,IF(COUNTIFS(nrES_PID,$D225,nrES_Code,$F225,nrES_Att,2)&gt;0,"",$L225),IF(COUNTIFS(nrES_PID,$D225,nrES_Code,$F225,nrES_Att,1)=0,$L225,IF($L225&gt;=$J225,cfgRetakeRecordedCap,SUMIFS(nrES_Raw,nrES_PID,$D225,nrES_Code,$F225,nrES_Att,1))))))</f>
        <v/>
      </c>
      <c r="N225" s="17">
        <f>IF($C225="","",IF($L225="","",IF($L225&gt;=$J225,"Yes","No")))</f>
        <v/>
      </c>
      <c r="O225" s="17">
        <f>IF($C225="","",IF($M225="","",IF($M225&gt;=$J225,"Yes","No")))</f>
        <v/>
      </c>
      <c r="P225" s="17">
        <f>IF($C225="","",IF($K225="","",IF(COUNTIFS(nrES_PID,$D225,nrES_Code,$F225,nrES_Att,"&gt;"&amp;$K225)=0,"Yes","No")))</f>
        <v/>
      </c>
      <c r="Q225" s="17">
        <f>IF($C225="","",IF($L225="","",IF(AND($K225=1,$L225&lt;$J225,COUNTIFS(nrES_PID,$D225,nrES_Code,$F225,nrES_Att,2)=0),"Yes","No")))</f>
        <v/>
      </c>
      <c r="R225" s="17">
        <f>IF($C225="","",IF($L225="","",IF(AND($K225=2,$L225&lt;$J225,COUNTIFS(nrES_PID,$D225,nrES_Code,$F225,nrES_Att,1)&gt;0),"Yes","No")))</f>
        <v/>
      </c>
      <c r="S225" s="18" t="n"/>
      <c r="T225" s="19">
        <f>IF($Q225&lt;&gt;"Yes","",IF($S225="","(enter date)",_xlfn.LET(_xlpm.dn,IFERROR(_xlfn.XLOOKUP($S225,nrCDdate,nrCDnum),""),IF(_xlpm.dn="","(not a class day)",IFERROR(_xlfn.XLOOKUP(_xlpm.dn+cfgRetestClassDays,nrCDnum,nrCDdate),"")))))</f>
        <v/>
      </c>
      <c r="U225" s="17">
        <f>IF($Q225&lt;&gt;"Yes","",IF(COUNTIFS(nrES_PID,$D225,nrES_Code,$F225,nrES_Att,2)&gt;0,"Retested",IF(OR($T225="",NOT(ISNUMBER($T225))),"Pending",IF(TODAY()&gt;$T225,"OVERDUE","Due "&amp;TEXT($T225,"mm/dd")))))</f>
        <v/>
      </c>
      <c r="V225" s="16" t="n"/>
      <c r="W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IF($C226="","",IF($L226="","",IF($K226=1,IF(COUNTIFS(nrES_PID,$D226,nrES_Code,$F226,nrES_Att,2)&gt;0,"",$L226),IF(COUNTIFS(nrES_PID,$D226,nrES_Code,$F226,nrES_Att,1)=0,$L226,IF($L226&gt;=$J226,cfgRetakeRecordedCap,SUMIFS(nrES_Raw,nrES_PID,$D226,nrES_Code,$F226,nrES_Att,1))))))</f>
        <v/>
      </c>
      <c r="N226" s="17">
        <f>IF($C226="","",IF($L226="","",IF($L226&gt;=$J226,"Yes","No")))</f>
        <v/>
      </c>
      <c r="O226" s="17">
        <f>IF($C226="","",IF($M226="","",IF($M226&gt;=$J226,"Yes","No")))</f>
        <v/>
      </c>
      <c r="P226" s="17">
        <f>IF($C226="","",IF($K226="","",IF(COUNTIFS(nrES_PID,$D226,nrES_Code,$F226,nrES_Att,"&gt;"&amp;$K226)=0,"Yes","No")))</f>
        <v/>
      </c>
      <c r="Q226" s="17">
        <f>IF($C226="","",IF($L226="","",IF(AND($K226=1,$L226&lt;$J226,COUNTIFS(nrES_PID,$D226,nrES_Code,$F226,nrES_Att,2)=0),"Yes","No")))</f>
        <v/>
      </c>
      <c r="R226" s="17">
        <f>IF($C226="","",IF($L226="","",IF(AND($K226=2,$L226&lt;$J226,COUNTIFS(nrES_PID,$D226,nrES_Code,$F226,nrES_Att,1)&gt;0),"Yes","No")))</f>
        <v/>
      </c>
      <c r="S226" s="18" t="n"/>
      <c r="T226" s="19">
        <f>IF($Q226&lt;&gt;"Yes","",IF($S226="","(enter date)",_xlfn.LET(_xlpm.dn,IFERROR(_xlfn.XLOOKUP($S226,nrCDdate,nrCDnum),""),IF(_xlpm.dn="","(not a class day)",IFERROR(_xlfn.XLOOKUP(_xlpm.dn+cfgRetestClassDays,nrCDnum,nrCDdate),"")))))</f>
        <v/>
      </c>
      <c r="U226" s="17">
        <f>IF($Q226&lt;&gt;"Yes","",IF(COUNTIFS(nrES_PID,$D226,nrES_Code,$F226,nrES_Att,2)&gt;0,"Retested",IF(OR($T226="",NOT(ISNUMBER($T226))),"Pending",IF(TODAY()&gt;$T226,"OVERDUE","Due "&amp;TEXT($T226,"mm/dd")))))</f>
        <v/>
      </c>
      <c r="V226" s="16" t="n"/>
      <c r="W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IF($C227="","",IF($L227="","",IF($K227=1,IF(COUNTIFS(nrES_PID,$D227,nrES_Code,$F227,nrES_Att,2)&gt;0,"",$L227),IF(COUNTIFS(nrES_PID,$D227,nrES_Code,$F227,nrES_Att,1)=0,$L227,IF($L227&gt;=$J227,cfgRetakeRecordedCap,SUMIFS(nrES_Raw,nrES_PID,$D227,nrES_Code,$F227,nrES_Att,1))))))</f>
        <v/>
      </c>
      <c r="N227" s="17">
        <f>IF($C227="","",IF($L227="","",IF($L227&gt;=$J227,"Yes","No")))</f>
        <v/>
      </c>
      <c r="O227" s="17">
        <f>IF($C227="","",IF($M227="","",IF($M227&gt;=$J227,"Yes","No")))</f>
        <v/>
      </c>
      <c r="P227" s="17">
        <f>IF($C227="","",IF($K227="","",IF(COUNTIFS(nrES_PID,$D227,nrES_Code,$F227,nrES_Att,"&gt;"&amp;$K227)=0,"Yes","No")))</f>
        <v/>
      </c>
      <c r="Q227" s="17">
        <f>IF($C227="","",IF($L227="","",IF(AND($K227=1,$L227&lt;$J227,COUNTIFS(nrES_PID,$D227,nrES_Code,$F227,nrES_Att,2)=0),"Yes","No")))</f>
        <v/>
      </c>
      <c r="R227" s="17">
        <f>IF($C227="","",IF($L227="","",IF(AND($K227=2,$L227&lt;$J227,COUNTIFS(nrES_PID,$D227,nrES_Code,$F227,nrES_Att,1)&gt;0),"Yes","No")))</f>
        <v/>
      </c>
      <c r="S227" s="18" t="n"/>
      <c r="T227" s="19">
        <f>IF($Q227&lt;&gt;"Yes","",IF($S227="","(enter date)",_xlfn.LET(_xlpm.dn,IFERROR(_xlfn.XLOOKUP($S227,nrCDdate,nrCDnum),""),IF(_xlpm.dn="","(not a class day)",IFERROR(_xlfn.XLOOKUP(_xlpm.dn+cfgRetestClassDays,nrCDnum,nrCDdate),"")))))</f>
        <v/>
      </c>
      <c r="U227" s="17">
        <f>IF($Q227&lt;&gt;"Yes","",IF(COUNTIFS(nrES_PID,$D227,nrES_Code,$F227,nrES_Att,2)&gt;0,"Retested",IF(OR($T227="",NOT(ISNUMBER($T227))),"Pending",IF(TODAY()&gt;$T227,"OVERDUE","Due "&amp;TEXT($T227,"mm/dd")))))</f>
        <v/>
      </c>
      <c r="V227" s="16" t="n"/>
      <c r="W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IF($C228="","",IF($L228="","",IF($K228=1,IF(COUNTIFS(nrES_PID,$D228,nrES_Code,$F228,nrES_Att,2)&gt;0,"",$L228),IF(COUNTIFS(nrES_PID,$D228,nrES_Code,$F228,nrES_Att,1)=0,$L228,IF($L228&gt;=$J228,cfgRetakeRecordedCap,SUMIFS(nrES_Raw,nrES_PID,$D228,nrES_Code,$F228,nrES_Att,1))))))</f>
        <v/>
      </c>
      <c r="N228" s="17">
        <f>IF($C228="","",IF($L228="","",IF($L228&gt;=$J228,"Yes","No")))</f>
        <v/>
      </c>
      <c r="O228" s="17">
        <f>IF($C228="","",IF($M228="","",IF($M228&gt;=$J228,"Yes","No")))</f>
        <v/>
      </c>
      <c r="P228" s="17">
        <f>IF($C228="","",IF($K228="","",IF(COUNTIFS(nrES_PID,$D228,nrES_Code,$F228,nrES_Att,"&gt;"&amp;$K228)=0,"Yes","No")))</f>
        <v/>
      </c>
      <c r="Q228" s="17">
        <f>IF($C228="","",IF($L228="","",IF(AND($K228=1,$L228&lt;$J228,COUNTIFS(nrES_PID,$D228,nrES_Code,$F228,nrES_Att,2)=0),"Yes","No")))</f>
        <v/>
      </c>
      <c r="R228" s="17">
        <f>IF($C228="","",IF($L228="","",IF(AND($K228=2,$L228&lt;$J228,COUNTIFS(nrES_PID,$D228,nrES_Code,$F228,nrES_Att,1)&gt;0),"Yes","No")))</f>
        <v/>
      </c>
      <c r="S228" s="18" t="n"/>
      <c r="T228" s="19">
        <f>IF($Q228&lt;&gt;"Yes","",IF($S228="","(enter date)",_xlfn.LET(_xlpm.dn,IFERROR(_xlfn.XLOOKUP($S228,nrCDdate,nrCDnum),""),IF(_xlpm.dn="","(not a class day)",IFERROR(_xlfn.XLOOKUP(_xlpm.dn+cfgRetestClassDays,nrCDnum,nrCDdate),"")))))</f>
        <v/>
      </c>
      <c r="U228" s="17">
        <f>IF($Q228&lt;&gt;"Yes","",IF(COUNTIFS(nrES_PID,$D228,nrES_Code,$F228,nrES_Att,2)&gt;0,"Retested",IF(OR($T228="",NOT(ISNUMBER($T228))),"Pending",IF(TODAY()&gt;$T228,"OVERDUE","Due "&amp;TEXT($T228,"mm/dd")))))</f>
        <v/>
      </c>
      <c r="V228" s="16" t="n"/>
      <c r="W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IF($C229="","",IF($L229="","",IF($K229=1,IF(COUNTIFS(nrES_PID,$D229,nrES_Code,$F229,nrES_Att,2)&gt;0,"",$L229),IF(COUNTIFS(nrES_PID,$D229,nrES_Code,$F229,nrES_Att,1)=0,$L229,IF($L229&gt;=$J229,cfgRetakeRecordedCap,SUMIFS(nrES_Raw,nrES_PID,$D229,nrES_Code,$F229,nrES_Att,1))))))</f>
        <v/>
      </c>
      <c r="N229" s="17">
        <f>IF($C229="","",IF($L229="","",IF($L229&gt;=$J229,"Yes","No")))</f>
        <v/>
      </c>
      <c r="O229" s="17">
        <f>IF($C229="","",IF($M229="","",IF($M229&gt;=$J229,"Yes","No")))</f>
        <v/>
      </c>
      <c r="P229" s="17">
        <f>IF($C229="","",IF($K229="","",IF(COUNTIFS(nrES_PID,$D229,nrES_Code,$F229,nrES_Att,"&gt;"&amp;$K229)=0,"Yes","No")))</f>
        <v/>
      </c>
      <c r="Q229" s="17">
        <f>IF($C229="","",IF($L229="","",IF(AND($K229=1,$L229&lt;$J229,COUNTIFS(nrES_PID,$D229,nrES_Code,$F229,nrES_Att,2)=0),"Yes","No")))</f>
        <v/>
      </c>
      <c r="R229" s="17">
        <f>IF($C229="","",IF($L229="","",IF(AND($K229=2,$L229&lt;$J229,COUNTIFS(nrES_PID,$D229,nrES_Code,$F229,nrES_Att,1)&gt;0),"Yes","No")))</f>
        <v/>
      </c>
      <c r="S229" s="18" t="n"/>
      <c r="T229" s="19">
        <f>IF($Q229&lt;&gt;"Yes","",IF($S229="","(enter date)",_xlfn.LET(_xlpm.dn,IFERROR(_xlfn.XLOOKUP($S229,nrCDdate,nrCDnum),""),IF(_xlpm.dn="","(not a class day)",IFERROR(_xlfn.XLOOKUP(_xlpm.dn+cfgRetestClassDays,nrCDnum,nrCDdate),"")))))</f>
        <v/>
      </c>
      <c r="U229" s="17">
        <f>IF($Q229&lt;&gt;"Yes","",IF(COUNTIFS(nrES_PID,$D229,nrES_Code,$F229,nrES_Att,2)&gt;0,"Retested",IF(OR($T229="",NOT(ISNUMBER($T229))),"Pending",IF(TODAY()&gt;$T229,"OVERDUE","Due "&amp;TEXT($T229,"mm/dd")))))</f>
        <v/>
      </c>
      <c r="V229" s="16" t="n"/>
      <c r="W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IF($C230="","",IF($L230="","",IF($K230=1,IF(COUNTIFS(nrES_PID,$D230,nrES_Code,$F230,nrES_Att,2)&gt;0,"",$L230),IF(COUNTIFS(nrES_PID,$D230,nrES_Code,$F230,nrES_Att,1)=0,$L230,IF($L230&gt;=$J230,cfgRetakeRecordedCap,SUMIFS(nrES_Raw,nrES_PID,$D230,nrES_Code,$F230,nrES_Att,1))))))</f>
        <v/>
      </c>
      <c r="N230" s="17">
        <f>IF($C230="","",IF($L230="","",IF($L230&gt;=$J230,"Yes","No")))</f>
        <v/>
      </c>
      <c r="O230" s="17">
        <f>IF($C230="","",IF($M230="","",IF($M230&gt;=$J230,"Yes","No")))</f>
        <v/>
      </c>
      <c r="P230" s="17">
        <f>IF($C230="","",IF($K230="","",IF(COUNTIFS(nrES_PID,$D230,nrES_Code,$F230,nrES_Att,"&gt;"&amp;$K230)=0,"Yes","No")))</f>
        <v/>
      </c>
      <c r="Q230" s="17">
        <f>IF($C230="","",IF($L230="","",IF(AND($K230=1,$L230&lt;$J230,COUNTIFS(nrES_PID,$D230,nrES_Code,$F230,nrES_Att,2)=0),"Yes","No")))</f>
        <v/>
      </c>
      <c r="R230" s="17">
        <f>IF($C230="","",IF($L230="","",IF(AND($K230=2,$L230&lt;$J230,COUNTIFS(nrES_PID,$D230,nrES_Code,$F230,nrES_Att,1)&gt;0),"Yes","No")))</f>
        <v/>
      </c>
      <c r="S230" s="18" t="n"/>
      <c r="T230" s="19">
        <f>IF($Q230&lt;&gt;"Yes","",IF($S230="","(enter date)",_xlfn.LET(_xlpm.dn,IFERROR(_xlfn.XLOOKUP($S230,nrCDdate,nrCDnum),""),IF(_xlpm.dn="","(not a class day)",IFERROR(_xlfn.XLOOKUP(_xlpm.dn+cfgRetestClassDays,nrCDnum,nrCDdate),"")))))</f>
        <v/>
      </c>
      <c r="U230" s="17">
        <f>IF($Q230&lt;&gt;"Yes","",IF(COUNTIFS(nrES_PID,$D230,nrES_Code,$F230,nrES_Att,2)&gt;0,"Retested",IF(OR($T230="",NOT(ISNUMBER($T230))),"Pending",IF(TODAY()&gt;$T230,"OVERDUE","Due "&amp;TEXT($T230,"mm/dd")))))</f>
        <v/>
      </c>
      <c r="V230" s="16" t="n"/>
      <c r="W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IF($C231="","",IF($L231="","",IF($K231=1,IF(COUNTIFS(nrES_PID,$D231,nrES_Code,$F231,nrES_Att,2)&gt;0,"",$L231),IF(COUNTIFS(nrES_PID,$D231,nrES_Code,$F231,nrES_Att,1)=0,$L231,IF($L231&gt;=$J231,cfgRetakeRecordedCap,SUMIFS(nrES_Raw,nrES_PID,$D231,nrES_Code,$F231,nrES_Att,1))))))</f>
        <v/>
      </c>
      <c r="N231" s="17">
        <f>IF($C231="","",IF($L231="","",IF($L231&gt;=$J231,"Yes","No")))</f>
        <v/>
      </c>
      <c r="O231" s="17">
        <f>IF($C231="","",IF($M231="","",IF($M231&gt;=$J231,"Yes","No")))</f>
        <v/>
      </c>
      <c r="P231" s="17">
        <f>IF($C231="","",IF($K231="","",IF(COUNTIFS(nrES_PID,$D231,nrES_Code,$F231,nrES_Att,"&gt;"&amp;$K231)=0,"Yes","No")))</f>
        <v/>
      </c>
      <c r="Q231" s="17">
        <f>IF($C231="","",IF($L231="","",IF(AND($K231=1,$L231&lt;$J231,COUNTIFS(nrES_PID,$D231,nrES_Code,$F231,nrES_Att,2)=0),"Yes","No")))</f>
        <v/>
      </c>
      <c r="R231" s="17">
        <f>IF($C231="","",IF($L231="","",IF(AND($K231=2,$L231&lt;$J231,COUNTIFS(nrES_PID,$D231,nrES_Code,$F231,nrES_Att,1)&gt;0),"Yes","No")))</f>
        <v/>
      </c>
      <c r="S231" s="18" t="n"/>
      <c r="T231" s="19">
        <f>IF($Q231&lt;&gt;"Yes","",IF($S231="","(enter date)",_xlfn.LET(_xlpm.dn,IFERROR(_xlfn.XLOOKUP($S231,nrCDdate,nrCDnum),""),IF(_xlpm.dn="","(not a class day)",IFERROR(_xlfn.XLOOKUP(_xlpm.dn+cfgRetestClassDays,nrCDnum,nrCDdate),"")))))</f>
        <v/>
      </c>
      <c r="U231" s="17">
        <f>IF($Q231&lt;&gt;"Yes","",IF(COUNTIFS(nrES_PID,$D231,nrES_Code,$F231,nrES_Att,2)&gt;0,"Retested",IF(OR($T231="",NOT(ISNUMBER($T231))),"Pending",IF(TODAY()&gt;$T231,"OVERDUE","Due "&amp;TEXT($T231,"mm/dd")))))</f>
        <v/>
      </c>
      <c r="V231" s="16" t="n"/>
      <c r="W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IF($C232="","",IF($L232="","",IF($K232=1,IF(COUNTIFS(nrES_PID,$D232,nrES_Code,$F232,nrES_Att,2)&gt;0,"",$L232),IF(COUNTIFS(nrES_PID,$D232,nrES_Code,$F232,nrES_Att,1)=0,$L232,IF($L232&gt;=$J232,cfgRetakeRecordedCap,SUMIFS(nrES_Raw,nrES_PID,$D232,nrES_Code,$F232,nrES_Att,1))))))</f>
        <v/>
      </c>
      <c r="N232" s="17">
        <f>IF($C232="","",IF($L232="","",IF($L232&gt;=$J232,"Yes","No")))</f>
        <v/>
      </c>
      <c r="O232" s="17">
        <f>IF($C232="","",IF($M232="","",IF($M232&gt;=$J232,"Yes","No")))</f>
        <v/>
      </c>
      <c r="P232" s="17">
        <f>IF($C232="","",IF($K232="","",IF(COUNTIFS(nrES_PID,$D232,nrES_Code,$F232,nrES_Att,"&gt;"&amp;$K232)=0,"Yes","No")))</f>
        <v/>
      </c>
      <c r="Q232" s="17">
        <f>IF($C232="","",IF($L232="","",IF(AND($K232=1,$L232&lt;$J232,COUNTIFS(nrES_PID,$D232,nrES_Code,$F232,nrES_Att,2)=0),"Yes","No")))</f>
        <v/>
      </c>
      <c r="R232" s="17">
        <f>IF($C232="","",IF($L232="","",IF(AND($K232=2,$L232&lt;$J232,COUNTIFS(nrES_PID,$D232,nrES_Code,$F232,nrES_Att,1)&gt;0),"Yes","No")))</f>
        <v/>
      </c>
      <c r="S232" s="18" t="n"/>
      <c r="T232" s="19">
        <f>IF($Q232&lt;&gt;"Yes","",IF($S232="","(enter date)",_xlfn.LET(_xlpm.dn,IFERROR(_xlfn.XLOOKUP($S232,nrCDdate,nrCDnum),""),IF(_xlpm.dn="","(not a class day)",IFERROR(_xlfn.XLOOKUP(_xlpm.dn+cfgRetestClassDays,nrCDnum,nrCDdate),"")))))</f>
        <v/>
      </c>
      <c r="U232" s="17">
        <f>IF($Q232&lt;&gt;"Yes","",IF(COUNTIFS(nrES_PID,$D232,nrES_Code,$F232,nrES_Att,2)&gt;0,"Retested",IF(OR($T232="",NOT(ISNUMBER($T232))),"Pending",IF(TODAY()&gt;$T232,"OVERDUE","Due "&amp;TEXT($T232,"mm/dd")))))</f>
        <v/>
      </c>
      <c r="V232" s="16" t="n"/>
      <c r="W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IF($C233="","",IF($L233="","",IF($K233=1,IF(COUNTIFS(nrES_PID,$D233,nrES_Code,$F233,nrES_Att,2)&gt;0,"",$L233),IF(COUNTIFS(nrES_PID,$D233,nrES_Code,$F233,nrES_Att,1)=0,$L233,IF($L233&gt;=$J233,cfgRetakeRecordedCap,SUMIFS(nrES_Raw,nrES_PID,$D233,nrES_Code,$F233,nrES_Att,1))))))</f>
        <v/>
      </c>
      <c r="N233" s="17">
        <f>IF($C233="","",IF($L233="","",IF($L233&gt;=$J233,"Yes","No")))</f>
        <v/>
      </c>
      <c r="O233" s="17">
        <f>IF($C233="","",IF($M233="","",IF($M233&gt;=$J233,"Yes","No")))</f>
        <v/>
      </c>
      <c r="P233" s="17">
        <f>IF($C233="","",IF($K233="","",IF(COUNTIFS(nrES_PID,$D233,nrES_Code,$F233,nrES_Att,"&gt;"&amp;$K233)=0,"Yes","No")))</f>
        <v/>
      </c>
      <c r="Q233" s="17">
        <f>IF($C233="","",IF($L233="","",IF(AND($K233=1,$L233&lt;$J233,COUNTIFS(nrES_PID,$D233,nrES_Code,$F233,nrES_Att,2)=0),"Yes","No")))</f>
        <v/>
      </c>
      <c r="R233" s="17">
        <f>IF($C233="","",IF($L233="","",IF(AND($K233=2,$L233&lt;$J233,COUNTIFS(nrES_PID,$D233,nrES_Code,$F233,nrES_Att,1)&gt;0),"Yes","No")))</f>
        <v/>
      </c>
      <c r="S233" s="18" t="n"/>
      <c r="T233" s="19">
        <f>IF($Q233&lt;&gt;"Yes","",IF($S233="","(enter date)",_xlfn.LET(_xlpm.dn,IFERROR(_xlfn.XLOOKUP($S233,nrCDdate,nrCDnum),""),IF(_xlpm.dn="","(not a class day)",IFERROR(_xlfn.XLOOKUP(_xlpm.dn+cfgRetestClassDays,nrCDnum,nrCDdate),"")))))</f>
        <v/>
      </c>
      <c r="U233" s="17">
        <f>IF($Q233&lt;&gt;"Yes","",IF(COUNTIFS(nrES_PID,$D233,nrES_Code,$F233,nrES_Att,2)&gt;0,"Retested",IF(OR($T233="",NOT(ISNUMBER($T233))),"Pending",IF(TODAY()&gt;$T233,"OVERDUE","Due "&amp;TEXT($T233,"mm/dd")))))</f>
        <v/>
      </c>
      <c r="V233" s="16" t="n"/>
      <c r="W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IF($C234="","",IF($L234="","",IF($K234=1,IF(COUNTIFS(nrES_PID,$D234,nrES_Code,$F234,nrES_Att,2)&gt;0,"",$L234),IF(COUNTIFS(nrES_PID,$D234,nrES_Code,$F234,nrES_Att,1)=0,$L234,IF($L234&gt;=$J234,cfgRetakeRecordedCap,SUMIFS(nrES_Raw,nrES_PID,$D234,nrES_Code,$F234,nrES_Att,1))))))</f>
        <v/>
      </c>
      <c r="N234" s="17">
        <f>IF($C234="","",IF($L234="","",IF($L234&gt;=$J234,"Yes","No")))</f>
        <v/>
      </c>
      <c r="O234" s="17">
        <f>IF($C234="","",IF($M234="","",IF($M234&gt;=$J234,"Yes","No")))</f>
        <v/>
      </c>
      <c r="P234" s="17">
        <f>IF($C234="","",IF($K234="","",IF(COUNTIFS(nrES_PID,$D234,nrES_Code,$F234,nrES_Att,"&gt;"&amp;$K234)=0,"Yes","No")))</f>
        <v/>
      </c>
      <c r="Q234" s="17">
        <f>IF($C234="","",IF($L234="","",IF(AND($K234=1,$L234&lt;$J234,COUNTIFS(nrES_PID,$D234,nrES_Code,$F234,nrES_Att,2)=0),"Yes","No")))</f>
        <v/>
      </c>
      <c r="R234" s="17">
        <f>IF($C234="","",IF($L234="","",IF(AND($K234=2,$L234&lt;$J234,COUNTIFS(nrES_PID,$D234,nrES_Code,$F234,nrES_Att,1)&gt;0),"Yes","No")))</f>
        <v/>
      </c>
      <c r="S234" s="18" t="n"/>
      <c r="T234" s="19">
        <f>IF($Q234&lt;&gt;"Yes","",IF($S234="","(enter date)",_xlfn.LET(_xlpm.dn,IFERROR(_xlfn.XLOOKUP($S234,nrCDdate,nrCDnum),""),IF(_xlpm.dn="","(not a class day)",IFERROR(_xlfn.XLOOKUP(_xlpm.dn+cfgRetestClassDays,nrCDnum,nrCDdate),"")))))</f>
        <v/>
      </c>
      <c r="U234" s="17">
        <f>IF($Q234&lt;&gt;"Yes","",IF(COUNTIFS(nrES_PID,$D234,nrES_Code,$F234,nrES_Att,2)&gt;0,"Retested",IF(OR($T234="",NOT(ISNUMBER($T234))),"Pending",IF(TODAY()&gt;$T234,"OVERDUE","Due "&amp;TEXT($T234,"mm/dd")))))</f>
        <v/>
      </c>
      <c r="V234" s="16" t="n"/>
      <c r="W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IF($C235="","",IF($L235="","",IF($K235=1,IF(COUNTIFS(nrES_PID,$D235,nrES_Code,$F235,nrES_Att,2)&gt;0,"",$L235),IF(COUNTIFS(nrES_PID,$D235,nrES_Code,$F235,nrES_Att,1)=0,$L235,IF($L235&gt;=$J235,cfgRetakeRecordedCap,SUMIFS(nrES_Raw,nrES_PID,$D235,nrES_Code,$F235,nrES_Att,1))))))</f>
        <v/>
      </c>
      <c r="N235" s="17">
        <f>IF($C235="","",IF($L235="","",IF($L235&gt;=$J235,"Yes","No")))</f>
        <v/>
      </c>
      <c r="O235" s="17">
        <f>IF($C235="","",IF($M235="","",IF($M235&gt;=$J235,"Yes","No")))</f>
        <v/>
      </c>
      <c r="P235" s="17">
        <f>IF($C235="","",IF($K235="","",IF(COUNTIFS(nrES_PID,$D235,nrES_Code,$F235,nrES_Att,"&gt;"&amp;$K235)=0,"Yes","No")))</f>
        <v/>
      </c>
      <c r="Q235" s="17">
        <f>IF($C235="","",IF($L235="","",IF(AND($K235=1,$L235&lt;$J235,COUNTIFS(nrES_PID,$D235,nrES_Code,$F235,nrES_Att,2)=0),"Yes","No")))</f>
        <v/>
      </c>
      <c r="R235" s="17">
        <f>IF($C235="","",IF($L235="","",IF(AND($K235=2,$L235&lt;$J235,COUNTIFS(nrES_PID,$D235,nrES_Code,$F235,nrES_Att,1)&gt;0),"Yes","No")))</f>
        <v/>
      </c>
      <c r="S235" s="18" t="n"/>
      <c r="T235" s="19">
        <f>IF($Q235&lt;&gt;"Yes","",IF($S235="","(enter date)",_xlfn.LET(_xlpm.dn,IFERROR(_xlfn.XLOOKUP($S235,nrCDdate,nrCDnum),""),IF(_xlpm.dn="","(not a class day)",IFERROR(_xlfn.XLOOKUP(_xlpm.dn+cfgRetestClassDays,nrCDnum,nrCDdate),"")))))</f>
        <v/>
      </c>
      <c r="U235" s="17">
        <f>IF($Q235&lt;&gt;"Yes","",IF(COUNTIFS(nrES_PID,$D235,nrES_Code,$F235,nrES_Att,2)&gt;0,"Retested",IF(OR($T235="",NOT(ISNUMBER($T235))),"Pending",IF(TODAY()&gt;$T235,"OVERDUE","Due "&amp;TEXT($T235,"mm/dd")))))</f>
        <v/>
      </c>
      <c r="V235" s="16" t="n"/>
      <c r="W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IF($C236="","",IF($L236="","",IF($K236=1,IF(COUNTIFS(nrES_PID,$D236,nrES_Code,$F236,nrES_Att,2)&gt;0,"",$L236),IF(COUNTIFS(nrES_PID,$D236,nrES_Code,$F236,nrES_Att,1)=0,$L236,IF($L236&gt;=$J236,cfgRetakeRecordedCap,SUMIFS(nrES_Raw,nrES_PID,$D236,nrES_Code,$F236,nrES_Att,1))))))</f>
        <v/>
      </c>
      <c r="N236" s="17">
        <f>IF($C236="","",IF($L236="","",IF($L236&gt;=$J236,"Yes","No")))</f>
        <v/>
      </c>
      <c r="O236" s="17">
        <f>IF($C236="","",IF($M236="","",IF($M236&gt;=$J236,"Yes","No")))</f>
        <v/>
      </c>
      <c r="P236" s="17">
        <f>IF($C236="","",IF($K236="","",IF(COUNTIFS(nrES_PID,$D236,nrES_Code,$F236,nrES_Att,"&gt;"&amp;$K236)=0,"Yes","No")))</f>
        <v/>
      </c>
      <c r="Q236" s="17">
        <f>IF($C236="","",IF($L236="","",IF(AND($K236=1,$L236&lt;$J236,COUNTIFS(nrES_PID,$D236,nrES_Code,$F236,nrES_Att,2)=0),"Yes","No")))</f>
        <v/>
      </c>
      <c r="R236" s="17">
        <f>IF($C236="","",IF($L236="","",IF(AND($K236=2,$L236&lt;$J236,COUNTIFS(nrES_PID,$D236,nrES_Code,$F236,nrES_Att,1)&gt;0),"Yes","No")))</f>
        <v/>
      </c>
      <c r="S236" s="18" t="n"/>
      <c r="T236" s="19">
        <f>IF($Q236&lt;&gt;"Yes","",IF($S236="","(enter date)",_xlfn.LET(_xlpm.dn,IFERROR(_xlfn.XLOOKUP($S236,nrCDdate,nrCDnum),""),IF(_xlpm.dn="","(not a class day)",IFERROR(_xlfn.XLOOKUP(_xlpm.dn+cfgRetestClassDays,nrCDnum,nrCDdate),"")))))</f>
        <v/>
      </c>
      <c r="U236" s="17">
        <f>IF($Q236&lt;&gt;"Yes","",IF(COUNTIFS(nrES_PID,$D236,nrES_Code,$F236,nrES_Att,2)&gt;0,"Retested",IF(OR($T236="",NOT(ISNUMBER($T236))),"Pending",IF(TODAY()&gt;$T236,"OVERDUE","Due "&amp;TEXT($T236,"mm/dd")))))</f>
        <v/>
      </c>
      <c r="V236" s="16" t="n"/>
      <c r="W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IF($C237="","",IF($L237="","",IF($K237=1,IF(COUNTIFS(nrES_PID,$D237,nrES_Code,$F237,nrES_Att,2)&gt;0,"",$L237),IF(COUNTIFS(nrES_PID,$D237,nrES_Code,$F237,nrES_Att,1)=0,$L237,IF($L237&gt;=$J237,cfgRetakeRecordedCap,SUMIFS(nrES_Raw,nrES_PID,$D237,nrES_Code,$F237,nrES_Att,1))))))</f>
        <v/>
      </c>
      <c r="N237" s="17">
        <f>IF($C237="","",IF($L237="","",IF($L237&gt;=$J237,"Yes","No")))</f>
        <v/>
      </c>
      <c r="O237" s="17">
        <f>IF($C237="","",IF($M237="","",IF($M237&gt;=$J237,"Yes","No")))</f>
        <v/>
      </c>
      <c r="P237" s="17">
        <f>IF($C237="","",IF($K237="","",IF(COUNTIFS(nrES_PID,$D237,nrES_Code,$F237,nrES_Att,"&gt;"&amp;$K237)=0,"Yes","No")))</f>
        <v/>
      </c>
      <c r="Q237" s="17">
        <f>IF($C237="","",IF($L237="","",IF(AND($K237=1,$L237&lt;$J237,COUNTIFS(nrES_PID,$D237,nrES_Code,$F237,nrES_Att,2)=0),"Yes","No")))</f>
        <v/>
      </c>
      <c r="R237" s="17">
        <f>IF($C237="","",IF($L237="","",IF(AND($K237=2,$L237&lt;$J237,COUNTIFS(nrES_PID,$D237,nrES_Code,$F237,nrES_Att,1)&gt;0),"Yes","No")))</f>
        <v/>
      </c>
      <c r="S237" s="18" t="n"/>
      <c r="T237" s="19">
        <f>IF($Q237&lt;&gt;"Yes","",IF($S237="","(enter date)",_xlfn.LET(_xlpm.dn,IFERROR(_xlfn.XLOOKUP($S237,nrCDdate,nrCDnum),""),IF(_xlpm.dn="","(not a class day)",IFERROR(_xlfn.XLOOKUP(_xlpm.dn+cfgRetestClassDays,nrCDnum,nrCDdate),"")))))</f>
        <v/>
      </c>
      <c r="U237" s="17">
        <f>IF($Q237&lt;&gt;"Yes","",IF(COUNTIFS(nrES_PID,$D237,nrES_Code,$F237,nrES_Att,2)&gt;0,"Retested",IF(OR($T237="",NOT(ISNUMBER($T237))),"Pending",IF(TODAY()&gt;$T237,"OVERDUE","Due "&amp;TEXT($T237,"mm/dd")))))</f>
        <v/>
      </c>
      <c r="V237" s="16" t="n"/>
      <c r="W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IF($C238="","",IF($L238="","",IF($K238=1,IF(COUNTIFS(nrES_PID,$D238,nrES_Code,$F238,nrES_Att,2)&gt;0,"",$L238),IF(COUNTIFS(nrES_PID,$D238,nrES_Code,$F238,nrES_Att,1)=0,$L238,IF($L238&gt;=$J238,cfgRetakeRecordedCap,SUMIFS(nrES_Raw,nrES_PID,$D238,nrES_Code,$F238,nrES_Att,1))))))</f>
        <v/>
      </c>
      <c r="N238" s="17">
        <f>IF($C238="","",IF($L238="","",IF($L238&gt;=$J238,"Yes","No")))</f>
        <v/>
      </c>
      <c r="O238" s="17">
        <f>IF($C238="","",IF($M238="","",IF($M238&gt;=$J238,"Yes","No")))</f>
        <v/>
      </c>
      <c r="P238" s="17">
        <f>IF($C238="","",IF($K238="","",IF(COUNTIFS(nrES_PID,$D238,nrES_Code,$F238,nrES_Att,"&gt;"&amp;$K238)=0,"Yes","No")))</f>
        <v/>
      </c>
      <c r="Q238" s="17">
        <f>IF($C238="","",IF($L238="","",IF(AND($K238=1,$L238&lt;$J238,COUNTIFS(nrES_PID,$D238,nrES_Code,$F238,nrES_Att,2)=0),"Yes","No")))</f>
        <v/>
      </c>
      <c r="R238" s="17">
        <f>IF($C238="","",IF($L238="","",IF(AND($K238=2,$L238&lt;$J238,COUNTIFS(nrES_PID,$D238,nrES_Code,$F238,nrES_Att,1)&gt;0),"Yes","No")))</f>
        <v/>
      </c>
      <c r="S238" s="18" t="n"/>
      <c r="T238" s="19">
        <f>IF($Q238&lt;&gt;"Yes","",IF($S238="","(enter date)",_xlfn.LET(_xlpm.dn,IFERROR(_xlfn.XLOOKUP($S238,nrCDdate,nrCDnum),""),IF(_xlpm.dn="","(not a class day)",IFERROR(_xlfn.XLOOKUP(_xlpm.dn+cfgRetestClassDays,nrCDnum,nrCDdate),"")))))</f>
        <v/>
      </c>
      <c r="U238" s="17">
        <f>IF($Q238&lt;&gt;"Yes","",IF(COUNTIFS(nrES_PID,$D238,nrES_Code,$F238,nrES_Att,2)&gt;0,"Retested",IF(OR($T238="",NOT(ISNUMBER($T238))),"Pending",IF(TODAY()&gt;$T238,"OVERDUE","Due "&amp;TEXT($T238,"mm/dd")))))</f>
        <v/>
      </c>
      <c r="V238" s="16" t="n"/>
      <c r="W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IF($C239="","",IF($L239="","",IF($K239=1,IF(COUNTIFS(nrES_PID,$D239,nrES_Code,$F239,nrES_Att,2)&gt;0,"",$L239),IF(COUNTIFS(nrES_PID,$D239,nrES_Code,$F239,nrES_Att,1)=0,$L239,IF($L239&gt;=$J239,cfgRetakeRecordedCap,SUMIFS(nrES_Raw,nrES_PID,$D239,nrES_Code,$F239,nrES_Att,1))))))</f>
        <v/>
      </c>
      <c r="N239" s="17">
        <f>IF($C239="","",IF($L239="","",IF($L239&gt;=$J239,"Yes","No")))</f>
        <v/>
      </c>
      <c r="O239" s="17">
        <f>IF($C239="","",IF($M239="","",IF($M239&gt;=$J239,"Yes","No")))</f>
        <v/>
      </c>
      <c r="P239" s="17">
        <f>IF($C239="","",IF($K239="","",IF(COUNTIFS(nrES_PID,$D239,nrES_Code,$F239,nrES_Att,"&gt;"&amp;$K239)=0,"Yes","No")))</f>
        <v/>
      </c>
      <c r="Q239" s="17">
        <f>IF($C239="","",IF($L239="","",IF(AND($K239=1,$L239&lt;$J239,COUNTIFS(nrES_PID,$D239,nrES_Code,$F239,nrES_Att,2)=0),"Yes","No")))</f>
        <v/>
      </c>
      <c r="R239" s="17">
        <f>IF($C239="","",IF($L239="","",IF(AND($K239=2,$L239&lt;$J239,COUNTIFS(nrES_PID,$D239,nrES_Code,$F239,nrES_Att,1)&gt;0),"Yes","No")))</f>
        <v/>
      </c>
      <c r="S239" s="18" t="n"/>
      <c r="T239" s="19">
        <f>IF($Q239&lt;&gt;"Yes","",IF($S239="","(enter date)",_xlfn.LET(_xlpm.dn,IFERROR(_xlfn.XLOOKUP($S239,nrCDdate,nrCDnum),""),IF(_xlpm.dn="","(not a class day)",IFERROR(_xlfn.XLOOKUP(_xlpm.dn+cfgRetestClassDays,nrCDnum,nrCDdate),"")))))</f>
        <v/>
      </c>
      <c r="U239" s="17">
        <f>IF($Q239&lt;&gt;"Yes","",IF(COUNTIFS(nrES_PID,$D239,nrES_Code,$F239,nrES_Att,2)&gt;0,"Retested",IF(OR($T239="",NOT(ISNUMBER($T239))),"Pending",IF(TODAY()&gt;$T239,"OVERDUE","Due "&amp;TEXT($T239,"mm/dd")))))</f>
        <v/>
      </c>
      <c r="V239" s="16" t="n"/>
      <c r="W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IF($C240="","",IF($L240="","",IF($K240=1,IF(COUNTIFS(nrES_PID,$D240,nrES_Code,$F240,nrES_Att,2)&gt;0,"",$L240),IF(COUNTIFS(nrES_PID,$D240,nrES_Code,$F240,nrES_Att,1)=0,$L240,IF($L240&gt;=$J240,cfgRetakeRecordedCap,SUMIFS(nrES_Raw,nrES_PID,$D240,nrES_Code,$F240,nrES_Att,1))))))</f>
        <v/>
      </c>
      <c r="N240" s="17">
        <f>IF($C240="","",IF($L240="","",IF($L240&gt;=$J240,"Yes","No")))</f>
        <v/>
      </c>
      <c r="O240" s="17">
        <f>IF($C240="","",IF($M240="","",IF($M240&gt;=$J240,"Yes","No")))</f>
        <v/>
      </c>
      <c r="P240" s="17">
        <f>IF($C240="","",IF($K240="","",IF(COUNTIFS(nrES_PID,$D240,nrES_Code,$F240,nrES_Att,"&gt;"&amp;$K240)=0,"Yes","No")))</f>
        <v/>
      </c>
      <c r="Q240" s="17">
        <f>IF($C240="","",IF($L240="","",IF(AND($K240=1,$L240&lt;$J240,COUNTIFS(nrES_PID,$D240,nrES_Code,$F240,nrES_Att,2)=0),"Yes","No")))</f>
        <v/>
      </c>
      <c r="R240" s="17">
        <f>IF($C240="","",IF($L240="","",IF(AND($K240=2,$L240&lt;$J240,COUNTIFS(nrES_PID,$D240,nrES_Code,$F240,nrES_Att,1)&gt;0),"Yes","No")))</f>
        <v/>
      </c>
      <c r="S240" s="18" t="n"/>
      <c r="T240" s="19">
        <f>IF($Q240&lt;&gt;"Yes","",IF($S240="","(enter date)",_xlfn.LET(_xlpm.dn,IFERROR(_xlfn.XLOOKUP($S240,nrCDdate,nrCDnum),""),IF(_xlpm.dn="","(not a class day)",IFERROR(_xlfn.XLOOKUP(_xlpm.dn+cfgRetestClassDays,nrCDnum,nrCDdate),"")))))</f>
        <v/>
      </c>
      <c r="U240" s="17">
        <f>IF($Q240&lt;&gt;"Yes","",IF(COUNTIFS(nrES_PID,$D240,nrES_Code,$F240,nrES_Att,2)&gt;0,"Retested",IF(OR($T240="",NOT(ISNUMBER($T240))),"Pending",IF(TODAY()&gt;$T240,"OVERDUE","Due "&amp;TEXT($T240,"mm/dd")))))</f>
        <v/>
      </c>
      <c r="V240" s="16" t="n"/>
      <c r="W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IF($C241="","",IF($L241="","",IF($K241=1,IF(COUNTIFS(nrES_PID,$D241,nrES_Code,$F241,nrES_Att,2)&gt;0,"",$L241),IF(COUNTIFS(nrES_PID,$D241,nrES_Code,$F241,nrES_Att,1)=0,$L241,IF($L241&gt;=$J241,cfgRetakeRecordedCap,SUMIFS(nrES_Raw,nrES_PID,$D241,nrES_Code,$F241,nrES_Att,1))))))</f>
        <v/>
      </c>
      <c r="N241" s="17">
        <f>IF($C241="","",IF($L241="","",IF($L241&gt;=$J241,"Yes","No")))</f>
        <v/>
      </c>
      <c r="O241" s="17">
        <f>IF($C241="","",IF($M241="","",IF($M241&gt;=$J241,"Yes","No")))</f>
        <v/>
      </c>
      <c r="P241" s="17">
        <f>IF($C241="","",IF($K241="","",IF(COUNTIFS(nrES_PID,$D241,nrES_Code,$F241,nrES_Att,"&gt;"&amp;$K241)=0,"Yes","No")))</f>
        <v/>
      </c>
      <c r="Q241" s="17">
        <f>IF($C241="","",IF($L241="","",IF(AND($K241=1,$L241&lt;$J241,COUNTIFS(nrES_PID,$D241,nrES_Code,$F241,nrES_Att,2)=0),"Yes","No")))</f>
        <v/>
      </c>
      <c r="R241" s="17">
        <f>IF($C241="","",IF($L241="","",IF(AND($K241=2,$L241&lt;$J241,COUNTIFS(nrES_PID,$D241,nrES_Code,$F241,nrES_Att,1)&gt;0),"Yes","No")))</f>
        <v/>
      </c>
      <c r="S241" s="18" t="n"/>
      <c r="T241" s="19">
        <f>IF($Q241&lt;&gt;"Yes","",IF($S241="","(enter date)",_xlfn.LET(_xlpm.dn,IFERROR(_xlfn.XLOOKUP($S241,nrCDdate,nrCDnum),""),IF(_xlpm.dn="","(not a class day)",IFERROR(_xlfn.XLOOKUP(_xlpm.dn+cfgRetestClassDays,nrCDnum,nrCDdate),"")))))</f>
        <v/>
      </c>
      <c r="U241" s="17">
        <f>IF($Q241&lt;&gt;"Yes","",IF(COUNTIFS(nrES_PID,$D241,nrES_Code,$F241,nrES_Att,2)&gt;0,"Retested",IF(OR($T241="",NOT(ISNUMBER($T241))),"Pending",IF(TODAY()&gt;$T241,"OVERDUE","Due "&amp;TEXT($T241,"mm/dd")))))</f>
        <v/>
      </c>
      <c r="V241" s="16" t="n"/>
      <c r="W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IF($C242="","",IF($L242="","",IF($K242=1,IF(COUNTIFS(nrES_PID,$D242,nrES_Code,$F242,nrES_Att,2)&gt;0,"",$L242),IF(COUNTIFS(nrES_PID,$D242,nrES_Code,$F242,nrES_Att,1)=0,$L242,IF($L242&gt;=$J242,cfgRetakeRecordedCap,SUMIFS(nrES_Raw,nrES_PID,$D242,nrES_Code,$F242,nrES_Att,1))))))</f>
        <v/>
      </c>
      <c r="N242" s="17">
        <f>IF($C242="","",IF($L242="","",IF($L242&gt;=$J242,"Yes","No")))</f>
        <v/>
      </c>
      <c r="O242" s="17">
        <f>IF($C242="","",IF($M242="","",IF($M242&gt;=$J242,"Yes","No")))</f>
        <v/>
      </c>
      <c r="P242" s="17">
        <f>IF($C242="","",IF($K242="","",IF(COUNTIFS(nrES_PID,$D242,nrES_Code,$F242,nrES_Att,"&gt;"&amp;$K242)=0,"Yes","No")))</f>
        <v/>
      </c>
      <c r="Q242" s="17">
        <f>IF($C242="","",IF($L242="","",IF(AND($K242=1,$L242&lt;$J242,COUNTIFS(nrES_PID,$D242,nrES_Code,$F242,nrES_Att,2)=0),"Yes","No")))</f>
        <v/>
      </c>
      <c r="R242" s="17">
        <f>IF($C242="","",IF($L242="","",IF(AND($K242=2,$L242&lt;$J242,COUNTIFS(nrES_PID,$D242,nrES_Code,$F242,nrES_Att,1)&gt;0),"Yes","No")))</f>
        <v/>
      </c>
      <c r="S242" s="18" t="n"/>
      <c r="T242" s="19">
        <f>IF($Q242&lt;&gt;"Yes","",IF($S242="","(enter date)",_xlfn.LET(_xlpm.dn,IFERROR(_xlfn.XLOOKUP($S242,nrCDdate,nrCDnum),""),IF(_xlpm.dn="","(not a class day)",IFERROR(_xlfn.XLOOKUP(_xlpm.dn+cfgRetestClassDays,nrCDnum,nrCDdate),"")))))</f>
        <v/>
      </c>
      <c r="U242" s="17">
        <f>IF($Q242&lt;&gt;"Yes","",IF(COUNTIFS(nrES_PID,$D242,nrES_Code,$F242,nrES_Att,2)&gt;0,"Retested",IF(OR($T242="",NOT(ISNUMBER($T242))),"Pending",IF(TODAY()&gt;$T242,"OVERDUE","Due "&amp;TEXT($T242,"mm/dd")))))</f>
        <v/>
      </c>
      <c r="V242" s="16" t="n"/>
      <c r="W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IF($C243="","",IF($L243="","",IF($K243=1,IF(COUNTIFS(nrES_PID,$D243,nrES_Code,$F243,nrES_Att,2)&gt;0,"",$L243),IF(COUNTIFS(nrES_PID,$D243,nrES_Code,$F243,nrES_Att,1)=0,$L243,IF($L243&gt;=$J243,cfgRetakeRecordedCap,SUMIFS(nrES_Raw,nrES_PID,$D243,nrES_Code,$F243,nrES_Att,1))))))</f>
        <v/>
      </c>
      <c r="N243" s="17">
        <f>IF($C243="","",IF($L243="","",IF($L243&gt;=$J243,"Yes","No")))</f>
        <v/>
      </c>
      <c r="O243" s="17">
        <f>IF($C243="","",IF($M243="","",IF($M243&gt;=$J243,"Yes","No")))</f>
        <v/>
      </c>
      <c r="P243" s="17">
        <f>IF($C243="","",IF($K243="","",IF(COUNTIFS(nrES_PID,$D243,nrES_Code,$F243,nrES_Att,"&gt;"&amp;$K243)=0,"Yes","No")))</f>
        <v/>
      </c>
      <c r="Q243" s="17">
        <f>IF($C243="","",IF($L243="","",IF(AND($K243=1,$L243&lt;$J243,COUNTIFS(nrES_PID,$D243,nrES_Code,$F243,nrES_Att,2)=0),"Yes","No")))</f>
        <v/>
      </c>
      <c r="R243" s="17">
        <f>IF($C243="","",IF($L243="","",IF(AND($K243=2,$L243&lt;$J243,COUNTIFS(nrES_PID,$D243,nrES_Code,$F243,nrES_Att,1)&gt;0),"Yes","No")))</f>
        <v/>
      </c>
      <c r="S243" s="18" t="n"/>
      <c r="T243" s="19">
        <f>IF($Q243&lt;&gt;"Yes","",IF($S243="","(enter date)",_xlfn.LET(_xlpm.dn,IFERROR(_xlfn.XLOOKUP($S243,nrCDdate,nrCDnum),""),IF(_xlpm.dn="","(not a class day)",IFERROR(_xlfn.XLOOKUP(_xlpm.dn+cfgRetestClassDays,nrCDnum,nrCDdate),"")))))</f>
        <v/>
      </c>
      <c r="U243" s="17">
        <f>IF($Q243&lt;&gt;"Yes","",IF(COUNTIFS(nrES_PID,$D243,nrES_Code,$F243,nrES_Att,2)&gt;0,"Retested",IF(OR($T243="",NOT(ISNUMBER($T243))),"Pending",IF(TODAY()&gt;$T243,"OVERDUE","Due "&amp;TEXT($T243,"mm/dd")))))</f>
        <v/>
      </c>
      <c r="V243" s="16" t="n"/>
      <c r="W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IF($C244="","",IF($L244="","",IF($K244=1,IF(COUNTIFS(nrES_PID,$D244,nrES_Code,$F244,nrES_Att,2)&gt;0,"",$L244),IF(COUNTIFS(nrES_PID,$D244,nrES_Code,$F244,nrES_Att,1)=0,$L244,IF($L244&gt;=$J244,cfgRetakeRecordedCap,SUMIFS(nrES_Raw,nrES_PID,$D244,nrES_Code,$F244,nrES_Att,1))))))</f>
        <v/>
      </c>
      <c r="N244" s="17">
        <f>IF($C244="","",IF($L244="","",IF($L244&gt;=$J244,"Yes","No")))</f>
        <v/>
      </c>
      <c r="O244" s="17">
        <f>IF($C244="","",IF($M244="","",IF($M244&gt;=$J244,"Yes","No")))</f>
        <v/>
      </c>
      <c r="P244" s="17">
        <f>IF($C244="","",IF($K244="","",IF(COUNTIFS(nrES_PID,$D244,nrES_Code,$F244,nrES_Att,"&gt;"&amp;$K244)=0,"Yes","No")))</f>
        <v/>
      </c>
      <c r="Q244" s="17">
        <f>IF($C244="","",IF($L244="","",IF(AND($K244=1,$L244&lt;$J244,COUNTIFS(nrES_PID,$D244,nrES_Code,$F244,nrES_Att,2)=0),"Yes","No")))</f>
        <v/>
      </c>
      <c r="R244" s="17">
        <f>IF($C244="","",IF($L244="","",IF(AND($K244=2,$L244&lt;$J244,COUNTIFS(nrES_PID,$D244,nrES_Code,$F244,nrES_Att,1)&gt;0),"Yes","No")))</f>
        <v/>
      </c>
      <c r="S244" s="18" t="n"/>
      <c r="T244" s="19">
        <f>IF($Q244&lt;&gt;"Yes","",IF($S244="","(enter date)",_xlfn.LET(_xlpm.dn,IFERROR(_xlfn.XLOOKUP($S244,nrCDdate,nrCDnum),""),IF(_xlpm.dn="","(not a class day)",IFERROR(_xlfn.XLOOKUP(_xlpm.dn+cfgRetestClassDays,nrCDnum,nrCDdate),"")))))</f>
        <v/>
      </c>
      <c r="U244" s="17">
        <f>IF($Q244&lt;&gt;"Yes","",IF(COUNTIFS(nrES_PID,$D244,nrES_Code,$F244,nrES_Att,2)&gt;0,"Retested",IF(OR($T244="",NOT(ISNUMBER($T244))),"Pending",IF(TODAY()&gt;$T244,"OVERDUE","Due "&amp;TEXT($T244,"mm/dd")))))</f>
        <v/>
      </c>
      <c r="V244" s="16" t="n"/>
      <c r="W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IF($C245="","",IF($L245="","",IF($K245=1,IF(COUNTIFS(nrES_PID,$D245,nrES_Code,$F245,nrES_Att,2)&gt;0,"",$L245),IF(COUNTIFS(nrES_PID,$D245,nrES_Code,$F245,nrES_Att,1)=0,$L245,IF($L245&gt;=$J245,cfgRetakeRecordedCap,SUMIFS(nrES_Raw,nrES_PID,$D245,nrES_Code,$F245,nrES_Att,1))))))</f>
        <v/>
      </c>
      <c r="N245" s="17">
        <f>IF($C245="","",IF($L245="","",IF($L245&gt;=$J245,"Yes","No")))</f>
        <v/>
      </c>
      <c r="O245" s="17">
        <f>IF($C245="","",IF($M245="","",IF($M245&gt;=$J245,"Yes","No")))</f>
        <v/>
      </c>
      <c r="P245" s="17">
        <f>IF($C245="","",IF($K245="","",IF(COUNTIFS(nrES_PID,$D245,nrES_Code,$F245,nrES_Att,"&gt;"&amp;$K245)=0,"Yes","No")))</f>
        <v/>
      </c>
      <c r="Q245" s="17">
        <f>IF($C245="","",IF($L245="","",IF(AND($K245=1,$L245&lt;$J245,COUNTIFS(nrES_PID,$D245,nrES_Code,$F245,nrES_Att,2)=0),"Yes","No")))</f>
        <v/>
      </c>
      <c r="R245" s="17">
        <f>IF($C245="","",IF($L245="","",IF(AND($K245=2,$L245&lt;$J245,COUNTIFS(nrES_PID,$D245,nrES_Code,$F245,nrES_Att,1)&gt;0),"Yes","No")))</f>
        <v/>
      </c>
      <c r="S245" s="18" t="n"/>
      <c r="T245" s="19">
        <f>IF($Q245&lt;&gt;"Yes","",IF($S245="","(enter date)",_xlfn.LET(_xlpm.dn,IFERROR(_xlfn.XLOOKUP($S245,nrCDdate,nrCDnum),""),IF(_xlpm.dn="","(not a class day)",IFERROR(_xlfn.XLOOKUP(_xlpm.dn+cfgRetestClassDays,nrCDnum,nrCDdate),"")))))</f>
        <v/>
      </c>
      <c r="U245" s="17">
        <f>IF($Q245&lt;&gt;"Yes","",IF(COUNTIFS(nrES_PID,$D245,nrES_Code,$F245,nrES_Att,2)&gt;0,"Retested",IF(OR($T245="",NOT(ISNUMBER($T245))),"Pending",IF(TODAY()&gt;$T245,"OVERDUE","Due "&amp;TEXT($T245,"mm/dd")))))</f>
        <v/>
      </c>
      <c r="V245" s="16" t="n"/>
      <c r="W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IF($C246="","",IF($L246="","",IF($K246=1,IF(COUNTIFS(nrES_PID,$D246,nrES_Code,$F246,nrES_Att,2)&gt;0,"",$L246),IF(COUNTIFS(nrES_PID,$D246,nrES_Code,$F246,nrES_Att,1)=0,$L246,IF($L246&gt;=$J246,cfgRetakeRecordedCap,SUMIFS(nrES_Raw,nrES_PID,$D246,nrES_Code,$F246,nrES_Att,1))))))</f>
        <v/>
      </c>
      <c r="N246" s="17">
        <f>IF($C246="","",IF($L246="","",IF($L246&gt;=$J246,"Yes","No")))</f>
        <v/>
      </c>
      <c r="O246" s="17">
        <f>IF($C246="","",IF($M246="","",IF($M246&gt;=$J246,"Yes","No")))</f>
        <v/>
      </c>
      <c r="P246" s="17">
        <f>IF($C246="","",IF($K246="","",IF(COUNTIFS(nrES_PID,$D246,nrES_Code,$F246,nrES_Att,"&gt;"&amp;$K246)=0,"Yes","No")))</f>
        <v/>
      </c>
      <c r="Q246" s="17">
        <f>IF($C246="","",IF($L246="","",IF(AND($K246=1,$L246&lt;$J246,COUNTIFS(nrES_PID,$D246,nrES_Code,$F246,nrES_Att,2)=0),"Yes","No")))</f>
        <v/>
      </c>
      <c r="R246" s="17">
        <f>IF($C246="","",IF($L246="","",IF(AND($K246=2,$L246&lt;$J246,COUNTIFS(nrES_PID,$D246,nrES_Code,$F246,nrES_Att,1)&gt;0),"Yes","No")))</f>
        <v/>
      </c>
      <c r="S246" s="18" t="n"/>
      <c r="T246" s="19">
        <f>IF($Q246&lt;&gt;"Yes","",IF($S246="","(enter date)",_xlfn.LET(_xlpm.dn,IFERROR(_xlfn.XLOOKUP($S246,nrCDdate,nrCDnum),""),IF(_xlpm.dn="","(not a class day)",IFERROR(_xlfn.XLOOKUP(_xlpm.dn+cfgRetestClassDays,nrCDnum,nrCDdate),"")))))</f>
        <v/>
      </c>
      <c r="U246" s="17">
        <f>IF($Q246&lt;&gt;"Yes","",IF(COUNTIFS(nrES_PID,$D246,nrES_Code,$F246,nrES_Att,2)&gt;0,"Retested",IF(OR($T246="",NOT(ISNUMBER($T246))),"Pending",IF(TODAY()&gt;$T246,"OVERDUE","Due "&amp;TEXT($T246,"mm/dd")))))</f>
        <v/>
      </c>
      <c r="V246" s="16" t="n"/>
      <c r="W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IF($C247="","",IF($L247="","",IF($K247=1,IF(COUNTIFS(nrES_PID,$D247,nrES_Code,$F247,nrES_Att,2)&gt;0,"",$L247),IF(COUNTIFS(nrES_PID,$D247,nrES_Code,$F247,nrES_Att,1)=0,$L247,IF($L247&gt;=$J247,cfgRetakeRecordedCap,SUMIFS(nrES_Raw,nrES_PID,$D247,nrES_Code,$F247,nrES_Att,1))))))</f>
        <v/>
      </c>
      <c r="N247" s="17">
        <f>IF($C247="","",IF($L247="","",IF($L247&gt;=$J247,"Yes","No")))</f>
        <v/>
      </c>
      <c r="O247" s="17">
        <f>IF($C247="","",IF($M247="","",IF($M247&gt;=$J247,"Yes","No")))</f>
        <v/>
      </c>
      <c r="P247" s="17">
        <f>IF($C247="","",IF($K247="","",IF(COUNTIFS(nrES_PID,$D247,nrES_Code,$F247,nrES_Att,"&gt;"&amp;$K247)=0,"Yes","No")))</f>
        <v/>
      </c>
      <c r="Q247" s="17">
        <f>IF($C247="","",IF($L247="","",IF(AND($K247=1,$L247&lt;$J247,COUNTIFS(nrES_PID,$D247,nrES_Code,$F247,nrES_Att,2)=0),"Yes","No")))</f>
        <v/>
      </c>
      <c r="R247" s="17">
        <f>IF($C247="","",IF($L247="","",IF(AND($K247=2,$L247&lt;$J247,COUNTIFS(nrES_PID,$D247,nrES_Code,$F247,nrES_Att,1)&gt;0),"Yes","No")))</f>
        <v/>
      </c>
      <c r="S247" s="18" t="n"/>
      <c r="T247" s="19">
        <f>IF($Q247&lt;&gt;"Yes","",IF($S247="","(enter date)",_xlfn.LET(_xlpm.dn,IFERROR(_xlfn.XLOOKUP($S247,nrCDdate,nrCDnum),""),IF(_xlpm.dn="","(not a class day)",IFERROR(_xlfn.XLOOKUP(_xlpm.dn+cfgRetestClassDays,nrCDnum,nrCDdate),"")))))</f>
        <v/>
      </c>
      <c r="U247" s="17">
        <f>IF($Q247&lt;&gt;"Yes","",IF(COUNTIFS(nrES_PID,$D247,nrES_Code,$F247,nrES_Att,2)&gt;0,"Retested",IF(OR($T247="",NOT(ISNUMBER($T247))),"Pending",IF(TODAY()&gt;$T247,"OVERDUE","Due "&amp;TEXT($T247,"mm/dd")))))</f>
        <v/>
      </c>
      <c r="V247" s="16" t="n"/>
      <c r="W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IF($C248="","",IF($L248="","",IF($K248=1,IF(COUNTIFS(nrES_PID,$D248,nrES_Code,$F248,nrES_Att,2)&gt;0,"",$L248),IF(COUNTIFS(nrES_PID,$D248,nrES_Code,$F248,nrES_Att,1)=0,$L248,IF($L248&gt;=$J248,cfgRetakeRecordedCap,SUMIFS(nrES_Raw,nrES_PID,$D248,nrES_Code,$F248,nrES_Att,1))))))</f>
        <v/>
      </c>
      <c r="N248" s="17">
        <f>IF($C248="","",IF($L248="","",IF($L248&gt;=$J248,"Yes","No")))</f>
        <v/>
      </c>
      <c r="O248" s="17">
        <f>IF($C248="","",IF($M248="","",IF($M248&gt;=$J248,"Yes","No")))</f>
        <v/>
      </c>
      <c r="P248" s="17">
        <f>IF($C248="","",IF($K248="","",IF(COUNTIFS(nrES_PID,$D248,nrES_Code,$F248,nrES_Att,"&gt;"&amp;$K248)=0,"Yes","No")))</f>
        <v/>
      </c>
      <c r="Q248" s="17">
        <f>IF($C248="","",IF($L248="","",IF(AND($K248=1,$L248&lt;$J248,COUNTIFS(nrES_PID,$D248,nrES_Code,$F248,nrES_Att,2)=0),"Yes","No")))</f>
        <v/>
      </c>
      <c r="R248" s="17">
        <f>IF($C248="","",IF($L248="","",IF(AND($K248=2,$L248&lt;$J248,COUNTIFS(nrES_PID,$D248,nrES_Code,$F248,nrES_Att,1)&gt;0),"Yes","No")))</f>
        <v/>
      </c>
      <c r="S248" s="18" t="n"/>
      <c r="T248" s="19">
        <f>IF($Q248&lt;&gt;"Yes","",IF($S248="","(enter date)",_xlfn.LET(_xlpm.dn,IFERROR(_xlfn.XLOOKUP($S248,nrCDdate,nrCDnum),""),IF(_xlpm.dn="","(not a class day)",IFERROR(_xlfn.XLOOKUP(_xlpm.dn+cfgRetestClassDays,nrCDnum,nrCDdate),"")))))</f>
        <v/>
      </c>
      <c r="U248" s="17">
        <f>IF($Q248&lt;&gt;"Yes","",IF(COUNTIFS(nrES_PID,$D248,nrES_Code,$F248,nrES_Att,2)&gt;0,"Retested",IF(OR($T248="",NOT(ISNUMBER($T248))),"Pending",IF(TODAY()&gt;$T248,"OVERDUE","Due "&amp;TEXT($T248,"mm/dd")))))</f>
        <v/>
      </c>
      <c r="V248" s="16" t="n"/>
      <c r="W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IF($C249="","",IF($L249="","",IF($K249=1,IF(COUNTIFS(nrES_PID,$D249,nrES_Code,$F249,nrES_Att,2)&gt;0,"",$L249),IF(COUNTIFS(nrES_PID,$D249,nrES_Code,$F249,nrES_Att,1)=0,$L249,IF($L249&gt;=$J249,cfgRetakeRecordedCap,SUMIFS(nrES_Raw,nrES_PID,$D249,nrES_Code,$F249,nrES_Att,1))))))</f>
        <v/>
      </c>
      <c r="N249" s="17">
        <f>IF($C249="","",IF($L249="","",IF($L249&gt;=$J249,"Yes","No")))</f>
        <v/>
      </c>
      <c r="O249" s="17">
        <f>IF($C249="","",IF($M249="","",IF($M249&gt;=$J249,"Yes","No")))</f>
        <v/>
      </c>
      <c r="P249" s="17">
        <f>IF($C249="","",IF($K249="","",IF(COUNTIFS(nrES_PID,$D249,nrES_Code,$F249,nrES_Att,"&gt;"&amp;$K249)=0,"Yes","No")))</f>
        <v/>
      </c>
      <c r="Q249" s="17">
        <f>IF($C249="","",IF($L249="","",IF(AND($K249=1,$L249&lt;$J249,COUNTIFS(nrES_PID,$D249,nrES_Code,$F249,nrES_Att,2)=0),"Yes","No")))</f>
        <v/>
      </c>
      <c r="R249" s="17">
        <f>IF($C249="","",IF($L249="","",IF(AND($K249=2,$L249&lt;$J249,COUNTIFS(nrES_PID,$D249,nrES_Code,$F249,nrES_Att,1)&gt;0),"Yes","No")))</f>
        <v/>
      </c>
      <c r="S249" s="18" t="n"/>
      <c r="T249" s="19">
        <f>IF($Q249&lt;&gt;"Yes","",IF($S249="","(enter date)",_xlfn.LET(_xlpm.dn,IFERROR(_xlfn.XLOOKUP($S249,nrCDdate,nrCDnum),""),IF(_xlpm.dn="","(not a class day)",IFERROR(_xlfn.XLOOKUP(_xlpm.dn+cfgRetestClassDays,nrCDnum,nrCDdate),"")))))</f>
        <v/>
      </c>
      <c r="U249" s="17">
        <f>IF($Q249&lt;&gt;"Yes","",IF(COUNTIFS(nrES_PID,$D249,nrES_Code,$F249,nrES_Att,2)&gt;0,"Retested",IF(OR($T249="",NOT(ISNUMBER($T249))),"Pending",IF(TODAY()&gt;$T249,"OVERDUE","Due "&amp;TEXT($T249,"mm/dd")))))</f>
        <v/>
      </c>
      <c r="V249" s="16" t="n"/>
      <c r="W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IF($C250="","",IF($L250="","",IF($K250=1,IF(COUNTIFS(nrES_PID,$D250,nrES_Code,$F250,nrES_Att,2)&gt;0,"",$L250),IF(COUNTIFS(nrES_PID,$D250,nrES_Code,$F250,nrES_Att,1)=0,$L250,IF($L250&gt;=$J250,cfgRetakeRecordedCap,SUMIFS(nrES_Raw,nrES_PID,$D250,nrES_Code,$F250,nrES_Att,1))))))</f>
        <v/>
      </c>
      <c r="N250" s="17">
        <f>IF($C250="","",IF($L250="","",IF($L250&gt;=$J250,"Yes","No")))</f>
        <v/>
      </c>
      <c r="O250" s="17">
        <f>IF($C250="","",IF($M250="","",IF($M250&gt;=$J250,"Yes","No")))</f>
        <v/>
      </c>
      <c r="P250" s="17">
        <f>IF($C250="","",IF($K250="","",IF(COUNTIFS(nrES_PID,$D250,nrES_Code,$F250,nrES_Att,"&gt;"&amp;$K250)=0,"Yes","No")))</f>
        <v/>
      </c>
      <c r="Q250" s="17">
        <f>IF($C250="","",IF($L250="","",IF(AND($K250=1,$L250&lt;$J250,COUNTIFS(nrES_PID,$D250,nrES_Code,$F250,nrES_Att,2)=0),"Yes","No")))</f>
        <v/>
      </c>
      <c r="R250" s="17">
        <f>IF($C250="","",IF($L250="","",IF(AND($K250=2,$L250&lt;$J250,COUNTIFS(nrES_PID,$D250,nrES_Code,$F250,nrES_Att,1)&gt;0),"Yes","No")))</f>
        <v/>
      </c>
      <c r="S250" s="18" t="n"/>
      <c r="T250" s="19">
        <f>IF($Q250&lt;&gt;"Yes","",IF($S250="","(enter date)",_xlfn.LET(_xlpm.dn,IFERROR(_xlfn.XLOOKUP($S250,nrCDdate,nrCDnum),""),IF(_xlpm.dn="","(not a class day)",IFERROR(_xlfn.XLOOKUP(_xlpm.dn+cfgRetestClassDays,nrCDnum,nrCDdate),"")))))</f>
        <v/>
      </c>
      <c r="U250" s="17">
        <f>IF($Q250&lt;&gt;"Yes","",IF(COUNTIFS(nrES_PID,$D250,nrES_Code,$F250,nrES_Att,2)&gt;0,"Retested",IF(OR($T250="",NOT(ISNUMBER($T250))),"Pending",IF(TODAY()&gt;$T250,"OVERDUE","Due "&amp;TEXT($T250,"mm/dd")))))</f>
        <v/>
      </c>
      <c r="V250" s="16" t="n"/>
      <c r="W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IF($C251="","",IF($L251="","",IF($K251=1,IF(COUNTIFS(nrES_PID,$D251,nrES_Code,$F251,nrES_Att,2)&gt;0,"",$L251),IF(COUNTIFS(nrES_PID,$D251,nrES_Code,$F251,nrES_Att,1)=0,$L251,IF($L251&gt;=$J251,cfgRetakeRecordedCap,SUMIFS(nrES_Raw,nrES_PID,$D251,nrES_Code,$F251,nrES_Att,1))))))</f>
        <v/>
      </c>
      <c r="N251" s="17">
        <f>IF($C251="","",IF($L251="","",IF($L251&gt;=$J251,"Yes","No")))</f>
        <v/>
      </c>
      <c r="O251" s="17">
        <f>IF($C251="","",IF($M251="","",IF($M251&gt;=$J251,"Yes","No")))</f>
        <v/>
      </c>
      <c r="P251" s="17">
        <f>IF($C251="","",IF($K251="","",IF(COUNTIFS(nrES_PID,$D251,nrES_Code,$F251,nrES_Att,"&gt;"&amp;$K251)=0,"Yes","No")))</f>
        <v/>
      </c>
      <c r="Q251" s="17">
        <f>IF($C251="","",IF($L251="","",IF(AND($K251=1,$L251&lt;$J251,COUNTIFS(nrES_PID,$D251,nrES_Code,$F251,nrES_Att,2)=0),"Yes","No")))</f>
        <v/>
      </c>
      <c r="R251" s="17">
        <f>IF($C251="","",IF($L251="","",IF(AND($K251=2,$L251&lt;$J251,COUNTIFS(nrES_PID,$D251,nrES_Code,$F251,nrES_Att,1)&gt;0),"Yes","No")))</f>
        <v/>
      </c>
      <c r="S251" s="18" t="n"/>
      <c r="T251" s="19">
        <f>IF($Q251&lt;&gt;"Yes","",IF($S251="","(enter date)",_xlfn.LET(_xlpm.dn,IFERROR(_xlfn.XLOOKUP($S251,nrCDdate,nrCDnum),""),IF(_xlpm.dn="","(not a class day)",IFERROR(_xlfn.XLOOKUP(_xlpm.dn+cfgRetestClassDays,nrCDnum,nrCDdate),"")))))</f>
        <v/>
      </c>
      <c r="U251" s="17">
        <f>IF($Q251&lt;&gt;"Yes","",IF(COUNTIFS(nrES_PID,$D251,nrES_Code,$F251,nrES_Att,2)&gt;0,"Retested",IF(OR($T251="",NOT(ISNUMBER($T251))),"Pending",IF(TODAY()&gt;$T251,"OVERDUE","Due "&amp;TEXT($T251,"mm/dd")))))</f>
        <v/>
      </c>
      <c r="V251" s="16" t="n"/>
      <c r="W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IF($C252="","",IF($L252="","",IF($K252=1,IF(COUNTIFS(nrES_PID,$D252,nrES_Code,$F252,nrES_Att,2)&gt;0,"",$L252),IF(COUNTIFS(nrES_PID,$D252,nrES_Code,$F252,nrES_Att,1)=0,$L252,IF($L252&gt;=$J252,cfgRetakeRecordedCap,SUMIFS(nrES_Raw,nrES_PID,$D252,nrES_Code,$F252,nrES_Att,1))))))</f>
        <v/>
      </c>
      <c r="N252" s="17">
        <f>IF($C252="","",IF($L252="","",IF($L252&gt;=$J252,"Yes","No")))</f>
        <v/>
      </c>
      <c r="O252" s="17">
        <f>IF($C252="","",IF($M252="","",IF($M252&gt;=$J252,"Yes","No")))</f>
        <v/>
      </c>
      <c r="P252" s="17">
        <f>IF($C252="","",IF($K252="","",IF(COUNTIFS(nrES_PID,$D252,nrES_Code,$F252,nrES_Att,"&gt;"&amp;$K252)=0,"Yes","No")))</f>
        <v/>
      </c>
      <c r="Q252" s="17">
        <f>IF($C252="","",IF($L252="","",IF(AND($K252=1,$L252&lt;$J252,COUNTIFS(nrES_PID,$D252,nrES_Code,$F252,nrES_Att,2)=0),"Yes","No")))</f>
        <v/>
      </c>
      <c r="R252" s="17">
        <f>IF($C252="","",IF($L252="","",IF(AND($K252=2,$L252&lt;$J252,COUNTIFS(nrES_PID,$D252,nrES_Code,$F252,nrES_Att,1)&gt;0),"Yes","No")))</f>
        <v/>
      </c>
      <c r="S252" s="18" t="n"/>
      <c r="T252" s="19">
        <f>IF($Q252&lt;&gt;"Yes","",IF($S252="","(enter date)",_xlfn.LET(_xlpm.dn,IFERROR(_xlfn.XLOOKUP($S252,nrCDdate,nrCDnum),""),IF(_xlpm.dn="","(not a class day)",IFERROR(_xlfn.XLOOKUP(_xlpm.dn+cfgRetestClassDays,nrCDnum,nrCDdate),"")))))</f>
        <v/>
      </c>
      <c r="U252" s="17">
        <f>IF($Q252&lt;&gt;"Yes","",IF(COUNTIFS(nrES_PID,$D252,nrES_Code,$F252,nrES_Att,2)&gt;0,"Retested",IF(OR($T252="",NOT(ISNUMBER($T252))),"Pending",IF(TODAY()&gt;$T252,"OVERDUE","Due "&amp;TEXT($T252,"mm/dd")))))</f>
        <v/>
      </c>
      <c r="V252" s="16" t="n"/>
      <c r="W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IF($C253="","",IF($L253="","",IF($K253=1,IF(COUNTIFS(nrES_PID,$D253,nrES_Code,$F253,nrES_Att,2)&gt;0,"",$L253),IF(COUNTIFS(nrES_PID,$D253,nrES_Code,$F253,nrES_Att,1)=0,$L253,IF($L253&gt;=$J253,cfgRetakeRecordedCap,SUMIFS(nrES_Raw,nrES_PID,$D253,nrES_Code,$F253,nrES_Att,1))))))</f>
        <v/>
      </c>
      <c r="N253" s="17">
        <f>IF($C253="","",IF($L253="","",IF($L253&gt;=$J253,"Yes","No")))</f>
        <v/>
      </c>
      <c r="O253" s="17">
        <f>IF($C253="","",IF($M253="","",IF($M253&gt;=$J253,"Yes","No")))</f>
        <v/>
      </c>
      <c r="P253" s="17">
        <f>IF($C253="","",IF($K253="","",IF(COUNTIFS(nrES_PID,$D253,nrES_Code,$F253,nrES_Att,"&gt;"&amp;$K253)=0,"Yes","No")))</f>
        <v/>
      </c>
      <c r="Q253" s="17">
        <f>IF($C253="","",IF($L253="","",IF(AND($K253=1,$L253&lt;$J253,COUNTIFS(nrES_PID,$D253,nrES_Code,$F253,nrES_Att,2)=0),"Yes","No")))</f>
        <v/>
      </c>
      <c r="R253" s="17">
        <f>IF($C253="","",IF($L253="","",IF(AND($K253=2,$L253&lt;$J253,COUNTIFS(nrES_PID,$D253,nrES_Code,$F253,nrES_Att,1)&gt;0),"Yes","No")))</f>
        <v/>
      </c>
      <c r="S253" s="18" t="n"/>
      <c r="T253" s="19">
        <f>IF($Q253&lt;&gt;"Yes","",IF($S253="","(enter date)",_xlfn.LET(_xlpm.dn,IFERROR(_xlfn.XLOOKUP($S253,nrCDdate,nrCDnum),""),IF(_xlpm.dn="","(not a class day)",IFERROR(_xlfn.XLOOKUP(_xlpm.dn+cfgRetestClassDays,nrCDnum,nrCDdate),"")))))</f>
        <v/>
      </c>
      <c r="U253" s="17">
        <f>IF($Q253&lt;&gt;"Yes","",IF(COUNTIFS(nrES_PID,$D253,nrES_Code,$F253,nrES_Att,2)&gt;0,"Retested",IF(OR($T253="",NOT(ISNUMBER($T253))),"Pending",IF(TODAY()&gt;$T253,"OVERDUE","Due "&amp;TEXT($T253,"mm/dd")))))</f>
        <v/>
      </c>
      <c r="V253" s="16" t="n"/>
      <c r="W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IF($C254="","",IF($L254="","",IF($K254=1,IF(COUNTIFS(nrES_PID,$D254,nrES_Code,$F254,nrES_Att,2)&gt;0,"",$L254),IF(COUNTIFS(nrES_PID,$D254,nrES_Code,$F254,nrES_Att,1)=0,$L254,IF($L254&gt;=$J254,cfgRetakeRecordedCap,SUMIFS(nrES_Raw,nrES_PID,$D254,nrES_Code,$F254,nrES_Att,1))))))</f>
        <v/>
      </c>
      <c r="N254" s="17">
        <f>IF($C254="","",IF($L254="","",IF($L254&gt;=$J254,"Yes","No")))</f>
        <v/>
      </c>
      <c r="O254" s="17">
        <f>IF($C254="","",IF($M254="","",IF($M254&gt;=$J254,"Yes","No")))</f>
        <v/>
      </c>
      <c r="P254" s="17">
        <f>IF($C254="","",IF($K254="","",IF(COUNTIFS(nrES_PID,$D254,nrES_Code,$F254,nrES_Att,"&gt;"&amp;$K254)=0,"Yes","No")))</f>
        <v/>
      </c>
      <c r="Q254" s="17">
        <f>IF($C254="","",IF($L254="","",IF(AND($K254=1,$L254&lt;$J254,COUNTIFS(nrES_PID,$D254,nrES_Code,$F254,nrES_Att,2)=0),"Yes","No")))</f>
        <v/>
      </c>
      <c r="R254" s="17">
        <f>IF($C254="","",IF($L254="","",IF(AND($K254=2,$L254&lt;$J254,COUNTIFS(nrES_PID,$D254,nrES_Code,$F254,nrES_Att,1)&gt;0),"Yes","No")))</f>
        <v/>
      </c>
      <c r="S254" s="18" t="n"/>
      <c r="T254" s="19">
        <f>IF($Q254&lt;&gt;"Yes","",IF($S254="","(enter date)",_xlfn.LET(_xlpm.dn,IFERROR(_xlfn.XLOOKUP($S254,nrCDdate,nrCDnum),""),IF(_xlpm.dn="","(not a class day)",IFERROR(_xlfn.XLOOKUP(_xlpm.dn+cfgRetestClassDays,nrCDnum,nrCDdate),"")))))</f>
        <v/>
      </c>
      <c r="U254" s="17">
        <f>IF($Q254&lt;&gt;"Yes","",IF(COUNTIFS(nrES_PID,$D254,nrES_Code,$F254,nrES_Att,2)&gt;0,"Retested",IF(OR($T254="",NOT(ISNUMBER($T254))),"Pending",IF(TODAY()&gt;$T254,"OVERDUE","Due "&amp;TEXT($T254,"mm/dd")))))</f>
        <v/>
      </c>
      <c r="V254" s="16" t="n"/>
      <c r="W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IF($C255="","",IF($L255="","",IF($K255=1,IF(COUNTIFS(nrES_PID,$D255,nrES_Code,$F255,nrES_Att,2)&gt;0,"",$L255),IF(COUNTIFS(nrES_PID,$D255,nrES_Code,$F255,nrES_Att,1)=0,$L255,IF($L255&gt;=$J255,cfgRetakeRecordedCap,SUMIFS(nrES_Raw,nrES_PID,$D255,nrES_Code,$F255,nrES_Att,1))))))</f>
        <v/>
      </c>
      <c r="N255" s="17">
        <f>IF($C255="","",IF($L255="","",IF($L255&gt;=$J255,"Yes","No")))</f>
        <v/>
      </c>
      <c r="O255" s="17">
        <f>IF($C255="","",IF($M255="","",IF($M255&gt;=$J255,"Yes","No")))</f>
        <v/>
      </c>
      <c r="P255" s="17">
        <f>IF($C255="","",IF($K255="","",IF(COUNTIFS(nrES_PID,$D255,nrES_Code,$F255,nrES_Att,"&gt;"&amp;$K255)=0,"Yes","No")))</f>
        <v/>
      </c>
      <c r="Q255" s="17">
        <f>IF($C255="","",IF($L255="","",IF(AND($K255=1,$L255&lt;$J255,COUNTIFS(nrES_PID,$D255,nrES_Code,$F255,nrES_Att,2)=0),"Yes","No")))</f>
        <v/>
      </c>
      <c r="R255" s="17">
        <f>IF($C255="","",IF($L255="","",IF(AND($K255=2,$L255&lt;$J255,COUNTIFS(nrES_PID,$D255,nrES_Code,$F255,nrES_Att,1)&gt;0),"Yes","No")))</f>
        <v/>
      </c>
      <c r="S255" s="18" t="n"/>
      <c r="T255" s="19">
        <f>IF($Q255&lt;&gt;"Yes","",IF($S255="","(enter date)",_xlfn.LET(_xlpm.dn,IFERROR(_xlfn.XLOOKUP($S255,nrCDdate,nrCDnum),""),IF(_xlpm.dn="","(not a class day)",IFERROR(_xlfn.XLOOKUP(_xlpm.dn+cfgRetestClassDays,nrCDnum,nrCDdate),"")))))</f>
        <v/>
      </c>
      <c r="U255" s="17">
        <f>IF($Q255&lt;&gt;"Yes","",IF(COUNTIFS(nrES_PID,$D255,nrES_Code,$F255,nrES_Att,2)&gt;0,"Retested",IF(OR($T255="",NOT(ISNUMBER($T255))),"Pending",IF(TODAY()&gt;$T255,"OVERDUE","Due "&amp;TEXT($T255,"mm/dd")))))</f>
        <v/>
      </c>
      <c r="V255" s="16" t="n"/>
      <c r="W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IF($C256="","",IF($L256="","",IF($K256=1,IF(COUNTIFS(nrES_PID,$D256,nrES_Code,$F256,nrES_Att,2)&gt;0,"",$L256),IF(COUNTIFS(nrES_PID,$D256,nrES_Code,$F256,nrES_Att,1)=0,$L256,IF($L256&gt;=$J256,cfgRetakeRecordedCap,SUMIFS(nrES_Raw,nrES_PID,$D256,nrES_Code,$F256,nrES_Att,1))))))</f>
        <v/>
      </c>
      <c r="N256" s="17">
        <f>IF($C256="","",IF($L256="","",IF($L256&gt;=$J256,"Yes","No")))</f>
        <v/>
      </c>
      <c r="O256" s="17">
        <f>IF($C256="","",IF($M256="","",IF($M256&gt;=$J256,"Yes","No")))</f>
        <v/>
      </c>
      <c r="P256" s="17">
        <f>IF($C256="","",IF($K256="","",IF(COUNTIFS(nrES_PID,$D256,nrES_Code,$F256,nrES_Att,"&gt;"&amp;$K256)=0,"Yes","No")))</f>
        <v/>
      </c>
      <c r="Q256" s="17">
        <f>IF($C256="","",IF($L256="","",IF(AND($K256=1,$L256&lt;$J256,COUNTIFS(nrES_PID,$D256,nrES_Code,$F256,nrES_Att,2)=0),"Yes","No")))</f>
        <v/>
      </c>
      <c r="R256" s="17">
        <f>IF($C256="","",IF($L256="","",IF(AND($K256=2,$L256&lt;$J256,COUNTIFS(nrES_PID,$D256,nrES_Code,$F256,nrES_Att,1)&gt;0),"Yes","No")))</f>
        <v/>
      </c>
      <c r="S256" s="18" t="n"/>
      <c r="T256" s="19">
        <f>IF($Q256&lt;&gt;"Yes","",IF($S256="","(enter date)",_xlfn.LET(_xlpm.dn,IFERROR(_xlfn.XLOOKUP($S256,nrCDdate,nrCDnum),""),IF(_xlpm.dn="","(not a class day)",IFERROR(_xlfn.XLOOKUP(_xlpm.dn+cfgRetestClassDays,nrCDnum,nrCDdate),"")))))</f>
        <v/>
      </c>
      <c r="U256" s="17">
        <f>IF($Q256&lt;&gt;"Yes","",IF(COUNTIFS(nrES_PID,$D256,nrES_Code,$F256,nrES_Att,2)&gt;0,"Retested",IF(OR($T256="",NOT(ISNUMBER($T256))),"Pending",IF(TODAY()&gt;$T256,"OVERDUE","Due "&amp;TEXT($T256,"mm/dd")))))</f>
        <v/>
      </c>
      <c r="V256" s="16" t="n"/>
      <c r="W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IF($C257="","",IF($L257="","",IF($K257=1,IF(COUNTIFS(nrES_PID,$D257,nrES_Code,$F257,nrES_Att,2)&gt;0,"",$L257),IF(COUNTIFS(nrES_PID,$D257,nrES_Code,$F257,nrES_Att,1)=0,$L257,IF($L257&gt;=$J257,cfgRetakeRecordedCap,SUMIFS(nrES_Raw,nrES_PID,$D257,nrES_Code,$F257,nrES_Att,1))))))</f>
        <v/>
      </c>
      <c r="N257" s="17">
        <f>IF($C257="","",IF($L257="","",IF($L257&gt;=$J257,"Yes","No")))</f>
        <v/>
      </c>
      <c r="O257" s="17">
        <f>IF($C257="","",IF($M257="","",IF($M257&gt;=$J257,"Yes","No")))</f>
        <v/>
      </c>
      <c r="P257" s="17">
        <f>IF($C257="","",IF($K257="","",IF(COUNTIFS(nrES_PID,$D257,nrES_Code,$F257,nrES_Att,"&gt;"&amp;$K257)=0,"Yes","No")))</f>
        <v/>
      </c>
      <c r="Q257" s="17">
        <f>IF($C257="","",IF($L257="","",IF(AND($K257=1,$L257&lt;$J257,COUNTIFS(nrES_PID,$D257,nrES_Code,$F257,nrES_Att,2)=0),"Yes","No")))</f>
        <v/>
      </c>
      <c r="R257" s="17">
        <f>IF($C257="","",IF($L257="","",IF(AND($K257=2,$L257&lt;$J257,COUNTIFS(nrES_PID,$D257,nrES_Code,$F257,nrES_Att,1)&gt;0),"Yes","No")))</f>
        <v/>
      </c>
      <c r="S257" s="18" t="n"/>
      <c r="T257" s="19">
        <f>IF($Q257&lt;&gt;"Yes","",IF($S257="","(enter date)",_xlfn.LET(_xlpm.dn,IFERROR(_xlfn.XLOOKUP($S257,nrCDdate,nrCDnum),""),IF(_xlpm.dn="","(not a class day)",IFERROR(_xlfn.XLOOKUP(_xlpm.dn+cfgRetestClassDays,nrCDnum,nrCDdate),"")))))</f>
        <v/>
      </c>
      <c r="U257" s="17">
        <f>IF($Q257&lt;&gt;"Yes","",IF(COUNTIFS(nrES_PID,$D257,nrES_Code,$F257,nrES_Att,2)&gt;0,"Retested",IF(OR($T257="",NOT(ISNUMBER($T257))),"Pending",IF(TODAY()&gt;$T257,"OVERDUE","Due "&amp;TEXT($T257,"mm/dd")))))</f>
        <v/>
      </c>
      <c r="V257" s="16" t="n"/>
      <c r="W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IF($C258="","",IF($L258="","",IF($K258=1,IF(COUNTIFS(nrES_PID,$D258,nrES_Code,$F258,nrES_Att,2)&gt;0,"",$L258),IF(COUNTIFS(nrES_PID,$D258,nrES_Code,$F258,nrES_Att,1)=0,$L258,IF($L258&gt;=$J258,cfgRetakeRecordedCap,SUMIFS(nrES_Raw,nrES_PID,$D258,nrES_Code,$F258,nrES_Att,1))))))</f>
        <v/>
      </c>
      <c r="N258" s="17">
        <f>IF($C258="","",IF($L258="","",IF($L258&gt;=$J258,"Yes","No")))</f>
        <v/>
      </c>
      <c r="O258" s="17">
        <f>IF($C258="","",IF($M258="","",IF($M258&gt;=$J258,"Yes","No")))</f>
        <v/>
      </c>
      <c r="P258" s="17">
        <f>IF($C258="","",IF($K258="","",IF(COUNTIFS(nrES_PID,$D258,nrES_Code,$F258,nrES_Att,"&gt;"&amp;$K258)=0,"Yes","No")))</f>
        <v/>
      </c>
      <c r="Q258" s="17">
        <f>IF($C258="","",IF($L258="","",IF(AND($K258=1,$L258&lt;$J258,COUNTIFS(nrES_PID,$D258,nrES_Code,$F258,nrES_Att,2)=0),"Yes","No")))</f>
        <v/>
      </c>
      <c r="R258" s="17">
        <f>IF($C258="","",IF($L258="","",IF(AND($K258=2,$L258&lt;$J258,COUNTIFS(nrES_PID,$D258,nrES_Code,$F258,nrES_Att,1)&gt;0),"Yes","No")))</f>
        <v/>
      </c>
      <c r="S258" s="18" t="n"/>
      <c r="T258" s="19">
        <f>IF($Q258&lt;&gt;"Yes","",IF($S258="","(enter date)",_xlfn.LET(_xlpm.dn,IFERROR(_xlfn.XLOOKUP($S258,nrCDdate,nrCDnum),""),IF(_xlpm.dn="","(not a class day)",IFERROR(_xlfn.XLOOKUP(_xlpm.dn+cfgRetestClassDays,nrCDnum,nrCDdate),"")))))</f>
        <v/>
      </c>
      <c r="U258" s="17">
        <f>IF($Q258&lt;&gt;"Yes","",IF(COUNTIFS(nrES_PID,$D258,nrES_Code,$F258,nrES_Att,2)&gt;0,"Retested",IF(OR($T258="",NOT(ISNUMBER($T258))),"Pending",IF(TODAY()&gt;$T258,"OVERDUE","Due "&amp;TEXT($T258,"mm/dd")))))</f>
        <v/>
      </c>
      <c r="V258" s="16" t="n"/>
      <c r="W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IF($C259="","",IF($L259="","",IF($K259=1,IF(COUNTIFS(nrES_PID,$D259,nrES_Code,$F259,nrES_Att,2)&gt;0,"",$L259),IF(COUNTIFS(nrES_PID,$D259,nrES_Code,$F259,nrES_Att,1)=0,$L259,IF($L259&gt;=$J259,cfgRetakeRecordedCap,SUMIFS(nrES_Raw,nrES_PID,$D259,nrES_Code,$F259,nrES_Att,1))))))</f>
        <v/>
      </c>
      <c r="N259" s="17">
        <f>IF($C259="","",IF($L259="","",IF($L259&gt;=$J259,"Yes","No")))</f>
        <v/>
      </c>
      <c r="O259" s="17">
        <f>IF($C259="","",IF($M259="","",IF($M259&gt;=$J259,"Yes","No")))</f>
        <v/>
      </c>
      <c r="P259" s="17">
        <f>IF($C259="","",IF($K259="","",IF(COUNTIFS(nrES_PID,$D259,nrES_Code,$F259,nrES_Att,"&gt;"&amp;$K259)=0,"Yes","No")))</f>
        <v/>
      </c>
      <c r="Q259" s="17">
        <f>IF($C259="","",IF($L259="","",IF(AND($K259=1,$L259&lt;$J259,COUNTIFS(nrES_PID,$D259,nrES_Code,$F259,nrES_Att,2)=0),"Yes","No")))</f>
        <v/>
      </c>
      <c r="R259" s="17">
        <f>IF($C259="","",IF($L259="","",IF(AND($K259=2,$L259&lt;$J259,COUNTIFS(nrES_PID,$D259,nrES_Code,$F259,nrES_Att,1)&gt;0),"Yes","No")))</f>
        <v/>
      </c>
      <c r="S259" s="18" t="n"/>
      <c r="T259" s="19">
        <f>IF($Q259&lt;&gt;"Yes","",IF($S259="","(enter date)",_xlfn.LET(_xlpm.dn,IFERROR(_xlfn.XLOOKUP($S259,nrCDdate,nrCDnum),""),IF(_xlpm.dn="","(not a class day)",IFERROR(_xlfn.XLOOKUP(_xlpm.dn+cfgRetestClassDays,nrCDnum,nrCDdate),"")))))</f>
        <v/>
      </c>
      <c r="U259" s="17">
        <f>IF($Q259&lt;&gt;"Yes","",IF(COUNTIFS(nrES_PID,$D259,nrES_Code,$F259,nrES_Att,2)&gt;0,"Retested",IF(OR($T259="",NOT(ISNUMBER($T259))),"Pending",IF(TODAY()&gt;$T259,"OVERDUE","Due "&amp;TEXT($T259,"mm/dd")))))</f>
        <v/>
      </c>
      <c r="V259" s="16" t="n"/>
      <c r="W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IF($C260="","",IF($L260="","",IF($K260=1,IF(COUNTIFS(nrES_PID,$D260,nrES_Code,$F260,nrES_Att,2)&gt;0,"",$L260),IF(COUNTIFS(nrES_PID,$D260,nrES_Code,$F260,nrES_Att,1)=0,$L260,IF($L260&gt;=$J260,cfgRetakeRecordedCap,SUMIFS(nrES_Raw,nrES_PID,$D260,nrES_Code,$F260,nrES_Att,1))))))</f>
        <v/>
      </c>
      <c r="N260" s="17">
        <f>IF($C260="","",IF($L260="","",IF($L260&gt;=$J260,"Yes","No")))</f>
        <v/>
      </c>
      <c r="O260" s="17">
        <f>IF($C260="","",IF($M260="","",IF($M260&gt;=$J260,"Yes","No")))</f>
        <v/>
      </c>
      <c r="P260" s="17">
        <f>IF($C260="","",IF($K260="","",IF(COUNTIFS(nrES_PID,$D260,nrES_Code,$F260,nrES_Att,"&gt;"&amp;$K260)=0,"Yes","No")))</f>
        <v/>
      </c>
      <c r="Q260" s="17">
        <f>IF($C260="","",IF($L260="","",IF(AND($K260=1,$L260&lt;$J260,COUNTIFS(nrES_PID,$D260,nrES_Code,$F260,nrES_Att,2)=0),"Yes","No")))</f>
        <v/>
      </c>
      <c r="R260" s="17">
        <f>IF($C260="","",IF($L260="","",IF(AND($K260=2,$L260&lt;$J260,COUNTIFS(nrES_PID,$D260,nrES_Code,$F260,nrES_Att,1)&gt;0),"Yes","No")))</f>
        <v/>
      </c>
      <c r="S260" s="18" t="n"/>
      <c r="T260" s="19">
        <f>IF($Q260&lt;&gt;"Yes","",IF($S260="","(enter date)",_xlfn.LET(_xlpm.dn,IFERROR(_xlfn.XLOOKUP($S260,nrCDdate,nrCDnum),""),IF(_xlpm.dn="","(not a class day)",IFERROR(_xlfn.XLOOKUP(_xlpm.dn+cfgRetestClassDays,nrCDnum,nrCDdate),"")))))</f>
        <v/>
      </c>
      <c r="U260" s="17">
        <f>IF($Q260&lt;&gt;"Yes","",IF(COUNTIFS(nrES_PID,$D260,nrES_Code,$F260,nrES_Att,2)&gt;0,"Retested",IF(OR($T260="",NOT(ISNUMBER($T260))),"Pending",IF(TODAY()&gt;$T260,"OVERDUE","Due "&amp;TEXT($T260,"mm/dd")))))</f>
        <v/>
      </c>
      <c r="V260" s="16" t="n"/>
      <c r="W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IF($C261="","",IF($L261="","",IF($K261=1,IF(COUNTIFS(nrES_PID,$D261,nrES_Code,$F261,nrES_Att,2)&gt;0,"",$L261),IF(COUNTIFS(nrES_PID,$D261,nrES_Code,$F261,nrES_Att,1)=0,$L261,IF($L261&gt;=$J261,cfgRetakeRecordedCap,SUMIFS(nrES_Raw,nrES_PID,$D261,nrES_Code,$F261,nrES_Att,1))))))</f>
        <v/>
      </c>
      <c r="N261" s="17">
        <f>IF($C261="","",IF($L261="","",IF($L261&gt;=$J261,"Yes","No")))</f>
        <v/>
      </c>
      <c r="O261" s="17">
        <f>IF($C261="","",IF($M261="","",IF($M261&gt;=$J261,"Yes","No")))</f>
        <v/>
      </c>
      <c r="P261" s="17">
        <f>IF($C261="","",IF($K261="","",IF(COUNTIFS(nrES_PID,$D261,nrES_Code,$F261,nrES_Att,"&gt;"&amp;$K261)=0,"Yes","No")))</f>
        <v/>
      </c>
      <c r="Q261" s="17">
        <f>IF($C261="","",IF($L261="","",IF(AND($K261=1,$L261&lt;$J261,COUNTIFS(nrES_PID,$D261,nrES_Code,$F261,nrES_Att,2)=0),"Yes","No")))</f>
        <v/>
      </c>
      <c r="R261" s="17">
        <f>IF($C261="","",IF($L261="","",IF(AND($K261=2,$L261&lt;$J261,COUNTIFS(nrES_PID,$D261,nrES_Code,$F261,nrES_Att,1)&gt;0),"Yes","No")))</f>
        <v/>
      </c>
      <c r="S261" s="18" t="n"/>
      <c r="T261" s="19">
        <f>IF($Q261&lt;&gt;"Yes","",IF($S261="","(enter date)",_xlfn.LET(_xlpm.dn,IFERROR(_xlfn.XLOOKUP($S261,nrCDdate,nrCDnum),""),IF(_xlpm.dn="","(not a class day)",IFERROR(_xlfn.XLOOKUP(_xlpm.dn+cfgRetestClassDays,nrCDnum,nrCDdate),"")))))</f>
        <v/>
      </c>
      <c r="U261" s="17">
        <f>IF($Q261&lt;&gt;"Yes","",IF(COUNTIFS(nrES_PID,$D261,nrES_Code,$F261,nrES_Att,2)&gt;0,"Retested",IF(OR($T261="",NOT(ISNUMBER($T261))),"Pending",IF(TODAY()&gt;$T261,"OVERDUE","Due "&amp;TEXT($T261,"mm/dd")))))</f>
        <v/>
      </c>
      <c r="V261" s="16" t="n"/>
      <c r="W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IF($C262="","",IF($L262="","",IF($K262=1,IF(COUNTIFS(nrES_PID,$D262,nrES_Code,$F262,nrES_Att,2)&gt;0,"",$L262),IF(COUNTIFS(nrES_PID,$D262,nrES_Code,$F262,nrES_Att,1)=0,$L262,IF($L262&gt;=$J262,cfgRetakeRecordedCap,SUMIFS(nrES_Raw,nrES_PID,$D262,nrES_Code,$F262,nrES_Att,1))))))</f>
        <v/>
      </c>
      <c r="N262" s="17">
        <f>IF($C262="","",IF($L262="","",IF($L262&gt;=$J262,"Yes","No")))</f>
        <v/>
      </c>
      <c r="O262" s="17">
        <f>IF($C262="","",IF($M262="","",IF($M262&gt;=$J262,"Yes","No")))</f>
        <v/>
      </c>
      <c r="P262" s="17">
        <f>IF($C262="","",IF($K262="","",IF(COUNTIFS(nrES_PID,$D262,nrES_Code,$F262,nrES_Att,"&gt;"&amp;$K262)=0,"Yes","No")))</f>
        <v/>
      </c>
      <c r="Q262" s="17">
        <f>IF($C262="","",IF($L262="","",IF(AND($K262=1,$L262&lt;$J262,COUNTIFS(nrES_PID,$D262,nrES_Code,$F262,nrES_Att,2)=0),"Yes","No")))</f>
        <v/>
      </c>
      <c r="R262" s="17">
        <f>IF($C262="","",IF($L262="","",IF(AND($K262=2,$L262&lt;$J262,COUNTIFS(nrES_PID,$D262,nrES_Code,$F262,nrES_Att,1)&gt;0),"Yes","No")))</f>
        <v/>
      </c>
      <c r="S262" s="18" t="n"/>
      <c r="T262" s="19">
        <f>IF($Q262&lt;&gt;"Yes","",IF($S262="","(enter date)",_xlfn.LET(_xlpm.dn,IFERROR(_xlfn.XLOOKUP($S262,nrCDdate,nrCDnum),""),IF(_xlpm.dn="","(not a class day)",IFERROR(_xlfn.XLOOKUP(_xlpm.dn+cfgRetestClassDays,nrCDnum,nrCDdate),"")))))</f>
        <v/>
      </c>
      <c r="U262" s="17">
        <f>IF($Q262&lt;&gt;"Yes","",IF(COUNTIFS(nrES_PID,$D262,nrES_Code,$F262,nrES_Att,2)&gt;0,"Retested",IF(OR($T262="",NOT(ISNUMBER($T262))),"Pending",IF(TODAY()&gt;$T262,"OVERDUE","Due "&amp;TEXT($T262,"mm/dd")))))</f>
        <v/>
      </c>
      <c r="V262" s="16" t="n"/>
      <c r="W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IF($C263="","",IF($L263="","",IF($K263=1,IF(COUNTIFS(nrES_PID,$D263,nrES_Code,$F263,nrES_Att,2)&gt;0,"",$L263),IF(COUNTIFS(nrES_PID,$D263,nrES_Code,$F263,nrES_Att,1)=0,$L263,IF($L263&gt;=$J263,cfgRetakeRecordedCap,SUMIFS(nrES_Raw,nrES_PID,$D263,nrES_Code,$F263,nrES_Att,1))))))</f>
        <v/>
      </c>
      <c r="N263" s="17">
        <f>IF($C263="","",IF($L263="","",IF($L263&gt;=$J263,"Yes","No")))</f>
        <v/>
      </c>
      <c r="O263" s="17">
        <f>IF($C263="","",IF($M263="","",IF($M263&gt;=$J263,"Yes","No")))</f>
        <v/>
      </c>
      <c r="P263" s="17">
        <f>IF($C263="","",IF($K263="","",IF(COUNTIFS(nrES_PID,$D263,nrES_Code,$F263,nrES_Att,"&gt;"&amp;$K263)=0,"Yes","No")))</f>
        <v/>
      </c>
      <c r="Q263" s="17">
        <f>IF($C263="","",IF($L263="","",IF(AND($K263=1,$L263&lt;$J263,COUNTIFS(nrES_PID,$D263,nrES_Code,$F263,nrES_Att,2)=0),"Yes","No")))</f>
        <v/>
      </c>
      <c r="R263" s="17">
        <f>IF($C263="","",IF($L263="","",IF(AND($K263=2,$L263&lt;$J263,COUNTIFS(nrES_PID,$D263,nrES_Code,$F263,nrES_Att,1)&gt;0),"Yes","No")))</f>
        <v/>
      </c>
      <c r="S263" s="18" t="n"/>
      <c r="T263" s="19">
        <f>IF($Q263&lt;&gt;"Yes","",IF($S263="","(enter date)",_xlfn.LET(_xlpm.dn,IFERROR(_xlfn.XLOOKUP($S263,nrCDdate,nrCDnum),""),IF(_xlpm.dn="","(not a class day)",IFERROR(_xlfn.XLOOKUP(_xlpm.dn+cfgRetestClassDays,nrCDnum,nrCDdate),"")))))</f>
        <v/>
      </c>
      <c r="U263" s="17">
        <f>IF($Q263&lt;&gt;"Yes","",IF(COUNTIFS(nrES_PID,$D263,nrES_Code,$F263,nrES_Att,2)&gt;0,"Retested",IF(OR($T263="",NOT(ISNUMBER($T263))),"Pending",IF(TODAY()&gt;$T263,"OVERDUE","Due "&amp;TEXT($T263,"mm/dd")))))</f>
        <v/>
      </c>
      <c r="V263" s="16" t="n"/>
      <c r="W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IF($C264="","",IF($L264="","",IF($K264=1,IF(COUNTIFS(nrES_PID,$D264,nrES_Code,$F264,nrES_Att,2)&gt;0,"",$L264),IF(COUNTIFS(nrES_PID,$D264,nrES_Code,$F264,nrES_Att,1)=0,$L264,IF($L264&gt;=$J264,cfgRetakeRecordedCap,SUMIFS(nrES_Raw,nrES_PID,$D264,nrES_Code,$F264,nrES_Att,1))))))</f>
        <v/>
      </c>
      <c r="N264" s="17">
        <f>IF($C264="","",IF($L264="","",IF($L264&gt;=$J264,"Yes","No")))</f>
        <v/>
      </c>
      <c r="O264" s="17">
        <f>IF($C264="","",IF($M264="","",IF($M264&gt;=$J264,"Yes","No")))</f>
        <v/>
      </c>
      <c r="P264" s="17">
        <f>IF($C264="","",IF($K264="","",IF(COUNTIFS(nrES_PID,$D264,nrES_Code,$F264,nrES_Att,"&gt;"&amp;$K264)=0,"Yes","No")))</f>
        <v/>
      </c>
      <c r="Q264" s="17">
        <f>IF($C264="","",IF($L264="","",IF(AND($K264=1,$L264&lt;$J264,COUNTIFS(nrES_PID,$D264,nrES_Code,$F264,nrES_Att,2)=0),"Yes","No")))</f>
        <v/>
      </c>
      <c r="R264" s="17">
        <f>IF($C264="","",IF($L264="","",IF(AND($K264=2,$L264&lt;$J264,COUNTIFS(nrES_PID,$D264,nrES_Code,$F264,nrES_Att,1)&gt;0),"Yes","No")))</f>
        <v/>
      </c>
      <c r="S264" s="18" t="n"/>
      <c r="T264" s="19">
        <f>IF($Q264&lt;&gt;"Yes","",IF($S264="","(enter date)",_xlfn.LET(_xlpm.dn,IFERROR(_xlfn.XLOOKUP($S264,nrCDdate,nrCDnum),""),IF(_xlpm.dn="","(not a class day)",IFERROR(_xlfn.XLOOKUP(_xlpm.dn+cfgRetestClassDays,nrCDnum,nrCDdate),"")))))</f>
        <v/>
      </c>
      <c r="U264" s="17">
        <f>IF($Q264&lt;&gt;"Yes","",IF(COUNTIFS(nrES_PID,$D264,nrES_Code,$F264,nrES_Att,2)&gt;0,"Retested",IF(OR($T264="",NOT(ISNUMBER($T264))),"Pending",IF(TODAY()&gt;$T264,"OVERDUE","Due "&amp;TEXT($T264,"mm/dd")))))</f>
        <v/>
      </c>
      <c r="V264" s="16" t="n"/>
      <c r="W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IF($C265="","",IF($L265="","",IF($K265=1,IF(COUNTIFS(nrES_PID,$D265,nrES_Code,$F265,nrES_Att,2)&gt;0,"",$L265),IF(COUNTIFS(nrES_PID,$D265,nrES_Code,$F265,nrES_Att,1)=0,$L265,IF($L265&gt;=$J265,cfgRetakeRecordedCap,SUMIFS(nrES_Raw,nrES_PID,$D265,nrES_Code,$F265,nrES_Att,1))))))</f>
        <v/>
      </c>
      <c r="N265" s="17">
        <f>IF($C265="","",IF($L265="","",IF($L265&gt;=$J265,"Yes","No")))</f>
        <v/>
      </c>
      <c r="O265" s="17">
        <f>IF($C265="","",IF($M265="","",IF($M265&gt;=$J265,"Yes","No")))</f>
        <v/>
      </c>
      <c r="P265" s="17">
        <f>IF($C265="","",IF($K265="","",IF(COUNTIFS(nrES_PID,$D265,nrES_Code,$F265,nrES_Att,"&gt;"&amp;$K265)=0,"Yes","No")))</f>
        <v/>
      </c>
      <c r="Q265" s="17">
        <f>IF($C265="","",IF($L265="","",IF(AND($K265=1,$L265&lt;$J265,COUNTIFS(nrES_PID,$D265,nrES_Code,$F265,nrES_Att,2)=0),"Yes","No")))</f>
        <v/>
      </c>
      <c r="R265" s="17">
        <f>IF($C265="","",IF($L265="","",IF(AND($K265=2,$L265&lt;$J265,COUNTIFS(nrES_PID,$D265,nrES_Code,$F265,nrES_Att,1)&gt;0),"Yes","No")))</f>
        <v/>
      </c>
      <c r="S265" s="18" t="n"/>
      <c r="T265" s="19">
        <f>IF($Q265&lt;&gt;"Yes","",IF($S265="","(enter date)",_xlfn.LET(_xlpm.dn,IFERROR(_xlfn.XLOOKUP($S265,nrCDdate,nrCDnum),""),IF(_xlpm.dn="","(not a class day)",IFERROR(_xlfn.XLOOKUP(_xlpm.dn+cfgRetestClassDays,nrCDnum,nrCDdate),"")))))</f>
        <v/>
      </c>
      <c r="U265" s="17">
        <f>IF($Q265&lt;&gt;"Yes","",IF(COUNTIFS(nrES_PID,$D265,nrES_Code,$F265,nrES_Att,2)&gt;0,"Retested",IF(OR($T265="",NOT(ISNUMBER($T265))),"Pending",IF(TODAY()&gt;$T265,"OVERDUE","Due "&amp;TEXT($T265,"mm/dd")))))</f>
        <v/>
      </c>
      <c r="V265" s="16" t="n"/>
      <c r="W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IF($C266="","",IF($L266="","",IF($K266=1,IF(COUNTIFS(nrES_PID,$D266,nrES_Code,$F266,nrES_Att,2)&gt;0,"",$L266),IF(COUNTIFS(nrES_PID,$D266,nrES_Code,$F266,nrES_Att,1)=0,$L266,IF($L266&gt;=$J266,cfgRetakeRecordedCap,SUMIFS(nrES_Raw,nrES_PID,$D266,nrES_Code,$F266,nrES_Att,1))))))</f>
        <v/>
      </c>
      <c r="N266" s="17">
        <f>IF($C266="","",IF($L266="","",IF($L266&gt;=$J266,"Yes","No")))</f>
        <v/>
      </c>
      <c r="O266" s="17">
        <f>IF($C266="","",IF($M266="","",IF($M266&gt;=$J266,"Yes","No")))</f>
        <v/>
      </c>
      <c r="P266" s="17">
        <f>IF($C266="","",IF($K266="","",IF(COUNTIFS(nrES_PID,$D266,nrES_Code,$F266,nrES_Att,"&gt;"&amp;$K266)=0,"Yes","No")))</f>
        <v/>
      </c>
      <c r="Q266" s="17">
        <f>IF($C266="","",IF($L266="","",IF(AND($K266=1,$L266&lt;$J266,COUNTIFS(nrES_PID,$D266,nrES_Code,$F266,nrES_Att,2)=0),"Yes","No")))</f>
        <v/>
      </c>
      <c r="R266" s="17">
        <f>IF($C266="","",IF($L266="","",IF(AND($K266=2,$L266&lt;$J266,COUNTIFS(nrES_PID,$D266,nrES_Code,$F266,nrES_Att,1)&gt;0),"Yes","No")))</f>
        <v/>
      </c>
      <c r="S266" s="18" t="n"/>
      <c r="T266" s="19">
        <f>IF($Q266&lt;&gt;"Yes","",IF($S266="","(enter date)",_xlfn.LET(_xlpm.dn,IFERROR(_xlfn.XLOOKUP($S266,nrCDdate,nrCDnum),""),IF(_xlpm.dn="","(not a class day)",IFERROR(_xlfn.XLOOKUP(_xlpm.dn+cfgRetestClassDays,nrCDnum,nrCDdate),"")))))</f>
        <v/>
      </c>
      <c r="U266" s="17">
        <f>IF($Q266&lt;&gt;"Yes","",IF(COUNTIFS(nrES_PID,$D266,nrES_Code,$F266,nrES_Att,2)&gt;0,"Retested",IF(OR($T266="",NOT(ISNUMBER($T266))),"Pending",IF(TODAY()&gt;$T266,"OVERDUE","Due "&amp;TEXT($T266,"mm/dd")))))</f>
        <v/>
      </c>
      <c r="V266" s="16" t="n"/>
      <c r="W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IF($C267="","",IF($L267="","",IF($K267=1,IF(COUNTIFS(nrES_PID,$D267,nrES_Code,$F267,nrES_Att,2)&gt;0,"",$L267),IF(COUNTIFS(nrES_PID,$D267,nrES_Code,$F267,nrES_Att,1)=0,$L267,IF($L267&gt;=$J267,cfgRetakeRecordedCap,SUMIFS(nrES_Raw,nrES_PID,$D267,nrES_Code,$F267,nrES_Att,1))))))</f>
        <v/>
      </c>
      <c r="N267" s="17">
        <f>IF($C267="","",IF($L267="","",IF($L267&gt;=$J267,"Yes","No")))</f>
        <v/>
      </c>
      <c r="O267" s="17">
        <f>IF($C267="","",IF($M267="","",IF($M267&gt;=$J267,"Yes","No")))</f>
        <v/>
      </c>
      <c r="P267" s="17">
        <f>IF($C267="","",IF($K267="","",IF(COUNTIFS(nrES_PID,$D267,nrES_Code,$F267,nrES_Att,"&gt;"&amp;$K267)=0,"Yes","No")))</f>
        <v/>
      </c>
      <c r="Q267" s="17">
        <f>IF($C267="","",IF($L267="","",IF(AND($K267=1,$L267&lt;$J267,COUNTIFS(nrES_PID,$D267,nrES_Code,$F267,nrES_Att,2)=0),"Yes","No")))</f>
        <v/>
      </c>
      <c r="R267" s="17">
        <f>IF($C267="","",IF($L267="","",IF(AND($K267=2,$L267&lt;$J267,COUNTIFS(nrES_PID,$D267,nrES_Code,$F267,nrES_Att,1)&gt;0),"Yes","No")))</f>
        <v/>
      </c>
      <c r="S267" s="18" t="n"/>
      <c r="T267" s="19">
        <f>IF($Q267&lt;&gt;"Yes","",IF($S267="","(enter date)",_xlfn.LET(_xlpm.dn,IFERROR(_xlfn.XLOOKUP($S267,nrCDdate,nrCDnum),""),IF(_xlpm.dn="","(not a class day)",IFERROR(_xlfn.XLOOKUP(_xlpm.dn+cfgRetestClassDays,nrCDnum,nrCDdate),"")))))</f>
        <v/>
      </c>
      <c r="U267" s="17">
        <f>IF($Q267&lt;&gt;"Yes","",IF(COUNTIFS(nrES_PID,$D267,nrES_Code,$F267,nrES_Att,2)&gt;0,"Retested",IF(OR($T267="",NOT(ISNUMBER($T267))),"Pending",IF(TODAY()&gt;$T267,"OVERDUE","Due "&amp;TEXT($T267,"mm/dd")))))</f>
        <v/>
      </c>
      <c r="V267" s="16" t="n"/>
      <c r="W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IF($C268="","",IF($L268="","",IF($K268=1,IF(COUNTIFS(nrES_PID,$D268,nrES_Code,$F268,nrES_Att,2)&gt;0,"",$L268),IF(COUNTIFS(nrES_PID,$D268,nrES_Code,$F268,nrES_Att,1)=0,$L268,IF($L268&gt;=$J268,cfgRetakeRecordedCap,SUMIFS(nrES_Raw,nrES_PID,$D268,nrES_Code,$F268,nrES_Att,1))))))</f>
        <v/>
      </c>
      <c r="N268" s="17">
        <f>IF($C268="","",IF($L268="","",IF($L268&gt;=$J268,"Yes","No")))</f>
        <v/>
      </c>
      <c r="O268" s="17">
        <f>IF($C268="","",IF($M268="","",IF($M268&gt;=$J268,"Yes","No")))</f>
        <v/>
      </c>
      <c r="P268" s="17">
        <f>IF($C268="","",IF($K268="","",IF(COUNTIFS(nrES_PID,$D268,nrES_Code,$F268,nrES_Att,"&gt;"&amp;$K268)=0,"Yes","No")))</f>
        <v/>
      </c>
      <c r="Q268" s="17">
        <f>IF($C268="","",IF($L268="","",IF(AND($K268=1,$L268&lt;$J268,COUNTIFS(nrES_PID,$D268,nrES_Code,$F268,nrES_Att,2)=0),"Yes","No")))</f>
        <v/>
      </c>
      <c r="R268" s="17">
        <f>IF($C268="","",IF($L268="","",IF(AND($K268=2,$L268&lt;$J268,COUNTIFS(nrES_PID,$D268,nrES_Code,$F268,nrES_Att,1)&gt;0),"Yes","No")))</f>
        <v/>
      </c>
      <c r="S268" s="18" t="n"/>
      <c r="T268" s="19">
        <f>IF($Q268&lt;&gt;"Yes","",IF($S268="","(enter date)",_xlfn.LET(_xlpm.dn,IFERROR(_xlfn.XLOOKUP($S268,nrCDdate,nrCDnum),""),IF(_xlpm.dn="","(not a class day)",IFERROR(_xlfn.XLOOKUP(_xlpm.dn+cfgRetestClassDays,nrCDnum,nrCDdate),"")))))</f>
        <v/>
      </c>
      <c r="U268" s="17">
        <f>IF($Q268&lt;&gt;"Yes","",IF(COUNTIFS(nrES_PID,$D268,nrES_Code,$F268,nrES_Att,2)&gt;0,"Retested",IF(OR($T268="",NOT(ISNUMBER($T268))),"Pending",IF(TODAY()&gt;$T268,"OVERDUE","Due "&amp;TEXT($T268,"mm/dd")))))</f>
        <v/>
      </c>
      <c r="V268" s="16" t="n"/>
      <c r="W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IF($C269="","",IF($L269="","",IF($K269=1,IF(COUNTIFS(nrES_PID,$D269,nrES_Code,$F269,nrES_Att,2)&gt;0,"",$L269),IF(COUNTIFS(nrES_PID,$D269,nrES_Code,$F269,nrES_Att,1)=0,$L269,IF($L269&gt;=$J269,cfgRetakeRecordedCap,SUMIFS(nrES_Raw,nrES_PID,$D269,nrES_Code,$F269,nrES_Att,1))))))</f>
        <v/>
      </c>
      <c r="N269" s="17">
        <f>IF($C269="","",IF($L269="","",IF($L269&gt;=$J269,"Yes","No")))</f>
        <v/>
      </c>
      <c r="O269" s="17">
        <f>IF($C269="","",IF($M269="","",IF($M269&gt;=$J269,"Yes","No")))</f>
        <v/>
      </c>
      <c r="P269" s="17">
        <f>IF($C269="","",IF($K269="","",IF(COUNTIFS(nrES_PID,$D269,nrES_Code,$F269,nrES_Att,"&gt;"&amp;$K269)=0,"Yes","No")))</f>
        <v/>
      </c>
      <c r="Q269" s="17">
        <f>IF($C269="","",IF($L269="","",IF(AND($K269=1,$L269&lt;$J269,COUNTIFS(nrES_PID,$D269,nrES_Code,$F269,nrES_Att,2)=0),"Yes","No")))</f>
        <v/>
      </c>
      <c r="R269" s="17">
        <f>IF($C269="","",IF($L269="","",IF(AND($K269=2,$L269&lt;$J269,COUNTIFS(nrES_PID,$D269,nrES_Code,$F269,nrES_Att,1)&gt;0),"Yes","No")))</f>
        <v/>
      </c>
      <c r="S269" s="18" t="n"/>
      <c r="T269" s="19">
        <f>IF($Q269&lt;&gt;"Yes","",IF($S269="","(enter date)",_xlfn.LET(_xlpm.dn,IFERROR(_xlfn.XLOOKUP($S269,nrCDdate,nrCDnum),""),IF(_xlpm.dn="","(not a class day)",IFERROR(_xlfn.XLOOKUP(_xlpm.dn+cfgRetestClassDays,nrCDnum,nrCDdate),"")))))</f>
        <v/>
      </c>
      <c r="U269" s="17">
        <f>IF($Q269&lt;&gt;"Yes","",IF(COUNTIFS(nrES_PID,$D269,nrES_Code,$F269,nrES_Att,2)&gt;0,"Retested",IF(OR($T269="",NOT(ISNUMBER($T269))),"Pending",IF(TODAY()&gt;$T269,"OVERDUE","Due "&amp;TEXT($T269,"mm/dd")))))</f>
        <v/>
      </c>
      <c r="V269" s="16" t="n"/>
      <c r="W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IF($C270="","",IF($L270="","",IF($K270=1,IF(COUNTIFS(nrES_PID,$D270,nrES_Code,$F270,nrES_Att,2)&gt;0,"",$L270),IF(COUNTIFS(nrES_PID,$D270,nrES_Code,$F270,nrES_Att,1)=0,$L270,IF($L270&gt;=$J270,cfgRetakeRecordedCap,SUMIFS(nrES_Raw,nrES_PID,$D270,nrES_Code,$F270,nrES_Att,1))))))</f>
        <v/>
      </c>
      <c r="N270" s="17">
        <f>IF($C270="","",IF($L270="","",IF($L270&gt;=$J270,"Yes","No")))</f>
        <v/>
      </c>
      <c r="O270" s="17">
        <f>IF($C270="","",IF($M270="","",IF($M270&gt;=$J270,"Yes","No")))</f>
        <v/>
      </c>
      <c r="P270" s="17">
        <f>IF($C270="","",IF($K270="","",IF(COUNTIFS(nrES_PID,$D270,nrES_Code,$F270,nrES_Att,"&gt;"&amp;$K270)=0,"Yes","No")))</f>
        <v/>
      </c>
      <c r="Q270" s="17">
        <f>IF($C270="","",IF($L270="","",IF(AND($K270=1,$L270&lt;$J270,COUNTIFS(nrES_PID,$D270,nrES_Code,$F270,nrES_Att,2)=0),"Yes","No")))</f>
        <v/>
      </c>
      <c r="R270" s="17">
        <f>IF($C270="","",IF($L270="","",IF(AND($K270=2,$L270&lt;$J270,COUNTIFS(nrES_PID,$D270,nrES_Code,$F270,nrES_Att,1)&gt;0),"Yes","No")))</f>
        <v/>
      </c>
      <c r="S270" s="18" t="n"/>
      <c r="T270" s="19">
        <f>IF($Q270&lt;&gt;"Yes","",IF($S270="","(enter date)",_xlfn.LET(_xlpm.dn,IFERROR(_xlfn.XLOOKUP($S270,nrCDdate,nrCDnum),""),IF(_xlpm.dn="","(not a class day)",IFERROR(_xlfn.XLOOKUP(_xlpm.dn+cfgRetestClassDays,nrCDnum,nrCDdate),"")))))</f>
        <v/>
      </c>
      <c r="U270" s="17">
        <f>IF($Q270&lt;&gt;"Yes","",IF(COUNTIFS(nrES_PID,$D270,nrES_Code,$F270,nrES_Att,2)&gt;0,"Retested",IF(OR($T270="",NOT(ISNUMBER($T270))),"Pending",IF(TODAY()&gt;$T270,"OVERDUE","Due "&amp;TEXT($T270,"mm/dd")))))</f>
        <v/>
      </c>
      <c r="V270" s="16" t="n"/>
      <c r="W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IF($C271="","",IF($L271="","",IF($K271=1,IF(COUNTIFS(nrES_PID,$D271,nrES_Code,$F271,nrES_Att,2)&gt;0,"",$L271),IF(COUNTIFS(nrES_PID,$D271,nrES_Code,$F271,nrES_Att,1)=0,$L271,IF($L271&gt;=$J271,cfgRetakeRecordedCap,SUMIFS(nrES_Raw,nrES_PID,$D271,nrES_Code,$F271,nrES_Att,1))))))</f>
        <v/>
      </c>
      <c r="N271" s="17">
        <f>IF($C271="","",IF($L271="","",IF($L271&gt;=$J271,"Yes","No")))</f>
        <v/>
      </c>
      <c r="O271" s="17">
        <f>IF($C271="","",IF($M271="","",IF($M271&gt;=$J271,"Yes","No")))</f>
        <v/>
      </c>
      <c r="P271" s="17">
        <f>IF($C271="","",IF($K271="","",IF(COUNTIFS(nrES_PID,$D271,nrES_Code,$F271,nrES_Att,"&gt;"&amp;$K271)=0,"Yes","No")))</f>
        <v/>
      </c>
      <c r="Q271" s="17">
        <f>IF($C271="","",IF($L271="","",IF(AND($K271=1,$L271&lt;$J271,COUNTIFS(nrES_PID,$D271,nrES_Code,$F271,nrES_Att,2)=0),"Yes","No")))</f>
        <v/>
      </c>
      <c r="R271" s="17">
        <f>IF($C271="","",IF($L271="","",IF(AND($K271=2,$L271&lt;$J271,COUNTIFS(nrES_PID,$D271,nrES_Code,$F271,nrES_Att,1)&gt;0),"Yes","No")))</f>
        <v/>
      </c>
      <c r="S271" s="18" t="n"/>
      <c r="T271" s="19">
        <f>IF($Q271&lt;&gt;"Yes","",IF($S271="","(enter date)",_xlfn.LET(_xlpm.dn,IFERROR(_xlfn.XLOOKUP($S271,nrCDdate,nrCDnum),""),IF(_xlpm.dn="","(not a class day)",IFERROR(_xlfn.XLOOKUP(_xlpm.dn+cfgRetestClassDays,nrCDnum,nrCDdate),"")))))</f>
        <v/>
      </c>
      <c r="U271" s="17">
        <f>IF($Q271&lt;&gt;"Yes","",IF(COUNTIFS(nrES_PID,$D271,nrES_Code,$F271,nrES_Att,2)&gt;0,"Retested",IF(OR($T271="",NOT(ISNUMBER($T271))),"Pending",IF(TODAY()&gt;$T271,"OVERDUE","Due "&amp;TEXT($T271,"mm/dd")))))</f>
        <v/>
      </c>
      <c r="V271" s="16" t="n"/>
      <c r="W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IF($C272="","",IF($L272="","",IF($K272=1,IF(COUNTIFS(nrES_PID,$D272,nrES_Code,$F272,nrES_Att,2)&gt;0,"",$L272),IF(COUNTIFS(nrES_PID,$D272,nrES_Code,$F272,nrES_Att,1)=0,$L272,IF($L272&gt;=$J272,cfgRetakeRecordedCap,SUMIFS(nrES_Raw,nrES_PID,$D272,nrES_Code,$F272,nrES_Att,1))))))</f>
        <v/>
      </c>
      <c r="N272" s="17">
        <f>IF($C272="","",IF($L272="","",IF($L272&gt;=$J272,"Yes","No")))</f>
        <v/>
      </c>
      <c r="O272" s="17">
        <f>IF($C272="","",IF($M272="","",IF($M272&gt;=$J272,"Yes","No")))</f>
        <v/>
      </c>
      <c r="P272" s="17">
        <f>IF($C272="","",IF($K272="","",IF(COUNTIFS(nrES_PID,$D272,nrES_Code,$F272,nrES_Att,"&gt;"&amp;$K272)=0,"Yes","No")))</f>
        <v/>
      </c>
      <c r="Q272" s="17">
        <f>IF($C272="","",IF($L272="","",IF(AND($K272=1,$L272&lt;$J272,COUNTIFS(nrES_PID,$D272,nrES_Code,$F272,nrES_Att,2)=0),"Yes","No")))</f>
        <v/>
      </c>
      <c r="R272" s="17">
        <f>IF($C272="","",IF($L272="","",IF(AND($K272=2,$L272&lt;$J272,COUNTIFS(nrES_PID,$D272,nrES_Code,$F272,nrES_Att,1)&gt;0),"Yes","No")))</f>
        <v/>
      </c>
      <c r="S272" s="18" t="n"/>
      <c r="T272" s="19">
        <f>IF($Q272&lt;&gt;"Yes","",IF($S272="","(enter date)",_xlfn.LET(_xlpm.dn,IFERROR(_xlfn.XLOOKUP($S272,nrCDdate,nrCDnum),""),IF(_xlpm.dn="","(not a class day)",IFERROR(_xlfn.XLOOKUP(_xlpm.dn+cfgRetestClassDays,nrCDnum,nrCDdate),"")))))</f>
        <v/>
      </c>
      <c r="U272" s="17">
        <f>IF($Q272&lt;&gt;"Yes","",IF(COUNTIFS(nrES_PID,$D272,nrES_Code,$F272,nrES_Att,2)&gt;0,"Retested",IF(OR($T272="",NOT(ISNUMBER($T272))),"Pending",IF(TODAY()&gt;$T272,"OVERDUE","Due "&amp;TEXT($T272,"mm/dd")))))</f>
        <v/>
      </c>
      <c r="V272" s="16" t="n"/>
      <c r="W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IF($C273="","",IF($L273="","",IF($K273=1,IF(COUNTIFS(nrES_PID,$D273,nrES_Code,$F273,nrES_Att,2)&gt;0,"",$L273),IF(COUNTIFS(nrES_PID,$D273,nrES_Code,$F273,nrES_Att,1)=0,$L273,IF($L273&gt;=$J273,cfgRetakeRecordedCap,SUMIFS(nrES_Raw,nrES_PID,$D273,nrES_Code,$F273,nrES_Att,1))))))</f>
        <v/>
      </c>
      <c r="N273" s="17">
        <f>IF($C273="","",IF($L273="","",IF($L273&gt;=$J273,"Yes","No")))</f>
        <v/>
      </c>
      <c r="O273" s="17">
        <f>IF($C273="","",IF($M273="","",IF($M273&gt;=$J273,"Yes","No")))</f>
        <v/>
      </c>
      <c r="P273" s="17">
        <f>IF($C273="","",IF($K273="","",IF(COUNTIFS(nrES_PID,$D273,nrES_Code,$F273,nrES_Att,"&gt;"&amp;$K273)=0,"Yes","No")))</f>
        <v/>
      </c>
      <c r="Q273" s="17">
        <f>IF($C273="","",IF($L273="","",IF(AND($K273=1,$L273&lt;$J273,COUNTIFS(nrES_PID,$D273,nrES_Code,$F273,nrES_Att,2)=0),"Yes","No")))</f>
        <v/>
      </c>
      <c r="R273" s="17">
        <f>IF($C273="","",IF($L273="","",IF(AND($K273=2,$L273&lt;$J273,COUNTIFS(nrES_PID,$D273,nrES_Code,$F273,nrES_Att,1)&gt;0),"Yes","No")))</f>
        <v/>
      </c>
      <c r="S273" s="18" t="n"/>
      <c r="T273" s="19">
        <f>IF($Q273&lt;&gt;"Yes","",IF($S273="","(enter date)",_xlfn.LET(_xlpm.dn,IFERROR(_xlfn.XLOOKUP($S273,nrCDdate,nrCDnum),""),IF(_xlpm.dn="","(not a class day)",IFERROR(_xlfn.XLOOKUP(_xlpm.dn+cfgRetestClassDays,nrCDnum,nrCDdate),"")))))</f>
        <v/>
      </c>
      <c r="U273" s="17">
        <f>IF($Q273&lt;&gt;"Yes","",IF(COUNTIFS(nrES_PID,$D273,nrES_Code,$F273,nrES_Att,2)&gt;0,"Retested",IF(OR($T273="",NOT(ISNUMBER($T273))),"Pending",IF(TODAY()&gt;$T273,"OVERDUE","Due "&amp;TEXT($T273,"mm/dd")))))</f>
        <v/>
      </c>
      <c r="V273" s="16" t="n"/>
      <c r="W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IF($C274="","",IF($L274="","",IF($K274=1,IF(COUNTIFS(nrES_PID,$D274,nrES_Code,$F274,nrES_Att,2)&gt;0,"",$L274),IF(COUNTIFS(nrES_PID,$D274,nrES_Code,$F274,nrES_Att,1)=0,$L274,IF($L274&gt;=$J274,cfgRetakeRecordedCap,SUMIFS(nrES_Raw,nrES_PID,$D274,nrES_Code,$F274,nrES_Att,1))))))</f>
        <v/>
      </c>
      <c r="N274" s="17">
        <f>IF($C274="","",IF($L274="","",IF($L274&gt;=$J274,"Yes","No")))</f>
        <v/>
      </c>
      <c r="O274" s="17">
        <f>IF($C274="","",IF($M274="","",IF($M274&gt;=$J274,"Yes","No")))</f>
        <v/>
      </c>
      <c r="P274" s="17">
        <f>IF($C274="","",IF($K274="","",IF(COUNTIFS(nrES_PID,$D274,nrES_Code,$F274,nrES_Att,"&gt;"&amp;$K274)=0,"Yes","No")))</f>
        <v/>
      </c>
      <c r="Q274" s="17">
        <f>IF($C274="","",IF($L274="","",IF(AND($K274=1,$L274&lt;$J274,COUNTIFS(nrES_PID,$D274,nrES_Code,$F274,nrES_Att,2)=0),"Yes","No")))</f>
        <v/>
      </c>
      <c r="R274" s="17">
        <f>IF($C274="","",IF($L274="","",IF(AND($K274=2,$L274&lt;$J274,COUNTIFS(nrES_PID,$D274,nrES_Code,$F274,nrES_Att,1)&gt;0),"Yes","No")))</f>
        <v/>
      </c>
      <c r="S274" s="18" t="n"/>
      <c r="T274" s="19">
        <f>IF($Q274&lt;&gt;"Yes","",IF($S274="","(enter date)",_xlfn.LET(_xlpm.dn,IFERROR(_xlfn.XLOOKUP($S274,nrCDdate,nrCDnum),""),IF(_xlpm.dn="","(not a class day)",IFERROR(_xlfn.XLOOKUP(_xlpm.dn+cfgRetestClassDays,nrCDnum,nrCDdate),"")))))</f>
        <v/>
      </c>
      <c r="U274" s="17">
        <f>IF($Q274&lt;&gt;"Yes","",IF(COUNTIFS(nrES_PID,$D274,nrES_Code,$F274,nrES_Att,2)&gt;0,"Retested",IF(OR($T274="",NOT(ISNUMBER($T274))),"Pending",IF(TODAY()&gt;$T274,"OVERDUE","Due "&amp;TEXT($T274,"mm/dd")))))</f>
        <v/>
      </c>
      <c r="V274" s="16" t="n"/>
      <c r="W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IF($C275="","",IF($L275="","",IF($K275=1,IF(COUNTIFS(nrES_PID,$D275,nrES_Code,$F275,nrES_Att,2)&gt;0,"",$L275),IF(COUNTIFS(nrES_PID,$D275,nrES_Code,$F275,nrES_Att,1)=0,$L275,IF($L275&gt;=$J275,cfgRetakeRecordedCap,SUMIFS(nrES_Raw,nrES_PID,$D275,nrES_Code,$F275,nrES_Att,1))))))</f>
        <v/>
      </c>
      <c r="N275" s="17">
        <f>IF($C275="","",IF($L275="","",IF($L275&gt;=$J275,"Yes","No")))</f>
        <v/>
      </c>
      <c r="O275" s="17">
        <f>IF($C275="","",IF($M275="","",IF($M275&gt;=$J275,"Yes","No")))</f>
        <v/>
      </c>
      <c r="P275" s="17">
        <f>IF($C275="","",IF($K275="","",IF(COUNTIFS(nrES_PID,$D275,nrES_Code,$F275,nrES_Att,"&gt;"&amp;$K275)=0,"Yes","No")))</f>
        <v/>
      </c>
      <c r="Q275" s="17">
        <f>IF($C275="","",IF($L275="","",IF(AND($K275=1,$L275&lt;$J275,COUNTIFS(nrES_PID,$D275,nrES_Code,$F275,nrES_Att,2)=0),"Yes","No")))</f>
        <v/>
      </c>
      <c r="R275" s="17">
        <f>IF($C275="","",IF($L275="","",IF(AND($K275=2,$L275&lt;$J275,COUNTIFS(nrES_PID,$D275,nrES_Code,$F275,nrES_Att,1)&gt;0),"Yes","No")))</f>
        <v/>
      </c>
      <c r="S275" s="18" t="n"/>
      <c r="T275" s="19">
        <f>IF($Q275&lt;&gt;"Yes","",IF($S275="","(enter date)",_xlfn.LET(_xlpm.dn,IFERROR(_xlfn.XLOOKUP($S275,nrCDdate,nrCDnum),""),IF(_xlpm.dn="","(not a class day)",IFERROR(_xlfn.XLOOKUP(_xlpm.dn+cfgRetestClassDays,nrCDnum,nrCDdate),"")))))</f>
        <v/>
      </c>
      <c r="U275" s="17">
        <f>IF($Q275&lt;&gt;"Yes","",IF(COUNTIFS(nrES_PID,$D275,nrES_Code,$F275,nrES_Att,2)&gt;0,"Retested",IF(OR($T275="",NOT(ISNUMBER($T275))),"Pending",IF(TODAY()&gt;$T275,"OVERDUE","Due "&amp;TEXT($T275,"mm/dd")))))</f>
        <v/>
      </c>
      <c r="V275" s="16" t="n"/>
      <c r="W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IF($C276="","",IF($L276="","",IF($K276=1,IF(COUNTIFS(nrES_PID,$D276,nrES_Code,$F276,nrES_Att,2)&gt;0,"",$L276),IF(COUNTIFS(nrES_PID,$D276,nrES_Code,$F276,nrES_Att,1)=0,$L276,IF($L276&gt;=$J276,cfgRetakeRecordedCap,SUMIFS(nrES_Raw,nrES_PID,$D276,nrES_Code,$F276,nrES_Att,1))))))</f>
        <v/>
      </c>
      <c r="N276" s="17">
        <f>IF($C276="","",IF($L276="","",IF($L276&gt;=$J276,"Yes","No")))</f>
        <v/>
      </c>
      <c r="O276" s="17">
        <f>IF($C276="","",IF($M276="","",IF($M276&gt;=$J276,"Yes","No")))</f>
        <v/>
      </c>
      <c r="P276" s="17">
        <f>IF($C276="","",IF($K276="","",IF(COUNTIFS(nrES_PID,$D276,nrES_Code,$F276,nrES_Att,"&gt;"&amp;$K276)=0,"Yes","No")))</f>
        <v/>
      </c>
      <c r="Q276" s="17">
        <f>IF($C276="","",IF($L276="","",IF(AND($K276=1,$L276&lt;$J276,COUNTIFS(nrES_PID,$D276,nrES_Code,$F276,nrES_Att,2)=0),"Yes","No")))</f>
        <v/>
      </c>
      <c r="R276" s="17">
        <f>IF($C276="","",IF($L276="","",IF(AND($K276=2,$L276&lt;$J276,COUNTIFS(nrES_PID,$D276,nrES_Code,$F276,nrES_Att,1)&gt;0),"Yes","No")))</f>
        <v/>
      </c>
      <c r="S276" s="18" t="n"/>
      <c r="T276" s="19">
        <f>IF($Q276&lt;&gt;"Yes","",IF($S276="","(enter date)",_xlfn.LET(_xlpm.dn,IFERROR(_xlfn.XLOOKUP($S276,nrCDdate,nrCDnum),""),IF(_xlpm.dn="","(not a class day)",IFERROR(_xlfn.XLOOKUP(_xlpm.dn+cfgRetestClassDays,nrCDnum,nrCDdate),"")))))</f>
        <v/>
      </c>
      <c r="U276" s="17">
        <f>IF($Q276&lt;&gt;"Yes","",IF(COUNTIFS(nrES_PID,$D276,nrES_Code,$F276,nrES_Att,2)&gt;0,"Retested",IF(OR($T276="",NOT(ISNUMBER($T276))),"Pending",IF(TODAY()&gt;$T276,"OVERDUE","Due "&amp;TEXT($T276,"mm/dd")))))</f>
        <v/>
      </c>
      <c r="V276" s="16" t="n"/>
      <c r="W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IF($C277="","",IF($L277="","",IF($K277=1,IF(COUNTIFS(nrES_PID,$D277,nrES_Code,$F277,nrES_Att,2)&gt;0,"",$L277),IF(COUNTIFS(nrES_PID,$D277,nrES_Code,$F277,nrES_Att,1)=0,$L277,IF($L277&gt;=$J277,cfgRetakeRecordedCap,SUMIFS(nrES_Raw,nrES_PID,$D277,nrES_Code,$F277,nrES_Att,1))))))</f>
        <v/>
      </c>
      <c r="N277" s="17">
        <f>IF($C277="","",IF($L277="","",IF($L277&gt;=$J277,"Yes","No")))</f>
        <v/>
      </c>
      <c r="O277" s="17">
        <f>IF($C277="","",IF($M277="","",IF($M277&gt;=$J277,"Yes","No")))</f>
        <v/>
      </c>
      <c r="P277" s="17">
        <f>IF($C277="","",IF($K277="","",IF(COUNTIFS(nrES_PID,$D277,nrES_Code,$F277,nrES_Att,"&gt;"&amp;$K277)=0,"Yes","No")))</f>
        <v/>
      </c>
      <c r="Q277" s="17">
        <f>IF($C277="","",IF($L277="","",IF(AND($K277=1,$L277&lt;$J277,COUNTIFS(nrES_PID,$D277,nrES_Code,$F277,nrES_Att,2)=0),"Yes","No")))</f>
        <v/>
      </c>
      <c r="R277" s="17">
        <f>IF($C277="","",IF($L277="","",IF(AND($K277=2,$L277&lt;$J277,COUNTIFS(nrES_PID,$D277,nrES_Code,$F277,nrES_Att,1)&gt;0),"Yes","No")))</f>
        <v/>
      </c>
      <c r="S277" s="18" t="n"/>
      <c r="T277" s="19">
        <f>IF($Q277&lt;&gt;"Yes","",IF($S277="","(enter date)",_xlfn.LET(_xlpm.dn,IFERROR(_xlfn.XLOOKUP($S277,nrCDdate,nrCDnum),""),IF(_xlpm.dn="","(not a class day)",IFERROR(_xlfn.XLOOKUP(_xlpm.dn+cfgRetestClassDays,nrCDnum,nrCDdate),"")))))</f>
        <v/>
      </c>
      <c r="U277" s="17">
        <f>IF($Q277&lt;&gt;"Yes","",IF(COUNTIFS(nrES_PID,$D277,nrES_Code,$F277,nrES_Att,2)&gt;0,"Retested",IF(OR($T277="",NOT(ISNUMBER($T277))),"Pending",IF(TODAY()&gt;$T277,"OVERDUE","Due "&amp;TEXT($T277,"mm/dd")))))</f>
        <v/>
      </c>
      <c r="V277" s="16" t="n"/>
      <c r="W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IF($C278="","",IF($L278="","",IF($K278=1,IF(COUNTIFS(nrES_PID,$D278,nrES_Code,$F278,nrES_Att,2)&gt;0,"",$L278),IF(COUNTIFS(nrES_PID,$D278,nrES_Code,$F278,nrES_Att,1)=0,$L278,IF($L278&gt;=$J278,cfgRetakeRecordedCap,SUMIFS(nrES_Raw,nrES_PID,$D278,nrES_Code,$F278,nrES_Att,1))))))</f>
        <v/>
      </c>
      <c r="N278" s="17">
        <f>IF($C278="","",IF($L278="","",IF($L278&gt;=$J278,"Yes","No")))</f>
        <v/>
      </c>
      <c r="O278" s="17">
        <f>IF($C278="","",IF($M278="","",IF($M278&gt;=$J278,"Yes","No")))</f>
        <v/>
      </c>
      <c r="P278" s="17">
        <f>IF($C278="","",IF($K278="","",IF(COUNTIFS(nrES_PID,$D278,nrES_Code,$F278,nrES_Att,"&gt;"&amp;$K278)=0,"Yes","No")))</f>
        <v/>
      </c>
      <c r="Q278" s="17">
        <f>IF($C278="","",IF($L278="","",IF(AND($K278=1,$L278&lt;$J278,COUNTIFS(nrES_PID,$D278,nrES_Code,$F278,nrES_Att,2)=0),"Yes","No")))</f>
        <v/>
      </c>
      <c r="R278" s="17">
        <f>IF($C278="","",IF($L278="","",IF(AND($K278=2,$L278&lt;$J278,COUNTIFS(nrES_PID,$D278,nrES_Code,$F278,nrES_Att,1)&gt;0),"Yes","No")))</f>
        <v/>
      </c>
      <c r="S278" s="18" t="n"/>
      <c r="T278" s="19">
        <f>IF($Q278&lt;&gt;"Yes","",IF($S278="","(enter date)",_xlfn.LET(_xlpm.dn,IFERROR(_xlfn.XLOOKUP($S278,nrCDdate,nrCDnum),""),IF(_xlpm.dn="","(not a class day)",IFERROR(_xlfn.XLOOKUP(_xlpm.dn+cfgRetestClassDays,nrCDnum,nrCDdate),"")))))</f>
        <v/>
      </c>
      <c r="U278" s="17">
        <f>IF($Q278&lt;&gt;"Yes","",IF(COUNTIFS(nrES_PID,$D278,nrES_Code,$F278,nrES_Att,2)&gt;0,"Retested",IF(OR($T278="",NOT(ISNUMBER($T278))),"Pending",IF(TODAY()&gt;$T278,"OVERDUE","Due "&amp;TEXT($T278,"mm/dd")))))</f>
        <v/>
      </c>
      <c r="V278" s="16" t="n"/>
      <c r="W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IF($C279="","",IF($L279="","",IF($K279=1,IF(COUNTIFS(nrES_PID,$D279,nrES_Code,$F279,nrES_Att,2)&gt;0,"",$L279),IF(COUNTIFS(nrES_PID,$D279,nrES_Code,$F279,nrES_Att,1)=0,$L279,IF($L279&gt;=$J279,cfgRetakeRecordedCap,SUMIFS(nrES_Raw,nrES_PID,$D279,nrES_Code,$F279,nrES_Att,1))))))</f>
        <v/>
      </c>
      <c r="N279" s="17">
        <f>IF($C279="","",IF($L279="","",IF($L279&gt;=$J279,"Yes","No")))</f>
        <v/>
      </c>
      <c r="O279" s="17">
        <f>IF($C279="","",IF($M279="","",IF($M279&gt;=$J279,"Yes","No")))</f>
        <v/>
      </c>
      <c r="P279" s="17">
        <f>IF($C279="","",IF($K279="","",IF(COUNTIFS(nrES_PID,$D279,nrES_Code,$F279,nrES_Att,"&gt;"&amp;$K279)=0,"Yes","No")))</f>
        <v/>
      </c>
      <c r="Q279" s="17">
        <f>IF($C279="","",IF($L279="","",IF(AND($K279=1,$L279&lt;$J279,COUNTIFS(nrES_PID,$D279,nrES_Code,$F279,nrES_Att,2)=0),"Yes","No")))</f>
        <v/>
      </c>
      <c r="R279" s="17">
        <f>IF($C279="","",IF($L279="","",IF(AND($K279=2,$L279&lt;$J279,COUNTIFS(nrES_PID,$D279,nrES_Code,$F279,nrES_Att,1)&gt;0),"Yes","No")))</f>
        <v/>
      </c>
      <c r="S279" s="18" t="n"/>
      <c r="T279" s="19">
        <f>IF($Q279&lt;&gt;"Yes","",IF($S279="","(enter date)",_xlfn.LET(_xlpm.dn,IFERROR(_xlfn.XLOOKUP($S279,nrCDdate,nrCDnum),""),IF(_xlpm.dn="","(not a class day)",IFERROR(_xlfn.XLOOKUP(_xlpm.dn+cfgRetestClassDays,nrCDnum,nrCDdate),"")))))</f>
        <v/>
      </c>
      <c r="U279" s="17">
        <f>IF($Q279&lt;&gt;"Yes","",IF(COUNTIFS(nrES_PID,$D279,nrES_Code,$F279,nrES_Att,2)&gt;0,"Retested",IF(OR($T279="",NOT(ISNUMBER($T279))),"Pending",IF(TODAY()&gt;$T279,"OVERDUE","Due "&amp;TEXT($T279,"mm/dd")))))</f>
        <v/>
      </c>
      <c r="V279" s="16" t="n"/>
      <c r="W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IF($C280="","",IF($L280="","",IF($K280=1,IF(COUNTIFS(nrES_PID,$D280,nrES_Code,$F280,nrES_Att,2)&gt;0,"",$L280),IF(COUNTIFS(nrES_PID,$D280,nrES_Code,$F280,nrES_Att,1)=0,$L280,IF($L280&gt;=$J280,cfgRetakeRecordedCap,SUMIFS(nrES_Raw,nrES_PID,$D280,nrES_Code,$F280,nrES_Att,1))))))</f>
        <v/>
      </c>
      <c r="N280" s="17">
        <f>IF($C280="","",IF($L280="","",IF($L280&gt;=$J280,"Yes","No")))</f>
        <v/>
      </c>
      <c r="O280" s="17">
        <f>IF($C280="","",IF($M280="","",IF($M280&gt;=$J280,"Yes","No")))</f>
        <v/>
      </c>
      <c r="P280" s="17">
        <f>IF($C280="","",IF($K280="","",IF(COUNTIFS(nrES_PID,$D280,nrES_Code,$F280,nrES_Att,"&gt;"&amp;$K280)=0,"Yes","No")))</f>
        <v/>
      </c>
      <c r="Q280" s="17">
        <f>IF($C280="","",IF($L280="","",IF(AND($K280=1,$L280&lt;$J280,COUNTIFS(nrES_PID,$D280,nrES_Code,$F280,nrES_Att,2)=0),"Yes","No")))</f>
        <v/>
      </c>
      <c r="R280" s="17">
        <f>IF($C280="","",IF($L280="","",IF(AND($K280=2,$L280&lt;$J280,COUNTIFS(nrES_PID,$D280,nrES_Code,$F280,nrES_Att,1)&gt;0),"Yes","No")))</f>
        <v/>
      </c>
      <c r="S280" s="18" t="n"/>
      <c r="T280" s="19">
        <f>IF($Q280&lt;&gt;"Yes","",IF($S280="","(enter date)",_xlfn.LET(_xlpm.dn,IFERROR(_xlfn.XLOOKUP($S280,nrCDdate,nrCDnum),""),IF(_xlpm.dn="","(not a class day)",IFERROR(_xlfn.XLOOKUP(_xlpm.dn+cfgRetestClassDays,nrCDnum,nrCDdate),"")))))</f>
        <v/>
      </c>
      <c r="U280" s="17">
        <f>IF($Q280&lt;&gt;"Yes","",IF(COUNTIFS(nrES_PID,$D280,nrES_Code,$F280,nrES_Att,2)&gt;0,"Retested",IF(OR($T280="",NOT(ISNUMBER($T280))),"Pending",IF(TODAY()&gt;$T280,"OVERDUE","Due "&amp;TEXT($T280,"mm/dd")))))</f>
        <v/>
      </c>
      <c r="V280" s="16" t="n"/>
      <c r="W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IF($C281="","",IF($L281="","",IF($K281=1,IF(COUNTIFS(nrES_PID,$D281,nrES_Code,$F281,nrES_Att,2)&gt;0,"",$L281),IF(COUNTIFS(nrES_PID,$D281,nrES_Code,$F281,nrES_Att,1)=0,$L281,IF($L281&gt;=$J281,cfgRetakeRecordedCap,SUMIFS(nrES_Raw,nrES_PID,$D281,nrES_Code,$F281,nrES_Att,1))))))</f>
        <v/>
      </c>
      <c r="N281" s="17">
        <f>IF($C281="","",IF($L281="","",IF($L281&gt;=$J281,"Yes","No")))</f>
        <v/>
      </c>
      <c r="O281" s="17">
        <f>IF($C281="","",IF($M281="","",IF($M281&gt;=$J281,"Yes","No")))</f>
        <v/>
      </c>
      <c r="P281" s="17">
        <f>IF($C281="","",IF($K281="","",IF(COUNTIFS(nrES_PID,$D281,nrES_Code,$F281,nrES_Att,"&gt;"&amp;$K281)=0,"Yes","No")))</f>
        <v/>
      </c>
      <c r="Q281" s="17">
        <f>IF($C281="","",IF($L281="","",IF(AND($K281=1,$L281&lt;$J281,COUNTIFS(nrES_PID,$D281,nrES_Code,$F281,nrES_Att,2)=0),"Yes","No")))</f>
        <v/>
      </c>
      <c r="R281" s="17">
        <f>IF($C281="","",IF($L281="","",IF(AND($K281=2,$L281&lt;$J281,COUNTIFS(nrES_PID,$D281,nrES_Code,$F281,nrES_Att,1)&gt;0),"Yes","No")))</f>
        <v/>
      </c>
      <c r="S281" s="18" t="n"/>
      <c r="T281" s="19">
        <f>IF($Q281&lt;&gt;"Yes","",IF($S281="","(enter date)",_xlfn.LET(_xlpm.dn,IFERROR(_xlfn.XLOOKUP($S281,nrCDdate,nrCDnum),""),IF(_xlpm.dn="","(not a class day)",IFERROR(_xlfn.XLOOKUP(_xlpm.dn+cfgRetestClassDays,nrCDnum,nrCDdate),"")))))</f>
        <v/>
      </c>
      <c r="U281" s="17">
        <f>IF($Q281&lt;&gt;"Yes","",IF(COUNTIFS(nrES_PID,$D281,nrES_Code,$F281,nrES_Att,2)&gt;0,"Retested",IF(OR($T281="",NOT(ISNUMBER($T281))),"Pending",IF(TODAY()&gt;$T281,"OVERDUE","Due "&amp;TEXT($T281,"mm/dd")))))</f>
        <v/>
      </c>
      <c r="V281" s="16" t="n"/>
      <c r="W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IF($C282="","",IF($L282="","",IF($K282=1,IF(COUNTIFS(nrES_PID,$D282,nrES_Code,$F282,nrES_Att,2)&gt;0,"",$L282),IF(COUNTIFS(nrES_PID,$D282,nrES_Code,$F282,nrES_Att,1)=0,$L282,IF($L282&gt;=$J282,cfgRetakeRecordedCap,SUMIFS(nrES_Raw,nrES_PID,$D282,nrES_Code,$F282,nrES_Att,1))))))</f>
        <v/>
      </c>
      <c r="N282" s="17">
        <f>IF($C282="","",IF($L282="","",IF($L282&gt;=$J282,"Yes","No")))</f>
        <v/>
      </c>
      <c r="O282" s="17">
        <f>IF($C282="","",IF($M282="","",IF($M282&gt;=$J282,"Yes","No")))</f>
        <v/>
      </c>
      <c r="P282" s="17">
        <f>IF($C282="","",IF($K282="","",IF(COUNTIFS(nrES_PID,$D282,nrES_Code,$F282,nrES_Att,"&gt;"&amp;$K282)=0,"Yes","No")))</f>
        <v/>
      </c>
      <c r="Q282" s="17">
        <f>IF($C282="","",IF($L282="","",IF(AND($K282=1,$L282&lt;$J282,COUNTIFS(nrES_PID,$D282,nrES_Code,$F282,nrES_Att,2)=0),"Yes","No")))</f>
        <v/>
      </c>
      <c r="R282" s="17">
        <f>IF($C282="","",IF($L282="","",IF(AND($K282=2,$L282&lt;$J282,COUNTIFS(nrES_PID,$D282,nrES_Code,$F282,nrES_Att,1)&gt;0),"Yes","No")))</f>
        <v/>
      </c>
      <c r="S282" s="18" t="n"/>
      <c r="T282" s="19">
        <f>IF($Q282&lt;&gt;"Yes","",IF($S282="","(enter date)",_xlfn.LET(_xlpm.dn,IFERROR(_xlfn.XLOOKUP($S282,nrCDdate,nrCDnum),""),IF(_xlpm.dn="","(not a class day)",IFERROR(_xlfn.XLOOKUP(_xlpm.dn+cfgRetestClassDays,nrCDnum,nrCDdate),"")))))</f>
        <v/>
      </c>
      <c r="U282" s="17">
        <f>IF($Q282&lt;&gt;"Yes","",IF(COUNTIFS(nrES_PID,$D282,nrES_Code,$F282,nrES_Att,2)&gt;0,"Retested",IF(OR($T282="",NOT(ISNUMBER($T282))),"Pending",IF(TODAY()&gt;$T282,"OVERDUE","Due "&amp;TEXT($T282,"mm/dd")))))</f>
        <v/>
      </c>
      <c r="V282" s="16" t="n"/>
      <c r="W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IF($C283="","",IF($L283="","",IF($K283=1,IF(COUNTIFS(nrES_PID,$D283,nrES_Code,$F283,nrES_Att,2)&gt;0,"",$L283),IF(COUNTIFS(nrES_PID,$D283,nrES_Code,$F283,nrES_Att,1)=0,$L283,IF($L283&gt;=$J283,cfgRetakeRecordedCap,SUMIFS(nrES_Raw,nrES_PID,$D283,nrES_Code,$F283,nrES_Att,1))))))</f>
        <v/>
      </c>
      <c r="N283" s="17">
        <f>IF($C283="","",IF($L283="","",IF($L283&gt;=$J283,"Yes","No")))</f>
        <v/>
      </c>
      <c r="O283" s="17">
        <f>IF($C283="","",IF($M283="","",IF($M283&gt;=$J283,"Yes","No")))</f>
        <v/>
      </c>
      <c r="P283" s="17">
        <f>IF($C283="","",IF($K283="","",IF(COUNTIFS(nrES_PID,$D283,nrES_Code,$F283,nrES_Att,"&gt;"&amp;$K283)=0,"Yes","No")))</f>
        <v/>
      </c>
      <c r="Q283" s="17">
        <f>IF($C283="","",IF($L283="","",IF(AND($K283=1,$L283&lt;$J283,COUNTIFS(nrES_PID,$D283,nrES_Code,$F283,nrES_Att,2)=0),"Yes","No")))</f>
        <v/>
      </c>
      <c r="R283" s="17">
        <f>IF($C283="","",IF($L283="","",IF(AND($K283=2,$L283&lt;$J283,COUNTIFS(nrES_PID,$D283,nrES_Code,$F283,nrES_Att,1)&gt;0),"Yes","No")))</f>
        <v/>
      </c>
      <c r="S283" s="18" t="n"/>
      <c r="T283" s="19">
        <f>IF($Q283&lt;&gt;"Yes","",IF($S283="","(enter date)",_xlfn.LET(_xlpm.dn,IFERROR(_xlfn.XLOOKUP($S283,nrCDdate,nrCDnum),""),IF(_xlpm.dn="","(not a class day)",IFERROR(_xlfn.XLOOKUP(_xlpm.dn+cfgRetestClassDays,nrCDnum,nrCDdate),"")))))</f>
        <v/>
      </c>
      <c r="U283" s="17">
        <f>IF($Q283&lt;&gt;"Yes","",IF(COUNTIFS(nrES_PID,$D283,nrES_Code,$F283,nrES_Att,2)&gt;0,"Retested",IF(OR($T283="",NOT(ISNUMBER($T283))),"Pending",IF(TODAY()&gt;$T283,"OVERDUE","Due "&amp;TEXT($T283,"mm/dd")))))</f>
        <v/>
      </c>
      <c r="V283" s="16" t="n"/>
      <c r="W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IF($C284="","",IF($L284="","",IF($K284=1,IF(COUNTIFS(nrES_PID,$D284,nrES_Code,$F284,nrES_Att,2)&gt;0,"",$L284),IF(COUNTIFS(nrES_PID,$D284,nrES_Code,$F284,nrES_Att,1)=0,$L284,IF($L284&gt;=$J284,cfgRetakeRecordedCap,SUMIFS(nrES_Raw,nrES_PID,$D284,nrES_Code,$F284,nrES_Att,1))))))</f>
        <v/>
      </c>
      <c r="N284" s="17">
        <f>IF($C284="","",IF($L284="","",IF($L284&gt;=$J284,"Yes","No")))</f>
        <v/>
      </c>
      <c r="O284" s="17">
        <f>IF($C284="","",IF($M284="","",IF($M284&gt;=$J284,"Yes","No")))</f>
        <v/>
      </c>
      <c r="P284" s="17">
        <f>IF($C284="","",IF($K284="","",IF(COUNTIFS(nrES_PID,$D284,nrES_Code,$F284,nrES_Att,"&gt;"&amp;$K284)=0,"Yes","No")))</f>
        <v/>
      </c>
      <c r="Q284" s="17">
        <f>IF($C284="","",IF($L284="","",IF(AND($K284=1,$L284&lt;$J284,COUNTIFS(nrES_PID,$D284,nrES_Code,$F284,nrES_Att,2)=0),"Yes","No")))</f>
        <v/>
      </c>
      <c r="R284" s="17">
        <f>IF($C284="","",IF($L284="","",IF(AND($K284=2,$L284&lt;$J284,COUNTIFS(nrES_PID,$D284,nrES_Code,$F284,nrES_Att,1)&gt;0),"Yes","No")))</f>
        <v/>
      </c>
      <c r="S284" s="18" t="n"/>
      <c r="T284" s="19">
        <f>IF($Q284&lt;&gt;"Yes","",IF($S284="","(enter date)",_xlfn.LET(_xlpm.dn,IFERROR(_xlfn.XLOOKUP($S284,nrCDdate,nrCDnum),""),IF(_xlpm.dn="","(not a class day)",IFERROR(_xlfn.XLOOKUP(_xlpm.dn+cfgRetestClassDays,nrCDnum,nrCDdate),"")))))</f>
        <v/>
      </c>
      <c r="U284" s="17">
        <f>IF($Q284&lt;&gt;"Yes","",IF(COUNTIFS(nrES_PID,$D284,nrES_Code,$F284,nrES_Att,2)&gt;0,"Retested",IF(OR($T284="",NOT(ISNUMBER($T284))),"Pending",IF(TODAY()&gt;$T284,"OVERDUE","Due "&amp;TEXT($T284,"mm/dd")))))</f>
        <v/>
      </c>
      <c r="V284" s="16" t="n"/>
      <c r="W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IF($C285="","",IF($L285="","",IF($K285=1,IF(COUNTIFS(nrES_PID,$D285,nrES_Code,$F285,nrES_Att,2)&gt;0,"",$L285),IF(COUNTIFS(nrES_PID,$D285,nrES_Code,$F285,nrES_Att,1)=0,$L285,IF($L285&gt;=$J285,cfgRetakeRecordedCap,SUMIFS(nrES_Raw,nrES_PID,$D285,nrES_Code,$F285,nrES_Att,1))))))</f>
        <v/>
      </c>
      <c r="N285" s="17">
        <f>IF($C285="","",IF($L285="","",IF($L285&gt;=$J285,"Yes","No")))</f>
        <v/>
      </c>
      <c r="O285" s="17">
        <f>IF($C285="","",IF($M285="","",IF($M285&gt;=$J285,"Yes","No")))</f>
        <v/>
      </c>
      <c r="P285" s="17">
        <f>IF($C285="","",IF($K285="","",IF(COUNTIFS(nrES_PID,$D285,nrES_Code,$F285,nrES_Att,"&gt;"&amp;$K285)=0,"Yes","No")))</f>
        <v/>
      </c>
      <c r="Q285" s="17">
        <f>IF($C285="","",IF($L285="","",IF(AND($K285=1,$L285&lt;$J285,COUNTIFS(nrES_PID,$D285,nrES_Code,$F285,nrES_Att,2)=0),"Yes","No")))</f>
        <v/>
      </c>
      <c r="R285" s="17">
        <f>IF($C285="","",IF($L285="","",IF(AND($K285=2,$L285&lt;$J285,COUNTIFS(nrES_PID,$D285,nrES_Code,$F285,nrES_Att,1)&gt;0),"Yes","No")))</f>
        <v/>
      </c>
      <c r="S285" s="18" t="n"/>
      <c r="T285" s="19">
        <f>IF($Q285&lt;&gt;"Yes","",IF($S285="","(enter date)",_xlfn.LET(_xlpm.dn,IFERROR(_xlfn.XLOOKUP($S285,nrCDdate,nrCDnum),""),IF(_xlpm.dn="","(not a class day)",IFERROR(_xlfn.XLOOKUP(_xlpm.dn+cfgRetestClassDays,nrCDnum,nrCDdate),"")))))</f>
        <v/>
      </c>
      <c r="U285" s="17">
        <f>IF($Q285&lt;&gt;"Yes","",IF(COUNTIFS(nrES_PID,$D285,nrES_Code,$F285,nrES_Att,2)&gt;0,"Retested",IF(OR($T285="",NOT(ISNUMBER($T285))),"Pending",IF(TODAY()&gt;$T285,"OVERDUE","Due "&amp;TEXT($T285,"mm/dd")))))</f>
        <v/>
      </c>
      <c r="V285" s="16" t="n"/>
      <c r="W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IF($C286="","",IF($L286="","",IF($K286=1,IF(COUNTIFS(nrES_PID,$D286,nrES_Code,$F286,nrES_Att,2)&gt;0,"",$L286),IF(COUNTIFS(nrES_PID,$D286,nrES_Code,$F286,nrES_Att,1)=0,$L286,IF($L286&gt;=$J286,cfgRetakeRecordedCap,SUMIFS(nrES_Raw,nrES_PID,$D286,nrES_Code,$F286,nrES_Att,1))))))</f>
        <v/>
      </c>
      <c r="N286" s="17">
        <f>IF($C286="","",IF($L286="","",IF($L286&gt;=$J286,"Yes","No")))</f>
        <v/>
      </c>
      <c r="O286" s="17">
        <f>IF($C286="","",IF($M286="","",IF($M286&gt;=$J286,"Yes","No")))</f>
        <v/>
      </c>
      <c r="P286" s="17">
        <f>IF($C286="","",IF($K286="","",IF(COUNTIFS(nrES_PID,$D286,nrES_Code,$F286,nrES_Att,"&gt;"&amp;$K286)=0,"Yes","No")))</f>
        <v/>
      </c>
      <c r="Q286" s="17">
        <f>IF($C286="","",IF($L286="","",IF(AND($K286=1,$L286&lt;$J286,COUNTIFS(nrES_PID,$D286,nrES_Code,$F286,nrES_Att,2)=0),"Yes","No")))</f>
        <v/>
      </c>
      <c r="R286" s="17">
        <f>IF($C286="","",IF($L286="","",IF(AND($K286=2,$L286&lt;$J286,COUNTIFS(nrES_PID,$D286,nrES_Code,$F286,nrES_Att,1)&gt;0),"Yes","No")))</f>
        <v/>
      </c>
      <c r="S286" s="18" t="n"/>
      <c r="T286" s="19">
        <f>IF($Q286&lt;&gt;"Yes","",IF($S286="","(enter date)",_xlfn.LET(_xlpm.dn,IFERROR(_xlfn.XLOOKUP($S286,nrCDdate,nrCDnum),""),IF(_xlpm.dn="","(not a class day)",IFERROR(_xlfn.XLOOKUP(_xlpm.dn+cfgRetestClassDays,nrCDnum,nrCDdate),"")))))</f>
        <v/>
      </c>
      <c r="U286" s="17">
        <f>IF($Q286&lt;&gt;"Yes","",IF(COUNTIFS(nrES_PID,$D286,nrES_Code,$F286,nrES_Att,2)&gt;0,"Retested",IF(OR($T286="",NOT(ISNUMBER($T286))),"Pending",IF(TODAY()&gt;$T286,"OVERDUE","Due "&amp;TEXT($T286,"mm/dd")))))</f>
        <v/>
      </c>
      <c r="V286" s="16" t="n"/>
      <c r="W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IF($C287="","",IF($L287="","",IF($K287=1,IF(COUNTIFS(nrES_PID,$D287,nrES_Code,$F287,nrES_Att,2)&gt;0,"",$L287),IF(COUNTIFS(nrES_PID,$D287,nrES_Code,$F287,nrES_Att,1)=0,$L287,IF($L287&gt;=$J287,cfgRetakeRecordedCap,SUMIFS(nrES_Raw,nrES_PID,$D287,nrES_Code,$F287,nrES_Att,1))))))</f>
        <v/>
      </c>
      <c r="N287" s="17">
        <f>IF($C287="","",IF($L287="","",IF($L287&gt;=$J287,"Yes","No")))</f>
        <v/>
      </c>
      <c r="O287" s="17">
        <f>IF($C287="","",IF($M287="","",IF($M287&gt;=$J287,"Yes","No")))</f>
        <v/>
      </c>
      <c r="P287" s="17">
        <f>IF($C287="","",IF($K287="","",IF(COUNTIFS(nrES_PID,$D287,nrES_Code,$F287,nrES_Att,"&gt;"&amp;$K287)=0,"Yes","No")))</f>
        <v/>
      </c>
      <c r="Q287" s="17">
        <f>IF($C287="","",IF($L287="","",IF(AND($K287=1,$L287&lt;$J287,COUNTIFS(nrES_PID,$D287,nrES_Code,$F287,nrES_Att,2)=0),"Yes","No")))</f>
        <v/>
      </c>
      <c r="R287" s="17">
        <f>IF($C287="","",IF($L287="","",IF(AND($K287=2,$L287&lt;$J287,COUNTIFS(nrES_PID,$D287,nrES_Code,$F287,nrES_Att,1)&gt;0),"Yes","No")))</f>
        <v/>
      </c>
      <c r="S287" s="18" t="n"/>
      <c r="T287" s="19">
        <f>IF($Q287&lt;&gt;"Yes","",IF($S287="","(enter date)",_xlfn.LET(_xlpm.dn,IFERROR(_xlfn.XLOOKUP($S287,nrCDdate,nrCDnum),""),IF(_xlpm.dn="","(not a class day)",IFERROR(_xlfn.XLOOKUP(_xlpm.dn+cfgRetestClassDays,nrCDnum,nrCDdate),"")))))</f>
        <v/>
      </c>
      <c r="U287" s="17">
        <f>IF($Q287&lt;&gt;"Yes","",IF(COUNTIFS(nrES_PID,$D287,nrES_Code,$F287,nrES_Att,2)&gt;0,"Retested",IF(OR($T287="",NOT(ISNUMBER($T287))),"Pending",IF(TODAY()&gt;$T287,"OVERDUE","Due "&amp;TEXT($T287,"mm/dd")))))</f>
        <v/>
      </c>
      <c r="V287" s="16" t="n"/>
      <c r="W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IF($C288="","",IF($L288="","",IF($K288=1,IF(COUNTIFS(nrES_PID,$D288,nrES_Code,$F288,nrES_Att,2)&gt;0,"",$L288),IF(COUNTIFS(nrES_PID,$D288,nrES_Code,$F288,nrES_Att,1)=0,$L288,IF($L288&gt;=$J288,cfgRetakeRecordedCap,SUMIFS(nrES_Raw,nrES_PID,$D288,nrES_Code,$F288,nrES_Att,1))))))</f>
        <v/>
      </c>
      <c r="N288" s="17">
        <f>IF($C288="","",IF($L288="","",IF($L288&gt;=$J288,"Yes","No")))</f>
        <v/>
      </c>
      <c r="O288" s="17">
        <f>IF($C288="","",IF($M288="","",IF($M288&gt;=$J288,"Yes","No")))</f>
        <v/>
      </c>
      <c r="P288" s="17">
        <f>IF($C288="","",IF($K288="","",IF(COUNTIFS(nrES_PID,$D288,nrES_Code,$F288,nrES_Att,"&gt;"&amp;$K288)=0,"Yes","No")))</f>
        <v/>
      </c>
      <c r="Q288" s="17">
        <f>IF($C288="","",IF($L288="","",IF(AND($K288=1,$L288&lt;$J288,COUNTIFS(nrES_PID,$D288,nrES_Code,$F288,nrES_Att,2)=0),"Yes","No")))</f>
        <v/>
      </c>
      <c r="R288" s="17">
        <f>IF($C288="","",IF($L288="","",IF(AND($K288=2,$L288&lt;$J288,COUNTIFS(nrES_PID,$D288,nrES_Code,$F288,nrES_Att,1)&gt;0),"Yes","No")))</f>
        <v/>
      </c>
      <c r="S288" s="18" t="n"/>
      <c r="T288" s="19">
        <f>IF($Q288&lt;&gt;"Yes","",IF($S288="","(enter date)",_xlfn.LET(_xlpm.dn,IFERROR(_xlfn.XLOOKUP($S288,nrCDdate,nrCDnum),""),IF(_xlpm.dn="","(not a class day)",IFERROR(_xlfn.XLOOKUP(_xlpm.dn+cfgRetestClassDays,nrCDnum,nrCDdate),"")))))</f>
        <v/>
      </c>
      <c r="U288" s="17">
        <f>IF($Q288&lt;&gt;"Yes","",IF(COUNTIFS(nrES_PID,$D288,nrES_Code,$F288,nrES_Att,2)&gt;0,"Retested",IF(OR($T288="",NOT(ISNUMBER($T288))),"Pending",IF(TODAY()&gt;$T288,"OVERDUE","Due "&amp;TEXT($T288,"mm/dd")))))</f>
        <v/>
      </c>
      <c r="V288" s="16" t="n"/>
      <c r="W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IF($C289="","",IF($L289="","",IF($K289=1,IF(COUNTIFS(nrES_PID,$D289,nrES_Code,$F289,nrES_Att,2)&gt;0,"",$L289),IF(COUNTIFS(nrES_PID,$D289,nrES_Code,$F289,nrES_Att,1)=0,$L289,IF($L289&gt;=$J289,cfgRetakeRecordedCap,SUMIFS(nrES_Raw,nrES_PID,$D289,nrES_Code,$F289,nrES_Att,1))))))</f>
        <v/>
      </c>
      <c r="N289" s="17">
        <f>IF($C289="","",IF($L289="","",IF($L289&gt;=$J289,"Yes","No")))</f>
        <v/>
      </c>
      <c r="O289" s="17">
        <f>IF($C289="","",IF($M289="","",IF($M289&gt;=$J289,"Yes","No")))</f>
        <v/>
      </c>
      <c r="P289" s="17">
        <f>IF($C289="","",IF($K289="","",IF(COUNTIFS(nrES_PID,$D289,nrES_Code,$F289,nrES_Att,"&gt;"&amp;$K289)=0,"Yes","No")))</f>
        <v/>
      </c>
      <c r="Q289" s="17">
        <f>IF($C289="","",IF($L289="","",IF(AND($K289=1,$L289&lt;$J289,COUNTIFS(nrES_PID,$D289,nrES_Code,$F289,nrES_Att,2)=0),"Yes","No")))</f>
        <v/>
      </c>
      <c r="R289" s="17">
        <f>IF($C289="","",IF($L289="","",IF(AND($K289=2,$L289&lt;$J289,COUNTIFS(nrES_PID,$D289,nrES_Code,$F289,nrES_Att,1)&gt;0),"Yes","No")))</f>
        <v/>
      </c>
      <c r="S289" s="18" t="n"/>
      <c r="T289" s="19">
        <f>IF($Q289&lt;&gt;"Yes","",IF($S289="","(enter date)",_xlfn.LET(_xlpm.dn,IFERROR(_xlfn.XLOOKUP($S289,nrCDdate,nrCDnum),""),IF(_xlpm.dn="","(not a class day)",IFERROR(_xlfn.XLOOKUP(_xlpm.dn+cfgRetestClassDays,nrCDnum,nrCDdate),"")))))</f>
        <v/>
      </c>
      <c r="U289" s="17">
        <f>IF($Q289&lt;&gt;"Yes","",IF(COUNTIFS(nrES_PID,$D289,nrES_Code,$F289,nrES_Att,2)&gt;0,"Retested",IF(OR($T289="",NOT(ISNUMBER($T289))),"Pending",IF(TODAY()&gt;$T289,"OVERDUE","Due "&amp;TEXT($T289,"mm/dd")))))</f>
        <v/>
      </c>
      <c r="V289" s="16" t="n"/>
      <c r="W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IF($C290="","",IF($L290="","",IF($K290=1,IF(COUNTIFS(nrES_PID,$D290,nrES_Code,$F290,nrES_Att,2)&gt;0,"",$L290),IF(COUNTIFS(nrES_PID,$D290,nrES_Code,$F290,nrES_Att,1)=0,$L290,IF($L290&gt;=$J290,cfgRetakeRecordedCap,SUMIFS(nrES_Raw,nrES_PID,$D290,nrES_Code,$F290,nrES_Att,1))))))</f>
        <v/>
      </c>
      <c r="N290" s="17">
        <f>IF($C290="","",IF($L290="","",IF($L290&gt;=$J290,"Yes","No")))</f>
        <v/>
      </c>
      <c r="O290" s="17">
        <f>IF($C290="","",IF($M290="","",IF($M290&gt;=$J290,"Yes","No")))</f>
        <v/>
      </c>
      <c r="P290" s="17">
        <f>IF($C290="","",IF($K290="","",IF(COUNTIFS(nrES_PID,$D290,nrES_Code,$F290,nrES_Att,"&gt;"&amp;$K290)=0,"Yes","No")))</f>
        <v/>
      </c>
      <c r="Q290" s="17">
        <f>IF($C290="","",IF($L290="","",IF(AND($K290=1,$L290&lt;$J290,COUNTIFS(nrES_PID,$D290,nrES_Code,$F290,nrES_Att,2)=0),"Yes","No")))</f>
        <v/>
      </c>
      <c r="R290" s="17">
        <f>IF($C290="","",IF($L290="","",IF(AND($K290=2,$L290&lt;$J290,COUNTIFS(nrES_PID,$D290,nrES_Code,$F290,nrES_Att,1)&gt;0),"Yes","No")))</f>
        <v/>
      </c>
      <c r="S290" s="18" t="n"/>
      <c r="T290" s="19">
        <f>IF($Q290&lt;&gt;"Yes","",IF($S290="","(enter date)",_xlfn.LET(_xlpm.dn,IFERROR(_xlfn.XLOOKUP($S290,nrCDdate,nrCDnum),""),IF(_xlpm.dn="","(not a class day)",IFERROR(_xlfn.XLOOKUP(_xlpm.dn+cfgRetestClassDays,nrCDnum,nrCDdate),"")))))</f>
        <v/>
      </c>
      <c r="U290" s="17">
        <f>IF($Q290&lt;&gt;"Yes","",IF(COUNTIFS(nrES_PID,$D290,nrES_Code,$F290,nrES_Att,2)&gt;0,"Retested",IF(OR($T290="",NOT(ISNUMBER($T290))),"Pending",IF(TODAY()&gt;$T290,"OVERDUE","Due "&amp;TEXT($T290,"mm/dd")))))</f>
        <v/>
      </c>
      <c r="V290" s="16" t="n"/>
      <c r="W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IF($C291="","",IF($L291="","",IF($K291=1,IF(COUNTIFS(nrES_PID,$D291,nrES_Code,$F291,nrES_Att,2)&gt;0,"",$L291),IF(COUNTIFS(nrES_PID,$D291,nrES_Code,$F291,nrES_Att,1)=0,$L291,IF($L291&gt;=$J291,cfgRetakeRecordedCap,SUMIFS(nrES_Raw,nrES_PID,$D291,nrES_Code,$F291,nrES_Att,1))))))</f>
        <v/>
      </c>
      <c r="N291" s="17">
        <f>IF($C291="","",IF($L291="","",IF($L291&gt;=$J291,"Yes","No")))</f>
        <v/>
      </c>
      <c r="O291" s="17">
        <f>IF($C291="","",IF($M291="","",IF($M291&gt;=$J291,"Yes","No")))</f>
        <v/>
      </c>
      <c r="P291" s="17">
        <f>IF($C291="","",IF($K291="","",IF(COUNTIFS(nrES_PID,$D291,nrES_Code,$F291,nrES_Att,"&gt;"&amp;$K291)=0,"Yes","No")))</f>
        <v/>
      </c>
      <c r="Q291" s="17">
        <f>IF($C291="","",IF($L291="","",IF(AND($K291=1,$L291&lt;$J291,COUNTIFS(nrES_PID,$D291,nrES_Code,$F291,nrES_Att,2)=0),"Yes","No")))</f>
        <v/>
      </c>
      <c r="R291" s="17">
        <f>IF($C291="","",IF($L291="","",IF(AND($K291=2,$L291&lt;$J291,COUNTIFS(nrES_PID,$D291,nrES_Code,$F291,nrES_Att,1)&gt;0),"Yes","No")))</f>
        <v/>
      </c>
      <c r="S291" s="18" t="n"/>
      <c r="T291" s="19">
        <f>IF($Q291&lt;&gt;"Yes","",IF($S291="","(enter date)",_xlfn.LET(_xlpm.dn,IFERROR(_xlfn.XLOOKUP($S291,nrCDdate,nrCDnum),""),IF(_xlpm.dn="","(not a class day)",IFERROR(_xlfn.XLOOKUP(_xlpm.dn+cfgRetestClassDays,nrCDnum,nrCDdate),"")))))</f>
        <v/>
      </c>
      <c r="U291" s="17">
        <f>IF($Q291&lt;&gt;"Yes","",IF(COUNTIFS(nrES_PID,$D291,nrES_Code,$F291,nrES_Att,2)&gt;0,"Retested",IF(OR($T291="",NOT(ISNUMBER($T291))),"Pending",IF(TODAY()&gt;$T291,"OVERDUE","Due "&amp;TEXT($T291,"mm/dd")))))</f>
        <v/>
      </c>
      <c r="V291" s="16" t="n"/>
      <c r="W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IF($C292="","",IF($L292="","",IF($K292=1,IF(COUNTIFS(nrES_PID,$D292,nrES_Code,$F292,nrES_Att,2)&gt;0,"",$L292),IF(COUNTIFS(nrES_PID,$D292,nrES_Code,$F292,nrES_Att,1)=0,$L292,IF($L292&gt;=$J292,cfgRetakeRecordedCap,SUMIFS(nrES_Raw,nrES_PID,$D292,nrES_Code,$F292,nrES_Att,1))))))</f>
        <v/>
      </c>
      <c r="N292" s="17">
        <f>IF($C292="","",IF($L292="","",IF($L292&gt;=$J292,"Yes","No")))</f>
        <v/>
      </c>
      <c r="O292" s="17">
        <f>IF($C292="","",IF($M292="","",IF($M292&gt;=$J292,"Yes","No")))</f>
        <v/>
      </c>
      <c r="P292" s="17">
        <f>IF($C292="","",IF($K292="","",IF(COUNTIFS(nrES_PID,$D292,nrES_Code,$F292,nrES_Att,"&gt;"&amp;$K292)=0,"Yes","No")))</f>
        <v/>
      </c>
      <c r="Q292" s="17">
        <f>IF($C292="","",IF($L292="","",IF(AND($K292=1,$L292&lt;$J292,COUNTIFS(nrES_PID,$D292,nrES_Code,$F292,nrES_Att,2)=0),"Yes","No")))</f>
        <v/>
      </c>
      <c r="R292" s="17">
        <f>IF($C292="","",IF($L292="","",IF(AND($K292=2,$L292&lt;$J292,COUNTIFS(nrES_PID,$D292,nrES_Code,$F292,nrES_Att,1)&gt;0),"Yes","No")))</f>
        <v/>
      </c>
      <c r="S292" s="18" t="n"/>
      <c r="T292" s="19">
        <f>IF($Q292&lt;&gt;"Yes","",IF($S292="","(enter date)",_xlfn.LET(_xlpm.dn,IFERROR(_xlfn.XLOOKUP($S292,nrCDdate,nrCDnum),""),IF(_xlpm.dn="","(not a class day)",IFERROR(_xlfn.XLOOKUP(_xlpm.dn+cfgRetestClassDays,nrCDnum,nrCDdate),"")))))</f>
        <v/>
      </c>
      <c r="U292" s="17">
        <f>IF($Q292&lt;&gt;"Yes","",IF(COUNTIFS(nrES_PID,$D292,nrES_Code,$F292,nrES_Att,2)&gt;0,"Retested",IF(OR($T292="",NOT(ISNUMBER($T292))),"Pending",IF(TODAY()&gt;$T292,"OVERDUE","Due "&amp;TEXT($T292,"mm/dd")))))</f>
        <v/>
      </c>
      <c r="V292" s="16" t="n"/>
      <c r="W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IF($C293="","",IF($L293="","",IF($K293=1,IF(COUNTIFS(nrES_PID,$D293,nrES_Code,$F293,nrES_Att,2)&gt;0,"",$L293),IF(COUNTIFS(nrES_PID,$D293,nrES_Code,$F293,nrES_Att,1)=0,$L293,IF($L293&gt;=$J293,cfgRetakeRecordedCap,SUMIFS(nrES_Raw,nrES_PID,$D293,nrES_Code,$F293,nrES_Att,1))))))</f>
        <v/>
      </c>
      <c r="N293" s="17">
        <f>IF($C293="","",IF($L293="","",IF($L293&gt;=$J293,"Yes","No")))</f>
        <v/>
      </c>
      <c r="O293" s="17">
        <f>IF($C293="","",IF($M293="","",IF($M293&gt;=$J293,"Yes","No")))</f>
        <v/>
      </c>
      <c r="P293" s="17">
        <f>IF($C293="","",IF($K293="","",IF(COUNTIFS(nrES_PID,$D293,nrES_Code,$F293,nrES_Att,"&gt;"&amp;$K293)=0,"Yes","No")))</f>
        <v/>
      </c>
      <c r="Q293" s="17">
        <f>IF($C293="","",IF($L293="","",IF(AND($K293=1,$L293&lt;$J293,COUNTIFS(nrES_PID,$D293,nrES_Code,$F293,nrES_Att,2)=0),"Yes","No")))</f>
        <v/>
      </c>
      <c r="R293" s="17">
        <f>IF($C293="","",IF($L293="","",IF(AND($K293=2,$L293&lt;$J293,COUNTIFS(nrES_PID,$D293,nrES_Code,$F293,nrES_Att,1)&gt;0),"Yes","No")))</f>
        <v/>
      </c>
      <c r="S293" s="18" t="n"/>
      <c r="T293" s="19">
        <f>IF($Q293&lt;&gt;"Yes","",IF($S293="","(enter date)",_xlfn.LET(_xlpm.dn,IFERROR(_xlfn.XLOOKUP($S293,nrCDdate,nrCDnum),""),IF(_xlpm.dn="","(not a class day)",IFERROR(_xlfn.XLOOKUP(_xlpm.dn+cfgRetestClassDays,nrCDnum,nrCDdate),"")))))</f>
        <v/>
      </c>
      <c r="U293" s="17">
        <f>IF($Q293&lt;&gt;"Yes","",IF(COUNTIFS(nrES_PID,$D293,nrES_Code,$F293,nrES_Att,2)&gt;0,"Retested",IF(OR($T293="",NOT(ISNUMBER($T293))),"Pending",IF(TODAY()&gt;$T293,"OVERDUE","Due "&amp;TEXT($T293,"mm/dd")))))</f>
        <v/>
      </c>
      <c r="V293" s="16" t="n"/>
      <c r="W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IF($C294="","",IF($L294="","",IF($K294=1,IF(COUNTIFS(nrES_PID,$D294,nrES_Code,$F294,nrES_Att,2)&gt;0,"",$L294),IF(COUNTIFS(nrES_PID,$D294,nrES_Code,$F294,nrES_Att,1)=0,$L294,IF($L294&gt;=$J294,cfgRetakeRecordedCap,SUMIFS(nrES_Raw,nrES_PID,$D294,nrES_Code,$F294,nrES_Att,1))))))</f>
        <v/>
      </c>
      <c r="N294" s="17">
        <f>IF($C294="","",IF($L294="","",IF($L294&gt;=$J294,"Yes","No")))</f>
        <v/>
      </c>
      <c r="O294" s="17">
        <f>IF($C294="","",IF($M294="","",IF($M294&gt;=$J294,"Yes","No")))</f>
        <v/>
      </c>
      <c r="P294" s="17">
        <f>IF($C294="","",IF($K294="","",IF(COUNTIFS(nrES_PID,$D294,nrES_Code,$F294,nrES_Att,"&gt;"&amp;$K294)=0,"Yes","No")))</f>
        <v/>
      </c>
      <c r="Q294" s="17">
        <f>IF($C294="","",IF($L294="","",IF(AND($K294=1,$L294&lt;$J294,COUNTIFS(nrES_PID,$D294,nrES_Code,$F294,nrES_Att,2)=0),"Yes","No")))</f>
        <v/>
      </c>
      <c r="R294" s="17">
        <f>IF($C294="","",IF($L294="","",IF(AND($K294=2,$L294&lt;$J294,COUNTIFS(nrES_PID,$D294,nrES_Code,$F294,nrES_Att,1)&gt;0),"Yes","No")))</f>
        <v/>
      </c>
      <c r="S294" s="18" t="n"/>
      <c r="T294" s="19">
        <f>IF($Q294&lt;&gt;"Yes","",IF($S294="","(enter date)",_xlfn.LET(_xlpm.dn,IFERROR(_xlfn.XLOOKUP($S294,nrCDdate,nrCDnum),""),IF(_xlpm.dn="","(not a class day)",IFERROR(_xlfn.XLOOKUP(_xlpm.dn+cfgRetestClassDays,nrCDnum,nrCDdate),"")))))</f>
        <v/>
      </c>
      <c r="U294" s="17">
        <f>IF($Q294&lt;&gt;"Yes","",IF(COUNTIFS(nrES_PID,$D294,nrES_Code,$F294,nrES_Att,2)&gt;0,"Retested",IF(OR($T294="",NOT(ISNUMBER($T294))),"Pending",IF(TODAY()&gt;$T294,"OVERDUE","Due "&amp;TEXT($T294,"mm/dd")))))</f>
        <v/>
      </c>
      <c r="V294" s="16" t="n"/>
      <c r="W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IF($C295="","",IF($L295="","",IF($K295=1,IF(COUNTIFS(nrES_PID,$D295,nrES_Code,$F295,nrES_Att,2)&gt;0,"",$L295),IF(COUNTIFS(nrES_PID,$D295,nrES_Code,$F295,nrES_Att,1)=0,$L295,IF($L295&gt;=$J295,cfgRetakeRecordedCap,SUMIFS(nrES_Raw,nrES_PID,$D295,nrES_Code,$F295,nrES_Att,1))))))</f>
        <v/>
      </c>
      <c r="N295" s="17">
        <f>IF($C295="","",IF($L295="","",IF($L295&gt;=$J295,"Yes","No")))</f>
        <v/>
      </c>
      <c r="O295" s="17">
        <f>IF($C295="","",IF($M295="","",IF($M295&gt;=$J295,"Yes","No")))</f>
        <v/>
      </c>
      <c r="P295" s="17">
        <f>IF($C295="","",IF($K295="","",IF(COUNTIFS(nrES_PID,$D295,nrES_Code,$F295,nrES_Att,"&gt;"&amp;$K295)=0,"Yes","No")))</f>
        <v/>
      </c>
      <c r="Q295" s="17">
        <f>IF($C295="","",IF($L295="","",IF(AND($K295=1,$L295&lt;$J295,COUNTIFS(nrES_PID,$D295,nrES_Code,$F295,nrES_Att,2)=0),"Yes","No")))</f>
        <v/>
      </c>
      <c r="R295" s="17">
        <f>IF($C295="","",IF($L295="","",IF(AND($K295=2,$L295&lt;$J295,COUNTIFS(nrES_PID,$D295,nrES_Code,$F295,nrES_Att,1)&gt;0),"Yes","No")))</f>
        <v/>
      </c>
      <c r="S295" s="18" t="n"/>
      <c r="T295" s="19">
        <f>IF($Q295&lt;&gt;"Yes","",IF($S295="","(enter date)",_xlfn.LET(_xlpm.dn,IFERROR(_xlfn.XLOOKUP($S295,nrCDdate,nrCDnum),""),IF(_xlpm.dn="","(not a class day)",IFERROR(_xlfn.XLOOKUP(_xlpm.dn+cfgRetestClassDays,nrCDnum,nrCDdate),"")))))</f>
        <v/>
      </c>
      <c r="U295" s="17">
        <f>IF($Q295&lt;&gt;"Yes","",IF(COUNTIFS(nrES_PID,$D295,nrES_Code,$F295,nrES_Att,2)&gt;0,"Retested",IF(OR($T295="",NOT(ISNUMBER($T295))),"Pending",IF(TODAY()&gt;$T295,"OVERDUE","Due "&amp;TEXT($T295,"mm/dd")))))</f>
        <v/>
      </c>
      <c r="V295" s="16" t="n"/>
      <c r="W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IF($C296="","",IF($L296="","",IF($K296=1,IF(COUNTIFS(nrES_PID,$D296,nrES_Code,$F296,nrES_Att,2)&gt;0,"",$L296),IF(COUNTIFS(nrES_PID,$D296,nrES_Code,$F296,nrES_Att,1)=0,$L296,IF($L296&gt;=$J296,cfgRetakeRecordedCap,SUMIFS(nrES_Raw,nrES_PID,$D296,nrES_Code,$F296,nrES_Att,1))))))</f>
        <v/>
      </c>
      <c r="N296" s="17">
        <f>IF($C296="","",IF($L296="","",IF($L296&gt;=$J296,"Yes","No")))</f>
        <v/>
      </c>
      <c r="O296" s="17">
        <f>IF($C296="","",IF($M296="","",IF($M296&gt;=$J296,"Yes","No")))</f>
        <v/>
      </c>
      <c r="P296" s="17">
        <f>IF($C296="","",IF($K296="","",IF(COUNTIFS(nrES_PID,$D296,nrES_Code,$F296,nrES_Att,"&gt;"&amp;$K296)=0,"Yes","No")))</f>
        <v/>
      </c>
      <c r="Q296" s="17">
        <f>IF($C296="","",IF($L296="","",IF(AND($K296=1,$L296&lt;$J296,COUNTIFS(nrES_PID,$D296,nrES_Code,$F296,nrES_Att,2)=0),"Yes","No")))</f>
        <v/>
      </c>
      <c r="R296" s="17">
        <f>IF($C296="","",IF($L296="","",IF(AND($K296=2,$L296&lt;$J296,COUNTIFS(nrES_PID,$D296,nrES_Code,$F296,nrES_Att,1)&gt;0),"Yes","No")))</f>
        <v/>
      </c>
      <c r="S296" s="18" t="n"/>
      <c r="T296" s="19">
        <f>IF($Q296&lt;&gt;"Yes","",IF($S296="","(enter date)",_xlfn.LET(_xlpm.dn,IFERROR(_xlfn.XLOOKUP($S296,nrCDdate,nrCDnum),""),IF(_xlpm.dn="","(not a class day)",IFERROR(_xlfn.XLOOKUP(_xlpm.dn+cfgRetestClassDays,nrCDnum,nrCDdate),"")))))</f>
        <v/>
      </c>
      <c r="U296" s="17">
        <f>IF($Q296&lt;&gt;"Yes","",IF(COUNTIFS(nrES_PID,$D296,nrES_Code,$F296,nrES_Att,2)&gt;0,"Retested",IF(OR($T296="",NOT(ISNUMBER($T296))),"Pending",IF(TODAY()&gt;$T296,"OVERDUE","Due "&amp;TEXT($T296,"mm/dd")))))</f>
        <v/>
      </c>
      <c r="V296" s="16" t="n"/>
      <c r="W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IF($C297="","",IF($L297="","",IF($K297=1,IF(COUNTIFS(nrES_PID,$D297,nrES_Code,$F297,nrES_Att,2)&gt;0,"",$L297),IF(COUNTIFS(nrES_PID,$D297,nrES_Code,$F297,nrES_Att,1)=0,$L297,IF($L297&gt;=$J297,cfgRetakeRecordedCap,SUMIFS(nrES_Raw,nrES_PID,$D297,nrES_Code,$F297,nrES_Att,1))))))</f>
        <v/>
      </c>
      <c r="N297" s="17">
        <f>IF($C297="","",IF($L297="","",IF($L297&gt;=$J297,"Yes","No")))</f>
        <v/>
      </c>
      <c r="O297" s="17">
        <f>IF($C297="","",IF($M297="","",IF($M297&gt;=$J297,"Yes","No")))</f>
        <v/>
      </c>
      <c r="P297" s="17">
        <f>IF($C297="","",IF($K297="","",IF(COUNTIFS(nrES_PID,$D297,nrES_Code,$F297,nrES_Att,"&gt;"&amp;$K297)=0,"Yes","No")))</f>
        <v/>
      </c>
      <c r="Q297" s="17">
        <f>IF($C297="","",IF($L297="","",IF(AND($K297=1,$L297&lt;$J297,COUNTIFS(nrES_PID,$D297,nrES_Code,$F297,nrES_Att,2)=0),"Yes","No")))</f>
        <v/>
      </c>
      <c r="R297" s="17">
        <f>IF($C297="","",IF($L297="","",IF(AND($K297=2,$L297&lt;$J297,COUNTIFS(nrES_PID,$D297,nrES_Code,$F297,nrES_Att,1)&gt;0),"Yes","No")))</f>
        <v/>
      </c>
      <c r="S297" s="18" t="n"/>
      <c r="T297" s="19">
        <f>IF($Q297&lt;&gt;"Yes","",IF($S297="","(enter date)",_xlfn.LET(_xlpm.dn,IFERROR(_xlfn.XLOOKUP($S297,nrCDdate,nrCDnum),""),IF(_xlpm.dn="","(not a class day)",IFERROR(_xlfn.XLOOKUP(_xlpm.dn+cfgRetestClassDays,nrCDnum,nrCDdate),"")))))</f>
        <v/>
      </c>
      <c r="U297" s="17">
        <f>IF($Q297&lt;&gt;"Yes","",IF(COUNTIFS(nrES_PID,$D297,nrES_Code,$F297,nrES_Att,2)&gt;0,"Retested",IF(OR($T297="",NOT(ISNUMBER($T297))),"Pending",IF(TODAY()&gt;$T297,"OVERDUE","Due "&amp;TEXT($T297,"mm/dd")))))</f>
        <v/>
      </c>
      <c r="V297" s="16" t="n"/>
      <c r="W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IF($C298="","",IF($L298="","",IF($K298=1,IF(COUNTIFS(nrES_PID,$D298,nrES_Code,$F298,nrES_Att,2)&gt;0,"",$L298),IF(COUNTIFS(nrES_PID,$D298,nrES_Code,$F298,nrES_Att,1)=0,$L298,IF($L298&gt;=$J298,cfgRetakeRecordedCap,SUMIFS(nrES_Raw,nrES_PID,$D298,nrES_Code,$F298,nrES_Att,1))))))</f>
        <v/>
      </c>
      <c r="N298" s="17">
        <f>IF($C298="","",IF($L298="","",IF($L298&gt;=$J298,"Yes","No")))</f>
        <v/>
      </c>
      <c r="O298" s="17">
        <f>IF($C298="","",IF($M298="","",IF($M298&gt;=$J298,"Yes","No")))</f>
        <v/>
      </c>
      <c r="P298" s="17">
        <f>IF($C298="","",IF($K298="","",IF(COUNTIFS(nrES_PID,$D298,nrES_Code,$F298,nrES_Att,"&gt;"&amp;$K298)=0,"Yes","No")))</f>
        <v/>
      </c>
      <c r="Q298" s="17">
        <f>IF($C298="","",IF($L298="","",IF(AND($K298=1,$L298&lt;$J298,COUNTIFS(nrES_PID,$D298,nrES_Code,$F298,nrES_Att,2)=0),"Yes","No")))</f>
        <v/>
      </c>
      <c r="R298" s="17">
        <f>IF($C298="","",IF($L298="","",IF(AND($K298=2,$L298&lt;$J298,COUNTIFS(nrES_PID,$D298,nrES_Code,$F298,nrES_Att,1)&gt;0),"Yes","No")))</f>
        <v/>
      </c>
      <c r="S298" s="18" t="n"/>
      <c r="T298" s="19">
        <f>IF($Q298&lt;&gt;"Yes","",IF($S298="","(enter date)",_xlfn.LET(_xlpm.dn,IFERROR(_xlfn.XLOOKUP($S298,nrCDdate,nrCDnum),""),IF(_xlpm.dn="","(not a class day)",IFERROR(_xlfn.XLOOKUP(_xlpm.dn+cfgRetestClassDays,nrCDnum,nrCDdate),"")))))</f>
        <v/>
      </c>
      <c r="U298" s="17">
        <f>IF($Q298&lt;&gt;"Yes","",IF(COUNTIFS(nrES_PID,$D298,nrES_Code,$F298,nrES_Att,2)&gt;0,"Retested",IF(OR($T298="",NOT(ISNUMBER($T298))),"Pending",IF(TODAY()&gt;$T298,"OVERDUE","Due "&amp;TEXT($T298,"mm/dd")))))</f>
        <v/>
      </c>
      <c r="V298" s="16" t="n"/>
      <c r="W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IF($C299="","",IF($L299="","",IF($K299=1,IF(COUNTIFS(nrES_PID,$D299,nrES_Code,$F299,nrES_Att,2)&gt;0,"",$L299),IF(COUNTIFS(nrES_PID,$D299,nrES_Code,$F299,nrES_Att,1)=0,$L299,IF($L299&gt;=$J299,cfgRetakeRecordedCap,SUMIFS(nrES_Raw,nrES_PID,$D299,nrES_Code,$F299,nrES_Att,1))))))</f>
        <v/>
      </c>
      <c r="N299" s="17">
        <f>IF($C299="","",IF($L299="","",IF($L299&gt;=$J299,"Yes","No")))</f>
        <v/>
      </c>
      <c r="O299" s="17">
        <f>IF($C299="","",IF($M299="","",IF($M299&gt;=$J299,"Yes","No")))</f>
        <v/>
      </c>
      <c r="P299" s="17">
        <f>IF($C299="","",IF($K299="","",IF(COUNTIFS(nrES_PID,$D299,nrES_Code,$F299,nrES_Att,"&gt;"&amp;$K299)=0,"Yes","No")))</f>
        <v/>
      </c>
      <c r="Q299" s="17">
        <f>IF($C299="","",IF($L299="","",IF(AND($K299=1,$L299&lt;$J299,COUNTIFS(nrES_PID,$D299,nrES_Code,$F299,nrES_Att,2)=0),"Yes","No")))</f>
        <v/>
      </c>
      <c r="R299" s="17">
        <f>IF($C299="","",IF($L299="","",IF(AND($K299=2,$L299&lt;$J299,COUNTIFS(nrES_PID,$D299,nrES_Code,$F299,nrES_Att,1)&gt;0),"Yes","No")))</f>
        <v/>
      </c>
      <c r="S299" s="18" t="n"/>
      <c r="T299" s="19">
        <f>IF($Q299&lt;&gt;"Yes","",IF($S299="","(enter date)",_xlfn.LET(_xlpm.dn,IFERROR(_xlfn.XLOOKUP($S299,nrCDdate,nrCDnum),""),IF(_xlpm.dn="","(not a class day)",IFERROR(_xlfn.XLOOKUP(_xlpm.dn+cfgRetestClassDays,nrCDnum,nrCDdate),"")))))</f>
        <v/>
      </c>
      <c r="U299" s="17">
        <f>IF($Q299&lt;&gt;"Yes","",IF(COUNTIFS(nrES_PID,$D299,nrES_Code,$F299,nrES_Att,2)&gt;0,"Retested",IF(OR($T299="",NOT(ISNUMBER($T299))),"Pending",IF(TODAY()&gt;$T299,"OVERDUE","Due "&amp;TEXT($T299,"mm/dd")))))</f>
        <v/>
      </c>
      <c r="V299" s="16" t="n"/>
      <c r="W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IF($C300="","",IF($L300="","",IF($K300=1,IF(COUNTIFS(nrES_PID,$D300,nrES_Code,$F300,nrES_Att,2)&gt;0,"",$L300),IF(COUNTIFS(nrES_PID,$D300,nrES_Code,$F300,nrES_Att,1)=0,$L300,IF($L300&gt;=$J300,cfgRetakeRecordedCap,SUMIFS(nrES_Raw,nrES_PID,$D300,nrES_Code,$F300,nrES_Att,1))))))</f>
        <v/>
      </c>
      <c r="N300" s="17">
        <f>IF($C300="","",IF($L300="","",IF($L300&gt;=$J300,"Yes","No")))</f>
        <v/>
      </c>
      <c r="O300" s="17">
        <f>IF($C300="","",IF($M300="","",IF($M300&gt;=$J300,"Yes","No")))</f>
        <v/>
      </c>
      <c r="P300" s="17">
        <f>IF($C300="","",IF($K300="","",IF(COUNTIFS(nrES_PID,$D300,nrES_Code,$F300,nrES_Att,"&gt;"&amp;$K300)=0,"Yes","No")))</f>
        <v/>
      </c>
      <c r="Q300" s="17">
        <f>IF($C300="","",IF($L300="","",IF(AND($K300=1,$L300&lt;$J300,COUNTIFS(nrES_PID,$D300,nrES_Code,$F300,nrES_Att,2)=0),"Yes","No")))</f>
        <v/>
      </c>
      <c r="R300" s="17">
        <f>IF($C300="","",IF($L300="","",IF(AND($K300=2,$L300&lt;$J300,COUNTIFS(nrES_PID,$D300,nrES_Code,$F300,nrES_Att,1)&gt;0),"Yes","No")))</f>
        <v/>
      </c>
      <c r="S300" s="18" t="n"/>
      <c r="T300" s="19">
        <f>IF($Q300&lt;&gt;"Yes","",IF($S300="","(enter date)",_xlfn.LET(_xlpm.dn,IFERROR(_xlfn.XLOOKUP($S300,nrCDdate,nrCDnum),""),IF(_xlpm.dn="","(not a class day)",IFERROR(_xlfn.XLOOKUP(_xlpm.dn+cfgRetestClassDays,nrCDnum,nrCDdate),"")))))</f>
        <v/>
      </c>
      <c r="U300" s="17">
        <f>IF($Q300&lt;&gt;"Yes","",IF(COUNTIFS(nrES_PID,$D300,nrES_Code,$F300,nrES_Att,2)&gt;0,"Retested",IF(OR($T300="",NOT(ISNUMBER($T300))),"Pending",IF(TODAY()&gt;$T300,"OVERDUE","Due "&amp;TEXT($T300,"mm/dd")))))</f>
        <v/>
      </c>
      <c r="V300" s="16" t="n"/>
      <c r="W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IF($C301="","",IF($L301="","",IF($K301=1,IF(COUNTIFS(nrES_PID,$D301,nrES_Code,$F301,nrES_Att,2)&gt;0,"",$L301),IF(COUNTIFS(nrES_PID,$D301,nrES_Code,$F301,nrES_Att,1)=0,$L301,IF($L301&gt;=$J301,cfgRetakeRecordedCap,SUMIFS(nrES_Raw,nrES_PID,$D301,nrES_Code,$F301,nrES_Att,1))))))</f>
        <v/>
      </c>
      <c r="N301" s="17">
        <f>IF($C301="","",IF($L301="","",IF($L301&gt;=$J301,"Yes","No")))</f>
        <v/>
      </c>
      <c r="O301" s="17">
        <f>IF($C301="","",IF($M301="","",IF($M301&gt;=$J301,"Yes","No")))</f>
        <v/>
      </c>
      <c r="P301" s="17">
        <f>IF($C301="","",IF($K301="","",IF(COUNTIFS(nrES_PID,$D301,nrES_Code,$F301,nrES_Att,"&gt;"&amp;$K301)=0,"Yes","No")))</f>
        <v/>
      </c>
      <c r="Q301" s="17">
        <f>IF($C301="","",IF($L301="","",IF(AND($K301=1,$L301&lt;$J301,COUNTIFS(nrES_PID,$D301,nrES_Code,$F301,nrES_Att,2)=0),"Yes","No")))</f>
        <v/>
      </c>
      <c r="R301" s="17">
        <f>IF($C301="","",IF($L301="","",IF(AND($K301=2,$L301&lt;$J301,COUNTIFS(nrES_PID,$D301,nrES_Code,$F301,nrES_Att,1)&gt;0),"Yes","No")))</f>
        <v/>
      </c>
      <c r="S301" s="18" t="n"/>
      <c r="T301" s="19">
        <f>IF($Q301&lt;&gt;"Yes","",IF($S301="","(enter date)",_xlfn.LET(_xlpm.dn,IFERROR(_xlfn.XLOOKUP($S301,nrCDdate,nrCDnum),""),IF(_xlpm.dn="","(not a class day)",IFERROR(_xlfn.XLOOKUP(_xlpm.dn+cfgRetestClassDays,nrCDnum,nrCDdate),"")))))</f>
        <v/>
      </c>
      <c r="U301" s="17">
        <f>IF($Q301&lt;&gt;"Yes","",IF(COUNTIFS(nrES_PID,$D301,nrES_Code,$F301,nrES_Att,2)&gt;0,"Retested",IF(OR($T301="",NOT(ISNUMBER($T301))),"Pending",IF(TODAY()&gt;$T301,"OVERDUE","Due "&amp;TEXT($T301,"mm/dd")))))</f>
        <v/>
      </c>
      <c r="V301" s="16" t="n"/>
      <c r="W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IF($C302="","",IF($L302="","",IF($K302=1,IF(COUNTIFS(nrES_PID,$D302,nrES_Code,$F302,nrES_Att,2)&gt;0,"",$L302),IF(COUNTIFS(nrES_PID,$D302,nrES_Code,$F302,nrES_Att,1)=0,$L302,IF($L302&gt;=$J302,cfgRetakeRecordedCap,SUMIFS(nrES_Raw,nrES_PID,$D302,nrES_Code,$F302,nrES_Att,1))))))</f>
        <v/>
      </c>
      <c r="N302" s="17">
        <f>IF($C302="","",IF($L302="","",IF($L302&gt;=$J302,"Yes","No")))</f>
        <v/>
      </c>
      <c r="O302" s="17">
        <f>IF($C302="","",IF($M302="","",IF($M302&gt;=$J302,"Yes","No")))</f>
        <v/>
      </c>
      <c r="P302" s="17">
        <f>IF($C302="","",IF($K302="","",IF(COUNTIFS(nrES_PID,$D302,nrES_Code,$F302,nrES_Att,"&gt;"&amp;$K302)=0,"Yes","No")))</f>
        <v/>
      </c>
      <c r="Q302" s="17">
        <f>IF($C302="","",IF($L302="","",IF(AND($K302=1,$L302&lt;$J302,COUNTIFS(nrES_PID,$D302,nrES_Code,$F302,nrES_Att,2)=0),"Yes","No")))</f>
        <v/>
      </c>
      <c r="R302" s="17">
        <f>IF($C302="","",IF($L302="","",IF(AND($K302=2,$L302&lt;$J302,COUNTIFS(nrES_PID,$D302,nrES_Code,$F302,nrES_Att,1)&gt;0),"Yes","No")))</f>
        <v/>
      </c>
      <c r="S302" s="18" t="n"/>
      <c r="T302" s="19">
        <f>IF($Q302&lt;&gt;"Yes","",IF($S302="","(enter date)",_xlfn.LET(_xlpm.dn,IFERROR(_xlfn.XLOOKUP($S302,nrCDdate,nrCDnum),""),IF(_xlpm.dn="","(not a class day)",IFERROR(_xlfn.XLOOKUP(_xlpm.dn+cfgRetestClassDays,nrCDnum,nrCDdate),"")))))</f>
        <v/>
      </c>
      <c r="U302" s="17">
        <f>IF($Q302&lt;&gt;"Yes","",IF(COUNTIFS(nrES_PID,$D302,nrES_Code,$F302,nrES_Att,2)&gt;0,"Retested",IF(OR($T302="",NOT(ISNUMBER($T302))),"Pending",IF(TODAY()&gt;$T302,"OVERDUE","Due "&amp;TEXT($T302,"mm/dd")))))</f>
        <v/>
      </c>
      <c r="V302" s="16" t="n"/>
      <c r="W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IF($C303="","",IF($L303="","",IF($K303=1,IF(COUNTIFS(nrES_PID,$D303,nrES_Code,$F303,nrES_Att,2)&gt;0,"",$L303),IF(COUNTIFS(nrES_PID,$D303,nrES_Code,$F303,nrES_Att,1)=0,$L303,IF($L303&gt;=$J303,cfgRetakeRecordedCap,SUMIFS(nrES_Raw,nrES_PID,$D303,nrES_Code,$F303,nrES_Att,1))))))</f>
        <v/>
      </c>
      <c r="N303" s="17">
        <f>IF($C303="","",IF($L303="","",IF($L303&gt;=$J303,"Yes","No")))</f>
        <v/>
      </c>
      <c r="O303" s="17">
        <f>IF($C303="","",IF($M303="","",IF($M303&gt;=$J303,"Yes","No")))</f>
        <v/>
      </c>
      <c r="P303" s="17">
        <f>IF($C303="","",IF($K303="","",IF(COUNTIFS(nrES_PID,$D303,nrES_Code,$F303,nrES_Att,"&gt;"&amp;$K303)=0,"Yes","No")))</f>
        <v/>
      </c>
      <c r="Q303" s="17">
        <f>IF($C303="","",IF($L303="","",IF(AND($K303=1,$L303&lt;$J303,COUNTIFS(nrES_PID,$D303,nrES_Code,$F303,nrES_Att,2)=0),"Yes","No")))</f>
        <v/>
      </c>
      <c r="R303" s="17">
        <f>IF($C303="","",IF($L303="","",IF(AND($K303=2,$L303&lt;$J303,COUNTIFS(nrES_PID,$D303,nrES_Code,$F303,nrES_Att,1)&gt;0),"Yes","No")))</f>
        <v/>
      </c>
      <c r="S303" s="18" t="n"/>
      <c r="T303" s="19">
        <f>IF($Q303&lt;&gt;"Yes","",IF($S303="","(enter date)",_xlfn.LET(_xlpm.dn,IFERROR(_xlfn.XLOOKUP($S303,nrCDdate,nrCDnum),""),IF(_xlpm.dn="","(not a class day)",IFERROR(_xlfn.XLOOKUP(_xlpm.dn+cfgRetestClassDays,nrCDnum,nrCDdate),"")))))</f>
        <v/>
      </c>
      <c r="U303" s="17">
        <f>IF($Q303&lt;&gt;"Yes","",IF(COUNTIFS(nrES_PID,$D303,nrES_Code,$F303,nrES_Att,2)&gt;0,"Retested",IF(OR($T303="",NOT(ISNUMBER($T303))),"Pending",IF(TODAY()&gt;$T303,"OVERDUE","Due "&amp;TEXT($T303,"mm/dd")))))</f>
        <v/>
      </c>
      <c r="V303" s="16" t="n"/>
      <c r="W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IF($C304="","",IF($L304="","",IF($K304=1,IF(COUNTIFS(nrES_PID,$D304,nrES_Code,$F304,nrES_Att,2)&gt;0,"",$L304),IF(COUNTIFS(nrES_PID,$D304,nrES_Code,$F304,nrES_Att,1)=0,$L304,IF($L304&gt;=$J304,cfgRetakeRecordedCap,SUMIFS(nrES_Raw,nrES_PID,$D304,nrES_Code,$F304,nrES_Att,1))))))</f>
        <v/>
      </c>
      <c r="N304" s="17">
        <f>IF($C304="","",IF($L304="","",IF($L304&gt;=$J304,"Yes","No")))</f>
        <v/>
      </c>
      <c r="O304" s="17">
        <f>IF($C304="","",IF($M304="","",IF($M304&gt;=$J304,"Yes","No")))</f>
        <v/>
      </c>
      <c r="P304" s="17">
        <f>IF($C304="","",IF($K304="","",IF(COUNTIFS(nrES_PID,$D304,nrES_Code,$F304,nrES_Att,"&gt;"&amp;$K304)=0,"Yes","No")))</f>
        <v/>
      </c>
      <c r="Q304" s="17">
        <f>IF($C304="","",IF($L304="","",IF(AND($K304=1,$L304&lt;$J304,COUNTIFS(nrES_PID,$D304,nrES_Code,$F304,nrES_Att,2)=0),"Yes","No")))</f>
        <v/>
      </c>
      <c r="R304" s="17">
        <f>IF($C304="","",IF($L304="","",IF(AND($K304=2,$L304&lt;$J304,COUNTIFS(nrES_PID,$D304,nrES_Code,$F304,nrES_Att,1)&gt;0),"Yes","No")))</f>
        <v/>
      </c>
      <c r="S304" s="18" t="n"/>
      <c r="T304" s="19">
        <f>IF($Q304&lt;&gt;"Yes","",IF($S304="","(enter date)",_xlfn.LET(_xlpm.dn,IFERROR(_xlfn.XLOOKUP($S304,nrCDdate,nrCDnum),""),IF(_xlpm.dn="","(not a class day)",IFERROR(_xlfn.XLOOKUP(_xlpm.dn+cfgRetestClassDays,nrCDnum,nrCDdate),"")))))</f>
        <v/>
      </c>
      <c r="U304" s="17">
        <f>IF($Q304&lt;&gt;"Yes","",IF(COUNTIFS(nrES_PID,$D304,nrES_Code,$F304,nrES_Att,2)&gt;0,"Retested",IF(OR($T304="",NOT(ISNUMBER($T304))),"Pending",IF(TODAY()&gt;$T304,"OVERDUE","Due "&amp;TEXT($T304,"mm/dd")))))</f>
        <v/>
      </c>
      <c r="V304" s="16" t="n"/>
      <c r="W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IF($C305="","",IF($L305="","",IF($K305=1,IF(COUNTIFS(nrES_PID,$D305,nrES_Code,$F305,nrES_Att,2)&gt;0,"",$L305),IF(COUNTIFS(nrES_PID,$D305,nrES_Code,$F305,nrES_Att,1)=0,$L305,IF($L305&gt;=$J305,cfgRetakeRecordedCap,SUMIFS(nrES_Raw,nrES_PID,$D305,nrES_Code,$F305,nrES_Att,1))))))</f>
        <v/>
      </c>
      <c r="N305" s="17">
        <f>IF($C305="","",IF($L305="","",IF($L305&gt;=$J305,"Yes","No")))</f>
        <v/>
      </c>
      <c r="O305" s="17">
        <f>IF($C305="","",IF($M305="","",IF($M305&gt;=$J305,"Yes","No")))</f>
        <v/>
      </c>
      <c r="P305" s="17">
        <f>IF($C305="","",IF($K305="","",IF(COUNTIFS(nrES_PID,$D305,nrES_Code,$F305,nrES_Att,"&gt;"&amp;$K305)=0,"Yes","No")))</f>
        <v/>
      </c>
      <c r="Q305" s="17">
        <f>IF($C305="","",IF($L305="","",IF(AND($K305=1,$L305&lt;$J305,COUNTIFS(nrES_PID,$D305,nrES_Code,$F305,nrES_Att,2)=0),"Yes","No")))</f>
        <v/>
      </c>
      <c r="R305" s="17">
        <f>IF($C305="","",IF($L305="","",IF(AND($K305=2,$L305&lt;$J305,COUNTIFS(nrES_PID,$D305,nrES_Code,$F305,nrES_Att,1)&gt;0),"Yes","No")))</f>
        <v/>
      </c>
      <c r="S305" s="18" t="n"/>
      <c r="T305" s="19">
        <f>IF($Q305&lt;&gt;"Yes","",IF($S305="","(enter date)",_xlfn.LET(_xlpm.dn,IFERROR(_xlfn.XLOOKUP($S305,nrCDdate,nrCDnum),""),IF(_xlpm.dn="","(not a class day)",IFERROR(_xlfn.XLOOKUP(_xlpm.dn+cfgRetestClassDays,nrCDnum,nrCDdate),"")))))</f>
        <v/>
      </c>
      <c r="U305" s="17">
        <f>IF($Q305&lt;&gt;"Yes","",IF(COUNTIFS(nrES_PID,$D305,nrES_Code,$F305,nrES_Att,2)&gt;0,"Retested",IF(OR($T305="",NOT(ISNUMBER($T305))),"Pending",IF(TODAY()&gt;$T305,"OVERDUE","Due "&amp;TEXT($T305,"mm/dd")))))</f>
        <v/>
      </c>
      <c r="V305" s="16" t="n"/>
      <c r="W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IF($C306="","",IF($L306="","",IF($K306=1,IF(COUNTIFS(nrES_PID,$D306,nrES_Code,$F306,nrES_Att,2)&gt;0,"",$L306),IF(COUNTIFS(nrES_PID,$D306,nrES_Code,$F306,nrES_Att,1)=0,$L306,IF($L306&gt;=$J306,cfgRetakeRecordedCap,SUMIFS(nrES_Raw,nrES_PID,$D306,nrES_Code,$F306,nrES_Att,1))))))</f>
        <v/>
      </c>
      <c r="N306" s="17">
        <f>IF($C306="","",IF($L306="","",IF($L306&gt;=$J306,"Yes","No")))</f>
        <v/>
      </c>
      <c r="O306" s="17">
        <f>IF($C306="","",IF($M306="","",IF($M306&gt;=$J306,"Yes","No")))</f>
        <v/>
      </c>
      <c r="P306" s="17">
        <f>IF($C306="","",IF($K306="","",IF(COUNTIFS(nrES_PID,$D306,nrES_Code,$F306,nrES_Att,"&gt;"&amp;$K306)=0,"Yes","No")))</f>
        <v/>
      </c>
      <c r="Q306" s="17">
        <f>IF($C306="","",IF($L306="","",IF(AND($K306=1,$L306&lt;$J306,COUNTIFS(nrES_PID,$D306,nrES_Code,$F306,nrES_Att,2)=0),"Yes","No")))</f>
        <v/>
      </c>
      <c r="R306" s="17">
        <f>IF($C306="","",IF($L306="","",IF(AND($K306=2,$L306&lt;$J306,COUNTIFS(nrES_PID,$D306,nrES_Code,$F306,nrES_Att,1)&gt;0),"Yes","No")))</f>
        <v/>
      </c>
      <c r="S306" s="18" t="n"/>
      <c r="T306" s="19">
        <f>IF($Q306&lt;&gt;"Yes","",IF($S306="","(enter date)",_xlfn.LET(_xlpm.dn,IFERROR(_xlfn.XLOOKUP($S306,nrCDdate,nrCDnum),""),IF(_xlpm.dn="","(not a class day)",IFERROR(_xlfn.XLOOKUP(_xlpm.dn+cfgRetestClassDays,nrCDnum,nrCDdate),"")))))</f>
        <v/>
      </c>
      <c r="U306" s="17">
        <f>IF($Q306&lt;&gt;"Yes","",IF(COUNTIFS(nrES_PID,$D306,nrES_Code,$F306,nrES_Att,2)&gt;0,"Retested",IF(OR($T306="",NOT(ISNUMBER($T306))),"Pending",IF(TODAY()&gt;$T306,"OVERDUE","Due "&amp;TEXT($T306,"mm/dd")))))</f>
        <v/>
      </c>
      <c r="V306" s="16" t="n"/>
      <c r="W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IF($C307="","",IF($L307="","",IF($K307=1,IF(COUNTIFS(nrES_PID,$D307,nrES_Code,$F307,nrES_Att,2)&gt;0,"",$L307),IF(COUNTIFS(nrES_PID,$D307,nrES_Code,$F307,nrES_Att,1)=0,$L307,IF($L307&gt;=$J307,cfgRetakeRecordedCap,SUMIFS(nrES_Raw,nrES_PID,$D307,nrES_Code,$F307,nrES_Att,1))))))</f>
        <v/>
      </c>
      <c r="N307" s="17">
        <f>IF($C307="","",IF($L307="","",IF($L307&gt;=$J307,"Yes","No")))</f>
        <v/>
      </c>
      <c r="O307" s="17">
        <f>IF($C307="","",IF($M307="","",IF($M307&gt;=$J307,"Yes","No")))</f>
        <v/>
      </c>
      <c r="P307" s="17">
        <f>IF($C307="","",IF($K307="","",IF(COUNTIFS(nrES_PID,$D307,nrES_Code,$F307,nrES_Att,"&gt;"&amp;$K307)=0,"Yes","No")))</f>
        <v/>
      </c>
      <c r="Q307" s="17">
        <f>IF($C307="","",IF($L307="","",IF(AND($K307=1,$L307&lt;$J307,COUNTIFS(nrES_PID,$D307,nrES_Code,$F307,nrES_Att,2)=0),"Yes","No")))</f>
        <v/>
      </c>
      <c r="R307" s="17">
        <f>IF($C307="","",IF($L307="","",IF(AND($K307=2,$L307&lt;$J307,COUNTIFS(nrES_PID,$D307,nrES_Code,$F307,nrES_Att,1)&gt;0),"Yes","No")))</f>
        <v/>
      </c>
      <c r="S307" s="18" t="n"/>
      <c r="T307" s="19">
        <f>IF($Q307&lt;&gt;"Yes","",IF($S307="","(enter date)",_xlfn.LET(_xlpm.dn,IFERROR(_xlfn.XLOOKUP($S307,nrCDdate,nrCDnum),""),IF(_xlpm.dn="","(not a class day)",IFERROR(_xlfn.XLOOKUP(_xlpm.dn+cfgRetestClassDays,nrCDnum,nrCDdate),"")))))</f>
        <v/>
      </c>
      <c r="U307" s="17">
        <f>IF($Q307&lt;&gt;"Yes","",IF(COUNTIFS(nrES_PID,$D307,nrES_Code,$F307,nrES_Att,2)&gt;0,"Retested",IF(OR($T307="",NOT(ISNUMBER($T307))),"Pending",IF(TODAY()&gt;$T307,"OVERDUE","Due "&amp;TEXT($T307,"mm/dd")))))</f>
        <v/>
      </c>
      <c r="V307" s="16" t="n"/>
      <c r="W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IF($C308="","",IF($L308="","",IF($K308=1,IF(COUNTIFS(nrES_PID,$D308,nrES_Code,$F308,nrES_Att,2)&gt;0,"",$L308),IF(COUNTIFS(nrES_PID,$D308,nrES_Code,$F308,nrES_Att,1)=0,$L308,IF($L308&gt;=$J308,cfgRetakeRecordedCap,SUMIFS(nrES_Raw,nrES_PID,$D308,nrES_Code,$F308,nrES_Att,1))))))</f>
        <v/>
      </c>
      <c r="N308" s="17">
        <f>IF($C308="","",IF($L308="","",IF($L308&gt;=$J308,"Yes","No")))</f>
        <v/>
      </c>
      <c r="O308" s="17">
        <f>IF($C308="","",IF($M308="","",IF($M308&gt;=$J308,"Yes","No")))</f>
        <v/>
      </c>
      <c r="P308" s="17">
        <f>IF($C308="","",IF($K308="","",IF(COUNTIFS(nrES_PID,$D308,nrES_Code,$F308,nrES_Att,"&gt;"&amp;$K308)=0,"Yes","No")))</f>
        <v/>
      </c>
      <c r="Q308" s="17">
        <f>IF($C308="","",IF($L308="","",IF(AND($K308=1,$L308&lt;$J308,COUNTIFS(nrES_PID,$D308,nrES_Code,$F308,nrES_Att,2)=0),"Yes","No")))</f>
        <v/>
      </c>
      <c r="R308" s="17">
        <f>IF($C308="","",IF($L308="","",IF(AND($K308=2,$L308&lt;$J308,COUNTIFS(nrES_PID,$D308,nrES_Code,$F308,nrES_Att,1)&gt;0),"Yes","No")))</f>
        <v/>
      </c>
      <c r="S308" s="18" t="n"/>
      <c r="T308" s="19">
        <f>IF($Q308&lt;&gt;"Yes","",IF($S308="","(enter date)",_xlfn.LET(_xlpm.dn,IFERROR(_xlfn.XLOOKUP($S308,nrCDdate,nrCDnum),""),IF(_xlpm.dn="","(not a class day)",IFERROR(_xlfn.XLOOKUP(_xlpm.dn+cfgRetestClassDays,nrCDnum,nrCDdate),"")))))</f>
        <v/>
      </c>
      <c r="U308" s="17">
        <f>IF($Q308&lt;&gt;"Yes","",IF(COUNTIFS(nrES_PID,$D308,nrES_Code,$F308,nrES_Att,2)&gt;0,"Retested",IF(OR($T308="",NOT(ISNUMBER($T308))),"Pending",IF(TODAY()&gt;$T308,"OVERDUE","Due "&amp;TEXT($T308,"mm/dd")))))</f>
        <v/>
      </c>
      <c r="V308" s="16" t="n"/>
      <c r="W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IF($C309="","",IF($L309="","",IF($K309=1,IF(COUNTIFS(nrES_PID,$D309,nrES_Code,$F309,nrES_Att,2)&gt;0,"",$L309),IF(COUNTIFS(nrES_PID,$D309,nrES_Code,$F309,nrES_Att,1)=0,$L309,IF($L309&gt;=$J309,cfgRetakeRecordedCap,SUMIFS(nrES_Raw,nrES_PID,$D309,nrES_Code,$F309,nrES_Att,1))))))</f>
        <v/>
      </c>
      <c r="N309" s="17">
        <f>IF($C309="","",IF($L309="","",IF($L309&gt;=$J309,"Yes","No")))</f>
        <v/>
      </c>
      <c r="O309" s="17">
        <f>IF($C309="","",IF($M309="","",IF($M309&gt;=$J309,"Yes","No")))</f>
        <v/>
      </c>
      <c r="P309" s="17">
        <f>IF($C309="","",IF($K309="","",IF(COUNTIFS(nrES_PID,$D309,nrES_Code,$F309,nrES_Att,"&gt;"&amp;$K309)=0,"Yes","No")))</f>
        <v/>
      </c>
      <c r="Q309" s="17">
        <f>IF($C309="","",IF($L309="","",IF(AND($K309=1,$L309&lt;$J309,COUNTIFS(nrES_PID,$D309,nrES_Code,$F309,nrES_Att,2)=0),"Yes","No")))</f>
        <v/>
      </c>
      <c r="R309" s="17">
        <f>IF($C309="","",IF($L309="","",IF(AND($K309=2,$L309&lt;$J309,COUNTIFS(nrES_PID,$D309,nrES_Code,$F309,nrES_Att,1)&gt;0),"Yes","No")))</f>
        <v/>
      </c>
      <c r="S309" s="18" t="n"/>
      <c r="T309" s="19">
        <f>IF($Q309&lt;&gt;"Yes","",IF($S309="","(enter date)",_xlfn.LET(_xlpm.dn,IFERROR(_xlfn.XLOOKUP($S309,nrCDdate,nrCDnum),""),IF(_xlpm.dn="","(not a class day)",IFERROR(_xlfn.XLOOKUP(_xlpm.dn+cfgRetestClassDays,nrCDnum,nrCDdate),"")))))</f>
        <v/>
      </c>
      <c r="U309" s="17">
        <f>IF($Q309&lt;&gt;"Yes","",IF(COUNTIFS(nrES_PID,$D309,nrES_Code,$F309,nrES_Att,2)&gt;0,"Retested",IF(OR($T309="",NOT(ISNUMBER($T309))),"Pending",IF(TODAY()&gt;$T309,"OVERDUE","Due "&amp;TEXT($T309,"mm/dd")))))</f>
        <v/>
      </c>
      <c r="V309" s="16" t="n"/>
      <c r="W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IF($C310="","",IF($L310="","",IF($K310=1,IF(COUNTIFS(nrES_PID,$D310,nrES_Code,$F310,nrES_Att,2)&gt;0,"",$L310),IF(COUNTIFS(nrES_PID,$D310,nrES_Code,$F310,nrES_Att,1)=0,$L310,IF($L310&gt;=$J310,cfgRetakeRecordedCap,SUMIFS(nrES_Raw,nrES_PID,$D310,nrES_Code,$F310,nrES_Att,1))))))</f>
        <v/>
      </c>
      <c r="N310" s="17">
        <f>IF($C310="","",IF($L310="","",IF($L310&gt;=$J310,"Yes","No")))</f>
        <v/>
      </c>
      <c r="O310" s="17">
        <f>IF($C310="","",IF($M310="","",IF($M310&gt;=$J310,"Yes","No")))</f>
        <v/>
      </c>
      <c r="P310" s="17">
        <f>IF($C310="","",IF($K310="","",IF(COUNTIFS(nrES_PID,$D310,nrES_Code,$F310,nrES_Att,"&gt;"&amp;$K310)=0,"Yes","No")))</f>
        <v/>
      </c>
      <c r="Q310" s="17">
        <f>IF($C310="","",IF($L310="","",IF(AND($K310=1,$L310&lt;$J310,COUNTIFS(nrES_PID,$D310,nrES_Code,$F310,nrES_Att,2)=0),"Yes","No")))</f>
        <v/>
      </c>
      <c r="R310" s="17">
        <f>IF($C310="","",IF($L310="","",IF(AND($K310=2,$L310&lt;$J310,COUNTIFS(nrES_PID,$D310,nrES_Code,$F310,nrES_Att,1)&gt;0),"Yes","No")))</f>
        <v/>
      </c>
      <c r="S310" s="18" t="n"/>
      <c r="T310" s="19">
        <f>IF($Q310&lt;&gt;"Yes","",IF($S310="","(enter date)",_xlfn.LET(_xlpm.dn,IFERROR(_xlfn.XLOOKUP($S310,nrCDdate,nrCDnum),""),IF(_xlpm.dn="","(not a class day)",IFERROR(_xlfn.XLOOKUP(_xlpm.dn+cfgRetestClassDays,nrCDnum,nrCDdate),"")))))</f>
        <v/>
      </c>
      <c r="U310" s="17">
        <f>IF($Q310&lt;&gt;"Yes","",IF(COUNTIFS(nrES_PID,$D310,nrES_Code,$F310,nrES_Att,2)&gt;0,"Retested",IF(OR($T310="",NOT(ISNUMBER($T310))),"Pending",IF(TODAY()&gt;$T310,"OVERDUE","Due "&amp;TEXT($T310,"mm/dd")))))</f>
        <v/>
      </c>
      <c r="V310" s="16" t="n"/>
      <c r="W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IF($C311="","",IF($L311="","",IF($K311=1,IF(COUNTIFS(nrES_PID,$D311,nrES_Code,$F311,nrES_Att,2)&gt;0,"",$L311),IF(COUNTIFS(nrES_PID,$D311,nrES_Code,$F311,nrES_Att,1)=0,$L311,IF($L311&gt;=$J311,cfgRetakeRecordedCap,SUMIFS(nrES_Raw,nrES_PID,$D311,nrES_Code,$F311,nrES_Att,1))))))</f>
        <v/>
      </c>
      <c r="N311" s="17">
        <f>IF($C311="","",IF($L311="","",IF($L311&gt;=$J311,"Yes","No")))</f>
        <v/>
      </c>
      <c r="O311" s="17">
        <f>IF($C311="","",IF($M311="","",IF($M311&gt;=$J311,"Yes","No")))</f>
        <v/>
      </c>
      <c r="P311" s="17">
        <f>IF($C311="","",IF($K311="","",IF(COUNTIFS(nrES_PID,$D311,nrES_Code,$F311,nrES_Att,"&gt;"&amp;$K311)=0,"Yes","No")))</f>
        <v/>
      </c>
      <c r="Q311" s="17">
        <f>IF($C311="","",IF($L311="","",IF(AND($K311=1,$L311&lt;$J311,COUNTIFS(nrES_PID,$D311,nrES_Code,$F311,nrES_Att,2)=0),"Yes","No")))</f>
        <v/>
      </c>
      <c r="R311" s="17">
        <f>IF($C311="","",IF($L311="","",IF(AND($K311=2,$L311&lt;$J311,COUNTIFS(nrES_PID,$D311,nrES_Code,$F311,nrES_Att,1)&gt;0),"Yes","No")))</f>
        <v/>
      </c>
      <c r="S311" s="18" t="n"/>
      <c r="T311" s="19">
        <f>IF($Q311&lt;&gt;"Yes","",IF($S311="","(enter date)",_xlfn.LET(_xlpm.dn,IFERROR(_xlfn.XLOOKUP($S311,nrCDdate,nrCDnum),""),IF(_xlpm.dn="","(not a class day)",IFERROR(_xlfn.XLOOKUP(_xlpm.dn+cfgRetestClassDays,nrCDnum,nrCDdate),"")))))</f>
        <v/>
      </c>
      <c r="U311" s="17">
        <f>IF($Q311&lt;&gt;"Yes","",IF(COUNTIFS(nrES_PID,$D311,nrES_Code,$F311,nrES_Att,2)&gt;0,"Retested",IF(OR($T311="",NOT(ISNUMBER($T311))),"Pending",IF(TODAY()&gt;$T311,"OVERDUE","Due "&amp;TEXT($T311,"mm/dd")))))</f>
        <v/>
      </c>
      <c r="V311" s="16" t="n"/>
      <c r="W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IF($C312="","",IF($L312="","",IF($K312=1,IF(COUNTIFS(nrES_PID,$D312,nrES_Code,$F312,nrES_Att,2)&gt;0,"",$L312),IF(COUNTIFS(nrES_PID,$D312,nrES_Code,$F312,nrES_Att,1)=0,$L312,IF($L312&gt;=$J312,cfgRetakeRecordedCap,SUMIFS(nrES_Raw,nrES_PID,$D312,nrES_Code,$F312,nrES_Att,1))))))</f>
        <v/>
      </c>
      <c r="N312" s="17">
        <f>IF($C312="","",IF($L312="","",IF($L312&gt;=$J312,"Yes","No")))</f>
        <v/>
      </c>
      <c r="O312" s="17">
        <f>IF($C312="","",IF($M312="","",IF($M312&gt;=$J312,"Yes","No")))</f>
        <v/>
      </c>
      <c r="P312" s="17">
        <f>IF($C312="","",IF($K312="","",IF(COUNTIFS(nrES_PID,$D312,nrES_Code,$F312,nrES_Att,"&gt;"&amp;$K312)=0,"Yes","No")))</f>
        <v/>
      </c>
      <c r="Q312" s="17">
        <f>IF($C312="","",IF($L312="","",IF(AND($K312=1,$L312&lt;$J312,COUNTIFS(nrES_PID,$D312,nrES_Code,$F312,nrES_Att,2)=0),"Yes","No")))</f>
        <v/>
      </c>
      <c r="R312" s="17">
        <f>IF($C312="","",IF($L312="","",IF(AND($K312=2,$L312&lt;$J312,COUNTIFS(nrES_PID,$D312,nrES_Code,$F312,nrES_Att,1)&gt;0),"Yes","No")))</f>
        <v/>
      </c>
      <c r="S312" s="18" t="n"/>
      <c r="T312" s="19">
        <f>IF($Q312&lt;&gt;"Yes","",IF($S312="","(enter date)",_xlfn.LET(_xlpm.dn,IFERROR(_xlfn.XLOOKUP($S312,nrCDdate,nrCDnum),""),IF(_xlpm.dn="","(not a class day)",IFERROR(_xlfn.XLOOKUP(_xlpm.dn+cfgRetestClassDays,nrCDnum,nrCDdate),"")))))</f>
        <v/>
      </c>
      <c r="U312" s="17">
        <f>IF($Q312&lt;&gt;"Yes","",IF(COUNTIFS(nrES_PID,$D312,nrES_Code,$F312,nrES_Att,2)&gt;0,"Retested",IF(OR($T312="",NOT(ISNUMBER($T312))),"Pending",IF(TODAY()&gt;$T312,"OVERDUE","Due "&amp;TEXT($T312,"mm/dd")))))</f>
        <v/>
      </c>
      <c r="V312" s="16" t="n"/>
      <c r="W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IF($C313="","",IF($L313="","",IF($K313=1,IF(COUNTIFS(nrES_PID,$D313,nrES_Code,$F313,nrES_Att,2)&gt;0,"",$L313),IF(COUNTIFS(nrES_PID,$D313,nrES_Code,$F313,nrES_Att,1)=0,$L313,IF($L313&gt;=$J313,cfgRetakeRecordedCap,SUMIFS(nrES_Raw,nrES_PID,$D313,nrES_Code,$F313,nrES_Att,1))))))</f>
        <v/>
      </c>
      <c r="N313" s="17">
        <f>IF($C313="","",IF($L313="","",IF($L313&gt;=$J313,"Yes","No")))</f>
        <v/>
      </c>
      <c r="O313" s="17">
        <f>IF($C313="","",IF($M313="","",IF($M313&gt;=$J313,"Yes","No")))</f>
        <v/>
      </c>
      <c r="P313" s="17">
        <f>IF($C313="","",IF($K313="","",IF(COUNTIFS(nrES_PID,$D313,nrES_Code,$F313,nrES_Att,"&gt;"&amp;$K313)=0,"Yes","No")))</f>
        <v/>
      </c>
      <c r="Q313" s="17">
        <f>IF($C313="","",IF($L313="","",IF(AND($K313=1,$L313&lt;$J313,COUNTIFS(nrES_PID,$D313,nrES_Code,$F313,nrES_Att,2)=0),"Yes","No")))</f>
        <v/>
      </c>
      <c r="R313" s="17">
        <f>IF($C313="","",IF($L313="","",IF(AND($K313=2,$L313&lt;$J313,COUNTIFS(nrES_PID,$D313,nrES_Code,$F313,nrES_Att,1)&gt;0),"Yes","No")))</f>
        <v/>
      </c>
      <c r="S313" s="18" t="n"/>
      <c r="T313" s="19">
        <f>IF($Q313&lt;&gt;"Yes","",IF($S313="","(enter date)",_xlfn.LET(_xlpm.dn,IFERROR(_xlfn.XLOOKUP($S313,nrCDdate,nrCDnum),""),IF(_xlpm.dn="","(not a class day)",IFERROR(_xlfn.XLOOKUP(_xlpm.dn+cfgRetestClassDays,nrCDnum,nrCDdate),"")))))</f>
        <v/>
      </c>
      <c r="U313" s="17">
        <f>IF($Q313&lt;&gt;"Yes","",IF(COUNTIFS(nrES_PID,$D313,nrES_Code,$F313,nrES_Att,2)&gt;0,"Retested",IF(OR($T313="",NOT(ISNUMBER($T313))),"Pending",IF(TODAY()&gt;$T313,"OVERDUE","Due "&amp;TEXT($T313,"mm/dd")))))</f>
        <v/>
      </c>
      <c r="V313" s="16" t="n"/>
      <c r="W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IF($C314="","",IF($L314="","",IF($K314=1,IF(COUNTIFS(nrES_PID,$D314,nrES_Code,$F314,nrES_Att,2)&gt;0,"",$L314),IF(COUNTIFS(nrES_PID,$D314,nrES_Code,$F314,nrES_Att,1)=0,$L314,IF($L314&gt;=$J314,cfgRetakeRecordedCap,SUMIFS(nrES_Raw,nrES_PID,$D314,nrES_Code,$F314,nrES_Att,1))))))</f>
        <v/>
      </c>
      <c r="N314" s="17">
        <f>IF($C314="","",IF($L314="","",IF($L314&gt;=$J314,"Yes","No")))</f>
        <v/>
      </c>
      <c r="O314" s="17">
        <f>IF($C314="","",IF($M314="","",IF($M314&gt;=$J314,"Yes","No")))</f>
        <v/>
      </c>
      <c r="P314" s="17">
        <f>IF($C314="","",IF($K314="","",IF(COUNTIFS(nrES_PID,$D314,nrES_Code,$F314,nrES_Att,"&gt;"&amp;$K314)=0,"Yes","No")))</f>
        <v/>
      </c>
      <c r="Q314" s="17">
        <f>IF($C314="","",IF($L314="","",IF(AND($K314=1,$L314&lt;$J314,COUNTIFS(nrES_PID,$D314,nrES_Code,$F314,nrES_Att,2)=0),"Yes","No")))</f>
        <v/>
      </c>
      <c r="R314" s="17">
        <f>IF($C314="","",IF($L314="","",IF(AND($K314=2,$L314&lt;$J314,COUNTIFS(nrES_PID,$D314,nrES_Code,$F314,nrES_Att,1)&gt;0),"Yes","No")))</f>
        <v/>
      </c>
      <c r="S314" s="18" t="n"/>
      <c r="T314" s="19">
        <f>IF($Q314&lt;&gt;"Yes","",IF($S314="","(enter date)",_xlfn.LET(_xlpm.dn,IFERROR(_xlfn.XLOOKUP($S314,nrCDdate,nrCDnum),""),IF(_xlpm.dn="","(not a class day)",IFERROR(_xlfn.XLOOKUP(_xlpm.dn+cfgRetestClassDays,nrCDnum,nrCDdate),"")))))</f>
        <v/>
      </c>
      <c r="U314" s="17">
        <f>IF($Q314&lt;&gt;"Yes","",IF(COUNTIFS(nrES_PID,$D314,nrES_Code,$F314,nrES_Att,2)&gt;0,"Retested",IF(OR($T314="",NOT(ISNUMBER($T314))),"Pending",IF(TODAY()&gt;$T314,"OVERDUE","Due "&amp;TEXT($T314,"mm/dd")))))</f>
        <v/>
      </c>
      <c r="V314" s="16" t="n"/>
      <c r="W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IF($C315="","",IF($L315="","",IF($K315=1,IF(COUNTIFS(nrES_PID,$D315,nrES_Code,$F315,nrES_Att,2)&gt;0,"",$L315),IF(COUNTIFS(nrES_PID,$D315,nrES_Code,$F315,nrES_Att,1)=0,$L315,IF($L315&gt;=$J315,cfgRetakeRecordedCap,SUMIFS(nrES_Raw,nrES_PID,$D315,nrES_Code,$F315,nrES_Att,1))))))</f>
        <v/>
      </c>
      <c r="N315" s="17">
        <f>IF($C315="","",IF($L315="","",IF($L315&gt;=$J315,"Yes","No")))</f>
        <v/>
      </c>
      <c r="O315" s="17">
        <f>IF($C315="","",IF($M315="","",IF($M315&gt;=$J315,"Yes","No")))</f>
        <v/>
      </c>
      <c r="P315" s="17">
        <f>IF($C315="","",IF($K315="","",IF(COUNTIFS(nrES_PID,$D315,nrES_Code,$F315,nrES_Att,"&gt;"&amp;$K315)=0,"Yes","No")))</f>
        <v/>
      </c>
      <c r="Q315" s="17">
        <f>IF($C315="","",IF($L315="","",IF(AND($K315=1,$L315&lt;$J315,COUNTIFS(nrES_PID,$D315,nrES_Code,$F315,nrES_Att,2)=0),"Yes","No")))</f>
        <v/>
      </c>
      <c r="R315" s="17">
        <f>IF($C315="","",IF($L315="","",IF(AND($K315=2,$L315&lt;$J315,COUNTIFS(nrES_PID,$D315,nrES_Code,$F315,nrES_Att,1)&gt;0),"Yes","No")))</f>
        <v/>
      </c>
      <c r="S315" s="18" t="n"/>
      <c r="T315" s="19">
        <f>IF($Q315&lt;&gt;"Yes","",IF($S315="","(enter date)",_xlfn.LET(_xlpm.dn,IFERROR(_xlfn.XLOOKUP($S315,nrCDdate,nrCDnum),""),IF(_xlpm.dn="","(not a class day)",IFERROR(_xlfn.XLOOKUP(_xlpm.dn+cfgRetestClassDays,nrCDnum,nrCDdate),"")))))</f>
        <v/>
      </c>
      <c r="U315" s="17">
        <f>IF($Q315&lt;&gt;"Yes","",IF(COUNTIFS(nrES_PID,$D315,nrES_Code,$F315,nrES_Att,2)&gt;0,"Retested",IF(OR($T315="",NOT(ISNUMBER($T315))),"Pending",IF(TODAY()&gt;$T315,"OVERDUE","Due "&amp;TEXT($T315,"mm/dd")))))</f>
        <v/>
      </c>
      <c r="V315" s="16" t="n"/>
      <c r="W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IF($C316="","",IF($L316="","",IF($K316=1,IF(COUNTIFS(nrES_PID,$D316,nrES_Code,$F316,nrES_Att,2)&gt;0,"",$L316),IF(COUNTIFS(nrES_PID,$D316,nrES_Code,$F316,nrES_Att,1)=0,$L316,IF($L316&gt;=$J316,cfgRetakeRecordedCap,SUMIFS(nrES_Raw,nrES_PID,$D316,nrES_Code,$F316,nrES_Att,1))))))</f>
        <v/>
      </c>
      <c r="N316" s="17">
        <f>IF($C316="","",IF($L316="","",IF($L316&gt;=$J316,"Yes","No")))</f>
        <v/>
      </c>
      <c r="O316" s="17">
        <f>IF($C316="","",IF($M316="","",IF($M316&gt;=$J316,"Yes","No")))</f>
        <v/>
      </c>
      <c r="P316" s="17">
        <f>IF($C316="","",IF($K316="","",IF(COUNTIFS(nrES_PID,$D316,nrES_Code,$F316,nrES_Att,"&gt;"&amp;$K316)=0,"Yes","No")))</f>
        <v/>
      </c>
      <c r="Q316" s="17">
        <f>IF($C316="","",IF($L316="","",IF(AND($K316=1,$L316&lt;$J316,COUNTIFS(nrES_PID,$D316,nrES_Code,$F316,nrES_Att,2)=0),"Yes","No")))</f>
        <v/>
      </c>
      <c r="R316" s="17">
        <f>IF($C316="","",IF($L316="","",IF(AND($K316=2,$L316&lt;$J316,COUNTIFS(nrES_PID,$D316,nrES_Code,$F316,nrES_Att,1)&gt;0),"Yes","No")))</f>
        <v/>
      </c>
      <c r="S316" s="18" t="n"/>
      <c r="T316" s="19">
        <f>IF($Q316&lt;&gt;"Yes","",IF($S316="","(enter date)",_xlfn.LET(_xlpm.dn,IFERROR(_xlfn.XLOOKUP($S316,nrCDdate,nrCDnum),""),IF(_xlpm.dn="","(not a class day)",IFERROR(_xlfn.XLOOKUP(_xlpm.dn+cfgRetestClassDays,nrCDnum,nrCDdate),"")))))</f>
        <v/>
      </c>
      <c r="U316" s="17">
        <f>IF($Q316&lt;&gt;"Yes","",IF(COUNTIFS(nrES_PID,$D316,nrES_Code,$F316,nrES_Att,2)&gt;0,"Retested",IF(OR($T316="",NOT(ISNUMBER($T316))),"Pending",IF(TODAY()&gt;$T316,"OVERDUE","Due "&amp;TEXT($T316,"mm/dd")))))</f>
        <v/>
      </c>
      <c r="V316" s="16" t="n"/>
      <c r="W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IF($C317="","",IF($L317="","",IF($K317=1,IF(COUNTIFS(nrES_PID,$D317,nrES_Code,$F317,nrES_Att,2)&gt;0,"",$L317),IF(COUNTIFS(nrES_PID,$D317,nrES_Code,$F317,nrES_Att,1)=0,$L317,IF($L317&gt;=$J317,cfgRetakeRecordedCap,SUMIFS(nrES_Raw,nrES_PID,$D317,nrES_Code,$F317,nrES_Att,1))))))</f>
        <v/>
      </c>
      <c r="N317" s="17">
        <f>IF($C317="","",IF($L317="","",IF($L317&gt;=$J317,"Yes","No")))</f>
        <v/>
      </c>
      <c r="O317" s="17">
        <f>IF($C317="","",IF($M317="","",IF($M317&gt;=$J317,"Yes","No")))</f>
        <v/>
      </c>
      <c r="P317" s="17">
        <f>IF($C317="","",IF($K317="","",IF(COUNTIFS(nrES_PID,$D317,nrES_Code,$F317,nrES_Att,"&gt;"&amp;$K317)=0,"Yes","No")))</f>
        <v/>
      </c>
      <c r="Q317" s="17">
        <f>IF($C317="","",IF($L317="","",IF(AND($K317=1,$L317&lt;$J317,COUNTIFS(nrES_PID,$D317,nrES_Code,$F317,nrES_Att,2)=0),"Yes","No")))</f>
        <v/>
      </c>
      <c r="R317" s="17">
        <f>IF($C317="","",IF($L317="","",IF(AND($K317=2,$L317&lt;$J317,COUNTIFS(nrES_PID,$D317,nrES_Code,$F317,nrES_Att,1)&gt;0),"Yes","No")))</f>
        <v/>
      </c>
      <c r="S317" s="18" t="n"/>
      <c r="T317" s="19">
        <f>IF($Q317&lt;&gt;"Yes","",IF($S317="","(enter date)",_xlfn.LET(_xlpm.dn,IFERROR(_xlfn.XLOOKUP($S317,nrCDdate,nrCDnum),""),IF(_xlpm.dn="","(not a class day)",IFERROR(_xlfn.XLOOKUP(_xlpm.dn+cfgRetestClassDays,nrCDnum,nrCDdate),"")))))</f>
        <v/>
      </c>
      <c r="U317" s="17">
        <f>IF($Q317&lt;&gt;"Yes","",IF(COUNTIFS(nrES_PID,$D317,nrES_Code,$F317,nrES_Att,2)&gt;0,"Retested",IF(OR($T317="",NOT(ISNUMBER($T317))),"Pending",IF(TODAY()&gt;$T317,"OVERDUE","Due "&amp;TEXT($T317,"mm/dd")))))</f>
        <v/>
      </c>
      <c r="V317" s="16" t="n"/>
      <c r="W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IF($C318="","",IF($L318="","",IF($K318=1,IF(COUNTIFS(nrES_PID,$D318,nrES_Code,$F318,nrES_Att,2)&gt;0,"",$L318),IF(COUNTIFS(nrES_PID,$D318,nrES_Code,$F318,nrES_Att,1)=0,$L318,IF($L318&gt;=$J318,cfgRetakeRecordedCap,SUMIFS(nrES_Raw,nrES_PID,$D318,nrES_Code,$F318,nrES_Att,1))))))</f>
        <v/>
      </c>
      <c r="N318" s="17">
        <f>IF($C318="","",IF($L318="","",IF($L318&gt;=$J318,"Yes","No")))</f>
        <v/>
      </c>
      <c r="O318" s="17">
        <f>IF($C318="","",IF($M318="","",IF($M318&gt;=$J318,"Yes","No")))</f>
        <v/>
      </c>
      <c r="P318" s="17">
        <f>IF($C318="","",IF($K318="","",IF(COUNTIFS(nrES_PID,$D318,nrES_Code,$F318,nrES_Att,"&gt;"&amp;$K318)=0,"Yes","No")))</f>
        <v/>
      </c>
      <c r="Q318" s="17">
        <f>IF($C318="","",IF($L318="","",IF(AND($K318=1,$L318&lt;$J318,COUNTIFS(nrES_PID,$D318,nrES_Code,$F318,nrES_Att,2)=0),"Yes","No")))</f>
        <v/>
      </c>
      <c r="R318" s="17">
        <f>IF($C318="","",IF($L318="","",IF(AND($K318=2,$L318&lt;$J318,COUNTIFS(nrES_PID,$D318,nrES_Code,$F318,nrES_Att,1)&gt;0),"Yes","No")))</f>
        <v/>
      </c>
      <c r="S318" s="18" t="n"/>
      <c r="T318" s="19">
        <f>IF($Q318&lt;&gt;"Yes","",IF($S318="","(enter date)",_xlfn.LET(_xlpm.dn,IFERROR(_xlfn.XLOOKUP($S318,nrCDdate,nrCDnum),""),IF(_xlpm.dn="","(not a class day)",IFERROR(_xlfn.XLOOKUP(_xlpm.dn+cfgRetestClassDays,nrCDnum,nrCDdate),"")))))</f>
        <v/>
      </c>
      <c r="U318" s="17">
        <f>IF($Q318&lt;&gt;"Yes","",IF(COUNTIFS(nrES_PID,$D318,nrES_Code,$F318,nrES_Att,2)&gt;0,"Retested",IF(OR($T318="",NOT(ISNUMBER($T318))),"Pending",IF(TODAY()&gt;$T318,"OVERDUE","Due "&amp;TEXT($T318,"mm/dd")))))</f>
        <v/>
      </c>
      <c r="V318" s="16" t="n"/>
      <c r="W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IF($C319="","",IF($L319="","",IF($K319=1,IF(COUNTIFS(nrES_PID,$D319,nrES_Code,$F319,nrES_Att,2)&gt;0,"",$L319),IF(COUNTIFS(nrES_PID,$D319,nrES_Code,$F319,nrES_Att,1)=0,$L319,IF($L319&gt;=$J319,cfgRetakeRecordedCap,SUMIFS(nrES_Raw,nrES_PID,$D319,nrES_Code,$F319,nrES_Att,1))))))</f>
        <v/>
      </c>
      <c r="N319" s="17">
        <f>IF($C319="","",IF($L319="","",IF($L319&gt;=$J319,"Yes","No")))</f>
        <v/>
      </c>
      <c r="O319" s="17">
        <f>IF($C319="","",IF($M319="","",IF($M319&gt;=$J319,"Yes","No")))</f>
        <v/>
      </c>
      <c r="P319" s="17">
        <f>IF($C319="","",IF($K319="","",IF(COUNTIFS(nrES_PID,$D319,nrES_Code,$F319,nrES_Att,"&gt;"&amp;$K319)=0,"Yes","No")))</f>
        <v/>
      </c>
      <c r="Q319" s="17">
        <f>IF($C319="","",IF($L319="","",IF(AND($K319=1,$L319&lt;$J319,COUNTIFS(nrES_PID,$D319,nrES_Code,$F319,nrES_Att,2)=0),"Yes","No")))</f>
        <v/>
      </c>
      <c r="R319" s="17">
        <f>IF($C319="","",IF($L319="","",IF(AND($K319=2,$L319&lt;$J319,COUNTIFS(nrES_PID,$D319,nrES_Code,$F319,nrES_Att,1)&gt;0),"Yes","No")))</f>
        <v/>
      </c>
      <c r="S319" s="18" t="n"/>
      <c r="T319" s="19">
        <f>IF($Q319&lt;&gt;"Yes","",IF($S319="","(enter date)",_xlfn.LET(_xlpm.dn,IFERROR(_xlfn.XLOOKUP($S319,nrCDdate,nrCDnum),""),IF(_xlpm.dn="","(not a class day)",IFERROR(_xlfn.XLOOKUP(_xlpm.dn+cfgRetestClassDays,nrCDnum,nrCDdate),"")))))</f>
        <v/>
      </c>
      <c r="U319" s="17">
        <f>IF($Q319&lt;&gt;"Yes","",IF(COUNTIFS(nrES_PID,$D319,nrES_Code,$F319,nrES_Att,2)&gt;0,"Retested",IF(OR($T319="",NOT(ISNUMBER($T319))),"Pending",IF(TODAY()&gt;$T319,"OVERDUE","Due "&amp;TEXT($T319,"mm/dd")))))</f>
        <v/>
      </c>
      <c r="V319" s="16" t="n"/>
      <c r="W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IF($C320="","",IF($L320="","",IF($K320=1,IF(COUNTIFS(nrES_PID,$D320,nrES_Code,$F320,nrES_Att,2)&gt;0,"",$L320),IF(COUNTIFS(nrES_PID,$D320,nrES_Code,$F320,nrES_Att,1)=0,$L320,IF($L320&gt;=$J320,cfgRetakeRecordedCap,SUMIFS(nrES_Raw,nrES_PID,$D320,nrES_Code,$F320,nrES_Att,1))))))</f>
        <v/>
      </c>
      <c r="N320" s="17">
        <f>IF($C320="","",IF($L320="","",IF($L320&gt;=$J320,"Yes","No")))</f>
        <v/>
      </c>
      <c r="O320" s="17">
        <f>IF($C320="","",IF($M320="","",IF($M320&gt;=$J320,"Yes","No")))</f>
        <v/>
      </c>
      <c r="P320" s="17">
        <f>IF($C320="","",IF($K320="","",IF(COUNTIFS(nrES_PID,$D320,nrES_Code,$F320,nrES_Att,"&gt;"&amp;$K320)=0,"Yes","No")))</f>
        <v/>
      </c>
      <c r="Q320" s="17">
        <f>IF($C320="","",IF($L320="","",IF(AND($K320=1,$L320&lt;$J320,COUNTIFS(nrES_PID,$D320,nrES_Code,$F320,nrES_Att,2)=0),"Yes","No")))</f>
        <v/>
      </c>
      <c r="R320" s="17">
        <f>IF($C320="","",IF($L320="","",IF(AND($K320=2,$L320&lt;$J320,COUNTIFS(nrES_PID,$D320,nrES_Code,$F320,nrES_Att,1)&gt;0),"Yes","No")))</f>
        <v/>
      </c>
      <c r="S320" s="18" t="n"/>
      <c r="T320" s="19">
        <f>IF($Q320&lt;&gt;"Yes","",IF($S320="","(enter date)",_xlfn.LET(_xlpm.dn,IFERROR(_xlfn.XLOOKUP($S320,nrCDdate,nrCDnum),""),IF(_xlpm.dn="","(not a class day)",IFERROR(_xlfn.XLOOKUP(_xlpm.dn+cfgRetestClassDays,nrCDnum,nrCDdate),"")))))</f>
        <v/>
      </c>
      <c r="U320" s="17">
        <f>IF($Q320&lt;&gt;"Yes","",IF(COUNTIFS(nrES_PID,$D320,nrES_Code,$F320,nrES_Att,2)&gt;0,"Retested",IF(OR($T320="",NOT(ISNUMBER($T320))),"Pending",IF(TODAY()&gt;$T320,"OVERDUE","Due "&amp;TEXT($T320,"mm/dd")))))</f>
        <v/>
      </c>
      <c r="V320" s="16" t="n"/>
      <c r="W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IF($C321="","",IF($L321="","",IF($K321=1,IF(COUNTIFS(nrES_PID,$D321,nrES_Code,$F321,nrES_Att,2)&gt;0,"",$L321),IF(COUNTIFS(nrES_PID,$D321,nrES_Code,$F321,nrES_Att,1)=0,$L321,IF($L321&gt;=$J321,cfgRetakeRecordedCap,SUMIFS(nrES_Raw,nrES_PID,$D321,nrES_Code,$F321,nrES_Att,1))))))</f>
        <v/>
      </c>
      <c r="N321" s="17">
        <f>IF($C321="","",IF($L321="","",IF($L321&gt;=$J321,"Yes","No")))</f>
        <v/>
      </c>
      <c r="O321" s="17">
        <f>IF($C321="","",IF($M321="","",IF($M321&gt;=$J321,"Yes","No")))</f>
        <v/>
      </c>
      <c r="P321" s="17">
        <f>IF($C321="","",IF($K321="","",IF(COUNTIFS(nrES_PID,$D321,nrES_Code,$F321,nrES_Att,"&gt;"&amp;$K321)=0,"Yes","No")))</f>
        <v/>
      </c>
      <c r="Q321" s="17">
        <f>IF($C321="","",IF($L321="","",IF(AND($K321=1,$L321&lt;$J321,COUNTIFS(nrES_PID,$D321,nrES_Code,$F321,nrES_Att,2)=0),"Yes","No")))</f>
        <v/>
      </c>
      <c r="R321" s="17">
        <f>IF($C321="","",IF($L321="","",IF(AND($K321=2,$L321&lt;$J321,COUNTIFS(nrES_PID,$D321,nrES_Code,$F321,nrES_Att,1)&gt;0),"Yes","No")))</f>
        <v/>
      </c>
      <c r="S321" s="18" t="n"/>
      <c r="T321" s="19">
        <f>IF($Q321&lt;&gt;"Yes","",IF($S321="","(enter date)",_xlfn.LET(_xlpm.dn,IFERROR(_xlfn.XLOOKUP($S321,nrCDdate,nrCDnum),""),IF(_xlpm.dn="","(not a class day)",IFERROR(_xlfn.XLOOKUP(_xlpm.dn+cfgRetestClassDays,nrCDnum,nrCDdate),"")))))</f>
        <v/>
      </c>
      <c r="U321" s="17">
        <f>IF($Q321&lt;&gt;"Yes","",IF(COUNTIFS(nrES_PID,$D321,nrES_Code,$F321,nrES_Att,2)&gt;0,"Retested",IF(OR($T321="",NOT(ISNUMBER($T321))),"Pending",IF(TODAY()&gt;$T321,"OVERDUE","Due "&amp;TEXT($T321,"mm/dd")))))</f>
        <v/>
      </c>
      <c r="V321" s="16" t="n"/>
      <c r="W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IF($C322="","",IF($L322="","",IF($K322=1,IF(COUNTIFS(nrES_PID,$D322,nrES_Code,$F322,nrES_Att,2)&gt;0,"",$L322),IF(COUNTIFS(nrES_PID,$D322,nrES_Code,$F322,nrES_Att,1)=0,$L322,IF($L322&gt;=$J322,cfgRetakeRecordedCap,SUMIFS(nrES_Raw,nrES_PID,$D322,nrES_Code,$F322,nrES_Att,1))))))</f>
        <v/>
      </c>
      <c r="N322" s="17">
        <f>IF($C322="","",IF($L322="","",IF($L322&gt;=$J322,"Yes","No")))</f>
        <v/>
      </c>
      <c r="O322" s="17">
        <f>IF($C322="","",IF($M322="","",IF($M322&gt;=$J322,"Yes","No")))</f>
        <v/>
      </c>
      <c r="P322" s="17">
        <f>IF($C322="","",IF($K322="","",IF(COUNTIFS(nrES_PID,$D322,nrES_Code,$F322,nrES_Att,"&gt;"&amp;$K322)=0,"Yes","No")))</f>
        <v/>
      </c>
      <c r="Q322" s="17">
        <f>IF($C322="","",IF($L322="","",IF(AND($K322=1,$L322&lt;$J322,COUNTIFS(nrES_PID,$D322,nrES_Code,$F322,nrES_Att,2)=0),"Yes","No")))</f>
        <v/>
      </c>
      <c r="R322" s="17">
        <f>IF($C322="","",IF($L322="","",IF(AND($K322=2,$L322&lt;$J322,COUNTIFS(nrES_PID,$D322,nrES_Code,$F322,nrES_Att,1)&gt;0),"Yes","No")))</f>
        <v/>
      </c>
      <c r="S322" s="18" t="n"/>
      <c r="T322" s="19">
        <f>IF($Q322&lt;&gt;"Yes","",IF($S322="","(enter date)",_xlfn.LET(_xlpm.dn,IFERROR(_xlfn.XLOOKUP($S322,nrCDdate,nrCDnum),""),IF(_xlpm.dn="","(not a class day)",IFERROR(_xlfn.XLOOKUP(_xlpm.dn+cfgRetestClassDays,nrCDnum,nrCDdate),"")))))</f>
        <v/>
      </c>
      <c r="U322" s="17">
        <f>IF($Q322&lt;&gt;"Yes","",IF(COUNTIFS(nrES_PID,$D322,nrES_Code,$F322,nrES_Att,2)&gt;0,"Retested",IF(OR($T322="",NOT(ISNUMBER($T322))),"Pending",IF(TODAY()&gt;$T322,"OVERDUE","Due "&amp;TEXT($T322,"mm/dd")))))</f>
        <v/>
      </c>
      <c r="V322" s="16" t="n"/>
      <c r="W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IF($C323="","",IF($L323="","",IF($K323=1,IF(COUNTIFS(nrES_PID,$D323,nrES_Code,$F323,nrES_Att,2)&gt;0,"",$L323),IF(COUNTIFS(nrES_PID,$D323,nrES_Code,$F323,nrES_Att,1)=0,$L323,IF($L323&gt;=$J323,cfgRetakeRecordedCap,SUMIFS(nrES_Raw,nrES_PID,$D323,nrES_Code,$F323,nrES_Att,1))))))</f>
        <v/>
      </c>
      <c r="N323" s="17">
        <f>IF($C323="","",IF($L323="","",IF($L323&gt;=$J323,"Yes","No")))</f>
        <v/>
      </c>
      <c r="O323" s="17">
        <f>IF($C323="","",IF($M323="","",IF($M323&gt;=$J323,"Yes","No")))</f>
        <v/>
      </c>
      <c r="P323" s="17">
        <f>IF($C323="","",IF($K323="","",IF(COUNTIFS(nrES_PID,$D323,nrES_Code,$F323,nrES_Att,"&gt;"&amp;$K323)=0,"Yes","No")))</f>
        <v/>
      </c>
      <c r="Q323" s="17">
        <f>IF($C323="","",IF($L323="","",IF(AND($K323=1,$L323&lt;$J323,COUNTIFS(nrES_PID,$D323,nrES_Code,$F323,nrES_Att,2)=0),"Yes","No")))</f>
        <v/>
      </c>
      <c r="R323" s="17">
        <f>IF($C323="","",IF($L323="","",IF(AND($K323=2,$L323&lt;$J323,COUNTIFS(nrES_PID,$D323,nrES_Code,$F323,nrES_Att,1)&gt;0),"Yes","No")))</f>
        <v/>
      </c>
      <c r="S323" s="18" t="n"/>
      <c r="T323" s="19">
        <f>IF($Q323&lt;&gt;"Yes","",IF($S323="","(enter date)",_xlfn.LET(_xlpm.dn,IFERROR(_xlfn.XLOOKUP($S323,nrCDdate,nrCDnum),""),IF(_xlpm.dn="","(not a class day)",IFERROR(_xlfn.XLOOKUP(_xlpm.dn+cfgRetestClassDays,nrCDnum,nrCDdate),"")))))</f>
        <v/>
      </c>
      <c r="U323" s="17">
        <f>IF($Q323&lt;&gt;"Yes","",IF(COUNTIFS(nrES_PID,$D323,nrES_Code,$F323,nrES_Att,2)&gt;0,"Retested",IF(OR($T323="",NOT(ISNUMBER($T323))),"Pending",IF(TODAY()&gt;$T323,"OVERDUE","Due "&amp;TEXT($T323,"mm/dd")))))</f>
        <v/>
      </c>
      <c r="V323" s="16" t="n"/>
      <c r="W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IF($C324="","",IF($L324="","",IF($K324=1,IF(COUNTIFS(nrES_PID,$D324,nrES_Code,$F324,nrES_Att,2)&gt;0,"",$L324),IF(COUNTIFS(nrES_PID,$D324,nrES_Code,$F324,nrES_Att,1)=0,$L324,IF($L324&gt;=$J324,cfgRetakeRecordedCap,SUMIFS(nrES_Raw,nrES_PID,$D324,nrES_Code,$F324,nrES_Att,1))))))</f>
        <v/>
      </c>
      <c r="N324" s="17">
        <f>IF($C324="","",IF($L324="","",IF($L324&gt;=$J324,"Yes","No")))</f>
        <v/>
      </c>
      <c r="O324" s="17">
        <f>IF($C324="","",IF($M324="","",IF($M324&gt;=$J324,"Yes","No")))</f>
        <v/>
      </c>
      <c r="P324" s="17">
        <f>IF($C324="","",IF($K324="","",IF(COUNTIFS(nrES_PID,$D324,nrES_Code,$F324,nrES_Att,"&gt;"&amp;$K324)=0,"Yes","No")))</f>
        <v/>
      </c>
      <c r="Q324" s="17">
        <f>IF($C324="","",IF($L324="","",IF(AND($K324=1,$L324&lt;$J324,COUNTIFS(nrES_PID,$D324,nrES_Code,$F324,nrES_Att,2)=0),"Yes","No")))</f>
        <v/>
      </c>
      <c r="R324" s="17">
        <f>IF($C324="","",IF($L324="","",IF(AND($K324=2,$L324&lt;$J324,COUNTIFS(nrES_PID,$D324,nrES_Code,$F324,nrES_Att,1)&gt;0),"Yes","No")))</f>
        <v/>
      </c>
      <c r="S324" s="18" t="n"/>
      <c r="T324" s="19">
        <f>IF($Q324&lt;&gt;"Yes","",IF($S324="","(enter date)",_xlfn.LET(_xlpm.dn,IFERROR(_xlfn.XLOOKUP($S324,nrCDdate,nrCDnum),""),IF(_xlpm.dn="","(not a class day)",IFERROR(_xlfn.XLOOKUP(_xlpm.dn+cfgRetestClassDays,nrCDnum,nrCDdate),"")))))</f>
        <v/>
      </c>
      <c r="U324" s="17">
        <f>IF($Q324&lt;&gt;"Yes","",IF(COUNTIFS(nrES_PID,$D324,nrES_Code,$F324,nrES_Att,2)&gt;0,"Retested",IF(OR($T324="",NOT(ISNUMBER($T324))),"Pending",IF(TODAY()&gt;$T324,"OVERDUE","Due "&amp;TEXT($T324,"mm/dd")))))</f>
        <v/>
      </c>
      <c r="V324" s="16" t="n"/>
      <c r="W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IF($C325="","",IF($L325="","",IF($K325=1,IF(COUNTIFS(nrES_PID,$D325,nrES_Code,$F325,nrES_Att,2)&gt;0,"",$L325),IF(COUNTIFS(nrES_PID,$D325,nrES_Code,$F325,nrES_Att,1)=0,$L325,IF($L325&gt;=$J325,cfgRetakeRecordedCap,SUMIFS(nrES_Raw,nrES_PID,$D325,nrES_Code,$F325,nrES_Att,1))))))</f>
        <v/>
      </c>
      <c r="N325" s="17">
        <f>IF($C325="","",IF($L325="","",IF($L325&gt;=$J325,"Yes","No")))</f>
        <v/>
      </c>
      <c r="O325" s="17">
        <f>IF($C325="","",IF($M325="","",IF($M325&gt;=$J325,"Yes","No")))</f>
        <v/>
      </c>
      <c r="P325" s="17">
        <f>IF($C325="","",IF($K325="","",IF(COUNTIFS(nrES_PID,$D325,nrES_Code,$F325,nrES_Att,"&gt;"&amp;$K325)=0,"Yes","No")))</f>
        <v/>
      </c>
      <c r="Q325" s="17">
        <f>IF($C325="","",IF($L325="","",IF(AND($K325=1,$L325&lt;$J325,COUNTIFS(nrES_PID,$D325,nrES_Code,$F325,nrES_Att,2)=0),"Yes","No")))</f>
        <v/>
      </c>
      <c r="R325" s="17">
        <f>IF($C325="","",IF($L325="","",IF(AND($K325=2,$L325&lt;$J325,COUNTIFS(nrES_PID,$D325,nrES_Code,$F325,nrES_Att,1)&gt;0),"Yes","No")))</f>
        <v/>
      </c>
      <c r="S325" s="18" t="n"/>
      <c r="T325" s="19">
        <f>IF($Q325&lt;&gt;"Yes","",IF($S325="","(enter date)",_xlfn.LET(_xlpm.dn,IFERROR(_xlfn.XLOOKUP($S325,nrCDdate,nrCDnum),""),IF(_xlpm.dn="","(not a class day)",IFERROR(_xlfn.XLOOKUP(_xlpm.dn+cfgRetestClassDays,nrCDnum,nrCDdate),"")))))</f>
        <v/>
      </c>
      <c r="U325" s="17">
        <f>IF($Q325&lt;&gt;"Yes","",IF(COUNTIFS(nrES_PID,$D325,nrES_Code,$F325,nrES_Att,2)&gt;0,"Retested",IF(OR($T325="",NOT(ISNUMBER($T325))),"Pending",IF(TODAY()&gt;$T325,"OVERDUE","Due "&amp;TEXT($T325,"mm/dd")))))</f>
        <v/>
      </c>
      <c r="V325" s="16" t="n"/>
      <c r="W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IF($C326="","",IF($L326="","",IF($K326=1,IF(COUNTIFS(nrES_PID,$D326,nrES_Code,$F326,nrES_Att,2)&gt;0,"",$L326),IF(COUNTIFS(nrES_PID,$D326,nrES_Code,$F326,nrES_Att,1)=0,$L326,IF($L326&gt;=$J326,cfgRetakeRecordedCap,SUMIFS(nrES_Raw,nrES_PID,$D326,nrES_Code,$F326,nrES_Att,1))))))</f>
        <v/>
      </c>
      <c r="N326" s="17">
        <f>IF($C326="","",IF($L326="","",IF($L326&gt;=$J326,"Yes","No")))</f>
        <v/>
      </c>
      <c r="O326" s="17">
        <f>IF($C326="","",IF($M326="","",IF($M326&gt;=$J326,"Yes","No")))</f>
        <v/>
      </c>
      <c r="P326" s="17">
        <f>IF($C326="","",IF($K326="","",IF(COUNTIFS(nrES_PID,$D326,nrES_Code,$F326,nrES_Att,"&gt;"&amp;$K326)=0,"Yes","No")))</f>
        <v/>
      </c>
      <c r="Q326" s="17">
        <f>IF($C326="","",IF($L326="","",IF(AND($K326=1,$L326&lt;$J326,COUNTIFS(nrES_PID,$D326,nrES_Code,$F326,nrES_Att,2)=0),"Yes","No")))</f>
        <v/>
      </c>
      <c r="R326" s="17">
        <f>IF($C326="","",IF($L326="","",IF(AND($K326=2,$L326&lt;$J326,COUNTIFS(nrES_PID,$D326,nrES_Code,$F326,nrES_Att,1)&gt;0),"Yes","No")))</f>
        <v/>
      </c>
      <c r="S326" s="18" t="n"/>
      <c r="T326" s="19">
        <f>IF($Q326&lt;&gt;"Yes","",IF($S326="","(enter date)",_xlfn.LET(_xlpm.dn,IFERROR(_xlfn.XLOOKUP($S326,nrCDdate,nrCDnum),""),IF(_xlpm.dn="","(not a class day)",IFERROR(_xlfn.XLOOKUP(_xlpm.dn+cfgRetestClassDays,nrCDnum,nrCDdate),"")))))</f>
        <v/>
      </c>
      <c r="U326" s="17">
        <f>IF($Q326&lt;&gt;"Yes","",IF(COUNTIFS(nrES_PID,$D326,nrES_Code,$F326,nrES_Att,2)&gt;0,"Retested",IF(OR($T326="",NOT(ISNUMBER($T326))),"Pending",IF(TODAY()&gt;$T326,"OVERDUE","Due "&amp;TEXT($T326,"mm/dd")))))</f>
        <v/>
      </c>
      <c r="V326" s="16" t="n"/>
      <c r="W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IF($C327="","",IF($L327="","",IF($K327=1,IF(COUNTIFS(nrES_PID,$D327,nrES_Code,$F327,nrES_Att,2)&gt;0,"",$L327),IF(COUNTIFS(nrES_PID,$D327,nrES_Code,$F327,nrES_Att,1)=0,$L327,IF($L327&gt;=$J327,cfgRetakeRecordedCap,SUMIFS(nrES_Raw,nrES_PID,$D327,nrES_Code,$F327,nrES_Att,1))))))</f>
        <v/>
      </c>
      <c r="N327" s="17">
        <f>IF($C327="","",IF($L327="","",IF($L327&gt;=$J327,"Yes","No")))</f>
        <v/>
      </c>
      <c r="O327" s="17">
        <f>IF($C327="","",IF($M327="","",IF($M327&gt;=$J327,"Yes","No")))</f>
        <v/>
      </c>
      <c r="P327" s="17">
        <f>IF($C327="","",IF($K327="","",IF(COUNTIFS(nrES_PID,$D327,nrES_Code,$F327,nrES_Att,"&gt;"&amp;$K327)=0,"Yes","No")))</f>
        <v/>
      </c>
      <c r="Q327" s="17">
        <f>IF($C327="","",IF($L327="","",IF(AND($K327=1,$L327&lt;$J327,COUNTIFS(nrES_PID,$D327,nrES_Code,$F327,nrES_Att,2)=0),"Yes","No")))</f>
        <v/>
      </c>
      <c r="R327" s="17">
        <f>IF($C327="","",IF($L327="","",IF(AND($K327=2,$L327&lt;$J327,COUNTIFS(nrES_PID,$D327,nrES_Code,$F327,nrES_Att,1)&gt;0),"Yes","No")))</f>
        <v/>
      </c>
      <c r="S327" s="18" t="n"/>
      <c r="T327" s="19">
        <f>IF($Q327&lt;&gt;"Yes","",IF($S327="","(enter date)",_xlfn.LET(_xlpm.dn,IFERROR(_xlfn.XLOOKUP($S327,nrCDdate,nrCDnum),""),IF(_xlpm.dn="","(not a class day)",IFERROR(_xlfn.XLOOKUP(_xlpm.dn+cfgRetestClassDays,nrCDnum,nrCDdate),"")))))</f>
        <v/>
      </c>
      <c r="U327" s="17">
        <f>IF($Q327&lt;&gt;"Yes","",IF(COUNTIFS(nrES_PID,$D327,nrES_Code,$F327,nrES_Att,2)&gt;0,"Retested",IF(OR($T327="",NOT(ISNUMBER($T327))),"Pending",IF(TODAY()&gt;$T327,"OVERDUE","Due "&amp;TEXT($T327,"mm/dd")))))</f>
        <v/>
      </c>
      <c r="V327" s="16" t="n"/>
      <c r="W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IF($C328="","",IF($L328="","",IF($K328=1,IF(COUNTIFS(nrES_PID,$D328,nrES_Code,$F328,nrES_Att,2)&gt;0,"",$L328),IF(COUNTIFS(nrES_PID,$D328,nrES_Code,$F328,nrES_Att,1)=0,$L328,IF($L328&gt;=$J328,cfgRetakeRecordedCap,SUMIFS(nrES_Raw,nrES_PID,$D328,nrES_Code,$F328,nrES_Att,1))))))</f>
        <v/>
      </c>
      <c r="N328" s="17">
        <f>IF($C328="","",IF($L328="","",IF($L328&gt;=$J328,"Yes","No")))</f>
        <v/>
      </c>
      <c r="O328" s="17">
        <f>IF($C328="","",IF($M328="","",IF($M328&gt;=$J328,"Yes","No")))</f>
        <v/>
      </c>
      <c r="P328" s="17">
        <f>IF($C328="","",IF($K328="","",IF(COUNTIFS(nrES_PID,$D328,nrES_Code,$F328,nrES_Att,"&gt;"&amp;$K328)=0,"Yes","No")))</f>
        <v/>
      </c>
      <c r="Q328" s="17">
        <f>IF($C328="","",IF($L328="","",IF(AND($K328=1,$L328&lt;$J328,COUNTIFS(nrES_PID,$D328,nrES_Code,$F328,nrES_Att,2)=0),"Yes","No")))</f>
        <v/>
      </c>
      <c r="R328" s="17">
        <f>IF($C328="","",IF($L328="","",IF(AND($K328=2,$L328&lt;$J328,COUNTIFS(nrES_PID,$D328,nrES_Code,$F328,nrES_Att,1)&gt;0),"Yes","No")))</f>
        <v/>
      </c>
      <c r="S328" s="18" t="n"/>
      <c r="T328" s="19">
        <f>IF($Q328&lt;&gt;"Yes","",IF($S328="","(enter date)",_xlfn.LET(_xlpm.dn,IFERROR(_xlfn.XLOOKUP($S328,nrCDdate,nrCDnum),""),IF(_xlpm.dn="","(not a class day)",IFERROR(_xlfn.XLOOKUP(_xlpm.dn+cfgRetestClassDays,nrCDnum,nrCDdate),"")))))</f>
        <v/>
      </c>
      <c r="U328" s="17">
        <f>IF($Q328&lt;&gt;"Yes","",IF(COUNTIFS(nrES_PID,$D328,nrES_Code,$F328,nrES_Att,2)&gt;0,"Retested",IF(OR($T328="",NOT(ISNUMBER($T328))),"Pending",IF(TODAY()&gt;$T328,"OVERDUE","Due "&amp;TEXT($T328,"mm/dd")))))</f>
        <v/>
      </c>
      <c r="V328" s="16" t="n"/>
      <c r="W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IF($C329="","",IF($L329="","",IF($K329=1,IF(COUNTIFS(nrES_PID,$D329,nrES_Code,$F329,nrES_Att,2)&gt;0,"",$L329),IF(COUNTIFS(nrES_PID,$D329,nrES_Code,$F329,nrES_Att,1)=0,$L329,IF($L329&gt;=$J329,cfgRetakeRecordedCap,SUMIFS(nrES_Raw,nrES_PID,$D329,nrES_Code,$F329,nrES_Att,1))))))</f>
        <v/>
      </c>
      <c r="N329" s="17">
        <f>IF($C329="","",IF($L329="","",IF($L329&gt;=$J329,"Yes","No")))</f>
        <v/>
      </c>
      <c r="O329" s="17">
        <f>IF($C329="","",IF($M329="","",IF($M329&gt;=$J329,"Yes","No")))</f>
        <v/>
      </c>
      <c r="P329" s="17">
        <f>IF($C329="","",IF($K329="","",IF(COUNTIFS(nrES_PID,$D329,nrES_Code,$F329,nrES_Att,"&gt;"&amp;$K329)=0,"Yes","No")))</f>
        <v/>
      </c>
      <c r="Q329" s="17">
        <f>IF($C329="","",IF($L329="","",IF(AND($K329=1,$L329&lt;$J329,COUNTIFS(nrES_PID,$D329,nrES_Code,$F329,nrES_Att,2)=0),"Yes","No")))</f>
        <v/>
      </c>
      <c r="R329" s="17">
        <f>IF($C329="","",IF($L329="","",IF(AND($K329=2,$L329&lt;$J329,COUNTIFS(nrES_PID,$D329,nrES_Code,$F329,nrES_Att,1)&gt;0),"Yes","No")))</f>
        <v/>
      </c>
      <c r="S329" s="18" t="n"/>
      <c r="T329" s="19">
        <f>IF($Q329&lt;&gt;"Yes","",IF($S329="","(enter date)",_xlfn.LET(_xlpm.dn,IFERROR(_xlfn.XLOOKUP($S329,nrCDdate,nrCDnum),""),IF(_xlpm.dn="","(not a class day)",IFERROR(_xlfn.XLOOKUP(_xlpm.dn+cfgRetestClassDays,nrCDnum,nrCDdate),"")))))</f>
        <v/>
      </c>
      <c r="U329" s="17">
        <f>IF($Q329&lt;&gt;"Yes","",IF(COUNTIFS(nrES_PID,$D329,nrES_Code,$F329,nrES_Att,2)&gt;0,"Retested",IF(OR($T329="",NOT(ISNUMBER($T329))),"Pending",IF(TODAY()&gt;$T329,"OVERDUE","Due "&amp;TEXT($T329,"mm/dd")))))</f>
        <v/>
      </c>
      <c r="V329" s="16" t="n"/>
      <c r="W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IF($C330="","",IF($L330="","",IF($K330=1,IF(COUNTIFS(nrES_PID,$D330,nrES_Code,$F330,nrES_Att,2)&gt;0,"",$L330),IF(COUNTIFS(nrES_PID,$D330,nrES_Code,$F330,nrES_Att,1)=0,$L330,IF($L330&gt;=$J330,cfgRetakeRecordedCap,SUMIFS(nrES_Raw,nrES_PID,$D330,nrES_Code,$F330,nrES_Att,1))))))</f>
        <v/>
      </c>
      <c r="N330" s="17">
        <f>IF($C330="","",IF($L330="","",IF($L330&gt;=$J330,"Yes","No")))</f>
        <v/>
      </c>
      <c r="O330" s="17">
        <f>IF($C330="","",IF($M330="","",IF($M330&gt;=$J330,"Yes","No")))</f>
        <v/>
      </c>
      <c r="P330" s="17">
        <f>IF($C330="","",IF($K330="","",IF(COUNTIFS(nrES_PID,$D330,nrES_Code,$F330,nrES_Att,"&gt;"&amp;$K330)=0,"Yes","No")))</f>
        <v/>
      </c>
      <c r="Q330" s="17">
        <f>IF($C330="","",IF($L330="","",IF(AND($K330=1,$L330&lt;$J330,COUNTIFS(nrES_PID,$D330,nrES_Code,$F330,nrES_Att,2)=0),"Yes","No")))</f>
        <v/>
      </c>
      <c r="R330" s="17">
        <f>IF($C330="","",IF($L330="","",IF(AND($K330=2,$L330&lt;$J330,COUNTIFS(nrES_PID,$D330,nrES_Code,$F330,nrES_Att,1)&gt;0),"Yes","No")))</f>
        <v/>
      </c>
      <c r="S330" s="18" t="n"/>
      <c r="T330" s="19">
        <f>IF($Q330&lt;&gt;"Yes","",IF($S330="","(enter date)",_xlfn.LET(_xlpm.dn,IFERROR(_xlfn.XLOOKUP($S330,nrCDdate,nrCDnum),""),IF(_xlpm.dn="","(not a class day)",IFERROR(_xlfn.XLOOKUP(_xlpm.dn+cfgRetestClassDays,nrCDnum,nrCDdate),"")))))</f>
        <v/>
      </c>
      <c r="U330" s="17">
        <f>IF($Q330&lt;&gt;"Yes","",IF(COUNTIFS(nrES_PID,$D330,nrES_Code,$F330,nrES_Att,2)&gt;0,"Retested",IF(OR($T330="",NOT(ISNUMBER($T330))),"Pending",IF(TODAY()&gt;$T330,"OVERDUE","Due "&amp;TEXT($T330,"mm/dd")))))</f>
        <v/>
      </c>
      <c r="V330" s="16" t="n"/>
      <c r="W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IF($C331="","",IF($L331="","",IF($K331=1,IF(COUNTIFS(nrES_PID,$D331,nrES_Code,$F331,nrES_Att,2)&gt;0,"",$L331),IF(COUNTIFS(nrES_PID,$D331,nrES_Code,$F331,nrES_Att,1)=0,$L331,IF($L331&gt;=$J331,cfgRetakeRecordedCap,SUMIFS(nrES_Raw,nrES_PID,$D331,nrES_Code,$F331,nrES_Att,1))))))</f>
        <v/>
      </c>
      <c r="N331" s="17">
        <f>IF($C331="","",IF($L331="","",IF($L331&gt;=$J331,"Yes","No")))</f>
        <v/>
      </c>
      <c r="O331" s="17">
        <f>IF($C331="","",IF($M331="","",IF($M331&gt;=$J331,"Yes","No")))</f>
        <v/>
      </c>
      <c r="P331" s="17">
        <f>IF($C331="","",IF($K331="","",IF(COUNTIFS(nrES_PID,$D331,nrES_Code,$F331,nrES_Att,"&gt;"&amp;$K331)=0,"Yes","No")))</f>
        <v/>
      </c>
      <c r="Q331" s="17">
        <f>IF($C331="","",IF($L331="","",IF(AND($K331=1,$L331&lt;$J331,COUNTIFS(nrES_PID,$D331,nrES_Code,$F331,nrES_Att,2)=0),"Yes","No")))</f>
        <v/>
      </c>
      <c r="R331" s="17">
        <f>IF($C331="","",IF($L331="","",IF(AND($K331=2,$L331&lt;$J331,COUNTIFS(nrES_PID,$D331,nrES_Code,$F331,nrES_Att,1)&gt;0),"Yes","No")))</f>
        <v/>
      </c>
      <c r="S331" s="18" t="n"/>
      <c r="T331" s="19">
        <f>IF($Q331&lt;&gt;"Yes","",IF($S331="","(enter date)",_xlfn.LET(_xlpm.dn,IFERROR(_xlfn.XLOOKUP($S331,nrCDdate,nrCDnum),""),IF(_xlpm.dn="","(not a class day)",IFERROR(_xlfn.XLOOKUP(_xlpm.dn+cfgRetestClassDays,nrCDnum,nrCDdate),"")))))</f>
        <v/>
      </c>
      <c r="U331" s="17">
        <f>IF($Q331&lt;&gt;"Yes","",IF(COUNTIFS(nrES_PID,$D331,nrES_Code,$F331,nrES_Att,2)&gt;0,"Retested",IF(OR($T331="",NOT(ISNUMBER($T331))),"Pending",IF(TODAY()&gt;$T331,"OVERDUE","Due "&amp;TEXT($T331,"mm/dd")))))</f>
        <v/>
      </c>
      <c r="V331" s="16" t="n"/>
      <c r="W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IF($C332="","",IF($L332="","",IF($K332=1,IF(COUNTIFS(nrES_PID,$D332,nrES_Code,$F332,nrES_Att,2)&gt;0,"",$L332),IF(COUNTIFS(nrES_PID,$D332,nrES_Code,$F332,nrES_Att,1)=0,$L332,IF($L332&gt;=$J332,cfgRetakeRecordedCap,SUMIFS(nrES_Raw,nrES_PID,$D332,nrES_Code,$F332,nrES_Att,1))))))</f>
        <v/>
      </c>
      <c r="N332" s="17">
        <f>IF($C332="","",IF($L332="","",IF($L332&gt;=$J332,"Yes","No")))</f>
        <v/>
      </c>
      <c r="O332" s="17">
        <f>IF($C332="","",IF($M332="","",IF($M332&gt;=$J332,"Yes","No")))</f>
        <v/>
      </c>
      <c r="P332" s="17">
        <f>IF($C332="","",IF($K332="","",IF(COUNTIFS(nrES_PID,$D332,nrES_Code,$F332,nrES_Att,"&gt;"&amp;$K332)=0,"Yes","No")))</f>
        <v/>
      </c>
      <c r="Q332" s="17">
        <f>IF($C332="","",IF($L332="","",IF(AND($K332=1,$L332&lt;$J332,COUNTIFS(nrES_PID,$D332,nrES_Code,$F332,nrES_Att,2)=0),"Yes","No")))</f>
        <v/>
      </c>
      <c r="R332" s="17">
        <f>IF($C332="","",IF($L332="","",IF(AND($K332=2,$L332&lt;$J332,COUNTIFS(nrES_PID,$D332,nrES_Code,$F332,nrES_Att,1)&gt;0),"Yes","No")))</f>
        <v/>
      </c>
      <c r="S332" s="18" t="n"/>
      <c r="T332" s="19">
        <f>IF($Q332&lt;&gt;"Yes","",IF($S332="","(enter date)",_xlfn.LET(_xlpm.dn,IFERROR(_xlfn.XLOOKUP($S332,nrCDdate,nrCDnum),""),IF(_xlpm.dn="","(not a class day)",IFERROR(_xlfn.XLOOKUP(_xlpm.dn+cfgRetestClassDays,nrCDnum,nrCDdate),"")))))</f>
        <v/>
      </c>
      <c r="U332" s="17">
        <f>IF($Q332&lt;&gt;"Yes","",IF(COUNTIFS(nrES_PID,$D332,nrES_Code,$F332,nrES_Att,2)&gt;0,"Retested",IF(OR($T332="",NOT(ISNUMBER($T332))),"Pending",IF(TODAY()&gt;$T332,"OVERDUE","Due "&amp;TEXT($T332,"mm/dd")))))</f>
        <v/>
      </c>
      <c r="V332" s="16" t="n"/>
      <c r="W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IF($C333="","",IF($L333="","",IF($K333=1,IF(COUNTIFS(nrES_PID,$D333,nrES_Code,$F333,nrES_Att,2)&gt;0,"",$L333),IF(COUNTIFS(nrES_PID,$D333,nrES_Code,$F333,nrES_Att,1)=0,$L333,IF($L333&gt;=$J333,cfgRetakeRecordedCap,SUMIFS(nrES_Raw,nrES_PID,$D333,nrES_Code,$F333,nrES_Att,1))))))</f>
        <v/>
      </c>
      <c r="N333" s="17">
        <f>IF($C333="","",IF($L333="","",IF($L333&gt;=$J333,"Yes","No")))</f>
        <v/>
      </c>
      <c r="O333" s="17">
        <f>IF($C333="","",IF($M333="","",IF($M333&gt;=$J333,"Yes","No")))</f>
        <v/>
      </c>
      <c r="P333" s="17">
        <f>IF($C333="","",IF($K333="","",IF(COUNTIFS(nrES_PID,$D333,nrES_Code,$F333,nrES_Att,"&gt;"&amp;$K333)=0,"Yes","No")))</f>
        <v/>
      </c>
      <c r="Q333" s="17">
        <f>IF($C333="","",IF($L333="","",IF(AND($K333=1,$L333&lt;$J333,COUNTIFS(nrES_PID,$D333,nrES_Code,$F333,nrES_Att,2)=0),"Yes","No")))</f>
        <v/>
      </c>
      <c r="R333" s="17">
        <f>IF($C333="","",IF($L333="","",IF(AND($K333=2,$L333&lt;$J333,COUNTIFS(nrES_PID,$D333,nrES_Code,$F333,nrES_Att,1)&gt;0),"Yes","No")))</f>
        <v/>
      </c>
      <c r="S333" s="18" t="n"/>
      <c r="T333" s="19">
        <f>IF($Q333&lt;&gt;"Yes","",IF($S333="","(enter date)",_xlfn.LET(_xlpm.dn,IFERROR(_xlfn.XLOOKUP($S333,nrCDdate,nrCDnum),""),IF(_xlpm.dn="","(not a class day)",IFERROR(_xlfn.XLOOKUP(_xlpm.dn+cfgRetestClassDays,nrCDnum,nrCDdate),"")))))</f>
        <v/>
      </c>
      <c r="U333" s="17">
        <f>IF($Q333&lt;&gt;"Yes","",IF(COUNTIFS(nrES_PID,$D333,nrES_Code,$F333,nrES_Att,2)&gt;0,"Retested",IF(OR($T333="",NOT(ISNUMBER($T333))),"Pending",IF(TODAY()&gt;$T333,"OVERDUE","Due "&amp;TEXT($T333,"mm/dd")))))</f>
        <v/>
      </c>
      <c r="V333" s="16" t="n"/>
      <c r="W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IF($C334="","",IF($L334="","",IF($K334=1,IF(COUNTIFS(nrES_PID,$D334,nrES_Code,$F334,nrES_Att,2)&gt;0,"",$L334),IF(COUNTIFS(nrES_PID,$D334,nrES_Code,$F334,nrES_Att,1)=0,$L334,IF($L334&gt;=$J334,cfgRetakeRecordedCap,SUMIFS(nrES_Raw,nrES_PID,$D334,nrES_Code,$F334,nrES_Att,1))))))</f>
        <v/>
      </c>
      <c r="N334" s="17">
        <f>IF($C334="","",IF($L334="","",IF($L334&gt;=$J334,"Yes","No")))</f>
        <v/>
      </c>
      <c r="O334" s="17">
        <f>IF($C334="","",IF($M334="","",IF($M334&gt;=$J334,"Yes","No")))</f>
        <v/>
      </c>
      <c r="P334" s="17">
        <f>IF($C334="","",IF($K334="","",IF(COUNTIFS(nrES_PID,$D334,nrES_Code,$F334,nrES_Att,"&gt;"&amp;$K334)=0,"Yes","No")))</f>
        <v/>
      </c>
      <c r="Q334" s="17">
        <f>IF($C334="","",IF($L334="","",IF(AND($K334=1,$L334&lt;$J334,COUNTIFS(nrES_PID,$D334,nrES_Code,$F334,nrES_Att,2)=0),"Yes","No")))</f>
        <v/>
      </c>
      <c r="R334" s="17">
        <f>IF($C334="","",IF($L334="","",IF(AND($K334=2,$L334&lt;$J334,COUNTIFS(nrES_PID,$D334,nrES_Code,$F334,nrES_Att,1)&gt;0),"Yes","No")))</f>
        <v/>
      </c>
      <c r="S334" s="18" t="n"/>
      <c r="T334" s="19">
        <f>IF($Q334&lt;&gt;"Yes","",IF($S334="","(enter date)",_xlfn.LET(_xlpm.dn,IFERROR(_xlfn.XLOOKUP($S334,nrCDdate,nrCDnum),""),IF(_xlpm.dn="","(not a class day)",IFERROR(_xlfn.XLOOKUP(_xlpm.dn+cfgRetestClassDays,nrCDnum,nrCDdate),"")))))</f>
        <v/>
      </c>
      <c r="U334" s="17">
        <f>IF($Q334&lt;&gt;"Yes","",IF(COUNTIFS(nrES_PID,$D334,nrES_Code,$F334,nrES_Att,2)&gt;0,"Retested",IF(OR($T334="",NOT(ISNUMBER($T334))),"Pending",IF(TODAY()&gt;$T334,"OVERDUE","Due "&amp;TEXT($T334,"mm/dd")))))</f>
        <v/>
      </c>
      <c r="V334" s="16" t="n"/>
      <c r="W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IF($C335="","",IF($L335="","",IF($K335=1,IF(COUNTIFS(nrES_PID,$D335,nrES_Code,$F335,nrES_Att,2)&gt;0,"",$L335),IF(COUNTIFS(nrES_PID,$D335,nrES_Code,$F335,nrES_Att,1)=0,$L335,IF($L335&gt;=$J335,cfgRetakeRecordedCap,SUMIFS(nrES_Raw,nrES_PID,$D335,nrES_Code,$F335,nrES_Att,1))))))</f>
        <v/>
      </c>
      <c r="N335" s="17">
        <f>IF($C335="","",IF($L335="","",IF($L335&gt;=$J335,"Yes","No")))</f>
        <v/>
      </c>
      <c r="O335" s="17">
        <f>IF($C335="","",IF($M335="","",IF($M335&gt;=$J335,"Yes","No")))</f>
        <v/>
      </c>
      <c r="P335" s="17">
        <f>IF($C335="","",IF($K335="","",IF(COUNTIFS(nrES_PID,$D335,nrES_Code,$F335,nrES_Att,"&gt;"&amp;$K335)=0,"Yes","No")))</f>
        <v/>
      </c>
      <c r="Q335" s="17">
        <f>IF($C335="","",IF($L335="","",IF(AND($K335=1,$L335&lt;$J335,COUNTIFS(nrES_PID,$D335,nrES_Code,$F335,nrES_Att,2)=0),"Yes","No")))</f>
        <v/>
      </c>
      <c r="R335" s="17">
        <f>IF($C335="","",IF($L335="","",IF(AND($K335=2,$L335&lt;$J335,COUNTIFS(nrES_PID,$D335,nrES_Code,$F335,nrES_Att,1)&gt;0),"Yes","No")))</f>
        <v/>
      </c>
      <c r="S335" s="18" t="n"/>
      <c r="T335" s="19">
        <f>IF($Q335&lt;&gt;"Yes","",IF($S335="","(enter date)",_xlfn.LET(_xlpm.dn,IFERROR(_xlfn.XLOOKUP($S335,nrCDdate,nrCDnum),""),IF(_xlpm.dn="","(not a class day)",IFERROR(_xlfn.XLOOKUP(_xlpm.dn+cfgRetestClassDays,nrCDnum,nrCDdate),"")))))</f>
        <v/>
      </c>
      <c r="U335" s="17">
        <f>IF($Q335&lt;&gt;"Yes","",IF(COUNTIFS(nrES_PID,$D335,nrES_Code,$F335,nrES_Att,2)&gt;0,"Retested",IF(OR($T335="",NOT(ISNUMBER($T335))),"Pending",IF(TODAY()&gt;$T335,"OVERDUE","Due "&amp;TEXT($T335,"mm/dd")))))</f>
        <v/>
      </c>
      <c r="V335" s="16" t="n"/>
      <c r="W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IF($C336="","",IF($L336="","",IF($K336=1,IF(COUNTIFS(nrES_PID,$D336,nrES_Code,$F336,nrES_Att,2)&gt;0,"",$L336),IF(COUNTIFS(nrES_PID,$D336,nrES_Code,$F336,nrES_Att,1)=0,$L336,IF($L336&gt;=$J336,cfgRetakeRecordedCap,SUMIFS(nrES_Raw,nrES_PID,$D336,nrES_Code,$F336,nrES_Att,1))))))</f>
        <v/>
      </c>
      <c r="N336" s="17">
        <f>IF($C336="","",IF($L336="","",IF($L336&gt;=$J336,"Yes","No")))</f>
        <v/>
      </c>
      <c r="O336" s="17">
        <f>IF($C336="","",IF($M336="","",IF($M336&gt;=$J336,"Yes","No")))</f>
        <v/>
      </c>
      <c r="P336" s="17">
        <f>IF($C336="","",IF($K336="","",IF(COUNTIFS(nrES_PID,$D336,nrES_Code,$F336,nrES_Att,"&gt;"&amp;$K336)=0,"Yes","No")))</f>
        <v/>
      </c>
      <c r="Q336" s="17">
        <f>IF($C336="","",IF($L336="","",IF(AND($K336=1,$L336&lt;$J336,COUNTIFS(nrES_PID,$D336,nrES_Code,$F336,nrES_Att,2)=0),"Yes","No")))</f>
        <v/>
      </c>
      <c r="R336" s="17">
        <f>IF($C336="","",IF($L336="","",IF(AND($K336=2,$L336&lt;$J336,COUNTIFS(nrES_PID,$D336,nrES_Code,$F336,nrES_Att,1)&gt;0),"Yes","No")))</f>
        <v/>
      </c>
      <c r="S336" s="18" t="n"/>
      <c r="T336" s="19">
        <f>IF($Q336&lt;&gt;"Yes","",IF($S336="","(enter date)",_xlfn.LET(_xlpm.dn,IFERROR(_xlfn.XLOOKUP($S336,nrCDdate,nrCDnum),""),IF(_xlpm.dn="","(not a class day)",IFERROR(_xlfn.XLOOKUP(_xlpm.dn+cfgRetestClassDays,nrCDnum,nrCDdate),"")))))</f>
        <v/>
      </c>
      <c r="U336" s="17">
        <f>IF($Q336&lt;&gt;"Yes","",IF(COUNTIFS(nrES_PID,$D336,nrES_Code,$F336,nrES_Att,2)&gt;0,"Retested",IF(OR($T336="",NOT(ISNUMBER($T336))),"Pending",IF(TODAY()&gt;$T336,"OVERDUE","Due "&amp;TEXT($T336,"mm/dd")))))</f>
        <v/>
      </c>
      <c r="V336" s="16" t="n"/>
      <c r="W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IF($C337="","",IF($L337="","",IF($K337=1,IF(COUNTIFS(nrES_PID,$D337,nrES_Code,$F337,nrES_Att,2)&gt;0,"",$L337),IF(COUNTIFS(nrES_PID,$D337,nrES_Code,$F337,nrES_Att,1)=0,$L337,IF($L337&gt;=$J337,cfgRetakeRecordedCap,SUMIFS(nrES_Raw,nrES_PID,$D337,nrES_Code,$F337,nrES_Att,1))))))</f>
        <v/>
      </c>
      <c r="N337" s="17">
        <f>IF($C337="","",IF($L337="","",IF($L337&gt;=$J337,"Yes","No")))</f>
        <v/>
      </c>
      <c r="O337" s="17">
        <f>IF($C337="","",IF($M337="","",IF($M337&gt;=$J337,"Yes","No")))</f>
        <v/>
      </c>
      <c r="P337" s="17">
        <f>IF($C337="","",IF($K337="","",IF(COUNTIFS(nrES_PID,$D337,nrES_Code,$F337,nrES_Att,"&gt;"&amp;$K337)=0,"Yes","No")))</f>
        <v/>
      </c>
      <c r="Q337" s="17">
        <f>IF($C337="","",IF($L337="","",IF(AND($K337=1,$L337&lt;$J337,COUNTIFS(nrES_PID,$D337,nrES_Code,$F337,nrES_Att,2)=0),"Yes","No")))</f>
        <v/>
      </c>
      <c r="R337" s="17">
        <f>IF($C337="","",IF($L337="","",IF(AND($K337=2,$L337&lt;$J337,COUNTIFS(nrES_PID,$D337,nrES_Code,$F337,nrES_Att,1)&gt;0),"Yes","No")))</f>
        <v/>
      </c>
      <c r="S337" s="18" t="n"/>
      <c r="T337" s="19">
        <f>IF($Q337&lt;&gt;"Yes","",IF($S337="","(enter date)",_xlfn.LET(_xlpm.dn,IFERROR(_xlfn.XLOOKUP($S337,nrCDdate,nrCDnum),""),IF(_xlpm.dn="","(not a class day)",IFERROR(_xlfn.XLOOKUP(_xlpm.dn+cfgRetestClassDays,nrCDnum,nrCDdate),"")))))</f>
        <v/>
      </c>
      <c r="U337" s="17">
        <f>IF($Q337&lt;&gt;"Yes","",IF(COUNTIFS(nrES_PID,$D337,nrES_Code,$F337,nrES_Att,2)&gt;0,"Retested",IF(OR($T337="",NOT(ISNUMBER($T337))),"Pending",IF(TODAY()&gt;$T337,"OVERDUE","Due "&amp;TEXT($T337,"mm/dd")))))</f>
        <v/>
      </c>
      <c r="V337" s="16" t="n"/>
      <c r="W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IF($C338="","",IF($L338="","",IF($K338=1,IF(COUNTIFS(nrES_PID,$D338,nrES_Code,$F338,nrES_Att,2)&gt;0,"",$L338),IF(COUNTIFS(nrES_PID,$D338,nrES_Code,$F338,nrES_Att,1)=0,$L338,IF($L338&gt;=$J338,cfgRetakeRecordedCap,SUMIFS(nrES_Raw,nrES_PID,$D338,nrES_Code,$F338,nrES_Att,1))))))</f>
        <v/>
      </c>
      <c r="N338" s="17">
        <f>IF($C338="","",IF($L338="","",IF($L338&gt;=$J338,"Yes","No")))</f>
        <v/>
      </c>
      <c r="O338" s="17">
        <f>IF($C338="","",IF($M338="","",IF($M338&gt;=$J338,"Yes","No")))</f>
        <v/>
      </c>
      <c r="P338" s="17">
        <f>IF($C338="","",IF($K338="","",IF(COUNTIFS(nrES_PID,$D338,nrES_Code,$F338,nrES_Att,"&gt;"&amp;$K338)=0,"Yes","No")))</f>
        <v/>
      </c>
      <c r="Q338" s="17">
        <f>IF($C338="","",IF($L338="","",IF(AND($K338=1,$L338&lt;$J338,COUNTIFS(nrES_PID,$D338,nrES_Code,$F338,nrES_Att,2)=0),"Yes","No")))</f>
        <v/>
      </c>
      <c r="R338" s="17">
        <f>IF($C338="","",IF($L338="","",IF(AND($K338=2,$L338&lt;$J338,COUNTIFS(nrES_PID,$D338,nrES_Code,$F338,nrES_Att,1)&gt;0),"Yes","No")))</f>
        <v/>
      </c>
      <c r="S338" s="18" t="n"/>
      <c r="T338" s="19">
        <f>IF($Q338&lt;&gt;"Yes","",IF($S338="","(enter date)",_xlfn.LET(_xlpm.dn,IFERROR(_xlfn.XLOOKUP($S338,nrCDdate,nrCDnum),""),IF(_xlpm.dn="","(not a class day)",IFERROR(_xlfn.XLOOKUP(_xlpm.dn+cfgRetestClassDays,nrCDnum,nrCDdate),"")))))</f>
        <v/>
      </c>
      <c r="U338" s="17">
        <f>IF($Q338&lt;&gt;"Yes","",IF(COUNTIFS(nrES_PID,$D338,nrES_Code,$F338,nrES_Att,2)&gt;0,"Retested",IF(OR($T338="",NOT(ISNUMBER($T338))),"Pending",IF(TODAY()&gt;$T338,"OVERDUE","Due "&amp;TEXT($T338,"mm/dd")))))</f>
        <v/>
      </c>
      <c r="V338" s="16" t="n"/>
      <c r="W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IF($C339="","",IF($L339="","",IF($K339=1,IF(COUNTIFS(nrES_PID,$D339,nrES_Code,$F339,nrES_Att,2)&gt;0,"",$L339),IF(COUNTIFS(nrES_PID,$D339,nrES_Code,$F339,nrES_Att,1)=0,$L339,IF($L339&gt;=$J339,cfgRetakeRecordedCap,SUMIFS(nrES_Raw,nrES_PID,$D339,nrES_Code,$F339,nrES_Att,1))))))</f>
        <v/>
      </c>
      <c r="N339" s="17">
        <f>IF($C339="","",IF($L339="","",IF($L339&gt;=$J339,"Yes","No")))</f>
        <v/>
      </c>
      <c r="O339" s="17">
        <f>IF($C339="","",IF($M339="","",IF($M339&gt;=$J339,"Yes","No")))</f>
        <v/>
      </c>
      <c r="P339" s="17">
        <f>IF($C339="","",IF($K339="","",IF(COUNTIFS(nrES_PID,$D339,nrES_Code,$F339,nrES_Att,"&gt;"&amp;$K339)=0,"Yes","No")))</f>
        <v/>
      </c>
      <c r="Q339" s="17">
        <f>IF($C339="","",IF($L339="","",IF(AND($K339=1,$L339&lt;$J339,COUNTIFS(nrES_PID,$D339,nrES_Code,$F339,nrES_Att,2)=0),"Yes","No")))</f>
        <v/>
      </c>
      <c r="R339" s="17">
        <f>IF($C339="","",IF($L339="","",IF(AND($K339=2,$L339&lt;$J339,COUNTIFS(nrES_PID,$D339,nrES_Code,$F339,nrES_Att,1)&gt;0),"Yes","No")))</f>
        <v/>
      </c>
      <c r="S339" s="18" t="n"/>
      <c r="T339" s="19">
        <f>IF($Q339&lt;&gt;"Yes","",IF($S339="","(enter date)",_xlfn.LET(_xlpm.dn,IFERROR(_xlfn.XLOOKUP($S339,nrCDdate,nrCDnum),""),IF(_xlpm.dn="","(not a class day)",IFERROR(_xlfn.XLOOKUP(_xlpm.dn+cfgRetestClassDays,nrCDnum,nrCDdate),"")))))</f>
        <v/>
      </c>
      <c r="U339" s="17">
        <f>IF($Q339&lt;&gt;"Yes","",IF(COUNTIFS(nrES_PID,$D339,nrES_Code,$F339,nrES_Att,2)&gt;0,"Retested",IF(OR($T339="",NOT(ISNUMBER($T339))),"Pending",IF(TODAY()&gt;$T339,"OVERDUE","Due "&amp;TEXT($T339,"mm/dd")))))</f>
        <v/>
      </c>
      <c r="V339" s="16" t="n"/>
      <c r="W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IF($C340="","",IF($L340="","",IF($K340=1,IF(COUNTIFS(nrES_PID,$D340,nrES_Code,$F340,nrES_Att,2)&gt;0,"",$L340),IF(COUNTIFS(nrES_PID,$D340,nrES_Code,$F340,nrES_Att,1)=0,$L340,IF($L340&gt;=$J340,cfgRetakeRecordedCap,SUMIFS(nrES_Raw,nrES_PID,$D340,nrES_Code,$F340,nrES_Att,1))))))</f>
        <v/>
      </c>
      <c r="N340" s="17">
        <f>IF($C340="","",IF($L340="","",IF($L340&gt;=$J340,"Yes","No")))</f>
        <v/>
      </c>
      <c r="O340" s="17">
        <f>IF($C340="","",IF($M340="","",IF($M340&gt;=$J340,"Yes","No")))</f>
        <v/>
      </c>
      <c r="P340" s="17">
        <f>IF($C340="","",IF($K340="","",IF(COUNTIFS(nrES_PID,$D340,nrES_Code,$F340,nrES_Att,"&gt;"&amp;$K340)=0,"Yes","No")))</f>
        <v/>
      </c>
      <c r="Q340" s="17">
        <f>IF($C340="","",IF($L340="","",IF(AND($K340=1,$L340&lt;$J340,COUNTIFS(nrES_PID,$D340,nrES_Code,$F340,nrES_Att,2)=0),"Yes","No")))</f>
        <v/>
      </c>
      <c r="R340" s="17">
        <f>IF($C340="","",IF($L340="","",IF(AND($K340=2,$L340&lt;$J340,COUNTIFS(nrES_PID,$D340,nrES_Code,$F340,nrES_Att,1)&gt;0),"Yes","No")))</f>
        <v/>
      </c>
      <c r="S340" s="18" t="n"/>
      <c r="T340" s="19">
        <f>IF($Q340&lt;&gt;"Yes","",IF($S340="","(enter date)",_xlfn.LET(_xlpm.dn,IFERROR(_xlfn.XLOOKUP($S340,nrCDdate,nrCDnum),""),IF(_xlpm.dn="","(not a class day)",IFERROR(_xlfn.XLOOKUP(_xlpm.dn+cfgRetestClassDays,nrCDnum,nrCDdate),"")))))</f>
        <v/>
      </c>
      <c r="U340" s="17">
        <f>IF($Q340&lt;&gt;"Yes","",IF(COUNTIFS(nrES_PID,$D340,nrES_Code,$F340,nrES_Att,2)&gt;0,"Retested",IF(OR($T340="",NOT(ISNUMBER($T340))),"Pending",IF(TODAY()&gt;$T340,"OVERDUE","Due "&amp;TEXT($T340,"mm/dd")))))</f>
        <v/>
      </c>
      <c r="V340" s="16" t="n"/>
      <c r="W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IF($C341="","",IF($L341="","",IF($K341=1,IF(COUNTIFS(nrES_PID,$D341,nrES_Code,$F341,nrES_Att,2)&gt;0,"",$L341),IF(COUNTIFS(nrES_PID,$D341,nrES_Code,$F341,nrES_Att,1)=0,$L341,IF($L341&gt;=$J341,cfgRetakeRecordedCap,SUMIFS(nrES_Raw,nrES_PID,$D341,nrES_Code,$F341,nrES_Att,1))))))</f>
        <v/>
      </c>
      <c r="N341" s="17">
        <f>IF($C341="","",IF($L341="","",IF($L341&gt;=$J341,"Yes","No")))</f>
        <v/>
      </c>
      <c r="O341" s="17">
        <f>IF($C341="","",IF($M341="","",IF($M341&gt;=$J341,"Yes","No")))</f>
        <v/>
      </c>
      <c r="P341" s="17">
        <f>IF($C341="","",IF($K341="","",IF(COUNTIFS(nrES_PID,$D341,nrES_Code,$F341,nrES_Att,"&gt;"&amp;$K341)=0,"Yes","No")))</f>
        <v/>
      </c>
      <c r="Q341" s="17">
        <f>IF($C341="","",IF($L341="","",IF(AND($K341=1,$L341&lt;$J341,COUNTIFS(nrES_PID,$D341,nrES_Code,$F341,nrES_Att,2)=0),"Yes","No")))</f>
        <v/>
      </c>
      <c r="R341" s="17">
        <f>IF($C341="","",IF($L341="","",IF(AND($K341=2,$L341&lt;$J341,COUNTIFS(nrES_PID,$D341,nrES_Code,$F341,nrES_Att,1)&gt;0),"Yes","No")))</f>
        <v/>
      </c>
      <c r="S341" s="18" t="n"/>
      <c r="T341" s="19">
        <f>IF($Q341&lt;&gt;"Yes","",IF($S341="","(enter date)",_xlfn.LET(_xlpm.dn,IFERROR(_xlfn.XLOOKUP($S341,nrCDdate,nrCDnum),""),IF(_xlpm.dn="","(not a class day)",IFERROR(_xlfn.XLOOKUP(_xlpm.dn+cfgRetestClassDays,nrCDnum,nrCDdate),"")))))</f>
        <v/>
      </c>
      <c r="U341" s="17">
        <f>IF($Q341&lt;&gt;"Yes","",IF(COUNTIFS(nrES_PID,$D341,nrES_Code,$F341,nrES_Att,2)&gt;0,"Retested",IF(OR($T341="",NOT(ISNUMBER($T341))),"Pending",IF(TODAY()&gt;$T341,"OVERDUE","Due "&amp;TEXT($T341,"mm/dd")))))</f>
        <v/>
      </c>
      <c r="V341" s="16" t="n"/>
      <c r="W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IF($C342="","",IF($L342="","",IF($K342=1,IF(COUNTIFS(nrES_PID,$D342,nrES_Code,$F342,nrES_Att,2)&gt;0,"",$L342),IF(COUNTIFS(nrES_PID,$D342,nrES_Code,$F342,nrES_Att,1)=0,$L342,IF($L342&gt;=$J342,cfgRetakeRecordedCap,SUMIFS(nrES_Raw,nrES_PID,$D342,nrES_Code,$F342,nrES_Att,1))))))</f>
        <v/>
      </c>
      <c r="N342" s="17">
        <f>IF($C342="","",IF($L342="","",IF($L342&gt;=$J342,"Yes","No")))</f>
        <v/>
      </c>
      <c r="O342" s="17">
        <f>IF($C342="","",IF($M342="","",IF($M342&gt;=$J342,"Yes","No")))</f>
        <v/>
      </c>
      <c r="P342" s="17">
        <f>IF($C342="","",IF($K342="","",IF(COUNTIFS(nrES_PID,$D342,nrES_Code,$F342,nrES_Att,"&gt;"&amp;$K342)=0,"Yes","No")))</f>
        <v/>
      </c>
      <c r="Q342" s="17">
        <f>IF($C342="","",IF($L342="","",IF(AND($K342=1,$L342&lt;$J342,COUNTIFS(nrES_PID,$D342,nrES_Code,$F342,nrES_Att,2)=0),"Yes","No")))</f>
        <v/>
      </c>
      <c r="R342" s="17">
        <f>IF($C342="","",IF($L342="","",IF(AND($K342=2,$L342&lt;$J342,COUNTIFS(nrES_PID,$D342,nrES_Code,$F342,nrES_Att,1)&gt;0),"Yes","No")))</f>
        <v/>
      </c>
      <c r="S342" s="18" t="n"/>
      <c r="T342" s="19">
        <f>IF($Q342&lt;&gt;"Yes","",IF($S342="","(enter date)",_xlfn.LET(_xlpm.dn,IFERROR(_xlfn.XLOOKUP($S342,nrCDdate,nrCDnum),""),IF(_xlpm.dn="","(not a class day)",IFERROR(_xlfn.XLOOKUP(_xlpm.dn+cfgRetestClassDays,nrCDnum,nrCDdate),"")))))</f>
        <v/>
      </c>
      <c r="U342" s="17">
        <f>IF($Q342&lt;&gt;"Yes","",IF(COUNTIFS(nrES_PID,$D342,nrES_Code,$F342,nrES_Att,2)&gt;0,"Retested",IF(OR($T342="",NOT(ISNUMBER($T342))),"Pending",IF(TODAY()&gt;$T342,"OVERDUE","Due "&amp;TEXT($T342,"mm/dd")))))</f>
        <v/>
      </c>
      <c r="V342" s="16" t="n"/>
      <c r="W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IF($C343="","",IF($L343="","",IF($K343=1,IF(COUNTIFS(nrES_PID,$D343,nrES_Code,$F343,nrES_Att,2)&gt;0,"",$L343),IF(COUNTIFS(nrES_PID,$D343,nrES_Code,$F343,nrES_Att,1)=0,$L343,IF($L343&gt;=$J343,cfgRetakeRecordedCap,SUMIFS(nrES_Raw,nrES_PID,$D343,nrES_Code,$F343,nrES_Att,1))))))</f>
        <v/>
      </c>
      <c r="N343" s="17">
        <f>IF($C343="","",IF($L343="","",IF($L343&gt;=$J343,"Yes","No")))</f>
        <v/>
      </c>
      <c r="O343" s="17">
        <f>IF($C343="","",IF($M343="","",IF($M343&gt;=$J343,"Yes","No")))</f>
        <v/>
      </c>
      <c r="P343" s="17">
        <f>IF($C343="","",IF($K343="","",IF(COUNTIFS(nrES_PID,$D343,nrES_Code,$F343,nrES_Att,"&gt;"&amp;$K343)=0,"Yes","No")))</f>
        <v/>
      </c>
      <c r="Q343" s="17">
        <f>IF($C343="","",IF($L343="","",IF(AND($K343=1,$L343&lt;$J343,COUNTIFS(nrES_PID,$D343,nrES_Code,$F343,nrES_Att,2)=0),"Yes","No")))</f>
        <v/>
      </c>
      <c r="R343" s="17">
        <f>IF($C343="","",IF($L343="","",IF(AND($K343=2,$L343&lt;$J343,COUNTIFS(nrES_PID,$D343,nrES_Code,$F343,nrES_Att,1)&gt;0),"Yes","No")))</f>
        <v/>
      </c>
      <c r="S343" s="18" t="n"/>
      <c r="T343" s="19">
        <f>IF($Q343&lt;&gt;"Yes","",IF($S343="","(enter date)",_xlfn.LET(_xlpm.dn,IFERROR(_xlfn.XLOOKUP($S343,nrCDdate,nrCDnum),""),IF(_xlpm.dn="","(not a class day)",IFERROR(_xlfn.XLOOKUP(_xlpm.dn+cfgRetestClassDays,nrCDnum,nrCDdate),"")))))</f>
        <v/>
      </c>
      <c r="U343" s="17">
        <f>IF($Q343&lt;&gt;"Yes","",IF(COUNTIFS(nrES_PID,$D343,nrES_Code,$F343,nrES_Att,2)&gt;0,"Retested",IF(OR($T343="",NOT(ISNUMBER($T343))),"Pending",IF(TODAY()&gt;$T343,"OVERDUE","Due "&amp;TEXT($T343,"mm/dd")))))</f>
        <v/>
      </c>
      <c r="V343" s="16" t="n"/>
      <c r="W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IF($C344="","",IF($L344="","",IF($K344=1,IF(COUNTIFS(nrES_PID,$D344,nrES_Code,$F344,nrES_Att,2)&gt;0,"",$L344),IF(COUNTIFS(nrES_PID,$D344,nrES_Code,$F344,nrES_Att,1)=0,$L344,IF($L344&gt;=$J344,cfgRetakeRecordedCap,SUMIFS(nrES_Raw,nrES_PID,$D344,nrES_Code,$F344,nrES_Att,1))))))</f>
        <v/>
      </c>
      <c r="N344" s="17">
        <f>IF($C344="","",IF($L344="","",IF($L344&gt;=$J344,"Yes","No")))</f>
        <v/>
      </c>
      <c r="O344" s="17">
        <f>IF($C344="","",IF($M344="","",IF($M344&gt;=$J344,"Yes","No")))</f>
        <v/>
      </c>
      <c r="P344" s="17">
        <f>IF($C344="","",IF($K344="","",IF(COUNTIFS(nrES_PID,$D344,nrES_Code,$F344,nrES_Att,"&gt;"&amp;$K344)=0,"Yes","No")))</f>
        <v/>
      </c>
      <c r="Q344" s="17">
        <f>IF($C344="","",IF($L344="","",IF(AND($K344=1,$L344&lt;$J344,COUNTIFS(nrES_PID,$D344,nrES_Code,$F344,nrES_Att,2)=0),"Yes","No")))</f>
        <v/>
      </c>
      <c r="R344" s="17">
        <f>IF($C344="","",IF($L344="","",IF(AND($K344=2,$L344&lt;$J344,COUNTIFS(nrES_PID,$D344,nrES_Code,$F344,nrES_Att,1)&gt;0),"Yes","No")))</f>
        <v/>
      </c>
      <c r="S344" s="18" t="n"/>
      <c r="T344" s="19">
        <f>IF($Q344&lt;&gt;"Yes","",IF($S344="","(enter date)",_xlfn.LET(_xlpm.dn,IFERROR(_xlfn.XLOOKUP($S344,nrCDdate,nrCDnum),""),IF(_xlpm.dn="","(not a class day)",IFERROR(_xlfn.XLOOKUP(_xlpm.dn+cfgRetestClassDays,nrCDnum,nrCDdate),"")))))</f>
        <v/>
      </c>
      <c r="U344" s="17">
        <f>IF($Q344&lt;&gt;"Yes","",IF(COUNTIFS(nrES_PID,$D344,nrES_Code,$F344,nrES_Att,2)&gt;0,"Retested",IF(OR($T344="",NOT(ISNUMBER($T344))),"Pending",IF(TODAY()&gt;$T344,"OVERDUE","Due "&amp;TEXT($T344,"mm/dd")))))</f>
        <v/>
      </c>
      <c r="V344" s="16" t="n"/>
      <c r="W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IF($C345="","",IF($L345="","",IF($K345=1,IF(COUNTIFS(nrES_PID,$D345,nrES_Code,$F345,nrES_Att,2)&gt;0,"",$L345),IF(COUNTIFS(nrES_PID,$D345,nrES_Code,$F345,nrES_Att,1)=0,$L345,IF($L345&gt;=$J345,cfgRetakeRecordedCap,SUMIFS(nrES_Raw,nrES_PID,$D345,nrES_Code,$F345,nrES_Att,1))))))</f>
        <v/>
      </c>
      <c r="N345" s="17">
        <f>IF($C345="","",IF($L345="","",IF($L345&gt;=$J345,"Yes","No")))</f>
        <v/>
      </c>
      <c r="O345" s="17">
        <f>IF($C345="","",IF($M345="","",IF($M345&gt;=$J345,"Yes","No")))</f>
        <v/>
      </c>
      <c r="P345" s="17">
        <f>IF($C345="","",IF($K345="","",IF(COUNTIFS(nrES_PID,$D345,nrES_Code,$F345,nrES_Att,"&gt;"&amp;$K345)=0,"Yes","No")))</f>
        <v/>
      </c>
      <c r="Q345" s="17">
        <f>IF($C345="","",IF($L345="","",IF(AND($K345=1,$L345&lt;$J345,COUNTIFS(nrES_PID,$D345,nrES_Code,$F345,nrES_Att,2)=0),"Yes","No")))</f>
        <v/>
      </c>
      <c r="R345" s="17">
        <f>IF($C345="","",IF($L345="","",IF(AND($K345=2,$L345&lt;$J345,COUNTIFS(nrES_PID,$D345,nrES_Code,$F345,nrES_Att,1)&gt;0),"Yes","No")))</f>
        <v/>
      </c>
      <c r="S345" s="18" t="n"/>
      <c r="T345" s="19">
        <f>IF($Q345&lt;&gt;"Yes","",IF($S345="","(enter date)",_xlfn.LET(_xlpm.dn,IFERROR(_xlfn.XLOOKUP($S345,nrCDdate,nrCDnum),""),IF(_xlpm.dn="","(not a class day)",IFERROR(_xlfn.XLOOKUP(_xlpm.dn+cfgRetestClassDays,nrCDnum,nrCDdate),"")))))</f>
        <v/>
      </c>
      <c r="U345" s="17">
        <f>IF($Q345&lt;&gt;"Yes","",IF(COUNTIFS(nrES_PID,$D345,nrES_Code,$F345,nrES_Att,2)&gt;0,"Retested",IF(OR($T345="",NOT(ISNUMBER($T345))),"Pending",IF(TODAY()&gt;$T345,"OVERDUE","Due "&amp;TEXT($T345,"mm/dd")))))</f>
        <v/>
      </c>
      <c r="V345" s="16" t="n"/>
      <c r="W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IF($C346="","",IF($L346="","",IF($K346=1,IF(COUNTIFS(nrES_PID,$D346,nrES_Code,$F346,nrES_Att,2)&gt;0,"",$L346),IF(COUNTIFS(nrES_PID,$D346,nrES_Code,$F346,nrES_Att,1)=0,$L346,IF($L346&gt;=$J346,cfgRetakeRecordedCap,SUMIFS(nrES_Raw,nrES_PID,$D346,nrES_Code,$F346,nrES_Att,1))))))</f>
        <v/>
      </c>
      <c r="N346" s="17">
        <f>IF($C346="","",IF($L346="","",IF($L346&gt;=$J346,"Yes","No")))</f>
        <v/>
      </c>
      <c r="O346" s="17">
        <f>IF($C346="","",IF($M346="","",IF($M346&gt;=$J346,"Yes","No")))</f>
        <v/>
      </c>
      <c r="P346" s="17">
        <f>IF($C346="","",IF($K346="","",IF(COUNTIFS(nrES_PID,$D346,nrES_Code,$F346,nrES_Att,"&gt;"&amp;$K346)=0,"Yes","No")))</f>
        <v/>
      </c>
      <c r="Q346" s="17">
        <f>IF($C346="","",IF($L346="","",IF(AND($K346=1,$L346&lt;$J346,COUNTIFS(nrES_PID,$D346,nrES_Code,$F346,nrES_Att,2)=0),"Yes","No")))</f>
        <v/>
      </c>
      <c r="R346" s="17">
        <f>IF($C346="","",IF($L346="","",IF(AND($K346=2,$L346&lt;$J346,COUNTIFS(nrES_PID,$D346,nrES_Code,$F346,nrES_Att,1)&gt;0),"Yes","No")))</f>
        <v/>
      </c>
      <c r="S346" s="18" t="n"/>
      <c r="T346" s="19">
        <f>IF($Q346&lt;&gt;"Yes","",IF($S346="","(enter date)",_xlfn.LET(_xlpm.dn,IFERROR(_xlfn.XLOOKUP($S346,nrCDdate,nrCDnum),""),IF(_xlpm.dn="","(not a class day)",IFERROR(_xlfn.XLOOKUP(_xlpm.dn+cfgRetestClassDays,nrCDnum,nrCDdate),"")))))</f>
        <v/>
      </c>
      <c r="U346" s="17">
        <f>IF($Q346&lt;&gt;"Yes","",IF(COUNTIFS(nrES_PID,$D346,nrES_Code,$F346,nrES_Att,2)&gt;0,"Retested",IF(OR($T346="",NOT(ISNUMBER($T346))),"Pending",IF(TODAY()&gt;$T346,"OVERDUE","Due "&amp;TEXT($T346,"mm/dd")))))</f>
        <v/>
      </c>
      <c r="V346" s="16" t="n"/>
      <c r="W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IF($C347="","",IF($L347="","",IF($K347=1,IF(COUNTIFS(nrES_PID,$D347,nrES_Code,$F347,nrES_Att,2)&gt;0,"",$L347),IF(COUNTIFS(nrES_PID,$D347,nrES_Code,$F347,nrES_Att,1)=0,$L347,IF($L347&gt;=$J347,cfgRetakeRecordedCap,SUMIFS(nrES_Raw,nrES_PID,$D347,nrES_Code,$F347,nrES_Att,1))))))</f>
        <v/>
      </c>
      <c r="N347" s="17">
        <f>IF($C347="","",IF($L347="","",IF($L347&gt;=$J347,"Yes","No")))</f>
        <v/>
      </c>
      <c r="O347" s="17">
        <f>IF($C347="","",IF($M347="","",IF($M347&gt;=$J347,"Yes","No")))</f>
        <v/>
      </c>
      <c r="P347" s="17">
        <f>IF($C347="","",IF($K347="","",IF(COUNTIFS(nrES_PID,$D347,nrES_Code,$F347,nrES_Att,"&gt;"&amp;$K347)=0,"Yes","No")))</f>
        <v/>
      </c>
      <c r="Q347" s="17">
        <f>IF($C347="","",IF($L347="","",IF(AND($K347=1,$L347&lt;$J347,COUNTIFS(nrES_PID,$D347,nrES_Code,$F347,nrES_Att,2)=0),"Yes","No")))</f>
        <v/>
      </c>
      <c r="R347" s="17">
        <f>IF($C347="","",IF($L347="","",IF(AND($K347=2,$L347&lt;$J347,COUNTIFS(nrES_PID,$D347,nrES_Code,$F347,nrES_Att,1)&gt;0),"Yes","No")))</f>
        <v/>
      </c>
      <c r="S347" s="18" t="n"/>
      <c r="T347" s="19">
        <f>IF($Q347&lt;&gt;"Yes","",IF($S347="","(enter date)",_xlfn.LET(_xlpm.dn,IFERROR(_xlfn.XLOOKUP($S347,nrCDdate,nrCDnum),""),IF(_xlpm.dn="","(not a class day)",IFERROR(_xlfn.XLOOKUP(_xlpm.dn+cfgRetestClassDays,nrCDnum,nrCDdate),"")))))</f>
        <v/>
      </c>
      <c r="U347" s="17">
        <f>IF($Q347&lt;&gt;"Yes","",IF(COUNTIFS(nrES_PID,$D347,nrES_Code,$F347,nrES_Att,2)&gt;0,"Retested",IF(OR($T347="",NOT(ISNUMBER($T347))),"Pending",IF(TODAY()&gt;$T347,"OVERDUE","Due "&amp;TEXT($T347,"mm/dd")))))</f>
        <v/>
      </c>
      <c r="V347" s="16" t="n"/>
      <c r="W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IF($C348="","",IF($L348="","",IF($K348=1,IF(COUNTIFS(nrES_PID,$D348,nrES_Code,$F348,nrES_Att,2)&gt;0,"",$L348),IF(COUNTIFS(nrES_PID,$D348,nrES_Code,$F348,nrES_Att,1)=0,$L348,IF($L348&gt;=$J348,cfgRetakeRecordedCap,SUMIFS(nrES_Raw,nrES_PID,$D348,nrES_Code,$F348,nrES_Att,1))))))</f>
        <v/>
      </c>
      <c r="N348" s="17">
        <f>IF($C348="","",IF($L348="","",IF($L348&gt;=$J348,"Yes","No")))</f>
        <v/>
      </c>
      <c r="O348" s="17">
        <f>IF($C348="","",IF($M348="","",IF($M348&gt;=$J348,"Yes","No")))</f>
        <v/>
      </c>
      <c r="P348" s="17">
        <f>IF($C348="","",IF($K348="","",IF(COUNTIFS(nrES_PID,$D348,nrES_Code,$F348,nrES_Att,"&gt;"&amp;$K348)=0,"Yes","No")))</f>
        <v/>
      </c>
      <c r="Q348" s="17">
        <f>IF($C348="","",IF($L348="","",IF(AND($K348=1,$L348&lt;$J348,COUNTIFS(nrES_PID,$D348,nrES_Code,$F348,nrES_Att,2)=0),"Yes","No")))</f>
        <v/>
      </c>
      <c r="R348" s="17">
        <f>IF($C348="","",IF($L348="","",IF(AND($K348=2,$L348&lt;$J348,COUNTIFS(nrES_PID,$D348,nrES_Code,$F348,nrES_Att,1)&gt;0),"Yes","No")))</f>
        <v/>
      </c>
      <c r="S348" s="18" t="n"/>
      <c r="T348" s="19">
        <f>IF($Q348&lt;&gt;"Yes","",IF($S348="","(enter date)",_xlfn.LET(_xlpm.dn,IFERROR(_xlfn.XLOOKUP($S348,nrCDdate,nrCDnum),""),IF(_xlpm.dn="","(not a class day)",IFERROR(_xlfn.XLOOKUP(_xlpm.dn+cfgRetestClassDays,nrCDnum,nrCDdate),"")))))</f>
        <v/>
      </c>
      <c r="U348" s="17">
        <f>IF($Q348&lt;&gt;"Yes","",IF(COUNTIFS(nrES_PID,$D348,nrES_Code,$F348,nrES_Att,2)&gt;0,"Retested",IF(OR($T348="",NOT(ISNUMBER($T348))),"Pending",IF(TODAY()&gt;$T348,"OVERDUE","Due "&amp;TEXT($T348,"mm/dd")))))</f>
        <v/>
      </c>
      <c r="V348" s="16" t="n"/>
      <c r="W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IF($C349="","",IF($L349="","",IF($K349=1,IF(COUNTIFS(nrES_PID,$D349,nrES_Code,$F349,nrES_Att,2)&gt;0,"",$L349),IF(COUNTIFS(nrES_PID,$D349,nrES_Code,$F349,nrES_Att,1)=0,$L349,IF($L349&gt;=$J349,cfgRetakeRecordedCap,SUMIFS(nrES_Raw,nrES_PID,$D349,nrES_Code,$F349,nrES_Att,1))))))</f>
        <v/>
      </c>
      <c r="N349" s="17">
        <f>IF($C349="","",IF($L349="","",IF($L349&gt;=$J349,"Yes","No")))</f>
        <v/>
      </c>
      <c r="O349" s="17">
        <f>IF($C349="","",IF($M349="","",IF($M349&gt;=$J349,"Yes","No")))</f>
        <v/>
      </c>
      <c r="P349" s="17">
        <f>IF($C349="","",IF($K349="","",IF(COUNTIFS(nrES_PID,$D349,nrES_Code,$F349,nrES_Att,"&gt;"&amp;$K349)=0,"Yes","No")))</f>
        <v/>
      </c>
      <c r="Q349" s="17">
        <f>IF($C349="","",IF($L349="","",IF(AND($K349=1,$L349&lt;$J349,COUNTIFS(nrES_PID,$D349,nrES_Code,$F349,nrES_Att,2)=0),"Yes","No")))</f>
        <v/>
      </c>
      <c r="R349" s="17">
        <f>IF($C349="","",IF($L349="","",IF(AND($K349=2,$L349&lt;$J349,COUNTIFS(nrES_PID,$D349,nrES_Code,$F349,nrES_Att,1)&gt;0),"Yes","No")))</f>
        <v/>
      </c>
      <c r="S349" s="18" t="n"/>
      <c r="T349" s="19">
        <f>IF($Q349&lt;&gt;"Yes","",IF($S349="","(enter date)",_xlfn.LET(_xlpm.dn,IFERROR(_xlfn.XLOOKUP($S349,nrCDdate,nrCDnum),""),IF(_xlpm.dn="","(not a class day)",IFERROR(_xlfn.XLOOKUP(_xlpm.dn+cfgRetestClassDays,nrCDnum,nrCDdate),"")))))</f>
        <v/>
      </c>
      <c r="U349" s="17">
        <f>IF($Q349&lt;&gt;"Yes","",IF(COUNTIFS(nrES_PID,$D349,nrES_Code,$F349,nrES_Att,2)&gt;0,"Retested",IF(OR($T349="",NOT(ISNUMBER($T349))),"Pending",IF(TODAY()&gt;$T349,"OVERDUE","Due "&amp;TEXT($T349,"mm/dd")))))</f>
        <v/>
      </c>
      <c r="V349" s="16" t="n"/>
      <c r="W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IF($C350="","",IF($L350="","",IF($K350=1,IF(COUNTIFS(nrES_PID,$D350,nrES_Code,$F350,nrES_Att,2)&gt;0,"",$L350),IF(COUNTIFS(nrES_PID,$D350,nrES_Code,$F350,nrES_Att,1)=0,$L350,IF($L350&gt;=$J350,cfgRetakeRecordedCap,SUMIFS(nrES_Raw,nrES_PID,$D350,nrES_Code,$F350,nrES_Att,1))))))</f>
        <v/>
      </c>
      <c r="N350" s="17">
        <f>IF($C350="","",IF($L350="","",IF($L350&gt;=$J350,"Yes","No")))</f>
        <v/>
      </c>
      <c r="O350" s="17">
        <f>IF($C350="","",IF($M350="","",IF($M350&gt;=$J350,"Yes","No")))</f>
        <v/>
      </c>
      <c r="P350" s="17">
        <f>IF($C350="","",IF($K350="","",IF(COUNTIFS(nrES_PID,$D350,nrES_Code,$F350,nrES_Att,"&gt;"&amp;$K350)=0,"Yes","No")))</f>
        <v/>
      </c>
      <c r="Q350" s="17">
        <f>IF($C350="","",IF($L350="","",IF(AND($K350=1,$L350&lt;$J350,COUNTIFS(nrES_PID,$D350,nrES_Code,$F350,nrES_Att,2)=0),"Yes","No")))</f>
        <v/>
      </c>
      <c r="R350" s="17">
        <f>IF($C350="","",IF($L350="","",IF(AND($K350=2,$L350&lt;$J350,COUNTIFS(nrES_PID,$D350,nrES_Code,$F350,nrES_Att,1)&gt;0),"Yes","No")))</f>
        <v/>
      </c>
      <c r="S350" s="18" t="n"/>
      <c r="T350" s="19">
        <f>IF($Q350&lt;&gt;"Yes","",IF($S350="","(enter date)",_xlfn.LET(_xlpm.dn,IFERROR(_xlfn.XLOOKUP($S350,nrCDdate,nrCDnum),""),IF(_xlpm.dn="","(not a class day)",IFERROR(_xlfn.XLOOKUP(_xlpm.dn+cfgRetestClassDays,nrCDnum,nrCDdate),"")))))</f>
        <v/>
      </c>
      <c r="U350" s="17">
        <f>IF($Q350&lt;&gt;"Yes","",IF(COUNTIFS(nrES_PID,$D350,nrES_Code,$F350,nrES_Att,2)&gt;0,"Retested",IF(OR($T350="",NOT(ISNUMBER($T350))),"Pending",IF(TODAY()&gt;$T350,"OVERDUE","Due "&amp;TEXT($T350,"mm/dd")))))</f>
        <v/>
      </c>
      <c r="V350" s="16" t="n"/>
      <c r="W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IF($C351="","",IF($L351="","",IF($K351=1,IF(COUNTIFS(nrES_PID,$D351,nrES_Code,$F351,nrES_Att,2)&gt;0,"",$L351),IF(COUNTIFS(nrES_PID,$D351,nrES_Code,$F351,nrES_Att,1)=0,$L351,IF($L351&gt;=$J351,cfgRetakeRecordedCap,SUMIFS(nrES_Raw,nrES_PID,$D351,nrES_Code,$F351,nrES_Att,1))))))</f>
        <v/>
      </c>
      <c r="N351" s="17">
        <f>IF($C351="","",IF($L351="","",IF($L351&gt;=$J351,"Yes","No")))</f>
        <v/>
      </c>
      <c r="O351" s="17">
        <f>IF($C351="","",IF($M351="","",IF($M351&gt;=$J351,"Yes","No")))</f>
        <v/>
      </c>
      <c r="P351" s="17">
        <f>IF($C351="","",IF($K351="","",IF(COUNTIFS(nrES_PID,$D351,nrES_Code,$F351,nrES_Att,"&gt;"&amp;$K351)=0,"Yes","No")))</f>
        <v/>
      </c>
      <c r="Q351" s="17">
        <f>IF($C351="","",IF($L351="","",IF(AND($K351=1,$L351&lt;$J351,COUNTIFS(nrES_PID,$D351,nrES_Code,$F351,nrES_Att,2)=0),"Yes","No")))</f>
        <v/>
      </c>
      <c r="R351" s="17">
        <f>IF($C351="","",IF($L351="","",IF(AND($K351=2,$L351&lt;$J351,COUNTIFS(nrES_PID,$D351,nrES_Code,$F351,nrES_Att,1)&gt;0),"Yes","No")))</f>
        <v/>
      </c>
      <c r="S351" s="18" t="n"/>
      <c r="T351" s="19">
        <f>IF($Q351&lt;&gt;"Yes","",IF($S351="","(enter date)",_xlfn.LET(_xlpm.dn,IFERROR(_xlfn.XLOOKUP($S351,nrCDdate,nrCDnum),""),IF(_xlpm.dn="","(not a class day)",IFERROR(_xlfn.XLOOKUP(_xlpm.dn+cfgRetestClassDays,nrCDnum,nrCDdate),"")))))</f>
        <v/>
      </c>
      <c r="U351" s="17">
        <f>IF($Q351&lt;&gt;"Yes","",IF(COUNTIFS(nrES_PID,$D351,nrES_Code,$F351,nrES_Att,2)&gt;0,"Retested",IF(OR($T351="",NOT(ISNUMBER($T351))),"Pending",IF(TODAY()&gt;$T351,"OVERDUE","Due "&amp;TEXT($T351,"mm/dd")))))</f>
        <v/>
      </c>
      <c r="V351" s="16" t="n"/>
      <c r="W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IF($C352="","",IF($L352="","",IF($K352=1,IF(COUNTIFS(nrES_PID,$D352,nrES_Code,$F352,nrES_Att,2)&gt;0,"",$L352),IF(COUNTIFS(nrES_PID,$D352,nrES_Code,$F352,nrES_Att,1)=0,$L352,IF($L352&gt;=$J352,cfgRetakeRecordedCap,SUMIFS(nrES_Raw,nrES_PID,$D352,nrES_Code,$F352,nrES_Att,1))))))</f>
        <v/>
      </c>
      <c r="N352" s="17">
        <f>IF($C352="","",IF($L352="","",IF($L352&gt;=$J352,"Yes","No")))</f>
        <v/>
      </c>
      <c r="O352" s="17">
        <f>IF($C352="","",IF($M352="","",IF($M352&gt;=$J352,"Yes","No")))</f>
        <v/>
      </c>
      <c r="P352" s="17">
        <f>IF($C352="","",IF($K352="","",IF(COUNTIFS(nrES_PID,$D352,nrES_Code,$F352,nrES_Att,"&gt;"&amp;$K352)=0,"Yes","No")))</f>
        <v/>
      </c>
      <c r="Q352" s="17">
        <f>IF($C352="","",IF($L352="","",IF(AND($K352=1,$L352&lt;$J352,COUNTIFS(nrES_PID,$D352,nrES_Code,$F352,nrES_Att,2)=0),"Yes","No")))</f>
        <v/>
      </c>
      <c r="R352" s="17">
        <f>IF($C352="","",IF($L352="","",IF(AND($K352=2,$L352&lt;$J352,COUNTIFS(nrES_PID,$D352,nrES_Code,$F352,nrES_Att,1)&gt;0),"Yes","No")))</f>
        <v/>
      </c>
      <c r="S352" s="18" t="n"/>
      <c r="T352" s="19">
        <f>IF($Q352&lt;&gt;"Yes","",IF($S352="","(enter date)",_xlfn.LET(_xlpm.dn,IFERROR(_xlfn.XLOOKUP($S352,nrCDdate,nrCDnum),""),IF(_xlpm.dn="","(not a class day)",IFERROR(_xlfn.XLOOKUP(_xlpm.dn+cfgRetestClassDays,nrCDnum,nrCDdate),"")))))</f>
        <v/>
      </c>
      <c r="U352" s="17">
        <f>IF($Q352&lt;&gt;"Yes","",IF(COUNTIFS(nrES_PID,$D352,nrES_Code,$F352,nrES_Att,2)&gt;0,"Retested",IF(OR($T352="",NOT(ISNUMBER($T352))),"Pending",IF(TODAY()&gt;$T352,"OVERDUE","Due "&amp;TEXT($T352,"mm/dd")))))</f>
        <v/>
      </c>
      <c r="V352" s="16" t="n"/>
      <c r="W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IF($C353="","",IF($L353="","",IF($K353=1,IF(COUNTIFS(nrES_PID,$D353,nrES_Code,$F353,nrES_Att,2)&gt;0,"",$L353),IF(COUNTIFS(nrES_PID,$D353,nrES_Code,$F353,nrES_Att,1)=0,$L353,IF($L353&gt;=$J353,cfgRetakeRecordedCap,SUMIFS(nrES_Raw,nrES_PID,$D353,nrES_Code,$F353,nrES_Att,1))))))</f>
        <v/>
      </c>
      <c r="N353" s="17">
        <f>IF($C353="","",IF($L353="","",IF($L353&gt;=$J353,"Yes","No")))</f>
        <v/>
      </c>
      <c r="O353" s="17">
        <f>IF($C353="","",IF($M353="","",IF($M353&gt;=$J353,"Yes","No")))</f>
        <v/>
      </c>
      <c r="P353" s="17">
        <f>IF($C353="","",IF($K353="","",IF(COUNTIFS(nrES_PID,$D353,nrES_Code,$F353,nrES_Att,"&gt;"&amp;$K353)=0,"Yes","No")))</f>
        <v/>
      </c>
      <c r="Q353" s="17">
        <f>IF($C353="","",IF($L353="","",IF(AND($K353=1,$L353&lt;$J353,COUNTIFS(nrES_PID,$D353,nrES_Code,$F353,nrES_Att,2)=0),"Yes","No")))</f>
        <v/>
      </c>
      <c r="R353" s="17">
        <f>IF($C353="","",IF($L353="","",IF(AND($K353=2,$L353&lt;$J353,COUNTIFS(nrES_PID,$D353,nrES_Code,$F353,nrES_Att,1)&gt;0),"Yes","No")))</f>
        <v/>
      </c>
      <c r="S353" s="18" t="n"/>
      <c r="T353" s="19">
        <f>IF($Q353&lt;&gt;"Yes","",IF($S353="","(enter date)",_xlfn.LET(_xlpm.dn,IFERROR(_xlfn.XLOOKUP($S353,nrCDdate,nrCDnum),""),IF(_xlpm.dn="","(not a class day)",IFERROR(_xlfn.XLOOKUP(_xlpm.dn+cfgRetestClassDays,nrCDnum,nrCDdate),"")))))</f>
        <v/>
      </c>
      <c r="U353" s="17">
        <f>IF($Q353&lt;&gt;"Yes","",IF(COUNTIFS(nrES_PID,$D353,nrES_Code,$F353,nrES_Att,2)&gt;0,"Retested",IF(OR($T353="",NOT(ISNUMBER($T353))),"Pending",IF(TODAY()&gt;$T353,"OVERDUE","Due "&amp;TEXT($T353,"mm/dd")))))</f>
        <v/>
      </c>
      <c r="V353" s="16" t="n"/>
      <c r="W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IF($C354="","",IF($L354="","",IF($K354=1,IF(COUNTIFS(nrES_PID,$D354,nrES_Code,$F354,nrES_Att,2)&gt;0,"",$L354),IF(COUNTIFS(nrES_PID,$D354,nrES_Code,$F354,nrES_Att,1)=0,$L354,IF($L354&gt;=$J354,cfgRetakeRecordedCap,SUMIFS(nrES_Raw,nrES_PID,$D354,nrES_Code,$F354,nrES_Att,1))))))</f>
        <v/>
      </c>
      <c r="N354" s="17">
        <f>IF($C354="","",IF($L354="","",IF($L354&gt;=$J354,"Yes","No")))</f>
        <v/>
      </c>
      <c r="O354" s="17">
        <f>IF($C354="","",IF($M354="","",IF($M354&gt;=$J354,"Yes","No")))</f>
        <v/>
      </c>
      <c r="P354" s="17">
        <f>IF($C354="","",IF($K354="","",IF(COUNTIFS(nrES_PID,$D354,nrES_Code,$F354,nrES_Att,"&gt;"&amp;$K354)=0,"Yes","No")))</f>
        <v/>
      </c>
      <c r="Q354" s="17">
        <f>IF($C354="","",IF($L354="","",IF(AND($K354=1,$L354&lt;$J354,COUNTIFS(nrES_PID,$D354,nrES_Code,$F354,nrES_Att,2)=0),"Yes","No")))</f>
        <v/>
      </c>
      <c r="R354" s="17">
        <f>IF($C354="","",IF($L354="","",IF(AND($K354=2,$L354&lt;$J354,COUNTIFS(nrES_PID,$D354,nrES_Code,$F354,nrES_Att,1)&gt;0),"Yes","No")))</f>
        <v/>
      </c>
      <c r="S354" s="18" t="n"/>
      <c r="T354" s="19">
        <f>IF($Q354&lt;&gt;"Yes","",IF($S354="","(enter date)",_xlfn.LET(_xlpm.dn,IFERROR(_xlfn.XLOOKUP($S354,nrCDdate,nrCDnum),""),IF(_xlpm.dn="","(not a class day)",IFERROR(_xlfn.XLOOKUP(_xlpm.dn+cfgRetestClassDays,nrCDnum,nrCDdate),"")))))</f>
        <v/>
      </c>
      <c r="U354" s="17">
        <f>IF($Q354&lt;&gt;"Yes","",IF(COUNTIFS(nrES_PID,$D354,nrES_Code,$F354,nrES_Att,2)&gt;0,"Retested",IF(OR($T354="",NOT(ISNUMBER($T354))),"Pending",IF(TODAY()&gt;$T354,"OVERDUE","Due "&amp;TEXT($T354,"mm/dd")))))</f>
        <v/>
      </c>
      <c r="V354" s="16" t="n"/>
      <c r="W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IF($C355="","",IF($L355="","",IF($K355=1,IF(COUNTIFS(nrES_PID,$D355,nrES_Code,$F355,nrES_Att,2)&gt;0,"",$L355),IF(COUNTIFS(nrES_PID,$D355,nrES_Code,$F355,nrES_Att,1)=0,$L355,IF($L355&gt;=$J355,cfgRetakeRecordedCap,SUMIFS(nrES_Raw,nrES_PID,$D355,nrES_Code,$F355,nrES_Att,1))))))</f>
        <v/>
      </c>
      <c r="N355" s="17">
        <f>IF($C355="","",IF($L355="","",IF($L355&gt;=$J355,"Yes","No")))</f>
        <v/>
      </c>
      <c r="O355" s="17">
        <f>IF($C355="","",IF($M355="","",IF($M355&gt;=$J355,"Yes","No")))</f>
        <v/>
      </c>
      <c r="P355" s="17">
        <f>IF($C355="","",IF($K355="","",IF(COUNTIFS(nrES_PID,$D355,nrES_Code,$F355,nrES_Att,"&gt;"&amp;$K355)=0,"Yes","No")))</f>
        <v/>
      </c>
      <c r="Q355" s="17">
        <f>IF($C355="","",IF($L355="","",IF(AND($K355=1,$L355&lt;$J355,COUNTIFS(nrES_PID,$D355,nrES_Code,$F355,nrES_Att,2)=0),"Yes","No")))</f>
        <v/>
      </c>
      <c r="R355" s="17">
        <f>IF($C355="","",IF($L355="","",IF(AND($K355=2,$L355&lt;$J355,COUNTIFS(nrES_PID,$D355,nrES_Code,$F355,nrES_Att,1)&gt;0),"Yes","No")))</f>
        <v/>
      </c>
      <c r="S355" s="18" t="n"/>
      <c r="T355" s="19">
        <f>IF($Q355&lt;&gt;"Yes","",IF($S355="","(enter date)",_xlfn.LET(_xlpm.dn,IFERROR(_xlfn.XLOOKUP($S355,nrCDdate,nrCDnum),""),IF(_xlpm.dn="","(not a class day)",IFERROR(_xlfn.XLOOKUP(_xlpm.dn+cfgRetestClassDays,nrCDnum,nrCDdate),"")))))</f>
        <v/>
      </c>
      <c r="U355" s="17">
        <f>IF($Q355&lt;&gt;"Yes","",IF(COUNTIFS(nrES_PID,$D355,nrES_Code,$F355,nrES_Att,2)&gt;0,"Retested",IF(OR($T355="",NOT(ISNUMBER($T355))),"Pending",IF(TODAY()&gt;$T355,"OVERDUE","Due "&amp;TEXT($T355,"mm/dd")))))</f>
        <v/>
      </c>
      <c r="V355" s="16" t="n"/>
      <c r="W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IF($C356="","",IF($L356="","",IF($K356=1,IF(COUNTIFS(nrES_PID,$D356,nrES_Code,$F356,nrES_Att,2)&gt;0,"",$L356),IF(COUNTIFS(nrES_PID,$D356,nrES_Code,$F356,nrES_Att,1)=0,$L356,IF($L356&gt;=$J356,cfgRetakeRecordedCap,SUMIFS(nrES_Raw,nrES_PID,$D356,nrES_Code,$F356,nrES_Att,1))))))</f>
        <v/>
      </c>
      <c r="N356" s="17">
        <f>IF($C356="","",IF($L356="","",IF($L356&gt;=$J356,"Yes","No")))</f>
        <v/>
      </c>
      <c r="O356" s="17">
        <f>IF($C356="","",IF($M356="","",IF($M356&gt;=$J356,"Yes","No")))</f>
        <v/>
      </c>
      <c r="P356" s="17">
        <f>IF($C356="","",IF($K356="","",IF(COUNTIFS(nrES_PID,$D356,nrES_Code,$F356,nrES_Att,"&gt;"&amp;$K356)=0,"Yes","No")))</f>
        <v/>
      </c>
      <c r="Q356" s="17">
        <f>IF($C356="","",IF($L356="","",IF(AND($K356=1,$L356&lt;$J356,COUNTIFS(nrES_PID,$D356,nrES_Code,$F356,nrES_Att,2)=0),"Yes","No")))</f>
        <v/>
      </c>
      <c r="R356" s="17">
        <f>IF($C356="","",IF($L356="","",IF(AND($K356=2,$L356&lt;$J356,COUNTIFS(nrES_PID,$D356,nrES_Code,$F356,nrES_Att,1)&gt;0),"Yes","No")))</f>
        <v/>
      </c>
      <c r="S356" s="18" t="n"/>
      <c r="T356" s="19">
        <f>IF($Q356&lt;&gt;"Yes","",IF($S356="","(enter date)",_xlfn.LET(_xlpm.dn,IFERROR(_xlfn.XLOOKUP($S356,nrCDdate,nrCDnum),""),IF(_xlpm.dn="","(not a class day)",IFERROR(_xlfn.XLOOKUP(_xlpm.dn+cfgRetestClassDays,nrCDnum,nrCDdate),"")))))</f>
        <v/>
      </c>
      <c r="U356" s="17">
        <f>IF($Q356&lt;&gt;"Yes","",IF(COUNTIFS(nrES_PID,$D356,nrES_Code,$F356,nrES_Att,2)&gt;0,"Retested",IF(OR($T356="",NOT(ISNUMBER($T356))),"Pending",IF(TODAY()&gt;$T356,"OVERDUE","Due "&amp;TEXT($T356,"mm/dd")))))</f>
        <v/>
      </c>
      <c r="V356" s="16" t="n"/>
      <c r="W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IF($C357="","",IF($L357="","",IF($K357=1,IF(COUNTIFS(nrES_PID,$D357,nrES_Code,$F357,nrES_Att,2)&gt;0,"",$L357),IF(COUNTIFS(nrES_PID,$D357,nrES_Code,$F357,nrES_Att,1)=0,$L357,IF($L357&gt;=$J357,cfgRetakeRecordedCap,SUMIFS(nrES_Raw,nrES_PID,$D357,nrES_Code,$F357,nrES_Att,1))))))</f>
        <v/>
      </c>
      <c r="N357" s="17">
        <f>IF($C357="","",IF($L357="","",IF($L357&gt;=$J357,"Yes","No")))</f>
        <v/>
      </c>
      <c r="O357" s="17">
        <f>IF($C357="","",IF($M357="","",IF($M357&gt;=$J357,"Yes","No")))</f>
        <v/>
      </c>
      <c r="P357" s="17">
        <f>IF($C357="","",IF($K357="","",IF(COUNTIFS(nrES_PID,$D357,nrES_Code,$F357,nrES_Att,"&gt;"&amp;$K357)=0,"Yes","No")))</f>
        <v/>
      </c>
      <c r="Q357" s="17">
        <f>IF($C357="","",IF($L357="","",IF(AND($K357=1,$L357&lt;$J357,COUNTIFS(nrES_PID,$D357,nrES_Code,$F357,nrES_Att,2)=0),"Yes","No")))</f>
        <v/>
      </c>
      <c r="R357" s="17">
        <f>IF($C357="","",IF($L357="","",IF(AND($K357=2,$L357&lt;$J357,COUNTIFS(nrES_PID,$D357,nrES_Code,$F357,nrES_Att,1)&gt;0),"Yes","No")))</f>
        <v/>
      </c>
      <c r="S357" s="18" t="n"/>
      <c r="T357" s="19">
        <f>IF($Q357&lt;&gt;"Yes","",IF($S357="","(enter date)",_xlfn.LET(_xlpm.dn,IFERROR(_xlfn.XLOOKUP($S357,nrCDdate,nrCDnum),""),IF(_xlpm.dn="","(not a class day)",IFERROR(_xlfn.XLOOKUP(_xlpm.dn+cfgRetestClassDays,nrCDnum,nrCDdate),"")))))</f>
        <v/>
      </c>
      <c r="U357" s="17">
        <f>IF($Q357&lt;&gt;"Yes","",IF(COUNTIFS(nrES_PID,$D357,nrES_Code,$F357,nrES_Att,2)&gt;0,"Retested",IF(OR($T357="",NOT(ISNUMBER($T357))),"Pending",IF(TODAY()&gt;$T357,"OVERDUE","Due "&amp;TEXT($T357,"mm/dd")))))</f>
        <v/>
      </c>
      <c r="V357" s="16" t="n"/>
      <c r="W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IF($C358="","",IF($L358="","",IF($K358=1,IF(COUNTIFS(nrES_PID,$D358,nrES_Code,$F358,nrES_Att,2)&gt;0,"",$L358),IF(COUNTIFS(nrES_PID,$D358,nrES_Code,$F358,nrES_Att,1)=0,$L358,IF($L358&gt;=$J358,cfgRetakeRecordedCap,SUMIFS(nrES_Raw,nrES_PID,$D358,nrES_Code,$F358,nrES_Att,1))))))</f>
        <v/>
      </c>
      <c r="N358" s="17">
        <f>IF($C358="","",IF($L358="","",IF($L358&gt;=$J358,"Yes","No")))</f>
        <v/>
      </c>
      <c r="O358" s="17">
        <f>IF($C358="","",IF($M358="","",IF($M358&gt;=$J358,"Yes","No")))</f>
        <v/>
      </c>
      <c r="P358" s="17">
        <f>IF($C358="","",IF($K358="","",IF(COUNTIFS(nrES_PID,$D358,nrES_Code,$F358,nrES_Att,"&gt;"&amp;$K358)=0,"Yes","No")))</f>
        <v/>
      </c>
      <c r="Q358" s="17">
        <f>IF($C358="","",IF($L358="","",IF(AND($K358=1,$L358&lt;$J358,COUNTIFS(nrES_PID,$D358,nrES_Code,$F358,nrES_Att,2)=0),"Yes","No")))</f>
        <v/>
      </c>
      <c r="R358" s="17">
        <f>IF($C358="","",IF($L358="","",IF(AND($K358=2,$L358&lt;$J358,COUNTIFS(nrES_PID,$D358,nrES_Code,$F358,nrES_Att,1)&gt;0),"Yes","No")))</f>
        <v/>
      </c>
      <c r="S358" s="18" t="n"/>
      <c r="T358" s="19">
        <f>IF($Q358&lt;&gt;"Yes","",IF($S358="","(enter date)",_xlfn.LET(_xlpm.dn,IFERROR(_xlfn.XLOOKUP($S358,nrCDdate,nrCDnum),""),IF(_xlpm.dn="","(not a class day)",IFERROR(_xlfn.XLOOKUP(_xlpm.dn+cfgRetestClassDays,nrCDnum,nrCDdate),"")))))</f>
        <v/>
      </c>
      <c r="U358" s="17">
        <f>IF($Q358&lt;&gt;"Yes","",IF(COUNTIFS(nrES_PID,$D358,nrES_Code,$F358,nrES_Att,2)&gt;0,"Retested",IF(OR($T358="",NOT(ISNUMBER($T358))),"Pending",IF(TODAY()&gt;$T358,"OVERDUE","Due "&amp;TEXT($T358,"mm/dd")))))</f>
        <v/>
      </c>
      <c r="V358" s="16" t="n"/>
      <c r="W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IF($C359="","",IF($L359="","",IF($K359=1,IF(COUNTIFS(nrES_PID,$D359,nrES_Code,$F359,nrES_Att,2)&gt;0,"",$L359),IF(COUNTIFS(nrES_PID,$D359,nrES_Code,$F359,nrES_Att,1)=0,$L359,IF($L359&gt;=$J359,cfgRetakeRecordedCap,SUMIFS(nrES_Raw,nrES_PID,$D359,nrES_Code,$F359,nrES_Att,1))))))</f>
        <v/>
      </c>
      <c r="N359" s="17">
        <f>IF($C359="","",IF($L359="","",IF($L359&gt;=$J359,"Yes","No")))</f>
        <v/>
      </c>
      <c r="O359" s="17">
        <f>IF($C359="","",IF($M359="","",IF($M359&gt;=$J359,"Yes","No")))</f>
        <v/>
      </c>
      <c r="P359" s="17">
        <f>IF($C359="","",IF($K359="","",IF(COUNTIFS(nrES_PID,$D359,nrES_Code,$F359,nrES_Att,"&gt;"&amp;$K359)=0,"Yes","No")))</f>
        <v/>
      </c>
      <c r="Q359" s="17">
        <f>IF($C359="","",IF($L359="","",IF(AND($K359=1,$L359&lt;$J359,COUNTIFS(nrES_PID,$D359,nrES_Code,$F359,nrES_Att,2)=0),"Yes","No")))</f>
        <v/>
      </c>
      <c r="R359" s="17">
        <f>IF($C359="","",IF($L359="","",IF(AND($K359=2,$L359&lt;$J359,COUNTIFS(nrES_PID,$D359,nrES_Code,$F359,nrES_Att,1)&gt;0),"Yes","No")))</f>
        <v/>
      </c>
      <c r="S359" s="18" t="n"/>
      <c r="T359" s="19">
        <f>IF($Q359&lt;&gt;"Yes","",IF($S359="","(enter date)",_xlfn.LET(_xlpm.dn,IFERROR(_xlfn.XLOOKUP($S359,nrCDdate,nrCDnum),""),IF(_xlpm.dn="","(not a class day)",IFERROR(_xlfn.XLOOKUP(_xlpm.dn+cfgRetestClassDays,nrCDnum,nrCDdate),"")))))</f>
        <v/>
      </c>
      <c r="U359" s="17">
        <f>IF($Q359&lt;&gt;"Yes","",IF(COUNTIFS(nrES_PID,$D359,nrES_Code,$F359,nrES_Att,2)&gt;0,"Retested",IF(OR($T359="",NOT(ISNUMBER($T359))),"Pending",IF(TODAY()&gt;$T359,"OVERDUE","Due "&amp;TEXT($T359,"mm/dd")))))</f>
        <v/>
      </c>
      <c r="V359" s="16" t="n"/>
      <c r="W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IF($C360="","",IF($L360="","",IF($K360=1,IF(COUNTIFS(nrES_PID,$D360,nrES_Code,$F360,nrES_Att,2)&gt;0,"",$L360),IF(COUNTIFS(nrES_PID,$D360,nrES_Code,$F360,nrES_Att,1)=0,$L360,IF($L360&gt;=$J360,cfgRetakeRecordedCap,SUMIFS(nrES_Raw,nrES_PID,$D360,nrES_Code,$F360,nrES_Att,1))))))</f>
        <v/>
      </c>
      <c r="N360" s="17">
        <f>IF($C360="","",IF($L360="","",IF($L360&gt;=$J360,"Yes","No")))</f>
        <v/>
      </c>
      <c r="O360" s="17">
        <f>IF($C360="","",IF($M360="","",IF($M360&gt;=$J360,"Yes","No")))</f>
        <v/>
      </c>
      <c r="P360" s="17">
        <f>IF($C360="","",IF($K360="","",IF(COUNTIFS(nrES_PID,$D360,nrES_Code,$F360,nrES_Att,"&gt;"&amp;$K360)=0,"Yes","No")))</f>
        <v/>
      </c>
      <c r="Q360" s="17">
        <f>IF($C360="","",IF($L360="","",IF(AND($K360=1,$L360&lt;$J360,COUNTIFS(nrES_PID,$D360,nrES_Code,$F360,nrES_Att,2)=0),"Yes","No")))</f>
        <v/>
      </c>
      <c r="R360" s="17">
        <f>IF($C360="","",IF($L360="","",IF(AND($K360=2,$L360&lt;$J360,COUNTIFS(nrES_PID,$D360,nrES_Code,$F360,nrES_Att,1)&gt;0),"Yes","No")))</f>
        <v/>
      </c>
      <c r="S360" s="18" t="n"/>
      <c r="T360" s="19">
        <f>IF($Q360&lt;&gt;"Yes","",IF($S360="","(enter date)",_xlfn.LET(_xlpm.dn,IFERROR(_xlfn.XLOOKUP($S360,nrCDdate,nrCDnum),""),IF(_xlpm.dn="","(not a class day)",IFERROR(_xlfn.XLOOKUP(_xlpm.dn+cfgRetestClassDays,nrCDnum,nrCDdate),"")))))</f>
        <v/>
      </c>
      <c r="U360" s="17">
        <f>IF($Q360&lt;&gt;"Yes","",IF(COUNTIFS(nrES_PID,$D360,nrES_Code,$F360,nrES_Att,2)&gt;0,"Retested",IF(OR($T360="",NOT(ISNUMBER($T360))),"Pending",IF(TODAY()&gt;$T360,"OVERDUE","Due "&amp;TEXT($T360,"mm/dd")))))</f>
        <v/>
      </c>
      <c r="V360" s="16" t="n"/>
      <c r="W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IF($C361="","",IF($L361="","",IF($K361=1,IF(COUNTIFS(nrES_PID,$D361,nrES_Code,$F361,nrES_Att,2)&gt;0,"",$L361),IF(COUNTIFS(nrES_PID,$D361,nrES_Code,$F361,nrES_Att,1)=0,$L361,IF($L361&gt;=$J361,cfgRetakeRecordedCap,SUMIFS(nrES_Raw,nrES_PID,$D361,nrES_Code,$F361,nrES_Att,1))))))</f>
        <v/>
      </c>
      <c r="N361" s="17">
        <f>IF($C361="","",IF($L361="","",IF($L361&gt;=$J361,"Yes","No")))</f>
        <v/>
      </c>
      <c r="O361" s="17">
        <f>IF($C361="","",IF($M361="","",IF($M361&gt;=$J361,"Yes","No")))</f>
        <v/>
      </c>
      <c r="P361" s="17">
        <f>IF($C361="","",IF($K361="","",IF(COUNTIFS(nrES_PID,$D361,nrES_Code,$F361,nrES_Att,"&gt;"&amp;$K361)=0,"Yes","No")))</f>
        <v/>
      </c>
      <c r="Q361" s="17">
        <f>IF($C361="","",IF($L361="","",IF(AND($K361=1,$L361&lt;$J361,COUNTIFS(nrES_PID,$D361,nrES_Code,$F361,nrES_Att,2)=0),"Yes","No")))</f>
        <v/>
      </c>
      <c r="R361" s="17">
        <f>IF($C361="","",IF($L361="","",IF(AND($K361=2,$L361&lt;$J361,COUNTIFS(nrES_PID,$D361,nrES_Code,$F361,nrES_Att,1)&gt;0),"Yes","No")))</f>
        <v/>
      </c>
      <c r="S361" s="18" t="n"/>
      <c r="T361" s="19">
        <f>IF($Q361&lt;&gt;"Yes","",IF($S361="","(enter date)",_xlfn.LET(_xlpm.dn,IFERROR(_xlfn.XLOOKUP($S361,nrCDdate,nrCDnum),""),IF(_xlpm.dn="","(not a class day)",IFERROR(_xlfn.XLOOKUP(_xlpm.dn+cfgRetestClassDays,nrCDnum,nrCDdate),"")))))</f>
        <v/>
      </c>
      <c r="U361" s="17">
        <f>IF($Q361&lt;&gt;"Yes","",IF(COUNTIFS(nrES_PID,$D361,nrES_Code,$F361,nrES_Att,2)&gt;0,"Retested",IF(OR($T361="",NOT(ISNUMBER($T361))),"Pending",IF(TODAY()&gt;$T361,"OVERDUE","Due "&amp;TEXT($T361,"mm/dd")))))</f>
        <v/>
      </c>
      <c r="V361" s="16" t="n"/>
      <c r="W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IF($C362="","",IF($L362="","",IF($K362=1,IF(COUNTIFS(nrES_PID,$D362,nrES_Code,$F362,nrES_Att,2)&gt;0,"",$L362),IF(COUNTIFS(nrES_PID,$D362,nrES_Code,$F362,nrES_Att,1)=0,$L362,IF($L362&gt;=$J362,cfgRetakeRecordedCap,SUMIFS(nrES_Raw,nrES_PID,$D362,nrES_Code,$F362,nrES_Att,1))))))</f>
        <v/>
      </c>
      <c r="N362" s="17">
        <f>IF($C362="","",IF($L362="","",IF($L362&gt;=$J362,"Yes","No")))</f>
        <v/>
      </c>
      <c r="O362" s="17">
        <f>IF($C362="","",IF($M362="","",IF($M362&gt;=$J362,"Yes","No")))</f>
        <v/>
      </c>
      <c r="P362" s="17">
        <f>IF($C362="","",IF($K362="","",IF(COUNTIFS(nrES_PID,$D362,nrES_Code,$F362,nrES_Att,"&gt;"&amp;$K362)=0,"Yes","No")))</f>
        <v/>
      </c>
      <c r="Q362" s="17">
        <f>IF($C362="","",IF($L362="","",IF(AND($K362=1,$L362&lt;$J362,COUNTIFS(nrES_PID,$D362,nrES_Code,$F362,nrES_Att,2)=0),"Yes","No")))</f>
        <v/>
      </c>
      <c r="R362" s="17">
        <f>IF($C362="","",IF($L362="","",IF(AND($K362=2,$L362&lt;$J362,COUNTIFS(nrES_PID,$D362,nrES_Code,$F362,nrES_Att,1)&gt;0),"Yes","No")))</f>
        <v/>
      </c>
      <c r="S362" s="18" t="n"/>
      <c r="T362" s="19">
        <f>IF($Q362&lt;&gt;"Yes","",IF($S362="","(enter date)",_xlfn.LET(_xlpm.dn,IFERROR(_xlfn.XLOOKUP($S362,nrCDdate,nrCDnum),""),IF(_xlpm.dn="","(not a class day)",IFERROR(_xlfn.XLOOKUP(_xlpm.dn+cfgRetestClassDays,nrCDnum,nrCDdate),"")))))</f>
        <v/>
      </c>
      <c r="U362" s="17">
        <f>IF($Q362&lt;&gt;"Yes","",IF(COUNTIFS(nrES_PID,$D362,nrES_Code,$F362,nrES_Att,2)&gt;0,"Retested",IF(OR($T362="",NOT(ISNUMBER($T362))),"Pending",IF(TODAY()&gt;$T362,"OVERDUE","Due "&amp;TEXT($T362,"mm/dd")))))</f>
        <v/>
      </c>
      <c r="V362" s="16" t="n"/>
      <c r="W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IF($C363="","",IF($L363="","",IF($K363=1,IF(COUNTIFS(nrES_PID,$D363,nrES_Code,$F363,nrES_Att,2)&gt;0,"",$L363),IF(COUNTIFS(nrES_PID,$D363,nrES_Code,$F363,nrES_Att,1)=0,$L363,IF($L363&gt;=$J363,cfgRetakeRecordedCap,SUMIFS(nrES_Raw,nrES_PID,$D363,nrES_Code,$F363,nrES_Att,1))))))</f>
        <v/>
      </c>
      <c r="N363" s="17">
        <f>IF($C363="","",IF($L363="","",IF($L363&gt;=$J363,"Yes","No")))</f>
        <v/>
      </c>
      <c r="O363" s="17">
        <f>IF($C363="","",IF($M363="","",IF($M363&gt;=$J363,"Yes","No")))</f>
        <v/>
      </c>
      <c r="P363" s="17">
        <f>IF($C363="","",IF($K363="","",IF(COUNTIFS(nrES_PID,$D363,nrES_Code,$F363,nrES_Att,"&gt;"&amp;$K363)=0,"Yes","No")))</f>
        <v/>
      </c>
      <c r="Q363" s="17">
        <f>IF($C363="","",IF($L363="","",IF(AND($K363=1,$L363&lt;$J363,COUNTIFS(nrES_PID,$D363,nrES_Code,$F363,nrES_Att,2)=0),"Yes","No")))</f>
        <v/>
      </c>
      <c r="R363" s="17">
        <f>IF($C363="","",IF($L363="","",IF(AND($K363=2,$L363&lt;$J363,COUNTIFS(nrES_PID,$D363,nrES_Code,$F363,nrES_Att,1)&gt;0),"Yes","No")))</f>
        <v/>
      </c>
      <c r="S363" s="18" t="n"/>
      <c r="T363" s="19">
        <f>IF($Q363&lt;&gt;"Yes","",IF($S363="","(enter date)",_xlfn.LET(_xlpm.dn,IFERROR(_xlfn.XLOOKUP($S363,nrCDdate,nrCDnum),""),IF(_xlpm.dn="","(not a class day)",IFERROR(_xlfn.XLOOKUP(_xlpm.dn+cfgRetestClassDays,nrCDnum,nrCDdate),"")))))</f>
        <v/>
      </c>
      <c r="U363" s="17">
        <f>IF($Q363&lt;&gt;"Yes","",IF(COUNTIFS(nrES_PID,$D363,nrES_Code,$F363,nrES_Att,2)&gt;0,"Retested",IF(OR($T363="",NOT(ISNUMBER($T363))),"Pending",IF(TODAY()&gt;$T363,"OVERDUE","Due "&amp;TEXT($T363,"mm/dd")))))</f>
        <v/>
      </c>
      <c r="V363" s="16" t="n"/>
      <c r="W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IF($C364="","",IF($L364="","",IF($K364=1,IF(COUNTIFS(nrES_PID,$D364,nrES_Code,$F364,nrES_Att,2)&gt;0,"",$L364),IF(COUNTIFS(nrES_PID,$D364,nrES_Code,$F364,nrES_Att,1)=0,$L364,IF($L364&gt;=$J364,cfgRetakeRecordedCap,SUMIFS(nrES_Raw,nrES_PID,$D364,nrES_Code,$F364,nrES_Att,1))))))</f>
        <v/>
      </c>
      <c r="N364" s="17">
        <f>IF($C364="","",IF($L364="","",IF($L364&gt;=$J364,"Yes","No")))</f>
        <v/>
      </c>
      <c r="O364" s="17">
        <f>IF($C364="","",IF($M364="","",IF($M364&gt;=$J364,"Yes","No")))</f>
        <v/>
      </c>
      <c r="P364" s="17">
        <f>IF($C364="","",IF($K364="","",IF(COUNTIFS(nrES_PID,$D364,nrES_Code,$F364,nrES_Att,"&gt;"&amp;$K364)=0,"Yes","No")))</f>
        <v/>
      </c>
      <c r="Q364" s="17">
        <f>IF($C364="","",IF($L364="","",IF(AND($K364=1,$L364&lt;$J364,COUNTIFS(nrES_PID,$D364,nrES_Code,$F364,nrES_Att,2)=0),"Yes","No")))</f>
        <v/>
      </c>
      <c r="R364" s="17">
        <f>IF($C364="","",IF($L364="","",IF(AND($K364=2,$L364&lt;$J364,COUNTIFS(nrES_PID,$D364,nrES_Code,$F364,nrES_Att,1)&gt;0),"Yes","No")))</f>
        <v/>
      </c>
      <c r="S364" s="18" t="n"/>
      <c r="T364" s="19">
        <f>IF($Q364&lt;&gt;"Yes","",IF($S364="","(enter date)",_xlfn.LET(_xlpm.dn,IFERROR(_xlfn.XLOOKUP($S364,nrCDdate,nrCDnum),""),IF(_xlpm.dn="","(not a class day)",IFERROR(_xlfn.XLOOKUP(_xlpm.dn+cfgRetestClassDays,nrCDnum,nrCDdate),"")))))</f>
        <v/>
      </c>
      <c r="U364" s="17">
        <f>IF($Q364&lt;&gt;"Yes","",IF(COUNTIFS(nrES_PID,$D364,nrES_Code,$F364,nrES_Att,2)&gt;0,"Retested",IF(OR($T364="",NOT(ISNUMBER($T364))),"Pending",IF(TODAY()&gt;$T364,"OVERDUE","Due "&amp;TEXT($T364,"mm/dd")))))</f>
        <v/>
      </c>
      <c r="V364" s="16" t="n"/>
      <c r="W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IF($C365="","",IF($L365="","",IF($K365=1,IF(COUNTIFS(nrES_PID,$D365,nrES_Code,$F365,nrES_Att,2)&gt;0,"",$L365),IF(COUNTIFS(nrES_PID,$D365,nrES_Code,$F365,nrES_Att,1)=0,$L365,IF($L365&gt;=$J365,cfgRetakeRecordedCap,SUMIFS(nrES_Raw,nrES_PID,$D365,nrES_Code,$F365,nrES_Att,1))))))</f>
        <v/>
      </c>
      <c r="N365" s="17">
        <f>IF($C365="","",IF($L365="","",IF($L365&gt;=$J365,"Yes","No")))</f>
        <v/>
      </c>
      <c r="O365" s="17">
        <f>IF($C365="","",IF($M365="","",IF($M365&gt;=$J365,"Yes","No")))</f>
        <v/>
      </c>
      <c r="P365" s="17">
        <f>IF($C365="","",IF($K365="","",IF(COUNTIFS(nrES_PID,$D365,nrES_Code,$F365,nrES_Att,"&gt;"&amp;$K365)=0,"Yes","No")))</f>
        <v/>
      </c>
      <c r="Q365" s="17">
        <f>IF($C365="","",IF($L365="","",IF(AND($K365=1,$L365&lt;$J365,COUNTIFS(nrES_PID,$D365,nrES_Code,$F365,nrES_Att,2)=0),"Yes","No")))</f>
        <v/>
      </c>
      <c r="R365" s="17">
        <f>IF($C365="","",IF($L365="","",IF(AND($K365=2,$L365&lt;$J365,COUNTIFS(nrES_PID,$D365,nrES_Code,$F365,nrES_Att,1)&gt;0),"Yes","No")))</f>
        <v/>
      </c>
      <c r="S365" s="18" t="n"/>
      <c r="T365" s="19">
        <f>IF($Q365&lt;&gt;"Yes","",IF($S365="","(enter date)",_xlfn.LET(_xlpm.dn,IFERROR(_xlfn.XLOOKUP($S365,nrCDdate,nrCDnum),""),IF(_xlpm.dn="","(not a class day)",IFERROR(_xlfn.XLOOKUP(_xlpm.dn+cfgRetestClassDays,nrCDnum,nrCDdate),"")))))</f>
        <v/>
      </c>
      <c r="U365" s="17">
        <f>IF($Q365&lt;&gt;"Yes","",IF(COUNTIFS(nrES_PID,$D365,nrES_Code,$F365,nrES_Att,2)&gt;0,"Retested",IF(OR($T365="",NOT(ISNUMBER($T365))),"Pending",IF(TODAY()&gt;$T365,"OVERDUE","Due "&amp;TEXT($T365,"mm/dd")))))</f>
        <v/>
      </c>
      <c r="V365" s="16" t="n"/>
      <c r="W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IF($C366="","",IF($L366="","",IF($K366=1,IF(COUNTIFS(nrES_PID,$D366,nrES_Code,$F366,nrES_Att,2)&gt;0,"",$L366),IF(COUNTIFS(nrES_PID,$D366,nrES_Code,$F366,nrES_Att,1)=0,$L366,IF($L366&gt;=$J366,cfgRetakeRecordedCap,SUMIFS(nrES_Raw,nrES_PID,$D366,nrES_Code,$F366,nrES_Att,1))))))</f>
        <v/>
      </c>
      <c r="N366" s="17">
        <f>IF($C366="","",IF($L366="","",IF($L366&gt;=$J366,"Yes","No")))</f>
        <v/>
      </c>
      <c r="O366" s="17">
        <f>IF($C366="","",IF($M366="","",IF($M366&gt;=$J366,"Yes","No")))</f>
        <v/>
      </c>
      <c r="P366" s="17">
        <f>IF($C366="","",IF($K366="","",IF(COUNTIFS(nrES_PID,$D366,nrES_Code,$F366,nrES_Att,"&gt;"&amp;$K366)=0,"Yes","No")))</f>
        <v/>
      </c>
      <c r="Q366" s="17">
        <f>IF($C366="","",IF($L366="","",IF(AND($K366=1,$L366&lt;$J366,COUNTIFS(nrES_PID,$D366,nrES_Code,$F366,nrES_Att,2)=0),"Yes","No")))</f>
        <v/>
      </c>
      <c r="R366" s="17">
        <f>IF($C366="","",IF($L366="","",IF(AND($K366=2,$L366&lt;$J366,COUNTIFS(nrES_PID,$D366,nrES_Code,$F366,nrES_Att,1)&gt;0),"Yes","No")))</f>
        <v/>
      </c>
      <c r="S366" s="18" t="n"/>
      <c r="T366" s="19">
        <f>IF($Q366&lt;&gt;"Yes","",IF($S366="","(enter date)",_xlfn.LET(_xlpm.dn,IFERROR(_xlfn.XLOOKUP($S366,nrCDdate,nrCDnum),""),IF(_xlpm.dn="","(not a class day)",IFERROR(_xlfn.XLOOKUP(_xlpm.dn+cfgRetestClassDays,nrCDnum,nrCDdate),"")))))</f>
        <v/>
      </c>
      <c r="U366" s="17">
        <f>IF($Q366&lt;&gt;"Yes","",IF(COUNTIFS(nrES_PID,$D366,nrES_Code,$F366,nrES_Att,2)&gt;0,"Retested",IF(OR($T366="",NOT(ISNUMBER($T366))),"Pending",IF(TODAY()&gt;$T366,"OVERDUE","Due "&amp;TEXT($T366,"mm/dd")))))</f>
        <v/>
      </c>
      <c r="V366" s="16" t="n"/>
      <c r="W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IF($C367="","",IF($L367="","",IF($K367=1,IF(COUNTIFS(nrES_PID,$D367,nrES_Code,$F367,nrES_Att,2)&gt;0,"",$L367),IF(COUNTIFS(nrES_PID,$D367,nrES_Code,$F367,nrES_Att,1)=0,$L367,IF($L367&gt;=$J367,cfgRetakeRecordedCap,SUMIFS(nrES_Raw,nrES_PID,$D367,nrES_Code,$F367,nrES_Att,1))))))</f>
        <v/>
      </c>
      <c r="N367" s="17">
        <f>IF($C367="","",IF($L367="","",IF($L367&gt;=$J367,"Yes","No")))</f>
        <v/>
      </c>
      <c r="O367" s="17">
        <f>IF($C367="","",IF($M367="","",IF($M367&gt;=$J367,"Yes","No")))</f>
        <v/>
      </c>
      <c r="P367" s="17">
        <f>IF($C367="","",IF($K367="","",IF(COUNTIFS(nrES_PID,$D367,nrES_Code,$F367,nrES_Att,"&gt;"&amp;$K367)=0,"Yes","No")))</f>
        <v/>
      </c>
      <c r="Q367" s="17">
        <f>IF($C367="","",IF($L367="","",IF(AND($K367=1,$L367&lt;$J367,COUNTIFS(nrES_PID,$D367,nrES_Code,$F367,nrES_Att,2)=0),"Yes","No")))</f>
        <v/>
      </c>
      <c r="R367" s="17">
        <f>IF($C367="","",IF($L367="","",IF(AND($K367=2,$L367&lt;$J367,COUNTIFS(nrES_PID,$D367,nrES_Code,$F367,nrES_Att,1)&gt;0),"Yes","No")))</f>
        <v/>
      </c>
      <c r="S367" s="18" t="n"/>
      <c r="T367" s="19">
        <f>IF($Q367&lt;&gt;"Yes","",IF($S367="","(enter date)",_xlfn.LET(_xlpm.dn,IFERROR(_xlfn.XLOOKUP($S367,nrCDdate,nrCDnum),""),IF(_xlpm.dn="","(not a class day)",IFERROR(_xlfn.XLOOKUP(_xlpm.dn+cfgRetestClassDays,nrCDnum,nrCDdate),"")))))</f>
        <v/>
      </c>
      <c r="U367" s="17">
        <f>IF($Q367&lt;&gt;"Yes","",IF(COUNTIFS(nrES_PID,$D367,nrES_Code,$F367,nrES_Att,2)&gt;0,"Retested",IF(OR($T367="",NOT(ISNUMBER($T367))),"Pending",IF(TODAY()&gt;$T367,"OVERDUE","Due "&amp;TEXT($T367,"mm/dd")))))</f>
        <v/>
      </c>
      <c r="V367" s="16" t="n"/>
      <c r="W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IF($C368="","",IF($L368="","",IF($K368=1,IF(COUNTIFS(nrES_PID,$D368,nrES_Code,$F368,nrES_Att,2)&gt;0,"",$L368),IF(COUNTIFS(nrES_PID,$D368,nrES_Code,$F368,nrES_Att,1)=0,$L368,IF($L368&gt;=$J368,cfgRetakeRecordedCap,SUMIFS(nrES_Raw,nrES_PID,$D368,nrES_Code,$F368,nrES_Att,1))))))</f>
        <v/>
      </c>
      <c r="N368" s="17">
        <f>IF($C368="","",IF($L368="","",IF($L368&gt;=$J368,"Yes","No")))</f>
        <v/>
      </c>
      <c r="O368" s="17">
        <f>IF($C368="","",IF($M368="","",IF($M368&gt;=$J368,"Yes","No")))</f>
        <v/>
      </c>
      <c r="P368" s="17">
        <f>IF($C368="","",IF($K368="","",IF(COUNTIFS(nrES_PID,$D368,nrES_Code,$F368,nrES_Att,"&gt;"&amp;$K368)=0,"Yes","No")))</f>
        <v/>
      </c>
      <c r="Q368" s="17">
        <f>IF($C368="","",IF($L368="","",IF(AND($K368=1,$L368&lt;$J368,COUNTIFS(nrES_PID,$D368,nrES_Code,$F368,nrES_Att,2)=0),"Yes","No")))</f>
        <v/>
      </c>
      <c r="R368" s="17">
        <f>IF($C368="","",IF($L368="","",IF(AND($K368=2,$L368&lt;$J368,COUNTIFS(nrES_PID,$D368,nrES_Code,$F368,nrES_Att,1)&gt;0),"Yes","No")))</f>
        <v/>
      </c>
      <c r="S368" s="18" t="n"/>
      <c r="T368" s="19">
        <f>IF($Q368&lt;&gt;"Yes","",IF($S368="","(enter date)",_xlfn.LET(_xlpm.dn,IFERROR(_xlfn.XLOOKUP($S368,nrCDdate,nrCDnum),""),IF(_xlpm.dn="","(not a class day)",IFERROR(_xlfn.XLOOKUP(_xlpm.dn+cfgRetestClassDays,nrCDnum,nrCDdate),"")))))</f>
        <v/>
      </c>
      <c r="U368" s="17">
        <f>IF($Q368&lt;&gt;"Yes","",IF(COUNTIFS(nrES_PID,$D368,nrES_Code,$F368,nrES_Att,2)&gt;0,"Retested",IF(OR($T368="",NOT(ISNUMBER($T368))),"Pending",IF(TODAY()&gt;$T368,"OVERDUE","Due "&amp;TEXT($T368,"mm/dd")))))</f>
        <v/>
      </c>
      <c r="V368" s="16" t="n"/>
      <c r="W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IF($C369="","",IF($L369="","",IF($K369=1,IF(COUNTIFS(nrES_PID,$D369,nrES_Code,$F369,nrES_Att,2)&gt;0,"",$L369),IF(COUNTIFS(nrES_PID,$D369,nrES_Code,$F369,nrES_Att,1)=0,$L369,IF($L369&gt;=$J369,cfgRetakeRecordedCap,SUMIFS(nrES_Raw,nrES_PID,$D369,nrES_Code,$F369,nrES_Att,1))))))</f>
        <v/>
      </c>
      <c r="N369" s="17">
        <f>IF($C369="","",IF($L369="","",IF($L369&gt;=$J369,"Yes","No")))</f>
        <v/>
      </c>
      <c r="O369" s="17">
        <f>IF($C369="","",IF($M369="","",IF($M369&gt;=$J369,"Yes","No")))</f>
        <v/>
      </c>
      <c r="P369" s="17">
        <f>IF($C369="","",IF($K369="","",IF(COUNTIFS(nrES_PID,$D369,nrES_Code,$F369,nrES_Att,"&gt;"&amp;$K369)=0,"Yes","No")))</f>
        <v/>
      </c>
      <c r="Q369" s="17">
        <f>IF($C369="","",IF($L369="","",IF(AND($K369=1,$L369&lt;$J369,COUNTIFS(nrES_PID,$D369,nrES_Code,$F369,nrES_Att,2)=0),"Yes","No")))</f>
        <v/>
      </c>
      <c r="R369" s="17">
        <f>IF($C369="","",IF($L369="","",IF(AND($K369=2,$L369&lt;$J369,COUNTIFS(nrES_PID,$D369,nrES_Code,$F369,nrES_Att,1)&gt;0),"Yes","No")))</f>
        <v/>
      </c>
      <c r="S369" s="18" t="n"/>
      <c r="T369" s="19">
        <f>IF($Q369&lt;&gt;"Yes","",IF($S369="","(enter date)",_xlfn.LET(_xlpm.dn,IFERROR(_xlfn.XLOOKUP($S369,nrCDdate,nrCDnum),""),IF(_xlpm.dn="","(not a class day)",IFERROR(_xlfn.XLOOKUP(_xlpm.dn+cfgRetestClassDays,nrCDnum,nrCDdate),"")))))</f>
        <v/>
      </c>
      <c r="U369" s="17">
        <f>IF($Q369&lt;&gt;"Yes","",IF(COUNTIFS(nrES_PID,$D369,nrES_Code,$F369,nrES_Att,2)&gt;0,"Retested",IF(OR($T369="",NOT(ISNUMBER($T369))),"Pending",IF(TODAY()&gt;$T369,"OVERDUE","Due "&amp;TEXT($T369,"mm/dd")))))</f>
        <v/>
      </c>
      <c r="V369" s="16" t="n"/>
      <c r="W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IF($C370="","",IF($L370="","",IF($K370=1,IF(COUNTIFS(nrES_PID,$D370,nrES_Code,$F370,nrES_Att,2)&gt;0,"",$L370),IF(COUNTIFS(nrES_PID,$D370,nrES_Code,$F370,nrES_Att,1)=0,$L370,IF($L370&gt;=$J370,cfgRetakeRecordedCap,SUMIFS(nrES_Raw,nrES_PID,$D370,nrES_Code,$F370,nrES_Att,1))))))</f>
        <v/>
      </c>
      <c r="N370" s="17">
        <f>IF($C370="","",IF($L370="","",IF($L370&gt;=$J370,"Yes","No")))</f>
        <v/>
      </c>
      <c r="O370" s="17">
        <f>IF($C370="","",IF($M370="","",IF($M370&gt;=$J370,"Yes","No")))</f>
        <v/>
      </c>
      <c r="P370" s="17">
        <f>IF($C370="","",IF($K370="","",IF(COUNTIFS(nrES_PID,$D370,nrES_Code,$F370,nrES_Att,"&gt;"&amp;$K370)=0,"Yes","No")))</f>
        <v/>
      </c>
      <c r="Q370" s="17">
        <f>IF($C370="","",IF($L370="","",IF(AND($K370=1,$L370&lt;$J370,COUNTIFS(nrES_PID,$D370,nrES_Code,$F370,nrES_Att,2)=0),"Yes","No")))</f>
        <v/>
      </c>
      <c r="R370" s="17">
        <f>IF($C370="","",IF($L370="","",IF(AND($K370=2,$L370&lt;$J370,COUNTIFS(nrES_PID,$D370,nrES_Code,$F370,nrES_Att,1)&gt;0),"Yes","No")))</f>
        <v/>
      </c>
      <c r="S370" s="18" t="n"/>
      <c r="T370" s="19">
        <f>IF($Q370&lt;&gt;"Yes","",IF($S370="","(enter date)",_xlfn.LET(_xlpm.dn,IFERROR(_xlfn.XLOOKUP($S370,nrCDdate,nrCDnum),""),IF(_xlpm.dn="","(not a class day)",IFERROR(_xlfn.XLOOKUP(_xlpm.dn+cfgRetestClassDays,nrCDnum,nrCDdate),"")))))</f>
        <v/>
      </c>
      <c r="U370" s="17">
        <f>IF($Q370&lt;&gt;"Yes","",IF(COUNTIFS(nrES_PID,$D370,nrES_Code,$F370,nrES_Att,2)&gt;0,"Retested",IF(OR($T370="",NOT(ISNUMBER($T370))),"Pending",IF(TODAY()&gt;$T370,"OVERDUE","Due "&amp;TEXT($T370,"mm/dd")))))</f>
        <v/>
      </c>
      <c r="V370" s="16" t="n"/>
      <c r="W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IF($C371="","",IF($L371="","",IF($K371=1,IF(COUNTIFS(nrES_PID,$D371,nrES_Code,$F371,nrES_Att,2)&gt;0,"",$L371),IF(COUNTIFS(nrES_PID,$D371,nrES_Code,$F371,nrES_Att,1)=0,$L371,IF($L371&gt;=$J371,cfgRetakeRecordedCap,SUMIFS(nrES_Raw,nrES_PID,$D371,nrES_Code,$F371,nrES_Att,1))))))</f>
        <v/>
      </c>
      <c r="N371" s="17">
        <f>IF($C371="","",IF($L371="","",IF($L371&gt;=$J371,"Yes","No")))</f>
        <v/>
      </c>
      <c r="O371" s="17">
        <f>IF($C371="","",IF($M371="","",IF($M371&gt;=$J371,"Yes","No")))</f>
        <v/>
      </c>
      <c r="P371" s="17">
        <f>IF($C371="","",IF($K371="","",IF(COUNTIFS(nrES_PID,$D371,nrES_Code,$F371,nrES_Att,"&gt;"&amp;$K371)=0,"Yes","No")))</f>
        <v/>
      </c>
      <c r="Q371" s="17">
        <f>IF($C371="","",IF($L371="","",IF(AND($K371=1,$L371&lt;$J371,COUNTIFS(nrES_PID,$D371,nrES_Code,$F371,nrES_Att,2)=0),"Yes","No")))</f>
        <v/>
      </c>
      <c r="R371" s="17">
        <f>IF($C371="","",IF($L371="","",IF(AND($K371=2,$L371&lt;$J371,COUNTIFS(nrES_PID,$D371,nrES_Code,$F371,nrES_Att,1)&gt;0),"Yes","No")))</f>
        <v/>
      </c>
      <c r="S371" s="18" t="n"/>
      <c r="T371" s="19">
        <f>IF($Q371&lt;&gt;"Yes","",IF($S371="","(enter date)",_xlfn.LET(_xlpm.dn,IFERROR(_xlfn.XLOOKUP($S371,nrCDdate,nrCDnum),""),IF(_xlpm.dn="","(not a class day)",IFERROR(_xlfn.XLOOKUP(_xlpm.dn+cfgRetestClassDays,nrCDnum,nrCDdate),"")))))</f>
        <v/>
      </c>
      <c r="U371" s="17">
        <f>IF($Q371&lt;&gt;"Yes","",IF(COUNTIFS(nrES_PID,$D371,nrES_Code,$F371,nrES_Att,2)&gt;0,"Retested",IF(OR($T371="",NOT(ISNUMBER($T371))),"Pending",IF(TODAY()&gt;$T371,"OVERDUE","Due "&amp;TEXT($T371,"mm/dd")))))</f>
        <v/>
      </c>
      <c r="V371" s="16" t="n"/>
      <c r="W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IF($C372="","",IF($L372="","",IF($K372=1,IF(COUNTIFS(nrES_PID,$D372,nrES_Code,$F372,nrES_Att,2)&gt;0,"",$L372),IF(COUNTIFS(nrES_PID,$D372,nrES_Code,$F372,nrES_Att,1)=0,$L372,IF($L372&gt;=$J372,cfgRetakeRecordedCap,SUMIFS(nrES_Raw,nrES_PID,$D372,nrES_Code,$F372,nrES_Att,1))))))</f>
        <v/>
      </c>
      <c r="N372" s="17">
        <f>IF($C372="","",IF($L372="","",IF($L372&gt;=$J372,"Yes","No")))</f>
        <v/>
      </c>
      <c r="O372" s="17">
        <f>IF($C372="","",IF($M372="","",IF($M372&gt;=$J372,"Yes","No")))</f>
        <v/>
      </c>
      <c r="P372" s="17">
        <f>IF($C372="","",IF($K372="","",IF(COUNTIFS(nrES_PID,$D372,nrES_Code,$F372,nrES_Att,"&gt;"&amp;$K372)=0,"Yes","No")))</f>
        <v/>
      </c>
      <c r="Q372" s="17">
        <f>IF($C372="","",IF($L372="","",IF(AND($K372=1,$L372&lt;$J372,COUNTIFS(nrES_PID,$D372,nrES_Code,$F372,nrES_Att,2)=0),"Yes","No")))</f>
        <v/>
      </c>
      <c r="R372" s="17">
        <f>IF($C372="","",IF($L372="","",IF(AND($K372=2,$L372&lt;$J372,COUNTIFS(nrES_PID,$D372,nrES_Code,$F372,nrES_Att,1)&gt;0),"Yes","No")))</f>
        <v/>
      </c>
      <c r="S372" s="18" t="n"/>
      <c r="T372" s="19">
        <f>IF($Q372&lt;&gt;"Yes","",IF($S372="","(enter date)",_xlfn.LET(_xlpm.dn,IFERROR(_xlfn.XLOOKUP($S372,nrCDdate,nrCDnum),""),IF(_xlpm.dn="","(not a class day)",IFERROR(_xlfn.XLOOKUP(_xlpm.dn+cfgRetestClassDays,nrCDnum,nrCDdate),"")))))</f>
        <v/>
      </c>
      <c r="U372" s="17">
        <f>IF($Q372&lt;&gt;"Yes","",IF(COUNTIFS(nrES_PID,$D372,nrES_Code,$F372,nrES_Att,2)&gt;0,"Retested",IF(OR($T372="",NOT(ISNUMBER($T372))),"Pending",IF(TODAY()&gt;$T372,"OVERDUE","Due "&amp;TEXT($T372,"mm/dd")))))</f>
        <v/>
      </c>
      <c r="V372" s="16" t="n"/>
      <c r="W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IF($C373="","",IF($L373="","",IF($K373=1,IF(COUNTIFS(nrES_PID,$D373,nrES_Code,$F373,nrES_Att,2)&gt;0,"",$L373),IF(COUNTIFS(nrES_PID,$D373,nrES_Code,$F373,nrES_Att,1)=0,$L373,IF($L373&gt;=$J373,cfgRetakeRecordedCap,SUMIFS(nrES_Raw,nrES_PID,$D373,nrES_Code,$F373,nrES_Att,1))))))</f>
        <v/>
      </c>
      <c r="N373" s="17">
        <f>IF($C373="","",IF($L373="","",IF($L373&gt;=$J373,"Yes","No")))</f>
        <v/>
      </c>
      <c r="O373" s="17">
        <f>IF($C373="","",IF($M373="","",IF($M373&gt;=$J373,"Yes","No")))</f>
        <v/>
      </c>
      <c r="P373" s="17">
        <f>IF($C373="","",IF($K373="","",IF(COUNTIFS(nrES_PID,$D373,nrES_Code,$F373,nrES_Att,"&gt;"&amp;$K373)=0,"Yes","No")))</f>
        <v/>
      </c>
      <c r="Q373" s="17">
        <f>IF($C373="","",IF($L373="","",IF(AND($K373=1,$L373&lt;$J373,COUNTIFS(nrES_PID,$D373,nrES_Code,$F373,nrES_Att,2)=0),"Yes","No")))</f>
        <v/>
      </c>
      <c r="R373" s="17">
        <f>IF($C373="","",IF($L373="","",IF(AND($K373=2,$L373&lt;$J373,COUNTIFS(nrES_PID,$D373,nrES_Code,$F373,nrES_Att,1)&gt;0),"Yes","No")))</f>
        <v/>
      </c>
      <c r="S373" s="18" t="n"/>
      <c r="T373" s="19">
        <f>IF($Q373&lt;&gt;"Yes","",IF($S373="","(enter date)",_xlfn.LET(_xlpm.dn,IFERROR(_xlfn.XLOOKUP($S373,nrCDdate,nrCDnum),""),IF(_xlpm.dn="","(not a class day)",IFERROR(_xlfn.XLOOKUP(_xlpm.dn+cfgRetestClassDays,nrCDnum,nrCDdate),"")))))</f>
        <v/>
      </c>
      <c r="U373" s="17">
        <f>IF($Q373&lt;&gt;"Yes","",IF(COUNTIFS(nrES_PID,$D373,nrES_Code,$F373,nrES_Att,2)&gt;0,"Retested",IF(OR($T373="",NOT(ISNUMBER($T373))),"Pending",IF(TODAY()&gt;$T373,"OVERDUE","Due "&amp;TEXT($T373,"mm/dd")))))</f>
        <v/>
      </c>
      <c r="V373" s="16" t="n"/>
      <c r="W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IF($C374="","",IF($L374="","",IF($K374=1,IF(COUNTIFS(nrES_PID,$D374,nrES_Code,$F374,nrES_Att,2)&gt;0,"",$L374),IF(COUNTIFS(nrES_PID,$D374,nrES_Code,$F374,nrES_Att,1)=0,$L374,IF($L374&gt;=$J374,cfgRetakeRecordedCap,SUMIFS(nrES_Raw,nrES_PID,$D374,nrES_Code,$F374,nrES_Att,1))))))</f>
        <v/>
      </c>
      <c r="N374" s="17">
        <f>IF($C374="","",IF($L374="","",IF($L374&gt;=$J374,"Yes","No")))</f>
        <v/>
      </c>
      <c r="O374" s="17">
        <f>IF($C374="","",IF($M374="","",IF($M374&gt;=$J374,"Yes","No")))</f>
        <v/>
      </c>
      <c r="P374" s="17">
        <f>IF($C374="","",IF($K374="","",IF(COUNTIFS(nrES_PID,$D374,nrES_Code,$F374,nrES_Att,"&gt;"&amp;$K374)=0,"Yes","No")))</f>
        <v/>
      </c>
      <c r="Q374" s="17">
        <f>IF($C374="","",IF($L374="","",IF(AND($K374=1,$L374&lt;$J374,COUNTIFS(nrES_PID,$D374,nrES_Code,$F374,nrES_Att,2)=0),"Yes","No")))</f>
        <v/>
      </c>
      <c r="R374" s="17">
        <f>IF($C374="","",IF($L374="","",IF(AND($K374=2,$L374&lt;$J374,COUNTIFS(nrES_PID,$D374,nrES_Code,$F374,nrES_Att,1)&gt;0),"Yes","No")))</f>
        <v/>
      </c>
      <c r="S374" s="18" t="n"/>
      <c r="T374" s="19">
        <f>IF($Q374&lt;&gt;"Yes","",IF($S374="","(enter date)",_xlfn.LET(_xlpm.dn,IFERROR(_xlfn.XLOOKUP($S374,nrCDdate,nrCDnum),""),IF(_xlpm.dn="","(not a class day)",IFERROR(_xlfn.XLOOKUP(_xlpm.dn+cfgRetestClassDays,nrCDnum,nrCDdate),"")))))</f>
        <v/>
      </c>
      <c r="U374" s="17">
        <f>IF($Q374&lt;&gt;"Yes","",IF(COUNTIFS(nrES_PID,$D374,nrES_Code,$F374,nrES_Att,2)&gt;0,"Retested",IF(OR($T374="",NOT(ISNUMBER($T374))),"Pending",IF(TODAY()&gt;$T374,"OVERDUE","Due "&amp;TEXT($T374,"mm/dd")))))</f>
        <v/>
      </c>
      <c r="V374" s="16" t="n"/>
      <c r="W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IF($C375="","",IF($L375="","",IF($K375=1,IF(COUNTIFS(nrES_PID,$D375,nrES_Code,$F375,nrES_Att,2)&gt;0,"",$L375),IF(COUNTIFS(nrES_PID,$D375,nrES_Code,$F375,nrES_Att,1)=0,$L375,IF($L375&gt;=$J375,cfgRetakeRecordedCap,SUMIFS(nrES_Raw,nrES_PID,$D375,nrES_Code,$F375,nrES_Att,1))))))</f>
        <v/>
      </c>
      <c r="N375" s="17">
        <f>IF($C375="","",IF($L375="","",IF($L375&gt;=$J375,"Yes","No")))</f>
        <v/>
      </c>
      <c r="O375" s="17">
        <f>IF($C375="","",IF($M375="","",IF($M375&gt;=$J375,"Yes","No")))</f>
        <v/>
      </c>
      <c r="P375" s="17">
        <f>IF($C375="","",IF($K375="","",IF(COUNTIFS(nrES_PID,$D375,nrES_Code,$F375,nrES_Att,"&gt;"&amp;$K375)=0,"Yes","No")))</f>
        <v/>
      </c>
      <c r="Q375" s="17">
        <f>IF($C375="","",IF($L375="","",IF(AND($K375=1,$L375&lt;$J375,COUNTIFS(nrES_PID,$D375,nrES_Code,$F375,nrES_Att,2)=0),"Yes","No")))</f>
        <v/>
      </c>
      <c r="R375" s="17">
        <f>IF($C375="","",IF($L375="","",IF(AND($K375=2,$L375&lt;$J375,COUNTIFS(nrES_PID,$D375,nrES_Code,$F375,nrES_Att,1)&gt;0),"Yes","No")))</f>
        <v/>
      </c>
      <c r="S375" s="18" t="n"/>
      <c r="T375" s="19">
        <f>IF($Q375&lt;&gt;"Yes","",IF($S375="","(enter date)",_xlfn.LET(_xlpm.dn,IFERROR(_xlfn.XLOOKUP($S375,nrCDdate,nrCDnum),""),IF(_xlpm.dn="","(not a class day)",IFERROR(_xlfn.XLOOKUP(_xlpm.dn+cfgRetestClassDays,nrCDnum,nrCDdate),"")))))</f>
        <v/>
      </c>
      <c r="U375" s="17">
        <f>IF($Q375&lt;&gt;"Yes","",IF(COUNTIFS(nrES_PID,$D375,nrES_Code,$F375,nrES_Att,2)&gt;0,"Retested",IF(OR($T375="",NOT(ISNUMBER($T375))),"Pending",IF(TODAY()&gt;$T375,"OVERDUE","Due "&amp;TEXT($T375,"mm/dd")))))</f>
        <v/>
      </c>
      <c r="V375" s="16" t="n"/>
      <c r="W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IF($C376="","",IF($L376="","",IF($K376=1,IF(COUNTIFS(nrES_PID,$D376,nrES_Code,$F376,nrES_Att,2)&gt;0,"",$L376),IF(COUNTIFS(nrES_PID,$D376,nrES_Code,$F376,nrES_Att,1)=0,$L376,IF($L376&gt;=$J376,cfgRetakeRecordedCap,SUMIFS(nrES_Raw,nrES_PID,$D376,nrES_Code,$F376,nrES_Att,1))))))</f>
        <v/>
      </c>
      <c r="N376" s="17">
        <f>IF($C376="","",IF($L376="","",IF($L376&gt;=$J376,"Yes","No")))</f>
        <v/>
      </c>
      <c r="O376" s="17">
        <f>IF($C376="","",IF($M376="","",IF($M376&gt;=$J376,"Yes","No")))</f>
        <v/>
      </c>
      <c r="P376" s="17">
        <f>IF($C376="","",IF($K376="","",IF(COUNTIFS(nrES_PID,$D376,nrES_Code,$F376,nrES_Att,"&gt;"&amp;$K376)=0,"Yes","No")))</f>
        <v/>
      </c>
      <c r="Q376" s="17">
        <f>IF($C376="","",IF($L376="","",IF(AND($K376=1,$L376&lt;$J376,COUNTIFS(nrES_PID,$D376,nrES_Code,$F376,nrES_Att,2)=0),"Yes","No")))</f>
        <v/>
      </c>
      <c r="R376" s="17">
        <f>IF($C376="","",IF($L376="","",IF(AND($K376=2,$L376&lt;$J376,COUNTIFS(nrES_PID,$D376,nrES_Code,$F376,nrES_Att,1)&gt;0),"Yes","No")))</f>
        <v/>
      </c>
      <c r="S376" s="18" t="n"/>
      <c r="T376" s="19">
        <f>IF($Q376&lt;&gt;"Yes","",IF($S376="","(enter date)",_xlfn.LET(_xlpm.dn,IFERROR(_xlfn.XLOOKUP($S376,nrCDdate,nrCDnum),""),IF(_xlpm.dn="","(not a class day)",IFERROR(_xlfn.XLOOKUP(_xlpm.dn+cfgRetestClassDays,nrCDnum,nrCDdate),"")))))</f>
        <v/>
      </c>
      <c r="U376" s="17">
        <f>IF($Q376&lt;&gt;"Yes","",IF(COUNTIFS(nrES_PID,$D376,nrES_Code,$F376,nrES_Att,2)&gt;0,"Retested",IF(OR($T376="",NOT(ISNUMBER($T376))),"Pending",IF(TODAY()&gt;$T376,"OVERDUE","Due "&amp;TEXT($T376,"mm/dd")))))</f>
        <v/>
      </c>
      <c r="V376" s="16" t="n"/>
      <c r="W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IF($C377="","",IF($L377="","",IF($K377=1,IF(COUNTIFS(nrES_PID,$D377,nrES_Code,$F377,nrES_Att,2)&gt;0,"",$L377),IF(COUNTIFS(nrES_PID,$D377,nrES_Code,$F377,nrES_Att,1)=0,$L377,IF($L377&gt;=$J377,cfgRetakeRecordedCap,SUMIFS(nrES_Raw,nrES_PID,$D377,nrES_Code,$F377,nrES_Att,1))))))</f>
        <v/>
      </c>
      <c r="N377" s="17">
        <f>IF($C377="","",IF($L377="","",IF($L377&gt;=$J377,"Yes","No")))</f>
        <v/>
      </c>
      <c r="O377" s="17">
        <f>IF($C377="","",IF($M377="","",IF($M377&gt;=$J377,"Yes","No")))</f>
        <v/>
      </c>
      <c r="P377" s="17">
        <f>IF($C377="","",IF($K377="","",IF(COUNTIFS(nrES_PID,$D377,nrES_Code,$F377,nrES_Att,"&gt;"&amp;$K377)=0,"Yes","No")))</f>
        <v/>
      </c>
      <c r="Q377" s="17">
        <f>IF($C377="","",IF($L377="","",IF(AND($K377=1,$L377&lt;$J377,COUNTIFS(nrES_PID,$D377,nrES_Code,$F377,nrES_Att,2)=0),"Yes","No")))</f>
        <v/>
      </c>
      <c r="R377" s="17">
        <f>IF($C377="","",IF($L377="","",IF(AND($K377=2,$L377&lt;$J377,COUNTIFS(nrES_PID,$D377,nrES_Code,$F377,nrES_Att,1)&gt;0),"Yes","No")))</f>
        <v/>
      </c>
      <c r="S377" s="18" t="n"/>
      <c r="T377" s="19">
        <f>IF($Q377&lt;&gt;"Yes","",IF($S377="","(enter date)",_xlfn.LET(_xlpm.dn,IFERROR(_xlfn.XLOOKUP($S377,nrCDdate,nrCDnum),""),IF(_xlpm.dn="","(not a class day)",IFERROR(_xlfn.XLOOKUP(_xlpm.dn+cfgRetestClassDays,nrCDnum,nrCDdate),"")))))</f>
        <v/>
      </c>
      <c r="U377" s="17">
        <f>IF($Q377&lt;&gt;"Yes","",IF(COUNTIFS(nrES_PID,$D377,nrES_Code,$F377,nrES_Att,2)&gt;0,"Retested",IF(OR($T377="",NOT(ISNUMBER($T377))),"Pending",IF(TODAY()&gt;$T377,"OVERDUE","Due "&amp;TEXT($T377,"mm/dd")))))</f>
        <v/>
      </c>
      <c r="V377" s="16" t="n"/>
      <c r="W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IF($C378="","",IF($L378="","",IF($K378=1,IF(COUNTIFS(nrES_PID,$D378,nrES_Code,$F378,nrES_Att,2)&gt;0,"",$L378),IF(COUNTIFS(nrES_PID,$D378,nrES_Code,$F378,nrES_Att,1)=0,$L378,IF($L378&gt;=$J378,cfgRetakeRecordedCap,SUMIFS(nrES_Raw,nrES_PID,$D378,nrES_Code,$F378,nrES_Att,1))))))</f>
        <v/>
      </c>
      <c r="N378" s="17">
        <f>IF($C378="","",IF($L378="","",IF($L378&gt;=$J378,"Yes","No")))</f>
        <v/>
      </c>
      <c r="O378" s="17">
        <f>IF($C378="","",IF($M378="","",IF($M378&gt;=$J378,"Yes","No")))</f>
        <v/>
      </c>
      <c r="P378" s="17">
        <f>IF($C378="","",IF($K378="","",IF(COUNTIFS(nrES_PID,$D378,nrES_Code,$F378,nrES_Att,"&gt;"&amp;$K378)=0,"Yes","No")))</f>
        <v/>
      </c>
      <c r="Q378" s="17">
        <f>IF($C378="","",IF($L378="","",IF(AND($K378=1,$L378&lt;$J378,COUNTIFS(nrES_PID,$D378,nrES_Code,$F378,nrES_Att,2)=0),"Yes","No")))</f>
        <v/>
      </c>
      <c r="R378" s="17">
        <f>IF($C378="","",IF($L378="","",IF(AND($K378=2,$L378&lt;$J378,COUNTIFS(nrES_PID,$D378,nrES_Code,$F378,nrES_Att,1)&gt;0),"Yes","No")))</f>
        <v/>
      </c>
      <c r="S378" s="18" t="n"/>
      <c r="T378" s="19">
        <f>IF($Q378&lt;&gt;"Yes","",IF($S378="","(enter date)",_xlfn.LET(_xlpm.dn,IFERROR(_xlfn.XLOOKUP($S378,nrCDdate,nrCDnum),""),IF(_xlpm.dn="","(not a class day)",IFERROR(_xlfn.XLOOKUP(_xlpm.dn+cfgRetestClassDays,nrCDnum,nrCDdate),"")))))</f>
        <v/>
      </c>
      <c r="U378" s="17">
        <f>IF($Q378&lt;&gt;"Yes","",IF(COUNTIFS(nrES_PID,$D378,nrES_Code,$F378,nrES_Att,2)&gt;0,"Retested",IF(OR($T378="",NOT(ISNUMBER($T378))),"Pending",IF(TODAY()&gt;$T378,"OVERDUE","Due "&amp;TEXT($T378,"mm/dd")))))</f>
        <v/>
      </c>
      <c r="V378" s="16" t="n"/>
      <c r="W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IF($C379="","",IF($L379="","",IF($K379=1,IF(COUNTIFS(nrES_PID,$D379,nrES_Code,$F379,nrES_Att,2)&gt;0,"",$L379),IF(COUNTIFS(nrES_PID,$D379,nrES_Code,$F379,nrES_Att,1)=0,$L379,IF($L379&gt;=$J379,cfgRetakeRecordedCap,SUMIFS(nrES_Raw,nrES_PID,$D379,nrES_Code,$F379,nrES_Att,1))))))</f>
        <v/>
      </c>
      <c r="N379" s="17">
        <f>IF($C379="","",IF($L379="","",IF($L379&gt;=$J379,"Yes","No")))</f>
        <v/>
      </c>
      <c r="O379" s="17">
        <f>IF($C379="","",IF($M379="","",IF($M379&gt;=$J379,"Yes","No")))</f>
        <v/>
      </c>
      <c r="P379" s="17">
        <f>IF($C379="","",IF($K379="","",IF(COUNTIFS(nrES_PID,$D379,nrES_Code,$F379,nrES_Att,"&gt;"&amp;$K379)=0,"Yes","No")))</f>
        <v/>
      </c>
      <c r="Q379" s="17">
        <f>IF($C379="","",IF($L379="","",IF(AND($K379=1,$L379&lt;$J379,COUNTIFS(nrES_PID,$D379,nrES_Code,$F379,nrES_Att,2)=0),"Yes","No")))</f>
        <v/>
      </c>
      <c r="R379" s="17">
        <f>IF($C379="","",IF($L379="","",IF(AND($K379=2,$L379&lt;$J379,COUNTIFS(nrES_PID,$D379,nrES_Code,$F379,nrES_Att,1)&gt;0),"Yes","No")))</f>
        <v/>
      </c>
      <c r="S379" s="18" t="n"/>
      <c r="T379" s="19">
        <f>IF($Q379&lt;&gt;"Yes","",IF($S379="","(enter date)",_xlfn.LET(_xlpm.dn,IFERROR(_xlfn.XLOOKUP($S379,nrCDdate,nrCDnum),""),IF(_xlpm.dn="","(not a class day)",IFERROR(_xlfn.XLOOKUP(_xlpm.dn+cfgRetestClassDays,nrCDnum,nrCDdate),"")))))</f>
        <v/>
      </c>
      <c r="U379" s="17">
        <f>IF($Q379&lt;&gt;"Yes","",IF(COUNTIFS(nrES_PID,$D379,nrES_Code,$F379,nrES_Att,2)&gt;0,"Retested",IF(OR($T379="",NOT(ISNUMBER($T379))),"Pending",IF(TODAY()&gt;$T379,"OVERDUE","Due "&amp;TEXT($T379,"mm/dd")))))</f>
        <v/>
      </c>
      <c r="V379" s="16" t="n"/>
      <c r="W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IF($C380="","",IF($L380="","",IF($K380=1,IF(COUNTIFS(nrES_PID,$D380,nrES_Code,$F380,nrES_Att,2)&gt;0,"",$L380),IF(COUNTIFS(nrES_PID,$D380,nrES_Code,$F380,nrES_Att,1)=0,$L380,IF($L380&gt;=$J380,cfgRetakeRecordedCap,SUMIFS(nrES_Raw,nrES_PID,$D380,nrES_Code,$F380,nrES_Att,1))))))</f>
        <v/>
      </c>
      <c r="N380" s="17">
        <f>IF($C380="","",IF($L380="","",IF($L380&gt;=$J380,"Yes","No")))</f>
        <v/>
      </c>
      <c r="O380" s="17">
        <f>IF($C380="","",IF($M380="","",IF($M380&gt;=$J380,"Yes","No")))</f>
        <v/>
      </c>
      <c r="P380" s="17">
        <f>IF($C380="","",IF($K380="","",IF(COUNTIFS(nrES_PID,$D380,nrES_Code,$F380,nrES_Att,"&gt;"&amp;$K380)=0,"Yes","No")))</f>
        <v/>
      </c>
      <c r="Q380" s="17">
        <f>IF($C380="","",IF($L380="","",IF(AND($K380=1,$L380&lt;$J380,COUNTIFS(nrES_PID,$D380,nrES_Code,$F380,nrES_Att,2)=0),"Yes","No")))</f>
        <v/>
      </c>
      <c r="R380" s="17">
        <f>IF($C380="","",IF($L380="","",IF(AND($K380=2,$L380&lt;$J380,COUNTIFS(nrES_PID,$D380,nrES_Code,$F380,nrES_Att,1)&gt;0),"Yes","No")))</f>
        <v/>
      </c>
      <c r="S380" s="18" t="n"/>
      <c r="T380" s="19">
        <f>IF($Q380&lt;&gt;"Yes","",IF($S380="","(enter date)",_xlfn.LET(_xlpm.dn,IFERROR(_xlfn.XLOOKUP($S380,nrCDdate,nrCDnum),""),IF(_xlpm.dn="","(not a class day)",IFERROR(_xlfn.XLOOKUP(_xlpm.dn+cfgRetestClassDays,nrCDnum,nrCDdate),"")))))</f>
        <v/>
      </c>
      <c r="U380" s="17">
        <f>IF($Q380&lt;&gt;"Yes","",IF(COUNTIFS(nrES_PID,$D380,nrES_Code,$F380,nrES_Att,2)&gt;0,"Retested",IF(OR($T380="",NOT(ISNUMBER($T380))),"Pending",IF(TODAY()&gt;$T380,"OVERDUE","Due "&amp;TEXT($T380,"mm/dd")))))</f>
        <v/>
      </c>
      <c r="V380" s="16" t="n"/>
      <c r="W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IF($C381="","",IF($L381="","",IF($K381=1,IF(COUNTIFS(nrES_PID,$D381,nrES_Code,$F381,nrES_Att,2)&gt;0,"",$L381),IF(COUNTIFS(nrES_PID,$D381,nrES_Code,$F381,nrES_Att,1)=0,$L381,IF($L381&gt;=$J381,cfgRetakeRecordedCap,SUMIFS(nrES_Raw,nrES_PID,$D381,nrES_Code,$F381,nrES_Att,1))))))</f>
        <v/>
      </c>
      <c r="N381" s="17">
        <f>IF($C381="","",IF($L381="","",IF($L381&gt;=$J381,"Yes","No")))</f>
        <v/>
      </c>
      <c r="O381" s="17">
        <f>IF($C381="","",IF($M381="","",IF($M381&gt;=$J381,"Yes","No")))</f>
        <v/>
      </c>
      <c r="P381" s="17">
        <f>IF($C381="","",IF($K381="","",IF(COUNTIFS(nrES_PID,$D381,nrES_Code,$F381,nrES_Att,"&gt;"&amp;$K381)=0,"Yes","No")))</f>
        <v/>
      </c>
      <c r="Q381" s="17">
        <f>IF($C381="","",IF($L381="","",IF(AND($K381=1,$L381&lt;$J381,COUNTIFS(nrES_PID,$D381,nrES_Code,$F381,nrES_Att,2)=0),"Yes","No")))</f>
        <v/>
      </c>
      <c r="R381" s="17">
        <f>IF($C381="","",IF($L381="","",IF(AND($K381=2,$L381&lt;$J381,COUNTIFS(nrES_PID,$D381,nrES_Code,$F381,nrES_Att,1)&gt;0),"Yes","No")))</f>
        <v/>
      </c>
      <c r="S381" s="18" t="n"/>
      <c r="T381" s="19">
        <f>IF($Q381&lt;&gt;"Yes","",IF($S381="","(enter date)",_xlfn.LET(_xlpm.dn,IFERROR(_xlfn.XLOOKUP($S381,nrCDdate,nrCDnum),""),IF(_xlpm.dn="","(not a class day)",IFERROR(_xlfn.XLOOKUP(_xlpm.dn+cfgRetestClassDays,nrCDnum,nrCDdate),"")))))</f>
        <v/>
      </c>
      <c r="U381" s="17">
        <f>IF($Q381&lt;&gt;"Yes","",IF(COUNTIFS(nrES_PID,$D381,nrES_Code,$F381,nrES_Att,2)&gt;0,"Retested",IF(OR($T381="",NOT(ISNUMBER($T381))),"Pending",IF(TODAY()&gt;$T381,"OVERDUE","Due "&amp;TEXT($T381,"mm/dd")))))</f>
        <v/>
      </c>
      <c r="V381" s="16" t="n"/>
      <c r="W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IF($C382="","",IF($L382="","",IF($K382=1,IF(COUNTIFS(nrES_PID,$D382,nrES_Code,$F382,nrES_Att,2)&gt;0,"",$L382),IF(COUNTIFS(nrES_PID,$D382,nrES_Code,$F382,nrES_Att,1)=0,$L382,IF($L382&gt;=$J382,cfgRetakeRecordedCap,SUMIFS(nrES_Raw,nrES_PID,$D382,nrES_Code,$F382,nrES_Att,1))))))</f>
        <v/>
      </c>
      <c r="N382" s="17">
        <f>IF($C382="","",IF($L382="","",IF($L382&gt;=$J382,"Yes","No")))</f>
        <v/>
      </c>
      <c r="O382" s="17">
        <f>IF($C382="","",IF($M382="","",IF($M382&gt;=$J382,"Yes","No")))</f>
        <v/>
      </c>
      <c r="P382" s="17">
        <f>IF($C382="","",IF($K382="","",IF(COUNTIFS(nrES_PID,$D382,nrES_Code,$F382,nrES_Att,"&gt;"&amp;$K382)=0,"Yes","No")))</f>
        <v/>
      </c>
      <c r="Q382" s="17">
        <f>IF($C382="","",IF($L382="","",IF(AND($K382=1,$L382&lt;$J382,COUNTIFS(nrES_PID,$D382,nrES_Code,$F382,nrES_Att,2)=0),"Yes","No")))</f>
        <v/>
      </c>
      <c r="R382" s="17">
        <f>IF($C382="","",IF($L382="","",IF(AND($K382=2,$L382&lt;$J382,COUNTIFS(nrES_PID,$D382,nrES_Code,$F382,nrES_Att,1)&gt;0),"Yes","No")))</f>
        <v/>
      </c>
      <c r="S382" s="18" t="n"/>
      <c r="T382" s="19">
        <f>IF($Q382&lt;&gt;"Yes","",IF($S382="","(enter date)",_xlfn.LET(_xlpm.dn,IFERROR(_xlfn.XLOOKUP($S382,nrCDdate,nrCDnum),""),IF(_xlpm.dn="","(not a class day)",IFERROR(_xlfn.XLOOKUP(_xlpm.dn+cfgRetestClassDays,nrCDnum,nrCDdate),"")))))</f>
        <v/>
      </c>
      <c r="U382" s="17">
        <f>IF($Q382&lt;&gt;"Yes","",IF(COUNTIFS(nrES_PID,$D382,nrES_Code,$F382,nrES_Att,2)&gt;0,"Retested",IF(OR($T382="",NOT(ISNUMBER($T382))),"Pending",IF(TODAY()&gt;$T382,"OVERDUE","Due "&amp;TEXT($T382,"mm/dd")))))</f>
        <v/>
      </c>
      <c r="V382" s="16" t="n"/>
      <c r="W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IF($C383="","",IF($L383="","",IF($K383=1,IF(COUNTIFS(nrES_PID,$D383,nrES_Code,$F383,nrES_Att,2)&gt;0,"",$L383),IF(COUNTIFS(nrES_PID,$D383,nrES_Code,$F383,nrES_Att,1)=0,$L383,IF($L383&gt;=$J383,cfgRetakeRecordedCap,SUMIFS(nrES_Raw,nrES_PID,$D383,nrES_Code,$F383,nrES_Att,1))))))</f>
        <v/>
      </c>
      <c r="N383" s="17">
        <f>IF($C383="","",IF($L383="","",IF($L383&gt;=$J383,"Yes","No")))</f>
        <v/>
      </c>
      <c r="O383" s="17">
        <f>IF($C383="","",IF($M383="","",IF($M383&gt;=$J383,"Yes","No")))</f>
        <v/>
      </c>
      <c r="P383" s="17">
        <f>IF($C383="","",IF($K383="","",IF(COUNTIFS(nrES_PID,$D383,nrES_Code,$F383,nrES_Att,"&gt;"&amp;$K383)=0,"Yes","No")))</f>
        <v/>
      </c>
      <c r="Q383" s="17">
        <f>IF($C383="","",IF($L383="","",IF(AND($K383=1,$L383&lt;$J383,COUNTIFS(nrES_PID,$D383,nrES_Code,$F383,nrES_Att,2)=0),"Yes","No")))</f>
        <v/>
      </c>
      <c r="R383" s="17">
        <f>IF($C383="","",IF($L383="","",IF(AND($K383=2,$L383&lt;$J383,COUNTIFS(nrES_PID,$D383,nrES_Code,$F383,nrES_Att,1)&gt;0),"Yes","No")))</f>
        <v/>
      </c>
      <c r="S383" s="18" t="n"/>
      <c r="T383" s="19">
        <f>IF($Q383&lt;&gt;"Yes","",IF($S383="","(enter date)",_xlfn.LET(_xlpm.dn,IFERROR(_xlfn.XLOOKUP($S383,nrCDdate,nrCDnum),""),IF(_xlpm.dn="","(not a class day)",IFERROR(_xlfn.XLOOKUP(_xlpm.dn+cfgRetestClassDays,nrCDnum,nrCDdate),"")))))</f>
        <v/>
      </c>
      <c r="U383" s="17">
        <f>IF($Q383&lt;&gt;"Yes","",IF(COUNTIFS(nrES_PID,$D383,nrES_Code,$F383,nrES_Att,2)&gt;0,"Retested",IF(OR($T383="",NOT(ISNUMBER($T383))),"Pending",IF(TODAY()&gt;$T383,"OVERDUE","Due "&amp;TEXT($T383,"mm/dd")))))</f>
        <v/>
      </c>
      <c r="V383" s="16" t="n"/>
      <c r="W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IF($C384="","",IF($L384="","",IF($K384=1,IF(COUNTIFS(nrES_PID,$D384,nrES_Code,$F384,nrES_Att,2)&gt;0,"",$L384),IF(COUNTIFS(nrES_PID,$D384,nrES_Code,$F384,nrES_Att,1)=0,$L384,IF($L384&gt;=$J384,cfgRetakeRecordedCap,SUMIFS(nrES_Raw,nrES_PID,$D384,nrES_Code,$F384,nrES_Att,1))))))</f>
        <v/>
      </c>
      <c r="N384" s="17">
        <f>IF($C384="","",IF($L384="","",IF($L384&gt;=$J384,"Yes","No")))</f>
        <v/>
      </c>
      <c r="O384" s="17">
        <f>IF($C384="","",IF($M384="","",IF($M384&gt;=$J384,"Yes","No")))</f>
        <v/>
      </c>
      <c r="P384" s="17">
        <f>IF($C384="","",IF($K384="","",IF(COUNTIFS(nrES_PID,$D384,nrES_Code,$F384,nrES_Att,"&gt;"&amp;$K384)=0,"Yes","No")))</f>
        <v/>
      </c>
      <c r="Q384" s="17">
        <f>IF($C384="","",IF($L384="","",IF(AND($K384=1,$L384&lt;$J384,COUNTIFS(nrES_PID,$D384,nrES_Code,$F384,nrES_Att,2)=0),"Yes","No")))</f>
        <v/>
      </c>
      <c r="R384" s="17">
        <f>IF($C384="","",IF($L384="","",IF(AND($K384=2,$L384&lt;$J384,COUNTIFS(nrES_PID,$D384,nrES_Code,$F384,nrES_Att,1)&gt;0),"Yes","No")))</f>
        <v/>
      </c>
      <c r="S384" s="18" t="n"/>
      <c r="T384" s="19">
        <f>IF($Q384&lt;&gt;"Yes","",IF($S384="","(enter date)",_xlfn.LET(_xlpm.dn,IFERROR(_xlfn.XLOOKUP($S384,nrCDdate,nrCDnum),""),IF(_xlpm.dn="","(not a class day)",IFERROR(_xlfn.XLOOKUP(_xlpm.dn+cfgRetestClassDays,nrCDnum,nrCDdate),"")))))</f>
        <v/>
      </c>
      <c r="U384" s="17">
        <f>IF($Q384&lt;&gt;"Yes","",IF(COUNTIFS(nrES_PID,$D384,nrES_Code,$F384,nrES_Att,2)&gt;0,"Retested",IF(OR($T384="",NOT(ISNUMBER($T384))),"Pending",IF(TODAY()&gt;$T384,"OVERDUE","Due "&amp;TEXT($T384,"mm/dd")))))</f>
        <v/>
      </c>
      <c r="V384" s="16" t="n"/>
      <c r="W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IF($C385="","",IF($L385="","",IF($K385=1,IF(COUNTIFS(nrES_PID,$D385,nrES_Code,$F385,nrES_Att,2)&gt;0,"",$L385),IF(COUNTIFS(nrES_PID,$D385,nrES_Code,$F385,nrES_Att,1)=0,$L385,IF($L385&gt;=$J385,cfgRetakeRecordedCap,SUMIFS(nrES_Raw,nrES_PID,$D385,nrES_Code,$F385,nrES_Att,1))))))</f>
        <v/>
      </c>
      <c r="N385" s="17">
        <f>IF($C385="","",IF($L385="","",IF($L385&gt;=$J385,"Yes","No")))</f>
        <v/>
      </c>
      <c r="O385" s="17">
        <f>IF($C385="","",IF($M385="","",IF($M385&gt;=$J385,"Yes","No")))</f>
        <v/>
      </c>
      <c r="P385" s="17">
        <f>IF($C385="","",IF($K385="","",IF(COUNTIFS(nrES_PID,$D385,nrES_Code,$F385,nrES_Att,"&gt;"&amp;$K385)=0,"Yes","No")))</f>
        <v/>
      </c>
      <c r="Q385" s="17">
        <f>IF($C385="","",IF($L385="","",IF(AND($K385=1,$L385&lt;$J385,COUNTIFS(nrES_PID,$D385,nrES_Code,$F385,nrES_Att,2)=0),"Yes","No")))</f>
        <v/>
      </c>
      <c r="R385" s="17">
        <f>IF($C385="","",IF($L385="","",IF(AND($K385=2,$L385&lt;$J385,COUNTIFS(nrES_PID,$D385,nrES_Code,$F385,nrES_Att,1)&gt;0),"Yes","No")))</f>
        <v/>
      </c>
      <c r="S385" s="18" t="n"/>
      <c r="T385" s="19">
        <f>IF($Q385&lt;&gt;"Yes","",IF($S385="","(enter date)",_xlfn.LET(_xlpm.dn,IFERROR(_xlfn.XLOOKUP($S385,nrCDdate,nrCDnum),""),IF(_xlpm.dn="","(not a class day)",IFERROR(_xlfn.XLOOKUP(_xlpm.dn+cfgRetestClassDays,nrCDnum,nrCDdate),"")))))</f>
        <v/>
      </c>
      <c r="U385" s="17">
        <f>IF($Q385&lt;&gt;"Yes","",IF(COUNTIFS(nrES_PID,$D385,nrES_Code,$F385,nrES_Att,2)&gt;0,"Retested",IF(OR($T385="",NOT(ISNUMBER($T385))),"Pending",IF(TODAY()&gt;$T385,"OVERDUE","Due "&amp;TEXT($T385,"mm/dd")))))</f>
        <v/>
      </c>
      <c r="V385" s="16" t="n"/>
      <c r="W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IF($C386="","",IF($L386="","",IF($K386=1,IF(COUNTIFS(nrES_PID,$D386,nrES_Code,$F386,nrES_Att,2)&gt;0,"",$L386),IF(COUNTIFS(nrES_PID,$D386,nrES_Code,$F386,nrES_Att,1)=0,$L386,IF($L386&gt;=$J386,cfgRetakeRecordedCap,SUMIFS(nrES_Raw,nrES_PID,$D386,nrES_Code,$F386,nrES_Att,1))))))</f>
        <v/>
      </c>
      <c r="N386" s="17">
        <f>IF($C386="","",IF($L386="","",IF($L386&gt;=$J386,"Yes","No")))</f>
        <v/>
      </c>
      <c r="O386" s="17">
        <f>IF($C386="","",IF($M386="","",IF($M386&gt;=$J386,"Yes","No")))</f>
        <v/>
      </c>
      <c r="P386" s="17">
        <f>IF($C386="","",IF($K386="","",IF(COUNTIFS(nrES_PID,$D386,nrES_Code,$F386,nrES_Att,"&gt;"&amp;$K386)=0,"Yes","No")))</f>
        <v/>
      </c>
      <c r="Q386" s="17">
        <f>IF($C386="","",IF($L386="","",IF(AND($K386=1,$L386&lt;$J386,COUNTIFS(nrES_PID,$D386,nrES_Code,$F386,nrES_Att,2)=0),"Yes","No")))</f>
        <v/>
      </c>
      <c r="R386" s="17">
        <f>IF($C386="","",IF($L386="","",IF(AND($K386=2,$L386&lt;$J386,COUNTIFS(nrES_PID,$D386,nrES_Code,$F386,nrES_Att,1)&gt;0),"Yes","No")))</f>
        <v/>
      </c>
      <c r="S386" s="18" t="n"/>
      <c r="T386" s="19">
        <f>IF($Q386&lt;&gt;"Yes","",IF($S386="","(enter date)",_xlfn.LET(_xlpm.dn,IFERROR(_xlfn.XLOOKUP($S386,nrCDdate,nrCDnum),""),IF(_xlpm.dn="","(not a class day)",IFERROR(_xlfn.XLOOKUP(_xlpm.dn+cfgRetestClassDays,nrCDnum,nrCDdate),"")))))</f>
        <v/>
      </c>
      <c r="U386" s="17">
        <f>IF($Q386&lt;&gt;"Yes","",IF(COUNTIFS(nrES_PID,$D386,nrES_Code,$F386,nrES_Att,2)&gt;0,"Retested",IF(OR($T386="",NOT(ISNUMBER($T386))),"Pending",IF(TODAY()&gt;$T386,"OVERDUE","Due "&amp;TEXT($T386,"mm/dd")))))</f>
        <v/>
      </c>
      <c r="V386" s="16" t="n"/>
      <c r="W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IF($C387="","",IF($L387="","",IF($K387=1,IF(COUNTIFS(nrES_PID,$D387,nrES_Code,$F387,nrES_Att,2)&gt;0,"",$L387),IF(COUNTIFS(nrES_PID,$D387,nrES_Code,$F387,nrES_Att,1)=0,$L387,IF($L387&gt;=$J387,cfgRetakeRecordedCap,SUMIFS(nrES_Raw,nrES_PID,$D387,nrES_Code,$F387,nrES_Att,1))))))</f>
        <v/>
      </c>
      <c r="N387" s="17">
        <f>IF($C387="","",IF($L387="","",IF($L387&gt;=$J387,"Yes","No")))</f>
        <v/>
      </c>
      <c r="O387" s="17">
        <f>IF($C387="","",IF($M387="","",IF($M387&gt;=$J387,"Yes","No")))</f>
        <v/>
      </c>
      <c r="P387" s="17">
        <f>IF($C387="","",IF($K387="","",IF(COUNTIFS(nrES_PID,$D387,nrES_Code,$F387,nrES_Att,"&gt;"&amp;$K387)=0,"Yes","No")))</f>
        <v/>
      </c>
      <c r="Q387" s="17">
        <f>IF($C387="","",IF($L387="","",IF(AND($K387=1,$L387&lt;$J387,COUNTIFS(nrES_PID,$D387,nrES_Code,$F387,nrES_Att,2)=0),"Yes","No")))</f>
        <v/>
      </c>
      <c r="R387" s="17">
        <f>IF($C387="","",IF($L387="","",IF(AND($K387=2,$L387&lt;$J387,COUNTIFS(nrES_PID,$D387,nrES_Code,$F387,nrES_Att,1)&gt;0),"Yes","No")))</f>
        <v/>
      </c>
      <c r="S387" s="18" t="n"/>
      <c r="T387" s="19">
        <f>IF($Q387&lt;&gt;"Yes","",IF($S387="","(enter date)",_xlfn.LET(_xlpm.dn,IFERROR(_xlfn.XLOOKUP($S387,nrCDdate,nrCDnum),""),IF(_xlpm.dn="","(not a class day)",IFERROR(_xlfn.XLOOKUP(_xlpm.dn+cfgRetestClassDays,nrCDnum,nrCDdate),"")))))</f>
        <v/>
      </c>
      <c r="U387" s="17">
        <f>IF($Q387&lt;&gt;"Yes","",IF(COUNTIFS(nrES_PID,$D387,nrES_Code,$F387,nrES_Att,2)&gt;0,"Retested",IF(OR($T387="",NOT(ISNUMBER($T387))),"Pending",IF(TODAY()&gt;$T387,"OVERDUE","Due "&amp;TEXT($T387,"mm/dd")))))</f>
        <v/>
      </c>
      <c r="V387" s="16" t="n"/>
      <c r="W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IF($C388="","",IF($L388="","",IF($K388=1,IF(COUNTIFS(nrES_PID,$D388,nrES_Code,$F388,nrES_Att,2)&gt;0,"",$L388),IF(COUNTIFS(nrES_PID,$D388,nrES_Code,$F388,nrES_Att,1)=0,$L388,IF($L388&gt;=$J388,cfgRetakeRecordedCap,SUMIFS(nrES_Raw,nrES_PID,$D388,nrES_Code,$F388,nrES_Att,1))))))</f>
        <v/>
      </c>
      <c r="N388" s="17">
        <f>IF($C388="","",IF($L388="","",IF($L388&gt;=$J388,"Yes","No")))</f>
        <v/>
      </c>
      <c r="O388" s="17">
        <f>IF($C388="","",IF($M388="","",IF($M388&gt;=$J388,"Yes","No")))</f>
        <v/>
      </c>
      <c r="P388" s="17">
        <f>IF($C388="","",IF($K388="","",IF(COUNTIFS(nrES_PID,$D388,nrES_Code,$F388,nrES_Att,"&gt;"&amp;$K388)=0,"Yes","No")))</f>
        <v/>
      </c>
      <c r="Q388" s="17">
        <f>IF($C388="","",IF($L388="","",IF(AND($K388=1,$L388&lt;$J388,COUNTIFS(nrES_PID,$D388,nrES_Code,$F388,nrES_Att,2)=0),"Yes","No")))</f>
        <v/>
      </c>
      <c r="R388" s="17">
        <f>IF($C388="","",IF($L388="","",IF(AND($K388=2,$L388&lt;$J388,COUNTIFS(nrES_PID,$D388,nrES_Code,$F388,nrES_Att,1)&gt;0),"Yes","No")))</f>
        <v/>
      </c>
      <c r="S388" s="18" t="n"/>
      <c r="T388" s="19">
        <f>IF($Q388&lt;&gt;"Yes","",IF($S388="","(enter date)",_xlfn.LET(_xlpm.dn,IFERROR(_xlfn.XLOOKUP($S388,nrCDdate,nrCDnum),""),IF(_xlpm.dn="","(not a class day)",IFERROR(_xlfn.XLOOKUP(_xlpm.dn+cfgRetestClassDays,nrCDnum,nrCDdate),"")))))</f>
        <v/>
      </c>
      <c r="U388" s="17">
        <f>IF($Q388&lt;&gt;"Yes","",IF(COUNTIFS(nrES_PID,$D388,nrES_Code,$F388,nrES_Att,2)&gt;0,"Retested",IF(OR($T388="",NOT(ISNUMBER($T388))),"Pending",IF(TODAY()&gt;$T388,"OVERDUE","Due "&amp;TEXT($T388,"mm/dd")))))</f>
        <v/>
      </c>
      <c r="V388" s="16" t="n"/>
      <c r="W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IF($C389="","",IF($L389="","",IF($K389=1,IF(COUNTIFS(nrES_PID,$D389,nrES_Code,$F389,nrES_Att,2)&gt;0,"",$L389),IF(COUNTIFS(nrES_PID,$D389,nrES_Code,$F389,nrES_Att,1)=0,$L389,IF($L389&gt;=$J389,cfgRetakeRecordedCap,SUMIFS(nrES_Raw,nrES_PID,$D389,nrES_Code,$F389,nrES_Att,1))))))</f>
        <v/>
      </c>
      <c r="N389" s="17">
        <f>IF($C389="","",IF($L389="","",IF($L389&gt;=$J389,"Yes","No")))</f>
        <v/>
      </c>
      <c r="O389" s="17">
        <f>IF($C389="","",IF($M389="","",IF($M389&gt;=$J389,"Yes","No")))</f>
        <v/>
      </c>
      <c r="P389" s="17">
        <f>IF($C389="","",IF($K389="","",IF(COUNTIFS(nrES_PID,$D389,nrES_Code,$F389,nrES_Att,"&gt;"&amp;$K389)=0,"Yes","No")))</f>
        <v/>
      </c>
      <c r="Q389" s="17">
        <f>IF($C389="","",IF($L389="","",IF(AND($K389=1,$L389&lt;$J389,COUNTIFS(nrES_PID,$D389,nrES_Code,$F389,nrES_Att,2)=0),"Yes","No")))</f>
        <v/>
      </c>
      <c r="R389" s="17">
        <f>IF($C389="","",IF($L389="","",IF(AND($K389=2,$L389&lt;$J389,COUNTIFS(nrES_PID,$D389,nrES_Code,$F389,nrES_Att,1)&gt;0),"Yes","No")))</f>
        <v/>
      </c>
      <c r="S389" s="18" t="n"/>
      <c r="T389" s="19">
        <f>IF($Q389&lt;&gt;"Yes","",IF($S389="","(enter date)",_xlfn.LET(_xlpm.dn,IFERROR(_xlfn.XLOOKUP($S389,nrCDdate,nrCDnum),""),IF(_xlpm.dn="","(not a class day)",IFERROR(_xlfn.XLOOKUP(_xlpm.dn+cfgRetestClassDays,nrCDnum,nrCDdate),"")))))</f>
        <v/>
      </c>
      <c r="U389" s="17">
        <f>IF($Q389&lt;&gt;"Yes","",IF(COUNTIFS(nrES_PID,$D389,nrES_Code,$F389,nrES_Att,2)&gt;0,"Retested",IF(OR($T389="",NOT(ISNUMBER($T389))),"Pending",IF(TODAY()&gt;$T389,"OVERDUE","Due "&amp;TEXT($T389,"mm/dd")))))</f>
        <v/>
      </c>
      <c r="V389" s="16" t="n"/>
      <c r="W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IF($C390="","",IF($L390="","",IF($K390=1,IF(COUNTIFS(nrES_PID,$D390,nrES_Code,$F390,nrES_Att,2)&gt;0,"",$L390),IF(COUNTIFS(nrES_PID,$D390,nrES_Code,$F390,nrES_Att,1)=0,$L390,IF($L390&gt;=$J390,cfgRetakeRecordedCap,SUMIFS(nrES_Raw,nrES_PID,$D390,nrES_Code,$F390,nrES_Att,1))))))</f>
        <v/>
      </c>
      <c r="N390" s="17">
        <f>IF($C390="","",IF($L390="","",IF($L390&gt;=$J390,"Yes","No")))</f>
        <v/>
      </c>
      <c r="O390" s="17">
        <f>IF($C390="","",IF($M390="","",IF($M390&gt;=$J390,"Yes","No")))</f>
        <v/>
      </c>
      <c r="P390" s="17">
        <f>IF($C390="","",IF($K390="","",IF(COUNTIFS(nrES_PID,$D390,nrES_Code,$F390,nrES_Att,"&gt;"&amp;$K390)=0,"Yes","No")))</f>
        <v/>
      </c>
      <c r="Q390" s="17">
        <f>IF($C390="","",IF($L390="","",IF(AND($K390=1,$L390&lt;$J390,COUNTIFS(nrES_PID,$D390,nrES_Code,$F390,nrES_Att,2)=0),"Yes","No")))</f>
        <v/>
      </c>
      <c r="R390" s="17">
        <f>IF($C390="","",IF($L390="","",IF(AND($K390=2,$L390&lt;$J390,COUNTIFS(nrES_PID,$D390,nrES_Code,$F390,nrES_Att,1)&gt;0),"Yes","No")))</f>
        <v/>
      </c>
      <c r="S390" s="18" t="n"/>
      <c r="T390" s="19">
        <f>IF($Q390&lt;&gt;"Yes","",IF($S390="","(enter date)",_xlfn.LET(_xlpm.dn,IFERROR(_xlfn.XLOOKUP($S390,nrCDdate,nrCDnum),""),IF(_xlpm.dn="","(not a class day)",IFERROR(_xlfn.XLOOKUP(_xlpm.dn+cfgRetestClassDays,nrCDnum,nrCDdate),"")))))</f>
        <v/>
      </c>
      <c r="U390" s="17">
        <f>IF($Q390&lt;&gt;"Yes","",IF(COUNTIFS(nrES_PID,$D390,nrES_Code,$F390,nrES_Att,2)&gt;0,"Retested",IF(OR($T390="",NOT(ISNUMBER($T390))),"Pending",IF(TODAY()&gt;$T390,"OVERDUE","Due "&amp;TEXT($T390,"mm/dd")))))</f>
        <v/>
      </c>
      <c r="V390" s="16" t="n"/>
      <c r="W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IF($C391="","",IF($L391="","",IF($K391=1,IF(COUNTIFS(nrES_PID,$D391,nrES_Code,$F391,nrES_Att,2)&gt;0,"",$L391),IF(COUNTIFS(nrES_PID,$D391,nrES_Code,$F391,nrES_Att,1)=0,$L391,IF($L391&gt;=$J391,cfgRetakeRecordedCap,SUMIFS(nrES_Raw,nrES_PID,$D391,nrES_Code,$F391,nrES_Att,1))))))</f>
        <v/>
      </c>
      <c r="N391" s="17">
        <f>IF($C391="","",IF($L391="","",IF($L391&gt;=$J391,"Yes","No")))</f>
        <v/>
      </c>
      <c r="O391" s="17">
        <f>IF($C391="","",IF($M391="","",IF($M391&gt;=$J391,"Yes","No")))</f>
        <v/>
      </c>
      <c r="P391" s="17">
        <f>IF($C391="","",IF($K391="","",IF(COUNTIFS(nrES_PID,$D391,nrES_Code,$F391,nrES_Att,"&gt;"&amp;$K391)=0,"Yes","No")))</f>
        <v/>
      </c>
      <c r="Q391" s="17">
        <f>IF($C391="","",IF($L391="","",IF(AND($K391=1,$L391&lt;$J391,COUNTIFS(nrES_PID,$D391,nrES_Code,$F391,nrES_Att,2)=0),"Yes","No")))</f>
        <v/>
      </c>
      <c r="R391" s="17">
        <f>IF($C391="","",IF($L391="","",IF(AND($K391=2,$L391&lt;$J391,COUNTIFS(nrES_PID,$D391,nrES_Code,$F391,nrES_Att,1)&gt;0),"Yes","No")))</f>
        <v/>
      </c>
      <c r="S391" s="18" t="n"/>
      <c r="T391" s="19">
        <f>IF($Q391&lt;&gt;"Yes","",IF($S391="","(enter date)",_xlfn.LET(_xlpm.dn,IFERROR(_xlfn.XLOOKUP($S391,nrCDdate,nrCDnum),""),IF(_xlpm.dn="","(not a class day)",IFERROR(_xlfn.XLOOKUP(_xlpm.dn+cfgRetestClassDays,nrCDnum,nrCDdate),"")))))</f>
        <v/>
      </c>
      <c r="U391" s="17">
        <f>IF($Q391&lt;&gt;"Yes","",IF(COUNTIFS(nrES_PID,$D391,nrES_Code,$F391,nrES_Att,2)&gt;0,"Retested",IF(OR($T391="",NOT(ISNUMBER($T391))),"Pending",IF(TODAY()&gt;$T391,"OVERDUE","Due "&amp;TEXT($T391,"mm/dd")))))</f>
        <v/>
      </c>
      <c r="V391" s="16" t="n"/>
      <c r="W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IF($C392="","",IF($L392="","",IF($K392=1,IF(COUNTIFS(nrES_PID,$D392,nrES_Code,$F392,nrES_Att,2)&gt;0,"",$L392),IF(COUNTIFS(nrES_PID,$D392,nrES_Code,$F392,nrES_Att,1)=0,$L392,IF($L392&gt;=$J392,cfgRetakeRecordedCap,SUMIFS(nrES_Raw,nrES_PID,$D392,nrES_Code,$F392,nrES_Att,1))))))</f>
        <v/>
      </c>
      <c r="N392" s="17">
        <f>IF($C392="","",IF($L392="","",IF($L392&gt;=$J392,"Yes","No")))</f>
        <v/>
      </c>
      <c r="O392" s="17">
        <f>IF($C392="","",IF($M392="","",IF($M392&gt;=$J392,"Yes","No")))</f>
        <v/>
      </c>
      <c r="P392" s="17">
        <f>IF($C392="","",IF($K392="","",IF(COUNTIFS(nrES_PID,$D392,nrES_Code,$F392,nrES_Att,"&gt;"&amp;$K392)=0,"Yes","No")))</f>
        <v/>
      </c>
      <c r="Q392" s="17">
        <f>IF($C392="","",IF($L392="","",IF(AND($K392=1,$L392&lt;$J392,COUNTIFS(nrES_PID,$D392,nrES_Code,$F392,nrES_Att,2)=0),"Yes","No")))</f>
        <v/>
      </c>
      <c r="R392" s="17">
        <f>IF($C392="","",IF($L392="","",IF(AND($K392=2,$L392&lt;$J392,COUNTIFS(nrES_PID,$D392,nrES_Code,$F392,nrES_Att,1)&gt;0),"Yes","No")))</f>
        <v/>
      </c>
      <c r="S392" s="18" t="n"/>
      <c r="T392" s="19">
        <f>IF($Q392&lt;&gt;"Yes","",IF($S392="","(enter date)",_xlfn.LET(_xlpm.dn,IFERROR(_xlfn.XLOOKUP($S392,nrCDdate,nrCDnum),""),IF(_xlpm.dn="","(not a class day)",IFERROR(_xlfn.XLOOKUP(_xlpm.dn+cfgRetestClassDays,nrCDnum,nrCDdate),"")))))</f>
        <v/>
      </c>
      <c r="U392" s="17">
        <f>IF($Q392&lt;&gt;"Yes","",IF(COUNTIFS(nrES_PID,$D392,nrES_Code,$F392,nrES_Att,2)&gt;0,"Retested",IF(OR($T392="",NOT(ISNUMBER($T392))),"Pending",IF(TODAY()&gt;$T392,"OVERDUE","Due "&amp;TEXT($T392,"mm/dd")))))</f>
        <v/>
      </c>
      <c r="V392" s="16" t="n"/>
      <c r="W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IF($C393="","",IF($L393="","",IF($K393=1,IF(COUNTIFS(nrES_PID,$D393,nrES_Code,$F393,nrES_Att,2)&gt;0,"",$L393),IF(COUNTIFS(nrES_PID,$D393,nrES_Code,$F393,nrES_Att,1)=0,$L393,IF($L393&gt;=$J393,cfgRetakeRecordedCap,SUMIFS(nrES_Raw,nrES_PID,$D393,nrES_Code,$F393,nrES_Att,1))))))</f>
        <v/>
      </c>
      <c r="N393" s="17">
        <f>IF($C393="","",IF($L393="","",IF($L393&gt;=$J393,"Yes","No")))</f>
        <v/>
      </c>
      <c r="O393" s="17">
        <f>IF($C393="","",IF($M393="","",IF($M393&gt;=$J393,"Yes","No")))</f>
        <v/>
      </c>
      <c r="P393" s="17">
        <f>IF($C393="","",IF($K393="","",IF(COUNTIFS(nrES_PID,$D393,nrES_Code,$F393,nrES_Att,"&gt;"&amp;$K393)=0,"Yes","No")))</f>
        <v/>
      </c>
      <c r="Q393" s="17">
        <f>IF($C393="","",IF($L393="","",IF(AND($K393=1,$L393&lt;$J393,COUNTIFS(nrES_PID,$D393,nrES_Code,$F393,nrES_Att,2)=0),"Yes","No")))</f>
        <v/>
      </c>
      <c r="R393" s="17">
        <f>IF($C393="","",IF($L393="","",IF(AND($K393=2,$L393&lt;$J393,COUNTIFS(nrES_PID,$D393,nrES_Code,$F393,nrES_Att,1)&gt;0),"Yes","No")))</f>
        <v/>
      </c>
      <c r="S393" s="18" t="n"/>
      <c r="T393" s="19">
        <f>IF($Q393&lt;&gt;"Yes","",IF($S393="","(enter date)",_xlfn.LET(_xlpm.dn,IFERROR(_xlfn.XLOOKUP($S393,nrCDdate,nrCDnum),""),IF(_xlpm.dn="","(not a class day)",IFERROR(_xlfn.XLOOKUP(_xlpm.dn+cfgRetestClassDays,nrCDnum,nrCDdate),"")))))</f>
        <v/>
      </c>
      <c r="U393" s="17">
        <f>IF($Q393&lt;&gt;"Yes","",IF(COUNTIFS(nrES_PID,$D393,nrES_Code,$F393,nrES_Att,2)&gt;0,"Retested",IF(OR($T393="",NOT(ISNUMBER($T393))),"Pending",IF(TODAY()&gt;$T393,"OVERDUE","Due "&amp;TEXT($T393,"mm/dd")))))</f>
        <v/>
      </c>
      <c r="V393" s="16" t="n"/>
      <c r="W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IF($C394="","",IF($L394="","",IF($K394=1,IF(COUNTIFS(nrES_PID,$D394,nrES_Code,$F394,nrES_Att,2)&gt;0,"",$L394),IF(COUNTIFS(nrES_PID,$D394,nrES_Code,$F394,nrES_Att,1)=0,$L394,IF($L394&gt;=$J394,cfgRetakeRecordedCap,SUMIFS(nrES_Raw,nrES_PID,$D394,nrES_Code,$F394,nrES_Att,1))))))</f>
        <v/>
      </c>
      <c r="N394" s="17">
        <f>IF($C394="","",IF($L394="","",IF($L394&gt;=$J394,"Yes","No")))</f>
        <v/>
      </c>
      <c r="O394" s="17">
        <f>IF($C394="","",IF($M394="","",IF($M394&gt;=$J394,"Yes","No")))</f>
        <v/>
      </c>
      <c r="P394" s="17">
        <f>IF($C394="","",IF($K394="","",IF(COUNTIFS(nrES_PID,$D394,nrES_Code,$F394,nrES_Att,"&gt;"&amp;$K394)=0,"Yes","No")))</f>
        <v/>
      </c>
      <c r="Q394" s="17">
        <f>IF($C394="","",IF($L394="","",IF(AND($K394=1,$L394&lt;$J394,COUNTIFS(nrES_PID,$D394,nrES_Code,$F394,nrES_Att,2)=0),"Yes","No")))</f>
        <v/>
      </c>
      <c r="R394" s="17">
        <f>IF($C394="","",IF($L394="","",IF(AND($K394=2,$L394&lt;$J394,COUNTIFS(nrES_PID,$D394,nrES_Code,$F394,nrES_Att,1)&gt;0),"Yes","No")))</f>
        <v/>
      </c>
      <c r="S394" s="18" t="n"/>
      <c r="T394" s="19">
        <f>IF($Q394&lt;&gt;"Yes","",IF($S394="","(enter date)",_xlfn.LET(_xlpm.dn,IFERROR(_xlfn.XLOOKUP($S394,nrCDdate,nrCDnum),""),IF(_xlpm.dn="","(not a class day)",IFERROR(_xlfn.XLOOKUP(_xlpm.dn+cfgRetestClassDays,nrCDnum,nrCDdate),"")))))</f>
        <v/>
      </c>
      <c r="U394" s="17">
        <f>IF($Q394&lt;&gt;"Yes","",IF(COUNTIFS(nrES_PID,$D394,nrES_Code,$F394,nrES_Att,2)&gt;0,"Retested",IF(OR($T394="",NOT(ISNUMBER($T394))),"Pending",IF(TODAY()&gt;$T394,"OVERDUE","Due "&amp;TEXT($T394,"mm/dd")))))</f>
        <v/>
      </c>
      <c r="V394" s="16" t="n"/>
      <c r="W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IF($C395="","",IF($L395="","",IF($K395=1,IF(COUNTIFS(nrES_PID,$D395,nrES_Code,$F395,nrES_Att,2)&gt;0,"",$L395),IF(COUNTIFS(nrES_PID,$D395,nrES_Code,$F395,nrES_Att,1)=0,$L395,IF($L395&gt;=$J395,cfgRetakeRecordedCap,SUMIFS(nrES_Raw,nrES_PID,$D395,nrES_Code,$F395,nrES_Att,1))))))</f>
        <v/>
      </c>
      <c r="N395" s="17">
        <f>IF($C395="","",IF($L395="","",IF($L395&gt;=$J395,"Yes","No")))</f>
        <v/>
      </c>
      <c r="O395" s="17">
        <f>IF($C395="","",IF($M395="","",IF($M395&gt;=$J395,"Yes","No")))</f>
        <v/>
      </c>
      <c r="P395" s="17">
        <f>IF($C395="","",IF($K395="","",IF(COUNTIFS(nrES_PID,$D395,nrES_Code,$F395,nrES_Att,"&gt;"&amp;$K395)=0,"Yes","No")))</f>
        <v/>
      </c>
      <c r="Q395" s="17">
        <f>IF($C395="","",IF($L395="","",IF(AND($K395=1,$L395&lt;$J395,COUNTIFS(nrES_PID,$D395,nrES_Code,$F395,nrES_Att,2)=0),"Yes","No")))</f>
        <v/>
      </c>
      <c r="R395" s="17">
        <f>IF($C395="","",IF($L395="","",IF(AND($K395=2,$L395&lt;$J395,COUNTIFS(nrES_PID,$D395,nrES_Code,$F395,nrES_Att,1)&gt;0),"Yes","No")))</f>
        <v/>
      </c>
      <c r="S395" s="18" t="n"/>
      <c r="T395" s="19">
        <f>IF($Q395&lt;&gt;"Yes","",IF($S395="","(enter date)",_xlfn.LET(_xlpm.dn,IFERROR(_xlfn.XLOOKUP($S395,nrCDdate,nrCDnum),""),IF(_xlpm.dn="","(not a class day)",IFERROR(_xlfn.XLOOKUP(_xlpm.dn+cfgRetestClassDays,nrCDnum,nrCDdate),"")))))</f>
        <v/>
      </c>
      <c r="U395" s="17">
        <f>IF($Q395&lt;&gt;"Yes","",IF(COUNTIFS(nrES_PID,$D395,nrES_Code,$F395,nrES_Att,2)&gt;0,"Retested",IF(OR($T395="",NOT(ISNUMBER($T395))),"Pending",IF(TODAY()&gt;$T395,"OVERDUE","Due "&amp;TEXT($T395,"mm/dd")))))</f>
        <v/>
      </c>
      <c r="V395" s="16" t="n"/>
      <c r="W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IF($C396="","",IF($L396="","",IF($K396=1,IF(COUNTIFS(nrES_PID,$D396,nrES_Code,$F396,nrES_Att,2)&gt;0,"",$L396),IF(COUNTIFS(nrES_PID,$D396,nrES_Code,$F396,nrES_Att,1)=0,$L396,IF($L396&gt;=$J396,cfgRetakeRecordedCap,SUMIFS(nrES_Raw,nrES_PID,$D396,nrES_Code,$F396,nrES_Att,1))))))</f>
        <v/>
      </c>
      <c r="N396" s="17">
        <f>IF($C396="","",IF($L396="","",IF($L396&gt;=$J396,"Yes","No")))</f>
        <v/>
      </c>
      <c r="O396" s="17">
        <f>IF($C396="","",IF($M396="","",IF($M396&gt;=$J396,"Yes","No")))</f>
        <v/>
      </c>
      <c r="P396" s="17">
        <f>IF($C396="","",IF($K396="","",IF(COUNTIFS(nrES_PID,$D396,nrES_Code,$F396,nrES_Att,"&gt;"&amp;$K396)=0,"Yes","No")))</f>
        <v/>
      </c>
      <c r="Q396" s="17">
        <f>IF($C396="","",IF($L396="","",IF(AND($K396=1,$L396&lt;$J396,COUNTIFS(nrES_PID,$D396,nrES_Code,$F396,nrES_Att,2)=0),"Yes","No")))</f>
        <v/>
      </c>
      <c r="R396" s="17">
        <f>IF($C396="","",IF($L396="","",IF(AND($K396=2,$L396&lt;$J396,COUNTIFS(nrES_PID,$D396,nrES_Code,$F396,nrES_Att,1)&gt;0),"Yes","No")))</f>
        <v/>
      </c>
      <c r="S396" s="18" t="n"/>
      <c r="T396" s="19">
        <f>IF($Q396&lt;&gt;"Yes","",IF($S396="","(enter date)",_xlfn.LET(_xlpm.dn,IFERROR(_xlfn.XLOOKUP($S396,nrCDdate,nrCDnum),""),IF(_xlpm.dn="","(not a class day)",IFERROR(_xlfn.XLOOKUP(_xlpm.dn+cfgRetestClassDays,nrCDnum,nrCDdate),"")))))</f>
        <v/>
      </c>
      <c r="U396" s="17">
        <f>IF($Q396&lt;&gt;"Yes","",IF(COUNTIFS(nrES_PID,$D396,nrES_Code,$F396,nrES_Att,2)&gt;0,"Retested",IF(OR($T396="",NOT(ISNUMBER($T396))),"Pending",IF(TODAY()&gt;$T396,"OVERDUE","Due "&amp;TEXT($T396,"mm/dd")))))</f>
        <v/>
      </c>
      <c r="V396" s="16" t="n"/>
      <c r="W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IF($C397="","",IF($L397="","",IF($K397=1,IF(COUNTIFS(nrES_PID,$D397,nrES_Code,$F397,nrES_Att,2)&gt;0,"",$L397),IF(COUNTIFS(nrES_PID,$D397,nrES_Code,$F397,nrES_Att,1)=0,$L397,IF($L397&gt;=$J397,cfgRetakeRecordedCap,SUMIFS(nrES_Raw,nrES_PID,$D397,nrES_Code,$F397,nrES_Att,1))))))</f>
        <v/>
      </c>
      <c r="N397" s="17">
        <f>IF($C397="","",IF($L397="","",IF($L397&gt;=$J397,"Yes","No")))</f>
        <v/>
      </c>
      <c r="O397" s="17">
        <f>IF($C397="","",IF($M397="","",IF($M397&gt;=$J397,"Yes","No")))</f>
        <v/>
      </c>
      <c r="P397" s="17">
        <f>IF($C397="","",IF($K397="","",IF(COUNTIFS(nrES_PID,$D397,nrES_Code,$F397,nrES_Att,"&gt;"&amp;$K397)=0,"Yes","No")))</f>
        <v/>
      </c>
      <c r="Q397" s="17">
        <f>IF($C397="","",IF($L397="","",IF(AND($K397=1,$L397&lt;$J397,COUNTIFS(nrES_PID,$D397,nrES_Code,$F397,nrES_Att,2)=0),"Yes","No")))</f>
        <v/>
      </c>
      <c r="R397" s="17">
        <f>IF($C397="","",IF($L397="","",IF(AND($K397=2,$L397&lt;$J397,COUNTIFS(nrES_PID,$D397,nrES_Code,$F397,nrES_Att,1)&gt;0),"Yes","No")))</f>
        <v/>
      </c>
      <c r="S397" s="18" t="n"/>
      <c r="T397" s="19">
        <f>IF($Q397&lt;&gt;"Yes","",IF($S397="","(enter date)",_xlfn.LET(_xlpm.dn,IFERROR(_xlfn.XLOOKUP($S397,nrCDdate,nrCDnum),""),IF(_xlpm.dn="","(not a class day)",IFERROR(_xlfn.XLOOKUP(_xlpm.dn+cfgRetestClassDays,nrCDnum,nrCDdate),"")))))</f>
        <v/>
      </c>
      <c r="U397" s="17">
        <f>IF($Q397&lt;&gt;"Yes","",IF(COUNTIFS(nrES_PID,$D397,nrES_Code,$F397,nrES_Att,2)&gt;0,"Retested",IF(OR($T397="",NOT(ISNUMBER($T397))),"Pending",IF(TODAY()&gt;$T397,"OVERDUE","Due "&amp;TEXT($T397,"mm/dd")))))</f>
        <v/>
      </c>
      <c r="V397" s="16" t="n"/>
      <c r="W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IF($C398="","",IF($L398="","",IF($K398=1,IF(COUNTIFS(nrES_PID,$D398,nrES_Code,$F398,nrES_Att,2)&gt;0,"",$L398),IF(COUNTIFS(nrES_PID,$D398,nrES_Code,$F398,nrES_Att,1)=0,$L398,IF($L398&gt;=$J398,cfgRetakeRecordedCap,SUMIFS(nrES_Raw,nrES_PID,$D398,nrES_Code,$F398,nrES_Att,1))))))</f>
        <v/>
      </c>
      <c r="N398" s="17">
        <f>IF($C398="","",IF($L398="","",IF($L398&gt;=$J398,"Yes","No")))</f>
        <v/>
      </c>
      <c r="O398" s="17">
        <f>IF($C398="","",IF($M398="","",IF($M398&gt;=$J398,"Yes","No")))</f>
        <v/>
      </c>
      <c r="P398" s="17">
        <f>IF($C398="","",IF($K398="","",IF(COUNTIFS(nrES_PID,$D398,nrES_Code,$F398,nrES_Att,"&gt;"&amp;$K398)=0,"Yes","No")))</f>
        <v/>
      </c>
      <c r="Q398" s="17">
        <f>IF($C398="","",IF($L398="","",IF(AND($K398=1,$L398&lt;$J398,COUNTIFS(nrES_PID,$D398,nrES_Code,$F398,nrES_Att,2)=0),"Yes","No")))</f>
        <v/>
      </c>
      <c r="R398" s="17">
        <f>IF($C398="","",IF($L398="","",IF(AND($K398=2,$L398&lt;$J398,COUNTIFS(nrES_PID,$D398,nrES_Code,$F398,nrES_Att,1)&gt;0),"Yes","No")))</f>
        <v/>
      </c>
      <c r="S398" s="18" t="n"/>
      <c r="T398" s="19">
        <f>IF($Q398&lt;&gt;"Yes","",IF($S398="","(enter date)",_xlfn.LET(_xlpm.dn,IFERROR(_xlfn.XLOOKUP($S398,nrCDdate,nrCDnum),""),IF(_xlpm.dn="","(not a class day)",IFERROR(_xlfn.XLOOKUP(_xlpm.dn+cfgRetestClassDays,nrCDnum,nrCDdate),"")))))</f>
        <v/>
      </c>
      <c r="U398" s="17">
        <f>IF($Q398&lt;&gt;"Yes","",IF(COUNTIFS(nrES_PID,$D398,nrES_Code,$F398,nrES_Att,2)&gt;0,"Retested",IF(OR($T398="",NOT(ISNUMBER($T398))),"Pending",IF(TODAY()&gt;$T398,"OVERDUE","Due "&amp;TEXT($T398,"mm/dd")))))</f>
        <v/>
      </c>
      <c r="V398" s="16" t="n"/>
      <c r="W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IF($C399="","",IF($L399="","",IF($K399=1,IF(COUNTIFS(nrES_PID,$D399,nrES_Code,$F399,nrES_Att,2)&gt;0,"",$L399),IF(COUNTIFS(nrES_PID,$D399,nrES_Code,$F399,nrES_Att,1)=0,$L399,IF($L399&gt;=$J399,cfgRetakeRecordedCap,SUMIFS(nrES_Raw,nrES_PID,$D399,nrES_Code,$F399,nrES_Att,1))))))</f>
        <v/>
      </c>
      <c r="N399" s="17">
        <f>IF($C399="","",IF($L399="","",IF($L399&gt;=$J399,"Yes","No")))</f>
        <v/>
      </c>
      <c r="O399" s="17">
        <f>IF($C399="","",IF($M399="","",IF($M399&gt;=$J399,"Yes","No")))</f>
        <v/>
      </c>
      <c r="P399" s="17">
        <f>IF($C399="","",IF($K399="","",IF(COUNTIFS(nrES_PID,$D399,nrES_Code,$F399,nrES_Att,"&gt;"&amp;$K399)=0,"Yes","No")))</f>
        <v/>
      </c>
      <c r="Q399" s="17">
        <f>IF($C399="","",IF($L399="","",IF(AND($K399=1,$L399&lt;$J399,COUNTIFS(nrES_PID,$D399,nrES_Code,$F399,nrES_Att,2)=0),"Yes","No")))</f>
        <v/>
      </c>
      <c r="R399" s="17">
        <f>IF($C399="","",IF($L399="","",IF(AND($K399=2,$L399&lt;$J399,COUNTIFS(nrES_PID,$D399,nrES_Code,$F399,nrES_Att,1)&gt;0),"Yes","No")))</f>
        <v/>
      </c>
      <c r="S399" s="18" t="n"/>
      <c r="T399" s="19">
        <f>IF($Q399&lt;&gt;"Yes","",IF($S399="","(enter date)",_xlfn.LET(_xlpm.dn,IFERROR(_xlfn.XLOOKUP($S399,nrCDdate,nrCDnum),""),IF(_xlpm.dn="","(not a class day)",IFERROR(_xlfn.XLOOKUP(_xlpm.dn+cfgRetestClassDays,nrCDnum,nrCDdate),"")))))</f>
        <v/>
      </c>
      <c r="U399" s="17">
        <f>IF($Q399&lt;&gt;"Yes","",IF(COUNTIFS(nrES_PID,$D399,nrES_Code,$F399,nrES_Att,2)&gt;0,"Retested",IF(OR($T399="",NOT(ISNUMBER($T399))),"Pending",IF(TODAY()&gt;$T399,"OVERDUE","Due "&amp;TEXT($T399,"mm/dd")))))</f>
        <v/>
      </c>
      <c r="V399" s="16" t="n"/>
      <c r="W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IF($C400="","",IF($L400="","",IF($K400=1,IF(COUNTIFS(nrES_PID,$D400,nrES_Code,$F400,nrES_Att,2)&gt;0,"",$L400),IF(COUNTIFS(nrES_PID,$D400,nrES_Code,$F400,nrES_Att,1)=0,$L400,IF($L400&gt;=$J400,cfgRetakeRecordedCap,SUMIFS(nrES_Raw,nrES_PID,$D400,nrES_Code,$F400,nrES_Att,1))))))</f>
        <v/>
      </c>
      <c r="N400" s="17">
        <f>IF($C400="","",IF($L400="","",IF($L400&gt;=$J400,"Yes","No")))</f>
        <v/>
      </c>
      <c r="O400" s="17">
        <f>IF($C400="","",IF($M400="","",IF($M400&gt;=$J400,"Yes","No")))</f>
        <v/>
      </c>
      <c r="P400" s="17">
        <f>IF($C400="","",IF($K400="","",IF(COUNTIFS(nrES_PID,$D400,nrES_Code,$F400,nrES_Att,"&gt;"&amp;$K400)=0,"Yes","No")))</f>
        <v/>
      </c>
      <c r="Q400" s="17">
        <f>IF($C400="","",IF($L400="","",IF(AND($K400=1,$L400&lt;$J400,COUNTIFS(nrES_PID,$D400,nrES_Code,$F400,nrES_Att,2)=0),"Yes","No")))</f>
        <v/>
      </c>
      <c r="R400" s="17">
        <f>IF($C400="","",IF($L400="","",IF(AND($K400=2,$L400&lt;$J400,COUNTIFS(nrES_PID,$D400,nrES_Code,$F400,nrES_Att,1)&gt;0),"Yes","No")))</f>
        <v/>
      </c>
      <c r="S400" s="18" t="n"/>
      <c r="T400" s="19">
        <f>IF($Q400&lt;&gt;"Yes","",IF($S400="","(enter date)",_xlfn.LET(_xlpm.dn,IFERROR(_xlfn.XLOOKUP($S400,nrCDdate,nrCDnum),""),IF(_xlpm.dn="","(not a class day)",IFERROR(_xlfn.XLOOKUP(_xlpm.dn+cfgRetestClassDays,nrCDnum,nrCDdate),"")))))</f>
        <v/>
      </c>
      <c r="U400" s="17">
        <f>IF($Q400&lt;&gt;"Yes","",IF(COUNTIFS(nrES_PID,$D400,nrES_Code,$F400,nrES_Att,2)&gt;0,"Retested",IF(OR($T400="",NOT(ISNUMBER($T400))),"Pending",IF(TODAY()&gt;$T400,"OVERDUE","Due "&amp;TEXT($T400,"mm/dd")))))</f>
        <v/>
      </c>
      <c r="V400" s="16" t="n"/>
      <c r="W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IF($C401="","",IF($L401="","",IF($K401=1,IF(COUNTIFS(nrES_PID,$D401,nrES_Code,$F401,nrES_Att,2)&gt;0,"",$L401),IF(COUNTIFS(nrES_PID,$D401,nrES_Code,$F401,nrES_Att,1)=0,$L401,IF($L401&gt;=$J401,cfgRetakeRecordedCap,SUMIFS(nrES_Raw,nrES_PID,$D401,nrES_Code,$F401,nrES_Att,1))))))</f>
        <v/>
      </c>
      <c r="N401" s="17">
        <f>IF($C401="","",IF($L401="","",IF($L401&gt;=$J401,"Yes","No")))</f>
        <v/>
      </c>
      <c r="O401" s="17">
        <f>IF($C401="","",IF($M401="","",IF($M401&gt;=$J401,"Yes","No")))</f>
        <v/>
      </c>
      <c r="P401" s="17">
        <f>IF($C401="","",IF($K401="","",IF(COUNTIFS(nrES_PID,$D401,nrES_Code,$F401,nrES_Att,"&gt;"&amp;$K401)=0,"Yes","No")))</f>
        <v/>
      </c>
      <c r="Q401" s="17">
        <f>IF($C401="","",IF($L401="","",IF(AND($K401=1,$L401&lt;$J401,COUNTIFS(nrES_PID,$D401,nrES_Code,$F401,nrES_Att,2)=0),"Yes","No")))</f>
        <v/>
      </c>
      <c r="R401" s="17">
        <f>IF($C401="","",IF($L401="","",IF(AND($K401=2,$L401&lt;$J401,COUNTIFS(nrES_PID,$D401,nrES_Code,$F401,nrES_Att,1)&gt;0),"Yes","No")))</f>
        <v/>
      </c>
      <c r="S401" s="18" t="n"/>
      <c r="T401" s="19">
        <f>IF($Q401&lt;&gt;"Yes","",IF($S401="","(enter date)",_xlfn.LET(_xlpm.dn,IFERROR(_xlfn.XLOOKUP($S401,nrCDdate,nrCDnum),""),IF(_xlpm.dn="","(not a class day)",IFERROR(_xlfn.XLOOKUP(_xlpm.dn+cfgRetestClassDays,nrCDnum,nrCDdate),"")))))</f>
        <v/>
      </c>
      <c r="U401" s="17">
        <f>IF($Q401&lt;&gt;"Yes","",IF(COUNTIFS(nrES_PID,$D401,nrES_Code,$F401,nrES_Att,2)&gt;0,"Retested",IF(OR($T401="",NOT(ISNUMBER($T401))),"Pending",IF(TODAY()&gt;$T401,"OVERDUE","Due "&amp;TEXT($T401,"mm/dd")))))</f>
        <v/>
      </c>
      <c r="V401" s="16" t="n"/>
      <c r="W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IF($C402="","",IF($L402="","",IF($K402=1,IF(COUNTIFS(nrES_PID,$D402,nrES_Code,$F402,nrES_Att,2)&gt;0,"",$L402),IF(COUNTIFS(nrES_PID,$D402,nrES_Code,$F402,nrES_Att,1)=0,$L402,IF($L402&gt;=$J402,cfgRetakeRecordedCap,SUMIFS(nrES_Raw,nrES_PID,$D402,nrES_Code,$F402,nrES_Att,1))))))</f>
        <v/>
      </c>
      <c r="N402" s="17">
        <f>IF($C402="","",IF($L402="","",IF($L402&gt;=$J402,"Yes","No")))</f>
        <v/>
      </c>
      <c r="O402" s="17">
        <f>IF($C402="","",IF($M402="","",IF($M402&gt;=$J402,"Yes","No")))</f>
        <v/>
      </c>
      <c r="P402" s="17">
        <f>IF($C402="","",IF($K402="","",IF(COUNTIFS(nrES_PID,$D402,nrES_Code,$F402,nrES_Att,"&gt;"&amp;$K402)=0,"Yes","No")))</f>
        <v/>
      </c>
      <c r="Q402" s="17">
        <f>IF($C402="","",IF($L402="","",IF(AND($K402=1,$L402&lt;$J402,COUNTIFS(nrES_PID,$D402,nrES_Code,$F402,nrES_Att,2)=0),"Yes","No")))</f>
        <v/>
      </c>
      <c r="R402" s="17">
        <f>IF($C402="","",IF($L402="","",IF(AND($K402=2,$L402&lt;$J402,COUNTIFS(nrES_PID,$D402,nrES_Code,$F402,nrES_Att,1)&gt;0),"Yes","No")))</f>
        <v/>
      </c>
      <c r="S402" s="18" t="n"/>
      <c r="T402" s="19">
        <f>IF($Q402&lt;&gt;"Yes","",IF($S402="","(enter date)",_xlfn.LET(_xlpm.dn,IFERROR(_xlfn.XLOOKUP($S402,nrCDdate,nrCDnum),""),IF(_xlpm.dn="","(not a class day)",IFERROR(_xlfn.XLOOKUP(_xlpm.dn+cfgRetestClassDays,nrCDnum,nrCDdate),"")))))</f>
        <v/>
      </c>
      <c r="U402" s="17">
        <f>IF($Q402&lt;&gt;"Yes","",IF(COUNTIFS(nrES_PID,$D402,nrES_Code,$F402,nrES_Att,2)&gt;0,"Retested",IF(OR($T402="",NOT(ISNUMBER($T402))),"Pending",IF(TODAY()&gt;$T402,"OVERDUE","Due "&amp;TEXT($T402,"mm/dd")))))</f>
        <v/>
      </c>
      <c r="V402" s="16" t="n"/>
      <c r="W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IF($C403="","",IF($L403="","",IF($K403=1,IF(COUNTIFS(nrES_PID,$D403,nrES_Code,$F403,nrES_Att,2)&gt;0,"",$L403),IF(COUNTIFS(nrES_PID,$D403,nrES_Code,$F403,nrES_Att,1)=0,$L403,IF($L403&gt;=$J403,cfgRetakeRecordedCap,SUMIFS(nrES_Raw,nrES_PID,$D403,nrES_Code,$F403,nrES_Att,1))))))</f>
        <v/>
      </c>
      <c r="N403" s="17">
        <f>IF($C403="","",IF($L403="","",IF($L403&gt;=$J403,"Yes","No")))</f>
        <v/>
      </c>
      <c r="O403" s="17">
        <f>IF($C403="","",IF($M403="","",IF($M403&gt;=$J403,"Yes","No")))</f>
        <v/>
      </c>
      <c r="P403" s="17">
        <f>IF($C403="","",IF($K403="","",IF(COUNTIFS(nrES_PID,$D403,nrES_Code,$F403,nrES_Att,"&gt;"&amp;$K403)=0,"Yes","No")))</f>
        <v/>
      </c>
      <c r="Q403" s="17">
        <f>IF($C403="","",IF($L403="","",IF(AND($K403=1,$L403&lt;$J403,COUNTIFS(nrES_PID,$D403,nrES_Code,$F403,nrES_Att,2)=0),"Yes","No")))</f>
        <v/>
      </c>
      <c r="R403" s="17">
        <f>IF($C403="","",IF($L403="","",IF(AND($K403=2,$L403&lt;$J403,COUNTIFS(nrES_PID,$D403,nrES_Code,$F403,nrES_Att,1)&gt;0),"Yes","No")))</f>
        <v/>
      </c>
      <c r="S403" s="18" t="n"/>
      <c r="T403" s="19">
        <f>IF($Q403&lt;&gt;"Yes","",IF($S403="","(enter date)",_xlfn.LET(_xlpm.dn,IFERROR(_xlfn.XLOOKUP($S403,nrCDdate,nrCDnum),""),IF(_xlpm.dn="","(not a class day)",IFERROR(_xlfn.XLOOKUP(_xlpm.dn+cfgRetestClassDays,nrCDnum,nrCDdate),"")))))</f>
        <v/>
      </c>
      <c r="U403" s="17">
        <f>IF($Q403&lt;&gt;"Yes","",IF(COUNTIFS(nrES_PID,$D403,nrES_Code,$F403,nrES_Att,2)&gt;0,"Retested",IF(OR($T403="",NOT(ISNUMBER($T403))),"Pending",IF(TODAY()&gt;$T403,"OVERDUE","Due "&amp;TEXT($T403,"mm/dd")))))</f>
        <v/>
      </c>
      <c r="V403" s="16" t="n"/>
      <c r="W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IF($C404="","",IF($L404="","",IF($K404=1,IF(COUNTIFS(nrES_PID,$D404,nrES_Code,$F404,nrES_Att,2)&gt;0,"",$L404),IF(COUNTIFS(nrES_PID,$D404,nrES_Code,$F404,nrES_Att,1)=0,$L404,IF($L404&gt;=$J404,cfgRetakeRecordedCap,SUMIFS(nrES_Raw,nrES_PID,$D404,nrES_Code,$F404,nrES_Att,1))))))</f>
        <v/>
      </c>
      <c r="N404" s="17">
        <f>IF($C404="","",IF($L404="","",IF($L404&gt;=$J404,"Yes","No")))</f>
        <v/>
      </c>
      <c r="O404" s="17">
        <f>IF($C404="","",IF($M404="","",IF($M404&gt;=$J404,"Yes","No")))</f>
        <v/>
      </c>
      <c r="P404" s="17">
        <f>IF($C404="","",IF($K404="","",IF(COUNTIFS(nrES_PID,$D404,nrES_Code,$F404,nrES_Att,"&gt;"&amp;$K404)=0,"Yes","No")))</f>
        <v/>
      </c>
      <c r="Q404" s="17">
        <f>IF($C404="","",IF($L404="","",IF(AND($K404=1,$L404&lt;$J404,COUNTIFS(nrES_PID,$D404,nrES_Code,$F404,nrES_Att,2)=0),"Yes","No")))</f>
        <v/>
      </c>
      <c r="R404" s="17">
        <f>IF($C404="","",IF($L404="","",IF(AND($K404=2,$L404&lt;$J404,COUNTIFS(nrES_PID,$D404,nrES_Code,$F404,nrES_Att,1)&gt;0),"Yes","No")))</f>
        <v/>
      </c>
      <c r="S404" s="18" t="n"/>
      <c r="T404" s="19">
        <f>IF($Q404&lt;&gt;"Yes","",IF($S404="","(enter date)",_xlfn.LET(_xlpm.dn,IFERROR(_xlfn.XLOOKUP($S404,nrCDdate,nrCDnum),""),IF(_xlpm.dn="","(not a class day)",IFERROR(_xlfn.XLOOKUP(_xlpm.dn+cfgRetestClassDays,nrCDnum,nrCDdate),"")))))</f>
        <v/>
      </c>
      <c r="U404" s="17">
        <f>IF($Q404&lt;&gt;"Yes","",IF(COUNTIFS(nrES_PID,$D404,nrES_Code,$F404,nrES_Att,2)&gt;0,"Retested",IF(OR($T404="",NOT(ISNUMBER($T404))),"Pending",IF(TODAY()&gt;$T404,"OVERDUE","Due "&amp;TEXT($T404,"mm/dd")))))</f>
        <v/>
      </c>
      <c r="V404" s="16" t="n"/>
      <c r="W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IF($C405="","",IF($L405="","",IF($K405=1,IF(COUNTIFS(nrES_PID,$D405,nrES_Code,$F405,nrES_Att,2)&gt;0,"",$L405),IF(COUNTIFS(nrES_PID,$D405,nrES_Code,$F405,nrES_Att,1)=0,$L405,IF($L405&gt;=$J405,cfgRetakeRecordedCap,SUMIFS(nrES_Raw,nrES_PID,$D405,nrES_Code,$F405,nrES_Att,1))))))</f>
        <v/>
      </c>
      <c r="N405" s="17">
        <f>IF($C405="","",IF($L405="","",IF($L405&gt;=$J405,"Yes","No")))</f>
        <v/>
      </c>
      <c r="O405" s="17">
        <f>IF($C405="","",IF($M405="","",IF($M405&gt;=$J405,"Yes","No")))</f>
        <v/>
      </c>
      <c r="P405" s="17">
        <f>IF($C405="","",IF($K405="","",IF(COUNTIFS(nrES_PID,$D405,nrES_Code,$F405,nrES_Att,"&gt;"&amp;$K405)=0,"Yes","No")))</f>
        <v/>
      </c>
      <c r="Q405" s="17">
        <f>IF($C405="","",IF($L405="","",IF(AND($K405=1,$L405&lt;$J405,COUNTIFS(nrES_PID,$D405,nrES_Code,$F405,nrES_Att,2)=0),"Yes","No")))</f>
        <v/>
      </c>
      <c r="R405" s="17">
        <f>IF($C405="","",IF($L405="","",IF(AND($K405=2,$L405&lt;$J405,COUNTIFS(nrES_PID,$D405,nrES_Code,$F405,nrES_Att,1)&gt;0),"Yes","No")))</f>
        <v/>
      </c>
      <c r="S405" s="18" t="n"/>
      <c r="T405" s="19">
        <f>IF($Q405&lt;&gt;"Yes","",IF($S405="","(enter date)",_xlfn.LET(_xlpm.dn,IFERROR(_xlfn.XLOOKUP($S405,nrCDdate,nrCDnum),""),IF(_xlpm.dn="","(not a class day)",IFERROR(_xlfn.XLOOKUP(_xlpm.dn+cfgRetestClassDays,nrCDnum,nrCDdate),"")))))</f>
        <v/>
      </c>
      <c r="U405" s="17">
        <f>IF($Q405&lt;&gt;"Yes","",IF(COUNTIFS(nrES_PID,$D405,nrES_Code,$F405,nrES_Att,2)&gt;0,"Retested",IF(OR($T405="",NOT(ISNUMBER($T405))),"Pending",IF(TODAY()&gt;$T405,"OVERDUE","Due "&amp;TEXT($T405,"mm/dd")))))</f>
        <v/>
      </c>
      <c r="V405" s="16" t="n"/>
      <c r="W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IF($C406="","",IF($L406="","",IF($K406=1,IF(COUNTIFS(nrES_PID,$D406,nrES_Code,$F406,nrES_Att,2)&gt;0,"",$L406),IF(COUNTIFS(nrES_PID,$D406,nrES_Code,$F406,nrES_Att,1)=0,$L406,IF($L406&gt;=$J406,cfgRetakeRecordedCap,SUMIFS(nrES_Raw,nrES_PID,$D406,nrES_Code,$F406,nrES_Att,1))))))</f>
        <v/>
      </c>
      <c r="N406" s="17">
        <f>IF($C406="","",IF($L406="","",IF($L406&gt;=$J406,"Yes","No")))</f>
        <v/>
      </c>
      <c r="O406" s="17">
        <f>IF($C406="","",IF($M406="","",IF($M406&gt;=$J406,"Yes","No")))</f>
        <v/>
      </c>
      <c r="P406" s="17">
        <f>IF($C406="","",IF($K406="","",IF(COUNTIFS(nrES_PID,$D406,nrES_Code,$F406,nrES_Att,"&gt;"&amp;$K406)=0,"Yes","No")))</f>
        <v/>
      </c>
      <c r="Q406" s="17">
        <f>IF($C406="","",IF($L406="","",IF(AND($K406=1,$L406&lt;$J406,COUNTIFS(nrES_PID,$D406,nrES_Code,$F406,nrES_Att,2)=0),"Yes","No")))</f>
        <v/>
      </c>
      <c r="R406" s="17">
        <f>IF($C406="","",IF($L406="","",IF(AND($K406=2,$L406&lt;$J406,COUNTIFS(nrES_PID,$D406,nrES_Code,$F406,nrES_Att,1)&gt;0),"Yes","No")))</f>
        <v/>
      </c>
      <c r="S406" s="18" t="n"/>
      <c r="T406" s="19">
        <f>IF($Q406&lt;&gt;"Yes","",IF($S406="","(enter date)",_xlfn.LET(_xlpm.dn,IFERROR(_xlfn.XLOOKUP($S406,nrCDdate,nrCDnum),""),IF(_xlpm.dn="","(not a class day)",IFERROR(_xlfn.XLOOKUP(_xlpm.dn+cfgRetestClassDays,nrCDnum,nrCDdate),"")))))</f>
        <v/>
      </c>
      <c r="U406" s="17">
        <f>IF($Q406&lt;&gt;"Yes","",IF(COUNTIFS(nrES_PID,$D406,nrES_Code,$F406,nrES_Att,2)&gt;0,"Retested",IF(OR($T406="",NOT(ISNUMBER($T406))),"Pending",IF(TODAY()&gt;$T406,"OVERDUE","Due "&amp;TEXT($T406,"mm/dd")))))</f>
        <v/>
      </c>
      <c r="V406" s="16" t="n"/>
      <c r="W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IF($C407="","",IF($L407="","",IF($K407=1,IF(COUNTIFS(nrES_PID,$D407,nrES_Code,$F407,nrES_Att,2)&gt;0,"",$L407),IF(COUNTIFS(nrES_PID,$D407,nrES_Code,$F407,nrES_Att,1)=0,$L407,IF($L407&gt;=$J407,cfgRetakeRecordedCap,SUMIFS(nrES_Raw,nrES_PID,$D407,nrES_Code,$F407,nrES_Att,1))))))</f>
        <v/>
      </c>
      <c r="N407" s="17">
        <f>IF($C407="","",IF($L407="","",IF($L407&gt;=$J407,"Yes","No")))</f>
        <v/>
      </c>
      <c r="O407" s="17">
        <f>IF($C407="","",IF($M407="","",IF($M407&gt;=$J407,"Yes","No")))</f>
        <v/>
      </c>
      <c r="P407" s="17">
        <f>IF($C407="","",IF($K407="","",IF(COUNTIFS(nrES_PID,$D407,nrES_Code,$F407,nrES_Att,"&gt;"&amp;$K407)=0,"Yes","No")))</f>
        <v/>
      </c>
      <c r="Q407" s="17">
        <f>IF($C407="","",IF($L407="","",IF(AND($K407=1,$L407&lt;$J407,COUNTIFS(nrES_PID,$D407,nrES_Code,$F407,nrES_Att,2)=0),"Yes","No")))</f>
        <v/>
      </c>
      <c r="R407" s="17">
        <f>IF($C407="","",IF($L407="","",IF(AND($K407=2,$L407&lt;$J407,COUNTIFS(nrES_PID,$D407,nrES_Code,$F407,nrES_Att,1)&gt;0),"Yes","No")))</f>
        <v/>
      </c>
      <c r="S407" s="18" t="n"/>
      <c r="T407" s="19">
        <f>IF($Q407&lt;&gt;"Yes","",IF($S407="","(enter date)",_xlfn.LET(_xlpm.dn,IFERROR(_xlfn.XLOOKUP($S407,nrCDdate,nrCDnum),""),IF(_xlpm.dn="","(not a class day)",IFERROR(_xlfn.XLOOKUP(_xlpm.dn+cfgRetestClassDays,nrCDnum,nrCDdate),"")))))</f>
        <v/>
      </c>
      <c r="U407" s="17">
        <f>IF($Q407&lt;&gt;"Yes","",IF(COUNTIFS(nrES_PID,$D407,nrES_Code,$F407,nrES_Att,2)&gt;0,"Retested",IF(OR($T407="",NOT(ISNUMBER($T407))),"Pending",IF(TODAY()&gt;$T407,"OVERDUE","Due "&amp;TEXT($T407,"mm/dd")))))</f>
        <v/>
      </c>
      <c r="V407" s="16" t="n"/>
      <c r="W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IF($C408="","",IF($L408="","",IF($K408=1,IF(COUNTIFS(nrES_PID,$D408,nrES_Code,$F408,nrES_Att,2)&gt;0,"",$L408),IF(COUNTIFS(nrES_PID,$D408,nrES_Code,$F408,nrES_Att,1)=0,$L408,IF($L408&gt;=$J408,cfgRetakeRecordedCap,SUMIFS(nrES_Raw,nrES_PID,$D408,nrES_Code,$F408,nrES_Att,1))))))</f>
        <v/>
      </c>
      <c r="N408" s="17">
        <f>IF($C408="","",IF($L408="","",IF($L408&gt;=$J408,"Yes","No")))</f>
        <v/>
      </c>
      <c r="O408" s="17">
        <f>IF($C408="","",IF($M408="","",IF($M408&gt;=$J408,"Yes","No")))</f>
        <v/>
      </c>
      <c r="P408" s="17">
        <f>IF($C408="","",IF($K408="","",IF(COUNTIFS(nrES_PID,$D408,nrES_Code,$F408,nrES_Att,"&gt;"&amp;$K408)=0,"Yes","No")))</f>
        <v/>
      </c>
      <c r="Q408" s="17">
        <f>IF($C408="","",IF($L408="","",IF(AND($K408=1,$L408&lt;$J408,COUNTIFS(nrES_PID,$D408,nrES_Code,$F408,nrES_Att,2)=0),"Yes","No")))</f>
        <v/>
      </c>
      <c r="R408" s="17">
        <f>IF($C408="","",IF($L408="","",IF(AND($K408=2,$L408&lt;$J408,COUNTIFS(nrES_PID,$D408,nrES_Code,$F408,nrES_Att,1)&gt;0),"Yes","No")))</f>
        <v/>
      </c>
      <c r="S408" s="18" t="n"/>
      <c r="T408" s="19">
        <f>IF($Q408&lt;&gt;"Yes","",IF($S408="","(enter date)",_xlfn.LET(_xlpm.dn,IFERROR(_xlfn.XLOOKUP($S408,nrCDdate,nrCDnum),""),IF(_xlpm.dn="","(not a class day)",IFERROR(_xlfn.XLOOKUP(_xlpm.dn+cfgRetestClassDays,nrCDnum,nrCDdate),"")))))</f>
        <v/>
      </c>
      <c r="U408" s="17">
        <f>IF($Q408&lt;&gt;"Yes","",IF(COUNTIFS(nrES_PID,$D408,nrES_Code,$F408,nrES_Att,2)&gt;0,"Retested",IF(OR($T408="",NOT(ISNUMBER($T408))),"Pending",IF(TODAY()&gt;$T408,"OVERDUE","Due "&amp;TEXT($T408,"mm/dd")))))</f>
        <v/>
      </c>
      <c r="V408" s="16" t="n"/>
      <c r="W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IF($C409="","",IF($L409="","",IF($K409=1,IF(COUNTIFS(nrES_PID,$D409,nrES_Code,$F409,nrES_Att,2)&gt;0,"",$L409),IF(COUNTIFS(nrES_PID,$D409,nrES_Code,$F409,nrES_Att,1)=0,$L409,IF($L409&gt;=$J409,cfgRetakeRecordedCap,SUMIFS(nrES_Raw,nrES_PID,$D409,nrES_Code,$F409,nrES_Att,1))))))</f>
        <v/>
      </c>
      <c r="N409" s="17">
        <f>IF($C409="","",IF($L409="","",IF($L409&gt;=$J409,"Yes","No")))</f>
        <v/>
      </c>
      <c r="O409" s="17">
        <f>IF($C409="","",IF($M409="","",IF($M409&gt;=$J409,"Yes","No")))</f>
        <v/>
      </c>
      <c r="P409" s="17">
        <f>IF($C409="","",IF($K409="","",IF(COUNTIFS(nrES_PID,$D409,nrES_Code,$F409,nrES_Att,"&gt;"&amp;$K409)=0,"Yes","No")))</f>
        <v/>
      </c>
      <c r="Q409" s="17">
        <f>IF($C409="","",IF($L409="","",IF(AND($K409=1,$L409&lt;$J409,COUNTIFS(nrES_PID,$D409,nrES_Code,$F409,nrES_Att,2)=0),"Yes","No")))</f>
        <v/>
      </c>
      <c r="R409" s="17">
        <f>IF($C409="","",IF($L409="","",IF(AND($K409=2,$L409&lt;$J409,COUNTIFS(nrES_PID,$D409,nrES_Code,$F409,nrES_Att,1)&gt;0),"Yes","No")))</f>
        <v/>
      </c>
      <c r="S409" s="18" t="n"/>
      <c r="T409" s="19">
        <f>IF($Q409&lt;&gt;"Yes","",IF($S409="","(enter date)",_xlfn.LET(_xlpm.dn,IFERROR(_xlfn.XLOOKUP($S409,nrCDdate,nrCDnum),""),IF(_xlpm.dn="","(not a class day)",IFERROR(_xlfn.XLOOKUP(_xlpm.dn+cfgRetestClassDays,nrCDnum,nrCDdate),"")))))</f>
        <v/>
      </c>
      <c r="U409" s="17">
        <f>IF($Q409&lt;&gt;"Yes","",IF(COUNTIFS(nrES_PID,$D409,nrES_Code,$F409,nrES_Att,2)&gt;0,"Retested",IF(OR($T409="",NOT(ISNUMBER($T409))),"Pending",IF(TODAY()&gt;$T409,"OVERDUE","Due "&amp;TEXT($T409,"mm/dd")))))</f>
        <v/>
      </c>
      <c r="V409" s="16" t="n"/>
      <c r="W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IF($C410="","",IF($L410="","",IF($K410=1,IF(COUNTIFS(nrES_PID,$D410,nrES_Code,$F410,nrES_Att,2)&gt;0,"",$L410),IF(COUNTIFS(nrES_PID,$D410,nrES_Code,$F410,nrES_Att,1)=0,$L410,IF($L410&gt;=$J410,cfgRetakeRecordedCap,SUMIFS(nrES_Raw,nrES_PID,$D410,nrES_Code,$F410,nrES_Att,1))))))</f>
        <v/>
      </c>
      <c r="N410" s="17">
        <f>IF($C410="","",IF($L410="","",IF($L410&gt;=$J410,"Yes","No")))</f>
        <v/>
      </c>
      <c r="O410" s="17">
        <f>IF($C410="","",IF($M410="","",IF($M410&gt;=$J410,"Yes","No")))</f>
        <v/>
      </c>
      <c r="P410" s="17">
        <f>IF($C410="","",IF($K410="","",IF(COUNTIFS(nrES_PID,$D410,nrES_Code,$F410,nrES_Att,"&gt;"&amp;$K410)=0,"Yes","No")))</f>
        <v/>
      </c>
      <c r="Q410" s="17">
        <f>IF($C410="","",IF($L410="","",IF(AND($K410=1,$L410&lt;$J410,COUNTIFS(nrES_PID,$D410,nrES_Code,$F410,nrES_Att,2)=0),"Yes","No")))</f>
        <v/>
      </c>
      <c r="R410" s="17">
        <f>IF($C410="","",IF($L410="","",IF(AND($K410=2,$L410&lt;$J410,COUNTIFS(nrES_PID,$D410,nrES_Code,$F410,nrES_Att,1)&gt;0),"Yes","No")))</f>
        <v/>
      </c>
      <c r="S410" s="18" t="n"/>
      <c r="T410" s="19">
        <f>IF($Q410&lt;&gt;"Yes","",IF($S410="","(enter date)",_xlfn.LET(_xlpm.dn,IFERROR(_xlfn.XLOOKUP($S410,nrCDdate,nrCDnum),""),IF(_xlpm.dn="","(not a class day)",IFERROR(_xlfn.XLOOKUP(_xlpm.dn+cfgRetestClassDays,nrCDnum,nrCDdate),"")))))</f>
        <v/>
      </c>
      <c r="U410" s="17">
        <f>IF($Q410&lt;&gt;"Yes","",IF(COUNTIFS(nrES_PID,$D410,nrES_Code,$F410,nrES_Att,2)&gt;0,"Retested",IF(OR($T410="",NOT(ISNUMBER($T410))),"Pending",IF(TODAY()&gt;$T410,"OVERDUE","Due "&amp;TEXT($T410,"mm/dd")))))</f>
        <v/>
      </c>
      <c r="V410" s="16" t="n"/>
      <c r="W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IF($C411="","",IF($L411="","",IF($K411=1,IF(COUNTIFS(nrES_PID,$D411,nrES_Code,$F411,nrES_Att,2)&gt;0,"",$L411),IF(COUNTIFS(nrES_PID,$D411,nrES_Code,$F411,nrES_Att,1)=0,$L411,IF($L411&gt;=$J411,cfgRetakeRecordedCap,SUMIFS(nrES_Raw,nrES_PID,$D411,nrES_Code,$F411,nrES_Att,1))))))</f>
        <v/>
      </c>
      <c r="N411" s="17">
        <f>IF($C411="","",IF($L411="","",IF($L411&gt;=$J411,"Yes","No")))</f>
        <v/>
      </c>
      <c r="O411" s="17">
        <f>IF($C411="","",IF($M411="","",IF($M411&gt;=$J411,"Yes","No")))</f>
        <v/>
      </c>
      <c r="P411" s="17">
        <f>IF($C411="","",IF($K411="","",IF(COUNTIFS(nrES_PID,$D411,nrES_Code,$F411,nrES_Att,"&gt;"&amp;$K411)=0,"Yes","No")))</f>
        <v/>
      </c>
      <c r="Q411" s="17">
        <f>IF($C411="","",IF($L411="","",IF(AND($K411=1,$L411&lt;$J411,COUNTIFS(nrES_PID,$D411,nrES_Code,$F411,nrES_Att,2)=0),"Yes","No")))</f>
        <v/>
      </c>
      <c r="R411" s="17">
        <f>IF($C411="","",IF($L411="","",IF(AND($K411=2,$L411&lt;$J411,COUNTIFS(nrES_PID,$D411,nrES_Code,$F411,nrES_Att,1)&gt;0),"Yes","No")))</f>
        <v/>
      </c>
      <c r="S411" s="18" t="n"/>
      <c r="T411" s="19">
        <f>IF($Q411&lt;&gt;"Yes","",IF($S411="","(enter date)",_xlfn.LET(_xlpm.dn,IFERROR(_xlfn.XLOOKUP($S411,nrCDdate,nrCDnum),""),IF(_xlpm.dn="","(not a class day)",IFERROR(_xlfn.XLOOKUP(_xlpm.dn+cfgRetestClassDays,nrCDnum,nrCDdate),"")))))</f>
        <v/>
      </c>
      <c r="U411" s="17">
        <f>IF($Q411&lt;&gt;"Yes","",IF(COUNTIFS(nrES_PID,$D411,nrES_Code,$F411,nrES_Att,2)&gt;0,"Retested",IF(OR($T411="",NOT(ISNUMBER($T411))),"Pending",IF(TODAY()&gt;$T411,"OVERDUE","Due "&amp;TEXT($T411,"mm/dd")))))</f>
        <v/>
      </c>
      <c r="V411" s="16" t="n"/>
      <c r="W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IF($C412="","",IF($L412="","",IF($K412=1,IF(COUNTIFS(nrES_PID,$D412,nrES_Code,$F412,nrES_Att,2)&gt;0,"",$L412),IF(COUNTIFS(nrES_PID,$D412,nrES_Code,$F412,nrES_Att,1)=0,$L412,IF($L412&gt;=$J412,cfgRetakeRecordedCap,SUMIFS(nrES_Raw,nrES_PID,$D412,nrES_Code,$F412,nrES_Att,1))))))</f>
        <v/>
      </c>
      <c r="N412" s="17">
        <f>IF($C412="","",IF($L412="","",IF($L412&gt;=$J412,"Yes","No")))</f>
        <v/>
      </c>
      <c r="O412" s="17">
        <f>IF($C412="","",IF($M412="","",IF($M412&gt;=$J412,"Yes","No")))</f>
        <v/>
      </c>
      <c r="P412" s="17">
        <f>IF($C412="","",IF($K412="","",IF(COUNTIFS(nrES_PID,$D412,nrES_Code,$F412,nrES_Att,"&gt;"&amp;$K412)=0,"Yes","No")))</f>
        <v/>
      </c>
      <c r="Q412" s="17">
        <f>IF($C412="","",IF($L412="","",IF(AND($K412=1,$L412&lt;$J412,COUNTIFS(nrES_PID,$D412,nrES_Code,$F412,nrES_Att,2)=0),"Yes","No")))</f>
        <v/>
      </c>
      <c r="R412" s="17">
        <f>IF($C412="","",IF($L412="","",IF(AND($K412=2,$L412&lt;$J412,COUNTIFS(nrES_PID,$D412,nrES_Code,$F412,nrES_Att,1)&gt;0),"Yes","No")))</f>
        <v/>
      </c>
      <c r="S412" s="18" t="n"/>
      <c r="T412" s="19">
        <f>IF($Q412&lt;&gt;"Yes","",IF($S412="","(enter date)",_xlfn.LET(_xlpm.dn,IFERROR(_xlfn.XLOOKUP($S412,nrCDdate,nrCDnum),""),IF(_xlpm.dn="","(not a class day)",IFERROR(_xlfn.XLOOKUP(_xlpm.dn+cfgRetestClassDays,nrCDnum,nrCDdate),"")))))</f>
        <v/>
      </c>
      <c r="U412" s="17">
        <f>IF($Q412&lt;&gt;"Yes","",IF(COUNTIFS(nrES_PID,$D412,nrES_Code,$F412,nrES_Att,2)&gt;0,"Retested",IF(OR($T412="",NOT(ISNUMBER($T412))),"Pending",IF(TODAY()&gt;$T412,"OVERDUE","Due "&amp;TEXT($T412,"mm/dd")))))</f>
        <v/>
      </c>
      <c r="V412" s="16" t="n"/>
      <c r="W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IF($C413="","",IF($L413="","",IF($K413=1,IF(COUNTIFS(nrES_PID,$D413,nrES_Code,$F413,nrES_Att,2)&gt;0,"",$L413),IF(COUNTIFS(nrES_PID,$D413,nrES_Code,$F413,nrES_Att,1)=0,$L413,IF($L413&gt;=$J413,cfgRetakeRecordedCap,SUMIFS(nrES_Raw,nrES_PID,$D413,nrES_Code,$F413,nrES_Att,1))))))</f>
        <v/>
      </c>
      <c r="N413" s="17">
        <f>IF($C413="","",IF($L413="","",IF($L413&gt;=$J413,"Yes","No")))</f>
        <v/>
      </c>
      <c r="O413" s="17">
        <f>IF($C413="","",IF($M413="","",IF($M413&gt;=$J413,"Yes","No")))</f>
        <v/>
      </c>
      <c r="P413" s="17">
        <f>IF($C413="","",IF($K413="","",IF(COUNTIFS(nrES_PID,$D413,nrES_Code,$F413,nrES_Att,"&gt;"&amp;$K413)=0,"Yes","No")))</f>
        <v/>
      </c>
      <c r="Q413" s="17">
        <f>IF($C413="","",IF($L413="","",IF(AND($K413=1,$L413&lt;$J413,COUNTIFS(nrES_PID,$D413,nrES_Code,$F413,nrES_Att,2)=0),"Yes","No")))</f>
        <v/>
      </c>
      <c r="R413" s="17">
        <f>IF($C413="","",IF($L413="","",IF(AND($K413=2,$L413&lt;$J413,COUNTIFS(nrES_PID,$D413,nrES_Code,$F413,nrES_Att,1)&gt;0),"Yes","No")))</f>
        <v/>
      </c>
      <c r="S413" s="18" t="n"/>
      <c r="T413" s="19">
        <f>IF($Q413&lt;&gt;"Yes","",IF($S413="","(enter date)",_xlfn.LET(_xlpm.dn,IFERROR(_xlfn.XLOOKUP($S413,nrCDdate,nrCDnum),""),IF(_xlpm.dn="","(not a class day)",IFERROR(_xlfn.XLOOKUP(_xlpm.dn+cfgRetestClassDays,nrCDnum,nrCDdate),"")))))</f>
        <v/>
      </c>
      <c r="U413" s="17">
        <f>IF($Q413&lt;&gt;"Yes","",IF(COUNTIFS(nrES_PID,$D413,nrES_Code,$F413,nrES_Att,2)&gt;0,"Retested",IF(OR($T413="",NOT(ISNUMBER($T413))),"Pending",IF(TODAY()&gt;$T413,"OVERDUE","Due "&amp;TEXT($T413,"mm/dd")))))</f>
        <v/>
      </c>
      <c r="V413" s="16" t="n"/>
      <c r="W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IF($C414="","",IF($L414="","",IF($K414=1,IF(COUNTIFS(nrES_PID,$D414,nrES_Code,$F414,nrES_Att,2)&gt;0,"",$L414),IF(COUNTIFS(nrES_PID,$D414,nrES_Code,$F414,nrES_Att,1)=0,$L414,IF($L414&gt;=$J414,cfgRetakeRecordedCap,SUMIFS(nrES_Raw,nrES_PID,$D414,nrES_Code,$F414,nrES_Att,1))))))</f>
        <v/>
      </c>
      <c r="N414" s="17">
        <f>IF($C414="","",IF($L414="","",IF($L414&gt;=$J414,"Yes","No")))</f>
        <v/>
      </c>
      <c r="O414" s="17">
        <f>IF($C414="","",IF($M414="","",IF($M414&gt;=$J414,"Yes","No")))</f>
        <v/>
      </c>
      <c r="P414" s="17">
        <f>IF($C414="","",IF($K414="","",IF(COUNTIFS(nrES_PID,$D414,nrES_Code,$F414,nrES_Att,"&gt;"&amp;$K414)=0,"Yes","No")))</f>
        <v/>
      </c>
      <c r="Q414" s="17">
        <f>IF($C414="","",IF($L414="","",IF(AND($K414=1,$L414&lt;$J414,COUNTIFS(nrES_PID,$D414,nrES_Code,$F414,nrES_Att,2)=0),"Yes","No")))</f>
        <v/>
      </c>
      <c r="R414" s="17">
        <f>IF($C414="","",IF($L414="","",IF(AND($K414=2,$L414&lt;$J414,COUNTIFS(nrES_PID,$D414,nrES_Code,$F414,nrES_Att,1)&gt;0),"Yes","No")))</f>
        <v/>
      </c>
      <c r="S414" s="18" t="n"/>
      <c r="T414" s="19">
        <f>IF($Q414&lt;&gt;"Yes","",IF($S414="","(enter date)",_xlfn.LET(_xlpm.dn,IFERROR(_xlfn.XLOOKUP($S414,nrCDdate,nrCDnum),""),IF(_xlpm.dn="","(not a class day)",IFERROR(_xlfn.XLOOKUP(_xlpm.dn+cfgRetestClassDays,nrCDnum,nrCDdate),"")))))</f>
        <v/>
      </c>
      <c r="U414" s="17">
        <f>IF($Q414&lt;&gt;"Yes","",IF(COUNTIFS(nrES_PID,$D414,nrES_Code,$F414,nrES_Att,2)&gt;0,"Retested",IF(OR($T414="",NOT(ISNUMBER($T414))),"Pending",IF(TODAY()&gt;$T414,"OVERDUE","Due "&amp;TEXT($T414,"mm/dd")))))</f>
        <v/>
      </c>
      <c r="V414" s="16" t="n"/>
      <c r="W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IF($C415="","",IF($L415="","",IF($K415=1,IF(COUNTIFS(nrES_PID,$D415,nrES_Code,$F415,nrES_Att,2)&gt;0,"",$L415),IF(COUNTIFS(nrES_PID,$D415,nrES_Code,$F415,nrES_Att,1)=0,$L415,IF($L415&gt;=$J415,cfgRetakeRecordedCap,SUMIFS(nrES_Raw,nrES_PID,$D415,nrES_Code,$F415,nrES_Att,1))))))</f>
        <v/>
      </c>
      <c r="N415" s="17">
        <f>IF($C415="","",IF($L415="","",IF($L415&gt;=$J415,"Yes","No")))</f>
        <v/>
      </c>
      <c r="O415" s="17">
        <f>IF($C415="","",IF($M415="","",IF($M415&gt;=$J415,"Yes","No")))</f>
        <v/>
      </c>
      <c r="P415" s="17">
        <f>IF($C415="","",IF($K415="","",IF(COUNTIFS(nrES_PID,$D415,nrES_Code,$F415,nrES_Att,"&gt;"&amp;$K415)=0,"Yes","No")))</f>
        <v/>
      </c>
      <c r="Q415" s="17">
        <f>IF($C415="","",IF($L415="","",IF(AND($K415=1,$L415&lt;$J415,COUNTIFS(nrES_PID,$D415,nrES_Code,$F415,nrES_Att,2)=0),"Yes","No")))</f>
        <v/>
      </c>
      <c r="R415" s="17">
        <f>IF($C415="","",IF($L415="","",IF(AND($K415=2,$L415&lt;$J415,COUNTIFS(nrES_PID,$D415,nrES_Code,$F415,nrES_Att,1)&gt;0),"Yes","No")))</f>
        <v/>
      </c>
      <c r="S415" s="18" t="n"/>
      <c r="T415" s="19">
        <f>IF($Q415&lt;&gt;"Yes","",IF($S415="","(enter date)",_xlfn.LET(_xlpm.dn,IFERROR(_xlfn.XLOOKUP($S415,nrCDdate,nrCDnum),""),IF(_xlpm.dn="","(not a class day)",IFERROR(_xlfn.XLOOKUP(_xlpm.dn+cfgRetestClassDays,nrCDnum,nrCDdate),"")))))</f>
        <v/>
      </c>
      <c r="U415" s="17">
        <f>IF($Q415&lt;&gt;"Yes","",IF(COUNTIFS(nrES_PID,$D415,nrES_Code,$F415,nrES_Att,2)&gt;0,"Retested",IF(OR($T415="",NOT(ISNUMBER($T415))),"Pending",IF(TODAY()&gt;$T415,"OVERDUE","Due "&amp;TEXT($T415,"mm/dd")))))</f>
        <v/>
      </c>
      <c r="V415" s="16" t="n"/>
      <c r="W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IF($C416="","",IF($L416="","",IF($K416=1,IF(COUNTIFS(nrES_PID,$D416,nrES_Code,$F416,nrES_Att,2)&gt;0,"",$L416),IF(COUNTIFS(nrES_PID,$D416,nrES_Code,$F416,nrES_Att,1)=0,$L416,IF($L416&gt;=$J416,cfgRetakeRecordedCap,SUMIFS(nrES_Raw,nrES_PID,$D416,nrES_Code,$F416,nrES_Att,1))))))</f>
        <v/>
      </c>
      <c r="N416" s="17">
        <f>IF($C416="","",IF($L416="","",IF($L416&gt;=$J416,"Yes","No")))</f>
        <v/>
      </c>
      <c r="O416" s="17">
        <f>IF($C416="","",IF($M416="","",IF($M416&gt;=$J416,"Yes","No")))</f>
        <v/>
      </c>
      <c r="P416" s="17">
        <f>IF($C416="","",IF($K416="","",IF(COUNTIFS(nrES_PID,$D416,nrES_Code,$F416,nrES_Att,"&gt;"&amp;$K416)=0,"Yes","No")))</f>
        <v/>
      </c>
      <c r="Q416" s="17">
        <f>IF($C416="","",IF($L416="","",IF(AND($K416=1,$L416&lt;$J416,COUNTIFS(nrES_PID,$D416,nrES_Code,$F416,nrES_Att,2)=0),"Yes","No")))</f>
        <v/>
      </c>
      <c r="R416" s="17">
        <f>IF($C416="","",IF($L416="","",IF(AND($K416=2,$L416&lt;$J416,COUNTIFS(nrES_PID,$D416,nrES_Code,$F416,nrES_Att,1)&gt;0),"Yes","No")))</f>
        <v/>
      </c>
      <c r="S416" s="18" t="n"/>
      <c r="T416" s="19">
        <f>IF($Q416&lt;&gt;"Yes","",IF($S416="","(enter date)",_xlfn.LET(_xlpm.dn,IFERROR(_xlfn.XLOOKUP($S416,nrCDdate,nrCDnum),""),IF(_xlpm.dn="","(not a class day)",IFERROR(_xlfn.XLOOKUP(_xlpm.dn+cfgRetestClassDays,nrCDnum,nrCDdate),"")))))</f>
        <v/>
      </c>
      <c r="U416" s="17">
        <f>IF($Q416&lt;&gt;"Yes","",IF(COUNTIFS(nrES_PID,$D416,nrES_Code,$F416,nrES_Att,2)&gt;0,"Retested",IF(OR($T416="",NOT(ISNUMBER($T416))),"Pending",IF(TODAY()&gt;$T416,"OVERDUE","Due "&amp;TEXT($T416,"mm/dd")))))</f>
        <v/>
      </c>
      <c r="V416" s="16" t="n"/>
      <c r="W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IF($C417="","",IF($L417="","",IF($K417=1,IF(COUNTIFS(nrES_PID,$D417,nrES_Code,$F417,nrES_Att,2)&gt;0,"",$L417),IF(COUNTIFS(nrES_PID,$D417,nrES_Code,$F417,nrES_Att,1)=0,$L417,IF($L417&gt;=$J417,cfgRetakeRecordedCap,SUMIFS(nrES_Raw,nrES_PID,$D417,nrES_Code,$F417,nrES_Att,1))))))</f>
        <v/>
      </c>
      <c r="N417" s="17">
        <f>IF($C417="","",IF($L417="","",IF($L417&gt;=$J417,"Yes","No")))</f>
        <v/>
      </c>
      <c r="O417" s="17">
        <f>IF($C417="","",IF($M417="","",IF($M417&gt;=$J417,"Yes","No")))</f>
        <v/>
      </c>
      <c r="P417" s="17">
        <f>IF($C417="","",IF($K417="","",IF(COUNTIFS(nrES_PID,$D417,nrES_Code,$F417,nrES_Att,"&gt;"&amp;$K417)=0,"Yes","No")))</f>
        <v/>
      </c>
      <c r="Q417" s="17">
        <f>IF($C417="","",IF($L417="","",IF(AND($K417=1,$L417&lt;$J417,COUNTIFS(nrES_PID,$D417,nrES_Code,$F417,nrES_Att,2)=0),"Yes","No")))</f>
        <v/>
      </c>
      <c r="R417" s="17">
        <f>IF($C417="","",IF($L417="","",IF(AND($K417=2,$L417&lt;$J417,COUNTIFS(nrES_PID,$D417,nrES_Code,$F417,nrES_Att,1)&gt;0),"Yes","No")))</f>
        <v/>
      </c>
      <c r="S417" s="18" t="n"/>
      <c r="T417" s="19">
        <f>IF($Q417&lt;&gt;"Yes","",IF($S417="","(enter date)",_xlfn.LET(_xlpm.dn,IFERROR(_xlfn.XLOOKUP($S417,nrCDdate,nrCDnum),""),IF(_xlpm.dn="","(not a class day)",IFERROR(_xlfn.XLOOKUP(_xlpm.dn+cfgRetestClassDays,nrCDnum,nrCDdate),"")))))</f>
        <v/>
      </c>
      <c r="U417" s="17">
        <f>IF($Q417&lt;&gt;"Yes","",IF(COUNTIFS(nrES_PID,$D417,nrES_Code,$F417,nrES_Att,2)&gt;0,"Retested",IF(OR($T417="",NOT(ISNUMBER($T417))),"Pending",IF(TODAY()&gt;$T417,"OVERDUE","Due "&amp;TEXT($T417,"mm/dd")))))</f>
        <v/>
      </c>
      <c r="V417" s="16" t="n"/>
      <c r="W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IF($C418="","",IF($L418="","",IF($K418=1,IF(COUNTIFS(nrES_PID,$D418,nrES_Code,$F418,nrES_Att,2)&gt;0,"",$L418),IF(COUNTIFS(nrES_PID,$D418,nrES_Code,$F418,nrES_Att,1)=0,$L418,IF($L418&gt;=$J418,cfgRetakeRecordedCap,SUMIFS(nrES_Raw,nrES_PID,$D418,nrES_Code,$F418,nrES_Att,1))))))</f>
        <v/>
      </c>
      <c r="N418" s="17">
        <f>IF($C418="","",IF($L418="","",IF($L418&gt;=$J418,"Yes","No")))</f>
        <v/>
      </c>
      <c r="O418" s="17">
        <f>IF($C418="","",IF($M418="","",IF($M418&gt;=$J418,"Yes","No")))</f>
        <v/>
      </c>
      <c r="P418" s="17">
        <f>IF($C418="","",IF($K418="","",IF(COUNTIFS(nrES_PID,$D418,nrES_Code,$F418,nrES_Att,"&gt;"&amp;$K418)=0,"Yes","No")))</f>
        <v/>
      </c>
      <c r="Q418" s="17">
        <f>IF($C418="","",IF($L418="","",IF(AND($K418=1,$L418&lt;$J418,COUNTIFS(nrES_PID,$D418,nrES_Code,$F418,nrES_Att,2)=0),"Yes","No")))</f>
        <v/>
      </c>
      <c r="R418" s="17">
        <f>IF($C418="","",IF($L418="","",IF(AND($K418=2,$L418&lt;$J418,COUNTIFS(nrES_PID,$D418,nrES_Code,$F418,nrES_Att,1)&gt;0),"Yes","No")))</f>
        <v/>
      </c>
      <c r="S418" s="18" t="n"/>
      <c r="T418" s="19">
        <f>IF($Q418&lt;&gt;"Yes","",IF($S418="","(enter date)",_xlfn.LET(_xlpm.dn,IFERROR(_xlfn.XLOOKUP($S418,nrCDdate,nrCDnum),""),IF(_xlpm.dn="","(not a class day)",IFERROR(_xlfn.XLOOKUP(_xlpm.dn+cfgRetestClassDays,nrCDnum,nrCDdate),"")))))</f>
        <v/>
      </c>
      <c r="U418" s="17">
        <f>IF($Q418&lt;&gt;"Yes","",IF(COUNTIFS(nrES_PID,$D418,nrES_Code,$F418,nrES_Att,2)&gt;0,"Retested",IF(OR($T418="",NOT(ISNUMBER($T418))),"Pending",IF(TODAY()&gt;$T418,"OVERDUE","Due "&amp;TEXT($T418,"mm/dd")))))</f>
        <v/>
      </c>
      <c r="V418" s="16" t="n"/>
      <c r="W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IF($C419="","",IF($L419="","",IF($K419=1,IF(COUNTIFS(nrES_PID,$D419,nrES_Code,$F419,nrES_Att,2)&gt;0,"",$L419),IF(COUNTIFS(nrES_PID,$D419,nrES_Code,$F419,nrES_Att,1)=0,$L419,IF($L419&gt;=$J419,cfgRetakeRecordedCap,SUMIFS(nrES_Raw,nrES_PID,$D419,nrES_Code,$F419,nrES_Att,1))))))</f>
        <v/>
      </c>
      <c r="N419" s="17">
        <f>IF($C419="","",IF($L419="","",IF($L419&gt;=$J419,"Yes","No")))</f>
        <v/>
      </c>
      <c r="O419" s="17">
        <f>IF($C419="","",IF($M419="","",IF($M419&gt;=$J419,"Yes","No")))</f>
        <v/>
      </c>
      <c r="P419" s="17">
        <f>IF($C419="","",IF($K419="","",IF(COUNTIFS(nrES_PID,$D419,nrES_Code,$F419,nrES_Att,"&gt;"&amp;$K419)=0,"Yes","No")))</f>
        <v/>
      </c>
      <c r="Q419" s="17">
        <f>IF($C419="","",IF($L419="","",IF(AND($K419=1,$L419&lt;$J419,COUNTIFS(nrES_PID,$D419,nrES_Code,$F419,nrES_Att,2)=0),"Yes","No")))</f>
        <v/>
      </c>
      <c r="R419" s="17">
        <f>IF($C419="","",IF($L419="","",IF(AND($K419=2,$L419&lt;$J419,COUNTIFS(nrES_PID,$D419,nrES_Code,$F419,nrES_Att,1)&gt;0),"Yes","No")))</f>
        <v/>
      </c>
      <c r="S419" s="18" t="n"/>
      <c r="T419" s="19">
        <f>IF($Q419&lt;&gt;"Yes","",IF($S419="","(enter date)",_xlfn.LET(_xlpm.dn,IFERROR(_xlfn.XLOOKUP($S419,nrCDdate,nrCDnum),""),IF(_xlpm.dn="","(not a class day)",IFERROR(_xlfn.XLOOKUP(_xlpm.dn+cfgRetestClassDays,nrCDnum,nrCDdate),"")))))</f>
        <v/>
      </c>
      <c r="U419" s="17">
        <f>IF($Q419&lt;&gt;"Yes","",IF(COUNTIFS(nrES_PID,$D419,nrES_Code,$F419,nrES_Att,2)&gt;0,"Retested",IF(OR($T419="",NOT(ISNUMBER($T419))),"Pending",IF(TODAY()&gt;$T419,"OVERDUE","Due "&amp;TEXT($T419,"mm/dd")))))</f>
        <v/>
      </c>
      <c r="V419" s="16" t="n"/>
      <c r="W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IF($C420="","",IF($L420="","",IF($K420=1,IF(COUNTIFS(nrES_PID,$D420,nrES_Code,$F420,nrES_Att,2)&gt;0,"",$L420),IF(COUNTIFS(nrES_PID,$D420,nrES_Code,$F420,nrES_Att,1)=0,$L420,IF($L420&gt;=$J420,cfgRetakeRecordedCap,SUMIFS(nrES_Raw,nrES_PID,$D420,nrES_Code,$F420,nrES_Att,1))))))</f>
        <v/>
      </c>
      <c r="N420" s="17">
        <f>IF($C420="","",IF($L420="","",IF($L420&gt;=$J420,"Yes","No")))</f>
        <v/>
      </c>
      <c r="O420" s="17">
        <f>IF($C420="","",IF($M420="","",IF($M420&gt;=$J420,"Yes","No")))</f>
        <v/>
      </c>
      <c r="P420" s="17">
        <f>IF($C420="","",IF($K420="","",IF(COUNTIFS(nrES_PID,$D420,nrES_Code,$F420,nrES_Att,"&gt;"&amp;$K420)=0,"Yes","No")))</f>
        <v/>
      </c>
      <c r="Q420" s="17">
        <f>IF($C420="","",IF($L420="","",IF(AND($K420=1,$L420&lt;$J420,COUNTIFS(nrES_PID,$D420,nrES_Code,$F420,nrES_Att,2)=0),"Yes","No")))</f>
        <v/>
      </c>
      <c r="R420" s="17">
        <f>IF($C420="","",IF($L420="","",IF(AND($K420=2,$L420&lt;$J420,COUNTIFS(nrES_PID,$D420,nrES_Code,$F420,nrES_Att,1)&gt;0),"Yes","No")))</f>
        <v/>
      </c>
      <c r="S420" s="18" t="n"/>
      <c r="T420" s="19">
        <f>IF($Q420&lt;&gt;"Yes","",IF($S420="","(enter date)",_xlfn.LET(_xlpm.dn,IFERROR(_xlfn.XLOOKUP($S420,nrCDdate,nrCDnum),""),IF(_xlpm.dn="","(not a class day)",IFERROR(_xlfn.XLOOKUP(_xlpm.dn+cfgRetestClassDays,nrCDnum,nrCDdate),"")))))</f>
        <v/>
      </c>
      <c r="U420" s="17">
        <f>IF($Q420&lt;&gt;"Yes","",IF(COUNTIFS(nrES_PID,$D420,nrES_Code,$F420,nrES_Att,2)&gt;0,"Retested",IF(OR($T420="",NOT(ISNUMBER($T420))),"Pending",IF(TODAY()&gt;$T420,"OVERDUE","Due "&amp;TEXT($T420,"mm/dd")))))</f>
        <v/>
      </c>
      <c r="V420" s="16" t="n"/>
      <c r="W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IF($C421="","",IF($L421="","",IF($K421=1,IF(COUNTIFS(nrES_PID,$D421,nrES_Code,$F421,nrES_Att,2)&gt;0,"",$L421),IF(COUNTIFS(nrES_PID,$D421,nrES_Code,$F421,nrES_Att,1)=0,$L421,IF($L421&gt;=$J421,cfgRetakeRecordedCap,SUMIFS(nrES_Raw,nrES_PID,$D421,nrES_Code,$F421,nrES_Att,1))))))</f>
        <v/>
      </c>
      <c r="N421" s="17">
        <f>IF($C421="","",IF($L421="","",IF($L421&gt;=$J421,"Yes","No")))</f>
        <v/>
      </c>
      <c r="O421" s="17">
        <f>IF($C421="","",IF($M421="","",IF($M421&gt;=$J421,"Yes","No")))</f>
        <v/>
      </c>
      <c r="P421" s="17">
        <f>IF($C421="","",IF($K421="","",IF(COUNTIFS(nrES_PID,$D421,nrES_Code,$F421,nrES_Att,"&gt;"&amp;$K421)=0,"Yes","No")))</f>
        <v/>
      </c>
      <c r="Q421" s="17">
        <f>IF($C421="","",IF($L421="","",IF(AND($K421=1,$L421&lt;$J421,COUNTIFS(nrES_PID,$D421,nrES_Code,$F421,nrES_Att,2)=0),"Yes","No")))</f>
        <v/>
      </c>
      <c r="R421" s="17">
        <f>IF($C421="","",IF($L421="","",IF(AND($K421=2,$L421&lt;$J421,COUNTIFS(nrES_PID,$D421,nrES_Code,$F421,nrES_Att,1)&gt;0),"Yes","No")))</f>
        <v/>
      </c>
      <c r="S421" s="18" t="n"/>
      <c r="T421" s="19">
        <f>IF($Q421&lt;&gt;"Yes","",IF($S421="","(enter date)",_xlfn.LET(_xlpm.dn,IFERROR(_xlfn.XLOOKUP($S421,nrCDdate,nrCDnum),""),IF(_xlpm.dn="","(not a class day)",IFERROR(_xlfn.XLOOKUP(_xlpm.dn+cfgRetestClassDays,nrCDnum,nrCDdate),"")))))</f>
        <v/>
      </c>
      <c r="U421" s="17">
        <f>IF($Q421&lt;&gt;"Yes","",IF(COUNTIFS(nrES_PID,$D421,nrES_Code,$F421,nrES_Att,2)&gt;0,"Retested",IF(OR($T421="",NOT(ISNUMBER($T421))),"Pending",IF(TODAY()&gt;$T421,"OVERDUE","Due "&amp;TEXT($T421,"mm/dd")))))</f>
        <v/>
      </c>
      <c r="V421" s="16" t="n"/>
      <c r="W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IF($C422="","",IF($L422="","",IF($K422=1,IF(COUNTIFS(nrES_PID,$D422,nrES_Code,$F422,nrES_Att,2)&gt;0,"",$L422),IF(COUNTIFS(nrES_PID,$D422,nrES_Code,$F422,nrES_Att,1)=0,$L422,IF($L422&gt;=$J422,cfgRetakeRecordedCap,SUMIFS(nrES_Raw,nrES_PID,$D422,nrES_Code,$F422,nrES_Att,1))))))</f>
        <v/>
      </c>
      <c r="N422" s="17">
        <f>IF($C422="","",IF($L422="","",IF($L422&gt;=$J422,"Yes","No")))</f>
        <v/>
      </c>
      <c r="O422" s="17">
        <f>IF($C422="","",IF($M422="","",IF($M422&gt;=$J422,"Yes","No")))</f>
        <v/>
      </c>
      <c r="P422" s="17">
        <f>IF($C422="","",IF($K422="","",IF(COUNTIFS(nrES_PID,$D422,nrES_Code,$F422,nrES_Att,"&gt;"&amp;$K422)=0,"Yes","No")))</f>
        <v/>
      </c>
      <c r="Q422" s="17">
        <f>IF($C422="","",IF($L422="","",IF(AND($K422=1,$L422&lt;$J422,COUNTIFS(nrES_PID,$D422,nrES_Code,$F422,nrES_Att,2)=0),"Yes","No")))</f>
        <v/>
      </c>
      <c r="R422" s="17">
        <f>IF($C422="","",IF($L422="","",IF(AND($K422=2,$L422&lt;$J422,COUNTIFS(nrES_PID,$D422,nrES_Code,$F422,nrES_Att,1)&gt;0),"Yes","No")))</f>
        <v/>
      </c>
      <c r="S422" s="18" t="n"/>
      <c r="T422" s="19">
        <f>IF($Q422&lt;&gt;"Yes","",IF($S422="","(enter date)",_xlfn.LET(_xlpm.dn,IFERROR(_xlfn.XLOOKUP($S422,nrCDdate,nrCDnum),""),IF(_xlpm.dn="","(not a class day)",IFERROR(_xlfn.XLOOKUP(_xlpm.dn+cfgRetestClassDays,nrCDnum,nrCDdate),"")))))</f>
        <v/>
      </c>
      <c r="U422" s="17">
        <f>IF($Q422&lt;&gt;"Yes","",IF(COUNTIFS(nrES_PID,$D422,nrES_Code,$F422,nrES_Att,2)&gt;0,"Retested",IF(OR($T422="",NOT(ISNUMBER($T422))),"Pending",IF(TODAY()&gt;$T422,"OVERDUE","Due "&amp;TEXT($T422,"mm/dd")))))</f>
        <v/>
      </c>
      <c r="V422" s="16" t="n"/>
      <c r="W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IF($C423="","",IF($L423="","",IF($K423=1,IF(COUNTIFS(nrES_PID,$D423,nrES_Code,$F423,nrES_Att,2)&gt;0,"",$L423),IF(COUNTIFS(nrES_PID,$D423,nrES_Code,$F423,nrES_Att,1)=0,$L423,IF($L423&gt;=$J423,cfgRetakeRecordedCap,SUMIFS(nrES_Raw,nrES_PID,$D423,nrES_Code,$F423,nrES_Att,1))))))</f>
        <v/>
      </c>
      <c r="N423" s="17">
        <f>IF($C423="","",IF($L423="","",IF($L423&gt;=$J423,"Yes","No")))</f>
        <v/>
      </c>
      <c r="O423" s="17">
        <f>IF($C423="","",IF($M423="","",IF($M423&gt;=$J423,"Yes","No")))</f>
        <v/>
      </c>
      <c r="P423" s="17">
        <f>IF($C423="","",IF($K423="","",IF(COUNTIFS(nrES_PID,$D423,nrES_Code,$F423,nrES_Att,"&gt;"&amp;$K423)=0,"Yes","No")))</f>
        <v/>
      </c>
      <c r="Q423" s="17">
        <f>IF($C423="","",IF($L423="","",IF(AND($K423=1,$L423&lt;$J423,COUNTIFS(nrES_PID,$D423,nrES_Code,$F423,nrES_Att,2)=0),"Yes","No")))</f>
        <v/>
      </c>
      <c r="R423" s="17">
        <f>IF($C423="","",IF($L423="","",IF(AND($K423=2,$L423&lt;$J423,COUNTIFS(nrES_PID,$D423,nrES_Code,$F423,nrES_Att,1)&gt;0),"Yes","No")))</f>
        <v/>
      </c>
      <c r="S423" s="18" t="n"/>
      <c r="T423" s="19">
        <f>IF($Q423&lt;&gt;"Yes","",IF($S423="","(enter date)",_xlfn.LET(_xlpm.dn,IFERROR(_xlfn.XLOOKUP($S423,nrCDdate,nrCDnum),""),IF(_xlpm.dn="","(not a class day)",IFERROR(_xlfn.XLOOKUP(_xlpm.dn+cfgRetestClassDays,nrCDnum,nrCDdate),"")))))</f>
        <v/>
      </c>
      <c r="U423" s="17">
        <f>IF($Q423&lt;&gt;"Yes","",IF(COUNTIFS(nrES_PID,$D423,nrES_Code,$F423,nrES_Att,2)&gt;0,"Retested",IF(OR($T423="",NOT(ISNUMBER($T423))),"Pending",IF(TODAY()&gt;$T423,"OVERDUE","Due "&amp;TEXT($T423,"mm/dd")))))</f>
        <v/>
      </c>
      <c r="V423" s="16" t="n"/>
      <c r="W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IF($C424="","",IF($L424="","",IF($K424=1,IF(COUNTIFS(nrES_PID,$D424,nrES_Code,$F424,nrES_Att,2)&gt;0,"",$L424),IF(COUNTIFS(nrES_PID,$D424,nrES_Code,$F424,nrES_Att,1)=0,$L424,IF($L424&gt;=$J424,cfgRetakeRecordedCap,SUMIFS(nrES_Raw,nrES_PID,$D424,nrES_Code,$F424,nrES_Att,1))))))</f>
        <v/>
      </c>
      <c r="N424" s="17">
        <f>IF($C424="","",IF($L424="","",IF($L424&gt;=$J424,"Yes","No")))</f>
        <v/>
      </c>
      <c r="O424" s="17">
        <f>IF($C424="","",IF($M424="","",IF($M424&gt;=$J424,"Yes","No")))</f>
        <v/>
      </c>
      <c r="P424" s="17">
        <f>IF($C424="","",IF($K424="","",IF(COUNTIFS(nrES_PID,$D424,nrES_Code,$F424,nrES_Att,"&gt;"&amp;$K424)=0,"Yes","No")))</f>
        <v/>
      </c>
      <c r="Q424" s="17">
        <f>IF($C424="","",IF($L424="","",IF(AND($K424=1,$L424&lt;$J424,COUNTIFS(nrES_PID,$D424,nrES_Code,$F424,nrES_Att,2)=0),"Yes","No")))</f>
        <v/>
      </c>
      <c r="R424" s="17">
        <f>IF($C424="","",IF($L424="","",IF(AND($K424=2,$L424&lt;$J424,COUNTIFS(nrES_PID,$D424,nrES_Code,$F424,nrES_Att,1)&gt;0),"Yes","No")))</f>
        <v/>
      </c>
      <c r="S424" s="18" t="n"/>
      <c r="T424" s="19">
        <f>IF($Q424&lt;&gt;"Yes","",IF($S424="","(enter date)",_xlfn.LET(_xlpm.dn,IFERROR(_xlfn.XLOOKUP($S424,nrCDdate,nrCDnum),""),IF(_xlpm.dn="","(not a class day)",IFERROR(_xlfn.XLOOKUP(_xlpm.dn+cfgRetestClassDays,nrCDnum,nrCDdate),"")))))</f>
        <v/>
      </c>
      <c r="U424" s="17">
        <f>IF($Q424&lt;&gt;"Yes","",IF(COUNTIFS(nrES_PID,$D424,nrES_Code,$F424,nrES_Att,2)&gt;0,"Retested",IF(OR($T424="",NOT(ISNUMBER($T424))),"Pending",IF(TODAY()&gt;$T424,"OVERDUE","Due "&amp;TEXT($T424,"mm/dd")))))</f>
        <v/>
      </c>
      <c r="V424" s="16" t="n"/>
      <c r="W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IF($C425="","",IF($L425="","",IF($K425=1,IF(COUNTIFS(nrES_PID,$D425,nrES_Code,$F425,nrES_Att,2)&gt;0,"",$L425),IF(COUNTIFS(nrES_PID,$D425,nrES_Code,$F425,nrES_Att,1)=0,$L425,IF($L425&gt;=$J425,cfgRetakeRecordedCap,SUMIFS(nrES_Raw,nrES_PID,$D425,nrES_Code,$F425,nrES_Att,1))))))</f>
        <v/>
      </c>
      <c r="N425" s="17">
        <f>IF($C425="","",IF($L425="","",IF($L425&gt;=$J425,"Yes","No")))</f>
        <v/>
      </c>
      <c r="O425" s="17">
        <f>IF($C425="","",IF($M425="","",IF($M425&gt;=$J425,"Yes","No")))</f>
        <v/>
      </c>
      <c r="P425" s="17">
        <f>IF($C425="","",IF($K425="","",IF(COUNTIFS(nrES_PID,$D425,nrES_Code,$F425,nrES_Att,"&gt;"&amp;$K425)=0,"Yes","No")))</f>
        <v/>
      </c>
      <c r="Q425" s="17">
        <f>IF($C425="","",IF($L425="","",IF(AND($K425=1,$L425&lt;$J425,COUNTIFS(nrES_PID,$D425,nrES_Code,$F425,nrES_Att,2)=0),"Yes","No")))</f>
        <v/>
      </c>
      <c r="R425" s="17">
        <f>IF($C425="","",IF($L425="","",IF(AND($K425=2,$L425&lt;$J425,COUNTIFS(nrES_PID,$D425,nrES_Code,$F425,nrES_Att,1)&gt;0),"Yes","No")))</f>
        <v/>
      </c>
      <c r="S425" s="18" t="n"/>
      <c r="T425" s="19">
        <f>IF($Q425&lt;&gt;"Yes","",IF($S425="","(enter date)",_xlfn.LET(_xlpm.dn,IFERROR(_xlfn.XLOOKUP($S425,nrCDdate,nrCDnum),""),IF(_xlpm.dn="","(not a class day)",IFERROR(_xlfn.XLOOKUP(_xlpm.dn+cfgRetestClassDays,nrCDnum,nrCDdate),"")))))</f>
        <v/>
      </c>
      <c r="U425" s="17">
        <f>IF($Q425&lt;&gt;"Yes","",IF(COUNTIFS(nrES_PID,$D425,nrES_Code,$F425,nrES_Att,2)&gt;0,"Retested",IF(OR($T425="",NOT(ISNUMBER($T425))),"Pending",IF(TODAY()&gt;$T425,"OVERDUE","Due "&amp;TEXT($T425,"mm/dd")))))</f>
        <v/>
      </c>
      <c r="V425" s="16" t="n"/>
      <c r="W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IF($C426="","",IF($L426="","",IF($K426=1,IF(COUNTIFS(nrES_PID,$D426,nrES_Code,$F426,nrES_Att,2)&gt;0,"",$L426),IF(COUNTIFS(nrES_PID,$D426,nrES_Code,$F426,nrES_Att,1)=0,$L426,IF($L426&gt;=$J426,cfgRetakeRecordedCap,SUMIFS(nrES_Raw,nrES_PID,$D426,nrES_Code,$F426,nrES_Att,1))))))</f>
        <v/>
      </c>
      <c r="N426" s="17">
        <f>IF($C426="","",IF($L426="","",IF($L426&gt;=$J426,"Yes","No")))</f>
        <v/>
      </c>
      <c r="O426" s="17">
        <f>IF($C426="","",IF($M426="","",IF($M426&gt;=$J426,"Yes","No")))</f>
        <v/>
      </c>
      <c r="P426" s="17">
        <f>IF($C426="","",IF($K426="","",IF(COUNTIFS(nrES_PID,$D426,nrES_Code,$F426,nrES_Att,"&gt;"&amp;$K426)=0,"Yes","No")))</f>
        <v/>
      </c>
      <c r="Q426" s="17">
        <f>IF($C426="","",IF($L426="","",IF(AND($K426=1,$L426&lt;$J426,COUNTIFS(nrES_PID,$D426,nrES_Code,$F426,nrES_Att,2)=0),"Yes","No")))</f>
        <v/>
      </c>
      <c r="R426" s="17">
        <f>IF($C426="","",IF($L426="","",IF(AND($K426=2,$L426&lt;$J426,COUNTIFS(nrES_PID,$D426,nrES_Code,$F426,nrES_Att,1)&gt;0),"Yes","No")))</f>
        <v/>
      </c>
      <c r="S426" s="18" t="n"/>
      <c r="T426" s="19">
        <f>IF($Q426&lt;&gt;"Yes","",IF($S426="","(enter date)",_xlfn.LET(_xlpm.dn,IFERROR(_xlfn.XLOOKUP($S426,nrCDdate,nrCDnum),""),IF(_xlpm.dn="","(not a class day)",IFERROR(_xlfn.XLOOKUP(_xlpm.dn+cfgRetestClassDays,nrCDnum,nrCDdate),"")))))</f>
        <v/>
      </c>
      <c r="U426" s="17">
        <f>IF($Q426&lt;&gt;"Yes","",IF(COUNTIFS(nrES_PID,$D426,nrES_Code,$F426,nrES_Att,2)&gt;0,"Retested",IF(OR($T426="",NOT(ISNUMBER($T426))),"Pending",IF(TODAY()&gt;$T426,"OVERDUE","Due "&amp;TEXT($T426,"mm/dd")))))</f>
        <v/>
      </c>
      <c r="V426" s="16" t="n"/>
      <c r="W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IF($C427="","",IF($L427="","",IF($K427=1,IF(COUNTIFS(nrES_PID,$D427,nrES_Code,$F427,nrES_Att,2)&gt;0,"",$L427),IF(COUNTIFS(nrES_PID,$D427,nrES_Code,$F427,nrES_Att,1)=0,$L427,IF($L427&gt;=$J427,cfgRetakeRecordedCap,SUMIFS(nrES_Raw,nrES_PID,$D427,nrES_Code,$F427,nrES_Att,1))))))</f>
        <v/>
      </c>
      <c r="N427" s="17">
        <f>IF($C427="","",IF($L427="","",IF($L427&gt;=$J427,"Yes","No")))</f>
        <v/>
      </c>
      <c r="O427" s="17">
        <f>IF($C427="","",IF($M427="","",IF($M427&gt;=$J427,"Yes","No")))</f>
        <v/>
      </c>
      <c r="P427" s="17">
        <f>IF($C427="","",IF($K427="","",IF(COUNTIFS(nrES_PID,$D427,nrES_Code,$F427,nrES_Att,"&gt;"&amp;$K427)=0,"Yes","No")))</f>
        <v/>
      </c>
      <c r="Q427" s="17">
        <f>IF($C427="","",IF($L427="","",IF(AND($K427=1,$L427&lt;$J427,COUNTIFS(nrES_PID,$D427,nrES_Code,$F427,nrES_Att,2)=0),"Yes","No")))</f>
        <v/>
      </c>
      <c r="R427" s="17">
        <f>IF($C427="","",IF($L427="","",IF(AND($K427=2,$L427&lt;$J427,COUNTIFS(nrES_PID,$D427,nrES_Code,$F427,nrES_Att,1)&gt;0),"Yes","No")))</f>
        <v/>
      </c>
      <c r="S427" s="18" t="n"/>
      <c r="T427" s="19">
        <f>IF($Q427&lt;&gt;"Yes","",IF($S427="","(enter date)",_xlfn.LET(_xlpm.dn,IFERROR(_xlfn.XLOOKUP($S427,nrCDdate,nrCDnum),""),IF(_xlpm.dn="","(not a class day)",IFERROR(_xlfn.XLOOKUP(_xlpm.dn+cfgRetestClassDays,nrCDnum,nrCDdate),"")))))</f>
        <v/>
      </c>
      <c r="U427" s="17">
        <f>IF($Q427&lt;&gt;"Yes","",IF(COUNTIFS(nrES_PID,$D427,nrES_Code,$F427,nrES_Att,2)&gt;0,"Retested",IF(OR($T427="",NOT(ISNUMBER($T427))),"Pending",IF(TODAY()&gt;$T427,"OVERDUE","Due "&amp;TEXT($T427,"mm/dd")))))</f>
        <v/>
      </c>
      <c r="V427" s="16" t="n"/>
      <c r="W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IF($C428="","",IF($L428="","",IF($K428=1,IF(COUNTIFS(nrES_PID,$D428,nrES_Code,$F428,nrES_Att,2)&gt;0,"",$L428),IF(COUNTIFS(nrES_PID,$D428,nrES_Code,$F428,nrES_Att,1)=0,$L428,IF($L428&gt;=$J428,cfgRetakeRecordedCap,SUMIFS(nrES_Raw,nrES_PID,$D428,nrES_Code,$F428,nrES_Att,1))))))</f>
        <v/>
      </c>
      <c r="N428" s="17">
        <f>IF($C428="","",IF($L428="","",IF($L428&gt;=$J428,"Yes","No")))</f>
        <v/>
      </c>
      <c r="O428" s="17">
        <f>IF($C428="","",IF($M428="","",IF($M428&gt;=$J428,"Yes","No")))</f>
        <v/>
      </c>
      <c r="P428" s="17">
        <f>IF($C428="","",IF($K428="","",IF(COUNTIFS(nrES_PID,$D428,nrES_Code,$F428,nrES_Att,"&gt;"&amp;$K428)=0,"Yes","No")))</f>
        <v/>
      </c>
      <c r="Q428" s="17">
        <f>IF($C428="","",IF($L428="","",IF(AND($K428=1,$L428&lt;$J428,COUNTIFS(nrES_PID,$D428,nrES_Code,$F428,nrES_Att,2)=0),"Yes","No")))</f>
        <v/>
      </c>
      <c r="R428" s="17">
        <f>IF($C428="","",IF($L428="","",IF(AND($K428=2,$L428&lt;$J428,COUNTIFS(nrES_PID,$D428,nrES_Code,$F428,nrES_Att,1)&gt;0),"Yes","No")))</f>
        <v/>
      </c>
      <c r="S428" s="18" t="n"/>
      <c r="T428" s="19">
        <f>IF($Q428&lt;&gt;"Yes","",IF($S428="","(enter date)",_xlfn.LET(_xlpm.dn,IFERROR(_xlfn.XLOOKUP($S428,nrCDdate,nrCDnum),""),IF(_xlpm.dn="","(not a class day)",IFERROR(_xlfn.XLOOKUP(_xlpm.dn+cfgRetestClassDays,nrCDnum,nrCDdate),"")))))</f>
        <v/>
      </c>
      <c r="U428" s="17">
        <f>IF($Q428&lt;&gt;"Yes","",IF(COUNTIFS(nrES_PID,$D428,nrES_Code,$F428,nrES_Att,2)&gt;0,"Retested",IF(OR($T428="",NOT(ISNUMBER($T428))),"Pending",IF(TODAY()&gt;$T428,"OVERDUE","Due "&amp;TEXT($T428,"mm/dd")))))</f>
        <v/>
      </c>
      <c r="V428" s="16" t="n"/>
      <c r="W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IF($C429="","",IF($L429="","",IF($K429=1,IF(COUNTIFS(nrES_PID,$D429,nrES_Code,$F429,nrES_Att,2)&gt;0,"",$L429),IF(COUNTIFS(nrES_PID,$D429,nrES_Code,$F429,nrES_Att,1)=0,$L429,IF($L429&gt;=$J429,cfgRetakeRecordedCap,SUMIFS(nrES_Raw,nrES_PID,$D429,nrES_Code,$F429,nrES_Att,1))))))</f>
        <v/>
      </c>
      <c r="N429" s="17">
        <f>IF($C429="","",IF($L429="","",IF($L429&gt;=$J429,"Yes","No")))</f>
        <v/>
      </c>
      <c r="O429" s="17">
        <f>IF($C429="","",IF($M429="","",IF($M429&gt;=$J429,"Yes","No")))</f>
        <v/>
      </c>
      <c r="P429" s="17">
        <f>IF($C429="","",IF($K429="","",IF(COUNTIFS(nrES_PID,$D429,nrES_Code,$F429,nrES_Att,"&gt;"&amp;$K429)=0,"Yes","No")))</f>
        <v/>
      </c>
      <c r="Q429" s="17">
        <f>IF($C429="","",IF($L429="","",IF(AND($K429=1,$L429&lt;$J429,COUNTIFS(nrES_PID,$D429,nrES_Code,$F429,nrES_Att,2)=0),"Yes","No")))</f>
        <v/>
      </c>
      <c r="R429" s="17">
        <f>IF($C429="","",IF($L429="","",IF(AND($K429=2,$L429&lt;$J429,COUNTIFS(nrES_PID,$D429,nrES_Code,$F429,nrES_Att,1)&gt;0),"Yes","No")))</f>
        <v/>
      </c>
      <c r="S429" s="18" t="n"/>
      <c r="T429" s="19">
        <f>IF($Q429&lt;&gt;"Yes","",IF($S429="","(enter date)",_xlfn.LET(_xlpm.dn,IFERROR(_xlfn.XLOOKUP($S429,nrCDdate,nrCDnum),""),IF(_xlpm.dn="","(not a class day)",IFERROR(_xlfn.XLOOKUP(_xlpm.dn+cfgRetestClassDays,nrCDnum,nrCDdate),"")))))</f>
        <v/>
      </c>
      <c r="U429" s="17">
        <f>IF($Q429&lt;&gt;"Yes","",IF(COUNTIFS(nrES_PID,$D429,nrES_Code,$F429,nrES_Att,2)&gt;0,"Retested",IF(OR($T429="",NOT(ISNUMBER($T429))),"Pending",IF(TODAY()&gt;$T429,"OVERDUE","Due "&amp;TEXT($T429,"mm/dd")))))</f>
        <v/>
      </c>
      <c r="V429" s="16" t="n"/>
      <c r="W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IF($C430="","",IF($L430="","",IF($K430=1,IF(COUNTIFS(nrES_PID,$D430,nrES_Code,$F430,nrES_Att,2)&gt;0,"",$L430),IF(COUNTIFS(nrES_PID,$D430,nrES_Code,$F430,nrES_Att,1)=0,$L430,IF($L430&gt;=$J430,cfgRetakeRecordedCap,SUMIFS(nrES_Raw,nrES_PID,$D430,nrES_Code,$F430,nrES_Att,1))))))</f>
        <v/>
      </c>
      <c r="N430" s="17">
        <f>IF($C430="","",IF($L430="","",IF($L430&gt;=$J430,"Yes","No")))</f>
        <v/>
      </c>
      <c r="O430" s="17">
        <f>IF($C430="","",IF($M430="","",IF($M430&gt;=$J430,"Yes","No")))</f>
        <v/>
      </c>
      <c r="P430" s="17">
        <f>IF($C430="","",IF($K430="","",IF(COUNTIFS(nrES_PID,$D430,nrES_Code,$F430,nrES_Att,"&gt;"&amp;$K430)=0,"Yes","No")))</f>
        <v/>
      </c>
      <c r="Q430" s="17">
        <f>IF($C430="","",IF($L430="","",IF(AND($K430=1,$L430&lt;$J430,COUNTIFS(nrES_PID,$D430,nrES_Code,$F430,nrES_Att,2)=0),"Yes","No")))</f>
        <v/>
      </c>
      <c r="R430" s="17">
        <f>IF($C430="","",IF($L430="","",IF(AND($K430=2,$L430&lt;$J430,COUNTIFS(nrES_PID,$D430,nrES_Code,$F430,nrES_Att,1)&gt;0),"Yes","No")))</f>
        <v/>
      </c>
      <c r="S430" s="18" t="n"/>
      <c r="T430" s="19">
        <f>IF($Q430&lt;&gt;"Yes","",IF($S430="","(enter date)",_xlfn.LET(_xlpm.dn,IFERROR(_xlfn.XLOOKUP($S430,nrCDdate,nrCDnum),""),IF(_xlpm.dn="","(not a class day)",IFERROR(_xlfn.XLOOKUP(_xlpm.dn+cfgRetestClassDays,nrCDnum,nrCDdate),"")))))</f>
        <v/>
      </c>
      <c r="U430" s="17">
        <f>IF($Q430&lt;&gt;"Yes","",IF(COUNTIFS(nrES_PID,$D430,nrES_Code,$F430,nrES_Att,2)&gt;0,"Retested",IF(OR($T430="",NOT(ISNUMBER($T430))),"Pending",IF(TODAY()&gt;$T430,"OVERDUE","Due "&amp;TEXT($T430,"mm/dd")))))</f>
        <v/>
      </c>
      <c r="V430" s="16" t="n"/>
      <c r="W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IF($C431="","",IF($L431="","",IF($K431=1,IF(COUNTIFS(nrES_PID,$D431,nrES_Code,$F431,nrES_Att,2)&gt;0,"",$L431),IF(COUNTIFS(nrES_PID,$D431,nrES_Code,$F431,nrES_Att,1)=0,$L431,IF($L431&gt;=$J431,cfgRetakeRecordedCap,SUMIFS(nrES_Raw,nrES_PID,$D431,nrES_Code,$F431,nrES_Att,1))))))</f>
        <v/>
      </c>
      <c r="N431" s="17">
        <f>IF($C431="","",IF($L431="","",IF($L431&gt;=$J431,"Yes","No")))</f>
        <v/>
      </c>
      <c r="O431" s="17">
        <f>IF($C431="","",IF($M431="","",IF($M431&gt;=$J431,"Yes","No")))</f>
        <v/>
      </c>
      <c r="P431" s="17">
        <f>IF($C431="","",IF($K431="","",IF(COUNTIFS(nrES_PID,$D431,nrES_Code,$F431,nrES_Att,"&gt;"&amp;$K431)=0,"Yes","No")))</f>
        <v/>
      </c>
      <c r="Q431" s="17">
        <f>IF($C431="","",IF($L431="","",IF(AND($K431=1,$L431&lt;$J431,COUNTIFS(nrES_PID,$D431,nrES_Code,$F431,nrES_Att,2)=0),"Yes","No")))</f>
        <v/>
      </c>
      <c r="R431" s="17">
        <f>IF($C431="","",IF($L431="","",IF(AND($K431=2,$L431&lt;$J431,COUNTIFS(nrES_PID,$D431,nrES_Code,$F431,nrES_Att,1)&gt;0),"Yes","No")))</f>
        <v/>
      </c>
      <c r="S431" s="18" t="n"/>
      <c r="T431" s="19">
        <f>IF($Q431&lt;&gt;"Yes","",IF($S431="","(enter date)",_xlfn.LET(_xlpm.dn,IFERROR(_xlfn.XLOOKUP($S431,nrCDdate,nrCDnum),""),IF(_xlpm.dn="","(not a class day)",IFERROR(_xlfn.XLOOKUP(_xlpm.dn+cfgRetestClassDays,nrCDnum,nrCDdate),"")))))</f>
        <v/>
      </c>
      <c r="U431" s="17">
        <f>IF($Q431&lt;&gt;"Yes","",IF(COUNTIFS(nrES_PID,$D431,nrES_Code,$F431,nrES_Att,2)&gt;0,"Retested",IF(OR($T431="",NOT(ISNUMBER($T431))),"Pending",IF(TODAY()&gt;$T431,"OVERDUE","Due "&amp;TEXT($T431,"mm/dd")))))</f>
        <v/>
      </c>
      <c r="V431" s="16" t="n"/>
      <c r="W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IF($C432="","",IF($L432="","",IF($K432=1,IF(COUNTIFS(nrES_PID,$D432,nrES_Code,$F432,nrES_Att,2)&gt;0,"",$L432),IF(COUNTIFS(nrES_PID,$D432,nrES_Code,$F432,nrES_Att,1)=0,$L432,IF($L432&gt;=$J432,cfgRetakeRecordedCap,SUMIFS(nrES_Raw,nrES_PID,$D432,nrES_Code,$F432,nrES_Att,1))))))</f>
        <v/>
      </c>
      <c r="N432" s="17">
        <f>IF($C432="","",IF($L432="","",IF($L432&gt;=$J432,"Yes","No")))</f>
        <v/>
      </c>
      <c r="O432" s="17">
        <f>IF($C432="","",IF($M432="","",IF($M432&gt;=$J432,"Yes","No")))</f>
        <v/>
      </c>
      <c r="P432" s="17">
        <f>IF($C432="","",IF($K432="","",IF(COUNTIFS(nrES_PID,$D432,nrES_Code,$F432,nrES_Att,"&gt;"&amp;$K432)=0,"Yes","No")))</f>
        <v/>
      </c>
      <c r="Q432" s="17">
        <f>IF($C432="","",IF($L432="","",IF(AND($K432=1,$L432&lt;$J432,COUNTIFS(nrES_PID,$D432,nrES_Code,$F432,nrES_Att,2)=0),"Yes","No")))</f>
        <v/>
      </c>
      <c r="R432" s="17">
        <f>IF($C432="","",IF($L432="","",IF(AND($K432=2,$L432&lt;$J432,COUNTIFS(nrES_PID,$D432,nrES_Code,$F432,nrES_Att,1)&gt;0),"Yes","No")))</f>
        <v/>
      </c>
      <c r="S432" s="18" t="n"/>
      <c r="T432" s="19">
        <f>IF($Q432&lt;&gt;"Yes","",IF($S432="","(enter date)",_xlfn.LET(_xlpm.dn,IFERROR(_xlfn.XLOOKUP($S432,nrCDdate,nrCDnum),""),IF(_xlpm.dn="","(not a class day)",IFERROR(_xlfn.XLOOKUP(_xlpm.dn+cfgRetestClassDays,nrCDnum,nrCDdate),"")))))</f>
        <v/>
      </c>
      <c r="U432" s="17">
        <f>IF($Q432&lt;&gt;"Yes","",IF(COUNTIFS(nrES_PID,$D432,nrES_Code,$F432,nrES_Att,2)&gt;0,"Retested",IF(OR($T432="",NOT(ISNUMBER($T432))),"Pending",IF(TODAY()&gt;$T432,"OVERDUE","Due "&amp;TEXT($T432,"mm/dd")))))</f>
        <v/>
      </c>
      <c r="V432" s="16" t="n"/>
      <c r="W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IF($C433="","",IF($L433="","",IF($K433=1,IF(COUNTIFS(nrES_PID,$D433,nrES_Code,$F433,nrES_Att,2)&gt;0,"",$L433),IF(COUNTIFS(nrES_PID,$D433,nrES_Code,$F433,nrES_Att,1)=0,$L433,IF($L433&gt;=$J433,cfgRetakeRecordedCap,SUMIFS(nrES_Raw,nrES_PID,$D433,nrES_Code,$F433,nrES_Att,1))))))</f>
        <v/>
      </c>
      <c r="N433" s="17">
        <f>IF($C433="","",IF($L433="","",IF($L433&gt;=$J433,"Yes","No")))</f>
        <v/>
      </c>
      <c r="O433" s="17">
        <f>IF($C433="","",IF($M433="","",IF($M433&gt;=$J433,"Yes","No")))</f>
        <v/>
      </c>
      <c r="P433" s="17">
        <f>IF($C433="","",IF($K433="","",IF(COUNTIFS(nrES_PID,$D433,nrES_Code,$F433,nrES_Att,"&gt;"&amp;$K433)=0,"Yes","No")))</f>
        <v/>
      </c>
      <c r="Q433" s="17">
        <f>IF($C433="","",IF($L433="","",IF(AND($K433=1,$L433&lt;$J433,COUNTIFS(nrES_PID,$D433,nrES_Code,$F433,nrES_Att,2)=0),"Yes","No")))</f>
        <v/>
      </c>
      <c r="R433" s="17">
        <f>IF($C433="","",IF($L433="","",IF(AND($K433=2,$L433&lt;$J433,COUNTIFS(nrES_PID,$D433,nrES_Code,$F433,nrES_Att,1)&gt;0),"Yes","No")))</f>
        <v/>
      </c>
      <c r="S433" s="18" t="n"/>
      <c r="T433" s="19">
        <f>IF($Q433&lt;&gt;"Yes","",IF($S433="","(enter date)",_xlfn.LET(_xlpm.dn,IFERROR(_xlfn.XLOOKUP($S433,nrCDdate,nrCDnum),""),IF(_xlpm.dn="","(not a class day)",IFERROR(_xlfn.XLOOKUP(_xlpm.dn+cfgRetestClassDays,nrCDnum,nrCDdate),"")))))</f>
        <v/>
      </c>
      <c r="U433" s="17">
        <f>IF($Q433&lt;&gt;"Yes","",IF(COUNTIFS(nrES_PID,$D433,nrES_Code,$F433,nrES_Att,2)&gt;0,"Retested",IF(OR($T433="",NOT(ISNUMBER($T433))),"Pending",IF(TODAY()&gt;$T433,"OVERDUE","Due "&amp;TEXT($T433,"mm/dd")))))</f>
        <v/>
      </c>
      <c r="V433" s="16" t="n"/>
      <c r="W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IF($C434="","",IF($L434="","",IF($K434=1,IF(COUNTIFS(nrES_PID,$D434,nrES_Code,$F434,nrES_Att,2)&gt;0,"",$L434),IF(COUNTIFS(nrES_PID,$D434,nrES_Code,$F434,nrES_Att,1)=0,$L434,IF($L434&gt;=$J434,cfgRetakeRecordedCap,SUMIFS(nrES_Raw,nrES_PID,$D434,nrES_Code,$F434,nrES_Att,1))))))</f>
        <v/>
      </c>
      <c r="N434" s="17">
        <f>IF($C434="","",IF($L434="","",IF($L434&gt;=$J434,"Yes","No")))</f>
        <v/>
      </c>
      <c r="O434" s="17">
        <f>IF($C434="","",IF($M434="","",IF($M434&gt;=$J434,"Yes","No")))</f>
        <v/>
      </c>
      <c r="P434" s="17">
        <f>IF($C434="","",IF($K434="","",IF(COUNTIFS(nrES_PID,$D434,nrES_Code,$F434,nrES_Att,"&gt;"&amp;$K434)=0,"Yes","No")))</f>
        <v/>
      </c>
      <c r="Q434" s="17">
        <f>IF($C434="","",IF($L434="","",IF(AND($K434=1,$L434&lt;$J434,COUNTIFS(nrES_PID,$D434,nrES_Code,$F434,nrES_Att,2)=0),"Yes","No")))</f>
        <v/>
      </c>
      <c r="R434" s="17">
        <f>IF($C434="","",IF($L434="","",IF(AND($K434=2,$L434&lt;$J434,COUNTIFS(nrES_PID,$D434,nrES_Code,$F434,nrES_Att,1)&gt;0),"Yes","No")))</f>
        <v/>
      </c>
      <c r="S434" s="18" t="n"/>
      <c r="T434" s="19">
        <f>IF($Q434&lt;&gt;"Yes","",IF($S434="","(enter date)",_xlfn.LET(_xlpm.dn,IFERROR(_xlfn.XLOOKUP($S434,nrCDdate,nrCDnum),""),IF(_xlpm.dn="","(not a class day)",IFERROR(_xlfn.XLOOKUP(_xlpm.dn+cfgRetestClassDays,nrCDnum,nrCDdate),"")))))</f>
        <v/>
      </c>
      <c r="U434" s="17">
        <f>IF($Q434&lt;&gt;"Yes","",IF(COUNTIFS(nrES_PID,$D434,nrES_Code,$F434,nrES_Att,2)&gt;0,"Retested",IF(OR($T434="",NOT(ISNUMBER($T434))),"Pending",IF(TODAY()&gt;$T434,"OVERDUE","Due "&amp;TEXT($T434,"mm/dd")))))</f>
        <v/>
      </c>
      <c r="V434" s="16" t="n"/>
      <c r="W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IF($C435="","",IF($L435="","",IF($K435=1,IF(COUNTIFS(nrES_PID,$D435,nrES_Code,$F435,nrES_Att,2)&gt;0,"",$L435),IF(COUNTIFS(nrES_PID,$D435,nrES_Code,$F435,nrES_Att,1)=0,$L435,IF($L435&gt;=$J435,cfgRetakeRecordedCap,SUMIFS(nrES_Raw,nrES_PID,$D435,nrES_Code,$F435,nrES_Att,1))))))</f>
        <v/>
      </c>
      <c r="N435" s="17">
        <f>IF($C435="","",IF($L435="","",IF($L435&gt;=$J435,"Yes","No")))</f>
        <v/>
      </c>
      <c r="O435" s="17">
        <f>IF($C435="","",IF($M435="","",IF($M435&gt;=$J435,"Yes","No")))</f>
        <v/>
      </c>
      <c r="P435" s="17">
        <f>IF($C435="","",IF($K435="","",IF(COUNTIFS(nrES_PID,$D435,nrES_Code,$F435,nrES_Att,"&gt;"&amp;$K435)=0,"Yes","No")))</f>
        <v/>
      </c>
      <c r="Q435" s="17">
        <f>IF($C435="","",IF($L435="","",IF(AND($K435=1,$L435&lt;$J435,COUNTIFS(nrES_PID,$D435,nrES_Code,$F435,nrES_Att,2)=0),"Yes","No")))</f>
        <v/>
      </c>
      <c r="R435" s="17">
        <f>IF($C435="","",IF($L435="","",IF(AND($K435=2,$L435&lt;$J435,COUNTIFS(nrES_PID,$D435,nrES_Code,$F435,nrES_Att,1)&gt;0),"Yes","No")))</f>
        <v/>
      </c>
      <c r="S435" s="18" t="n"/>
      <c r="T435" s="19">
        <f>IF($Q435&lt;&gt;"Yes","",IF($S435="","(enter date)",_xlfn.LET(_xlpm.dn,IFERROR(_xlfn.XLOOKUP($S435,nrCDdate,nrCDnum),""),IF(_xlpm.dn="","(not a class day)",IFERROR(_xlfn.XLOOKUP(_xlpm.dn+cfgRetestClassDays,nrCDnum,nrCDdate),"")))))</f>
        <v/>
      </c>
      <c r="U435" s="17">
        <f>IF($Q435&lt;&gt;"Yes","",IF(COUNTIFS(nrES_PID,$D435,nrES_Code,$F435,nrES_Att,2)&gt;0,"Retested",IF(OR($T435="",NOT(ISNUMBER($T435))),"Pending",IF(TODAY()&gt;$T435,"OVERDUE","Due "&amp;TEXT($T435,"mm/dd")))))</f>
        <v/>
      </c>
      <c r="V435" s="16" t="n"/>
      <c r="W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IF($C436="","",IF($L436="","",IF($K436=1,IF(COUNTIFS(nrES_PID,$D436,nrES_Code,$F436,nrES_Att,2)&gt;0,"",$L436),IF(COUNTIFS(nrES_PID,$D436,nrES_Code,$F436,nrES_Att,1)=0,$L436,IF($L436&gt;=$J436,cfgRetakeRecordedCap,SUMIFS(nrES_Raw,nrES_PID,$D436,nrES_Code,$F436,nrES_Att,1))))))</f>
        <v/>
      </c>
      <c r="N436" s="17">
        <f>IF($C436="","",IF($L436="","",IF($L436&gt;=$J436,"Yes","No")))</f>
        <v/>
      </c>
      <c r="O436" s="17">
        <f>IF($C436="","",IF($M436="","",IF($M436&gt;=$J436,"Yes","No")))</f>
        <v/>
      </c>
      <c r="P436" s="17">
        <f>IF($C436="","",IF($K436="","",IF(COUNTIFS(nrES_PID,$D436,nrES_Code,$F436,nrES_Att,"&gt;"&amp;$K436)=0,"Yes","No")))</f>
        <v/>
      </c>
      <c r="Q436" s="17">
        <f>IF($C436="","",IF($L436="","",IF(AND($K436=1,$L436&lt;$J436,COUNTIFS(nrES_PID,$D436,nrES_Code,$F436,nrES_Att,2)=0),"Yes","No")))</f>
        <v/>
      </c>
      <c r="R436" s="17">
        <f>IF($C436="","",IF($L436="","",IF(AND($K436=2,$L436&lt;$J436,COUNTIFS(nrES_PID,$D436,nrES_Code,$F436,nrES_Att,1)&gt;0),"Yes","No")))</f>
        <v/>
      </c>
      <c r="S436" s="18" t="n"/>
      <c r="T436" s="19">
        <f>IF($Q436&lt;&gt;"Yes","",IF($S436="","(enter date)",_xlfn.LET(_xlpm.dn,IFERROR(_xlfn.XLOOKUP($S436,nrCDdate,nrCDnum),""),IF(_xlpm.dn="","(not a class day)",IFERROR(_xlfn.XLOOKUP(_xlpm.dn+cfgRetestClassDays,nrCDnum,nrCDdate),"")))))</f>
        <v/>
      </c>
      <c r="U436" s="17">
        <f>IF($Q436&lt;&gt;"Yes","",IF(COUNTIFS(nrES_PID,$D436,nrES_Code,$F436,nrES_Att,2)&gt;0,"Retested",IF(OR($T436="",NOT(ISNUMBER($T436))),"Pending",IF(TODAY()&gt;$T436,"OVERDUE","Due "&amp;TEXT($T436,"mm/dd")))))</f>
        <v/>
      </c>
      <c r="V436" s="16" t="n"/>
      <c r="W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IF($C437="","",IF($L437="","",IF($K437=1,IF(COUNTIFS(nrES_PID,$D437,nrES_Code,$F437,nrES_Att,2)&gt;0,"",$L437),IF(COUNTIFS(nrES_PID,$D437,nrES_Code,$F437,nrES_Att,1)=0,$L437,IF($L437&gt;=$J437,cfgRetakeRecordedCap,SUMIFS(nrES_Raw,nrES_PID,$D437,nrES_Code,$F437,nrES_Att,1))))))</f>
        <v/>
      </c>
      <c r="N437" s="17">
        <f>IF($C437="","",IF($L437="","",IF($L437&gt;=$J437,"Yes","No")))</f>
        <v/>
      </c>
      <c r="O437" s="17">
        <f>IF($C437="","",IF($M437="","",IF($M437&gt;=$J437,"Yes","No")))</f>
        <v/>
      </c>
      <c r="P437" s="17">
        <f>IF($C437="","",IF($K437="","",IF(COUNTIFS(nrES_PID,$D437,nrES_Code,$F437,nrES_Att,"&gt;"&amp;$K437)=0,"Yes","No")))</f>
        <v/>
      </c>
      <c r="Q437" s="17">
        <f>IF($C437="","",IF($L437="","",IF(AND($K437=1,$L437&lt;$J437,COUNTIFS(nrES_PID,$D437,nrES_Code,$F437,nrES_Att,2)=0),"Yes","No")))</f>
        <v/>
      </c>
      <c r="R437" s="17">
        <f>IF($C437="","",IF($L437="","",IF(AND($K437=2,$L437&lt;$J437,COUNTIFS(nrES_PID,$D437,nrES_Code,$F437,nrES_Att,1)&gt;0),"Yes","No")))</f>
        <v/>
      </c>
      <c r="S437" s="18" t="n"/>
      <c r="T437" s="19">
        <f>IF($Q437&lt;&gt;"Yes","",IF($S437="","(enter date)",_xlfn.LET(_xlpm.dn,IFERROR(_xlfn.XLOOKUP($S437,nrCDdate,nrCDnum),""),IF(_xlpm.dn="","(not a class day)",IFERROR(_xlfn.XLOOKUP(_xlpm.dn+cfgRetestClassDays,nrCDnum,nrCDdate),"")))))</f>
        <v/>
      </c>
      <c r="U437" s="17">
        <f>IF($Q437&lt;&gt;"Yes","",IF(COUNTIFS(nrES_PID,$D437,nrES_Code,$F437,nrES_Att,2)&gt;0,"Retested",IF(OR($T437="",NOT(ISNUMBER($T437))),"Pending",IF(TODAY()&gt;$T437,"OVERDUE","Due "&amp;TEXT($T437,"mm/dd")))))</f>
        <v/>
      </c>
      <c r="V437" s="16" t="n"/>
      <c r="W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IF($C438="","",IF($L438="","",IF($K438=1,IF(COUNTIFS(nrES_PID,$D438,nrES_Code,$F438,nrES_Att,2)&gt;0,"",$L438),IF(COUNTIFS(nrES_PID,$D438,nrES_Code,$F438,nrES_Att,1)=0,$L438,IF($L438&gt;=$J438,cfgRetakeRecordedCap,SUMIFS(nrES_Raw,nrES_PID,$D438,nrES_Code,$F438,nrES_Att,1))))))</f>
        <v/>
      </c>
      <c r="N438" s="17">
        <f>IF($C438="","",IF($L438="","",IF($L438&gt;=$J438,"Yes","No")))</f>
        <v/>
      </c>
      <c r="O438" s="17">
        <f>IF($C438="","",IF($M438="","",IF($M438&gt;=$J438,"Yes","No")))</f>
        <v/>
      </c>
      <c r="P438" s="17">
        <f>IF($C438="","",IF($K438="","",IF(COUNTIFS(nrES_PID,$D438,nrES_Code,$F438,nrES_Att,"&gt;"&amp;$K438)=0,"Yes","No")))</f>
        <v/>
      </c>
      <c r="Q438" s="17">
        <f>IF($C438="","",IF($L438="","",IF(AND($K438=1,$L438&lt;$J438,COUNTIFS(nrES_PID,$D438,nrES_Code,$F438,nrES_Att,2)=0),"Yes","No")))</f>
        <v/>
      </c>
      <c r="R438" s="17">
        <f>IF($C438="","",IF($L438="","",IF(AND($K438=2,$L438&lt;$J438,COUNTIFS(nrES_PID,$D438,nrES_Code,$F438,nrES_Att,1)&gt;0),"Yes","No")))</f>
        <v/>
      </c>
      <c r="S438" s="18" t="n"/>
      <c r="T438" s="19">
        <f>IF($Q438&lt;&gt;"Yes","",IF($S438="","(enter date)",_xlfn.LET(_xlpm.dn,IFERROR(_xlfn.XLOOKUP($S438,nrCDdate,nrCDnum),""),IF(_xlpm.dn="","(not a class day)",IFERROR(_xlfn.XLOOKUP(_xlpm.dn+cfgRetestClassDays,nrCDnum,nrCDdate),"")))))</f>
        <v/>
      </c>
      <c r="U438" s="17">
        <f>IF($Q438&lt;&gt;"Yes","",IF(COUNTIFS(nrES_PID,$D438,nrES_Code,$F438,nrES_Att,2)&gt;0,"Retested",IF(OR($T438="",NOT(ISNUMBER($T438))),"Pending",IF(TODAY()&gt;$T438,"OVERDUE","Due "&amp;TEXT($T438,"mm/dd")))))</f>
        <v/>
      </c>
      <c r="V438" s="16" t="n"/>
      <c r="W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IF($C439="","",IF($L439="","",IF($K439=1,IF(COUNTIFS(nrES_PID,$D439,nrES_Code,$F439,nrES_Att,2)&gt;0,"",$L439),IF(COUNTIFS(nrES_PID,$D439,nrES_Code,$F439,nrES_Att,1)=0,$L439,IF($L439&gt;=$J439,cfgRetakeRecordedCap,SUMIFS(nrES_Raw,nrES_PID,$D439,nrES_Code,$F439,nrES_Att,1))))))</f>
        <v/>
      </c>
      <c r="N439" s="17">
        <f>IF($C439="","",IF($L439="","",IF($L439&gt;=$J439,"Yes","No")))</f>
        <v/>
      </c>
      <c r="O439" s="17">
        <f>IF($C439="","",IF($M439="","",IF($M439&gt;=$J439,"Yes","No")))</f>
        <v/>
      </c>
      <c r="P439" s="17">
        <f>IF($C439="","",IF($K439="","",IF(COUNTIFS(nrES_PID,$D439,nrES_Code,$F439,nrES_Att,"&gt;"&amp;$K439)=0,"Yes","No")))</f>
        <v/>
      </c>
      <c r="Q439" s="17">
        <f>IF($C439="","",IF($L439="","",IF(AND($K439=1,$L439&lt;$J439,COUNTIFS(nrES_PID,$D439,nrES_Code,$F439,nrES_Att,2)=0),"Yes","No")))</f>
        <v/>
      </c>
      <c r="R439" s="17">
        <f>IF($C439="","",IF($L439="","",IF(AND($K439=2,$L439&lt;$J439,COUNTIFS(nrES_PID,$D439,nrES_Code,$F439,nrES_Att,1)&gt;0),"Yes","No")))</f>
        <v/>
      </c>
      <c r="S439" s="18" t="n"/>
      <c r="T439" s="19">
        <f>IF($Q439&lt;&gt;"Yes","",IF($S439="","(enter date)",_xlfn.LET(_xlpm.dn,IFERROR(_xlfn.XLOOKUP($S439,nrCDdate,nrCDnum),""),IF(_xlpm.dn="","(not a class day)",IFERROR(_xlfn.XLOOKUP(_xlpm.dn+cfgRetestClassDays,nrCDnum,nrCDdate),"")))))</f>
        <v/>
      </c>
      <c r="U439" s="17">
        <f>IF($Q439&lt;&gt;"Yes","",IF(COUNTIFS(nrES_PID,$D439,nrES_Code,$F439,nrES_Att,2)&gt;0,"Retested",IF(OR($T439="",NOT(ISNUMBER($T439))),"Pending",IF(TODAY()&gt;$T439,"OVERDUE","Due "&amp;TEXT($T439,"mm/dd")))))</f>
        <v/>
      </c>
      <c r="V439" s="16" t="n"/>
      <c r="W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IF($C440="","",IF($L440="","",IF($K440=1,IF(COUNTIFS(nrES_PID,$D440,nrES_Code,$F440,nrES_Att,2)&gt;0,"",$L440),IF(COUNTIFS(nrES_PID,$D440,nrES_Code,$F440,nrES_Att,1)=0,$L440,IF($L440&gt;=$J440,cfgRetakeRecordedCap,SUMIFS(nrES_Raw,nrES_PID,$D440,nrES_Code,$F440,nrES_Att,1))))))</f>
        <v/>
      </c>
      <c r="N440" s="17">
        <f>IF($C440="","",IF($L440="","",IF($L440&gt;=$J440,"Yes","No")))</f>
        <v/>
      </c>
      <c r="O440" s="17">
        <f>IF($C440="","",IF($M440="","",IF($M440&gt;=$J440,"Yes","No")))</f>
        <v/>
      </c>
      <c r="P440" s="17">
        <f>IF($C440="","",IF($K440="","",IF(COUNTIFS(nrES_PID,$D440,nrES_Code,$F440,nrES_Att,"&gt;"&amp;$K440)=0,"Yes","No")))</f>
        <v/>
      </c>
      <c r="Q440" s="17">
        <f>IF($C440="","",IF($L440="","",IF(AND($K440=1,$L440&lt;$J440,COUNTIFS(nrES_PID,$D440,nrES_Code,$F440,nrES_Att,2)=0),"Yes","No")))</f>
        <v/>
      </c>
      <c r="R440" s="17">
        <f>IF($C440="","",IF($L440="","",IF(AND($K440=2,$L440&lt;$J440,COUNTIFS(nrES_PID,$D440,nrES_Code,$F440,nrES_Att,1)&gt;0),"Yes","No")))</f>
        <v/>
      </c>
      <c r="S440" s="18" t="n"/>
      <c r="T440" s="19">
        <f>IF($Q440&lt;&gt;"Yes","",IF($S440="","(enter date)",_xlfn.LET(_xlpm.dn,IFERROR(_xlfn.XLOOKUP($S440,nrCDdate,nrCDnum),""),IF(_xlpm.dn="","(not a class day)",IFERROR(_xlfn.XLOOKUP(_xlpm.dn+cfgRetestClassDays,nrCDnum,nrCDdate),"")))))</f>
        <v/>
      </c>
      <c r="U440" s="17">
        <f>IF($Q440&lt;&gt;"Yes","",IF(COUNTIFS(nrES_PID,$D440,nrES_Code,$F440,nrES_Att,2)&gt;0,"Retested",IF(OR($T440="",NOT(ISNUMBER($T440))),"Pending",IF(TODAY()&gt;$T440,"OVERDUE","Due "&amp;TEXT($T440,"mm/dd")))))</f>
        <v/>
      </c>
      <c r="V440" s="16" t="n"/>
      <c r="W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IF($C441="","",IF($L441="","",IF($K441=1,IF(COUNTIFS(nrES_PID,$D441,nrES_Code,$F441,nrES_Att,2)&gt;0,"",$L441),IF(COUNTIFS(nrES_PID,$D441,nrES_Code,$F441,nrES_Att,1)=0,$L441,IF($L441&gt;=$J441,cfgRetakeRecordedCap,SUMIFS(nrES_Raw,nrES_PID,$D441,nrES_Code,$F441,nrES_Att,1))))))</f>
        <v/>
      </c>
      <c r="N441" s="17">
        <f>IF($C441="","",IF($L441="","",IF($L441&gt;=$J441,"Yes","No")))</f>
        <v/>
      </c>
      <c r="O441" s="17">
        <f>IF($C441="","",IF($M441="","",IF($M441&gt;=$J441,"Yes","No")))</f>
        <v/>
      </c>
      <c r="P441" s="17">
        <f>IF($C441="","",IF($K441="","",IF(COUNTIFS(nrES_PID,$D441,nrES_Code,$F441,nrES_Att,"&gt;"&amp;$K441)=0,"Yes","No")))</f>
        <v/>
      </c>
      <c r="Q441" s="17">
        <f>IF($C441="","",IF($L441="","",IF(AND($K441=1,$L441&lt;$J441,COUNTIFS(nrES_PID,$D441,nrES_Code,$F441,nrES_Att,2)=0),"Yes","No")))</f>
        <v/>
      </c>
      <c r="R441" s="17">
        <f>IF($C441="","",IF($L441="","",IF(AND($K441=2,$L441&lt;$J441,COUNTIFS(nrES_PID,$D441,nrES_Code,$F441,nrES_Att,1)&gt;0),"Yes","No")))</f>
        <v/>
      </c>
      <c r="S441" s="18" t="n"/>
      <c r="T441" s="19">
        <f>IF($Q441&lt;&gt;"Yes","",IF($S441="","(enter date)",_xlfn.LET(_xlpm.dn,IFERROR(_xlfn.XLOOKUP($S441,nrCDdate,nrCDnum),""),IF(_xlpm.dn="","(not a class day)",IFERROR(_xlfn.XLOOKUP(_xlpm.dn+cfgRetestClassDays,nrCDnum,nrCDdate),"")))))</f>
        <v/>
      </c>
      <c r="U441" s="17">
        <f>IF($Q441&lt;&gt;"Yes","",IF(COUNTIFS(nrES_PID,$D441,nrES_Code,$F441,nrES_Att,2)&gt;0,"Retested",IF(OR($T441="",NOT(ISNUMBER($T441))),"Pending",IF(TODAY()&gt;$T441,"OVERDUE","Due "&amp;TEXT($T441,"mm/dd")))))</f>
        <v/>
      </c>
      <c r="V441" s="16" t="n"/>
      <c r="W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IF($C442="","",IF($L442="","",IF($K442=1,IF(COUNTIFS(nrES_PID,$D442,nrES_Code,$F442,nrES_Att,2)&gt;0,"",$L442),IF(COUNTIFS(nrES_PID,$D442,nrES_Code,$F442,nrES_Att,1)=0,$L442,IF($L442&gt;=$J442,cfgRetakeRecordedCap,SUMIFS(nrES_Raw,nrES_PID,$D442,nrES_Code,$F442,nrES_Att,1))))))</f>
        <v/>
      </c>
      <c r="N442" s="17">
        <f>IF($C442="","",IF($L442="","",IF($L442&gt;=$J442,"Yes","No")))</f>
        <v/>
      </c>
      <c r="O442" s="17">
        <f>IF($C442="","",IF($M442="","",IF($M442&gt;=$J442,"Yes","No")))</f>
        <v/>
      </c>
      <c r="P442" s="17">
        <f>IF($C442="","",IF($K442="","",IF(COUNTIFS(nrES_PID,$D442,nrES_Code,$F442,nrES_Att,"&gt;"&amp;$K442)=0,"Yes","No")))</f>
        <v/>
      </c>
      <c r="Q442" s="17">
        <f>IF($C442="","",IF($L442="","",IF(AND($K442=1,$L442&lt;$J442,COUNTIFS(nrES_PID,$D442,nrES_Code,$F442,nrES_Att,2)=0),"Yes","No")))</f>
        <v/>
      </c>
      <c r="R442" s="17">
        <f>IF($C442="","",IF($L442="","",IF(AND($K442=2,$L442&lt;$J442,COUNTIFS(nrES_PID,$D442,nrES_Code,$F442,nrES_Att,1)&gt;0),"Yes","No")))</f>
        <v/>
      </c>
      <c r="S442" s="18" t="n"/>
      <c r="T442" s="19">
        <f>IF($Q442&lt;&gt;"Yes","",IF($S442="","(enter date)",_xlfn.LET(_xlpm.dn,IFERROR(_xlfn.XLOOKUP($S442,nrCDdate,nrCDnum),""),IF(_xlpm.dn="","(not a class day)",IFERROR(_xlfn.XLOOKUP(_xlpm.dn+cfgRetestClassDays,nrCDnum,nrCDdate),"")))))</f>
        <v/>
      </c>
      <c r="U442" s="17">
        <f>IF($Q442&lt;&gt;"Yes","",IF(COUNTIFS(nrES_PID,$D442,nrES_Code,$F442,nrES_Att,2)&gt;0,"Retested",IF(OR($T442="",NOT(ISNUMBER($T442))),"Pending",IF(TODAY()&gt;$T442,"OVERDUE","Due "&amp;TEXT($T442,"mm/dd")))))</f>
        <v/>
      </c>
      <c r="V442" s="16" t="n"/>
      <c r="W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IF($C443="","",IF($L443="","",IF($K443=1,IF(COUNTIFS(nrES_PID,$D443,nrES_Code,$F443,nrES_Att,2)&gt;0,"",$L443),IF(COUNTIFS(nrES_PID,$D443,nrES_Code,$F443,nrES_Att,1)=0,$L443,IF($L443&gt;=$J443,cfgRetakeRecordedCap,SUMIFS(nrES_Raw,nrES_PID,$D443,nrES_Code,$F443,nrES_Att,1))))))</f>
        <v/>
      </c>
      <c r="N443" s="17">
        <f>IF($C443="","",IF($L443="","",IF($L443&gt;=$J443,"Yes","No")))</f>
        <v/>
      </c>
      <c r="O443" s="17">
        <f>IF($C443="","",IF($M443="","",IF($M443&gt;=$J443,"Yes","No")))</f>
        <v/>
      </c>
      <c r="P443" s="17">
        <f>IF($C443="","",IF($K443="","",IF(COUNTIFS(nrES_PID,$D443,nrES_Code,$F443,nrES_Att,"&gt;"&amp;$K443)=0,"Yes","No")))</f>
        <v/>
      </c>
      <c r="Q443" s="17">
        <f>IF($C443="","",IF($L443="","",IF(AND($K443=1,$L443&lt;$J443,COUNTIFS(nrES_PID,$D443,nrES_Code,$F443,nrES_Att,2)=0),"Yes","No")))</f>
        <v/>
      </c>
      <c r="R443" s="17">
        <f>IF($C443="","",IF($L443="","",IF(AND($K443=2,$L443&lt;$J443,COUNTIFS(nrES_PID,$D443,nrES_Code,$F443,nrES_Att,1)&gt;0),"Yes","No")))</f>
        <v/>
      </c>
      <c r="S443" s="18" t="n"/>
      <c r="T443" s="19">
        <f>IF($Q443&lt;&gt;"Yes","",IF($S443="","(enter date)",_xlfn.LET(_xlpm.dn,IFERROR(_xlfn.XLOOKUP($S443,nrCDdate,nrCDnum),""),IF(_xlpm.dn="","(not a class day)",IFERROR(_xlfn.XLOOKUP(_xlpm.dn+cfgRetestClassDays,nrCDnum,nrCDdate),"")))))</f>
        <v/>
      </c>
      <c r="U443" s="17">
        <f>IF($Q443&lt;&gt;"Yes","",IF(COUNTIFS(nrES_PID,$D443,nrES_Code,$F443,nrES_Att,2)&gt;0,"Retested",IF(OR($T443="",NOT(ISNUMBER($T443))),"Pending",IF(TODAY()&gt;$T443,"OVERDUE","Due "&amp;TEXT($T443,"mm/dd")))))</f>
        <v/>
      </c>
      <c r="V443" s="16" t="n"/>
      <c r="W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IF($C444="","",IF($L444="","",IF($K444=1,IF(COUNTIFS(nrES_PID,$D444,nrES_Code,$F444,nrES_Att,2)&gt;0,"",$L444),IF(COUNTIFS(nrES_PID,$D444,nrES_Code,$F444,nrES_Att,1)=0,$L444,IF($L444&gt;=$J444,cfgRetakeRecordedCap,SUMIFS(nrES_Raw,nrES_PID,$D444,nrES_Code,$F444,nrES_Att,1))))))</f>
        <v/>
      </c>
      <c r="N444" s="17">
        <f>IF($C444="","",IF($L444="","",IF($L444&gt;=$J444,"Yes","No")))</f>
        <v/>
      </c>
      <c r="O444" s="17">
        <f>IF($C444="","",IF($M444="","",IF($M444&gt;=$J444,"Yes","No")))</f>
        <v/>
      </c>
      <c r="P444" s="17">
        <f>IF($C444="","",IF($K444="","",IF(COUNTIFS(nrES_PID,$D444,nrES_Code,$F444,nrES_Att,"&gt;"&amp;$K444)=0,"Yes","No")))</f>
        <v/>
      </c>
      <c r="Q444" s="17">
        <f>IF($C444="","",IF($L444="","",IF(AND($K444=1,$L444&lt;$J444,COUNTIFS(nrES_PID,$D444,nrES_Code,$F444,nrES_Att,2)=0),"Yes","No")))</f>
        <v/>
      </c>
      <c r="R444" s="17">
        <f>IF($C444="","",IF($L444="","",IF(AND($K444=2,$L444&lt;$J444,COUNTIFS(nrES_PID,$D444,nrES_Code,$F444,nrES_Att,1)&gt;0),"Yes","No")))</f>
        <v/>
      </c>
      <c r="S444" s="18" t="n"/>
      <c r="T444" s="19">
        <f>IF($Q444&lt;&gt;"Yes","",IF($S444="","(enter date)",_xlfn.LET(_xlpm.dn,IFERROR(_xlfn.XLOOKUP($S444,nrCDdate,nrCDnum),""),IF(_xlpm.dn="","(not a class day)",IFERROR(_xlfn.XLOOKUP(_xlpm.dn+cfgRetestClassDays,nrCDnum,nrCDdate),"")))))</f>
        <v/>
      </c>
      <c r="U444" s="17">
        <f>IF($Q444&lt;&gt;"Yes","",IF(COUNTIFS(nrES_PID,$D444,nrES_Code,$F444,nrES_Att,2)&gt;0,"Retested",IF(OR($T444="",NOT(ISNUMBER($T444))),"Pending",IF(TODAY()&gt;$T444,"OVERDUE","Due "&amp;TEXT($T444,"mm/dd")))))</f>
        <v/>
      </c>
      <c r="V444" s="16" t="n"/>
      <c r="W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IF($C445="","",IF($L445="","",IF($K445=1,IF(COUNTIFS(nrES_PID,$D445,nrES_Code,$F445,nrES_Att,2)&gt;0,"",$L445),IF(COUNTIFS(nrES_PID,$D445,nrES_Code,$F445,nrES_Att,1)=0,$L445,IF($L445&gt;=$J445,cfgRetakeRecordedCap,SUMIFS(nrES_Raw,nrES_PID,$D445,nrES_Code,$F445,nrES_Att,1))))))</f>
        <v/>
      </c>
      <c r="N445" s="17">
        <f>IF($C445="","",IF($L445="","",IF($L445&gt;=$J445,"Yes","No")))</f>
        <v/>
      </c>
      <c r="O445" s="17">
        <f>IF($C445="","",IF($M445="","",IF($M445&gt;=$J445,"Yes","No")))</f>
        <v/>
      </c>
      <c r="P445" s="17">
        <f>IF($C445="","",IF($K445="","",IF(COUNTIFS(nrES_PID,$D445,nrES_Code,$F445,nrES_Att,"&gt;"&amp;$K445)=0,"Yes","No")))</f>
        <v/>
      </c>
      <c r="Q445" s="17">
        <f>IF($C445="","",IF($L445="","",IF(AND($K445=1,$L445&lt;$J445,COUNTIFS(nrES_PID,$D445,nrES_Code,$F445,nrES_Att,2)=0),"Yes","No")))</f>
        <v/>
      </c>
      <c r="R445" s="17">
        <f>IF($C445="","",IF($L445="","",IF(AND($K445=2,$L445&lt;$J445,COUNTIFS(nrES_PID,$D445,nrES_Code,$F445,nrES_Att,1)&gt;0),"Yes","No")))</f>
        <v/>
      </c>
      <c r="S445" s="18" t="n"/>
      <c r="T445" s="19">
        <f>IF($Q445&lt;&gt;"Yes","",IF($S445="","(enter date)",_xlfn.LET(_xlpm.dn,IFERROR(_xlfn.XLOOKUP($S445,nrCDdate,nrCDnum),""),IF(_xlpm.dn="","(not a class day)",IFERROR(_xlfn.XLOOKUP(_xlpm.dn+cfgRetestClassDays,nrCDnum,nrCDdate),"")))))</f>
        <v/>
      </c>
      <c r="U445" s="17">
        <f>IF($Q445&lt;&gt;"Yes","",IF(COUNTIFS(nrES_PID,$D445,nrES_Code,$F445,nrES_Att,2)&gt;0,"Retested",IF(OR($T445="",NOT(ISNUMBER($T445))),"Pending",IF(TODAY()&gt;$T445,"OVERDUE","Due "&amp;TEXT($T445,"mm/dd")))))</f>
        <v/>
      </c>
      <c r="V445" s="16" t="n"/>
      <c r="W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IF($C446="","",IF($L446="","",IF($K446=1,IF(COUNTIFS(nrES_PID,$D446,nrES_Code,$F446,nrES_Att,2)&gt;0,"",$L446),IF(COUNTIFS(nrES_PID,$D446,nrES_Code,$F446,nrES_Att,1)=0,$L446,IF($L446&gt;=$J446,cfgRetakeRecordedCap,SUMIFS(nrES_Raw,nrES_PID,$D446,nrES_Code,$F446,nrES_Att,1))))))</f>
        <v/>
      </c>
      <c r="N446" s="17">
        <f>IF($C446="","",IF($L446="","",IF($L446&gt;=$J446,"Yes","No")))</f>
        <v/>
      </c>
      <c r="O446" s="17">
        <f>IF($C446="","",IF($M446="","",IF($M446&gt;=$J446,"Yes","No")))</f>
        <v/>
      </c>
      <c r="P446" s="17">
        <f>IF($C446="","",IF($K446="","",IF(COUNTIFS(nrES_PID,$D446,nrES_Code,$F446,nrES_Att,"&gt;"&amp;$K446)=0,"Yes","No")))</f>
        <v/>
      </c>
      <c r="Q446" s="17">
        <f>IF($C446="","",IF($L446="","",IF(AND($K446=1,$L446&lt;$J446,COUNTIFS(nrES_PID,$D446,nrES_Code,$F446,nrES_Att,2)=0),"Yes","No")))</f>
        <v/>
      </c>
      <c r="R446" s="17">
        <f>IF($C446="","",IF($L446="","",IF(AND($K446=2,$L446&lt;$J446,COUNTIFS(nrES_PID,$D446,nrES_Code,$F446,nrES_Att,1)&gt;0),"Yes","No")))</f>
        <v/>
      </c>
      <c r="S446" s="18" t="n"/>
      <c r="T446" s="19">
        <f>IF($Q446&lt;&gt;"Yes","",IF($S446="","(enter date)",_xlfn.LET(_xlpm.dn,IFERROR(_xlfn.XLOOKUP($S446,nrCDdate,nrCDnum),""),IF(_xlpm.dn="","(not a class day)",IFERROR(_xlfn.XLOOKUP(_xlpm.dn+cfgRetestClassDays,nrCDnum,nrCDdate),"")))))</f>
        <v/>
      </c>
      <c r="U446" s="17">
        <f>IF($Q446&lt;&gt;"Yes","",IF(COUNTIFS(nrES_PID,$D446,nrES_Code,$F446,nrES_Att,2)&gt;0,"Retested",IF(OR($T446="",NOT(ISNUMBER($T446))),"Pending",IF(TODAY()&gt;$T446,"OVERDUE","Due "&amp;TEXT($T446,"mm/dd")))))</f>
        <v/>
      </c>
      <c r="V446" s="16" t="n"/>
      <c r="W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IF($C447="","",IF($L447="","",IF($K447=1,IF(COUNTIFS(nrES_PID,$D447,nrES_Code,$F447,nrES_Att,2)&gt;0,"",$L447),IF(COUNTIFS(nrES_PID,$D447,nrES_Code,$F447,nrES_Att,1)=0,$L447,IF($L447&gt;=$J447,cfgRetakeRecordedCap,SUMIFS(nrES_Raw,nrES_PID,$D447,nrES_Code,$F447,nrES_Att,1))))))</f>
        <v/>
      </c>
      <c r="N447" s="17">
        <f>IF($C447="","",IF($L447="","",IF($L447&gt;=$J447,"Yes","No")))</f>
        <v/>
      </c>
      <c r="O447" s="17">
        <f>IF($C447="","",IF($M447="","",IF($M447&gt;=$J447,"Yes","No")))</f>
        <v/>
      </c>
      <c r="P447" s="17">
        <f>IF($C447="","",IF($K447="","",IF(COUNTIFS(nrES_PID,$D447,nrES_Code,$F447,nrES_Att,"&gt;"&amp;$K447)=0,"Yes","No")))</f>
        <v/>
      </c>
      <c r="Q447" s="17">
        <f>IF($C447="","",IF($L447="","",IF(AND($K447=1,$L447&lt;$J447,COUNTIFS(nrES_PID,$D447,nrES_Code,$F447,nrES_Att,2)=0),"Yes","No")))</f>
        <v/>
      </c>
      <c r="R447" s="17">
        <f>IF($C447="","",IF($L447="","",IF(AND($K447=2,$L447&lt;$J447,COUNTIFS(nrES_PID,$D447,nrES_Code,$F447,nrES_Att,1)&gt;0),"Yes","No")))</f>
        <v/>
      </c>
      <c r="S447" s="18" t="n"/>
      <c r="T447" s="19">
        <f>IF($Q447&lt;&gt;"Yes","",IF($S447="","(enter date)",_xlfn.LET(_xlpm.dn,IFERROR(_xlfn.XLOOKUP($S447,nrCDdate,nrCDnum),""),IF(_xlpm.dn="","(not a class day)",IFERROR(_xlfn.XLOOKUP(_xlpm.dn+cfgRetestClassDays,nrCDnum,nrCDdate),"")))))</f>
        <v/>
      </c>
      <c r="U447" s="17">
        <f>IF($Q447&lt;&gt;"Yes","",IF(COUNTIFS(nrES_PID,$D447,nrES_Code,$F447,nrES_Att,2)&gt;0,"Retested",IF(OR($T447="",NOT(ISNUMBER($T447))),"Pending",IF(TODAY()&gt;$T447,"OVERDUE","Due "&amp;TEXT($T447,"mm/dd")))))</f>
        <v/>
      </c>
      <c r="V447" s="16" t="n"/>
      <c r="W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IF($C448="","",IF($L448="","",IF($K448=1,IF(COUNTIFS(nrES_PID,$D448,nrES_Code,$F448,nrES_Att,2)&gt;0,"",$L448),IF(COUNTIFS(nrES_PID,$D448,nrES_Code,$F448,nrES_Att,1)=0,$L448,IF($L448&gt;=$J448,cfgRetakeRecordedCap,SUMIFS(nrES_Raw,nrES_PID,$D448,nrES_Code,$F448,nrES_Att,1))))))</f>
        <v/>
      </c>
      <c r="N448" s="17">
        <f>IF($C448="","",IF($L448="","",IF($L448&gt;=$J448,"Yes","No")))</f>
        <v/>
      </c>
      <c r="O448" s="17">
        <f>IF($C448="","",IF($M448="","",IF($M448&gt;=$J448,"Yes","No")))</f>
        <v/>
      </c>
      <c r="P448" s="17">
        <f>IF($C448="","",IF($K448="","",IF(COUNTIFS(nrES_PID,$D448,nrES_Code,$F448,nrES_Att,"&gt;"&amp;$K448)=0,"Yes","No")))</f>
        <v/>
      </c>
      <c r="Q448" s="17">
        <f>IF($C448="","",IF($L448="","",IF(AND($K448=1,$L448&lt;$J448,COUNTIFS(nrES_PID,$D448,nrES_Code,$F448,nrES_Att,2)=0),"Yes","No")))</f>
        <v/>
      </c>
      <c r="R448" s="17">
        <f>IF($C448="","",IF($L448="","",IF(AND($K448=2,$L448&lt;$J448,COUNTIFS(nrES_PID,$D448,nrES_Code,$F448,nrES_Att,1)&gt;0),"Yes","No")))</f>
        <v/>
      </c>
      <c r="S448" s="18" t="n"/>
      <c r="T448" s="19">
        <f>IF($Q448&lt;&gt;"Yes","",IF($S448="","(enter date)",_xlfn.LET(_xlpm.dn,IFERROR(_xlfn.XLOOKUP($S448,nrCDdate,nrCDnum),""),IF(_xlpm.dn="","(not a class day)",IFERROR(_xlfn.XLOOKUP(_xlpm.dn+cfgRetestClassDays,nrCDnum,nrCDdate),"")))))</f>
        <v/>
      </c>
      <c r="U448" s="17">
        <f>IF($Q448&lt;&gt;"Yes","",IF(COUNTIFS(nrES_PID,$D448,nrES_Code,$F448,nrES_Att,2)&gt;0,"Retested",IF(OR($T448="",NOT(ISNUMBER($T448))),"Pending",IF(TODAY()&gt;$T448,"OVERDUE","Due "&amp;TEXT($T448,"mm/dd")))))</f>
        <v/>
      </c>
      <c r="V448" s="16" t="n"/>
      <c r="W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IF($C449="","",IF($L449="","",IF($K449=1,IF(COUNTIFS(nrES_PID,$D449,nrES_Code,$F449,nrES_Att,2)&gt;0,"",$L449),IF(COUNTIFS(nrES_PID,$D449,nrES_Code,$F449,nrES_Att,1)=0,$L449,IF($L449&gt;=$J449,cfgRetakeRecordedCap,SUMIFS(nrES_Raw,nrES_PID,$D449,nrES_Code,$F449,nrES_Att,1))))))</f>
        <v/>
      </c>
      <c r="N449" s="17">
        <f>IF($C449="","",IF($L449="","",IF($L449&gt;=$J449,"Yes","No")))</f>
        <v/>
      </c>
      <c r="O449" s="17">
        <f>IF($C449="","",IF($M449="","",IF($M449&gt;=$J449,"Yes","No")))</f>
        <v/>
      </c>
      <c r="P449" s="17">
        <f>IF($C449="","",IF($K449="","",IF(COUNTIFS(nrES_PID,$D449,nrES_Code,$F449,nrES_Att,"&gt;"&amp;$K449)=0,"Yes","No")))</f>
        <v/>
      </c>
      <c r="Q449" s="17">
        <f>IF($C449="","",IF($L449="","",IF(AND($K449=1,$L449&lt;$J449,COUNTIFS(nrES_PID,$D449,nrES_Code,$F449,nrES_Att,2)=0),"Yes","No")))</f>
        <v/>
      </c>
      <c r="R449" s="17">
        <f>IF($C449="","",IF($L449="","",IF(AND($K449=2,$L449&lt;$J449,COUNTIFS(nrES_PID,$D449,nrES_Code,$F449,nrES_Att,1)&gt;0),"Yes","No")))</f>
        <v/>
      </c>
      <c r="S449" s="18" t="n"/>
      <c r="T449" s="19">
        <f>IF($Q449&lt;&gt;"Yes","",IF($S449="","(enter date)",_xlfn.LET(_xlpm.dn,IFERROR(_xlfn.XLOOKUP($S449,nrCDdate,nrCDnum),""),IF(_xlpm.dn="","(not a class day)",IFERROR(_xlfn.XLOOKUP(_xlpm.dn+cfgRetestClassDays,nrCDnum,nrCDdate),"")))))</f>
        <v/>
      </c>
      <c r="U449" s="17">
        <f>IF($Q449&lt;&gt;"Yes","",IF(COUNTIFS(nrES_PID,$D449,nrES_Code,$F449,nrES_Att,2)&gt;0,"Retested",IF(OR($T449="",NOT(ISNUMBER($T449))),"Pending",IF(TODAY()&gt;$T449,"OVERDUE","Due "&amp;TEXT($T449,"mm/dd")))))</f>
        <v/>
      </c>
      <c r="V449" s="16" t="n"/>
      <c r="W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IF($C450="","",IF($L450="","",IF($K450=1,IF(COUNTIFS(nrES_PID,$D450,nrES_Code,$F450,nrES_Att,2)&gt;0,"",$L450),IF(COUNTIFS(nrES_PID,$D450,nrES_Code,$F450,nrES_Att,1)=0,$L450,IF($L450&gt;=$J450,cfgRetakeRecordedCap,SUMIFS(nrES_Raw,nrES_PID,$D450,nrES_Code,$F450,nrES_Att,1))))))</f>
        <v/>
      </c>
      <c r="N450" s="17">
        <f>IF($C450="","",IF($L450="","",IF($L450&gt;=$J450,"Yes","No")))</f>
        <v/>
      </c>
      <c r="O450" s="17">
        <f>IF($C450="","",IF($M450="","",IF($M450&gt;=$J450,"Yes","No")))</f>
        <v/>
      </c>
      <c r="P450" s="17">
        <f>IF($C450="","",IF($K450="","",IF(COUNTIFS(nrES_PID,$D450,nrES_Code,$F450,nrES_Att,"&gt;"&amp;$K450)=0,"Yes","No")))</f>
        <v/>
      </c>
      <c r="Q450" s="17">
        <f>IF($C450="","",IF($L450="","",IF(AND($K450=1,$L450&lt;$J450,COUNTIFS(nrES_PID,$D450,nrES_Code,$F450,nrES_Att,2)=0),"Yes","No")))</f>
        <v/>
      </c>
      <c r="R450" s="17">
        <f>IF($C450="","",IF($L450="","",IF(AND($K450=2,$L450&lt;$J450,COUNTIFS(nrES_PID,$D450,nrES_Code,$F450,nrES_Att,1)&gt;0),"Yes","No")))</f>
        <v/>
      </c>
      <c r="S450" s="18" t="n"/>
      <c r="T450" s="19">
        <f>IF($Q450&lt;&gt;"Yes","",IF($S450="","(enter date)",_xlfn.LET(_xlpm.dn,IFERROR(_xlfn.XLOOKUP($S450,nrCDdate,nrCDnum),""),IF(_xlpm.dn="","(not a class day)",IFERROR(_xlfn.XLOOKUP(_xlpm.dn+cfgRetestClassDays,nrCDnum,nrCDdate),"")))))</f>
        <v/>
      </c>
      <c r="U450" s="17">
        <f>IF($Q450&lt;&gt;"Yes","",IF(COUNTIFS(nrES_PID,$D450,nrES_Code,$F450,nrES_Att,2)&gt;0,"Retested",IF(OR($T450="",NOT(ISNUMBER($T450))),"Pending",IF(TODAY()&gt;$T450,"OVERDUE","Due "&amp;TEXT($T450,"mm/dd")))))</f>
        <v/>
      </c>
      <c r="V450" s="16" t="n"/>
      <c r="W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IF($C451="","",IF($L451="","",IF($K451=1,IF(COUNTIFS(nrES_PID,$D451,nrES_Code,$F451,nrES_Att,2)&gt;0,"",$L451),IF(COUNTIFS(nrES_PID,$D451,nrES_Code,$F451,nrES_Att,1)=0,$L451,IF($L451&gt;=$J451,cfgRetakeRecordedCap,SUMIFS(nrES_Raw,nrES_PID,$D451,nrES_Code,$F451,nrES_Att,1))))))</f>
        <v/>
      </c>
      <c r="N451" s="17">
        <f>IF($C451="","",IF($L451="","",IF($L451&gt;=$J451,"Yes","No")))</f>
        <v/>
      </c>
      <c r="O451" s="17">
        <f>IF($C451="","",IF($M451="","",IF($M451&gt;=$J451,"Yes","No")))</f>
        <v/>
      </c>
      <c r="P451" s="17">
        <f>IF($C451="","",IF($K451="","",IF(COUNTIFS(nrES_PID,$D451,nrES_Code,$F451,nrES_Att,"&gt;"&amp;$K451)=0,"Yes","No")))</f>
        <v/>
      </c>
      <c r="Q451" s="17">
        <f>IF($C451="","",IF($L451="","",IF(AND($K451=1,$L451&lt;$J451,COUNTIFS(nrES_PID,$D451,nrES_Code,$F451,nrES_Att,2)=0),"Yes","No")))</f>
        <v/>
      </c>
      <c r="R451" s="17">
        <f>IF($C451="","",IF($L451="","",IF(AND($K451=2,$L451&lt;$J451,COUNTIFS(nrES_PID,$D451,nrES_Code,$F451,nrES_Att,1)&gt;0),"Yes","No")))</f>
        <v/>
      </c>
      <c r="S451" s="18" t="n"/>
      <c r="T451" s="19">
        <f>IF($Q451&lt;&gt;"Yes","",IF($S451="","(enter date)",_xlfn.LET(_xlpm.dn,IFERROR(_xlfn.XLOOKUP($S451,nrCDdate,nrCDnum),""),IF(_xlpm.dn="","(not a class day)",IFERROR(_xlfn.XLOOKUP(_xlpm.dn+cfgRetestClassDays,nrCDnum,nrCDdate),"")))))</f>
        <v/>
      </c>
      <c r="U451" s="17">
        <f>IF($Q451&lt;&gt;"Yes","",IF(COUNTIFS(nrES_PID,$D451,nrES_Code,$F451,nrES_Att,2)&gt;0,"Retested",IF(OR($T451="",NOT(ISNUMBER($T451))),"Pending",IF(TODAY()&gt;$T451,"OVERDUE","Due "&amp;TEXT($T451,"mm/dd")))))</f>
        <v/>
      </c>
      <c r="V451" s="16" t="n"/>
      <c r="W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IF($C452="","",IF($L452="","",IF($K452=1,IF(COUNTIFS(nrES_PID,$D452,nrES_Code,$F452,nrES_Att,2)&gt;0,"",$L452),IF(COUNTIFS(nrES_PID,$D452,nrES_Code,$F452,nrES_Att,1)=0,$L452,IF($L452&gt;=$J452,cfgRetakeRecordedCap,SUMIFS(nrES_Raw,nrES_PID,$D452,nrES_Code,$F452,nrES_Att,1))))))</f>
        <v/>
      </c>
      <c r="N452" s="17">
        <f>IF($C452="","",IF($L452="","",IF($L452&gt;=$J452,"Yes","No")))</f>
        <v/>
      </c>
      <c r="O452" s="17">
        <f>IF($C452="","",IF($M452="","",IF($M452&gt;=$J452,"Yes","No")))</f>
        <v/>
      </c>
      <c r="P452" s="17">
        <f>IF($C452="","",IF($K452="","",IF(COUNTIFS(nrES_PID,$D452,nrES_Code,$F452,nrES_Att,"&gt;"&amp;$K452)=0,"Yes","No")))</f>
        <v/>
      </c>
      <c r="Q452" s="17">
        <f>IF($C452="","",IF($L452="","",IF(AND($K452=1,$L452&lt;$J452,COUNTIFS(nrES_PID,$D452,nrES_Code,$F452,nrES_Att,2)=0),"Yes","No")))</f>
        <v/>
      </c>
      <c r="R452" s="17">
        <f>IF($C452="","",IF($L452="","",IF(AND($K452=2,$L452&lt;$J452,COUNTIFS(nrES_PID,$D452,nrES_Code,$F452,nrES_Att,1)&gt;0),"Yes","No")))</f>
        <v/>
      </c>
      <c r="S452" s="18" t="n"/>
      <c r="T452" s="19">
        <f>IF($Q452&lt;&gt;"Yes","",IF($S452="","(enter date)",_xlfn.LET(_xlpm.dn,IFERROR(_xlfn.XLOOKUP($S452,nrCDdate,nrCDnum),""),IF(_xlpm.dn="","(not a class day)",IFERROR(_xlfn.XLOOKUP(_xlpm.dn+cfgRetestClassDays,nrCDnum,nrCDdate),"")))))</f>
        <v/>
      </c>
      <c r="U452" s="17">
        <f>IF($Q452&lt;&gt;"Yes","",IF(COUNTIFS(nrES_PID,$D452,nrES_Code,$F452,nrES_Att,2)&gt;0,"Retested",IF(OR($T452="",NOT(ISNUMBER($T452))),"Pending",IF(TODAY()&gt;$T452,"OVERDUE","Due "&amp;TEXT($T452,"mm/dd")))))</f>
        <v/>
      </c>
      <c r="V452" s="16" t="n"/>
      <c r="W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IF($C453="","",IF($L453="","",IF($K453=1,IF(COUNTIFS(nrES_PID,$D453,nrES_Code,$F453,nrES_Att,2)&gt;0,"",$L453),IF(COUNTIFS(nrES_PID,$D453,nrES_Code,$F453,nrES_Att,1)=0,$L453,IF($L453&gt;=$J453,cfgRetakeRecordedCap,SUMIFS(nrES_Raw,nrES_PID,$D453,nrES_Code,$F453,nrES_Att,1))))))</f>
        <v/>
      </c>
      <c r="N453" s="17">
        <f>IF($C453="","",IF($L453="","",IF($L453&gt;=$J453,"Yes","No")))</f>
        <v/>
      </c>
      <c r="O453" s="17">
        <f>IF($C453="","",IF($M453="","",IF($M453&gt;=$J453,"Yes","No")))</f>
        <v/>
      </c>
      <c r="P453" s="17">
        <f>IF($C453="","",IF($K453="","",IF(COUNTIFS(nrES_PID,$D453,nrES_Code,$F453,nrES_Att,"&gt;"&amp;$K453)=0,"Yes","No")))</f>
        <v/>
      </c>
      <c r="Q453" s="17">
        <f>IF($C453="","",IF($L453="","",IF(AND($K453=1,$L453&lt;$J453,COUNTIFS(nrES_PID,$D453,nrES_Code,$F453,nrES_Att,2)=0),"Yes","No")))</f>
        <v/>
      </c>
      <c r="R453" s="17">
        <f>IF($C453="","",IF($L453="","",IF(AND($K453=2,$L453&lt;$J453,COUNTIFS(nrES_PID,$D453,nrES_Code,$F453,nrES_Att,1)&gt;0),"Yes","No")))</f>
        <v/>
      </c>
      <c r="S453" s="18" t="n"/>
      <c r="T453" s="19">
        <f>IF($Q453&lt;&gt;"Yes","",IF($S453="","(enter date)",_xlfn.LET(_xlpm.dn,IFERROR(_xlfn.XLOOKUP($S453,nrCDdate,nrCDnum),""),IF(_xlpm.dn="","(not a class day)",IFERROR(_xlfn.XLOOKUP(_xlpm.dn+cfgRetestClassDays,nrCDnum,nrCDdate),"")))))</f>
        <v/>
      </c>
      <c r="U453" s="17">
        <f>IF($Q453&lt;&gt;"Yes","",IF(COUNTIFS(nrES_PID,$D453,nrES_Code,$F453,nrES_Att,2)&gt;0,"Retested",IF(OR($T453="",NOT(ISNUMBER($T453))),"Pending",IF(TODAY()&gt;$T453,"OVERDUE","Due "&amp;TEXT($T453,"mm/dd")))))</f>
        <v/>
      </c>
      <c r="V453" s="16" t="n"/>
      <c r="W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IF($C454="","",IF($L454="","",IF($K454=1,IF(COUNTIFS(nrES_PID,$D454,nrES_Code,$F454,nrES_Att,2)&gt;0,"",$L454),IF(COUNTIFS(nrES_PID,$D454,nrES_Code,$F454,nrES_Att,1)=0,$L454,IF($L454&gt;=$J454,cfgRetakeRecordedCap,SUMIFS(nrES_Raw,nrES_PID,$D454,nrES_Code,$F454,nrES_Att,1))))))</f>
        <v/>
      </c>
      <c r="N454" s="17">
        <f>IF($C454="","",IF($L454="","",IF($L454&gt;=$J454,"Yes","No")))</f>
        <v/>
      </c>
      <c r="O454" s="17">
        <f>IF($C454="","",IF($M454="","",IF($M454&gt;=$J454,"Yes","No")))</f>
        <v/>
      </c>
      <c r="P454" s="17">
        <f>IF($C454="","",IF($K454="","",IF(COUNTIFS(nrES_PID,$D454,nrES_Code,$F454,nrES_Att,"&gt;"&amp;$K454)=0,"Yes","No")))</f>
        <v/>
      </c>
      <c r="Q454" s="17">
        <f>IF($C454="","",IF($L454="","",IF(AND($K454=1,$L454&lt;$J454,COUNTIFS(nrES_PID,$D454,nrES_Code,$F454,nrES_Att,2)=0),"Yes","No")))</f>
        <v/>
      </c>
      <c r="R454" s="17">
        <f>IF($C454="","",IF($L454="","",IF(AND($K454=2,$L454&lt;$J454,COUNTIFS(nrES_PID,$D454,nrES_Code,$F454,nrES_Att,1)&gt;0),"Yes","No")))</f>
        <v/>
      </c>
      <c r="S454" s="18" t="n"/>
      <c r="T454" s="19">
        <f>IF($Q454&lt;&gt;"Yes","",IF($S454="","(enter date)",_xlfn.LET(_xlpm.dn,IFERROR(_xlfn.XLOOKUP($S454,nrCDdate,nrCDnum),""),IF(_xlpm.dn="","(not a class day)",IFERROR(_xlfn.XLOOKUP(_xlpm.dn+cfgRetestClassDays,nrCDnum,nrCDdate),"")))))</f>
        <v/>
      </c>
      <c r="U454" s="17">
        <f>IF($Q454&lt;&gt;"Yes","",IF(COUNTIFS(nrES_PID,$D454,nrES_Code,$F454,nrES_Att,2)&gt;0,"Retested",IF(OR($T454="",NOT(ISNUMBER($T454))),"Pending",IF(TODAY()&gt;$T454,"OVERDUE","Due "&amp;TEXT($T454,"mm/dd")))))</f>
        <v/>
      </c>
      <c r="V454" s="16" t="n"/>
      <c r="W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IF($C455="","",IF($L455="","",IF($K455=1,IF(COUNTIFS(nrES_PID,$D455,nrES_Code,$F455,nrES_Att,2)&gt;0,"",$L455),IF(COUNTIFS(nrES_PID,$D455,nrES_Code,$F455,nrES_Att,1)=0,$L455,IF($L455&gt;=$J455,cfgRetakeRecordedCap,SUMIFS(nrES_Raw,nrES_PID,$D455,nrES_Code,$F455,nrES_Att,1))))))</f>
        <v/>
      </c>
      <c r="N455" s="17">
        <f>IF($C455="","",IF($L455="","",IF($L455&gt;=$J455,"Yes","No")))</f>
        <v/>
      </c>
      <c r="O455" s="17">
        <f>IF($C455="","",IF($M455="","",IF($M455&gt;=$J455,"Yes","No")))</f>
        <v/>
      </c>
      <c r="P455" s="17">
        <f>IF($C455="","",IF($K455="","",IF(COUNTIFS(nrES_PID,$D455,nrES_Code,$F455,nrES_Att,"&gt;"&amp;$K455)=0,"Yes","No")))</f>
        <v/>
      </c>
      <c r="Q455" s="17">
        <f>IF($C455="","",IF($L455="","",IF(AND($K455=1,$L455&lt;$J455,COUNTIFS(nrES_PID,$D455,nrES_Code,$F455,nrES_Att,2)=0),"Yes","No")))</f>
        <v/>
      </c>
      <c r="R455" s="17">
        <f>IF($C455="","",IF($L455="","",IF(AND($K455=2,$L455&lt;$J455,COUNTIFS(nrES_PID,$D455,nrES_Code,$F455,nrES_Att,1)&gt;0),"Yes","No")))</f>
        <v/>
      </c>
      <c r="S455" s="18" t="n"/>
      <c r="T455" s="19">
        <f>IF($Q455&lt;&gt;"Yes","",IF($S455="","(enter date)",_xlfn.LET(_xlpm.dn,IFERROR(_xlfn.XLOOKUP($S455,nrCDdate,nrCDnum),""),IF(_xlpm.dn="","(not a class day)",IFERROR(_xlfn.XLOOKUP(_xlpm.dn+cfgRetestClassDays,nrCDnum,nrCDdate),"")))))</f>
        <v/>
      </c>
      <c r="U455" s="17">
        <f>IF($Q455&lt;&gt;"Yes","",IF(COUNTIFS(nrES_PID,$D455,nrES_Code,$F455,nrES_Att,2)&gt;0,"Retested",IF(OR($T455="",NOT(ISNUMBER($T455))),"Pending",IF(TODAY()&gt;$T455,"OVERDUE","Due "&amp;TEXT($T455,"mm/dd")))))</f>
        <v/>
      </c>
      <c r="V455" s="16" t="n"/>
      <c r="W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IF($C456="","",IF($L456="","",IF($K456=1,IF(COUNTIFS(nrES_PID,$D456,nrES_Code,$F456,nrES_Att,2)&gt;0,"",$L456),IF(COUNTIFS(nrES_PID,$D456,nrES_Code,$F456,nrES_Att,1)=0,$L456,IF($L456&gt;=$J456,cfgRetakeRecordedCap,SUMIFS(nrES_Raw,nrES_PID,$D456,nrES_Code,$F456,nrES_Att,1))))))</f>
        <v/>
      </c>
      <c r="N456" s="17">
        <f>IF($C456="","",IF($L456="","",IF($L456&gt;=$J456,"Yes","No")))</f>
        <v/>
      </c>
      <c r="O456" s="17">
        <f>IF($C456="","",IF($M456="","",IF($M456&gt;=$J456,"Yes","No")))</f>
        <v/>
      </c>
      <c r="P456" s="17">
        <f>IF($C456="","",IF($K456="","",IF(COUNTIFS(nrES_PID,$D456,nrES_Code,$F456,nrES_Att,"&gt;"&amp;$K456)=0,"Yes","No")))</f>
        <v/>
      </c>
      <c r="Q456" s="17">
        <f>IF($C456="","",IF($L456="","",IF(AND($K456=1,$L456&lt;$J456,COUNTIFS(nrES_PID,$D456,nrES_Code,$F456,nrES_Att,2)=0),"Yes","No")))</f>
        <v/>
      </c>
      <c r="R456" s="17">
        <f>IF($C456="","",IF($L456="","",IF(AND($K456=2,$L456&lt;$J456,COUNTIFS(nrES_PID,$D456,nrES_Code,$F456,nrES_Att,1)&gt;0),"Yes","No")))</f>
        <v/>
      </c>
      <c r="S456" s="18" t="n"/>
      <c r="T456" s="19">
        <f>IF($Q456&lt;&gt;"Yes","",IF($S456="","(enter date)",_xlfn.LET(_xlpm.dn,IFERROR(_xlfn.XLOOKUP($S456,nrCDdate,nrCDnum),""),IF(_xlpm.dn="","(not a class day)",IFERROR(_xlfn.XLOOKUP(_xlpm.dn+cfgRetestClassDays,nrCDnum,nrCDdate),"")))))</f>
        <v/>
      </c>
      <c r="U456" s="17">
        <f>IF($Q456&lt;&gt;"Yes","",IF(COUNTIFS(nrES_PID,$D456,nrES_Code,$F456,nrES_Att,2)&gt;0,"Retested",IF(OR($T456="",NOT(ISNUMBER($T456))),"Pending",IF(TODAY()&gt;$T456,"OVERDUE","Due "&amp;TEXT($T456,"mm/dd")))))</f>
        <v/>
      </c>
      <c r="V456" s="16" t="n"/>
      <c r="W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IF($C457="","",IF($L457="","",IF($K457=1,IF(COUNTIFS(nrES_PID,$D457,nrES_Code,$F457,nrES_Att,2)&gt;0,"",$L457),IF(COUNTIFS(nrES_PID,$D457,nrES_Code,$F457,nrES_Att,1)=0,$L457,IF($L457&gt;=$J457,cfgRetakeRecordedCap,SUMIFS(nrES_Raw,nrES_PID,$D457,nrES_Code,$F457,nrES_Att,1))))))</f>
        <v/>
      </c>
      <c r="N457" s="17">
        <f>IF($C457="","",IF($L457="","",IF($L457&gt;=$J457,"Yes","No")))</f>
        <v/>
      </c>
      <c r="O457" s="17">
        <f>IF($C457="","",IF($M457="","",IF($M457&gt;=$J457,"Yes","No")))</f>
        <v/>
      </c>
      <c r="P457" s="17">
        <f>IF($C457="","",IF($K457="","",IF(COUNTIFS(nrES_PID,$D457,nrES_Code,$F457,nrES_Att,"&gt;"&amp;$K457)=0,"Yes","No")))</f>
        <v/>
      </c>
      <c r="Q457" s="17">
        <f>IF($C457="","",IF($L457="","",IF(AND($K457=1,$L457&lt;$J457,COUNTIFS(nrES_PID,$D457,nrES_Code,$F457,nrES_Att,2)=0),"Yes","No")))</f>
        <v/>
      </c>
      <c r="R457" s="17">
        <f>IF($C457="","",IF($L457="","",IF(AND($K457=2,$L457&lt;$J457,COUNTIFS(nrES_PID,$D457,nrES_Code,$F457,nrES_Att,1)&gt;0),"Yes","No")))</f>
        <v/>
      </c>
      <c r="S457" s="18" t="n"/>
      <c r="T457" s="19">
        <f>IF($Q457&lt;&gt;"Yes","",IF($S457="","(enter date)",_xlfn.LET(_xlpm.dn,IFERROR(_xlfn.XLOOKUP($S457,nrCDdate,nrCDnum),""),IF(_xlpm.dn="","(not a class day)",IFERROR(_xlfn.XLOOKUP(_xlpm.dn+cfgRetestClassDays,nrCDnum,nrCDdate),"")))))</f>
        <v/>
      </c>
      <c r="U457" s="17">
        <f>IF($Q457&lt;&gt;"Yes","",IF(COUNTIFS(nrES_PID,$D457,nrES_Code,$F457,nrES_Att,2)&gt;0,"Retested",IF(OR($T457="",NOT(ISNUMBER($T457))),"Pending",IF(TODAY()&gt;$T457,"OVERDUE","Due "&amp;TEXT($T457,"mm/dd")))))</f>
        <v/>
      </c>
      <c r="V457" s="16" t="n"/>
      <c r="W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IF($C458="","",IF($L458="","",IF($K458=1,IF(COUNTIFS(nrES_PID,$D458,nrES_Code,$F458,nrES_Att,2)&gt;0,"",$L458),IF(COUNTIFS(nrES_PID,$D458,nrES_Code,$F458,nrES_Att,1)=0,$L458,IF($L458&gt;=$J458,cfgRetakeRecordedCap,SUMIFS(nrES_Raw,nrES_PID,$D458,nrES_Code,$F458,nrES_Att,1))))))</f>
        <v/>
      </c>
      <c r="N458" s="17">
        <f>IF($C458="","",IF($L458="","",IF($L458&gt;=$J458,"Yes","No")))</f>
        <v/>
      </c>
      <c r="O458" s="17">
        <f>IF($C458="","",IF($M458="","",IF($M458&gt;=$J458,"Yes","No")))</f>
        <v/>
      </c>
      <c r="P458" s="17">
        <f>IF($C458="","",IF($K458="","",IF(COUNTIFS(nrES_PID,$D458,nrES_Code,$F458,nrES_Att,"&gt;"&amp;$K458)=0,"Yes","No")))</f>
        <v/>
      </c>
      <c r="Q458" s="17">
        <f>IF($C458="","",IF($L458="","",IF(AND($K458=1,$L458&lt;$J458,COUNTIFS(nrES_PID,$D458,nrES_Code,$F458,nrES_Att,2)=0),"Yes","No")))</f>
        <v/>
      </c>
      <c r="R458" s="17">
        <f>IF($C458="","",IF($L458="","",IF(AND($K458=2,$L458&lt;$J458,COUNTIFS(nrES_PID,$D458,nrES_Code,$F458,nrES_Att,1)&gt;0),"Yes","No")))</f>
        <v/>
      </c>
      <c r="S458" s="18" t="n"/>
      <c r="T458" s="19">
        <f>IF($Q458&lt;&gt;"Yes","",IF($S458="","(enter date)",_xlfn.LET(_xlpm.dn,IFERROR(_xlfn.XLOOKUP($S458,nrCDdate,nrCDnum),""),IF(_xlpm.dn="","(not a class day)",IFERROR(_xlfn.XLOOKUP(_xlpm.dn+cfgRetestClassDays,nrCDnum,nrCDdate),"")))))</f>
        <v/>
      </c>
      <c r="U458" s="17">
        <f>IF($Q458&lt;&gt;"Yes","",IF(COUNTIFS(nrES_PID,$D458,nrES_Code,$F458,nrES_Att,2)&gt;0,"Retested",IF(OR($T458="",NOT(ISNUMBER($T458))),"Pending",IF(TODAY()&gt;$T458,"OVERDUE","Due "&amp;TEXT($T458,"mm/dd")))))</f>
        <v/>
      </c>
      <c r="V458" s="16" t="n"/>
      <c r="W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IF($C459="","",IF($L459="","",IF($K459=1,IF(COUNTIFS(nrES_PID,$D459,nrES_Code,$F459,nrES_Att,2)&gt;0,"",$L459),IF(COUNTIFS(nrES_PID,$D459,nrES_Code,$F459,nrES_Att,1)=0,$L459,IF($L459&gt;=$J459,cfgRetakeRecordedCap,SUMIFS(nrES_Raw,nrES_PID,$D459,nrES_Code,$F459,nrES_Att,1))))))</f>
        <v/>
      </c>
      <c r="N459" s="17">
        <f>IF($C459="","",IF($L459="","",IF($L459&gt;=$J459,"Yes","No")))</f>
        <v/>
      </c>
      <c r="O459" s="17">
        <f>IF($C459="","",IF($M459="","",IF($M459&gt;=$J459,"Yes","No")))</f>
        <v/>
      </c>
      <c r="P459" s="17">
        <f>IF($C459="","",IF($K459="","",IF(COUNTIFS(nrES_PID,$D459,nrES_Code,$F459,nrES_Att,"&gt;"&amp;$K459)=0,"Yes","No")))</f>
        <v/>
      </c>
      <c r="Q459" s="17">
        <f>IF($C459="","",IF($L459="","",IF(AND($K459=1,$L459&lt;$J459,COUNTIFS(nrES_PID,$D459,nrES_Code,$F459,nrES_Att,2)=0),"Yes","No")))</f>
        <v/>
      </c>
      <c r="R459" s="17">
        <f>IF($C459="","",IF($L459="","",IF(AND($K459=2,$L459&lt;$J459,COUNTIFS(nrES_PID,$D459,nrES_Code,$F459,nrES_Att,1)&gt;0),"Yes","No")))</f>
        <v/>
      </c>
      <c r="S459" s="18" t="n"/>
      <c r="T459" s="19">
        <f>IF($Q459&lt;&gt;"Yes","",IF($S459="","(enter date)",_xlfn.LET(_xlpm.dn,IFERROR(_xlfn.XLOOKUP($S459,nrCDdate,nrCDnum),""),IF(_xlpm.dn="","(not a class day)",IFERROR(_xlfn.XLOOKUP(_xlpm.dn+cfgRetestClassDays,nrCDnum,nrCDdate),"")))))</f>
        <v/>
      </c>
      <c r="U459" s="17">
        <f>IF($Q459&lt;&gt;"Yes","",IF(COUNTIFS(nrES_PID,$D459,nrES_Code,$F459,nrES_Att,2)&gt;0,"Retested",IF(OR($T459="",NOT(ISNUMBER($T459))),"Pending",IF(TODAY()&gt;$T459,"OVERDUE","Due "&amp;TEXT($T459,"mm/dd")))))</f>
        <v/>
      </c>
      <c r="V459" s="16" t="n"/>
      <c r="W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IF($C460="","",IF($L460="","",IF($K460=1,IF(COUNTIFS(nrES_PID,$D460,nrES_Code,$F460,nrES_Att,2)&gt;0,"",$L460),IF(COUNTIFS(nrES_PID,$D460,nrES_Code,$F460,nrES_Att,1)=0,$L460,IF($L460&gt;=$J460,cfgRetakeRecordedCap,SUMIFS(nrES_Raw,nrES_PID,$D460,nrES_Code,$F460,nrES_Att,1))))))</f>
        <v/>
      </c>
      <c r="N460" s="17">
        <f>IF($C460="","",IF($L460="","",IF($L460&gt;=$J460,"Yes","No")))</f>
        <v/>
      </c>
      <c r="O460" s="17">
        <f>IF($C460="","",IF($M460="","",IF($M460&gt;=$J460,"Yes","No")))</f>
        <v/>
      </c>
      <c r="P460" s="17">
        <f>IF($C460="","",IF($K460="","",IF(COUNTIFS(nrES_PID,$D460,nrES_Code,$F460,nrES_Att,"&gt;"&amp;$K460)=0,"Yes","No")))</f>
        <v/>
      </c>
      <c r="Q460" s="17">
        <f>IF($C460="","",IF($L460="","",IF(AND($K460=1,$L460&lt;$J460,COUNTIFS(nrES_PID,$D460,nrES_Code,$F460,nrES_Att,2)=0),"Yes","No")))</f>
        <v/>
      </c>
      <c r="R460" s="17">
        <f>IF($C460="","",IF($L460="","",IF(AND($K460=2,$L460&lt;$J460,COUNTIFS(nrES_PID,$D460,nrES_Code,$F460,nrES_Att,1)&gt;0),"Yes","No")))</f>
        <v/>
      </c>
      <c r="S460" s="18" t="n"/>
      <c r="T460" s="19">
        <f>IF($Q460&lt;&gt;"Yes","",IF($S460="","(enter date)",_xlfn.LET(_xlpm.dn,IFERROR(_xlfn.XLOOKUP($S460,nrCDdate,nrCDnum),""),IF(_xlpm.dn="","(not a class day)",IFERROR(_xlfn.XLOOKUP(_xlpm.dn+cfgRetestClassDays,nrCDnum,nrCDdate),"")))))</f>
        <v/>
      </c>
      <c r="U460" s="17">
        <f>IF($Q460&lt;&gt;"Yes","",IF(COUNTIFS(nrES_PID,$D460,nrES_Code,$F460,nrES_Att,2)&gt;0,"Retested",IF(OR($T460="",NOT(ISNUMBER($T460))),"Pending",IF(TODAY()&gt;$T460,"OVERDUE","Due "&amp;TEXT($T460,"mm/dd")))))</f>
        <v/>
      </c>
      <c r="V460" s="16" t="n"/>
      <c r="W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IF($C461="","",IF($L461="","",IF($K461=1,IF(COUNTIFS(nrES_PID,$D461,nrES_Code,$F461,nrES_Att,2)&gt;0,"",$L461),IF(COUNTIFS(nrES_PID,$D461,nrES_Code,$F461,nrES_Att,1)=0,$L461,IF($L461&gt;=$J461,cfgRetakeRecordedCap,SUMIFS(nrES_Raw,nrES_PID,$D461,nrES_Code,$F461,nrES_Att,1))))))</f>
        <v/>
      </c>
      <c r="N461" s="17">
        <f>IF($C461="","",IF($L461="","",IF($L461&gt;=$J461,"Yes","No")))</f>
        <v/>
      </c>
      <c r="O461" s="17">
        <f>IF($C461="","",IF($M461="","",IF($M461&gt;=$J461,"Yes","No")))</f>
        <v/>
      </c>
      <c r="P461" s="17">
        <f>IF($C461="","",IF($K461="","",IF(COUNTIFS(nrES_PID,$D461,nrES_Code,$F461,nrES_Att,"&gt;"&amp;$K461)=0,"Yes","No")))</f>
        <v/>
      </c>
      <c r="Q461" s="17">
        <f>IF($C461="","",IF($L461="","",IF(AND($K461=1,$L461&lt;$J461,COUNTIFS(nrES_PID,$D461,nrES_Code,$F461,nrES_Att,2)=0),"Yes","No")))</f>
        <v/>
      </c>
      <c r="R461" s="17">
        <f>IF($C461="","",IF($L461="","",IF(AND($K461=2,$L461&lt;$J461,COUNTIFS(nrES_PID,$D461,nrES_Code,$F461,nrES_Att,1)&gt;0),"Yes","No")))</f>
        <v/>
      </c>
      <c r="S461" s="18" t="n"/>
      <c r="T461" s="19">
        <f>IF($Q461&lt;&gt;"Yes","",IF($S461="","(enter date)",_xlfn.LET(_xlpm.dn,IFERROR(_xlfn.XLOOKUP($S461,nrCDdate,nrCDnum),""),IF(_xlpm.dn="","(not a class day)",IFERROR(_xlfn.XLOOKUP(_xlpm.dn+cfgRetestClassDays,nrCDnum,nrCDdate),"")))))</f>
        <v/>
      </c>
      <c r="U461" s="17">
        <f>IF($Q461&lt;&gt;"Yes","",IF(COUNTIFS(nrES_PID,$D461,nrES_Code,$F461,nrES_Att,2)&gt;0,"Retested",IF(OR($T461="",NOT(ISNUMBER($T461))),"Pending",IF(TODAY()&gt;$T461,"OVERDUE","Due "&amp;TEXT($T461,"mm/dd")))))</f>
        <v/>
      </c>
      <c r="V461" s="16" t="n"/>
      <c r="W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IF($C462="","",IF($L462="","",IF($K462=1,IF(COUNTIFS(nrES_PID,$D462,nrES_Code,$F462,nrES_Att,2)&gt;0,"",$L462),IF(COUNTIFS(nrES_PID,$D462,nrES_Code,$F462,nrES_Att,1)=0,$L462,IF($L462&gt;=$J462,cfgRetakeRecordedCap,SUMIFS(nrES_Raw,nrES_PID,$D462,nrES_Code,$F462,nrES_Att,1))))))</f>
        <v/>
      </c>
      <c r="N462" s="17">
        <f>IF($C462="","",IF($L462="","",IF($L462&gt;=$J462,"Yes","No")))</f>
        <v/>
      </c>
      <c r="O462" s="17">
        <f>IF($C462="","",IF($M462="","",IF($M462&gt;=$J462,"Yes","No")))</f>
        <v/>
      </c>
      <c r="P462" s="17">
        <f>IF($C462="","",IF($K462="","",IF(COUNTIFS(nrES_PID,$D462,nrES_Code,$F462,nrES_Att,"&gt;"&amp;$K462)=0,"Yes","No")))</f>
        <v/>
      </c>
      <c r="Q462" s="17">
        <f>IF($C462="","",IF($L462="","",IF(AND($K462=1,$L462&lt;$J462,COUNTIFS(nrES_PID,$D462,nrES_Code,$F462,nrES_Att,2)=0),"Yes","No")))</f>
        <v/>
      </c>
      <c r="R462" s="17">
        <f>IF($C462="","",IF($L462="","",IF(AND($K462=2,$L462&lt;$J462,COUNTIFS(nrES_PID,$D462,nrES_Code,$F462,nrES_Att,1)&gt;0),"Yes","No")))</f>
        <v/>
      </c>
      <c r="S462" s="18" t="n"/>
      <c r="T462" s="19">
        <f>IF($Q462&lt;&gt;"Yes","",IF($S462="","(enter date)",_xlfn.LET(_xlpm.dn,IFERROR(_xlfn.XLOOKUP($S462,nrCDdate,nrCDnum),""),IF(_xlpm.dn="","(not a class day)",IFERROR(_xlfn.XLOOKUP(_xlpm.dn+cfgRetestClassDays,nrCDnum,nrCDdate),"")))))</f>
        <v/>
      </c>
      <c r="U462" s="17">
        <f>IF($Q462&lt;&gt;"Yes","",IF(COUNTIFS(nrES_PID,$D462,nrES_Code,$F462,nrES_Att,2)&gt;0,"Retested",IF(OR($T462="",NOT(ISNUMBER($T462))),"Pending",IF(TODAY()&gt;$T462,"OVERDUE","Due "&amp;TEXT($T462,"mm/dd")))))</f>
        <v/>
      </c>
      <c r="V462" s="16" t="n"/>
      <c r="W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IF($C463="","",IF($L463="","",IF($K463=1,IF(COUNTIFS(nrES_PID,$D463,nrES_Code,$F463,nrES_Att,2)&gt;0,"",$L463),IF(COUNTIFS(nrES_PID,$D463,nrES_Code,$F463,nrES_Att,1)=0,$L463,IF($L463&gt;=$J463,cfgRetakeRecordedCap,SUMIFS(nrES_Raw,nrES_PID,$D463,nrES_Code,$F463,nrES_Att,1))))))</f>
        <v/>
      </c>
      <c r="N463" s="17">
        <f>IF($C463="","",IF($L463="","",IF($L463&gt;=$J463,"Yes","No")))</f>
        <v/>
      </c>
      <c r="O463" s="17">
        <f>IF($C463="","",IF($M463="","",IF($M463&gt;=$J463,"Yes","No")))</f>
        <v/>
      </c>
      <c r="P463" s="17">
        <f>IF($C463="","",IF($K463="","",IF(COUNTIFS(nrES_PID,$D463,nrES_Code,$F463,nrES_Att,"&gt;"&amp;$K463)=0,"Yes","No")))</f>
        <v/>
      </c>
      <c r="Q463" s="17">
        <f>IF($C463="","",IF($L463="","",IF(AND($K463=1,$L463&lt;$J463,COUNTIFS(nrES_PID,$D463,nrES_Code,$F463,nrES_Att,2)=0),"Yes","No")))</f>
        <v/>
      </c>
      <c r="R463" s="17">
        <f>IF($C463="","",IF($L463="","",IF(AND($K463=2,$L463&lt;$J463,COUNTIFS(nrES_PID,$D463,nrES_Code,$F463,nrES_Att,1)&gt;0),"Yes","No")))</f>
        <v/>
      </c>
      <c r="S463" s="18" t="n"/>
      <c r="T463" s="19">
        <f>IF($Q463&lt;&gt;"Yes","",IF($S463="","(enter date)",_xlfn.LET(_xlpm.dn,IFERROR(_xlfn.XLOOKUP($S463,nrCDdate,nrCDnum),""),IF(_xlpm.dn="","(not a class day)",IFERROR(_xlfn.XLOOKUP(_xlpm.dn+cfgRetestClassDays,nrCDnum,nrCDdate),"")))))</f>
        <v/>
      </c>
      <c r="U463" s="17">
        <f>IF($Q463&lt;&gt;"Yes","",IF(COUNTIFS(nrES_PID,$D463,nrES_Code,$F463,nrES_Att,2)&gt;0,"Retested",IF(OR($T463="",NOT(ISNUMBER($T463))),"Pending",IF(TODAY()&gt;$T463,"OVERDUE","Due "&amp;TEXT($T463,"mm/dd")))))</f>
        <v/>
      </c>
      <c r="V463" s="16" t="n"/>
      <c r="W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IF($C464="","",IF($L464="","",IF($K464=1,IF(COUNTIFS(nrES_PID,$D464,nrES_Code,$F464,nrES_Att,2)&gt;0,"",$L464),IF(COUNTIFS(nrES_PID,$D464,nrES_Code,$F464,nrES_Att,1)=0,$L464,IF($L464&gt;=$J464,cfgRetakeRecordedCap,SUMIFS(nrES_Raw,nrES_PID,$D464,nrES_Code,$F464,nrES_Att,1))))))</f>
        <v/>
      </c>
      <c r="N464" s="17">
        <f>IF($C464="","",IF($L464="","",IF($L464&gt;=$J464,"Yes","No")))</f>
        <v/>
      </c>
      <c r="O464" s="17">
        <f>IF($C464="","",IF($M464="","",IF($M464&gt;=$J464,"Yes","No")))</f>
        <v/>
      </c>
      <c r="P464" s="17">
        <f>IF($C464="","",IF($K464="","",IF(COUNTIFS(nrES_PID,$D464,nrES_Code,$F464,nrES_Att,"&gt;"&amp;$K464)=0,"Yes","No")))</f>
        <v/>
      </c>
      <c r="Q464" s="17">
        <f>IF($C464="","",IF($L464="","",IF(AND($K464=1,$L464&lt;$J464,COUNTIFS(nrES_PID,$D464,nrES_Code,$F464,nrES_Att,2)=0),"Yes","No")))</f>
        <v/>
      </c>
      <c r="R464" s="17">
        <f>IF($C464="","",IF($L464="","",IF(AND($K464=2,$L464&lt;$J464,COUNTIFS(nrES_PID,$D464,nrES_Code,$F464,nrES_Att,1)&gt;0),"Yes","No")))</f>
        <v/>
      </c>
      <c r="S464" s="18" t="n"/>
      <c r="T464" s="19">
        <f>IF($Q464&lt;&gt;"Yes","",IF($S464="","(enter date)",_xlfn.LET(_xlpm.dn,IFERROR(_xlfn.XLOOKUP($S464,nrCDdate,nrCDnum),""),IF(_xlpm.dn="","(not a class day)",IFERROR(_xlfn.XLOOKUP(_xlpm.dn+cfgRetestClassDays,nrCDnum,nrCDdate),"")))))</f>
        <v/>
      </c>
      <c r="U464" s="17">
        <f>IF($Q464&lt;&gt;"Yes","",IF(COUNTIFS(nrES_PID,$D464,nrES_Code,$F464,nrES_Att,2)&gt;0,"Retested",IF(OR($T464="",NOT(ISNUMBER($T464))),"Pending",IF(TODAY()&gt;$T464,"OVERDUE","Due "&amp;TEXT($T464,"mm/dd")))))</f>
        <v/>
      </c>
      <c r="V464" s="16" t="n"/>
      <c r="W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IF($C465="","",IF($L465="","",IF($K465=1,IF(COUNTIFS(nrES_PID,$D465,nrES_Code,$F465,nrES_Att,2)&gt;0,"",$L465),IF(COUNTIFS(nrES_PID,$D465,nrES_Code,$F465,nrES_Att,1)=0,$L465,IF($L465&gt;=$J465,cfgRetakeRecordedCap,SUMIFS(nrES_Raw,nrES_PID,$D465,nrES_Code,$F465,nrES_Att,1))))))</f>
        <v/>
      </c>
      <c r="N465" s="17">
        <f>IF($C465="","",IF($L465="","",IF($L465&gt;=$J465,"Yes","No")))</f>
        <v/>
      </c>
      <c r="O465" s="17">
        <f>IF($C465="","",IF($M465="","",IF($M465&gt;=$J465,"Yes","No")))</f>
        <v/>
      </c>
      <c r="P465" s="17">
        <f>IF($C465="","",IF($K465="","",IF(COUNTIFS(nrES_PID,$D465,nrES_Code,$F465,nrES_Att,"&gt;"&amp;$K465)=0,"Yes","No")))</f>
        <v/>
      </c>
      <c r="Q465" s="17">
        <f>IF($C465="","",IF($L465="","",IF(AND($K465=1,$L465&lt;$J465,COUNTIFS(nrES_PID,$D465,nrES_Code,$F465,nrES_Att,2)=0),"Yes","No")))</f>
        <v/>
      </c>
      <c r="R465" s="17">
        <f>IF($C465="","",IF($L465="","",IF(AND($K465=2,$L465&lt;$J465,COUNTIFS(nrES_PID,$D465,nrES_Code,$F465,nrES_Att,1)&gt;0),"Yes","No")))</f>
        <v/>
      </c>
      <c r="S465" s="18" t="n"/>
      <c r="T465" s="19">
        <f>IF($Q465&lt;&gt;"Yes","",IF($S465="","(enter date)",_xlfn.LET(_xlpm.dn,IFERROR(_xlfn.XLOOKUP($S465,nrCDdate,nrCDnum),""),IF(_xlpm.dn="","(not a class day)",IFERROR(_xlfn.XLOOKUP(_xlpm.dn+cfgRetestClassDays,nrCDnum,nrCDdate),"")))))</f>
        <v/>
      </c>
      <c r="U465" s="17">
        <f>IF($Q465&lt;&gt;"Yes","",IF(COUNTIFS(nrES_PID,$D465,nrES_Code,$F465,nrES_Att,2)&gt;0,"Retested",IF(OR($T465="",NOT(ISNUMBER($T465))),"Pending",IF(TODAY()&gt;$T465,"OVERDUE","Due "&amp;TEXT($T465,"mm/dd")))))</f>
        <v/>
      </c>
      <c r="V465" s="16" t="n"/>
      <c r="W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IF($C466="","",IF($L466="","",IF($K466=1,IF(COUNTIFS(nrES_PID,$D466,nrES_Code,$F466,nrES_Att,2)&gt;0,"",$L466),IF(COUNTIFS(nrES_PID,$D466,nrES_Code,$F466,nrES_Att,1)=0,$L466,IF($L466&gt;=$J466,cfgRetakeRecordedCap,SUMIFS(nrES_Raw,nrES_PID,$D466,nrES_Code,$F466,nrES_Att,1))))))</f>
        <v/>
      </c>
      <c r="N466" s="17">
        <f>IF($C466="","",IF($L466="","",IF($L466&gt;=$J466,"Yes","No")))</f>
        <v/>
      </c>
      <c r="O466" s="17">
        <f>IF($C466="","",IF($M466="","",IF($M466&gt;=$J466,"Yes","No")))</f>
        <v/>
      </c>
      <c r="P466" s="17">
        <f>IF($C466="","",IF($K466="","",IF(COUNTIFS(nrES_PID,$D466,nrES_Code,$F466,nrES_Att,"&gt;"&amp;$K466)=0,"Yes","No")))</f>
        <v/>
      </c>
      <c r="Q466" s="17">
        <f>IF($C466="","",IF($L466="","",IF(AND($K466=1,$L466&lt;$J466,COUNTIFS(nrES_PID,$D466,nrES_Code,$F466,nrES_Att,2)=0),"Yes","No")))</f>
        <v/>
      </c>
      <c r="R466" s="17">
        <f>IF($C466="","",IF($L466="","",IF(AND($K466=2,$L466&lt;$J466,COUNTIFS(nrES_PID,$D466,nrES_Code,$F466,nrES_Att,1)&gt;0),"Yes","No")))</f>
        <v/>
      </c>
      <c r="S466" s="18" t="n"/>
      <c r="T466" s="19">
        <f>IF($Q466&lt;&gt;"Yes","",IF($S466="","(enter date)",_xlfn.LET(_xlpm.dn,IFERROR(_xlfn.XLOOKUP($S466,nrCDdate,nrCDnum),""),IF(_xlpm.dn="","(not a class day)",IFERROR(_xlfn.XLOOKUP(_xlpm.dn+cfgRetestClassDays,nrCDnum,nrCDdate),"")))))</f>
        <v/>
      </c>
      <c r="U466" s="17">
        <f>IF($Q466&lt;&gt;"Yes","",IF(COUNTIFS(nrES_PID,$D466,nrES_Code,$F466,nrES_Att,2)&gt;0,"Retested",IF(OR($T466="",NOT(ISNUMBER($T466))),"Pending",IF(TODAY()&gt;$T466,"OVERDUE","Due "&amp;TEXT($T466,"mm/dd")))))</f>
        <v/>
      </c>
      <c r="V466" s="16" t="n"/>
      <c r="W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IF($C467="","",IF($L467="","",IF($K467=1,IF(COUNTIFS(nrES_PID,$D467,nrES_Code,$F467,nrES_Att,2)&gt;0,"",$L467),IF(COUNTIFS(nrES_PID,$D467,nrES_Code,$F467,nrES_Att,1)=0,$L467,IF($L467&gt;=$J467,cfgRetakeRecordedCap,SUMIFS(nrES_Raw,nrES_PID,$D467,nrES_Code,$F467,nrES_Att,1))))))</f>
        <v/>
      </c>
      <c r="N467" s="17">
        <f>IF($C467="","",IF($L467="","",IF($L467&gt;=$J467,"Yes","No")))</f>
        <v/>
      </c>
      <c r="O467" s="17">
        <f>IF($C467="","",IF($M467="","",IF($M467&gt;=$J467,"Yes","No")))</f>
        <v/>
      </c>
      <c r="P467" s="17">
        <f>IF($C467="","",IF($K467="","",IF(COUNTIFS(nrES_PID,$D467,nrES_Code,$F467,nrES_Att,"&gt;"&amp;$K467)=0,"Yes","No")))</f>
        <v/>
      </c>
      <c r="Q467" s="17">
        <f>IF($C467="","",IF($L467="","",IF(AND($K467=1,$L467&lt;$J467,COUNTIFS(nrES_PID,$D467,nrES_Code,$F467,nrES_Att,2)=0),"Yes","No")))</f>
        <v/>
      </c>
      <c r="R467" s="17">
        <f>IF($C467="","",IF($L467="","",IF(AND($K467=2,$L467&lt;$J467,COUNTIFS(nrES_PID,$D467,nrES_Code,$F467,nrES_Att,1)&gt;0),"Yes","No")))</f>
        <v/>
      </c>
      <c r="S467" s="18" t="n"/>
      <c r="T467" s="19">
        <f>IF($Q467&lt;&gt;"Yes","",IF($S467="","(enter date)",_xlfn.LET(_xlpm.dn,IFERROR(_xlfn.XLOOKUP($S467,nrCDdate,nrCDnum),""),IF(_xlpm.dn="","(not a class day)",IFERROR(_xlfn.XLOOKUP(_xlpm.dn+cfgRetestClassDays,nrCDnum,nrCDdate),"")))))</f>
        <v/>
      </c>
      <c r="U467" s="17">
        <f>IF($Q467&lt;&gt;"Yes","",IF(COUNTIFS(nrES_PID,$D467,nrES_Code,$F467,nrES_Att,2)&gt;0,"Retested",IF(OR($T467="",NOT(ISNUMBER($T467))),"Pending",IF(TODAY()&gt;$T467,"OVERDUE","Due "&amp;TEXT($T467,"mm/dd")))))</f>
        <v/>
      </c>
      <c r="V467" s="16" t="n"/>
      <c r="W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IF($C468="","",IF($L468="","",IF($K468=1,IF(COUNTIFS(nrES_PID,$D468,nrES_Code,$F468,nrES_Att,2)&gt;0,"",$L468),IF(COUNTIFS(nrES_PID,$D468,nrES_Code,$F468,nrES_Att,1)=0,$L468,IF($L468&gt;=$J468,cfgRetakeRecordedCap,SUMIFS(nrES_Raw,nrES_PID,$D468,nrES_Code,$F468,nrES_Att,1))))))</f>
        <v/>
      </c>
      <c r="N468" s="17">
        <f>IF($C468="","",IF($L468="","",IF($L468&gt;=$J468,"Yes","No")))</f>
        <v/>
      </c>
      <c r="O468" s="17">
        <f>IF($C468="","",IF($M468="","",IF($M468&gt;=$J468,"Yes","No")))</f>
        <v/>
      </c>
      <c r="P468" s="17">
        <f>IF($C468="","",IF($K468="","",IF(COUNTIFS(nrES_PID,$D468,nrES_Code,$F468,nrES_Att,"&gt;"&amp;$K468)=0,"Yes","No")))</f>
        <v/>
      </c>
      <c r="Q468" s="17">
        <f>IF($C468="","",IF($L468="","",IF(AND($K468=1,$L468&lt;$J468,COUNTIFS(nrES_PID,$D468,nrES_Code,$F468,nrES_Att,2)=0),"Yes","No")))</f>
        <v/>
      </c>
      <c r="R468" s="17">
        <f>IF($C468="","",IF($L468="","",IF(AND($K468=2,$L468&lt;$J468,COUNTIFS(nrES_PID,$D468,nrES_Code,$F468,nrES_Att,1)&gt;0),"Yes","No")))</f>
        <v/>
      </c>
      <c r="S468" s="18" t="n"/>
      <c r="T468" s="19">
        <f>IF($Q468&lt;&gt;"Yes","",IF($S468="","(enter date)",_xlfn.LET(_xlpm.dn,IFERROR(_xlfn.XLOOKUP($S468,nrCDdate,nrCDnum),""),IF(_xlpm.dn="","(not a class day)",IFERROR(_xlfn.XLOOKUP(_xlpm.dn+cfgRetestClassDays,nrCDnum,nrCDdate),"")))))</f>
        <v/>
      </c>
      <c r="U468" s="17">
        <f>IF($Q468&lt;&gt;"Yes","",IF(COUNTIFS(nrES_PID,$D468,nrES_Code,$F468,nrES_Att,2)&gt;0,"Retested",IF(OR($T468="",NOT(ISNUMBER($T468))),"Pending",IF(TODAY()&gt;$T468,"OVERDUE","Due "&amp;TEXT($T468,"mm/dd")))))</f>
        <v/>
      </c>
      <c r="V468" s="16" t="n"/>
      <c r="W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IF($C469="","",IF($L469="","",IF($K469=1,IF(COUNTIFS(nrES_PID,$D469,nrES_Code,$F469,nrES_Att,2)&gt;0,"",$L469),IF(COUNTIFS(nrES_PID,$D469,nrES_Code,$F469,nrES_Att,1)=0,$L469,IF($L469&gt;=$J469,cfgRetakeRecordedCap,SUMIFS(nrES_Raw,nrES_PID,$D469,nrES_Code,$F469,nrES_Att,1))))))</f>
        <v/>
      </c>
      <c r="N469" s="17">
        <f>IF($C469="","",IF($L469="","",IF($L469&gt;=$J469,"Yes","No")))</f>
        <v/>
      </c>
      <c r="O469" s="17">
        <f>IF($C469="","",IF($M469="","",IF($M469&gt;=$J469,"Yes","No")))</f>
        <v/>
      </c>
      <c r="P469" s="17">
        <f>IF($C469="","",IF($K469="","",IF(COUNTIFS(nrES_PID,$D469,nrES_Code,$F469,nrES_Att,"&gt;"&amp;$K469)=0,"Yes","No")))</f>
        <v/>
      </c>
      <c r="Q469" s="17">
        <f>IF($C469="","",IF($L469="","",IF(AND($K469=1,$L469&lt;$J469,COUNTIFS(nrES_PID,$D469,nrES_Code,$F469,nrES_Att,2)=0),"Yes","No")))</f>
        <v/>
      </c>
      <c r="R469" s="17">
        <f>IF($C469="","",IF($L469="","",IF(AND($K469=2,$L469&lt;$J469,COUNTIFS(nrES_PID,$D469,nrES_Code,$F469,nrES_Att,1)&gt;0),"Yes","No")))</f>
        <v/>
      </c>
      <c r="S469" s="18" t="n"/>
      <c r="T469" s="19">
        <f>IF($Q469&lt;&gt;"Yes","",IF($S469="","(enter date)",_xlfn.LET(_xlpm.dn,IFERROR(_xlfn.XLOOKUP($S469,nrCDdate,nrCDnum),""),IF(_xlpm.dn="","(not a class day)",IFERROR(_xlfn.XLOOKUP(_xlpm.dn+cfgRetestClassDays,nrCDnum,nrCDdate),"")))))</f>
        <v/>
      </c>
      <c r="U469" s="17">
        <f>IF($Q469&lt;&gt;"Yes","",IF(COUNTIFS(nrES_PID,$D469,nrES_Code,$F469,nrES_Att,2)&gt;0,"Retested",IF(OR($T469="",NOT(ISNUMBER($T469))),"Pending",IF(TODAY()&gt;$T469,"OVERDUE","Due "&amp;TEXT($T469,"mm/dd")))))</f>
        <v/>
      </c>
      <c r="V469" s="16" t="n"/>
      <c r="W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IF($C470="","",IF($L470="","",IF($K470=1,IF(COUNTIFS(nrES_PID,$D470,nrES_Code,$F470,nrES_Att,2)&gt;0,"",$L470),IF(COUNTIFS(nrES_PID,$D470,nrES_Code,$F470,nrES_Att,1)=0,$L470,IF($L470&gt;=$J470,cfgRetakeRecordedCap,SUMIFS(nrES_Raw,nrES_PID,$D470,nrES_Code,$F470,nrES_Att,1))))))</f>
        <v/>
      </c>
      <c r="N470" s="17">
        <f>IF($C470="","",IF($L470="","",IF($L470&gt;=$J470,"Yes","No")))</f>
        <v/>
      </c>
      <c r="O470" s="17">
        <f>IF($C470="","",IF($M470="","",IF($M470&gt;=$J470,"Yes","No")))</f>
        <v/>
      </c>
      <c r="P470" s="17">
        <f>IF($C470="","",IF($K470="","",IF(COUNTIFS(nrES_PID,$D470,nrES_Code,$F470,nrES_Att,"&gt;"&amp;$K470)=0,"Yes","No")))</f>
        <v/>
      </c>
      <c r="Q470" s="17">
        <f>IF($C470="","",IF($L470="","",IF(AND($K470=1,$L470&lt;$J470,COUNTIFS(nrES_PID,$D470,nrES_Code,$F470,nrES_Att,2)=0),"Yes","No")))</f>
        <v/>
      </c>
      <c r="R470" s="17">
        <f>IF($C470="","",IF($L470="","",IF(AND($K470=2,$L470&lt;$J470,COUNTIFS(nrES_PID,$D470,nrES_Code,$F470,nrES_Att,1)&gt;0),"Yes","No")))</f>
        <v/>
      </c>
      <c r="S470" s="18" t="n"/>
      <c r="T470" s="19">
        <f>IF($Q470&lt;&gt;"Yes","",IF($S470="","(enter date)",_xlfn.LET(_xlpm.dn,IFERROR(_xlfn.XLOOKUP($S470,nrCDdate,nrCDnum),""),IF(_xlpm.dn="","(not a class day)",IFERROR(_xlfn.XLOOKUP(_xlpm.dn+cfgRetestClassDays,nrCDnum,nrCDdate),"")))))</f>
        <v/>
      </c>
      <c r="U470" s="17">
        <f>IF($Q470&lt;&gt;"Yes","",IF(COUNTIFS(nrES_PID,$D470,nrES_Code,$F470,nrES_Att,2)&gt;0,"Retested",IF(OR($T470="",NOT(ISNUMBER($T470))),"Pending",IF(TODAY()&gt;$T470,"OVERDUE","Due "&amp;TEXT($T470,"mm/dd")))))</f>
        <v/>
      </c>
      <c r="V470" s="16" t="n"/>
      <c r="W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IF($C471="","",IF($L471="","",IF($K471=1,IF(COUNTIFS(nrES_PID,$D471,nrES_Code,$F471,nrES_Att,2)&gt;0,"",$L471),IF(COUNTIFS(nrES_PID,$D471,nrES_Code,$F471,nrES_Att,1)=0,$L471,IF($L471&gt;=$J471,cfgRetakeRecordedCap,SUMIFS(nrES_Raw,nrES_PID,$D471,nrES_Code,$F471,nrES_Att,1))))))</f>
        <v/>
      </c>
      <c r="N471" s="17">
        <f>IF($C471="","",IF($L471="","",IF($L471&gt;=$J471,"Yes","No")))</f>
        <v/>
      </c>
      <c r="O471" s="17">
        <f>IF($C471="","",IF($M471="","",IF($M471&gt;=$J471,"Yes","No")))</f>
        <v/>
      </c>
      <c r="P471" s="17">
        <f>IF($C471="","",IF($K471="","",IF(COUNTIFS(nrES_PID,$D471,nrES_Code,$F471,nrES_Att,"&gt;"&amp;$K471)=0,"Yes","No")))</f>
        <v/>
      </c>
      <c r="Q471" s="17">
        <f>IF($C471="","",IF($L471="","",IF(AND($K471=1,$L471&lt;$J471,COUNTIFS(nrES_PID,$D471,nrES_Code,$F471,nrES_Att,2)=0),"Yes","No")))</f>
        <v/>
      </c>
      <c r="R471" s="17">
        <f>IF($C471="","",IF($L471="","",IF(AND($K471=2,$L471&lt;$J471,COUNTIFS(nrES_PID,$D471,nrES_Code,$F471,nrES_Att,1)&gt;0),"Yes","No")))</f>
        <v/>
      </c>
      <c r="S471" s="18" t="n"/>
      <c r="T471" s="19">
        <f>IF($Q471&lt;&gt;"Yes","",IF($S471="","(enter date)",_xlfn.LET(_xlpm.dn,IFERROR(_xlfn.XLOOKUP($S471,nrCDdate,nrCDnum),""),IF(_xlpm.dn="","(not a class day)",IFERROR(_xlfn.XLOOKUP(_xlpm.dn+cfgRetestClassDays,nrCDnum,nrCDdate),"")))))</f>
        <v/>
      </c>
      <c r="U471" s="17">
        <f>IF($Q471&lt;&gt;"Yes","",IF(COUNTIFS(nrES_PID,$D471,nrES_Code,$F471,nrES_Att,2)&gt;0,"Retested",IF(OR($T471="",NOT(ISNUMBER($T471))),"Pending",IF(TODAY()&gt;$T471,"OVERDUE","Due "&amp;TEXT($T471,"mm/dd")))))</f>
        <v/>
      </c>
      <c r="V471" s="16" t="n"/>
      <c r="W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IF($C472="","",IF($L472="","",IF($K472=1,IF(COUNTIFS(nrES_PID,$D472,nrES_Code,$F472,nrES_Att,2)&gt;0,"",$L472),IF(COUNTIFS(nrES_PID,$D472,nrES_Code,$F472,nrES_Att,1)=0,$L472,IF($L472&gt;=$J472,cfgRetakeRecordedCap,SUMIFS(nrES_Raw,nrES_PID,$D472,nrES_Code,$F472,nrES_Att,1))))))</f>
        <v/>
      </c>
      <c r="N472" s="17">
        <f>IF($C472="","",IF($L472="","",IF($L472&gt;=$J472,"Yes","No")))</f>
        <v/>
      </c>
      <c r="O472" s="17">
        <f>IF($C472="","",IF($M472="","",IF($M472&gt;=$J472,"Yes","No")))</f>
        <v/>
      </c>
      <c r="P472" s="17">
        <f>IF($C472="","",IF($K472="","",IF(COUNTIFS(nrES_PID,$D472,nrES_Code,$F472,nrES_Att,"&gt;"&amp;$K472)=0,"Yes","No")))</f>
        <v/>
      </c>
      <c r="Q472" s="17">
        <f>IF($C472="","",IF($L472="","",IF(AND($K472=1,$L472&lt;$J472,COUNTIFS(nrES_PID,$D472,nrES_Code,$F472,nrES_Att,2)=0),"Yes","No")))</f>
        <v/>
      </c>
      <c r="R472" s="17">
        <f>IF($C472="","",IF($L472="","",IF(AND($K472=2,$L472&lt;$J472,COUNTIFS(nrES_PID,$D472,nrES_Code,$F472,nrES_Att,1)&gt;0),"Yes","No")))</f>
        <v/>
      </c>
      <c r="S472" s="18" t="n"/>
      <c r="T472" s="19">
        <f>IF($Q472&lt;&gt;"Yes","",IF($S472="","(enter date)",_xlfn.LET(_xlpm.dn,IFERROR(_xlfn.XLOOKUP($S472,nrCDdate,nrCDnum),""),IF(_xlpm.dn="","(not a class day)",IFERROR(_xlfn.XLOOKUP(_xlpm.dn+cfgRetestClassDays,nrCDnum,nrCDdate),"")))))</f>
        <v/>
      </c>
      <c r="U472" s="17">
        <f>IF($Q472&lt;&gt;"Yes","",IF(COUNTIFS(nrES_PID,$D472,nrES_Code,$F472,nrES_Att,2)&gt;0,"Retested",IF(OR($T472="",NOT(ISNUMBER($T472))),"Pending",IF(TODAY()&gt;$T472,"OVERDUE","Due "&amp;TEXT($T472,"mm/dd")))))</f>
        <v/>
      </c>
      <c r="V472" s="16" t="n"/>
      <c r="W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IF($C473="","",IF($L473="","",IF($K473=1,IF(COUNTIFS(nrES_PID,$D473,nrES_Code,$F473,nrES_Att,2)&gt;0,"",$L473),IF(COUNTIFS(nrES_PID,$D473,nrES_Code,$F473,nrES_Att,1)=0,$L473,IF($L473&gt;=$J473,cfgRetakeRecordedCap,SUMIFS(nrES_Raw,nrES_PID,$D473,nrES_Code,$F473,nrES_Att,1))))))</f>
        <v/>
      </c>
      <c r="N473" s="17">
        <f>IF($C473="","",IF($L473="","",IF($L473&gt;=$J473,"Yes","No")))</f>
        <v/>
      </c>
      <c r="O473" s="17">
        <f>IF($C473="","",IF($M473="","",IF($M473&gt;=$J473,"Yes","No")))</f>
        <v/>
      </c>
      <c r="P473" s="17">
        <f>IF($C473="","",IF($K473="","",IF(COUNTIFS(nrES_PID,$D473,nrES_Code,$F473,nrES_Att,"&gt;"&amp;$K473)=0,"Yes","No")))</f>
        <v/>
      </c>
      <c r="Q473" s="17">
        <f>IF($C473="","",IF($L473="","",IF(AND($K473=1,$L473&lt;$J473,COUNTIFS(nrES_PID,$D473,nrES_Code,$F473,nrES_Att,2)=0),"Yes","No")))</f>
        <v/>
      </c>
      <c r="R473" s="17">
        <f>IF($C473="","",IF($L473="","",IF(AND($K473=2,$L473&lt;$J473,COUNTIFS(nrES_PID,$D473,nrES_Code,$F473,nrES_Att,1)&gt;0),"Yes","No")))</f>
        <v/>
      </c>
      <c r="S473" s="18" t="n"/>
      <c r="T473" s="19">
        <f>IF($Q473&lt;&gt;"Yes","",IF($S473="","(enter date)",_xlfn.LET(_xlpm.dn,IFERROR(_xlfn.XLOOKUP($S473,nrCDdate,nrCDnum),""),IF(_xlpm.dn="","(not a class day)",IFERROR(_xlfn.XLOOKUP(_xlpm.dn+cfgRetestClassDays,nrCDnum,nrCDdate),"")))))</f>
        <v/>
      </c>
      <c r="U473" s="17">
        <f>IF($Q473&lt;&gt;"Yes","",IF(COUNTIFS(nrES_PID,$D473,nrES_Code,$F473,nrES_Att,2)&gt;0,"Retested",IF(OR($T473="",NOT(ISNUMBER($T473))),"Pending",IF(TODAY()&gt;$T473,"OVERDUE","Due "&amp;TEXT($T473,"mm/dd")))))</f>
        <v/>
      </c>
      <c r="V473" s="16" t="n"/>
      <c r="W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IF($C474="","",IF($L474="","",IF($K474=1,IF(COUNTIFS(nrES_PID,$D474,nrES_Code,$F474,nrES_Att,2)&gt;0,"",$L474),IF(COUNTIFS(nrES_PID,$D474,nrES_Code,$F474,nrES_Att,1)=0,$L474,IF($L474&gt;=$J474,cfgRetakeRecordedCap,SUMIFS(nrES_Raw,nrES_PID,$D474,nrES_Code,$F474,nrES_Att,1))))))</f>
        <v/>
      </c>
      <c r="N474" s="17">
        <f>IF($C474="","",IF($L474="","",IF($L474&gt;=$J474,"Yes","No")))</f>
        <v/>
      </c>
      <c r="O474" s="17">
        <f>IF($C474="","",IF($M474="","",IF($M474&gt;=$J474,"Yes","No")))</f>
        <v/>
      </c>
      <c r="P474" s="17">
        <f>IF($C474="","",IF($K474="","",IF(COUNTIFS(nrES_PID,$D474,nrES_Code,$F474,nrES_Att,"&gt;"&amp;$K474)=0,"Yes","No")))</f>
        <v/>
      </c>
      <c r="Q474" s="17">
        <f>IF($C474="","",IF($L474="","",IF(AND($K474=1,$L474&lt;$J474,COUNTIFS(nrES_PID,$D474,nrES_Code,$F474,nrES_Att,2)=0),"Yes","No")))</f>
        <v/>
      </c>
      <c r="R474" s="17">
        <f>IF($C474="","",IF($L474="","",IF(AND($K474=2,$L474&lt;$J474,COUNTIFS(nrES_PID,$D474,nrES_Code,$F474,nrES_Att,1)&gt;0),"Yes","No")))</f>
        <v/>
      </c>
      <c r="S474" s="18" t="n"/>
      <c r="T474" s="19">
        <f>IF($Q474&lt;&gt;"Yes","",IF($S474="","(enter date)",_xlfn.LET(_xlpm.dn,IFERROR(_xlfn.XLOOKUP($S474,nrCDdate,nrCDnum),""),IF(_xlpm.dn="","(not a class day)",IFERROR(_xlfn.XLOOKUP(_xlpm.dn+cfgRetestClassDays,nrCDnum,nrCDdate),"")))))</f>
        <v/>
      </c>
      <c r="U474" s="17">
        <f>IF($Q474&lt;&gt;"Yes","",IF(COUNTIFS(nrES_PID,$D474,nrES_Code,$F474,nrES_Att,2)&gt;0,"Retested",IF(OR($T474="",NOT(ISNUMBER($T474))),"Pending",IF(TODAY()&gt;$T474,"OVERDUE","Due "&amp;TEXT($T474,"mm/dd")))))</f>
        <v/>
      </c>
      <c r="V474" s="16" t="n"/>
      <c r="W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IF($C475="","",IF($L475="","",IF($K475=1,IF(COUNTIFS(nrES_PID,$D475,nrES_Code,$F475,nrES_Att,2)&gt;0,"",$L475),IF(COUNTIFS(nrES_PID,$D475,nrES_Code,$F475,nrES_Att,1)=0,$L475,IF($L475&gt;=$J475,cfgRetakeRecordedCap,SUMIFS(nrES_Raw,nrES_PID,$D475,nrES_Code,$F475,nrES_Att,1))))))</f>
        <v/>
      </c>
      <c r="N475" s="17">
        <f>IF($C475="","",IF($L475="","",IF($L475&gt;=$J475,"Yes","No")))</f>
        <v/>
      </c>
      <c r="O475" s="17">
        <f>IF($C475="","",IF($M475="","",IF($M475&gt;=$J475,"Yes","No")))</f>
        <v/>
      </c>
      <c r="P475" s="17">
        <f>IF($C475="","",IF($K475="","",IF(COUNTIFS(nrES_PID,$D475,nrES_Code,$F475,nrES_Att,"&gt;"&amp;$K475)=0,"Yes","No")))</f>
        <v/>
      </c>
      <c r="Q475" s="17">
        <f>IF($C475="","",IF($L475="","",IF(AND($K475=1,$L475&lt;$J475,COUNTIFS(nrES_PID,$D475,nrES_Code,$F475,nrES_Att,2)=0),"Yes","No")))</f>
        <v/>
      </c>
      <c r="R475" s="17">
        <f>IF($C475="","",IF($L475="","",IF(AND($K475=2,$L475&lt;$J475,COUNTIFS(nrES_PID,$D475,nrES_Code,$F475,nrES_Att,1)&gt;0),"Yes","No")))</f>
        <v/>
      </c>
      <c r="S475" s="18" t="n"/>
      <c r="T475" s="19">
        <f>IF($Q475&lt;&gt;"Yes","",IF($S475="","(enter date)",_xlfn.LET(_xlpm.dn,IFERROR(_xlfn.XLOOKUP($S475,nrCDdate,nrCDnum),""),IF(_xlpm.dn="","(not a class day)",IFERROR(_xlfn.XLOOKUP(_xlpm.dn+cfgRetestClassDays,nrCDnum,nrCDdate),"")))))</f>
        <v/>
      </c>
      <c r="U475" s="17">
        <f>IF($Q475&lt;&gt;"Yes","",IF(COUNTIFS(nrES_PID,$D475,nrES_Code,$F475,nrES_Att,2)&gt;0,"Retested",IF(OR($T475="",NOT(ISNUMBER($T475))),"Pending",IF(TODAY()&gt;$T475,"OVERDUE","Due "&amp;TEXT($T475,"mm/dd")))))</f>
        <v/>
      </c>
      <c r="V475" s="16" t="n"/>
      <c r="W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IF($C476="","",IF($L476="","",IF($K476=1,IF(COUNTIFS(nrES_PID,$D476,nrES_Code,$F476,nrES_Att,2)&gt;0,"",$L476),IF(COUNTIFS(nrES_PID,$D476,nrES_Code,$F476,nrES_Att,1)=0,$L476,IF($L476&gt;=$J476,cfgRetakeRecordedCap,SUMIFS(nrES_Raw,nrES_PID,$D476,nrES_Code,$F476,nrES_Att,1))))))</f>
        <v/>
      </c>
      <c r="N476" s="17">
        <f>IF($C476="","",IF($L476="","",IF($L476&gt;=$J476,"Yes","No")))</f>
        <v/>
      </c>
      <c r="O476" s="17">
        <f>IF($C476="","",IF($M476="","",IF($M476&gt;=$J476,"Yes","No")))</f>
        <v/>
      </c>
      <c r="P476" s="17">
        <f>IF($C476="","",IF($K476="","",IF(COUNTIFS(nrES_PID,$D476,nrES_Code,$F476,nrES_Att,"&gt;"&amp;$K476)=0,"Yes","No")))</f>
        <v/>
      </c>
      <c r="Q476" s="17">
        <f>IF($C476="","",IF($L476="","",IF(AND($K476=1,$L476&lt;$J476,COUNTIFS(nrES_PID,$D476,nrES_Code,$F476,nrES_Att,2)=0),"Yes","No")))</f>
        <v/>
      </c>
      <c r="R476" s="17">
        <f>IF($C476="","",IF($L476="","",IF(AND($K476=2,$L476&lt;$J476,COUNTIFS(nrES_PID,$D476,nrES_Code,$F476,nrES_Att,1)&gt;0),"Yes","No")))</f>
        <v/>
      </c>
      <c r="S476" s="18" t="n"/>
      <c r="T476" s="19">
        <f>IF($Q476&lt;&gt;"Yes","",IF($S476="","(enter date)",_xlfn.LET(_xlpm.dn,IFERROR(_xlfn.XLOOKUP($S476,nrCDdate,nrCDnum),""),IF(_xlpm.dn="","(not a class day)",IFERROR(_xlfn.XLOOKUP(_xlpm.dn+cfgRetestClassDays,nrCDnum,nrCDdate),"")))))</f>
        <v/>
      </c>
      <c r="U476" s="17">
        <f>IF($Q476&lt;&gt;"Yes","",IF(COUNTIFS(nrES_PID,$D476,nrES_Code,$F476,nrES_Att,2)&gt;0,"Retested",IF(OR($T476="",NOT(ISNUMBER($T476))),"Pending",IF(TODAY()&gt;$T476,"OVERDUE","Due "&amp;TEXT($T476,"mm/dd")))))</f>
        <v/>
      </c>
      <c r="V476" s="16" t="n"/>
      <c r="W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IF($C477="","",IF($L477="","",IF($K477=1,IF(COUNTIFS(nrES_PID,$D477,nrES_Code,$F477,nrES_Att,2)&gt;0,"",$L477),IF(COUNTIFS(nrES_PID,$D477,nrES_Code,$F477,nrES_Att,1)=0,$L477,IF($L477&gt;=$J477,cfgRetakeRecordedCap,SUMIFS(nrES_Raw,nrES_PID,$D477,nrES_Code,$F477,nrES_Att,1))))))</f>
        <v/>
      </c>
      <c r="N477" s="17">
        <f>IF($C477="","",IF($L477="","",IF($L477&gt;=$J477,"Yes","No")))</f>
        <v/>
      </c>
      <c r="O477" s="17">
        <f>IF($C477="","",IF($M477="","",IF($M477&gt;=$J477,"Yes","No")))</f>
        <v/>
      </c>
      <c r="P477" s="17">
        <f>IF($C477="","",IF($K477="","",IF(COUNTIFS(nrES_PID,$D477,nrES_Code,$F477,nrES_Att,"&gt;"&amp;$K477)=0,"Yes","No")))</f>
        <v/>
      </c>
      <c r="Q477" s="17">
        <f>IF($C477="","",IF($L477="","",IF(AND($K477=1,$L477&lt;$J477,COUNTIFS(nrES_PID,$D477,nrES_Code,$F477,nrES_Att,2)=0),"Yes","No")))</f>
        <v/>
      </c>
      <c r="R477" s="17">
        <f>IF($C477="","",IF($L477="","",IF(AND($K477=2,$L477&lt;$J477,COUNTIFS(nrES_PID,$D477,nrES_Code,$F477,nrES_Att,1)&gt;0),"Yes","No")))</f>
        <v/>
      </c>
      <c r="S477" s="18" t="n"/>
      <c r="T477" s="19">
        <f>IF($Q477&lt;&gt;"Yes","",IF($S477="","(enter date)",_xlfn.LET(_xlpm.dn,IFERROR(_xlfn.XLOOKUP($S477,nrCDdate,nrCDnum),""),IF(_xlpm.dn="","(not a class day)",IFERROR(_xlfn.XLOOKUP(_xlpm.dn+cfgRetestClassDays,nrCDnum,nrCDdate),"")))))</f>
        <v/>
      </c>
      <c r="U477" s="17">
        <f>IF($Q477&lt;&gt;"Yes","",IF(COUNTIFS(nrES_PID,$D477,nrES_Code,$F477,nrES_Att,2)&gt;0,"Retested",IF(OR($T477="",NOT(ISNUMBER($T477))),"Pending",IF(TODAY()&gt;$T477,"OVERDUE","Due "&amp;TEXT($T477,"mm/dd")))))</f>
        <v/>
      </c>
      <c r="V477" s="16" t="n"/>
      <c r="W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IF($C478="","",IF($L478="","",IF($K478=1,IF(COUNTIFS(nrES_PID,$D478,nrES_Code,$F478,nrES_Att,2)&gt;0,"",$L478),IF(COUNTIFS(nrES_PID,$D478,nrES_Code,$F478,nrES_Att,1)=0,$L478,IF($L478&gt;=$J478,cfgRetakeRecordedCap,SUMIFS(nrES_Raw,nrES_PID,$D478,nrES_Code,$F478,nrES_Att,1))))))</f>
        <v/>
      </c>
      <c r="N478" s="17">
        <f>IF($C478="","",IF($L478="","",IF($L478&gt;=$J478,"Yes","No")))</f>
        <v/>
      </c>
      <c r="O478" s="17">
        <f>IF($C478="","",IF($M478="","",IF($M478&gt;=$J478,"Yes","No")))</f>
        <v/>
      </c>
      <c r="P478" s="17">
        <f>IF($C478="","",IF($K478="","",IF(COUNTIFS(nrES_PID,$D478,nrES_Code,$F478,nrES_Att,"&gt;"&amp;$K478)=0,"Yes","No")))</f>
        <v/>
      </c>
      <c r="Q478" s="17">
        <f>IF($C478="","",IF($L478="","",IF(AND($K478=1,$L478&lt;$J478,COUNTIFS(nrES_PID,$D478,nrES_Code,$F478,nrES_Att,2)=0),"Yes","No")))</f>
        <v/>
      </c>
      <c r="R478" s="17">
        <f>IF($C478="","",IF($L478="","",IF(AND($K478=2,$L478&lt;$J478,COUNTIFS(nrES_PID,$D478,nrES_Code,$F478,nrES_Att,1)&gt;0),"Yes","No")))</f>
        <v/>
      </c>
      <c r="S478" s="18" t="n"/>
      <c r="T478" s="19">
        <f>IF($Q478&lt;&gt;"Yes","",IF($S478="","(enter date)",_xlfn.LET(_xlpm.dn,IFERROR(_xlfn.XLOOKUP($S478,nrCDdate,nrCDnum),""),IF(_xlpm.dn="","(not a class day)",IFERROR(_xlfn.XLOOKUP(_xlpm.dn+cfgRetestClassDays,nrCDnum,nrCDdate),"")))))</f>
        <v/>
      </c>
      <c r="U478" s="17">
        <f>IF($Q478&lt;&gt;"Yes","",IF(COUNTIFS(nrES_PID,$D478,nrES_Code,$F478,nrES_Att,2)&gt;0,"Retested",IF(OR($T478="",NOT(ISNUMBER($T478))),"Pending",IF(TODAY()&gt;$T478,"OVERDUE","Due "&amp;TEXT($T478,"mm/dd")))))</f>
        <v/>
      </c>
      <c r="V478" s="16" t="n"/>
      <c r="W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IF($C479="","",IF($L479="","",IF($K479=1,IF(COUNTIFS(nrES_PID,$D479,nrES_Code,$F479,nrES_Att,2)&gt;0,"",$L479),IF(COUNTIFS(nrES_PID,$D479,nrES_Code,$F479,nrES_Att,1)=0,$L479,IF($L479&gt;=$J479,cfgRetakeRecordedCap,SUMIFS(nrES_Raw,nrES_PID,$D479,nrES_Code,$F479,nrES_Att,1))))))</f>
        <v/>
      </c>
      <c r="N479" s="17">
        <f>IF($C479="","",IF($L479="","",IF($L479&gt;=$J479,"Yes","No")))</f>
        <v/>
      </c>
      <c r="O479" s="17">
        <f>IF($C479="","",IF($M479="","",IF($M479&gt;=$J479,"Yes","No")))</f>
        <v/>
      </c>
      <c r="P479" s="17">
        <f>IF($C479="","",IF($K479="","",IF(COUNTIFS(nrES_PID,$D479,nrES_Code,$F479,nrES_Att,"&gt;"&amp;$K479)=0,"Yes","No")))</f>
        <v/>
      </c>
      <c r="Q479" s="17">
        <f>IF($C479="","",IF($L479="","",IF(AND($K479=1,$L479&lt;$J479,COUNTIFS(nrES_PID,$D479,nrES_Code,$F479,nrES_Att,2)=0),"Yes","No")))</f>
        <v/>
      </c>
      <c r="R479" s="17">
        <f>IF($C479="","",IF($L479="","",IF(AND($K479=2,$L479&lt;$J479,COUNTIFS(nrES_PID,$D479,nrES_Code,$F479,nrES_Att,1)&gt;0),"Yes","No")))</f>
        <v/>
      </c>
      <c r="S479" s="18" t="n"/>
      <c r="T479" s="19">
        <f>IF($Q479&lt;&gt;"Yes","",IF($S479="","(enter date)",_xlfn.LET(_xlpm.dn,IFERROR(_xlfn.XLOOKUP($S479,nrCDdate,nrCDnum),""),IF(_xlpm.dn="","(not a class day)",IFERROR(_xlfn.XLOOKUP(_xlpm.dn+cfgRetestClassDays,nrCDnum,nrCDdate),"")))))</f>
        <v/>
      </c>
      <c r="U479" s="17">
        <f>IF($Q479&lt;&gt;"Yes","",IF(COUNTIFS(nrES_PID,$D479,nrES_Code,$F479,nrES_Att,2)&gt;0,"Retested",IF(OR($T479="",NOT(ISNUMBER($T479))),"Pending",IF(TODAY()&gt;$T479,"OVERDUE","Due "&amp;TEXT($T479,"mm/dd")))))</f>
        <v/>
      </c>
      <c r="V479" s="16" t="n"/>
      <c r="W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IF($C480="","",IF($L480="","",IF($K480=1,IF(COUNTIFS(nrES_PID,$D480,nrES_Code,$F480,nrES_Att,2)&gt;0,"",$L480),IF(COUNTIFS(nrES_PID,$D480,nrES_Code,$F480,nrES_Att,1)=0,$L480,IF($L480&gt;=$J480,cfgRetakeRecordedCap,SUMIFS(nrES_Raw,nrES_PID,$D480,nrES_Code,$F480,nrES_Att,1))))))</f>
        <v/>
      </c>
      <c r="N480" s="17">
        <f>IF($C480="","",IF($L480="","",IF($L480&gt;=$J480,"Yes","No")))</f>
        <v/>
      </c>
      <c r="O480" s="17">
        <f>IF($C480="","",IF($M480="","",IF($M480&gt;=$J480,"Yes","No")))</f>
        <v/>
      </c>
      <c r="P480" s="17">
        <f>IF($C480="","",IF($K480="","",IF(COUNTIFS(nrES_PID,$D480,nrES_Code,$F480,nrES_Att,"&gt;"&amp;$K480)=0,"Yes","No")))</f>
        <v/>
      </c>
      <c r="Q480" s="17">
        <f>IF($C480="","",IF($L480="","",IF(AND($K480=1,$L480&lt;$J480,COUNTIFS(nrES_PID,$D480,nrES_Code,$F480,nrES_Att,2)=0),"Yes","No")))</f>
        <v/>
      </c>
      <c r="R480" s="17">
        <f>IF($C480="","",IF($L480="","",IF(AND($K480=2,$L480&lt;$J480,COUNTIFS(nrES_PID,$D480,nrES_Code,$F480,nrES_Att,1)&gt;0),"Yes","No")))</f>
        <v/>
      </c>
      <c r="S480" s="18" t="n"/>
      <c r="T480" s="19">
        <f>IF($Q480&lt;&gt;"Yes","",IF($S480="","(enter date)",_xlfn.LET(_xlpm.dn,IFERROR(_xlfn.XLOOKUP($S480,nrCDdate,nrCDnum),""),IF(_xlpm.dn="","(not a class day)",IFERROR(_xlfn.XLOOKUP(_xlpm.dn+cfgRetestClassDays,nrCDnum,nrCDdate),"")))))</f>
        <v/>
      </c>
      <c r="U480" s="17">
        <f>IF($Q480&lt;&gt;"Yes","",IF(COUNTIFS(nrES_PID,$D480,nrES_Code,$F480,nrES_Att,2)&gt;0,"Retested",IF(OR($T480="",NOT(ISNUMBER($T480))),"Pending",IF(TODAY()&gt;$T480,"OVERDUE","Due "&amp;TEXT($T480,"mm/dd")))))</f>
        <v/>
      </c>
      <c r="V480" s="16" t="n"/>
      <c r="W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IF($C481="","",IF($L481="","",IF($K481=1,IF(COUNTIFS(nrES_PID,$D481,nrES_Code,$F481,nrES_Att,2)&gt;0,"",$L481),IF(COUNTIFS(nrES_PID,$D481,nrES_Code,$F481,nrES_Att,1)=0,$L481,IF($L481&gt;=$J481,cfgRetakeRecordedCap,SUMIFS(nrES_Raw,nrES_PID,$D481,nrES_Code,$F481,nrES_Att,1))))))</f>
        <v/>
      </c>
      <c r="N481" s="17">
        <f>IF($C481="","",IF($L481="","",IF($L481&gt;=$J481,"Yes","No")))</f>
        <v/>
      </c>
      <c r="O481" s="17">
        <f>IF($C481="","",IF($M481="","",IF($M481&gt;=$J481,"Yes","No")))</f>
        <v/>
      </c>
      <c r="P481" s="17">
        <f>IF($C481="","",IF($K481="","",IF(COUNTIFS(nrES_PID,$D481,nrES_Code,$F481,nrES_Att,"&gt;"&amp;$K481)=0,"Yes","No")))</f>
        <v/>
      </c>
      <c r="Q481" s="17">
        <f>IF($C481="","",IF($L481="","",IF(AND($K481=1,$L481&lt;$J481,COUNTIFS(nrES_PID,$D481,nrES_Code,$F481,nrES_Att,2)=0),"Yes","No")))</f>
        <v/>
      </c>
      <c r="R481" s="17">
        <f>IF($C481="","",IF($L481="","",IF(AND($K481=2,$L481&lt;$J481,COUNTIFS(nrES_PID,$D481,nrES_Code,$F481,nrES_Att,1)&gt;0),"Yes","No")))</f>
        <v/>
      </c>
      <c r="S481" s="18" t="n"/>
      <c r="T481" s="19">
        <f>IF($Q481&lt;&gt;"Yes","",IF($S481="","(enter date)",_xlfn.LET(_xlpm.dn,IFERROR(_xlfn.XLOOKUP($S481,nrCDdate,nrCDnum),""),IF(_xlpm.dn="","(not a class day)",IFERROR(_xlfn.XLOOKUP(_xlpm.dn+cfgRetestClassDays,nrCDnum,nrCDdate),"")))))</f>
        <v/>
      </c>
      <c r="U481" s="17">
        <f>IF($Q481&lt;&gt;"Yes","",IF(COUNTIFS(nrES_PID,$D481,nrES_Code,$F481,nrES_Att,2)&gt;0,"Retested",IF(OR($T481="",NOT(ISNUMBER($T481))),"Pending",IF(TODAY()&gt;$T481,"OVERDUE","Due "&amp;TEXT($T481,"mm/dd")))))</f>
        <v/>
      </c>
      <c r="V481" s="16" t="n"/>
      <c r="W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IF($C482="","",IF($L482="","",IF($K482=1,IF(COUNTIFS(nrES_PID,$D482,nrES_Code,$F482,nrES_Att,2)&gt;0,"",$L482),IF(COUNTIFS(nrES_PID,$D482,nrES_Code,$F482,nrES_Att,1)=0,$L482,IF($L482&gt;=$J482,cfgRetakeRecordedCap,SUMIFS(nrES_Raw,nrES_PID,$D482,nrES_Code,$F482,nrES_Att,1))))))</f>
        <v/>
      </c>
      <c r="N482" s="17">
        <f>IF($C482="","",IF($L482="","",IF($L482&gt;=$J482,"Yes","No")))</f>
        <v/>
      </c>
      <c r="O482" s="17">
        <f>IF($C482="","",IF($M482="","",IF($M482&gt;=$J482,"Yes","No")))</f>
        <v/>
      </c>
      <c r="P482" s="17">
        <f>IF($C482="","",IF($K482="","",IF(COUNTIFS(nrES_PID,$D482,nrES_Code,$F482,nrES_Att,"&gt;"&amp;$K482)=0,"Yes","No")))</f>
        <v/>
      </c>
      <c r="Q482" s="17">
        <f>IF($C482="","",IF($L482="","",IF(AND($K482=1,$L482&lt;$J482,COUNTIFS(nrES_PID,$D482,nrES_Code,$F482,nrES_Att,2)=0),"Yes","No")))</f>
        <v/>
      </c>
      <c r="R482" s="17">
        <f>IF($C482="","",IF($L482="","",IF(AND($K482=2,$L482&lt;$J482,COUNTIFS(nrES_PID,$D482,nrES_Code,$F482,nrES_Att,1)&gt;0),"Yes","No")))</f>
        <v/>
      </c>
      <c r="S482" s="18" t="n"/>
      <c r="T482" s="19">
        <f>IF($Q482&lt;&gt;"Yes","",IF($S482="","(enter date)",_xlfn.LET(_xlpm.dn,IFERROR(_xlfn.XLOOKUP($S482,nrCDdate,nrCDnum),""),IF(_xlpm.dn="","(not a class day)",IFERROR(_xlfn.XLOOKUP(_xlpm.dn+cfgRetestClassDays,nrCDnum,nrCDdate),"")))))</f>
        <v/>
      </c>
      <c r="U482" s="17">
        <f>IF($Q482&lt;&gt;"Yes","",IF(COUNTIFS(nrES_PID,$D482,nrES_Code,$F482,nrES_Att,2)&gt;0,"Retested",IF(OR($T482="",NOT(ISNUMBER($T482))),"Pending",IF(TODAY()&gt;$T482,"OVERDUE","Due "&amp;TEXT($T482,"mm/dd")))))</f>
        <v/>
      </c>
      <c r="V482" s="16" t="n"/>
      <c r="W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IF($C483="","",IF($L483="","",IF($K483=1,IF(COUNTIFS(nrES_PID,$D483,nrES_Code,$F483,nrES_Att,2)&gt;0,"",$L483),IF(COUNTIFS(nrES_PID,$D483,nrES_Code,$F483,nrES_Att,1)=0,$L483,IF($L483&gt;=$J483,cfgRetakeRecordedCap,SUMIFS(nrES_Raw,nrES_PID,$D483,nrES_Code,$F483,nrES_Att,1))))))</f>
        <v/>
      </c>
      <c r="N483" s="17">
        <f>IF($C483="","",IF($L483="","",IF($L483&gt;=$J483,"Yes","No")))</f>
        <v/>
      </c>
      <c r="O483" s="17">
        <f>IF($C483="","",IF($M483="","",IF($M483&gt;=$J483,"Yes","No")))</f>
        <v/>
      </c>
      <c r="P483" s="17">
        <f>IF($C483="","",IF($K483="","",IF(COUNTIFS(nrES_PID,$D483,nrES_Code,$F483,nrES_Att,"&gt;"&amp;$K483)=0,"Yes","No")))</f>
        <v/>
      </c>
      <c r="Q483" s="17">
        <f>IF($C483="","",IF($L483="","",IF(AND($K483=1,$L483&lt;$J483,COUNTIFS(nrES_PID,$D483,nrES_Code,$F483,nrES_Att,2)=0),"Yes","No")))</f>
        <v/>
      </c>
      <c r="R483" s="17">
        <f>IF($C483="","",IF($L483="","",IF(AND($K483=2,$L483&lt;$J483,COUNTIFS(nrES_PID,$D483,nrES_Code,$F483,nrES_Att,1)&gt;0),"Yes","No")))</f>
        <v/>
      </c>
      <c r="S483" s="18" t="n"/>
      <c r="T483" s="19">
        <f>IF($Q483&lt;&gt;"Yes","",IF($S483="","(enter date)",_xlfn.LET(_xlpm.dn,IFERROR(_xlfn.XLOOKUP($S483,nrCDdate,nrCDnum),""),IF(_xlpm.dn="","(not a class day)",IFERROR(_xlfn.XLOOKUP(_xlpm.dn+cfgRetestClassDays,nrCDnum,nrCDdate),"")))))</f>
        <v/>
      </c>
      <c r="U483" s="17">
        <f>IF($Q483&lt;&gt;"Yes","",IF(COUNTIFS(nrES_PID,$D483,nrES_Code,$F483,nrES_Att,2)&gt;0,"Retested",IF(OR($T483="",NOT(ISNUMBER($T483))),"Pending",IF(TODAY()&gt;$T483,"OVERDUE","Due "&amp;TEXT($T483,"mm/dd")))))</f>
        <v/>
      </c>
      <c r="V483" s="16" t="n"/>
      <c r="W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IF($C484="","",IF($L484="","",IF($K484=1,IF(COUNTIFS(nrES_PID,$D484,nrES_Code,$F484,nrES_Att,2)&gt;0,"",$L484),IF(COUNTIFS(nrES_PID,$D484,nrES_Code,$F484,nrES_Att,1)=0,$L484,IF($L484&gt;=$J484,cfgRetakeRecordedCap,SUMIFS(nrES_Raw,nrES_PID,$D484,nrES_Code,$F484,nrES_Att,1))))))</f>
        <v/>
      </c>
      <c r="N484" s="17">
        <f>IF($C484="","",IF($L484="","",IF($L484&gt;=$J484,"Yes","No")))</f>
        <v/>
      </c>
      <c r="O484" s="17">
        <f>IF($C484="","",IF($M484="","",IF($M484&gt;=$J484,"Yes","No")))</f>
        <v/>
      </c>
      <c r="P484" s="17">
        <f>IF($C484="","",IF($K484="","",IF(COUNTIFS(nrES_PID,$D484,nrES_Code,$F484,nrES_Att,"&gt;"&amp;$K484)=0,"Yes","No")))</f>
        <v/>
      </c>
      <c r="Q484" s="17">
        <f>IF($C484="","",IF($L484="","",IF(AND($K484=1,$L484&lt;$J484,COUNTIFS(nrES_PID,$D484,nrES_Code,$F484,nrES_Att,2)=0),"Yes","No")))</f>
        <v/>
      </c>
      <c r="R484" s="17">
        <f>IF($C484="","",IF($L484="","",IF(AND($K484=2,$L484&lt;$J484,COUNTIFS(nrES_PID,$D484,nrES_Code,$F484,nrES_Att,1)&gt;0),"Yes","No")))</f>
        <v/>
      </c>
      <c r="S484" s="18" t="n"/>
      <c r="T484" s="19">
        <f>IF($Q484&lt;&gt;"Yes","",IF($S484="","(enter date)",_xlfn.LET(_xlpm.dn,IFERROR(_xlfn.XLOOKUP($S484,nrCDdate,nrCDnum),""),IF(_xlpm.dn="","(not a class day)",IFERROR(_xlfn.XLOOKUP(_xlpm.dn+cfgRetestClassDays,nrCDnum,nrCDdate),"")))))</f>
        <v/>
      </c>
      <c r="U484" s="17">
        <f>IF($Q484&lt;&gt;"Yes","",IF(COUNTIFS(nrES_PID,$D484,nrES_Code,$F484,nrES_Att,2)&gt;0,"Retested",IF(OR($T484="",NOT(ISNUMBER($T484))),"Pending",IF(TODAY()&gt;$T484,"OVERDUE","Due "&amp;TEXT($T484,"mm/dd")))))</f>
        <v/>
      </c>
      <c r="V484" s="16" t="n"/>
      <c r="W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IF($C485="","",IF($L485="","",IF($K485=1,IF(COUNTIFS(nrES_PID,$D485,nrES_Code,$F485,nrES_Att,2)&gt;0,"",$L485),IF(COUNTIFS(nrES_PID,$D485,nrES_Code,$F485,nrES_Att,1)=0,$L485,IF($L485&gt;=$J485,cfgRetakeRecordedCap,SUMIFS(nrES_Raw,nrES_PID,$D485,nrES_Code,$F485,nrES_Att,1))))))</f>
        <v/>
      </c>
      <c r="N485" s="17">
        <f>IF($C485="","",IF($L485="","",IF($L485&gt;=$J485,"Yes","No")))</f>
        <v/>
      </c>
      <c r="O485" s="17">
        <f>IF($C485="","",IF($M485="","",IF($M485&gt;=$J485,"Yes","No")))</f>
        <v/>
      </c>
      <c r="P485" s="17">
        <f>IF($C485="","",IF($K485="","",IF(COUNTIFS(nrES_PID,$D485,nrES_Code,$F485,nrES_Att,"&gt;"&amp;$K485)=0,"Yes","No")))</f>
        <v/>
      </c>
      <c r="Q485" s="17">
        <f>IF($C485="","",IF($L485="","",IF(AND($K485=1,$L485&lt;$J485,COUNTIFS(nrES_PID,$D485,nrES_Code,$F485,nrES_Att,2)=0),"Yes","No")))</f>
        <v/>
      </c>
      <c r="R485" s="17">
        <f>IF($C485="","",IF($L485="","",IF(AND($K485=2,$L485&lt;$J485,COUNTIFS(nrES_PID,$D485,nrES_Code,$F485,nrES_Att,1)&gt;0),"Yes","No")))</f>
        <v/>
      </c>
      <c r="S485" s="18" t="n"/>
      <c r="T485" s="19">
        <f>IF($Q485&lt;&gt;"Yes","",IF($S485="","(enter date)",_xlfn.LET(_xlpm.dn,IFERROR(_xlfn.XLOOKUP($S485,nrCDdate,nrCDnum),""),IF(_xlpm.dn="","(not a class day)",IFERROR(_xlfn.XLOOKUP(_xlpm.dn+cfgRetestClassDays,nrCDnum,nrCDdate),"")))))</f>
        <v/>
      </c>
      <c r="U485" s="17">
        <f>IF($Q485&lt;&gt;"Yes","",IF(COUNTIFS(nrES_PID,$D485,nrES_Code,$F485,nrES_Att,2)&gt;0,"Retested",IF(OR($T485="",NOT(ISNUMBER($T485))),"Pending",IF(TODAY()&gt;$T485,"OVERDUE","Due "&amp;TEXT($T485,"mm/dd")))))</f>
        <v/>
      </c>
      <c r="V485" s="16" t="n"/>
      <c r="W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IF($C486="","",IF($L486="","",IF($K486=1,IF(COUNTIFS(nrES_PID,$D486,nrES_Code,$F486,nrES_Att,2)&gt;0,"",$L486),IF(COUNTIFS(nrES_PID,$D486,nrES_Code,$F486,nrES_Att,1)=0,$L486,IF($L486&gt;=$J486,cfgRetakeRecordedCap,SUMIFS(nrES_Raw,nrES_PID,$D486,nrES_Code,$F486,nrES_Att,1))))))</f>
        <v/>
      </c>
      <c r="N486" s="17">
        <f>IF($C486="","",IF($L486="","",IF($L486&gt;=$J486,"Yes","No")))</f>
        <v/>
      </c>
      <c r="O486" s="17">
        <f>IF($C486="","",IF($M486="","",IF($M486&gt;=$J486,"Yes","No")))</f>
        <v/>
      </c>
      <c r="P486" s="17">
        <f>IF($C486="","",IF($K486="","",IF(COUNTIFS(nrES_PID,$D486,nrES_Code,$F486,nrES_Att,"&gt;"&amp;$K486)=0,"Yes","No")))</f>
        <v/>
      </c>
      <c r="Q486" s="17">
        <f>IF($C486="","",IF($L486="","",IF(AND($K486=1,$L486&lt;$J486,COUNTIFS(nrES_PID,$D486,nrES_Code,$F486,nrES_Att,2)=0),"Yes","No")))</f>
        <v/>
      </c>
      <c r="R486" s="17">
        <f>IF($C486="","",IF($L486="","",IF(AND($K486=2,$L486&lt;$J486,COUNTIFS(nrES_PID,$D486,nrES_Code,$F486,nrES_Att,1)&gt;0),"Yes","No")))</f>
        <v/>
      </c>
      <c r="S486" s="18" t="n"/>
      <c r="T486" s="19">
        <f>IF($Q486&lt;&gt;"Yes","",IF($S486="","(enter date)",_xlfn.LET(_xlpm.dn,IFERROR(_xlfn.XLOOKUP($S486,nrCDdate,nrCDnum),""),IF(_xlpm.dn="","(not a class day)",IFERROR(_xlfn.XLOOKUP(_xlpm.dn+cfgRetestClassDays,nrCDnum,nrCDdate),"")))))</f>
        <v/>
      </c>
      <c r="U486" s="17">
        <f>IF($Q486&lt;&gt;"Yes","",IF(COUNTIFS(nrES_PID,$D486,nrES_Code,$F486,nrES_Att,2)&gt;0,"Retested",IF(OR($T486="",NOT(ISNUMBER($T486))),"Pending",IF(TODAY()&gt;$T486,"OVERDUE","Due "&amp;TEXT($T486,"mm/dd")))))</f>
        <v/>
      </c>
      <c r="V486" s="16" t="n"/>
      <c r="W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IF($C487="","",IF($L487="","",IF($K487=1,IF(COUNTIFS(nrES_PID,$D487,nrES_Code,$F487,nrES_Att,2)&gt;0,"",$L487),IF(COUNTIFS(nrES_PID,$D487,nrES_Code,$F487,nrES_Att,1)=0,$L487,IF($L487&gt;=$J487,cfgRetakeRecordedCap,SUMIFS(nrES_Raw,nrES_PID,$D487,nrES_Code,$F487,nrES_Att,1))))))</f>
        <v/>
      </c>
      <c r="N487" s="17">
        <f>IF($C487="","",IF($L487="","",IF($L487&gt;=$J487,"Yes","No")))</f>
        <v/>
      </c>
      <c r="O487" s="17">
        <f>IF($C487="","",IF($M487="","",IF($M487&gt;=$J487,"Yes","No")))</f>
        <v/>
      </c>
      <c r="P487" s="17">
        <f>IF($C487="","",IF($K487="","",IF(COUNTIFS(nrES_PID,$D487,nrES_Code,$F487,nrES_Att,"&gt;"&amp;$K487)=0,"Yes","No")))</f>
        <v/>
      </c>
      <c r="Q487" s="17">
        <f>IF($C487="","",IF($L487="","",IF(AND($K487=1,$L487&lt;$J487,COUNTIFS(nrES_PID,$D487,nrES_Code,$F487,nrES_Att,2)=0),"Yes","No")))</f>
        <v/>
      </c>
      <c r="R487" s="17">
        <f>IF($C487="","",IF($L487="","",IF(AND($K487=2,$L487&lt;$J487,COUNTIFS(nrES_PID,$D487,nrES_Code,$F487,nrES_Att,1)&gt;0),"Yes","No")))</f>
        <v/>
      </c>
      <c r="S487" s="18" t="n"/>
      <c r="T487" s="19">
        <f>IF($Q487&lt;&gt;"Yes","",IF($S487="","(enter date)",_xlfn.LET(_xlpm.dn,IFERROR(_xlfn.XLOOKUP($S487,nrCDdate,nrCDnum),""),IF(_xlpm.dn="","(not a class day)",IFERROR(_xlfn.XLOOKUP(_xlpm.dn+cfgRetestClassDays,nrCDnum,nrCDdate),"")))))</f>
        <v/>
      </c>
      <c r="U487" s="17">
        <f>IF($Q487&lt;&gt;"Yes","",IF(COUNTIFS(nrES_PID,$D487,nrES_Code,$F487,nrES_Att,2)&gt;0,"Retested",IF(OR($T487="",NOT(ISNUMBER($T487))),"Pending",IF(TODAY()&gt;$T487,"OVERDUE","Due "&amp;TEXT($T487,"mm/dd")))))</f>
        <v/>
      </c>
      <c r="V487" s="16" t="n"/>
      <c r="W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IF($C488="","",IF($L488="","",IF($K488=1,IF(COUNTIFS(nrES_PID,$D488,nrES_Code,$F488,nrES_Att,2)&gt;0,"",$L488),IF(COUNTIFS(nrES_PID,$D488,nrES_Code,$F488,nrES_Att,1)=0,$L488,IF($L488&gt;=$J488,cfgRetakeRecordedCap,SUMIFS(nrES_Raw,nrES_PID,$D488,nrES_Code,$F488,nrES_Att,1))))))</f>
        <v/>
      </c>
      <c r="N488" s="17">
        <f>IF($C488="","",IF($L488="","",IF($L488&gt;=$J488,"Yes","No")))</f>
        <v/>
      </c>
      <c r="O488" s="17">
        <f>IF($C488="","",IF($M488="","",IF($M488&gt;=$J488,"Yes","No")))</f>
        <v/>
      </c>
      <c r="P488" s="17">
        <f>IF($C488="","",IF($K488="","",IF(COUNTIFS(nrES_PID,$D488,nrES_Code,$F488,nrES_Att,"&gt;"&amp;$K488)=0,"Yes","No")))</f>
        <v/>
      </c>
      <c r="Q488" s="17">
        <f>IF($C488="","",IF($L488="","",IF(AND($K488=1,$L488&lt;$J488,COUNTIFS(nrES_PID,$D488,nrES_Code,$F488,nrES_Att,2)=0),"Yes","No")))</f>
        <v/>
      </c>
      <c r="R488" s="17">
        <f>IF($C488="","",IF($L488="","",IF(AND($K488=2,$L488&lt;$J488,COUNTIFS(nrES_PID,$D488,nrES_Code,$F488,nrES_Att,1)&gt;0),"Yes","No")))</f>
        <v/>
      </c>
      <c r="S488" s="18" t="n"/>
      <c r="T488" s="19">
        <f>IF($Q488&lt;&gt;"Yes","",IF($S488="","(enter date)",_xlfn.LET(_xlpm.dn,IFERROR(_xlfn.XLOOKUP($S488,nrCDdate,nrCDnum),""),IF(_xlpm.dn="","(not a class day)",IFERROR(_xlfn.XLOOKUP(_xlpm.dn+cfgRetestClassDays,nrCDnum,nrCDdate),"")))))</f>
        <v/>
      </c>
      <c r="U488" s="17">
        <f>IF($Q488&lt;&gt;"Yes","",IF(COUNTIFS(nrES_PID,$D488,nrES_Code,$F488,nrES_Att,2)&gt;0,"Retested",IF(OR($T488="",NOT(ISNUMBER($T488))),"Pending",IF(TODAY()&gt;$T488,"OVERDUE","Due "&amp;TEXT($T488,"mm/dd")))))</f>
        <v/>
      </c>
      <c r="V488" s="16" t="n"/>
      <c r="W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IF($C489="","",IF($L489="","",IF($K489=1,IF(COUNTIFS(nrES_PID,$D489,nrES_Code,$F489,nrES_Att,2)&gt;0,"",$L489),IF(COUNTIFS(nrES_PID,$D489,nrES_Code,$F489,nrES_Att,1)=0,$L489,IF($L489&gt;=$J489,cfgRetakeRecordedCap,SUMIFS(nrES_Raw,nrES_PID,$D489,nrES_Code,$F489,nrES_Att,1))))))</f>
        <v/>
      </c>
      <c r="N489" s="17">
        <f>IF($C489="","",IF($L489="","",IF($L489&gt;=$J489,"Yes","No")))</f>
        <v/>
      </c>
      <c r="O489" s="17">
        <f>IF($C489="","",IF($M489="","",IF($M489&gt;=$J489,"Yes","No")))</f>
        <v/>
      </c>
      <c r="P489" s="17">
        <f>IF($C489="","",IF($K489="","",IF(COUNTIFS(nrES_PID,$D489,nrES_Code,$F489,nrES_Att,"&gt;"&amp;$K489)=0,"Yes","No")))</f>
        <v/>
      </c>
      <c r="Q489" s="17">
        <f>IF($C489="","",IF($L489="","",IF(AND($K489=1,$L489&lt;$J489,COUNTIFS(nrES_PID,$D489,nrES_Code,$F489,nrES_Att,2)=0),"Yes","No")))</f>
        <v/>
      </c>
      <c r="R489" s="17">
        <f>IF($C489="","",IF($L489="","",IF(AND($K489=2,$L489&lt;$J489,COUNTIFS(nrES_PID,$D489,nrES_Code,$F489,nrES_Att,1)&gt;0),"Yes","No")))</f>
        <v/>
      </c>
      <c r="S489" s="18" t="n"/>
      <c r="T489" s="19">
        <f>IF($Q489&lt;&gt;"Yes","",IF($S489="","(enter date)",_xlfn.LET(_xlpm.dn,IFERROR(_xlfn.XLOOKUP($S489,nrCDdate,nrCDnum),""),IF(_xlpm.dn="","(not a class day)",IFERROR(_xlfn.XLOOKUP(_xlpm.dn+cfgRetestClassDays,nrCDnum,nrCDdate),"")))))</f>
        <v/>
      </c>
      <c r="U489" s="17">
        <f>IF($Q489&lt;&gt;"Yes","",IF(COUNTIFS(nrES_PID,$D489,nrES_Code,$F489,nrES_Att,2)&gt;0,"Retested",IF(OR($T489="",NOT(ISNUMBER($T489))),"Pending",IF(TODAY()&gt;$T489,"OVERDUE","Due "&amp;TEXT($T489,"mm/dd")))))</f>
        <v/>
      </c>
      <c r="V489" s="16" t="n"/>
      <c r="W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IF($C490="","",IF($L490="","",IF($K490=1,IF(COUNTIFS(nrES_PID,$D490,nrES_Code,$F490,nrES_Att,2)&gt;0,"",$L490),IF(COUNTIFS(nrES_PID,$D490,nrES_Code,$F490,nrES_Att,1)=0,$L490,IF($L490&gt;=$J490,cfgRetakeRecordedCap,SUMIFS(nrES_Raw,nrES_PID,$D490,nrES_Code,$F490,nrES_Att,1))))))</f>
        <v/>
      </c>
      <c r="N490" s="17">
        <f>IF($C490="","",IF($L490="","",IF($L490&gt;=$J490,"Yes","No")))</f>
        <v/>
      </c>
      <c r="O490" s="17">
        <f>IF($C490="","",IF($M490="","",IF($M490&gt;=$J490,"Yes","No")))</f>
        <v/>
      </c>
      <c r="P490" s="17">
        <f>IF($C490="","",IF($K490="","",IF(COUNTIFS(nrES_PID,$D490,nrES_Code,$F490,nrES_Att,"&gt;"&amp;$K490)=0,"Yes","No")))</f>
        <v/>
      </c>
      <c r="Q490" s="17">
        <f>IF($C490="","",IF($L490="","",IF(AND($K490=1,$L490&lt;$J490,COUNTIFS(nrES_PID,$D490,nrES_Code,$F490,nrES_Att,2)=0),"Yes","No")))</f>
        <v/>
      </c>
      <c r="R490" s="17">
        <f>IF($C490="","",IF($L490="","",IF(AND($K490=2,$L490&lt;$J490,COUNTIFS(nrES_PID,$D490,nrES_Code,$F490,nrES_Att,1)&gt;0),"Yes","No")))</f>
        <v/>
      </c>
      <c r="S490" s="18" t="n"/>
      <c r="T490" s="19">
        <f>IF($Q490&lt;&gt;"Yes","",IF($S490="","(enter date)",_xlfn.LET(_xlpm.dn,IFERROR(_xlfn.XLOOKUP($S490,nrCDdate,nrCDnum),""),IF(_xlpm.dn="","(not a class day)",IFERROR(_xlfn.XLOOKUP(_xlpm.dn+cfgRetestClassDays,nrCDnum,nrCDdate),"")))))</f>
        <v/>
      </c>
      <c r="U490" s="17">
        <f>IF($Q490&lt;&gt;"Yes","",IF(COUNTIFS(nrES_PID,$D490,nrES_Code,$F490,nrES_Att,2)&gt;0,"Retested",IF(OR($T490="",NOT(ISNUMBER($T490))),"Pending",IF(TODAY()&gt;$T490,"OVERDUE","Due "&amp;TEXT($T490,"mm/dd")))))</f>
        <v/>
      </c>
      <c r="V490" s="16" t="n"/>
      <c r="W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IF($C491="","",IF($L491="","",IF($K491=1,IF(COUNTIFS(nrES_PID,$D491,nrES_Code,$F491,nrES_Att,2)&gt;0,"",$L491),IF(COUNTIFS(nrES_PID,$D491,nrES_Code,$F491,nrES_Att,1)=0,$L491,IF($L491&gt;=$J491,cfgRetakeRecordedCap,SUMIFS(nrES_Raw,nrES_PID,$D491,nrES_Code,$F491,nrES_Att,1))))))</f>
        <v/>
      </c>
      <c r="N491" s="17">
        <f>IF($C491="","",IF($L491="","",IF($L491&gt;=$J491,"Yes","No")))</f>
        <v/>
      </c>
      <c r="O491" s="17">
        <f>IF($C491="","",IF($M491="","",IF($M491&gt;=$J491,"Yes","No")))</f>
        <v/>
      </c>
      <c r="P491" s="17">
        <f>IF($C491="","",IF($K491="","",IF(COUNTIFS(nrES_PID,$D491,nrES_Code,$F491,nrES_Att,"&gt;"&amp;$K491)=0,"Yes","No")))</f>
        <v/>
      </c>
      <c r="Q491" s="17">
        <f>IF($C491="","",IF($L491="","",IF(AND($K491=1,$L491&lt;$J491,COUNTIFS(nrES_PID,$D491,nrES_Code,$F491,nrES_Att,2)=0),"Yes","No")))</f>
        <v/>
      </c>
      <c r="R491" s="17">
        <f>IF($C491="","",IF($L491="","",IF(AND($K491=2,$L491&lt;$J491,COUNTIFS(nrES_PID,$D491,nrES_Code,$F491,nrES_Att,1)&gt;0),"Yes","No")))</f>
        <v/>
      </c>
      <c r="S491" s="18" t="n"/>
      <c r="T491" s="19">
        <f>IF($Q491&lt;&gt;"Yes","",IF($S491="","(enter date)",_xlfn.LET(_xlpm.dn,IFERROR(_xlfn.XLOOKUP($S491,nrCDdate,nrCDnum),""),IF(_xlpm.dn="","(not a class day)",IFERROR(_xlfn.XLOOKUP(_xlpm.dn+cfgRetestClassDays,nrCDnum,nrCDdate),"")))))</f>
        <v/>
      </c>
      <c r="U491" s="17">
        <f>IF($Q491&lt;&gt;"Yes","",IF(COUNTIFS(nrES_PID,$D491,nrES_Code,$F491,nrES_Att,2)&gt;0,"Retested",IF(OR($T491="",NOT(ISNUMBER($T491))),"Pending",IF(TODAY()&gt;$T491,"OVERDUE","Due "&amp;TEXT($T491,"mm/dd")))))</f>
        <v/>
      </c>
      <c r="V491" s="16" t="n"/>
      <c r="W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IF($C492="","",IF($L492="","",IF($K492=1,IF(COUNTIFS(nrES_PID,$D492,nrES_Code,$F492,nrES_Att,2)&gt;0,"",$L492),IF(COUNTIFS(nrES_PID,$D492,nrES_Code,$F492,nrES_Att,1)=0,$L492,IF($L492&gt;=$J492,cfgRetakeRecordedCap,SUMIFS(nrES_Raw,nrES_PID,$D492,nrES_Code,$F492,nrES_Att,1))))))</f>
        <v/>
      </c>
      <c r="N492" s="17">
        <f>IF($C492="","",IF($L492="","",IF($L492&gt;=$J492,"Yes","No")))</f>
        <v/>
      </c>
      <c r="O492" s="17">
        <f>IF($C492="","",IF($M492="","",IF($M492&gt;=$J492,"Yes","No")))</f>
        <v/>
      </c>
      <c r="P492" s="17">
        <f>IF($C492="","",IF($K492="","",IF(COUNTIFS(nrES_PID,$D492,nrES_Code,$F492,nrES_Att,"&gt;"&amp;$K492)=0,"Yes","No")))</f>
        <v/>
      </c>
      <c r="Q492" s="17">
        <f>IF($C492="","",IF($L492="","",IF(AND($K492=1,$L492&lt;$J492,COUNTIFS(nrES_PID,$D492,nrES_Code,$F492,nrES_Att,2)=0),"Yes","No")))</f>
        <v/>
      </c>
      <c r="R492" s="17">
        <f>IF($C492="","",IF($L492="","",IF(AND($K492=2,$L492&lt;$J492,COUNTIFS(nrES_PID,$D492,nrES_Code,$F492,nrES_Att,1)&gt;0),"Yes","No")))</f>
        <v/>
      </c>
      <c r="S492" s="18" t="n"/>
      <c r="T492" s="19">
        <f>IF($Q492&lt;&gt;"Yes","",IF($S492="","(enter date)",_xlfn.LET(_xlpm.dn,IFERROR(_xlfn.XLOOKUP($S492,nrCDdate,nrCDnum),""),IF(_xlpm.dn="","(not a class day)",IFERROR(_xlfn.XLOOKUP(_xlpm.dn+cfgRetestClassDays,nrCDnum,nrCDdate),"")))))</f>
        <v/>
      </c>
      <c r="U492" s="17">
        <f>IF($Q492&lt;&gt;"Yes","",IF(COUNTIFS(nrES_PID,$D492,nrES_Code,$F492,nrES_Att,2)&gt;0,"Retested",IF(OR($T492="",NOT(ISNUMBER($T492))),"Pending",IF(TODAY()&gt;$T492,"OVERDUE","Due "&amp;TEXT($T492,"mm/dd")))))</f>
        <v/>
      </c>
      <c r="V492" s="16" t="n"/>
      <c r="W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IF($C493="","",IF($L493="","",IF($K493=1,IF(COUNTIFS(nrES_PID,$D493,nrES_Code,$F493,nrES_Att,2)&gt;0,"",$L493),IF(COUNTIFS(nrES_PID,$D493,nrES_Code,$F493,nrES_Att,1)=0,$L493,IF($L493&gt;=$J493,cfgRetakeRecordedCap,SUMIFS(nrES_Raw,nrES_PID,$D493,nrES_Code,$F493,nrES_Att,1))))))</f>
        <v/>
      </c>
      <c r="N493" s="17">
        <f>IF($C493="","",IF($L493="","",IF($L493&gt;=$J493,"Yes","No")))</f>
        <v/>
      </c>
      <c r="O493" s="17">
        <f>IF($C493="","",IF($M493="","",IF($M493&gt;=$J493,"Yes","No")))</f>
        <v/>
      </c>
      <c r="P493" s="17">
        <f>IF($C493="","",IF($K493="","",IF(COUNTIFS(nrES_PID,$D493,nrES_Code,$F493,nrES_Att,"&gt;"&amp;$K493)=0,"Yes","No")))</f>
        <v/>
      </c>
      <c r="Q493" s="17">
        <f>IF($C493="","",IF($L493="","",IF(AND($K493=1,$L493&lt;$J493,COUNTIFS(nrES_PID,$D493,nrES_Code,$F493,nrES_Att,2)=0),"Yes","No")))</f>
        <v/>
      </c>
      <c r="R493" s="17">
        <f>IF($C493="","",IF($L493="","",IF(AND($K493=2,$L493&lt;$J493,COUNTIFS(nrES_PID,$D493,nrES_Code,$F493,nrES_Att,1)&gt;0),"Yes","No")))</f>
        <v/>
      </c>
      <c r="S493" s="18" t="n"/>
      <c r="T493" s="19">
        <f>IF($Q493&lt;&gt;"Yes","",IF($S493="","(enter date)",_xlfn.LET(_xlpm.dn,IFERROR(_xlfn.XLOOKUP($S493,nrCDdate,nrCDnum),""),IF(_xlpm.dn="","(not a class day)",IFERROR(_xlfn.XLOOKUP(_xlpm.dn+cfgRetestClassDays,nrCDnum,nrCDdate),"")))))</f>
        <v/>
      </c>
      <c r="U493" s="17">
        <f>IF($Q493&lt;&gt;"Yes","",IF(COUNTIFS(nrES_PID,$D493,nrES_Code,$F493,nrES_Att,2)&gt;0,"Retested",IF(OR($T493="",NOT(ISNUMBER($T493))),"Pending",IF(TODAY()&gt;$T493,"OVERDUE","Due "&amp;TEXT($T493,"mm/dd")))))</f>
        <v/>
      </c>
      <c r="V493" s="16" t="n"/>
      <c r="W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IF($C494="","",IF($L494="","",IF($K494=1,IF(COUNTIFS(nrES_PID,$D494,nrES_Code,$F494,nrES_Att,2)&gt;0,"",$L494),IF(COUNTIFS(nrES_PID,$D494,nrES_Code,$F494,nrES_Att,1)=0,$L494,IF($L494&gt;=$J494,cfgRetakeRecordedCap,SUMIFS(nrES_Raw,nrES_PID,$D494,nrES_Code,$F494,nrES_Att,1))))))</f>
        <v/>
      </c>
      <c r="N494" s="17">
        <f>IF($C494="","",IF($L494="","",IF($L494&gt;=$J494,"Yes","No")))</f>
        <v/>
      </c>
      <c r="O494" s="17">
        <f>IF($C494="","",IF($M494="","",IF($M494&gt;=$J494,"Yes","No")))</f>
        <v/>
      </c>
      <c r="P494" s="17">
        <f>IF($C494="","",IF($K494="","",IF(COUNTIFS(nrES_PID,$D494,nrES_Code,$F494,nrES_Att,"&gt;"&amp;$K494)=0,"Yes","No")))</f>
        <v/>
      </c>
      <c r="Q494" s="17">
        <f>IF($C494="","",IF($L494="","",IF(AND($K494=1,$L494&lt;$J494,COUNTIFS(nrES_PID,$D494,nrES_Code,$F494,nrES_Att,2)=0),"Yes","No")))</f>
        <v/>
      </c>
      <c r="R494" s="17">
        <f>IF($C494="","",IF($L494="","",IF(AND($K494=2,$L494&lt;$J494,COUNTIFS(nrES_PID,$D494,nrES_Code,$F494,nrES_Att,1)&gt;0),"Yes","No")))</f>
        <v/>
      </c>
      <c r="S494" s="18" t="n"/>
      <c r="T494" s="19">
        <f>IF($Q494&lt;&gt;"Yes","",IF($S494="","(enter date)",_xlfn.LET(_xlpm.dn,IFERROR(_xlfn.XLOOKUP($S494,nrCDdate,nrCDnum),""),IF(_xlpm.dn="","(not a class day)",IFERROR(_xlfn.XLOOKUP(_xlpm.dn+cfgRetestClassDays,nrCDnum,nrCDdate),"")))))</f>
        <v/>
      </c>
      <c r="U494" s="17">
        <f>IF($Q494&lt;&gt;"Yes","",IF(COUNTIFS(nrES_PID,$D494,nrES_Code,$F494,nrES_Att,2)&gt;0,"Retested",IF(OR($T494="",NOT(ISNUMBER($T494))),"Pending",IF(TODAY()&gt;$T494,"OVERDUE","Due "&amp;TEXT($T494,"mm/dd")))))</f>
        <v/>
      </c>
      <c r="V494" s="16" t="n"/>
      <c r="W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IF($C495="","",IF($L495="","",IF($K495=1,IF(COUNTIFS(nrES_PID,$D495,nrES_Code,$F495,nrES_Att,2)&gt;0,"",$L495),IF(COUNTIFS(nrES_PID,$D495,nrES_Code,$F495,nrES_Att,1)=0,$L495,IF($L495&gt;=$J495,cfgRetakeRecordedCap,SUMIFS(nrES_Raw,nrES_PID,$D495,nrES_Code,$F495,nrES_Att,1))))))</f>
        <v/>
      </c>
      <c r="N495" s="17">
        <f>IF($C495="","",IF($L495="","",IF($L495&gt;=$J495,"Yes","No")))</f>
        <v/>
      </c>
      <c r="O495" s="17">
        <f>IF($C495="","",IF($M495="","",IF($M495&gt;=$J495,"Yes","No")))</f>
        <v/>
      </c>
      <c r="P495" s="17">
        <f>IF($C495="","",IF($K495="","",IF(COUNTIFS(nrES_PID,$D495,nrES_Code,$F495,nrES_Att,"&gt;"&amp;$K495)=0,"Yes","No")))</f>
        <v/>
      </c>
      <c r="Q495" s="17">
        <f>IF($C495="","",IF($L495="","",IF(AND($K495=1,$L495&lt;$J495,COUNTIFS(nrES_PID,$D495,nrES_Code,$F495,nrES_Att,2)=0),"Yes","No")))</f>
        <v/>
      </c>
      <c r="R495" s="17">
        <f>IF($C495="","",IF($L495="","",IF(AND($K495=2,$L495&lt;$J495,COUNTIFS(nrES_PID,$D495,nrES_Code,$F495,nrES_Att,1)&gt;0),"Yes","No")))</f>
        <v/>
      </c>
      <c r="S495" s="18" t="n"/>
      <c r="T495" s="19">
        <f>IF($Q495&lt;&gt;"Yes","",IF($S495="","(enter date)",_xlfn.LET(_xlpm.dn,IFERROR(_xlfn.XLOOKUP($S495,nrCDdate,nrCDnum),""),IF(_xlpm.dn="","(not a class day)",IFERROR(_xlfn.XLOOKUP(_xlpm.dn+cfgRetestClassDays,nrCDnum,nrCDdate),"")))))</f>
        <v/>
      </c>
      <c r="U495" s="17">
        <f>IF($Q495&lt;&gt;"Yes","",IF(COUNTIFS(nrES_PID,$D495,nrES_Code,$F495,nrES_Att,2)&gt;0,"Retested",IF(OR($T495="",NOT(ISNUMBER($T495))),"Pending",IF(TODAY()&gt;$T495,"OVERDUE","Due "&amp;TEXT($T495,"mm/dd")))))</f>
        <v/>
      </c>
      <c r="V495" s="16" t="n"/>
      <c r="W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IF($C496="","",IF($L496="","",IF($K496=1,IF(COUNTIFS(nrES_PID,$D496,nrES_Code,$F496,nrES_Att,2)&gt;0,"",$L496),IF(COUNTIFS(nrES_PID,$D496,nrES_Code,$F496,nrES_Att,1)=0,$L496,IF($L496&gt;=$J496,cfgRetakeRecordedCap,SUMIFS(nrES_Raw,nrES_PID,$D496,nrES_Code,$F496,nrES_Att,1))))))</f>
        <v/>
      </c>
      <c r="N496" s="17">
        <f>IF($C496="","",IF($L496="","",IF($L496&gt;=$J496,"Yes","No")))</f>
        <v/>
      </c>
      <c r="O496" s="17">
        <f>IF($C496="","",IF($M496="","",IF($M496&gt;=$J496,"Yes","No")))</f>
        <v/>
      </c>
      <c r="P496" s="17">
        <f>IF($C496="","",IF($K496="","",IF(COUNTIFS(nrES_PID,$D496,nrES_Code,$F496,nrES_Att,"&gt;"&amp;$K496)=0,"Yes","No")))</f>
        <v/>
      </c>
      <c r="Q496" s="17">
        <f>IF($C496="","",IF($L496="","",IF(AND($K496=1,$L496&lt;$J496,COUNTIFS(nrES_PID,$D496,nrES_Code,$F496,nrES_Att,2)=0),"Yes","No")))</f>
        <v/>
      </c>
      <c r="R496" s="17">
        <f>IF($C496="","",IF($L496="","",IF(AND($K496=2,$L496&lt;$J496,COUNTIFS(nrES_PID,$D496,nrES_Code,$F496,nrES_Att,1)&gt;0),"Yes","No")))</f>
        <v/>
      </c>
      <c r="S496" s="18" t="n"/>
      <c r="T496" s="19">
        <f>IF($Q496&lt;&gt;"Yes","",IF($S496="","(enter date)",_xlfn.LET(_xlpm.dn,IFERROR(_xlfn.XLOOKUP($S496,nrCDdate,nrCDnum),""),IF(_xlpm.dn="","(not a class day)",IFERROR(_xlfn.XLOOKUP(_xlpm.dn+cfgRetestClassDays,nrCDnum,nrCDdate),"")))))</f>
        <v/>
      </c>
      <c r="U496" s="17">
        <f>IF($Q496&lt;&gt;"Yes","",IF(COUNTIFS(nrES_PID,$D496,nrES_Code,$F496,nrES_Att,2)&gt;0,"Retested",IF(OR($T496="",NOT(ISNUMBER($T496))),"Pending",IF(TODAY()&gt;$T496,"OVERDUE","Due "&amp;TEXT($T496,"mm/dd")))))</f>
        <v/>
      </c>
      <c r="V496" s="16" t="n"/>
      <c r="W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IF($C497="","",IF($L497="","",IF($K497=1,IF(COUNTIFS(nrES_PID,$D497,nrES_Code,$F497,nrES_Att,2)&gt;0,"",$L497),IF(COUNTIFS(nrES_PID,$D497,nrES_Code,$F497,nrES_Att,1)=0,$L497,IF($L497&gt;=$J497,cfgRetakeRecordedCap,SUMIFS(nrES_Raw,nrES_PID,$D497,nrES_Code,$F497,nrES_Att,1))))))</f>
        <v/>
      </c>
      <c r="N497" s="17">
        <f>IF($C497="","",IF($L497="","",IF($L497&gt;=$J497,"Yes","No")))</f>
        <v/>
      </c>
      <c r="O497" s="17">
        <f>IF($C497="","",IF($M497="","",IF($M497&gt;=$J497,"Yes","No")))</f>
        <v/>
      </c>
      <c r="P497" s="17">
        <f>IF($C497="","",IF($K497="","",IF(COUNTIFS(nrES_PID,$D497,nrES_Code,$F497,nrES_Att,"&gt;"&amp;$K497)=0,"Yes","No")))</f>
        <v/>
      </c>
      <c r="Q497" s="17">
        <f>IF($C497="","",IF($L497="","",IF(AND($K497=1,$L497&lt;$J497,COUNTIFS(nrES_PID,$D497,nrES_Code,$F497,nrES_Att,2)=0),"Yes","No")))</f>
        <v/>
      </c>
      <c r="R497" s="17">
        <f>IF($C497="","",IF($L497="","",IF(AND($K497=2,$L497&lt;$J497,COUNTIFS(nrES_PID,$D497,nrES_Code,$F497,nrES_Att,1)&gt;0),"Yes","No")))</f>
        <v/>
      </c>
      <c r="S497" s="18" t="n"/>
      <c r="T497" s="19">
        <f>IF($Q497&lt;&gt;"Yes","",IF($S497="","(enter date)",_xlfn.LET(_xlpm.dn,IFERROR(_xlfn.XLOOKUP($S497,nrCDdate,nrCDnum),""),IF(_xlpm.dn="","(not a class day)",IFERROR(_xlfn.XLOOKUP(_xlpm.dn+cfgRetestClassDays,nrCDnum,nrCDdate),"")))))</f>
        <v/>
      </c>
      <c r="U497" s="17">
        <f>IF($Q497&lt;&gt;"Yes","",IF(COUNTIFS(nrES_PID,$D497,nrES_Code,$F497,nrES_Att,2)&gt;0,"Retested",IF(OR($T497="",NOT(ISNUMBER($T497))),"Pending",IF(TODAY()&gt;$T497,"OVERDUE","Due "&amp;TEXT($T497,"mm/dd")))))</f>
        <v/>
      </c>
      <c r="V497" s="16" t="n"/>
      <c r="W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IF($C498="","",IF($L498="","",IF($K498=1,IF(COUNTIFS(nrES_PID,$D498,nrES_Code,$F498,nrES_Att,2)&gt;0,"",$L498),IF(COUNTIFS(nrES_PID,$D498,nrES_Code,$F498,nrES_Att,1)=0,$L498,IF($L498&gt;=$J498,cfgRetakeRecordedCap,SUMIFS(nrES_Raw,nrES_PID,$D498,nrES_Code,$F498,nrES_Att,1))))))</f>
        <v/>
      </c>
      <c r="N498" s="17">
        <f>IF($C498="","",IF($L498="","",IF($L498&gt;=$J498,"Yes","No")))</f>
        <v/>
      </c>
      <c r="O498" s="17">
        <f>IF($C498="","",IF($M498="","",IF($M498&gt;=$J498,"Yes","No")))</f>
        <v/>
      </c>
      <c r="P498" s="17">
        <f>IF($C498="","",IF($K498="","",IF(COUNTIFS(nrES_PID,$D498,nrES_Code,$F498,nrES_Att,"&gt;"&amp;$K498)=0,"Yes","No")))</f>
        <v/>
      </c>
      <c r="Q498" s="17">
        <f>IF($C498="","",IF($L498="","",IF(AND($K498=1,$L498&lt;$J498,COUNTIFS(nrES_PID,$D498,nrES_Code,$F498,nrES_Att,2)=0),"Yes","No")))</f>
        <v/>
      </c>
      <c r="R498" s="17">
        <f>IF($C498="","",IF($L498="","",IF(AND($K498=2,$L498&lt;$J498,COUNTIFS(nrES_PID,$D498,nrES_Code,$F498,nrES_Att,1)&gt;0),"Yes","No")))</f>
        <v/>
      </c>
      <c r="S498" s="18" t="n"/>
      <c r="T498" s="19">
        <f>IF($Q498&lt;&gt;"Yes","",IF($S498="","(enter date)",_xlfn.LET(_xlpm.dn,IFERROR(_xlfn.XLOOKUP($S498,nrCDdate,nrCDnum),""),IF(_xlpm.dn="","(not a class day)",IFERROR(_xlfn.XLOOKUP(_xlpm.dn+cfgRetestClassDays,nrCDnum,nrCDdate),"")))))</f>
        <v/>
      </c>
      <c r="U498" s="17">
        <f>IF($Q498&lt;&gt;"Yes","",IF(COUNTIFS(nrES_PID,$D498,nrES_Code,$F498,nrES_Att,2)&gt;0,"Retested",IF(OR($T498="",NOT(ISNUMBER($T498))),"Pending",IF(TODAY()&gt;$T498,"OVERDUE","Due "&amp;TEXT($T498,"mm/dd")))))</f>
        <v/>
      </c>
      <c r="V498" s="16" t="n"/>
      <c r="W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IF($C499="","",IF($L499="","",IF($K499=1,IF(COUNTIFS(nrES_PID,$D499,nrES_Code,$F499,nrES_Att,2)&gt;0,"",$L499),IF(COUNTIFS(nrES_PID,$D499,nrES_Code,$F499,nrES_Att,1)=0,$L499,IF($L499&gt;=$J499,cfgRetakeRecordedCap,SUMIFS(nrES_Raw,nrES_PID,$D499,nrES_Code,$F499,nrES_Att,1))))))</f>
        <v/>
      </c>
      <c r="N499" s="17">
        <f>IF($C499="","",IF($L499="","",IF($L499&gt;=$J499,"Yes","No")))</f>
        <v/>
      </c>
      <c r="O499" s="17">
        <f>IF($C499="","",IF($M499="","",IF($M499&gt;=$J499,"Yes","No")))</f>
        <v/>
      </c>
      <c r="P499" s="17">
        <f>IF($C499="","",IF($K499="","",IF(COUNTIFS(nrES_PID,$D499,nrES_Code,$F499,nrES_Att,"&gt;"&amp;$K499)=0,"Yes","No")))</f>
        <v/>
      </c>
      <c r="Q499" s="17">
        <f>IF($C499="","",IF($L499="","",IF(AND($K499=1,$L499&lt;$J499,COUNTIFS(nrES_PID,$D499,nrES_Code,$F499,nrES_Att,2)=0),"Yes","No")))</f>
        <v/>
      </c>
      <c r="R499" s="17">
        <f>IF($C499="","",IF($L499="","",IF(AND($K499=2,$L499&lt;$J499,COUNTIFS(nrES_PID,$D499,nrES_Code,$F499,nrES_Att,1)&gt;0),"Yes","No")))</f>
        <v/>
      </c>
      <c r="S499" s="18" t="n"/>
      <c r="T499" s="19">
        <f>IF($Q499&lt;&gt;"Yes","",IF($S499="","(enter date)",_xlfn.LET(_xlpm.dn,IFERROR(_xlfn.XLOOKUP($S499,nrCDdate,nrCDnum),""),IF(_xlpm.dn="","(not a class day)",IFERROR(_xlfn.XLOOKUP(_xlpm.dn+cfgRetestClassDays,nrCDnum,nrCDdate),"")))))</f>
        <v/>
      </c>
      <c r="U499" s="17">
        <f>IF($Q499&lt;&gt;"Yes","",IF(COUNTIFS(nrES_PID,$D499,nrES_Code,$F499,nrES_Att,2)&gt;0,"Retested",IF(OR($T499="",NOT(ISNUMBER($T499))),"Pending",IF(TODAY()&gt;$T499,"OVERDUE","Due "&amp;TEXT($T499,"mm/dd")))))</f>
        <v/>
      </c>
      <c r="V499" s="16" t="n"/>
      <c r="W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IF($C500="","",IF($L500="","",IF($K500=1,IF(COUNTIFS(nrES_PID,$D500,nrES_Code,$F500,nrES_Att,2)&gt;0,"",$L500),IF(COUNTIFS(nrES_PID,$D500,nrES_Code,$F500,nrES_Att,1)=0,$L500,IF($L500&gt;=$J500,cfgRetakeRecordedCap,SUMIFS(nrES_Raw,nrES_PID,$D500,nrES_Code,$F500,nrES_Att,1))))))</f>
        <v/>
      </c>
      <c r="N500" s="17">
        <f>IF($C500="","",IF($L500="","",IF($L500&gt;=$J500,"Yes","No")))</f>
        <v/>
      </c>
      <c r="O500" s="17">
        <f>IF($C500="","",IF($M500="","",IF($M500&gt;=$J500,"Yes","No")))</f>
        <v/>
      </c>
      <c r="P500" s="17">
        <f>IF($C500="","",IF($K500="","",IF(COUNTIFS(nrES_PID,$D500,nrES_Code,$F500,nrES_Att,"&gt;"&amp;$K500)=0,"Yes","No")))</f>
        <v/>
      </c>
      <c r="Q500" s="17">
        <f>IF($C500="","",IF($L500="","",IF(AND($K500=1,$L500&lt;$J500,COUNTIFS(nrES_PID,$D500,nrES_Code,$F500,nrES_Att,2)=0),"Yes","No")))</f>
        <v/>
      </c>
      <c r="R500" s="17">
        <f>IF($C500="","",IF($L500="","",IF(AND($K500=2,$L500&lt;$J500,COUNTIFS(nrES_PID,$D500,nrES_Code,$F500,nrES_Att,1)&gt;0),"Yes","No")))</f>
        <v/>
      </c>
      <c r="S500" s="18" t="n"/>
      <c r="T500" s="19">
        <f>IF($Q500&lt;&gt;"Yes","",IF($S500="","(enter date)",_xlfn.LET(_xlpm.dn,IFERROR(_xlfn.XLOOKUP($S500,nrCDdate,nrCDnum),""),IF(_xlpm.dn="","(not a class day)",IFERROR(_xlfn.XLOOKUP(_xlpm.dn+cfgRetestClassDays,nrCDnum,nrCDdate),"")))))</f>
        <v/>
      </c>
      <c r="U500" s="17">
        <f>IF($Q500&lt;&gt;"Yes","",IF(COUNTIFS(nrES_PID,$D500,nrES_Code,$F500,nrES_Att,2)&gt;0,"Retested",IF(OR($T500="",NOT(ISNUMBER($T500))),"Pending",IF(TODAY()&gt;$T500,"OVERDUE","Due "&amp;TEXT($T500,"mm/dd")))))</f>
        <v/>
      </c>
      <c r="V500" s="16" t="n"/>
      <c r="W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IF($C501="","",IF($L501="","",IF($K501=1,IF(COUNTIFS(nrES_PID,$D501,nrES_Code,$F501,nrES_Att,2)&gt;0,"",$L501),IF(COUNTIFS(nrES_PID,$D501,nrES_Code,$F501,nrES_Att,1)=0,$L501,IF($L501&gt;=$J501,cfgRetakeRecordedCap,SUMIFS(nrES_Raw,nrES_PID,$D501,nrES_Code,$F501,nrES_Att,1))))))</f>
        <v/>
      </c>
      <c r="N501" s="17">
        <f>IF($C501="","",IF($L501="","",IF($L501&gt;=$J501,"Yes","No")))</f>
        <v/>
      </c>
      <c r="O501" s="17">
        <f>IF($C501="","",IF($M501="","",IF($M501&gt;=$J501,"Yes","No")))</f>
        <v/>
      </c>
      <c r="P501" s="17">
        <f>IF($C501="","",IF($K501="","",IF(COUNTIFS(nrES_PID,$D501,nrES_Code,$F501,nrES_Att,"&gt;"&amp;$K501)=0,"Yes","No")))</f>
        <v/>
      </c>
      <c r="Q501" s="17">
        <f>IF($C501="","",IF($L501="","",IF(AND($K501=1,$L501&lt;$J501,COUNTIFS(nrES_PID,$D501,nrES_Code,$F501,nrES_Att,2)=0),"Yes","No")))</f>
        <v/>
      </c>
      <c r="R501" s="17">
        <f>IF($C501="","",IF($L501="","",IF(AND($K501=2,$L501&lt;$J501,COUNTIFS(nrES_PID,$D501,nrES_Code,$F501,nrES_Att,1)&gt;0),"Yes","No")))</f>
        <v/>
      </c>
      <c r="S501" s="18" t="n"/>
      <c r="T501" s="19">
        <f>IF($Q501&lt;&gt;"Yes","",IF($S501="","(enter date)",_xlfn.LET(_xlpm.dn,IFERROR(_xlfn.XLOOKUP($S501,nrCDdate,nrCDnum),""),IF(_xlpm.dn="","(not a class day)",IFERROR(_xlfn.XLOOKUP(_xlpm.dn+cfgRetestClassDays,nrCDnum,nrCDdate),"")))))</f>
        <v/>
      </c>
      <c r="U501" s="17">
        <f>IF($Q501&lt;&gt;"Yes","",IF(COUNTIFS(nrES_PID,$D501,nrES_Code,$F501,nrES_Att,2)&gt;0,"Retested",IF(OR($T501="",NOT(ISNUMBER($T501))),"Pending",IF(TODAY()&gt;$T501,"OVERDUE","Due "&amp;TEXT($T501,"mm/dd")))))</f>
        <v/>
      </c>
      <c r="V501" s="16" t="n"/>
      <c r="W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IF($C502="","",IF($L502="","",IF($K502=1,IF(COUNTIFS(nrES_PID,$D502,nrES_Code,$F502,nrES_Att,2)&gt;0,"",$L502),IF(COUNTIFS(nrES_PID,$D502,nrES_Code,$F502,nrES_Att,1)=0,$L502,IF($L502&gt;=$J502,cfgRetakeRecordedCap,SUMIFS(nrES_Raw,nrES_PID,$D502,nrES_Code,$F502,nrES_Att,1))))))</f>
        <v/>
      </c>
      <c r="N502" s="17">
        <f>IF($C502="","",IF($L502="","",IF($L502&gt;=$J502,"Yes","No")))</f>
        <v/>
      </c>
      <c r="O502" s="17">
        <f>IF($C502="","",IF($M502="","",IF($M502&gt;=$J502,"Yes","No")))</f>
        <v/>
      </c>
      <c r="P502" s="17">
        <f>IF($C502="","",IF($K502="","",IF(COUNTIFS(nrES_PID,$D502,nrES_Code,$F502,nrES_Att,"&gt;"&amp;$K502)=0,"Yes","No")))</f>
        <v/>
      </c>
      <c r="Q502" s="17">
        <f>IF($C502="","",IF($L502="","",IF(AND($K502=1,$L502&lt;$J502,COUNTIFS(nrES_PID,$D502,nrES_Code,$F502,nrES_Att,2)=0),"Yes","No")))</f>
        <v/>
      </c>
      <c r="R502" s="17">
        <f>IF($C502="","",IF($L502="","",IF(AND($K502=2,$L502&lt;$J502,COUNTIFS(nrES_PID,$D502,nrES_Code,$F502,nrES_Att,1)&gt;0),"Yes","No")))</f>
        <v/>
      </c>
      <c r="S502" s="18" t="n"/>
      <c r="T502" s="19">
        <f>IF($Q502&lt;&gt;"Yes","",IF($S502="","(enter date)",_xlfn.LET(_xlpm.dn,IFERROR(_xlfn.XLOOKUP($S502,nrCDdate,nrCDnum),""),IF(_xlpm.dn="","(not a class day)",IFERROR(_xlfn.XLOOKUP(_xlpm.dn+cfgRetestClassDays,nrCDnum,nrCDdate),"")))))</f>
        <v/>
      </c>
      <c r="U502" s="17">
        <f>IF($Q502&lt;&gt;"Yes","",IF(COUNTIFS(nrES_PID,$D502,nrES_Code,$F502,nrES_Att,2)&gt;0,"Retested",IF(OR($T502="",NOT(ISNUMBER($T502))),"Pending",IF(TODAY()&gt;$T502,"OVERDUE","Due "&amp;TEXT($T502,"mm/dd")))))</f>
        <v/>
      </c>
      <c r="V502" s="16" t="n"/>
      <c r="W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IF($C503="","",IF($L503="","",IF($K503=1,IF(COUNTIFS(nrES_PID,$D503,nrES_Code,$F503,nrES_Att,2)&gt;0,"",$L503),IF(COUNTIFS(nrES_PID,$D503,nrES_Code,$F503,nrES_Att,1)=0,$L503,IF($L503&gt;=$J503,cfgRetakeRecordedCap,SUMIFS(nrES_Raw,nrES_PID,$D503,nrES_Code,$F503,nrES_Att,1))))))</f>
        <v/>
      </c>
      <c r="N503" s="17">
        <f>IF($C503="","",IF($L503="","",IF($L503&gt;=$J503,"Yes","No")))</f>
        <v/>
      </c>
      <c r="O503" s="17">
        <f>IF($C503="","",IF($M503="","",IF($M503&gt;=$J503,"Yes","No")))</f>
        <v/>
      </c>
      <c r="P503" s="17">
        <f>IF($C503="","",IF($K503="","",IF(COUNTIFS(nrES_PID,$D503,nrES_Code,$F503,nrES_Att,"&gt;"&amp;$K503)=0,"Yes","No")))</f>
        <v/>
      </c>
      <c r="Q503" s="17">
        <f>IF($C503="","",IF($L503="","",IF(AND($K503=1,$L503&lt;$J503,COUNTIFS(nrES_PID,$D503,nrES_Code,$F503,nrES_Att,2)=0),"Yes","No")))</f>
        <v/>
      </c>
      <c r="R503" s="17">
        <f>IF($C503="","",IF($L503="","",IF(AND($K503=2,$L503&lt;$J503,COUNTIFS(nrES_PID,$D503,nrES_Code,$F503,nrES_Att,1)&gt;0),"Yes","No")))</f>
        <v/>
      </c>
      <c r="S503" s="18" t="n"/>
      <c r="T503" s="19">
        <f>IF($Q503&lt;&gt;"Yes","",IF($S503="","(enter date)",_xlfn.LET(_xlpm.dn,IFERROR(_xlfn.XLOOKUP($S503,nrCDdate,nrCDnum),""),IF(_xlpm.dn="","(not a class day)",IFERROR(_xlfn.XLOOKUP(_xlpm.dn+cfgRetestClassDays,nrCDnum,nrCDdate),"")))))</f>
        <v/>
      </c>
      <c r="U503" s="17">
        <f>IF($Q503&lt;&gt;"Yes","",IF(COUNTIFS(nrES_PID,$D503,nrES_Code,$F503,nrES_Att,2)&gt;0,"Retested",IF(OR($T503="",NOT(ISNUMBER($T503))),"Pending",IF(TODAY()&gt;$T503,"OVERDUE","Due "&amp;TEXT($T503,"mm/dd")))))</f>
        <v/>
      </c>
      <c r="V503" s="16" t="n"/>
      <c r="W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IF($C504="","",IF($L504="","",IF($K504=1,IF(COUNTIFS(nrES_PID,$D504,nrES_Code,$F504,nrES_Att,2)&gt;0,"",$L504),IF(COUNTIFS(nrES_PID,$D504,nrES_Code,$F504,nrES_Att,1)=0,$L504,IF($L504&gt;=$J504,cfgRetakeRecordedCap,SUMIFS(nrES_Raw,nrES_PID,$D504,nrES_Code,$F504,nrES_Att,1))))))</f>
        <v/>
      </c>
      <c r="N504" s="17">
        <f>IF($C504="","",IF($L504="","",IF($L504&gt;=$J504,"Yes","No")))</f>
        <v/>
      </c>
      <c r="O504" s="17">
        <f>IF($C504="","",IF($M504="","",IF($M504&gt;=$J504,"Yes","No")))</f>
        <v/>
      </c>
      <c r="P504" s="17">
        <f>IF($C504="","",IF($K504="","",IF(COUNTIFS(nrES_PID,$D504,nrES_Code,$F504,nrES_Att,"&gt;"&amp;$K504)=0,"Yes","No")))</f>
        <v/>
      </c>
      <c r="Q504" s="17">
        <f>IF($C504="","",IF($L504="","",IF(AND($K504=1,$L504&lt;$J504,COUNTIFS(nrES_PID,$D504,nrES_Code,$F504,nrES_Att,2)=0),"Yes","No")))</f>
        <v/>
      </c>
      <c r="R504" s="17">
        <f>IF($C504="","",IF($L504="","",IF(AND($K504=2,$L504&lt;$J504,COUNTIFS(nrES_PID,$D504,nrES_Code,$F504,nrES_Att,1)&gt;0),"Yes","No")))</f>
        <v/>
      </c>
      <c r="S504" s="18" t="n"/>
      <c r="T504" s="19">
        <f>IF($Q504&lt;&gt;"Yes","",IF($S504="","(enter date)",_xlfn.LET(_xlpm.dn,IFERROR(_xlfn.XLOOKUP($S504,nrCDdate,nrCDnum),""),IF(_xlpm.dn="","(not a class day)",IFERROR(_xlfn.XLOOKUP(_xlpm.dn+cfgRetestClassDays,nrCDnum,nrCDdate),"")))))</f>
        <v/>
      </c>
      <c r="U504" s="17">
        <f>IF($Q504&lt;&gt;"Yes","",IF(COUNTIFS(nrES_PID,$D504,nrES_Code,$F504,nrES_Att,2)&gt;0,"Retested",IF(OR($T504="",NOT(ISNUMBER($T504))),"Pending",IF(TODAY()&gt;$T504,"OVERDUE","Due "&amp;TEXT($T504,"mm/dd")))))</f>
        <v/>
      </c>
      <c r="V504" s="16" t="n"/>
      <c r="W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IF($C505="","",IF($L505="","",IF($K505=1,IF(COUNTIFS(nrES_PID,$D505,nrES_Code,$F505,nrES_Att,2)&gt;0,"",$L505),IF(COUNTIFS(nrES_PID,$D505,nrES_Code,$F505,nrES_Att,1)=0,$L505,IF($L505&gt;=$J505,cfgRetakeRecordedCap,SUMIFS(nrES_Raw,nrES_PID,$D505,nrES_Code,$F505,nrES_Att,1))))))</f>
        <v/>
      </c>
      <c r="N505" s="17">
        <f>IF($C505="","",IF($L505="","",IF($L505&gt;=$J505,"Yes","No")))</f>
        <v/>
      </c>
      <c r="O505" s="17">
        <f>IF($C505="","",IF($M505="","",IF($M505&gt;=$J505,"Yes","No")))</f>
        <v/>
      </c>
      <c r="P505" s="17">
        <f>IF($C505="","",IF($K505="","",IF(COUNTIFS(nrES_PID,$D505,nrES_Code,$F505,nrES_Att,"&gt;"&amp;$K505)=0,"Yes","No")))</f>
        <v/>
      </c>
      <c r="Q505" s="17">
        <f>IF($C505="","",IF($L505="","",IF(AND($K505=1,$L505&lt;$J505,COUNTIFS(nrES_PID,$D505,nrES_Code,$F505,nrES_Att,2)=0),"Yes","No")))</f>
        <v/>
      </c>
      <c r="R505" s="17">
        <f>IF($C505="","",IF($L505="","",IF(AND($K505=2,$L505&lt;$J505,COUNTIFS(nrES_PID,$D505,nrES_Code,$F505,nrES_Att,1)&gt;0),"Yes","No")))</f>
        <v/>
      </c>
      <c r="S505" s="18" t="n"/>
      <c r="T505" s="19">
        <f>IF($Q505&lt;&gt;"Yes","",IF($S505="","(enter date)",_xlfn.LET(_xlpm.dn,IFERROR(_xlfn.XLOOKUP($S505,nrCDdate,nrCDnum),""),IF(_xlpm.dn="","(not a class day)",IFERROR(_xlfn.XLOOKUP(_xlpm.dn+cfgRetestClassDays,nrCDnum,nrCDdate),"")))))</f>
        <v/>
      </c>
      <c r="U505" s="17">
        <f>IF($Q505&lt;&gt;"Yes","",IF(COUNTIFS(nrES_PID,$D505,nrES_Code,$F505,nrES_Att,2)&gt;0,"Retested",IF(OR($T505="",NOT(ISNUMBER($T505))),"Pending",IF(TODAY()&gt;$T505,"OVERDUE","Due "&amp;TEXT($T505,"mm/dd")))))</f>
        <v/>
      </c>
      <c r="V505" s="16" t="n"/>
      <c r="W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IF($C506="","",IF($L506="","",IF($K506=1,IF(COUNTIFS(nrES_PID,$D506,nrES_Code,$F506,nrES_Att,2)&gt;0,"",$L506),IF(COUNTIFS(nrES_PID,$D506,nrES_Code,$F506,nrES_Att,1)=0,$L506,IF($L506&gt;=$J506,cfgRetakeRecordedCap,SUMIFS(nrES_Raw,nrES_PID,$D506,nrES_Code,$F506,nrES_Att,1))))))</f>
        <v/>
      </c>
      <c r="N506" s="17">
        <f>IF($C506="","",IF($L506="","",IF($L506&gt;=$J506,"Yes","No")))</f>
        <v/>
      </c>
      <c r="O506" s="17">
        <f>IF($C506="","",IF($M506="","",IF($M506&gt;=$J506,"Yes","No")))</f>
        <v/>
      </c>
      <c r="P506" s="17">
        <f>IF($C506="","",IF($K506="","",IF(COUNTIFS(nrES_PID,$D506,nrES_Code,$F506,nrES_Att,"&gt;"&amp;$K506)=0,"Yes","No")))</f>
        <v/>
      </c>
      <c r="Q506" s="17">
        <f>IF($C506="","",IF($L506="","",IF(AND($K506=1,$L506&lt;$J506,COUNTIFS(nrES_PID,$D506,nrES_Code,$F506,nrES_Att,2)=0),"Yes","No")))</f>
        <v/>
      </c>
      <c r="R506" s="17">
        <f>IF($C506="","",IF($L506="","",IF(AND($K506=2,$L506&lt;$J506,COUNTIFS(nrES_PID,$D506,nrES_Code,$F506,nrES_Att,1)&gt;0),"Yes","No")))</f>
        <v/>
      </c>
      <c r="S506" s="18" t="n"/>
      <c r="T506" s="19">
        <f>IF($Q506&lt;&gt;"Yes","",IF($S506="","(enter date)",_xlfn.LET(_xlpm.dn,IFERROR(_xlfn.XLOOKUP($S506,nrCDdate,nrCDnum),""),IF(_xlpm.dn="","(not a class day)",IFERROR(_xlfn.XLOOKUP(_xlpm.dn+cfgRetestClassDays,nrCDnum,nrCDdate),"")))))</f>
        <v/>
      </c>
      <c r="U506" s="17">
        <f>IF($Q506&lt;&gt;"Yes","",IF(COUNTIFS(nrES_PID,$D506,nrES_Code,$F506,nrES_Att,2)&gt;0,"Retested",IF(OR($T506="",NOT(ISNUMBER($T506))),"Pending",IF(TODAY()&gt;$T506,"OVERDUE","Due "&amp;TEXT($T506,"mm/dd")))))</f>
        <v/>
      </c>
      <c r="V506" s="16" t="n"/>
      <c r="W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IF($C507="","",IF($L507="","",IF($K507=1,IF(COUNTIFS(nrES_PID,$D507,nrES_Code,$F507,nrES_Att,2)&gt;0,"",$L507),IF(COUNTIFS(nrES_PID,$D507,nrES_Code,$F507,nrES_Att,1)=0,$L507,IF($L507&gt;=$J507,cfgRetakeRecordedCap,SUMIFS(nrES_Raw,nrES_PID,$D507,nrES_Code,$F507,nrES_Att,1))))))</f>
        <v/>
      </c>
      <c r="N507" s="17">
        <f>IF($C507="","",IF($L507="","",IF($L507&gt;=$J507,"Yes","No")))</f>
        <v/>
      </c>
      <c r="O507" s="17">
        <f>IF($C507="","",IF($M507="","",IF($M507&gt;=$J507,"Yes","No")))</f>
        <v/>
      </c>
      <c r="P507" s="17">
        <f>IF($C507="","",IF($K507="","",IF(COUNTIFS(nrES_PID,$D507,nrES_Code,$F507,nrES_Att,"&gt;"&amp;$K507)=0,"Yes","No")))</f>
        <v/>
      </c>
      <c r="Q507" s="17">
        <f>IF($C507="","",IF($L507="","",IF(AND($K507=1,$L507&lt;$J507,COUNTIFS(nrES_PID,$D507,nrES_Code,$F507,nrES_Att,2)=0),"Yes","No")))</f>
        <v/>
      </c>
      <c r="R507" s="17">
        <f>IF($C507="","",IF($L507="","",IF(AND($K507=2,$L507&lt;$J507,COUNTIFS(nrES_PID,$D507,nrES_Code,$F507,nrES_Att,1)&gt;0),"Yes","No")))</f>
        <v/>
      </c>
      <c r="S507" s="18" t="n"/>
      <c r="T507" s="19">
        <f>IF($Q507&lt;&gt;"Yes","",IF($S507="","(enter date)",_xlfn.LET(_xlpm.dn,IFERROR(_xlfn.XLOOKUP($S507,nrCDdate,nrCDnum),""),IF(_xlpm.dn="","(not a class day)",IFERROR(_xlfn.XLOOKUP(_xlpm.dn+cfgRetestClassDays,nrCDnum,nrCDdate),"")))))</f>
        <v/>
      </c>
      <c r="U507" s="17">
        <f>IF($Q507&lt;&gt;"Yes","",IF(COUNTIFS(nrES_PID,$D507,nrES_Code,$F507,nrES_Att,2)&gt;0,"Retested",IF(OR($T507="",NOT(ISNUMBER($T507))),"Pending",IF(TODAY()&gt;$T507,"OVERDUE","Due "&amp;TEXT($T507,"mm/dd")))))</f>
        <v/>
      </c>
      <c r="V507" s="16" t="n"/>
      <c r="W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IF($C508="","",IF($L508="","",IF($K508=1,IF(COUNTIFS(nrES_PID,$D508,nrES_Code,$F508,nrES_Att,2)&gt;0,"",$L508),IF(COUNTIFS(nrES_PID,$D508,nrES_Code,$F508,nrES_Att,1)=0,$L508,IF($L508&gt;=$J508,cfgRetakeRecordedCap,SUMIFS(nrES_Raw,nrES_PID,$D508,nrES_Code,$F508,nrES_Att,1))))))</f>
        <v/>
      </c>
      <c r="N508" s="17">
        <f>IF($C508="","",IF($L508="","",IF($L508&gt;=$J508,"Yes","No")))</f>
        <v/>
      </c>
      <c r="O508" s="17">
        <f>IF($C508="","",IF($M508="","",IF($M508&gt;=$J508,"Yes","No")))</f>
        <v/>
      </c>
      <c r="P508" s="17">
        <f>IF($C508="","",IF($K508="","",IF(COUNTIFS(nrES_PID,$D508,nrES_Code,$F508,nrES_Att,"&gt;"&amp;$K508)=0,"Yes","No")))</f>
        <v/>
      </c>
      <c r="Q508" s="17">
        <f>IF($C508="","",IF($L508="","",IF(AND($K508=1,$L508&lt;$J508,COUNTIFS(nrES_PID,$D508,nrES_Code,$F508,nrES_Att,2)=0),"Yes","No")))</f>
        <v/>
      </c>
      <c r="R508" s="17">
        <f>IF($C508="","",IF($L508="","",IF(AND($K508=2,$L508&lt;$J508,COUNTIFS(nrES_PID,$D508,nrES_Code,$F508,nrES_Att,1)&gt;0),"Yes","No")))</f>
        <v/>
      </c>
      <c r="S508" s="18" t="n"/>
      <c r="T508" s="19">
        <f>IF($Q508&lt;&gt;"Yes","",IF($S508="","(enter date)",_xlfn.LET(_xlpm.dn,IFERROR(_xlfn.XLOOKUP($S508,nrCDdate,nrCDnum),""),IF(_xlpm.dn="","(not a class day)",IFERROR(_xlfn.XLOOKUP(_xlpm.dn+cfgRetestClassDays,nrCDnum,nrCDdate),"")))))</f>
        <v/>
      </c>
      <c r="U508" s="17">
        <f>IF($Q508&lt;&gt;"Yes","",IF(COUNTIFS(nrES_PID,$D508,nrES_Code,$F508,nrES_Att,2)&gt;0,"Retested",IF(OR($T508="",NOT(ISNUMBER($T508))),"Pending",IF(TODAY()&gt;$T508,"OVERDUE","Due "&amp;TEXT($T508,"mm/dd")))))</f>
        <v/>
      </c>
      <c r="V508" s="16" t="n"/>
      <c r="W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IF($C509="","",IF($L509="","",IF($K509=1,IF(COUNTIFS(nrES_PID,$D509,nrES_Code,$F509,nrES_Att,2)&gt;0,"",$L509),IF(COUNTIFS(nrES_PID,$D509,nrES_Code,$F509,nrES_Att,1)=0,$L509,IF($L509&gt;=$J509,cfgRetakeRecordedCap,SUMIFS(nrES_Raw,nrES_PID,$D509,nrES_Code,$F509,nrES_Att,1))))))</f>
        <v/>
      </c>
      <c r="N509" s="17">
        <f>IF($C509="","",IF($L509="","",IF($L509&gt;=$J509,"Yes","No")))</f>
        <v/>
      </c>
      <c r="O509" s="17">
        <f>IF($C509="","",IF($M509="","",IF($M509&gt;=$J509,"Yes","No")))</f>
        <v/>
      </c>
      <c r="P509" s="17">
        <f>IF($C509="","",IF($K509="","",IF(COUNTIFS(nrES_PID,$D509,nrES_Code,$F509,nrES_Att,"&gt;"&amp;$K509)=0,"Yes","No")))</f>
        <v/>
      </c>
      <c r="Q509" s="17">
        <f>IF($C509="","",IF($L509="","",IF(AND($K509=1,$L509&lt;$J509,COUNTIFS(nrES_PID,$D509,nrES_Code,$F509,nrES_Att,2)=0),"Yes","No")))</f>
        <v/>
      </c>
      <c r="R509" s="17">
        <f>IF($C509="","",IF($L509="","",IF(AND($K509=2,$L509&lt;$J509,COUNTIFS(nrES_PID,$D509,nrES_Code,$F509,nrES_Att,1)&gt;0),"Yes","No")))</f>
        <v/>
      </c>
      <c r="S509" s="18" t="n"/>
      <c r="T509" s="19">
        <f>IF($Q509&lt;&gt;"Yes","",IF($S509="","(enter date)",_xlfn.LET(_xlpm.dn,IFERROR(_xlfn.XLOOKUP($S509,nrCDdate,nrCDnum),""),IF(_xlpm.dn="","(not a class day)",IFERROR(_xlfn.XLOOKUP(_xlpm.dn+cfgRetestClassDays,nrCDnum,nrCDdate),"")))))</f>
        <v/>
      </c>
      <c r="U509" s="17">
        <f>IF($Q509&lt;&gt;"Yes","",IF(COUNTIFS(nrES_PID,$D509,nrES_Code,$F509,nrES_Att,2)&gt;0,"Retested",IF(OR($T509="",NOT(ISNUMBER($T509))),"Pending",IF(TODAY()&gt;$T509,"OVERDUE","Due "&amp;TEXT($T509,"mm/dd")))))</f>
        <v/>
      </c>
      <c r="V509" s="16" t="n"/>
      <c r="W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IF($C510="","",IF($L510="","",IF($K510=1,IF(COUNTIFS(nrES_PID,$D510,nrES_Code,$F510,nrES_Att,2)&gt;0,"",$L510),IF(COUNTIFS(nrES_PID,$D510,nrES_Code,$F510,nrES_Att,1)=0,$L510,IF($L510&gt;=$J510,cfgRetakeRecordedCap,SUMIFS(nrES_Raw,nrES_PID,$D510,nrES_Code,$F510,nrES_Att,1))))))</f>
        <v/>
      </c>
      <c r="N510" s="17">
        <f>IF($C510="","",IF($L510="","",IF($L510&gt;=$J510,"Yes","No")))</f>
        <v/>
      </c>
      <c r="O510" s="17">
        <f>IF($C510="","",IF($M510="","",IF($M510&gt;=$J510,"Yes","No")))</f>
        <v/>
      </c>
      <c r="P510" s="17">
        <f>IF($C510="","",IF($K510="","",IF(COUNTIFS(nrES_PID,$D510,nrES_Code,$F510,nrES_Att,"&gt;"&amp;$K510)=0,"Yes","No")))</f>
        <v/>
      </c>
      <c r="Q510" s="17">
        <f>IF($C510="","",IF($L510="","",IF(AND($K510=1,$L510&lt;$J510,COUNTIFS(nrES_PID,$D510,nrES_Code,$F510,nrES_Att,2)=0),"Yes","No")))</f>
        <v/>
      </c>
      <c r="R510" s="17">
        <f>IF($C510="","",IF($L510="","",IF(AND($K510=2,$L510&lt;$J510,COUNTIFS(nrES_PID,$D510,nrES_Code,$F510,nrES_Att,1)&gt;0),"Yes","No")))</f>
        <v/>
      </c>
      <c r="S510" s="18" t="n"/>
      <c r="T510" s="19">
        <f>IF($Q510&lt;&gt;"Yes","",IF($S510="","(enter date)",_xlfn.LET(_xlpm.dn,IFERROR(_xlfn.XLOOKUP($S510,nrCDdate,nrCDnum),""),IF(_xlpm.dn="","(not a class day)",IFERROR(_xlfn.XLOOKUP(_xlpm.dn+cfgRetestClassDays,nrCDnum,nrCDdate),"")))))</f>
        <v/>
      </c>
      <c r="U510" s="17">
        <f>IF($Q510&lt;&gt;"Yes","",IF(COUNTIFS(nrES_PID,$D510,nrES_Code,$F510,nrES_Att,2)&gt;0,"Retested",IF(OR($T510="",NOT(ISNUMBER($T510))),"Pending",IF(TODAY()&gt;$T510,"OVERDUE","Due "&amp;TEXT($T510,"mm/dd")))))</f>
        <v/>
      </c>
      <c r="V510" s="16" t="n"/>
      <c r="W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IF($C511="","",IF($L511="","",IF($K511=1,IF(COUNTIFS(nrES_PID,$D511,nrES_Code,$F511,nrES_Att,2)&gt;0,"",$L511),IF(COUNTIFS(nrES_PID,$D511,nrES_Code,$F511,nrES_Att,1)=0,$L511,IF($L511&gt;=$J511,cfgRetakeRecordedCap,SUMIFS(nrES_Raw,nrES_PID,$D511,nrES_Code,$F511,nrES_Att,1))))))</f>
        <v/>
      </c>
      <c r="N511" s="17">
        <f>IF($C511="","",IF($L511="","",IF($L511&gt;=$J511,"Yes","No")))</f>
        <v/>
      </c>
      <c r="O511" s="17">
        <f>IF($C511="","",IF($M511="","",IF($M511&gt;=$J511,"Yes","No")))</f>
        <v/>
      </c>
      <c r="P511" s="17">
        <f>IF($C511="","",IF($K511="","",IF(COUNTIFS(nrES_PID,$D511,nrES_Code,$F511,nrES_Att,"&gt;"&amp;$K511)=0,"Yes","No")))</f>
        <v/>
      </c>
      <c r="Q511" s="17">
        <f>IF($C511="","",IF($L511="","",IF(AND($K511=1,$L511&lt;$J511,COUNTIFS(nrES_PID,$D511,nrES_Code,$F511,nrES_Att,2)=0),"Yes","No")))</f>
        <v/>
      </c>
      <c r="R511" s="17">
        <f>IF($C511="","",IF($L511="","",IF(AND($K511=2,$L511&lt;$J511,COUNTIFS(nrES_PID,$D511,nrES_Code,$F511,nrES_Att,1)&gt;0),"Yes","No")))</f>
        <v/>
      </c>
      <c r="S511" s="18" t="n"/>
      <c r="T511" s="19">
        <f>IF($Q511&lt;&gt;"Yes","",IF($S511="","(enter date)",_xlfn.LET(_xlpm.dn,IFERROR(_xlfn.XLOOKUP($S511,nrCDdate,nrCDnum),""),IF(_xlpm.dn="","(not a class day)",IFERROR(_xlfn.XLOOKUP(_xlpm.dn+cfgRetestClassDays,nrCDnum,nrCDdate),"")))))</f>
        <v/>
      </c>
      <c r="U511" s="17">
        <f>IF($Q511&lt;&gt;"Yes","",IF(COUNTIFS(nrES_PID,$D511,nrES_Code,$F511,nrES_Att,2)&gt;0,"Retested",IF(OR($T511="",NOT(ISNUMBER($T511))),"Pending",IF(TODAY()&gt;$T511,"OVERDUE","Due "&amp;TEXT($T511,"mm/dd")))))</f>
        <v/>
      </c>
      <c r="V511" s="16" t="n"/>
      <c r="W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IF($C512="","",IF($L512="","",IF($K512=1,IF(COUNTIFS(nrES_PID,$D512,nrES_Code,$F512,nrES_Att,2)&gt;0,"",$L512),IF(COUNTIFS(nrES_PID,$D512,nrES_Code,$F512,nrES_Att,1)=0,$L512,IF($L512&gt;=$J512,cfgRetakeRecordedCap,SUMIFS(nrES_Raw,nrES_PID,$D512,nrES_Code,$F512,nrES_Att,1))))))</f>
        <v/>
      </c>
      <c r="N512" s="17">
        <f>IF($C512="","",IF($L512="","",IF($L512&gt;=$J512,"Yes","No")))</f>
        <v/>
      </c>
      <c r="O512" s="17">
        <f>IF($C512="","",IF($M512="","",IF($M512&gt;=$J512,"Yes","No")))</f>
        <v/>
      </c>
      <c r="P512" s="17">
        <f>IF($C512="","",IF($K512="","",IF(COUNTIFS(nrES_PID,$D512,nrES_Code,$F512,nrES_Att,"&gt;"&amp;$K512)=0,"Yes","No")))</f>
        <v/>
      </c>
      <c r="Q512" s="17">
        <f>IF($C512="","",IF($L512="","",IF(AND($K512=1,$L512&lt;$J512,COUNTIFS(nrES_PID,$D512,nrES_Code,$F512,nrES_Att,2)=0),"Yes","No")))</f>
        <v/>
      </c>
      <c r="R512" s="17">
        <f>IF($C512="","",IF($L512="","",IF(AND($K512=2,$L512&lt;$J512,COUNTIFS(nrES_PID,$D512,nrES_Code,$F512,nrES_Att,1)&gt;0),"Yes","No")))</f>
        <v/>
      </c>
      <c r="S512" s="18" t="n"/>
      <c r="T512" s="19">
        <f>IF($Q512&lt;&gt;"Yes","",IF($S512="","(enter date)",_xlfn.LET(_xlpm.dn,IFERROR(_xlfn.XLOOKUP($S512,nrCDdate,nrCDnum),""),IF(_xlpm.dn="","(not a class day)",IFERROR(_xlfn.XLOOKUP(_xlpm.dn+cfgRetestClassDays,nrCDnum,nrCDdate),"")))))</f>
        <v/>
      </c>
      <c r="U512" s="17">
        <f>IF($Q512&lt;&gt;"Yes","",IF(COUNTIFS(nrES_PID,$D512,nrES_Code,$F512,nrES_Att,2)&gt;0,"Retested",IF(OR($T512="",NOT(ISNUMBER($T512))),"Pending",IF(TODAY()&gt;$T512,"OVERDUE","Due "&amp;TEXT($T512,"mm/dd")))))</f>
        <v/>
      </c>
      <c r="V512" s="16" t="n"/>
      <c r="W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IF($C513="","",IF($L513="","",IF($K513=1,IF(COUNTIFS(nrES_PID,$D513,nrES_Code,$F513,nrES_Att,2)&gt;0,"",$L513),IF(COUNTIFS(nrES_PID,$D513,nrES_Code,$F513,nrES_Att,1)=0,$L513,IF($L513&gt;=$J513,cfgRetakeRecordedCap,SUMIFS(nrES_Raw,nrES_PID,$D513,nrES_Code,$F513,nrES_Att,1))))))</f>
        <v/>
      </c>
      <c r="N513" s="17">
        <f>IF($C513="","",IF($L513="","",IF($L513&gt;=$J513,"Yes","No")))</f>
        <v/>
      </c>
      <c r="O513" s="17">
        <f>IF($C513="","",IF($M513="","",IF($M513&gt;=$J513,"Yes","No")))</f>
        <v/>
      </c>
      <c r="P513" s="17">
        <f>IF($C513="","",IF($K513="","",IF(COUNTIFS(nrES_PID,$D513,nrES_Code,$F513,nrES_Att,"&gt;"&amp;$K513)=0,"Yes","No")))</f>
        <v/>
      </c>
      <c r="Q513" s="17">
        <f>IF($C513="","",IF($L513="","",IF(AND($K513=1,$L513&lt;$J513,COUNTIFS(nrES_PID,$D513,nrES_Code,$F513,nrES_Att,2)=0),"Yes","No")))</f>
        <v/>
      </c>
      <c r="R513" s="17">
        <f>IF($C513="","",IF($L513="","",IF(AND($K513=2,$L513&lt;$J513,COUNTIFS(nrES_PID,$D513,nrES_Code,$F513,nrES_Att,1)&gt;0),"Yes","No")))</f>
        <v/>
      </c>
      <c r="S513" s="18" t="n"/>
      <c r="T513" s="19">
        <f>IF($Q513&lt;&gt;"Yes","",IF($S513="","(enter date)",_xlfn.LET(_xlpm.dn,IFERROR(_xlfn.XLOOKUP($S513,nrCDdate,nrCDnum),""),IF(_xlpm.dn="","(not a class day)",IFERROR(_xlfn.XLOOKUP(_xlpm.dn+cfgRetestClassDays,nrCDnum,nrCDdate),"")))))</f>
        <v/>
      </c>
      <c r="U513" s="17">
        <f>IF($Q513&lt;&gt;"Yes","",IF(COUNTIFS(nrES_PID,$D513,nrES_Code,$F513,nrES_Att,2)&gt;0,"Retested",IF(OR($T513="",NOT(ISNUMBER($T513))),"Pending",IF(TODAY()&gt;$T513,"OVERDUE","Due "&amp;TEXT($T513,"mm/dd")))))</f>
        <v/>
      </c>
      <c r="V513" s="16" t="n"/>
      <c r="W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IF($C514="","",IF($L514="","",IF($K514=1,IF(COUNTIFS(nrES_PID,$D514,nrES_Code,$F514,nrES_Att,2)&gt;0,"",$L514),IF(COUNTIFS(nrES_PID,$D514,nrES_Code,$F514,nrES_Att,1)=0,$L514,IF($L514&gt;=$J514,cfgRetakeRecordedCap,SUMIFS(nrES_Raw,nrES_PID,$D514,nrES_Code,$F514,nrES_Att,1))))))</f>
        <v/>
      </c>
      <c r="N514" s="17">
        <f>IF($C514="","",IF($L514="","",IF($L514&gt;=$J514,"Yes","No")))</f>
        <v/>
      </c>
      <c r="O514" s="17">
        <f>IF($C514="","",IF($M514="","",IF($M514&gt;=$J514,"Yes","No")))</f>
        <v/>
      </c>
      <c r="P514" s="17">
        <f>IF($C514="","",IF($K514="","",IF(COUNTIFS(nrES_PID,$D514,nrES_Code,$F514,nrES_Att,"&gt;"&amp;$K514)=0,"Yes","No")))</f>
        <v/>
      </c>
      <c r="Q514" s="17">
        <f>IF($C514="","",IF($L514="","",IF(AND($K514=1,$L514&lt;$J514,COUNTIFS(nrES_PID,$D514,nrES_Code,$F514,nrES_Att,2)=0),"Yes","No")))</f>
        <v/>
      </c>
      <c r="R514" s="17">
        <f>IF($C514="","",IF($L514="","",IF(AND($K514=2,$L514&lt;$J514,COUNTIFS(nrES_PID,$D514,nrES_Code,$F514,nrES_Att,1)&gt;0),"Yes","No")))</f>
        <v/>
      </c>
      <c r="S514" s="18" t="n"/>
      <c r="T514" s="19">
        <f>IF($Q514&lt;&gt;"Yes","",IF($S514="","(enter date)",_xlfn.LET(_xlpm.dn,IFERROR(_xlfn.XLOOKUP($S514,nrCDdate,nrCDnum),""),IF(_xlpm.dn="","(not a class day)",IFERROR(_xlfn.XLOOKUP(_xlpm.dn+cfgRetestClassDays,nrCDnum,nrCDdate),"")))))</f>
        <v/>
      </c>
      <c r="U514" s="17">
        <f>IF($Q514&lt;&gt;"Yes","",IF(COUNTIFS(nrES_PID,$D514,nrES_Code,$F514,nrES_Att,2)&gt;0,"Retested",IF(OR($T514="",NOT(ISNUMBER($T514))),"Pending",IF(TODAY()&gt;$T514,"OVERDUE","Due "&amp;TEXT($T514,"mm/dd")))))</f>
        <v/>
      </c>
      <c r="V514" s="16" t="n"/>
      <c r="W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IF($C515="","",IF($L515="","",IF($K515=1,IF(COUNTIFS(nrES_PID,$D515,nrES_Code,$F515,nrES_Att,2)&gt;0,"",$L515),IF(COUNTIFS(nrES_PID,$D515,nrES_Code,$F515,nrES_Att,1)=0,$L515,IF($L515&gt;=$J515,cfgRetakeRecordedCap,SUMIFS(nrES_Raw,nrES_PID,$D515,nrES_Code,$F515,nrES_Att,1))))))</f>
        <v/>
      </c>
      <c r="N515" s="17">
        <f>IF($C515="","",IF($L515="","",IF($L515&gt;=$J515,"Yes","No")))</f>
        <v/>
      </c>
      <c r="O515" s="17">
        <f>IF($C515="","",IF($M515="","",IF($M515&gt;=$J515,"Yes","No")))</f>
        <v/>
      </c>
      <c r="P515" s="17">
        <f>IF($C515="","",IF($K515="","",IF(COUNTIFS(nrES_PID,$D515,nrES_Code,$F515,nrES_Att,"&gt;"&amp;$K515)=0,"Yes","No")))</f>
        <v/>
      </c>
      <c r="Q515" s="17">
        <f>IF($C515="","",IF($L515="","",IF(AND($K515=1,$L515&lt;$J515,COUNTIFS(nrES_PID,$D515,nrES_Code,$F515,nrES_Att,2)=0),"Yes","No")))</f>
        <v/>
      </c>
      <c r="R515" s="17">
        <f>IF($C515="","",IF($L515="","",IF(AND($K515=2,$L515&lt;$J515,COUNTIFS(nrES_PID,$D515,nrES_Code,$F515,nrES_Att,1)&gt;0),"Yes","No")))</f>
        <v/>
      </c>
      <c r="S515" s="18" t="n"/>
      <c r="T515" s="19">
        <f>IF($Q515&lt;&gt;"Yes","",IF($S515="","(enter date)",_xlfn.LET(_xlpm.dn,IFERROR(_xlfn.XLOOKUP($S515,nrCDdate,nrCDnum),""),IF(_xlpm.dn="","(not a class day)",IFERROR(_xlfn.XLOOKUP(_xlpm.dn+cfgRetestClassDays,nrCDnum,nrCDdate),"")))))</f>
        <v/>
      </c>
      <c r="U515" s="17">
        <f>IF($Q515&lt;&gt;"Yes","",IF(COUNTIFS(nrES_PID,$D515,nrES_Code,$F515,nrES_Att,2)&gt;0,"Retested",IF(OR($T515="",NOT(ISNUMBER($T515))),"Pending",IF(TODAY()&gt;$T515,"OVERDUE","Due "&amp;TEXT($T515,"mm/dd")))))</f>
        <v/>
      </c>
      <c r="V515" s="16" t="n"/>
      <c r="W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IF($C516="","",IF($L516="","",IF($K516=1,IF(COUNTIFS(nrES_PID,$D516,nrES_Code,$F516,nrES_Att,2)&gt;0,"",$L516),IF(COUNTIFS(nrES_PID,$D516,nrES_Code,$F516,nrES_Att,1)=0,$L516,IF($L516&gt;=$J516,cfgRetakeRecordedCap,SUMIFS(nrES_Raw,nrES_PID,$D516,nrES_Code,$F516,nrES_Att,1))))))</f>
        <v/>
      </c>
      <c r="N516" s="17">
        <f>IF($C516="","",IF($L516="","",IF($L516&gt;=$J516,"Yes","No")))</f>
        <v/>
      </c>
      <c r="O516" s="17">
        <f>IF($C516="","",IF($M516="","",IF($M516&gt;=$J516,"Yes","No")))</f>
        <v/>
      </c>
      <c r="P516" s="17">
        <f>IF($C516="","",IF($K516="","",IF(COUNTIFS(nrES_PID,$D516,nrES_Code,$F516,nrES_Att,"&gt;"&amp;$K516)=0,"Yes","No")))</f>
        <v/>
      </c>
      <c r="Q516" s="17">
        <f>IF($C516="","",IF($L516="","",IF(AND($K516=1,$L516&lt;$J516,COUNTIFS(nrES_PID,$D516,nrES_Code,$F516,nrES_Att,2)=0),"Yes","No")))</f>
        <v/>
      </c>
      <c r="R516" s="17">
        <f>IF($C516="","",IF($L516="","",IF(AND($K516=2,$L516&lt;$J516,COUNTIFS(nrES_PID,$D516,nrES_Code,$F516,nrES_Att,1)&gt;0),"Yes","No")))</f>
        <v/>
      </c>
      <c r="S516" s="18" t="n"/>
      <c r="T516" s="19">
        <f>IF($Q516&lt;&gt;"Yes","",IF($S516="","(enter date)",_xlfn.LET(_xlpm.dn,IFERROR(_xlfn.XLOOKUP($S516,nrCDdate,nrCDnum),""),IF(_xlpm.dn="","(not a class day)",IFERROR(_xlfn.XLOOKUP(_xlpm.dn+cfgRetestClassDays,nrCDnum,nrCDdate),"")))))</f>
        <v/>
      </c>
      <c r="U516" s="17">
        <f>IF($Q516&lt;&gt;"Yes","",IF(COUNTIFS(nrES_PID,$D516,nrES_Code,$F516,nrES_Att,2)&gt;0,"Retested",IF(OR($T516="",NOT(ISNUMBER($T516))),"Pending",IF(TODAY()&gt;$T516,"OVERDUE","Due "&amp;TEXT($T516,"mm/dd")))))</f>
        <v/>
      </c>
      <c r="V516" s="16" t="n"/>
      <c r="W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IF($C517="","",IF($L517="","",IF($K517=1,IF(COUNTIFS(nrES_PID,$D517,nrES_Code,$F517,nrES_Att,2)&gt;0,"",$L517),IF(COUNTIFS(nrES_PID,$D517,nrES_Code,$F517,nrES_Att,1)=0,$L517,IF($L517&gt;=$J517,cfgRetakeRecordedCap,SUMIFS(nrES_Raw,nrES_PID,$D517,nrES_Code,$F517,nrES_Att,1))))))</f>
        <v/>
      </c>
      <c r="N517" s="17">
        <f>IF($C517="","",IF($L517="","",IF($L517&gt;=$J517,"Yes","No")))</f>
        <v/>
      </c>
      <c r="O517" s="17">
        <f>IF($C517="","",IF($M517="","",IF($M517&gt;=$J517,"Yes","No")))</f>
        <v/>
      </c>
      <c r="P517" s="17">
        <f>IF($C517="","",IF($K517="","",IF(COUNTIFS(nrES_PID,$D517,nrES_Code,$F517,nrES_Att,"&gt;"&amp;$K517)=0,"Yes","No")))</f>
        <v/>
      </c>
      <c r="Q517" s="17">
        <f>IF($C517="","",IF($L517="","",IF(AND($K517=1,$L517&lt;$J517,COUNTIFS(nrES_PID,$D517,nrES_Code,$F517,nrES_Att,2)=0),"Yes","No")))</f>
        <v/>
      </c>
      <c r="R517" s="17">
        <f>IF($C517="","",IF($L517="","",IF(AND($K517=2,$L517&lt;$J517,COUNTIFS(nrES_PID,$D517,nrES_Code,$F517,nrES_Att,1)&gt;0),"Yes","No")))</f>
        <v/>
      </c>
      <c r="S517" s="18" t="n"/>
      <c r="T517" s="19">
        <f>IF($Q517&lt;&gt;"Yes","",IF($S517="","(enter date)",_xlfn.LET(_xlpm.dn,IFERROR(_xlfn.XLOOKUP($S517,nrCDdate,nrCDnum),""),IF(_xlpm.dn="","(not a class day)",IFERROR(_xlfn.XLOOKUP(_xlpm.dn+cfgRetestClassDays,nrCDnum,nrCDdate),"")))))</f>
        <v/>
      </c>
      <c r="U517" s="17">
        <f>IF($Q517&lt;&gt;"Yes","",IF(COUNTIFS(nrES_PID,$D517,nrES_Code,$F517,nrES_Att,2)&gt;0,"Retested",IF(OR($T517="",NOT(ISNUMBER($T517))),"Pending",IF(TODAY()&gt;$T517,"OVERDUE","Due "&amp;TEXT($T517,"mm/dd")))))</f>
        <v/>
      </c>
      <c r="V517" s="16" t="n"/>
      <c r="W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IF($C518="","",IF($L518="","",IF($K518=1,IF(COUNTIFS(nrES_PID,$D518,nrES_Code,$F518,nrES_Att,2)&gt;0,"",$L518),IF(COUNTIFS(nrES_PID,$D518,nrES_Code,$F518,nrES_Att,1)=0,$L518,IF($L518&gt;=$J518,cfgRetakeRecordedCap,SUMIFS(nrES_Raw,nrES_PID,$D518,nrES_Code,$F518,nrES_Att,1))))))</f>
        <v/>
      </c>
      <c r="N518" s="17">
        <f>IF($C518="","",IF($L518="","",IF($L518&gt;=$J518,"Yes","No")))</f>
        <v/>
      </c>
      <c r="O518" s="17">
        <f>IF($C518="","",IF($M518="","",IF($M518&gt;=$J518,"Yes","No")))</f>
        <v/>
      </c>
      <c r="P518" s="17">
        <f>IF($C518="","",IF($K518="","",IF(COUNTIFS(nrES_PID,$D518,nrES_Code,$F518,nrES_Att,"&gt;"&amp;$K518)=0,"Yes","No")))</f>
        <v/>
      </c>
      <c r="Q518" s="17">
        <f>IF($C518="","",IF($L518="","",IF(AND($K518=1,$L518&lt;$J518,COUNTIFS(nrES_PID,$D518,nrES_Code,$F518,nrES_Att,2)=0),"Yes","No")))</f>
        <v/>
      </c>
      <c r="R518" s="17">
        <f>IF($C518="","",IF($L518="","",IF(AND($K518=2,$L518&lt;$J518,COUNTIFS(nrES_PID,$D518,nrES_Code,$F518,nrES_Att,1)&gt;0),"Yes","No")))</f>
        <v/>
      </c>
      <c r="S518" s="18" t="n"/>
      <c r="T518" s="19">
        <f>IF($Q518&lt;&gt;"Yes","",IF($S518="","(enter date)",_xlfn.LET(_xlpm.dn,IFERROR(_xlfn.XLOOKUP($S518,nrCDdate,nrCDnum),""),IF(_xlpm.dn="","(not a class day)",IFERROR(_xlfn.XLOOKUP(_xlpm.dn+cfgRetestClassDays,nrCDnum,nrCDdate),"")))))</f>
        <v/>
      </c>
      <c r="U518" s="17">
        <f>IF($Q518&lt;&gt;"Yes","",IF(COUNTIFS(nrES_PID,$D518,nrES_Code,$F518,nrES_Att,2)&gt;0,"Retested",IF(OR($T518="",NOT(ISNUMBER($T518))),"Pending",IF(TODAY()&gt;$T518,"OVERDUE","Due "&amp;TEXT($T518,"mm/dd")))))</f>
        <v/>
      </c>
      <c r="V518" s="16" t="n"/>
      <c r="W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IF($C519="","",IF($L519="","",IF($K519=1,IF(COUNTIFS(nrES_PID,$D519,nrES_Code,$F519,nrES_Att,2)&gt;0,"",$L519),IF(COUNTIFS(nrES_PID,$D519,nrES_Code,$F519,nrES_Att,1)=0,$L519,IF($L519&gt;=$J519,cfgRetakeRecordedCap,SUMIFS(nrES_Raw,nrES_PID,$D519,nrES_Code,$F519,nrES_Att,1))))))</f>
        <v/>
      </c>
      <c r="N519" s="17">
        <f>IF($C519="","",IF($L519="","",IF($L519&gt;=$J519,"Yes","No")))</f>
        <v/>
      </c>
      <c r="O519" s="17">
        <f>IF($C519="","",IF($M519="","",IF($M519&gt;=$J519,"Yes","No")))</f>
        <v/>
      </c>
      <c r="P519" s="17">
        <f>IF($C519="","",IF($K519="","",IF(COUNTIFS(nrES_PID,$D519,nrES_Code,$F519,nrES_Att,"&gt;"&amp;$K519)=0,"Yes","No")))</f>
        <v/>
      </c>
      <c r="Q519" s="17">
        <f>IF($C519="","",IF($L519="","",IF(AND($K519=1,$L519&lt;$J519,COUNTIFS(nrES_PID,$D519,nrES_Code,$F519,nrES_Att,2)=0),"Yes","No")))</f>
        <v/>
      </c>
      <c r="R519" s="17">
        <f>IF($C519="","",IF($L519="","",IF(AND($K519=2,$L519&lt;$J519,COUNTIFS(nrES_PID,$D519,nrES_Code,$F519,nrES_Att,1)&gt;0),"Yes","No")))</f>
        <v/>
      </c>
      <c r="S519" s="18" t="n"/>
      <c r="T519" s="19">
        <f>IF($Q519&lt;&gt;"Yes","",IF($S519="","(enter date)",_xlfn.LET(_xlpm.dn,IFERROR(_xlfn.XLOOKUP($S519,nrCDdate,nrCDnum),""),IF(_xlpm.dn="","(not a class day)",IFERROR(_xlfn.XLOOKUP(_xlpm.dn+cfgRetestClassDays,nrCDnum,nrCDdate),"")))))</f>
        <v/>
      </c>
      <c r="U519" s="17">
        <f>IF($Q519&lt;&gt;"Yes","",IF(COUNTIFS(nrES_PID,$D519,nrES_Code,$F519,nrES_Att,2)&gt;0,"Retested",IF(OR($T519="",NOT(ISNUMBER($T519))),"Pending",IF(TODAY()&gt;$T519,"OVERDUE","Due "&amp;TEXT($T519,"mm/dd")))))</f>
        <v/>
      </c>
      <c r="V519" s="16" t="n"/>
      <c r="W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IF($C520="","",IF($L520="","",IF($K520=1,IF(COUNTIFS(nrES_PID,$D520,nrES_Code,$F520,nrES_Att,2)&gt;0,"",$L520),IF(COUNTIFS(nrES_PID,$D520,nrES_Code,$F520,nrES_Att,1)=0,$L520,IF($L520&gt;=$J520,cfgRetakeRecordedCap,SUMIFS(nrES_Raw,nrES_PID,$D520,nrES_Code,$F520,nrES_Att,1))))))</f>
        <v/>
      </c>
      <c r="N520" s="17">
        <f>IF($C520="","",IF($L520="","",IF($L520&gt;=$J520,"Yes","No")))</f>
        <v/>
      </c>
      <c r="O520" s="17">
        <f>IF($C520="","",IF($M520="","",IF($M520&gt;=$J520,"Yes","No")))</f>
        <v/>
      </c>
      <c r="P520" s="17">
        <f>IF($C520="","",IF($K520="","",IF(COUNTIFS(nrES_PID,$D520,nrES_Code,$F520,nrES_Att,"&gt;"&amp;$K520)=0,"Yes","No")))</f>
        <v/>
      </c>
      <c r="Q520" s="17">
        <f>IF($C520="","",IF($L520="","",IF(AND($K520=1,$L520&lt;$J520,COUNTIFS(nrES_PID,$D520,nrES_Code,$F520,nrES_Att,2)=0),"Yes","No")))</f>
        <v/>
      </c>
      <c r="R520" s="17">
        <f>IF($C520="","",IF($L520="","",IF(AND($K520=2,$L520&lt;$J520,COUNTIFS(nrES_PID,$D520,nrES_Code,$F520,nrES_Att,1)&gt;0),"Yes","No")))</f>
        <v/>
      </c>
      <c r="S520" s="18" t="n"/>
      <c r="T520" s="19">
        <f>IF($Q520&lt;&gt;"Yes","",IF($S520="","(enter date)",_xlfn.LET(_xlpm.dn,IFERROR(_xlfn.XLOOKUP($S520,nrCDdate,nrCDnum),""),IF(_xlpm.dn="","(not a class day)",IFERROR(_xlfn.XLOOKUP(_xlpm.dn+cfgRetestClassDays,nrCDnum,nrCDdate),"")))))</f>
        <v/>
      </c>
      <c r="U520" s="17">
        <f>IF($Q520&lt;&gt;"Yes","",IF(COUNTIFS(nrES_PID,$D520,nrES_Code,$F520,nrES_Att,2)&gt;0,"Retested",IF(OR($T520="",NOT(ISNUMBER($T520))),"Pending",IF(TODAY()&gt;$T520,"OVERDUE","Due "&amp;TEXT($T520,"mm/dd")))))</f>
        <v/>
      </c>
      <c r="V520" s="16" t="n"/>
      <c r="W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IF($C521="","",IF($L521="","",IF($K521=1,IF(COUNTIFS(nrES_PID,$D521,nrES_Code,$F521,nrES_Att,2)&gt;0,"",$L521),IF(COUNTIFS(nrES_PID,$D521,nrES_Code,$F521,nrES_Att,1)=0,$L521,IF($L521&gt;=$J521,cfgRetakeRecordedCap,SUMIFS(nrES_Raw,nrES_PID,$D521,nrES_Code,$F521,nrES_Att,1))))))</f>
        <v/>
      </c>
      <c r="N521" s="17">
        <f>IF($C521="","",IF($L521="","",IF($L521&gt;=$J521,"Yes","No")))</f>
        <v/>
      </c>
      <c r="O521" s="17">
        <f>IF($C521="","",IF($M521="","",IF($M521&gt;=$J521,"Yes","No")))</f>
        <v/>
      </c>
      <c r="P521" s="17">
        <f>IF($C521="","",IF($K521="","",IF(COUNTIFS(nrES_PID,$D521,nrES_Code,$F521,nrES_Att,"&gt;"&amp;$K521)=0,"Yes","No")))</f>
        <v/>
      </c>
      <c r="Q521" s="17">
        <f>IF($C521="","",IF($L521="","",IF(AND($K521=1,$L521&lt;$J521,COUNTIFS(nrES_PID,$D521,nrES_Code,$F521,nrES_Att,2)=0),"Yes","No")))</f>
        <v/>
      </c>
      <c r="R521" s="17">
        <f>IF($C521="","",IF($L521="","",IF(AND($K521=2,$L521&lt;$J521,COUNTIFS(nrES_PID,$D521,nrES_Code,$F521,nrES_Att,1)&gt;0),"Yes","No")))</f>
        <v/>
      </c>
      <c r="S521" s="18" t="n"/>
      <c r="T521" s="19">
        <f>IF($Q521&lt;&gt;"Yes","",IF($S521="","(enter date)",_xlfn.LET(_xlpm.dn,IFERROR(_xlfn.XLOOKUP($S521,nrCDdate,nrCDnum),""),IF(_xlpm.dn="","(not a class day)",IFERROR(_xlfn.XLOOKUP(_xlpm.dn+cfgRetestClassDays,nrCDnum,nrCDdate),"")))))</f>
        <v/>
      </c>
      <c r="U521" s="17">
        <f>IF($Q521&lt;&gt;"Yes","",IF(COUNTIFS(nrES_PID,$D521,nrES_Code,$F521,nrES_Att,2)&gt;0,"Retested",IF(OR($T521="",NOT(ISNUMBER($T521))),"Pending",IF(TODAY()&gt;$T521,"OVERDUE","Due "&amp;TEXT($T521,"mm/dd")))))</f>
        <v/>
      </c>
      <c r="V521" s="16" t="n"/>
      <c r="W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IF($C522="","",IF($L522="","",IF($K522=1,IF(COUNTIFS(nrES_PID,$D522,nrES_Code,$F522,nrES_Att,2)&gt;0,"",$L522),IF(COUNTIFS(nrES_PID,$D522,nrES_Code,$F522,nrES_Att,1)=0,$L522,IF($L522&gt;=$J522,cfgRetakeRecordedCap,SUMIFS(nrES_Raw,nrES_PID,$D522,nrES_Code,$F522,nrES_Att,1))))))</f>
        <v/>
      </c>
      <c r="N522" s="17">
        <f>IF($C522="","",IF($L522="","",IF($L522&gt;=$J522,"Yes","No")))</f>
        <v/>
      </c>
      <c r="O522" s="17">
        <f>IF($C522="","",IF($M522="","",IF($M522&gt;=$J522,"Yes","No")))</f>
        <v/>
      </c>
      <c r="P522" s="17">
        <f>IF($C522="","",IF($K522="","",IF(COUNTIFS(nrES_PID,$D522,nrES_Code,$F522,nrES_Att,"&gt;"&amp;$K522)=0,"Yes","No")))</f>
        <v/>
      </c>
      <c r="Q522" s="17">
        <f>IF($C522="","",IF($L522="","",IF(AND($K522=1,$L522&lt;$J522,COUNTIFS(nrES_PID,$D522,nrES_Code,$F522,nrES_Att,2)=0),"Yes","No")))</f>
        <v/>
      </c>
      <c r="R522" s="17">
        <f>IF($C522="","",IF($L522="","",IF(AND($K522=2,$L522&lt;$J522,COUNTIFS(nrES_PID,$D522,nrES_Code,$F522,nrES_Att,1)&gt;0),"Yes","No")))</f>
        <v/>
      </c>
      <c r="S522" s="18" t="n"/>
      <c r="T522" s="19">
        <f>IF($Q522&lt;&gt;"Yes","",IF($S522="","(enter date)",_xlfn.LET(_xlpm.dn,IFERROR(_xlfn.XLOOKUP($S522,nrCDdate,nrCDnum),""),IF(_xlpm.dn="","(not a class day)",IFERROR(_xlfn.XLOOKUP(_xlpm.dn+cfgRetestClassDays,nrCDnum,nrCDdate),"")))))</f>
        <v/>
      </c>
      <c r="U522" s="17">
        <f>IF($Q522&lt;&gt;"Yes","",IF(COUNTIFS(nrES_PID,$D522,nrES_Code,$F522,nrES_Att,2)&gt;0,"Retested",IF(OR($T522="",NOT(ISNUMBER($T522))),"Pending",IF(TODAY()&gt;$T522,"OVERDUE","Due "&amp;TEXT($T522,"mm/dd")))))</f>
        <v/>
      </c>
      <c r="V522" s="16" t="n"/>
      <c r="W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IF($C523="","",IF($L523="","",IF($K523=1,IF(COUNTIFS(nrES_PID,$D523,nrES_Code,$F523,nrES_Att,2)&gt;0,"",$L523),IF(COUNTIFS(nrES_PID,$D523,nrES_Code,$F523,nrES_Att,1)=0,$L523,IF($L523&gt;=$J523,cfgRetakeRecordedCap,SUMIFS(nrES_Raw,nrES_PID,$D523,nrES_Code,$F523,nrES_Att,1))))))</f>
        <v/>
      </c>
      <c r="N523" s="17">
        <f>IF($C523="","",IF($L523="","",IF($L523&gt;=$J523,"Yes","No")))</f>
        <v/>
      </c>
      <c r="O523" s="17">
        <f>IF($C523="","",IF($M523="","",IF($M523&gt;=$J523,"Yes","No")))</f>
        <v/>
      </c>
      <c r="P523" s="17">
        <f>IF($C523="","",IF($K523="","",IF(COUNTIFS(nrES_PID,$D523,nrES_Code,$F523,nrES_Att,"&gt;"&amp;$K523)=0,"Yes","No")))</f>
        <v/>
      </c>
      <c r="Q523" s="17">
        <f>IF($C523="","",IF($L523="","",IF(AND($K523=1,$L523&lt;$J523,COUNTIFS(nrES_PID,$D523,nrES_Code,$F523,nrES_Att,2)=0),"Yes","No")))</f>
        <v/>
      </c>
      <c r="R523" s="17">
        <f>IF($C523="","",IF($L523="","",IF(AND($K523=2,$L523&lt;$J523,COUNTIFS(nrES_PID,$D523,nrES_Code,$F523,nrES_Att,1)&gt;0),"Yes","No")))</f>
        <v/>
      </c>
      <c r="S523" s="18" t="n"/>
      <c r="T523" s="19">
        <f>IF($Q523&lt;&gt;"Yes","",IF($S523="","(enter date)",_xlfn.LET(_xlpm.dn,IFERROR(_xlfn.XLOOKUP($S523,nrCDdate,nrCDnum),""),IF(_xlpm.dn="","(not a class day)",IFERROR(_xlfn.XLOOKUP(_xlpm.dn+cfgRetestClassDays,nrCDnum,nrCDdate),"")))))</f>
        <v/>
      </c>
      <c r="U523" s="17">
        <f>IF($Q523&lt;&gt;"Yes","",IF(COUNTIFS(nrES_PID,$D523,nrES_Code,$F523,nrES_Att,2)&gt;0,"Retested",IF(OR($T523="",NOT(ISNUMBER($T523))),"Pending",IF(TODAY()&gt;$T523,"OVERDUE","Due "&amp;TEXT($T523,"mm/dd")))))</f>
        <v/>
      </c>
      <c r="V523" s="16" t="n"/>
      <c r="W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IF($C524="","",IF($L524="","",IF($K524=1,IF(COUNTIFS(nrES_PID,$D524,nrES_Code,$F524,nrES_Att,2)&gt;0,"",$L524),IF(COUNTIFS(nrES_PID,$D524,nrES_Code,$F524,nrES_Att,1)=0,$L524,IF($L524&gt;=$J524,cfgRetakeRecordedCap,SUMIFS(nrES_Raw,nrES_PID,$D524,nrES_Code,$F524,nrES_Att,1))))))</f>
        <v/>
      </c>
      <c r="N524" s="17">
        <f>IF($C524="","",IF($L524="","",IF($L524&gt;=$J524,"Yes","No")))</f>
        <v/>
      </c>
      <c r="O524" s="17">
        <f>IF($C524="","",IF($M524="","",IF($M524&gt;=$J524,"Yes","No")))</f>
        <v/>
      </c>
      <c r="P524" s="17">
        <f>IF($C524="","",IF($K524="","",IF(COUNTIFS(nrES_PID,$D524,nrES_Code,$F524,nrES_Att,"&gt;"&amp;$K524)=0,"Yes","No")))</f>
        <v/>
      </c>
      <c r="Q524" s="17">
        <f>IF($C524="","",IF($L524="","",IF(AND($K524=1,$L524&lt;$J524,COUNTIFS(nrES_PID,$D524,nrES_Code,$F524,nrES_Att,2)=0),"Yes","No")))</f>
        <v/>
      </c>
      <c r="R524" s="17">
        <f>IF($C524="","",IF($L524="","",IF(AND($K524=2,$L524&lt;$J524,COUNTIFS(nrES_PID,$D524,nrES_Code,$F524,nrES_Att,1)&gt;0),"Yes","No")))</f>
        <v/>
      </c>
      <c r="S524" s="18" t="n"/>
      <c r="T524" s="19">
        <f>IF($Q524&lt;&gt;"Yes","",IF($S524="","(enter date)",_xlfn.LET(_xlpm.dn,IFERROR(_xlfn.XLOOKUP($S524,nrCDdate,nrCDnum),""),IF(_xlpm.dn="","(not a class day)",IFERROR(_xlfn.XLOOKUP(_xlpm.dn+cfgRetestClassDays,nrCDnum,nrCDdate),"")))))</f>
        <v/>
      </c>
      <c r="U524" s="17">
        <f>IF($Q524&lt;&gt;"Yes","",IF(COUNTIFS(nrES_PID,$D524,nrES_Code,$F524,nrES_Att,2)&gt;0,"Retested",IF(OR($T524="",NOT(ISNUMBER($T524))),"Pending",IF(TODAY()&gt;$T524,"OVERDUE","Due "&amp;TEXT($T524,"mm/dd")))))</f>
        <v/>
      </c>
      <c r="V524" s="16" t="n"/>
      <c r="W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IF($C525="","",IF($L525="","",IF($K525=1,IF(COUNTIFS(nrES_PID,$D525,nrES_Code,$F525,nrES_Att,2)&gt;0,"",$L525),IF(COUNTIFS(nrES_PID,$D525,nrES_Code,$F525,nrES_Att,1)=0,$L525,IF($L525&gt;=$J525,cfgRetakeRecordedCap,SUMIFS(nrES_Raw,nrES_PID,$D525,nrES_Code,$F525,nrES_Att,1))))))</f>
        <v/>
      </c>
      <c r="N525" s="17">
        <f>IF($C525="","",IF($L525="","",IF($L525&gt;=$J525,"Yes","No")))</f>
        <v/>
      </c>
      <c r="O525" s="17">
        <f>IF($C525="","",IF($M525="","",IF($M525&gt;=$J525,"Yes","No")))</f>
        <v/>
      </c>
      <c r="P525" s="17">
        <f>IF($C525="","",IF($K525="","",IF(COUNTIFS(nrES_PID,$D525,nrES_Code,$F525,nrES_Att,"&gt;"&amp;$K525)=0,"Yes","No")))</f>
        <v/>
      </c>
      <c r="Q525" s="17">
        <f>IF($C525="","",IF($L525="","",IF(AND($K525=1,$L525&lt;$J525,COUNTIFS(nrES_PID,$D525,nrES_Code,$F525,nrES_Att,2)=0),"Yes","No")))</f>
        <v/>
      </c>
      <c r="R525" s="17">
        <f>IF($C525="","",IF($L525="","",IF(AND($K525=2,$L525&lt;$J525,COUNTIFS(nrES_PID,$D525,nrES_Code,$F525,nrES_Att,1)&gt;0),"Yes","No")))</f>
        <v/>
      </c>
      <c r="S525" s="18" t="n"/>
      <c r="T525" s="19">
        <f>IF($Q525&lt;&gt;"Yes","",IF($S525="","(enter date)",_xlfn.LET(_xlpm.dn,IFERROR(_xlfn.XLOOKUP($S525,nrCDdate,nrCDnum),""),IF(_xlpm.dn="","(not a class day)",IFERROR(_xlfn.XLOOKUP(_xlpm.dn+cfgRetestClassDays,nrCDnum,nrCDdate),"")))))</f>
        <v/>
      </c>
      <c r="U525" s="17">
        <f>IF($Q525&lt;&gt;"Yes","",IF(COUNTIFS(nrES_PID,$D525,nrES_Code,$F525,nrES_Att,2)&gt;0,"Retested",IF(OR($T525="",NOT(ISNUMBER($T525))),"Pending",IF(TODAY()&gt;$T525,"OVERDUE","Due "&amp;TEXT($T525,"mm/dd")))))</f>
        <v/>
      </c>
      <c r="V525" s="16" t="n"/>
      <c r="W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IF($C526="","",IF($L526="","",IF($K526=1,IF(COUNTIFS(nrES_PID,$D526,nrES_Code,$F526,nrES_Att,2)&gt;0,"",$L526),IF(COUNTIFS(nrES_PID,$D526,nrES_Code,$F526,nrES_Att,1)=0,$L526,IF($L526&gt;=$J526,cfgRetakeRecordedCap,SUMIFS(nrES_Raw,nrES_PID,$D526,nrES_Code,$F526,nrES_Att,1))))))</f>
        <v/>
      </c>
      <c r="N526" s="17">
        <f>IF($C526="","",IF($L526="","",IF($L526&gt;=$J526,"Yes","No")))</f>
        <v/>
      </c>
      <c r="O526" s="17">
        <f>IF($C526="","",IF($M526="","",IF($M526&gt;=$J526,"Yes","No")))</f>
        <v/>
      </c>
      <c r="P526" s="17">
        <f>IF($C526="","",IF($K526="","",IF(COUNTIFS(nrES_PID,$D526,nrES_Code,$F526,nrES_Att,"&gt;"&amp;$K526)=0,"Yes","No")))</f>
        <v/>
      </c>
      <c r="Q526" s="17">
        <f>IF($C526="","",IF($L526="","",IF(AND($K526=1,$L526&lt;$J526,COUNTIFS(nrES_PID,$D526,nrES_Code,$F526,nrES_Att,2)=0),"Yes","No")))</f>
        <v/>
      </c>
      <c r="R526" s="17">
        <f>IF($C526="","",IF($L526="","",IF(AND($K526=2,$L526&lt;$J526,COUNTIFS(nrES_PID,$D526,nrES_Code,$F526,nrES_Att,1)&gt;0),"Yes","No")))</f>
        <v/>
      </c>
      <c r="S526" s="18" t="n"/>
      <c r="T526" s="19">
        <f>IF($Q526&lt;&gt;"Yes","",IF($S526="","(enter date)",_xlfn.LET(_xlpm.dn,IFERROR(_xlfn.XLOOKUP($S526,nrCDdate,nrCDnum),""),IF(_xlpm.dn="","(not a class day)",IFERROR(_xlfn.XLOOKUP(_xlpm.dn+cfgRetestClassDays,nrCDnum,nrCDdate),"")))))</f>
        <v/>
      </c>
      <c r="U526" s="17">
        <f>IF($Q526&lt;&gt;"Yes","",IF(COUNTIFS(nrES_PID,$D526,nrES_Code,$F526,nrES_Att,2)&gt;0,"Retested",IF(OR($T526="",NOT(ISNUMBER($T526))),"Pending",IF(TODAY()&gt;$T526,"OVERDUE","Due "&amp;TEXT($T526,"mm/dd")))))</f>
        <v/>
      </c>
      <c r="V526" s="16" t="n"/>
      <c r="W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IF($C527="","",IF($L527="","",IF($K527=1,IF(COUNTIFS(nrES_PID,$D527,nrES_Code,$F527,nrES_Att,2)&gt;0,"",$L527),IF(COUNTIFS(nrES_PID,$D527,nrES_Code,$F527,nrES_Att,1)=0,$L527,IF($L527&gt;=$J527,cfgRetakeRecordedCap,SUMIFS(nrES_Raw,nrES_PID,$D527,nrES_Code,$F527,nrES_Att,1))))))</f>
        <v/>
      </c>
      <c r="N527" s="17">
        <f>IF($C527="","",IF($L527="","",IF($L527&gt;=$J527,"Yes","No")))</f>
        <v/>
      </c>
      <c r="O527" s="17">
        <f>IF($C527="","",IF($M527="","",IF($M527&gt;=$J527,"Yes","No")))</f>
        <v/>
      </c>
      <c r="P527" s="17">
        <f>IF($C527="","",IF($K527="","",IF(COUNTIFS(nrES_PID,$D527,nrES_Code,$F527,nrES_Att,"&gt;"&amp;$K527)=0,"Yes","No")))</f>
        <v/>
      </c>
      <c r="Q527" s="17">
        <f>IF($C527="","",IF($L527="","",IF(AND($K527=1,$L527&lt;$J527,COUNTIFS(nrES_PID,$D527,nrES_Code,$F527,nrES_Att,2)=0),"Yes","No")))</f>
        <v/>
      </c>
      <c r="R527" s="17">
        <f>IF($C527="","",IF($L527="","",IF(AND($K527=2,$L527&lt;$J527,COUNTIFS(nrES_PID,$D527,nrES_Code,$F527,nrES_Att,1)&gt;0),"Yes","No")))</f>
        <v/>
      </c>
      <c r="S527" s="18" t="n"/>
      <c r="T527" s="19">
        <f>IF($Q527&lt;&gt;"Yes","",IF($S527="","(enter date)",_xlfn.LET(_xlpm.dn,IFERROR(_xlfn.XLOOKUP($S527,nrCDdate,nrCDnum),""),IF(_xlpm.dn="","(not a class day)",IFERROR(_xlfn.XLOOKUP(_xlpm.dn+cfgRetestClassDays,nrCDnum,nrCDdate),"")))))</f>
        <v/>
      </c>
      <c r="U527" s="17">
        <f>IF($Q527&lt;&gt;"Yes","",IF(COUNTIFS(nrES_PID,$D527,nrES_Code,$F527,nrES_Att,2)&gt;0,"Retested",IF(OR($T527="",NOT(ISNUMBER($T527))),"Pending",IF(TODAY()&gt;$T527,"OVERDUE","Due "&amp;TEXT($T527,"mm/dd")))))</f>
        <v/>
      </c>
      <c r="V527" s="16" t="n"/>
      <c r="W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IF($C528="","",IF($L528="","",IF($K528=1,IF(COUNTIFS(nrES_PID,$D528,nrES_Code,$F528,nrES_Att,2)&gt;0,"",$L528),IF(COUNTIFS(nrES_PID,$D528,nrES_Code,$F528,nrES_Att,1)=0,$L528,IF($L528&gt;=$J528,cfgRetakeRecordedCap,SUMIFS(nrES_Raw,nrES_PID,$D528,nrES_Code,$F528,nrES_Att,1))))))</f>
        <v/>
      </c>
      <c r="N528" s="17">
        <f>IF($C528="","",IF($L528="","",IF($L528&gt;=$J528,"Yes","No")))</f>
        <v/>
      </c>
      <c r="O528" s="17">
        <f>IF($C528="","",IF($M528="","",IF($M528&gt;=$J528,"Yes","No")))</f>
        <v/>
      </c>
      <c r="P528" s="17">
        <f>IF($C528="","",IF($K528="","",IF(COUNTIFS(nrES_PID,$D528,nrES_Code,$F528,nrES_Att,"&gt;"&amp;$K528)=0,"Yes","No")))</f>
        <v/>
      </c>
      <c r="Q528" s="17">
        <f>IF($C528="","",IF($L528="","",IF(AND($K528=1,$L528&lt;$J528,COUNTIFS(nrES_PID,$D528,nrES_Code,$F528,nrES_Att,2)=0),"Yes","No")))</f>
        <v/>
      </c>
      <c r="R528" s="17">
        <f>IF($C528="","",IF($L528="","",IF(AND($K528=2,$L528&lt;$J528,COUNTIFS(nrES_PID,$D528,nrES_Code,$F528,nrES_Att,1)&gt;0),"Yes","No")))</f>
        <v/>
      </c>
      <c r="S528" s="18" t="n"/>
      <c r="T528" s="19">
        <f>IF($Q528&lt;&gt;"Yes","",IF($S528="","(enter date)",_xlfn.LET(_xlpm.dn,IFERROR(_xlfn.XLOOKUP($S528,nrCDdate,nrCDnum),""),IF(_xlpm.dn="","(not a class day)",IFERROR(_xlfn.XLOOKUP(_xlpm.dn+cfgRetestClassDays,nrCDnum,nrCDdate),"")))))</f>
        <v/>
      </c>
      <c r="U528" s="17">
        <f>IF($Q528&lt;&gt;"Yes","",IF(COUNTIFS(nrES_PID,$D528,nrES_Code,$F528,nrES_Att,2)&gt;0,"Retested",IF(OR($T528="",NOT(ISNUMBER($T528))),"Pending",IF(TODAY()&gt;$T528,"OVERDUE","Due "&amp;TEXT($T528,"mm/dd")))))</f>
        <v/>
      </c>
      <c r="V528" s="16" t="n"/>
      <c r="W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IF($C529="","",IF($L529="","",IF($K529=1,IF(COUNTIFS(nrES_PID,$D529,nrES_Code,$F529,nrES_Att,2)&gt;0,"",$L529),IF(COUNTIFS(nrES_PID,$D529,nrES_Code,$F529,nrES_Att,1)=0,$L529,IF($L529&gt;=$J529,cfgRetakeRecordedCap,SUMIFS(nrES_Raw,nrES_PID,$D529,nrES_Code,$F529,nrES_Att,1))))))</f>
        <v/>
      </c>
      <c r="N529" s="17">
        <f>IF($C529="","",IF($L529="","",IF($L529&gt;=$J529,"Yes","No")))</f>
        <v/>
      </c>
      <c r="O529" s="17">
        <f>IF($C529="","",IF($M529="","",IF($M529&gt;=$J529,"Yes","No")))</f>
        <v/>
      </c>
      <c r="P529" s="17">
        <f>IF($C529="","",IF($K529="","",IF(COUNTIFS(nrES_PID,$D529,nrES_Code,$F529,nrES_Att,"&gt;"&amp;$K529)=0,"Yes","No")))</f>
        <v/>
      </c>
      <c r="Q529" s="17">
        <f>IF($C529="","",IF($L529="","",IF(AND($K529=1,$L529&lt;$J529,COUNTIFS(nrES_PID,$D529,nrES_Code,$F529,nrES_Att,2)=0),"Yes","No")))</f>
        <v/>
      </c>
      <c r="R529" s="17">
        <f>IF($C529="","",IF($L529="","",IF(AND($K529=2,$L529&lt;$J529,COUNTIFS(nrES_PID,$D529,nrES_Code,$F529,nrES_Att,1)&gt;0),"Yes","No")))</f>
        <v/>
      </c>
      <c r="S529" s="18" t="n"/>
      <c r="T529" s="19">
        <f>IF($Q529&lt;&gt;"Yes","",IF($S529="","(enter date)",_xlfn.LET(_xlpm.dn,IFERROR(_xlfn.XLOOKUP($S529,nrCDdate,nrCDnum),""),IF(_xlpm.dn="","(not a class day)",IFERROR(_xlfn.XLOOKUP(_xlpm.dn+cfgRetestClassDays,nrCDnum,nrCDdate),"")))))</f>
        <v/>
      </c>
      <c r="U529" s="17">
        <f>IF($Q529&lt;&gt;"Yes","",IF(COUNTIFS(nrES_PID,$D529,nrES_Code,$F529,nrES_Att,2)&gt;0,"Retested",IF(OR($T529="",NOT(ISNUMBER($T529))),"Pending",IF(TODAY()&gt;$T529,"OVERDUE","Due "&amp;TEXT($T529,"mm/dd")))))</f>
        <v/>
      </c>
      <c r="V529" s="16" t="n"/>
      <c r="W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IF($C530="","",IF($L530="","",IF($K530=1,IF(COUNTIFS(nrES_PID,$D530,nrES_Code,$F530,nrES_Att,2)&gt;0,"",$L530),IF(COUNTIFS(nrES_PID,$D530,nrES_Code,$F530,nrES_Att,1)=0,$L530,IF($L530&gt;=$J530,cfgRetakeRecordedCap,SUMIFS(nrES_Raw,nrES_PID,$D530,nrES_Code,$F530,nrES_Att,1))))))</f>
        <v/>
      </c>
      <c r="N530" s="17">
        <f>IF($C530="","",IF($L530="","",IF($L530&gt;=$J530,"Yes","No")))</f>
        <v/>
      </c>
      <c r="O530" s="17">
        <f>IF($C530="","",IF($M530="","",IF($M530&gt;=$J530,"Yes","No")))</f>
        <v/>
      </c>
      <c r="P530" s="17">
        <f>IF($C530="","",IF($K530="","",IF(COUNTIFS(nrES_PID,$D530,nrES_Code,$F530,nrES_Att,"&gt;"&amp;$K530)=0,"Yes","No")))</f>
        <v/>
      </c>
      <c r="Q530" s="17">
        <f>IF($C530="","",IF($L530="","",IF(AND($K530=1,$L530&lt;$J530,COUNTIFS(nrES_PID,$D530,nrES_Code,$F530,nrES_Att,2)=0),"Yes","No")))</f>
        <v/>
      </c>
      <c r="R530" s="17">
        <f>IF($C530="","",IF($L530="","",IF(AND($K530=2,$L530&lt;$J530,COUNTIFS(nrES_PID,$D530,nrES_Code,$F530,nrES_Att,1)&gt;0),"Yes","No")))</f>
        <v/>
      </c>
      <c r="S530" s="18" t="n"/>
      <c r="T530" s="19">
        <f>IF($Q530&lt;&gt;"Yes","",IF($S530="","(enter date)",_xlfn.LET(_xlpm.dn,IFERROR(_xlfn.XLOOKUP($S530,nrCDdate,nrCDnum),""),IF(_xlpm.dn="","(not a class day)",IFERROR(_xlfn.XLOOKUP(_xlpm.dn+cfgRetestClassDays,nrCDnum,nrCDdate),"")))))</f>
        <v/>
      </c>
      <c r="U530" s="17">
        <f>IF($Q530&lt;&gt;"Yes","",IF(COUNTIFS(nrES_PID,$D530,nrES_Code,$F530,nrES_Att,2)&gt;0,"Retested",IF(OR($T530="",NOT(ISNUMBER($T530))),"Pending",IF(TODAY()&gt;$T530,"OVERDUE","Due "&amp;TEXT($T530,"mm/dd")))))</f>
        <v/>
      </c>
      <c r="V530" s="16" t="n"/>
      <c r="W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IF($C531="","",IF($L531="","",IF($K531=1,IF(COUNTIFS(nrES_PID,$D531,nrES_Code,$F531,nrES_Att,2)&gt;0,"",$L531),IF(COUNTIFS(nrES_PID,$D531,nrES_Code,$F531,nrES_Att,1)=0,$L531,IF($L531&gt;=$J531,cfgRetakeRecordedCap,SUMIFS(nrES_Raw,nrES_PID,$D531,nrES_Code,$F531,nrES_Att,1))))))</f>
        <v/>
      </c>
      <c r="N531" s="17">
        <f>IF($C531="","",IF($L531="","",IF($L531&gt;=$J531,"Yes","No")))</f>
        <v/>
      </c>
      <c r="O531" s="17">
        <f>IF($C531="","",IF($M531="","",IF($M531&gt;=$J531,"Yes","No")))</f>
        <v/>
      </c>
      <c r="P531" s="17">
        <f>IF($C531="","",IF($K531="","",IF(COUNTIFS(nrES_PID,$D531,nrES_Code,$F531,nrES_Att,"&gt;"&amp;$K531)=0,"Yes","No")))</f>
        <v/>
      </c>
      <c r="Q531" s="17">
        <f>IF($C531="","",IF($L531="","",IF(AND($K531=1,$L531&lt;$J531,COUNTIFS(nrES_PID,$D531,nrES_Code,$F531,nrES_Att,2)=0),"Yes","No")))</f>
        <v/>
      </c>
      <c r="R531" s="17">
        <f>IF($C531="","",IF($L531="","",IF(AND($K531=2,$L531&lt;$J531,COUNTIFS(nrES_PID,$D531,nrES_Code,$F531,nrES_Att,1)&gt;0),"Yes","No")))</f>
        <v/>
      </c>
      <c r="S531" s="18" t="n"/>
      <c r="T531" s="19">
        <f>IF($Q531&lt;&gt;"Yes","",IF($S531="","(enter date)",_xlfn.LET(_xlpm.dn,IFERROR(_xlfn.XLOOKUP($S531,nrCDdate,nrCDnum),""),IF(_xlpm.dn="","(not a class day)",IFERROR(_xlfn.XLOOKUP(_xlpm.dn+cfgRetestClassDays,nrCDnum,nrCDdate),"")))))</f>
        <v/>
      </c>
      <c r="U531" s="17">
        <f>IF($Q531&lt;&gt;"Yes","",IF(COUNTIFS(nrES_PID,$D531,nrES_Code,$F531,nrES_Att,2)&gt;0,"Retested",IF(OR($T531="",NOT(ISNUMBER($T531))),"Pending",IF(TODAY()&gt;$T531,"OVERDUE","Due "&amp;TEXT($T531,"mm/dd")))))</f>
        <v/>
      </c>
      <c r="V531" s="16" t="n"/>
      <c r="W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IF($C532="","",IF($L532="","",IF($K532=1,IF(COUNTIFS(nrES_PID,$D532,nrES_Code,$F532,nrES_Att,2)&gt;0,"",$L532),IF(COUNTIFS(nrES_PID,$D532,nrES_Code,$F532,nrES_Att,1)=0,$L532,IF($L532&gt;=$J532,cfgRetakeRecordedCap,SUMIFS(nrES_Raw,nrES_PID,$D532,nrES_Code,$F532,nrES_Att,1))))))</f>
        <v/>
      </c>
      <c r="N532" s="17">
        <f>IF($C532="","",IF($L532="","",IF($L532&gt;=$J532,"Yes","No")))</f>
        <v/>
      </c>
      <c r="O532" s="17">
        <f>IF($C532="","",IF($M532="","",IF($M532&gt;=$J532,"Yes","No")))</f>
        <v/>
      </c>
      <c r="P532" s="17">
        <f>IF($C532="","",IF($K532="","",IF(COUNTIFS(nrES_PID,$D532,nrES_Code,$F532,nrES_Att,"&gt;"&amp;$K532)=0,"Yes","No")))</f>
        <v/>
      </c>
      <c r="Q532" s="17">
        <f>IF($C532="","",IF($L532="","",IF(AND($K532=1,$L532&lt;$J532,COUNTIFS(nrES_PID,$D532,nrES_Code,$F532,nrES_Att,2)=0),"Yes","No")))</f>
        <v/>
      </c>
      <c r="R532" s="17">
        <f>IF($C532="","",IF($L532="","",IF(AND($K532=2,$L532&lt;$J532,COUNTIFS(nrES_PID,$D532,nrES_Code,$F532,nrES_Att,1)&gt;0),"Yes","No")))</f>
        <v/>
      </c>
      <c r="S532" s="18" t="n"/>
      <c r="T532" s="19">
        <f>IF($Q532&lt;&gt;"Yes","",IF($S532="","(enter date)",_xlfn.LET(_xlpm.dn,IFERROR(_xlfn.XLOOKUP($S532,nrCDdate,nrCDnum),""),IF(_xlpm.dn="","(not a class day)",IFERROR(_xlfn.XLOOKUP(_xlpm.dn+cfgRetestClassDays,nrCDnum,nrCDdate),"")))))</f>
        <v/>
      </c>
      <c r="U532" s="17">
        <f>IF($Q532&lt;&gt;"Yes","",IF(COUNTIFS(nrES_PID,$D532,nrES_Code,$F532,nrES_Att,2)&gt;0,"Retested",IF(OR($T532="",NOT(ISNUMBER($T532))),"Pending",IF(TODAY()&gt;$T532,"OVERDUE","Due "&amp;TEXT($T532,"mm/dd")))))</f>
        <v/>
      </c>
      <c r="V532" s="16" t="n"/>
      <c r="W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IF($C533="","",IF($L533="","",IF($K533=1,IF(COUNTIFS(nrES_PID,$D533,nrES_Code,$F533,nrES_Att,2)&gt;0,"",$L533),IF(COUNTIFS(nrES_PID,$D533,nrES_Code,$F533,nrES_Att,1)=0,$L533,IF($L533&gt;=$J533,cfgRetakeRecordedCap,SUMIFS(nrES_Raw,nrES_PID,$D533,nrES_Code,$F533,nrES_Att,1))))))</f>
        <v/>
      </c>
      <c r="N533" s="17">
        <f>IF($C533="","",IF($L533="","",IF($L533&gt;=$J533,"Yes","No")))</f>
        <v/>
      </c>
      <c r="O533" s="17">
        <f>IF($C533="","",IF($M533="","",IF($M533&gt;=$J533,"Yes","No")))</f>
        <v/>
      </c>
      <c r="P533" s="17">
        <f>IF($C533="","",IF($K533="","",IF(COUNTIFS(nrES_PID,$D533,nrES_Code,$F533,nrES_Att,"&gt;"&amp;$K533)=0,"Yes","No")))</f>
        <v/>
      </c>
      <c r="Q533" s="17">
        <f>IF($C533="","",IF($L533="","",IF(AND($K533=1,$L533&lt;$J533,COUNTIFS(nrES_PID,$D533,nrES_Code,$F533,nrES_Att,2)=0),"Yes","No")))</f>
        <v/>
      </c>
      <c r="R533" s="17">
        <f>IF($C533="","",IF($L533="","",IF(AND($K533=2,$L533&lt;$J533,COUNTIFS(nrES_PID,$D533,nrES_Code,$F533,nrES_Att,1)&gt;0),"Yes","No")))</f>
        <v/>
      </c>
      <c r="S533" s="18" t="n"/>
      <c r="T533" s="19">
        <f>IF($Q533&lt;&gt;"Yes","",IF($S533="","(enter date)",_xlfn.LET(_xlpm.dn,IFERROR(_xlfn.XLOOKUP($S533,nrCDdate,nrCDnum),""),IF(_xlpm.dn="","(not a class day)",IFERROR(_xlfn.XLOOKUP(_xlpm.dn+cfgRetestClassDays,nrCDnum,nrCDdate),"")))))</f>
        <v/>
      </c>
      <c r="U533" s="17">
        <f>IF($Q533&lt;&gt;"Yes","",IF(COUNTIFS(nrES_PID,$D533,nrES_Code,$F533,nrES_Att,2)&gt;0,"Retested",IF(OR($T533="",NOT(ISNUMBER($T533))),"Pending",IF(TODAY()&gt;$T533,"OVERDUE","Due "&amp;TEXT($T533,"mm/dd")))))</f>
        <v/>
      </c>
      <c r="V533" s="16" t="n"/>
      <c r="W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IF($C534="","",IF($L534="","",IF($K534=1,IF(COUNTIFS(nrES_PID,$D534,nrES_Code,$F534,nrES_Att,2)&gt;0,"",$L534),IF(COUNTIFS(nrES_PID,$D534,nrES_Code,$F534,nrES_Att,1)=0,$L534,IF($L534&gt;=$J534,cfgRetakeRecordedCap,SUMIFS(nrES_Raw,nrES_PID,$D534,nrES_Code,$F534,nrES_Att,1))))))</f>
        <v/>
      </c>
      <c r="N534" s="17">
        <f>IF($C534="","",IF($L534="","",IF($L534&gt;=$J534,"Yes","No")))</f>
        <v/>
      </c>
      <c r="O534" s="17">
        <f>IF($C534="","",IF($M534="","",IF($M534&gt;=$J534,"Yes","No")))</f>
        <v/>
      </c>
      <c r="P534" s="17">
        <f>IF($C534="","",IF($K534="","",IF(COUNTIFS(nrES_PID,$D534,nrES_Code,$F534,nrES_Att,"&gt;"&amp;$K534)=0,"Yes","No")))</f>
        <v/>
      </c>
      <c r="Q534" s="17">
        <f>IF($C534="","",IF($L534="","",IF(AND($K534=1,$L534&lt;$J534,COUNTIFS(nrES_PID,$D534,nrES_Code,$F534,nrES_Att,2)=0),"Yes","No")))</f>
        <v/>
      </c>
      <c r="R534" s="17">
        <f>IF($C534="","",IF($L534="","",IF(AND($K534=2,$L534&lt;$J534,COUNTIFS(nrES_PID,$D534,nrES_Code,$F534,nrES_Att,1)&gt;0),"Yes","No")))</f>
        <v/>
      </c>
      <c r="S534" s="18" t="n"/>
      <c r="T534" s="19">
        <f>IF($Q534&lt;&gt;"Yes","",IF($S534="","(enter date)",_xlfn.LET(_xlpm.dn,IFERROR(_xlfn.XLOOKUP($S534,nrCDdate,nrCDnum),""),IF(_xlpm.dn="","(not a class day)",IFERROR(_xlfn.XLOOKUP(_xlpm.dn+cfgRetestClassDays,nrCDnum,nrCDdate),"")))))</f>
        <v/>
      </c>
      <c r="U534" s="17">
        <f>IF($Q534&lt;&gt;"Yes","",IF(COUNTIFS(nrES_PID,$D534,nrES_Code,$F534,nrES_Att,2)&gt;0,"Retested",IF(OR($T534="",NOT(ISNUMBER($T534))),"Pending",IF(TODAY()&gt;$T534,"OVERDUE","Due "&amp;TEXT($T534,"mm/dd")))))</f>
        <v/>
      </c>
      <c r="V534" s="16" t="n"/>
      <c r="W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IF($C535="","",IF($L535="","",IF($K535=1,IF(COUNTIFS(nrES_PID,$D535,nrES_Code,$F535,nrES_Att,2)&gt;0,"",$L535),IF(COUNTIFS(nrES_PID,$D535,nrES_Code,$F535,nrES_Att,1)=0,$L535,IF($L535&gt;=$J535,cfgRetakeRecordedCap,SUMIFS(nrES_Raw,nrES_PID,$D535,nrES_Code,$F535,nrES_Att,1))))))</f>
        <v/>
      </c>
      <c r="N535" s="17">
        <f>IF($C535="","",IF($L535="","",IF($L535&gt;=$J535,"Yes","No")))</f>
        <v/>
      </c>
      <c r="O535" s="17">
        <f>IF($C535="","",IF($M535="","",IF($M535&gt;=$J535,"Yes","No")))</f>
        <v/>
      </c>
      <c r="P535" s="17">
        <f>IF($C535="","",IF($K535="","",IF(COUNTIFS(nrES_PID,$D535,nrES_Code,$F535,nrES_Att,"&gt;"&amp;$K535)=0,"Yes","No")))</f>
        <v/>
      </c>
      <c r="Q535" s="17">
        <f>IF($C535="","",IF($L535="","",IF(AND($K535=1,$L535&lt;$J535,COUNTIFS(nrES_PID,$D535,nrES_Code,$F535,nrES_Att,2)=0),"Yes","No")))</f>
        <v/>
      </c>
      <c r="R535" s="17">
        <f>IF($C535="","",IF($L535="","",IF(AND($K535=2,$L535&lt;$J535,COUNTIFS(nrES_PID,$D535,nrES_Code,$F535,nrES_Att,1)&gt;0),"Yes","No")))</f>
        <v/>
      </c>
      <c r="S535" s="18" t="n"/>
      <c r="T535" s="19">
        <f>IF($Q535&lt;&gt;"Yes","",IF($S535="","(enter date)",_xlfn.LET(_xlpm.dn,IFERROR(_xlfn.XLOOKUP($S535,nrCDdate,nrCDnum),""),IF(_xlpm.dn="","(not a class day)",IFERROR(_xlfn.XLOOKUP(_xlpm.dn+cfgRetestClassDays,nrCDnum,nrCDdate),"")))))</f>
        <v/>
      </c>
      <c r="U535" s="17">
        <f>IF($Q535&lt;&gt;"Yes","",IF(COUNTIFS(nrES_PID,$D535,nrES_Code,$F535,nrES_Att,2)&gt;0,"Retested",IF(OR($T535="",NOT(ISNUMBER($T535))),"Pending",IF(TODAY()&gt;$T535,"OVERDUE","Due "&amp;TEXT($T535,"mm/dd")))))</f>
        <v/>
      </c>
      <c r="V535" s="16" t="n"/>
      <c r="W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IF($C536="","",IF($L536="","",IF($K536=1,IF(COUNTIFS(nrES_PID,$D536,nrES_Code,$F536,nrES_Att,2)&gt;0,"",$L536),IF(COUNTIFS(nrES_PID,$D536,nrES_Code,$F536,nrES_Att,1)=0,$L536,IF($L536&gt;=$J536,cfgRetakeRecordedCap,SUMIFS(nrES_Raw,nrES_PID,$D536,nrES_Code,$F536,nrES_Att,1))))))</f>
        <v/>
      </c>
      <c r="N536" s="17">
        <f>IF($C536="","",IF($L536="","",IF($L536&gt;=$J536,"Yes","No")))</f>
        <v/>
      </c>
      <c r="O536" s="17">
        <f>IF($C536="","",IF($M536="","",IF($M536&gt;=$J536,"Yes","No")))</f>
        <v/>
      </c>
      <c r="P536" s="17">
        <f>IF($C536="","",IF($K536="","",IF(COUNTIFS(nrES_PID,$D536,nrES_Code,$F536,nrES_Att,"&gt;"&amp;$K536)=0,"Yes","No")))</f>
        <v/>
      </c>
      <c r="Q536" s="17">
        <f>IF($C536="","",IF($L536="","",IF(AND($K536=1,$L536&lt;$J536,COUNTIFS(nrES_PID,$D536,nrES_Code,$F536,nrES_Att,2)=0),"Yes","No")))</f>
        <v/>
      </c>
      <c r="R536" s="17">
        <f>IF($C536="","",IF($L536="","",IF(AND($K536=2,$L536&lt;$J536,COUNTIFS(nrES_PID,$D536,nrES_Code,$F536,nrES_Att,1)&gt;0),"Yes","No")))</f>
        <v/>
      </c>
      <c r="S536" s="18" t="n"/>
      <c r="T536" s="19">
        <f>IF($Q536&lt;&gt;"Yes","",IF($S536="","(enter date)",_xlfn.LET(_xlpm.dn,IFERROR(_xlfn.XLOOKUP($S536,nrCDdate,nrCDnum),""),IF(_xlpm.dn="","(not a class day)",IFERROR(_xlfn.XLOOKUP(_xlpm.dn+cfgRetestClassDays,nrCDnum,nrCDdate),"")))))</f>
        <v/>
      </c>
      <c r="U536" s="17">
        <f>IF($Q536&lt;&gt;"Yes","",IF(COUNTIFS(nrES_PID,$D536,nrES_Code,$F536,nrES_Att,2)&gt;0,"Retested",IF(OR($T536="",NOT(ISNUMBER($T536))),"Pending",IF(TODAY()&gt;$T536,"OVERDUE","Due "&amp;TEXT($T536,"mm/dd")))))</f>
        <v/>
      </c>
      <c r="V536" s="16" t="n"/>
      <c r="W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IF($C537="","",IF($L537="","",IF($K537=1,IF(COUNTIFS(nrES_PID,$D537,nrES_Code,$F537,nrES_Att,2)&gt;0,"",$L537),IF(COUNTIFS(nrES_PID,$D537,nrES_Code,$F537,nrES_Att,1)=0,$L537,IF($L537&gt;=$J537,cfgRetakeRecordedCap,SUMIFS(nrES_Raw,nrES_PID,$D537,nrES_Code,$F537,nrES_Att,1))))))</f>
        <v/>
      </c>
      <c r="N537" s="17">
        <f>IF($C537="","",IF($L537="","",IF($L537&gt;=$J537,"Yes","No")))</f>
        <v/>
      </c>
      <c r="O537" s="17">
        <f>IF($C537="","",IF($M537="","",IF($M537&gt;=$J537,"Yes","No")))</f>
        <v/>
      </c>
      <c r="P537" s="17">
        <f>IF($C537="","",IF($K537="","",IF(COUNTIFS(nrES_PID,$D537,nrES_Code,$F537,nrES_Att,"&gt;"&amp;$K537)=0,"Yes","No")))</f>
        <v/>
      </c>
      <c r="Q537" s="17">
        <f>IF($C537="","",IF($L537="","",IF(AND($K537=1,$L537&lt;$J537,COUNTIFS(nrES_PID,$D537,nrES_Code,$F537,nrES_Att,2)=0),"Yes","No")))</f>
        <v/>
      </c>
      <c r="R537" s="17">
        <f>IF($C537="","",IF($L537="","",IF(AND($K537=2,$L537&lt;$J537,COUNTIFS(nrES_PID,$D537,nrES_Code,$F537,nrES_Att,1)&gt;0),"Yes","No")))</f>
        <v/>
      </c>
      <c r="S537" s="18" t="n"/>
      <c r="T537" s="19">
        <f>IF($Q537&lt;&gt;"Yes","",IF($S537="","(enter date)",_xlfn.LET(_xlpm.dn,IFERROR(_xlfn.XLOOKUP($S537,nrCDdate,nrCDnum),""),IF(_xlpm.dn="","(not a class day)",IFERROR(_xlfn.XLOOKUP(_xlpm.dn+cfgRetestClassDays,nrCDnum,nrCDdate),"")))))</f>
        <v/>
      </c>
      <c r="U537" s="17">
        <f>IF($Q537&lt;&gt;"Yes","",IF(COUNTIFS(nrES_PID,$D537,nrES_Code,$F537,nrES_Att,2)&gt;0,"Retested",IF(OR($T537="",NOT(ISNUMBER($T537))),"Pending",IF(TODAY()&gt;$T537,"OVERDUE","Due "&amp;TEXT($T537,"mm/dd")))))</f>
        <v/>
      </c>
      <c r="V537" s="16" t="n"/>
      <c r="W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IF($C538="","",IF($L538="","",IF($K538=1,IF(COUNTIFS(nrES_PID,$D538,nrES_Code,$F538,nrES_Att,2)&gt;0,"",$L538),IF(COUNTIFS(nrES_PID,$D538,nrES_Code,$F538,nrES_Att,1)=0,$L538,IF($L538&gt;=$J538,cfgRetakeRecordedCap,SUMIFS(nrES_Raw,nrES_PID,$D538,nrES_Code,$F538,nrES_Att,1))))))</f>
        <v/>
      </c>
      <c r="N538" s="17">
        <f>IF($C538="","",IF($L538="","",IF($L538&gt;=$J538,"Yes","No")))</f>
        <v/>
      </c>
      <c r="O538" s="17">
        <f>IF($C538="","",IF($M538="","",IF($M538&gt;=$J538,"Yes","No")))</f>
        <v/>
      </c>
      <c r="P538" s="17">
        <f>IF($C538="","",IF($K538="","",IF(COUNTIFS(nrES_PID,$D538,nrES_Code,$F538,nrES_Att,"&gt;"&amp;$K538)=0,"Yes","No")))</f>
        <v/>
      </c>
      <c r="Q538" s="17">
        <f>IF($C538="","",IF($L538="","",IF(AND($K538=1,$L538&lt;$J538,COUNTIFS(nrES_PID,$D538,nrES_Code,$F538,nrES_Att,2)=0),"Yes","No")))</f>
        <v/>
      </c>
      <c r="R538" s="17">
        <f>IF($C538="","",IF($L538="","",IF(AND($K538=2,$L538&lt;$J538,COUNTIFS(nrES_PID,$D538,nrES_Code,$F538,nrES_Att,1)&gt;0),"Yes","No")))</f>
        <v/>
      </c>
      <c r="S538" s="18" t="n"/>
      <c r="T538" s="19">
        <f>IF($Q538&lt;&gt;"Yes","",IF($S538="","(enter date)",_xlfn.LET(_xlpm.dn,IFERROR(_xlfn.XLOOKUP($S538,nrCDdate,nrCDnum),""),IF(_xlpm.dn="","(not a class day)",IFERROR(_xlfn.XLOOKUP(_xlpm.dn+cfgRetestClassDays,nrCDnum,nrCDdate),"")))))</f>
        <v/>
      </c>
      <c r="U538" s="17">
        <f>IF($Q538&lt;&gt;"Yes","",IF(COUNTIFS(nrES_PID,$D538,nrES_Code,$F538,nrES_Att,2)&gt;0,"Retested",IF(OR($T538="",NOT(ISNUMBER($T538))),"Pending",IF(TODAY()&gt;$T538,"OVERDUE","Due "&amp;TEXT($T538,"mm/dd")))))</f>
        <v/>
      </c>
      <c r="V538" s="16" t="n"/>
      <c r="W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IF($C539="","",IF($L539="","",IF($K539=1,IF(COUNTIFS(nrES_PID,$D539,nrES_Code,$F539,nrES_Att,2)&gt;0,"",$L539),IF(COUNTIFS(nrES_PID,$D539,nrES_Code,$F539,nrES_Att,1)=0,$L539,IF($L539&gt;=$J539,cfgRetakeRecordedCap,SUMIFS(nrES_Raw,nrES_PID,$D539,nrES_Code,$F539,nrES_Att,1))))))</f>
        <v/>
      </c>
      <c r="N539" s="17">
        <f>IF($C539="","",IF($L539="","",IF($L539&gt;=$J539,"Yes","No")))</f>
        <v/>
      </c>
      <c r="O539" s="17">
        <f>IF($C539="","",IF($M539="","",IF($M539&gt;=$J539,"Yes","No")))</f>
        <v/>
      </c>
      <c r="P539" s="17">
        <f>IF($C539="","",IF($K539="","",IF(COUNTIFS(nrES_PID,$D539,nrES_Code,$F539,nrES_Att,"&gt;"&amp;$K539)=0,"Yes","No")))</f>
        <v/>
      </c>
      <c r="Q539" s="17">
        <f>IF($C539="","",IF($L539="","",IF(AND($K539=1,$L539&lt;$J539,COUNTIFS(nrES_PID,$D539,nrES_Code,$F539,nrES_Att,2)=0),"Yes","No")))</f>
        <v/>
      </c>
      <c r="R539" s="17">
        <f>IF($C539="","",IF($L539="","",IF(AND($K539=2,$L539&lt;$J539,COUNTIFS(nrES_PID,$D539,nrES_Code,$F539,nrES_Att,1)&gt;0),"Yes","No")))</f>
        <v/>
      </c>
      <c r="S539" s="18" t="n"/>
      <c r="T539" s="19">
        <f>IF($Q539&lt;&gt;"Yes","",IF($S539="","(enter date)",_xlfn.LET(_xlpm.dn,IFERROR(_xlfn.XLOOKUP($S539,nrCDdate,nrCDnum),""),IF(_xlpm.dn="","(not a class day)",IFERROR(_xlfn.XLOOKUP(_xlpm.dn+cfgRetestClassDays,nrCDnum,nrCDdate),"")))))</f>
        <v/>
      </c>
      <c r="U539" s="17">
        <f>IF($Q539&lt;&gt;"Yes","",IF(COUNTIFS(nrES_PID,$D539,nrES_Code,$F539,nrES_Att,2)&gt;0,"Retested",IF(OR($T539="",NOT(ISNUMBER($T539))),"Pending",IF(TODAY()&gt;$T539,"OVERDUE","Due "&amp;TEXT($T539,"mm/dd")))))</f>
        <v/>
      </c>
      <c r="V539" s="16" t="n"/>
      <c r="W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IF($C540="","",IF($L540="","",IF($K540=1,IF(COUNTIFS(nrES_PID,$D540,nrES_Code,$F540,nrES_Att,2)&gt;0,"",$L540),IF(COUNTIFS(nrES_PID,$D540,nrES_Code,$F540,nrES_Att,1)=0,$L540,IF($L540&gt;=$J540,cfgRetakeRecordedCap,SUMIFS(nrES_Raw,nrES_PID,$D540,nrES_Code,$F540,nrES_Att,1))))))</f>
        <v/>
      </c>
      <c r="N540" s="17">
        <f>IF($C540="","",IF($L540="","",IF($L540&gt;=$J540,"Yes","No")))</f>
        <v/>
      </c>
      <c r="O540" s="17">
        <f>IF($C540="","",IF($M540="","",IF($M540&gt;=$J540,"Yes","No")))</f>
        <v/>
      </c>
      <c r="P540" s="17">
        <f>IF($C540="","",IF($K540="","",IF(COUNTIFS(nrES_PID,$D540,nrES_Code,$F540,nrES_Att,"&gt;"&amp;$K540)=0,"Yes","No")))</f>
        <v/>
      </c>
      <c r="Q540" s="17">
        <f>IF($C540="","",IF($L540="","",IF(AND($K540=1,$L540&lt;$J540,COUNTIFS(nrES_PID,$D540,nrES_Code,$F540,nrES_Att,2)=0),"Yes","No")))</f>
        <v/>
      </c>
      <c r="R540" s="17">
        <f>IF($C540="","",IF($L540="","",IF(AND($K540=2,$L540&lt;$J540,COUNTIFS(nrES_PID,$D540,nrES_Code,$F540,nrES_Att,1)&gt;0),"Yes","No")))</f>
        <v/>
      </c>
      <c r="S540" s="18" t="n"/>
      <c r="T540" s="19">
        <f>IF($Q540&lt;&gt;"Yes","",IF($S540="","(enter date)",_xlfn.LET(_xlpm.dn,IFERROR(_xlfn.XLOOKUP($S540,nrCDdate,nrCDnum),""),IF(_xlpm.dn="","(not a class day)",IFERROR(_xlfn.XLOOKUP(_xlpm.dn+cfgRetestClassDays,nrCDnum,nrCDdate),"")))))</f>
        <v/>
      </c>
      <c r="U540" s="17">
        <f>IF($Q540&lt;&gt;"Yes","",IF(COUNTIFS(nrES_PID,$D540,nrES_Code,$F540,nrES_Att,2)&gt;0,"Retested",IF(OR($T540="",NOT(ISNUMBER($T540))),"Pending",IF(TODAY()&gt;$T540,"OVERDUE","Due "&amp;TEXT($T540,"mm/dd")))))</f>
        <v/>
      </c>
      <c r="V540" s="16" t="n"/>
      <c r="W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IF($C541="","",IF($L541="","",IF($K541=1,IF(COUNTIFS(nrES_PID,$D541,nrES_Code,$F541,nrES_Att,2)&gt;0,"",$L541),IF(COUNTIFS(nrES_PID,$D541,nrES_Code,$F541,nrES_Att,1)=0,$L541,IF($L541&gt;=$J541,cfgRetakeRecordedCap,SUMIFS(nrES_Raw,nrES_PID,$D541,nrES_Code,$F541,nrES_Att,1))))))</f>
        <v/>
      </c>
      <c r="N541" s="17">
        <f>IF($C541="","",IF($L541="","",IF($L541&gt;=$J541,"Yes","No")))</f>
        <v/>
      </c>
      <c r="O541" s="17">
        <f>IF($C541="","",IF($M541="","",IF($M541&gt;=$J541,"Yes","No")))</f>
        <v/>
      </c>
      <c r="P541" s="17">
        <f>IF($C541="","",IF($K541="","",IF(COUNTIFS(nrES_PID,$D541,nrES_Code,$F541,nrES_Att,"&gt;"&amp;$K541)=0,"Yes","No")))</f>
        <v/>
      </c>
      <c r="Q541" s="17">
        <f>IF($C541="","",IF($L541="","",IF(AND($K541=1,$L541&lt;$J541,COUNTIFS(nrES_PID,$D541,nrES_Code,$F541,nrES_Att,2)=0),"Yes","No")))</f>
        <v/>
      </c>
      <c r="R541" s="17">
        <f>IF($C541="","",IF($L541="","",IF(AND($K541=2,$L541&lt;$J541,COUNTIFS(nrES_PID,$D541,nrES_Code,$F541,nrES_Att,1)&gt;0),"Yes","No")))</f>
        <v/>
      </c>
      <c r="S541" s="18" t="n"/>
      <c r="T541" s="19">
        <f>IF($Q541&lt;&gt;"Yes","",IF($S541="","(enter date)",_xlfn.LET(_xlpm.dn,IFERROR(_xlfn.XLOOKUP($S541,nrCDdate,nrCDnum),""),IF(_xlpm.dn="","(not a class day)",IFERROR(_xlfn.XLOOKUP(_xlpm.dn+cfgRetestClassDays,nrCDnum,nrCDdate),"")))))</f>
        <v/>
      </c>
      <c r="U541" s="17">
        <f>IF($Q541&lt;&gt;"Yes","",IF(COUNTIFS(nrES_PID,$D541,nrES_Code,$F541,nrES_Att,2)&gt;0,"Retested",IF(OR($T541="",NOT(ISNUMBER($T541))),"Pending",IF(TODAY()&gt;$T541,"OVERDUE","Due "&amp;TEXT($T541,"mm/dd")))))</f>
        <v/>
      </c>
      <c r="V541" s="16" t="n"/>
      <c r="W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IF($C542="","",IF($L542="","",IF($K542=1,IF(COUNTIFS(nrES_PID,$D542,nrES_Code,$F542,nrES_Att,2)&gt;0,"",$L542),IF(COUNTIFS(nrES_PID,$D542,nrES_Code,$F542,nrES_Att,1)=0,$L542,IF($L542&gt;=$J542,cfgRetakeRecordedCap,SUMIFS(nrES_Raw,nrES_PID,$D542,nrES_Code,$F542,nrES_Att,1))))))</f>
        <v/>
      </c>
      <c r="N542" s="17">
        <f>IF($C542="","",IF($L542="","",IF($L542&gt;=$J542,"Yes","No")))</f>
        <v/>
      </c>
      <c r="O542" s="17">
        <f>IF($C542="","",IF($M542="","",IF($M542&gt;=$J542,"Yes","No")))</f>
        <v/>
      </c>
      <c r="P542" s="17">
        <f>IF($C542="","",IF($K542="","",IF(COUNTIFS(nrES_PID,$D542,nrES_Code,$F542,nrES_Att,"&gt;"&amp;$K542)=0,"Yes","No")))</f>
        <v/>
      </c>
      <c r="Q542" s="17">
        <f>IF($C542="","",IF($L542="","",IF(AND($K542=1,$L542&lt;$J542,COUNTIFS(nrES_PID,$D542,nrES_Code,$F542,nrES_Att,2)=0),"Yes","No")))</f>
        <v/>
      </c>
      <c r="R542" s="17">
        <f>IF($C542="","",IF($L542="","",IF(AND($K542=2,$L542&lt;$J542,COUNTIFS(nrES_PID,$D542,nrES_Code,$F542,nrES_Att,1)&gt;0),"Yes","No")))</f>
        <v/>
      </c>
      <c r="S542" s="18" t="n"/>
      <c r="T542" s="19">
        <f>IF($Q542&lt;&gt;"Yes","",IF($S542="","(enter date)",_xlfn.LET(_xlpm.dn,IFERROR(_xlfn.XLOOKUP($S542,nrCDdate,nrCDnum),""),IF(_xlpm.dn="","(not a class day)",IFERROR(_xlfn.XLOOKUP(_xlpm.dn+cfgRetestClassDays,nrCDnum,nrCDdate),"")))))</f>
        <v/>
      </c>
      <c r="U542" s="17">
        <f>IF($Q542&lt;&gt;"Yes","",IF(COUNTIFS(nrES_PID,$D542,nrES_Code,$F542,nrES_Att,2)&gt;0,"Retested",IF(OR($T542="",NOT(ISNUMBER($T542))),"Pending",IF(TODAY()&gt;$T542,"OVERDUE","Due "&amp;TEXT($T542,"mm/dd")))))</f>
        <v/>
      </c>
      <c r="V542" s="16" t="n"/>
      <c r="W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IF($C543="","",IF($L543="","",IF($K543=1,IF(COUNTIFS(nrES_PID,$D543,nrES_Code,$F543,nrES_Att,2)&gt;0,"",$L543),IF(COUNTIFS(nrES_PID,$D543,nrES_Code,$F543,nrES_Att,1)=0,$L543,IF($L543&gt;=$J543,cfgRetakeRecordedCap,SUMIFS(nrES_Raw,nrES_PID,$D543,nrES_Code,$F543,nrES_Att,1))))))</f>
        <v/>
      </c>
      <c r="N543" s="17">
        <f>IF($C543="","",IF($L543="","",IF($L543&gt;=$J543,"Yes","No")))</f>
        <v/>
      </c>
      <c r="O543" s="17">
        <f>IF($C543="","",IF($M543="","",IF($M543&gt;=$J543,"Yes","No")))</f>
        <v/>
      </c>
      <c r="P543" s="17">
        <f>IF($C543="","",IF($K543="","",IF(COUNTIFS(nrES_PID,$D543,nrES_Code,$F543,nrES_Att,"&gt;"&amp;$K543)=0,"Yes","No")))</f>
        <v/>
      </c>
      <c r="Q543" s="17">
        <f>IF($C543="","",IF($L543="","",IF(AND($K543=1,$L543&lt;$J543,COUNTIFS(nrES_PID,$D543,nrES_Code,$F543,nrES_Att,2)=0),"Yes","No")))</f>
        <v/>
      </c>
      <c r="R543" s="17">
        <f>IF($C543="","",IF($L543="","",IF(AND($K543=2,$L543&lt;$J543,COUNTIFS(nrES_PID,$D543,nrES_Code,$F543,nrES_Att,1)&gt;0),"Yes","No")))</f>
        <v/>
      </c>
      <c r="S543" s="18" t="n"/>
      <c r="T543" s="19">
        <f>IF($Q543&lt;&gt;"Yes","",IF($S543="","(enter date)",_xlfn.LET(_xlpm.dn,IFERROR(_xlfn.XLOOKUP($S543,nrCDdate,nrCDnum),""),IF(_xlpm.dn="","(not a class day)",IFERROR(_xlfn.XLOOKUP(_xlpm.dn+cfgRetestClassDays,nrCDnum,nrCDdate),"")))))</f>
        <v/>
      </c>
      <c r="U543" s="17">
        <f>IF($Q543&lt;&gt;"Yes","",IF(COUNTIFS(nrES_PID,$D543,nrES_Code,$F543,nrES_Att,2)&gt;0,"Retested",IF(OR($T543="",NOT(ISNUMBER($T543))),"Pending",IF(TODAY()&gt;$T543,"OVERDUE","Due "&amp;TEXT($T543,"mm/dd")))))</f>
        <v/>
      </c>
      <c r="V543" s="16" t="n"/>
      <c r="W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IF($C544="","",IF($L544="","",IF($K544=1,IF(COUNTIFS(nrES_PID,$D544,nrES_Code,$F544,nrES_Att,2)&gt;0,"",$L544),IF(COUNTIFS(nrES_PID,$D544,nrES_Code,$F544,nrES_Att,1)=0,$L544,IF($L544&gt;=$J544,cfgRetakeRecordedCap,SUMIFS(nrES_Raw,nrES_PID,$D544,nrES_Code,$F544,nrES_Att,1))))))</f>
        <v/>
      </c>
      <c r="N544" s="17">
        <f>IF($C544="","",IF($L544="","",IF($L544&gt;=$J544,"Yes","No")))</f>
        <v/>
      </c>
      <c r="O544" s="17">
        <f>IF($C544="","",IF($M544="","",IF($M544&gt;=$J544,"Yes","No")))</f>
        <v/>
      </c>
      <c r="P544" s="17">
        <f>IF($C544="","",IF($K544="","",IF(COUNTIFS(nrES_PID,$D544,nrES_Code,$F544,nrES_Att,"&gt;"&amp;$K544)=0,"Yes","No")))</f>
        <v/>
      </c>
      <c r="Q544" s="17">
        <f>IF($C544="","",IF($L544="","",IF(AND($K544=1,$L544&lt;$J544,COUNTIFS(nrES_PID,$D544,nrES_Code,$F544,nrES_Att,2)=0),"Yes","No")))</f>
        <v/>
      </c>
      <c r="R544" s="17">
        <f>IF($C544="","",IF($L544="","",IF(AND($K544=2,$L544&lt;$J544,COUNTIFS(nrES_PID,$D544,nrES_Code,$F544,nrES_Att,1)&gt;0),"Yes","No")))</f>
        <v/>
      </c>
      <c r="S544" s="18" t="n"/>
      <c r="T544" s="19">
        <f>IF($Q544&lt;&gt;"Yes","",IF($S544="","(enter date)",_xlfn.LET(_xlpm.dn,IFERROR(_xlfn.XLOOKUP($S544,nrCDdate,nrCDnum),""),IF(_xlpm.dn="","(not a class day)",IFERROR(_xlfn.XLOOKUP(_xlpm.dn+cfgRetestClassDays,nrCDnum,nrCDdate),"")))))</f>
        <v/>
      </c>
      <c r="U544" s="17">
        <f>IF($Q544&lt;&gt;"Yes","",IF(COUNTIFS(nrES_PID,$D544,nrES_Code,$F544,nrES_Att,2)&gt;0,"Retested",IF(OR($T544="",NOT(ISNUMBER($T544))),"Pending",IF(TODAY()&gt;$T544,"OVERDUE","Due "&amp;TEXT($T544,"mm/dd")))))</f>
        <v/>
      </c>
      <c r="V544" s="16" t="n"/>
      <c r="W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IF($C545="","",IF($L545="","",IF($K545=1,IF(COUNTIFS(nrES_PID,$D545,nrES_Code,$F545,nrES_Att,2)&gt;0,"",$L545),IF(COUNTIFS(nrES_PID,$D545,nrES_Code,$F545,nrES_Att,1)=0,$L545,IF($L545&gt;=$J545,cfgRetakeRecordedCap,SUMIFS(nrES_Raw,nrES_PID,$D545,nrES_Code,$F545,nrES_Att,1))))))</f>
        <v/>
      </c>
      <c r="N545" s="17">
        <f>IF($C545="","",IF($L545="","",IF($L545&gt;=$J545,"Yes","No")))</f>
        <v/>
      </c>
      <c r="O545" s="17">
        <f>IF($C545="","",IF($M545="","",IF($M545&gt;=$J545,"Yes","No")))</f>
        <v/>
      </c>
      <c r="P545" s="17">
        <f>IF($C545="","",IF($K545="","",IF(COUNTIFS(nrES_PID,$D545,nrES_Code,$F545,nrES_Att,"&gt;"&amp;$K545)=0,"Yes","No")))</f>
        <v/>
      </c>
      <c r="Q545" s="17">
        <f>IF($C545="","",IF($L545="","",IF(AND($K545=1,$L545&lt;$J545,COUNTIFS(nrES_PID,$D545,nrES_Code,$F545,nrES_Att,2)=0),"Yes","No")))</f>
        <v/>
      </c>
      <c r="R545" s="17">
        <f>IF($C545="","",IF($L545="","",IF(AND($K545=2,$L545&lt;$J545,COUNTIFS(nrES_PID,$D545,nrES_Code,$F545,nrES_Att,1)&gt;0),"Yes","No")))</f>
        <v/>
      </c>
      <c r="S545" s="18" t="n"/>
      <c r="T545" s="19">
        <f>IF($Q545&lt;&gt;"Yes","",IF($S545="","(enter date)",_xlfn.LET(_xlpm.dn,IFERROR(_xlfn.XLOOKUP($S545,nrCDdate,nrCDnum),""),IF(_xlpm.dn="","(not a class day)",IFERROR(_xlfn.XLOOKUP(_xlpm.dn+cfgRetestClassDays,nrCDnum,nrCDdate),"")))))</f>
        <v/>
      </c>
      <c r="U545" s="17">
        <f>IF($Q545&lt;&gt;"Yes","",IF(COUNTIFS(nrES_PID,$D545,nrES_Code,$F545,nrES_Att,2)&gt;0,"Retested",IF(OR($T545="",NOT(ISNUMBER($T545))),"Pending",IF(TODAY()&gt;$T545,"OVERDUE","Due "&amp;TEXT($T545,"mm/dd")))))</f>
        <v/>
      </c>
      <c r="V545" s="16" t="n"/>
      <c r="W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IF($C546="","",IF($L546="","",IF($K546=1,IF(COUNTIFS(nrES_PID,$D546,nrES_Code,$F546,nrES_Att,2)&gt;0,"",$L546),IF(COUNTIFS(nrES_PID,$D546,nrES_Code,$F546,nrES_Att,1)=0,$L546,IF($L546&gt;=$J546,cfgRetakeRecordedCap,SUMIFS(nrES_Raw,nrES_PID,$D546,nrES_Code,$F546,nrES_Att,1))))))</f>
        <v/>
      </c>
      <c r="N546" s="17">
        <f>IF($C546="","",IF($L546="","",IF($L546&gt;=$J546,"Yes","No")))</f>
        <v/>
      </c>
      <c r="O546" s="17">
        <f>IF($C546="","",IF($M546="","",IF($M546&gt;=$J546,"Yes","No")))</f>
        <v/>
      </c>
      <c r="P546" s="17">
        <f>IF($C546="","",IF($K546="","",IF(COUNTIFS(nrES_PID,$D546,nrES_Code,$F546,nrES_Att,"&gt;"&amp;$K546)=0,"Yes","No")))</f>
        <v/>
      </c>
      <c r="Q546" s="17">
        <f>IF($C546="","",IF($L546="","",IF(AND($K546=1,$L546&lt;$J546,COUNTIFS(nrES_PID,$D546,nrES_Code,$F546,nrES_Att,2)=0),"Yes","No")))</f>
        <v/>
      </c>
      <c r="R546" s="17">
        <f>IF($C546="","",IF($L546="","",IF(AND($K546=2,$L546&lt;$J546,COUNTIFS(nrES_PID,$D546,nrES_Code,$F546,nrES_Att,1)&gt;0),"Yes","No")))</f>
        <v/>
      </c>
      <c r="S546" s="18" t="n"/>
      <c r="T546" s="19">
        <f>IF($Q546&lt;&gt;"Yes","",IF($S546="","(enter date)",_xlfn.LET(_xlpm.dn,IFERROR(_xlfn.XLOOKUP($S546,nrCDdate,nrCDnum),""),IF(_xlpm.dn="","(not a class day)",IFERROR(_xlfn.XLOOKUP(_xlpm.dn+cfgRetestClassDays,nrCDnum,nrCDdate),"")))))</f>
        <v/>
      </c>
      <c r="U546" s="17">
        <f>IF($Q546&lt;&gt;"Yes","",IF(COUNTIFS(nrES_PID,$D546,nrES_Code,$F546,nrES_Att,2)&gt;0,"Retested",IF(OR($T546="",NOT(ISNUMBER($T546))),"Pending",IF(TODAY()&gt;$T546,"OVERDUE","Due "&amp;TEXT($T546,"mm/dd")))))</f>
        <v/>
      </c>
      <c r="V546" s="16" t="n"/>
      <c r="W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IF($C547="","",IF($L547="","",IF($K547=1,IF(COUNTIFS(nrES_PID,$D547,nrES_Code,$F547,nrES_Att,2)&gt;0,"",$L547),IF(COUNTIFS(nrES_PID,$D547,nrES_Code,$F547,nrES_Att,1)=0,$L547,IF($L547&gt;=$J547,cfgRetakeRecordedCap,SUMIFS(nrES_Raw,nrES_PID,$D547,nrES_Code,$F547,nrES_Att,1))))))</f>
        <v/>
      </c>
      <c r="N547" s="17">
        <f>IF($C547="","",IF($L547="","",IF($L547&gt;=$J547,"Yes","No")))</f>
        <v/>
      </c>
      <c r="O547" s="17">
        <f>IF($C547="","",IF($M547="","",IF($M547&gt;=$J547,"Yes","No")))</f>
        <v/>
      </c>
      <c r="P547" s="17">
        <f>IF($C547="","",IF($K547="","",IF(COUNTIFS(nrES_PID,$D547,nrES_Code,$F547,nrES_Att,"&gt;"&amp;$K547)=0,"Yes","No")))</f>
        <v/>
      </c>
      <c r="Q547" s="17">
        <f>IF($C547="","",IF($L547="","",IF(AND($K547=1,$L547&lt;$J547,COUNTIFS(nrES_PID,$D547,nrES_Code,$F547,nrES_Att,2)=0),"Yes","No")))</f>
        <v/>
      </c>
      <c r="R547" s="17">
        <f>IF($C547="","",IF($L547="","",IF(AND($K547=2,$L547&lt;$J547,COUNTIFS(nrES_PID,$D547,nrES_Code,$F547,nrES_Att,1)&gt;0),"Yes","No")))</f>
        <v/>
      </c>
      <c r="S547" s="18" t="n"/>
      <c r="T547" s="19">
        <f>IF($Q547&lt;&gt;"Yes","",IF($S547="","(enter date)",_xlfn.LET(_xlpm.dn,IFERROR(_xlfn.XLOOKUP($S547,nrCDdate,nrCDnum),""),IF(_xlpm.dn="","(not a class day)",IFERROR(_xlfn.XLOOKUP(_xlpm.dn+cfgRetestClassDays,nrCDnum,nrCDdate),"")))))</f>
        <v/>
      </c>
      <c r="U547" s="17">
        <f>IF($Q547&lt;&gt;"Yes","",IF(COUNTIFS(nrES_PID,$D547,nrES_Code,$F547,nrES_Att,2)&gt;0,"Retested",IF(OR($T547="",NOT(ISNUMBER($T547))),"Pending",IF(TODAY()&gt;$T547,"OVERDUE","Due "&amp;TEXT($T547,"mm/dd")))))</f>
        <v/>
      </c>
      <c r="V547" s="16" t="n"/>
      <c r="W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IF($C548="","",IF($L548="","",IF($K548=1,IF(COUNTIFS(nrES_PID,$D548,nrES_Code,$F548,nrES_Att,2)&gt;0,"",$L548),IF(COUNTIFS(nrES_PID,$D548,nrES_Code,$F548,nrES_Att,1)=0,$L548,IF($L548&gt;=$J548,cfgRetakeRecordedCap,SUMIFS(nrES_Raw,nrES_PID,$D548,nrES_Code,$F548,nrES_Att,1))))))</f>
        <v/>
      </c>
      <c r="N548" s="17">
        <f>IF($C548="","",IF($L548="","",IF($L548&gt;=$J548,"Yes","No")))</f>
        <v/>
      </c>
      <c r="O548" s="17">
        <f>IF($C548="","",IF($M548="","",IF($M548&gt;=$J548,"Yes","No")))</f>
        <v/>
      </c>
      <c r="P548" s="17">
        <f>IF($C548="","",IF($K548="","",IF(COUNTIFS(nrES_PID,$D548,nrES_Code,$F548,nrES_Att,"&gt;"&amp;$K548)=0,"Yes","No")))</f>
        <v/>
      </c>
      <c r="Q548" s="17">
        <f>IF($C548="","",IF($L548="","",IF(AND($K548=1,$L548&lt;$J548,COUNTIFS(nrES_PID,$D548,nrES_Code,$F548,nrES_Att,2)=0),"Yes","No")))</f>
        <v/>
      </c>
      <c r="R548" s="17">
        <f>IF($C548="","",IF($L548="","",IF(AND($K548=2,$L548&lt;$J548,COUNTIFS(nrES_PID,$D548,nrES_Code,$F548,nrES_Att,1)&gt;0),"Yes","No")))</f>
        <v/>
      </c>
      <c r="S548" s="18" t="n"/>
      <c r="T548" s="19">
        <f>IF($Q548&lt;&gt;"Yes","",IF($S548="","(enter date)",_xlfn.LET(_xlpm.dn,IFERROR(_xlfn.XLOOKUP($S548,nrCDdate,nrCDnum),""),IF(_xlpm.dn="","(not a class day)",IFERROR(_xlfn.XLOOKUP(_xlpm.dn+cfgRetestClassDays,nrCDnum,nrCDdate),"")))))</f>
        <v/>
      </c>
      <c r="U548" s="17">
        <f>IF($Q548&lt;&gt;"Yes","",IF(COUNTIFS(nrES_PID,$D548,nrES_Code,$F548,nrES_Att,2)&gt;0,"Retested",IF(OR($T548="",NOT(ISNUMBER($T548))),"Pending",IF(TODAY()&gt;$T548,"OVERDUE","Due "&amp;TEXT($T548,"mm/dd")))))</f>
        <v/>
      </c>
      <c r="V548" s="16" t="n"/>
      <c r="W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IF($C549="","",IF($L549="","",IF($K549=1,IF(COUNTIFS(nrES_PID,$D549,nrES_Code,$F549,nrES_Att,2)&gt;0,"",$L549),IF(COUNTIFS(nrES_PID,$D549,nrES_Code,$F549,nrES_Att,1)=0,$L549,IF($L549&gt;=$J549,cfgRetakeRecordedCap,SUMIFS(nrES_Raw,nrES_PID,$D549,nrES_Code,$F549,nrES_Att,1))))))</f>
        <v/>
      </c>
      <c r="N549" s="17">
        <f>IF($C549="","",IF($L549="","",IF($L549&gt;=$J549,"Yes","No")))</f>
        <v/>
      </c>
      <c r="O549" s="17">
        <f>IF($C549="","",IF($M549="","",IF($M549&gt;=$J549,"Yes","No")))</f>
        <v/>
      </c>
      <c r="P549" s="17">
        <f>IF($C549="","",IF($K549="","",IF(COUNTIFS(nrES_PID,$D549,nrES_Code,$F549,nrES_Att,"&gt;"&amp;$K549)=0,"Yes","No")))</f>
        <v/>
      </c>
      <c r="Q549" s="17">
        <f>IF($C549="","",IF($L549="","",IF(AND($K549=1,$L549&lt;$J549,COUNTIFS(nrES_PID,$D549,nrES_Code,$F549,nrES_Att,2)=0),"Yes","No")))</f>
        <v/>
      </c>
      <c r="R549" s="17">
        <f>IF($C549="","",IF($L549="","",IF(AND($K549=2,$L549&lt;$J549,COUNTIFS(nrES_PID,$D549,nrES_Code,$F549,nrES_Att,1)&gt;0),"Yes","No")))</f>
        <v/>
      </c>
      <c r="S549" s="18" t="n"/>
      <c r="T549" s="19">
        <f>IF($Q549&lt;&gt;"Yes","",IF($S549="","(enter date)",_xlfn.LET(_xlpm.dn,IFERROR(_xlfn.XLOOKUP($S549,nrCDdate,nrCDnum),""),IF(_xlpm.dn="","(not a class day)",IFERROR(_xlfn.XLOOKUP(_xlpm.dn+cfgRetestClassDays,nrCDnum,nrCDdate),"")))))</f>
        <v/>
      </c>
      <c r="U549" s="17">
        <f>IF($Q549&lt;&gt;"Yes","",IF(COUNTIFS(nrES_PID,$D549,nrES_Code,$F549,nrES_Att,2)&gt;0,"Retested",IF(OR($T549="",NOT(ISNUMBER($T549))),"Pending",IF(TODAY()&gt;$T549,"OVERDUE","Due "&amp;TEXT($T549,"mm/dd")))))</f>
        <v/>
      </c>
      <c r="V549" s="16" t="n"/>
      <c r="W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IF($C550="","",IF($L550="","",IF($K550=1,IF(COUNTIFS(nrES_PID,$D550,nrES_Code,$F550,nrES_Att,2)&gt;0,"",$L550),IF(COUNTIFS(nrES_PID,$D550,nrES_Code,$F550,nrES_Att,1)=0,$L550,IF($L550&gt;=$J550,cfgRetakeRecordedCap,SUMIFS(nrES_Raw,nrES_PID,$D550,nrES_Code,$F550,nrES_Att,1))))))</f>
        <v/>
      </c>
      <c r="N550" s="17">
        <f>IF($C550="","",IF($L550="","",IF($L550&gt;=$J550,"Yes","No")))</f>
        <v/>
      </c>
      <c r="O550" s="17">
        <f>IF($C550="","",IF($M550="","",IF($M550&gt;=$J550,"Yes","No")))</f>
        <v/>
      </c>
      <c r="P550" s="17">
        <f>IF($C550="","",IF($K550="","",IF(COUNTIFS(nrES_PID,$D550,nrES_Code,$F550,nrES_Att,"&gt;"&amp;$K550)=0,"Yes","No")))</f>
        <v/>
      </c>
      <c r="Q550" s="17">
        <f>IF($C550="","",IF($L550="","",IF(AND($K550=1,$L550&lt;$J550,COUNTIFS(nrES_PID,$D550,nrES_Code,$F550,nrES_Att,2)=0),"Yes","No")))</f>
        <v/>
      </c>
      <c r="R550" s="17">
        <f>IF($C550="","",IF($L550="","",IF(AND($K550=2,$L550&lt;$J550,COUNTIFS(nrES_PID,$D550,nrES_Code,$F550,nrES_Att,1)&gt;0),"Yes","No")))</f>
        <v/>
      </c>
      <c r="S550" s="18" t="n"/>
      <c r="T550" s="19">
        <f>IF($Q550&lt;&gt;"Yes","",IF($S550="","(enter date)",_xlfn.LET(_xlpm.dn,IFERROR(_xlfn.XLOOKUP($S550,nrCDdate,nrCDnum),""),IF(_xlpm.dn="","(not a class day)",IFERROR(_xlfn.XLOOKUP(_xlpm.dn+cfgRetestClassDays,nrCDnum,nrCDdate),"")))))</f>
        <v/>
      </c>
      <c r="U550" s="17">
        <f>IF($Q550&lt;&gt;"Yes","",IF(COUNTIFS(nrES_PID,$D550,nrES_Code,$F550,nrES_Att,2)&gt;0,"Retested",IF(OR($T550="",NOT(ISNUMBER($T550))),"Pending",IF(TODAY()&gt;$T550,"OVERDUE","Due "&amp;TEXT($T550,"mm/dd")))))</f>
        <v/>
      </c>
      <c r="V550" s="16" t="n"/>
      <c r="W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IF($C551="","",IF($L551="","",IF($K551=1,IF(COUNTIFS(nrES_PID,$D551,nrES_Code,$F551,nrES_Att,2)&gt;0,"",$L551),IF(COUNTIFS(nrES_PID,$D551,nrES_Code,$F551,nrES_Att,1)=0,$L551,IF($L551&gt;=$J551,cfgRetakeRecordedCap,SUMIFS(nrES_Raw,nrES_PID,$D551,nrES_Code,$F551,nrES_Att,1))))))</f>
        <v/>
      </c>
      <c r="N551" s="17">
        <f>IF($C551="","",IF($L551="","",IF($L551&gt;=$J551,"Yes","No")))</f>
        <v/>
      </c>
      <c r="O551" s="17">
        <f>IF($C551="","",IF($M551="","",IF($M551&gt;=$J551,"Yes","No")))</f>
        <v/>
      </c>
      <c r="P551" s="17">
        <f>IF($C551="","",IF($K551="","",IF(COUNTIFS(nrES_PID,$D551,nrES_Code,$F551,nrES_Att,"&gt;"&amp;$K551)=0,"Yes","No")))</f>
        <v/>
      </c>
      <c r="Q551" s="17">
        <f>IF($C551="","",IF($L551="","",IF(AND($K551=1,$L551&lt;$J551,COUNTIFS(nrES_PID,$D551,nrES_Code,$F551,nrES_Att,2)=0),"Yes","No")))</f>
        <v/>
      </c>
      <c r="R551" s="17">
        <f>IF($C551="","",IF($L551="","",IF(AND($K551=2,$L551&lt;$J551,COUNTIFS(nrES_PID,$D551,nrES_Code,$F551,nrES_Att,1)&gt;0),"Yes","No")))</f>
        <v/>
      </c>
      <c r="S551" s="18" t="n"/>
      <c r="T551" s="19">
        <f>IF($Q551&lt;&gt;"Yes","",IF($S551="","(enter date)",_xlfn.LET(_xlpm.dn,IFERROR(_xlfn.XLOOKUP($S551,nrCDdate,nrCDnum),""),IF(_xlpm.dn="","(not a class day)",IFERROR(_xlfn.XLOOKUP(_xlpm.dn+cfgRetestClassDays,nrCDnum,nrCDdate),"")))))</f>
        <v/>
      </c>
      <c r="U551" s="17">
        <f>IF($Q551&lt;&gt;"Yes","",IF(COUNTIFS(nrES_PID,$D551,nrES_Code,$F551,nrES_Att,2)&gt;0,"Retested",IF(OR($T551="",NOT(ISNUMBER($T551))),"Pending",IF(TODAY()&gt;$T551,"OVERDUE","Due "&amp;TEXT($T551,"mm/dd")))))</f>
        <v/>
      </c>
      <c r="V551" s="16" t="n"/>
      <c r="W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IF($C552="","",IF($L552="","",IF($K552=1,IF(COUNTIFS(nrES_PID,$D552,nrES_Code,$F552,nrES_Att,2)&gt;0,"",$L552),IF(COUNTIFS(nrES_PID,$D552,nrES_Code,$F552,nrES_Att,1)=0,$L552,IF($L552&gt;=$J552,cfgRetakeRecordedCap,SUMIFS(nrES_Raw,nrES_PID,$D552,nrES_Code,$F552,nrES_Att,1))))))</f>
        <v/>
      </c>
      <c r="N552" s="17">
        <f>IF($C552="","",IF($L552="","",IF($L552&gt;=$J552,"Yes","No")))</f>
        <v/>
      </c>
      <c r="O552" s="17">
        <f>IF($C552="","",IF($M552="","",IF($M552&gt;=$J552,"Yes","No")))</f>
        <v/>
      </c>
      <c r="P552" s="17">
        <f>IF($C552="","",IF($K552="","",IF(COUNTIFS(nrES_PID,$D552,nrES_Code,$F552,nrES_Att,"&gt;"&amp;$K552)=0,"Yes","No")))</f>
        <v/>
      </c>
      <c r="Q552" s="17">
        <f>IF($C552="","",IF($L552="","",IF(AND($K552=1,$L552&lt;$J552,COUNTIFS(nrES_PID,$D552,nrES_Code,$F552,nrES_Att,2)=0),"Yes","No")))</f>
        <v/>
      </c>
      <c r="R552" s="17">
        <f>IF($C552="","",IF($L552="","",IF(AND($K552=2,$L552&lt;$J552,COUNTIFS(nrES_PID,$D552,nrES_Code,$F552,nrES_Att,1)&gt;0),"Yes","No")))</f>
        <v/>
      </c>
      <c r="S552" s="18" t="n"/>
      <c r="T552" s="19">
        <f>IF($Q552&lt;&gt;"Yes","",IF($S552="","(enter date)",_xlfn.LET(_xlpm.dn,IFERROR(_xlfn.XLOOKUP($S552,nrCDdate,nrCDnum),""),IF(_xlpm.dn="","(not a class day)",IFERROR(_xlfn.XLOOKUP(_xlpm.dn+cfgRetestClassDays,nrCDnum,nrCDdate),"")))))</f>
        <v/>
      </c>
      <c r="U552" s="17">
        <f>IF($Q552&lt;&gt;"Yes","",IF(COUNTIFS(nrES_PID,$D552,nrES_Code,$F552,nrES_Att,2)&gt;0,"Retested",IF(OR($T552="",NOT(ISNUMBER($T552))),"Pending",IF(TODAY()&gt;$T552,"OVERDUE","Due "&amp;TEXT($T552,"mm/dd")))))</f>
        <v/>
      </c>
      <c r="V552" s="16" t="n"/>
      <c r="W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IF($C553="","",IF($L553="","",IF($K553=1,IF(COUNTIFS(nrES_PID,$D553,nrES_Code,$F553,nrES_Att,2)&gt;0,"",$L553),IF(COUNTIFS(nrES_PID,$D553,nrES_Code,$F553,nrES_Att,1)=0,$L553,IF($L553&gt;=$J553,cfgRetakeRecordedCap,SUMIFS(nrES_Raw,nrES_PID,$D553,nrES_Code,$F553,nrES_Att,1))))))</f>
        <v/>
      </c>
      <c r="N553" s="17">
        <f>IF($C553="","",IF($L553="","",IF($L553&gt;=$J553,"Yes","No")))</f>
        <v/>
      </c>
      <c r="O553" s="17">
        <f>IF($C553="","",IF($M553="","",IF($M553&gt;=$J553,"Yes","No")))</f>
        <v/>
      </c>
      <c r="P553" s="17">
        <f>IF($C553="","",IF($K553="","",IF(COUNTIFS(nrES_PID,$D553,nrES_Code,$F553,nrES_Att,"&gt;"&amp;$K553)=0,"Yes","No")))</f>
        <v/>
      </c>
      <c r="Q553" s="17">
        <f>IF($C553="","",IF($L553="","",IF(AND($K553=1,$L553&lt;$J553,COUNTIFS(nrES_PID,$D553,nrES_Code,$F553,nrES_Att,2)=0),"Yes","No")))</f>
        <v/>
      </c>
      <c r="R553" s="17">
        <f>IF($C553="","",IF($L553="","",IF(AND($K553=2,$L553&lt;$J553,COUNTIFS(nrES_PID,$D553,nrES_Code,$F553,nrES_Att,1)&gt;0),"Yes","No")))</f>
        <v/>
      </c>
      <c r="S553" s="18" t="n"/>
      <c r="T553" s="19">
        <f>IF($Q553&lt;&gt;"Yes","",IF($S553="","(enter date)",_xlfn.LET(_xlpm.dn,IFERROR(_xlfn.XLOOKUP($S553,nrCDdate,nrCDnum),""),IF(_xlpm.dn="","(not a class day)",IFERROR(_xlfn.XLOOKUP(_xlpm.dn+cfgRetestClassDays,nrCDnum,nrCDdate),"")))))</f>
        <v/>
      </c>
      <c r="U553" s="17">
        <f>IF($Q553&lt;&gt;"Yes","",IF(COUNTIFS(nrES_PID,$D553,nrES_Code,$F553,nrES_Att,2)&gt;0,"Retested",IF(OR($T553="",NOT(ISNUMBER($T553))),"Pending",IF(TODAY()&gt;$T553,"OVERDUE","Due "&amp;TEXT($T553,"mm/dd")))))</f>
        <v/>
      </c>
      <c r="V553" s="16" t="n"/>
      <c r="W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IF($C554="","",IF($L554="","",IF($K554=1,IF(COUNTIFS(nrES_PID,$D554,nrES_Code,$F554,nrES_Att,2)&gt;0,"",$L554),IF(COUNTIFS(nrES_PID,$D554,nrES_Code,$F554,nrES_Att,1)=0,$L554,IF($L554&gt;=$J554,cfgRetakeRecordedCap,SUMIFS(nrES_Raw,nrES_PID,$D554,nrES_Code,$F554,nrES_Att,1))))))</f>
        <v/>
      </c>
      <c r="N554" s="17">
        <f>IF($C554="","",IF($L554="","",IF($L554&gt;=$J554,"Yes","No")))</f>
        <v/>
      </c>
      <c r="O554" s="17">
        <f>IF($C554="","",IF($M554="","",IF($M554&gt;=$J554,"Yes","No")))</f>
        <v/>
      </c>
      <c r="P554" s="17">
        <f>IF($C554="","",IF($K554="","",IF(COUNTIFS(nrES_PID,$D554,nrES_Code,$F554,nrES_Att,"&gt;"&amp;$K554)=0,"Yes","No")))</f>
        <v/>
      </c>
      <c r="Q554" s="17">
        <f>IF($C554="","",IF($L554="","",IF(AND($K554=1,$L554&lt;$J554,COUNTIFS(nrES_PID,$D554,nrES_Code,$F554,nrES_Att,2)=0),"Yes","No")))</f>
        <v/>
      </c>
      <c r="R554" s="17">
        <f>IF($C554="","",IF($L554="","",IF(AND($K554=2,$L554&lt;$J554,COUNTIFS(nrES_PID,$D554,nrES_Code,$F554,nrES_Att,1)&gt;0),"Yes","No")))</f>
        <v/>
      </c>
      <c r="S554" s="18" t="n"/>
      <c r="T554" s="19">
        <f>IF($Q554&lt;&gt;"Yes","",IF($S554="","(enter date)",_xlfn.LET(_xlpm.dn,IFERROR(_xlfn.XLOOKUP($S554,nrCDdate,nrCDnum),""),IF(_xlpm.dn="","(not a class day)",IFERROR(_xlfn.XLOOKUP(_xlpm.dn+cfgRetestClassDays,nrCDnum,nrCDdate),"")))))</f>
        <v/>
      </c>
      <c r="U554" s="17">
        <f>IF($Q554&lt;&gt;"Yes","",IF(COUNTIFS(nrES_PID,$D554,nrES_Code,$F554,nrES_Att,2)&gt;0,"Retested",IF(OR($T554="",NOT(ISNUMBER($T554))),"Pending",IF(TODAY()&gt;$T554,"OVERDUE","Due "&amp;TEXT($T554,"mm/dd")))))</f>
        <v/>
      </c>
      <c r="V554" s="16" t="n"/>
      <c r="W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IF($C555="","",IF($L555="","",IF($K555=1,IF(COUNTIFS(nrES_PID,$D555,nrES_Code,$F555,nrES_Att,2)&gt;0,"",$L555),IF(COUNTIFS(nrES_PID,$D555,nrES_Code,$F555,nrES_Att,1)=0,$L555,IF($L555&gt;=$J555,cfgRetakeRecordedCap,SUMIFS(nrES_Raw,nrES_PID,$D555,nrES_Code,$F555,nrES_Att,1))))))</f>
        <v/>
      </c>
      <c r="N555" s="17">
        <f>IF($C555="","",IF($L555="","",IF($L555&gt;=$J555,"Yes","No")))</f>
        <v/>
      </c>
      <c r="O555" s="17">
        <f>IF($C555="","",IF($M555="","",IF($M555&gt;=$J555,"Yes","No")))</f>
        <v/>
      </c>
      <c r="P555" s="17">
        <f>IF($C555="","",IF($K555="","",IF(COUNTIFS(nrES_PID,$D555,nrES_Code,$F555,nrES_Att,"&gt;"&amp;$K555)=0,"Yes","No")))</f>
        <v/>
      </c>
      <c r="Q555" s="17">
        <f>IF($C555="","",IF($L555="","",IF(AND($K555=1,$L555&lt;$J555,COUNTIFS(nrES_PID,$D555,nrES_Code,$F555,nrES_Att,2)=0),"Yes","No")))</f>
        <v/>
      </c>
      <c r="R555" s="17">
        <f>IF($C555="","",IF($L555="","",IF(AND($K555=2,$L555&lt;$J555,COUNTIFS(nrES_PID,$D555,nrES_Code,$F555,nrES_Att,1)&gt;0),"Yes","No")))</f>
        <v/>
      </c>
      <c r="S555" s="18" t="n"/>
      <c r="T555" s="19">
        <f>IF($Q555&lt;&gt;"Yes","",IF($S555="","(enter date)",_xlfn.LET(_xlpm.dn,IFERROR(_xlfn.XLOOKUP($S555,nrCDdate,nrCDnum),""),IF(_xlpm.dn="","(not a class day)",IFERROR(_xlfn.XLOOKUP(_xlpm.dn+cfgRetestClassDays,nrCDnum,nrCDdate),"")))))</f>
        <v/>
      </c>
      <c r="U555" s="17">
        <f>IF($Q555&lt;&gt;"Yes","",IF(COUNTIFS(nrES_PID,$D555,nrES_Code,$F555,nrES_Att,2)&gt;0,"Retested",IF(OR($T555="",NOT(ISNUMBER($T555))),"Pending",IF(TODAY()&gt;$T555,"OVERDUE","Due "&amp;TEXT($T555,"mm/dd")))))</f>
        <v/>
      </c>
      <c r="V555" s="16" t="n"/>
      <c r="W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IF($C556="","",IF($L556="","",IF($K556=1,IF(COUNTIFS(nrES_PID,$D556,nrES_Code,$F556,nrES_Att,2)&gt;0,"",$L556),IF(COUNTIFS(nrES_PID,$D556,nrES_Code,$F556,nrES_Att,1)=0,$L556,IF($L556&gt;=$J556,cfgRetakeRecordedCap,SUMIFS(nrES_Raw,nrES_PID,$D556,nrES_Code,$F556,nrES_Att,1))))))</f>
        <v/>
      </c>
      <c r="N556" s="17">
        <f>IF($C556="","",IF($L556="","",IF($L556&gt;=$J556,"Yes","No")))</f>
        <v/>
      </c>
      <c r="O556" s="17">
        <f>IF($C556="","",IF($M556="","",IF($M556&gt;=$J556,"Yes","No")))</f>
        <v/>
      </c>
      <c r="P556" s="17">
        <f>IF($C556="","",IF($K556="","",IF(COUNTIFS(nrES_PID,$D556,nrES_Code,$F556,nrES_Att,"&gt;"&amp;$K556)=0,"Yes","No")))</f>
        <v/>
      </c>
      <c r="Q556" s="17">
        <f>IF($C556="","",IF($L556="","",IF(AND($K556=1,$L556&lt;$J556,COUNTIFS(nrES_PID,$D556,nrES_Code,$F556,nrES_Att,2)=0),"Yes","No")))</f>
        <v/>
      </c>
      <c r="R556" s="17">
        <f>IF($C556="","",IF($L556="","",IF(AND($K556=2,$L556&lt;$J556,COUNTIFS(nrES_PID,$D556,nrES_Code,$F556,nrES_Att,1)&gt;0),"Yes","No")))</f>
        <v/>
      </c>
      <c r="S556" s="18" t="n"/>
      <c r="T556" s="19">
        <f>IF($Q556&lt;&gt;"Yes","",IF($S556="","(enter date)",_xlfn.LET(_xlpm.dn,IFERROR(_xlfn.XLOOKUP($S556,nrCDdate,nrCDnum),""),IF(_xlpm.dn="","(not a class day)",IFERROR(_xlfn.XLOOKUP(_xlpm.dn+cfgRetestClassDays,nrCDnum,nrCDdate),"")))))</f>
        <v/>
      </c>
      <c r="U556" s="17">
        <f>IF($Q556&lt;&gt;"Yes","",IF(COUNTIFS(nrES_PID,$D556,nrES_Code,$F556,nrES_Att,2)&gt;0,"Retested",IF(OR($T556="",NOT(ISNUMBER($T556))),"Pending",IF(TODAY()&gt;$T556,"OVERDUE","Due "&amp;TEXT($T556,"mm/dd")))))</f>
        <v/>
      </c>
      <c r="V556" s="16" t="n"/>
      <c r="W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IF($C557="","",IF($L557="","",IF($K557=1,IF(COUNTIFS(nrES_PID,$D557,nrES_Code,$F557,nrES_Att,2)&gt;0,"",$L557),IF(COUNTIFS(nrES_PID,$D557,nrES_Code,$F557,nrES_Att,1)=0,$L557,IF($L557&gt;=$J557,cfgRetakeRecordedCap,SUMIFS(nrES_Raw,nrES_PID,$D557,nrES_Code,$F557,nrES_Att,1))))))</f>
        <v/>
      </c>
      <c r="N557" s="17">
        <f>IF($C557="","",IF($L557="","",IF($L557&gt;=$J557,"Yes","No")))</f>
        <v/>
      </c>
      <c r="O557" s="17">
        <f>IF($C557="","",IF($M557="","",IF($M557&gt;=$J557,"Yes","No")))</f>
        <v/>
      </c>
      <c r="P557" s="17">
        <f>IF($C557="","",IF($K557="","",IF(COUNTIFS(nrES_PID,$D557,nrES_Code,$F557,nrES_Att,"&gt;"&amp;$K557)=0,"Yes","No")))</f>
        <v/>
      </c>
      <c r="Q557" s="17">
        <f>IF($C557="","",IF($L557="","",IF(AND($K557=1,$L557&lt;$J557,COUNTIFS(nrES_PID,$D557,nrES_Code,$F557,nrES_Att,2)=0),"Yes","No")))</f>
        <v/>
      </c>
      <c r="R557" s="17">
        <f>IF($C557="","",IF($L557="","",IF(AND($K557=2,$L557&lt;$J557,COUNTIFS(nrES_PID,$D557,nrES_Code,$F557,nrES_Att,1)&gt;0),"Yes","No")))</f>
        <v/>
      </c>
      <c r="S557" s="18" t="n"/>
      <c r="T557" s="19">
        <f>IF($Q557&lt;&gt;"Yes","",IF($S557="","(enter date)",_xlfn.LET(_xlpm.dn,IFERROR(_xlfn.XLOOKUP($S557,nrCDdate,nrCDnum),""),IF(_xlpm.dn="","(not a class day)",IFERROR(_xlfn.XLOOKUP(_xlpm.dn+cfgRetestClassDays,nrCDnum,nrCDdate),"")))))</f>
        <v/>
      </c>
      <c r="U557" s="17">
        <f>IF($Q557&lt;&gt;"Yes","",IF(COUNTIFS(nrES_PID,$D557,nrES_Code,$F557,nrES_Att,2)&gt;0,"Retested",IF(OR($T557="",NOT(ISNUMBER($T557))),"Pending",IF(TODAY()&gt;$T557,"OVERDUE","Due "&amp;TEXT($T557,"mm/dd")))))</f>
        <v/>
      </c>
      <c r="V557" s="16" t="n"/>
      <c r="W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IF($C558="","",IF($L558="","",IF($K558=1,IF(COUNTIFS(nrES_PID,$D558,nrES_Code,$F558,nrES_Att,2)&gt;0,"",$L558),IF(COUNTIFS(nrES_PID,$D558,nrES_Code,$F558,nrES_Att,1)=0,$L558,IF($L558&gt;=$J558,cfgRetakeRecordedCap,SUMIFS(nrES_Raw,nrES_PID,$D558,nrES_Code,$F558,nrES_Att,1))))))</f>
        <v/>
      </c>
      <c r="N558" s="17">
        <f>IF($C558="","",IF($L558="","",IF($L558&gt;=$J558,"Yes","No")))</f>
        <v/>
      </c>
      <c r="O558" s="17">
        <f>IF($C558="","",IF($M558="","",IF($M558&gt;=$J558,"Yes","No")))</f>
        <v/>
      </c>
      <c r="P558" s="17">
        <f>IF($C558="","",IF($K558="","",IF(COUNTIFS(nrES_PID,$D558,nrES_Code,$F558,nrES_Att,"&gt;"&amp;$K558)=0,"Yes","No")))</f>
        <v/>
      </c>
      <c r="Q558" s="17">
        <f>IF($C558="","",IF($L558="","",IF(AND($K558=1,$L558&lt;$J558,COUNTIFS(nrES_PID,$D558,nrES_Code,$F558,nrES_Att,2)=0),"Yes","No")))</f>
        <v/>
      </c>
      <c r="R558" s="17">
        <f>IF($C558="","",IF($L558="","",IF(AND($K558=2,$L558&lt;$J558,COUNTIFS(nrES_PID,$D558,nrES_Code,$F558,nrES_Att,1)&gt;0),"Yes","No")))</f>
        <v/>
      </c>
      <c r="S558" s="18" t="n"/>
      <c r="T558" s="19">
        <f>IF($Q558&lt;&gt;"Yes","",IF($S558="","(enter date)",_xlfn.LET(_xlpm.dn,IFERROR(_xlfn.XLOOKUP($S558,nrCDdate,nrCDnum),""),IF(_xlpm.dn="","(not a class day)",IFERROR(_xlfn.XLOOKUP(_xlpm.dn+cfgRetestClassDays,nrCDnum,nrCDdate),"")))))</f>
        <v/>
      </c>
      <c r="U558" s="17">
        <f>IF($Q558&lt;&gt;"Yes","",IF(COUNTIFS(nrES_PID,$D558,nrES_Code,$F558,nrES_Att,2)&gt;0,"Retested",IF(OR($T558="",NOT(ISNUMBER($T558))),"Pending",IF(TODAY()&gt;$T558,"OVERDUE","Due "&amp;TEXT($T558,"mm/dd")))))</f>
        <v/>
      </c>
      <c r="V558" s="16" t="n"/>
      <c r="W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IF($C559="","",IF($L559="","",IF($K559=1,IF(COUNTIFS(nrES_PID,$D559,nrES_Code,$F559,nrES_Att,2)&gt;0,"",$L559),IF(COUNTIFS(nrES_PID,$D559,nrES_Code,$F559,nrES_Att,1)=0,$L559,IF($L559&gt;=$J559,cfgRetakeRecordedCap,SUMIFS(nrES_Raw,nrES_PID,$D559,nrES_Code,$F559,nrES_Att,1))))))</f>
        <v/>
      </c>
      <c r="N559" s="17">
        <f>IF($C559="","",IF($L559="","",IF($L559&gt;=$J559,"Yes","No")))</f>
        <v/>
      </c>
      <c r="O559" s="17">
        <f>IF($C559="","",IF($M559="","",IF($M559&gt;=$J559,"Yes","No")))</f>
        <v/>
      </c>
      <c r="P559" s="17">
        <f>IF($C559="","",IF($K559="","",IF(COUNTIFS(nrES_PID,$D559,nrES_Code,$F559,nrES_Att,"&gt;"&amp;$K559)=0,"Yes","No")))</f>
        <v/>
      </c>
      <c r="Q559" s="17">
        <f>IF($C559="","",IF($L559="","",IF(AND($K559=1,$L559&lt;$J559,COUNTIFS(nrES_PID,$D559,nrES_Code,$F559,nrES_Att,2)=0),"Yes","No")))</f>
        <v/>
      </c>
      <c r="R559" s="17">
        <f>IF($C559="","",IF($L559="","",IF(AND($K559=2,$L559&lt;$J559,COUNTIFS(nrES_PID,$D559,nrES_Code,$F559,nrES_Att,1)&gt;0),"Yes","No")))</f>
        <v/>
      </c>
      <c r="S559" s="18" t="n"/>
      <c r="T559" s="19">
        <f>IF($Q559&lt;&gt;"Yes","",IF($S559="","(enter date)",_xlfn.LET(_xlpm.dn,IFERROR(_xlfn.XLOOKUP($S559,nrCDdate,nrCDnum),""),IF(_xlpm.dn="","(not a class day)",IFERROR(_xlfn.XLOOKUP(_xlpm.dn+cfgRetestClassDays,nrCDnum,nrCDdate),"")))))</f>
        <v/>
      </c>
      <c r="U559" s="17">
        <f>IF($Q559&lt;&gt;"Yes","",IF(COUNTIFS(nrES_PID,$D559,nrES_Code,$F559,nrES_Att,2)&gt;0,"Retested",IF(OR($T559="",NOT(ISNUMBER($T559))),"Pending",IF(TODAY()&gt;$T559,"OVERDUE","Due "&amp;TEXT($T559,"mm/dd")))))</f>
        <v/>
      </c>
      <c r="V559" s="16" t="n"/>
      <c r="W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IF($C560="","",IF($L560="","",IF($K560=1,IF(COUNTIFS(nrES_PID,$D560,nrES_Code,$F560,nrES_Att,2)&gt;0,"",$L560),IF(COUNTIFS(nrES_PID,$D560,nrES_Code,$F560,nrES_Att,1)=0,$L560,IF($L560&gt;=$J560,cfgRetakeRecordedCap,SUMIFS(nrES_Raw,nrES_PID,$D560,nrES_Code,$F560,nrES_Att,1))))))</f>
        <v/>
      </c>
      <c r="N560" s="17">
        <f>IF($C560="","",IF($L560="","",IF($L560&gt;=$J560,"Yes","No")))</f>
        <v/>
      </c>
      <c r="O560" s="17">
        <f>IF($C560="","",IF($M560="","",IF($M560&gt;=$J560,"Yes","No")))</f>
        <v/>
      </c>
      <c r="P560" s="17">
        <f>IF($C560="","",IF($K560="","",IF(COUNTIFS(nrES_PID,$D560,nrES_Code,$F560,nrES_Att,"&gt;"&amp;$K560)=0,"Yes","No")))</f>
        <v/>
      </c>
      <c r="Q560" s="17">
        <f>IF($C560="","",IF($L560="","",IF(AND($K560=1,$L560&lt;$J560,COUNTIFS(nrES_PID,$D560,nrES_Code,$F560,nrES_Att,2)=0),"Yes","No")))</f>
        <v/>
      </c>
      <c r="R560" s="17">
        <f>IF($C560="","",IF($L560="","",IF(AND($K560=2,$L560&lt;$J560,COUNTIFS(nrES_PID,$D560,nrES_Code,$F560,nrES_Att,1)&gt;0),"Yes","No")))</f>
        <v/>
      </c>
      <c r="S560" s="18" t="n"/>
      <c r="T560" s="19">
        <f>IF($Q560&lt;&gt;"Yes","",IF($S560="","(enter date)",_xlfn.LET(_xlpm.dn,IFERROR(_xlfn.XLOOKUP($S560,nrCDdate,nrCDnum),""),IF(_xlpm.dn="","(not a class day)",IFERROR(_xlfn.XLOOKUP(_xlpm.dn+cfgRetestClassDays,nrCDnum,nrCDdate),"")))))</f>
        <v/>
      </c>
      <c r="U560" s="17">
        <f>IF($Q560&lt;&gt;"Yes","",IF(COUNTIFS(nrES_PID,$D560,nrES_Code,$F560,nrES_Att,2)&gt;0,"Retested",IF(OR($T560="",NOT(ISNUMBER($T560))),"Pending",IF(TODAY()&gt;$T560,"OVERDUE","Due "&amp;TEXT($T560,"mm/dd")))))</f>
        <v/>
      </c>
      <c r="V560" s="16" t="n"/>
      <c r="W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IF($C561="","",IF($L561="","",IF($K561=1,IF(COUNTIFS(nrES_PID,$D561,nrES_Code,$F561,nrES_Att,2)&gt;0,"",$L561),IF(COUNTIFS(nrES_PID,$D561,nrES_Code,$F561,nrES_Att,1)=0,$L561,IF($L561&gt;=$J561,cfgRetakeRecordedCap,SUMIFS(nrES_Raw,nrES_PID,$D561,nrES_Code,$F561,nrES_Att,1))))))</f>
        <v/>
      </c>
      <c r="N561" s="17">
        <f>IF($C561="","",IF($L561="","",IF($L561&gt;=$J561,"Yes","No")))</f>
        <v/>
      </c>
      <c r="O561" s="17">
        <f>IF($C561="","",IF($M561="","",IF($M561&gt;=$J561,"Yes","No")))</f>
        <v/>
      </c>
      <c r="P561" s="17">
        <f>IF($C561="","",IF($K561="","",IF(COUNTIFS(nrES_PID,$D561,nrES_Code,$F561,nrES_Att,"&gt;"&amp;$K561)=0,"Yes","No")))</f>
        <v/>
      </c>
      <c r="Q561" s="17">
        <f>IF($C561="","",IF($L561="","",IF(AND($K561=1,$L561&lt;$J561,COUNTIFS(nrES_PID,$D561,nrES_Code,$F561,nrES_Att,2)=0),"Yes","No")))</f>
        <v/>
      </c>
      <c r="R561" s="17">
        <f>IF($C561="","",IF($L561="","",IF(AND($K561=2,$L561&lt;$J561,COUNTIFS(nrES_PID,$D561,nrES_Code,$F561,nrES_Att,1)&gt;0),"Yes","No")))</f>
        <v/>
      </c>
      <c r="S561" s="18" t="n"/>
      <c r="T561" s="19">
        <f>IF($Q561&lt;&gt;"Yes","",IF($S561="","(enter date)",_xlfn.LET(_xlpm.dn,IFERROR(_xlfn.XLOOKUP($S561,nrCDdate,nrCDnum),""),IF(_xlpm.dn="","(not a class day)",IFERROR(_xlfn.XLOOKUP(_xlpm.dn+cfgRetestClassDays,nrCDnum,nrCDdate),"")))))</f>
        <v/>
      </c>
      <c r="U561" s="17">
        <f>IF($Q561&lt;&gt;"Yes","",IF(COUNTIFS(nrES_PID,$D561,nrES_Code,$F561,nrES_Att,2)&gt;0,"Retested",IF(OR($T561="",NOT(ISNUMBER($T561))),"Pending",IF(TODAY()&gt;$T561,"OVERDUE","Due "&amp;TEXT($T561,"mm/dd")))))</f>
        <v/>
      </c>
      <c r="V561" s="16" t="n"/>
      <c r="W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IF($C562="","",IF($L562="","",IF($K562=1,IF(COUNTIFS(nrES_PID,$D562,nrES_Code,$F562,nrES_Att,2)&gt;0,"",$L562),IF(COUNTIFS(nrES_PID,$D562,nrES_Code,$F562,nrES_Att,1)=0,$L562,IF($L562&gt;=$J562,cfgRetakeRecordedCap,SUMIFS(nrES_Raw,nrES_PID,$D562,nrES_Code,$F562,nrES_Att,1))))))</f>
        <v/>
      </c>
      <c r="N562" s="17">
        <f>IF($C562="","",IF($L562="","",IF($L562&gt;=$J562,"Yes","No")))</f>
        <v/>
      </c>
      <c r="O562" s="17">
        <f>IF($C562="","",IF($M562="","",IF($M562&gt;=$J562,"Yes","No")))</f>
        <v/>
      </c>
      <c r="P562" s="17">
        <f>IF($C562="","",IF($K562="","",IF(COUNTIFS(nrES_PID,$D562,nrES_Code,$F562,nrES_Att,"&gt;"&amp;$K562)=0,"Yes","No")))</f>
        <v/>
      </c>
      <c r="Q562" s="17">
        <f>IF($C562="","",IF($L562="","",IF(AND($K562=1,$L562&lt;$J562,COUNTIFS(nrES_PID,$D562,nrES_Code,$F562,nrES_Att,2)=0),"Yes","No")))</f>
        <v/>
      </c>
      <c r="R562" s="17">
        <f>IF($C562="","",IF($L562="","",IF(AND($K562=2,$L562&lt;$J562,COUNTIFS(nrES_PID,$D562,nrES_Code,$F562,nrES_Att,1)&gt;0),"Yes","No")))</f>
        <v/>
      </c>
      <c r="S562" s="18" t="n"/>
      <c r="T562" s="19">
        <f>IF($Q562&lt;&gt;"Yes","",IF($S562="","(enter date)",_xlfn.LET(_xlpm.dn,IFERROR(_xlfn.XLOOKUP($S562,nrCDdate,nrCDnum),""),IF(_xlpm.dn="","(not a class day)",IFERROR(_xlfn.XLOOKUP(_xlpm.dn+cfgRetestClassDays,nrCDnum,nrCDdate),"")))))</f>
        <v/>
      </c>
      <c r="U562" s="17">
        <f>IF($Q562&lt;&gt;"Yes","",IF(COUNTIFS(nrES_PID,$D562,nrES_Code,$F562,nrES_Att,2)&gt;0,"Retested",IF(OR($T562="",NOT(ISNUMBER($T562))),"Pending",IF(TODAY()&gt;$T562,"OVERDUE","Due "&amp;TEXT($T562,"mm/dd")))))</f>
        <v/>
      </c>
      <c r="V562" s="16" t="n"/>
      <c r="W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IF($C563="","",IF($L563="","",IF($K563=1,IF(COUNTIFS(nrES_PID,$D563,nrES_Code,$F563,nrES_Att,2)&gt;0,"",$L563),IF(COUNTIFS(nrES_PID,$D563,nrES_Code,$F563,nrES_Att,1)=0,$L563,IF($L563&gt;=$J563,cfgRetakeRecordedCap,SUMIFS(nrES_Raw,nrES_PID,$D563,nrES_Code,$F563,nrES_Att,1))))))</f>
        <v/>
      </c>
      <c r="N563" s="17">
        <f>IF($C563="","",IF($L563="","",IF($L563&gt;=$J563,"Yes","No")))</f>
        <v/>
      </c>
      <c r="O563" s="17">
        <f>IF($C563="","",IF($M563="","",IF($M563&gt;=$J563,"Yes","No")))</f>
        <v/>
      </c>
      <c r="P563" s="17">
        <f>IF($C563="","",IF($K563="","",IF(COUNTIFS(nrES_PID,$D563,nrES_Code,$F563,nrES_Att,"&gt;"&amp;$K563)=0,"Yes","No")))</f>
        <v/>
      </c>
      <c r="Q563" s="17">
        <f>IF($C563="","",IF($L563="","",IF(AND($K563=1,$L563&lt;$J563,COUNTIFS(nrES_PID,$D563,nrES_Code,$F563,nrES_Att,2)=0),"Yes","No")))</f>
        <v/>
      </c>
      <c r="R563" s="17">
        <f>IF($C563="","",IF($L563="","",IF(AND($K563=2,$L563&lt;$J563,COUNTIFS(nrES_PID,$D563,nrES_Code,$F563,nrES_Att,1)&gt;0),"Yes","No")))</f>
        <v/>
      </c>
      <c r="S563" s="18" t="n"/>
      <c r="T563" s="19">
        <f>IF($Q563&lt;&gt;"Yes","",IF($S563="","(enter date)",_xlfn.LET(_xlpm.dn,IFERROR(_xlfn.XLOOKUP($S563,nrCDdate,nrCDnum),""),IF(_xlpm.dn="","(not a class day)",IFERROR(_xlfn.XLOOKUP(_xlpm.dn+cfgRetestClassDays,nrCDnum,nrCDdate),"")))))</f>
        <v/>
      </c>
      <c r="U563" s="17">
        <f>IF($Q563&lt;&gt;"Yes","",IF(COUNTIFS(nrES_PID,$D563,nrES_Code,$F563,nrES_Att,2)&gt;0,"Retested",IF(OR($T563="",NOT(ISNUMBER($T563))),"Pending",IF(TODAY()&gt;$T563,"OVERDUE","Due "&amp;TEXT($T563,"mm/dd")))))</f>
        <v/>
      </c>
      <c r="V563" s="16" t="n"/>
      <c r="W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IF($C564="","",IF($L564="","",IF($K564=1,IF(COUNTIFS(nrES_PID,$D564,nrES_Code,$F564,nrES_Att,2)&gt;0,"",$L564),IF(COUNTIFS(nrES_PID,$D564,nrES_Code,$F564,nrES_Att,1)=0,$L564,IF($L564&gt;=$J564,cfgRetakeRecordedCap,SUMIFS(nrES_Raw,nrES_PID,$D564,nrES_Code,$F564,nrES_Att,1))))))</f>
        <v/>
      </c>
      <c r="N564" s="17">
        <f>IF($C564="","",IF($L564="","",IF($L564&gt;=$J564,"Yes","No")))</f>
        <v/>
      </c>
      <c r="O564" s="17">
        <f>IF($C564="","",IF($M564="","",IF($M564&gt;=$J564,"Yes","No")))</f>
        <v/>
      </c>
      <c r="P564" s="17">
        <f>IF($C564="","",IF($K564="","",IF(COUNTIFS(nrES_PID,$D564,nrES_Code,$F564,nrES_Att,"&gt;"&amp;$K564)=0,"Yes","No")))</f>
        <v/>
      </c>
      <c r="Q564" s="17">
        <f>IF($C564="","",IF($L564="","",IF(AND($K564=1,$L564&lt;$J564,COUNTIFS(nrES_PID,$D564,nrES_Code,$F564,nrES_Att,2)=0),"Yes","No")))</f>
        <v/>
      </c>
      <c r="R564" s="17">
        <f>IF($C564="","",IF($L564="","",IF(AND($K564=2,$L564&lt;$J564,COUNTIFS(nrES_PID,$D564,nrES_Code,$F564,nrES_Att,1)&gt;0),"Yes","No")))</f>
        <v/>
      </c>
      <c r="S564" s="18" t="n"/>
      <c r="T564" s="19">
        <f>IF($Q564&lt;&gt;"Yes","",IF($S564="","(enter date)",_xlfn.LET(_xlpm.dn,IFERROR(_xlfn.XLOOKUP($S564,nrCDdate,nrCDnum),""),IF(_xlpm.dn="","(not a class day)",IFERROR(_xlfn.XLOOKUP(_xlpm.dn+cfgRetestClassDays,nrCDnum,nrCDdate),"")))))</f>
        <v/>
      </c>
      <c r="U564" s="17">
        <f>IF($Q564&lt;&gt;"Yes","",IF(COUNTIFS(nrES_PID,$D564,nrES_Code,$F564,nrES_Att,2)&gt;0,"Retested",IF(OR($T564="",NOT(ISNUMBER($T564))),"Pending",IF(TODAY()&gt;$T564,"OVERDUE","Due "&amp;TEXT($T564,"mm/dd")))))</f>
        <v/>
      </c>
      <c r="V564" s="16" t="n"/>
      <c r="W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IF($C565="","",IF($L565="","",IF($K565=1,IF(COUNTIFS(nrES_PID,$D565,nrES_Code,$F565,nrES_Att,2)&gt;0,"",$L565),IF(COUNTIFS(nrES_PID,$D565,nrES_Code,$F565,nrES_Att,1)=0,$L565,IF($L565&gt;=$J565,cfgRetakeRecordedCap,SUMIFS(nrES_Raw,nrES_PID,$D565,nrES_Code,$F565,nrES_Att,1))))))</f>
        <v/>
      </c>
      <c r="N565" s="17">
        <f>IF($C565="","",IF($L565="","",IF($L565&gt;=$J565,"Yes","No")))</f>
        <v/>
      </c>
      <c r="O565" s="17">
        <f>IF($C565="","",IF($M565="","",IF($M565&gt;=$J565,"Yes","No")))</f>
        <v/>
      </c>
      <c r="P565" s="17">
        <f>IF($C565="","",IF($K565="","",IF(COUNTIFS(nrES_PID,$D565,nrES_Code,$F565,nrES_Att,"&gt;"&amp;$K565)=0,"Yes","No")))</f>
        <v/>
      </c>
      <c r="Q565" s="17">
        <f>IF($C565="","",IF($L565="","",IF(AND($K565=1,$L565&lt;$J565,COUNTIFS(nrES_PID,$D565,nrES_Code,$F565,nrES_Att,2)=0),"Yes","No")))</f>
        <v/>
      </c>
      <c r="R565" s="17">
        <f>IF($C565="","",IF($L565="","",IF(AND($K565=2,$L565&lt;$J565,COUNTIFS(nrES_PID,$D565,nrES_Code,$F565,nrES_Att,1)&gt;0),"Yes","No")))</f>
        <v/>
      </c>
      <c r="S565" s="18" t="n"/>
      <c r="T565" s="19">
        <f>IF($Q565&lt;&gt;"Yes","",IF($S565="","(enter date)",_xlfn.LET(_xlpm.dn,IFERROR(_xlfn.XLOOKUP($S565,nrCDdate,nrCDnum),""),IF(_xlpm.dn="","(not a class day)",IFERROR(_xlfn.XLOOKUP(_xlpm.dn+cfgRetestClassDays,nrCDnum,nrCDdate),"")))))</f>
        <v/>
      </c>
      <c r="U565" s="17">
        <f>IF($Q565&lt;&gt;"Yes","",IF(COUNTIFS(nrES_PID,$D565,nrES_Code,$F565,nrES_Att,2)&gt;0,"Retested",IF(OR($T565="",NOT(ISNUMBER($T565))),"Pending",IF(TODAY()&gt;$T565,"OVERDUE","Due "&amp;TEXT($T565,"mm/dd")))))</f>
        <v/>
      </c>
      <c r="V565" s="16" t="n"/>
      <c r="W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IF($C566="","",IF($L566="","",IF($K566=1,IF(COUNTIFS(nrES_PID,$D566,nrES_Code,$F566,nrES_Att,2)&gt;0,"",$L566),IF(COUNTIFS(nrES_PID,$D566,nrES_Code,$F566,nrES_Att,1)=0,$L566,IF($L566&gt;=$J566,cfgRetakeRecordedCap,SUMIFS(nrES_Raw,nrES_PID,$D566,nrES_Code,$F566,nrES_Att,1))))))</f>
        <v/>
      </c>
      <c r="N566" s="17">
        <f>IF($C566="","",IF($L566="","",IF($L566&gt;=$J566,"Yes","No")))</f>
        <v/>
      </c>
      <c r="O566" s="17">
        <f>IF($C566="","",IF($M566="","",IF($M566&gt;=$J566,"Yes","No")))</f>
        <v/>
      </c>
      <c r="P566" s="17">
        <f>IF($C566="","",IF($K566="","",IF(COUNTIFS(nrES_PID,$D566,nrES_Code,$F566,nrES_Att,"&gt;"&amp;$K566)=0,"Yes","No")))</f>
        <v/>
      </c>
      <c r="Q566" s="17">
        <f>IF($C566="","",IF($L566="","",IF(AND($K566=1,$L566&lt;$J566,COUNTIFS(nrES_PID,$D566,nrES_Code,$F566,nrES_Att,2)=0),"Yes","No")))</f>
        <v/>
      </c>
      <c r="R566" s="17">
        <f>IF($C566="","",IF($L566="","",IF(AND($K566=2,$L566&lt;$J566,COUNTIFS(nrES_PID,$D566,nrES_Code,$F566,nrES_Att,1)&gt;0),"Yes","No")))</f>
        <v/>
      </c>
      <c r="S566" s="18" t="n"/>
      <c r="T566" s="19">
        <f>IF($Q566&lt;&gt;"Yes","",IF($S566="","(enter date)",_xlfn.LET(_xlpm.dn,IFERROR(_xlfn.XLOOKUP($S566,nrCDdate,nrCDnum),""),IF(_xlpm.dn="","(not a class day)",IFERROR(_xlfn.XLOOKUP(_xlpm.dn+cfgRetestClassDays,nrCDnum,nrCDdate),"")))))</f>
        <v/>
      </c>
      <c r="U566" s="17">
        <f>IF($Q566&lt;&gt;"Yes","",IF(COUNTIFS(nrES_PID,$D566,nrES_Code,$F566,nrES_Att,2)&gt;0,"Retested",IF(OR($T566="",NOT(ISNUMBER($T566))),"Pending",IF(TODAY()&gt;$T566,"OVERDUE","Due "&amp;TEXT($T566,"mm/dd")))))</f>
        <v/>
      </c>
      <c r="V566" s="16" t="n"/>
      <c r="W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IF($C567="","",IF($L567="","",IF($K567=1,IF(COUNTIFS(nrES_PID,$D567,nrES_Code,$F567,nrES_Att,2)&gt;0,"",$L567),IF(COUNTIFS(nrES_PID,$D567,nrES_Code,$F567,nrES_Att,1)=0,$L567,IF($L567&gt;=$J567,cfgRetakeRecordedCap,SUMIFS(nrES_Raw,nrES_PID,$D567,nrES_Code,$F567,nrES_Att,1))))))</f>
        <v/>
      </c>
      <c r="N567" s="17">
        <f>IF($C567="","",IF($L567="","",IF($L567&gt;=$J567,"Yes","No")))</f>
        <v/>
      </c>
      <c r="O567" s="17">
        <f>IF($C567="","",IF($M567="","",IF($M567&gt;=$J567,"Yes","No")))</f>
        <v/>
      </c>
      <c r="P567" s="17">
        <f>IF($C567="","",IF($K567="","",IF(COUNTIFS(nrES_PID,$D567,nrES_Code,$F567,nrES_Att,"&gt;"&amp;$K567)=0,"Yes","No")))</f>
        <v/>
      </c>
      <c r="Q567" s="17">
        <f>IF($C567="","",IF($L567="","",IF(AND($K567=1,$L567&lt;$J567,COUNTIFS(nrES_PID,$D567,nrES_Code,$F567,nrES_Att,2)=0),"Yes","No")))</f>
        <v/>
      </c>
      <c r="R567" s="17">
        <f>IF($C567="","",IF($L567="","",IF(AND($K567=2,$L567&lt;$J567,COUNTIFS(nrES_PID,$D567,nrES_Code,$F567,nrES_Att,1)&gt;0),"Yes","No")))</f>
        <v/>
      </c>
      <c r="S567" s="18" t="n"/>
      <c r="T567" s="19">
        <f>IF($Q567&lt;&gt;"Yes","",IF($S567="","(enter date)",_xlfn.LET(_xlpm.dn,IFERROR(_xlfn.XLOOKUP($S567,nrCDdate,nrCDnum),""),IF(_xlpm.dn="","(not a class day)",IFERROR(_xlfn.XLOOKUP(_xlpm.dn+cfgRetestClassDays,nrCDnum,nrCDdate),"")))))</f>
        <v/>
      </c>
      <c r="U567" s="17">
        <f>IF($Q567&lt;&gt;"Yes","",IF(COUNTIFS(nrES_PID,$D567,nrES_Code,$F567,nrES_Att,2)&gt;0,"Retested",IF(OR($T567="",NOT(ISNUMBER($T567))),"Pending",IF(TODAY()&gt;$T567,"OVERDUE","Due "&amp;TEXT($T567,"mm/dd")))))</f>
        <v/>
      </c>
      <c r="V567" s="16" t="n"/>
      <c r="W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IF($C568="","",IF($L568="","",IF($K568=1,IF(COUNTIFS(nrES_PID,$D568,nrES_Code,$F568,nrES_Att,2)&gt;0,"",$L568),IF(COUNTIFS(nrES_PID,$D568,nrES_Code,$F568,nrES_Att,1)=0,$L568,IF($L568&gt;=$J568,cfgRetakeRecordedCap,SUMIFS(nrES_Raw,nrES_PID,$D568,nrES_Code,$F568,nrES_Att,1))))))</f>
        <v/>
      </c>
      <c r="N568" s="17">
        <f>IF($C568="","",IF($L568="","",IF($L568&gt;=$J568,"Yes","No")))</f>
        <v/>
      </c>
      <c r="O568" s="17">
        <f>IF($C568="","",IF($M568="","",IF($M568&gt;=$J568,"Yes","No")))</f>
        <v/>
      </c>
      <c r="P568" s="17">
        <f>IF($C568="","",IF($K568="","",IF(COUNTIFS(nrES_PID,$D568,nrES_Code,$F568,nrES_Att,"&gt;"&amp;$K568)=0,"Yes","No")))</f>
        <v/>
      </c>
      <c r="Q568" s="17">
        <f>IF($C568="","",IF($L568="","",IF(AND($K568=1,$L568&lt;$J568,COUNTIFS(nrES_PID,$D568,nrES_Code,$F568,nrES_Att,2)=0),"Yes","No")))</f>
        <v/>
      </c>
      <c r="R568" s="17">
        <f>IF($C568="","",IF($L568="","",IF(AND($K568=2,$L568&lt;$J568,COUNTIFS(nrES_PID,$D568,nrES_Code,$F568,nrES_Att,1)&gt;0),"Yes","No")))</f>
        <v/>
      </c>
      <c r="S568" s="18" t="n"/>
      <c r="T568" s="19">
        <f>IF($Q568&lt;&gt;"Yes","",IF($S568="","(enter date)",_xlfn.LET(_xlpm.dn,IFERROR(_xlfn.XLOOKUP($S568,nrCDdate,nrCDnum),""),IF(_xlpm.dn="","(not a class day)",IFERROR(_xlfn.XLOOKUP(_xlpm.dn+cfgRetestClassDays,nrCDnum,nrCDdate),"")))))</f>
        <v/>
      </c>
      <c r="U568" s="17">
        <f>IF($Q568&lt;&gt;"Yes","",IF(COUNTIFS(nrES_PID,$D568,nrES_Code,$F568,nrES_Att,2)&gt;0,"Retested",IF(OR($T568="",NOT(ISNUMBER($T568))),"Pending",IF(TODAY()&gt;$T568,"OVERDUE","Due "&amp;TEXT($T568,"mm/dd")))))</f>
        <v/>
      </c>
      <c r="V568" s="16" t="n"/>
      <c r="W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IF($C569="","",IF($L569="","",IF($K569=1,IF(COUNTIFS(nrES_PID,$D569,nrES_Code,$F569,nrES_Att,2)&gt;0,"",$L569),IF(COUNTIFS(nrES_PID,$D569,nrES_Code,$F569,nrES_Att,1)=0,$L569,IF($L569&gt;=$J569,cfgRetakeRecordedCap,SUMIFS(nrES_Raw,nrES_PID,$D569,nrES_Code,$F569,nrES_Att,1))))))</f>
        <v/>
      </c>
      <c r="N569" s="17">
        <f>IF($C569="","",IF($L569="","",IF($L569&gt;=$J569,"Yes","No")))</f>
        <v/>
      </c>
      <c r="O569" s="17">
        <f>IF($C569="","",IF($M569="","",IF($M569&gt;=$J569,"Yes","No")))</f>
        <v/>
      </c>
      <c r="P569" s="17">
        <f>IF($C569="","",IF($K569="","",IF(COUNTIFS(nrES_PID,$D569,nrES_Code,$F569,nrES_Att,"&gt;"&amp;$K569)=0,"Yes","No")))</f>
        <v/>
      </c>
      <c r="Q569" s="17">
        <f>IF($C569="","",IF($L569="","",IF(AND($K569=1,$L569&lt;$J569,COUNTIFS(nrES_PID,$D569,nrES_Code,$F569,nrES_Att,2)=0),"Yes","No")))</f>
        <v/>
      </c>
      <c r="R569" s="17">
        <f>IF($C569="","",IF($L569="","",IF(AND($K569=2,$L569&lt;$J569,COUNTIFS(nrES_PID,$D569,nrES_Code,$F569,nrES_Att,1)&gt;0),"Yes","No")))</f>
        <v/>
      </c>
      <c r="S569" s="18" t="n"/>
      <c r="T569" s="19">
        <f>IF($Q569&lt;&gt;"Yes","",IF($S569="","(enter date)",_xlfn.LET(_xlpm.dn,IFERROR(_xlfn.XLOOKUP($S569,nrCDdate,nrCDnum),""),IF(_xlpm.dn="","(not a class day)",IFERROR(_xlfn.XLOOKUP(_xlpm.dn+cfgRetestClassDays,nrCDnum,nrCDdate),"")))))</f>
        <v/>
      </c>
      <c r="U569" s="17">
        <f>IF($Q569&lt;&gt;"Yes","",IF(COUNTIFS(nrES_PID,$D569,nrES_Code,$F569,nrES_Att,2)&gt;0,"Retested",IF(OR($T569="",NOT(ISNUMBER($T569))),"Pending",IF(TODAY()&gt;$T569,"OVERDUE","Due "&amp;TEXT($T569,"mm/dd")))))</f>
        <v/>
      </c>
      <c r="V569" s="16" t="n"/>
      <c r="W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IF($C570="","",IF($L570="","",IF($K570=1,IF(COUNTIFS(nrES_PID,$D570,nrES_Code,$F570,nrES_Att,2)&gt;0,"",$L570),IF(COUNTIFS(nrES_PID,$D570,nrES_Code,$F570,nrES_Att,1)=0,$L570,IF($L570&gt;=$J570,cfgRetakeRecordedCap,SUMIFS(nrES_Raw,nrES_PID,$D570,nrES_Code,$F570,nrES_Att,1))))))</f>
        <v/>
      </c>
      <c r="N570" s="17">
        <f>IF($C570="","",IF($L570="","",IF($L570&gt;=$J570,"Yes","No")))</f>
        <v/>
      </c>
      <c r="O570" s="17">
        <f>IF($C570="","",IF($M570="","",IF($M570&gt;=$J570,"Yes","No")))</f>
        <v/>
      </c>
      <c r="P570" s="17">
        <f>IF($C570="","",IF($K570="","",IF(COUNTIFS(nrES_PID,$D570,nrES_Code,$F570,nrES_Att,"&gt;"&amp;$K570)=0,"Yes","No")))</f>
        <v/>
      </c>
      <c r="Q570" s="17">
        <f>IF($C570="","",IF($L570="","",IF(AND($K570=1,$L570&lt;$J570,COUNTIFS(nrES_PID,$D570,nrES_Code,$F570,nrES_Att,2)=0),"Yes","No")))</f>
        <v/>
      </c>
      <c r="R570" s="17">
        <f>IF($C570="","",IF($L570="","",IF(AND($K570=2,$L570&lt;$J570,COUNTIFS(nrES_PID,$D570,nrES_Code,$F570,nrES_Att,1)&gt;0),"Yes","No")))</f>
        <v/>
      </c>
      <c r="S570" s="18" t="n"/>
      <c r="T570" s="19">
        <f>IF($Q570&lt;&gt;"Yes","",IF($S570="","(enter date)",_xlfn.LET(_xlpm.dn,IFERROR(_xlfn.XLOOKUP($S570,nrCDdate,nrCDnum),""),IF(_xlpm.dn="","(not a class day)",IFERROR(_xlfn.XLOOKUP(_xlpm.dn+cfgRetestClassDays,nrCDnum,nrCDdate),"")))))</f>
        <v/>
      </c>
      <c r="U570" s="17">
        <f>IF($Q570&lt;&gt;"Yes","",IF(COUNTIFS(nrES_PID,$D570,nrES_Code,$F570,nrES_Att,2)&gt;0,"Retested",IF(OR($T570="",NOT(ISNUMBER($T570))),"Pending",IF(TODAY()&gt;$T570,"OVERDUE","Due "&amp;TEXT($T570,"mm/dd")))))</f>
        <v/>
      </c>
      <c r="V570" s="16" t="n"/>
      <c r="W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IF($C571="","",IF($L571="","",IF($K571=1,IF(COUNTIFS(nrES_PID,$D571,nrES_Code,$F571,nrES_Att,2)&gt;0,"",$L571),IF(COUNTIFS(nrES_PID,$D571,nrES_Code,$F571,nrES_Att,1)=0,$L571,IF($L571&gt;=$J571,cfgRetakeRecordedCap,SUMIFS(nrES_Raw,nrES_PID,$D571,nrES_Code,$F571,nrES_Att,1))))))</f>
        <v/>
      </c>
      <c r="N571" s="17">
        <f>IF($C571="","",IF($L571="","",IF($L571&gt;=$J571,"Yes","No")))</f>
        <v/>
      </c>
      <c r="O571" s="17">
        <f>IF($C571="","",IF($M571="","",IF($M571&gt;=$J571,"Yes","No")))</f>
        <v/>
      </c>
      <c r="P571" s="17">
        <f>IF($C571="","",IF($K571="","",IF(COUNTIFS(nrES_PID,$D571,nrES_Code,$F571,nrES_Att,"&gt;"&amp;$K571)=0,"Yes","No")))</f>
        <v/>
      </c>
      <c r="Q571" s="17">
        <f>IF($C571="","",IF($L571="","",IF(AND($K571=1,$L571&lt;$J571,COUNTIFS(nrES_PID,$D571,nrES_Code,$F571,nrES_Att,2)=0),"Yes","No")))</f>
        <v/>
      </c>
      <c r="R571" s="17">
        <f>IF($C571="","",IF($L571="","",IF(AND($K571=2,$L571&lt;$J571,COUNTIFS(nrES_PID,$D571,nrES_Code,$F571,nrES_Att,1)&gt;0),"Yes","No")))</f>
        <v/>
      </c>
      <c r="S571" s="18" t="n"/>
      <c r="T571" s="19">
        <f>IF($Q571&lt;&gt;"Yes","",IF($S571="","(enter date)",_xlfn.LET(_xlpm.dn,IFERROR(_xlfn.XLOOKUP($S571,nrCDdate,nrCDnum),""),IF(_xlpm.dn="","(not a class day)",IFERROR(_xlfn.XLOOKUP(_xlpm.dn+cfgRetestClassDays,nrCDnum,nrCDdate),"")))))</f>
        <v/>
      </c>
      <c r="U571" s="17">
        <f>IF($Q571&lt;&gt;"Yes","",IF(COUNTIFS(nrES_PID,$D571,nrES_Code,$F571,nrES_Att,2)&gt;0,"Retested",IF(OR($T571="",NOT(ISNUMBER($T571))),"Pending",IF(TODAY()&gt;$T571,"OVERDUE","Due "&amp;TEXT($T571,"mm/dd")))))</f>
        <v/>
      </c>
      <c r="V571" s="16" t="n"/>
      <c r="W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IF($C572="","",IF($L572="","",IF($K572=1,IF(COUNTIFS(nrES_PID,$D572,nrES_Code,$F572,nrES_Att,2)&gt;0,"",$L572),IF(COUNTIFS(nrES_PID,$D572,nrES_Code,$F572,nrES_Att,1)=0,$L572,IF($L572&gt;=$J572,cfgRetakeRecordedCap,SUMIFS(nrES_Raw,nrES_PID,$D572,nrES_Code,$F572,nrES_Att,1))))))</f>
        <v/>
      </c>
      <c r="N572" s="17">
        <f>IF($C572="","",IF($L572="","",IF($L572&gt;=$J572,"Yes","No")))</f>
        <v/>
      </c>
      <c r="O572" s="17">
        <f>IF($C572="","",IF($M572="","",IF($M572&gt;=$J572,"Yes","No")))</f>
        <v/>
      </c>
      <c r="P572" s="17">
        <f>IF($C572="","",IF($K572="","",IF(COUNTIFS(nrES_PID,$D572,nrES_Code,$F572,nrES_Att,"&gt;"&amp;$K572)=0,"Yes","No")))</f>
        <v/>
      </c>
      <c r="Q572" s="17">
        <f>IF($C572="","",IF($L572="","",IF(AND($K572=1,$L572&lt;$J572,COUNTIFS(nrES_PID,$D572,nrES_Code,$F572,nrES_Att,2)=0),"Yes","No")))</f>
        <v/>
      </c>
      <c r="R572" s="17">
        <f>IF($C572="","",IF($L572="","",IF(AND($K572=2,$L572&lt;$J572,COUNTIFS(nrES_PID,$D572,nrES_Code,$F572,nrES_Att,1)&gt;0),"Yes","No")))</f>
        <v/>
      </c>
      <c r="S572" s="18" t="n"/>
      <c r="T572" s="19">
        <f>IF($Q572&lt;&gt;"Yes","",IF($S572="","(enter date)",_xlfn.LET(_xlpm.dn,IFERROR(_xlfn.XLOOKUP($S572,nrCDdate,nrCDnum),""),IF(_xlpm.dn="","(not a class day)",IFERROR(_xlfn.XLOOKUP(_xlpm.dn+cfgRetestClassDays,nrCDnum,nrCDdate),"")))))</f>
        <v/>
      </c>
      <c r="U572" s="17">
        <f>IF($Q572&lt;&gt;"Yes","",IF(COUNTIFS(nrES_PID,$D572,nrES_Code,$F572,nrES_Att,2)&gt;0,"Retested",IF(OR($T572="",NOT(ISNUMBER($T572))),"Pending",IF(TODAY()&gt;$T572,"OVERDUE","Due "&amp;TEXT($T572,"mm/dd")))))</f>
        <v/>
      </c>
      <c r="V572" s="16" t="n"/>
      <c r="W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IF($C573="","",IF($L573="","",IF($K573=1,IF(COUNTIFS(nrES_PID,$D573,nrES_Code,$F573,nrES_Att,2)&gt;0,"",$L573),IF(COUNTIFS(nrES_PID,$D573,nrES_Code,$F573,nrES_Att,1)=0,$L573,IF($L573&gt;=$J573,cfgRetakeRecordedCap,SUMIFS(nrES_Raw,nrES_PID,$D573,nrES_Code,$F573,nrES_Att,1))))))</f>
        <v/>
      </c>
      <c r="N573" s="17">
        <f>IF($C573="","",IF($L573="","",IF($L573&gt;=$J573,"Yes","No")))</f>
        <v/>
      </c>
      <c r="O573" s="17">
        <f>IF($C573="","",IF($M573="","",IF($M573&gt;=$J573,"Yes","No")))</f>
        <v/>
      </c>
      <c r="P573" s="17">
        <f>IF($C573="","",IF($K573="","",IF(COUNTIFS(nrES_PID,$D573,nrES_Code,$F573,nrES_Att,"&gt;"&amp;$K573)=0,"Yes","No")))</f>
        <v/>
      </c>
      <c r="Q573" s="17">
        <f>IF($C573="","",IF($L573="","",IF(AND($K573=1,$L573&lt;$J573,COUNTIFS(nrES_PID,$D573,nrES_Code,$F573,nrES_Att,2)=0),"Yes","No")))</f>
        <v/>
      </c>
      <c r="R573" s="17">
        <f>IF($C573="","",IF($L573="","",IF(AND($K573=2,$L573&lt;$J573,COUNTIFS(nrES_PID,$D573,nrES_Code,$F573,nrES_Att,1)&gt;0),"Yes","No")))</f>
        <v/>
      </c>
      <c r="S573" s="18" t="n"/>
      <c r="T573" s="19">
        <f>IF($Q573&lt;&gt;"Yes","",IF($S573="","(enter date)",_xlfn.LET(_xlpm.dn,IFERROR(_xlfn.XLOOKUP($S573,nrCDdate,nrCDnum),""),IF(_xlpm.dn="","(not a class day)",IFERROR(_xlfn.XLOOKUP(_xlpm.dn+cfgRetestClassDays,nrCDnum,nrCDdate),"")))))</f>
        <v/>
      </c>
      <c r="U573" s="17">
        <f>IF($Q573&lt;&gt;"Yes","",IF(COUNTIFS(nrES_PID,$D573,nrES_Code,$F573,nrES_Att,2)&gt;0,"Retested",IF(OR($T573="",NOT(ISNUMBER($T573))),"Pending",IF(TODAY()&gt;$T573,"OVERDUE","Due "&amp;TEXT($T573,"mm/dd")))))</f>
        <v/>
      </c>
      <c r="V573" s="16" t="n"/>
      <c r="W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IF($C574="","",IF($L574="","",IF($K574=1,IF(COUNTIFS(nrES_PID,$D574,nrES_Code,$F574,nrES_Att,2)&gt;0,"",$L574),IF(COUNTIFS(nrES_PID,$D574,nrES_Code,$F574,nrES_Att,1)=0,$L574,IF($L574&gt;=$J574,cfgRetakeRecordedCap,SUMIFS(nrES_Raw,nrES_PID,$D574,nrES_Code,$F574,nrES_Att,1))))))</f>
        <v/>
      </c>
      <c r="N574" s="17">
        <f>IF($C574="","",IF($L574="","",IF($L574&gt;=$J574,"Yes","No")))</f>
        <v/>
      </c>
      <c r="O574" s="17">
        <f>IF($C574="","",IF($M574="","",IF($M574&gt;=$J574,"Yes","No")))</f>
        <v/>
      </c>
      <c r="P574" s="17">
        <f>IF($C574="","",IF($K574="","",IF(COUNTIFS(nrES_PID,$D574,nrES_Code,$F574,nrES_Att,"&gt;"&amp;$K574)=0,"Yes","No")))</f>
        <v/>
      </c>
      <c r="Q574" s="17">
        <f>IF($C574="","",IF($L574="","",IF(AND($K574=1,$L574&lt;$J574,COUNTIFS(nrES_PID,$D574,nrES_Code,$F574,nrES_Att,2)=0),"Yes","No")))</f>
        <v/>
      </c>
      <c r="R574" s="17">
        <f>IF($C574="","",IF($L574="","",IF(AND($K574=2,$L574&lt;$J574,COUNTIFS(nrES_PID,$D574,nrES_Code,$F574,nrES_Att,1)&gt;0),"Yes","No")))</f>
        <v/>
      </c>
      <c r="S574" s="18" t="n"/>
      <c r="T574" s="19">
        <f>IF($Q574&lt;&gt;"Yes","",IF($S574="","(enter date)",_xlfn.LET(_xlpm.dn,IFERROR(_xlfn.XLOOKUP($S574,nrCDdate,nrCDnum),""),IF(_xlpm.dn="","(not a class day)",IFERROR(_xlfn.XLOOKUP(_xlpm.dn+cfgRetestClassDays,nrCDnum,nrCDdate),"")))))</f>
        <v/>
      </c>
      <c r="U574" s="17">
        <f>IF($Q574&lt;&gt;"Yes","",IF(COUNTIFS(nrES_PID,$D574,nrES_Code,$F574,nrES_Att,2)&gt;0,"Retested",IF(OR($T574="",NOT(ISNUMBER($T574))),"Pending",IF(TODAY()&gt;$T574,"OVERDUE","Due "&amp;TEXT($T574,"mm/dd")))))</f>
        <v/>
      </c>
      <c r="V574" s="16" t="n"/>
      <c r="W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IF($C575="","",IF($L575="","",IF($K575=1,IF(COUNTIFS(nrES_PID,$D575,nrES_Code,$F575,nrES_Att,2)&gt;0,"",$L575),IF(COUNTIFS(nrES_PID,$D575,nrES_Code,$F575,nrES_Att,1)=0,$L575,IF($L575&gt;=$J575,cfgRetakeRecordedCap,SUMIFS(nrES_Raw,nrES_PID,$D575,nrES_Code,$F575,nrES_Att,1))))))</f>
        <v/>
      </c>
      <c r="N575" s="17">
        <f>IF($C575="","",IF($L575="","",IF($L575&gt;=$J575,"Yes","No")))</f>
        <v/>
      </c>
      <c r="O575" s="17">
        <f>IF($C575="","",IF($M575="","",IF($M575&gt;=$J575,"Yes","No")))</f>
        <v/>
      </c>
      <c r="P575" s="17">
        <f>IF($C575="","",IF($K575="","",IF(COUNTIFS(nrES_PID,$D575,nrES_Code,$F575,nrES_Att,"&gt;"&amp;$K575)=0,"Yes","No")))</f>
        <v/>
      </c>
      <c r="Q575" s="17">
        <f>IF($C575="","",IF($L575="","",IF(AND($K575=1,$L575&lt;$J575,COUNTIFS(nrES_PID,$D575,nrES_Code,$F575,nrES_Att,2)=0),"Yes","No")))</f>
        <v/>
      </c>
      <c r="R575" s="17">
        <f>IF($C575="","",IF($L575="","",IF(AND($K575=2,$L575&lt;$J575,COUNTIFS(nrES_PID,$D575,nrES_Code,$F575,nrES_Att,1)&gt;0),"Yes","No")))</f>
        <v/>
      </c>
      <c r="S575" s="18" t="n"/>
      <c r="T575" s="19">
        <f>IF($Q575&lt;&gt;"Yes","",IF($S575="","(enter date)",_xlfn.LET(_xlpm.dn,IFERROR(_xlfn.XLOOKUP($S575,nrCDdate,nrCDnum),""),IF(_xlpm.dn="","(not a class day)",IFERROR(_xlfn.XLOOKUP(_xlpm.dn+cfgRetestClassDays,nrCDnum,nrCDdate),"")))))</f>
        <v/>
      </c>
      <c r="U575" s="17">
        <f>IF($Q575&lt;&gt;"Yes","",IF(COUNTIFS(nrES_PID,$D575,nrES_Code,$F575,nrES_Att,2)&gt;0,"Retested",IF(OR($T575="",NOT(ISNUMBER($T575))),"Pending",IF(TODAY()&gt;$T575,"OVERDUE","Due "&amp;TEXT($T575,"mm/dd")))))</f>
        <v/>
      </c>
      <c r="V575" s="16" t="n"/>
      <c r="W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IF($C576="","",IF($L576="","",IF($K576=1,IF(COUNTIFS(nrES_PID,$D576,nrES_Code,$F576,nrES_Att,2)&gt;0,"",$L576),IF(COUNTIFS(nrES_PID,$D576,nrES_Code,$F576,nrES_Att,1)=0,$L576,IF($L576&gt;=$J576,cfgRetakeRecordedCap,SUMIFS(nrES_Raw,nrES_PID,$D576,nrES_Code,$F576,nrES_Att,1))))))</f>
        <v/>
      </c>
      <c r="N576" s="17">
        <f>IF($C576="","",IF($L576="","",IF($L576&gt;=$J576,"Yes","No")))</f>
        <v/>
      </c>
      <c r="O576" s="17">
        <f>IF($C576="","",IF($M576="","",IF($M576&gt;=$J576,"Yes","No")))</f>
        <v/>
      </c>
      <c r="P576" s="17">
        <f>IF($C576="","",IF($K576="","",IF(COUNTIFS(nrES_PID,$D576,nrES_Code,$F576,nrES_Att,"&gt;"&amp;$K576)=0,"Yes","No")))</f>
        <v/>
      </c>
      <c r="Q576" s="17">
        <f>IF($C576="","",IF($L576="","",IF(AND($K576=1,$L576&lt;$J576,COUNTIFS(nrES_PID,$D576,nrES_Code,$F576,nrES_Att,2)=0),"Yes","No")))</f>
        <v/>
      </c>
      <c r="R576" s="17">
        <f>IF($C576="","",IF($L576="","",IF(AND($K576=2,$L576&lt;$J576,COUNTIFS(nrES_PID,$D576,nrES_Code,$F576,nrES_Att,1)&gt;0),"Yes","No")))</f>
        <v/>
      </c>
      <c r="S576" s="18" t="n"/>
      <c r="T576" s="19">
        <f>IF($Q576&lt;&gt;"Yes","",IF($S576="","(enter date)",_xlfn.LET(_xlpm.dn,IFERROR(_xlfn.XLOOKUP($S576,nrCDdate,nrCDnum),""),IF(_xlpm.dn="","(not a class day)",IFERROR(_xlfn.XLOOKUP(_xlpm.dn+cfgRetestClassDays,nrCDnum,nrCDdate),"")))))</f>
        <v/>
      </c>
      <c r="U576" s="17">
        <f>IF($Q576&lt;&gt;"Yes","",IF(COUNTIFS(nrES_PID,$D576,nrES_Code,$F576,nrES_Att,2)&gt;0,"Retested",IF(OR($T576="",NOT(ISNUMBER($T576))),"Pending",IF(TODAY()&gt;$T576,"OVERDUE","Due "&amp;TEXT($T576,"mm/dd")))))</f>
        <v/>
      </c>
      <c r="V576" s="16" t="n"/>
      <c r="W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IF($C577="","",IF($L577="","",IF($K577=1,IF(COUNTIFS(nrES_PID,$D577,nrES_Code,$F577,nrES_Att,2)&gt;0,"",$L577),IF(COUNTIFS(nrES_PID,$D577,nrES_Code,$F577,nrES_Att,1)=0,$L577,IF($L577&gt;=$J577,cfgRetakeRecordedCap,SUMIFS(nrES_Raw,nrES_PID,$D577,nrES_Code,$F577,nrES_Att,1))))))</f>
        <v/>
      </c>
      <c r="N577" s="17">
        <f>IF($C577="","",IF($L577="","",IF($L577&gt;=$J577,"Yes","No")))</f>
        <v/>
      </c>
      <c r="O577" s="17">
        <f>IF($C577="","",IF($M577="","",IF($M577&gt;=$J577,"Yes","No")))</f>
        <v/>
      </c>
      <c r="P577" s="17">
        <f>IF($C577="","",IF($K577="","",IF(COUNTIFS(nrES_PID,$D577,nrES_Code,$F577,nrES_Att,"&gt;"&amp;$K577)=0,"Yes","No")))</f>
        <v/>
      </c>
      <c r="Q577" s="17">
        <f>IF($C577="","",IF($L577="","",IF(AND($K577=1,$L577&lt;$J577,COUNTIFS(nrES_PID,$D577,nrES_Code,$F577,nrES_Att,2)=0),"Yes","No")))</f>
        <v/>
      </c>
      <c r="R577" s="17">
        <f>IF($C577="","",IF($L577="","",IF(AND($K577=2,$L577&lt;$J577,COUNTIFS(nrES_PID,$D577,nrES_Code,$F577,nrES_Att,1)&gt;0),"Yes","No")))</f>
        <v/>
      </c>
      <c r="S577" s="18" t="n"/>
      <c r="T577" s="19">
        <f>IF($Q577&lt;&gt;"Yes","",IF($S577="","(enter date)",_xlfn.LET(_xlpm.dn,IFERROR(_xlfn.XLOOKUP($S577,nrCDdate,nrCDnum),""),IF(_xlpm.dn="","(not a class day)",IFERROR(_xlfn.XLOOKUP(_xlpm.dn+cfgRetestClassDays,nrCDnum,nrCDdate),"")))))</f>
        <v/>
      </c>
      <c r="U577" s="17">
        <f>IF($Q577&lt;&gt;"Yes","",IF(COUNTIFS(nrES_PID,$D577,nrES_Code,$F577,nrES_Att,2)&gt;0,"Retested",IF(OR($T577="",NOT(ISNUMBER($T577))),"Pending",IF(TODAY()&gt;$T577,"OVERDUE","Due "&amp;TEXT($T577,"mm/dd")))))</f>
        <v/>
      </c>
      <c r="V577" s="16" t="n"/>
      <c r="W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IF($C578="","",IF($L578="","",IF($K578=1,IF(COUNTIFS(nrES_PID,$D578,nrES_Code,$F578,nrES_Att,2)&gt;0,"",$L578),IF(COUNTIFS(nrES_PID,$D578,nrES_Code,$F578,nrES_Att,1)=0,$L578,IF($L578&gt;=$J578,cfgRetakeRecordedCap,SUMIFS(nrES_Raw,nrES_PID,$D578,nrES_Code,$F578,nrES_Att,1))))))</f>
        <v/>
      </c>
      <c r="N578" s="17">
        <f>IF($C578="","",IF($L578="","",IF($L578&gt;=$J578,"Yes","No")))</f>
        <v/>
      </c>
      <c r="O578" s="17">
        <f>IF($C578="","",IF($M578="","",IF($M578&gt;=$J578,"Yes","No")))</f>
        <v/>
      </c>
      <c r="P578" s="17">
        <f>IF($C578="","",IF($K578="","",IF(COUNTIFS(nrES_PID,$D578,nrES_Code,$F578,nrES_Att,"&gt;"&amp;$K578)=0,"Yes","No")))</f>
        <v/>
      </c>
      <c r="Q578" s="17">
        <f>IF($C578="","",IF($L578="","",IF(AND($K578=1,$L578&lt;$J578,COUNTIFS(nrES_PID,$D578,nrES_Code,$F578,nrES_Att,2)=0),"Yes","No")))</f>
        <v/>
      </c>
      <c r="R578" s="17">
        <f>IF($C578="","",IF($L578="","",IF(AND($K578=2,$L578&lt;$J578,COUNTIFS(nrES_PID,$D578,nrES_Code,$F578,nrES_Att,1)&gt;0),"Yes","No")))</f>
        <v/>
      </c>
      <c r="S578" s="18" t="n"/>
      <c r="T578" s="19">
        <f>IF($Q578&lt;&gt;"Yes","",IF($S578="","(enter date)",_xlfn.LET(_xlpm.dn,IFERROR(_xlfn.XLOOKUP($S578,nrCDdate,nrCDnum),""),IF(_xlpm.dn="","(not a class day)",IFERROR(_xlfn.XLOOKUP(_xlpm.dn+cfgRetestClassDays,nrCDnum,nrCDdate),"")))))</f>
        <v/>
      </c>
      <c r="U578" s="17">
        <f>IF($Q578&lt;&gt;"Yes","",IF(COUNTIFS(nrES_PID,$D578,nrES_Code,$F578,nrES_Att,2)&gt;0,"Retested",IF(OR($T578="",NOT(ISNUMBER($T578))),"Pending",IF(TODAY()&gt;$T578,"OVERDUE","Due "&amp;TEXT($T578,"mm/dd")))))</f>
        <v/>
      </c>
      <c r="V578" s="16" t="n"/>
      <c r="W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IF($C579="","",IF($L579="","",IF($K579=1,IF(COUNTIFS(nrES_PID,$D579,nrES_Code,$F579,nrES_Att,2)&gt;0,"",$L579),IF(COUNTIFS(nrES_PID,$D579,nrES_Code,$F579,nrES_Att,1)=0,$L579,IF($L579&gt;=$J579,cfgRetakeRecordedCap,SUMIFS(nrES_Raw,nrES_PID,$D579,nrES_Code,$F579,nrES_Att,1))))))</f>
        <v/>
      </c>
      <c r="N579" s="17">
        <f>IF($C579="","",IF($L579="","",IF($L579&gt;=$J579,"Yes","No")))</f>
        <v/>
      </c>
      <c r="O579" s="17">
        <f>IF($C579="","",IF($M579="","",IF($M579&gt;=$J579,"Yes","No")))</f>
        <v/>
      </c>
      <c r="P579" s="17">
        <f>IF($C579="","",IF($K579="","",IF(COUNTIFS(nrES_PID,$D579,nrES_Code,$F579,nrES_Att,"&gt;"&amp;$K579)=0,"Yes","No")))</f>
        <v/>
      </c>
      <c r="Q579" s="17">
        <f>IF($C579="","",IF($L579="","",IF(AND($K579=1,$L579&lt;$J579,COUNTIFS(nrES_PID,$D579,nrES_Code,$F579,nrES_Att,2)=0),"Yes","No")))</f>
        <v/>
      </c>
      <c r="R579" s="17">
        <f>IF($C579="","",IF($L579="","",IF(AND($K579=2,$L579&lt;$J579,COUNTIFS(nrES_PID,$D579,nrES_Code,$F579,nrES_Att,1)&gt;0),"Yes","No")))</f>
        <v/>
      </c>
      <c r="S579" s="18" t="n"/>
      <c r="T579" s="19">
        <f>IF($Q579&lt;&gt;"Yes","",IF($S579="","(enter date)",_xlfn.LET(_xlpm.dn,IFERROR(_xlfn.XLOOKUP($S579,nrCDdate,nrCDnum),""),IF(_xlpm.dn="","(not a class day)",IFERROR(_xlfn.XLOOKUP(_xlpm.dn+cfgRetestClassDays,nrCDnum,nrCDdate),"")))))</f>
        <v/>
      </c>
      <c r="U579" s="17">
        <f>IF($Q579&lt;&gt;"Yes","",IF(COUNTIFS(nrES_PID,$D579,nrES_Code,$F579,nrES_Att,2)&gt;0,"Retested",IF(OR($T579="",NOT(ISNUMBER($T579))),"Pending",IF(TODAY()&gt;$T579,"OVERDUE","Due "&amp;TEXT($T579,"mm/dd")))))</f>
        <v/>
      </c>
      <c r="V579" s="16" t="n"/>
      <c r="W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IF($C580="","",IF($L580="","",IF($K580=1,IF(COUNTIFS(nrES_PID,$D580,nrES_Code,$F580,nrES_Att,2)&gt;0,"",$L580),IF(COUNTIFS(nrES_PID,$D580,nrES_Code,$F580,nrES_Att,1)=0,$L580,IF($L580&gt;=$J580,cfgRetakeRecordedCap,SUMIFS(nrES_Raw,nrES_PID,$D580,nrES_Code,$F580,nrES_Att,1))))))</f>
        <v/>
      </c>
      <c r="N580" s="17">
        <f>IF($C580="","",IF($L580="","",IF($L580&gt;=$J580,"Yes","No")))</f>
        <v/>
      </c>
      <c r="O580" s="17">
        <f>IF($C580="","",IF($M580="","",IF($M580&gt;=$J580,"Yes","No")))</f>
        <v/>
      </c>
      <c r="P580" s="17">
        <f>IF($C580="","",IF($K580="","",IF(COUNTIFS(nrES_PID,$D580,nrES_Code,$F580,nrES_Att,"&gt;"&amp;$K580)=0,"Yes","No")))</f>
        <v/>
      </c>
      <c r="Q580" s="17">
        <f>IF($C580="","",IF($L580="","",IF(AND($K580=1,$L580&lt;$J580,COUNTIFS(nrES_PID,$D580,nrES_Code,$F580,nrES_Att,2)=0),"Yes","No")))</f>
        <v/>
      </c>
      <c r="R580" s="17">
        <f>IF($C580="","",IF($L580="","",IF(AND($K580=2,$L580&lt;$J580,COUNTIFS(nrES_PID,$D580,nrES_Code,$F580,nrES_Att,1)&gt;0),"Yes","No")))</f>
        <v/>
      </c>
      <c r="S580" s="18" t="n"/>
      <c r="T580" s="19">
        <f>IF($Q580&lt;&gt;"Yes","",IF($S580="","(enter date)",_xlfn.LET(_xlpm.dn,IFERROR(_xlfn.XLOOKUP($S580,nrCDdate,nrCDnum),""),IF(_xlpm.dn="","(not a class day)",IFERROR(_xlfn.XLOOKUP(_xlpm.dn+cfgRetestClassDays,nrCDnum,nrCDdate),"")))))</f>
        <v/>
      </c>
      <c r="U580" s="17">
        <f>IF($Q580&lt;&gt;"Yes","",IF(COUNTIFS(nrES_PID,$D580,nrES_Code,$F580,nrES_Att,2)&gt;0,"Retested",IF(OR($T580="",NOT(ISNUMBER($T580))),"Pending",IF(TODAY()&gt;$T580,"OVERDUE","Due "&amp;TEXT($T580,"mm/dd")))))</f>
        <v/>
      </c>
      <c r="V580" s="16" t="n"/>
      <c r="W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IF($C581="","",IF($L581="","",IF($K581=1,IF(COUNTIFS(nrES_PID,$D581,nrES_Code,$F581,nrES_Att,2)&gt;0,"",$L581),IF(COUNTIFS(nrES_PID,$D581,nrES_Code,$F581,nrES_Att,1)=0,$L581,IF($L581&gt;=$J581,cfgRetakeRecordedCap,SUMIFS(nrES_Raw,nrES_PID,$D581,nrES_Code,$F581,nrES_Att,1))))))</f>
        <v/>
      </c>
      <c r="N581" s="17">
        <f>IF($C581="","",IF($L581="","",IF($L581&gt;=$J581,"Yes","No")))</f>
        <v/>
      </c>
      <c r="O581" s="17">
        <f>IF($C581="","",IF($M581="","",IF($M581&gt;=$J581,"Yes","No")))</f>
        <v/>
      </c>
      <c r="P581" s="17">
        <f>IF($C581="","",IF($K581="","",IF(COUNTIFS(nrES_PID,$D581,nrES_Code,$F581,nrES_Att,"&gt;"&amp;$K581)=0,"Yes","No")))</f>
        <v/>
      </c>
      <c r="Q581" s="17">
        <f>IF($C581="","",IF($L581="","",IF(AND($K581=1,$L581&lt;$J581,COUNTIFS(nrES_PID,$D581,nrES_Code,$F581,nrES_Att,2)=0),"Yes","No")))</f>
        <v/>
      </c>
      <c r="R581" s="17">
        <f>IF($C581="","",IF($L581="","",IF(AND($K581=2,$L581&lt;$J581,COUNTIFS(nrES_PID,$D581,nrES_Code,$F581,nrES_Att,1)&gt;0),"Yes","No")))</f>
        <v/>
      </c>
      <c r="S581" s="18" t="n"/>
      <c r="T581" s="19">
        <f>IF($Q581&lt;&gt;"Yes","",IF($S581="","(enter date)",_xlfn.LET(_xlpm.dn,IFERROR(_xlfn.XLOOKUP($S581,nrCDdate,nrCDnum),""),IF(_xlpm.dn="","(not a class day)",IFERROR(_xlfn.XLOOKUP(_xlpm.dn+cfgRetestClassDays,nrCDnum,nrCDdate),"")))))</f>
        <v/>
      </c>
      <c r="U581" s="17">
        <f>IF($Q581&lt;&gt;"Yes","",IF(COUNTIFS(nrES_PID,$D581,nrES_Code,$F581,nrES_Att,2)&gt;0,"Retested",IF(OR($T581="",NOT(ISNUMBER($T581))),"Pending",IF(TODAY()&gt;$T581,"OVERDUE","Due "&amp;TEXT($T581,"mm/dd")))))</f>
        <v/>
      </c>
      <c r="V581" s="16" t="n"/>
      <c r="W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IF($C582="","",IF($L582="","",IF($K582=1,IF(COUNTIFS(nrES_PID,$D582,nrES_Code,$F582,nrES_Att,2)&gt;0,"",$L582),IF(COUNTIFS(nrES_PID,$D582,nrES_Code,$F582,nrES_Att,1)=0,$L582,IF($L582&gt;=$J582,cfgRetakeRecordedCap,SUMIFS(nrES_Raw,nrES_PID,$D582,nrES_Code,$F582,nrES_Att,1))))))</f>
        <v/>
      </c>
      <c r="N582" s="17">
        <f>IF($C582="","",IF($L582="","",IF($L582&gt;=$J582,"Yes","No")))</f>
        <v/>
      </c>
      <c r="O582" s="17">
        <f>IF($C582="","",IF($M582="","",IF($M582&gt;=$J582,"Yes","No")))</f>
        <v/>
      </c>
      <c r="P582" s="17">
        <f>IF($C582="","",IF($K582="","",IF(COUNTIFS(nrES_PID,$D582,nrES_Code,$F582,nrES_Att,"&gt;"&amp;$K582)=0,"Yes","No")))</f>
        <v/>
      </c>
      <c r="Q582" s="17">
        <f>IF($C582="","",IF($L582="","",IF(AND($K582=1,$L582&lt;$J582,COUNTIFS(nrES_PID,$D582,nrES_Code,$F582,nrES_Att,2)=0),"Yes","No")))</f>
        <v/>
      </c>
      <c r="R582" s="17">
        <f>IF($C582="","",IF($L582="","",IF(AND($K582=2,$L582&lt;$J582,COUNTIFS(nrES_PID,$D582,nrES_Code,$F582,nrES_Att,1)&gt;0),"Yes","No")))</f>
        <v/>
      </c>
      <c r="S582" s="18" t="n"/>
      <c r="T582" s="19">
        <f>IF($Q582&lt;&gt;"Yes","",IF($S582="","(enter date)",_xlfn.LET(_xlpm.dn,IFERROR(_xlfn.XLOOKUP($S582,nrCDdate,nrCDnum),""),IF(_xlpm.dn="","(not a class day)",IFERROR(_xlfn.XLOOKUP(_xlpm.dn+cfgRetestClassDays,nrCDnum,nrCDdate),"")))))</f>
        <v/>
      </c>
      <c r="U582" s="17">
        <f>IF($Q582&lt;&gt;"Yes","",IF(COUNTIFS(nrES_PID,$D582,nrES_Code,$F582,nrES_Att,2)&gt;0,"Retested",IF(OR($T582="",NOT(ISNUMBER($T582))),"Pending",IF(TODAY()&gt;$T582,"OVERDUE","Due "&amp;TEXT($T582,"mm/dd")))))</f>
        <v/>
      </c>
      <c r="V582" s="16" t="n"/>
      <c r="W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IF($C583="","",IF($L583="","",IF($K583=1,IF(COUNTIFS(nrES_PID,$D583,nrES_Code,$F583,nrES_Att,2)&gt;0,"",$L583),IF(COUNTIFS(nrES_PID,$D583,nrES_Code,$F583,nrES_Att,1)=0,$L583,IF($L583&gt;=$J583,cfgRetakeRecordedCap,SUMIFS(nrES_Raw,nrES_PID,$D583,nrES_Code,$F583,nrES_Att,1))))))</f>
        <v/>
      </c>
      <c r="N583" s="17">
        <f>IF($C583="","",IF($L583="","",IF($L583&gt;=$J583,"Yes","No")))</f>
        <v/>
      </c>
      <c r="O583" s="17">
        <f>IF($C583="","",IF($M583="","",IF($M583&gt;=$J583,"Yes","No")))</f>
        <v/>
      </c>
      <c r="P583" s="17">
        <f>IF($C583="","",IF($K583="","",IF(COUNTIFS(nrES_PID,$D583,nrES_Code,$F583,nrES_Att,"&gt;"&amp;$K583)=0,"Yes","No")))</f>
        <v/>
      </c>
      <c r="Q583" s="17">
        <f>IF($C583="","",IF($L583="","",IF(AND($K583=1,$L583&lt;$J583,COUNTIFS(nrES_PID,$D583,nrES_Code,$F583,nrES_Att,2)=0),"Yes","No")))</f>
        <v/>
      </c>
      <c r="R583" s="17">
        <f>IF($C583="","",IF($L583="","",IF(AND($K583=2,$L583&lt;$J583,COUNTIFS(nrES_PID,$D583,nrES_Code,$F583,nrES_Att,1)&gt;0),"Yes","No")))</f>
        <v/>
      </c>
      <c r="S583" s="18" t="n"/>
      <c r="T583" s="19">
        <f>IF($Q583&lt;&gt;"Yes","",IF($S583="","(enter date)",_xlfn.LET(_xlpm.dn,IFERROR(_xlfn.XLOOKUP($S583,nrCDdate,nrCDnum),""),IF(_xlpm.dn="","(not a class day)",IFERROR(_xlfn.XLOOKUP(_xlpm.dn+cfgRetestClassDays,nrCDnum,nrCDdate),"")))))</f>
        <v/>
      </c>
      <c r="U583" s="17">
        <f>IF($Q583&lt;&gt;"Yes","",IF(COUNTIFS(nrES_PID,$D583,nrES_Code,$F583,nrES_Att,2)&gt;0,"Retested",IF(OR($T583="",NOT(ISNUMBER($T583))),"Pending",IF(TODAY()&gt;$T583,"OVERDUE","Due "&amp;TEXT($T583,"mm/dd")))))</f>
        <v/>
      </c>
      <c r="V583" s="16" t="n"/>
      <c r="W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IF($C584="","",IF($L584="","",IF($K584=1,IF(COUNTIFS(nrES_PID,$D584,nrES_Code,$F584,nrES_Att,2)&gt;0,"",$L584),IF(COUNTIFS(nrES_PID,$D584,nrES_Code,$F584,nrES_Att,1)=0,$L584,IF($L584&gt;=$J584,cfgRetakeRecordedCap,SUMIFS(nrES_Raw,nrES_PID,$D584,nrES_Code,$F584,nrES_Att,1))))))</f>
        <v/>
      </c>
      <c r="N584" s="17">
        <f>IF($C584="","",IF($L584="","",IF($L584&gt;=$J584,"Yes","No")))</f>
        <v/>
      </c>
      <c r="O584" s="17">
        <f>IF($C584="","",IF($M584="","",IF($M584&gt;=$J584,"Yes","No")))</f>
        <v/>
      </c>
      <c r="P584" s="17">
        <f>IF($C584="","",IF($K584="","",IF(COUNTIFS(nrES_PID,$D584,nrES_Code,$F584,nrES_Att,"&gt;"&amp;$K584)=0,"Yes","No")))</f>
        <v/>
      </c>
      <c r="Q584" s="17">
        <f>IF($C584="","",IF($L584="","",IF(AND($K584=1,$L584&lt;$J584,COUNTIFS(nrES_PID,$D584,nrES_Code,$F584,nrES_Att,2)=0),"Yes","No")))</f>
        <v/>
      </c>
      <c r="R584" s="17">
        <f>IF($C584="","",IF($L584="","",IF(AND($K584=2,$L584&lt;$J584,COUNTIFS(nrES_PID,$D584,nrES_Code,$F584,nrES_Att,1)&gt;0),"Yes","No")))</f>
        <v/>
      </c>
      <c r="S584" s="18" t="n"/>
      <c r="T584" s="19">
        <f>IF($Q584&lt;&gt;"Yes","",IF($S584="","(enter date)",_xlfn.LET(_xlpm.dn,IFERROR(_xlfn.XLOOKUP($S584,nrCDdate,nrCDnum),""),IF(_xlpm.dn="","(not a class day)",IFERROR(_xlfn.XLOOKUP(_xlpm.dn+cfgRetestClassDays,nrCDnum,nrCDdate),"")))))</f>
        <v/>
      </c>
      <c r="U584" s="17">
        <f>IF($Q584&lt;&gt;"Yes","",IF(COUNTIFS(nrES_PID,$D584,nrES_Code,$F584,nrES_Att,2)&gt;0,"Retested",IF(OR($T584="",NOT(ISNUMBER($T584))),"Pending",IF(TODAY()&gt;$T584,"OVERDUE","Due "&amp;TEXT($T584,"mm/dd")))))</f>
        <v/>
      </c>
      <c r="V584" s="16" t="n"/>
      <c r="W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IF($C585="","",IF($L585="","",IF($K585=1,IF(COUNTIFS(nrES_PID,$D585,nrES_Code,$F585,nrES_Att,2)&gt;0,"",$L585),IF(COUNTIFS(nrES_PID,$D585,nrES_Code,$F585,nrES_Att,1)=0,$L585,IF($L585&gt;=$J585,cfgRetakeRecordedCap,SUMIFS(nrES_Raw,nrES_PID,$D585,nrES_Code,$F585,nrES_Att,1))))))</f>
        <v/>
      </c>
      <c r="N585" s="17">
        <f>IF($C585="","",IF($L585="","",IF($L585&gt;=$J585,"Yes","No")))</f>
        <v/>
      </c>
      <c r="O585" s="17">
        <f>IF($C585="","",IF($M585="","",IF($M585&gt;=$J585,"Yes","No")))</f>
        <v/>
      </c>
      <c r="P585" s="17">
        <f>IF($C585="","",IF($K585="","",IF(COUNTIFS(nrES_PID,$D585,nrES_Code,$F585,nrES_Att,"&gt;"&amp;$K585)=0,"Yes","No")))</f>
        <v/>
      </c>
      <c r="Q585" s="17">
        <f>IF($C585="","",IF($L585="","",IF(AND($K585=1,$L585&lt;$J585,COUNTIFS(nrES_PID,$D585,nrES_Code,$F585,nrES_Att,2)=0),"Yes","No")))</f>
        <v/>
      </c>
      <c r="R585" s="17">
        <f>IF($C585="","",IF($L585="","",IF(AND($K585=2,$L585&lt;$J585,COUNTIFS(nrES_PID,$D585,nrES_Code,$F585,nrES_Att,1)&gt;0),"Yes","No")))</f>
        <v/>
      </c>
      <c r="S585" s="18" t="n"/>
      <c r="T585" s="19">
        <f>IF($Q585&lt;&gt;"Yes","",IF($S585="","(enter date)",_xlfn.LET(_xlpm.dn,IFERROR(_xlfn.XLOOKUP($S585,nrCDdate,nrCDnum),""),IF(_xlpm.dn="","(not a class day)",IFERROR(_xlfn.XLOOKUP(_xlpm.dn+cfgRetestClassDays,nrCDnum,nrCDdate),"")))))</f>
        <v/>
      </c>
      <c r="U585" s="17">
        <f>IF($Q585&lt;&gt;"Yes","",IF(COUNTIFS(nrES_PID,$D585,nrES_Code,$F585,nrES_Att,2)&gt;0,"Retested",IF(OR($T585="",NOT(ISNUMBER($T585))),"Pending",IF(TODAY()&gt;$T585,"OVERDUE","Due "&amp;TEXT($T585,"mm/dd")))))</f>
        <v/>
      </c>
      <c r="V585" s="16" t="n"/>
      <c r="W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IF($C586="","",IF($L586="","",IF($K586=1,IF(COUNTIFS(nrES_PID,$D586,nrES_Code,$F586,nrES_Att,2)&gt;0,"",$L586),IF(COUNTIFS(nrES_PID,$D586,nrES_Code,$F586,nrES_Att,1)=0,$L586,IF($L586&gt;=$J586,cfgRetakeRecordedCap,SUMIFS(nrES_Raw,nrES_PID,$D586,nrES_Code,$F586,nrES_Att,1))))))</f>
        <v/>
      </c>
      <c r="N586" s="17">
        <f>IF($C586="","",IF($L586="","",IF($L586&gt;=$J586,"Yes","No")))</f>
        <v/>
      </c>
      <c r="O586" s="17">
        <f>IF($C586="","",IF($M586="","",IF($M586&gt;=$J586,"Yes","No")))</f>
        <v/>
      </c>
      <c r="P586" s="17">
        <f>IF($C586="","",IF($K586="","",IF(COUNTIFS(nrES_PID,$D586,nrES_Code,$F586,nrES_Att,"&gt;"&amp;$K586)=0,"Yes","No")))</f>
        <v/>
      </c>
      <c r="Q586" s="17">
        <f>IF($C586="","",IF($L586="","",IF(AND($K586=1,$L586&lt;$J586,COUNTIFS(nrES_PID,$D586,nrES_Code,$F586,nrES_Att,2)=0),"Yes","No")))</f>
        <v/>
      </c>
      <c r="R586" s="17">
        <f>IF($C586="","",IF($L586="","",IF(AND($K586=2,$L586&lt;$J586,COUNTIFS(nrES_PID,$D586,nrES_Code,$F586,nrES_Att,1)&gt;0),"Yes","No")))</f>
        <v/>
      </c>
      <c r="S586" s="18" t="n"/>
      <c r="T586" s="19">
        <f>IF($Q586&lt;&gt;"Yes","",IF($S586="","(enter date)",_xlfn.LET(_xlpm.dn,IFERROR(_xlfn.XLOOKUP($S586,nrCDdate,nrCDnum),""),IF(_xlpm.dn="","(not a class day)",IFERROR(_xlfn.XLOOKUP(_xlpm.dn+cfgRetestClassDays,nrCDnum,nrCDdate),"")))))</f>
        <v/>
      </c>
      <c r="U586" s="17">
        <f>IF($Q586&lt;&gt;"Yes","",IF(COUNTIFS(nrES_PID,$D586,nrES_Code,$F586,nrES_Att,2)&gt;0,"Retested",IF(OR($T586="",NOT(ISNUMBER($T586))),"Pending",IF(TODAY()&gt;$T586,"OVERDUE","Due "&amp;TEXT($T586,"mm/dd")))))</f>
        <v/>
      </c>
      <c r="V586" s="16" t="n"/>
      <c r="W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IF($C587="","",IF($L587="","",IF($K587=1,IF(COUNTIFS(nrES_PID,$D587,nrES_Code,$F587,nrES_Att,2)&gt;0,"",$L587),IF(COUNTIFS(nrES_PID,$D587,nrES_Code,$F587,nrES_Att,1)=0,$L587,IF($L587&gt;=$J587,cfgRetakeRecordedCap,SUMIFS(nrES_Raw,nrES_PID,$D587,nrES_Code,$F587,nrES_Att,1))))))</f>
        <v/>
      </c>
      <c r="N587" s="17">
        <f>IF($C587="","",IF($L587="","",IF($L587&gt;=$J587,"Yes","No")))</f>
        <v/>
      </c>
      <c r="O587" s="17">
        <f>IF($C587="","",IF($M587="","",IF($M587&gt;=$J587,"Yes","No")))</f>
        <v/>
      </c>
      <c r="P587" s="17">
        <f>IF($C587="","",IF($K587="","",IF(COUNTIFS(nrES_PID,$D587,nrES_Code,$F587,nrES_Att,"&gt;"&amp;$K587)=0,"Yes","No")))</f>
        <v/>
      </c>
      <c r="Q587" s="17">
        <f>IF($C587="","",IF($L587="","",IF(AND($K587=1,$L587&lt;$J587,COUNTIFS(nrES_PID,$D587,nrES_Code,$F587,nrES_Att,2)=0),"Yes","No")))</f>
        <v/>
      </c>
      <c r="R587" s="17">
        <f>IF($C587="","",IF($L587="","",IF(AND($K587=2,$L587&lt;$J587,COUNTIFS(nrES_PID,$D587,nrES_Code,$F587,nrES_Att,1)&gt;0),"Yes","No")))</f>
        <v/>
      </c>
      <c r="S587" s="18" t="n"/>
      <c r="T587" s="19">
        <f>IF($Q587&lt;&gt;"Yes","",IF($S587="","(enter date)",_xlfn.LET(_xlpm.dn,IFERROR(_xlfn.XLOOKUP($S587,nrCDdate,nrCDnum),""),IF(_xlpm.dn="","(not a class day)",IFERROR(_xlfn.XLOOKUP(_xlpm.dn+cfgRetestClassDays,nrCDnum,nrCDdate),"")))))</f>
        <v/>
      </c>
      <c r="U587" s="17">
        <f>IF($Q587&lt;&gt;"Yes","",IF(COUNTIFS(nrES_PID,$D587,nrES_Code,$F587,nrES_Att,2)&gt;0,"Retested",IF(OR($T587="",NOT(ISNUMBER($T587))),"Pending",IF(TODAY()&gt;$T587,"OVERDUE","Due "&amp;TEXT($T587,"mm/dd")))))</f>
        <v/>
      </c>
      <c r="V587" s="16" t="n"/>
      <c r="W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IF($C588="","",IF($L588="","",IF($K588=1,IF(COUNTIFS(nrES_PID,$D588,nrES_Code,$F588,nrES_Att,2)&gt;0,"",$L588),IF(COUNTIFS(nrES_PID,$D588,nrES_Code,$F588,nrES_Att,1)=0,$L588,IF($L588&gt;=$J588,cfgRetakeRecordedCap,SUMIFS(nrES_Raw,nrES_PID,$D588,nrES_Code,$F588,nrES_Att,1))))))</f>
        <v/>
      </c>
      <c r="N588" s="17">
        <f>IF($C588="","",IF($L588="","",IF($L588&gt;=$J588,"Yes","No")))</f>
        <v/>
      </c>
      <c r="O588" s="17">
        <f>IF($C588="","",IF($M588="","",IF($M588&gt;=$J588,"Yes","No")))</f>
        <v/>
      </c>
      <c r="P588" s="17">
        <f>IF($C588="","",IF($K588="","",IF(COUNTIFS(nrES_PID,$D588,nrES_Code,$F588,nrES_Att,"&gt;"&amp;$K588)=0,"Yes","No")))</f>
        <v/>
      </c>
      <c r="Q588" s="17">
        <f>IF($C588="","",IF($L588="","",IF(AND($K588=1,$L588&lt;$J588,COUNTIFS(nrES_PID,$D588,nrES_Code,$F588,nrES_Att,2)=0),"Yes","No")))</f>
        <v/>
      </c>
      <c r="R588" s="17">
        <f>IF($C588="","",IF($L588="","",IF(AND($K588=2,$L588&lt;$J588,COUNTIFS(nrES_PID,$D588,nrES_Code,$F588,nrES_Att,1)&gt;0),"Yes","No")))</f>
        <v/>
      </c>
      <c r="S588" s="18" t="n"/>
      <c r="T588" s="19">
        <f>IF($Q588&lt;&gt;"Yes","",IF($S588="","(enter date)",_xlfn.LET(_xlpm.dn,IFERROR(_xlfn.XLOOKUP($S588,nrCDdate,nrCDnum),""),IF(_xlpm.dn="","(not a class day)",IFERROR(_xlfn.XLOOKUP(_xlpm.dn+cfgRetestClassDays,nrCDnum,nrCDdate),"")))))</f>
        <v/>
      </c>
      <c r="U588" s="17">
        <f>IF($Q588&lt;&gt;"Yes","",IF(COUNTIFS(nrES_PID,$D588,nrES_Code,$F588,nrES_Att,2)&gt;0,"Retested",IF(OR($T588="",NOT(ISNUMBER($T588))),"Pending",IF(TODAY()&gt;$T588,"OVERDUE","Due "&amp;TEXT($T588,"mm/dd")))))</f>
        <v/>
      </c>
      <c r="V588" s="16" t="n"/>
      <c r="W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IF($C589="","",IF($L589="","",IF($K589=1,IF(COUNTIFS(nrES_PID,$D589,nrES_Code,$F589,nrES_Att,2)&gt;0,"",$L589),IF(COUNTIFS(nrES_PID,$D589,nrES_Code,$F589,nrES_Att,1)=0,$L589,IF($L589&gt;=$J589,cfgRetakeRecordedCap,SUMIFS(nrES_Raw,nrES_PID,$D589,nrES_Code,$F589,nrES_Att,1))))))</f>
        <v/>
      </c>
      <c r="N589" s="17">
        <f>IF($C589="","",IF($L589="","",IF($L589&gt;=$J589,"Yes","No")))</f>
        <v/>
      </c>
      <c r="O589" s="17">
        <f>IF($C589="","",IF($M589="","",IF($M589&gt;=$J589,"Yes","No")))</f>
        <v/>
      </c>
      <c r="P589" s="17">
        <f>IF($C589="","",IF($K589="","",IF(COUNTIFS(nrES_PID,$D589,nrES_Code,$F589,nrES_Att,"&gt;"&amp;$K589)=0,"Yes","No")))</f>
        <v/>
      </c>
      <c r="Q589" s="17">
        <f>IF($C589="","",IF($L589="","",IF(AND($K589=1,$L589&lt;$J589,COUNTIFS(nrES_PID,$D589,nrES_Code,$F589,nrES_Att,2)=0),"Yes","No")))</f>
        <v/>
      </c>
      <c r="R589" s="17">
        <f>IF($C589="","",IF($L589="","",IF(AND($K589=2,$L589&lt;$J589,COUNTIFS(nrES_PID,$D589,nrES_Code,$F589,nrES_Att,1)&gt;0),"Yes","No")))</f>
        <v/>
      </c>
      <c r="S589" s="18" t="n"/>
      <c r="T589" s="19">
        <f>IF($Q589&lt;&gt;"Yes","",IF($S589="","(enter date)",_xlfn.LET(_xlpm.dn,IFERROR(_xlfn.XLOOKUP($S589,nrCDdate,nrCDnum),""),IF(_xlpm.dn="","(not a class day)",IFERROR(_xlfn.XLOOKUP(_xlpm.dn+cfgRetestClassDays,nrCDnum,nrCDdate),"")))))</f>
        <v/>
      </c>
      <c r="U589" s="17">
        <f>IF($Q589&lt;&gt;"Yes","",IF(COUNTIFS(nrES_PID,$D589,nrES_Code,$F589,nrES_Att,2)&gt;0,"Retested",IF(OR($T589="",NOT(ISNUMBER($T589))),"Pending",IF(TODAY()&gt;$T589,"OVERDUE","Due "&amp;TEXT($T589,"mm/dd")))))</f>
        <v/>
      </c>
      <c r="V589" s="16" t="n"/>
      <c r="W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IF($C590="","",IF($L590="","",IF($K590=1,IF(COUNTIFS(nrES_PID,$D590,nrES_Code,$F590,nrES_Att,2)&gt;0,"",$L590),IF(COUNTIFS(nrES_PID,$D590,nrES_Code,$F590,nrES_Att,1)=0,$L590,IF($L590&gt;=$J590,cfgRetakeRecordedCap,SUMIFS(nrES_Raw,nrES_PID,$D590,nrES_Code,$F590,nrES_Att,1))))))</f>
        <v/>
      </c>
      <c r="N590" s="17">
        <f>IF($C590="","",IF($L590="","",IF($L590&gt;=$J590,"Yes","No")))</f>
        <v/>
      </c>
      <c r="O590" s="17">
        <f>IF($C590="","",IF($M590="","",IF($M590&gt;=$J590,"Yes","No")))</f>
        <v/>
      </c>
      <c r="P590" s="17">
        <f>IF($C590="","",IF($K590="","",IF(COUNTIFS(nrES_PID,$D590,nrES_Code,$F590,nrES_Att,"&gt;"&amp;$K590)=0,"Yes","No")))</f>
        <v/>
      </c>
      <c r="Q590" s="17">
        <f>IF($C590="","",IF($L590="","",IF(AND($K590=1,$L590&lt;$J590,COUNTIFS(nrES_PID,$D590,nrES_Code,$F590,nrES_Att,2)=0),"Yes","No")))</f>
        <v/>
      </c>
      <c r="R590" s="17">
        <f>IF($C590="","",IF($L590="","",IF(AND($K590=2,$L590&lt;$J590,COUNTIFS(nrES_PID,$D590,nrES_Code,$F590,nrES_Att,1)&gt;0),"Yes","No")))</f>
        <v/>
      </c>
      <c r="S590" s="18" t="n"/>
      <c r="T590" s="19">
        <f>IF($Q590&lt;&gt;"Yes","",IF($S590="","(enter date)",_xlfn.LET(_xlpm.dn,IFERROR(_xlfn.XLOOKUP($S590,nrCDdate,nrCDnum),""),IF(_xlpm.dn="","(not a class day)",IFERROR(_xlfn.XLOOKUP(_xlpm.dn+cfgRetestClassDays,nrCDnum,nrCDdate),"")))))</f>
        <v/>
      </c>
      <c r="U590" s="17">
        <f>IF($Q590&lt;&gt;"Yes","",IF(COUNTIFS(nrES_PID,$D590,nrES_Code,$F590,nrES_Att,2)&gt;0,"Retested",IF(OR($T590="",NOT(ISNUMBER($T590))),"Pending",IF(TODAY()&gt;$T590,"OVERDUE","Due "&amp;TEXT($T590,"mm/dd")))))</f>
        <v/>
      </c>
      <c r="V590" s="16" t="n"/>
      <c r="W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IF($C591="","",IF($L591="","",IF($K591=1,IF(COUNTIFS(nrES_PID,$D591,nrES_Code,$F591,nrES_Att,2)&gt;0,"",$L591),IF(COUNTIFS(nrES_PID,$D591,nrES_Code,$F591,nrES_Att,1)=0,$L591,IF($L591&gt;=$J591,cfgRetakeRecordedCap,SUMIFS(nrES_Raw,nrES_PID,$D591,nrES_Code,$F591,nrES_Att,1))))))</f>
        <v/>
      </c>
      <c r="N591" s="17">
        <f>IF($C591="","",IF($L591="","",IF($L591&gt;=$J591,"Yes","No")))</f>
        <v/>
      </c>
      <c r="O591" s="17">
        <f>IF($C591="","",IF($M591="","",IF($M591&gt;=$J591,"Yes","No")))</f>
        <v/>
      </c>
      <c r="P591" s="17">
        <f>IF($C591="","",IF($K591="","",IF(COUNTIFS(nrES_PID,$D591,nrES_Code,$F591,nrES_Att,"&gt;"&amp;$K591)=0,"Yes","No")))</f>
        <v/>
      </c>
      <c r="Q591" s="17">
        <f>IF($C591="","",IF($L591="","",IF(AND($K591=1,$L591&lt;$J591,COUNTIFS(nrES_PID,$D591,nrES_Code,$F591,nrES_Att,2)=0),"Yes","No")))</f>
        <v/>
      </c>
      <c r="R591" s="17">
        <f>IF($C591="","",IF($L591="","",IF(AND($K591=2,$L591&lt;$J591,COUNTIFS(nrES_PID,$D591,nrES_Code,$F591,nrES_Att,1)&gt;0),"Yes","No")))</f>
        <v/>
      </c>
      <c r="S591" s="18" t="n"/>
      <c r="T591" s="19">
        <f>IF($Q591&lt;&gt;"Yes","",IF($S591="","(enter date)",_xlfn.LET(_xlpm.dn,IFERROR(_xlfn.XLOOKUP($S591,nrCDdate,nrCDnum),""),IF(_xlpm.dn="","(not a class day)",IFERROR(_xlfn.XLOOKUP(_xlpm.dn+cfgRetestClassDays,nrCDnum,nrCDdate),"")))))</f>
        <v/>
      </c>
      <c r="U591" s="17">
        <f>IF($Q591&lt;&gt;"Yes","",IF(COUNTIFS(nrES_PID,$D591,nrES_Code,$F591,nrES_Att,2)&gt;0,"Retested",IF(OR($T591="",NOT(ISNUMBER($T591))),"Pending",IF(TODAY()&gt;$T591,"OVERDUE","Due "&amp;TEXT($T591,"mm/dd")))))</f>
        <v/>
      </c>
      <c r="V591" s="16" t="n"/>
      <c r="W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IF($C592="","",IF($L592="","",IF($K592=1,IF(COUNTIFS(nrES_PID,$D592,nrES_Code,$F592,nrES_Att,2)&gt;0,"",$L592),IF(COUNTIFS(nrES_PID,$D592,nrES_Code,$F592,nrES_Att,1)=0,$L592,IF($L592&gt;=$J592,cfgRetakeRecordedCap,SUMIFS(nrES_Raw,nrES_PID,$D592,nrES_Code,$F592,nrES_Att,1))))))</f>
        <v/>
      </c>
      <c r="N592" s="17">
        <f>IF($C592="","",IF($L592="","",IF($L592&gt;=$J592,"Yes","No")))</f>
        <v/>
      </c>
      <c r="O592" s="17">
        <f>IF($C592="","",IF($M592="","",IF($M592&gt;=$J592,"Yes","No")))</f>
        <v/>
      </c>
      <c r="P592" s="17">
        <f>IF($C592="","",IF($K592="","",IF(COUNTIFS(nrES_PID,$D592,nrES_Code,$F592,nrES_Att,"&gt;"&amp;$K592)=0,"Yes","No")))</f>
        <v/>
      </c>
      <c r="Q592" s="17">
        <f>IF($C592="","",IF($L592="","",IF(AND($K592=1,$L592&lt;$J592,COUNTIFS(nrES_PID,$D592,nrES_Code,$F592,nrES_Att,2)=0),"Yes","No")))</f>
        <v/>
      </c>
      <c r="R592" s="17">
        <f>IF($C592="","",IF($L592="","",IF(AND($K592=2,$L592&lt;$J592,COUNTIFS(nrES_PID,$D592,nrES_Code,$F592,nrES_Att,1)&gt;0),"Yes","No")))</f>
        <v/>
      </c>
      <c r="S592" s="18" t="n"/>
      <c r="T592" s="19">
        <f>IF($Q592&lt;&gt;"Yes","",IF($S592="","(enter date)",_xlfn.LET(_xlpm.dn,IFERROR(_xlfn.XLOOKUP($S592,nrCDdate,nrCDnum),""),IF(_xlpm.dn="","(not a class day)",IFERROR(_xlfn.XLOOKUP(_xlpm.dn+cfgRetestClassDays,nrCDnum,nrCDdate),"")))))</f>
        <v/>
      </c>
      <c r="U592" s="17">
        <f>IF($Q592&lt;&gt;"Yes","",IF(COUNTIFS(nrES_PID,$D592,nrES_Code,$F592,nrES_Att,2)&gt;0,"Retested",IF(OR($T592="",NOT(ISNUMBER($T592))),"Pending",IF(TODAY()&gt;$T592,"OVERDUE","Due "&amp;TEXT($T592,"mm/dd")))))</f>
        <v/>
      </c>
      <c r="V592" s="16" t="n"/>
      <c r="W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IF($C593="","",IF($L593="","",IF($K593=1,IF(COUNTIFS(nrES_PID,$D593,nrES_Code,$F593,nrES_Att,2)&gt;0,"",$L593),IF(COUNTIFS(nrES_PID,$D593,nrES_Code,$F593,nrES_Att,1)=0,$L593,IF($L593&gt;=$J593,cfgRetakeRecordedCap,SUMIFS(nrES_Raw,nrES_PID,$D593,nrES_Code,$F593,nrES_Att,1))))))</f>
        <v/>
      </c>
      <c r="N593" s="17">
        <f>IF($C593="","",IF($L593="","",IF($L593&gt;=$J593,"Yes","No")))</f>
        <v/>
      </c>
      <c r="O593" s="17">
        <f>IF($C593="","",IF($M593="","",IF($M593&gt;=$J593,"Yes","No")))</f>
        <v/>
      </c>
      <c r="P593" s="17">
        <f>IF($C593="","",IF($K593="","",IF(COUNTIFS(nrES_PID,$D593,nrES_Code,$F593,nrES_Att,"&gt;"&amp;$K593)=0,"Yes","No")))</f>
        <v/>
      </c>
      <c r="Q593" s="17">
        <f>IF($C593="","",IF($L593="","",IF(AND($K593=1,$L593&lt;$J593,COUNTIFS(nrES_PID,$D593,nrES_Code,$F593,nrES_Att,2)=0),"Yes","No")))</f>
        <v/>
      </c>
      <c r="R593" s="17">
        <f>IF($C593="","",IF($L593="","",IF(AND($K593=2,$L593&lt;$J593,COUNTIFS(nrES_PID,$D593,nrES_Code,$F593,nrES_Att,1)&gt;0),"Yes","No")))</f>
        <v/>
      </c>
      <c r="S593" s="18" t="n"/>
      <c r="T593" s="19">
        <f>IF($Q593&lt;&gt;"Yes","",IF($S593="","(enter date)",_xlfn.LET(_xlpm.dn,IFERROR(_xlfn.XLOOKUP($S593,nrCDdate,nrCDnum),""),IF(_xlpm.dn="","(not a class day)",IFERROR(_xlfn.XLOOKUP(_xlpm.dn+cfgRetestClassDays,nrCDnum,nrCDdate),"")))))</f>
        <v/>
      </c>
      <c r="U593" s="17">
        <f>IF($Q593&lt;&gt;"Yes","",IF(COUNTIFS(nrES_PID,$D593,nrES_Code,$F593,nrES_Att,2)&gt;0,"Retested",IF(OR($T593="",NOT(ISNUMBER($T593))),"Pending",IF(TODAY()&gt;$T593,"OVERDUE","Due "&amp;TEXT($T593,"mm/dd")))))</f>
        <v/>
      </c>
      <c r="V593" s="16" t="n"/>
      <c r="W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IF($C594="","",IF($L594="","",IF($K594=1,IF(COUNTIFS(nrES_PID,$D594,nrES_Code,$F594,nrES_Att,2)&gt;0,"",$L594),IF(COUNTIFS(nrES_PID,$D594,nrES_Code,$F594,nrES_Att,1)=0,$L594,IF($L594&gt;=$J594,cfgRetakeRecordedCap,SUMIFS(nrES_Raw,nrES_PID,$D594,nrES_Code,$F594,nrES_Att,1))))))</f>
        <v/>
      </c>
      <c r="N594" s="17">
        <f>IF($C594="","",IF($L594="","",IF($L594&gt;=$J594,"Yes","No")))</f>
        <v/>
      </c>
      <c r="O594" s="17">
        <f>IF($C594="","",IF($M594="","",IF($M594&gt;=$J594,"Yes","No")))</f>
        <v/>
      </c>
      <c r="P594" s="17">
        <f>IF($C594="","",IF($K594="","",IF(COUNTIFS(nrES_PID,$D594,nrES_Code,$F594,nrES_Att,"&gt;"&amp;$K594)=0,"Yes","No")))</f>
        <v/>
      </c>
      <c r="Q594" s="17">
        <f>IF($C594="","",IF($L594="","",IF(AND($K594=1,$L594&lt;$J594,COUNTIFS(nrES_PID,$D594,nrES_Code,$F594,nrES_Att,2)=0),"Yes","No")))</f>
        <v/>
      </c>
      <c r="R594" s="17">
        <f>IF($C594="","",IF($L594="","",IF(AND($K594=2,$L594&lt;$J594,COUNTIFS(nrES_PID,$D594,nrES_Code,$F594,nrES_Att,1)&gt;0),"Yes","No")))</f>
        <v/>
      </c>
      <c r="S594" s="18" t="n"/>
      <c r="T594" s="19">
        <f>IF($Q594&lt;&gt;"Yes","",IF($S594="","(enter date)",_xlfn.LET(_xlpm.dn,IFERROR(_xlfn.XLOOKUP($S594,nrCDdate,nrCDnum),""),IF(_xlpm.dn="","(not a class day)",IFERROR(_xlfn.XLOOKUP(_xlpm.dn+cfgRetestClassDays,nrCDnum,nrCDdate),"")))))</f>
        <v/>
      </c>
      <c r="U594" s="17">
        <f>IF($Q594&lt;&gt;"Yes","",IF(COUNTIFS(nrES_PID,$D594,nrES_Code,$F594,nrES_Att,2)&gt;0,"Retested",IF(OR($T594="",NOT(ISNUMBER($T594))),"Pending",IF(TODAY()&gt;$T594,"OVERDUE","Due "&amp;TEXT($T594,"mm/dd")))))</f>
        <v/>
      </c>
      <c r="V594" s="16" t="n"/>
      <c r="W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IF($C595="","",IF($L595="","",IF($K595=1,IF(COUNTIFS(nrES_PID,$D595,nrES_Code,$F595,nrES_Att,2)&gt;0,"",$L595),IF(COUNTIFS(nrES_PID,$D595,nrES_Code,$F595,nrES_Att,1)=0,$L595,IF($L595&gt;=$J595,cfgRetakeRecordedCap,SUMIFS(nrES_Raw,nrES_PID,$D595,nrES_Code,$F595,nrES_Att,1))))))</f>
        <v/>
      </c>
      <c r="N595" s="17">
        <f>IF($C595="","",IF($L595="","",IF($L595&gt;=$J595,"Yes","No")))</f>
        <v/>
      </c>
      <c r="O595" s="17">
        <f>IF($C595="","",IF($M595="","",IF($M595&gt;=$J595,"Yes","No")))</f>
        <v/>
      </c>
      <c r="P595" s="17">
        <f>IF($C595="","",IF($K595="","",IF(COUNTIFS(nrES_PID,$D595,nrES_Code,$F595,nrES_Att,"&gt;"&amp;$K595)=0,"Yes","No")))</f>
        <v/>
      </c>
      <c r="Q595" s="17">
        <f>IF($C595="","",IF($L595="","",IF(AND($K595=1,$L595&lt;$J595,COUNTIFS(nrES_PID,$D595,nrES_Code,$F595,nrES_Att,2)=0),"Yes","No")))</f>
        <v/>
      </c>
      <c r="R595" s="17">
        <f>IF($C595="","",IF($L595="","",IF(AND($K595=2,$L595&lt;$J595,COUNTIFS(nrES_PID,$D595,nrES_Code,$F595,nrES_Att,1)&gt;0),"Yes","No")))</f>
        <v/>
      </c>
      <c r="S595" s="18" t="n"/>
      <c r="T595" s="19">
        <f>IF($Q595&lt;&gt;"Yes","",IF($S595="","(enter date)",_xlfn.LET(_xlpm.dn,IFERROR(_xlfn.XLOOKUP($S595,nrCDdate,nrCDnum),""),IF(_xlpm.dn="","(not a class day)",IFERROR(_xlfn.XLOOKUP(_xlpm.dn+cfgRetestClassDays,nrCDnum,nrCDdate),"")))))</f>
        <v/>
      </c>
      <c r="U595" s="17">
        <f>IF($Q595&lt;&gt;"Yes","",IF(COUNTIFS(nrES_PID,$D595,nrES_Code,$F595,nrES_Att,2)&gt;0,"Retested",IF(OR($T595="",NOT(ISNUMBER($T595))),"Pending",IF(TODAY()&gt;$T595,"OVERDUE","Due "&amp;TEXT($T595,"mm/dd")))))</f>
        <v/>
      </c>
      <c r="V595" s="16" t="n"/>
      <c r="W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IF($C596="","",IF($L596="","",IF($K596=1,IF(COUNTIFS(nrES_PID,$D596,nrES_Code,$F596,nrES_Att,2)&gt;0,"",$L596),IF(COUNTIFS(nrES_PID,$D596,nrES_Code,$F596,nrES_Att,1)=0,$L596,IF($L596&gt;=$J596,cfgRetakeRecordedCap,SUMIFS(nrES_Raw,nrES_PID,$D596,nrES_Code,$F596,nrES_Att,1))))))</f>
        <v/>
      </c>
      <c r="N596" s="17">
        <f>IF($C596="","",IF($L596="","",IF($L596&gt;=$J596,"Yes","No")))</f>
        <v/>
      </c>
      <c r="O596" s="17">
        <f>IF($C596="","",IF($M596="","",IF($M596&gt;=$J596,"Yes","No")))</f>
        <v/>
      </c>
      <c r="P596" s="17">
        <f>IF($C596="","",IF($K596="","",IF(COUNTIFS(nrES_PID,$D596,nrES_Code,$F596,nrES_Att,"&gt;"&amp;$K596)=0,"Yes","No")))</f>
        <v/>
      </c>
      <c r="Q596" s="17">
        <f>IF($C596="","",IF($L596="","",IF(AND($K596=1,$L596&lt;$J596,COUNTIFS(nrES_PID,$D596,nrES_Code,$F596,nrES_Att,2)=0),"Yes","No")))</f>
        <v/>
      </c>
      <c r="R596" s="17">
        <f>IF($C596="","",IF($L596="","",IF(AND($K596=2,$L596&lt;$J596,COUNTIFS(nrES_PID,$D596,nrES_Code,$F596,nrES_Att,1)&gt;0),"Yes","No")))</f>
        <v/>
      </c>
      <c r="S596" s="18" t="n"/>
      <c r="T596" s="19">
        <f>IF($Q596&lt;&gt;"Yes","",IF($S596="","(enter date)",_xlfn.LET(_xlpm.dn,IFERROR(_xlfn.XLOOKUP($S596,nrCDdate,nrCDnum),""),IF(_xlpm.dn="","(not a class day)",IFERROR(_xlfn.XLOOKUP(_xlpm.dn+cfgRetestClassDays,nrCDnum,nrCDdate),"")))))</f>
        <v/>
      </c>
      <c r="U596" s="17">
        <f>IF($Q596&lt;&gt;"Yes","",IF(COUNTIFS(nrES_PID,$D596,nrES_Code,$F596,nrES_Att,2)&gt;0,"Retested",IF(OR($T596="",NOT(ISNUMBER($T596))),"Pending",IF(TODAY()&gt;$T596,"OVERDUE","Due "&amp;TEXT($T596,"mm/dd")))))</f>
        <v/>
      </c>
      <c r="V596" s="16" t="n"/>
      <c r="W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IF($C597="","",IF($L597="","",IF($K597=1,IF(COUNTIFS(nrES_PID,$D597,nrES_Code,$F597,nrES_Att,2)&gt;0,"",$L597),IF(COUNTIFS(nrES_PID,$D597,nrES_Code,$F597,nrES_Att,1)=0,$L597,IF($L597&gt;=$J597,cfgRetakeRecordedCap,SUMIFS(nrES_Raw,nrES_PID,$D597,nrES_Code,$F597,nrES_Att,1))))))</f>
        <v/>
      </c>
      <c r="N597" s="17">
        <f>IF($C597="","",IF($L597="","",IF($L597&gt;=$J597,"Yes","No")))</f>
        <v/>
      </c>
      <c r="O597" s="17">
        <f>IF($C597="","",IF($M597="","",IF($M597&gt;=$J597,"Yes","No")))</f>
        <v/>
      </c>
      <c r="P597" s="17">
        <f>IF($C597="","",IF($K597="","",IF(COUNTIFS(nrES_PID,$D597,nrES_Code,$F597,nrES_Att,"&gt;"&amp;$K597)=0,"Yes","No")))</f>
        <v/>
      </c>
      <c r="Q597" s="17">
        <f>IF($C597="","",IF($L597="","",IF(AND($K597=1,$L597&lt;$J597,COUNTIFS(nrES_PID,$D597,nrES_Code,$F597,nrES_Att,2)=0),"Yes","No")))</f>
        <v/>
      </c>
      <c r="R597" s="17">
        <f>IF($C597="","",IF($L597="","",IF(AND($K597=2,$L597&lt;$J597,COUNTIFS(nrES_PID,$D597,nrES_Code,$F597,nrES_Att,1)&gt;0),"Yes","No")))</f>
        <v/>
      </c>
      <c r="S597" s="18" t="n"/>
      <c r="T597" s="19">
        <f>IF($Q597&lt;&gt;"Yes","",IF($S597="","(enter date)",_xlfn.LET(_xlpm.dn,IFERROR(_xlfn.XLOOKUP($S597,nrCDdate,nrCDnum),""),IF(_xlpm.dn="","(not a class day)",IFERROR(_xlfn.XLOOKUP(_xlpm.dn+cfgRetestClassDays,nrCDnum,nrCDdate),"")))))</f>
        <v/>
      </c>
      <c r="U597" s="17">
        <f>IF($Q597&lt;&gt;"Yes","",IF(COUNTIFS(nrES_PID,$D597,nrES_Code,$F597,nrES_Att,2)&gt;0,"Retested",IF(OR($T597="",NOT(ISNUMBER($T597))),"Pending",IF(TODAY()&gt;$T597,"OVERDUE","Due "&amp;TEXT($T597,"mm/dd")))))</f>
        <v/>
      </c>
      <c r="V597" s="16" t="n"/>
      <c r="W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IF($C598="","",IF($L598="","",IF($K598=1,IF(COUNTIFS(nrES_PID,$D598,nrES_Code,$F598,nrES_Att,2)&gt;0,"",$L598),IF(COUNTIFS(nrES_PID,$D598,nrES_Code,$F598,nrES_Att,1)=0,$L598,IF($L598&gt;=$J598,cfgRetakeRecordedCap,SUMIFS(nrES_Raw,nrES_PID,$D598,nrES_Code,$F598,nrES_Att,1))))))</f>
        <v/>
      </c>
      <c r="N598" s="17">
        <f>IF($C598="","",IF($L598="","",IF($L598&gt;=$J598,"Yes","No")))</f>
        <v/>
      </c>
      <c r="O598" s="17">
        <f>IF($C598="","",IF($M598="","",IF($M598&gt;=$J598,"Yes","No")))</f>
        <v/>
      </c>
      <c r="P598" s="17">
        <f>IF($C598="","",IF($K598="","",IF(COUNTIFS(nrES_PID,$D598,nrES_Code,$F598,nrES_Att,"&gt;"&amp;$K598)=0,"Yes","No")))</f>
        <v/>
      </c>
      <c r="Q598" s="17">
        <f>IF($C598="","",IF($L598="","",IF(AND($K598=1,$L598&lt;$J598,COUNTIFS(nrES_PID,$D598,nrES_Code,$F598,nrES_Att,2)=0),"Yes","No")))</f>
        <v/>
      </c>
      <c r="R598" s="17">
        <f>IF($C598="","",IF($L598="","",IF(AND($K598=2,$L598&lt;$J598,COUNTIFS(nrES_PID,$D598,nrES_Code,$F598,nrES_Att,1)&gt;0),"Yes","No")))</f>
        <v/>
      </c>
      <c r="S598" s="18" t="n"/>
      <c r="T598" s="19">
        <f>IF($Q598&lt;&gt;"Yes","",IF($S598="","(enter date)",_xlfn.LET(_xlpm.dn,IFERROR(_xlfn.XLOOKUP($S598,nrCDdate,nrCDnum),""),IF(_xlpm.dn="","(not a class day)",IFERROR(_xlfn.XLOOKUP(_xlpm.dn+cfgRetestClassDays,nrCDnum,nrCDdate),"")))))</f>
        <v/>
      </c>
      <c r="U598" s="17">
        <f>IF($Q598&lt;&gt;"Yes","",IF(COUNTIFS(nrES_PID,$D598,nrES_Code,$F598,nrES_Att,2)&gt;0,"Retested",IF(OR($T598="",NOT(ISNUMBER($T598))),"Pending",IF(TODAY()&gt;$T598,"OVERDUE","Due "&amp;TEXT($T598,"mm/dd")))))</f>
        <v/>
      </c>
      <c r="V598" s="16" t="n"/>
      <c r="W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IF($C599="","",IF($L599="","",IF($K599=1,IF(COUNTIFS(nrES_PID,$D599,nrES_Code,$F599,nrES_Att,2)&gt;0,"",$L599),IF(COUNTIFS(nrES_PID,$D599,nrES_Code,$F599,nrES_Att,1)=0,$L599,IF($L599&gt;=$J599,cfgRetakeRecordedCap,SUMIFS(nrES_Raw,nrES_PID,$D599,nrES_Code,$F599,nrES_Att,1))))))</f>
        <v/>
      </c>
      <c r="N599" s="17">
        <f>IF($C599="","",IF($L599="","",IF($L599&gt;=$J599,"Yes","No")))</f>
        <v/>
      </c>
      <c r="O599" s="17">
        <f>IF($C599="","",IF($M599="","",IF($M599&gt;=$J599,"Yes","No")))</f>
        <v/>
      </c>
      <c r="P599" s="17">
        <f>IF($C599="","",IF($K599="","",IF(COUNTIFS(nrES_PID,$D599,nrES_Code,$F599,nrES_Att,"&gt;"&amp;$K599)=0,"Yes","No")))</f>
        <v/>
      </c>
      <c r="Q599" s="17">
        <f>IF($C599="","",IF($L599="","",IF(AND($K599=1,$L599&lt;$J599,COUNTIFS(nrES_PID,$D599,nrES_Code,$F599,nrES_Att,2)=0),"Yes","No")))</f>
        <v/>
      </c>
      <c r="R599" s="17">
        <f>IF($C599="","",IF($L599="","",IF(AND($K599=2,$L599&lt;$J599,COUNTIFS(nrES_PID,$D599,nrES_Code,$F599,nrES_Att,1)&gt;0),"Yes","No")))</f>
        <v/>
      </c>
      <c r="S599" s="18" t="n"/>
      <c r="T599" s="19">
        <f>IF($Q599&lt;&gt;"Yes","",IF($S599="","(enter date)",_xlfn.LET(_xlpm.dn,IFERROR(_xlfn.XLOOKUP($S599,nrCDdate,nrCDnum),""),IF(_xlpm.dn="","(not a class day)",IFERROR(_xlfn.XLOOKUP(_xlpm.dn+cfgRetestClassDays,nrCDnum,nrCDdate),"")))))</f>
        <v/>
      </c>
      <c r="U599" s="17">
        <f>IF($Q599&lt;&gt;"Yes","",IF(COUNTIFS(nrES_PID,$D599,nrES_Code,$F599,nrES_Att,2)&gt;0,"Retested",IF(OR($T599="",NOT(ISNUMBER($T599))),"Pending",IF(TODAY()&gt;$T599,"OVERDUE","Due "&amp;TEXT($T599,"mm/dd")))))</f>
        <v/>
      </c>
      <c r="V599" s="16" t="n"/>
      <c r="W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IF($C600="","",IF($L600="","",IF($K600=1,IF(COUNTIFS(nrES_PID,$D600,nrES_Code,$F600,nrES_Att,2)&gt;0,"",$L600),IF(COUNTIFS(nrES_PID,$D600,nrES_Code,$F600,nrES_Att,1)=0,$L600,IF($L600&gt;=$J600,cfgRetakeRecordedCap,SUMIFS(nrES_Raw,nrES_PID,$D600,nrES_Code,$F600,nrES_Att,1))))))</f>
        <v/>
      </c>
      <c r="N600" s="17">
        <f>IF($C600="","",IF($L600="","",IF($L600&gt;=$J600,"Yes","No")))</f>
        <v/>
      </c>
      <c r="O600" s="17">
        <f>IF($C600="","",IF($M600="","",IF($M600&gt;=$J600,"Yes","No")))</f>
        <v/>
      </c>
      <c r="P600" s="17">
        <f>IF($C600="","",IF($K600="","",IF(COUNTIFS(nrES_PID,$D600,nrES_Code,$F600,nrES_Att,"&gt;"&amp;$K600)=0,"Yes","No")))</f>
        <v/>
      </c>
      <c r="Q600" s="17">
        <f>IF($C600="","",IF($L600="","",IF(AND($K600=1,$L600&lt;$J600,COUNTIFS(nrES_PID,$D600,nrES_Code,$F600,nrES_Att,2)=0),"Yes","No")))</f>
        <v/>
      </c>
      <c r="R600" s="17">
        <f>IF($C600="","",IF($L600="","",IF(AND($K600=2,$L600&lt;$J600,COUNTIFS(nrES_PID,$D600,nrES_Code,$F600,nrES_Att,1)&gt;0),"Yes","No")))</f>
        <v/>
      </c>
      <c r="S600" s="18" t="n"/>
      <c r="T600" s="19">
        <f>IF($Q600&lt;&gt;"Yes","",IF($S600="","(enter date)",_xlfn.LET(_xlpm.dn,IFERROR(_xlfn.XLOOKUP($S600,nrCDdate,nrCDnum),""),IF(_xlpm.dn="","(not a class day)",IFERROR(_xlfn.XLOOKUP(_xlpm.dn+cfgRetestClassDays,nrCDnum,nrCDdate),"")))))</f>
        <v/>
      </c>
      <c r="U600" s="17">
        <f>IF($Q600&lt;&gt;"Yes","",IF(COUNTIFS(nrES_PID,$D600,nrES_Code,$F600,nrES_Att,2)&gt;0,"Retested",IF(OR($T600="",NOT(ISNUMBER($T600))),"Pending",IF(TODAY()&gt;$T600,"OVERDUE","Due "&amp;TEXT($T600,"mm/dd")))))</f>
        <v/>
      </c>
      <c r="V600" s="16" t="n"/>
      <c r="W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IF($C601="","",IF($L601="","",IF($K601=1,IF(COUNTIFS(nrES_PID,$D601,nrES_Code,$F601,nrES_Att,2)&gt;0,"",$L601),IF(COUNTIFS(nrES_PID,$D601,nrES_Code,$F601,nrES_Att,1)=0,$L601,IF($L601&gt;=$J601,cfgRetakeRecordedCap,SUMIFS(nrES_Raw,nrES_PID,$D601,nrES_Code,$F601,nrES_Att,1))))))</f>
        <v/>
      </c>
      <c r="N601" s="17">
        <f>IF($C601="","",IF($L601="","",IF($L601&gt;=$J601,"Yes","No")))</f>
        <v/>
      </c>
      <c r="O601" s="17">
        <f>IF($C601="","",IF($M601="","",IF($M601&gt;=$J601,"Yes","No")))</f>
        <v/>
      </c>
      <c r="P601" s="17">
        <f>IF($C601="","",IF($K601="","",IF(COUNTIFS(nrES_PID,$D601,nrES_Code,$F601,nrES_Att,"&gt;"&amp;$K601)=0,"Yes","No")))</f>
        <v/>
      </c>
      <c r="Q601" s="17">
        <f>IF($C601="","",IF($L601="","",IF(AND($K601=1,$L601&lt;$J601,COUNTIFS(nrES_PID,$D601,nrES_Code,$F601,nrES_Att,2)=0),"Yes","No")))</f>
        <v/>
      </c>
      <c r="R601" s="17">
        <f>IF($C601="","",IF($L601="","",IF(AND($K601=2,$L601&lt;$J601,COUNTIFS(nrES_PID,$D601,nrES_Code,$F601,nrES_Att,1)&gt;0),"Yes","No")))</f>
        <v/>
      </c>
      <c r="S601" s="18" t="n"/>
      <c r="T601" s="19">
        <f>IF($Q601&lt;&gt;"Yes","",IF($S601="","(enter date)",_xlfn.LET(_xlpm.dn,IFERROR(_xlfn.XLOOKUP($S601,nrCDdate,nrCDnum),""),IF(_xlpm.dn="","(not a class day)",IFERROR(_xlfn.XLOOKUP(_xlpm.dn+cfgRetestClassDays,nrCDnum,nrCDdate),"")))))</f>
        <v/>
      </c>
      <c r="U601" s="17">
        <f>IF($Q601&lt;&gt;"Yes","",IF(COUNTIFS(nrES_PID,$D601,nrES_Code,$F601,nrES_Att,2)&gt;0,"Retested",IF(OR($T601="",NOT(ISNUMBER($T601))),"Pending",IF(TODAY()&gt;$T601,"OVERDUE","Due "&amp;TEXT($T601,"mm/dd")))))</f>
        <v/>
      </c>
      <c r="V601" s="16" t="n"/>
      <c r="W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IF($C602="","",IF($L602="","",IF($K602=1,IF(COUNTIFS(nrES_PID,$D602,nrES_Code,$F602,nrES_Att,2)&gt;0,"",$L602),IF(COUNTIFS(nrES_PID,$D602,nrES_Code,$F602,nrES_Att,1)=0,$L602,IF($L602&gt;=$J602,cfgRetakeRecordedCap,SUMIFS(nrES_Raw,nrES_PID,$D602,nrES_Code,$F602,nrES_Att,1))))))</f>
        <v/>
      </c>
      <c r="N602" s="17">
        <f>IF($C602="","",IF($L602="","",IF($L602&gt;=$J602,"Yes","No")))</f>
        <v/>
      </c>
      <c r="O602" s="17">
        <f>IF($C602="","",IF($M602="","",IF($M602&gt;=$J602,"Yes","No")))</f>
        <v/>
      </c>
      <c r="P602" s="17">
        <f>IF($C602="","",IF($K602="","",IF(COUNTIFS(nrES_PID,$D602,nrES_Code,$F602,nrES_Att,"&gt;"&amp;$K602)=0,"Yes","No")))</f>
        <v/>
      </c>
      <c r="Q602" s="17">
        <f>IF($C602="","",IF($L602="","",IF(AND($K602=1,$L602&lt;$J602,COUNTIFS(nrES_PID,$D602,nrES_Code,$F602,nrES_Att,2)=0),"Yes","No")))</f>
        <v/>
      </c>
      <c r="R602" s="17">
        <f>IF($C602="","",IF($L602="","",IF(AND($K602=2,$L602&lt;$J602,COUNTIFS(nrES_PID,$D602,nrES_Code,$F602,nrES_Att,1)&gt;0),"Yes","No")))</f>
        <v/>
      </c>
      <c r="S602" s="18" t="n"/>
      <c r="T602" s="19">
        <f>IF($Q602&lt;&gt;"Yes","",IF($S602="","(enter date)",_xlfn.LET(_xlpm.dn,IFERROR(_xlfn.XLOOKUP($S602,nrCDdate,nrCDnum),""),IF(_xlpm.dn="","(not a class day)",IFERROR(_xlfn.XLOOKUP(_xlpm.dn+cfgRetestClassDays,nrCDnum,nrCDdate),"")))))</f>
        <v/>
      </c>
      <c r="U602" s="17">
        <f>IF($Q602&lt;&gt;"Yes","",IF(COUNTIFS(nrES_PID,$D602,nrES_Code,$F602,nrES_Att,2)&gt;0,"Retested",IF(OR($T602="",NOT(ISNUMBER($T602))),"Pending",IF(TODAY()&gt;$T602,"OVERDUE","Due "&amp;TEXT($T602,"mm/dd")))))</f>
        <v/>
      </c>
      <c r="V602" s="16" t="n"/>
      <c r="W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IF($C603="","",IF($L603="","",IF($K603=1,IF(COUNTIFS(nrES_PID,$D603,nrES_Code,$F603,nrES_Att,2)&gt;0,"",$L603),IF(COUNTIFS(nrES_PID,$D603,nrES_Code,$F603,nrES_Att,1)=0,$L603,IF($L603&gt;=$J603,cfgRetakeRecordedCap,SUMIFS(nrES_Raw,nrES_PID,$D603,nrES_Code,$F603,nrES_Att,1))))))</f>
        <v/>
      </c>
      <c r="N603" s="17">
        <f>IF($C603="","",IF($L603="","",IF($L603&gt;=$J603,"Yes","No")))</f>
        <v/>
      </c>
      <c r="O603" s="17">
        <f>IF($C603="","",IF($M603="","",IF($M603&gt;=$J603,"Yes","No")))</f>
        <v/>
      </c>
      <c r="P603" s="17">
        <f>IF($C603="","",IF($K603="","",IF(COUNTIFS(nrES_PID,$D603,nrES_Code,$F603,nrES_Att,"&gt;"&amp;$K603)=0,"Yes","No")))</f>
        <v/>
      </c>
      <c r="Q603" s="17">
        <f>IF($C603="","",IF($L603="","",IF(AND($K603=1,$L603&lt;$J603,COUNTIFS(nrES_PID,$D603,nrES_Code,$F603,nrES_Att,2)=0),"Yes","No")))</f>
        <v/>
      </c>
      <c r="R603" s="17">
        <f>IF($C603="","",IF($L603="","",IF(AND($K603=2,$L603&lt;$J603,COUNTIFS(nrES_PID,$D603,nrES_Code,$F603,nrES_Att,1)&gt;0),"Yes","No")))</f>
        <v/>
      </c>
      <c r="S603" s="18" t="n"/>
      <c r="T603" s="19">
        <f>IF($Q603&lt;&gt;"Yes","",IF($S603="","(enter date)",_xlfn.LET(_xlpm.dn,IFERROR(_xlfn.XLOOKUP($S603,nrCDdate,nrCDnum),""),IF(_xlpm.dn="","(not a class day)",IFERROR(_xlfn.XLOOKUP(_xlpm.dn+cfgRetestClassDays,nrCDnum,nrCDdate),"")))))</f>
        <v/>
      </c>
      <c r="U603" s="17">
        <f>IF($Q603&lt;&gt;"Yes","",IF(COUNTIFS(nrES_PID,$D603,nrES_Code,$F603,nrES_Att,2)&gt;0,"Retested",IF(OR($T603="",NOT(ISNUMBER($T603))),"Pending",IF(TODAY()&gt;$T603,"OVERDUE","Due "&amp;TEXT($T603,"mm/dd")))))</f>
        <v/>
      </c>
      <c r="V603" s="16" t="n"/>
      <c r="W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IF($C604="","",IF($L604="","",IF($K604=1,IF(COUNTIFS(nrES_PID,$D604,nrES_Code,$F604,nrES_Att,2)&gt;0,"",$L604),IF(COUNTIFS(nrES_PID,$D604,nrES_Code,$F604,nrES_Att,1)=0,$L604,IF($L604&gt;=$J604,cfgRetakeRecordedCap,SUMIFS(nrES_Raw,nrES_PID,$D604,nrES_Code,$F604,nrES_Att,1))))))</f>
        <v/>
      </c>
      <c r="N604" s="17">
        <f>IF($C604="","",IF($L604="","",IF($L604&gt;=$J604,"Yes","No")))</f>
        <v/>
      </c>
      <c r="O604" s="17">
        <f>IF($C604="","",IF($M604="","",IF($M604&gt;=$J604,"Yes","No")))</f>
        <v/>
      </c>
      <c r="P604" s="17">
        <f>IF($C604="","",IF($K604="","",IF(COUNTIFS(nrES_PID,$D604,nrES_Code,$F604,nrES_Att,"&gt;"&amp;$K604)=0,"Yes","No")))</f>
        <v/>
      </c>
      <c r="Q604" s="17">
        <f>IF($C604="","",IF($L604="","",IF(AND($K604=1,$L604&lt;$J604,COUNTIFS(nrES_PID,$D604,nrES_Code,$F604,nrES_Att,2)=0),"Yes","No")))</f>
        <v/>
      </c>
      <c r="R604" s="17">
        <f>IF($C604="","",IF($L604="","",IF(AND($K604=2,$L604&lt;$J604,COUNTIFS(nrES_PID,$D604,nrES_Code,$F604,nrES_Att,1)&gt;0),"Yes","No")))</f>
        <v/>
      </c>
      <c r="S604" s="18" t="n"/>
      <c r="T604" s="19">
        <f>IF($Q604&lt;&gt;"Yes","",IF($S604="","(enter date)",_xlfn.LET(_xlpm.dn,IFERROR(_xlfn.XLOOKUP($S604,nrCDdate,nrCDnum),""),IF(_xlpm.dn="","(not a class day)",IFERROR(_xlfn.XLOOKUP(_xlpm.dn+cfgRetestClassDays,nrCDnum,nrCDdate),"")))))</f>
        <v/>
      </c>
      <c r="U604" s="17">
        <f>IF($Q604&lt;&gt;"Yes","",IF(COUNTIFS(nrES_PID,$D604,nrES_Code,$F604,nrES_Att,2)&gt;0,"Retested",IF(OR($T604="",NOT(ISNUMBER($T604))),"Pending",IF(TODAY()&gt;$T604,"OVERDUE","Due "&amp;TEXT($T604,"mm/dd")))))</f>
        <v/>
      </c>
      <c r="V604" s="16" t="n"/>
      <c r="W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IF($C605="","",IF($L605="","",IF($K605=1,IF(COUNTIFS(nrES_PID,$D605,nrES_Code,$F605,nrES_Att,2)&gt;0,"",$L605),IF(COUNTIFS(nrES_PID,$D605,nrES_Code,$F605,nrES_Att,1)=0,$L605,IF($L605&gt;=$J605,cfgRetakeRecordedCap,SUMIFS(nrES_Raw,nrES_PID,$D605,nrES_Code,$F605,nrES_Att,1))))))</f>
        <v/>
      </c>
      <c r="N605" s="17">
        <f>IF($C605="","",IF($L605="","",IF($L605&gt;=$J605,"Yes","No")))</f>
        <v/>
      </c>
      <c r="O605" s="17">
        <f>IF($C605="","",IF($M605="","",IF($M605&gt;=$J605,"Yes","No")))</f>
        <v/>
      </c>
      <c r="P605" s="17">
        <f>IF($C605="","",IF($K605="","",IF(COUNTIFS(nrES_PID,$D605,nrES_Code,$F605,nrES_Att,"&gt;"&amp;$K605)=0,"Yes","No")))</f>
        <v/>
      </c>
      <c r="Q605" s="17">
        <f>IF($C605="","",IF($L605="","",IF(AND($K605=1,$L605&lt;$J605,COUNTIFS(nrES_PID,$D605,nrES_Code,$F605,nrES_Att,2)=0),"Yes","No")))</f>
        <v/>
      </c>
      <c r="R605" s="17">
        <f>IF($C605="","",IF($L605="","",IF(AND($K605=2,$L605&lt;$J605,COUNTIFS(nrES_PID,$D605,nrES_Code,$F605,nrES_Att,1)&gt;0),"Yes","No")))</f>
        <v/>
      </c>
      <c r="S605" s="18" t="n"/>
      <c r="T605" s="19">
        <f>IF($Q605&lt;&gt;"Yes","",IF($S605="","(enter date)",_xlfn.LET(_xlpm.dn,IFERROR(_xlfn.XLOOKUP($S605,nrCDdate,nrCDnum),""),IF(_xlpm.dn="","(not a class day)",IFERROR(_xlfn.XLOOKUP(_xlpm.dn+cfgRetestClassDays,nrCDnum,nrCDdate),"")))))</f>
        <v/>
      </c>
      <c r="U605" s="17">
        <f>IF($Q605&lt;&gt;"Yes","",IF(COUNTIFS(nrES_PID,$D605,nrES_Code,$F605,nrES_Att,2)&gt;0,"Retested",IF(OR($T605="",NOT(ISNUMBER($T605))),"Pending",IF(TODAY()&gt;$T605,"OVERDUE","Due "&amp;TEXT($T605,"mm/dd")))))</f>
        <v/>
      </c>
      <c r="V605" s="16" t="n"/>
      <c r="W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IF($C606="","",IF($L606="","",IF($K606=1,IF(COUNTIFS(nrES_PID,$D606,nrES_Code,$F606,nrES_Att,2)&gt;0,"",$L606),IF(COUNTIFS(nrES_PID,$D606,nrES_Code,$F606,nrES_Att,1)=0,$L606,IF($L606&gt;=$J606,cfgRetakeRecordedCap,SUMIFS(nrES_Raw,nrES_PID,$D606,nrES_Code,$F606,nrES_Att,1))))))</f>
        <v/>
      </c>
      <c r="N606" s="17">
        <f>IF($C606="","",IF($L606="","",IF($L606&gt;=$J606,"Yes","No")))</f>
        <v/>
      </c>
      <c r="O606" s="17">
        <f>IF($C606="","",IF($M606="","",IF($M606&gt;=$J606,"Yes","No")))</f>
        <v/>
      </c>
      <c r="P606" s="17">
        <f>IF($C606="","",IF($K606="","",IF(COUNTIFS(nrES_PID,$D606,nrES_Code,$F606,nrES_Att,"&gt;"&amp;$K606)=0,"Yes","No")))</f>
        <v/>
      </c>
      <c r="Q606" s="17">
        <f>IF($C606="","",IF($L606="","",IF(AND($K606=1,$L606&lt;$J606,COUNTIFS(nrES_PID,$D606,nrES_Code,$F606,nrES_Att,2)=0),"Yes","No")))</f>
        <v/>
      </c>
      <c r="R606" s="17">
        <f>IF($C606="","",IF($L606="","",IF(AND($K606=2,$L606&lt;$J606,COUNTIFS(nrES_PID,$D606,nrES_Code,$F606,nrES_Att,1)&gt;0),"Yes","No")))</f>
        <v/>
      </c>
      <c r="S606" s="18" t="n"/>
      <c r="T606" s="19">
        <f>IF($Q606&lt;&gt;"Yes","",IF($S606="","(enter date)",_xlfn.LET(_xlpm.dn,IFERROR(_xlfn.XLOOKUP($S606,nrCDdate,nrCDnum),""),IF(_xlpm.dn="","(not a class day)",IFERROR(_xlfn.XLOOKUP(_xlpm.dn+cfgRetestClassDays,nrCDnum,nrCDdate),"")))))</f>
        <v/>
      </c>
      <c r="U606" s="17">
        <f>IF($Q606&lt;&gt;"Yes","",IF(COUNTIFS(nrES_PID,$D606,nrES_Code,$F606,nrES_Att,2)&gt;0,"Retested",IF(OR($T606="",NOT(ISNUMBER($T606))),"Pending",IF(TODAY()&gt;$T606,"OVERDUE","Due "&amp;TEXT($T606,"mm/dd")))))</f>
        <v/>
      </c>
      <c r="V606" s="16" t="n"/>
      <c r="W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IF($C607="","",IF($L607="","",IF($K607=1,IF(COUNTIFS(nrES_PID,$D607,nrES_Code,$F607,nrES_Att,2)&gt;0,"",$L607),IF(COUNTIFS(nrES_PID,$D607,nrES_Code,$F607,nrES_Att,1)=0,$L607,IF($L607&gt;=$J607,cfgRetakeRecordedCap,SUMIFS(nrES_Raw,nrES_PID,$D607,nrES_Code,$F607,nrES_Att,1))))))</f>
        <v/>
      </c>
      <c r="N607" s="17">
        <f>IF($C607="","",IF($L607="","",IF($L607&gt;=$J607,"Yes","No")))</f>
        <v/>
      </c>
      <c r="O607" s="17">
        <f>IF($C607="","",IF($M607="","",IF($M607&gt;=$J607,"Yes","No")))</f>
        <v/>
      </c>
      <c r="P607" s="17">
        <f>IF($C607="","",IF($K607="","",IF(COUNTIFS(nrES_PID,$D607,nrES_Code,$F607,nrES_Att,"&gt;"&amp;$K607)=0,"Yes","No")))</f>
        <v/>
      </c>
      <c r="Q607" s="17">
        <f>IF($C607="","",IF($L607="","",IF(AND($K607=1,$L607&lt;$J607,COUNTIFS(nrES_PID,$D607,nrES_Code,$F607,nrES_Att,2)=0),"Yes","No")))</f>
        <v/>
      </c>
      <c r="R607" s="17">
        <f>IF($C607="","",IF($L607="","",IF(AND($K607=2,$L607&lt;$J607,COUNTIFS(nrES_PID,$D607,nrES_Code,$F607,nrES_Att,1)&gt;0),"Yes","No")))</f>
        <v/>
      </c>
      <c r="S607" s="18" t="n"/>
      <c r="T607" s="19">
        <f>IF($Q607&lt;&gt;"Yes","",IF($S607="","(enter date)",_xlfn.LET(_xlpm.dn,IFERROR(_xlfn.XLOOKUP($S607,nrCDdate,nrCDnum),""),IF(_xlpm.dn="","(not a class day)",IFERROR(_xlfn.XLOOKUP(_xlpm.dn+cfgRetestClassDays,nrCDnum,nrCDdate),"")))))</f>
        <v/>
      </c>
      <c r="U607" s="17">
        <f>IF($Q607&lt;&gt;"Yes","",IF(COUNTIFS(nrES_PID,$D607,nrES_Code,$F607,nrES_Att,2)&gt;0,"Retested",IF(OR($T607="",NOT(ISNUMBER($T607))),"Pending",IF(TODAY()&gt;$T607,"OVERDUE","Due "&amp;TEXT($T607,"mm/dd")))))</f>
        <v/>
      </c>
      <c r="V607" s="16" t="n"/>
      <c r="W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IF($C608="","",IF($L608="","",IF($K608=1,IF(COUNTIFS(nrES_PID,$D608,nrES_Code,$F608,nrES_Att,2)&gt;0,"",$L608),IF(COUNTIFS(nrES_PID,$D608,nrES_Code,$F608,nrES_Att,1)=0,$L608,IF($L608&gt;=$J608,cfgRetakeRecordedCap,SUMIFS(nrES_Raw,nrES_PID,$D608,nrES_Code,$F608,nrES_Att,1))))))</f>
        <v/>
      </c>
      <c r="N608" s="17">
        <f>IF($C608="","",IF($L608="","",IF($L608&gt;=$J608,"Yes","No")))</f>
        <v/>
      </c>
      <c r="O608" s="17">
        <f>IF($C608="","",IF($M608="","",IF($M608&gt;=$J608,"Yes","No")))</f>
        <v/>
      </c>
      <c r="P608" s="17">
        <f>IF($C608="","",IF($K608="","",IF(COUNTIFS(nrES_PID,$D608,nrES_Code,$F608,nrES_Att,"&gt;"&amp;$K608)=0,"Yes","No")))</f>
        <v/>
      </c>
      <c r="Q608" s="17">
        <f>IF($C608="","",IF($L608="","",IF(AND($K608=1,$L608&lt;$J608,COUNTIFS(nrES_PID,$D608,nrES_Code,$F608,nrES_Att,2)=0),"Yes","No")))</f>
        <v/>
      </c>
      <c r="R608" s="17">
        <f>IF($C608="","",IF($L608="","",IF(AND($K608=2,$L608&lt;$J608,COUNTIFS(nrES_PID,$D608,nrES_Code,$F608,nrES_Att,1)&gt;0),"Yes","No")))</f>
        <v/>
      </c>
      <c r="S608" s="18" t="n"/>
      <c r="T608" s="19">
        <f>IF($Q608&lt;&gt;"Yes","",IF($S608="","(enter date)",_xlfn.LET(_xlpm.dn,IFERROR(_xlfn.XLOOKUP($S608,nrCDdate,nrCDnum),""),IF(_xlpm.dn="","(not a class day)",IFERROR(_xlfn.XLOOKUP(_xlpm.dn+cfgRetestClassDays,nrCDnum,nrCDdate),"")))))</f>
        <v/>
      </c>
      <c r="U608" s="17">
        <f>IF($Q608&lt;&gt;"Yes","",IF(COUNTIFS(nrES_PID,$D608,nrES_Code,$F608,nrES_Att,2)&gt;0,"Retested",IF(OR($T608="",NOT(ISNUMBER($T608))),"Pending",IF(TODAY()&gt;$T608,"OVERDUE","Due "&amp;TEXT($T608,"mm/dd")))))</f>
        <v/>
      </c>
      <c r="V608" s="16" t="n"/>
      <c r="W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IF($C609="","",IF($L609="","",IF($K609=1,IF(COUNTIFS(nrES_PID,$D609,nrES_Code,$F609,nrES_Att,2)&gt;0,"",$L609),IF(COUNTIFS(nrES_PID,$D609,nrES_Code,$F609,nrES_Att,1)=0,$L609,IF($L609&gt;=$J609,cfgRetakeRecordedCap,SUMIFS(nrES_Raw,nrES_PID,$D609,nrES_Code,$F609,nrES_Att,1))))))</f>
        <v/>
      </c>
      <c r="N609" s="17">
        <f>IF($C609="","",IF($L609="","",IF($L609&gt;=$J609,"Yes","No")))</f>
        <v/>
      </c>
      <c r="O609" s="17">
        <f>IF($C609="","",IF($M609="","",IF($M609&gt;=$J609,"Yes","No")))</f>
        <v/>
      </c>
      <c r="P609" s="17">
        <f>IF($C609="","",IF($K609="","",IF(COUNTIFS(nrES_PID,$D609,nrES_Code,$F609,nrES_Att,"&gt;"&amp;$K609)=0,"Yes","No")))</f>
        <v/>
      </c>
      <c r="Q609" s="17">
        <f>IF($C609="","",IF($L609="","",IF(AND($K609=1,$L609&lt;$J609,COUNTIFS(nrES_PID,$D609,nrES_Code,$F609,nrES_Att,2)=0),"Yes","No")))</f>
        <v/>
      </c>
      <c r="R609" s="17">
        <f>IF($C609="","",IF($L609="","",IF(AND($K609=2,$L609&lt;$J609,COUNTIFS(nrES_PID,$D609,nrES_Code,$F609,nrES_Att,1)&gt;0),"Yes","No")))</f>
        <v/>
      </c>
      <c r="S609" s="18" t="n"/>
      <c r="T609" s="19">
        <f>IF($Q609&lt;&gt;"Yes","",IF($S609="","(enter date)",_xlfn.LET(_xlpm.dn,IFERROR(_xlfn.XLOOKUP($S609,nrCDdate,nrCDnum),""),IF(_xlpm.dn="","(not a class day)",IFERROR(_xlfn.XLOOKUP(_xlpm.dn+cfgRetestClassDays,nrCDnum,nrCDdate),"")))))</f>
        <v/>
      </c>
      <c r="U609" s="17">
        <f>IF($Q609&lt;&gt;"Yes","",IF(COUNTIFS(nrES_PID,$D609,nrES_Code,$F609,nrES_Att,2)&gt;0,"Retested",IF(OR($T609="",NOT(ISNUMBER($T609))),"Pending",IF(TODAY()&gt;$T609,"OVERDUE","Due "&amp;TEXT($T609,"mm/dd")))))</f>
        <v/>
      </c>
      <c r="V609" s="16" t="n"/>
      <c r="W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IF($C610="","",IF($L610="","",IF($K610=1,IF(COUNTIFS(nrES_PID,$D610,nrES_Code,$F610,nrES_Att,2)&gt;0,"",$L610),IF(COUNTIFS(nrES_PID,$D610,nrES_Code,$F610,nrES_Att,1)=0,$L610,IF($L610&gt;=$J610,cfgRetakeRecordedCap,SUMIFS(nrES_Raw,nrES_PID,$D610,nrES_Code,$F610,nrES_Att,1))))))</f>
        <v/>
      </c>
      <c r="N610" s="17">
        <f>IF($C610="","",IF($L610="","",IF($L610&gt;=$J610,"Yes","No")))</f>
        <v/>
      </c>
      <c r="O610" s="17">
        <f>IF($C610="","",IF($M610="","",IF($M610&gt;=$J610,"Yes","No")))</f>
        <v/>
      </c>
      <c r="P610" s="17">
        <f>IF($C610="","",IF($K610="","",IF(COUNTIFS(nrES_PID,$D610,nrES_Code,$F610,nrES_Att,"&gt;"&amp;$K610)=0,"Yes","No")))</f>
        <v/>
      </c>
      <c r="Q610" s="17">
        <f>IF($C610="","",IF($L610="","",IF(AND($K610=1,$L610&lt;$J610,COUNTIFS(nrES_PID,$D610,nrES_Code,$F610,nrES_Att,2)=0),"Yes","No")))</f>
        <v/>
      </c>
      <c r="R610" s="17">
        <f>IF($C610="","",IF($L610="","",IF(AND($K610=2,$L610&lt;$J610,COUNTIFS(nrES_PID,$D610,nrES_Code,$F610,nrES_Att,1)&gt;0),"Yes","No")))</f>
        <v/>
      </c>
      <c r="S610" s="18" t="n"/>
      <c r="T610" s="19">
        <f>IF($Q610&lt;&gt;"Yes","",IF($S610="","(enter date)",_xlfn.LET(_xlpm.dn,IFERROR(_xlfn.XLOOKUP($S610,nrCDdate,nrCDnum),""),IF(_xlpm.dn="","(not a class day)",IFERROR(_xlfn.XLOOKUP(_xlpm.dn+cfgRetestClassDays,nrCDnum,nrCDdate),"")))))</f>
        <v/>
      </c>
      <c r="U610" s="17">
        <f>IF($Q610&lt;&gt;"Yes","",IF(COUNTIFS(nrES_PID,$D610,nrES_Code,$F610,nrES_Att,2)&gt;0,"Retested",IF(OR($T610="",NOT(ISNUMBER($T610))),"Pending",IF(TODAY()&gt;$T610,"OVERDUE","Due "&amp;TEXT($T610,"mm/dd")))))</f>
        <v/>
      </c>
      <c r="V610" s="16" t="n"/>
      <c r="W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IF($C611="","",IF($L611="","",IF($K611=1,IF(COUNTIFS(nrES_PID,$D611,nrES_Code,$F611,nrES_Att,2)&gt;0,"",$L611),IF(COUNTIFS(nrES_PID,$D611,nrES_Code,$F611,nrES_Att,1)=0,$L611,IF($L611&gt;=$J611,cfgRetakeRecordedCap,SUMIFS(nrES_Raw,nrES_PID,$D611,nrES_Code,$F611,nrES_Att,1))))))</f>
        <v/>
      </c>
      <c r="N611" s="17">
        <f>IF($C611="","",IF($L611="","",IF($L611&gt;=$J611,"Yes","No")))</f>
        <v/>
      </c>
      <c r="O611" s="17">
        <f>IF($C611="","",IF($M611="","",IF($M611&gt;=$J611,"Yes","No")))</f>
        <v/>
      </c>
      <c r="P611" s="17">
        <f>IF($C611="","",IF($K611="","",IF(COUNTIFS(nrES_PID,$D611,nrES_Code,$F611,nrES_Att,"&gt;"&amp;$K611)=0,"Yes","No")))</f>
        <v/>
      </c>
      <c r="Q611" s="17">
        <f>IF($C611="","",IF($L611="","",IF(AND($K611=1,$L611&lt;$J611,COUNTIFS(nrES_PID,$D611,nrES_Code,$F611,nrES_Att,2)=0),"Yes","No")))</f>
        <v/>
      </c>
      <c r="R611" s="17">
        <f>IF($C611="","",IF($L611="","",IF(AND($K611=2,$L611&lt;$J611,COUNTIFS(nrES_PID,$D611,nrES_Code,$F611,nrES_Att,1)&gt;0),"Yes","No")))</f>
        <v/>
      </c>
      <c r="S611" s="18" t="n"/>
      <c r="T611" s="19">
        <f>IF($Q611&lt;&gt;"Yes","",IF($S611="","(enter date)",_xlfn.LET(_xlpm.dn,IFERROR(_xlfn.XLOOKUP($S611,nrCDdate,nrCDnum),""),IF(_xlpm.dn="","(not a class day)",IFERROR(_xlfn.XLOOKUP(_xlpm.dn+cfgRetestClassDays,nrCDnum,nrCDdate),"")))))</f>
        <v/>
      </c>
      <c r="U611" s="17">
        <f>IF($Q611&lt;&gt;"Yes","",IF(COUNTIFS(nrES_PID,$D611,nrES_Code,$F611,nrES_Att,2)&gt;0,"Retested",IF(OR($T611="",NOT(ISNUMBER($T611))),"Pending",IF(TODAY()&gt;$T611,"OVERDUE","Due "&amp;TEXT($T611,"mm/dd")))))</f>
        <v/>
      </c>
      <c r="V611" s="16" t="n"/>
      <c r="W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IF($C612="","",IF($L612="","",IF($K612=1,IF(COUNTIFS(nrES_PID,$D612,nrES_Code,$F612,nrES_Att,2)&gt;0,"",$L612),IF(COUNTIFS(nrES_PID,$D612,nrES_Code,$F612,nrES_Att,1)=0,$L612,IF($L612&gt;=$J612,cfgRetakeRecordedCap,SUMIFS(nrES_Raw,nrES_PID,$D612,nrES_Code,$F612,nrES_Att,1))))))</f>
        <v/>
      </c>
      <c r="N612" s="17">
        <f>IF($C612="","",IF($L612="","",IF($L612&gt;=$J612,"Yes","No")))</f>
        <v/>
      </c>
      <c r="O612" s="17">
        <f>IF($C612="","",IF($M612="","",IF($M612&gt;=$J612,"Yes","No")))</f>
        <v/>
      </c>
      <c r="P612" s="17">
        <f>IF($C612="","",IF($K612="","",IF(COUNTIFS(nrES_PID,$D612,nrES_Code,$F612,nrES_Att,"&gt;"&amp;$K612)=0,"Yes","No")))</f>
        <v/>
      </c>
      <c r="Q612" s="17">
        <f>IF($C612="","",IF($L612="","",IF(AND($K612=1,$L612&lt;$J612,COUNTIFS(nrES_PID,$D612,nrES_Code,$F612,nrES_Att,2)=0),"Yes","No")))</f>
        <v/>
      </c>
      <c r="R612" s="17">
        <f>IF($C612="","",IF($L612="","",IF(AND($K612=2,$L612&lt;$J612,COUNTIFS(nrES_PID,$D612,nrES_Code,$F612,nrES_Att,1)&gt;0),"Yes","No")))</f>
        <v/>
      </c>
      <c r="S612" s="18" t="n"/>
      <c r="T612" s="19">
        <f>IF($Q612&lt;&gt;"Yes","",IF($S612="","(enter date)",_xlfn.LET(_xlpm.dn,IFERROR(_xlfn.XLOOKUP($S612,nrCDdate,nrCDnum),""),IF(_xlpm.dn="","(not a class day)",IFERROR(_xlfn.XLOOKUP(_xlpm.dn+cfgRetestClassDays,nrCDnum,nrCDdate),"")))))</f>
        <v/>
      </c>
      <c r="U612" s="17">
        <f>IF($Q612&lt;&gt;"Yes","",IF(COUNTIFS(nrES_PID,$D612,nrES_Code,$F612,nrES_Att,2)&gt;0,"Retested",IF(OR($T612="",NOT(ISNUMBER($T612))),"Pending",IF(TODAY()&gt;$T612,"OVERDUE","Due "&amp;TEXT($T612,"mm/dd")))))</f>
        <v/>
      </c>
      <c r="V612" s="16" t="n"/>
      <c r="W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IF($C613="","",IF($L613="","",IF($K613=1,IF(COUNTIFS(nrES_PID,$D613,nrES_Code,$F613,nrES_Att,2)&gt;0,"",$L613),IF(COUNTIFS(nrES_PID,$D613,nrES_Code,$F613,nrES_Att,1)=0,$L613,IF($L613&gt;=$J613,cfgRetakeRecordedCap,SUMIFS(nrES_Raw,nrES_PID,$D613,nrES_Code,$F613,nrES_Att,1))))))</f>
        <v/>
      </c>
      <c r="N613" s="17">
        <f>IF($C613="","",IF($L613="","",IF($L613&gt;=$J613,"Yes","No")))</f>
        <v/>
      </c>
      <c r="O613" s="17">
        <f>IF($C613="","",IF($M613="","",IF($M613&gt;=$J613,"Yes","No")))</f>
        <v/>
      </c>
      <c r="P613" s="17">
        <f>IF($C613="","",IF($K613="","",IF(COUNTIFS(nrES_PID,$D613,nrES_Code,$F613,nrES_Att,"&gt;"&amp;$K613)=0,"Yes","No")))</f>
        <v/>
      </c>
      <c r="Q613" s="17">
        <f>IF($C613="","",IF($L613="","",IF(AND($K613=1,$L613&lt;$J613,COUNTIFS(nrES_PID,$D613,nrES_Code,$F613,nrES_Att,2)=0),"Yes","No")))</f>
        <v/>
      </c>
      <c r="R613" s="17">
        <f>IF($C613="","",IF($L613="","",IF(AND($K613=2,$L613&lt;$J613,COUNTIFS(nrES_PID,$D613,nrES_Code,$F613,nrES_Att,1)&gt;0),"Yes","No")))</f>
        <v/>
      </c>
      <c r="S613" s="18" t="n"/>
      <c r="T613" s="19">
        <f>IF($Q613&lt;&gt;"Yes","",IF($S613="","(enter date)",_xlfn.LET(_xlpm.dn,IFERROR(_xlfn.XLOOKUP($S613,nrCDdate,nrCDnum),""),IF(_xlpm.dn="","(not a class day)",IFERROR(_xlfn.XLOOKUP(_xlpm.dn+cfgRetestClassDays,nrCDnum,nrCDdate),"")))))</f>
        <v/>
      </c>
      <c r="U613" s="17">
        <f>IF($Q613&lt;&gt;"Yes","",IF(COUNTIFS(nrES_PID,$D613,nrES_Code,$F613,nrES_Att,2)&gt;0,"Retested",IF(OR($T613="",NOT(ISNUMBER($T613))),"Pending",IF(TODAY()&gt;$T613,"OVERDUE","Due "&amp;TEXT($T613,"mm/dd")))))</f>
        <v/>
      </c>
      <c r="V613" s="16" t="n"/>
      <c r="W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IF($C614="","",IF($L614="","",IF($K614=1,IF(COUNTIFS(nrES_PID,$D614,nrES_Code,$F614,nrES_Att,2)&gt;0,"",$L614),IF(COUNTIFS(nrES_PID,$D614,nrES_Code,$F614,nrES_Att,1)=0,$L614,IF($L614&gt;=$J614,cfgRetakeRecordedCap,SUMIFS(nrES_Raw,nrES_PID,$D614,nrES_Code,$F614,nrES_Att,1))))))</f>
        <v/>
      </c>
      <c r="N614" s="17">
        <f>IF($C614="","",IF($L614="","",IF($L614&gt;=$J614,"Yes","No")))</f>
        <v/>
      </c>
      <c r="O614" s="17">
        <f>IF($C614="","",IF($M614="","",IF($M614&gt;=$J614,"Yes","No")))</f>
        <v/>
      </c>
      <c r="P614" s="17">
        <f>IF($C614="","",IF($K614="","",IF(COUNTIFS(nrES_PID,$D614,nrES_Code,$F614,nrES_Att,"&gt;"&amp;$K614)=0,"Yes","No")))</f>
        <v/>
      </c>
      <c r="Q614" s="17">
        <f>IF($C614="","",IF($L614="","",IF(AND($K614=1,$L614&lt;$J614,COUNTIFS(nrES_PID,$D614,nrES_Code,$F614,nrES_Att,2)=0),"Yes","No")))</f>
        <v/>
      </c>
      <c r="R614" s="17">
        <f>IF($C614="","",IF($L614="","",IF(AND($K614=2,$L614&lt;$J614,COUNTIFS(nrES_PID,$D614,nrES_Code,$F614,nrES_Att,1)&gt;0),"Yes","No")))</f>
        <v/>
      </c>
      <c r="S614" s="18" t="n"/>
      <c r="T614" s="19">
        <f>IF($Q614&lt;&gt;"Yes","",IF($S614="","(enter date)",_xlfn.LET(_xlpm.dn,IFERROR(_xlfn.XLOOKUP($S614,nrCDdate,nrCDnum),""),IF(_xlpm.dn="","(not a class day)",IFERROR(_xlfn.XLOOKUP(_xlpm.dn+cfgRetestClassDays,nrCDnum,nrCDdate),"")))))</f>
        <v/>
      </c>
      <c r="U614" s="17">
        <f>IF($Q614&lt;&gt;"Yes","",IF(COUNTIFS(nrES_PID,$D614,nrES_Code,$F614,nrES_Att,2)&gt;0,"Retested",IF(OR($T614="",NOT(ISNUMBER($T614))),"Pending",IF(TODAY()&gt;$T614,"OVERDUE","Due "&amp;TEXT($T614,"mm/dd")))))</f>
        <v/>
      </c>
      <c r="V614" s="16" t="n"/>
      <c r="W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IF($C615="","",IF($L615="","",IF($K615=1,IF(COUNTIFS(nrES_PID,$D615,nrES_Code,$F615,nrES_Att,2)&gt;0,"",$L615),IF(COUNTIFS(nrES_PID,$D615,nrES_Code,$F615,nrES_Att,1)=0,$L615,IF($L615&gt;=$J615,cfgRetakeRecordedCap,SUMIFS(nrES_Raw,nrES_PID,$D615,nrES_Code,$F615,nrES_Att,1))))))</f>
        <v/>
      </c>
      <c r="N615" s="17">
        <f>IF($C615="","",IF($L615="","",IF($L615&gt;=$J615,"Yes","No")))</f>
        <v/>
      </c>
      <c r="O615" s="17">
        <f>IF($C615="","",IF($M615="","",IF($M615&gt;=$J615,"Yes","No")))</f>
        <v/>
      </c>
      <c r="P615" s="17">
        <f>IF($C615="","",IF($K615="","",IF(COUNTIFS(nrES_PID,$D615,nrES_Code,$F615,nrES_Att,"&gt;"&amp;$K615)=0,"Yes","No")))</f>
        <v/>
      </c>
      <c r="Q615" s="17">
        <f>IF($C615="","",IF($L615="","",IF(AND($K615=1,$L615&lt;$J615,COUNTIFS(nrES_PID,$D615,nrES_Code,$F615,nrES_Att,2)=0),"Yes","No")))</f>
        <v/>
      </c>
      <c r="R615" s="17">
        <f>IF($C615="","",IF($L615="","",IF(AND($K615=2,$L615&lt;$J615,COUNTIFS(nrES_PID,$D615,nrES_Code,$F615,nrES_Att,1)&gt;0),"Yes","No")))</f>
        <v/>
      </c>
      <c r="S615" s="18" t="n"/>
      <c r="T615" s="19">
        <f>IF($Q615&lt;&gt;"Yes","",IF($S615="","(enter date)",_xlfn.LET(_xlpm.dn,IFERROR(_xlfn.XLOOKUP($S615,nrCDdate,nrCDnum),""),IF(_xlpm.dn="","(not a class day)",IFERROR(_xlfn.XLOOKUP(_xlpm.dn+cfgRetestClassDays,nrCDnum,nrCDdate),"")))))</f>
        <v/>
      </c>
      <c r="U615" s="17">
        <f>IF($Q615&lt;&gt;"Yes","",IF(COUNTIFS(nrES_PID,$D615,nrES_Code,$F615,nrES_Att,2)&gt;0,"Retested",IF(OR($T615="",NOT(ISNUMBER($T615))),"Pending",IF(TODAY()&gt;$T615,"OVERDUE","Due "&amp;TEXT($T615,"mm/dd")))))</f>
        <v/>
      </c>
      <c r="V615" s="16" t="n"/>
      <c r="W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IF($C616="","",IF($L616="","",IF($K616=1,IF(COUNTIFS(nrES_PID,$D616,nrES_Code,$F616,nrES_Att,2)&gt;0,"",$L616),IF(COUNTIFS(nrES_PID,$D616,nrES_Code,$F616,nrES_Att,1)=0,$L616,IF($L616&gt;=$J616,cfgRetakeRecordedCap,SUMIFS(nrES_Raw,nrES_PID,$D616,nrES_Code,$F616,nrES_Att,1))))))</f>
        <v/>
      </c>
      <c r="N616" s="17">
        <f>IF($C616="","",IF($L616="","",IF($L616&gt;=$J616,"Yes","No")))</f>
        <v/>
      </c>
      <c r="O616" s="17">
        <f>IF($C616="","",IF($M616="","",IF($M616&gt;=$J616,"Yes","No")))</f>
        <v/>
      </c>
      <c r="P616" s="17">
        <f>IF($C616="","",IF($K616="","",IF(COUNTIFS(nrES_PID,$D616,nrES_Code,$F616,nrES_Att,"&gt;"&amp;$K616)=0,"Yes","No")))</f>
        <v/>
      </c>
      <c r="Q616" s="17">
        <f>IF($C616="","",IF($L616="","",IF(AND($K616=1,$L616&lt;$J616,COUNTIFS(nrES_PID,$D616,nrES_Code,$F616,nrES_Att,2)=0),"Yes","No")))</f>
        <v/>
      </c>
      <c r="R616" s="17">
        <f>IF($C616="","",IF($L616="","",IF(AND($K616=2,$L616&lt;$J616,COUNTIFS(nrES_PID,$D616,nrES_Code,$F616,nrES_Att,1)&gt;0),"Yes","No")))</f>
        <v/>
      </c>
      <c r="S616" s="18" t="n"/>
      <c r="T616" s="19">
        <f>IF($Q616&lt;&gt;"Yes","",IF($S616="","(enter date)",_xlfn.LET(_xlpm.dn,IFERROR(_xlfn.XLOOKUP($S616,nrCDdate,nrCDnum),""),IF(_xlpm.dn="","(not a class day)",IFERROR(_xlfn.XLOOKUP(_xlpm.dn+cfgRetestClassDays,nrCDnum,nrCDdate),"")))))</f>
        <v/>
      </c>
      <c r="U616" s="17">
        <f>IF($Q616&lt;&gt;"Yes","",IF(COUNTIFS(nrES_PID,$D616,nrES_Code,$F616,nrES_Att,2)&gt;0,"Retested",IF(OR($T616="",NOT(ISNUMBER($T616))),"Pending",IF(TODAY()&gt;$T616,"OVERDUE","Due "&amp;TEXT($T616,"mm/dd")))))</f>
        <v/>
      </c>
      <c r="V616" s="16" t="n"/>
      <c r="W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IF($C617="","",IF($L617="","",IF($K617=1,IF(COUNTIFS(nrES_PID,$D617,nrES_Code,$F617,nrES_Att,2)&gt;0,"",$L617),IF(COUNTIFS(nrES_PID,$D617,nrES_Code,$F617,nrES_Att,1)=0,$L617,IF($L617&gt;=$J617,cfgRetakeRecordedCap,SUMIFS(nrES_Raw,nrES_PID,$D617,nrES_Code,$F617,nrES_Att,1))))))</f>
        <v/>
      </c>
      <c r="N617" s="17">
        <f>IF($C617="","",IF($L617="","",IF($L617&gt;=$J617,"Yes","No")))</f>
        <v/>
      </c>
      <c r="O617" s="17">
        <f>IF($C617="","",IF($M617="","",IF($M617&gt;=$J617,"Yes","No")))</f>
        <v/>
      </c>
      <c r="P617" s="17">
        <f>IF($C617="","",IF($K617="","",IF(COUNTIFS(nrES_PID,$D617,nrES_Code,$F617,nrES_Att,"&gt;"&amp;$K617)=0,"Yes","No")))</f>
        <v/>
      </c>
      <c r="Q617" s="17">
        <f>IF($C617="","",IF($L617="","",IF(AND($K617=1,$L617&lt;$J617,COUNTIFS(nrES_PID,$D617,nrES_Code,$F617,nrES_Att,2)=0),"Yes","No")))</f>
        <v/>
      </c>
      <c r="R617" s="17">
        <f>IF($C617="","",IF($L617="","",IF(AND($K617=2,$L617&lt;$J617,COUNTIFS(nrES_PID,$D617,nrES_Code,$F617,nrES_Att,1)&gt;0),"Yes","No")))</f>
        <v/>
      </c>
      <c r="S617" s="18" t="n"/>
      <c r="T617" s="19">
        <f>IF($Q617&lt;&gt;"Yes","",IF($S617="","(enter date)",_xlfn.LET(_xlpm.dn,IFERROR(_xlfn.XLOOKUP($S617,nrCDdate,nrCDnum),""),IF(_xlpm.dn="","(not a class day)",IFERROR(_xlfn.XLOOKUP(_xlpm.dn+cfgRetestClassDays,nrCDnum,nrCDdate),"")))))</f>
        <v/>
      </c>
      <c r="U617" s="17">
        <f>IF($Q617&lt;&gt;"Yes","",IF(COUNTIFS(nrES_PID,$D617,nrES_Code,$F617,nrES_Att,2)&gt;0,"Retested",IF(OR($T617="",NOT(ISNUMBER($T617))),"Pending",IF(TODAY()&gt;$T617,"OVERDUE","Due "&amp;TEXT($T617,"mm/dd")))))</f>
        <v/>
      </c>
      <c r="V617" s="16" t="n"/>
      <c r="W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IF($C618="","",IF($L618="","",IF($K618=1,IF(COUNTIFS(nrES_PID,$D618,nrES_Code,$F618,nrES_Att,2)&gt;0,"",$L618),IF(COUNTIFS(nrES_PID,$D618,nrES_Code,$F618,nrES_Att,1)=0,$L618,IF($L618&gt;=$J618,cfgRetakeRecordedCap,SUMIFS(nrES_Raw,nrES_PID,$D618,nrES_Code,$F618,nrES_Att,1))))))</f>
        <v/>
      </c>
      <c r="N618" s="17">
        <f>IF($C618="","",IF($L618="","",IF($L618&gt;=$J618,"Yes","No")))</f>
        <v/>
      </c>
      <c r="O618" s="17">
        <f>IF($C618="","",IF($M618="","",IF($M618&gt;=$J618,"Yes","No")))</f>
        <v/>
      </c>
      <c r="P618" s="17">
        <f>IF($C618="","",IF($K618="","",IF(COUNTIFS(nrES_PID,$D618,nrES_Code,$F618,nrES_Att,"&gt;"&amp;$K618)=0,"Yes","No")))</f>
        <v/>
      </c>
      <c r="Q618" s="17">
        <f>IF($C618="","",IF($L618="","",IF(AND($K618=1,$L618&lt;$J618,COUNTIFS(nrES_PID,$D618,nrES_Code,$F618,nrES_Att,2)=0),"Yes","No")))</f>
        <v/>
      </c>
      <c r="R618" s="17">
        <f>IF($C618="","",IF($L618="","",IF(AND($K618=2,$L618&lt;$J618,COUNTIFS(nrES_PID,$D618,nrES_Code,$F618,nrES_Att,1)&gt;0),"Yes","No")))</f>
        <v/>
      </c>
      <c r="S618" s="18" t="n"/>
      <c r="T618" s="19">
        <f>IF($Q618&lt;&gt;"Yes","",IF($S618="","(enter date)",_xlfn.LET(_xlpm.dn,IFERROR(_xlfn.XLOOKUP($S618,nrCDdate,nrCDnum),""),IF(_xlpm.dn="","(not a class day)",IFERROR(_xlfn.XLOOKUP(_xlpm.dn+cfgRetestClassDays,nrCDnum,nrCDdate),"")))))</f>
        <v/>
      </c>
      <c r="U618" s="17">
        <f>IF($Q618&lt;&gt;"Yes","",IF(COUNTIFS(nrES_PID,$D618,nrES_Code,$F618,nrES_Att,2)&gt;0,"Retested",IF(OR($T618="",NOT(ISNUMBER($T618))),"Pending",IF(TODAY()&gt;$T618,"OVERDUE","Due "&amp;TEXT($T618,"mm/dd")))))</f>
        <v/>
      </c>
      <c r="V618" s="16" t="n"/>
      <c r="W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IF($C619="","",IF($L619="","",IF($K619=1,IF(COUNTIFS(nrES_PID,$D619,nrES_Code,$F619,nrES_Att,2)&gt;0,"",$L619),IF(COUNTIFS(nrES_PID,$D619,nrES_Code,$F619,nrES_Att,1)=0,$L619,IF($L619&gt;=$J619,cfgRetakeRecordedCap,SUMIFS(nrES_Raw,nrES_PID,$D619,nrES_Code,$F619,nrES_Att,1))))))</f>
        <v/>
      </c>
      <c r="N619" s="17">
        <f>IF($C619="","",IF($L619="","",IF($L619&gt;=$J619,"Yes","No")))</f>
        <v/>
      </c>
      <c r="O619" s="17">
        <f>IF($C619="","",IF($M619="","",IF($M619&gt;=$J619,"Yes","No")))</f>
        <v/>
      </c>
      <c r="P619" s="17">
        <f>IF($C619="","",IF($K619="","",IF(COUNTIFS(nrES_PID,$D619,nrES_Code,$F619,nrES_Att,"&gt;"&amp;$K619)=0,"Yes","No")))</f>
        <v/>
      </c>
      <c r="Q619" s="17">
        <f>IF($C619="","",IF($L619="","",IF(AND($K619=1,$L619&lt;$J619,COUNTIFS(nrES_PID,$D619,nrES_Code,$F619,nrES_Att,2)=0),"Yes","No")))</f>
        <v/>
      </c>
      <c r="R619" s="17">
        <f>IF($C619="","",IF($L619="","",IF(AND($K619=2,$L619&lt;$J619,COUNTIFS(nrES_PID,$D619,nrES_Code,$F619,nrES_Att,1)&gt;0),"Yes","No")))</f>
        <v/>
      </c>
      <c r="S619" s="18" t="n"/>
      <c r="T619" s="19">
        <f>IF($Q619&lt;&gt;"Yes","",IF($S619="","(enter date)",_xlfn.LET(_xlpm.dn,IFERROR(_xlfn.XLOOKUP($S619,nrCDdate,nrCDnum),""),IF(_xlpm.dn="","(not a class day)",IFERROR(_xlfn.XLOOKUP(_xlpm.dn+cfgRetestClassDays,nrCDnum,nrCDdate),"")))))</f>
        <v/>
      </c>
      <c r="U619" s="17">
        <f>IF($Q619&lt;&gt;"Yes","",IF(COUNTIFS(nrES_PID,$D619,nrES_Code,$F619,nrES_Att,2)&gt;0,"Retested",IF(OR($T619="",NOT(ISNUMBER($T619))),"Pending",IF(TODAY()&gt;$T619,"OVERDUE","Due "&amp;TEXT($T619,"mm/dd")))))</f>
        <v/>
      </c>
      <c r="V619" s="16" t="n"/>
      <c r="W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IF($C620="","",IF($L620="","",IF($K620=1,IF(COUNTIFS(nrES_PID,$D620,nrES_Code,$F620,nrES_Att,2)&gt;0,"",$L620),IF(COUNTIFS(nrES_PID,$D620,nrES_Code,$F620,nrES_Att,1)=0,$L620,IF($L620&gt;=$J620,cfgRetakeRecordedCap,SUMIFS(nrES_Raw,nrES_PID,$D620,nrES_Code,$F620,nrES_Att,1))))))</f>
        <v/>
      </c>
      <c r="N620" s="17">
        <f>IF($C620="","",IF($L620="","",IF($L620&gt;=$J620,"Yes","No")))</f>
        <v/>
      </c>
      <c r="O620" s="17">
        <f>IF($C620="","",IF($M620="","",IF($M620&gt;=$J620,"Yes","No")))</f>
        <v/>
      </c>
      <c r="P620" s="17">
        <f>IF($C620="","",IF($K620="","",IF(COUNTIFS(nrES_PID,$D620,nrES_Code,$F620,nrES_Att,"&gt;"&amp;$K620)=0,"Yes","No")))</f>
        <v/>
      </c>
      <c r="Q620" s="17">
        <f>IF($C620="","",IF($L620="","",IF(AND($K620=1,$L620&lt;$J620,COUNTIFS(nrES_PID,$D620,nrES_Code,$F620,nrES_Att,2)=0),"Yes","No")))</f>
        <v/>
      </c>
      <c r="R620" s="17">
        <f>IF($C620="","",IF($L620="","",IF(AND($K620=2,$L620&lt;$J620,COUNTIFS(nrES_PID,$D620,nrES_Code,$F620,nrES_Att,1)&gt;0),"Yes","No")))</f>
        <v/>
      </c>
      <c r="S620" s="18" t="n"/>
      <c r="T620" s="19">
        <f>IF($Q620&lt;&gt;"Yes","",IF($S620="","(enter date)",_xlfn.LET(_xlpm.dn,IFERROR(_xlfn.XLOOKUP($S620,nrCDdate,nrCDnum),""),IF(_xlpm.dn="","(not a class day)",IFERROR(_xlfn.XLOOKUP(_xlpm.dn+cfgRetestClassDays,nrCDnum,nrCDdate),"")))))</f>
        <v/>
      </c>
      <c r="U620" s="17">
        <f>IF($Q620&lt;&gt;"Yes","",IF(COUNTIFS(nrES_PID,$D620,nrES_Code,$F620,nrES_Att,2)&gt;0,"Retested",IF(OR($T620="",NOT(ISNUMBER($T620))),"Pending",IF(TODAY()&gt;$T620,"OVERDUE","Due "&amp;TEXT($T620,"mm/dd")))))</f>
        <v/>
      </c>
      <c r="V620" s="16" t="n"/>
      <c r="W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IF($C621="","",IF($L621="","",IF($K621=1,IF(COUNTIFS(nrES_PID,$D621,nrES_Code,$F621,nrES_Att,2)&gt;0,"",$L621),IF(COUNTIFS(nrES_PID,$D621,nrES_Code,$F621,nrES_Att,1)=0,$L621,IF($L621&gt;=$J621,cfgRetakeRecordedCap,SUMIFS(nrES_Raw,nrES_PID,$D621,nrES_Code,$F621,nrES_Att,1))))))</f>
        <v/>
      </c>
      <c r="N621" s="17">
        <f>IF($C621="","",IF($L621="","",IF($L621&gt;=$J621,"Yes","No")))</f>
        <v/>
      </c>
      <c r="O621" s="17">
        <f>IF($C621="","",IF($M621="","",IF($M621&gt;=$J621,"Yes","No")))</f>
        <v/>
      </c>
      <c r="P621" s="17">
        <f>IF($C621="","",IF($K621="","",IF(COUNTIFS(nrES_PID,$D621,nrES_Code,$F621,nrES_Att,"&gt;"&amp;$K621)=0,"Yes","No")))</f>
        <v/>
      </c>
      <c r="Q621" s="17">
        <f>IF($C621="","",IF($L621="","",IF(AND($K621=1,$L621&lt;$J621,COUNTIFS(nrES_PID,$D621,nrES_Code,$F621,nrES_Att,2)=0),"Yes","No")))</f>
        <v/>
      </c>
      <c r="R621" s="17">
        <f>IF($C621="","",IF($L621="","",IF(AND($K621=2,$L621&lt;$J621,COUNTIFS(nrES_PID,$D621,nrES_Code,$F621,nrES_Att,1)&gt;0),"Yes","No")))</f>
        <v/>
      </c>
      <c r="S621" s="18" t="n"/>
      <c r="T621" s="19">
        <f>IF($Q621&lt;&gt;"Yes","",IF($S621="","(enter date)",_xlfn.LET(_xlpm.dn,IFERROR(_xlfn.XLOOKUP($S621,nrCDdate,nrCDnum),""),IF(_xlpm.dn="","(not a class day)",IFERROR(_xlfn.XLOOKUP(_xlpm.dn+cfgRetestClassDays,nrCDnum,nrCDdate),"")))))</f>
        <v/>
      </c>
      <c r="U621" s="17">
        <f>IF($Q621&lt;&gt;"Yes","",IF(COUNTIFS(nrES_PID,$D621,nrES_Code,$F621,nrES_Att,2)&gt;0,"Retested",IF(OR($T621="",NOT(ISNUMBER($T621))),"Pending",IF(TODAY()&gt;$T621,"OVERDUE","Due "&amp;TEXT($T621,"mm/dd")))))</f>
        <v/>
      </c>
      <c r="V621" s="16" t="n"/>
      <c r="W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IF($C622="","",IF($L622="","",IF($K622=1,IF(COUNTIFS(nrES_PID,$D622,nrES_Code,$F622,nrES_Att,2)&gt;0,"",$L622),IF(COUNTIFS(nrES_PID,$D622,nrES_Code,$F622,nrES_Att,1)=0,$L622,IF($L622&gt;=$J622,cfgRetakeRecordedCap,SUMIFS(nrES_Raw,nrES_PID,$D622,nrES_Code,$F622,nrES_Att,1))))))</f>
        <v/>
      </c>
      <c r="N622" s="17">
        <f>IF($C622="","",IF($L622="","",IF($L622&gt;=$J622,"Yes","No")))</f>
        <v/>
      </c>
      <c r="O622" s="17">
        <f>IF($C622="","",IF($M622="","",IF($M622&gt;=$J622,"Yes","No")))</f>
        <v/>
      </c>
      <c r="P622" s="17">
        <f>IF($C622="","",IF($K622="","",IF(COUNTIFS(nrES_PID,$D622,nrES_Code,$F622,nrES_Att,"&gt;"&amp;$K622)=0,"Yes","No")))</f>
        <v/>
      </c>
      <c r="Q622" s="17">
        <f>IF($C622="","",IF($L622="","",IF(AND($K622=1,$L622&lt;$J622,COUNTIFS(nrES_PID,$D622,nrES_Code,$F622,nrES_Att,2)=0),"Yes","No")))</f>
        <v/>
      </c>
      <c r="R622" s="17">
        <f>IF($C622="","",IF($L622="","",IF(AND($K622=2,$L622&lt;$J622,COUNTIFS(nrES_PID,$D622,nrES_Code,$F622,nrES_Att,1)&gt;0),"Yes","No")))</f>
        <v/>
      </c>
      <c r="S622" s="18" t="n"/>
      <c r="T622" s="19">
        <f>IF($Q622&lt;&gt;"Yes","",IF($S622="","(enter date)",_xlfn.LET(_xlpm.dn,IFERROR(_xlfn.XLOOKUP($S622,nrCDdate,nrCDnum),""),IF(_xlpm.dn="","(not a class day)",IFERROR(_xlfn.XLOOKUP(_xlpm.dn+cfgRetestClassDays,nrCDnum,nrCDdate),"")))))</f>
        <v/>
      </c>
      <c r="U622" s="17">
        <f>IF($Q622&lt;&gt;"Yes","",IF(COUNTIFS(nrES_PID,$D622,nrES_Code,$F622,nrES_Att,2)&gt;0,"Retested",IF(OR($T622="",NOT(ISNUMBER($T622))),"Pending",IF(TODAY()&gt;$T622,"OVERDUE","Due "&amp;TEXT($T622,"mm/dd")))))</f>
        <v/>
      </c>
      <c r="V622" s="16" t="n"/>
      <c r="W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IF($C623="","",IF($L623="","",IF($K623=1,IF(COUNTIFS(nrES_PID,$D623,nrES_Code,$F623,nrES_Att,2)&gt;0,"",$L623),IF(COUNTIFS(nrES_PID,$D623,nrES_Code,$F623,nrES_Att,1)=0,$L623,IF($L623&gt;=$J623,cfgRetakeRecordedCap,SUMIFS(nrES_Raw,nrES_PID,$D623,nrES_Code,$F623,nrES_Att,1))))))</f>
        <v/>
      </c>
      <c r="N623" s="17">
        <f>IF($C623="","",IF($L623="","",IF($L623&gt;=$J623,"Yes","No")))</f>
        <v/>
      </c>
      <c r="O623" s="17">
        <f>IF($C623="","",IF($M623="","",IF($M623&gt;=$J623,"Yes","No")))</f>
        <v/>
      </c>
      <c r="P623" s="17">
        <f>IF($C623="","",IF($K623="","",IF(COUNTIFS(nrES_PID,$D623,nrES_Code,$F623,nrES_Att,"&gt;"&amp;$K623)=0,"Yes","No")))</f>
        <v/>
      </c>
      <c r="Q623" s="17">
        <f>IF($C623="","",IF($L623="","",IF(AND($K623=1,$L623&lt;$J623,COUNTIFS(nrES_PID,$D623,nrES_Code,$F623,nrES_Att,2)=0),"Yes","No")))</f>
        <v/>
      </c>
      <c r="R623" s="17">
        <f>IF($C623="","",IF($L623="","",IF(AND($K623=2,$L623&lt;$J623,COUNTIFS(nrES_PID,$D623,nrES_Code,$F623,nrES_Att,1)&gt;0),"Yes","No")))</f>
        <v/>
      </c>
      <c r="S623" s="18" t="n"/>
      <c r="T623" s="19">
        <f>IF($Q623&lt;&gt;"Yes","",IF($S623="","(enter date)",_xlfn.LET(_xlpm.dn,IFERROR(_xlfn.XLOOKUP($S623,nrCDdate,nrCDnum),""),IF(_xlpm.dn="","(not a class day)",IFERROR(_xlfn.XLOOKUP(_xlpm.dn+cfgRetestClassDays,nrCDnum,nrCDdate),"")))))</f>
        <v/>
      </c>
      <c r="U623" s="17">
        <f>IF($Q623&lt;&gt;"Yes","",IF(COUNTIFS(nrES_PID,$D623,nrES_Code,$F623,nrES_Att,2)&gt;0,"Retested",IF(OR($T623="",NOT(ISNUMBER($T623))),"Pending",IF(TODAY()&gt;$T623,"OVERDUE","Due "&amp;TEXT($T623,"mm/dd")))))</f>
        <v/>
      </c>
      <c r="V623" s="16" t="n"/>
      <c r="W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IF($C624="","",IF($L624="","",IF($K624=1,IF(COUNTIFS(nrES_PID,$D624,nrES_Code,$F624,nrES_Att,2)&gt;0,"",$L624),IF(COUNTIFS(nrES_PID,$D624,nrES_Code,$F624,nrES_Att,1)=0,$L624,IF($L624&gt;=$J624,cfgRetakeRecordedCap,SUMIFS(nrES_Raw,nrES_PID,$D624,nrES_Code,$F624,nrES_Att,1))))))</f>
        <v/>
      </c>
      <c r="N624" s="17">
        <f>IF($C624="","",IF($L624="","",IF($L624&gt;=$J624,"Yes","No")))</f>
        <v/>
      </c>
      <c r="O624" s="17">
        <f>IF($C624="","",IF($M624="","",IF($M624&gt;=$J624,"Yes","No")))</f>
        <v/>
      </c>
      <c r="P624" s="17">
        <f>IF($C624="","",IF($K624="","",IF(COUNTIFS(nrES_PID,$D624,nrES_Code,$F624,nrES_Att,"&gt;"&amp;$K624)=0,"Yes","No")))</f>
        <v/>
      </c>
      <c r="Q624" s="17">
        <f>IF($C624="","",IF($L624="","",IF(AND($K624=1,$L624&lt;$J624,COUNTIFS(nrES_PID,$D624,nrES_Code,$F624,nrES_Att,2)=0),"Yes","No")))</f>
        <v/>
      </c>
      <c r="R624" s="17">
        <f>IF($C624="","",IF($L624="","",IF(AND($K624=2,$L624&lt;$J624,COUNTIFS(nrES_PID,$D624,nrES_Code,$F624,nrES_Att,1)&gt;0),"Yes","No")))</f>
        <v/>
      </c>
      <c r="S624" s="18" t="n"/>
      <c r="T624" s="19">
        <f>IF($Q624&lt;&gt;"Yes","",IF($S624="","(enter date)",_xlfn.LET(_xlpm.dn,IFERROR(_xlfn.XLOOKUP($S624,nrCDdate,nrCDnum),""),IF(_xlpm.dn="","(not a class day)",IFERROR(_xlfn.XLOOKUP(_xlpm.dn+cfgRetestClassDays,nrCDnum,nrCDdate),"")))))</f>
        <v/>
      </c>
      <c r="U624" s="17">
        <f>IF($Q624&lt;&gt;"Yes","",IF(COUNTIFS(nrES_PID,$D624,nrES_Code,$F624,nrES_Att,2)&gt;0,"Retested",IF(OR($T624="",NOT(ISNUMBER($T624))),"Pending",IF(TODAY()&gt;$T624,"OVERDUE","Due "&amp;TEXT($T624,"mm/dd")))))</f>
        <v/>
      </c>
      <c r="V624" s="16" t="n"/>
      <c r="W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IF($C625="","",IF($L625="","",IF($K625=1,IF(COUNTIFS(nrES_PID,$D625,nrES_Code,$F625,nrES_Att,2)&gt;0,"",$L625),IF(COUNTIFS(nrES_PID,$D625,nrES_Code,$F625,nrES_Att,1)=0,$L625,IF($L625&gt;=$J625,cfgRetakeRecordedCap,SUMIFS(nrES_Raw,nrES_PID,$D625,nrES_Code,$F625,nrES_Att,1))))))</f>
        <v/>
      </c>
      <c r="N625" s="17">
        <f>IF($C625="","",IF($L625="","",IF($L625&gt;=$J625,"Yes","No")))</f>
        <v/>
      </c>
      <c r="O625" s="17">
        <f>IF($C625="","",IF($M625="","",IF($M625&gt;=$J625,"Yes","No")))</f>
        <v/>
      </c>
      <c r="P625" s="17">
        <f>IF($C625="","",IF($K625="","",IF(COUNTIFS(nrES_PID,$D625,nrES_Code,$F625,nrES_Att,"&gt;"&amp;$K625)=0,"Yes","No")))</f>
        <v/>
      </c>
      <c r="Q625" s="17">
        <f>IF($C625="","",IF($L625="","",IF(AND($K625=1,$L625&lt;$J625,COUNTIFS(nrES_PID,$D625,nrES_Code,$F625,nrES_Att,2)=0),"Yes","No")))</f>
        <v/>
      </c>
      <c r="R625" s="17">
        <f>IF($C625="","",IF($L625="","",IF(AND($K625=2,$L625&lt;$J625,COUNTIFS(nrES_PID,$D625,nrES_Code,$F625,nrES_Att,1)&gt;0),"Yes","No")))</f>
        <v/>
      </c>
      <c r="S625" s="18" t="n"/>
      <c r="T625" s="19">
        <f>IF($Q625&lt;&gt;"Yes","",IF($S625="","(enter date)",_xlfn.LET(_xlpm.dn,IFERROR(_xlfn.XLOOKUP($S625,nrCDdate,nrCDnum),""),IF(_xlpm.dn="","(not a class day)",IFERROR(_xlfn.XLOOKUP(_xlpm.dn+cfgRetestClassDays,nrCDnum,nrCDdate),"")))))</f>
        <v/>
      </c>
      <c r="U625" s="17">
        <f>IF($Q625&lt;&gt;"Yes","",IF(COUNTIFS(nrES_PID,$D625,nrES_Code,$F625,nrES_Att,2)&gt;0,"Retested",IF(OR($T625="",NOT(ISNUMBER($T625))),"Pending",IF(TODAY()&gt;$T625,"OVERDUE","Due "&amp;TEXT($T625,"mm/dd")))))</f>
        <v/>
      </c>
      <c r="V625" s="16" t="n"/>
      <c r="W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IF($C626="","",IF($L626="","",IF($K626=1,IF(COUNTIFS(nrES_PID,$D626,nrES_Code,$F626,nrES_Att,2)&gt;0,"",$L626),IF(COUNTIFS(nrES_PID,$D626,nrES_Code,$F626,nrES_Att,1)=0,$L626,IF($L626&gt;=$J626,cfgRetakeRecordedCap,SUMIFS(nrES_Raw,nrES_PID,$D626,nrES_Code,$F626,nrES_Att,1))))))</f>
        <v/>
      </c>
      <c r="N626" s="17">
        <f>IF($C626="","",IF($L626="","",IF($L626&gt;=$J626,"Yes","No")))</f>
        <v/>
      </c>
      <c r="O626" s="17">
        <f>IF($C626="","",IF($M626="","",IF($M626&gt;=$J626,"Yes","No")))</f>
        <v/>
      </c>
      <c r="P626" s="17">
        <f>IF($C626="","",IF($K626="","",IF(COUNTIFS(nrES_PID,$D626,nrES_Code,$F626,nrES_Att,"&gt;"&amp;$K626)=0,"Yes","No")))</f>
        <v/>
      </c>
      <c r="Q626" s="17">
        <f>IF($C626="","",IF($L626="","",IF(AND($K626=1,$L626&lt;$J626,COUNTIFS(nrES_PID,$D626,nrES_Code,$F626,nrES_Att,2)=0),"Yes","No")))</f>
        <v/>
      </c>
      <c r="R626" s="17">
        <f>IF($C626="","",IF($L626="","",IF(AND($K626=2,$L626&lt;$J626,COUNTIFS(nrES_PID,$D626,nrES_Code,$F626,nrES_Att,1)&gt;0),"Yes","No")))</f>
        <v/>
      </c>
      <c r="S626" s="18" t="n"/>
      <c r="T626" s="19">
        <f>IF($Q626&lt;&gt;"Yes","",IF($S626="","(enter date)",_xlfn.LET(_xlpm.dn,IFERROR(_xlfn.XLOOKUP($S626,nrCDdate,nrCDnum),""),IF(_xlpm.dn="","(not a class day)",IFERROR(_xlfn.XLOOKUP(_xlpm.dn+cfgRetestClassDays,nrCDnum,nrCDdate),"")))))</f>
        <v/>
      </c>
      <c r="U626" s="17">
        <f>IF($Q626&lt;&gt;"Yes","",IF(COUNTIFS(nrES_PID,$D626,nrES_Code,$F626,nrES_Att,2)&gt;0,"Retested",IF(OR($T626="",NOT(ISNUMBER($T626))),"Pending",IF(TODAY()&gt;$T626,"OVERDUE","Due "&amp;TEXT($T626,"mm/dd")))))</f>
        <v/>
      </c>
      <c r="V626" s="16" t="n"/>
      <c r="W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IF($C627="","",IF($L627="","",IF($K627=1,IF(COUNTIFS(nrES_PID,$D627,nrES_Code,$F627,nrES_Att,2)&gt;0,"",$L627),IF(COUNTIFS(nrES_PID,$D627,nrES_Code,$F627,nrES_Att,1)=0,$L627,IF($L627&gt;=$J627,cfgRetakeRecordedCap,SUMIFS(nrES_Raw,nrES_PID,$D627,nrES_Code,$F627,nrES_Att,1))))))</f>
        <v/>
      </c>
      <c r="N627" s="17">
        <f>IF($C627="","",IF($L627="","",IF($L627&gt;=$J627,"Yes","No")))</f>
        <v/>
      </c>
      <c r="O627" s="17">
        <f>IF($C627="","",IF($M627="","",IF($M627&gt;=$J627,"Yes","No")))</f>
        <v/>
      </c>
      <c r="P627" s="17">
        <f>IF($C627="","",IF($K627="","",IF(COUNTIFS(nrES_PID,$D627,nrES_Code,$F627,nrES_Att,"&gt;"&amp;$K627)=0,"Yes","No")))</f>
        <v/>
      </c>
      <c r="Q627" s="17">
        <f>IF($C627="","",IF($L627="","",IF(AND($K627=1,$L627&lt;$J627,COUNTIFS(nrES_PID,$D627,nrES_Code,$F627,nrES_Att,2)=0),"Yes","No")))</f>
        <v/>
      </c>
      <c r="R627" s="17">
        <f>IF($C627="","",IF($L627="","",IF(AND($K627=2,$L627&lt;$J627,COUNTIFS(nrES_PID,$D627,nrES_Code,$F627,nrES_Att,1)&gt;0),"Yes","No")))</f>
        <v/>
      </c>
      <c r="S627" s="18" t="n"/>
      <c r="T627" s="19">
        <f>IF($Q627&lt;&gt;"Yes","",IF($S627="","(enter date)",_xlfn.LET(_xlpm.dn,IFERROR(_xlfn.XLOOKUP($S627,nrCDdate,nrCDnum),""),IF(_xlpm.dn="","(not a class day)",IFERROR(_xlfn.XLOOKUP(_xlpm.dn+cfgRetestClassDays,nrCDnum,nrCDdate),"")))))</f>
        <v/>
      </c>
      <c r="U627" s="17">
        <f>IF($Q627&lt;&gt;"Yes","",IF(COUNTIFS(nrES_PID,$D627,nrES_Code,$F627,nrES_Att,2)&gt;0,"Retested",IF(OR($T627="",NOT(ISNUMBER($T627))),"Pending",IF(TODAY()&gt;$T627,"OVERDUE","Due "&amp;TEXT($T627,"mm/dd")))))</f>
        <v/>
      </c>
      <c r="V627" s="16" t="n"/>
      <c r="W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IF($C628="","",IF($L628="","",IF($K628=1,IF(COUNTIFS(nrES_PID,$D628,nrES_Code,$F628,nrES_Att,2)&gt;0,"",$L628),IF(COUNTIFS(nrES_PID,$D628,nrES_Code,$F628,nrES_Att,1)=0,$L628,IF($L628&gt;=$J628,cfgRetakeRecordedCap,SUMIFS(nrES_Raw,nrES_PID,$D628,nrES_Code,$F628,nrES_Att,1))))))</f>
        <v/>
      </c>
      <c r="N628" s="17">
        <f>IF($C628="","",IF($L628="","",IF($L628&gt;=$J628,"Yes","No")))</f>
        <v/>
      </c>
      <c r="O628" s="17">
        <f>IF($C628="","",IF($M628="","",IF($M628&gt;=$J628,"Yes","No")))</f>
        <v/>
      </c>
      <c r="P628" s="17">
        <f>IF($C628="","",IF($K628="","",IF(COUNTIFS(nrES_PID,$D628,nrES_Code,$F628,nrES_Att,"&gt;"&amp;$K628)=0,"Yes","No")))</f>
        <v/>
      </c>
      <c r="Q628" s="17">
        <f>IF($C628="","",IF($L628="","",IF(AND($K628=1,$L628&lt;$J628,COUNTIFS(nrES_PID,$D628,nrES_Code,$F628,nrES_Att,2)=0),"Yes","No")))</f>
        <v/>
      </c>
      <c r="R628" s="17">
        <f>IF($C628="","",IF($L628="","",IF(AND($K628=2,$L628&lt;$J628,COUNTIFS(nrES_PID,$D628,nrES_Code,$F628,nrES_Att,1)&gt;0),"Yes","No")))</f>
        <v/>
      </c>
      <c r="S628" s="18" t="n"/>
      <c r="T628" s="19">
        <f>IF($Q628&lt;&gt;"Yes","",IF($S628="","(enter date)",_xlfn.LET(_xlpm.dn,IFERROR(_xlfn.XLOOKUP($S628,nrCDdate,nrCDnum),""),IF(_xlpm.dn="","(not a class day)",IFERROR(_xlfn.XLOOKUP(_xlpm.dn+cfgRetestClassDays,nrCDnum,nrCDdate),"")))))</f>
        <v/>
      </c>
      <c r="U628" s="17">
        <f>IF($Q628&lt;&gt;"Yes","",IF(COUNTIFS(nrES_PID,$D628,nrES_Code,$F628,nrES_Att,2)&gt;0,"Retested",IF(OR($T628="",NOT(ISNUMBER($T628))),"Pending",IF(TODAY()&gt;$T628,"OVERDUE","Due "&amp;TEXT($T628,"mm/dd")))))</f>
        <v/>
      </c>
      <c r="V628" s="16" t="n"/>
      <c r="W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IF($C629="","",IF($L629="","",IF($K629=1,IF(COUNTIFS(nrES_PID,$D629,nrES_Code,$F629,nrES_Att,2)&gt;0,"",$L629),IF(COUNTIFS(nrES_PID,$D629,nrES_Code,$F629,nrES_Att,1)=0,$L629,IF($L629&gt;=$J629,cfgRetakeRecordedCap,SUMIFS(nrES_Raw,nrES_PID,$D629,nrES_Code,$F629,nrES_Att,1))))))</f>
        <v/>
      </c>
      <c r="N629" s="17">
        <f>IF($C629="","",IF($L629="","",IF($L629&gt;=$J629,"Yes","No")))</f>
        <v/>
      </c>
      <c r="O629" s="17">
        <f>IF($C629="","",IF($M629="","",IF($M629&gt;=$J629,"Yes","No")))</f>
        <v/>
      </c>
      <c r="P629" s="17">
        <f>IF($C629="","",IF($K629="","",IF(COUNTIFS(nrES_PID,$D629,nrES_Code,$F629,nrES_Att,"&gt;"&amp;$K629)=0,"Yes","No")))</f>
        <v/>
      </c>
      <c r="Q629" s="17">
        <f>IF($C629="","",IF($L629="","",IF(AND($K629=1,$L629&lt;$J629,COUNTIFS(nrES_PID,$D629,nrES_Code,$F629,nrES_Att,2)=0),"Yes","No")))</f>
        <v/>
      </c>
      <c r="R629" s="17">
        <f>IF($C629="","",IF($L629="","",IF(AND($K629=2,$L629&lt;$J629,COUNTIFS(nrES_PID,$D629,nrES_Code,$F629,nrES_Att,1)&gt;0),"Yes","No")))</f>
        <v/>
      </c>
      <c r="S629" s="18" t="n"/>
      <c r="T629" s="19">
        <f>IF($Q629&lt;&gt;"Yes","",IF($S629="","(enter date)",_xlfn.LET(_xlpm.dn,IFERROR(_xlfn.XLOOKUP($S629,nrCDdate,nrCDnum),""),IF(_xlpm.dn="","(not a class day)",IFERROR(_xlfn.XLOOKUP(_xlpm.dn+cfgRetestClassDays,nrCDnum,nrCDdate),"")))))</f>
        <v/>
      </c>
      <c r="U629" s="17">
        <f>IF($Q629&lt;&gt;"Yes","",IF(COUNTIFS(nrES_PID,$D629,nrES_Code,$F629,nrES_Att,2)&gt;0,"Retested",IF(OR($T629="",NOT(ISNUMBER($T629))),"Pending",IF(TODAY()&gt;$T629,"OVERDUE","Due "&amp;TEXT($T629,"mm/dd")))))</f>
        <v/>
      </c>
      <c r="V629" s="16" t="n"/>
      <c r="W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IF($C630="","",IF($L630="","",IF($K630=1,IF(COUNTIFS(nrES_PID,$D630,nrES_Code,$F630,nrES_Att,2)&gt;0,"",$L630),IF(COUNTIFS(nrES_PID,$D630,nrES_Code,$F630,nrES_Att,1)=0,$L630,IF($L630&gt;=$J630,cfgRetakeRecordedCap,SUMIFS(nrES_Raw,nrES_PID,$D630,nrES_Code,$F630,nrES_Att,1))))))</f>
        <v/>
      </c>
      <c r="N630" s="17">
        <f>IF($C630="","",IF($L630="","",IF($L630&gt;=$J630,"Yes","No")))</f>
        <v/>
      </c>
      <c r="O630" s="17">
        <f>IF($C630="","",IF($M630="","",IF($M630&gt;=$J630,"Yes","No")))</f>
        <v/>
      </c>
      <c r="P630" s="17">
        <f>IF($C630="","",IF($K630="","",IF(COUNTIFS(nrES_PID,$D630,nrES_Code,$F630,nrES_Att,"&gt;"&amp;$K630)=0,"Yes","No")))</f>
        <v/>
      </c>
      <c r="Q630" s="17">
        <f>IF($C630="","",IF($L630="","",IF(AND($K630=1,$L630&lt;$J630,COUNTIFS(nrES_PID,$D630,nrES_Code,$F630,nrES_Att,2)=0),"Yes","No")))</f>
        <v/>
      </c>
      <c r="R630" s="17">
        <f>IF($C630="","",IF($L630="","",IF(AND($K630=2,$L630&lt;$J630,COUNTIFS(nrES_PID,$D630,nrES_Code,$F630,nrES_Att,1)&gt;0),"Yes","No")))</f>
        <v/>
      </c>
      <c r="S630" s="18" t="n"/>
      <c r="T630" s="19">
        <f>IF($Q630&lt;&gt;"Yes","",IF($S630="","(enter date)",_xlfn.LET(_xlpm.dn,IFERROR(_xlfn.XLOOKUP($S630,nrCDdate,nrCDnum),""),IF(_xlpm.dn="","(not a class day)",IFERROR(_xlfn.XLOOKUP(_xlpm.dn+cfgRetestClassDays,nrCDnum,nrCDdate),"")))))</f>
        <v/>
      </c>
      <c r="U630" s="17">
        <f>IF($Q630&lt;&gt;"Yes","",IF(COUNTIFS(nrES_PID,$D630,nrES_Code,$F630,nrES_Att,2)&gt;0,"Retested",IF(OR($T630="",NOT(ISNUMBER($T630))),"Pending",IF(TODAY()&gt;$T630,"OVERDUE","Due "&amp;TEXT($T630,"mm/dd")))))</f>
        <v/>
      </c>
      <c r="V630" s="16" t="n"/>
      <c r="W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IF($C631="","",IF($L631="","",IF($K631=1,IF(COUNTIFS(nrES_PID,$D631,nrES_Code,$F631,nrES_Att,2)&gt;0,"",$L631),IF(COUNTIFS(nrES_PID,$D631,nrES_Code,$F631,nrES_Att,1)=0,$L631,IF($L631&gt;=$J631,cfgRetakeRecordedCap,SUMIFS(nrES_Raw,nrES_PID,$D631,nrES_Code,$F631,nrES_Att,1))))))</f>
        <v/>
      </c>
      <c r="N631" s="17">
        <f>IF($C631="","",IF($L631="","",IF($L631&gt;=$J631,"Yes","No")))</f>
        <v/>
      </c>
      <c r="O631" s="17">
        <f>IF($C631="","",IF($M631="","",IF($M631&gt;=$J631,"Yes","No")))</f>
        <v/>
      </c>
      <c r="P631" s="17">
        <f>IF($C631="","",IF($K631="","",IF(COUNTIFS(nrES_PID,$D631,nrES_Code,$F631,nrES_Att,"&gt;"&amp;$K631)=0,"Yes","No")))</f>
        <v/>
      </c>
      <c r="Q631" s="17">
        <f>IF($C631="","",IF($L631="","",IF(AND($K631=1,$L631&lt;$J631,COUNTIFS(nrES_PID,$D631,nrES_Code,$F631,nrES_Att,2)=0),"Yes","No")))</f>
        <v/>
      </c>
      <c r="R631" s="17">
        <f>IF($C631="","",IF($L631="","",IF(AND($K631=2,$L631&lt;$J631,COUNTIFS(nrES_PID,$D631,nrES_Code,$F631,nrES_Att,1)&gt;0),"Yes","No")))</f>
        <v/>
      </c>
      <c r="S631" s="18" t="n"/>
      <c r="T631" s="19">
        <f>IF($Q631&lt;&gt;"Yes","",IF($S631="","(enter date)",_xlfn.LET(_xlpm.dn,IFERROR(_xlfn.XLOOKUP($S631,nrCDdate,nrCDnum),""),IF(_xlpm.dn="","(not a class day)",IFERROR(_xlfn.XLOOKUP(_xlpm.dn+cfgRetestClassDays,nrCDnum,nrCDdate),"")))))</f>
        <v/>
      </c>
      <c r="U631" s="17">
        <f>IF($Q631&lt;&gt;"Yes","",IF(COUNTIFS(nrES_PID,$D631,nrES_Code,$F631,nrES_Att,2)&gt;0,"Retested",IF(OR($T631="",NOT(ISNUMBER($T631))),"Pending",IF(TODAY()&gt;$T631,"OVERDUE","Due "&amp;TEXT($T631,"mm/dd")))))</f>
        <v/>
      </c>
      <c r="V631" s="16" t="n"/>
      <c r="W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IF($C632="","",IF($L632="","",IF($K632=1,IF(COUNTIFS(nrES_PID,$D632,nrES_Code,$F632,nrES_Att,2)&gt;0,"",$L632),IF(COUNTIFS(nrES_PID,$D632,nrES_Code,$F632,nrES_Att,1)=0,$L632,IF($L632&gt;=$J632,cfgRetakeRecordedCap,SUMIFS(nrES_Raw,nrES_PID,$D632,nrES_Code,$F632,nrES_Att,1))))))</f>
        <v/>
      </c>
      <c r="N632" s="17">
        <f>IF($C632="","",IF($L632="","",IF($L632&gt;=$J632,"Yes","No")))</f>
        <v/>
      </c>
      <c r="O632" s="17">
        <f>IF($C632="","",IF($M632="","",IF($M632&gt;=$J632,"Yes","No")))</f>
        <v/>
      </c>
      <c r="P632" s="17">
        <f>IF($C632="","",IF($K632="","",IF(COUNTIFS(nrES_PID,$D632,nrES_Code,$F632,nrES_Att,"&gt;"&amp;$K632)=0,"Yes","No")))</f>
        <v/>
      </c>
      <c r="Q632" s="17">
        <f>IF($C632="","",IF($L632="","",IF(AND($K632=1,$L632&lt;$J632,COUNTIFS(nrES_PID,$D632,nrES_Code,$F632,nrES_Att,2)=0),"Yes","No")))</f>
        <v/>
      </c>
      <c r="R632" s="17">
        <f>IF($C632="","",IF($L632="","",IF(AND($K632=2,$L632&lt;$J632,COUNTIFS(nrES_PID,$D632,nrES_Code,$F632,nrES_Att,1)&gt;0),"Yes","No")))</f>
        <v/>
      </c>
      <c r="S632" s="18" t="n"/>
      <c r="T632" s="19">
        <f>IF($Q632&lt;&gt;"Yes","",IF($S632="","(enter date)",_xlfn.LET(_xlpm.dn,IFERROR(_xlfn.XLOOKUP($S632,nrCDdate,nrCDnum),""),IF(_xlpm.dn="","(not a class day)",IFERROR(_xlfn.XLOOKUP(_xlpm.dn+cfgRetestClassDays,nrCDnum,nrCDdate),"")))))</f>
        <v/>
      </c>
      <c r="U632" s="17">
        <f>IF($Q632&lt;&gt;"Yes","",IF(COUNTIFS(nrES_PID,$D632,nrES_Code,$F632,nrES_Att,2)&gt;0,"Retested",IF(OR($T632="",NOT(ISNUMBER($T632))),"Pending",IF(TODAY()&gt;$T632,"OVERDUE","Due "&amp;TEXT($T632,"mm/dd")))))</f>
        <v/>
      </c>
      <c r="V632" s="16" t="n"/>
      <c r="W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IF($C633="","",IF($L633="","",IF($K633=1,IF(COUNTIFS(nrES_PID,$D633,nrES_Code,$F633,nrES_Att,2)&gt;0,"",$L633),IF(COUNTIFS(nrES_PID,$D633,nrES_Code,$F633,nrES_Att,1)=0,$L633,IF($L633&gt;=$J633,cfgRetakeRecordedCap,SUMIFS(nrES_Raw,nrES_PID,$D633,nrES_Code,$F633,nrES_Att,1))))))</f>
        <v/>
      </c>
      <c r="N633" s="17">
        <f>IF($C633="","",IF($L633="","",IF($L633&gt;=$J633,"Yes","No")))</f>
        <v/>
      </c>
      <c r="O633" s="17">
        <f>IF($C633="","",IF($M633="","",IF($M633&gt;=$J633,"Yes","No")))</f>
        <v/>
      </c>
      <c r="P633" s="17">
        <f>IF($C633="","",IF($K633="","",IF(COUNTIFS(nrES_PID,$D633,nrES_Code,$F633,nrES_Att,"&gt;"&amp;$K633)=0,"Yes","No")))</f>
        <v/>
      </c>
      <c r="Q633" s="17">
        <f>IF($C633="","",IF($L633="","",IF(AND($K633=1,$L633&lt;$J633,COUNTIFS(nrES_PID,$D633,nrES_Code,$F633,nrES_Att,2)=0),"Yes","No")))</f>
        <v/>
      </c>
      <c r="R633" s="17">
        <f>IF($C633="","",IF($L633="","",IF(AND($K633=2,$L633&lt;$J633,COUNTIFS(nrES_PID,$D633,nrES_Code,$F633,nrES_Att,1)&gt;0),"Yes","No")))</f>
        <v/>
      </c>
      <c r="S633" s="18" t="n"/>
      <c r="T633" s="19">
        <f>IF($Q633&lt;&gt;"Yes","",IF($S633="","(enter date)",_xlfn.LET(_xlpm.dn,IFERROR(_xlfn.XLOOKUP($S633,nrCDdate,nrCDnum),""),IF(_xlpm.dn="","(not a class day)",IFERROR(_xlfn.XLOOKUP(_xlpm.dn+cfgRetestClassDays,nrCDnum,nrCDdate),"")))))</f>
        <v/>
      </c>
      <c r="U633" s="17">
        <f>IF($Q633&lt;&gt;"Yes","",IF(COUNTIFS(nrES_PID,$D633,nrES_Code,$F633,nrES_Att,2)&gt;0,"Retested",IF(OR($T633="",NOT(ISNUMBER($T633))),"Pending",IF(TODAY()&gt;$T633,"OVERDUE","Due "&amp;TEXT($T633,"mm/dd")))))</f>
        <v/>
      </c>
      <c r="V633" s="16" t="n"/>
      <c r="W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IF($C634="","",IF($L634="","",IF($K634=1,IF(COUNTIFS(nrES_PID,$D634,nrES_Code,$F634,nrES_Att,2)&gt;0,"",$L634),IF(COUNTIFS(nrES_PID,$D634,nrES_Code,$F634,nrES_Att,1)=0,$L634,IF($L634&gt;=$J634,cfgRetakeRecordedCap,SUMIFS(nrES_Raw,nrES_PID,$D634,nrES_Code,$F634,nrES_Att,1))))))</f>
        <v/>
      </c>
      <c r="N634" s="17">
        <f>IF($C634="","",IF($L634="","",IF($L634&gt;=$J634,"Yes","No")))</f>
        <v/>
      </c>
      <c r="O634" s="17">
        <f>IF($C634="","",IF($M634="","",IF($M634&gt;=$J634,"Yes","No")))</f>
        <v/>
      </c>
      <c r="P634" s="17">
        <f>IF($C634="","",IF($K634="","",IF(COUNTIFS(nrES_PID,$D634,nrES_Code,$F634,nrES_Att,"&gt;"&amp;$K634)=0,"Yes","No")))</f>
        <v/>
      </c>
      <c r="Q634" s="17">
        <f>IF($C634="","",IF($L634="","",IF(AND($K634=1,$L634&lt;$J634,COUNTIFS(nrES_PID,$D634,nrES_Code,$F634,nrES_Att,2)=0),"Yes","No")))</f>
        <v/>
      </c>
      <c r="R634" s="17">
        <f>IF($C634="","",IF($L634="","",IF(AND($K634=2,$L634&lt;$J634,COUNTIFS(nrES_PID,$D634,nrES_Code,$F634,nrES_Att,1)&gt;0),"Yes","No")))</f>
        <v/>
      </c>
      <c r="S634" s="18" t="n"/>
      <c r="T634" s="19">
        <f>IF($Q634&lt;&gt;"Yes","",IF($S634="","(enter date)",_xlfn.LET(_xlpm.dn,IFERROR(_xlfn.XLOOKUP($S634,nrCDdate,nrCDnum),""),IF(_xlpm.dn="","(not a class day)",IFERROR(_xlfn.XLOOKUP(_xlpm.dn+cfgRetestClassDays,nrCDnum,nrCDdate),"")))))</f>
        <v/>
      </c>
      <c r="U634" s="17">
        <f>IF($Q634&lt;&gt;"Yes","",IF(COUNTIFS(nrES_PID,$D634,nrES_Code,$F634,nrES_Att,2)&gt;0,"Retested",IF(OR($T634="",NOT(ISNUMBER($T634))),"Pending",IF(TODAY()&gt;$T634,"OVERDUE","Due "&amp;TEXT($T634,"mm/dd")))))</f>
        <v/>
      </c>
      <c r="V634" s="16" t="n"/>
      <c r="W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IF($C635="","",IF($L635="","",IF($K635=1,IF(COUNTIFS(nrES_PID,$D635,nrES_Code,$F635,nrES_Att,2)&gt;0,"",$L635),IF(COUNTIFS(nrES_PID,$D635,nrES_Code,$F635,nrES_Att,1)=0,$L635,IF($L635&gt;=$J635,cfgRetakeRecordedCap,SUMIFS(nrES_Raw,nrES_PID,$D635,nrES_Code,$F635,nrES_Att,1))))))</f>
        <v/>
      </c>
      <c r="N635" s="17">
        <f>IF($C635="","",IF($L635="","",IF($L635&gt;=$J635,"Yes","No")))</f>
        <v/>
      </c>
      <c r="O635" s="17">
        <f>IF($C635="","",IF($M635="","",IF($M635&gt;=$J635,"Yes","No")))</f>
        <v/>
      </c>
      <c r="P635" s="17">
        <f>IF($C635="","",IF($K635="","",IF(COUNTIFS(nrES_PID,$D635,nrES_Code,$F635,nrES_Att,"&gt;"&amp;$K635)=0,"Yes","No")))</f>
        <v/>
      </c>
      <c r="Q635" s="17">
        <f>IF($C635="","",IF($L635="","",IF(AND($K635=1,$L635&lt;$J635,COUNTIFS(nrES_PID,$D635,nrES_Code,$F635,nrES_Att,2)=0),"Yes","No")))</f>
        <v/>
      </c>
      <c r="R635" s="17">
        <f>IF($C635="","",IF($L635="","",IF(AND($K635=2,$L635&lt;$J635,COUNTIFS(nrES_PID,$D635,nrES_Code,$F635,nrES_Att,1)&gt;0),"Yes","No")))</f>
        <v/>
      </c>
      <c r="S635" s="18" t="n"/>
      <c r="T635" s="19">
        <f>IF($Q635&lt;&gt;"Yes","",IF($S635="","(enter date)",_xlfn.LET(_xlpm.dn,IFERROR(_xlfn.XLOOKUP($S635,nrCDdate,nrCDnum),""),IF(_xlpm.dn="","(not a class day)",IFERROR(_xlfn.XLOOKUP(_xlpm.dn+cfgRetestClassDays,nrCDnum,nrCDdate),"")))))</f>
        <v/>
      </c>
      <c r="U635" s="17">
        <f>IF($Q635&lt;&gt;"Yes","",IF(COUNTIFS(nrES_PID,$D635,nrES_Code,$F635,nrES_Att,2)&gt;0,"Retested",IF(OR($T635="",NOT(ISNUMBER($T635))),"Pending",IF(TODAY()&gt;$T635,"OVERDUE","Due "&amp;TEXT($T635,"mm/dd")))))</f>
        <v/>
      </c>
      <c r="V635" s="16" t="n"/>
      <c r="W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IF($C636="","",IF($L636="","",IF($K636=1,IF(COUNTIFS(nrES_PID,$D636,nrES_Code,$F636,nrES_Att,2)&gt;0,"",$L636),IF(COUNTIFS(nrES_PID,$D636,nrES_Code,$F636,nrES_Att,1)=0,$L636,IF($L636&gt;=$J636,cfgRetakeRecordedCap,SUMIFS(nrES_Raw,nrES_PID,$D636,nrES_Code,$F636,nrES_Att,1))))))</f>
        <v/>
      </c>
      <c r="N636" s="17">
        <f>IF($C636="","",IF($L636="","",IF($L636&gt;=$J636,"Yes","No")))</f>
        <v/>
      </c>
      <c r="O636" s="17">
        <f>IF($C636="","",IF($M636="","",IF($M636&gt;=$J636,"Yes","No")))</f>
        <v/>
      </c>
      <c r="P636" s="17">
        <f>IF($C636="","",IF($K636="","",IF(COUNTIFS(nrES_PID,$D636,nrES_Code,$F636,nrES_Att,"&gt;"&amp;$K636)=0,"Yes","No")))</f>
        <v/>
      </c>
      <c r="Q636" s="17">
        <f>IF($C636="","",IF($L636="","",IF(AND($K636=1,$L636&lt;$J636,COUNTIFS(nrES_PID,$D636,nrES_Code,$F636,nrES_Att,2)=0),"Yes","No")))</f>
        <v/>
      </c>
      <c r="R636" s="17">
        <f>IF($C636="","",IF($L636="","",IF(AND($K636=2,$L636&lt;$J636,COUNTIFS(nrES_PID,$D636,nrES_Code,$F636,nrES_Att,1)&gt;0),"Yes","No")))</f>
        <v/>
      </c>
      <c r="S636" s="18" t="n"/>
      <c r="T636" s="19">
        <f>IF($Q636&lt;&gt;"Yes","",IF($S636="","(enter date)",_xlfn.LET(_xlpm.dn,IFERROR(_xlfn.XLOOKUP($S636,nrCDdate,nrCDnum),""),IF(_xlpm.dn="","(not a class day)",IFERROR(_xlfn.XLOOKUP(_xlpm.dn+cfgRetestClassDays,nrCDnum,nrCDdate),"")))))</f>
        <v/>
      </c>
      <c r="U636" s="17">
        <f>IF($Q636&lt;&gt;"Yes","",IF(COUNTIFS(nrES_PID,$D636,nrES_Code,$F636,nrES_Att,2)&gt;0,"Retested",IF(OR($T636="",NOT(ISNUMBER($T636))),"Pending",IF(TODAY()&gt;$T636,"OVERDUE","Due "&amp;TEXT($T636,"mm/dd")))))</f>
        <v/>
      </c>
      <c r="V636" s="16" t="n"/>
      <c r="W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IF($C637="","",IF($L637="","",IF($K637=1,IF(COUNTIFS(nrES_PID,$D637,nrES_Code,$F637,nrES_Att,2)&gt;0,"",$L637),IF(COUNTIFS(nrES_PID,$D637,nrES_Code,$F637,nrES_Att,1)=0,$L637,IF($L637&gt;=$J637,cfgRetakeRecordedCap,SUMIFS(nrES_Raw,nrES_PID,$D637,nrES_Code,$F637,nrES_Att,1))))))</f>
        <v/>
      </c>
      <c r="N637" s="17">
        <f>IF($C637="","",IF($L637="","",IF($L637&gt;=$J637,"Yes","No")))</f>
        <v/>
      </c>
      <c r="O637" s="17">
        <f>IF($C637="","",IF($M637="","",IF($M637&gt;=$J637,"Yes","No")))</f>
        <v/>
      </c>
      <c r="P637" s="17">
        <f>IF($C637="","",IF($K637="","",IF(COUNTIFS(nrES_PID,$D637,nrES_Code,$F637,nrES_Att,"&gt;"&amp;$K637)=0,"Yes","No")))</f>
        <v/>
      </c>
      <c r="Q637" s="17">
        <f>IF($C637="","",IF($L637="","",IF(AND($K637=1,$L637&lt;$J637,COUNTIFS(nrES_PID,$D637,nrES_Code,$F637,nrES_Att,2)=0),"Yes","No")))</f>
        <v/>
      </c>
      <c r="R637" s="17">
        <f>IF($C637="","",IF($L637="","",IF(AND($K637=2,$L637&lt;$J637,COUNTIFS(nrES_PID,$D637,nrES_Code,$F637,nrES_Att,1)&gt;0),"Yes","No")))</f>
        <v/>
      </c>
      <c r="S637" s="18" t="n"/>
      <c r="T637" s="19">
        <f>IF($Q637&lt;&gt;"Yes","",IF($S637="","(enter date)",_xlfn.LET(_xlpm.dn,IFERROR(_xlfn.XLOOKUP($S637,nrCDdate,nrCDnum),""),IF(_xlpm.dn="","(not a class day)",IFERROR(_xlfn.XLOOKUP(_xlpm.dn+cfgRetestClassDays,nrCDnum,nrCDdate),"")))))</f>
        <v/>
      </c>
      <c r="U637" s="17">
        <f>IF($Q637&lt;&gt;"Yes","",IF(COUNTIFS(nrES_PID,$D637,nrES_Code,$F637,nrES_Att,2)&gt;0,"Retested",IF(OR($T637="",NOT(ISNUMBER($T637))),"Pending",IF(TODAY()&gt;$T637,"OVERDUE","Due "&amp;TEXT($T637,"mm/dd")))))</f>
        <v/>
      </c>
      <c r="V637" s="16" t="n"/>
      <c r="W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IF($C638="","",IF($L638="","",IF($K638=1,IF(COUNTIFS(nrES_PID,$D638,nrES_Code,$F638,nrES_Att,2)&gt;0,"",$L638),IF(COUNTIFS(nrES_PID,$D638,nrES_Code,$F638,nrES_Att,1)=0,$L638,IF($L638&gt;=$J638,cfgRetakeRecordedCap,SUMIFS(nrES_Raw,nrES_PID,$D638,nrES_Code,$F638,nrES_Att,1))))))</f>
        <v/>
      </c>
      <c r="N638" s="17">
        <f>IF($C638="","",IF($L638="","",IF($L638&gt;=$J638,"Yes","No")))</f>
        <v/>
      </c>
      <c r="O638" s="17">
        <f>IF($C638="","",IF($M638="","",IF($M638&gt;=$J638,"Yes","No")))</f>
        <v/>
      </c>
      <c r="P638" s="17">
        <f>IF($C638="","",IF($K638="","",IF(COUNTIFS(nrES_PID,$D638,nrES_Code,$F638,nrES_Att,"&gt;"&amp;$K638)=0,"Yes","No")))</f>
        <v/>
      </c>
      <c r="Q638" s="17">
        <f>IF($C638="","",IF($L638="","",IF(AND($K638=1,$L638&lt;$J638,COUNTIFS(nrES_PID,$D638,nrES_Code,$F638,nrES_Att,2)=0),"Yes","No")))</f>
        <v/>
      </c>
      <c r="R638" s="17">
        <f>IF($C638="","",IF($L638="","",IF(AND($K638=2,$L638&lt;$J638,COUNTIFS(nrES_PID,$D638,nrES_Code,$F638,nrES_Att,1)&gt;0),"Yes","No")))</f>
        <v/>
      </c>
      <c r="S638" s="18" t="n"/>
      <c r="T638" s="19">
        <f>IF($Q638&lt;&gt;"Yes","",IF($S638="","(enter date)",_xlfn.LET(_xlpm.dn,IFERROR(_xlfn.XLOOKUP($S638,nrCDdate,nrCDnum),""),IF(_xlpm.dn="","(not a class day)",IFERROR(_xlfn.XLOOKUP(_xlpm.dn+cfgRetestClassDays,nrCDnum,nrCDdate),"")))))</f>
        <v/>
      </c>
      <c r="U638" s="17">
        <f>IF($Q638&lt;&gt;"Yes","",IF(COUNTIFS(nrES_PID,$D638,nrES_Code,$F638,nrES_Att,2)&gt;0,"Retested",IF(OR($T638="",NOT(ISNUMBER($T638))),"Pending",IF(TODAY()&gt;$T638,"OVERDUE","Due "&amp;TEXT($T638,"mm/dd")))))</f>
        <v/>
      </c>
      <c r="V638" s="16" t="n"/>
      <c r="W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IF($C639="","",IF($L639="","",IF($K639=1,IF(COUNTIFS(nrES_PID,$D639,nrES_Code,$F639,nrES_Att,2)&gt;0,"",$L639),IF(COUNTIFS(nrES_PID,$D639,nrES_Code,$F639,nrES_Att,1)=0,$L639,IF($L639&gt;=$J639,cfgRetakeRecordedCap,SUMIFS(nrES_Raw,nrES_PID,$D639,nrES_Code,$F639,nrES_Att,1))))))</f>
        <v/>
      </c>
      <c r="N639" s="17">
        <f>IF($C639="","",IF($L639="","",IF($L639&gt;=$J639,"Yes","No")))</f>
        <v/>
      </c>
      <c r="O639" s="17">
        <f>IF($C639="","",IF($M639="","",IF($M639&gt;=$J639,"Yes","No")))</f>
        <v/>
      </c>
      <c r="P639" s="17">
        <f>IF($C639="","",IF($K639="","",IF(COUNTIFS(nrES_PID,$D639,nrES_Code,$F639,nrES_Att,"&gt;"&amp;$K639)=0,"Yes","No")))</f>
        <v/>
      </c>
      <c r="Q639" s="17">
        <f>IF($C639="","",IF($L639="","",IF(AND($K639=1,$L639&lt;$J639,COUNTIFS(nrES_PID,$D639,nrES_Code,$F639,nrES_Att,2)=0),"Yes","No")))</f>
        <v/>
      </c>
      <c r="R639" s="17">
        <f>IF($C639="","",IF($L639="","",IF(AND($K639=2,$L639&lt;$J639,COUNTIFS(nrES_PID,$D639,nrES_Code,$F639,nrES_Att,1)&gt;0),"Yes","No")))</f>
        <v/>
      </c>
      <c r="S639" s="18" t="n"/>
      <c r="T639" s="19">
        <f>IF($Q639&lt;&gt;"Yes","",IF($S639="","(enter date)",_xlfn.LET(_xlpm.dn,IFERROR(_xlfn.XLOOKUP($S639,nrCDdate,nrCDnum),""),IF(_xlpm.dn="","(not a class day)",IFERROR(_xlfn.XLOOKUP(_xlpm.dn+cfgRetestClassDays,nrCDnum,nrCDdate),"")))))</f>
        <v/>
      </c>
      <c r="U639" s="17">
        <f>IF($Q639&lt;&gt;"Yes","",IF(COUNTIFS(nrES_PID,$D639,nrES_Code,$F639,nrES_Att,2)&gt;0,"Retested",IF(OR($T639="",NOT(ISNUMBER($T639))),"Pending",IF(TODAY()&gt;$T639,"OVERDUE","Due "&amp;TEXT($T639,"mm/dd")))))</f>
        <v/>
      </c>
      <c r="V639" s="16" t="n"/>
      <c r="W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IF($C640="","",IF($L640="","",IF($K640=1,IF(COUNTIFS(nrES_PID,$D640,nrES_Code,$F640,nrES_Att,2)&gt;0,"",$L640),IF(COUNTIFS(nrES_PID,$D640,nrES_Code,$F640,nrES_Att,1)=0,$L640,IF($L640&gt;=$J640,cfgRetakeRecordedCap,SUMIFS(nrES_Raw,nrES_PID,$D640,nrES_Code,$F640,nrES_Att,1))))))</f>
        <v/>
      </c>
      <c r="N640" s="17">
        <f>IF($C640="","",IF($L640="","",IF($L640&gt;=$J640,"Yes","No")))</f>
        <v/>
      </c>
      <c r="O640" s="17">
        <f>IF($C640="","",IF($M640="","",IF($M640&gt;=$J640,"Yes","No")))</f>
        <v/>
      </c>
      <c r="P640" s="17">
        <f>IF($C640="","",IF($K640="","",IF(COUNTIFS(nrES_PID,$D640,nrES_Code,$F640,nrES_Att,"&gt;"&amp;$K640)=0,"Yes","No")))</f>
        <v/>
      </c>
      <c r="Q640" s="17">
        <f>IF($C640="","",IF($L640="","",IF(AND($K640=1,$L640&lt;$J640,COUNTIFS(nrES_PID,$D640,nrES_Code,$F640,nrES_Att,2)=0),"Yes","No")))</f>
        <v/>
      </c>
      <c r="R640" s="17">
        <f>IF($C640="","",IF($L640="","",IF(AND($K640=2,$L640&lt;$J640,COUNTIFS(nrES_PID,$D640,nrES_Code,$F640,nrES_Att,1)&gt;0),"Yes","No")))</f>
        <v/>
      </c>
      <c r="S640" s="18" t="n"/>
      <c r="T640" s="19">
        <f>IF($Q640&lt;&gt;"Yes","",IF($S640="","(enter date)",_xlfn.LET(_xlpm.dn,IFERROR(_xlfn.XLOOKUP($S640,nrCDdate,nrCDnum),""),IF(_xlpm.dn="","(not a class day)",IFERROR(_xlfn.XLOOKUP(_xlpm.dn+cfgRetestClassDays,nrCDnum,nrCDdate),"")))))</f>
        <v/>
      </c>
      <c r="U640" s="17">
        <f>IF($Q640&lt;&gt;"Yes","",IF(COUNTIFS(nrES_PID,$D640,nrES_Code,$F640,nrES_Att,2)&gt;0,"Retested",IF(OR($T640="",NOT(ISNUMBER($T640))),"Pending",IF(TODAY()&gt;$T640,"OVERDUE","Due "&amp;TEXT($T640,"mm/dd")))))</f>
        <v/>
      </c>
      <c r="V640" s="16" t="n"/>
      <c r="W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IF($C641="","",IF($L641="","",IF($K641=1,IF(COUNTIFS(nrES_PID,$D641,nrES_Code,$F641,nrES_Att,2)&gt;0,"",$L641),IF(COUNTIFS(nrES_PID,$D641,nrES_Code,$F641,nrES_Att,1)=0,$L641,IF($L641&gt;=$J641,cfgRetakeRecordedCap,SUMIFS(nrES_Raw,nrES_PID,$D641,nrES_Code,$F641,nrES_Att,1))))))</f>
        <v/>
      </c>
      <c r="N641" s="17">
        <f>IF($C641="","",IF($L641="","",IF($L641&gt;=$J641,"Yes","No")))</f>
        <v/>
      </c>
      <c r="O641" s="17">
        <f>IF($C641="","",IF($M641="","",IF($M641&gt;=$J641,"Yes","No")))</f>
        <v/>
      </c>
      <c r="P641" s="17">
        <f>IF($C641="","",IF($K641="","",IF(COUNTIFS(nrES_PID,$D641,nrES_Code,$F641,nrES_Att,"&gt;"&amp;$K641)=0,"Yes","No")))</f>
        <v/>
      </c>
      <c r="Q641" s="17">
        <f>IF($C641="","",IF($L641="","",IF(AND($K641=1,$L641&lt;$J641,COUNTIFS(nrES_PID,$D641,nrES_Code,$F641,nrES_Att,2)=0),"Yes","No")))</f>
        <v/>
      </c>
      <c r="R641" s="17">
        <f>IF($C641="","",IF($L641="","",IF(AND($K641=2,$L641&lt;$J641,COUNTIFS(nrES_PID,$D641,nrES_Code,$F641,nrES_Att,1)&gt;0),"Yes","No")))</f>
        <v/>
      </c>
      <c r="S641" s="18" t="n"/>
      <c r="T641" s="19">
        <f>IF($Q641&lt;&gt;"Yes","",IF($S641="","(enter date)",_xlfn.LET(_xlpm.dn,IFERROR(_xlfn.XLOOKUP($S641,nrCDdate,nrCDnum),""),IF(_xlpm.dn="","(not a class day)",IFERROR(_xlfn.XLOOKUP(_xlpm.dn+cfgRetestClassDays,nrCDnum,nrCDdate),"")))))</f>
        <v/>
      </c>
      <c r="U641" s="17">
        <f>IF($Q641&lt;&gt;"Yes","",IF(COUNTIFS(nrES_PID,$D641,nrES_Code,$F641,nrES_Att,2)&gt;0,"Retested",IF(OR($T641="",NOT(ISNUMBER($T641))),"Pending",IF(TODAY()&gt;$T641,"OVERDUE","Due "&amp;TEXT($T641,"mm/dd")))))</f>
        <v/>
      </c>
      <c r="V641" s="16" t="n"/>
      <c r="W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IF($C642="","",IF($L642="","",IF($K642=1,IF(COUNTIFS(nrES_PID,$D642,nrES_Code,$F642,nrES_Att,2)&gt;0,"",$L642),IF(COUNTIFS(nrES_PID,$D642,nrES_Code,$F642,nrES_Att,1)=0,$L642,IF($L642&gt;=$J642,cfgRetakeRecordedCap,SUMIFS(nrES_Raw,nrES_PID,$D642,nrES_Code,$F642,nrES_Att,1))))))</f>
        <v/>
      </c>
      <c r="N642" s="17">
        <f>IF($C642="","",IF($L642="","",IF($L642&gt;=$J642,"Yes","No")))</f>
        <v/>
      </c>
      <c r="O642" s="17">
        <f>IF($C642="","",IF($M642="","",IF($M642&gt;=$J642,"Yes","No")))</f>
        <v/>
      </c>
      <c r="P642" s="17">
        <f>IF($C642="","",IF($K642="","",IF(COUNTIFS(nrES_PID,$D642,nrES_Code,$F642,nrES_Att,"&gt;"&amp;$K642)=0,"Yes","No")))</f>
        <v/>
      </c>
      <c r="Q642" s="17">
        <f>IF($C642="","",IF($L642="","",IF(AND($K642=1,$L642&lt;$J642,COUNTIFS(nrES_PID,$D642,nrES_Code,$F642,nrES_Att,2)=0),"Yes","No")))</f>
        <v/>
      </c>
      <c r="R642" s="17">
        <f>IF($C642="","",IF($L642="","",IF(AND($K642=2,$L642&lt;$J642,COUNTIFS(nrES_PID,$D642,nrES_Code,$F642,nrES_Att,1)&gt;0),"Yes","No")))</f>
        <v/>
      </c>
      <c r="S642" s="18" t="n"/>
      <c r="T642" s="19">
        <f>IF($Q642&lt;&gt;"Yes","",IF($S642="","(enter date)",_xlfn.LET(_xlpm.dn,IFERROR(_xlfn.XLOOKUP($S642,nrCDdate,nrCDnum),""),IF(_xlpm.dn="","(not a class day)",IFERROR(_xlfn.XLOOKUP(_xlpm.dn+cfgRetestClassDays,nrCDnum,nrCDdate),"")))))</f>
        <v/>
      </c>
      <c r="U642" s="17">
        <f>IF($Q642&lt;&gt;"Yes","",IF(COUNTIFS(nrES_PID,$D642,nrES_Code,$F642,nrES_Att,2)&gt;0,"Retested",IF(OR($T642="",NOT(ISNUMBER($T642))),"Pending",IF(TODAY()&gt;$T642,"OVERDUE","Due "&amp;TEXT($T642,"mm/dd")))))</f>
        <v/>
      </c>
      <c r="V642" s="16" t="n"/>
      <c r="W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IF($C643="","",IF($L643="","",IF($K643=1,IF(COUNTIFS(nrES_PID,$D643,nrES_Code,$F643,nrES_Att,2)&gt;0,"",$L643),IF(COUNTIFS(nrES_PID,$D643,nrES_Code,$F643,nrES_Att,1)=0,$L643,IF($L643&gt;=$J643,cfgRetakeRecordedCap,SUMIFS(nrES_Raw,nrES_PID,$D643,nrES_Code,$F643,nrES_Att,1))))))</f>
        <v/>
      </c>
      <c r="N643" s="17">
        <f>IF($C643="","",IF($L643="","",IF($L643&gt;=$J643,"Yes","No")))</f>
        <v/>
      </c>
      <c r="O643" s="17">
        <f>IF($C643="","",IF($M643="","",IF($M643&gt;=$J643,"Yes","No")))</f>
        <v/>
      </c>
      <c r="P643" s="17">
        <f>IF($C643="","",IF($K643="","",IF(COUNTIFS(nrES_PID,$D643,nrES_Code,$F643,nrES_Att,"&gt;"&amp;$K643)=0,"Yes","No")))</f>
        <v/>
      </c>
      <c r="Q643" s="17">
        <f>IF($C643="","",IF($L643="","",IF(AND($K643=1,$L643&lt;$J643,COUNTIFS(nrES_PID,$D643,nrES_Code,$F643,nrES_Att,2)=0),"Yes","No")))</f>
        <v/>
      </c>
      <c r="R643" s="17">
        <f>IF($C643="","",IF($L643="","",IF(AND($K643=2,$L643&lt;$J643,COUNTIFS(nrES_PID,$D643,nrES_Code,$F643,nrES_Att,1)&gt;0),"Yes","No")))</f>
        <v/>
      </c>
      <c r="S643" s="18" t="n"/>
      <c r="T643" s="19">
        <f>IF($Q643&lt;&gt;"Yes","",IF($S643="","(enter date)",_xlfn.LET(_xlpm.dn,IFERROR(_xlfn.XLOOKUP($S643,nrCDdate,nrCDnum),""),IF(_xlpm.dn="","(not a class day)",IFERROR(_xlfn.XLOOKUP(_xlpm.dn+cfgRetestClassDays,nrCDnum,nrCDdate),"")))))</f>
        <v/>
      </c>
      <c r="U643" s="17">
        <f>IF($Q643&lt;&gt;"Yes","",IF(COUNTIFS(nrES_PID,$D643,nrES_Code,$F643,nrES_Att,2)&gt;0,"Retested",IF(OR($T643="",NOT(ISNUMBER($T643))),"Pending",IF(TODAY()&gt;$T643,"OVERDUE","Due "&amp;TEXT($T643,"mm/dd")))))</f>
        <v/>
      </c>
      <c r="V643" s="16" t="n"/>
      <c r="W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IF($C644="","",IF($L644="","",IF($K644=1,IF(COUNTIFS(nrES_PID,$D644,nrES_Code,$F644,nrES_Att,2)&gt;0,"",$L644),IF(COUNTIFS(nrES_PID,$D644,nrES_Code,$F644,nrES_Att,1)=0,$L644,IF($L644&gt;=$J644,cfgRetakeRecordedCap,SUMIFS(nrES_Raw,nrES_PID,$D644,nrES_Code,$F644,nrES_Att,1))))))</f>
        <v/>
      </c>
      <c r="N644" s="17">
        <f>IF($C644="","",IF($L644="","",IF($L644&gt;=$J644,"Yes","No")))</f>
        <v/>
      </c>
      <c r="O644" s="17">
        <f>IF($C644="","",IF($M644="","",IF($M644&gt;=$J644,"Yes","No")))</f>
        <v/>
      </c>
      <c r="P644" s="17">
        <f>IF($C644="","",IF($K644="","",IF(COUNTIFS(nrES_PID,$D644,nrES_Code,$F644,nrES_Att,"&gt;"&amp;$K644)=0,"Yes","No")))</f>
        <v/>
      </c>
      <c r="Q644" s="17">
        <f>IF($C644="","",IF($L644="","",IF(AND($K644=1,$L644&lt;$J644,COUNTIFS(nrES_PID,$D644,nrES_Code,$F644,nrES_Att,2)=0),"Yes","No")))</f>
        <v/>
      </c>
      <c r="R644" s="17">
        <f>IF($C644="","",IF($L644="","",IF(AND($K644=2,$L644&lt;$J644,COUNTIFS(nrES_PID,$D644,nrES_Code,$F644,nrES_Att,1)&gt;0),"Yes","No")))</f>
        <v/>
      </c>
      <c r="S644" s="18" t="n"/>
      <c r="T644" s="19">
        <f>IF($Q644&lt;&gt;"Yes","",IF($S644="","(enter date)",_xlfn.LET(_xlpm.dn,IFERROR(_xlfn.XLOOKUP($S644,nrCDdate,nrCDnum),""),IF(_xlpm.dn="","(not a class day)",IFERROR(_xlfn.XLOOKUP(_xlpm.dn+cfgRetestClassDays,nrCDnum,nrCDdate),"")))))</f>
        <v/>
      </c>
      <c r="U644" s="17">
        <f>IF($Q644&lt;&gt;"Yes","",IF(COUNTIFS(nrES_PID,$D644,nrES_Code,$F644,nrES_Att,2)&gt;0,"Retested",IF(OR($T644="",NOT(ISNUMBER($T644))),"Pending",IF(TODAY()&gt;$T644,"OVERDUE","Due "&amp;TEXT($T644,"mm/dd")))))</f>
        <v/>
      </c>
      <c r="V644" s="16" t="n"/>
      <c r="W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IF($C645="","",IF($L645="","",IF($K645=1,IF(COUNTIFS(nrES_PID,$D645,nrES_Code,$F645,nrES_Att,2)&gt;0,"",$L645),IF(COUNTIFS(nrES_PID,$D645,nrES_Code,$F645,nrES_Att,1)=0,$L645,IF($L645&gt;=$J645,cfgRetakeRecordedCap,SUMIFS(nrES_Raw,nrES_PID,$D645,nrES_Code,$F645,nrES_Att,1))))))</f>
        <v/>
      </c>
      <c r="N645" s="17">
        <f>IF($C645="","",IF($L645="","",IF($L645&gt;=$J645,"Yes","No")))</f>
        <v/>
      </c>
      <c r="O645" s="17">
        <f>IF($C645="","",IF($M645="","",IF($M645&gt;=$J645,"Yes","No")))</f>
        <v/>
      </c>
      <c r="P645" s="17">
        <f>IF($C645="","",IF($K645="","",IF(COUNTIFS(nrES_PID,$D645,nrES_Code,$F645,nrES_Att,"&gt;"&amp;$K645)=0,"Yes","No")))</f>
        <v/>
      </c>
      <c r="Q645" s="17">
        <f>IF($C645="","",IF($L645="","",IF(AND($K645=1,$L645&lt;$J645,COUNTIFS(nrES_PID,$D645,nrES_Code,$F645,nrES_Att,2)=0),"Yes","No")))</f>
        <v/>
      </c>
      <c r="R645" s="17">
        <f>IF($C645="","",IF($L645="","",IF(AND($K645=2,$L645&lt;$J645,COUNTIFS(nrES_PID,$D645,nrES_Code,$F645,nrES_Att,1)&gt;0),"Yes","No")))</f>
        <v/>
      </c>
      <c r="S645" s="18" t="n"/>
      <c r="T645" s="19">
        <f>IF($Q645&lt;&gt;"Yes","",IF($S645="","(enter date)",_xlfn.LET(_xlpm.dn,IFERROR(_xlfn.XLOOKUP($S645,nrCDdate,nrCDnum),""),IF(_xlpm.dn="","(not a class day)",IFERROR(_xlfn.XLOOKUP(_xlpm.dn+cfgRetestClassDays,nrCDnum,nrCDdate),"")))))</f>
        <v/>
      </c>
      <c r="U645" s="17">
        <f>IF($Q645&lt;&gt;"Yes","",IF(COUNTIFS(nrES_PID,$D645,nrES_Code,$F645,nrES_Att,2)&gt;0,"Retested",IF(OR($T645="",NOT(ISNUMBER($T645))),"Pending",IF(TODAY()&gt;$T645,"OVERDUE","Due "&amp;TEXT($T645,"mm/dd")))))</f>
        <v/>
      </c>
      <c r="V645" s="16" t="n"/>
      <c r="W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IF($C646="","",IF($L646="","",IF($K646=1,IF(COUNTIFS(nrES_PID,$D646,nrES_Code,$F646,nrES_Att,2)&gt;0,"",$L646),IF(COUNTIFS(nrES_PID,$D646,nrES_Code,$F646,nrES_Att,1)=0,$L646,IF($L646&gt;=$J646,cfgRetakeRecordedCap,SUMIFS(nrES_Raw,nrES_PID,$D646,nrES_Code,$F646,nrES_Att,1))))))</f>
        <v/>
      </c>
      <c r="N646" s="17">
        <f>IF($C646="","",IF($L646="","",IF($L646&gt;=$J646,"Yes","No")))</f>
        <v/>
      </c>
      <c r="O646" s="17">
        <f>IF($C646="","",IF($M646="","",IF($M646&gt;=$J646,"Yes","No")))</f>
        <v/>
      </c>
      <c r="P646" s="17">
        <f>IF($C646="","",IF($K646="","",IF(COUNTIFS(nrES_PID,$D646,nrES_Code,$F646,nrES_Att,"&gt;"&amp;$K646)=0,"Yes","No")))</f>
        <v/>
      </c>
      <c r="Q646" s="17">
        <f>IF($C646="","",IF($L646="","",IF(AND($K646=1,$L646&lt;$J646,COUNTIFS(nrES_PID,$D646,nrES_Code,$F646,nrES_Att,2)=0),"Yes","No")))</f>
        <v/>
      </c>
      <c r="R646" s="17">
        <f>IF($C646="","",IF($L646="","",IF(AND($K646=2,$L646&lt;$J646,COUNTIFS(nrES_PID,$D646,nrES_Code,$F646,nrES_Att,1)&gt;0),"Yes","No")))</f>
        <v/>
      </c>
      <c r="S646" s="18" t="n"/>
      <c r="T646" s="19">
        <f>IF($Q646&lt;&gt;"Yes","",IF($S646="","(enter date)",_xlfn.LET(_xlpm.dn,IFERROR(_xlfn.XLOOKUP($S646,nrCDdate,nrCDnum),""),IF(_xlpm.dn="","(not a class day)",IFERROR(_xlfn.XLOOKUP(_xlpm.dn+cfgRetestClassDays,nrCDnum,nrCDdate),"")))))</f>
        <v/>
      </c>
      <c r="U646" s="17">
        <f>IF($Q646&lt;&gt;"Yes","",IF(COUNTIFS(nrES_PID,$D646,nrES_Code,$F646,nrES_Att,2)&gt;0,"Retested",IF(OR($T646="",NOT(ISNUMBER($T646))),"Pending",IF(TODAY()&gt;$T646,"OVERDUE","Due "&amp;TEXT($T646,"mm/dd")))))</f>
        <v/>
      </c>
      <c r="V646" s="16" t="n"/>
      <c r="W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IF($C647="","",IF($L647="","",IF($K647=1,IF(COUNTIFS(nrES_PID,$D647,nrES_Code,$F647,nrES_Att,2)&gt;0,"",$L647),IF(COUNTIFS(nrES_PID,$D647,nrES_Code,$F647,nrES_Att,1)=0,$L647,IF($L647&gt;=$J647,cfgRetakeRecordedCap,SUMIFS(nrES_Raw,nrES_PID,$D647,nrES_Code,$F647,nrES_Att,1))))))</f>
        <v/>
      </c>
      <c r="N647" s="17">
        <f>IF($C647="","",IF($L647="","",IF($L647&gt;=$J647,"Yes","No")))</f>
        <v/>
      </c>
      <c r="O647" s="17">
        <f>IF($C647="","",IF($M647="","",IF($M647&gt;=$J647,"Yes","No")))</f>
        <v/>
      </c>
      <c r="P647" s="17">
        <f>IF($C647="","",IF($K647="","",IF(COUNTIFS(nrES_PID,$D647,nrES_Code,$F647,nrES_Att,"&gt;"&amp;$K647)=0,"Yes","No")))</f>
        <v/>
      </c>
      <c r="Q647" s="17">
        <f>IF($C647="","",IF($L647="","",IF(AND($K647=1,$L647&lt;$J647,COUNTIFS(nrES_PID,$D647,nrES_Code,$F647,nrES_Att,2)=0),"Yes","No")))</f>
        <v/>
      </c>
      <c r="R647" s="17">
        <f>IF($C647="","",IF($L647="","",IF(AND($K647=2,$L647&lt;$J647,COUNTIFS(nrES_PID,$D647,nrES_Code,$F647,nrES_Att,1)&gt;0),"Yes","No")))</f>
        <v/>
      </c>
      <c r="S647" s="18" t="n"/>
      <c r="T647" s="19">
        <f>IF($Q647&lt;&gt;"Yes","",IF($S647="","(enter date)",_xlfn.LET(_xlpm.dn,IFERROR(_xlfn.XLOOKUP($S647,nrCDdate,nrCDnum),""),IF(_xlpm.dn="","(not a class day)",IFERROR(_xlfn.XLOOKUP(_xlpm.dn+cfgRetestClassDays,nrCDnum,nrCDdate),"")))))</f>
        <v/>
      </c>
      <c r="U647" s="17">
        <f>IF($Q647&lt;&gt;"Yes","",IF(COUNTIFS(nrES_PID,$D647,nrES_Code,$F647,nrES_Att,2)&gt;0,"Retested",IF(OR($T647="",NOT(ISNUMBER($T647))),"Pending",IF(TODAY()&gt;$T647,"OVERDUE","Due "&amp;TEXT($T647,"mm/dd")))))</f>
        <v/>
      </c>
      <c r="V647" s="16" t="n"/>
      <c r="W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IF($C648="","",IF($L648="","",IF($K648=1,IF(COUNTIFS(nrES_PID,$D648,nrES_Code,$F648,nrES_Att,2)&gt;0,"",$L648),IF(COUNTIFS(nrES_PID,$D648,nrES_Code,$F648,nrES_Att,1)=0,$L648,IF($L648&gt;=$J648,cfgRetakeRecordedCap,SUMIFS(nrES_Raw,nrES_PID,$D648,nrES_Code,$F648,nrES_Att,1))))))</f>
        <v/>
      </c>
      <c r="N648" s="17">
        <f>IF($C648="","",IF($L648="","",IF($L648&gt;=$J648,"Yes","No")))</f>
        <v/>
      </c>
      <c r="O648" s="17">
        <f>IF($C648="","",IF($M648="","",IF($M648&gt;=$J648,"Yes","No")))</f>
        <v/>
      </c>
      <c r="P648" s="17">
        <f>IF($C648="","",IF($K648="","",IF(COUNTIFS(nrES_PID,$D648,nrES_Code,$F648,nrES_Att,"&gt;"&amp;$K648)=0,"Yes","No")))</f>
        <v/>
      </c>
      <c r="Q648" s="17">
        <f>IF($C648="","",IF($L648="","",IF(AND($K648=1,$L648&lt;$J648,COUNTIFS(nrES_PID,$D648,nrES_Code,$F648,nrES_Att,2)=0),"Yes","No")))</f>
        <v/>
      </c>
      <c r="R648" s="17">
        <f>IF($C648="","",IF($L648="","",IF(AND($K648=2,$L648&lt;$J648,COUNTIFS(nrES_PID,$D648,nrES_Code,$F648,nrES_Att,1)&gt;0),"Yes","No")))</f>
        <v/>
      </c>
      <c r="S648" s="18" t="n"/>
      <c r="T648" s="19">
        <f>IF($Q648&lt;&gt;"Yes","",IF($S648="","(enter date)",_xlfn.LET(_xlpm.dn,IFERROR(_xlfn.XLOOKUP($S648,nrCDdate,nrCDnum),""),IF(_xlpm.dn="","(not a class day)",IFERROR(_xlfn.XLOOKUP(_xlpm.dn+cfgRetestClassDays,nrCDnum,nrCDdate),"")))))</f>
        <v/>
      </c>
      <c r="U648" s="17">
        <f>IF($Q648&lt;&gt;"Yes","",IF(COUNTIFS(nrES_PID,$D648,nrES_Code,$F648,nrES_Att,2)&gt;0,"Retested",IF(OR($T648="",NOT(ISNUMBER($T648))),"Pending",IF(TODAY()&gt;$T648,"OVERDUE","Due "&amp;TEXT($T648,"mm/dd")))))</f>
        <v/>
      </c>
      <c r="V648" s="16" t="n"/>
      <c r="W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IF($C649="","",IF($L649="","",IF($K649=1,IF(COUNTIFS(nrES_PID,$D649,nrES_Code,$F649,nrES_Att,2)&gt;0,"",$L649),IF(COUNTIFS(nrES_PID,$D649,nrES_Code,$F649,nrES_Att,1)=0,$L649,IF($L649&gt;=$J649,cfgRetakeRecordedCap,SUMIFS(nrES_Raw,nrES_PID,$D649,nrES_Code,$F649,nrES_Att,1))))))</f>
        <v/>
      </c>
      <c r="N649" s="17">
        <f>IF($C649="","",IF($L649="","",IF($L649&gt;=$J649,"Yes","No")))</f>
        <v/>
      </c>
      <c r="O649" s="17">
        <f>IF($C649="","",IF($M649="","",IF($M649&gt;=$J649,"Yes","No")))</f>
        <v/>
      </c>
      <c r="P649" s="17">
        <f>IF($C649="","",IF($K649="","",IF(COUNTIFS(nrES_PID,$D649,nrES_Code,$F649,nrES_Att,"&gt;"&amp;$K649)=0,"Yes","No")))</f>
        <v/>
      </c>
      <c r="Q649" s="17">
        <f>IF($C649="","",IF($L649="","",IF(AND($K649=1,$L649&lt;$J649,COUNTIFS(nrES_PID,$D649,nrES_Code,$F649,nrES_Att,2)=0),"Yes","No")))</f>
        <v/>
      </c>
      <c r="R649" s="17">
        <f>IF($C649="","",IF($L649="","",IF(AND($K649=2,$L649&lt;$J649,COUNTIFS(nrES_PID,$D649,nrES_Code,$F649,nrES_Att,1)&gt;0),"Yes","No")))</f>
        <v/>
      </c>
      <c r="S649" s="18" t="n"/>
      <c r="T649" s="19">
        <f>IF($Q649&lt;&gt;"Yes","",IF($S649="","(enter date)",_xlfn.LET(_xlpm.dn,IFERROR(_xlfn.XLOOKUP($S649,nrCDdate,nrCDnum),""),IF(_xlpm.dn="","(not a class day)",IFERROR(_xlfn.XLOOKUP(_xlpm.dn+cfgRetestClassDays,nrCDnum,nrCDdate),"")))))</f>
        <v/>
      </c>
      <c r="U649" s="17">
        <f>IF($Q649&lt;&gt;"Yes","",IF(COUNTIFS(nrES_PID,$D649,nrES_Code,$F649,nrES_Att,2)&gt;0,"Retested",IF(OR($T649="",NOT(ISNUMBER($T649))),"Pending",IF(TODAY()&gt;$T649,"OVERDUE","Due "&amp;TEXT($T649,"mm/dd")))))</f>
        <v/>
      </c>
      <c r="V649" s="16" t="n"/>
      <c r="W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IF($C650="","",IF($L650="","",IF($K650=1,IF(COUNTIFS(nrES_PID,$D650,nrES_Code,$F650,nrES_Att,2)&gt;0,"",$L650),IF(COUNTIFS(nrES_PID,$D650,nrES_Code,$F650,nrES_Att,1)=0,$L650,IF($L650&gt;=$J650,cfgRetakeRecordedCap,SUMIFS(nrES_Raw,nrES_PID,$D650,nrES_Code,$F650,nrES_Att,1))))))</f>
        <v/>
      </c>
      <c r="N650" s="17">
        <f>IF($C650="","",IF($L650="","",IF($L650&gt;=$J650,"Yes","No")))</f>
        <v/>
      </c>
      <c r="O650" s="17">
        <f>IF($C650="","",IF($M650="","",IF($M650&gt;=$J650,"Yes","No")))</f>
        <v/>
      </c>
      <c r="P650" s="17">
        <f>IF($C650="","",IF($K650="","",IF(COUNTIFS(nrES_PID,$D650,nrES_Code,$F650,nrES_Att,"&gt;"&amp;$K650)=0,"Yes","No")))</f>
        <v/>
      </c>
      <c r="Q650" s="17">
        <f>IF($C650="","",IF($L650="","",IF(AND($K650=1,$L650&lt;$J650,COUNTIFS(nrES_PID,$D650,nrES_Code,$F650,nrES_Att,2)=0),"Yes","No")))</f>
        <v/>
      </c>
      <c r="R650" s="17">
        <f>IF($C650="","",IF($L650="","",IF(AND($K650=2,$L650&lt;$J650,COUNTIFS(nrES_PID,$D650,nrES_Code,$F650,nrES_Att,1)&gt;0),"Yes","No")))</f>
        <v/>
      </c>
      <c r="S650" s="18" t="n"/>
      <c r="T650" s="19">
        <f>IF($Q650&lt;&gt;"Yes","",IF($S650="","(enter date)",_xlfn.LET(_xlpm.dn,IFERROR(_xlfn.XLOOKUP($S650,nrCDdate,nrCDnum),""),IF(_xlpm.dn="","(not a class day)",IFERROR(_xlfn.XLOOKUP(_xlpm.dn+cfgRetestClassDays,nrCDnum,nrCDdate),"")))))</f>
        <v/>
      </c>
      <c r="U650" s="17">
        <f>IF($Q650&lt;&gt;"Yes","",IF(COUNTIFS(nrES_PID,$D650,nrES_Code,$F650,nrES_Att,2)&gt;0,"Retested",IF(OR($T650="",NOT(ISNUMBER($T650))),"Pending",IF(TODAY()&gt;$T650,"OVERDUE","Due "&amp;TEXT($T650,"mm/dd")))))</f>
        <v/>
      </c>
      <c r="V650" s="16" t="n"/>
      <c r="W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IF($C651="","",IF($L651="","",IF($K651=1,IF(COUNTIFS(nrES_PID,$D651,nrES_Code,$F651,nrES_Att,2)&gt;0,"",$L651),IF(COUNTIFS(nrES_PID,$D651,nrES_Code,$F651,nrES_Att,1)=0,$L651,IF($L651&gt;=$J651,cfgRetakeRecordedCap,SUMIFS(nrES_Raw,nrES_PID,$D651,nrES_Code,$F651,nrES_Att,1))))))</f>
        <v/>
      </c>
      <c r="N651" s="17">
        <f>IF($C651="","",IF($L651="","",IF($L651&gt;=$J651,"Yes","No")))</f>
        <v/>
      </c>
      <c r="O651" s="17">
        <f>IF($C651="","",IF($M651="","",IF($M651&gt;=$J651,"Yes","No")))</f>
        <v/>
      </c>
      <c r="P651" s="17">
        <f>IF($C651="","",IF($K651="","",IF(COUNTIFS(nrES_PID,$D651,nrES_Code,$F651,nrES_Att,"&gt;"&amp;$K651)=0,"Yes","No")))</f>
        <v/>
      </c>
      <c r="Q651" s="17">
        <f>IF($C651="","",IF($L651="","",IF(AND($K651=1,$L651&lt;$J651,COUNTIFS(nrES_PID,$D651,nrES_Code,$F651,nrES_Att,2)=0),"Yes","No")))</f>
        <v/>
      </c>
      <c r="R651" s="17">
        <f>IF($C651="","",IF($L651="","",IF(AND($K651=2,$L651&lt;$J651,COUNTIFS(nrES_PID,$D651,nrES_Code,$F651,nrES_Att,1)&gt;0),"Yes","No")))</f>
        <v/>
      </c>
      <c r="S651" s="18" t="n"/>
      <c r="T651" s="19">
        <f>IF($Q651&lt;&gt;"Yes","",IF($S651="","(enter date)",_xlfn.LET(_xlpm.dn,IFERROR(_xlfn.XLOOKUP($S651,nrCDdate,nrCDnum),""),IF(_xlpm.dn="","(not a class day)",IFERROR(_xlfn.XLOOKUP(_xlpm.dn+cfgRetestClassDays,nrCDnum,nrCDdate),"")))))</f>
        <v/>
      </c>
      <c r="U651" s="17">
        <f>IF($Q651&lt;&gt;"Yes","",IF(COUNTIFS(nrES_PID,$D651,nrES_Code,$F651,nrES_Att,2)&gt;0,"Retested",IF(OR($T651="",NOT(ISNUMBER($T651))),"Pending",IF(TODAY()&gt;$T651,"OVERDUE","Due "&amp;TEXT($T651,"mm/dd")))))</f>
        <v/>
      </c>
      <c r="V651" s="16" t="n"/>
      <c r="W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IF($C652="","",IF($L652="","",IF($K652=1,IF(COUNTIFS(nrES_PID,$D652,nrES_Code,$F652,nrES_Att,2)&gt;0,"",$L652),IF(COUNTIFS(nrES_PID,$D652,nrES_Code,$F652,nrES_Att,1)=0,$L652,IF($L652&gt;=$J652,cfgRetakeRecordedCap,SUMIFS(nrES_Raw,nrES_PID,$D652,nrES_Code,$F652,nrES_Att,1))))))</f>
        <v/>
      </c>
      <c r="N652" s="17">
        <f>IF($C652="","",IF($L652="","",IF($L652&gt;=$J652,"Yes","No")))</f>
        <v/>
      </c>
      <c r="O652" s="17">
        <f>IF($C652="","",IF($M652="","",IF($M652&gt;=$J652,"Yes","No")))</f>
        <v/>
      </c>
      <c r="P652" s="17">
        <f>IF($C652="","",IF($K652="","",IF(COUNTIFS(nrES_PID,$D652,nrES_Code,$F652,nrES_Att,"&gt;"&amp;$K652)=0,"Yes","No")))</f>
        <v/>
      </c>
      <c r="Q652" s="17">
        <f>IF($C652="","",IF($L652="","",IF(AND($K652=1,$L652&lt;$J652,COUNTIFS(nrES_PID,$D652,nrES_Code,$F652,nrES_Att,2)=0),"Yes","No")))</f>
        <v/>
      </c>
      <c r="R652" s="17">
        <f>IF($C652="","",IF($L652="","",IF(AND($K652=2,$L652&lt;$J652,COUNTIFS(nrES_PID,$D652,nrES_Code,$F652,nrES_Att,1)&gt;0),"Yes","No")))</f>
        <v/>
      </c>
      <c r="S652" s="18" t="n"/>
      <c r="T652" s="19">
        <f>IF($Q652&lt;&gt;"Yes","",IF($S652="","(enter date)",_xlfn.LET(_xlpm.dn,IFERROR(_xlfn.XLOOKUP($S652,nrCDdate,nrCDnum),""),IF(_xlpm.dn="","(not a class day)",IFERROR(_xlfn.XLOOKUP(_xlpm.dn+cfgRetestClassDays,nrCDnum,nrCDdate),"")))))</f>
        <v/>
      </c>
      <c r="U652" s="17">
        <f>IF($Q652&lt;&gt;"Yes","",IF(COUNTIFS(nrES_PID,$D652,nrES_Code,$F652,nrES_Att,2)&gt;0,"Retested",IF(OR($T652="",NOT(ISNUMBER($T652))),"Pending",IF(TODAY()&gt;$T652,"OVERDUE","Due "&amp;TEXT($T652,"mm/dd")))))</f>
        <v/>
      </c>
      <c r="V652" s="16" t="n"/>
      <c r="W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IF($C653="","",IF($L653="","",IF($K653=1,IF(COUNTIFS(nrES_PID,$D653,nrES_Code,$F653,nrES_Att,2)&gt;0,"",$L653),IF(COUNTIFS(nrES_PID,$D653,nrES_Code,$F653,nrES_Att,1)=0,$L653,IF($L653&gt;=$J653,cfgRetakeRecordedCap,SUMIFS(nrES_Raw,nrES_PID,$D653,nrES_Code,$F653,nrES_Att,1))))))</f>
        <v/>
      </c>
      <c r="N653" s="17">
        <f>IF($C653="","",IF($L653="","",IF($L653&gt;=$J653,"Yes","No")))</f>
        <v/>
      </c>
      <c r="O653" s="17">
        <f>IF($C653="","",IF($M653="","",IF($M653&gt;=$J653,"Yes","No")))</f>
        <v/>
      </c>
      <c r="P653" s="17">
        <f>IF($C653="","",IF($K653="","",IF(COUNTIFS(nrES_PID,$D653,nrES_Code,$F653,nrES_Att,"&gt;"&amp;$K653)=0,"Yes","No")))</f>
        <v/>
      </c>
      <c r="Q653" s="17">
        <f>IF($C653="","",IF($L653="","",IF(AND($K653=1,$L653&lt;$J653,COUNTIFS(nrES_PID,$D653,nrES_Code,$F653,nrES_Att,2)=0),"Yes","No")))</f>
        <v/>
      </c>
      <c r="R653" s="17">
        <f>IF($C653="","",IF($L653="","",IF(AND($K653=2,$L653&lt;$J653,COUNTIFS(nrES_PID,$D653,nrES_Code,$F653,nrES_Att,1)&gt;0),"Yes","No")))</f>
        <v/>
      </c>
      <c r="S653" s="18" t="n"/>
      <c r="T653" s="19">
        <f>IF($Q653&lt;&gt;"Yes","",IF($S653="","(enter date)",_xlfn.LET(_xlpm.dn,IFERROR(_xlfn.XLOOKUP($S653,nrCDdate,nrCDnum),""),IF(_xlpm.dn="","(not a class day)",IFERROR(_xlfn.XLOOKUP(_xlpm.dn+cfgRetestClassDays,nrCDnum,nrCDdate),"")))))</f>
        <v/>
      </c>
      <c r="U653" s="17">
        <f>IF($Q653&lt;&gt;"Yes","",IF(COUNTIFS(nrES_PID,$D653,nrES_Code,$F653,nrES_Att,2)&gt;0,"Retested",IF(OR($T653="",NOT(ISNUMBER($T653))),"Pending",IF(TODAY()&gt;$T653,"OVERDUE","Due "&amp;TEXT($T653,"mm/dd")))))</f>
        <v/>
      </c>
      <c r="V653" s="16" t="n"/>
      <c r="W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IF($C654="","",IF($L654="","",IF($K654=1,IF(COUNTIFS(nrES_PID,$D654,nrES_Code,$F654,nrES_Att,2)&gt;0,"",$L654),IF(COUNTIFS(nrES_PID,$D654,nrES_Code,$F654,nrES_Att,1)=0,$L654,IF($L654&gt;=$J654,cfgRetakeRecordedCap,SUMIFS(nrES_Raw,nrES_PID,$D654,nrES_Code,$F654,nrES_Att,1))))))</f>
        <v/>
      </c>
      <c r="N654" s="17">
        <f>IF($C654="","",IF($L654="","",IF($L654&gt;=$J654,"Yes","No")))</f>
        <v/>
      </c>
      <c r="O654" s="17">
        <f>IF($C654="","",IF($M654="","",IF($M654&gt;=$J654,"Yes","No")))</f>
        <v/>
      </c>
      <c r="P654" s="17">
        <f>IF($C654="","",IF($K654="","",IF(COUNTIFS(nrES_PID,$D654,nrES_Code,$F654,nrES_Att,"&gt;"&amp;$K654)=0,"Yes","No")))</f>
        <v/>
      </c>
      <c r="Q654" s="17">
        <f>IF($C654="","",IF($L654="","",IF(AND($K654=1,$L654&lt;$J654,COUNTIFS(nrES_PID,$D654,nrES_Code,$F654,nrES_Att,2)=0),"Yes","No")))</f>
        <v/>
      </c>
      <c r="R654" s="17">
        <f>IF($C654="","",IF($L654="","",IF(AND($K654=2,$L654&lt;$J654,COUNTIFS(nrES_PID,$D654,nrES_Code,$F654,nrES_Att,1)&gt;0),"Yes","No")))</f>
        <v/>
      </c>
      <c r="S654" s="18" t="n"/>
      <c r="T654" s="19">
        <f>IF($Q654&lt;&gt;"Yes","",IF($S654="","(enter date)",_xlfn.LET(_xlpm.dn,IFERROR(_xlfn.XLOOKUP($S654,nrCDdate,nrCDnum),""),IF(_xlpm.dn="","(not a class day)",IFERROR(_xlfn.XLOOKUP(_xlpm.dn+cfgRetestClassDays,nrCDnum,nrCDdate),"")))))</f>
        <v/>
      </c>
      <c r="U654" s="17">
        <f>IF($Q654&lt;&gt;"Yes","",IF(COUNTIFS(nrES_PID,$D654,nrES_Code,$F654,nrES_Att,2)&gt;0,"Retested",IF(OR($T654="",NOT(ISNUMBER($T654))),"Pending",IF(TODAY()&gt;$T654,"OVERDUE","Due "&amp;TEXT($T654,"mm/dd")))))</f>
        <v/>
      </c>
      <c r="V654" s="16" t="n"/>
      <c r="W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IF($C655="","",IF($L655="","",IF($K655=1,IF(COUNTIFS(nrES_PID,$D655,nrES_Code,$F655,nrES_Att,2)&gt;0,"",$L655),IF(COUNTIFS(nrES_PID,$D655,nrES_Code,$F655,nrES_Att,1)=0,$L655,IF($L655&gt;=$J655,cfgRetakeRecordedCap,SUMIFS(nrES_Raw,nrES_PID,$D655,nrES_Code,$F655,nrES_Att,1))))))</f>
        <v/>
      </c>
      <c r="N655" s="17">
        <f>IF($C655="","",IF($L655="","",IF($L655&gt;=$J655,"Yes","No")))</f>
        <v/>
      </c>
      <c r="O655" s="17">
        <f>IF($C655="","",IF($M655="","",IF($M655&gt;=$J655,"Yes","No")))</f>
        <v/>
      </c>
      <c r="P655" s="17">
        <f>IF($C655="","",IF($K655="","",IF(COUNTIFS(nrES_PID,$D655,nrES_Code,$F655,nrES_Att,"&gt;"&amp;$K655)=0,"Yes","No")))</f>
        <v/>
      </c>
      <c r="Q655" s="17">
        <f>IF($C655="","",IF($L655="","",IF(AND($K655=1,$L655&lt;$J655,COUNTIFS(nrES_PID,$D655,nrES_Code,$F655,nrES_Att,2)=0),"Yes","No")))</f>
        <v/>
      </c>
      <c r="R655" s="17">
        <f>IF($C655="","",IF($L655="","",IF(AND($K655=2,$L655&lt;$J655,COUNTIFS(nrES_PID,$D655,nrES_Code,$F655,nrES_Att,1)&gt;0),"Yes","No")))</f>
        <v/>
      </c>
      <c r="S655" s="18" t="n"/>
      <c r="T655" s="19">
        <f>IF($Q655&lt;&gt;"Yes","",IF($S655="","(enter date)",_xlfn.LET(_xlpm.dn,IFERROR(_xlfn.XLOOKUP($S655,nrCDdate,nrCDnum),""),IF(_xlpm.dn="","(not a class day)",IFERROR(_xlfn.XLOOKUP(_xlpm.dn+cfgRetestClassDays,nrCDnum,nrCDdate),"")))))</f>
        <v/>
      </c>
      <c r="U655" s="17">
        <f>IF($Q655&lt;&gt;"Yes","",IF(COUNTIFS(nrES_PID,$D655,nrES_Code,$F655,nrES_Att,2)&gt;0,"Retested",IF(OR($T655="",NOT(ISNUMBER($T655))),"Pending",IF(TODAY()&gt;$T655,"OVERDUE","Due "&amp;TEXT($T655,"mm/dd")))))</f>
        <v/>
      </c>
      <c r="V655" s="16" t="n"/>
      <c r="W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IF($C656="","",IF($L656="","",IF($K656=1,IF(COUNTIFS(nrES_PID,$D656,nrES_Code,$F656,nrES_Att,2)&gt;0,"",$L656),IF(COUNTIFS(nrES_PID,$D656,nrES_Code,$F656,nrES_Att,1)=0,$L656,IF($L656&gt;=$J656,cfgRetakeRecordedCap,SUMIFS(nrES_Raw,nrES_PID,$D656,nrES_Code,$F656,nrES_Att,1))))))</f>
        <v/>
      </c>
      <c r="N656" s="17">
        <f>IF($C656="","",IF($L656="","",IF($L656&gt;=$J656,"Yes","No")))</f>
        <v/>
      </c>
      <c r="O656" s="17">
        <f>IF($C656="","",IF($M656="","",IF($M656&gt;=$J656,"Yes","No")))</f>
        <v/>
      </c>
      <c r="P656" s="17">
        <f>IF($C656="","",IF($K656="","",IF(COUNTIFS(nrES_PID,$D656,nrES_Code,$F656,nrES_Att,"&gt;"&amp;$K656)=0,"Yes","No")))</f>
        <v/>
      </c>
      <c r="Q656" s="17">
        <f>IF($C656="","",IF($L656="","",IF(AND($K656=1,$L656&lt;$J656,COUNTIFS(nrES_PID,$D656,nrES_Code,$F656,nrES_Att,2)=0),"Yes","No")))</f>
        <v/>
      </c>
      <c r="R656" s="17">
        <f>IF($C656="","",IF($L656="","",IF(AND($K656=2,$L656&lt;$J656,COUNTIFS(nrES_PID,$D656,nrES_Code,$F656,nrES_Att,1)&gt;0),"Yes","No")))</f>
        <v/>
      </c>
      <c r="S656" s="18" t="n"/>
      <c r="T656" s="19">
        <f>IF($Q656&lt;&gt;"Yes","",IF($S656="","(enter date)",_xlfn.LET(_xlpm.dn,IFERROR(_xlfn.XLOOKUP($S656,nrCDdate,nrCDnum),""),IF(_xlpm.dn="","(not a class day)",IFERROR(_xlfn.XLOOKUP(_xlpm.dn+cfgRetestClassDays,nrCDnum,nrCDdate),"")))))</f>
        <v/>
      </c>
      <c r="U656" s="17">
        <f>IF($Q656&lt;&gt;"Yes","",IF(COUNTIFS(nrES_PID,$D656,nrES_Code,$F656,nrES_Att,2)&gt;0,"Retested",IF(OR($T656="",NOT(ISNUMBER($T656))),"Pending",IF(TODAY()&gt;$T656,"OVERDUE","Due "&amp;TEXT($T656,"mm/dd")))))</f>
        <v/>
      </c>
      <c r="V656" s="16" t="n"/>
      <c r="W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IF($C657="","",IF($L657="","",IF($K657=1,IF(COUNTIFS(nrES_PID,$D657,nrES_Code,$F657,nrES_Att,2)&gt;0,"",$L657),IF(COUNTIFS(nrES_PID,$D657,nrES_Code,$F657,nrES_Att,1)=0,$L657,IF($L657&gt;=$J657,cfgRetakeRecordedCap,SUMIFS(nrES_Raw,nrES_PID,$D657,nrES_Code,$F657,nrES_Att,1))))))</f>
        <v/>
      </c>
      <c r="N657" s="17">
        <f>IF($C657="","",IF($L657="","",IF($L657&gt;=$J657,"Yes","No")))</f>
        <v/>
      </c>
      <c r="O657" s="17">
        <f>IF($C657="","",IF($M657="","",IF($M657&gt;=$J657,"Yes","No")))</f>
        <v/>
      </c>
      <c r="P657" s="17">
        <f>IF($C657="","",IF($K657="","",IF(COUNTIFS(nrES_PID,$D657,nrES_Code,$F657,nrES_Att,"&gt;"&amp;$K657)=0,"Yes","No")))</f>
        <v/>
      </c>
      <c r="Q657" s="17">
        <f>IF($C657="","",IF($L657="","",IF(AND($K657=1,$L657&lt;$J657,COUNTIFS(nrES_PID,$D657,nrES_Code,$F657,nrES_Att,2)=0),"Yes","No")))</f>
        <v/>
      </c>
      <c r="R657" s="17">
        <f>IF($C657="","",IF($L657="","",IF(AND($K657=2,$L657&lt;$J657,COUNTIFS(nrES_PID,$D657,nrES_Code,$F657,nrES_Att,1)&gt;0),"Yes","No")))</f>
        <v/>
      </c>
      <c r="S657" s="18" t="n"/>
      <c r="T657" s="19">
        <f>IF($Q657&lt;&gt;"Yes","",IF($S657="","(enter date)",_xlfn.LET(_xlpm.dn,IFERROR(_xlfn.XLOOKUP($S657,nrCDdate,nrCDnum),""),IF(_xlpm.dn="","(not a class day)",IFERROR(_xlfn.XLOOKUP(_xlpm.dn+cfgRetestClassDays,nrCDnum,nrCDdate),"")))))</f>
        <v/>
      </c>
      <c r="U657" s="17">
        <f>IF($Q657&lt;&gt;"Yes","",IF(COUNTIFS(nrES_PID,$D657,nrES_Code,$F657,nrES_Att,2)&gt;0,"Retested",IF(OR($T657="",NOT(ISNUMBER($T657))),"Pending",IF(TODAY()&gt;$T657,"OVERDUE","Due "&amp;TEXT($T657,"mm/dd")))))</f>
        <v/>
      </c>
      <c r="V657" s="16" t="n"/>
      <c r="W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IF($C658="","",IF($L658="","",IF($K658=1,IF(COUNTIFS(nrES_PID,$D658,nrES_Code,$F658,nrES_Att,2)&gt;0,"",$L658),IF(COUNTIFS(nrES_PID,$D658,nrES_Code,$F658,nrES_Att,1)=0,$L658,IF($L658&gt;=$J658,cfgRetakeRecordedCap,SUMIFS(nrES_Raw,nrES_PID,$D658,nrES_Code,$F658,nrES_Att,1))))))</f>
        <v/>
      </c>
      <c r="N658" s="17">
        <f>IF($C658="","",IF($L658="","",IF($L658&gt;=$J658,"Yes","No")))</f>
        <v/>
      </c>
      <c r="O658" s="17">
        <f>IF($C658="","",IF($M658="","",IF($M658&gt;=$J658,"Yes","No")))</f>
        <v/>
      </c>
      <c r="P658" s="17">
        <f>IF($C658="","",IF($K658="","",IF(COUNTIFS(nrES_PID,$D658,nrES_Code,$F658,nrES_Att,"&gt;"&amp;$K658)=0,"Yes","No")))</f>
        <v/>
      </c>
      <c r="Q658" s="17">
        <f>IF($C658="","",IF($L658="","",IF(AND($K658=1,$L658&lt;$J658,COUNTIFS(nrES_PID,$D658,nrES_Code,$F658,nrES_Att,2)=0),"Yes","No")))</f>
        <v/>
      </c>
      <c r="R658" s="17">
        <f>IF($C658="","",IF($L658="","",IF(AND($K658=2,$L658&lt;$J658,COUNTIFS(nrES_PID,$D658,nrES_Code,$F658,nrES_Att,1)&gt;0),"Yes","No")))</f>
        <v/>
      </c>
      <c r="S658" s="18" t="n"/>
      <c r="T658" s="19">
        <f>IF($Q658&lt;&gt;"Yes","",IF($S658="","(enter date)",_xlfn.LET(_xlpm.dn,IFERROR(_xlfn.XLOOKUP($S658,nrCDdate,nrCDnum),""),IF(_xlpm.dn="","(not a class day)",IFERROR(_xlfn.XLOOKUP(_xlpm.dn+cfgRetestClassDays,nrCDnum,nrCDdate),"")))))</f>
        <v/>
      </c>
      <c r="U658" s="17">
        <f>IF($Q658&lt;&gt;"Yes","",IF(COUNTIFS(nrES_PID,$D658,nrES_Code,$F658,nrES_Att,2)&gt;0,"Retested",IF(OR($T658="",NOT(ISNUMBER($T658))),"Pending",IF(TODAY()&gt;$T658,"OVERDUE","Due "&amp;TEXT($T658,"mm/dd")))))</f>
        <v/>
      </c>
      <c r="V658" s="16" t="n"/>
      <c r="W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IF($C659="","",IF($L659="","",IF($K659=1,IF(COUNTIFS(nrES_PID,$D659,nrES_Code,$F659,nrES_Att,2)&gt;0,"",$L659),IF(COUNTIFS(nrES_PID,$D659,nrES_Code,$F659,nrES_Att,1)=0,$L659,IF($L659&gt;=$J659,cfgRetakeRecordedCap,SUMIFS(nrES_Raw,nrES_PID,$D659,nrES_Code,$F659,nrES_Att,1))))))</f>
        <v/>
      </c>
      <c r="N659" s="17">
        <f>IF($C659="","",IF($L659="","",IF($L659&gt;=$J659,"Yes","No")))</f>
        <v/>
      </c>
      <c r="O659" s="17">
        <f>IF($C659="","",IF($M659="","",IF($M659&gt;=$J659,"Yes","No")))</f>
        <v/>
      </c>
      <c r="P659" s="17">
        <f>IF($C659="","",IF($K659="","",IF(COUNTIFS(nrES_PID,$D659,nrES_Code,$F659,nrES_Att,"&gt;"&amp;$K659)=0,"Yes","No")))</f>
        <v/>
      </c>
      <c r="Q659" s="17">
        <f>IF($C659="","",IF($L659="","",IF(AND($K659=1,$L659&lt;$J659,COUNTIFS(nrES_PID,$D659,nrES_Code,$F659,nrES_Att,2)=0),"Yes","No")))</f>
        <v/>
      </c>
      <c r="R659" s="17">
        <f>IF($C659="","",IF($L659="","",IF(AND($K659=2,$L659&lt;$J659,COUNTIFS(nrES_PID,$D659,nrES_Code,$F659,nrES_Att,1)&gt;0),"Yes","No")))</f>
        <v/>
      </c>
      <c r="S659" s="18" t="n"/>
      <c r="T659" s="19">
        <f>IF($Q659&lt;&gt;"Yes","",IF($S659="","(enter date)",_xlfn.LET(_xlpm.dn,IFERROR(_xlfn.XLOOKUP($S659,nrCDdate,nrCDnum),""),IF(_xlpm.dn="","(not a class day)",IFERROR(_xlfn.XLOOKUP(_xlpm.dn+cfgRetestClassDays,nrCDnum,nrCDdate),"")))))</f>
        <v/>
      </c>
      <c r="U659" s="17">
        <f>IF($Q659&lt;&gt;"Yes","",IF(COUNTIFS(nrES_PID,$D659,nrES_Code,$F659,nrES_Att,2)&gt;0,"Retested",IF(OR($T659="",NOT(ISNUMBER($T659))),"Pending",IF(TODAY()&gt;$T659,"OVERDUE","Due "&amp;TEXT($T659,"mm/dd")))))</f>
        <v/>
      </c>
      <c r="V659" s="16" t="n"/>
      <c r="W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IF($C660="","",IF($L660="","",IF($K660=1,IF(COUNTIFS(nrES_PID,$D660,nrES_Code,$F660,nrES_Att,2)&gt;0,"",$L660),IF(COUNTIFS(nrES_PID,$D660,nrES_Code,$F660,nrES_Att,1)=0,$L660,IF($L660&gt;=$J660,cfgRetakeRecordedCap,SUMIFS(nrES_Raw,nrES_PID,$D660,nrES_Code,$F660,nrES_Att,1))))))</f>
        <v/>
      </c>
      <c r="N660" s="17">
        <f>IF($C660="","",IF($L660="","",IF($L660&gt;=$J660,"Yes","No")))</f>
        <v/>
      </c>
      <c r="O660" s="17">
        <f>IF($C660="","",IF($M660="","",IF($M660&gt;=$J660,"Yes","No")))</f>
        <v/>
      </c>
      <c r="P660" s="17">
        <f>IF($C660="","",IF($K660="","",IF(COUNTIFS(nrES_PID,$D660,nrES_Code,$F660,nrES_Att,"&gt;"&amp;$K660)=0,"Yes","No")))</f>
        <v/>
      </c>
      <c r="Q660" s="17">
        <f>IF($C660="","",IF($L660="","",IF(AND($K660=1,$L660&lt;$J660,COUNTIFS(nrES_PID,$D660,nrES_Code,$F660,nrES_Att,2)=0),"Yes","No")))</f>
        <v/>
      </c>
      <c r="R660" s="17">
        <f>IF($C660="","",IF($L660="","",IF(AND($K660=2,$L660&lt;$J660,COUNTIFS(nrES_PID,$D660,nrES_Code,$F660,nrES_Att,1)&gt;0),"Yes","No")))</f>
        <v/>
      </c>
      <c r="S660" s="18" t="n"/>
      <c r="T660" s="19">
        <f>IF($Q660&lt;&gt;"Yes","",IF($S660="","(enter date)",_xlfn.LET(_xlpm.dn,IFERROR(_xlfn.XLOOKUP($S660,nrCDdate,nrCDnum),""),IF(_xlpm.dn="","(not a class day)",IFERROR(_xlfn.XLOOKUP(_xlpm.dn+cfgRetestClassDays,nrCDnum,nrCDdate),"")))))</f>
        <v/>
      </c>
      <c r="U660" s="17">
        <f>IF($Q660&lt;&gt;"Yes","",IF(COUNTIFS(nrES_PID,$D660,nrES_Code,$F660,nrES_Att,2)&gt;0,"Retested",IF(OR($T660="",NOT(ISNUMBER($T660))),"Pending",IF(TODAY()&gt;$T660,"OVERDUE","Due "&amp;TEXT($T660,"mm/dd")))))</f>
        <v/>
      </c>
      <c r="V660" s="16" t="n"/>
      <c r="W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IF($C661="","",IF($L661="","",IF($K661=1,IF(COUNTIFS(nrES_PID,$D661,nrES_Code,$F661,nrES_Att,2)&gt;0,"",$L661),IF(COUNTIFS(nrES_PID,$D661,nrES_Code,$F661,nrES_Att,1)=0,$L661,IF($L661&gt;=$J661,cfgRetakeRecordedCap,SUMIFS(nrES_Raw,nrES_PID,$D661,nrES_Code,$F661,nrES_Att,1))))))</f>
        <v/>
      </c>
      <c r="N661" s="17">
        <f>IF($C661="","",IF($L661="","",IF($L661&gt;=$J661,"Yes","No")))</f>
        <v/>
      </c>
      <c r="O661" s="17">
        <f>IF($C661="","",IF($M661="","",IF($M661&gt;=$J661,"Yes","No")))</f>
        <v/>
      </c>
      <c r="P661" s="17">
        <f>IF($C661="","",IF($K661="","",IF(COUNTIFS(nrES_PID,$D661,nrES_Code,$F661,nrES_Att,"&gt;"&amp;$K661)=0,"Yes","No")))</f>
        <v/>
      </c>
      <c r="Q661" s="17">
        <f>IF($C661="","",IF($L661="","",IF(AND($K661=1,$L661&lt;$J661,COUNTIFS(nrES_PID,$D661,nrES_Code,$F661,nrES_Att,2)=0),"Yes","No")))</f>
        <v/>
      </c>
      <c r="R661" s="17">
        <f>IF($C661="","",IF($L661="","",IF(AND($K661=2,$L661&lt;$J661,COUNTIFS(nrES_PID,$D661,nrES_Code,$F661,nrES_Att,1)&gt;0),"Yes","No")))</f>
        <v/>
      </c>
      <c r="S661" s="18" t="n"/>
      <c r="T661" s="19">
        <f>IF($Q661&lt;&gt;"Yes","",IF($S661="","(enter date)",_xlfn.LET(_xlpm.dn,IFERROR(_xlfn.XLOOKUP($S661,nrCDdate,nrCDnum),""),IF(_xlpm.dn="","(not a class day)",IFERROR(_xlfn.XLOOKUP(_xlpm.dn+cfgRetestClassDays,nrCDnum,nrCDdate),"")))))</f>
        <v/>
      </c>
      <c r="U661" s="17">
        <f>IF($Q661&lt;&gt;"Yes","",IF(COUNTIFS(nrES_PID,$D661,nrES_Code,$F661,nrES_Att,2)&gt;0,"Retested",IF(OR($T661="",NOT(ISNUMBER($T661))),"Pending",IF(TODAY()&gt;$T661,"OVERDUE","Due "&amp;TEXT($T661,"mm/dd")))))</f>
        <v/>
      </c>
      <c r="V661" s="16" t="n"/>
      <c r="W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IF($C662="","",IF($L662="","",IF($K662=1,IF(COUNTIFS(nrES_PID,$D662,nrES_Code,$F662,nrES_Att,2)&gt;0,"",$L662),IF(COUNTIFS(nrES_PID,$D662,nrES_Code,$F662,nrES_Att,1)=0,$L662,IF($L662&gt;=$J662,cfgRetakeRecordedCap,SUMIFS(nrES_Raw,nrES_PID,$D662,nrES_Code,$F662,nrES_Att,1))))))</f>
        <v/>
      </c>
      <c r="N662" s="17">
        <f>IF($C662="","",IF($L662="","",IF($L662&gt;=$J662,"Yes","No")))</f>
        <v/>
      </c>
      <c r="O662" s="17">
        <f>IF($C662="","",IF($M662="","",IF($M662&gt;=$J662,"Yes","No")))</f>
        <v/>
      </c>
      <c r="P662" s="17">
        <f>IF($C662="","",IF($K662="","",IF(COUNTIFS(nrES_PID,$D662,nrES_Code,$F662,nrES_Att,"&gt;"&amp;$K662)=0,"Yes","No")))</f>
        <v/>
      </c>
      <c r="Q662" s="17">
        <f>IF($C662="","",IF($L662="","",IF(AND($K662=1,$L662&lt;$J662,COUNTIFS(nrES_PID,$D662,nrES_Code,$F662,nrES_Att,2)=0),"Yes","No")))</f>
        <v/>
      </c>
      <c r="R662" s="17">
        <f>IF($C662="","",IF($L662="","",IF(AND($K662=2,$L662&lt;$J662,COUNTIFS(nrES_PID,$D662,nrES_Code,$F662,nrES_Att,1)&gt;0),"Yes","No")))</f>
        <v/>
      </c>
      <c r="S662" s="18" t="n"/>
      <c r="T662" s="19">
        <f>IF($Q662&lt;&gt;"Yes","",IF($S662="","(enter date)",_xlfn.LET(_xlpm.dn,IFERROR(_xlfn.XLOOKUP($S662,nrCDdate,nrCDnum),""),IF(_xlpm.dn="","(not a class day)",IFERROR(_xlfn.XLOOKUP(_xlpm.dn+cfgRetestClassDays,nrCDnum,nrCDdate),"")))))</f>
        <v/>
      </c>
      <c r="U662" s="17">
        <f>IF($Q662&lt;&gt;"Yes","",IF(COUNTIFS(nrES_PID,$D662,nrES_Code,$F662,nrES_Att,2)&gt;0,"Retested",IF(OR($T662="",NOT(ISNUMBER($T662))),"Pending",IF(TODAY()&gt;$T662,"OVERDUE","Due "&amp;TEXT($T662,"mm/dd")))))</f>
        <v/>
      </c>
      <c r="V662" s="16" t="n"/>
      <c r="W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IF($C663="","",IF($L663="","",IF($K663=1,IF(COUNTIFS(nrES_PID,$D663,nrES_Code,$F663,nrES_Att,2)&gt;0,"",$L663),IF(COUNTIFS(nrES_PID,$D663,nrES_Code,$F663,nrES_Att,1)=0,$L663,IF($L663&gt;=$J663,cfgRetakeRecordedCap,SUMIFS(nrES_Raw,nrES_PID,$D663,nrES_Code,$F663,nrES_Att,1))))))</f>
        <v/>
      </c>
      <c r="N663" s="17">
        <f>IF($C663="","",IF($L663="","",IF($L663&gt;=$J663,"Yes","No")))</f>
        <v/>
      </c>
      <c r="O663" s="17">
        <f>IF($C663="","",IF($M663="","",IF($M663&gt;=$J663,"Yes","No")))</f>
        <v/>
      </c>
      <c r="P663" s="17">
        <f>IF($C663="","",IF($K663="","",IF(COUNTIFS(nrES_PID,$D663,nrES_Code,$F663,nrES_Att,"&gt;"&amp;$K663)=0,"Yes","No")))</f>
        <v/>
      </c>
      <c r="Q663" s="17">
        <f>IF($C663="","",IF($L663="","",IF(AND($K663=1,$L663&lt;$J663,COUNTIFS(nrES_PID,$D663,nrES_Code,$F663,nrES_Att,2)=0),"Yes","No")))</f>
        <v/>
      </c>
      <c r="R663" s="17">
        <f>IF($C663="","",IF($L663="","",IF(AND($K663=2,$L663&lt;$J663,COUNTIFS(nrES_PID,$D663,nrES_Code,$F663,nrES_Att,1)&gt;0),"Yes","No")))</f>
        <v/>
      </c>
      <c r="S663" s="18" t="n"/>
      <c r="T663" s="19">
        <f>IF($Q663&lt;&gt;"Yes","",IF($S663="","(enter date)",_xlfn.LET(_xlpm.dn,IFERROR(_xlfn.XLOOKUP($S663,nrCDdate,nrCDnum),""),IF(_xlpm.dn="","(not a class day)",IFERROR(_xlfn.XLOOKUP(_xlpm.dn+cfgRetestClassDays,nrCDnum,nrCDdate),"")))))</f>
        <v/>
      </c>
      <c r="U663" s="17">
        <f>IF($Q663&lt;&gt;"Yes","",IF(COUNTIFS(nrES_PID,$D663,nrES_Code,$F663,nrES_Att,2)&gt;0,"Retested",IF(OR($T663="",NOT(ISNUMBER($T663))),"Pending",IF(TODAY()&gt;$T663,"OVERDUE","Due "&amp;TEXT($T663,"mm/dd")))))</f>
        <v/>
      </c>
      <c r="V663" s="16" t="n"/>
      <c r="W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IF($C664="","",IF($L664="","",IF($K664=1,IF(COUNTIFS(nrES_PID,$D664,nrES_Code,$F664,nrES_Att,2)&gt;0,"",$L664),IF(COUNTIFS(nrES_PID,$D664,nrES_Code,$F664,nrES_Att,1)=0,$L664,IF($L664&gt;=$J664,cfgRetakeRecordedCap,SUMIFS(nrES_Raw,nrES_PID,$D664,nrES_Code,$F664,nrES_Att,1))))))</f>
        <v/>
      </c>
      <c r="N664" s="17">
        <f>IF($C664="","",IF($L664="","",IF($L664&gt;=$J664,"Yes","No")))</f>
        <v/>
      </c>
      <c r="O664" s="17">
        <f>IF($C664="","",IF($M664="","",IF($M664&gt;=$J664,"Yes","No")))</f>
        <v/>
      </c>
      <c r="P664" s="17">
        <f>IF($C664="","",IF($K664="","",IF(COUNTIFS(nrES_PID,$D664,nrES_Code,$F664,nrES_Att,"&gt;"&amp;$K664)=0,"Yes","No")))</f>
        <v/>
      </c>
      <c r="Q664" s="17">
        <f>IF($C664="","",IF($L664="","",IF(AND($K664=1,$L664&lt;$J664,COUNTIFS(nrES_PID,$D664,nrES_Code,$F664,nrES_Att,2)=0),"Yes","No")))</f>
        <v/>
      </c>
      <c r="R664" s="17">
        <f>IF($C664="","",IF($L664="","",IF(AND($K664=2,$L664&lt;$J664,COUNTIFS(nrES_PID,$D664,nrES_Code,$F664,nrES_Att,1)&gt;0),"Yes","No")))</f>
        <v/>
      </c>
      <c r="S664" s="18" t="n"/>
      <c r="T664" s="19">
        <f>IF($Q664&lt;&gt;"Yes","",IF($S664="","(enter date)",_xlfn.LET(_xlpm.dn,IFERROR(_xlfn.XLOOKUP($S664,nrCDdate,nrCDnum),""),IF(_xlpm.dn="","(not a class day)",IFERROR(_xlfn.XLOOKUP(_xlpm.dn+cfgRetestClassDays,nrCDnum,nrCDdate),"")))))</f>
        <v/>
      </c>
      <c r="U664" s="17">
        <f>IF($Q664&lt;&gt;"Yes","",IF(COUNTIFS(nrES_PID,$D664,nrES_Code,$F664,nrES_Att,2)&gt;0,"Retested",IF(OR($T664="",NOT(ISNUMBER($T664))),"Pending",IF(TODAY()&gt;$T664,"OVERDUE","Due "&amp;TEXT($T664,"mm/dd")))))</f>
        <v/>
      </c>
      <c r="V664" s="16" t="n"/>
      <c r="W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IF($C665="","",IF($L665="","",IF($K665=1,IF(COUNTIFS(nrES_PID,$D665,nrES_Code,$F665,nrES_Att,2)&gt;0,"",$L665),IF(COUNTIFS(nrES_PID,$D665,nrES_Code,$F665,nrES_Att,1)=0,$L665,IF($L665&gt;=$J665,cfgRetakeRecordedCap,SUMIFS(nrES_Raw,nrES_PID,$D665,nrES_Code,$F665,nrES_Att,1))))))</f>
        <v/>
      </c>
      <c r="N665" s="17">
        <f>IF($C665="","",IF($L665="","",IF($L665&gt;=$J665,"Yes","No")))</f>
        <v/>
      </c>
      <c r="O665" s="17">
        <f>IF($C665="","",IF($M665="","",IF($M665&gt;=$J665,"Yes","No")))</f>
        <v/>
      </c>
      <c r="P665" s="17">
        <f>IF($C665="","",IF($K665="","",IF(COUNTIFS(nrES_PID,$D665,nrES_Code,$F665,nrES_Att,"&gt;"&amp;$K665)=0,"Yes","No")))</f>
        <v/>
      </c>
      <c r="Q665" s="17">
        <f>IF($C665="","",IF($L665="","",IF(AND($K665=1,$L665&lt;$J665,COUNTIFS(nrES_PID,$D665,nrES_Code,$F665,nrES_Att,2)=0),"Yes","No")))</f>
        <v/>
      </c>
      <c r="R665" s="17">
        <f>IF($C665="","",IF($L665="","",IF(AND($K665=2,$L665&lt;$J665,COUNTIFS(nrES_PID,$D665,nrES_Code,$F665,nrES_Att,1)&gt;0),"Yes","No")))</f>
        <v/>
      </c>
      <c r="S665" s="18" t="n"/>
      <c r="T665" s="19">
        <f>IF($Q665&lt;&gt;"Yes","",IF($S665="","(enter date)",_xlfn.LET(_xlpm.dn,IFERROR(_xlfn.XLOOKUP($S665,nrCDdate,nrCDnum),""),IF(_xlpm.dn="","(not a class day)",IFERROR(_xlfn.XLOOKUP(_xlpm.dn+cfgRetestClassDays,nrCDnum,nrCDdate),"")))))</f>
        <v/>
      </c>
      <c r="U665" s="17">
        <f>IF($Q665&lt;&gt;"Yes","",IF(COUNTIFS(nrES_PID,$D665,nrES_Code,$F665,nrES_Att,2)&gt;0,"Retested",IF(OR($T665="",NOT(ISNUMBER($T665))),"Pending",IF(TODAY()&gt;$T665,"OVERDUE","Due "&amp;TEXT($T665,"mm/dd")))))</f>
        <v/>
      </c>
      <c r="V665" s="16" t="n"/>
      <c r="W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IF($C666="","",IF($L666="","",IF($K666=1,IF(COUNTIFS(nrES_PID,$D666,nrES_Code,$F666,nrES_Att,2)&gt;0,"",$L666),IF(COUNTIFS(nrES_PID,$D666,nrES_Code,$F666,nrES_Att,1)=0,$L666,IF($L666&gt;=$J666,cfgRetakeRecordedCap,SUMIFS(nrES_Raw,nrES_PID,$D666,nrES_Code,$F666,nrES_Att,1))))))</f>
        <v/>
      </c>
      <c r="N666" s="17">
        <f>IF($C666="","",IF($L666="","",IF($L666&gt;=$J666,"Yes","No")))</f>
        <v/>
      </c>
      <c r="O666" s="17">
        <f>IF($C666="","",IF($M666="","",IF($M666&gt;=$J666,"Yes","No")))</f>
        <v/>
      </c>
      <c r="P666" s="17">
        <f>IF($C666="","",IF($K666="","",IF(COUNTIFS(nrES_PID,$D666,nrES_Code,$F666,nrES_Att,"&gt;"&amp;$K666)=0,"Yes","No")))</f>
        <v/>
      </c>
      <c r="Q666" s="17">
        <f>IF($C666="","",IF($L666="","",IF(AND($K666=1,$L666&lt;$J666,COUNTIFS(nrES_PID,$D666,nrES_Code,$F666,nrES_Att,2)=0),"Yes","No")))</f>
        <v/>
      </c>
      <c r="R666" s="17">
        <f>IF($C666="","",IF($L666="","",IF(AND($K666=2,$L666&lt;$J666,COUNTIFS(nrES_PID,$D666,nrES_Code,$F666,nrES_Att,1)&gt;0),"Yes","No")))</f>
        <v/>
      </c>
      <c r="S666" s="18" t="n"/>
      <c r="T666" s="19">
        <f>IF($Q666&lt;&gt;"Yes","",IF($S666="","(enter date)",_xlfn.LET(_xlpm.dn,IFERROR(_xlfn.XLOOKUP($S666,nrCDdate,nrCDnum),""),IF(_xlpm.dn="","(not a class day)",IFERROR(_xlfn.XLOOKUP(_xlpm.dn+cfgRetestClassDays,nrCDnum,nrCDdate),"")))))</f>
        <v/>
      </c>
      <c r="U666" s="17">
        <f>IF($Q666&lt;&gt;"Yes","",IF(COUNTIFS(nrES_PID,$D666,nrES_Code,$F666,nrES_Att,2)&gt;0,"Retested",IF(OR($T666="",NOT(ISNUMBER($T666))),"Pending",IF(TODAY()&gt;$T666,"OVERDUE","Due "&amp;TEXT($T666,"mm/dd")))))</f>
        <v/>
      </c>
      <c r="V666" s="16" t="n"/>
      <c r="W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IF($C667="","",IF($L667="","",IF($K667=1,IF(COUNTIFS(nrES_PID,$D667,nrES_Code,$F667,nrES_Att,2)&gt;0,"",$L667),IF(COUNTIFS(nrES_PID,$D667,nrES_Code,$F667,nrES_Att,1)=0,$L667,IF($L667&gt;=$J667,cfgRetakeRecordedCap,SUMIFS(nrES_Raw,nrES_PID,$D667,nrES_Code,$F667,nrES_Att,1))))))</f>
        <v/>
      </c>
      <c r="N667" s="17">
        <f>IF($C667="","",IF($L667="","",IF($L667&gt;=$J667,"Yes","No")))</f>
        <v/>
      </c>
      <c r="O667" s="17">
        <f>IF($C667="","",IF($M667="","",IF($M667&gt;=$J667,"Yes","No")))</f>
        <v/>
      </c>
      <c r="P667" s="17">
        <f>IF($C667="","",IF($K667="","",IF(COUNTIFS(nrES_PID,$D667,nrES_Code,$F667,nrES_Att,"&gt;"&amp;$K667)=0,"Yes","No")))</f>
        <v/>
      </c>
      <c r="Q667" s="17">
        <f>IF($C667="","",IF($L667="","",IF(AND($K667=1,$L667&lt;$J667,COUNTIFS(nrES_PID,$D667,nrES_Code,$F667,nrES_Att,2)=0),"Yes","No")))</f>
        <v/>
      </c>
      <c r="R667" s="17">
        <f>IF($C667="","",IF($L667="","",IF(AND($K667=2,$L667&lt;$J667,COUNTIFS(nrES_PID,$D667,nrES_Code,$F667,nrES_Att,1)&gt;0),"Yes","No")))</f>
        <v/>
      </c>
      <c r="S667" s="18" t="n"/>
      <c r="T667" s="19">
        <f>IF($Q667&lt;&gt;"Yes","",IF($S667="","(enter date)",_xlfn.LET(_xlpm.dn,IFERROR(_xlfn.XLOOKUP($S667,nrCDdate,nrCDnum),""),IF(_xlpm.dn="","(not a class day)",IFERROR(_xlfn.XLOOKUP(_xlpm.dn+cfgRetestClassDays,nrCDnum,nrCDdate),"")))))</f>
        <v/>
      </c>
      <c r="U667" s="17">
        <f>IF($Q667&lt;&gt;"Yes","",IF(COUNTIFS(nrES_PID,$D667,nrES_Code,$F667,nrES_Att,2)&gt;0,"Retested",IF(OR($T667="",NOT(ISNUMBER($T667))),"Pending",IF(TODAY()&gt;$T667,"OVERDUE","Due "&amp;TEXT($T667,"mm/dd")))))</f>
        <v/>
      </c>
      <c r="V667" s="16" t="n"/>
      <c r="W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IF($C668="","",IF($L668="","",IF($K668=1,IF(COUNTIFS(nrES_PID,$D668,nrES_Code,$F668,nrES_Att,2)&gt;0,"",$L668),IF(COUNTIFS(nrES_PID,$D668,nrES_Code,$F668,nrES_Att,1)=0,$L668,IF($L668&gt;=$J668,cfgRetakeRecordedCap,SUMIFS(nrES_Raw,nrES_PID,$D668,nrES_Code,$F668,nrES_Att,1))))))</f>
        <v/>
      </c>
      <c r="N668" s="17">
        <f>IF($C668="","",IF($L668="","",IF($L668&gt;=$J668,"Yes","No")))</f>
        <v/>
      </c>
      <c r="O668" s="17">
        <f>IF($C668="","",IF($M668="","",IF($M668&gt;=$J668,"Yes","No")))</f>
        <v/>
      </c>
      <c r="P668" s="17">
        <f>IF($C668="","",IF($K668="","",IF(COUNTIFS(nrES_PID,$D668,nrES_Code,$F668,nrES_Att,"&gt;"&amp;$K668)=0,"Yes","No")))</f>
        <v/>
      </c>
      <c r="Q668" s="17">
        <f>IF($C668="","",IF($L668="","",IF(AND($K668=1,$L668&lt;$J668,COUNTIFS(nrES_PID,$D668,nrES_Code,$F668,nrES_Att,2)=0),"Yes","No")))</f>
        <v/>
      </c>
      <c r="R668" s="17">
        <f>IF($C668="","",IF($L668="","",IF(AND($K668=2,$L668&lt;$J668,COUNTIFS(nrES_PID,$D668,nrES_Code,$F668,nrES_Att,1)&gt;0),"Yes","No")))</f>
        <v/>
      </c>
      <c r="S668" s="18" t="n"/>
      <c r="T668" s="19">
        <f>IF($Q668&lt;&gt;"Yes","",IF($S668="","(enter date)",_xlfn.LET(_xlpm.dn,IFERROR(_xlfn.XLOOKUP($S668,nrCDdate,nrCDnum),""),IF(_xlpm.dn="","(not a class day)",IFERROR(_xlfn.XLOOKUP(_xlpm.dn+cfgRetestClassDays,nrCDnum,nrCDdate),"")))))</f>
        <v/>
      </c>
      <c r="U668" s="17">
        <f>IF($Q668&lt;&gt;"Yes","",IF(COUNTIFS(nrES_PID,$D668,nrES_Code,$F668,nrES_Att,2)&gt;0,"Retested",IF(OR($T668="",NOT(ISNUMBER($T668))),"Pending",IF(TODAY()&gt;$T668,"OVERDUE","Due "&amp;TEXT($T668,"mm/dd")))))</f>
        <v/>
      </c>
      <c r="V668" s="16" t="n"/>
      <c r="W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IF($C669="","",IF($L669="","",IF($K669=1,IF(COUNTIFS(nrES_PID,$D669,nrES_Code,$F669,nrES_Att,2)&gt;0,"",$L669),IF(COUNTIFS(nrES_PID,$D669,nrES_Code,$F669,nrES_Att,1)=0,$L669,IF($L669&gt;=$J669,cfgRetakeRecordedCap,SUMIFS(nrES_Raw,nrES_PID,$D669,nrES_Code,$F669,nrES_Att,1))))))</f>
        <v/>
      </c>
      <c r="N669" s="17">
        <f>IF($C669="","",IF($L669="","",IF($L669&gt;=$J669,"Yes","No")))</f>
        <v/>
      </c>
      <c r="O669" s="17">
        <f>IF($C669="","",IF($M669="","",IF($M669&gt;=$J669,"Yes","No")))</f>
        <v/>
      </c>
      <c r="P669" s="17">
        <f>IF($C669="","",IF($K669="","",IF(COUNTIFS(nrES_PID,$D669,nrES_Code,$F669,nrES_Att,"&gt;"&amp;$K669)=0,"Yes","No")))</f>
        <v/>
      </c>
      <c r="Q669" s="17">
        <f>IF($C669="","",IF($L669="","",IF(AND($K669=1,$L669&lt;$J669,COUNTIFS(nrES_PID,$D669,nrES_Code,$F669,nrES_Att,2)=0),"Yes","No")))</f>
        <v/>
      </c>
      <c r="R669" s="17">
        <f>IF($C669="","",IF($L669="","",IF(AND($K669=2,$L669&lt;$J669,COUNTIFS(nrES_PID,$D669,nrES_Code,$F669,nrES_Att,1)&gt;0),"Yes","No")))</f>
        <v/>
      </c>
      <c r="S669" s="18" t="n"/>
      <c r="T669" s="19">
        <f>IF($Q669&lt;&gt;"Yes","",IF($S669="","(enter date)",_xlfn.LET(_xlpm.dn,IFERROR(_xlfn.XLOOKUP($S669,nrCDdate,nrCDnum),""),IF(_xlpm.dn="","(not a class day)",IFERROR(_xlfn.XLOOKUP(_xlpm.dn+cfgRetestClassDays,nrCDnum,nrCDdate),"")))))</f>
        <v/>
      </c>
      <c r="U669" s="17">
        <f>IF($Q669&lt;&gt;"Yes","",IF(COUNTIFS(nrES_PID,$D669,nrES_Code,$F669,nrES_Att,2)&gt;0,"Retested",IF(OR($T669="",NOT(ISNUMBER($T669))),"Pending",IF(TODAY()&gt;$T669,"OVERDUE","Due "&amp;TEXT($T669,"mm/dd")))))</f>
        <v/>
      </c>
      <c r="V669" s="16" t="n"/>
      <c r="W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IF($C670="","",IF($L670="","",IF($K670=1,IF(COUNTIFS(nrES_PID,$D670,nrES_Code,$F670,nrES_Att,2)&gt;0,"",$L670),IF(COUNTIFS(nrES_PID,$D670,nrES_Code,$F670,nrES_Att,1)=0,$L670,IF($L670&gt;=$J670,cfgRetakeRecordedCap,SUMIFS(nrES_Raw,nrES_PID,$D670,nrES_Code,$F670,nrES_Att,1))))))</f>
        <v/>
      </c>
      <c r="N670" s="17">
        <f>IF($C670="","",IF($L670="","",IF($L670&gt;=$J670,"Yes","No")))</f>
        <v/>
      </c>
      <c r="O670" s="17">
        <f>IF($C670="","",IF($M670="","",IF($M670&gt;=$J670,"Yes","No")))</f>
        <v/>
      </c>
      <c r="P670" s="17">
        <f>IF($C670="","",IF($K670="","",IF(COUNTIFS(nrES_PID,$D670,nrES_Code,$F670,nrES_Att,"&gt;"&amp;$K670)=0,"Yes","No")))</f>
        <v/>
      </c>
      <c r="Q670" s="17">
        <f>IF($C670="","",IF($L670="","",IF(AND($K670=1,$L670&lt;$J670,COUNTIFS(nrES_PID,$D670,nrES_Code,$F670,nrES_Att,2)=0),"Yes","No")))</f>
        <v/>
      </c>
      <c r="R670" s="17">
        <f>IF($C670="","",IF($L670="","",IF(AND($K670=2,$L670&lt;$J670,COUNTIFS(nrES_PID,$D670,nrES_Code,$F670,nrES_Att,1)&gt;0),"Yes","No")))</f>
        <v/>
      </c>
      <c r="S670" s="18" t="n"/>
      <c r="T670" s="19">
        <f>IF($Q670&lt;&gt;"Yes","",IF($S670="","(enter date)",_xlfn.LET(_xlpm.dn,IFERROR(_xlfn.XLOOKUP($S670,nrCDdate,nrCDnum),""),IF(_xlpm.dn="","(not a class day)",IFERROR(_xlfn.XLOOKUP(_xlpm.dn+cfgRetestClassDays,nrCDnum,nrCDdate),"")))))</f>
        <v/>
      </c>
      <c r="U670" s="17">
        <f>IF($Q670&lt;&gt;"Yes","",IF(COUNTIFS(nrES_PID,$D670,nrES_Code,$F670,nrES_Att,2)&gt;0,"Retested",IF(OR($T670="",NOT(ISNUMBER($T670))),"Pending",IF(TODAY()&gt;$T670,"OVERDUE","Due "&amp;TEXT($T670,"mm/dd")))))</f>
        <v/>
      </c>
      <c r="V670" s="16" t="n"/>
      <c r="W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IF($C671="","",IF($L671="","",IF($K671=1,IF(COUNTIFS(nrES_PID,$D671,nrES_Code,$F671,nrES_Att,2)&gt;0,"",$L671),IF(COUNTIFS(nrES_PID,$D671,nrES_Code,$F671,nrES_Att,1)=0,$L671,IF($L671&gt;=$J671,cfgRetakeRecordedCap,SUMIFS(nrES_Raw,nrES_PID,$D671,nrES_Code,$F671,nrES_Att,1))))))</f>
        <v/>
      </c>
      <c r="N671" s="17">
        <f>IF($C671="","",IF($L671="","",IF($L671&gt;=$J671,"Yes","No")))</f>
        <v/>
      </c>
      <c r="O671" s="17">
        <f>IF($C671="","",IF($M671="","",IF($M671&gt;=$J671,"Yes","No")))</f>
        <v/>
      </c>
      <c r="P671" s="17">
        <f>IF($C671="","",IF($K671="","",IF(COUNTIFS(nrES_PID,$D671,nrES_Code,$F671,nrES_Att,"&gt;"&amp;$K671)=0,"Yes","No")))</f>
        <v/>
      </c>
      <c r="Q671" s="17">
        <f>IF($C671="","",IF($L671="","",IF(AND($K671=1,$L671&lt;$J671,COUNTIFS(nrES_PID,$D671,nrES_Code,$F671,nrES_Att,2)=0),"Yes","No")))</f>
        <v/>
      </c>
      <c r="R671" s="17">
        <f>IF($C671="","",IF($L671="","",IF(AND($K671=2,$L671&lt;$J671,COUNTIFS(nrES_PID,$D671,nrES_Code,$F671,nrES_Att,1)&gt;0),"Yes","No")))</f>
        <v/>
      </c>
      <c r="S671" s="18" t="n"/>
      <c r="T671" s="19">
        <f>IF($Q671&lt;&gt;"Yes","",IF($S671="","(enter date)",_xlfn.LET(_xlpm.dn,IFERROR(_xlfn.XLOOKUP($S671,nrCDdate,nrCDnum),""),IF(_xlpm.dn="","(not a class day)",IFERROR(_xlfn.XLOOKUP(_xlpm.dn+cfgRetestClassDays,nrCDnum,nrCDdate),"")))))</f>
        <v/>
      </c>
      <c r="U671" s="17">
        <f>IF($Q671&lt;&gt;"Yes","",IF(COUNTIFS(nrES_PID,$D671,nrES_Code,$F671,nrES_Att,2)&gt;0,"Retested",IF(OR($T671="",NOT(ISNUMBER($T671))),"Pending",IF(TODAY()&gt;$T671,"OVERDUE","Due "&amp;TEXT($T671,"mm/dd")))))</f>
        <v/>
      </c>
      <c r="V671" s="16" t="n"/>
      <c r="W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IF($C672="","",IF($L672="","",IF($K672=1,IF(COUNTIFS(nrES_PID,$D672,nrES_Code,$F672,nrES_Att,2)&gt;0,"",$L672),IF(COUNTIFS(nrES_PID,$D672,nrES_Code,$F672,nrES_Att,1)=0,$L672,IF($L672&gt;=$J672,cfgRetakeRecordedCap,SUMIFS(nrES_Raw,nrES_PID,$D672,nrES_Code,$F672,nrES_Att,1))))))</f>
        <v/>
      </c>
      <c r="N672" s="17">
        <f>IF($C672="","",IF($L672="","",IF($L672&gt;=$J672,"Yes","No")))</f>
        <v/>
      </c>
      <c r="O672" s="17">
        <f>IF($C672="","",IF($M672="","",IF($M672&gt;=$J672,"Yes","No")))</f>
        <v/>
      </c>
      <c r="P672" s="17">
        <f>IF($C672="","",IF($K672="","",IF(COUNTIFS(nrES_PID,$D672,nrES_Code,$F672,nrES_Att,"&gt;"&amp;$K672)=0,"Yes","No")))</f>
        <v/>
      </c>
      <c r="Q672" s="17">
        <f>IF($C672="","",IF($L672="","",IF(AND($K672=1,$L672&lt;$J672,COUNTIFS(nrES_PID,$D672,nrES_Code,$F672,nrES_Att,2)=0),"Yes","No")))</f>
        <v/>
      </c>
      <c r="R672" s="17">
        <f>IF($C672="","",IF($L672="","",IF(AND($K672=2,$L672&lt;$J672,COUNTIFS(nrES_PID,$D672,nrES_Code,$F672,nrES_Att,1)&gt;0),"Yes","No")))</f>
        <v/>
      </c>
      <c r="S672" s="18" t="n"/>
      <c r="T672" s="19">
        <f>IF($Q672&lt;&gt;"Yes","",IF($S672="","(enter date)",_xlfn.LET(_xlpm.dn,IFERROR(_xlfn.XLOOKUP($S672,nrCDdate,nrCDnum),""),IF(_xlpm.dn="","(not a class day)",IFERROR(_xlfn.XLOOKUP(_xlpm.dn+cfgRetestClassDays,nrCDnum,nrCDdate),"")))))</f>
        <v/>
      </c>
      <c r="U672" s="17">
        <f>IF($Q672&lt;&gt;"Yes","",IF(COUNTIFS(nrES_PID,$D672,nrES_Code,$F672,nrES_Att,2)&gt;0,"Retested",IF(OR($T672="",NOT(ISNUMBER($T672))),"Pending",IF(TODAY()&gt;$T672,"OVERDUE","Due "&amp;TEXT($T672,"mm/dd")))))</f>
        <v/>
      </c>
      <c r="V672" s="16" t="n"/>
      <c r="W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IF($C673="","",IF($L673="","",IF($K673=1,IF(COUNTIFS(nrES_PID,$D673,nrES_Code,$F673,nrES_Att,2)&gt;0,"",$L673),IF(COUNTIFS(nrES_PID,$D673,nrES_Code,$F673,nrES_Att,1)=0,$L673,IF($L673&gt;=$J673,cfgRetakeRecordedCap,SUMIFS(nrES_Raw,nrES_PID,$D673,nrES_Code,$F673,nrES_Att,1))))))</f>
        <v/>
      </c>
      <c r="N673" s="17">
        <f>IF($C673="","",IF($L673="","",IF($L673&gt;=$J673,"Yes","No")))</f>
        <v/>
      </c>
      <c r="O673" s="17">
        <f>IF($C673="","",IF($M673="","",IF($M673&gt;=$J673,"Yes","No")))</f>
        <v/>
      </c>
      <c r="P673" s="17">
        <f>IF($C673="","",IF($K673="","",IF(COUNTIFS(nrES_PID,$D673,nrES_Code,$F673,nrES_Att,"&gt;"&amp;$K673)=0,"Yes","No")))</f>
        <v/>
      </c>
      <c r="Q673" s="17">
        <f>IF($C673="","",IF($L673="","",IF(AND($K673=1,$L673&lt;$J673,COUNTIFS(nrES_PID,$D673,nrES_Code,$F673,nrES_Att,2)=0),"Yes","No")))</f>
        <v/>
      </c>
      <c r="R673" s="17">
        <f>IF($C673="","",IF($L673="","",IF(AND($K673=2,$L673&lt;$J673,COUNTIFS(nrES_PID,$D673,nrES_Code,$F673,nrES_Att,1)&gt;0),"Yes","No")))</f>
        <v/>
      </c>
      <c r="S673" s="18" t="n"/>
      <c r="T673" s="19">
        <f>IF($Q673&lt;&gt;"Yes","",IF($S673="","(enter date)",_xlfn.LET(_xlpm.dn,IFERROR(_xlfn.XLOOKUP($S673,nrCDdate,nrCDnum),""),IF(_xlpm.dn="","(not a class day)",IFERROR(_xlfn.XLOOKUP(_xlpm.dn+cfgRetestClassDays,nrCDnum,nrCDdate),"")))))</f>
        <v/>
      </c>
      <c r="U673" s="17">
        <f>IF($Q673&lt;&gt;"Yes","",IF(COUNTIFS(nrES_PID,$D673,nrES_Code,$F673,nrES_Att,2)&gt;0,"Retested",IF(OR($T673="",NOT(ISNUMBER($T673))),"Pending",IF(TODAY()&gt;$T673,"OVERDUE","Due "&amp;TEXT($T673,"mm/dd")))))</f>
        <v/>
      </c>
      <c r="V673" s="16" t="n"/>
      <c r="W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IF($C674="","",IF($L674="","",IF($K674=1,IF(COUNTIFS(nrES_PID,$D674,nrES_Code,$F674,nrES_Att,2)&gt;0,"",$L674),IF(COUNTIFS(nrES_PID,$D674,nrES_Code,$F674,nrES_Att,1)=0,$L674,IF($L674&gt;=$J674,cfgRetakeRecordedCap,SUMIFS(nrES_Raw,nrES_PID,$D674,nrES_Code,$F674,nrES_Att,1))))))</f>
        <v/>
      </c>
      <c r="N674" s="17">
        <f>IF($C674="","",IF($L674="","",IF($L674&gt;=$J674,"Yes","No")))</f>
        <v/>
      </c>
      <c r="O674" s="17">
        <f>IF($C674="","",IF($M674="","",IF($M674&gt;=$J674,"Yes","No")))</f>
        <v/>
      </c>
      <c r="P674" s="17">
        <f>IF($C674="","",IF($K674="","",IF(COUNTIFS(nrES_PID,$D674,nrES_Code,$F674,nrES_Att,"&gt;"&amp;$K674)=0,"Yes","No")))</f>
        <v/>
      </c>
      <c r="Q674" s="17">
        <f>IF($C674="","",IF($L674="","",IF(AND($K674=1,$L674&lt;$J674,COUNTIFS(nrES_PID,$D674,nrES_Code,$F674,nrES_Att,2)=0),"Yes","No")))</f>
        <v/>
      </c>
      <c r="R674" s="17">
        <f>IF($C674="","",IF($L674="","",IF(AND($K674=2,$L674&lt;$J674,COUNTIFS(nrES_PID,$D674,nrES_Code,$F674,nrES_Att,1)&gt;0),"Yes","No")))</f>
        <v/>
      </c>
      <c r="S674" s="18" t="n"/>
      <c r="T674" s="19">
        <f>IF($Q674&lt;&gt;"Yes","",IF($S674="","(enter date)",_xlfn.LET(_xlpm.dn,IFERROR(_xlfn.XLOOKUP($S674,nrCDdate,nrCDnum),""),IF(_xlpm.dn="","(not a class day)",IFERROR(_xlfn.XLOOKUP(_xlpm.dn+cfgRetestClassDays,nrCDnum,nrCDdate),"")))))</f>
        <v/>
      </c>
      <c r="U674" s="17">
        <f>IF($Q674&lt;&gt;"Yes","",IF(COUNTIFS(nrES_PID,$D674,nrES_Code,$F674,nrES_Att,2)&gt;0,"Retested",IF(OR($T674="",NOT(ISNUMBER($T674))),"Pending",IF(TODAY()&gt;$T674,"OVERDUE","Due "&amp;TEXT($T674,"mm/dd")))))</f>
        <v/>
      </c>
      <c r="V674" s="16" t="n"/>
      <c r="W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IF($C675="","",IF($L675="","",IF($K675=1,IF(COUNTIFS(nrES_PID,$D675,nrES_Code,$F675,nrES_Att,2)&gt;0,"",$L675),IF(COUNTIFS(nrES_PID,$D675,nrES_Code,$F675,nrES_Att,1)=0,$L675,IF($L675&gt;=$J675,cfgRetakeRecordedCap,SUMIFS(nrES_Raw,nrES_PID,$D675,nrES_Code,$F675,nrES_Att,1))))))</f>
        <v/>
      </c>
      <c r="N675" s="17">
        <f>IF($C675="","",IF($L675="","",IF($L675&gt;=$J675,"Yes","No")))</f>
        <v/>
      </c>
      <c r="O675" s="17">
        <f>IF($C675="","",IF($M675="","",IF($M675&gt;=$J675,"Yes","No")))</f>
        <v/>
      </c>
      <c r="P675" s="17">
        <f>IF($C675="","",IF($K675="","",IF(COUNTIFS(nrES_PID,$D675,nrES_Code,$F675,nrES_Att,"&gt;"&amp;$K675)=0,"Yes","No")))</f>
        <v/>
      </c>
      <c r="Q675" s="17">
        <f>IF($C675="","",IF($L675="","",IF(AND($K675=1,$L675&lt;$J675,COUNTIFS(nrES_PID,$D675,nrES_Code,$F675,nrES_Att,2)=0),"Yes","No")))</f>
        <v/>
      </c>
      <c r="R675" s="17">
        <f>IF($C675="","",IF($L675="","",IF(AND($K675=2,$L675&lt;$J675,COUNTIFS(nrES_PID,$D675,nrES_Code,$F675,nrES_Att,1)&gt;0),"Yes","No")))</f>
        <v/>
      </c>
      <c r="S675" s="18" t="n"/>
      <c r="T675" s="19">
        <f>IF($Q675&lt;&gt;"Yes","",IF($S675="","(enter date)",_xlfn.LET(_xlpm.dn,IFERROR(_xlfn.XLOOKUP($S675,nrCDdate,nrCDnum),""),IF(_xlpm.dn="","(not a class day)",IFERROR(_xlfn.XLOOKUP(_xlpm.dn+cfgRetestClassDays,nrCDnum,nrCDdate),"")))))</f>
        <v/>
      </c>
      <c r="U675" s="17">
        <f>IF($Q675&lt;&gt;"Yes","",IF(COUNTIFS(nrES_PID,$D675,nrES_Code,$F675,nrES_Att,2)&gt;0,"Retested",IF(OR($T675="",NOT(ISNUMBER($T675))),"Pending",IF(TODAY()&gt;$T675,"OVERDUE","Due "&amp;TEXT($T675,"mm/dd")))))</f>
        <v/>
      </c>
      <c r="V675" s="16" t="n"/>
      <c r="W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IF($C676="","",IF($L676="","",IF($K676=1,IF(COUNTIFS(nrES_PID,$D676,nrES_Code,$F676,nrES_Att,2)&gt;0,"",$L676),IF(COUNTIFS(nrES_PID,$D676,nrES_Code,$F676,nrES_Att,1)=0,$L676,IF($L676&gt;=$J676,cfgRetakeRecordedCap,SUMIFS(nrES_Raw,nrES_PID,$D676,nrES_Code,$F676,nrES_Att,1))))))</f>
        <v/>
      </c>
      <c r="N676" s="17">
        <f>IF($C676="","",IF($L676="","",IF($L676&gt;=$J676,"Yes","No")))</f>
        <v/>
      </c>
      <c r="O676" s="17">
        <f>IF($C676="","",IF($M676="","",IF($M676&gt;=$J676,"Yes","No")))</f>
        <v/>
      </c>
      <c r="P676" s="17">
        <f>IF($C676="","",IF($K676="","",IF(COUNTIFS(nrES_PID,$D676,nrES_Code,$F676,nrES_Att,"&gt;"&amp;$K676)=0,"Yes","No")))</f>
        <v/>
      </c>
      <c r="Q676" s="17">
        <f>IF($C676="","",IF($L676="","",IF(AND($K676=1,$L676&lt;$J676,COUNTIFS(nrES_PID,$D676,nrES_Code,$F676,nrES_Att,2)=0),"Yes","No")))</f>
        <v/>
      </c>
      <c r="R676" s="17">
        <f>IF($C676="","",IF($L676="","",IF(AND($K676=2,$L676&lt;$J676,COUNTIFS(nrES_PID,$D676,nrES_Code,$F676,nrES_Att,1)&gt;0),"Yes","No")))</f>
        <v/>
      </c>
      <c r="S676" s="18" t="n"/>
      <c r="T676" s="19">
        <f>IF($Q676&lt;&gt;"Yes","",IF($S676="","(enter date)",_xlfn.LET(_xlpm.dn,IFERROR(_xlfn.XLOOKUP($S676,nrCDdate,nrCDnum),""),IF(_xlpm.dn="","(not a class day)",IFERROR(_xlfn.XLOOKUP(_xlpm.dn+cfgRetestClassDays,nrCDnum,nrCDdate),"")))))</f>
        <v/>
      </c>
      <c r="U676" s="17">
        <f>IF($Q676&lt;&gt;"Yes","",IF(COUNTIFS(nrES_PID,$D676,nrES_Code,$F676,nrES_Att,2)&gt;0,"Retested",IF(OR($T676="",NOT(ISNUMBER($T676))),"Pending",IF(TODAY()&gt;$T676,"OVERDUE","Due "&amp;TEXT($T676,"mm/dd")))))</f>
        <v/>
      </c>
      <c r="V676" s="16" t="n"/>
      <c r="W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IF($C677="","",IF($L677="","",IF($K677=1,IF(COUNTIFS(nrES_PID,$D677,nrES_Code,$F677,nrES_Att,2)&gt;0,"",$L677),IF(COUNTIFS(nrES_PID,$D677,nrES_Code,$F677,nrES_Att,1)=0,$L677,IF($L677&gt;=$J677,cfgRetakeRecordedCap,SUMIFS(nrES_Raw,nrES_PID,$D677,nrES_Code,$F677,nrES_Att,1))))))</f>
        <v/>
      </c>
      <c r="N677" s="17">
        <f>IF($C677="","",IF($L677="","",IF($L677&gt;=$J677,"Yes","No")))</f>
        <v/>
      </c>
      <c r="O677" s="17">
        <f>IF($C677="","",IF($M677="","",IF($M677&gt;=$J677,"Yes","No")))</f>
        <v/>
      </c>
      <c r="P677" s="17">
        <f>IF($C677="","",IF($K677="","",IF(COUNTIFS(nrES_PID,$D677,nrES_Code,$F677,nrES_Att,"&gt;"&amp;$K677)=0,"Yes","No")))</f>
        <v/>
      </c>
      <c r="Q677" s="17">
        <f>IF($C677="","",IF($L677="","",IF(AND($K677=1,$L677&lt;$J677,COUNTIFS(nrES_PID,$D677,nrES_Code,$F677,nrES_Att,2)=0),"Yes","No")))</f>
        <v/>
      </c>
      <c r="R677" s="17">
        <f>IF($C677="","",IF($L677="","",IF(AND($K677=2,$L677&lt;$J677,COUNTIFS(nrES_PID,$D677,nrES_Code,$F677,nrES_Att,1)&gt;0),"Yes","No")))</f>
        <v/>
      </c>
      <c r="S677" s="18" t="n"/>
      <c r="T677" s="19">
        <f>IF($Q677&lt;&gt;"Yes","",IF($S677="","(enter date)",_xlfn.LET(_xlpm.dn,IFERROR(_xlfn.XLOOKUP($S677,nrCDdate,nrCDnum),""),IF(_xlpm.dn="","(not a class day)",IFERROR(_xlfn.XLOOKUP(_xlpm.dn+cfgRetestClassDays,nrCDnum,nrCDdate),"")))))</f>
        <v/>
      </c>
      <c r="U677" s="17">
        <f>IF($Q677&lt;&gt;"Yes","",IF(COUNTIFS(nrES_PID,$D677,nrES_Code,$F677,nrES_Att,2)&gt;0,"Retested",IF(OR($T677="",NOT(ISNUMBER($T677))),"Pending",IF(TODAY()&gt;$T677,"OVERDUE","Due "&amp;TEXT($T677,"mm/dd")))))</f>
        <v/>
      </c>
      <c r="V677" s="16" t="n"/>
      <c r="W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IF($C678="","",IF($L678="","",IF($K678=1,IF(COUNTIFS(nrES_PID,$D678,nrES_Code,$F678,nrES_Att,2)&gt;0,"",$L678),IF(COUNTIFS(nrES_PID,$D678,nrES_Code,$F678,nrES_Att,1)=0,$L678,IF($L678&gt;=$J678,cfgRetakeRecordedCap,SUMIFS(nrES_Raw,nrES_PID,$D678,nrES_Code,$F678,nrES_Att,1))))))</f>
        <v/>
      </c>
      <c r="N678" s="17">
        <f>IF($C678="","",IF($L678="","",IF($L678&gt;=$J678,"Yes","No")))</f>
        <v/>
      </c>
      <c r="O678" s="17">
        <f>IF($C678="","",IF($M678="","",IF($M678&gt;=$J678,"Yes","No")))</f>
        <v/>
      </c>
      <c r="P678" s="17">
        <f>IF($C678="","",IF($K678="","",IF(COUNTIFS(nrES_PID,$D678,nrES_Code,$F678,nrES_Att,"&gt;"&amp;$K678)=0,"Yes","No")))</f>
        <v/>
      </c>
      <c r="Q678" s="17">
        <f>IF($C678="","",IF($L678="","",IF(AND($K678=1,$L678&lt;$J678,COUNTIFS(nrES_PID,$D678,nrES_Code,$F678,nrES_Att,2)=0),"Yes","No")))</f>
        <v/>
      </c>
      <c r="R678" s="17">
        <f>IF($C678="","",IF($L678="","",IF(AND($K678=2,$L678&lt;$J678,COUNTIFS(nrES_PID,$D678,nrES_Code,$F678,nrES_Att,1)&gt;0),"Yes","No")))</f>
        <v/>
      </c>
      <c r="S678" s="18" t="n"/>
      <c r="T678" s="19">
        <f>IF($Q678&lt;&gt;"Yes","",IF($S678="","(enter date)",_xlfn.LET(_xlpm.dn,IFERROR(_xlfn.XLOOKUP($S678,nrCDdate,nrCDnum),""),IF(_xlpm.dn="","(not a class day)",IFERROR(_xlfn.XLOOKUP(_xlpm.dn+cfgRetestClassDays,nrCDnum,nrCDdate),"")))))</f>
        <v/>
      </c>
      <c r="U678" s="17">
        <f>IF($Q678&lt;&gt;"Yes","",IF(COUNTIFS(nrES_PID,$D678,nrES_Code,$F678,nrES_Att,2)&gt;0,"Retested",IF(OR($T678="",NOT(ISNUMBER($T678))),"Pending",IF(TODAY()&gt;$T678,"OVERDUE","Due "&amp;TEXT($T678,"mm/dd")))))</f>
        <v/>
      </c>
      <c r="V678" s="16" t="n"/>
      <c r="W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IF($C679="","",IF($L679="","",IF($K679=1,IF(COUNTIFS(nrES_PID,$D679,nrES_Code,$F679,nrES_Att,2)&gt;0,"",$L679),IF(COUNTIFS(nrES_PID,$D679,nrES_Code,$F679,nrES_Att,1)=0,$L679,IF($L679&gt;=$J679,cfgRetakeRecordedCap,SUMIFS(nrES_Raw,nrES_PID,$D679,nrES_Code,$F679,nrES_Att,1))))))</f>
        <v/>
      </c>
      <c r="N679" s="17">
        <f>IF($C679="","",IF($L679="","",IF($L679&gt;=$J679,"Yes","No")))</f>
        <v/>
      </c>
      <c r="O679" s="17">
        <f>IF($C679="","",IF($M679="","",IF($M679&gt;=$J679,"Yes","No")))</f>
        <v/>
      </c>
      <c r="P679" s="17">
        <f>IF($C679="","",IF($K679="","",IF(COUNTIFS(nrES_PID,$D679,nrES_Code,$F679,nrES_Att,"&gt;"&amp;$K679)=0,"Yes","No")))</f>
        <v/>
      </c>
      <c r="Q679" s="17">
        <f>IF($C679="","",IF($L679="","",IF(AND($K679=1,$L679&lt;$J679,COUNTIFS(nrES_PID,$D679,nrES_Code,$F679,nrES_Att,2)=0),"Yes","No")))</f>
        <v/>
      </c>
      <c r="R679" s="17">
        <f>IF($C679="","",IF($L679="","",IF(AND($K679=2,$L679&lt;$J679,COUNTIFS(nrES_PID,$D679,nrES_Code,$F679,nrES_Att,1)&gt;0),"Yes","No")))</f>
        <v/>
      </c>
      <c r="S679" s="18" t="n"/>
      <c r="T679" s="19">
        <f>IF($Q679&lt;&gt;"Yes","",IF($S679="","(enter date)",_xlfn.LET(_xlpm.dn,IFERROR(_xlfn.XLOOKUP($S679,nrCDdate,nrCDnum),""),IF(_xlpm.dn="","(not a class day)",IFERROR(_xlfn.XLOOKUP(_xlpm.dn+cfgRetestClassDays,nrCDnum,nrCDdate),"")))))</f>
        <v/>
      </c>
      <c r="U679" s="17">
        <f>IF($Q679&lt;&gt;"Yes","",IF(COUNTIFS(nrES_PID,$D679,nrES_Code,$F679,nrES_Att,2)&gt;0,"Retested",IF(OR($T679="",NOT(ISNUMBER($T679))),"Pending",IF(TODAY()&gt;$T679,"OVERDUE","Due "&amp;TEXT($T679,"mm/dd")))))</f>
        <v/>
      </c>
      <c r="V679" s="16" t="n"/>
      <c r="W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IF($C680="","",IF($L680="","",IF($K680=1,IF(COUNTIFS(nrES_PID,$D680,nrES_Code,$F680,nrES_Att,2)&gt;0,"",$L680),IF(COUNTIFS(nrES_PID,$D680,nrES_Code,$F680,nrES_Att,1)=0,$L680,IF($L680&gt;=$J680,cfgRetakeRecordedCap,SUMIFS(nrES_Raw,nrES_PID,$D680,nrES_Code,$F680,nrES_Att,1))))))</f>
        <v/>
      </c>
      <c r="N680" s="17">
        <f>IF($C680="","",IF($L680="","",IF($L680&gt;=$J680,"Yes","No")))</f>
        <v/>
      </c>
      <c r="O680" s="17">
        <f>IF($C680="","",IF($M680="","",IF($M680&gt;=$J680,"Yes","No")))</f>
        <v/>
      </c>
      <c r="P680" s="17">
        <f>IF($C680="","",IF($K680="","",IF(COUNTIFS(nrES_PID,$D680,nrES_Code,$F680,nrES_Att,"&gt;"&amp;$K680)=0,"Yes","No")))</f>
        <v/>
      </c>
      <c r="Q680" s="17">
        <f>IF($C680="","",IF($L680="","",IF(AND($K680=1,$L680&lt;$J680,COUNTIFS(nrES_PID,$D680,nrES_Code,$F680,nrES_Att,2)=0),"Yes","No")))</f>
        <v/>
      </c>
      <c r="R680" s="17">
        <f>IF($C680="","",IF($L680="","",IF(AND($K680=2,$L680&lt;$J680,COUNTIFS(nrES_PID,$D680,nrES_Code,$F680,nrES_Att,1)&gt;0),"Yes","No")))</f>
        <v/>
      </c>
      <c r="S680" s="18" t="n"/>
      <c r="T680" s="19">
        <f>IF($Q680&lt;&gt;"Yes","",IF($S680="","(enter date)",_xlfn.LET(_xlpm.dn,IFERROR(_xlfn.XLOOKUP($S680,nrCDdate,nrCDnum),""),IF(_xlpm.dn="","(not a class day)",IFERROR(_xlfn.XLOOKUP(_xlpm.dn+cfgRetestClassDays,nrCDnum,nrCDdate),"")))))</f>
        <v/>
      </c>
      <c r="U680" s="17">
        <f>IF($Q680&lt;&gt;"Yes","",IF(COUNTIFS(nrES_PID,$D680,nrES_Code,$F680,nrES_Att,2)&gt;0,"Retested",IF(OR($T680="",NOT(ISNUMBER($T680))),"Pending",IF(TODAY()&gt;$T680,"OVERDUE","Due "&amp;TEXT($T680,"mm/dd")))))</f>
        <v/>
      </c>
      <c r="V680" s="16" t="n"/>
      <c r="W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IF($C681="","",IF($L681="","",IF($K681=1,IF(COUNTIFS(nrES_PID,$D681,nrES_Code,$F681,nrES_Att,2)&gt;0,"",$L681),IF(COUNTIFS(nrES_PID,$D681,nrES_Code,$F681,nrES_Att,1)=0,$L681,IF($L681&gt;=$J681,cfgRetakeRecordedCap,SUMIFS(nrES_Raw,nrES_PID,$D681,nrES_Code,$F681,nrES_Att,1))))))</f>
        <v/>
      </c>
      <c r="N681" s="17">
        <f>IF($C681="","",IF($L681="","",IF($L681&gt;=$J681,"Yes","No")))</f>
        <v/>
      </c>
      <c r="O681" s="17">
        <f>IF($C681="","",IF($M681="","",IF($M681&gt;=$J681,"Yes","No")))</f>
        <v/>
      </c>
      <c r="P681" s="17">
        <f>IF($C681="","",IF($K681="","",IF(COUNTIFS(nrES_PID,$D681,nrES_Code,$F681,nrES_Att,"&gt;"&amp;$K681)=0,"Yes","No")))</f>
        <v/>
      </c>
      <c r="Q681" s="17">
        <f>IF($C681="","",IF($L681="","",IF(AND($K681=1,$L681&lt;$J681,COUNTIFS(nrES_PID,$D681,nrES_Code,$F681,nrES_Att,2)=0),"Yes","No")))</f>
        <v/>
      </c>
      <c r="R681" s="17">
        <f>IF($C681="","",IF($L681="","",IF(AND($K681=2,$L681&lt;$J681,COUNTIFS(nrES_PID,$D681,nrES_Code,$F681,nrES_Att,1)&gt;0),"Yes","No")))</f>
        <v/>
      </c>
      <c r="S681" s="18" t="n"/>
      <c r="T681" s="19">
        <f>IF($Q681&lt;&gt;"Yes","",IF($S681="","(enter date)",_xlfn.LET(_xlpm.dn,IFERROR(_xlfn.XLOOKUP($S681,nrCDdate,nrCDnum),""),IF(_xlpm.dn="","(not a class day)",IFERROR(_xlfn.XLOOKUP(_xlpm.dn+cfgRetestClassDays,nrCDnum,nrCDdate),"")))))</f>
        <v/>
      </c>
      <c r="U681" s="17">
        <f>IF($Q681&lt;&gt;"Yes","",IF(COUNTIFS(nrES_PID,$D681,nrES_Code,$F681,nrES_Att,2)&gt;0,"Retested",IF(OR($T681="",NOT(ISNUMBER($T681))),"Pending",IF(TODAY()&gt;$T681,"OVERDUE","Due "&amp;TEXT($T681,"mm/dd")))))</f>
        <v/>
      </c>
      <c r="V681" s="16" t="n"/>
      <c r="W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IF($C682="","",IF($L682="","",IF($K682=1,IF(COUNTIFS(nrES_PID,$D682,nrES_Code,$F682,nrES_Att,2)&gt;0,"",$L682),IF(COUNTIFS(nrES_PID,$D682,nrES_Code,$F682,nrES_Att,1)=0,$L682,IF($L682&gt;=$J682,cfgRetakeRecordedCap,SUMIFS(nrES_Raw,nrES_PID,$D682,nrES_Code,$F682,nrES_Att,1))))))</f>
        <v/>
      </c>
      <c r="N682" s="17">
        <f>IF($C682="","",IF($L682="","",IF($L682&gt;=$J682,"Yes","No")))</f>
        <v/>
      </c>
      <c r="O682" s="17">
        <f>IF($C682="","",IF($M682="","",IF($M682&gt;=$J682,"Yes","No")))</f>
        <v/>
      </c>
      <c r="P682" s="17">
        <f>IF($C682="","",IF($K682="","",IF(COUNTIFS(nrES_PID,$D682,nrES_Code,$F682,nrES_Att,"&gt;"&amp;$K682)=0,"Yes","No")))</f>
        <v/>
      </c>
      <c r="Q682" s="17">
        <f>IF($C682="","",IF($L682="","",IF(AND($K682=1,$L682&lt;$J682,COUNTIFS(nrES_PID,$D682,nrES_Code,$F682,nrES_Att,2)=0),"Yes","No")))</f>
        <v/>
      </c>
      <c r="R682" s="17">
        <f>IF($C682="","",IF($L682="","",IF(AND($K682=2,$L682&lt;$J682,COUNTIFS(nrES_PID,$D682,nrES_Code,$F682,nrES_Att,1)&gt;0),"Yes","No")))</f>
        <v/>
      </c>
      <c r="S682" s="18" t="n"/>
      <c r="T682" s="19">
        <f>IF($Q682&lt;&gt;"Yes","",IF($S682="","(enter date)",_xlfn.LET(_xlpm.dn,IFERROR(_xlfn.XLOOKUP($S682,nrCDdate,nrCDnum),""),IF(_xlpm.dn="","(not a class day)",IFERROR(_xlfn.XLOOKUP(_xlpm.dn+cfgRetestClassDays,nrCDnum,nrCDdate),"")))))</f>
        <v/>
      </c>
      <c r="U682" s="17">
        <f>IF($Q682&lt;&gt;"Yes","",IF(COUNTIFS(nrES_PID,$D682,nrES_Code,$F682,nrES_Att,2)&gt;0,"Retested",IF(OR($T682="",NOT(ISNUMBER($T682))),"Pending",IF(TODAY()&gt;$T682,"OVERDUE","Due "&amp;TEXT($T682,"mm/dd")))))</f>
        <v/>
      </c>
      <c r="V682" s="16" t="n"/>
      <c r="W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IF($C683="","",IF($L683="","",IF($K683=1,IF(COUNTIFS(nrES_PID,$D683,nrES_Code,$F683,nrES_Att,2)&gt;0,"",$L683),IF(COUNTIFS(nrES_PID,$D683,nrES_Code,$F683,nrES_Att,1)=0,$L683,IF($L683&gt;=$J683,cfgRetakeRecordedCap,SUMIFS(nrES_Raw,nrES_PID,$D683,nrES_Code,$F683,nrES_Att,1))))))</f>
        <v/>
      </c>
      <c r="N683" s="17">
        <f>IF($C683="","",IF($L683="","",IF($L683&gt;=$J683,"Yes","No")))</f>
        <v/>
      </c>
      <c r="O683" s="17">
        <f>IF($C683="","",IF($M683="","",IF($M683&gt;=$J683,"Yes","No")))</f>
        <v/>
      </c>
      <c r="P683" s="17">
        <f>IF($C683="","",IF($K683="","",IF(COUNTIFS(nrES_PID,$D683,nrES_Code,$F683,nrES_Att,"&gt;"&amp;$K683)=0,"Yes","No")))</f>
        <v/>
      </c>
      <c r="Q683" s="17">
        <f>IF($C683="","",IF($L683="","",IF(AND($K683=1,$L683&lt;$J683,COUNTIFS(nrES_PID,$D683,nrES_Code,$F683,nrES_Att,2)=0),"Yes","No")))</f>
        <v/>
      </c>
      <c r="R683" s="17">
        <f>IF($C683="","",IF($L683="","",IF(AND($K683=2,$L683&lt;$J683,COUNTIFS(nrES_PID,$D683,nrES_Code,$F683,nrES_Att,1)&gt;0),"Yes","No")))</f>
        <v/>
      </c>
      <c r="S683" s="18" t="n"/>
      <c r="T683" s="19">
        <f>IF($Q683&lt;&gt;"Yes","",IF($S683="","(enter date)",_xlfn.LET(_xlpm.dn,IFERROR(_xlfn.XLOOKUP($S683,nrCDdate,nrCDnum),""),IF(_xlpm.dn="","(not a class day)",IFERROR(_xlfn.XLOOKUP(_xlpm.dn+cfgRetestClassDays,nrCDnum,nrCDdate),"")))))</f>
        <v/>
      </c>
      <c r="U683" s="17">
        <f>IF($Q683&lt;&gt;"Yes","",IF(COUNTIFS(nrES_PID,$D683,nrES_Code,$F683,nrES_Att,2)&gt;0,"Retested",IF(OR($T683="",NOT(ISNUMBER($T683))),"Pending",IF(TODAY()&gt;$T683,"OVERDUE","Due "&amp;TEXT($T683,"mm/dd")))))</f>
        <v/>
      </c>
      <c r="V683" s="16" t="n"/>
      <c r="W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IF($C684="","",IF($L684="","",IF($K684=1,IF(COUNTIFS(nrES_PID,$D684,nrES_Code,$F684,nrES_Att,2)&gt;0,"",$L684),IF(COUNTIFS(nrES_PID,$D684,nrES_Code,$F684,nrES_Att,1)=0,$L684,IF($L684&gt;=$J684,cfgRetakeRecordedCap,SUMIFS(nrES_Raw,nrES_PID,$D684,nrES_Code,$F684,nrES_Att,1))))))</f>
        <v/>
      </c>
      <c r="N684" s="17">
        <f>IF($C684="","",IF($L684="","",IF($L684&gt;=$J684,"Yes","No")))</f>
        <v/>
      </c>
      <c r="O684" s="17">
        <f>IF($C684="","",IF($M684="","",IF($M684&gt;=$J684,"Yes","No")))</f>
        <v/>
      </c>
      <c r="P684" s="17">
        <f>IF($C684="","",IF($K684="","",IF(COUNTIFS(nrES_PID,$D684,nrES_Code,$F684,nrES_Att,"&gt;"&amp;$K684)=0,"Yes","No")))</f>
        <v/>
      </c>
      <c r="Q684" s="17">
        <f>IF($C684="","",IF($L684="","",IF(AND($K684=1,$L684&lt;$J684,COUNTIFS(nrES_PID,$D684,nrES_Code,$F684,nrES_Att,2)=0),"Yes","No")))</f>
        <v/>
      </c>
      <c r="R684" s="17">
        <f>IF($C684="","",IF($L684="","",IF(AND($K684=2,$L684&lt;$J684,COUNTIFS(nrES_PID,$D684,nrES_Code,$F684,nrES_Att,1)&gt;0),"Yes","No")))</f>
        <v/>
      </c>
      <c r="S684" s="18" t="n"/>
      <c r="T684" s="19">
        <f>IF($Q684&lt;&gt;"Yes","",IF($S684="","(enter date)",_xlfn.LET(_xlpm.dn,IFERROR(_xlfn.XLOOKUP($S684,nrCDdate,nrCDnum),""),IF(_xlpm.dn="","(not a class day)",IFERROR(_xlfn.XLOOKUP(_xlpm.dn+cfgRetestClassDays,nrCDnum,nrCDdate),"")))))</f>
        <v/>
      </c>
      <c r="U684" s="17">
        <f>IF($Q684&lt;&gt;"Yes","",IF(COUNTIFS(nrES_PID,$D684,nrES_Code,$F684,nrES_Att,2)&gt;0,"Retested",IF(OR($T684="",NOT(ISNUMBER($T684))),"Pending",IF(TODAY()&gt;$T684,"OVERDUE","Due "&amp;TEXT($T684,"mm/dd")))))</f>
        <v/>
      </c>
      <c r="V684" s="16" t="n"/>
      <c r="W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IF($C685="","",IF($L685="","",IF($K685=1,IF(COUNTIFS(nrES_PID,$D685,nrES_Code,$F685,nrES_Att,2)&gt;0,"",$L685),IF(COUNTIFS(nrES_PID,$D685,nrES_Code,$F685,nrES_Att,1)=0,$L685,IF($L685&gt;=$J685,cfgRetakeRecordedCap,SUMIFS(nrES_Raw,nrES_PID,$D685,nrES_Code,$F685,nrES_Att,1))))))</f>
        <v/>
      </c>
      <c r="N685" s="17">
        <f>IF($C685="","",IF($L685="","",IF($L685&gt;=$J685,"Yes","No")))</f>
        <v/>
      </c>
      <c r="O685" s="17">
        <f>IF($C685="","",IF($M685="","",IF($M685&gt;=$J685,"Yes","No")))</f>
        <v/>
      </c>
      <c r="P685" s="17">
        <f>IF($C685="","",IF($K685="","",IF(COUNTIFS(nrES_PID,$D685,nrES_Code,$F685,nrES_Att,"&gt;"&amp;$K685)=0,"Yes","No")))</f>
        <v/>
      </c>
      <c r="Q685" s="17">
        <f>IF($C685="","",IF($L685="","",IF(AND($K685=1,$L685&lt;$J685,COUNTIFS(nrES_PID,$D685,nrES_Code,$F685,nrES_Att,2)=0),"Yes","No")))</f>
        <v/>
      </c>
      <c r="R685" s="17">
        <f>IF($C685="","",IF($L685="","",IF(AND($K685=2,$L685&lt;$J685,COUNTIFS(nrES_PID,$D685,nrES_Code,$F685,nrES_Att,1)&gt;0),"Yes","No")))</f>
        <v/>
      </c>
      <c r="S685" s="18" t="n"/>
      <c r="T685" s="19">
        <f>IF($Q685&lt;&gt;"Yes","",IF($S685="","(enter date)",_xlfn.LET(_xlpm.dn,IFERROR(_xlfn.XLOOKUP($S685,nrCDdate,nrCDnum),""),IF(_xlpm.dn="","(not a class day)",IFERROR(_xlfn.XLOOKUP(_xlpm.dn+cfgRetestClassDays,nrCDnum,nrCDdate),"")))))</f>
        <v/>
      </c>
      <c r="U685" s="17">
        <f>IF($Q685&lt;&gt;"Yes","",IF(COUNTIFS(nrES_PID,$D685,nrES_Code,$F685,nrES_Att,2)&gt;0,"Retested",IF(OR($T685="",NOT(ISNUMBER($T685))),"Pending",IF(TODAY()&gt;$T685,"OVERDUE","Due "&amp;TEXT($T685,"mm/dd")))))</f>
        <v/>
      </c>
      <c r="V685" s="16" t="n"/>
      <c r="W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IF($C686="","",IF($L686="","",IF($K686=1,IF(COUNTIFS(nrES_PID,$D686,nrES_Code,$F686,nrES_Att,2)&gt;0,"",$L686),IF(COUNTIFS(nrES_PID,$D686,nrES_Code,$F686,nrES_Att,1)=0,$L686,IF($L686&gt;=$J686,cfgRetakeRecordedCap,SUMIFS(nrES_Raw,nrES_PID,$D686,nrES_Code,$F686,nrES_Att,1))))))</f>
        <v/>
      </c>
      <c r="N686" s="17">
        <f>IF($C686="","",IF($L686="","",IF($L686&gt;=$J686,"Yes","No")))</f>
        <v/>
      </c>
      <c r="O686" s="17">
        <f>IF($C686="","",IF($M686="","",IF($M686&gt;=$J686,"Yes","No")))</f>
        <v/>
      </c>
      <c r="P686" s="17">
        <f>IF($C686="","",IF($K686="","",IF(COUNTIFS(nrES_PID,$D686,nrES_Code,$F686,nrES_Att,"&gt;"&amp;$K686)=0,"Yes","No")))</f>
        <v/>
      </c>
      <c r="Q686" s="17">
        <f>IF($C686="","",IF($L686="","",IF(AND($K686=1,$L686&lt;$J686,COUNTIFS(nrES_PID,$D686,nrES_Code,$F686,nrES_Att,2)=0),"Yes","No")))</f>
        <v/>
      </c>
      <c r="R686" s="17">
        <f>IF($C686="","",IF($L686="","",IF(AND($K686=2,$L686&lt;$J686,COUNTIFS(nrES_PID,$D686,nrES_Code,$F686,nrES_Att,1)&gt;0),"Yes","No")))</f>
        <v/>
      </c>
      <c r="S686" s="18" t="n"/>
      <c r="T686" s="19">
        <f>IF($Q686&lt;&gt;"Yes","",IF($S686="","(enter date)",_xlfn.LET(_xlpm.dn,IFERROR(_xlfn.XLOOKUP($S686,nrCDdate,nrCDnum),""),IF(_xlpm.dn="","(not a class day)",IFERROR(_xlfn.XLOOKUP(_xlpm.dn+cfgRetestClassDays,nrCDnum,nrCDdate),"")))))</f>
        <v/>
      </c>
      <c r="U686" s="17">
        <f>IF($Q686&lt;&gt;"Yes","",IF(COUNTIFS(nrES_PID,$D686,nrES_Code,$F686,nrES_Att,2)&gt;0,"Retested",IF(OR($T686="",NOT(ISNUMBER($T686))),"Pending",IF(TODAY()&gt;$T686,"OVERDUE","Due "&amp;TEXT($T686,"mm/dd")))))</f>
        <v/>
      </c>
      <c r="V686" s="16" t="n"/>
      <c r="W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IF($C687="","",IF($L687="","",IF($K687=1,IF(COUNTIFS(nrES_PID,$D687,nrES_Code,$F687,nrES_Att,2)&gt;0,"",$L687),IF(COUNTIFS(nrES_PID,$D687,nrES_Code,$F687,nrES_Att,1)=0,$L687,IF($L687&gt;=$J687,cfgRetakeRecordedCap,SUMIFS(nrES_Raw,nrES_PID,$D687,nrES_Code,$F687,nrES_Att,1))))))</f>
        <v/>
      </c>
      <c r="N687" s="17">
        <f>IF($C687="","",IF($L687="","",IF($L687&gt;=$J687,"Yes","No")))</f>
        <v/>
      </c>
      <c r="O687" s="17">
        <f>IF($C687="","",IF($M687="","",IF($M687&gt;=$J687,"Yes","No")))</f>
        <v/>
      </c>
      <c r="P687" s="17">
        <f>IF($C687="","",IF($K687="","",IF(COUNTIFS(nrES_PID,$D687,nrES_Code,$F687,nrES_Att,"&gt;"&amp;$K687)=0,"Yes","No")))</f>
        <v/>
      </c>
      <c r="Q687" s="17">
        <f>IF($C687="","",IF($L687="","",IF(AND($K687=1,$L687&lt;$J687,COUNTIFS(nrES_PID,$D687,nrES_Code,$F687,nrES_Att,2)=0),"Yes","No")))</f>
        <v/>
      </c>
      <c r="R687" s="17">
        <f>IF($C687="","",IF($L687="","",IF(AND($K687=2,$L687&lt;$J687,COUNTIFS(nrES_PID,$D687,nrES_Code,$F687,nrES_Att,1)&gt;0),"Yes","No")))</f>
        <v/>
      </c>
      <c r="S687" s="18" t="n"/>
      <c r="T687" s="19">
        <f>IF($Q687&lt;&gt;"Yes","",IF($S687="","(enter date)",_xlfn.LET(_xlpm.dn,IFERROR(_xlfn.XLOOKUP($S687,nrCDdate,nrCDnum),""),IF(_xlpm.dn="","(not a class day)",IFERROR(_xlfn.XLOOKUP(_xlpm.dn+cfgRetestClassDays,nrCDnum,nrCDdate),"")))))</f>
        <v/>
      </c>
      <c r="U687" s="17">
        <f>IF($Q687&lt;&gt;"Yes","",IF(COUNTIFS(nrES_PID,$D687,nrES_Code,$F687,nrES_Att,2)&gt;0,"Retested",IF(OR($T687="",NOT(ISNUMBER($T687))),"Pending",IF(TODAY()&gt;$T687,"OVERDUE","Due "&amp;TEXT($T687,"mm/dd")))))</f>
        <v/>
      </c>
      <c r="V687" s="16" t="n"/>
      <c r="W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IF($C688="","",IF($L688="","",IF($K688=1,IF(COUNTIFS(nrES_PID,$D688,nrES_Code,$F688,nrES_Att,2)&gt;0,"",$L688),IF(COUNTIFS(nrES_PID,$D688,nrES_Code,$F688,nrES_Att,1)=0,$L688,IF($L688&gt;=$J688,cfgRetakeRecordedCap,SUMIFS(nrES_Raw,nrES_PID,$D688,nrES_Code,$F688,nrES_Att,1))))))</f>
        <v/>
      </c>
      <c r="N688" s="17">
        <f>IF($C688="","",IF($L688="","",IF($L688&gt;=$J688,"Yes","No")))</f>
        <v/>
      </c>
      <c r="O688" s="17">
        <f>IF($C688="","",IF($M688="","",IF($M688&gt;=$J688,"Yes","No")))</f>
        <v/>
      </c>
      <c r="P688" s="17">
        <f>IF($C688="","",IF($K688="","",IF(COUNTIFS(nrES_PID,$D688,nrES_Code,$F688,nrES_Att,"&gt;"&amp;$K688)=0,"Yes","No")))</f>
        <v/>
      </c>
      <c r="Q688" s="17">
        <f>IF($C688="","",IF($L688="","",IF(AND($K688=1,$L688&lt;$J688,COUNTIFS(nrES_PID,$D688,nrES_Code,$F688,nrES_Att,2)=0),"Yes","No")))</f>
        <v/>
      </c>
      <c r="R688" s="17">
        <f>IF($C688="","",IF($L688="","",IF(AND($K688=2,$L688&lt;$J688,COUNTIFS(nrES_PID,$D688,nrES_Code,$F688,nrES_Att,1)&gt;0),"Yes","No")))</f>
        <v/>
      </c>
      <c r="S688" s="18" t="n"/>
      <c r="T688" s="19">
        <f>IF($Q688&lt;&gt;"Yes","",IF($S688="","(enter date)",_xlfn.LET(_xlpm.dn,IFERROR(_xlfn.XLOOKUP($S688,nrCDdate,nrCDnum),""),IF(_xlpm.dn="","(not a class day)",IFERROR(_xlfn.XLOOKUP(_xlpm.dn+cfgRetestClassDays,nrCDnum,nrCDdate),"")))))</f>
        <v/>
      </c>
      <c r="U688" s="17">
        <f>IF($Q688&lt;&gt;"Yes","",IF(COUNTIFS(nrES_PID,$D688,nrES_Code,$F688,nrES_Att,2)&gt;0,"Retested",IF(OR($T688="",NOT(ISNUMBER($T688))),"Pending",IF(TODAY()&gt;$T688,"OVERDUE","Due "&amp;TEXT($T688,"mm/dd")))))</f>
        <v/>
      </c>
      <c r="V688" s="16" t="n"/>
      <c r="W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IF($C689="","",IF($L689="","",IF($K689=1,IF(COUNTIFS(nrES_PID,$D689,nrES_Code,$F689,nrES_Att,2)&gt;0,"",$L689),IF(COUNTIFS(nrES_PID,$D689,nrES_Code,$F689,nrES_Att,1)=0,$L689,IF($L689&gt;=$J689,cfgRetakeRecordedCap,SUMIFS(nrES_Raw,nrES_PID,$D689,nrES_Code,$F689,nrES_Att,1))))))</f>
        <v/>
      </c>
      <c r="N689" s="17">
        <f>IF($C689="","",IF($L689="","",IF($L689&gt;=$J689,"Yes","No")))</f>
        <v/>
      </c>
      <c r="O689" s="17">
        <f>IF($C689="","",IF($M689="","",IF($M689&gt;=$J689,"Yes","No")))</f>
        <v/>
      </c>
      <c r="P689" s="17">
        <f>IF($C689="","",IF($K689="","",IF(COUNTIFS(nrES_PID,$D689,nrES_Code,$F689,nrES_Att,"&gt;"&amp;$K689)=0,"Yes","No")))</f>
        <v/>
      </c>
      <c r="Q689" s="17">
        <f>IF($C689="","",IF($L689="","",IF(AND($K689=1,$L689&lt;$J689,COUNTIFS(nrES_PID,$D689,nrES_Code,$F689,nrES_Att,2)=0),"Yes","No")))</f>
        <v/>
      </c>
      <c r="R689" s="17">
        <f>IF($C689="","",IF($L689="","",IF(AND($K689=2,$L689&lt;$J689,COUNTIFS(nrES_PID,$D689,nrES_Code,$F689,nrES_Att,1)&gt;0),"Yes","No")))</f>
        <v/>
      </c>
      <c r="S689" s="18" t="n"/>
      <c r="T689" s="19">
        <f>IF($Q689&lt;&gt;"Yes","",IF($S689="","(enter date)",_xlfn.LET(_xlpm.dn,IFERROR(_xlfn.XLOOKUP($S689,nrCDdate,nrCDnum),""),IF(_xlpm.dn="","(not a class day)",IFERROR(_xlfn.XLOOKUP(_xlpm.dn+cfgRetestClassDays,nrCDnum,nrCDdate),"")))))</f>
        <v/>
      </c>
      <c r="U689" s="17">
        <f>IF($Q689&lt;&gt;"Yes","",IF(COUNTIFS(nrES_PID,$D689,nrES_Code,$F689,nrES_Att,2)&gt;0,"Retested",IF(OR($T689="",NOT(ISNUMBER($T689))),"Pending",IF(TODAY()&gt;$T689,"OVERDUE","Due "&amp;TEXT($T689,"mm/dd")))))</f>
        <v/>
      </c>
      <c r="V689" s="16" t="n"/>
      <c r="W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IF($C690="","",IF($L690="","",IF($K690=1,IF(COUNTIFS(nrES_PID,$D690,nrES_Code,$F690,nrES_Att,2)&gt;0,"",$L690),IF(COUNTIFS(nrES_PID,$D690,nrES_Code,$F690,nrES_Att,1)=0,$L690,IF($L690&gt;=$J690,cfgRetakeRecordedCap,SUMIFS(nrES_Raw,nrES_PID,$D690,nrES_Code,$F690,nrES_Att,1))))))</f>
        <v/>
      </c>
      <c r="N690" s="17">
        <f>IF($C690="","",IF($L690="","",IF($L690&gt;=$J690,"Yes","No")))</f>
        <v/>
      </c>
      <c r="O690" s="17">
        <f>IF($C690="","",IF($M690="","",IF($M690&gt;=$J690,"Yes","No")))</f>
        <v/>
      </c>
      <c r="P690" s="17">
        <f>IF($C690="","",IF($K690="","",IF(COUNTIFS(nrES_PID,$D690,nrES_Code,$F690,nrES_Att,"&gt;"&amp;$K690)=0,"Yes","No")))</f>
        <v/>
      </c>
      <c r="Q690" s="17">
        <f>IF($C690="","",IF($L690="","",IF(AND($K690=1,$L690&lt;$J690,COUNTIFS(nrES_PID,$D690,nrES_Code,$F690,nrES_Att,2)=0),"Yes","No")))</f>
        <v/>
      </c>
      <c r="R690" s="17">
        <f>IF($C690="","",IF($L690="","",IF(AND($K690=2,$L690&lt;$J690,COUNTIFS(nrES_PID,$D690,nrES_Code,$F690,nrES_Att,1)&gt;0),"Yes","No")))</f>
        <v/>
      </c>
      <c r="S690" s="18" t="n"/>
      <c r="T690" s="19">
        <f>IF($Q690&lt;&gt;"Yes","",IF($S690="","(enter date)",_xlfn.LET(_xlpm.dn,IFERROR(_xlfn.XLOOKUP($S690,nrCDdate,nrCDnum),""),IF(_xlpm.dn="","(not a class day)",IFERROR(_xlfn.XLOOKUP(_xlpm.dn+cfgRetestClassDays,nrCDnum,nrCDdate),"")))))</f>
        <v/>
      </c>
      <c r="U690" s="17">
        <f>IF($Q690&lt;&gt;"Yes","",IF(COUNTIFS(nrES_PID,$D690,nrES_Code,$F690,nrES_Att,2)&gt;0,"Retested",IF(OR($T690="",NOT(ISNUMBER($T690))),"Pending",IF(TODAY()&gt;$T690,"OVERDUE","Due "&amp;TEXT($T690,"mm/dd")))))</f>
        <v/>
      </c>
      <c r="V690" s="16" t="n"/>
      <c r="W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IF($C691="","",IF($L691="","",IF($K691=1,IF(COUNTIFS(nrES_PID,$D691,nrES_Code,$F691,nrES_Att,2)&gt;0,"",$L691),IF(COUNTIFS(nrES_PID,$D691,nrES_Code,$F691,nrES_Att,1)=0,$L691,IF($L691&gt;=$J691,cfgRetakeRecordedCap,SUMIFS(nrES_Raw,nrES_PID,$D691,nrES_Code,$F691,nrES_Att,1))))))</f>
        <v/>
      </c>
      <c r="N691" s="17">
        <f>IF($C691="","",IF($L691="","",IF($L691&gt;=$J691,"Yes","No")))</f>
        <v/>
      </c>
      <c r="O691" s="17">
        <f>IF($C691="","",IF($M691="","",IF($M691&gt;=$J691,"Yes","No")))</f>
        <v/>
      </c>
      <c r="P691" s="17">
        <f>IF($C691="","",IF($K691="","",IF(COUNTIFS(nrES_PID,$D691,nrES_Code,$F691,nrES_Att,"&gt;"&amp;$K691)=0,"Yes","No")))</f>
        <v/>
      </c>
      <c r="Q691" s="17">
        <f>IF($C691="","",IF($L691="","",IF(AND($K691=1,$L691&lt;$J691,COUNTIFS(nrES_PID,$D691,nrES_Code,$F691,nrES_Att,2)=0),"Yes","No")))</f>
        <v/>
      </c>
      <c r="R691" s="17">
        <f>IF($C691="","",IF($L691="","",IF(AND($K691=2,$L691&lt;$J691,COUNTIFS(nrES_PID,$D691,nrES_Code,$F691,nrES_Att,1)&gt;0),"Yes","No")))</f>
        <v/>
      </c>
      <c r="S691" s="18" t="n"/>
      <c r="T691" s="19">
        <f>IF($Q691&lt;&gt;"Yes","",IF($S691="","(enter date)",_xlfn.LET(_xlpm.dn,IFERROR(_xlfn.XLOOKUP($S691,nrCDdate,nrCDnum),""),IF(_xlpm.dn="","(not a class day)",IFERROR(_xlfn.XLOOKUP(_xlpm.dn+cfgRetestClassDays,nrCDnum,nrCDdate),"")))))</f>
        <v/>
      </c>
      <c r="U691" s="17">
        <f>IF($Q691&lt;&gt;"Yes","",IF(COUNTIFS(nrES_PID,$D691,nrES_Code,$F691,nrES_Att,2)&gt;0,"Retested",IF(OR($T691="",NOT(ISNUMBER($T691))),"Pending",IF(TODAY()&gt;$T691,"OVERDUE","Due "&amp;TEXT($T691,"mm/dd")))))</f>
        <v/>
      </c>
      <c r="V691" s="16" t="n"/>
      <c r="W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IF($C692="","",IF($L692="","",IF($K692=1,IF(COUNTIFS(nrES_PID,$D692,nrES_Code,$F692,nrES_Att,2)&gt;0,"",$L692),IF(COUNTIFS(nrES_PID,$D692,nrES_Code,$F692,nrES_Att,1)=0,$L692,IF($L692&gt;=$J692,cfgRetakeRecordedCap,SUMIFS(nrES_Raw,nrES_PID,$D692,nrES_Code,$F692,nrES_Att,1))))))</f>
        <v/>
      </c>
      <c r="N692" s="17">
        <f>IF($C692="","",IF($L692="","",IF($L692&gt;=$J692,"Yes","No")))</f>
        <v/>
      </c>
      <c r="O692" s="17">
        <f>IF($C692="","",IF($M692="","",IF($M692&gt;=$J692,"Yes","No")))</f>
        <v/>
      </c>
      <c r="P692" s="17">
        <f>IF($C692="","",IF($K692="","",IF(COUNTIFS(nrES_PID,$D692,nrES_Code,$F692,nrES_Att,"&gt;"&amp;$K692)=0,"Yes","No")))</f>
        <v/>
      </c>
      <c r="Q692" s="17">
        <f>IF($C692="","",IF($L692="","",IF(AND($K692=1,$L692&lt;$J692,COUNTIFS(nrES_PID,$D692,nrES_Code,$F692,nrES_Att,2)=0),"Yes","No")))</f>
        <v/>
      </c>
      <c r="R692" s="17">
        <f>IF($C692="","",IF($L692="","",IF(AND($K692=2,$L692&lt;$J692,COUNTIFS(nrES_PID,$D692,nrES_Code,$F692,nrES_Att,1)&gt;0),"Yes","No")))</f>
        <v/>
      </c>
      <c r="S692" s="18" t="n"/>
      <c r="T692" s="19">
        <f>IF($Q692&lt;&gt;"Yes","",IF($S692="","(enter date)",_xlfn.LET(_xlpm.dn,IFERROR(_xlfn.XLOOKUP($S692,nrCDdate,nrCDnum),""),IF(_xlpm.dn="","(not a class day)",IFERROR(_xlfn.XLOOKUP(_xlpm.dn+cfgRetestClassDays,nrCDnum,nrCDdate),"")))))</f>
        <v/>
      </c>
      <c r="U692" s="17">
        <f>IF($Q692&lt;&gt;"Yes","",IF(COUNTIFS(nrES_PID,$D692,nrES_Code,$F692,nrES_Att,2)&gt;0,"Retested",IF(OR($T692="",NOT(ISNUMBER($T692))),"Pending",IF(TODAY()&gt;$T692,"OVERDUE","Due "&amp;TEXT($T692,"mm/dd")))))</f>
        <v/>
      </c>
      <c r="V692" s="16" t="n"/>
      <c r="W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IF($C693="","",IF($L693="","",IF($K693=1,IF(COUNTIFS(nrES_PID,$D693,nrES_Code,$F693,nrES_Att,2)&gt;0,"",$L693),IF(COUNTIFS(nrES_PID,$D693,nrES_Code,$F693,nrES_Att,1)=0,$L693,IF($L693&gt;=$J693,cfgRetakeRecordedCap,SUMIFS(nrES_Raw,nrES_PID,$D693,nrES_Code,$F693,nrES_Att,1))))))</f>
        <v/>
      </c>
      <c r="N693" s="17">
        <f>IF($C693="","",IF($L693="","",IF($L693&gt;=$J693,"Yes","No")))</f>
        <v/>
      </c>
      <c r="O693" s="17">
        <f>IF($C693="","",IF($M693="","",IF($M693&gt;=$J693,"Yes","No")))</f>
        <v/>
      </c>
      <c r="P693" s="17">
        <f>IF($C693="","",IF($K693="","",IF(COUNTIFS(nrES_PID,$D693,nrES_Code,$F693,nrES_Att,"&gt;"&amp;$K693)=0,"Yes","No")))</f>
        <v/>
      </c>
      <c r="Q693" s="17">
        <f>IF($C693="","",IF($L693="","",IF(AND($K693=1,$L693&lt;$J693,COUNTIFS(nrES_PID,$D693,nrES_Code,$F693,nrES_Att,2)=0),"Yes","No")))</f>
        <v/>
      </c>
      <c r="R693" s="17">
        <f>IF($C693="","",IF($L693="","",IF(AND($K693=2,$L693&lt;$J693,COUNTIFS(nrES_PID,$D693,nrES_Code,$F693,nrES_Att,1)&gt;0),"Yes","No")))</f>
        <v/>
      </c>
      <c r="S693" s="18" t="n"/>
      <c r="T693" s="19">
        <f>IF($Q693&lt;&gt;"Yes","",IF($S693="","(enter date)",_xlfn.LET(_xlpm.dn,IFERROR(_xlfn.XLOOKUP($S693,nrCDdate,nrCDnum),""),IF(_xlpm.dn="","(not a class day)",IFERROR(_xlfn.XLOOKUP(_xlpm.dn+cfgRetestClassDays,nrCDnum,nrCDdate),"")))))</f>
        <v/>
      </c>
      <c r="U693" s="17">
        <f>IF($Q693&lt;&gt;"Yes","",IF(COUNTIFS(nrES_PID,$D693,nrES_Code,$F693,nrES_Att,2)&gt;0,"Retested",IF(OR($T693="",NOT(ISNUMBER($T693))),"Pending",IF(TODAY()&gt;$T693,"OVERDUE","Due "&amp;TEXT($T693,"mm/dd")))))</f>
        <v/>
      </c>
      <c r="V693" s="16" t="n"/>
      <c r="W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IF($C694="","",IF($L694="","",IF($K694=1,IF(COUNTIFS(nrES_PID,$D694,nrES_Code,$F694,nrES_Att,2)&gt;0,"",$L694),IF(COUNTIFS(nrES_PID,$D694,nrES_Code,$F694,nrES_Att,1)=0,$L694,IF($L694&gt;=$J694,cfgRetakeRecordedCap,SUMIFS(nrES_Raw,nrES_PID,$D694,nrES_Code,$F694,nrES_Att,1))))))</f>
        <v/>
      </c>
      <c r="N694" s="17">
        <f>IF($C694="","",IF($L694="","",IF($L694&gt;=$J694,"Yes","No")))</f>
        <v/>
      </c>
      <c r="O694" s="17">
        <f>IF($C694="","",IF($M694="","",IF($M694&gt;=$J694,"Yes","No")))</f>
        <v/>
      </c>
      <c r="P694" s="17">
        <f>IF($C694="","",IF($K694="","",IF(COUNTIFS(nrES_PID,$D694,nrES_Code,$F694,nrES_Att,"&gt;"&amp;$K694)=0,"Yes","No")))</f>
        <v/>
      </c>
      <c r="Q694" s="17">
        <f>IF($C694="","",IF($L694="","",IF(AND($K694=1,$L694&lt;$J694,COUNTIFS(nrES_PID,$D694,nrES_Code,$F694,nrES_Att,2)=0),"Yes","No")))</f>
        <v/>
      </c>
      <c r="R694" s="17">
        <f>IF($C694="","",IF($L694="","",IF(AND($K694=2,$L694&lt;$J694,COUNTIFS(nrES_PID,$D694,nrES_Code,$F694,nrES_Att,1)&gt;0),"Yes","No")))</f>
        <v/>
      </c>
      <c r="S694" s="18" t="n"/>
      <c r="T694" s="19">
        <f>IF($Q694&lt;&gt;"Yes","",IF($S694="","(enter date)",_xlfn.LET(_xlpm.dn,IFERROR(_xlfn.XLOOKUP($S694,nrCDdate,nrCDnum),""),IF(_xlpm.dn="","(not a class day)",IFERROR(_xlfn.XLOOKUP(_xlpm.dn+cfgRetestClassDays,nrCDnum,nrCDdate),"")))))</f>
        <v/>
      </c>
      <c r="U694" s="17">
        <f>IF($Q694&lt;&gt;"Yes","",IF(COUNTIFS(nrES_PID,$D694,nrES_Code,$F694,nrES_Att,2)&gt;0,"Retested",IF(OR($T694="",NOT(ISNUMBER($T694))),"Pending",IF(TODAY()&gt;$T694,"OVERDUE","Due "&amp;TEXT($T694,"mm/dd")))))</f>
        <v/>
      </c>
      <c r="V694" s="16" t="n"/>
      <c r="W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IF($C695="","",IF($L695="","",IF($K695=1,IF(COUNTIFS(nrES_PID,$D695,nrES_Code,$F695,nrES_Att,2)&gt;0,"",$L695),IF(COUNTIFS(nrES_PID,$D695,nrES_Code,$F695,nrES_Att,1)=0,$L695,IF($L695&gt;=$J695,cfgRetakeRecordedCap,SUMIFS(nrES_Raw,nrES_PID,$D695,nrES_Code,$F695,nrES_Att,1))))))</f>
        <v/>
      </c>
      <c r="N695" s="17">
        <f>IF($C695="","",IF($L695="","",IF($L695&gt;=$J695,"Yes","No")))</f>
        <v/>
      </c>
      <c r="O695" s="17">
        <f>IF($C695="","",IF($M695="","",IF($M695&gt;=$J695,"Yes","No")))</f>
        <v/>
      </c>
      <c r="P695" s="17">
        <f>IF($C695="","",IF($K695="","",IF(COUNTIFS(nrES_PID,$D695,nrES_Code,$F695,nrES_Att,"&gt;"&amp;$K695)=0,"Yes","No")))</f>
        <v/>
      </c>
      <c r="Q695" s="17">
        <f>IF($C695="","",IF($L695="","",IF(AND($K695=1,$L695&lt;$J695,COUNTIFS(nrES_PID,$D695,nrES_Code,$F695,nrES_Att,2)=0),"Yes","No")))</f>
        <v/>
      </c>
      <c r="R695" s="17">
        <f>IF($C695="","",IF($L695="","",IF(AND($K695=2,$L695&lt;$J695,COUNTIFS(nrES_PID,$D695,nrES_Code,$F695,nrES_Att,1)&gt;0),"Yes","No")))</f>
        <v/>
      </c>
      <c r="S695" s="18" t="n"/>
      <c r="T695" s="19">
        <f>IF($Q695&lt;&gt;"Yes","",IF($S695="","(enter date)",_xlfn.LET(_xlpm.dn,IFERROR(_xlfn.XLOOKUP($S695,nrCDdate,nrCDnum),""),IF(_xlpm.dn="","(not a class day)",IFERROR(_xlfn.XLOOKUP(_xlpm.dn+cfgRetestClassDays,nrCDnum,nrCDdate),"")))))</f>
        <v/>
      </c>
      <c r="U695" s="17">
        <f>IF($Q695&lt;&gt;"Yes","",IF(COUNTIFS(nrES_PID,$D695,nrES_Code,$F695,nrES_Att,2)&gt;0,"Retested",IF(OR($T695="",NOT(ISNUMBER($T695))),"Pending",IF(TODAY()&gt;$T695,"OVERDUE","Due "&amp;TEXT($T695,"mm/dd")))))</f>
        <v/>
      </c>
      <c r="V695" s="16" t="n"/>
      <c r="W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IF($C696="","",IF($L696="","",IF($K696=1,IF(COUNTIFS(nrES_PID,$D696,nrES_Code,$F696,nrES_Att,2)&gt;0,"",$L696),IF(COUNTIFS(nrES_PID,$D696,nrES_Code,$F696,nrES_Att,1)=0,$L696,IF($L696&gt;=$J696,cfgRetakeRecordedCap,SUMIFS(nrES_Raw,nrES_PID,$D696,nrES_Code,$F696,nrES_Att,1))))))</f>
        <v/>
      </c>
      <c r="N696" s="17">
        <f>IF($C696="","",IF($L696="","",IF($L696&gt;=$J696,"Yes","No")))</f>
        <v/>
      </c>
      <c r="O696" s="17">
        <f>IF($C696="","",IF($M696="","",IF($M696&gt;=$J696,"Yes","No")))</f>
        <v/>
      </c>
      <c r="P696" s="17">
        <f>IF($C696="","",IF($K696="","",IF(COUNTIFS(nrES_PID,$D696,nrES_Code,$F696,nrES_Att,"&gt;"&amp;$K696)=0,"Yes","No")))</f>
        <v/>
      </c>
      <c r="Q696" s="17">
        <f>IF($C696="","",IF($L696="","",IF(AND($K696=1,$L696&lt;$J696,COUNTIFS(nrES_PID,$D696,nrES_Code,$F696,nrES_Att,2)=0),"Yes","No")))</f>
        <v/>
      </c>
      <c r="R696" s="17">
        <f>IF($C696="","",IF($L696="","",IF(AND($K696=2,$L696&lt;$J696,COUNTIFS(nrES_PID,$D696,nrES_Code,$F696,nrES_Att,1)&gt;0),"Yes","No")))</f>
        <v/>
      </c>
      <c r="S696" s="18" t="n"/>
      <c r="T696" s="19">
        <f>IF($Q696&lt;&gt;"Yes","",IF($S696="","(enter date)",_xlfn.LET(_xlpm.dn,IFERROR(_xlfn.XLOOKUP($S696,nrCDdate,nrCDnum),""),IF(_xlpm.dn="","(not a class day)",IFERROR(_xlfn.XLOOKUP(_xlpm.dn+cfgRetestClassDays,nrCDnum,nrCDdate),"")))))</f>
        <v/>
      </c>
      <c r="U696" s="17">
        <f>IF($Q696&lt;&gt;"Yes","",IF(COUNTIFS(nrES_PID,$D696,nrES_Code,$F696,nrES_Att,2)&gt;0,"Retested",IF(OR($T696="",NOT(ISNUMBER($T696))),"Pending",IF(TODAY()&gt;$T696,"OVERDUE","Due "&amp;TEXT($T696,"mm/dd")))))</f>
        <v/>
      </c>
      <c r="V696" s="16" t="n"/>
      <c r="W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IF($C697="","",IF($L697="","",IF($K697=1,IF(COUNTIFS(nrES_PID,$D697,nrES_Code,$F697,nrES_Att,2)&gt;0,"",$L697),IF(COUNTIFS(nrES_PID,$D697,nrES_Code,$F697,nrES_Att,1)=0,$L697,IF($L697&gt;=$J697,cfgRetakeRecordedCap,SUMIFS(nrES_Raw,nrES_PID,$D697,nrES_Code,$F697,nrES_Att,1))))))</f>
        <v/>
      </c>
      <c r="N697" s="17">
        <f>IF($C697="","",IF($L697="","",IF($L697&gt;=$J697,"Yes","No")))</f>
        <v/>
      </c>
      <c r="O697" s="17">
        <f>IF($C697="","",IF($M697="","",IF($M697&gt;=$J697,"Yes","No")))</f>
        <v/>
      </c>
      <c r="P697" s="17">
        <f>IF($C697="","",IF($K697="","",IF(COUNTIFS(nrES_PID,$D697,nrES_Code,$F697,nrES_Att,"&gt;"&amp;$K697)=0,"Yes","No")))</f>
        <v/>
      </c>
      <c r="Q697" s="17">
        <f>IF($C697="","",IF($L697="","",IF(AND($K697=1,$L697&lt;$J697,COUNTIFS(nrES_PID,$D697,nrES_Code,$F697,nrES_Att,2)=0),"Yes","No")))</f>
        <v/>
      </c>
      <c r="R697" s="17">
        <f>IF($C697="","",IF($L697="","",IF(AND($K697=2,$L697&lt;$J697,COUNTIFS(nrES_PID,$D697,nrES_Code,$F697,nrES_Att,1)&gt;0),"Yes","No")))</f>
        <v/>
      </c>
      <c r="S697" s="18" t="n"/>
      <c r="T697" s="19">
        <f>IF($Q697&lt;&gt;"Yes","",IF($S697="","(enter date)",_xlfn.LET(_xlpm.dn,IFERROR(_xlfn.XLOOKUP($S697,nrCDdate,nrCDnum),""),IF(_xlpm.dn="","(not a class day)",IFERROR(_xlfn.XLOOKUP(_xlpm.dn+cfgRetestClassDays,nrCDnum,nrCDdate),"")))))</f>
        <v/>
      </c>
      <c r="U697" s="17">
        <f>IF($Q697&lt;&gt;"Yes","",IF(COUNTIFS(nrES_PID,$D697,nrES_Code,$F697,nrES_Att,2)&gt;0,"Retested",IF(OR($T697="",NOT(ISNUMBER($T697))),"Pending",IF(TODAY()&gt;$T697,"OVERDUE","Due "&amp;TEXT($T697,"mm/dd")))))</f>
        <v/>
      </c>
      <c r="V697" s="16" t="n"/>
      <c r="W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IF($C698="","",IF($L698="","",IF($K698=1,IF(COUNTIFS(nrES_PID,$D698,nrES_Code,$F698,nrES_Att,2)&gt;0,"",$L698),IF(COUNTIFS(nrES_PID,$D698,nrES_Code,$F698,nrES_Att,1)=0,$L698,IF($L698&gt;=$J698,cfgRetakeRecordedCap,SUMIFS(nrES_Raw,nrES_PID,$D698,nrES_Code,$F698,nrES_Att,1))))))</f>
        <v/>
      </c>
      <c r="N698" s="17">
        <f>IF($C698="","",IF($L698="","",IF($L698&gt;=$J698,"Yes","No")))</f>
        <v/>
      </c>
      <c r="O698" s="17">
        <f>IF($C698="","",IF($M698="","",IF($M698&gt;=$J698,"Yes","No")))</f>
        <v/>
      </c>
      <c r="P698" s="17">
        <f>IF($C698="","",IF($K698="","",IF(COUNTIFS(nrES_PID,$D698,nrES_Code,$F698,nrES_Att,"&gt;"&amp;$K698)=0,"Yes","No")))</f>
        <v/>
      </c>
      <c r="Q698" s="17">
        <f>IF($C698="","",IF($L698="","",IF(AND($K698=1,$L698&lt;$J698,COUNTIFS(nrES_PID,$D698,nrES_Code,$F698,nrES_Att,2)=0),"Yes","No")))</f>
        <v/>
      </c>
      <c r="R698" s="17">
        <f>IF($C698="","",IF($L698="","",IF(AND($K698=2,$L698&lt;$J698,COUNTIFS(nrES_PID,$D698,nrES_Code,$F698,nrES_Att,1)&gt;0),"Yes","No")))</f>
        <v/>
      </c>
      <c r="S698" s="18" t="n"/>
      <c r="T698" s="19">
        <f>IF($Q698&lt;&gt;"Yes","",IF($S698="","(enter date)",_xlfn.LET(_xlpm.dn,IFERROR(_xlfn.XLOOKUP($S698,nrCDdate,nrCDnum),""),IF(_xlpm.dn="","(not a class day)",IFERROR(_xlfn.XLOOKUP(_xlpm.dn+cfgRetestClassDays,nrCDnum,nrCDdate),"")))))</f>
        <v/>
      </c>
      <c r="U698" s="17">
        <f>IF($Q698&lt;&gt;"Yes","",IF(COUNTIFS(nrES_PID,$D698,nrES_Code,$F698,nrES_Att,2)&gt;0,"Retested",IF(OR($T698="",NOT(ISNUMBER($T698))),"Pending",IF(TODAY()&gt;$T698,"OVERDUE","Due "&amp;TEXT($T698,"mm/dd")))))</f>
        <v/>
      </c>
      <c r="V698" s="16" t="n"/>
      <c r="W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IF($C699="","",IF($L699="","",IF($K699=1,IF(COUNTIFS(nrES_PID,$D699,nrES_Code,$F699,nrES_Att,2)&gt;0,"",$L699),IF(COUNTIFS(nrES_PID,$D699,nrES_Code,$F699,nrES_Att,1)=0,$L699,IF($L699&gt;=$J699,cfgRetakeRecordedCap,SUMIFS(nrES_Raw,nrES_PID,$D699,nrES_Code,$F699,nrES_Att,1))))))</f>
        <v/>
      </c>
      <c r="N699" s="17">
        <f>IF($C699="","",IF($L699="","",IF($L699&gt;=$J699,"Yes","No")))</f>
        <v/>
      </c>
      <c r="O699" s="17">
        <f>IF($C699="","",IF($M699="","",IF($M699&gt;=$J699,"Yes","No")))</f>
        <v/>
      </c>
      <c r="P699" s="17">
        <f>IF($C699="","",IF($K699="","",IF(COUNTIFS(nrES_PID,$D699,nrES_Code,$F699,nrES_Att,"&gt;"&amp;$K699)=0,"Yes","No")))</f>
        <v/>
      </c>
      <c r="Q699" s="17">
        <f>IF($C699="","",IF($L699="","",IF(AND($K699=1,$L699&lt;$J699,COUNTIFS(nrES_PID,$D699,nrES_Code,$F699,nrES_Att,2)=0),"Yes","No")))</f>
        <v/>
      </c>
      <c r="R699" s="17">
        <f>IF($C699="","",IF($L699="","",IF(AND($K699=2,$L699&lt;$J699,COUNTIFS(nrES_PID,$D699,nrES_Code,$F699,nrES_Att,1)&gt;0),"Yes","No")))</f>
        <v/>
      </c>
      <c r="S699" s="18" t="n"/>
      <c r="T699" s="19">
        <f>IF($Q699&lt;&gt;"Yes","",IF($S699="","(enter date)",_xlfn.LET(_xlpm.dn,IFERROR(_xlfn.XLOOKUP($S699,nrCDdate,nrCDnum),""),IF(_xlpm.dn="","(not a class day)",IFERROR(_xlfn.XLOOKUP(_xlpm.dn+cfgRetestClassDays,nrCDnum,nrCDdate),"")))))</f>
        <v/>
      </c>
      <c r="U699" s="17">
        <f>IF($Q699&lt;&gt;"Yes","",IF(COUNTIFS(nrES_PID,$D699,nrES_Code,$F699,nrES_Att,2)&gt;0,"Retested",IF(OR($T699="",NOT(ISNUMBER($T699))),"Pending",IF(TODAY()&gt;$T699,"OVERDUE","Due "&amp;TEXT($T699,"mm/dd")))))</f>
        <v/>
      </c>
      <c r="V699" s="16" t="n"/>
      <c r="W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IF($C700="","",IF($L700="","",IF($K700=1,IF(COUNTIFS(nrES_PID,$D700,nrES_Code,$F700,nrES_Att,2)&gt;0,"",$L700),IF(COUNTIFS(nrES_PID,$D700,nrES_Code,$F700,nrES_Att,1)=0,$L700,IF($L700&gt;=$J700,cfgRetakeRecordedCap,SUMIFS(nrES_Raw,nrES_PID,$D700,nrES_Code,$F700,nrES_Att,1))))))</f>
        <v/>
      </c>
      <c r="N700" s="17">
        <f>IF($C700="","",IF($L700="","",IF($L700&gt;=$J700,"Yes","No")))</f>
        <v/>
      </c>
      <c r="O700" s="17">
        <f>IF($C700="","",IF($M700="","",IF($M700&gt;=$J700,"Yes","No")))</f>
        <v/>
      </c>
      <c r="P700" s="17">
        <f>IF($C700="","",IF($K700="","",IF(COUNTIFS(nrES_PID,$D700,nrES_Code,$F700,nrES_Att,"&gt;"&amp;$K700)=0,"Yes","No")))</f>
        <v/>
      </c>
      <c r="Q700" s="17">
        <f>IF($C700="","",IF($L700="","",IF(AND($K700=1,$L700&lt;$J700,COUNTIFS(nrES_PID,$D700,nrES_Code,$F700,nrES_Att,2)=0),"Yes","No")))</f>
        <v/>
      </c>
      <c r="R700" s="17">
        <f>IF($C700="","",IF($L700="","",IF(AND($K700=2,$L700&lt;$J700,COUNTIFS(nrES_PID,$D700,nrES_Code,$F700,nrES_Att,1)&gt;0),"Yes","No")))</f>
        <v/>
      </c>
      <c r="S700" s="18" t="n"/>
      <c r="T700" s="19">
        <f>IF($Q700&lt;&gt;"Yes","",IF($S700="","(enter date)",_xlfn.LET(_xlpm.dn,IFERROR(_xlfn.XLOOKUP($S700,nrCDdate,nrCDnum),""),IF(_xlpm.dn="","(not a class day)",IFERROR(_xlfn.XLOOKUP(_xlpm.dn+cfgRetestClassDays,nrCDnum,nrCDdate),"")))))</f>
        <v/>
      </c>
      <c r="U700" s="17">
        <f>IF($Q700&lt;&gt;"Yes","",IF(COUNTIFS(nrES_PID,$D700,nrES_Code,$F700,nrES_Att,2)&gt;0,"Retested",IF(OR($T700="",NOT(ISNUMBER($T700))),"Pending",IF(TODAY()&gt;$T700,"OVERDUE","Due "&amp;TEXT($T700,"mm/dd")))))</f>
        <v/>
      </c>
      <c r="V700" s="16" t="n"/>
      <c r="W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IF($C701="","",IF($L701="","",IF($K701=1,IF(COUNTIFS(nrES_PID,$D701,nrES_Code,$F701,nrES_Att,2)&gt;0,"",$L701),IF(COUNTIFS(nrES_PID,$D701,nrES_Code,$F701,nrES_Att,1)=0,$L701,IF($L701&gt;=$J701,cfgRetakeRecordedCap,SUMIFS(nrES_Raw,nrES_PID,$D701,nrES_Code,$F701,nrES_Att,1))))))</f>
        <v/>
      </c>
      <c r="N701" s="17">
        <f>IF($C701="","",IF($L701="","",IF($L701&gt;=$J701,"Yes","No")))</f>
        <v/>
      </c>
      <c r="O701" s="17">
        <f>IF($C701="","",IF($M701="","",IF($M701&gt;=$J701,"Yes","No")))</f>
        <v/>
      </c>
      <c r="P701" s="17">
        <f>IF($C701="","",IF($K701="","",IF(COUNTIFS(nrES_PID,$D701,nrES_Code,$F701,nrES_Att,"&gt;"&amp;$K701)=0,"Yes","No")))</f>
        <v/>
      </c>
      <c r="Q701" s="17">
        <f>IF($C701="","",IF($L701="","",IF(AND($K701=1,$L701&lt;$J701,COUNTIFS(nrES_PID,$D701,nrES_Code,$F701,nrES_Att,2)=0),"Yes","No")))</f>
        <v/>
      </c>
      <c r="R701" s="17">
        <f>IF($C701="","",IF($L701="","",IF(AND($K701=2,$L701&lt;$J701,COUNTIFS(nrES_PID,$D701,nrES_Code,$F701,nrES_Att,1)&gt;0),"Yes","No")))</f>
        <v/>
      </c>
      <c r="S701" s="18" t="n"/>
      <c r="T701" s="19">
        <f>IF($Q701&lt;&gt;"Yes","",IF($S701="","(enter date)",_xlfn.LET(_xlpm.dn,IFERROR(_xlfn.XLOOKUP($S701,nrCDdate,nrCDnum),""),IF(_xlpm.dn="","(not a class day)",IFERROR(_xlfn.XLOOKUP(_xlpm.dn+cfgRetestClassDays,nrCDnum,nrCDdate),"")))))</f>
        <v/>
      </c>
      <c r="U701" s="17">
        <f>IF($Q701&lt;&gt;"Yes","",IF(COUNTIFS(nrES_PID,$D701,nrES_Code,$F701,nrES_Att,2)&gt;0,"Retested",IF(OR($T701="",NOT(ISNUMBER($T701))),"Pending",IF(TODAY()&gt;$T701,"OVERDUE","Due "&amp;TEXT($T701,"mm/dd")))))</f>
        <v/>
      </c>
      <c r="V701" s="16" t="n"/>
      <c r="W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IF($C702="","",IF($L702="","",IF($K702=1,IF(COUNTIFS(nrES_PID,$D702,nrES_Code,$F702,nrES_Att,2)&gt;0,"",$L702),IF(COUNTIFS(nrES_PID,$D702,nrES_Code,$F702,nrES_Att,1)=0,$L702,IF($L702&gt;=$J702,cfgRetakeRecordedCap,SUMIFS(nrES_Raw,nrES_PID,$D702,nrES_Code,$F702,nrES_Att,1))))))</f>
        <v/>
      </c>
      <c r="N702" s="17">
        <f>IF($C702="","",IF($L702="","",IF($L702&gt;=$J702,"Yes","No")))</f>
        <v/>
      </c>
      <c r="O702" s="17">
        <f>IF($C702="","",IF($M702="","",IF($M702&gt;=$J702,"Yes","No")))</f>
        <v/>
      </c>
      <c r="P702" s="17">
        <f>IF($C702="","",IF($K702="","",IF(COUNTIFS(nrES_PID,$D702,nrES_Code,$F702,nrES_Att,"&gt;"&amp;$K702)=0,"Yes","No")))</f>
        <v/>
      </c>
      <c r="Q702" s="17">
        <f>IF($C702="","",IF($L702="","",IF(AND($K702=1,$L702&lt;$J702,COUNTIFS(nrES_PID,$D702,nrES_Code,$F702,nrES_Att,2)=0),"Yes","No")))</f>
        <v/>
      </c>
      <c r="R702" s="17">
        <f>IF($C702="","",IF($L702="","",IF(AND($K702=2,$L702&lt;$J702,COUNTIFS(nrES_PID,$D702,nrES_Code,$F702,nrES_Att,1)&gt;0),"Yes","No")))</f>
        <v/>
      </c>
      <c r="S702" s="18" t="n"/>
      <c r="T702" s="19">
        <f>IF($Q702&lt;&gt;"Yes","",IF($S702="","(enter date)",_xlfn.LET(_xlpm.dn,IFERROR(_xlfn.XLOOKUP($S702,nrCDdate,nrCDnum),""),IF(_xlpm.dn="","(not a class day)",IFERROR(_xlfn.XLOOKUP(_xlpm.dn+cfgRetestClassDays,nrCDnum,nrCDdate),"")))))</f>
        <v/>
      </c>
      <c r="U702" s="17">
        <f>IF($Q702&lt;&gt;"Yes","",IF(COUNTIFS(nrES_PID,$D702,nrES_Code,$F702,nrES_Att,2)&gt;0,"Retested",IF(OR($T702="",NOT(ISNUMBER($T702))),"Pending",IF(TODAY()&gt;$T702,"OVERDUE","Due "&amp;TEXT($T702,"mm/dd")))))</f>
        <v/>
      </c>
      <c r="V702" s="16" t="n"/>
      <c r="W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IF($C703="","",IF($L703="","",IF($K703=1,IF(COUNTIFS(nrES_PID,$D703,nrES_Code,$F703,nrES_Att,2)&gt;0,"",$L703),IF(COUNTIFS(nrES_PID,$D703,nrES_Code,$F703,nrES_Att,1)=0,$L703,IF($L703&gt;=$J703,cfgRetakeRecordedCap,SUMIFS(nrES_Raw,nrES_PID,$D703,nrES_Code,$F703,nrES_Att,1))))))</f>
        <v/>
      </c>
      <c r="N703" s="17">
        <f>IF($C703="","",IF($L703="","",IF($L703&gt;=$J703,"Yes","No")))</f>
        <v/>
      </c>
      <c r="O703" s="17">
        <f>IF($C703="","",IF($M703="","",IF($M703&gt;=$J703,"Yes","No")))</f>
        <v/>
      </c>
      <c r="P703" s="17">
        <f>IF($C703="","",IF($K703="","",IF(COUNTIFS(nrES_PID,$D703,nrES_Code,$F703,nrES_Att,"&gt;"&amp;$K703)=0,"Yes","No")))</f>
        <v/>
      </c>
      <c r="Q703" s="17">
        <f>IF($C703="","",IF($L703="","",IF(AND($K703=1,$L703&lt;$J703,COUNTIFS(nrES_PID,$D703,nrES_Code,$F703,nrES_Att,2)=0),"Yes","No")))</f>
        <v/>
      </c>
      <c r="R703" s="17">
        <f>IF($C703="","",IF($L703="","",IF(AND($K703=2,$L703&lt;$J703,COUNTIFS(nrES_PID,$D703,nrES_Code,$F703,nrES_Att,1)&gt;0),"Yes","No")))</f>
        <v/>
      </c>
      <c r="S703" s="18" t="n"/>
      <c r="T703" s="19">
        <f>IF($Q703&lt;&gt;"Yes","",IF($S703="","(enter date)",_xlfn.LET(_xlpm.dn,IFERROR(_xlfn.XLOOKUP($S703,nrCDdate,nrCDnum),""),IF(_xlpm.dn="","(not a class day)",IFERROR(_xlfn.XLOOKUP(_xlpm.dn+cfgRetestClassDays,nrCDnum,nrCDdate),"")))))</f>
        <v/>
      </c>
      <c r="U703" s="17">
        <f>IF($Q703&lt;&gt;"Yes","",IF(COUNTIFS(nrES_PID,$D703,nrES_Code,$F703,nrES_Att,2)&gt;0,"Retested",IF(OR($T703="",NOT(ISNUMBER($T703))),"Pending",IF(TODAY()&gt;$T703,"OVERDUE","Due "&amp;TEXT($T703,"mm/dd")))))</f>
        <v/>
      </c>
      <c r="V703" s="16" t="n"/>
      <c r="W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IF($C704="","",IF($L704="","",IF($K704=1,IF(COUNTIFS(nrES_PID,$D704,nrES_Code,$F704,nrES_Att,2)&gt;0,"",$L704),IF(COUNTIFS(nrES_PID,$D704,nrES_Code,$F704,nrES_Att,1)=0,$L704,IF($L704&gt;=$J704,cfgRetakeRecordedCap,SUMIFS(nrES_Raw,nrES_PID,$D704,nrES_Code,$F704,nrES_Att,1))))))</f>
        <v/>
      </c>
      <c r="N704" s="17">
        <f>IF($C704="","",IF($L704="","",IF($L704&gt;=$J704,"Yes","No")))</f>
        <v/>
      </c>
      <c r="O704" s="17">
        <f>IF($C704="","",IF($M704="","",IF($M704&gt;=$J704,"Yes","No")))</f>
        <v/>
      </c>
      <c r="P704" s="17">
        <f>IF($C704="","",IF($K704="","",IF(COUNTIFS(nrES_PID,$D704,nrES_Code,$F704,nrES_Att,"&gt;"&amp;$K704)=0,"Yes","No")))</f>
        <v/>
      </c>
      <c r="Q704" s="17">
        <f>IF($C704="","",IF($L704="","",IF(AND($K704=1,$L704&lt;$J704,COUNTIFS(nrES_PID,$D704,nrES_Code,$F704,nrES_Att,2)=0),"Yes","No")))</f>
        <v/>
      </c>
      <c r="R704" s="17">
        <f>IF($C704="","",IF($L704="","",IF(AND($K704=2,$L704&lt;$J704,COUNTIFS(nrES_PID,$D704,nrES_Code,$F704,nrES_Att,1)&gt;0),"Yes","No")))</f>
        <v/>
      </c>
      <c r="S704" s="18" t="n"/>
      <c r="T704" s="19">
        <f>IF($Q704&lt;&gt;"Yes","",IF($S704="","(enter date)",_xlfn.LET(_xlpm.dn,IFERROR(_xlfn.XLOOKUP($S704,nrCDdate,nrCDnum),""),IF(_xlpm.dn="","(not a class day)",IFERROR(_xlfn.XLOOKUP(_xlpm.dn+cfgRetestClassDays,nrCDnum,nrCDdate),"")))))</f>
        <v/>
      </c>
      <c r="U704" s="17">
        <f>IF($Q704&lt;&gt;"Yes","",IF(COUNTIFS(nrES_PID,$D704,nrES_Code,$F704,nrES_Att,2)&gt;0,"Retested",IF(OR($T704="",NOT(ISNUMBER($T704))),"Pending",IF(TODAY()&gt;$T704,"OVERDUE","Due "&amp;TEXT($T704,"mm/dd")))))</f>
        <v/>
      </c>
      <c r="V704" s="16" t="n"/>
      <c r="W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IF($C705="","",IF($L705="","",IF($K705=1,IF(COUNTIFS(nrES_PID,$D705,nrES_Code,$F705,nrES_Att,2)&gt;0,"",$L705),IF(COUNTIFS(nrES_PID,$D705,nrES_Code,$F705,nrES_Att,1)=0,$L705,IF($L705&gt;=$J705,cfgRetakeRecordedCap,SUMIFS(nrES_Raw,nrES_PID,$D705,nrES_Code,$F705,nrES_Att,1))))))</f>
        <v/>
      </c>
      <c r="N705" s="17">
        <f>IF($C705="","",IF($L705="","",IF($L705&gt;=$J705,"Yes","No")))</f>
        <v/>
      </c>
      <c r="O705" s="17">
        <f>IF($C705="","",IF($M705="","",IF($M705&gt;=$J705,"Yes","No")))</f>
        <v/>
      </c>
      <c r="P705" s="17">
        <f>IF($C705="","",IF($K705="","",IF(COUNTIFS(nrES_PID,$D705,nrES_Code,$F705,nrES_Att,"&gt;"&amp;$K705)=0,"Yes","No")))</f>
        <v/>
      </c>
      <c r="Q705" s="17">
        <f>IF($C705="","",IF($L705="","",IF(AND($K705=1,$L705&lt;$J705,COUNTIFS(nrES_PID,$D705,nrES_Code,$F705,nrES_Att,2)=0),"Yes","No")))</f>
        <v/>
      </c>
      <c r="R705" s="17">
        <f>IF($C705="","",IF($L705="","",IF(AND($K705=2,$L705&lt;$J705,COUNTIFS(nrES_PID,$D705,nrES_Code,$F705,nrES_Att,1)&gt;0),"Yes","No")))</f>
        <v/>
      </c>
      <c r="S705" s="18" t="n"/>
      <c r="T705" s="19">
        <f>IF($Q705&lt;&gt;"Yes","",IF($S705="","(enter date)",_xlfn.LET(_xlpm.dn,IFERROR(_xlfn.XLOOKUP($S705,nrCDdate,nrCDnum),""),IF(_xlpm.dn="","(not a class day)",IFERROR(_xlfn.XLOOKUP(_xlpm.dn+cfgRetestClassDays,nrCDnum,nrCDdate),"")))))</f>
        <v/>
      </c>
      <c r="U705" s="17">
        <f>IF($Q705&lt;&gt;"Yes","",IF(COUNTIFS(nrES_PID,$D705,nrES_Code,$F705,nrES_Att,2)&gt;0,"Retested",IF(OR($T705="",NOT(ISNUMBER($T705))),"Pending",IF(TODAY()&gt;$T705,"OVERDUE","Due "&amp;TEXT($T705,"mm/dd")))))</f>
        <v/>
      </c>
      <c r="V705" s="16" t="n"/>
      <c r="W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IF($C706="","",IF($L706="","",IF($K706=1,IF(COUNTIFS(nrES_PID,$D706,nrES_Code,$F706,nrES_Att,2)&gt;0,"",$L706),IF(COUNTIFS(nrES_PID,$D706,nrES_Code,$F706,nrES_Att,1)=0,$L706,IF($L706&gt;=$J706,cfgRetakeRecordedCap,SUMIFS(nrES_Raw,nrES_PID,$D706,nrES_Code,$F706,nrES_Att,1))))))</f>
        <v/>
      </c>
      <c r="N706" s="17">
        <f>IF($C706="","",IF($L706="","",IF($L706&gt;=$J706,"Yes","No")))</f>
        <v/>
      </c>
      <c r="O706" s="17">
        <f>IF($C706="","",IF($M706="","",IF($M706&gt;=$J706,"Yes","No")))</f>
        <v/>
      </c>
      <c r="P706" s="17">
        <f>IF($C706="","",IF($K706="","",IF(COUNTIFS(nrES_PID,$D706,nrES_Code,$F706,nrES_Att,"&gt;"&amp;$K706)=0,"Yes","No")))</f>
        <v/>
      </c>
      <c r="Q706" s="17">
        <f>IF($C706="","",IF($L706="","",IF(AND($K706=1,$L706&lt;$J706,COUNTIFS(nrES_PID,$D706,nrES_Code,$F706,nrES_Att,2)=0),"Yes","No")))</f>
        <v/>
      </c>
      <c r="R706" s="17">
        <f>IF($C706="","",IF($L706="","",IF(AND($K706=2,$L706&lt;$J706,COUNTIFS(nrES_PID,$D706,nrES_Code,$F706,nrES_Att,1)&gt;0),"Yes","No")))</f>
        <v/>
      </c>
      <c r="S706" s="18" t="n"/>
      <c r="T706" s="19">
        <f>IF($Q706&lt;&gt;"Yes","",IF($S706="","(enter date)",_xlfn.LET(_xlpm.dn,IFERROR(_xlfn.XLOOKUP($S706,nrCDdate,nrCDnum),""),IF(_xlpm.dn="","(not a class day)",IFERROR(_xlfn.XLOOKUP(_xlpm.dn+cfgRetestClassDays,nrCDnum,nrCDdate),"")))))</f>
        <v/>
      </c>
      <c r="U706" s="17">
        <f>IF($Q706&lt;&gt;"Yes","",IF(COUNTIFS(nrES_PID,$D706,nrES_Code,$F706,nrES_Att,2)&gt;0,"Retested",IF(OR($T706="",NOT(ISNUMBER($T706))),"Pending",IF(TODAY()&gt;$T706,"OVERDUE","Due "&amp;TEXT($T706,"mm/dd")))))</f>
        <v/>
      </c>
      <c r="V706" s="16" t="n"/>
      <c r="W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IF($C707="","",IF($L707="","",IF($K707=1,IF(COUNTIFS(nrES_PID,$D707,nrES_Code,$F707,nrES_Att,2)&gt;0,"",$L707),IF(COUNTIFS(nrES_PID,$D707,nrES_Code,$F707,nrES_Att,1)=0,$L707,IF($L707&gt;=$J707,cfgRetakeRecordedCap,SUMIFS(nrES_Raw,nrES_PID,$D707,nrES_Code,$F707,nrES_Att,1))))))</f>
        <v/>
      </c>
      <c r="N707" s="17">
        <f>IF($C707="","",IF($L707="","",IF($L707&gt;=$J707,"Yes","No")))</f>
        <v/>
      </c>
      <c r="O707" s="17">
        <f>IF($C707="","",IF($M707="","",IF($M707&gt;=$J707,"Yes","No")))</f>
        <v/>
      </c>
      <c r="P707" s="17">
        <f>IF($C707="","",IF($K707="","",IF(COUNTIFS(nrES_PID,$D707,nrES_Code,$F707,nrES_Att,"&gt;"&amp;$K707)=0,"Yes","No")))</f>
        <v/>
      </c>
      <c r="Q707" s="17">
        <f>IF($C707="","",IF($L707="","",IF(AND($K707=1,$L707&lt;$J707,COUNTIFS(nrES_PID,$D707,nrES_Code,$F707,nrES_Att,2)=0),"Yes","No")))</f>
        <v/>
      </c>
      <c r="R707" s="17">
        <f>IF($C707="","",IF($L707="","",IF(AND($K707=2,$L707&lt;$J707,COUNTIFS(nrES_PID,$D707,nrES_Code,$F707,nrES_Att,1)&gt;0),"Yes","No")))</f>
        <v/>
      </c>
      <c r="S707" s="18" t="n"/>
      <c r="T707" s="19">
        <f>IF($Q707&lt;&gt;"Yes","",IF($S707="","(enter date)",_xlfn.LET(_xlpm.dn,IFERROR(_xlfn.XLOOKUP($S707,nrCDdate,nrCDnum),""),IF(_xlpm.dn="","(not a class day)",IFERROR(_xlfn.XLOOKUP(_xlpm.dn+cfgRetestClassDays,nrCDnum,nrCDdate),"")))))</f>
        <v/>
      </c>
      <c r="U707" s="17">
        <f>IF($Q707&lt;&gt;"Yes","",IF(COUNTIFS(nrES_PID,$D707,nrES_Code,$F707,nrES_Att,2)&gt;0,"Retested",IF(OR($T707="",NOT(ISNUMBER($T707))),"Pending",IF(TODAY()&gt;$T707,"OVERDUE","Due "&amp;TEXT($T707,"mm/dd")))))</f>
        <v/>
      </c>
      <c r="V707" s="16" t="n"/>
      <c r="W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IF($C708="","",IF($L708="","",IF($K708=1,IF(COUNTIFS(nrES_PID,$D708,nrES_Code,$F708,nrES_Att,2)&gt;0,"",$L708),IF(COUNTIFS(nrES_PID,$D708,nrES_Code,$F708,nrES_Att,1)=0,$L708,IF($L708&gt;=$J708,cfgRetakeRecordedCap,SUMIFS(nrES_Raw,nrES_PID,$D708,nrES_Code,$F708,nrES_Att,1))))))</f>
        <v/>
      </c>
      <c r="N708" s="17">
        <f>IF($C708="","",IF($L708="","",IF($L708&gt;=$J708,"Yes","No")))</f>
        <v/>
      </c>
      <c r="O708" s="17">
        <f>IF($C708="","",IF($M708="","",IF($M708&gt;=$J708,"Yes","No")))</f>
        <v/>
      </c>
      <c r="P708" s="17">
        <f>IF($C708="","",IF($K708="","",IF(COUNTIFS(nrES_PID,$D708,nrES_Code,$F708,nrES_Att,"&gt;"&amp;$K708)=0,"Yes","No")))</f>
        <v/>
      </c>
      <c r="Q708" s="17">
        <f>IF($C708="","",IF($L708="","",IF(AND($K708=1,$L708&lt;$J708,COUNTIFS(nrES_PID,$D708,nrES_Code,$F708,nrES_Att,2)=0),"Yes","No")))</f>
        <v/>
      </c>
      <c r="R708" s="17">
        <f>IF($C708="","",IF($L708="","",IF(AND($K708=2,$L708&lt;$J708,COUNTIFS(nrES_PID,$D708,nrES_Code,$F708,nrES_Att,1)&gt;0),"Yes","No")))</f>
        <v/>
      </c>
      <c r="S708" s="18" t="n"/>
      <c r="T708" s="19">
        <f>IF($Q708&lt;&gt;"Yes","",IF($S708="","(enter date)",_xlfn.LET(_xlpm.dn,IFERROR(_xlfn.XLOOKUP($S708,nrCDdate,nrCDnum),""),IF(_xlpm.dn="","(not a class day)",IFERROR(_xlfn.XLOOKUP(_xlpm.dn+cfgRetestClassDays,nrCDnum,nrCDdate),"")))))</f>
        <v/>
      </c>
      <c r="U708" s="17">
        <f>IF($Q708&lt;&gt;"Yes","",IF(COUNTIFS(nrES_PID,$D708,nrES_Code,$F708,nrES_Att,2)&gt;0,"Retested",IF(OR($T708="",NOT(ISNUMBER($T708))),"Pending",IF(TODAY()&gt;$T708,"OVERDUE","Due "&amp;TEXT($T708,"mm/dd")))))</f>
        <v/>
      </c>
      <c r="V708" s="16" t="n"/>
      <c r="W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IF($C709="","",IF($L709="","",IF($K709=1,IF(COUNTIFS(nrES_PID,$D709,nrES_Code,$F709,nrES_Att,2)&gt;0,"",$L709),IF(COUNTIFS(nrES_PID,$D709,nrES_Code,$F709,nrES_Att,1)=0,$L709,IF($L709&gt;=$J709,cfgRetakeRecordedCap,SUMIFS(nrES_Raw,nrES_PID,$D709,nrES_Code,$F709,nrES_Att,1))))))</f>
        <v/>
      </c>
      <c r="N709" s="17">
        <f>IF($C709="","",IF($L709="","",IF($L709&gt;=$J709,"Yes","No")))</f>
        <v/>
      </c>
      <c r="O709" s="17">
        <f>IF($C709="","",IF($M709="","",IF($M709&gt;=$J709,"Yes","No")))</f>
        <v/>
      </c>
      <c r="P709" s="17">
        <f>IF($C709="","",IF($K709="","",IF(COUNTIFS(nrES_PID,$D709,nrES_Code,$F709,nrES_Att,"&gt;"&amp;$K709)=0,"Yes","No")))</f>
        <v/>
      </c>
      <c r="Q709" s="17">
        <f>IF($C709="","",IF($L709="","",IF(AND($K709=1,$L709&lt;$J709,COUNTIFS(nrES_PID,$D709,nrES_Code,$F709,nrES_Att,2)=0),"Yes","No")))</f>
        <v/>
      </c>
      <c r="R709" s="17">
        <f>IF($C709="","",IF($L709="","",IF(AND($K709=2,$L709&lt;$J709,COUNTIFS(nrES_PID,$D709,nrES_Code,$F709,nrES_Att,1)&gt;0),"Yes","No")))</f>
        <v/>
      </c>
      <c r="S709" s="18" t="n"/>
      <c r="T709" s="19">
        <f>IF($Q709&lt;&gt;"Yes","",IF($S709="","(enter date)",_xlfn.LET(_xlpm.dn,IFERROR(_xlfn.XLOOKUP($S709,nrCDdate,nrCDnum),""),IF(_xlpm.dn="","(not a class day)",IFERROR(_xlfn.XLOOKUP(_xlpm.dn+cfgRetestClassDays,nrCDnum,nrCDdate),"")))))</f>
        <v/>
      </c>
      <c r="U709" s="17">
        <f>IF($Q709&lt;&gt;"Yes","",IF(COUNTIFS(nrES_PID,$D709,nrES_Code,$F709,nrES_Att,2)&gt;0,"Retested",IF(OR($T709="",NOT(ISNUMBER($T709))),"Pending",IF(TODAY()&gt;$T709,"OVERDUE","Due "&amp;TEXT($T709,"mm/dd")))))</f>
        <v/>
      </c>
      <c r="V709" s="16" t="n"/>
      <c r="W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IF($C710="","",IF($L710="","",IF($K710=1,IF(COUNTIFS(nrES_PID,$D710,nrES_Code,$F710,nrES_Att,2)&gt;0,"",$L710),IF(COUNTIFS(nrES_PID,$D710,nrES_Code,$F710,nrES_Att,1)=0,$L710,IF($L710&gt;=$J710,cfgRetakeRecordedCap,SUMIFS(nrES_Raw,nrES_PID,$D710,nrES_Code,$F710,nrES_Att,1))))))</f>
        <v/>
      </c>
      <c r="N710" s="17">
        <f>IF($C710="","",IF($L710="","",IF($L710&gt;=$J710,"Yes","No")))</f>
        <v/>
      </c>
      <c r="O710" s="17">
        <f>IF($C710="","",IF($M710="","",IF($M710&gt;=$J710,"Yes","No")))</f>
        <v/>
      </c>
      <c r="P710" s="17">
        <f>IF($C710="","",IF($K710="","",IF(COUNTIFS(nrES_PID,$D710,nrES_Code,$F710,nrES_Att,"&gt;"&amp;$K710)=0,"Yes","No")))</f>
        <v/>
      </c>
      <c r="Q710" s="17">
        <f>IF($C710="","",IF($L710="","",IF(AND($K710=1,$L710&lt;$J710,COUNTIFS(nrES_PID,$D710,nrES_Code,$F710,nrES_Att,2)=0),"Yes","No")))</f>
        <v/>
      </c>
      <c r="R710" s="17">
        <f>IF($C710="","",IF($L710="","",IF(AND($K710=2,$L710&lt;$J710,COUNTIFS(nrES_PID,$D710,nrES_Code,$F710,nrES_Att,1)&gt;0),"Yes","No")))</f>
        <v/>
      </c>
      <c r="S710" s="18" t="n"/>
      <c r="T710" s="19">
        <f>IF($Q710&lt;&gt;"Yes","",IF($S710="","(enter date)",_xlfn.LET(_xlpm.dn,IFERROR(_xlfn.XLOOKUP($S710,nrCDdate,nrCDnum),""),IF(_xlpm.dn="","(not a class day)",IFERROR(_xlfn.XLOOKUP(_xlpm.dn+cfgRetestClassDays,nrCDnum,nrCDdate),"")))))</f>
        <v/>
      </c>
      <c r="U710" s="17">
        <f>IF($Q710&lt;&gt;"Yes","",IF(COUNTIFS(nrES_PID,$D710,nrES_Code,$F710,nrES_Att,2)&gt;0,"Retested",IF(OR($T710="",NOT(ISNUMBER($T710))),"Pending",IF(TODAY()&gt;$T710,"OVERDUE","Due "&amp;TEXT($T710,"mm/dd")))))</f>
        <v/>
      </c>
      <c r="V710" s="16" t="n"/>
      <c r="W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IF($C711="","",IF($L711="","",IF($K711=1,IF(COUNTIFS(nrES_PID,$D711,nrES_Code,$F711,nrES_Att,2)&gt;0,"",$L711),IF(COUNTIFS(nrES_PID,$D711,nrES_Code,$F711,nrES_Att,1)=0,$L711,IF($L711&gt;=$J711,cfgRetakeRecordedCap,SUMIFS(nrES_Raw,nrES_PID,$D711,nrES_Code,$F711,nrES_Att,1))))))</f>
        <v/>
      </c>
      <c r="N711" s="17">
        <f>IF($C711="","",IF($L711="","",IF($L711&gt;=$J711,"Yes","No")))</f>
        <v/>
      </c>
      <c r="O711" s="17">
        <f>IF($C711="","",IF($M711="","",IF($M711&gt;=$J711,"Yes","No")))</f>
        <v/>
      </c>
      <c r="P711" s="17">
        <f>IF($C711="","",IF($K711="","",IF(COUNTIFS(nrES_PID,$D711,nrES_Code,$F711,nrES_Att,"&gt;"&amp;$K711)=0,"Yes","No")))</f>
        <v/>
      </c>
      <c r="Q711" s="17">
        <f>IF($C711="","",IF($L711="","",IF(AND($K711=1,$L711&lt;$J711,COUNTIFS(nrES_PID,$D711,nrES_Code,$F711,nrES_Att,2)=0),"Yes","No")))</f>
        <v/>
      </c>
      <c r="R711" s="17">
        <f>IF($C711="","",IF($L711="","",IF(AND($K711=2,$L711&lt;$J711,COUNTIFS(nrES_PID,$D711,nrES_Code,$F711,nrES_Att,1)&gt;0),"Yes","No")))</f>
        <v/>
      </c>
      <c r="S711" s="18" t="n"/>
      <c r="T711" s="19">
        <f>IF($Q711&lt;&gt;"Yes","",IF($S711="","(enter date)",_xlfn.LET(_xlpm.dn,IFERROR(_xlfn.XLOOKUP($S711,nrCDdate,nrCDnum),""),IF(_xlpm.dn="","(not a class day)",IFERROR(_xlfn.XLOOKUP(_xlpm.dn+cfgRetestClassDays,nrCDnum,nrCDdate),"")))))</f>
        <v/>
      </c>
      <c r="U711" s="17">
        <f>IF($Q711&lt;&gt;"Yes","",IF(COUNTIFS(nrES_PID,$D711,nrES_Code,$F711,nrES_Att,2)&gt;0,"Retested",IF(OR($T711="",NOT(ISNUMBER($T711))),"Pending",IF(TODAY()&gt;$T711,"OVERDUE","Due "&amp;TEXT($T711,"mm/dd")))))</f>
        <v/>
      </c>
      <c r="V711" s="16" t="n"/>
      <c r="W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IF($C712="","",IF($L712="","",IF($K712=1,IF(COUNTIFS(nrES_PID,$D712,nrES_Code,$F712,nrES_Att,2)&gt;0,"",$L712),IF(COUNTIFS(nrES_PID,$D712,nrES_Code,$F712,nrES_Att,1)=0,$L712,IF($L712&gt;=$J712,cfgRetakeRecordedCap,SUMIFS(nrES_Raw,nrES_PID,$D712,nrES_Code,$F712,nrES_Att,1))))))</f>
        <v/>
      </c>
      <c r="N712" s="17">
        <f>IF($C712="","",IF($L712="","",IF($L712&gt;=$J712,"Yes","No")))</f>
        <v/>
      </c>
      <c r="O712" s="17">
        <f>IF($C712="","",IF($M712="","",IF($M712&gt;=$J712,"Yes","No")))</f>
        <v/>
      </c>
      <c r="P712" s="17">
        <f>IF($C712="","",IF($K712="","",IF(COUNTIFS(nrES_PID,$D712,nrES_Code,$F712,nrES_Att,"&gt;"&amp;$K712)=0,"Yes","No")))</f>
        <v/>
      </c>
      <c r="Q712" s="17">
        <f>IF($C712="","",IF($L712="","",IF(AND($K712=1,$L712&lt;$J712,COUNTIFS(nrES_PID,$D712,nrES_Code,$F712,nrES_Att,2)=0),"Yes","No")))</f>
        <v/>
      </c>
      <c r="R712" s="17">
        <f>IF($C712="","",IF($L712="","",IF(AND($K712=2,$L712&lt;$J712,COUNTIFS(nrES_PID,$D712,nrES_Code,$F712,nrES_Att,1)&gt;0),"Yes","No")))</f>
        <v/>
      </c>
      <c r="S712" s="18" t="n"/>
      <c r="T712" s="19">
        <f>IF($Q712&lt;&gt;"Yes","",IF($S712="","(enter date)",_xlfn.LET(_xlpm.dn,IFERROR(_xlfn.XLOOKUP($S712,nrCDdate,nrCDnum),""),IF(_xlpm.dn="","(not a class day)",IFERROR(_xlfn.XLOOKUP(_xlpm.dn+cfgRetestClassDays,nrCDnum,nrCDdate),"")))))</f>
        <v/>
      </c>
      <c r="U712" s="17">
        <f>IF($Q712&lt;&gt;"Yes","",IF(COUNTIFS(nrES_PID,$D712,nrES_Code,$F712,nrES_Att,2)&gt;0,"Retested",IF(OR($T712="",NOT(ISNUMBER($T712))),"Pending",IF(TODAY()&gt;$T712,"OVERDUE","Due "&amp;TEXT($T712,"mm/dd")))))</f>
        <v/>
      </c>
      <c r="V712" s="16" t="n"/>
      <c r="W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IF($C713="","",IF($L713="","",IF($K713=1,IF(COUNTIFS(nrES_PID,$D713,nrES_Code,$F713,nrES_Att,2)&gt;0,"",$L713),IF(COUNTIFS(nrES_PID,$D713,nrES_Code,$F713,nrES_Att,1)=0,$L713,IF($L713&gt;=$J713,cfgRetakeRecordedCap,SUMIFS(nrES_Raw,nrES_PID,$D713,nrES_Code,$F713,nrES_Att,1))))))</f>
        <v/>
      </c>
      <c r="N713" s="17">
        <f>IF($C713="","",IF($L713="","",IF($L713&gt;=$J713,"Yes","No")))</f>
        <v/>
      </c>
      <c r="O713" s="17">
        <f>IF($C713="","",IF($M713="","",IF($M713&gt;=$J713,"Yes","No")))</f>
        <v/>
      </c>
      <c r="P713" s="17">
        <f>IF($C713="","",IF($K713="","",IF(COUNTIFS(nrES_PID,$D713,nrES_Code,$F713,nrES_Att,"&gt;"&amp;$K713)=0,"Yes","No")))</f>
        <v/>
      </c>
      <c r="Q713" s="17">
        <f>IF($C713="","",IF($L713="","",IF(AND($K713=1,$L713&lt;$J713,COUNTIFS(nrES_PID,$D713,nrES_Code,$F713,nrES_Att,2)=0),"Yes","No")))</f>
        <v/>
      </c>
      <c r="R713" s="17">
        <f>IF($C713="","",IF($L713="","",IF(AND($K713=2,$L713&lt;$J713,COUNTIFS(nrES_PID,$D713,nrES_Code,$F713,nrES_Att,1)&gt;0),"Yes","No")))</f>
        <v/>
      </c>
      <c r="S713" s="18" t="n"/>
      <c r="T713" s="19">
        <f>IF($Q713&lt;&gt;"Yes","",IF($S713="","(enter date)",_xlfn.LET(_xlpm.dn,IFERROR(_xlfn.XLOOKUP($S713,nrCDdate,nrCDnum),""),IF(_xlpm.dn="","(not a class day)",IFERROR(_xlfn.XLOOKUP(_xlpm.dn+cfgRetestClassDays,nrCDnum,nrCDdate),"")))))</f>
        <v/>
      </c>
      <c r="U713" s="17">
        <f>IF($Q713&lt;&gt;"Yes","",IF(COUNTIFS(nrES_PID,$D713,nrES_Code,$F713,nrES_Att,2)&gt;0,"Retested",IF(OR($T713="",NOT(ISNUMBER($T713))),"Pending",IF(TODAY()&gt;$T713,"OVERDUE","Due "&amp;TEXT($T713,"mm/dd")))))</f>
        <v/>
      </c>
      <c r="V713" s="16" t="n"/>
      <c r="W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IF($C714="","",IF($L714="","",IF($K714=1,IF(COUNTIFS(nrES_PID,$D714,nrES_Code,$F714,nrES_Att,2)&gt;0,"",$L714),IF(COUNTIFS(nrES_PID,$D714,nrES_Code,$F714,nrES_Att,1)=0,$L714,IF($L714&gt;=$J714,cfgRetakeRecordedCap,SUMIFS(nrES_Raw,nrES_PID,$D714,nrES_Code,$F714,nrES_Att,1))))))</f>
        <v/>
      </c>
      <c r="N714" s="17">
        <f>IF($C714="","",IF($L714="","",IF($L714&gt;=$J714,"Yes","No")))</f>
        <v/>
      </c>
      <c r="O714" s="17">
        <f>IF($C714="","",IF($M714="","",IF($M714&gt;=$J714,"Yes","No")))</f>
        <v/>
      </c>
      <c r="P714" s="17">
        <f>IF($C714="","",IF($K714="","",IF(COUNTIFS(nrES_PID,$D714,nrES_Code,$F714,nrES_Att,"&gt;"&amp;$K714)=0,"Yes","No")))</f>
        <v/>
      </c>
      <c r="Q714" s="17">
        <f>IF($C714="","",IF($L714="","",IF(AND($K714=1,$L714&lt;$J714,COUNTIFS(nrES_PID,$D714,nrES_Code,$F714,nrES_Att,2)=0),"Yes","No")))</f>
        <v/>
      </c>
      <c r="R714" s="17">
        <f>IF($C714="","",IF($L714="","",IF(AND($K714=2,$L714&lt;$J714,COUNTIFS(nrES_PID,$D714,nrES_Code,$F714,nrES_Att,1)&gt;0),"Yes","No")))</f>
        <v/>
      </c>
      <c r="S714" s="18" t="n"/>
      <c r="T714" s="19">
        <f>IF($Q714&lt;&gt;"Yes","",IF($S714="","(enter date)",_xlfn.LET(_xlpm.dn,IFERROR(_xlfn.XLOOKUP($S714,nrCDdate,nrCDnum),""),IF(_xlpm.dn="","(not a class day)",IFERROR(_xlfn.XLOOKUP(_xlpm.dn+cfgRetestClassDays,nrCDnum,nrCDdate),"")))))</f>
        <v/>
      </c>
      <c r="U714" s="17">
        <f>IF($Q714&lt;&gt;"Yes","",IF(COUNTIFS(nrES_PID,$D714,nrES_Code,$F714,nrES_Att,2)&gt;0,"Retested",IF(OR($T714="",NOT(ISNUMBER($T714))),"Pending",IF(TODAY()&gt;$T714,"OVERDUE","Due "&amp;TEXT($T714,"mm/dd")))))</f>
        <v/>
      </c>
      <c r="V714" s="16" t="n"/>
      <c r="W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IF($C715="","",IF($L715="","",IF($K715=1,IF(COUNTIFS(nrES_PID,$D715,nrES_Code,$F715,nrES_Att,2)&gt;0,"",$L715),IF(COUNTIFS(nrES_PID,$D715,nrES_Code,$F715,nrES_Att,1)=0,$L715,IF($L715&gt;=$J715,cfgRetakeRecordedCap,SUMIFS(nrES_Raw,nrES_PID,$D715,nrES_Code,$F715,nrES_Att,1))))))</f>
        <v/>
      </c>
      <c r="N715" s="17">
        <f>IF($C715="","",IF($L715="","",IF($L715&gt;=$J715,"Yes","No")))</f>
        <v/>
      </c>
      <c r="O715" s="17">
        <f>IF($C715="","",IF($M715="","",IF($M715&gt;=$J715,"Yes","No")))</f>
        <v/>
      </c>
      <c r="P715" s="17">
        <f>IF($C715="","",IF($K715="","",IF(COUNTIFS(nrES_PID,$D715,nrES_Code,$F715,nrES_Att,"&gt;"&amp;$K715)=0,"Yes","No")))</f>
        <v/>
      </c>
      <c r="Q715" s="17">
        <f>IF($C715="","",IF($L715="","",IF(AND($K715=1,$L715&lt;$J715,COUNTIFS(nrES_PID,$D715,nrES_Code,$F715,nrES_Att,2)=0),"Yes","No")))</f>
        <v/>
      </c>
      <c r="R715" s="17">
        <f>IF($C715="","",IF($L715="","",IF(AND($K715=2,$L715&lt;$J715,COUNTIFS(nrES_PID,$D715,nrES_Code,$F715,nrES_Att,1)&gt;0),"Yes","No")))</f>
        <v/>
      </c>
      <c r="S715" s="18" t="n"/>
      <c r="T715" s="19">
        <f>IF($Q715&lt;&gt;"Yes","",IF($S715="","(enter date)",_xlfn.LET(_xlpm.dn,IFERROR(_xlfn.XLOOKUP($S715,nrCDdate,nrCDnum),""),IF(_xlpm.dn="","(not a class day)",IFERROR(_xlfn.XLOOKUP(_xlpm.dn+cfgRetestClassDays,nrCDnum,nrCDdate),"")))))</f>
        <v/>
      </c>
      <c r="U715" s="17">
        <f>IF($Q715&lt;&gt;"Yes","",IF(COUNTIFS(nrES_PID,$D715,nrES_Code,$F715,nrES_Att,2)&gt;0,"Retested",IF(OR($T715="",NOT(ISNUMBER($T715))),"Pending",IF(TODAY()&gt;$T715,"OVERDUE","Due "&amp;TEXT($T715,"mm/dd")))))</f>
        <v/>
      </c>
      <c r="V715" s="16" t="n"/>
      <c r="W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IF($C716="","",IF($L716="","",IF($K716=1,IF(COUNTIFS(nrES_PID,$D716,nrES_Code,$F716,nrES_Att,2)&gt;0,"",$L716),IF(COUNTIFS(nrES_PID,$D716,nrES_Code,$F716,nrES_Att,1)=0,$L716,IF($L716&gt;=$J716,cfgRetakeRecordedCap,SUMIFS(nrES_Raw,nrES_PID,$D716,nrES_Code,$F716,nrES_Att,1))))))</f>
        <v/>
      </c>
      <c r="N716" s="17">
        <f>IF($C716="","",IF($L716="","",IF($L716&gt;=$J716,"Yes","No")))</f>
        <v/>
      </c>
      <c r="O716" s="17">
        <f>IF($C716="","",IF($M716="","",IF($M716&gt;=$J716,"Yes","No")))</f>
        <v/>
      </c>
      <c r="P716" s="17">
        <f>IF($C716="","",IF($K716="","",IF(COUNTIFS(nrES_PID,$D716,nrES_Code,$F716,nrES_Att,"&gt;"&amp;$K716)=0,"Yes","No")))</f>
        <v/>
      </c>
      <c r="Q716" s="17">
        <f>IF($C716="","",IF($L716="","",IF(AND($K716=1,$L716&lt;$J716,COUNTIFS(nrES_PID,$D716,nrES_Code,$F716,nrES_Att,2)=0),"Yes","No")))</f>
        <v/>
      </c>
      <c r="R716" s="17">
        <f>IF($C716="","",IF($L716="","",IF(AND($K716=2,$L716&lt;$J716,COUNTIFS(nrES_PID,$D716,nrES_Code,$F716,nrES_Att,1)&gt;0),"Yes","No")))</f>
        <v/>
      </c>
      <c r="S716" s="18" t="n"/>
      <c r="T716" s="19">
        <f>IF($Q716&lt;&gt;"Yes","",IF($S716="","(enter date)",_xlfn.LET(_xlpm.dn,IFERROR(_xlfn.XLOOKUP($S716,nrCDdate,nrCDnum),""),IF(_xlpm.dn="","(not a class day)",IFERROR(_xlfn.XLOOKUP(_xlpm.dn+cfgRetestClassDays,nrCDnum,nrCDdate),"")))))</f>
        <v/>
      </c>
      <c r="U716" s="17">
        <f>IF($Q716&lt;&gt;"Yes","",IF(COUNTIFS(nrES_PID,$D716,nrES_Code,$F716,nrES_Att,2)&gt;0,"Retested",IF(OR($T716="",NOT(ISNUMBER($T716))),"Pending",IF(TODAY()&gt;$T716,"OVERDUE","Due "&amp;TEXT($T716,"mm/dd")))))</f>
        <v/>
      </c>
      <c r="V716" s="16" t="n"/>
      <c r="W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IF($C717="","",IF($L717="","",IF($K717=1,IF(COUNTIFS(nrES_PID,$D717,nrES_Code,$F717,nrES_Att,2)&gt;0,"",$L717),IF(COUNTIFS(nrES_PID,$D717,nrES_Code,$F717,nrES_Att,1)=0,$L717,IF($L717&gt;=$J717,cfgRetakeRecordedCap,SUMIFS(nrES_Raw,nrES_PID,$D717,nrES_Code,$F717,nrES_Att,1))))))</f>
        <v/>
      </c>
      <c r="N717" s="17">
        <f>IF($C717="","",IF($L717="","",IF($L717&gt;=$J717,"Yes","No")))</f>
        <v/>
      </c>
      <c r="O717" s="17">
        <f>IF($C717="","",IF($M717="","",IF($M717&gt;=$J717,"Yes","No")))</f>
        <v/>
      </c>
      <c r="P717" s="17">
        <f>IF($C717="","",IF($K717="","",IF(COUNTIFS(nrES_PID,$D717,nrES_Code,$F717,nrES_Att,"&gt;"&amp;$K717)=0,"Yes","No")))</f>
        <v/>
      </c>
      <c r="Q717" s="17">
        <f>IF($C717="","",IF($L717="","",IF(AND($K717=1,$L717&lt;$J717,COUNTIFS(nrES_PID,$D717,nrES_Code,$F717,nrES_Att,2)=0),"Yes","No")))</f>
        <v/>
      </c>
      <c r="R717" s="17">
        <f>IF($C717="","",IF($L717="","",IF(AND($K717=2,$L717&lt;$J717,COUNTIFS(nrES_PID,$D717,nrES_Code,$F717,nrES_Att,1)&gt;0),"Yes","No")))</f>
        <v/>
      </c>
      <c r="S717" s="18" t="n"/>
      <c r="T717" s="19">
        <f>IF($Q717&lt;&gt;"Yes","",IF($S717="","(enter date)",_xlfn.LET(_xlpm.dn,IFERROR(_xlfn.XLOOKUP($S717,nrCDdate,nrCDnum),""),IF(_xlpm.dn="","(not a class day)",IFERROR(_xlfn.XLOOKUP(_xlpm.dn+cfgRetestClassDays,nrCDnum,nrCDdate),"")))))</f>
        <v/>
      </c>
      <c r="U717" s="17">
        <f>IF($Q717&lt;&gt;"Yes","",IF(COUNTIFS(nrES_PID,$D717,nrES_Code,$F717,nrES_Att,2)&gt;0,"Retested",IF(OR($T717="",NOT(ISNUMBER($T717))),"Pending",IF(TODAY()&gt;$T717,"OVERDUE","Due "&amp;TEXT($T717,"mm/dd")))))</f>
        <v/>
      </c>
      <c r="V717" s="16" t="n"/>
      <c r="W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IF($C718="","",IF($L718="","",IF($K718=1,IF(COUNTIFS(nrES_PID,$D718,nrES_Code,$F718,nrES_Att,2)&gt;0,"",$L718),IF(COUNTIFS(nrES_PID,$D718,nrES_Code,$F718,nrES_Att,1)=0,$L718,IF($L718&gt;=$J718,cfgRetakeRecordedCap,SUMIFS(nrES_Raw,nrES_PID,$D718,nrES_Code,$F718,nrES_Att,1))))))</f>
        <v/>
      </c>
      <c r="N718" s="17">
        <f>IF($C718="","",IF($L718="","",IF($L718&gt;=$J718,"Yes","No")))</f>
        <v/>
      </c>
      <c r="O718" s="17">
        <f>IF($C718="","",IF($M718="","",IF($M718&gt;=$J718,"Yes","No")))</f>
        <v/>
      </c>
      <c r="P718" s="17">
        <f>IF($C718="","",IF($K718="","",IF(COUNTIFS(nrES_PID,$D718,nrES_Code,$F718,nrES_Att,"&gt;"&amp;$K718)=0,"Yes","No")))</f>
        <v/>
      </c>
      <c r="Q718" s="17">
        <f>IF($C718="","",IF($L718="","",IF(AND($K718=1,$L718&lt;$J718,COUNTIFS(nrES_PID,$D718,nrES_Code,$F718,nrES_Att,2)=0),"Yes","No")))</f>
        <v/>
      </c>
      <c r="R718" s="17">
        <f>IF($C718="","",IF($L718="","",IF(AND($K718=2,$L718&lt;$J718,COUNTIFS(nrES_PID,$D718,nrES_Code,$F718,nrES_Att,1)&gt;0),"Yes","No")))</f>
        <v/>
      </c>
      <c r="S718" s="18" t="n"/>
      <c r="T718" s="19">
        <f>IF($Q718&lt;&gt;"Yes","",IF($S718="","(enter date)",_xlfn.LET(_xlpm.dn,IFERROR(_xlfn.XLOOKUP($S718,nrCDdate,nrCDnum),""),IF(_xlpm.dn="","(not a class day)",IFERROR(_xlfn.XLOOKUP(_xlpm.dn+cfgRetestClassDays,nrCDnum,nrCDdate),"")))))</f>
        <v/>
      </c>
      <c r="U718" s="17">
        <f>IF($Q718&lt;&gt;"Yes","",IF(COUNTIFS(nrES_PID,$D718,nrES_Code,$F718,nrES_Att,2)&gt;0,"Retested",IF(OR($T718="",NOT(ISNUMBER($T718))),"Pending",IF(TODAY()&gt;$T718,"OVERDUE","Due "&amp;TEXT($T718,"mm/dd")))))</f>
        <v/>
      </c>
      <c r="V718" s="16" t="n"/>
      <c r="W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IF($C719="","",IF($L719="","",IF($K719=1,IF(COUNTIFS(nrES_PID,$D719,nrES_Code,$F719,nrES_Att,2)&gt;0,"",$L719),IF(COUNTIFS(nrES_PID,$D719,nrES_Code,$F719,nrES_Att,1)=0,$L719,IF($L719&gt;=$J719,cfgRetakeRecordedCap,SUMIFS(nrES_Raw,nrES_PID,$D719,nrES_Code,$F719,nrES_Att,1))))))</f>
        <v/>
      </c>
      <c r="N719" s="17">
        <f>IF($C719="","",IF($L719="","",IF($L719&gt;=$J719,"Yes","No")))</f>
        <v/>
      </c>
      <c r="O719" s="17">
        <f>IF($C719="","",IF($M719="","",IF($M719&gt;=$J719,"Yes","No")))</f>
        <v/>
      </c>
      <c r="P719" s="17">
        <f>IF($C719="","",IF($K719="","",IF(COUNTIFS(nrES_PID,$D719,nrES_Code,$F719,nrES_Att,"&gt;"&amp;$K719)=0,"Yes","No")))</f>
        <v/>
      </c>
      <c r="Q719" s="17">
        <f>IF($C719="","",IF($L719="","",IF(AND($K719=1,$L719&lt;$J719,COUNTIFS(nrES_PID,$D719,nrES_Code,$F719,nrES_Att,2)=0),"Yes","No")))</f>
        <v/>
      </c>
      <c r="R719" s="17">
        <f>IF($C719="","",IF($L719="","",IF(AND($K719=2,$L719&lt;$J719,COUNTIFS(nrES_PID,$D719,nrES_Code,$F719,nrES_Att,1)&gt;0),"Yes","No")))</f>
        <v/>
      </c>
      <c r="S719" s="18" t="n"/>
      <c r="T719" s="19">
        <f>IF($Q719&lt;&gt;"Yes","",IF($S719="","(enter date)",_xlfn.LET(_xlpm.dn,IFERROR(_xlfn.XLOOKUP($S719,nrCDdate,nrCDnum),""),IF(_xlpm.dn="","(not a class day)",IFERROR(_xlfn.XLOOKUP(_xlpm.dn+cfgRetestClassDays,nrCDnum,nrCDdate),"")))))</f>
        <v/>
      </c>
      <c r="U719" s="17">
        <f>IF($Q719&lt;&gt;"Yes","",IF(COUNTIFS(nrES_PID,$D719,nrES_Code,$F719,nrES_Att,2)&gt;0,"Retested",IF(OR($T719="",NOT(ISNUMBER($T719))),"Pending",IF(TODAY()&gt;$T719,"OVERDUE","Due "&amp;TEXT($T719,"mm/dd")))))</f>
        <v/>
      </c>
      <c r="V719" s="16" t="n"/>
      <c r="W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IF($C720="","",IF($L720="","",IF($K720=1,IF(COUNTIFS(nrES_PID,$D720,nrES_Code,$F720,nrES_Att,2)&gt;0,"",$L720),IF(COUNTIFS(nrES_PID,$D720,nrES_Code,$F720,nrES_Att,1)=0,$L720,IF($L720&gt;=$J720,cfgRetakeRecordedCap,SUMIFS(nrES_Raw,nrES_PID,$D720,nrES_Code,$F720,nrES_Att,1))))))</f>
        <v/>
      </c>
      <c r="N720" s="17">
        <f>IF($C720="","",IF($L720="","",IF($L720&gt;=$J720,"Yes","No")))</f>
        <v/>
      </c>
      <c r="O720" s="17">
        <f>IF($C720="","",IF($M720="","",IF($M720&gt;=$J720,"Yes","No")))</f>
        <v/>
      </c>
      <c r="P720" s="17">
        <f>IF($C720="","",IF($K720="","",IF(COUNTIFS(nrES_PID,$D720,nrES_Code,$F720,nrES_Att,"&gt;"&amp;$K720)=0,"Yes","No")))</f>
        <v/>
      </c>
      <c r="Q720" s="17">
        <f>IF($C720="","",IF($L720="","",IF(AND($K720=1,$L720&lt;$J720,COUNTIFS(nrES_PID,$D720,nrES_Code,$F720,nrES_Att,2)=0),"Yes","No")))</f>
        <v/>
      </c>
      <c r="R720" s="17">
        <f>IF($C720="","",IF($L720="","",IF(AND($K720=2,$L720&lt;$J720,COUNTIFS(nrES_PID,$D720,nrES_Code,$F720,nrES_Att,1)&gt;0),"Yes","No")))</f>
        <v/>
      </c>
      <c r="S720" s="18" t="n"/>
      <c r="T720" s="19">
        <f>IF($Q720&lt;&gt;"Yes","",IF($S720="","(enter date)",_xlfn.LET(_xlpm.dn,IFERROR(_xlfn.XLOOKUP($S720,nrCDdate,nrCDnum),""),IF(_xlpm.dn="","(not a class day)",IFERROR(_xlfn.XLOOKUP(_xlpm.dn+cfgRetestClassDays,nrCDnum,nrCDdate),"")))))</f>
        <v/>
      </c>
      <c r="U720" s="17">
        <f>IF($Q720&lt;&gt;"Yes","",IF(COUNTIFS(nrES_PID,$D720,nrES_Code,$F720,nrES_Att,2)&gt;0,"Retested",IF(OR($T720="",NOT(ISNUMBER($T720))),"Pending",IF(TODAY()&gt;$T720,"OVERDUE","Due "&amp;TEXT($T720,"mm/dd")))))</f>
        <v/>
      </c>
      <c r="V720" s="16" t="n"/>
      <c r="W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IF($C721="","",IF($L721="","",IF($K721=1,IF(COUNTIFS(nrES_PID,$D721,nrES_Code,$F721,nrES_Att,2)&gt;0,"",$L721),IF(COUNTIFS(nrES_PID,$D721,nrES_Code,$F721,nrES_Att,1)=0,$L721,IF($L721&gt;=$J721,cfgRetakeRecordedCap,SUMIFS(nrES_Raw,nrES_PID,$D721,nrES_Code,$F721,nrES_Att,1))))))</f>
        <v/>
      </c>
      <c r="N721" s="17">
        <f>IF($C721="","",IF($L721="","",IF($L721&gt;=$J721,"Yes","No")))</f>
        <v/>
      </c>
      <c r="O721" s="17">
        <f>IF($C721="","",IF($M721="","",IF($M721&gt;=$J721,"Yes","No")))</f>
        <v/>
      </c>
      <c r="P721" s="17">
        <f>IF($C721="","",IF($K721="","",IF(COUNTIFS(nrES_PID,$D721,nrES_Code,$F721,nrES_Att,"&gt;"&amp;$K721)=0,"Yes","No")))</f>
        <v/>
      </c>
      <c r="Q721" s="17">
        <f>IF($C721="","",IF($L721="","",IF(AND($K721=1,$L721&lt;$J721,COUNTIFS(nrES_PID,$D721,nrES_Code,$F721,nrES_Att,2)=0),"Yes","No")))</f>
        <v/>
      </c>
      <c r="R721" s="17">
        <f>IF($C721="","",IF($L721="","",IF(AND($K721=2,$L721&lt;$J721,COUNTIFS(nrES_PID,$D721,nrES_Code,$F721,nrES_Att,1)&gt;0),"Yes","No")))</f>
        <v/>
      </c>
      <c r="S721" s="18" t="n"/>
      <c r="T721" s="19">
        <f>IF($Q721&lt;&gt;"Yes","",IF($S721="","(enter date)",_xlfn.LET(_xlpm.dn,IFERROR(_xlfn.XLOOKUP($S721,nrCDdate,nrCDnum),""),IF(_xlpm.dn="","(not a class day)",IFERROR(_xlfn.XLOOKUP(_xlpm.dn+cfgRetestClassDays,nrCDnum,nrCDdate),"")))))</f>
        <v/>
      </c>
      <c r="U721" s="17">
        <f>IF($Q721&lt;&gt;"Yes","",IF(COUNTIFS(nrES_PID,$D721,nrES_Code,$F721,nrES_Att,2)&gt;0,"Retested",IF(OR($T721="",NOT(ISNUMBER($T721))),"Pending",IF(TODAY()&gt;$T721,"OVERDUE","Due "&amp;TEXT($T721,"mm/dd")))))</f>
        <v/>
      </c>
      <c r="V721" s="16" t="n"/>
      <c r="W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IF($C722="","",IF($L722="","",IF($K722=1,IF(COUNTIFS(nrES_PID,$D722,nrES_Code,$F722,nrES_Att,2)&gt;0,"",$L722),IF(COUNTIFS(nrES_PID,$D722,nrES_Code,$F722,nrES_Att,1)=0,$L722,IF($L722&gt;=$J722,cfgRetakeRecordedCap,SUMIFS(nrES_Raw,nrES_PID,$D722,nrES_Code,$F722,nrES_Att,1))))))</f>
        <v/>
      </c>
      <c r="N722" s="17">
        <f>IF($C722="","",IF($L722="","",IF($L722&gt;=$J722,"Yes","No")))</f>
        <v/>
      </c>
      <c r="O722" s="17">
        <f>IF($C722="","",IF($M722="","",IF($M722&gt;=$J722,"Yes","No")))</f>
        <v/>
      </c>
      <c r="P722" s="17">
        <f>IF($C722="","",IF($K722="","",IF(COUNTIFS(nrES_PID,$D722,nrES_Code,$F722,nrES_Att,"&gt;"&amp;$K722)=0,"Yes","No")))</f>
        <v/>
      </c>
      <c r="Q722" s="17">
        <f>IF($C722="","",IF($L722="","",IF(AND($K722=1,$L722&lt;$J722,COUNTIFS(nrES_PID,$D722,nrES_Code,$F722,nrES_Att,2)=0),"Yes","No")))</f>
        <v/>
      </c>
      <c r="R722" s="17">
        <f>IF($C722="","",IF($L722="","",IF(AND($K722=2,$L722&lt;$J722,COUNTIFS(nrES_PID,$D722,nrES_Code,$F722,nrES_Att,1)&gt;0),"Yes","No")))</f>
        <v/>
      </c>
      <c r="S722" s="18" t="n"/>
      <c r="T722" s="19">
        <f>IF($Q722&lt;&gt;"Yes","",IF($S722="","(enter date)",_xlfn.LET(_xlpm.dn,IFERROR(_xlfn.XLOOKUP($S722,nrCDdate,nrCDnum),""),IF(_xlpm.dn="","(not a class day)",IFERROR(_xlfn.XLOOKUP(_xlpm.dn+cfgRetestClassDays,nrCDnum,nrCDdate),"")))))</f>
        <v/>
      </c>
      <c r="U722" s="17">
        <f>IF($Q722&lt;&gt;"Yes","",IF(COUNTIFS(nrES_PID,$D722,nrES_Code,$F722,nrES_Att,2)&gt;0,"Retested",IF(OR($T722="",NOT(ISNUMBER($T722))),"Pending",IF(TODAY()&gt;$T722,"OVERDUE","Due "&amp;TEXT($T722,"mm/dd")))))</f>
        <v/>
      </c>
      <c r="V722" s="16" t="n"/>
      <c r="W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IF($C723="","",IF($L723="","",IF($K723=1,IF(COUNTIFS(nrES_PID,$D723,nrES_Code,$F723,nrES_Att,2)&gt;0,"",$L723),IF(COUNTIFS(nrES_PID,$D723,nrES_Code,$F723,nrES_Att,1)=0,$L723,IF($L723&gt;=$J723,cfgRetakeRecordedCap,SUMIFS(nrES_Raw,nrES_PID,$D723,nrES_Code,$F723,nrES_Att,1))))))</f>
        <v/>
      </c>
      <c r="N723" s="17">
        <f>IF($C723="","",IF($L723="","",IF($L723&gt;=$J723,"Yes","No")))</f>
        <v/>
      </c>
      <c r="O723" s="17">
        <f>IF($C723="","",IF($M723="","",IF($M723&gt;=$J723,"Yes","No")))</f>
        <v/>
      </c>
      <c r="P723" s="17">
        <f>IF($C723="","",IF($K723="","",IF(COUNTIFS(nrES_PID,$D723,nrES_Code,$F723,nrES_Att,"&gt;"&amp;$K723)=0,"Yes","No")))</f>
        <v/>
      </c>
      <c r="Q723" s="17">
        <f>IF($C723="","",IF($L723="","",IF(AND($K723=1,$L723&lt;$J723,COUNTIFS(nrES_PID,$D723,nrES_Code,$F723,nrES_Att,2)=0),"Yes","No")))</f>
        <v/>
      </c>
      <c r="R723" s="17">
        <f>IF($C723="","",IF($L723="","",IF(AND($K723=2,$L723&lt;$J723,COUNTIFS(nrES_PID,$D723,nrES_Code,$F723,nrES_Att,1)&gt;0),"Yes","No")))</f>
        <v/>
      </c>
      <c r="S723" s="18" t="n"/>
      <c r="T723" s="19">
        <f>IF($Q723&lt;&gt;"Yes","",IF($S723="","(enter date)",_xlfn.LET(_xlpm.dn,IFERROR(_xlfn.XLOOKUP($S723,nrCDdate,nrCDnum),""),IF(_xlpm.dn="","(not a class day)",IFERROR(_xlfn.XLOOKUP(_xlpm.dn+cfgRetestClassDays,nrCDnum,nrCDdate),"")))))</f>
        <v/>
      </c>
      <c r="U723" s="17">
        <f>IF($Q723&lt;&gt;"Yes","",IF(COUNTIFS(nrES_PID,$D723,nrES_Code,$F723,nrES_Att,2)&gt;0,"Retested",IF(OR($T723="",NOT(ISNUMBER($T723))),"Pending",IF(TODAY()&gt;$T723,"OVERDUE","Due "&amp;TEXT($T723,"mm/dd")))))</f>
        <v/>
      </c>
      <c r="V723" s="16" t="n"/>
      <c r="W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IF($C724="","",IF($L724="","",IF($K724=1,IF(COUNTIFS(nrES_PID,$D724,nrES_Code,$F724,nrES_Att,2)&gt;0,"",$L724),IF(COUNTIFS(nrES_PID,$D724,nrES_Code,$F724,nrES_Att,1)=0,$L724,IF($L724&gt;=$J724,cfgRetakeRecordedCap,SUMIFS(nrES_Raw,nrES_PID,$D724,nrES_Code,$F724,nrES_Att,1))))))</f>
        <v/>
      </c>
      <c r="N724" s="17">
        <f>IF($C724="","",IF($L724="","",IF($L724&gt;=$J724,"Yes","No")))</f>
        <v/>
      </c>
      <c r="O724" s="17">
        <f>IF($C724="","",IF($M724="","",IF($M724&gt;=$J724,"Yes","No")))</f>
        <v/>
      </c>
      <c r="P724" s="17">
        <f>IF($C724="","",IF($K724="","",IF(COUNTIFS(nrES_PID,$D724,nrES_Code,$F724,nrES_Att,"&gt;"&amp;$K724)=0,"Yes","No")))</f>
        <v/>
      </c>
      <c r="Q724" s="17">
        <f>IF($C724="","",IF($L724="","",IF(AND($K724=1,$L724&lt;$J724,COUNTIFS(nrES_PID,$D724,nrES_Code,$F724,nrES_Att,2)=0),"Yes","No")))</f>
        <v/>
      </c>
      <c r="R724" s="17">
        <f>IF($C724="","",IF($L724="","",IF(AND($K724=2,$L724&lt;$J724,COUNTIFS(nrES_PID,$D724,nrES_Code,$F724,nrES_Att,1)&gt;0),"Yes","No")))</f>
        <v/>
      </c>
      <c r="S724" s="18" t="n"/>
      <c r="T724" s="19">
        <f>IF($Q724&lt;&gt;"Yes","",IF($S724="","(enter date)",_xlfn.LET(_xlpm.dn,IFERROR(_xlfn.XLOOKUP($S724,nrCDdate,nrCDnum),""),IF(_xlpm.dn="","(not a class day)",IFERROR(_xlfn.XLOOKUP(_xlpm.dn+cfgRetestClassDays,nrCDnum,nrCDdate),"")))))</f>
        <v/>
      </c>
      <c r="U724" s="17">
        <f>IF($Q724&lt;&gt;"Yes","",IF(COUNTIFS(nrES_PID,$D724,nrES_Code,$F724,nrES_Att,2)&gt;0,"Retested",IF(OR($T724="",NOT(ISNUMBER($T724))),"Pending",IF(TODAY()&gt;$T724,"OVERDUE","Due "&amp;TEXT($T724,"mm/dd")))))</f>
        <v/>
      </c>
      <c r="V724" s="16" t="n"/>
      <c r="W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IF($C725="","",IF($L725="","",IF($K725=1,IF(COUNTIFS(nrES_PID,$D725,nrES_Code,$F725,nrES_Att,2)&gt;0,"",$L725),IF(COUNTIFS(nrES_PID,$D725,nrES_Code,$F725,nrES_Att,1)=0,$L725,IF($L725&gt;=$J725,cfgRetakeRecordedCap,SUMIFS(nrES_Raw,nrES_PID,$D725,nrES_Code,$F725,nrES_Att,1))))))</f>
        <v/>
      </c>
      <c r="N725" s="17">
        <f>IF($C725="","",IF($L725="","",IF($L725&gt;=$J725,"Yes","No")))</f>
        <v/>
      </c>
      <c r="O725" s="17">
        <f>IF($C725="","",IF($M725="","",IF($M725&gt;=$J725,"Yes","No")))</f>
        <v/>
      </c>
      <c r="P725" s="17">
        <f>IF($C725="","",IF($K725="","",IF(COUNTIFS(nrES_PID,$D725,nrES_Code,$F725,nrES_Att,"&gt;"&amp;$K725)=0,"Yes","No")))</f>
        <v/>
      </c>
      <c r="Q725" s="17">
        <f>IF($C725="","",IF($L725="","",IF(AND($K725=1,$L725&lt;$J725,COUNTIFS(nrES_PID,$D725,nrES_Code,$F725,nrES_Att,2)=0),"Yes","No")))</f>
        <v/>
      </c>
      <c r="R725" s="17">
        <f>IF($C725="","",IF($L725="","",IF(AND($K725=2,$L725&lt;$J725,COUNTIFS(nrES_PID,$D725,nrES_Code,$F725,nrES_Att,1)&gt;0),"Yes","No")))</f>
        <v/>
      </c>
      <c r="S725" s="18" t="n"/>
      <c r="T725" s="19">
        <f>IF($Q725&lt;&gt;"Yes","",IF($S725="","(enter date)",_xlfn.LET(_xlpm.dn,IFERROR(_xlfn.XLOOKUP($S725,nrCDdate,nrCDnum),""),IF(_xlpm.dn="","(not a class day)",IFERROR(_xlfn.XLOOKUP(_xlpm.dn+cfgRetestClassDays,nrCDnum,nrCDdate),"")))))</f>
        <v/>
      </c>
      <c r="U725" s="17">
        <f>IF($Q725&lt;&gt;"Yes","",IF(COUNTIFS(nrES_PID,$D725,nrES_Code,$F725,nrES_Att,2)&gt;0,"Retested",IF(OR($T725="",NOT(ISNUMBER($T725))),"Pending",IF(TODAY()&gt;$T725,"OVERDUE","Due "&amp;TEXT($T725,"mm/dd")))))</f>
        <v/>
      </c>
      <c r="V725" s="16" t="n"/>
      <c r="W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IF($C726="","",IF($L726="","",IF($K726=1,IF(COUNTIFS(nrES_PID,$D726,nrES_Code,$F726,nrES_Att,2)&gt;0,"",$L726),IF(COUNTIFS(nrES_PID,$D726,nrES_Code,$F726,nrES_Att,1)=0,$L726,IF($L726&gt;=$J726,cfgRetakeRecordedCap,SUMIFS(nrES_Raw,nrES_PID,$D726,nrES_Code,$F726,nrES_Att,1))))))</f>
        <v/>
      </c>
      <c r="N726" s="17">
        <f>IF($C726="","",IF($L726="","",IF($L726&gt;=$J726,"Yes","No")))</f>
        <v/>
      </c>
      <c r="O726" s="17">
        <f>IF($C726="","",IF($M726="","",IF($M726&gt;=$J726,"Yes","No")))</f>
        <v/>
      </c>
      <c r="P726" s="17">
        <f>IF($C726="","",IF($K726="","",IF(COUNTIFS(nrES_PID,$D726,nrES_Code,$F726,nrES_Att,"&gt;"&amp;$K726)=0,"Yes","No")))</f>
        <v/>
      </c>
      <c r="Q726" s="17">
        <f>IF($C726="","",IF($L726="","",IF(AND($K726=1,$L726&lt;$J726,COUNTIFS(nrES_PID,$D726,nrES_Code,$F726,nrES_Att,2)=0),"Yes","No")))</f>
        <v/>
      </c>
      <c r="R726" s="17">
        <f>IF($C726="","",IF($L726="","",IF(AND($K726=2,$L726&lt;$J726,COUNTIFS(nrES_PID,$D726,nrES_Code,$F726,nrES_Att,1)&gt;0),"Yes","No")))</f>
        <v/>
      </c>
      <c r="S726" s="18" t="n"/>
      <c r="T726" s="19">
        <f>IF($Q726&lt;&gt;"Yes","",IF($S726="","(enter date)",_xlfn.LET(_xlpm.dn,IFERROR(_xlfn.XLOOKUP($S726,nrCDdate,nrCDnum),""),IF(_xlpm.dn="","(not a class day)",IFERROR(_xlfn.XLOOKUP(_xlpm.dn+cfgRetestClassDays,nrCDnum,nrCDdate),"")))))</f>
        <v/>
      </c>
      <c r="U726" s="17">
        <f>IF($Q726&lt;&gt;"Yes","",IF(COUNTIFS(nrES_PID,$D726,nrES_Code,$F726,nrES_Att,2)&gt;0,"Retested",IF(OR($T726="",NOT(ISNUMBER($T726))),"Pending",IF(TODAY()&gt;$T726,"OVERDUE","Due "&amp;TEXT($T726,"mm/dd")))))</f>
        <v/>
      </c>
      <c r="V726" s="16" t="n"/>
      <c r="W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IF($C727="","",IF($L727="","",IF($K727=1,IF(COUNTIFS(nrES_PID,$D727,nrES_Code,$F727,nrES_Att,2)&gt;0,"",$L727),IF(COUNTIFS(nrES_PID,$D727,nrES_Code,$F727,nrES_Att,1)=0,$L727,IF($L727&gt;=$J727,cfgRetakeRecordedCap,SUMIFS(nrES_Raw,nrES_PID,$D727,nrES_Code,$F727,nrES_Att,1))))))</f>
        <v/>
      </c>
      <c r="N727" s="17">
        <f>IF($C727="","",IF($L727="","",IF($L727&gt;=$J727,"Yes","No")))</f>
        <v/>
      </c>
      <c r="O727" s="17">
        <f>IF($C727="","",IF($M727="","",IF($M727&gt;=$J727,"Yes","No")))</f>
        <v/>
      </c>
      <c r="P727" s="17">
        <f>IF($C727="","",IF($K727="","",IF(COUNTIFS(nrES_PID,$D727,nrES_Code,$F727,nrES_Att,"&gt;"&amp;$K727)=0,"Yes","No")))</f>
        <v/>
      </c>
      <c r="Q727" s="17">
        <f>IF($C727="","",IF($L727="","",IF(AND($K727=1,$L727&lt;$J727,COUNTIFS(nrES_PID,$D727,nrES_Code,$F727,nrES_Att,2)=0),"Yes","No")))</f>
        <v/>
      </c>
      <c r="R727" s="17">
        <f>IF($C727="","",IF($L727="","",IF(AND($K727=2,$L727&lt;$J727,COUNTIFS(nrES_PID,$D727,nrES_Code,$F727,nrES_Att,1)&gt;0),"Yes","No")))</f>
        <v/>
      </c>
      <c r="S727" s="18" t="n"/>
      <c r="T727" s="19">
        <f>IF($Q727&lt;&gt;"Yes","",IF($S727="","(enter date)",_xlfn.LET(_xlpm.dn,IFERROR(_xlfn.XLOOKUP($S727,nrCDdate,nrCDnum),""),IF(_xlpm.dn="","(not a class day)",IFERROR(_xlfn.XLOOKUP(_xlpm.dn+cfgRetestClassDays,nrCDnum,nrCDdate),"")))))</f>
        <v/>
      </c>
      <c r="U727" s="17">
        <f>IF($Q727&lt;&gt;"Yes","",IF(COUNTIFS(nrES_PID,$D727,nrES_Code,$F727,nrES_Att,2)&gt;0,"Retested",IF(OR($T727="",NOT(ISNUMBER($T727))),"Pending",IF(TODAY()&gt;$T727,"OVERDUE","Due "&amp;TEXT($T727,"mm/dd")))))</f>
        <v/>
      </c>
      <c r="V727" s="16" t="n"/>
      <c r="W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IF($C728="","",IF($L728="","",IF($K728=1,IF(COUNTIFS(nrES_PID,$D728,nrES_Code,$F728,nrES_Att,2)&gt;0,"",$L728),IF(COUNTIFS(nrES_PID,$D728,nrES_Code,$F728,nrES_Att,1)=0,$L728,IF($L728&gt;=$J728,cfgRetakeRecordedCap,SUMIFS(nrES_Raw,nrES_PID,$D728,nrES_Code,$F728,nrES_Att,1))))))</f>
        <v/>
      </c>
      <c r="N728" s="17">
        <f>IF($C728="","",IF($L728="","",IF($L728&gt;=$J728,"Yes","No")))</f>
        <v/>
      </c>
      <c r="O728" s="17">
        <f>IF($C728="","",IF($M728="","",IF($M728&gt;=$J728,"Yes","No")))</f>
        <v/>
      </c>
      <c r="P728" s="17">
        <f>IF($C728="","",IF($K728="","",IF(COUNTIFS(nrES_PID,$D728,nrES_Code,$F728,nrES_Att,"&gt;"&amp;$K728)=0,"Yes","No")))</f>
        <v/>
      </c>
      <c r="Q728" s="17">
        <f>IF($C728="","",IF($L728="","",IF(AND($K728=1,$L728&lt;$J728,COUNTIFS(nrES_PID,$D728,nrES_Code,$F728,nrES_Att,2)=0),"Yes","No")))</f>
        <v/>
      </c>
      <c r="R728" s="17">
        <f>IF($C728="","",IF($L728="","",IF(AND($K728=2,$L728&lt;$J728,COUNTIFS(nrES_PID,$D728,nrES_Code,$F728,nrES_Att,1)&gt;0),"Yes","No")))</f>
        <v/>
      </c>
      <c r="S728" s="18" t="n"/>
      <c r="T728" s="19">
        <f>IF($Q728&lt;&gt;"Yes","",IF($S728="","(enter date)",_xlfn.LET(_xlpm.dn,IFERROR(_xlfn.XLOOKUP($S728,nrCDdate,nrCDnum),""),IF(_xlpm.dn="","(not a class day)",IFERROR(_xlfn.XLOOKUP(_xlpm.dn+cfgRetestClassDays,nrCDnum,nrCDdate),"")))))</f>
        <v/>
      </c>
      <c r="U728" s="17">
        <f>IF($Q728&lt;&gt;"Yes","",IF(COUNTIFS(nrES_PID,$D728,nrES_Code,$F728,nrES_Att,2)&gt;0,"Retested",IF(OR($T728="",NOT(ISNUMBER($T728))),"Pending",IF(TODAY()&gt;$T728,"OVERDUE","Due "&amp;TEXT($T728,"mm/dd")))))</f>
        <v/>
      </c>
      <c r="V728" s="16" t="n"/>
      <c r="W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IF($C729="","",IF($L729="","",IF($K729=1,IF(COUNTIFS(nrES_PID,$D729,nrES_Code,$F729,nrES_Att,2)&gt;0,"",$L729),IF(COUNTIFS(nrES_PID,$D729,nrES_Code,$F729,nrES_Att,1)=0,$L729,IF($L729&gt;=$J729,cfgRetakeRecordedCap,SUMIFS(nrES_Raw,nrES_PID,$D729,nrES_Code,$F729,nrES_Att,1))))))</f>
        <v/>
      </c>
      <c r="N729" s="17">
        <f>IF($C729="","",IF($L729="","",IF($L729&gt;=$J729,"Yes","No")))</f>
        <v/>
      </c>
      <c r="O729" s="17">
        <f>IF($C729="","",IF($M729="","",IF($M729&gt;=$J729,"Yes","No")))</f>
        <v/>
      </c>
      <c r="P729" s="17">
        <f>IF($C729="","",IF($K729="","",IF(COUNTIFS(nrES_PID,$D729,nrES_Code,$F729,nrES_Att,"&gt;"&amp;$K729)=0,"Yes","No")))</f>
        <v/>
      </c>
      <c r="Q729" s="17">
        <f>IF($C729="","",IF($L729="","",IF(AND($K729=1,$L729&lt;$J729,COUNTIFS(nrES_PID,$D729,nrES_Code,$F729,nrES_Att,2)=0),"Yes","No")))</f>
        <v/>
      </c>
      <c r="R729" s="17">
        <f>IF($C729="","",IF($L729="","",IF(AND($K729=2,$L729&lt;$J729,COUNTIFS(nrES_PID,$D729,nrES_Code,$F729,nrES_Att,1)&gt;0),"Yes","No")))</f>
        <v/>
      </c>
      <c r="S729" s="18" t="n"/>
      <c r="T729" s="19">
        <f>IF($Q729&lt;&gt;"Yes","",IF($S729="","(enter date)",_xlfn.LET(_xlpm.dn,IFERROR(_xlfn.XLOOKUP($S729,nrCDdate,nrCDnum),""),IF(_xlpm.dn="","(not a class day)",IFERROR(_xlfn.XLOOKUP(_xlpm.dn+cfgRetestClassDays,nrCDnum,nrCDdate),"")))))</f>
        <v/>
      </c>
      <c r="U729" s="17">
        <f>IF($Q729&lt;&gt;"Yes","",IF(COUNTIFS(nrES_PID,$D729,nrES_Code,$F729,nrES_Att,2)&gt;0,"Retested",IF(OR($T729="",NOT(ISNUMBER($T729))),"Pending",IF(TODAY()&gt;$T729,"OVERDUE","Due "&amp;TEXT($T729,"mm/dd")))))</f>
        <v/>
      </c>
      <c r="V729" s="16" t="n"/>
      <c r="W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IF($C730="","",IF($L730="","",IF($K730=1,IF(COUNTIFS(nrES_PID,$D730,nrES_Code,$F730,nrES_Att,2)&gt;0,"",$L730),IF(COUNTIFS(nrES_PID,$D730,nrES_Code,$F730,nrES_Att,1)=0,$L730,IF($L730&gt;=$J730,cfgRetakeRecordedCap,SUMIFS(nrES_Raw,nrES_PID,$D730,nrES_Code,$F730,nrES_Att,1))))))</f>
        <v/>
      </c>
      <c r="N730" s="17">
        <f>IF($C730="","",IF($L730="","",IF($L730&gt;=$J730,"Yes","No")))</f>
        <v/>
      </c>
      <c r="O730" s="17">
        <f>IF($C730="","",IF($M730="","",IF($M730&gt;=$J730,"Yes","No")))</f>
        <v/>
      </c>
      <c r="P730" s="17">
        <f>IF($C730="","",IF($K730="","",IF(COUNTIFS(nrES_PID,$D730,nrES_Code,$F730,nrES_Att,"&gt;"&amp;$K730)=0,"Yes","No")))</f>
        <v/>
      </c>
      <c r="Q730" s="17">
        <f>IF($C730="","",IF($L730="","",IF(AND($K730=1,$L730&lt;$J730,COUNTIFS(nrES_PID,$D730,nrES_Code,$F730,nrES_Att,2)=0),"Yes","No")))</f>
        <v/>
      </c>
      <c r="R730" s="17">
        <f>IF($C730="","",IF($L730="","",IF(AND($K730=2,$L730&lt;$J730,COUNTIFS(nrES_PID,$D730,nrES_Code,$F730,nrES_Att,1)&gt;0),"Yes","No")))</f>
        <v/>
      </c>
      <c r="S730" s="18" t="n"/>
      <c r="T730" s="19">
        <f>IF($Q730&lt;&gt;"Yes","",IF($S730="","(enter date)",_xlfn.LET(_xlpm.dn,IFERROR(_xlfn.XLOOKUP($S730,nrCDdate,nrCDnum),""),IF(_xlpm.dn="","(not a class day)",IFERROR(_xlfn.XLOOKUP(_xlpm.dn+cfgRetestClassDays,nrCDnum,nrCDdate),"")))))</f>
        <v/>
      </c>
      <c r="U730" s="17">
        <f>IF($Q730&lt;&gt;"Yes","",IF(COUNTIFS(nrES_PID,$D730,nrES_Code,$F730,nrES_Att,2)&gt;0,"Retested",IF(OR($T730="",NOT(ISNUMBER($T730))),"Pending",IF(TODAY()&gt;$T730,"OVERDUE","Due "&amp;TEXT($T730,"mm/dd")))))</f>
        <v/>
      </c>
      <c r="V730" s="16" t="n"/>
      <c r="W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IF($C731="","",IF($L731="","",IF($K731=1,IF(COUNTIFS(nrES_PID,$D731,nrES_Code,$F731,nrES_Att,2)&gt;0,"",$L731),IF(COUNTIFS(nrES_PID,$D731,nrES_Code,$F731,nrES_Att,1)=0,$L731,IF($L731&gt;=$J731,cfgRetakeRecordedCap,SUMIFS(nrES_Raw,nrES_PID,$D731,nrES_Code,$F731,nrES_Att,1))))))</f>
        <v/>
      </c>
      <c r="N731" s="17">
        <f>IF($C731="","",IF($L731="","",IF($L731&gt;=$J731,"Yes","No")))</f>
        <v/>
      </c>
      <c r="O731" s="17">
        <f>IF($C731="","",IF($M731="","",IF($M731&gt;=$J731,"Yes","No")))</f>
        <v/>
      </c>
      <c r="P731" s="17">
        <f>IF($C731="","",IF($K731="","",IF(COUNTIFS(nrES_PID,$D731,nrES_Code,$F731,nrES_Att,"&gt;"&amp;$K731)=0,"Yes","No")))</f>
        <v/>
      </c>
      <c r="Q731" s="17">
        <f>IF($C731="","",IF($L731="","",IF(AND($K731=1,$L731&lt;$J731,COUNTIFS(nrES_PID,$D731,nrES_Code,$F731,nrES_Att,2)=0),"Yes","No")))</f>
        <v/>
      </c>
      <c r="R731" s="17">
        <f>IF($C731="","",IF($L731="","",IF(AND($K731=2,$L731&lt;$J731,COUNTIFS(nrES_PID,$D731,nrES_Code,$F731,nrES_Att,1)&gt;0),"Yes","No")))</f>
        <v/>
      </c>
      <c r="S731" s="18" t="n"/>
      <c r="T731" s="19">
        <f>IF($Q731&lt;&gt;"Yes","",IF($S731="","(enter date)",_xlfn.LET(_xlpm.dn,IFERROR(_xlfn.XLOOKUP($S731,nrCDdate,nrCDnum),""),IF(_xlpm.dn="","(not a class day)",IFERROR(_xlfn.XLOOKUP(_xlpm.dn+cfgRetestClassDays,nrCDnum,nrCDdate),"")))))</f>
        <v/>
      </c>
      <c r="U731" s="17">
        <f>IF($Q731&lt;&gt;"Yes","",IF(COUNTIFS(nrES_PID,$D731,nrES_Code,$F731,nrES_Att,2)&gt;0,"Retested",IF(OR($T731="",NOT(ISNUMBER($T731))),"Pending",IF(TODAY()&gt;$T731,"OVERDUE","Due "&amp;TEXT($T731,"mm/dd")))))</f>
        <v/>
      </c>
      <c r="V731" s="16" t="n"/>
      <c r="W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IF($C732="","",IF($L732="","",IF($K732=1,IF(COUNTIFS(nrES_PID,$D732,nrES_Code,$F732,nrES_Att,2)&gt;0,"",$L732),IF(COUNTIFS(nrES_PID,$D732,nrES_Code,$F732,nrES_Att,1)=0,$L732,IF($L732&gt;=$J732,cfgRetakeRecordedCap,SUMIFS(nrES_Raw,nrES_PID,$D732,nrES_Code,$F732,nrES_Att,1))))))</f>
        <v/>
      </c>
      <c r="N732" s="17">
        <f>IF($C732="","",IF($L732="","",IF($L732&gt;=$J732,"Yes","No")))</f>
        <v/>
      </c>
      <c r="O732" s="17">
        <f>IF($C732="","",IF($M732="","",IF($M732&gt;=$J732,"Yes","No")))</f>
        <v/>
      </c>
      <c r="P732" s="17">
        <f>IF($C732="","",IF($K732="","",IF(COUNTIFS(nrES_PID,$D732,nrES_Code,$F732,nrES_Att,"&gt;"&amp;$K732)=0,"Yes","No")))</f>
        <v/>
      </c>
      <c r="Q732" s="17">
        <f>IF($C732="","",IF($L732="","",IF(AND($K732=1,$L732&lt;$J732,COUNTIFS(nrES_PID,$D732,nrES_Code,$F732,nrES_Att,2)=0),"Yes","No")))</f>
        <v/>
      </c>
      <c r="R732" s="17">
        <f>IF($C732="","",IF($L732="","",IF(AND($K732=2,$L732&lt;$J732,COUNTIFS(nrES_PID,$D732,nrES_Code,$F732,nrES_Att,1)&gt;0),"Yes","No")))</f>
        <v/>
      </c>
      <c r="S732" s="18" t="n"/>
      <c r="T732" s="19">
        <f>IF($Q732&lt;&gt;"Yes","",IF($S732="","(enter date)",_xlfn.LET(_xlpm.dn,IFERROR(_xlfn.XLOOKUP($S732,nrCDdate,nrCDnum),""),IF(_xlpm.dn="","(not a class day)",IFERROR(_xlfn.XLOOKUP(_xlpm.dn+cfgRetestClassDays,nrCDnum,nrCDdate),"")))))</f>
        <v/>
      </c>
      <c r="U732" s="17">
        <f>IF($Q732&lt;&gt;"Yes","",IF(COUNTIFS(nrES_PID,$D732,nrES_Code,$F732,nrES_Att,2)&gt;0,"Retested",IF(OR($T732="",NOT(ISNUMBER($T732))),"Pending",IF(TODAY()&gt;$T732,"OVERDUE","Due "&amp;TEXT($T732,"mm/dd")))))</f>
        <v/>
      </c>
      <c r="V732" s="16" t="n"/>
      <c r="W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IF($C733="","",IF($L733="","",IF($K733=1,IF(COUNTIFS(nrES_PID,$D733,nrES_Code,$F733,nrES_Att,2)&gt;0,"",$L733),IF(COUNTIFS(nrES_PID,$D733,nrES_Code,$F733,nrES_Att,1)=0,$L733,IF($L733&gt;=$J733,cfgRetakeRecordedCap,SUMIFS(nrES_Raw,nrES_PID,$D733,nrES_Code,$F733,nrES_Att,1))))))</f>
        <v/>
      </c>
      <c r="N733" s="17">
        <f>IF($C733="","",IF($L733="","",IF($L733&gt;=$J733,"Yes","No")))</f>
        <v/>
      </c>
      <c r="O733" s="17">
        <f>IF($C733="","",IF($M733="","",IF($M733&gt;=$J733,"Yes","No")))</f>
        <v/>
      </c>
      <c r="P733" s="17">
        <f>IF($C733="","",IF($K733="","",IF(COUNTIFS(nrES_PID,$D733,nrES_Code,$F733,nrES_Att,"&gt;"&amp;$K733)=0,"Yes","No")))</f>
        <v/>
      </c>
      <c r="Q733" s="17">
        <f>IF($C733="","",IF($L733="","",IF(AND($K733=1,$L733&lt;$J733,COUNTIFS(nrES_PID,$D733,nrES_Code,$F733,nrES_Att,2)=0),"Yes","No")))</f>
        <v/>
      </c>
      <c r="R733" s="17">
        <f>IF($C733="","",IF($L733="","",IF(AND($K733=2,$L733&lt;$J733,COUNTIFS(nrES_PID,$D733,nrES_Code,$F733,nrES_Att,1)&gt;0),"Yes","No")))</f>
        <v/>
      </c>
      <c r="S733" s="18" t="n"/>
      <c r="T733" s="19">
        <f>IF($Q733&lt;&gt;"Yes","",IF($S733="","(enter date)",_xlfn.LET(_xlpm.dn,IFERROR(_xlfn.XLOOKUP($S733,nrCDdate,nrCDnum),""),IF(_xlpm.dn="","(not a class day)",IFERROR(_xlfn.XLOOKUP(_xlpm.dn+cfgRetestClassDays,nrCDnum,nrCDdate),"")))))</f>
        <v/>
      </c>
      <c r="U733" s="17">
        <f>IF($Q733&lt;&gt;"Yes","",IF(COUNTIFS(nrES_PID,$D733,nrES_Code,$F733,nrES_Att,2)&gt;0,"Retested",IF(OR($T733="",NOT(ISNUMBER($T733))),"Pending",IF(TODAY()&gt;$T733,"OVERDUE","Due "&amp;TEXT($T733,"mm/dd")))))</f>
        <v/>
      </c>
      <c r="V733" s="16" t="n"/>
      <c r="W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IF($C734="","",IF($L734="","",IF($K734=1,IF(COUNTIFS(nrES_PID,$D734,nrES_Code,$F734,nrES_Att,2)&gt;0,"",$L734),IF(COUNTIFS(nrES_PID,$D734,nrES_Code,$F734,nrES_Att,1)=0,$L734,IF($L734&gt;=$J734,cfgRetakeRecordedCap,SUMIFS(nrES_Raw,nrES_PID,$D734,nrES_Code,$F734,nrES_Att,1))))))</f>
        <v/>
      </c>
      <c r="N734" s="17">
        <f>IF($C734="","",IF($L734="","",IF($L734&gt;=$J734,"Yes","No")))</f>
        <v/>
      </c>
      <c r="O734" s="17">
        <f>IF($C734="","",IF($M734="","",IF($M734&gt;=$J734,"Yes","No")))</f>
        <v/>
      </c>
      <c r="P734" s="17">
        <f>IF($C734="","",IF($K734="","",IF(COUNTIFS(nrES_PID,$D734,nrES_Code,$F734,nrES_Att,"&gt;"&amp;$K734)=0,"Yes","No")))</f>
        <v/>
      </c>
      <c r="Q734" s="17">
        <f>IF($C734="","",IF($L734="","",IF(AND($K734=1,$L734&lt;$J734,COUNTIFS(nrES_PID,$D734,nrES_Code,$F734,nrES_Att,2)=0),"Yes","No")))</f>
        <v/>
      </c>
      <c r="R734" s="17">
        <f>IF($C734="","",IF($L734="","",IF(AND($K734=2,$L734&lt;$J734,COUNTIFS(nrES_PID,$D734,nrES_Code,$F734,nrES_Att,1)&gt;0),"Yes","No")))</f>
        <v/>
      </c>
      <c r="S734" s="18" t="n"/>
      <c r="T734" s="19">
        <f>IF($Q734&lt;&gt;"Yes","",IF($S734="","(enter date)",_xlfn.LET(_xlpm.dn,IFERROR(_xlfn.XLOOKUP($S734,nrCDdate,nrCDnum),""),IF(_xlpm.dn="","(not a class day)",IFERROR(_xlfn.XLOOKUP(_xlpm.dn+cfgRetestClassDays,nrCDnum,nrCDdate),"")))))</f>
        <v/>
      </c>
      <c r="U734" s="17">
        <f>IF($Q734&lt;&gt;"Yes","",IF(COUNTIFS(nrES_PID,$D734,nrES_Code,$F734,nrES_Att,2)&gt;0,"Retested",IF(OR($T734="",NOT(ISNUMBER($T734))),"Pending",IF(TODAY()&gt;$T734,"OVERDUE","Due "&amp;TEXT($T734,"mm/dd")))))</f>
        <v/>
      </c>
      <c r="V734" s="16" t="n"/>
      <c r="W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IF($C735="","",IF($L735="","",IF($K735=1,IF(COUNTIFS(nrES_PID,$D735,nrES_Code,$F735,nrES_Att,2)&gt;0,"",$L735),IF(COUNTIFS(nrES_PID,$D735,nrES_Code,$F735,nrES_Att,1)=0,$L735,IF($L735&gt;=$J735,cfgRetakeRecordedCap,SUMIFS(nrES_Raw,nrES_PID,$D735,nrES_Code,$F735,nrES_Att,1))))))</f>
        <v/>
      </c>
      <c r="N735" s="17">
        <f>IF($C735="","",IF($L735="","",IF($L735&gt;=$J735,"Yes","No")))</f>
        <v/>
      </c>
      <c r="O735" s="17">
        <f>IF($C735="","",IF($M735="","",IF($M735&gt;=$J735,"Yes","No")))</f>
        <v/>
      </c>
      <c r="P735" s="17">
        <f>IF($C735="","",IF($K735="","",IF(COUNTIFS(nrES_PID,$D735,nrES_Code,$F735,nrES_Att,"&gt;"&amp;$K735)=0,"Yes","No")))</f>
        <v/>
      </c>
      <c r="Q735" s="17">
        <f>IF($C735="","",IF($L735="","",IF(AND($K735=1,$L735&lt;$J735,COUNTIFS(nrES_PID,$D735,nrES_Code,$F735,nrES_Att,2)=0),"Yes","No")))</f>
        <v/>
      </c>
      <c r="R735" s="17">
        <f>IF($C735="","",IF($L735="","",IF(AND($K735=2,$L735&lt;$J735,COUNTIFS(nrES_PID,$D735,nrES_Code,$F735,nrES_Att,1)&gt;0),"Yes","No")))</f>
        <v/>
      </c>
      <c r="S735" s="18" t="n"/>
      <c r="T735" s="19">
        <f>IF($Q735&lt;&gt;"Yes","",IF($S735="","(enter date)",_xlfn.LET(_xlpm.dn,IFERROR(_xlfn.XLOOKUP($S735,nrCDdate,nrCDnum),""),IF(_xlpm.dn="","(not a class day)",IFERROR(_xlfn.XLOOKUP(_xlpm.dn+cfgRetestClassDays,nrCDnum,nrCDdate),"")))))</f>
        <v/>
      </c>
      <c r="U735" s="17">
        <f>IF($Q735&lt;&gt;"Yes","",IF(COUNTIFS(nrES_PID,$D735,nrES_Code,$F735,nrES_Att,2)&gt;0,"Retested",IF(OR($T735="",NOT(ISNUMBER($T735))),"Pending",IF(TODAY()&gt;$T735,"OVERDUE","Due "&amp;TEXT($T735,"mm/dd")))))</f>
        <v/>
      </c>
      <c r="V735" s="16" t="n"/>
      <c r="W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IF($C736="","",IF($L736="","",IF($K736=1,IF(COUNTIFS(nrES_PID,$D736,nrES_Code,$F736,nrES_Att,2)&gt;0,"",$L736),IF(COUNTIFS(nrES_PID,$D736,nrES_Code,$F736,nrES_Att,1)=0,$L736,IF($L736&gt;=$J736,cfgRetakeRecordedCap,SUMIFS(nrES_Raw,nrES_PID,$D736,nrES_Code,$F736,nrES_Att,1))))))</f>
        <v/>
      </c>
      <c r="N736" s="17">
        <f>IF($C736="","",IF($L736="","",IF($L736&gt;=$J736,"Yes","No")))</f>
        <v/>
      </c>
      <c r="O736" s="17">
        <f>IF($C736="","",IF($M736="","",IF($M736&gt;=$J736,"Yes","No")))</f>
        <v/>
      </c>
      <c r="P736" s="17">
        <f>IF($C736="","",IF($K736="","",IF(COUNTIFS(nrES_PID,$D736,nrES_Code,$F736,nrES_Att,"&gt;"&amp;$K736)=0,"Yes","No")))</f>
        <v/>
      </c>
      <c r="Q736" s="17">
        <f>IF($C736="","",IF($L736="","",IF(AND($K736=1,$L736&lt;$J736,COUNTIFS(nrES_PID,$D736,nrES_Code,$F736,nrES_Att,2)=0),"Yes","No")))</f>
        <v/>
      </c>
      <c r="R736" s="17">
        <f>IF($C736="","",IF($L736="","",IF(AND($K736=2,$L736&lt;$J736,COUNTIFS(nrES_PID,$D736,nrES_Code,$F736,nrES_Att,1)&gt;0),"Yes","No")))</f>
        <v/>
      </c>
      <c r="S736" s="18" t="n"/>
      <c r="T736" s="19">
        <f>IF($Q736&lt;&gt;"Yes","",IF($S736="","(enter date)",_xlfn.LET(_xlpm.dn,IFERROR(_xlfn.XLOOKUP($S736,nrCDdate,nrCDnum),""),IF(_xlpm.dn="","(not a class day)",IFERROR(_xlfn.XLOOKUP(_xlpm.dn+cfgRetestClassDays,nrCDnum,nrCDdate),"")))))</f>
        <v/>
      </c>
      <c r="U736" s="17">
        <f>IF($Q736&lt;&gt;"Yes","",IF(COUNTIFS(nrES_PID,$D736,nrES_Code,$F736,nrES_Att,2)&gt;0,"Retested",IF(OR($T736="",NOT(ISNUMBER($T736))),"Pending",IF(TODAY()&gt;$T736,"OVERDUE","Due "&amp;TEXT($T736,"mm/dd")))))</f>
        <v/>
      </c>
      <c r="V736" s="16" t="n"/>
      <c r="W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IF($C737="","",IF($L737="","",IF($K737=1,IF(COUNTIFS(nrES_PID,$D737,nrES_Code,$F737,nrES_Att,2)&gt;0,"",$L737),IF(COUNTIFS(nrES_PID,$D737,nrES_Code,$F737,nrES_Att,1)=0,$L737,IF($L737&gt;=$J737,cfgRetakeRecordedCap,SUMIFS(nrES_Raw,nrES_PID,$D737,nrES_Code,$F737,nrES_Att,1))))))</f>
        <v/>
      </c>
      <c r="N737" s="17">
        <f>IF($C737="","",IF($L737="","",IF($L737&gt;=$J737,"Yes","No")))</f>
        <v/>
      </c>
      <c r="O737" s="17">
        <f>IF($C737="","",IF($M737="","",IF($M737&gt;=$J737,"Yes","No")))</f>
        <v/>
      </c>
      <c r="P737" s="17">
        <f>IF($C737="","",IF($K737="","",IF(COUNTIFS(nrES_PID,$D737,nrES_Code,$F737,nrES_Att,"&gt;"&amp;$K737)=0,"Yes","No")))</f>
        <v/>
      </c>
      <c r="Q737" s="17">
        <f>IF($C737="","",IF($L737="","",IF(AND($K737=1,$L737&lt;$J737,COUNTIFS(nrES_PID,$D737,nrES_Code,$F737,nrES_Att,2)=0),"Yes","No")))</f>
        <v/>
      </c>
      <c r="R737" s="17">
        <f>IF($C737="","",IF($L737="","",IF(AND($K737=2,$L737&lt;$J737,COUNTIFS(nrES_PID,$D737,nrES_Code,$F737,nrES_Att,1)&gt;0),"Yes","No")))</f>
        <v/>
      </c>
      <c r="S737" s="18" t="n"/>
      <c r="T737" s="19">
        <f>IF($Q737&lt;&gt;"Yes","",IF($S737="","(enter date)",_xlfn.LET(_xlpm.dn,IFERROR(_xlfn.XLOOKUP($S737,nrCDdate,nrCDnum),""),IF(_xlpm.dn="","(not a class day)",IFERROR(_xlfn.XLOOKUP(_xlpm.dn+cfgRetestClassDays,nrCDnum,nrCDdate),"")))))</f>
        <v/>
      </c>
      <c r="U737" s="17">
        <f>IF($Q737&lt;&gt;"Yes","",IF(COUNTIFS(nrES_PID,$D737,nrES_Code,$F737,nrES_Att,2)&gt;0,"Retested",IF(OR($T737="",NOT(ISNUMBER($T737))),"Pending",IF(TODAY()&gt;$T737,"OVERDUE","Due "&amp;TEXT($T737,"mm/dd")))))</f>
        <v/>
      </c>
      <c r="V737" s="16" t="n"/>
      <c r="W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IF($C738="","",IF($L738="","",IF($K738=1,IF(COUNTIFS(nrES_PID,$D738,nrES_Code,$F738,nrES_Att,2)&gt;0,"",$L738),IF(COUNTIFS(nrES_PID,$D738,nrES_Code,$F738,nrES_Att,1)=0,$L738,IF($L738&gt;=$J738,cfgRetakeRecordedCap,SUMIFS(nrES_Raw,nrES_PID,$D738,nrES_Code,$F738,nrES_Att,1))))))</f>
        <v/>
      </c>
      <c r="N738" s="17">
        <f>IF($C738="","",IF($L738="","",IF($L738&gt;=$J738,"Yes","No")))</f>
        <v/>
      </c>
      <c r="O738" s="17">
        <f>IF($C738="","",IF($M738="","",IF($M738&gt;=$J738,"Yes","No")))</f>
        <v/>
      </c>
      <c r="P738" s="17">
        <f>IF($C738="","",IF($K738="","",IF(COUNTIFS(nrES_PID,$D738,nrES_Code,$F738,nrES_Att,"&gt;"&amp;$K738)=0,"Yes","No")))</f>
        <v/>
      </c>
      <c r="Q738" s="17">
        <f>IF($C738="","",IF($L738="","",IF(AND($K738=1,$L738&lt;$J738,COUNTIFS(nrES_PID,$D738,nrES_Code,$F738,nrES_Att,2)=0),"Yes","No")))</f>
        <v/>
      </c>
      <c r="R738" s="17">
        <f>IF($C738="","",IF($L738="","",IF(AND($K738=2,$L738&lt;$J738,COUNTIFS(nrES_PID,$D738,nrES_Code,$F738,nrES_Att,1)&gt;0),"Yes","No")))</f>
        <v/>
      </c>
      <c r="S738" s="18" t="n"/>
      <c r="T738" s="19">
        <f>IF($Q738&lt;&gt;"Yes","",IF($S738="","(enter date)",_xlfn.LET(_xlpm.dn,IFERROR(_xlfn.XLOOKUP($S738,nrCDdate,nrCDnum),""),IF(_xlpm.dn="","(not a class day)",IFERROR(_xlfn.XLOOKUP(_xlpm.dn+cfgRetestClassDays,nrCDnum,nrCDdate),"")))))</f>
        <v/>
      </c>
      <c r="U738" s="17">
        <f>IF($Q738&lt;&gt;"Yes","",IF(COUNTIFS(nrES_PID,$D738,nrES_Code,$F738,nrES_Att,2)&gt;0,"Retested",IF(OR($T738="",NOT(ISNUMBER($T738))),"Pending",IF(TODAY()&gt;$T738,"OVERDUE","Due "&amp;TEXT($T738,"mm/dd")))))</f>
        <v/>
      </c>
      <c r="V738" s="16" t="n"/>
      <c r="W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IF($C739="","",IF($L739="","",IF($K739=1,IF(COUNTIFS(nrES_PID,$D739,nrES_Code,$F739,nrES_Att,2)&gt;0,"",$L739),IF(COUNTIFS(nrES_PID,$D739,nrES_Code,$F739,nrES_Att,1)=0,$L739,IF($L739&gt;=$J739,cfgRetakeRecordedCap,SUMIFS(nrES_Raw,nrES_PID,$D739,nrES_Code,$F739,nrES_Att,1))))))</f>
        <v/>
      </c>
      <c r="N739" s="17">
        <f>IF($C739="","",IF($L739="","",IF($L739&gt;=$J739,"Yes","No")))</f>
        <v/>
      </c>
      <c r="O739" s="17">
        <f>IF($C739="","",IF($M739="","",IF($M739&gt;=$J739,"Yes","No")))</f>
        <v/>
      </c>
      <c r="P739" s="17">
        <f>IF($C739="","",IF($K739="","",IF(COUNTIFS(nrES_PID,$D739,nrES_Code,$F739,nrES_Att,"&gt;"&amp;$K739)=0,"Yes","No")))</f>
        <v/>
      </c>
      <c r="Q739" s="17">
        <f>IF($C739="","",IF($L739="","",IF(AND($K739=1,$L739&lt;$J739,COUNTIFS(nrES_PID,$D739,nrES_Code,$F739,nrES_Att,2)=0),"Yes","No")))</f>
        <v/>
      </c>
      <c r="R739" s="17">
        <f>IF($C739="","",IF($L739="","",IF(AND($K739=2,$L739&lt;$J739,COUNTIFS(nrES_PID,$D739,nrES_Code,$F739,nrES_Att,1)&gt;0),"Yes","No")))</f>
        <v/>
      </c>
      <c r="S739" s="18" t="n"/>
      <c r="T739" s="19">
        <f>IF($Q739&lt;&gt;"Yes","",IF($S739="","(enter date)",_xlfn.LET(_xlpm.dn,IFERROR(_xlfn.XLOOKUP($S739,nrCDdate,nrCDnum),""),IF(_xlpm.dn="","(not a class day)",IFERROR(_xlfn.XLOOKUP(_xlpm.dn+cfgRetestClassDays,nrCDnum,nrCDdate),"")))))</f>
        <v/>
      </c>
      <c r="U739" s="17">
        <f>IF($Q739&lt;&gt;"Yes","",IF(COUNTIFS(nrES_PID,$D739,nrES_Code,$F739,nrES_Att,2)&gt;0,"Retested",IF(OR($T739="",NOT(ISNUMBER($T739))),"Pending",IF(TODAY()&gt;$T739,"OVERDUE","Due "&amp;TEXT($T739,"mm/dd")))))</f>
        <v/>
      </c>
      <c r="V739" s="16" t="n"/>
      <c r="W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IF($C740="","",IF($L740="","",IF($K740=1,IF(COUNTIFS(nrES_PID,$D740,nrES_Code,$F740,nrES_Att,2)&gt;0,"",$L740),IF(COUNTIFS(nrES_PID,$D740,nrES_Code,$F740,nrES_Att,1)=0,$L740,IF($L740&gt;=$J740,cfgRetakeRecordedCap,SUMIFS(nrES_Raw,nrES_PID,$D740,nrES_Code,$F740,nrES_Att,1))))))</f>
        <v/>
      </c>
      <c r="N740" s="17">
        <f>IF($C740="","",IF($L740="","",IF($L740&gt;=$J740,"Yes","No")))</f>
        <v/>
      </c>
      <c r="O740" s="17">
        <f>IF($C740="","",IF($M740="","",IF($M740&gt;=$J740,"Yes","No")))</f>
        <v/>
      </c>
      <c r="P740" s="17">
        <f>IF($C740="","",IF($K740="","",IF(COUNTIFS(nrES_PID,$D740,nrES_Code,$F740,nrES_Att,"&gt;"&amp;$K740)=0,"Yes","No")))</f>
        <v/>
      </c>
      <c r="Q740" s="17">
        <f>IF($C740="","",IF($L740="","",IF(AND($K740=1,$L740&lt;$J740,COUNTIFS(nrES_PID,$D740,nrES_Code,$F740,nrES_Att,2)=0),"Yes","No")))</f>
        <v/>
      </c>
      <c r="R740" s="17">
        <f>IF($C740="","",IF($L740="","",IF(AND($K740=2,$L740&lt;$J740,COUNTIFS(nrES_PID,$D740,nrES_Code,$F740,nrES_Att,1)&gt;0),"Yes","No")))</f>
        <v/>
      </c>
      <c r="S740" s="18" t="n"/>
      <c r="T740" s="19">
        <f>IF($Q740&lt;&gt;"Yes","",IF($S740="","(enter date)",_xlfn.LET(_xlpm.dn,IFERROR(_xlfn.XLOOKUP($S740,nrCDdate,nrCDnum),""),IF(_xlpm.dn="","(not a class day)",IFERROR(_xlfn.XLOOKUP(_xlpm.dn+cfgRetestClassDays,nrCDnum,nrCDdate),"")))))</f>
        <v/>
      </c>
      <c r="U740" s="17">
        <f>IF($Q740&lt;&gt;"Yes","",IF(COUNTIFS(nrES_PID,$D740,nrES_Code,$F740,nrES_Att,2)&gt;0,"Retested",IF(OR($T740="",NOT(ISNUMBER($T740))),"Pending",IF(TODAY()&gt;$T740,"OVERDUE","Due "&amp;TEXT($T740,"mm/dd")))))</f>
        <v/>
      </c>
      <c r="V740" s="16" t="n"/>
      <c r="W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IF($C741="","",IF($L741="","",IF($K741=1,IF(COUNTIFS(nrES_PID,$D741,nrES_Code,$F741,nrES_Att,2)&gt;0,"",$L741),IF(COUNTIFS(nrES_PID,$D741,nrES_Code,$F741,nrES_Att,1)=0,$L741,IF($L741&gt;=$J741,cfgRetakeRecordedCap,SUMIFS(nrES_Raw,nrES_PID,$D741,nrES_Code,$F741,nrES_Att,1))))))</f>
        <v/>
      </c>
      <c r="N741" s="17">
        <f>IF($C741="","",IF($L741="","",IF($L741&gt;=$J741,"Yes","No")))</f>
        <v/>
      </c>
      <c r="O741" s="17">
        <f>IF($C741="","",IF($M741="","",IF($M741&gt;=$J741,"Yes","No")))</f>
        <v/>
      </c>
      <c r="P741" s="17">
        <f>IF($C741="","",IF($K741="","",IF(COUNTIFS(nrES_PID,$D741,nrES_Code,$F741,nrES_Att,"&gt;"&amp;$K741)=0,"Yes","No")))</f>
        <v/>
      </c>
      <c r="Q741" s="17">
        <f>IF($C741="","",IF($L741="","",IF(AND($K741=1,$L741&lt;$J741,COUNTIFS(nrES_PID,$D741,nrES_Code,$F741,nrES_Att,2)=0),"Yes","No")))</f>
        <v/>
      </c>
      <c r="R741" s="17">
        <f>IF($C741="","",IF($L741="","",IF(AND($K741=2,$L741&lt;$J741,COUNTIFS(nrES_PID,$D741,nrES_Code,$F741,nrES_Att,1)&gt;0),"Yes","No")))</f>
        <v/>
      </c>
      <c r="S741" s="18" t="n"/>
      <c r="T741" s="19">
        <f>IF($Q741&lt;&gt;"Yes","",IF($S741="","(enter date)",_xlfn.LET(_xlpm.dn,IFERROR(_xlfn.XLOOKUP($S741,nrCDdate,nrCDnum),""),IF(_xlpm.dn="","(not a class day)",IFERROR(_xlfn.XLOOKUP(_xlpm.dn+cfgRetestClassDays,nrCDnum,nrCDdate),"")))))</f>
        <v/>
      </c>
      <c r="U741" s="17">
        <f>IF($Q741&lt;&gt;"Yes","",IF(COUNTIFS(nrES_PID,$D741,nrES_Code,$F741,nrES_Att,2)&gt;0,"Retested",IF(OR($T741="",NOT(ISNUMBER($T741))),"Pending",IF(TODAY()&gt;$T741,"OVERDUE","Due "&amp;TEXT($T741,"mm/dd")))))</f>
        <v/>
      </c>
      <c r="V741" s="16" t="n"/>
      <c r="W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IF($C742="","",IF($L742="","",IF($K742=1,IF(COUNTIFS(nrES_PID,$D742,nrES_Code,$F742,nrES_Att,2)&gt;0,"",$L742),IF(COUNTIFS(nrES_PID,$D742,nrES_Code,$F742,nrES_Att,1)=0,$L742,IF($L742&gt;=$J742,cfgRetakeRecordedCap,SUMIFS(nrES_Raw,nrES_PID,$D742,nrES_Code,$F742,nrES_Att,1))))))</f>
        <v/>
      </c>
      <c r="N742" s="17">
        <f>IF($C742="","",IF($L742="","",IF($L742&gt;=$J742,"Yes","No")))</f>
        <v/>
      </c>
      <c r="O742" s="17">
        <f>IF($C742="","",IF($M742="","",IF($M742&gt;=$J742,"Yes","No")))</f>
        <v/>
      </c>
      <c r="P742" s="17">
        <f>IF($C742="","",IF($K742="","",IF(COUNTIFS(nrES_PID,$D742,nrES_Code,$F742,nrES_Att,"&gt;"&amp;$K742)=0,"Yes","No")))</f>
        <v/>
      </c>
      <c r="Q742" s="17">
        <f>IF($C742="","",IF($L742="","",IF(AND($K742=1,$L742&lt;$J742,COUNTIFS(nrES_PID,$D742,nrES_Code,$F742,nrES_Att,2)=0),"Yes","No")))</f>
        <v/>
      </c>
      <c r="R742" s="17">
        <f>IF($C742="","",IF($L742="","",IF(AND($K742=2,$L742&lt;$J742,COUNTIFS(nrES_PID,$D742,nrES_Code,$F742,nrES_Att,1)&gt;0),"Yes","No")))</f>
        <v/>
      </c>
      <c r="S742" s="18" t="n"/>
      <c r="T742" s="19">
        <f>IF($Q742&lt;&gt;"Yes","",IF($S742="","(enter date)",_xlfn.LET(_xlpm.dn,IFERROR(_xlfn.XLOOKUP($S742,nrCDdate,nrCDnum),""),IF(_xlpm.dn="","(not a class day)",IFERROR(_xlfn.XLOOKUP(_xlpm.dn+cfgRetestClassDays,nrCDnum,nrCDdate),"")))))</f>
        <v/>
      </c>
      <c r="U742" s="17">
        <f>IF($Q742&lt;&gt;"Yes","",IF(COUNTIFS(nrES_PID,$D742,nrES_Code,$F742,nrES_Att,2)&gt;0,"Retested",IF(OR($T742="",NOT(ISNUMBER($T742))),"Pending",IF(TODAY()&gt;$T742,"OVERDUE","Due "&amp;TEXT($T742,"mm/dd")))))</f>
        <v/>
      </c>
      <c r="V742" s="16" t="n"/>
      <c r="W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IF($C743="","",IF($L743="","",IF($K743=1,IF(COUNTIFS(nrES_PID,$D743,nrES_Code,$F743,nrES_Att,2)&gt;0,"",$L743),IF(COUNTIFS(nrES_PID,$D743,nrES_Code,$F743,nrES_Att,1)=0,$L743,IF($L743&gt;=$J743,cfgRetakeRecordedCap,SUMIFS(nrES_Raw,nrES_PID,$D743,nrES_Code,$F743,nrES_Att,1))))))</f>
        <v/>
      </c>
      <c r="N743" s="17">
        <f>IF($C743="","",IF($L743="","",IF($L743&gt;=$J743,"Yes","No")))</f>
        <v/>
      </c>
      <c r="O743" s="17">
        <f>IF($C743="","",IF($M743="","",IF($M743&gt;=$J743,"Yes","No")))</f>
        <v/>
      </c>
      <c r="P743" s="17">
        <f>IF($C743="","",IF($K743="","",IF(COUNTIFS(nrES_PID,$D743,nrES_Code,$F743,nrES_Att,"&gt;"&amp;$K743)=0,"Yes","No")))</f>
        <v/>
      </c>
      <c r="Q743" s="17">
        <f>IF($C743="","",IF($L743="","",IF(AND($K743=1,$L743&lt;$J743,COUNTIFS(nrES_PID,$D743,nrES_Code,$F743,nrES_Att,2)=0),"Yes","No")))</f>
        <v/>
      </c>
      <c r="R743" s="17">
        <f>IF($C743="","",IF($L743="","",IF(AND($K743=2,$L743&lt;$J743,COUNTIFS(nrES_PID,$D743,nrES_Code,$F743,nrES_Att,1)&gt;0),"Yes","No")))</f>
        <v/>
      </c>
      <c r="S743" s="18" t="n"/>
      <c r="T743" s="19">
        <f>IF($Q743&lt;&gt;"Yes","",IF($S743="","(enter date)",_xlfn.LET(_xlpm.dn,IFERROR(_xlfn.XLOOKUP($S743,nrCDdate,nrCDnum),""),IF(_xlpm.dn="","(not a class day)",IFERROR(_xlfn.XLOOKUP(_xlpm.dn+cfgRetestClassDays,nrCDnum,nrCDdate),"")))))</f>
        <v/>
      </c>
      <c r="U743" s="17">
        <f>IF($Q743&lt;&gt;"Yes","",IF(COUNTIFS(nrES_PID,$D743,nrES_Code,$F743,nrES_Att,2)&gt;0,"Retested",IF(OR($T743="",NOT(ISNUMBER($T743))),"Pending",IF(TODAY()&gt;$T743,"OVERDUE","Due "&amp;TEXT($T743,"mm/dd")))))</f>
        <v/>
      </c>
      <c r="V743" s="16" t="n"/>
      <c r="W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IF($C744="","",IF($L744="","",IF($K744=1,IF(COUNTIFS(nrES_PID,$D744,nrES_Code,$F744,nrES_Att,2)&gt;0,"",$L744),IF(COUNTIFS(nrES_PID,$D744,nrES_Code,$F744,nrES_Att,1)=0,$L744,IF($L744&gt;=$J744,cfgRetakeRecordedCap,SUMIFS(nrES_Raw,nrES_PID,$D744,nrES_Code,$F744,nrES_Att,1))))))</f>
        <v/>
      </c>
      <c r="N744" s="17">
        <f>IF($C744="","",IF($L744="","",IF($L744&gt;=$J744,"Yes","No")))</f>
        <v/>
      </c>
      <c r="O744" s="17">
        <f>IF($C744="","",IF($M744="","",IF($M744&gt;=$J744,"Yes","No")))</f>
        <v/>
      </c>
      <c r="P744" s="17">
        <f>IF($C744="","",IF($K744="","",IF(COUNTIFS(nrES_PID,$D744,nrES_Code,$F744,nrES_Att,"&gt;"&amp;$K744)=0,"Yes","No")))</f>
        <v/>
      </c>
      <c r="Q744" s="17">
        <f>IF($C744="","",IF($L744="","",IF(AND($K744=1,$L744&lt;$J744,COUNTIFS(nrES_PID,$D744,nrES_Code,$F744,nrES_Att,2)=0),"Yes","No")))</f>
        <v/>
      </c>
      <c r="R744" s="17">
        <f>IF($C744="","",IF($L744="","",IF(AND($K744=2,$L744&lt;$J744,COUNTIFS(nrES_PID,$D744,nrES_Code,$F744,nrES_Att,1)&gt;0),"Yes","No")))</f>
        <v/>
      </c>
      <c r="S744" s="18" t="n"/>
      <c r="T744" s="19">
        <f>IF($Q744&lt;&gt;"Yes","",IF($S744="","(enter date)",_xlfn.LET(_xlpm.dn,IFERROR(_xlfn.XLOOKUP($S744,nrCDdate,nrCDnum),""),IF(_xlpm.dn="","(not a class day)",IFERROR(_xlfn.XLOOKUP(_xlpm.dn+cfgRetestClassDays,nrCDnum,nrCDdate),"")))))</f>
        <v/>
      </c>
      <c r="U744" s="17">
        <f>IF($Q744&lt;&gt;"Yes","",IF(COUNTIFS(nrES_PID,$D744,nrES_Code,$F744,nrES_Att,2)&gt;0,"Retested",IF(OR($T744="",NOT(ISNUMBER($T744))),"Pending",IF(TODAY()&gt;$T744,"OVERDUE","Due "&amp;TEXT($T744,"mm/dd")))))</f>
        <v/>
      </c>
      <c r="V744" s="16" t="n"/>
      <c r="W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IF($C745="","",IF($L745="","",IF($K745=1,IF(COUNTIFS(nrES_PID,$D745,nrES_Code,$F745,nrES_Att,2)&gt;0,"",$L745),IF(COUNTIFS(nrES_PID,$D745,nrES_Code,$F745,nrES_Att,1)=0,$L745,IF($L745&gt;=$J745,cfgRetakeRecordedCap,SUMIFS(nrES_Raw,nrES_PID,$D745,nrES_Code,$F745,nrES_Att,1))))))</f>
        <v/>
      </c>
      <c r="N745" s="17">
        <f>IF($C745="","",IF($L745="","",IF($L745&gt;=$J745,"Yes","No")))</f>
        <v/>
      </c>
      <c r="O745" s="17">
        <f>IF($C745="","",IF($M745="","",IF($M745&gt;=$J745,"Yes","No")))</f>
        <v/>
      </c>
      <c r="P745" s="17">
        <f>IF($C745="","",IF($K745="","",IF(COUNTIFS(nrES_PID,$D745,nrES_Code,$F745,nrES_Att,"&gt;"&amp;$K745)=0,"Yes","No")))</f>
        <v/>
      </c>
      <c r="Q745" s="17">
        <f>IF($C745="","",IF($L745="","",IF(AND($K745=1,$L745&lt;$J745,COUNTIFS(nrES_PID,$D745,nrES_Code,$F745,nrES_Att,2)=0),"Yes","No")))</f>
        <v/>
      </c>
      <c r="R745" s="17">
        <f>IF($C745="","",IF($L745="","",IF(AND($K745=2,$L745&lt;$J745,COUNTIFS(nrES_PID,$D745,nrES_Code,$F745,nrES_Att,1)&gt;0),"Yes","No")))</f>
        <v/>
      </c>
      <c r="S745" s="18" t="n"/>
      <c r="T745" s="19">
        <f>IF($Q745&lt;&gt;"Yes","",IF($S745="","(enter date)",_xlfn.LET(_xlpm.dn,IFERROR(_xlfn.XLOOKUP($S745,nrCDdate,nrCDnum),""),IF(_xlpm.dn="","(not a class day)",IFERROR(_xlfn.XLOOKUP(_xlpm.dn+cfgRetestClassDays,nrCDnum,nrCDdate),"")))))</f>
        <v/>
      </c>
      <c r="U745" s="17">
        <f>IF($Q745&lt;&gt;"Yes","",IF(COUNTIFS(nrES_PID,$D745,nrES_Code,$F745,nrES_Att,2)&gt;0,"Retested",IF(OR($T745="",NOT(ISNUMBER($T745))),"Pending",IF(TODAY()&gt;$T745,"OVERDUE","Due "&amp;TEXT($T745,"mm/dd")))))</f>
        <v/>
      </c>
      <c r="V745" s="16" t="n"/>
      <c r="W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IF($C746="","",IF($L746="","",IF($K746=1,IF(COUNTIFS(nrES_PID,$D746,nrES_Code,$F746,nrES_Att,2)&gt;0,"",$L746),IF(COUNTIFS(nrES_PID,$D746,nrES_Code,$F746,nrES_Att,1)=0,$L746,IF($L746&gt;=$J746,cfgRetakeRecordedCap,SUMIFS(nrES_Raw,nrES_PID,$D746,nrES_Code,$F746,nrES_Att,1))))))</f>
        <v/>
      </c>
      <c r="N746" s="17">
        <f>IF($C746="","",IF($L746="","",IF($L746&gt;=$J746,"Yes","No")))</f>
        <v/>
      </c>
      <c r="O746" s="17">
        <f>IF($C746="","",IF($M746="","",IF($M746&gt;=$J746,"Yes","No")))</f>
        <v/>
      </c>
      <c r="P746" s="17">
        <f>IF($C746="","",IF($K746="","",IF(COUNTIFS(nrES_PID,$D746,nrES_Code,$F746,nrES_Att,"&gt;"&amp;$K746)=0,"Yes","No")))</f>
        <v/>
      </c>
      <c r="Q746" s="17">
        <f>IF($C746="","",IF($L746="","",IF(AND($K746=1,$L746&lt;$J746,COUNTIFS(nrES_PID,$D746,nrES_Code,$F746,nrES_Att,2)=0),"Yes","No")))</f>
        <v/>
      </c>
      <c r="R746" s="17">
        <f>IF($C746="","",IF($L746="","",IF(AND($K746=2,$L746&lt;$J746,COUNTIFS(nrES_PID,$D746,nrES_Code,$F746,nrES_Att,1)&gt;0),"Yes","No")))</f>
        <v/>
      </c>
      <c r="S746" s="18" t="n"/>
      <c r="T746" s="19">
        <f>IF($Q746&lt;&gt;"Yes","",IF($S746="","(enter date)",_xlfn.LET(_xlpm.dn,IFERROR(_xlfn.XLOOKUP($S746,nrCDdate,nrCDnum),""),IF(_xlpm.dn="","(not a class day)",IFERROR(_xlfn.XLOOKUP(_xlpm.dn+cfgRetestClassDays,nrCDnum,nrCDdate),"")))))</f>
        <v/>
      </c>
      <c r="U746" s="17">
        <f>IF($Q746&lt;&gt;"Yes","",IF(COUNTIFS(nrES_PID,$D746,nrES_Code,$F746,nrES_Att,2)&gt;0,"Retested",IF(OR($T746="",NOT(ISNUMBER($T746))),"Pending",IF(TODAY()&gt;$T746,"OVERDUE","Due "&amp;TEXT($T746,"mm/dd")))))</f>
        <v/>
      </c>
      <c r="V746" s="16" t="n"/>
      <c r="W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IF($C747="","",IF($L747="","",IF($K747=1,IF(COUNTIFS(nrES_PID,$D747,nrES_Code,$F747,nrES_Att,2)&gt;0,"",$L747),IF(COUNTIFS(nrES_PID,$D747,nrES_Code,$F747,nrES_Att,1)=0,$L747,IF($L747&gt;=$J747,cfgRetakeRecordedCap,SUMIFS(nrES_Raw,nrES_PID,$D747,nrES_Code,$F747,nrES_Att,1))))))</f>
        <v/>
      </c>
      <c r="N747" s="17">
        <f>IF($C747="","",IF($L747="","",IF($L747&gt;=$J747,"Yes","No")))</f>
        <v/>
      </c>
      <c r="O747" s="17">
        <f>IF($C747="","",IF($M747="","",IF($M747&gt;=$J747,"Yes","No")))</f>
        <v/>
      </c>
      <c r="P747" s="17">
        <f>IF($C747="","",IF($K747="","",IF(COUNTIFS(nrES_PID,$D747,nrES_Code,$F747,nrES_Att,"&gt;"&amp;$K747)=0,"Yes","No")))</f>
        <v/>
      </c>
      <c r="Q747" s="17">
        <f>IF($C747="","",IF($L747="","",IF(AND($K747=1,$L747&lt;$J747,COUNTIFS(nrES_PID,$D747,nrES_Code,$F747,nrES_Att,2)=0),"Yes","No")))</f>
        <v/>
      </c>
      <c r="R747" s="17">
        <f>IF($C747="","",IF($L747="","",IF(AND($K747=2,$L747&lt;$J747,COUNTIFS(nrES_PID,$D747,nrES_Code,$F747,nrES_Att,1)&gt;0),"Yes","No")))</f>
        <v/>
      </c>
      <c r="S747" s="18" t="n"/>
      <c r="T747" s="19">
        <f>IF($Q747&lt;&gt;"Yes","",IF($S747="","(enter date)",_xlfn.LET(_xlpm.dn,IFERROR(_xlfn.XLOOKUP($S747,nrCDdate,nrCDnum),""),IF(_xlpm.dn="","(not a class day)",IFERROR(_xlfn.XLOOKUP(_xlpm.dn+cfgRetestClassDays,nrCDnum,nrCDdate),"")))))</f>
        <v/>
      </c>
      <c r="U747" s="17">
        <f>IF($Q747&lt;&gt;"Yes","",IF(COUNTIFS(nrES_PID,$D747,nrES_Code,$F747,nrES_Att,2)&gt;0,"Retested",IF(OR($T747="",NOT(ISNUMBER($T747))),"Pending",IF(TODAY()&gt;$T747,"OVERDUE","Due "&amp;TEXT($T747,"mm/dd")))))</f>
        <v/>
      </c>
      <c r="V747" s="16" t="n"/>
      <c r="W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IF($C748="","",IF($L748="","",IF($K748=1,IF(COUNTIFS(nrES_PID,$D748,nrES_Code,$F748,nrES_Att,2)&gt;0,"",$L748),IF(COUNTIFS(nrES_PID,$D748,nrES_Code,$F748,nrES_Att,1)=0,$L748,IF($L748&gt;=$J748,cfgRetakeRecordedCap,SUMIFS(nrES_Raw,nrES_PID,$D748,nrES_Code,$F748,nrES_Att,1))))))</f>
        <v/>
      </c>
      <c r="N748" s="17">
        <f>IF($C748="","",IF($L748="","",IF($L748&gt;=$J748,"Yes","No")))</f>
        <v/>
      </c>
      <c r="O748" s="17">
        <f>IF($C748="","",IF($M748="","",IF($M748&gt;=$J748,"Yes","No")))</f>
        <v/>
      </c>
      <c r="P748" s="17">
        <f>IF($C748="","",IF($K748="","",IF(COUNTIFS(nrES_PID,$D748,nrES_Code,$F748,nrES_Att,"&gt;"&amp;$K748)=0,"Yes","No")))</f>
        <v/>
      </c>
      <c r="Q748" s="17">
        <f>IF($C748="","",IF($L748="","",IF(AND($K748=1,$L748&lt;$J748,COUNTIFS(nrES_PID,$D748,nrES_Code,$F748,nrES_Att,2)=0),"Yes","No")))</f>
        <v/>
      </c>
      <c r="R748" s="17">
        <f>IF($C748="","",IF($L748="","",IF(AND($K748=2,$L748&lt;$J748,COUNTIFS(nrES_PID,$D748,nrES_Code,$F748,nrES_Att,1)&gt;0),"Yes","No")))</f>
        <v/>
      </c>
      <c r="S748" s="18" t="n"/>
      <c r="T748" s="19">
        <f>IF($Q748&lt;&gt;"Yes","",IF($S748="","(enter date)",_xlfn.LET(_xlpm.dn,IFERROR(_xlfn.XLOOKUP($S748,nrCDdate,nrCDnum),""),IF(_xlpm.dn="","(not a class day)",IFERROR(_xlfn.XLOOKUP(_xlpm.dn+cfgRetestClassDays,nrCDnum,nrCDdate),"")))))</f>
        <v/>
      </c>
      <c r="U748" s="17">
        <f>IF($Q748&lt;&gt;"Yes","",IF(COUNTIFS(nrES_PID,$D748,nrES_Code,$F748,nrES_Att,2)&gt;0,"Retested",IF(OR($T748="",NOT(ISNUMBER($T748))),"Pending",IF(TODAY()&gt;$T748,"OVERDUE","Due "&amp;TEXT($T748,"mm/dd")))))</f>
        <v/>
      </c>
      <c r="V748" s="16" t="n"/>
      <c r="W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IF($C749="","",IF($L749="","",IF($K749=1,IF(COUNTIFS(nrES_PID,$D749,nrES_Code,$F749,nrES_Att,2)&gt;0,"",$L749),IF(COUNTIFS(nrES_PID,$D749,nrES_Code,$F749,nrES_Att,1)=0,$L749,IF($L749&gt;=$J749,cfgRetakeRecordedCap,SUMIFS(nrES_Raw,nrES_PID,$D749,nrES_Code,$F749,nrES_Att,1))))))</f>
        <v/>
      </c>
      <c r="N749" s="17">
        <f>IF($C749="","",IF($L749="","",IF($L749&gt;=$J749,"Yes","No")))</f>
        <v/>
      </c>
      <c r="O749" s="17">
        <f>IF($C749="","",IF($M749="","",IF($M749&gt;=$J749,"Yes","No")))</f>
        <v/>
      </c>
      <c r="P749" s="17">
        <f>IF($C749="","",IF($K749="","",IF(COUNTIFS(nrES_PID,$D749,nrES_Code,$F749,nrES_Att,"&gt;"&amp;$K749)=0,"Yes","No")))</f>
        <v/>
      </c>
      <c r="Q749" s="17">
        <f>IF($C749="","",IF($L749="","",IF(AND($K749=1,$L749&lt;$J749,COUNTIFS(nrES_PID,$D749,nrES_Code,$F749,nrES_Att,2)=0),"Yes","No")))</f>
        <v/>
      </c>
      <c r="R749" s="17">
        <f>IF($C749="","",IF($L749="","",IF(AND($K749=2,$L749&lt;$J749,COUNTIFS(nrES_PID,$D749,nrES_Code,$F749,nrES_Att,1)&gt;0),"Yes","No")))</f>
        <v/>
      </c>
      <c r="S749" s="18" t="n"/>
      <c r="T749" s="19">
        <f>IF($Q749&lt;&gt;"Yes","",IF($S749="","(enter date)",_xlfn.LET(_xlpm.dn,IFERROR(_xlfn.XLOOKUP($S749,nrCDdate,nrCDnum),""),IF(_xlpm.dn="","(not a class day)",IFERROR(_xlfn.XLOOKUP(_xlpm.dn+cfgRetestClassDays,nrCDnum,nrCDdate),"")))))</f>
        <v/>
      </c>
      <c r="U749" s="17">
        <f>IF($Q749&lt;&gt;"Yes","",IF(COUNTIFS(nrES_PID,$D749,nrES_Code,$F749,nrES_Att,2)&gt;0,"Retested",IF(OR($T749="",NOT(ISNUMBER($T749))),"Pending",IF(TODAY()&gt;$T749,"OVERDUE","Due "&amp;TEXT($T749,"mm/dd")))))</f>
        <v/>
      </c>
      <c r="V749" s="16" t="n"/>
      <c r="W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IF($C750="","",IF($L750="","",IF($K750=1,IF(COUNTIFS(nrES_PID,$D750,nrES_Code,$F750,nrES_Att,2)&gt;0,"",$L750),IF(COUNTIFS(nrES_PID,$D750,nrES_Code,$F750,nrES_Att,1)=0,$L750,IF($L750&gt;=$J750,cfgRetakeRecordedCap,SUMIFS(nrES_Raw,nrES_PID,$D750,nrES_Code,$F750,nrES_Att,1))))))</f>
        <v/>
      </c>
      <c r="N750" s="17">
        <f>IF($C750="","",IF($L750="","",IF($L750&gt;=$J750,"Yes","No")))</f>
        <v/>
      </c>
      <c r="O750" s="17">
        <f>IF($C750="","",IF($M750="","",IF($M750&gt;=$J750,"Yes","No")))</f>
        <v/>
      </c>
      <c r="P750" s="17">
        <f>IF($C750="","",IF($K750="","",IF(COUNTIFS(nrES_PID,$D750,nrES_Code,$F750,nrES_Att,"&gt;"&amp;$K750)=0,"Yes","No")))</f>
        <v/>
      </c>
      <c r="Q750" s="17">
        <f>IF($C750="","",IF($L750="","",IF(AND($K750=1,$L750&lt;$J750,COUNTIFS(nrES_PID,$D750,nrES_Code,$F750,nrES_Att,2)=0),"Yes","No")))</f>
        <v/>
      </c>
      <c r="R750" s="17">
        <f>IF($C750="","",IF($L750="","",IF(AND($K750=2,$L750&lt;$J750,COUNTIFS(nrES_PID,$D750,nrES_Code,$F750,nrES_Att,1)&gt;0),"Yes","No")))</f>
        <v/>
      </c>
      <c r="S750" s="18" t="n"/>
      <c r="T750" s="19">
        <f>IF($Q750&lt;&gt;"Yes","",IF($S750="","(enter date)",_xlfn.LET(_xlpm.dn,IFERROR(_xlfn.XLOOKUP($S750,nrCDdate,nrCDnum),""),IF(_xlpm.dn="","(not a class day)",IFERROR(_xlfn.XLOOKUP(_xlpm.dn+cfgRetestClassDays,nrCDnum,nrCDdate),"")))))</f>
        <v/>
      </c>
      <c r="U750" s="17">
        <f>IF($Q750&lt;&gt;"Yes","",IF(COUNTIFS(nrES_PID,$D750,nrES_Code,$F750,nrES_Att,2)&gt;0,"Retested",IF(OR($T750="",NOT(ISNUMBER($T750))),"Pending",IF(TODAY()&gt;$T750,"OVERDUE","Due "&amp;TEXT($T750,"mm/dd")))))</f>
        <v/>
      </c>
      <c r="V750" s="16" t="n"/>
      <c r="W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IF($C751="","",IF($L751="","",IF($K751=1,IF(COUNTIFS(nrES_PID,$D751,nrES_Code,$F751,nrES_Att,2)&gt;0,"",$L751),IF(COUNTIFS(nrES_PID,$D751,nrES_Code,$F751,nrES_Att,1)=0,$L751,IF($L751&gt;=$J751,cfgRetakeRecordedCap,SUMIFS(nrES_Raw,nrES_PID,$D751,nrES_Code,$F751,nrES_Att,1))))))</f>
        <v/>
      </c>
      <c r="N751" s="17">
        <f>IF($C751="","",IF($L751="","",IF($L751&gt;=$J751,"Yes","No")))</f>
        <v/>
      </c>
      <c r="O751" s="17">
        <f>IF($C751="","",IF($M751="","",IF($M751&gt;=$J751,"Yes","No")))</f>
        <v/>
      </c>
      <c r="P751" s="17">
        <f>IF($C751="","",IF($K751="","",IF(COUNTIFS(nrES_PID,$D751,nrES_Code,$F751,nrES_Att,"&gt;"&amp;$K751)=0,"Yes","No")))</f>
        <v/>
      </c>
      <c r="Q751" s="17">
        <f>IF($C751="","",IF($L751="","",IF(AND($K751=1,$L751&lt;$J751,COUNTIFS(nrES_PID,$D751,nrES_Code,$F751,nrES_Att,2)=0),"Yes","No")))</f>
        <v/>
      </c>
      <c r="R751" s="17">
        <f>IF($C751="","",IF($L751="","",IF(AND($K751=2,$L751&lt;$J751,COUNTIFS(nrES_PID,$D751,nrES_Code,$F751,nrES_Att,1)&gt;0),"Yes","No")))</f>
        <v/>
      </c>
      <c r="S751" s="18" t="n"/>
      <c r="T751" s="19">
        <f>IF($Q751&lt;&gt;"Yes","",IF($S751="","(enter date)",_xlfn.LET(_xlpm.dn,IFERROR(_xlfn.XLOOKUP($S751,nrCDdate,nrCDnum),""),IF(_xlpm.dn="","(not a class day)",IFERROR(_xlfn.XLOOKUP(_xlpm.dn+cfgRetestClassDays,nrCDnum,nrCDdate),"")))))</f>
        <v/>
      </c>
      <c r="U751" s="17">
        <f>IF($Q751&lt;&gt;"Yes","",IF(COUNTIFS(nrES_PID,$D751,nrES_Code,$F751,nrES_Att,2)&gt;0,"Retested",IF(OR($T751="",NOT(ISNUMBER($T751))),"Pending",IF(TODAY()&gt;$T751,"OVERDUE","Due "&amp;TEXT($T751,"mm/dd")))))</f>
        <v/>
      </c>
      <c r="V751" s="16" t="n"/>
      <c r="W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IF($C752="","",IF($L752="","",IF($K752=1,IF(COUNTIFS(nrES_PID,$D752,nrES_Code,$F752,nrES_Att,2)&gt;0,"",$L752),IF(COUNTIFS(nrES_PID,$D752,nrES_Code,$F752,nrES_Att,1)=0,$L752,IF($L752&gt;=$J752,cfgRetakeRecordedCap,SUMIFS(nrES_Raw,nrES_PID,$D752,nrES_Code,$F752,nrES_Att,1))))))</f>
        <v/>
      </c>
      <c r="N752" s="17">
        <f>IF($C752="","",IF($L752="","",IF($L752&gt;=$J752,"Yes","No")))</f>
        <v/>
      </c>
      <c r="O752" s="17">
        <f>IF($C752="","",IF($M752="","",IF($M752&gt;=$J752,"Yes","No")))</f>
        <v/>
      </c>
      <c r="P752" s="17">
        <f>IF($C752="","",IF($K752="","",IF(COUNTIFS(nrES_PID,$D752,nrES_Code,$F752,nrES_Att,"&gt;"&amp;$K752)=0,"Yes","No")))</f>
        <v/>
      </c>
      <c r="Q752" s="17">
        <f>IF($C752="","",IF($L752="","",IF(AND($K752=1,$L752&lt;$J752,COUNTIFS(nrES_PID,$D752,nrES_Code,$F752,nrES_Att,2)=0),"Yes","No")))</f>
        <v/>
      </c>
      <c r="R752" s="17">
        <f>IF($C752="","",IF($L752="","",IF(AND($K752=2,$L752&lt;$J752,COUNTIFS(nrES_PID,$D752,nrES_Code,$F752,nrES_Att,1)&gt;0),"Yes","No")))</f>
        <v/>
      </c>
      <c r="S752" s="18" t="n"/>
      <c r="T752" s="19">
        <f>IF($Q752&lt;&gt;"Yes","",IF($S752="","(enter date)",_xlfn.LET(_xlpm.dn,IFERROR(_xlfn.XLOOKUP($S752,nrCDdate,nrCDnum),""),IF(_xlpm.dn="","(not a class day)",IFERROR(_xlfn.XLOOKUP(_xlpm.dn+cfgRetestClassDays,nrCDnum,nrCDdate),"")))))</f>
        <v/>
      </c>
      <c r="U752" s="17">
        <f>IF($Q752&lt;&gt;"Yes","",IF(COUNTIFS(nrES_PID,$D752,nrES_Code,$F752,nrES_Att,2)&gt;0,"Retested",IF(OR($T752="",NOT(ISNUMBER($T752))),"Pending",IF(TODAY()&gt;$T752,"OVERDUE","Due "&amp;TEXT($T752,"mm/dd")))))</f>
        <v/>
      </c>
      <c r="V752" s="16" t="n"/>
      <c r="W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IF($C753="","",IF($L753="","",IF($K753=1,IF(COUNTIFS(nrES_PID,$D753,nrES_Code,$F753,nrES_Att,2)&gt;0,"",$L753),IF(COUNTIFS(nrES_PID,$D753,nrES_Code,$F753,nrES_Att,1)=0,$L753,IF($L753&gt;=$J753,cfgRetakeRecordedCap,SUMIFS(nrES_Raw,nrES_PID,$D753,nrES_Code,$F753,nrES_Att,1))))))</f>
        <v/>
      </c>
      <c r="N753" s="17">
        <f>IF($C753="","",IF($L753="","",IF($L753&gt;=$J753,"Yes","No")))</f>
        <v/>
      </c>
      <c r="O753" s="17">
        <f>IF($C753="","",IF($M753="","",IF($M753&gt;=$J753,"Yes","No")))</f>
        <v/>
      </c>
      <c r="P753" s="17">
        <f>IF($C753="","",IF($K753="","",IF(COUNTIFS(nrES_PID,$D753,nrES_Code,$F753,nrES_Att,"&gt;"&amp;$K753)=0,"Yes","No")))</f>
        <v/>
      </c>
      <c r="Q753" s="17">
        <f>IF($C753="","",IF($L753="","",IF(AND($K753=1,$L753&lt;$J753,COUNTIFS(nrES_PID,$D753,nrES_Code,$F753,nrES_Att,2)=0),"Yes","No")))</f>
        <v/>
      </c>
      <c r="R753" s="17">
        <f>IF($C753="","",IF($L753="","",IF(AND($K753=2,$L753&lt;$J753,COUNTIFS(nrES_PID,$D753,nrES_Code,$F753,nrES_Att,1)&gt;0),"Yes","No")))</f>
        <v/>
      </c>
      <c r="S753" s="18" t="n"/>
      <c r="T753" s="19">
        <f>IF($Q753&lt;&gt;"Yes","",IF($S753="","(enter date)",_xlfn.LET(_xlpm.dn,IFERROR(_xlfn.XLOOKUP($S753,nrCDdate,nrCDnum),""),IF(_xlpm.dn="","(not a class day)",IFERROR(_xlfn.XLOOKUP(_xlpm.dn+cfgRetestClassDays,nrCDnum,nrCDdate),"")))))</f>
        <v/>
      </c>
      <c r="U753" s="17">
        <f>IF($Q753&lt;&gt;"Yes","",IF(COUNTIFS(nrES_PID,$D753,nrES_Code,$F753,nrES_Att,2)&gt;0,"Retested",IF(OR($T753="",NOT(ISNUMBER($T753))),"Pending",IF(TODAY()&gt;$T753,"OVERDUE","Due "&amp;TEXT($T753,"mm/dd")))))</f>
        <v/>
      </c>
      <c r="V753" s="16" t="n"/>
      <c r="W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IF($C754="","",IF($L754="","",IF($K754=1,IF(COUNTIFS(nrES_PID,$D754,nrES_Code,$F754,nrES_Att,2)&gt;0,"",$L754),IF(COUNTIFS(nrES_PID,$D754,nrES_Code,$F754,nrES_Att,1)=0,$L754,IF($L754&gt;=$J754,cfgRetakeRecordedCap,SUMIFS(nrES_Raw,nrES_PID,$D754,nrES_Code,$F754,nrES_Att,1))))))</f>
        <v/>
      </c>
      <c r="N754" s="17">
        <f>IF($C754="","",IF($L754="","",IF($L754&gt;=$J754,"Yes","No")))</f>
        <v/>
      </c>
      <c r="O754" s="17">
        <f>IF($C754="","",IF($M754="","",IF($M754&gt;=$J754,"Yes","No")))</f>
        <v/>
      </c>
      <c r="P754" s="17">
        <f>IF($C754="","",IF($K754="","",IF(COUNTIFS(nrES_PID,$D754,nrES_Code,$F754,nrES_Att,"&gt;"&amp;$K754)=0,"Yes","No")))</f>
        <v/>
      </c>
      <c r="Q754" s="17">
        <f>IF($C754="","",IF($L754="","",IF(AND($K754=1,$L754&lt;$J754,COUNTIFS(nrES_PID,$D754,nrES_Code,$F754,nrES_Att,2)=0),"Yes","No")))</f>
        <v/>
      </c>
      <c r="R754" s="17">
        <f>IF($C754="","",IF($L754="","",IF(AND($K754=2,$L754&lt;$J754,COUNTIFS(nrES_PID,$D754,nrES_Code,$F754,nrES_Att,1)&gt;0),"Yes","No")))</f>
        <v/>
      </c>
      <c r="S754" s="18" t="n"/>
      <c r="T754" s="19">
        <f>IF($Q754&lt;&gt;"Yes","",IF($S754="","(enter date)",_xlfn.LET(_xlpm.dn,IFERROR(_xlfn.XLOOKUP($S754,nrCDdate,nrCDnum),""),IF(_xlpm.dn="","(not a class day)",IFERROR(_xlfn.XLOOKUP(_xlpm.dn+cfgRetestClassDays,nrCDnum,nrCDdate),"")))))</f>
        <v/>
      </c>
      <c r="U754" s="17">
        <f>IF($Q754&lt;&gt;"Yes","",IF(COUNTIFS(nrES_PID,$D754,nrES_Code,$F754,nrES_Att,2)&gt;0,"Retested",IF(OR($T754="",NOT(ISNUMBER($T754))),"Pending",IF(TODAY()&gt;$T754,"OVERDUE","Due "&amp;TEXT($T754,"mm/dd")))))</f>
        <v/>
      </c>
      <c r="V754" s="16" t="n"/>
      <c r="W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IF($C755="","",IF($L755="","",IF($K755=1,IF(COUNTIFS(nrES_PID,$D755,nrES_Code,$F755,nrES_Att,2)&gt;0,"",$L755),IF(COUNTIFS(nrES_PID,$D755,nrES_Code,$F755,nrES_Att,1)=0,$L755,IF($L755&gt;=$J755,cfgRetakeRecordedCap,SUMIFS(nrES_Raw,nrES_PID,$D755,nrES_Code,$F755,nrES_Att,1))))))</f>
        <v/>
      </c>
      <c r="N755" s="17">
        <f>IF($C755="","",IF($L755="","",IF($L755&gt;=$J755,"Yes","No")))</f>
        <v/>
      </c>
      <c r="O755" s="17">
        <f>IF($C755="","",IF($M755="","",IF($M755&gt;=$J755,"Yes","No")))</f>
        <v/>
      </c>
      <c r="P755" s="17">
        <f>IF($C755="","",IF($K755="","",IF(COUNTIFS(nrES_PID,$D755,nrES_Code,$F755,nrES_Att,"&gt;"&amp;$K755)=0,"Yes","No")))</f>
        <v/>
      </c>
      <c r="Q755" s="17">
        <f>IF($C755="","",IF($L755="","",IF(AND($K755=1,$L755&lt;$J755,COUNTIFS(nrES_PID,$D755,nrES_Code,$F755,nrES_Att,2)=0),"Yes","No")))</f>
        <v/>
      </c>
      <c r="R755" s="17">
        <f>IF($C755="","",IF($L755="","",IF(AND($K755=2,$L755&lt;$J755,COUNTIFS(nrES_PID,$D755,nrES_Code,$F755,nrES_Att,1)&gt;0),"Yes","No")))</f>
        <v/>
      </c>
      <c r="S755" s="18" t="n"/>
      <c r="T755" s="19">
        <f>IF($Q755&lt;&gt;"Yes","",IF($S755="","(enter date)",_xlfn.LET(_xlpm.dn,IFERROR(_xlfn.XLOOKUP($S755,nrCDdate,nrCDnum),""),IF(_xlpm.dn="","(not a class day)",IFERROR(_xlfn.XLOOKUP(_xlpm.dn+cfgRetestClassDays,nrCDnum,nrCDdate),"")))))</f>
        <v/>
      </c>
      <c r="U755" s="17">
        <f>IF($Q755&lt;&gt;"Yes","",IF(COUNTIFS(nrES_PID,$D755,nrES_Code,$F755,nrES_Att,2)&gt;0,"Retested",IF(OR($T755="",NOT(ISNUMBER($T755))),"Pending",IF(TODAY()&gt;$T755,"OVERDUE","Due "&amp;TEXT($T755,"mm/dd")))))</f>
        <v/>
      </c>
      <c r="V755" s="16" t="n"/>
      <c r="W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IF($C756="","",IF($L756="","",IF($K756=1,IF(COUNTIFS(nrES_PID,$D756,nrES_Code,$F756,nrES_Att,2)&gt;0,"",$L756),IF(COUNTIFS(nrES_PID,$D756,nrES_Code,$F756,nrES_Att,1)=0,$L756,IF($L756&gt;=$J756,cfgRetakeRecordedCap,SUMIFS(nrES_Raw,nrES_PID,$D756,nrES_Code,$F756,nrES_Att,1))))))</f>
        <v/>
      </c>
      <c r="N756" s="17">
        <f>IF($C756="","",IF($L756="","",IF($L756&gt;=$J756,"Yes","No")))</f>
        <v/>
      </c>
      <c r="O756" s="17">
        <f>IF($C756="","",IF($M756="","",IF($M756&gt;=$J756,"Yes","No")))</f>
        <v/>
      </c>
      <c r="P756" s="17">
        <f>IF($C756="","",IF($K756="","",IF(COUNTIFS(nrES_PID,$D756,nrES_Code,$F756,nrES_Att,"&gt;"&amp;$K756)=0,"Yes","No")))</f>
        <v/>
      </c>
      <c r="Q756" s="17">
        <f>IF($C756="","",IF($L756="","",IF(AND($K756=1,$L756&lt;$J756,COUNTIFS(nrES_PID,$D756,nrES_Code,$F756,nrES_Att,2)=0),"Yes","No")))</f>
        <v/>
      </c>
      <c r="R756" s="17">
        <f>IF($C756="","",IF($L756="","",IF(AND($K756=2,$L756&lt;$J756,COUNTIFS(nrES_PID,$D756,nrES_Code,$F756,nrES_Att,1)&gt;0),"Yes","No")))</f>
        <v/>
      </c>
      <c r="S756" s="18" t="n"/>
      <c r="T756" s="19">
        <f>IF($Q756&lt;&gt;"Yes","",IF($S756="","(enter date)",_xlfn.LET(_xlpm.dn,IFERROR(_xlfn.XLOOKUP($S756,nrCDdate,nrCDnum),""),IF(_xlpm.dn="","(not a class day)",IFERROR(_xlfn.XLOOKUP(_xlpm.dn+cfgRetestClassDays,nrCDnum,nrCDdate),"")))))</f>
        <v/>
      </c>
      <c r="U756" s="17">
        <f>IF($Q756&lt;&gt;"Yes","",IF(COUNTIFS(nrES_PID,$D756,nrES_Code,$F756,nrES_Att,2)&gt;0,"Retested",IF(OR($T756="",NOT(ISNUMBER($T756))),"Pending",IF(TODAY()&gt;$T756,"OVERDUE","Due "&amp;TEXT($T756,"mm/dd")))))</f>
        <v/>
      </c>
      <c r="V756" s="16" t="n"/>
      <c r="W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IF($C757="","",IF($L757="","",IF($K757=1,IF(COUNTIFS(nrES_PID,$D757,nrES_Code,$F757,nrES_Att,2)&gt;0,"",$L757),IF(COUNTIFS(nrES_PID,$D757,nrES_Code,$F757,nrES_Att,1)=0,$L757,IF($L757&gt;=$J757,cfgRetakeRecordedCap,SUMIFS(nrES_Raw,nrES_PID,$D757,nrES_Code,$F757,nrES_Att,1))))))</f>
        <v/>
      </c>
      <c r="N757" s="17">
        <f>IF($C757="","",IF($L757="","",IF($L757&gt;=$J757,"Yes","No")))</f>
        <v/>
      </c>
      <c r="O757" s="17">
        <f>IF($C757="","",IF($M757="","",IF($M757&gt;=$J757,"Yes","No")))</f>
        <v/>
      </c>
      <c r="P757" s="17">
        <f>IF($C757="","",IF($K757="","",IF(COUNTIFS(nrES_PID,$D757,nrES_Code,$F757,nrES_Att,"&gt;"&amp;$K757)=0,"Yes","No")))</f>
        <v/>
      </c>
      <c r="Q757" s="17">
        <f>IF($C757="","",IF($L757="","",IF(AND($K757=1,$L757&lt;$J757,COUNTIFS(nrES_PID,$D757,nrES_Code,$F757,nrES_Att,2)=0),"Yes","No")))</f>
        <v/>
      </c>
      <c r="R757" s="17">
        <f>IF($C757="","",IF($L757="","",IF(AND($K757=2,$L757&lt;$J757,COUNTIFS(nrES_PID,$D757,nrES_Code,$F757,nrES_Att,1)&gt;0),"Yes","No")))</f>
        <v/>
      </c>
      <c r="S757" s="18" t="n"/>
      <c r="T757" s="19">
        <f>IF($Q757&lt;&gt;"Yes","",IF($S757="","(enter date)",_xlfn.LET(_xlpm.dn,IFERROR(_xlfn.XLOOKUP($S757,nrCDdate,nrCDnum),""),IF(_xlpm.dn="","(not a class day)",IFERROR(_xlfn.XLOOKUP(_xlpm.dn+cfgRetestClassDays,nrCDnum,nrCDdate),"")))))</f>
        <v/>
      </c>
      <c r="U757" s="17">
        <f>IF($Q757&lt;&gt;"Yes","",IF(COUNTIFS(nrES_PID,$D757,nrES_Code,$F757,nrES_Att,2)&gt;0,"Retested",IF(OR($T757="",NOT(ISNUMBER($T757))),"Pending",IF(TODAY()&gt;$T757,"OVERDUE","Due "&amp;TEXT($T757,"mm/dd")))))</f>
        <v/>
      </c>
      <c r="V757" s="16" t="n"/>
      <c r="W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IF($C758="","",IF($L758="","",IF($K758=1,IF(COUNTIFS(nrES_PID,$D758,nrES_Code,$F758,nrES_Att,2)&gt;0,"",$L758),IF(COUNTIFS(nrES_PID,$D758,nrES_Code,$F758,nrES_Att,1)=0,$L758,IF($L758&gt;=$J758,cfgRetakeRecordedCap,SUMIFS(nrES_Raw,nrES_PID,$D758,nrES_Code,$F758,nrES_Att,1))))))</f>
        <v/>
      </c>
      <c r="N758" s="17">
        <f>IF($C758="","",IF($L758="","",IF($L758&gt;=$J758,"Yes","No")))</f>
        <v/>
      </c>
      <c r="O758" s="17">
        <f>IF($C758="","",IF($M758="","",IF($M758&gt;=$J758,"Yes","No")))</f>
        <v/>
      </c>
      <c r="P758" s="17">
        <f>IF($C758="","",IF($K758="","",IF(COUNTIFS(nrES_PID,$D758,nrES_Code,$F758,nrES_Att,"&gt;"&amp;$K758)=0,"Yes","No")))</f>
        <v/>
      </c>
      <c r="Q758" s="17">
        <f>IF($C758="","",IF($L758="","",IF(AND($K758=1,$L758&lt;$J758,COUNTIFS(nrES_PID,$D758,nrES_Code,$F758,nrES_Att,2)=0),"Yes","No")))</f>
        <v/>
      </c>
      <c r="R758" s="17">
        <f>IF($C758="","",IF($L758="","",IF(AND($K758=2,$L758&lt;$J758,COUNTIFS(nrES_PID,$D758,nrES_Code,$F758,nrES_Att,1)&gt;0),"Yes","No")))</f>
        <v/>
      </c>
      <c r="S758" s="18" t="n"/>
      <c r="T758" s="19">
        <f>IF($Q758&lt;&gt;"Yes","",IF($S758="","(enter date)",_xlfn.LET(_xlpm.dn,IFERROR(_xlfn.XLOOKUP($S758,nrCDdate,nrCDnum),""),IF(_xlpm.dn="","(not a class day)",IFERROR(_xlfn.XLOOKUP(_xlpm.dn+cfgRetestClassDays,nrCDnum,nrCDdate),"")))))</f>
        <v/>
      </c>
      <c r="U758" s="17">
        <f>IF($Q758&lt;&gt;"Yes","",IF(COUNTIFS(nrES_PID,$D758,nrES_Code,$F758,nrES_Att,2)&gt;0,"Retested",IF(OR($T758="",NOT(ISNUMBER($T758))),"Pending",IF(TODAY()&gt;$T758,"OVERDUE","Due "&amp;TEXT($T758,"mm/dd")))))</f>
        <v/>
      </c>
      <c r="V758" s="16" t="n"/>
      <c r="W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IF($C759="","",IF($L759="","",IF($K759=1,IF(COUNTIFS(nrES_PID,$D759,nrES_Code,$F759,nrES_Att,2)&gt;0,"",$L759),IF(COUNTIFS(nrES_PID,$D759,nrES_Code,$F759,nrES_Att,1)=0,$L759,IF($L759&gt;=$J759,cfgRetakeRecordedCap,SUMIFS(nrES_Raw,nrES_PID,$D759,nrES_Code,$F759,nrES_Att,1))))))</f>
        <v/>
      </c>
      <c r="N759" s="17">
        <f>IF($C759="","",IF($L759="","",IF($L759&gt;=$J759,"Yes","No")))</f>
        <v/>
      </c>
      <c r="O759" s="17">
        <f>IF($C759="","",IF($M759="","",IF($M759&gt;=$J759,"Yes","No")))</f>
        <v/>
      </c>
      <c r="P759" s="17">
        <f>IF($C759="","",IF($K759="","",IF(COUNTIFS(nrES_PID,$D759,nrES_Code,$F759,nrES_Att,"&gt;"&amp;$K759)=0,"Yes","No")))</f>
        <v/>
      </c>
      <c r="Q759" s="17">
        <f>IF($C759="","",IF($L759="","",IF(AND($K759=1,$L759&lt;$J759,COUNTIFS(nrES_PID,$D759,nrES_Code,$F759,nrES_Att,2)=0),"Yes","No")))</f>
        <v/>
      </c>
      <c r="R759" s="17">
        <f>IF($C759="","",IF($L759="","",IF(AND($K759=2,$L759&lt;$J759,COUNTIFS(nrES_PID,$D759,nrES_Code,$F759,nrES_Att,1)&gt;0),"Yes","No")))</f>
        <v/>
      </c>
      <c r="S759" s="18" t="n"/>
      <c r="T759" s="19">
        <f>IF($Q759&lt;&gt;"Yes","",IF($S759="","(enter date)",_xlfn.LET(_xlpm.dn,IFERROR(_xlfn.XLOOKUP($S759,nrCDdate,nrCDnum),""),IF(_xlpm.dn="","(not a class day)",IFERROR(_xlfn.XLOOKUP(_xlpm.dn+cfgRetestClassDays,nrCDnum,nrCDdate),"")))))</f>
        <v/>
      </c>
      <c r="U759" s="17">
        <f>IF($Q759&lt;&gt;"Yes","",IF(COUNTIFS(nrES_PID,$D759,nrES_Code,$F759,nrES_Att,2)&gt;0,"Retested",IF(OR($T759="",NOT(ISNUMBER($T759))),"Pending",IF(TODAY()&gt;$T759,"OVERDUE","Due "&amp;TEXT($T759,"mm/dd")))))</f>
        <v/>
      </c>
      <c r="V759" s="16" t="n"/>
      <c r="W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IF($C760="","",IF($L760="","",IF($K760=1,IF(COUNTIFS(nrES_PID,$D760,nrES_Code,$F760,nrES_Att,2)&gt;0,"",$L760),IF(COUNTIFS(nrES_PID,$D760,nrES_Code,$F760,nrES_Att,1)=0,$L760,IF($L760&gt;=$J760,cfgRetakeRecordedCap,SUMIFS(nrES_Raw,nrES_PID,$D760,nrES_Code,$F760,nrES_Att,1))))))</f>
        <v/>
      </c>
      <c r="N760" s="17">
        <f>IF($C760="","",IF($L760="","",IF($L760&gt;=$J760,"Yes","No")))</f>
        <v/>
      </c>
      <c r="O760" s="17">
        <f>IF($C760="","",IF($M760="","",IF($M760&gt;=$J760,"Yes","No")))</f>
        <v/>
      </c>
      <c r="P760" s="17">
        <f>IF($C760="","",IF($K760="","",IF(COUNTIFS(nrES_PID,$D760,nrES_Code,$F760,nrES_Att,"&gt;"&amp;$K760)=0,"Yes","No")))</f>
        <v/>
      </c>
      <c r="Q760" s="17">
        <f>IF($C760="","",IF($L760="","",IF(AND($K760=1,$L760&lt;$J760,COUNTIFS(nrES_PID,$D760,nrES_Code,$F760,nrES_Att,2)=0),"Yes","No")))</f>
        <v/>
      </c>
      <c r="R760" s="17">
        <f>IF($C760="","",IF($L760="","",IF(AND($K760=2,$L760&lt;$J760,COUNTIFS(nrES_PID,$D760,nrES_Code,$F760,nrES_Att,1)&gt;0),"Yes","No")))</f>
        <v/>
      </c>
      <c r="S760" s="18" t="n"/>
      <c r="T760" s="19">
        <f>IF($Q760&lt;&gt;"Yes","",IF($S760="","(enter date)",_xlfn.LET(_xlpm.dn,IFERROR(_xlfn.XLOOKUP($S760,nrCDdate,nrCDnum),""),IF(_xlpm.dn="","(not a class day)",IFERROR(_xlfn.XLOOKUP(_xlpm.dn+cfgRetestClassDays,nrCDnum,nrCDdate),"")))))</f>
        <v/>
      </c>
      <c r="U760" s="17">
        <f>IF($Q760&lt;&gt;"Yes","",IF(COUNTIFS(nrES_PID,$D760,nrES_Code,$F760,nrES_Att,2)&gt;0,"Retested",IF(OR($T760="",NOT(ISNUMBER($T760))),"Pending",IF(TODAY()&gt;$T760,"OVERDUE","Due "&amp;TEXT($T760,"mm/dd")))))</f>
        <v/>
      </c>
      <c r="V760" s="16" t="n"/>
      <c r="W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IF($C761="","",IF($L761="","",IF($K761=1,IF(COUNTIFS(nrES_PID,$D761,nrES_Code,$F761,nrES_Att,2)&gt;0,"",$L761),IF(COUNTIFS(nrES_PID,$D761,nrES_Code,$F761,nrES_Att,1)=0,$L761,IF($L761&gt;=$J761,cfgRetakeRecordedCap,SUMIFS(nrES_Raw,nrES_PID,$D761,nrES_Code,$F761,nrES_Att,1))))))</f>
        <v/>
      </c>
      <c r="N761" s="17">
        <f>IF($C761="","",IF($L761="","",IF($L761&gt;=$J761,"Yes","No")))</f>
        <v/>
      </c>
      <c r="O761" s="17">
        <f>IF($C761="","",IF($M761="","",IF($M761&gt;=$J761,"Yes","No")))</f>
        <v/>
      </c>
      <c r="P761" s="17">
        <f>IF($C761="","",IF($K761="","",IF(COUNTIFS(nrES_PID,$D761,nrES_Code,$F761,nrES_Att,"&gt;"&amp;$K761)=0,"Yes","No")))</f>
        <v/>
      </c>
      <c r="Q761" s="17">
        <f>IF($C761="","",IF($L761="","",IF(AND($K761=1,$L761&lt;$J761,COUNTIFS(nrES_PID,$D761,nrES_Code,$F761,nrES_Att,2)=0),"Yes","No")))</f>
        <v/>
      </c>
      <c r="R761" s="17">
        <f>IF($C761="","",IF($L761="","",IF(AND($K761=2,$L761&lt;$J761,COUNTIFS(nrES_PID,$D761,nrES_Code,$F761,nrES_Att,1)&gt;0),"Yes","No")))</f>
        <v/>
      </c>
      <c r="S761" s="18" t="n"/>
      <c r="T761" s="19">
        <f>IF($Q761&lt;&gt;"Yes","",IF($S761="","(enter date)",_xlfn.LET(_xlpm.dn,IFERROR(_xlfn.XLOOKUP($S761,nrCDdate,nrCDnum),""),IF(_xlpm.dn="","(not a class day)",IFERROR(_xlfn.XLOOKUP(_xlpm.dn+cfgRetestClassDays,nrCDnum,nrCDdate),"")))))</f>
        <v/>
      </c>
      <c r="U761" s="17">
        <f>IF($Q761&lt;&gt;"Yes","",IF(COUNTIFS(nrES_PID,$D761,nrES_Code,$F761,nrES_Att,2)&gt;0,"Retested",IF(OR($T761="",NOT(ISNUMBER($T761))),"Pending",IF(TODAY()&gt;$T761,"OVERDUE","Due "&amp;TEXT($T761,"mm/dd")))))</f>
        <v/>
      </c>
      <c r="V761" s="16" t="n"/>
      <c r="W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IF($C762="","",IF($L762="","",IF($K762=1,IF(COUNTIFS(nrES_PID,$D762,nrES_Code,$F762,nrES_Att,2)&gt;0,"",$L762),IF(COUNTIFS(nrES_PID,$D762,nrES_Code,$F762,nrES_Att,1)=0,$L762,IF($L762&gt;=$J762,cfgRetakeRecordedCap,SUMIFS(nrES_Raw,nrES_PID,$D762,nrES_Code,$F762,nrES_Att,1))))))</f>
        <v/>
      </c>
      <c r="N762" s="17">
        <f>IF($C762="","",IF($L762="","",IF($L762&gt;=$J762,"Yes","No")))</f>
        <v/>
      </c>
      <c r="O762" s="17">
        <f>IF($C762="","",IF($M762="","",IF($M762&gt;=$J762,"Yes","No")))</f>
        <v/>
      </c>
      <c r="P762" s="17">
        <f>IF($C762="","",IF($K762="","",IF(COUNTIFS(nrES_PID,$D762,nrES_Code,$F762,nrES_Att,"&gt;"&amp;$K762)=0,"Yes","No")))</f>
        <v/>
      </c>
      <c r="Q762" s="17">
        <f>IF($C762="","",IF($L762="","",IF(AND($K762=1,$L762&lt;$J762,COUNTIFS(nrES_PID,$D762,nrES_Code,$F762,nrES_Att,2)=0),"Yes","No")))</f>
        <v/>
      </c>
      <c r="R762" s="17">
        <f>IF($C762="","",IF($L762="","",IF(AND($K762=2,$L762&lt;$J762,COUNTIFS(nrES_PID,$D762,nrES_Code,$F762,nrES_Att,1)&gt;0),"Yes","No")))</f>
        <v/>
      </c>
      <c r="S762" s="18" t="n"/>
      <c r="T762" s="19">
        <f>IF($Q762&lt;&gt;"Yes","",IF($S762="","(enter date)",_xlfn.LET(_xlpm.dn,IFERROR(_xlfn.XLOOKUP($S762,nrCDdate,nrCDnum),""),IF(_xlpm.dn="","(not a class day)",IFERROR(_xlfn.XLOOKUP(_xlpm.dn+cfgRetestClassDays,nrCDnum,nrCDdate),"")))))</f>
        <v/>
      </c>
      <c r="U762" s="17">
        <f>IF($Q762&lt;&gt;"Yes","",IF(COUNTIFS(nrES_PID,$D762,nrES_Code,$F762,nrES_Att,2)&gt;0,"Retested",IF(OR($T762="",NOT(ISNUMBER($T762))),"Pending",IF(TODAY()&gt;$T762,"OVERDUE","Due "&amp;TEXT($T762,"mm/dd")))))</f>
        <v/>
      </c>
      <c r="V762" s="16" t="n"/>
      <c r="W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IF($C763="","",IF($L763="","",IF($K763=1,IF(COUNTIFS(nrES_PID,$D763,nrES_Code,$F763,nrES_Att,2)&gt;0,"",$L763),IF(COUNTIFS(nrES_PID,$D763,nrES_Code,$F763,nrES_Att,1)=0,$L763,IF($L763&gt;=$J763,cfgRetakeRecordedCap,SUMIFS(nrES_Raw,nrES_PID,$D763,nrES_Code,$F763,nrES_Att,1))))))</f>
        <v/>
      </c>
      <c r="N763" s="17">
        <f>IF($C763="","",IF($L763="","",IF($L763&gt;=$J763,"Yes","No")))</f>
        <v/>
      </c>
      <c r="O763" s="17">
        <f>IF($C763="","",IF($M763="","",IF($M763&gt;=$J763,"Yes","No")))</f>
        <v/>
      </c>
      <c r="P763" s="17">
        <f>IF($C763="","",IF($K763="","",IF(COUNTIFS(nrES_PID,$D763,nrES_Code,$F763,nrES_Att,"&gt;"&amp;$K763)=0,"Yes","No")))</f>
        <v/>
      </c>
      <c r="Q763" s="17">
        <f>IF($C763="","",IF($L763="","",IF(AND($K763=1,$L763&lt;$J763,COUNTIFS(nrES_PID,$D763,nrES_Code,$F763,nrES_Att,2)=0),"Yes","No")))</f>
        <v/>
      </c>
      <c r="R763" s="17">
        <f>IF($C763="","",IF($L763="","",IF(AND($K763=2,$L763&lt;$J763,COUNTIFS(nrES_PID,$D763,nrES_Code,$F763,nrES_Att,1)&gt;0),"Yes","No")))</f>
        <v/>
      </c>
      <c r="S763" s="18" t="n"/>
      <c r="T763" s="19">
        <f>IF($Q763&lt;&gt;"Yes","",IF($S763="","(enter date)",_xlfn.LET(_xlpm.dn,IFERROR(_xlfn.XLOOKUP($S763,nrCDdate,nrCDnum),""),IF(_xlpm.dn="","(not a class day)",IFERROR(_xlfn.XLOOKUP(_xlpm.dn+cfgRetestClassDays,nrCDnum,nrCDdate),"")))))</f>
        <v/>
      </c>
      <c r="U763" s="17">
        <f>IF($Q763&lt;&gt;"Yes","",IF(COUNTIFS(nrES_PID,$D763,nrES_Code,$F763,nrES_Att,2)&gt;0,"Retested",IF(OR($T763="",NOT(ISNUMBER($T763))),"Pending",IF(TODAY()&gt;$T763,"OVERDUE","Due "&amp;TEXT($T763,"mm/dd")))))</f>
        <v/>
      </c>
      <c r="V763" s="16" t="n"/>
      <c r="W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IF($C764="","",IF($L764="","",IF($K764=1,IF(COUNTIFS(nrES_PID,$D764,nrES_Code,$F764,nrES_Att,2)&gt;0,"",$L764),IF(COUNTIFS(nrES_PID,$D764,nrES_Code,$F764,nrES_Att,1)=0,$L764,IF($L764&gt;=$J764,cfgRetakeRecordedCap,SUMIFS(nrES_Raw,nrES_PID,$D764,nrES_Code,$F764,nrES_Att,1))))))</f>
        <v/>
      </c>
      <c r="N764" s="17">
        <f>IF($C764="","",IF($L764="","",IF($L764&gt;=$J764,"Yes","No")))</f>
        <v/>
      </c>
      <c r="O764" s="17">
        <f>IF($C764="","",IF($M764="","",IF($M764&gt;=$J764,"Yes","No")))</f>
        <v/>
      </c>
      <c r="P764" s="17">
        <f>IF($C764="","",IF($K764="","",IF(COUNTIFS(nrES_PID,$D764,nrES_Code,$F764,nrES_Att,"&gt;"&amp;$K764)=0,"Yes","No")))</f>
        <v/>
      </c>
      <c r="Q764" s="17">
        <f>IF($C764="","",IF($L764="","",IF(AND($K764=1,$L764&lt;$J764,COUNTIFS(nrES_PID,$D764,nrES_Code,$F764,nrES_Att,2)=0),"Yes","No")))</f>
        <v/>
      </c>
      <c r="R764" s="17">
        <f>IF($C764="","",IF($L764="","",IF(AND($K764=2,$L764&lt;$J764,COUNTIFS(nrES_PID,$D764,nrES_Code,$F764,nrES_Att,1)&gt;0),"Yes","No")))</f>
        <v/>
      </c>
      <c r="S764" s="18" t="n"/>
      <c r="T764" s="19">
        <f>IF($Q764&lt;&gt;"Yes","",IF($S764="","(enter date)",_xlfn.LET(_xlpm.dn,IFERROR(_xlfn.XLOOKUP($S764,nrCDdate,nrCDnum),""),IF(_xlpm.dn="","(not a class day)",IFERROR(_xlfn.XLOOKUP(_xlpm.dn+cfgRetestClassDays,nrCDnum,nrCDdate),"")))))</f>
        <v/>
      </c>
      <c r="U764" s="17">
        <f>IF($Q764&lt;&gt;"Yes","",IF(COUNTIFS(nrES_PID,$D764,nrES_Code,$F764,nrES_Att,2)&gt;0,"Retested",IF(OR($T764="",NOT(ISNUMBER($T764))),"Pending",IF(TODAY()&gt;$T764,"OVERDUE","Due "&amp;TEXT($T764,"mm/dd")))))</f>
        <v/>
      </c>
      <c r="V764" s="16" t="n"/>
      <c r="W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IF($C765="","",IF($L765="","",IF($K765=1,IF(COUNTIFS(nrES_PID,$D765,nrES_Code,$F765,nrES_Att,2)&gt;0,"",$L765),IF(COUNTIFS(nrES_PID,$D765,nrES_Code,$F765,nrES_Att,1)=0,$L765,IF($L765&gt;=$J765,cfgRetakeRecordedCap,SUMIFS(nrES_Raw,nrES_PID,$D765,nrES_Code,$F765,nrES_Att,1))))))</f>
        <v/>
      </c>
      <c r="N765" s="17">
        <f>IF($C765="","",IF($L765="","",IF($L765&gt;=$J765,"Yes","No")))</f>
        <v/>
      </c>
      <c r="O765" s="17">
        <f>IF($C765="","",IF($M765="","",IF($M765&gt;=$J765,"Yes","No")))</f>
        <v/>
      </c>
      <c r="P765" s="17">
        <f>IF($C765="","",IF($K765="","",IF(COUNTIFS(nrES_PID,$D765,nrES_Code,$F765,nrES_Att,"&gt;"&amp;$K765)=0,"Yes","No")))</f>
        <v/>
      </c>
      <c r="Q765" s="17">
        <f>IF($C765="","",IF($L765="","",IF(AND($K765=1,$L765&lt;$J765,COUNTIFS(nrES_PID,$D765,nrES_Code,$F765,nrES_Att,2)=0),"Yes","No")))</f>
        <v/>
      </c>
      <c r="R765" s="17">
        <f>IF($C765="","",IF($L765="","",IF(AND($K765=2,$L765&lt;$J765,COUNTIFS(nrES_PID,$D765,nrES_Code,$F765,nrES_Att,1)&gt;0),"Yes","No")))</f>
        <v/>
      </c>
      <c r="S765" s="18" t="n"/>
      <c r="T765" s="19">
        <f>IF($Q765&lt;&gt;"Yes","",IF($S765="","(enter date)",_xlfn.LET(_xlpm.dn,IFERROR(_xlfn.XLOOKUP($S765,nrCDdate,nrCDnum),""),IF(_xlpm.dn="","(not a class day)",IFERROR(_xlfn.XLOOKUP(_xlpm.dn+cfgRetestClassDays,nrCDnum,nrCDdate),"")))))</f>
        <v/>
      </c>
      <c r="U765" s="17">
        <f>IF($Q765&lt;&gt;"Yes","",IF(COUNTIFS(nrES_PID,$D765,nrES_Code,$F765,nrES_Att,2)&gt;0,"Retested",IF(OR($T765="",NOT(ISNUMBER($T765))),"Pending",IF(TODAY()&gt;$T765,"OVERDUE","Due "&amp;TEXT($T765,"mm/dd")))))</f>
        <v/>
      </c>
      <c r="V765" s="16" t="n"/>
      <c r="W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IF($C766="","",IF($L766="","",IF($K766=1,IF(COUNTIFS(nrES_PID,$D766,nrES_Code,$F766,nrES_Att,2)&gt;0,"",$L766),IF(COUNTIFS(nrES_PID,$D766,nrES_Code,$F766,nrES_Att,1)=0,$L766,IF($L766&gt;=$J766,cfgRetakeRecordedCap,SUMIFS(nrES_Raw,nrES_PID,$D766,nrES_Code,$F766,nrES_Att,1))))))</f>
        <v/>
      </c>
      <c r="N766" s="17">
        <f>IF($C766="","",IF($L766="","",IF($L766&gt;=$J766,"Yes","No")))</f>
        <v/>
      </c>
      <c r="O766" s="17">
        <f>IF($C766="","",IF($M766="","",IF($M766&gt;=$J766,"Yes","No")))</f>
        <v/>
      </c>
      <c r="P766" s="17">
        <f>IF($C766="","",IF($K766="","",IF(COUNTIFS(nrES_PID,$D766,nrES_Code,$F766,nrES_Att,"&gt;"&amp;$K766)=0,"Yes","No")))</f>
        <v/>
      </c>
      <c r="Q766" s="17">
        <f>IF($C766="","",IF($L766="","",IF(AND($K766=1,$L766&lt;$J766,COUNTIFS(nrES_PID,$D766,nrES_Code,$F766,nrES_Att,2)=0),"Yes","No")))</f>
        <v/>
      </c>
      <c r="R766" s="17">
        <f>IF($C766="","",IF($L766="","",IF(AND($K766=2,$L766&lt;$J766,COUNTIFS(nrES_PID,$D766,nrES_Code,$F766,nrES_Att,1)&gt;0),"Yes","No")))</f>
        <v/>
      </c>
      <c r="S766" s="18" t="n"/>
      <c r="T766" s="19">
        <f>IF($Q766&lt;&gt;"Yes","",IF($S766="","(enter date)",_xlfn.LET(_xlpm.dn,IFERROR(_xlfn.XLOOKUP($S766,nrCDdate,nrCDnum),""),IF(_xlpm.dn="","(not a class day)",IFERROR(_xlfn.XLOOKUP(_xlpm.dn+cfgRetestClassDays,nrCDnum,nrCDdate),"")))))</f>
        <v/>
      </c>
      <c r="U766" s="17">
        <f>IF($Q766&lt;&gt;"Yes","",IF(COUNTIFS(nrES_PID,$D766,nrES_Code,$F766,nrES_Att,2)&gt;0,"Retested",IF(OR($T766="",NOT(ISNUMBER($T766))),"Pending",IF(TODAY()&gt;$T766,"OVERDUE","Due "&amp;TEXT($T766,"mm/dd")))))</f>
        <v/>
      </c>
      <c r="V766" s="16" t="n"/>
      <c r="W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IF($C767="","",IF($L767="","",IF($K767=1,IF(COUNTIFS(nrES_PID,$D767,nrES_Code,$F767,nrES_Att,2)&gt;0,"",$L767),IF(COUNTIFS(nrES_PID,$D767,nrES_Code,$F767,nrES_Att,1)=0,$L767,IF($L767&gt;=$J767,cfgRetakeRecordedCap,SUMIFS(nrES_Raw,nrES_PID,$D767,nrES_Code,$F767,nrES_Att,1))))))</f>
        <v/>
      </c>
      <c r="N767" s="17">
        <f>IF($C767="","",IF($L767="","",IF($L767&gt;=$J767,"Yes","No")))</f>
        <v/>
      </c>
      <c r="O767" s="17">
        <f>IF($C767="","",IF($M767="","",IF($M767&gt;=$J767,"Yes","No")))</f>
        <v/>
      </c>
      <c r="P767" s="17">
        <f>IF($C767="","",IF($K767="","",IF(COUNTIFS(nrES_PID,$D767,nrES_Code,$F767,nrES_Att,"&gt;"&amp;$K767)=0,"Yes","No")))</f>
        <v/>
      </c>
      <c r="Q767" s="17">
        <f>IF($C767="","",IF($L767="","",IF(AND($K767=1,$L767&lt;$J767,COUNTIFS(nrES_PID,$D767,nrES_Code,$F767,nrES_Att,2)=0),"Yes","No")))</f>
        <v/>
      </c>
      <c r="R767" s="17">
        <f>IF($C767="","",IF($L767="","",IF(AND($K767=2,$L767&lt;$J767,COUNTIFS(nrES_PID,$D767,nrES_Code,$F767,nrES_Att,1)&gt;0),"Yes","No")))</f>
        <v/>
      </c>
      <c r="S767" s="18" t="n"/>
      <c r="T767" s="19">
        <f>IF($Q767&lt;&gt;"Yes","",IF($S767="","(enter date)",_xlfn.LET(_xlpm.dn,IFERROR(_xlfn.XLOOKUP($S767,nrCDdate,nrCDnum),""),IF(_xlpm.dn="","(not a class day)",IFERROR(_xlfn.XLOOKUP(_xlpm.dn+cfgRetestClassDays,nrCDnum,nrCDdate),"")))))</f>
        <v/>
      </c>
      <c r="U767" s="17">
        <f>IF($Q767&lt;&gt;"Yes","",IF(COUNTIFS(nrES_PID,$D767,nrES_Code,$F767,nrES_Att,2)&gt;0,"Retested",IF(OR($T767="",NOT(ISNUMBER($T767))),"Pending",IF(TODAY()&gt;$T767,"OVERDUE","Due "&amp;TEXT($T767,"mm/dd")))))</f>
        <v/>
      </c>
      <c r="V767" s="16" t="n"/>
      <c r="W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IF($C768="","",IF($L768="","",IF($K768=1,IF(COUNTIFS(nrES_PID,$D768,nrES_Code,$F768,nrES_Att,2)&gt;0,"",$L768),IF(COUNTIFS(nrES_PID,$D768,nrES_Code,$F768,nrES_Att,1)=0,$L768,IF($L768&gt;=$J768,cfgRetakeRecordedCap,SUMIFS(nrES_Raw,nrES_PID,$D768,nrES_Code,$F768,nrES_Att,1))))))</f>
        <v/>
      </c>
      <c r="N768" s="17">
        <f>IF($C768="","",IF($L768="","",IF($L768&gt;=$J768,"Yes","No")))</f>
        <v/>
      </c>
      <c r="O768" s="17">
        <f>IF($C768="","",IF($M768="","",IF($M768&gt;=$J768,"Yes","No")))</f>
        <v/>
      </c>
      <c r="P768" s="17">
        <f>IF($C768="","",IF($K768="","",IF(COUNTIFS(nrES_PID,$D768,nrES_Code,$F768,nrES_Att,"&gt;"&amp;$K768)=0,"Yes","No")))</f>
        <v/>
      </c>
      <c r="Q768" s="17">
        <f>IF($C768="","",IF($L768="","",IF(AND($K768=1,$L768&lt;$J768,COUNTIFS(nrES_PID,$D768,nrES_Code,$F768,nrES_Att,2)=0),"Yes","No")))</f>
        <v/>
      </c>
      <c r="R768" s="17">
        <f>IF($C768="","",IF($L768="","",IF(AND($K768=2,$L768&lt;$J768,COUNTIFS(nrES_PID,$D768,nrES_Code,$F768,nrES_Att,1)&gt;0),"Yes","No")))</f>
        <v/>
      </c>
      <c r="S768" s="18" t="n"/>
      <c r="T768" s="19">
        <f>IF($Q768&lt;&gt;"Yes","",IF($S768="","(enter date)",_xlfn.LET(_xlpm.dn,IFERROR(_xlfn.XLOOKUP($S768,nrCDdate,nrCDnum),""),IF(_xlpm.dn="","(not a class day)",IFERROR(_xlfn.XLOOKUP(_xlpm.dn+cfgRetestClassDays,nrCDnum,nrCDdate),"")))))</f>
        <v/>
      </c>
      <c r="U768" s="17">
        <f>IF($Q768&lt;&gt;"Yes","",IF(COUNTIFS(nrES_PID,$D768,nrES_Code,$F768,nrES_Att,2)&gt;0,"Retested",IF(OR($T768="",NOT(ISNUMBER($T768))),"Pending",IF(TODAY()&gt;$T768,"OVERDUE","Due "&amp;TEXT($T768,"mm/dd")))))</f>
        <v/>
      </c>
      <c r="V768" s="16" t="n"/>
      <c r="W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IF($C769="","",IF($L769="","",IF($K769=1,IF(COUNTIFS(nrES_PID,$D769,nrES_Code,$F769,nrES_Att,2)&gt;0,"",$L769),IF(COUNTIFS(nrES_PID,$D769,nrES_Code,$F769,nrES_Att,1)=0,$L769,IF($L769&gt;=$J769,cfgRetakeRecordedCap,SUMIFS(nrES_Raw,nrES_PID,$D769,nrES_Code,$F769,nrES_Att,1))))))</f>
        <v/>
      </c>
      <c r="N769" s="17">
        <f>IF($C769="","",IF($L769="","",IF($L769&gt;=$J769,"Yes","No")))</f>
        <v/>
      </c>
      <c r="O769" s="17">
        <f>IF($C769="","",IF($M769="","",IF($M769&gt;=$J769,"Yes","No")))</f>
        <v/>
      </c>
      <c r="P769" s="17">
        <f>IF($C769="","",IF($K769="","",IF(COUNTIFS(nrES_PID,$D769,nrES_Code,$F769,nrES_Att,"&gt;"&amp;$K769)=0,"Yes","No")))</f>
        <v/>
      </c>
      <c r="Q769" s="17">
        <f>IF($C769="","",IF($L769="","",IF(AND($K769=1,$L769&lt;$J769,COUNTIFS(nrES_PID,$D769,nrES_Code,$F769,nrES_Att,2)=0),"Yes","No")))</f>
        <v/>
      </c>
      <c r="R769" s="17">
        <f>IF($C769="","",IF($L769="","",IF(AND($K769=2,$L769&lt;$J769,COUNTIFS(nrES_PID,$D769,nrES_Code,$F769,nrES_Att,1)&gt;0),"Yes","No")))</f>
        <v/>
      </c>
      <c r="S769" s="18" t="n"/>
      <c r="T769" s="19">
        <f>IF($Q769&lt;&gt;"Yes","",IF($S769="","(enter date)",_xlfn.LET(_xlpm.dn,IFERROR(_xlfn.XLOOKUP($S769,nrCDdate,nrCDnum),""),IF(_xlpm.dn="","(not a class day)",IFERROR(_xlfn.XLOOKUP(_xlpm.dn+cfgRetestClassDays,nrCDnum,nrCDdate),"")))))</f>
        <v/>
      </c>
      <c r="U769" s="17">
        <f>IF($Q769&lt;&gt;"Yes","",IF(COUNTIFS(nrES_PID,$D769,nrES_Code,$F769,nrES_Att,2)&gt;0,"Retested",IF(OR($T769="",NOT(ISNUMBER($T769))),"Pending",IF(TODAY()&gt;$T769,"OVERDUE","Due "&amp;TEXT($T769,"mm/dd")))))</f>
        <v/>
      </c>
      <c r="V769" s="16" t="n"/>
      <c r="W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IF($C770="","",IF($L770="","",IF($K770=1,IF(COUNTIFS(nrES_PID,$D770,nrES_Code,$F770,nrES_Att,2)&gt;0,"",$L770),IF(COUNTIFS(nrES_PID,$D770,nrES_Code,$F770,nrES_Att,1)=0,$L770,IF($L770&gt;=$J770,cfgRetakeRecordedCap,SUMIFS(nrES_Raw,nrES_PID,$D770,nrES_Code,$F770,nrES_Att,1))))))</f>
        <v/>
      </c>
      <c r="N770" s="17">
        <f>IF($C770="","",IF($L770="","",IF($L770&gt;=$J770,"Yes","No")))</f>
        <v/>
      </c>
      <c r="O770" s="17">
        <f>IF($C770="","",IF($M770="","",IF($M770&gt;=$J770,"Yes","No")))</f>
        <v/>
      </c>
      <c r="P770" s="17">
        <f>IF($C770="","",IF($K770="","",IF(COUNTIFS(nrES_PID,$D770,nrES_Code,$F770,nrES_Att,"&gt;"&amp;$K770)=0,"Yes","No")))</f>
        <v/>
      </c>
      <c r="Q770" s="17">
        <f>IF($C770="","",IF($L770="","",IF(AND($K770=1,$L770&lt;$J770,COUNTIFS(nrES_PID,$D770,nrES_Code,$F770,nrES_Att,2)=0),"Yes","No")))</f>
        <v/>
      </c>
      <c r="R770" s="17">
        <f>IF($C770="","",IF($L770="","",IF(AND($K770=2,$L770&lt;$J770,COUNTIFS(nrES_PID,$D770,nrES_Code,$F770,nrES_Att,1)&gt;0),"Yes","No")))</f>
        <v/>
      </c>
      <c r="S770" s="18" t="n"/>
      <c r="T770" s="19">
        <f>IF($Q770&lt;&gt;"Yes","",IF($S770="","(enter date)",_xlfn.LET(_xlpm.dn,IFERROR(_xlfn.XLOOKUP($S770,nrCDdate,nrCDnum),""),IF(_xlpm.dn="","(not a class day)",IFERROR(_xlfn.XLOOKUP(_xlpm.dn+cfgRetestClassDays,nrCDnum,nrCDdate),"")))))</f>
        <v/>
      </c>
      <c r="U770" s="17">
        <f>IF($Q770&lt;&gt;"Yes","",IF(COUNTIFS(nrES_PID,$D770,nrES_Code,$F770,nrES_Att,2)&gt;0,"Retested",IF(OR($T770="",NOT(ISNUMBER($T770))),"Pending",IF(TODAY()&gt;$T770,"OVERDUE","Due "&amp;TEXT($T770,"mm/dd")))))</f>
        <v/>
      </c>
      <c r="V770" s="16" t="n"/>
      <c r="W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IF($C771="","",IF($L771="","",IF($K771=1,IF(COUNTIFS(nrES_PID,$D771,nrES_Code,$F771,nrES_Att,2)&gt;0,"",$L771),IF(COUNTIFS(nrES_PID,$D771,nrES_Code,$F771,nrES_Att,1)=0,$L771,IF($L771&gt;=$J771,cfgRetakeRecordedCap,SUMIFS(nrES_Raw,nrES_PID,$D771,nrES_Code,$F771,nrES_Att,1))))))</f>
        <v/>
      </c>
      <c r="N771" s="17">
        <f>IF($C771="","",IF($L771="","",IF($L771&gt;=$J771,"Yes","No")))</f>
        <v/>
      </c>
      <c r="O771" s="17">
        <f>IF($C771="","",IF($M771="","",IF($M771&gt;=$J771,"Yes","No")))</f>
        <v/>
      </c>
      <c r="P771" s="17">
        <f>IF($C771="","",IF($K771="","",IF(COUNTIFS(nrES_PID,$D771,nrES_Code,$F771,nrES_Att,"&gt;"&amp;$K771)=0,"Yes","No")))</f>
        <v/>
      </c>
      <c r="Q771" s="17">
        <f>IF($C771="","",IF($L771="","",IF(AND($K771=1,$L771&lt;$J771,COUNTIFS(nrES_PID,$D771,nrES_Code,$F771,nrES_Att,2)=0),"Yes","No")))</f>
        <v/>
      </c>
      <c r="R771" s="17">
        <f>IF($C771="","",IF($L771="","",IF(AND($K771=2,$L771&lt;$J771,COUNTIFS(nrES_PID,$D771,nrES_Code,$F771,nrES_Att,1)&gt;0),"Yes","No")))</f>
        <v/>
      </c>
      <c r="S771" s="18" t="n"/>
      <c r="T771" s="19">
        <f>IF($Q771&lt;&gt;"Yes","",IF($S771="","(enter date)",_xlfn.LET(_xlpm.dn,IFERROR(_xlfn.XLOOKUP($S771,nrCDdate,nrCDnum),""),IF(_xlpm.dn="","(not a class day)",IFERROR(_xlfn.XLOOKUP(_xlpm.dn+cfgRetestClassDays,nrCDnum,nrCDdate),"")))))</f>
        <v/>
      </c>
      <c r="U771" s="17">
        <f>IF($Q771&lt;&gt;"Yes","",IF(COUNTIFS(nrES_PID,$D771,nrES_Code,$F771,nrES_Att,2)&gt;0,"Retested",IF(OR($T771="",NOT(ISNUMBER($T771))),"Pending",IF(TODAY()&gt;$T771,"OVERDUE","Due "&amp;TEXT($T771,"mm/dd")))))</f>
        <v/>
      </c>
      <c r="V771" s="16" t="n"/>
      <c r="W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IF($C772="","",IF($L772="","",IF($K772=1,IF(COUNTIFS(nrES_PID,$D772,nrES_Code,$F772,nrES_Att,2)&gt;0,"",$L772),IF(COUNTIFS(nrES_PID,$D772,nrES_Code,$F772,nrES_Att,1)=0,$L772,IF($L772&gt;=$J772,cfgRetakeRecordedCap,SUMIFS(nrES_Raw,nrES_PID,$D772,nrES_Code,$F772,nrES_Att,1))))))</f>
        <v/>
      </c>
      <c r="N772" s="17">
        <f>IF($C772="","",IF($L772="","",IF($L772&gt;=$J772,"Yes","No")))</f>
        <v/>
      </c>
      <c r="O772" s="17">
        <f>IF($C772="","",IF($M772="","",IF($M772&gt;=$J772,"Yes","No")))</f>
        <v/>
      </c>
      <c r="P772" s="17">
        <f>IF($C772="","",IF($K772="","",IF(COUNTIFS(nrES_PID,$D772,nrES_Code,$F772,nrES_Att,"&gt;"&amp;$K772)=0,"Yes","No")))</f>
        <v/>
      </c>
      <c r="Q772" s="17">
        <f>IF($C772="","",IF($L772="","",IF(AND($K772=1,$L772&lt;$J772,COUNTIFS(nrES_PID,$D772,nrES_Code,$F772,nrES_Att,2)=0),"Yes","No")))</f>
        <v/>
      </c>
      <c r="R772" s="17">
        <f>IF($C772="","",IF($L772="","",IF(AND($K772=2,$L772&lt;$J772,COUNTIFS(nrES_PID,$D772,nrES_Code,$F772,nrES_Att,1)&gt;0),"Yes","No")))</f>
        <v/>
      </c>
      <c r="S772" s="18" t="n"/>
      <c r="T772" s="19">
        <f>IF($Q772&lt;&gt;"Yes","",IF($S772="","(enter date)",_xlfn.LET(_xlpm.dn,IFERROR(_xlfn.XLOOKUP($S772,nrCDdate,nrCDnum),""),IF(_xlpm.dn="","(not a class day)",IFERROR(_xlfn.XLOOKUP(_xlpm.dn+cfgRetestClassDays,nrCDnum,nrCDdate),"")))))</f>
        <v/>
      </c>
      <c r="U772" s="17">
        <f>IF($Q772&lt;&gt;"Yes","",IF(COUNTIFS(nrES_PID,$D772,nrES_Code,$F772,nrES_Att,2)&gt;0,"Retested",IF(OR($T772="",NOT(ISNUMBER($T772))),"Pending",IF(TODAY()&gt;$T772,"OVERDUE","Due "&amp;TEXT($T772,"mm/dd")))))</f>
        <v/>
      </c>
      <c r="V772" s="16" t="n"/>
      <c r="W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IF($C773="","",IF($L773="","",IF($K773=1,IF(COUNTIFS(nrES_PID,$D773,nrES_Code,$F773,nrES_Att,2)&gt;0,"",$L773),IF(COUNTIFS(nrES_PID,$D773,nrES_Code,$F773,nrES_Att,1)=0,$L773,IF($L773&gt;=$J773,cfgRetakeRecordedCap,SUMIFS(nrES_Raw,nrES_PID,$D773,nrES_Code,$F773,nrES_Att,1))))))</f>
        <v/>
      </c>
      <c r="N773" s="17">
        <f>IF($C773="","",IF($L773="","",IF($L773&gt;=$J773,"Yes","No")))</f>
        <v/>
      </c>
      <c r="O773" s="17">
        <f>IF($C773="","",IF($M773="","",IF($M773&gt;=$J773,"Yes","No")))</f>
        <v/>
      </c>
      <c r="P773" s="17">
        <f>IF($C773="","",IF($K773="","",IF(COUNTIFS(nrES_PID,$D773,nrES_Code,$F773,nrES_Att,"&gt;"&amp;$K773)=0,"Yes","No")))</f>
        <v/>
      </c>
      <c r="Q773" s="17">
        <f>IF($C773="","",IF($L773="","",IF(AND($K773=1,$L773&lt;$J773,COUNTIFS(nrES_PID,$D773,nrES_Code,$F773,nrES_Att,2)=0),"Yes","No")))</f>
        <v/>
      </c>
      <c r="R773" s="17">
        <f>IF($C773="","",IF($L773="","",IF(AND($K773=2,$L773&lt;$J773,COUNTIFS(nrES_PID,$D773,nrES_Code,$F773,nrES_Att,1)&gt;0),"Yes","No")))</f>
        <v/>
      </c>
      <c r="S773" s="18" t="n"/>
      <c r="T773" s="19">
        <f>IF($Q773&lt;&gt;"Yes","",IF($S773="","(enter date)",_xlfn.LET(_xlpm.dn,IFERROR(_xlfn.XLOOKUP($S773,nrCDdate,nrCDnum),""),IF(_xlpm.dn="","(not a class day)",IFERROR(_xlfn.XLOOKUP(_xlpm.dn+cfgRetestClassDays,nrCDnum,nrCDdate),"")))))</f>
        <v/>
      </c>
      <c r="U773" s="17">
        <f>IF($Q773&lt;&gt;"Yes","",IF(COUNTIFS(nrES_PID,$D773,nrES_Code,$F773,nrES_Att,2)&gt;0,"Retested",IF(OR($T773="",NOT(ISNUMBER($T773))),"Pending",IF(TODAY()&gt;$T773,"OVERDUE","Due "&amp;TEXT($T773,"mm/dd")))))</f>
        <v/>
      </c>
      <c r="V773" s="16" t="n"/>
      <c r="W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IF($C774="","",IF($L774="","",IF($K774=1,IF(COUNTIFS(nrES_PID,$D774,nrES_Code,$F774,nrES_Att,2)&gt;0,"",$L774),IF(COUNTIFS(nrES_PID,$D774,nrES_Code,$F774,nrES_Att,1)=0,$L774,IF($L774&gt;=$J774,cfgRetakeRecordedCap,SUMIFS(nrES_Raw,nrES_PID,$D774,nrES_Code,$F774,nrES_Att,1))))))</f>
        <v/>
      </c>
      <c r="N774" s="17">
        <f>IF($C774="","",IF($L774="","",IF($L774&gt;=$J774,"Yes","No")))</f>
        <v/>
      </c>
      <c r="O774" s="17">
        <f>IF($C774="","",IF($M774="","",IF($M774&gt;=$J774,"Yes","No")))</f>
        <v/>
      </c>
      <c r="P774" s="17">
        <f>IF($C774="","",IF($K774="","",IF(COUNTIFS(nrES_PID,$D774,nrES_Code,$F774,nrES_Att,"&gt;"&amp;$K774)=0,"Yes","No")))</f>
        <v/>
      </c>
      <c r="Q774" s="17">
        <f>IF($C774="","",IF($L774="","",IF(AND($K774=1,$L774&lt;$J774,COUNTIFS(nrES_PID,$D774,nrES_Code,$F774,nrES_Att,2)=0),"Yes","No")))</f>
        <v/>
      </c>
      <c r="R774" s="17">
        <f>IF($C774="","",IF($L774="","",IF(AND($K774=2,$L774&lt;$J774,COUNTIFS(nrES_PID,$D774,nrES_Code,$F774,nrES_Att,1)&gt;0),"Yes","No")))</f>
        <v/>
      </c>
      <c r="S774" s="18" t="n"/>
      <c r="T774" s="19">
        <f>IF($Q774&lt;&gt;"Yes","",IF($S774="","(enter date)",_xlfn.LET(_xlpm.dn,IFERROR(_xlfn.XLOOKUP($S774,nrCDdate,nrCDnum),""),IF(_xlpm.dn="","(not a class day)",IFERROR(_xlfn.XLOOKUP(_xlpm.dn+cfgRetestClassDays,nrCDnum,nrCDdate),"")))))</f>
        <v/>
      </c>
      <c r="U774" s="17">
        <f>IF($Q774&lt;&gt;"Yes","",IF(COUNTIFS(nrES_PID,$D774,nrES_Code,$F774,nrES_Att,2)&gt;0,"Retested",IF(OR($T774="",NOT(ISNUMBER($T774))),"Pending",IF(TODAY()&gt;$T774,"OVERDUE","Due "&amp;TEXT($T774,"mm/dd")))))</f>
        <v/>
      </c>
      <c r="V774" s="16" t="n"/>
      <c r="W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IF($C775="","",IF($L775="","",IF($K775=1,IF(COUNTIFS(nrES_PID,$D775,nrES_Code,$F775,nrES_Att,2)&gt;0,"",$L775),IF(COUNTIFS(nrES_PID,$D775,nrES_Code,$F775,nrES_Att,1)=0,$L775,IF($L775&gt;=$J775,cfgRetakeRecordedCap,SUMIFS(nrES_Raw,nrES_PID,$D775,nrES_Code,$F775,nrES_Att,1))))))</f>
        <v/>
      </c>
      <c r="N775" s="17">
        <f>IF($C775="","",IF($L775="","",IF($L775&gt;=$J775,"Yes","No")))</f>
        <v/>
      </c>
      <c r="O775" s="17">
        <f>IF($C775="","",IF($M775="","",IF($M775&gt;=$J775,"Yes","No")))</f>
        <v/>
      </c>
      <c r="P775" s="17">
        <f>IF($C775="","",IF($K775="","",IF(COUNTIFS(nrES_PID,$D775,nrES_Code,$F775,nrES_Att,"&gt;"&amp;$K775)=0,"Yes","No")))</f>
        <v/>
      </c>
      <c r="Q775" s="17">
        <f>IF($C775="","",IF($L775="","",IF(AND($K775=1,$L775&lt;$J775,COUNTIFS(nrES_PID,$D775,nrES_Code,$F775,nrES_Att,2)=0),"Yes","No")))</f>
        <v/>
      </c>
      <c r="R775" s="17">
        <f>IF($C775="","",IF($L775="","",IF(AND($K775=2,$L775&lt;$J775,COUNTIFS(nrES_PID,$D775,nrES_Code,$F775,nrES_Att,1)&gt;0),"Yes","No")))</f>
        <v/>
      </c>
      <c r="S775" s="18" t="n"/>
      <c r="T775" s="19">
        <f>IF($Q775&lt;&gt;"Yes","",IF($S775="","(enter date)",_xlfn.LET(_xlpm.dn,IFERROR(_xlfn.XLOOKUP($S775,nrCDdate,nrCDnum),""),IF(_xlpm.dn="","(not a class day)",IFERROR(_xlfn.XLOOKUP(_xlpm.dn+cfgRetestClassDays,nrCDnum,nrCDdate),"")))))</f>
        <v/>
      </c>
      <c r="U775" s="17">
        <f>IF($Q775&lt;&gt;"Yes","",IF(COUNTIFS(nrES_PID,$D775,nrES_Code,$F775,nrES_Att,2)&gt;0,"Retested",IF(OR($T775="",NOT(ISNUMBER($T775))),"Pending",IF(TODAY()&gt;$T775,"OVERDUE","Due "&amp;TEXT($T775,"mm/dd")))))</f>
        <v/>
      </c>
      <c r="V775" s="16" t="n"/>
      <c r="W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IF($C776="","",IF($L776="","",IF($K776=1,IF(COUNTIFS(nrES_PID,$D776,nrES_Code,$F776,nrES_Att,2)&gt;0,"",$L776),IF(COUNTIFS(nrES_PID,$D776,nrES_Code,$F776,nrES_Att,1)=0,$L776,IF($L776&gt;=$J776,cfgRetakeRecordedCap,SUMIFS(nrES_Raw,nrES_PID,$D776,nrES_Code,$F776,nrES_Att,1))))))</f>
        <v/>
      </c>
      <c r="N776" s="17">
        <f>IF($C776="","",IF($L776="","",IF($L776&gt;=$J776,"Yes","No")))</f>
        <v/>
      </c>
      <c r="O776" s="17">
        <f>IF($C776="","",IF($M776="","",IF($M776&gt;=$J776,"Yes","No")))</f>
        <v/>
      </c>
      <c r="P776" s="17">
        <f>IF($C776="","",IF($K776="","",IF(COUNTIFS(nrES_PID,$D776,nrES_Code,$F776,nrES_Att,"&gt;"&amp;$K776)=0,"Yes","No")))</f>
        <v/>
      </c>
      <c r="Q776" s="17">
        <f>IF($C776="","",IF($L776="","",IF(AND($K776=1,$L776&lt;$J776,COUNTIFS(nrES_PID,$D776,nrES_Code,$F776,nrES_Att,2)=0),"Yes","No")))</f>
        <v/>
      </c>
      <c r="R776" s="17">
        <f>IF($C776="","",IF($L776="","",IF(AND($K776=2,$L776&lt;$J776,COUNTIFS(nrES_PID,$D776,nrES_Code,$F776,nrES_Att,1)&gt;0),"Yes","No")))</f>
        <v/>
      </c>
      <c r="S776" s="18" t="n"/>
      <c r="T776" s="19">
        <f>IF($Q776&lt;&gt;"Yes","",IF($S776="","(enter date)",_xlfn.LET(_xlpm.dn,IFERROR(_xlfn.XLOOKUP($S776,nrCDdate,nrCDnum),""),IF(_xlpm.dn="","(not a class day)",IFERROR(_xlfn.XLOOKUP(_xlpm.dn+cfgRetestClassDays,nrCDnum,nrCDdate),"")))))</f>
        <v/>
      </c>
      <c r="U776" s="17">
        <f>IF($Q776&lt;&gt;"Yes","",IF(COUNTIFS(nrES_PID,$D776,nrES_Code,$F776,nrES_Att,2)&gt;0,"Retested",IF(OR($T776="",NOT(ISNUMBER($T776))),"Pending",IF(TODAY()&gt;$T776,"OVERDUE","Due "&amp;TEXT($T776,"mm/dd")))))</f>
        <v/>
      </c>
      <c r="V776" s="16" t="n"/>
      <c r="W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IF($C777="","",IF($L777="","",IF($K777=1,IF(COUNTIFS(nrES_PID,$D777,nrES_Code,$F777,nrES_Att,2)&gt;0,"",$L777),IF(COUNTIFS(nrES_PID,$D777,nrES_Code,$F777,nrES_Att,1)=0,$L777,IF($L777&gt;=$J777,cfgRetakeRecordedCap,SUMIFS(nrES_Raw,nrES_PID,$D777,nrES_Code,$F777,nrES_Att,1))))))</f>
        <v/>
      </c>
      <c r="N777" s="17">
        <f>IF($C777="","",IF($L777="","",IF($L777&gt;=$J777,"Yes","No")))</f>
        <v/>
      </c>
      <c r="O777" s="17">
        <f>IF($C777="","",IF($M777="","",IF($M777&gt;=$J777,"Yes","No")))</f>
        <v/>
      </c>
      <c r="P777" s="17">
        <f>IF($C777="","",IF($K777="","",IF(COUNTIFS(nrES_PID,$D777,nrES_Code,$F777,nrES_Att,"&gt;"&amp;$K777)=0,"Yes","No")))</f>
        <v/>
      </c>
      <c r="Q777" s="17">
        <f>IF($C777="","",IF($L777="","",IF(AND($K777=1,$L777&lt;$J777,COUNTIFS(nrES_PID,$D777,nrES_Code,$F777,nrES_Att,2)=0),"Yes","No")))</f>
        <v/>
      </c>
      <c r="R777" s="17">
        <f>IF($C777="","",IF($L777="","",IF(AND($K777=2,$L777&lt;$J777,COUNTIFS(nrES_PID,$D777,nrES_Code,$F777,nrES_Att,1)&gt;0),"Yes","No")))</f>
        <v/>
      </c>
      <c r="S777" s="18" t="n"/>
      <c r="T777" s="19">
        <f>IF($Q777&lt;&gt;"Yes","",IF($S777="","(enter date)",_xlfn.LET(_xlpm.dn,IFERROR(_xlfn.XLOOKUP($S777,nrCDdate,nrCDnum),""),IF(_xlpm.dn="","(not a class day)",IFERROR(_xlfn.XLOOKUP(_xlpm.dn+cfgRetestClassDays,nrCDnum,nrCDdate),"")))))</f>
        <v/>
      </c>
      <c r="U777" s="17">
        <f>IF($Q777&lt;&gt;"Yes","",IF(COUNTIFS(nrES_PID,$D777,nrES_Code,$F777,nrES_Att,2)&gt;0,"Retested",IF(OR($T777="",NOT(ISNUMBER($T777))),"Pending",IF(TODAY()&gt;$T777,"OVERDUE","Due "&amp;TEXT($T777,"mm/dd")))))</f>
        <v/>
      </c>
      <c r="V777" s="16" t="n"/>
      <c r="W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IF($C778="","",IF($L778="","",IF($K778=1,IF(COUNTIFS(nrES_PID,$D778,nrES_Code,$F778,nrES_Att,2)&gt;0,"",$L778),IF(COUNTIFS(nrES_PID,$D778,nrES_Code,$F778,nrES_Att,1)=0,$L778,IF($L778&gt;=$J778,cfgRetakeRecordedCap,SUMIFS(nrES_Raw,nrES_PID,$D778,nrES_Code,$F778,nrES_Att,1))))))</f>
        <v/>
      </c>
      <c r="N778" s="17">
        <f>IF($C778="","",IF($L778="","",IF($L778&gt;=$J778,"Yes","No")))</f>
        <v/>
      </c>
      <c r="O778" s="17">
        <f>IF($C778="","",IF($M778="","",IF($M778&gt;=$J778,"Yes","No")))</f>
        <v/>
      </c>
      <c r="P778" s="17">
        <f>IF($C778="","",IF($K778="","",IF(COUNTIFS(nrES_PID,$D778,nrES_Code,$F778,nrES_Att,"&gt;"&amp;$K778)=0,"Yes","No")))</f>
        <v/>
      </c>
      <c r="Q778" s="17">
        <f>IF($C778="","",IF($L778="","",IF(AND($K778=1,$L778&lt;$J778,COUNTIFS(nrES_PID,$D778,nrES_Code,$F778,nrES_Att,2)=0),"Yes","No")))</f>
        <v/>
      </c>
      <c r="R778" s="17">
        <f>IF($C778="","",IF($L778="","",IF(AND($K778=2,$L778&lt;$J778,COUNTIFS(nrES_PID,$D778,nrES_Code,$F778,nrES_Att,1)&gt;0),"Yes","No")))</f>
        <v/>
      </c>
      <c r="S778" s="18" t="n"/>
      <c r="T778" s="19">
        <f>IF($Q778&lt;&gt;"Yes","",IF($S778="","(enter date)",_xlfn.LET(_xlpm.dn,IFERROR(_xlfn.XLOOKUP($S778,nrCDdate,nrCDnum),""),IF(_xlpm.dn="","(not a class day)",IFERROR(_xlfn.XLOOKUP(_xlpm.dn+cfgRetestClassDays,nrCDnum,nrCDdate),"")))))</f>
        <v/>
      </c>
      <c r="U778" s="17">
        <f>IF($Q778&lt;&gt;"Yes","",IF(COUNTIFS(nrES_PID,$D778,nrES_Code,$F778,nrES_Att,2)&gt;0,"Retested",IF(OR($T778="",NOT(ISNUMBER($T778))),"Pending",IF(TODAY()&gt;$T778,"OVERDUE","Due "&amp;TEXT($T778,"mm/dd")))))</f>
        <v/>
      </c>
      <c r="V778" s="16" t="n"/>
      <c r="W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IF($C779="","",IF($L779="","",IF($K779=1,IF(COUNTIFS(nrES_PID,$D779,nrES_Code,$F779,nrES_Att,2)&gt;0,"",$L779),IF(COUNTIFS(nrES_PID,$D779,nrES_Code,$F779,nrES_Att,1)=0,$L779,IF($L779&gt;=$J779,cfgRetakeRecordedCap,SUMIFS(nrES_Raw,nrES_PID,$D779,nrES_Code,$F779,nrES_Att,1))))))</f>
        <v/>
      </c>
      <c r="N779" s="17">
        <f>IF($C779="","",IF($L779="","",IF($L779&gt;=$J779,"Yes","No")))</f>
        <v/>
      </c>
      <c r="O779" s="17">
        <f>IF($C779="","",IF($M779="","",IF($M779&gt;=$J779,"Yes","No")))</f>
        <v/>
      </c>
      <c r="P779" s="17">
        <f>IF($C779="","",IF($K779="","",IF(COUNTIFS(nrES_PID,$D779,nrES_Code,$F779,nrES_Att,"&gt;"&amp;$K779)=0,"Yes","No")))</f>
        <v/>
      </c>
      <c r="Q779" s="17">
        <f>IF($C779="","",IF($L779="","",IF(AND($K779=1,$L779&lt;$J779,COUNTIFS(nrES_PID,$D779,nrES_Code,$F779,nrES_Att,2)=0),"Yes","No")))</f>
        <v/>
      </c>
      <c r="R779" s="17">
        <f>IF($C779="","",IF($L779="","",IF(AND($K779=2,$L779&lt;$J779,COUNTIFS(nrES_PID,$D779,nrES_Code,$F779,nrES_Att,1)&gt;0),"Yes","No")))</f>
        <v/>
      </c>
      <c r="S779" s="18" t="n"/>
      <c r="T779" s="19">
        <f>IF($Q779&lt;&gt;"Yes","",IF($S779="","(enter date)",_xlfn.LET(_xlpm.dn,IFERROR(_xlfn.XLOOKUP($S779,nrCDdate,nrCDnum),""),IF(_xlpm.dn="","(not a class day)",IFERROR(_xlfn.XLOOKUP(_xlpm.dn+cfgRetestClassDays,nrCDnum,nrCDdate),"")))))</f>
        <v/>
      </c>
      <c r="U779" s="17">
        <f>IF($Q779&lt;&gt;"Yes","",IF(COUNTIFS(nrES_PID,$D779,nrES_Code,$F779,nrES_Att,2)&gt;0,"Retested",IF(OR($T779="",NOT(ISNUMBER($T779))),"Pending",IF(TODAY()&gt;$T779,"OVERDUE","Due "&amp;TEXT($T779,"mm/dd")))))</f>
        <v/>
      </c>
      <c r="V779" s="16" t="n"/>
      <c r="W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IF($C780="","",IF($L780="","",IF($K780=1,IF(COUNTIFS(nrES_PID,$D780,nrES_Code,$F780,nrES_Att,2)&gt;0,"",$L780),IF(COUNTIFS(nrES_PID,$D780,nrES_Code,$F780,nrES_Att,1)=0,$L780,IF($L780&gt;=$J780,cfgRetakeRecordedCap,SUMIFS(nrES_Raw,nrES_PID,$D780,nrES_Code,$F780,nrES_Att,1))))))</f>
        <v/>
      </c>
      <c r="N780" s="17">
        <f>IF($C780="","",IF($L780="","",IF($L780&gt;=$J780,"Yes","No")))</f>
        <v/>
      </c>
      <c r="O780" s="17">
        <f>IF($C780="","",IF($M780="","",IF($M780&gt;=$J780,"Yes","No")))</f>
        <v/>
      </c>
      <c r="P780" s="17">
        <f>IF($C780="","",IF($K780="","",IF(COUNTIFS(nrES_PID,$D780,nrES_Code,$F780,nrES_Att,"&gt;"&amp;$K780)=0,"Yes","No")))</f>
        <v/>
      </c>
      <c r="Q780" s="17">
        <f>IF($C780="","",IF($L780="","",IF(AND($K780=1,$L780&lt;$J780,COUNTIFS(nrES_PID,$D780,nrES_Code,$F780,nrES_Att,2)=0),"Yes","No")))</f>
        <v/>
      </c>
      <c r="R780" s="17">
        <f>IF($C780="","",IF($L780="","",IF(AND($K780=2,$L780&lt;$J780,COUNTIFS(nrES_PID,$D780,nrES_Code,$F780,nrES_Att,1)&gt;0),"Yes","No")))</f>
        <v/>
      </c>
      <c r="S780" s="18" t="n"/>
      <c r="T780" s="19">
        <f>IF($Q780&lt;&gt;"Yes","",IF($S780="","(enter date)",_xlfn.LET(_xlpm.dn,IFERROR(_xlfn.XLOOKUP($S780,nrCDdate,nrCDnum),""),IF(_xlpm.dn="","(not a class day)",IFERROR(_xlfn.XLOOKUP(_xlpm.dn+cfgRetestClassDays,nrCDnum,nrCDdate),"")))))</f>
        <v/>
      </c>
      <c r="U780" s="17">
        <f>IF($Q780&lt;&gt;"Yes","",IF(COUNTIFS(nrES_PID,$D780,nrES_Code,$F780,nrES_Att,2)&gt;0,"Retested",IF(OR($T780="",NOT(ISNUMBER($T780))),"Pending",IF(TODAY()&gt;$T780,"OVERDUE","Due "&amp;TEXT($T780,"mm/dd")))))</f>
        <v/>
      </c>
      <c r="V780" s="16" t="n"/>
      <c r="W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IF($C781="","",IF($L781="","",IF($K781=1,IF(COUNTIFS(nrES_PID,$D781,nrES_Code,$F781,nrES_Att,2)&gt;0,"",$L781),IF(COUNTIFS(nrES_PID,$D781,nrES_Code,$F781,nrES_Att,1)=0,$L781,IF($L781&gt;=$J781,cfgRetakeRecordedCap,SUMIFS(nrES_Raw,nrES_PID,$D781,nrES_Code,$F781,nrES_Att,1))))))</f>
        <v/>
      </c>
      <c r="N781" s="17">
        <f>IF($C781="","",IF($L781="","",IF($L781&gt;=$J781,"Yes","No")))</f>
        <v/>
      </c>
      <c r="O781" s="17">
        <f>IF($C781="","",IF($M781="","",IF($M781&gt;=$J781,"Yes","No")))</f>
        <v/>
      </c>
      <c r="P781" s="17">
        <f>IF($C781="","",IF($K781="","",IF(COUNTIFS(nrES_PID,$D781,nrES_Code,$F781,nrES_Att,"&gt;"&amp;$K781)=0,"Yes","No")))</f>
        <v/>
      </c>
      <c r="Q781" s="17">
        <f>IF($C781="","",IF($L781="","",IF(AND($K781=1,$L781&lt;$J781,COUNTIFS(nrES_PID,$D781,nrES_Code,$F781,nrES_Att,2)=0),"Yes","No")))</f>
        <v/>
      </c>
      <c r="R781" s="17">
        <f>IF($C781="","",IF($L781="","",IF(AND($K781=2,$L781&lt;$J781,COUNTIFS(nrES_PID,$D781,nrES_Code,$F781,nrES_Att,1)&gt;0),"Yes","No")))</f>
        <v/>
      </c>
      <c r="S781" s="18" t="n"/>
      <c r="T781" s="19">
        <f>IF($Q781&lt;&gt;"Yes","",IF($S781="","(enter date)",_xlfn.LET(_xlpm.dn,IFERROR(_xlfn.XLOOKUP($S781,nrCDdate,nrCDnum),""),IF(_xlpm.dn="","(not a class day)",IFERROR(_xlfn.XLOOKUP(_xlpm.dn+cfgRetestClassDays,nrCDnum,nrCDdate),"")))))</f>
        <v/>
      </c>
      <c r="U781" s="17">
        <f>IF($Q781&lt;&gt;"Yes","",IF(COUNTIFS(nrES_PID,$D781,nrES_Code,$F781,nrES_Att,2)&gt;0,"Retested",IF(OR($T781="",NOT(ISNUMBER($T781))),"Pending",IF(TODAY()&gt;$T781,"OVERDUE","Due "&amp;TEXT($T781,"mm/dd")))))</f>
        <v/>
      </c>
      <c r="V781" s="16" t="n"/>
      <c r="W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IF($C782="","",IF($L782="","",IF($K782=1,IF(COUNTIFS(nrES_PID,$D782,nrES_Code,$F782,nrES_Att,2)&gt;0,"",$L782),IF(COUNTIFS(nrES_PID,$D782,nrES_Code,$F782,nrES_Att,1)=0,$L782,IF($L782&gt;=$J782,cfgRetakeRecordedCap,SUMIFS(nrES_Raw,nrES_PID,$D782,nrES_Code,$F782,nrES_Att,1))))))</f>
        <v/>
      </c>
      <c r="N782" s="17">
        <f>IF($C782="","",IF($L782="","",IF($L782&gt;=$J782,"Yes","No")))</f>
        <v/>
      </c>
      <c r="O782" s="17">
        <f>IF($C782="","",IF($M782="","",IF($M782&gt;=$J782,"Yes","No")))</f>
        <v/>
      </c>
      <c r="P782" s="17">
        <f>IF($C782="","",IF($K782="","",IF(COUNTIFS(nrES_PID,$D782,nrES_Code,$F782,nrES_Att,"&gt;"&amp;$K782)=0,"Yes","No")))</f>
        <v/>
      </c>
      <c r="Q782" s="17">
        <f>IF($C782="","",IF($L782="","",IF(AND($K782=1,$L782&lt;$J782,COUNTIFS(nrES_PID,$D782,nrES_Code,$F782,nrES_Att,2)=0),"Yes","No")))</f>
        <v/>
      </c>
      <c r="R782" s="17">
        <f>IF($C782="","",IF($L782="","",IF(AND($K782=2,$L782&lt;$J782,COUNTIFS(nrES_PID,$D782,nrES_Code,$F782,nrES_Att,1)&gt;0),"Yes","No")))</f>
        <v/>
      </c>
      <c r="S782" s="18" t="n"/>
      <c r="T782" s="19">
        <f>IF($Q782&lt;&gt;"Yes","",IF($S782="","(enter date)",_xlfn.LET(_xlpm.dn,IFERROR(_xlfn.XLOOKUP($S782,nrCDdate,nrCDnum),""),IF(_xlpm.dn="","(not a class day)",IFERROR(_xlfn.XLOOKUP(_xlpm.dn+cfgRetestClassDays,nrCDnum,nrCDdate),"")))))</f>
        <v/>
      </c>
      <c r="U782" s="17">
        <f>IF($Q782&lt;&gt;"Yes","",IF(COUNTIFS(nrES_PID,$D782,nrES_Code,$F782,nrES_Att,2)&gt;0,"Retested",IF(OR($T782="",NOT(ISNUMBER($T782))),"Pending",IF(TODAY()&gt;$T782,"OVERDUE","Due "&amp;TEXT($T782,"mm/dd")))))</f>
        <v/>
      </c>
      <c r="V782" s="16" t="n"/>
      <c r="W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IF($C783="","",IF($L783="","",IF($K783=1,IF(COUNTIFS(nrES_PID,$D783,nrES_Code,$F783,nrES_Att,2)&gt;0,"",$L783),IF(COUNTIFS(nrES_PID,$D783,nrES_Code,$F783,nrES_Att,1)=0,$L783,IF($L783&gt;=$J783,cfgRetakeRecordedCap,SUMIFS(nrES_Raw,nrES_PID,$D783,nrES_Code,$F783,nrES_Att,1))))))</f>
        <v/>
      </c>
      <c r="N783" s="17">
        <f>IF($C783="","",IF($L783="","",IF($L783&gt;=$J783,"Yes","No")))</f>
        <v/>
      </c>
      <c r="O783" s="17">
        <f>IF($C783="","",IF($M783="","",IF($M783&gt;=$J783,"Yes","No")))</f>
        <v/>
      </c>
      <c r="P783" s="17">
        <f>IF($C783="","",IF($K783="","",IF(COUNTIFS(nrES_PID,$D783,nrES_Code,$F783,nrES_Att,"&gt;"&amp;$K783)=0,"Yes","No")))</f>
        <v/>
      </c>
      <c r="Q783" s="17">
        <f>IF($C783="","",IF($L783="","",IF(AND($K783=1,$L783&lt;$J783,COUNTIFS(nrES_PID,$D783,nrES_Code,$F783,nrES_Att,2)=0),"Yes","No")))</f>
        <v/>
      </c>
      <c r="R783" s="17">
        <f>IF($C783="","",IF($L783="","",IF(AND($K783=2,$L783&lt;$J783,COUNTIFS(nrES_PID,$D783,nrES_Code,$F783,nrES_Att,1)&gt;0),"Yes","No")))</f>
        <v/>
      </c>
      <c r="S783" s="18" t="n"/>
      <c r="T783" s="19">
        <f>IF($Q783&lt;&gt;"Yes","",IF($S783="","(enter date)",_xlfn.LET(_xlpm.dn,IFERROR(_xlfn.XLOOKUP($S783,nrCDdate,nrCDnum),""),IF(_xlpm.dn="","(not a class day)",IFERROR(_xlfn.XLOOKUP(_xlpm.dn+cfgRetestClassDays,nrCDnum,nrCDdate),"")))))</f>
        <v/>
      </c>
      <c r="U783" s="17">
        <f>IF($Q783&lt;&gt;"Yes","",IF(COUNTIFS(nrES_PID,$D783,nrES_Code,$F783,nrES_Att,2)&gt;0,"Retested",IF(OR($T783="",NOT(ISNUMBER($T783))),"Pending",IF(TODAY()&gt;$T783,"OVERDUE","Due "&amp;TEXT($T783,"mm/dd")))))</f>
        <v/>
      </c>
      <c r="V783" s="16" t="n"/>
      <c r="W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IF($C784="","",IF($L784="","",IF($K784=1,IF(COUNTIFS(nrES_PID,$D784,nrES_Code,$F784,nrES_Att,2)&gt;0,"",$L784),IF(COUNTIFS(nrES_PID,$D784,nrES_Code,$F784,nrES_Att,1)=0,$L784,IF($L784&gt;=$J784,cfgRetakeRecordedCap,SUMIFS(nrES_Raw,nrES_PID,$D784,nrES_Code,$F784,nrES_Att,1))))))</f>
        <v/>
      </c>
      <c r="N784" s="17">
        <f>IF($C784="","",IF($L784="","",IF($L784&gt;=$J784,"Yes","No")))</f>
        <v/>
      </c>
      <c r="O784" s="17">
        <f>IF($C784="","",IF($M784="","",IF($M784&gt;=$J784,"Yes","No")))</f>
        <v/>
      </c>
      <c r="P784" s="17">
        <f>IF($C784="","",IF($K784="","",IF(COUNTIFS(nrES_PID,$D784,nrES_Code,$F784,nrES_Att,"&gt;"&amp;$K784)=0,"Yes","No")))</f>
        <v/>
      </c>
      <c r="Q784" s="17">
        <f>IF($C784="","",IF($L784="","",IF(AND($K784=1,$L784&lt;$J784,COUNTIFS(nrES_PID,$D784,nrES_Code,$F784,nrES_Att,2)=0),"Yes","No")))</f>
        <v/>
      </c>
      <c r="R784" s="17">
        <f>IF($C784="","",IF($L784="","",IF(AND($K784=2,$L784&lt;$J784,COUNTIFS(nrES_PID,$D784,nrES_Code,$F784,nrES_Att,1)&gt;0),"Yes","No")))</f>
        <v/>
      </c>
      <c r="S784" s="18" t="n"/>
      <c r="T784" s="19">
        <f>IF($Q784&lt;&gt;"Yes","",IF($S784="","(enter date)",_xlfn.LET(_xlpm.dn,IFERROR(_xlfn.XLOOKUP($S784,nrCDdate,nrCDnum),""),IF(_xlpm.dn="","(not a class day)",IFERROR(_xlfn.XLOOKUP(_xlpm.dn+cfgRetestClassDays,nrCDnum,nrCDdate),"")))))</f>
        <v/>
      </c>
      <c r="U784" s="17">
        <f>IF($Q784&lt;&gt;"Yes","",IF(COUNTIFS(nrES_PID,$D784,nrES_Code,$F784,nrES_Att,2)&gt;0,"Retested",IF(OR($T784="",NOT(ISNUMBER($T784))),"Pending",IF(TODAY()&gt;$T784,"OVERDUE","Due "&amp;TEXT($T784,"mm/dd")))))</f>
        <v/>
      </c>
      <c r="V784" s="16" t="n"/>
      <c r="W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IF($C785="","",IF($L785="","",IF($K785=1,IF(COUNTIFS(nrES_PID,$D785,nrES_Code,$F785,nrES_Att,2)&gt;0,"",$L785),IF(COUNTIFS(nrES_PID,$D785,nrES_Code,$F785,nrES_Att,1)=0,$L785,IF($L785&gt;=$J785,cfgRetakeRecordedCap,SUMIFS(nrES_Raw,nrES_PID,$D785,nrES_Code,$F785,nrES_Att,1))))))</f>
        <v/>
      </c>
      <c r="N785" s="17">
        <f>IF($C785="","",IF($L785="","",IF($L785&gt;=$J785,"Yes","No")))</f>
        <v/>
      </c>
      <c r="O785" s="17">
        <f>IF($C785="","",IF($M785="","",IF($M785&gt;=$J785,"Yes","No")))</f>
        <v/>
      </c>
      <c r="P785" s="17">
        <f>IF($C785="","",IF($K785="","",IF(COUNTIFS(nrES_PID,$D785,nrES_Code,$F785,nrES_Att,"&gt;"&amp;$K785)=0,"Yes","No")))</f>
        <v/>
      </c>
      <c r="Q785" s="17">
        <f>IF($C785="","",IF($L785="","",IF(AND($K785=1,$L785&lt;$J785,COUNTIFS(nrES_PID,$D785,nrES_Code,$F785,nrES_Att,2)=0),"Yes","No")))</f>
        <v/>
      </c>
      <c r="R785" s="17">
        <f>IF($C785="","",IF($L785="","",IF(AND($K785=2,$L785&lt;$J785,COUNTIFS(nrES_PID,$D785,nrES_Code,$F785,nrES_Att,1)&gt;0),"Yes","No")))</f>
        <v/>
      </c>
      <c r="S785" s="18" t="n"/>
      <c r="T785" s="19">
        <f>IF($Q785&lt;&gt;"Yes","",IF($S785="","(enter date)",_xlfn.LET(_xlpm.dn,IFERROR(_xlfn.XLOOKUP($S785,nrCDdate,nrCDnum),""),IF(_xlpm.dn="","(not a class day)",IFERROR(_xlfn.XLOOKUP(_xlpm.dn+cfgRetestClassDays,nrCDnum,nrCDdate),"")))))</f>
        <v/>
      </c>
      <c r="U785" s="17">
        <f>IF($Q785&lt;&gt;"Yes","",IF(COUNTIFS(nrES_PID,$D785,nrES_Code,$F785,nrES_Att,2)&gt;0,"Retested",IF(OR($T785="",NOT(ISNUMBER($T785))),"Pending",IF(TODAY()&gt;$T785,"OVERDUE","Due "&amp;TEXT($T785,"mm/dd")))))</f>
        <v/>
      </c>
      <c r="V785" s="16" t="n"/>
      <c r="W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IF($C786="","",IF($L786="","",IF($K786=1,IF(COUNTIFS(nrES_PID,$D786,nrES_Code,$F786,nrES_Att,2)&gt;0,"",$L786),IF(COUNTIFS(nrES_PID,$D786,nrES_Code,$F786,nrES_Att,1)=0,$L786,IF($L786&gt;=$J786,cfgRetakeRecordedCap,SUMIFS(nrES_Raw,nrES_PID,$D786,nrES_Code,$F786,nrES_Att,1))))))</f>
        <v/>
      </c>
      <c r="N786" s="17">
        <f>IF($C786="","",IF($L786="","",IF($L786&gt;=$J786,"Yes","No")))</f>
        <v/>
      </c>
      <c r="O786" s="17">
        <f>IF($C786="","",IF($M786="","",IF($M786&gt;=$J786,"Yes","No")))</f>
        <v/>
      </c>
      <c r="P786" s="17">
        <f>IF($C786="","",IF($K786="","",IF(COUNTIFS(nrES_PID,$D786,nrES_Code,$F786,nrES_Att,"&gt;"&amp;$K786)=0,"Yes","No")))</f>
        <v/>
      </c>
      <c r="Q786" s="17">
        <f>IF($C786="","",IF($L786="","",IF(AND($K786=1,$L786&lt;$J786,COUNTIFS(nrES_PID,$D786,nrES_Code,$F786,nrES_Att,2)=0),"Yes","No")))</f>
        <v/>
      </c>
      <c r="R786" s="17">
        <f>IF($C786="","",IF($L786="","",IF(AND($K786=2,$L786&lt;$J786,COUNTIFS(nrES_PID,$D786,nrES_Code,$F786,nrES_Att,1)&gt;0),"Yes","No")))</f>
        <v/>
      </c>
      <c r="S786" s="18" t="n"/>
      <c r="T786" s="19">
        <f>IF($Q786&lt;&gt;"Yes","",IF($S786="","(enter date)",_xlfn.LET(_xlpm.dn,IFERROR(_xlfn.XLOOKUP($S786,nrCDdate,nrCDnum),""),IF(_xlpm.dn="","(not a class day)",IFERROR(_xlfn.XLOOKUP(_xlpm.dn+cfgRetestClassDays,nrCDnum,nrCDdate),"")))))</f>
        <v/>
      </c>
      <c r="U786" s="17">
        <f>IF($Q786&lt;&gt;"Yes","",IF(COUNTIFS(nrES_PID,$D786,nrES_Code,$F786,nrES_Att,2)&gt;0,"Retested",IF(OR($T786="",NOT(ISNUMBER($T786))),"Pending",IF(TODAY()&gt;$T786,"OVERDUE","Due "&amp;TEXT($T786,"mm/dd")))))</f>
        <v/>
      </c>
      <c r="V786" s="16" t="n"/>
      <c r="W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IF($C787="","",IF($L787="","",IF($K787=1,IF(COUNTIFS(nrES_PID,$D787,nrES_Code,$F787,nrES_Att,2)&gt;0,"",$L787),IF(COUNTIFS(nrES_PID,$D787,nrES_Code,$F787,nrES_Att,1)=0,$L787,IF($L787&gt;=$J787,cfgRetakeRecordedCap,SUMIFS(nrES_Raw,nrES_PID,$D787,nrES_Code,$F787,nrES_Att,1))))))</f>
        <v/>
      </c>
      <c r="N787" s="17">
        <f>IF($C787="","",IF($L787="","",IF($L787&gt;=$J787,"Yes","No")))</f>
        <v/>
      </c>
      <c r="O787" s="17">
        <f>IF($C787="","",IF($M787="","",IF($M787&gt;=$J787,"Yes","No")))</f>
        <v/>
      </c>
      <c r="P787" s="17">
        <f>IF($C787="","",IF($K787="","",IF(COUNTIFS(nrES_PID,$D787,nrES_Code,$F787,nrES_Att,"&gt;"&amp;$K787)=0,"Yes","No")))</f>
        <v/>
      </c>
      <c r="Q787" s="17">
        <f>IF($C787="","",IF($L787="","",IF(AND($K787=1,$L787&lt;$J787,COUNTIFS(nrES_PID,$D787,nrES_Code,$F787,nrES_Att,2)=0),"Yes","No")))</f>
        <v/>
      </c>
      <c r="R787" s="17">
        <f>IF($C787="","",IF($L787="","",IF(AND($K787=2,$L787&lt;$J787,COUNTIFS(nrES_PID,$D787,nrES_Code,$F787,nrES_Att,1)&gt;0),"Yes","No")))</f>
        <v/>
      </c>
      <c r="S787" s="18" t="n"/>
      <c r="T787" s="19">
        <f>IF($Q787&lt;&gt;"Yes","",IF($S787="","(enter date)",_xlfn.LET(_xlpm.dn,IFERROR(_xlfn.XLOOKUP($S787,nrCDdate,nrCDnum),""),IF(_xlpm.dn="","(not a class day)",IFERROR(_xlfn.XLOOKUP(_xlpm.dn+cfgRetestClassDays,nrCDnum,nrCDdate),"")))))</f>
        <v/>
      </c>
      <c r="U787" s="17">
        <f>IF($Q787&lt;&gt;"Yes","",IF(COUNTIFS(nrES_PID,$D787,nrES_Code,$F787,nrES_Att,2)&gt;0,"Retested",IF(OR($T787="",NOT(ISNUMBER($T787))),"Pending",IF(TODAY()&gt;$T787,"OVERDUE","Due "&amp;TEXT($T787,"mm/dd")))))</f>
        <v/>
      </c>
      <c r="V787" s="16" t="n"/>
      <c r="W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IF($C788="","",IF($L788="","",IF($K788=1,IF(COUNTIFS(nrES_PID,$D788,nrES_Code,$F788,nrES_Att,2)&gt;0,"",$L788),IF(COUNTIFS(nrES_PID,$D788,nrES_Code,$F788,nrES_Att,1)=0,$L788,IF($L788&gt;=$J788,cfgRetakeRecordedCap,SUMIFS(nrES_Raw,nrES_PID,$D788,nrES_Code,$F788,nrES_Att,1))))))</f>
        <v/>
      </c>
      <c r="N788" s="17">
        <f>IF($C788="","",IF($L788="","",IF($L788&gt;=$J788,"Yes","No")))</f>
        <v/>
      </c>
      <c r="O788" s="17">
        <f>IF($C788="","",IF($M788="","",IF($M788&gt;=$J788,"Yes","No")))</f>
        <v/>
      </c>
      <c r="P788" s="17">
        <f>IF($C788="","",IF($K788="","",IF(COUNTIFS(nrES_PID,$D788,nrES_Code,$F788,nrES_Att,"&gt;"&amp;$K788)=0,"Yes","No")))</f>
        <v/>
      </c>
      <c r="Q788" s="17">
        <f>IF($C788="","",IF($L788="","",IF(AND($K788=1,$L788&lt;$J788,COUNTIFS(nrES_PID,$D788,nrES_Code,$F788,nrES_Att,2)=0),"Yes","No")))</f>
        <v/>
      </c>
      <c r="R788" s="17">
        <f>IF($C788="","",IF($L788="","",IF(AND($K788=2,$L788&lt;$J788,COUNTIFS(nrES_PID,$D788,nrES_Code,$F788,nrES_Att,1)&gt;0),"Yes","No")))</f>
        <v/>
      </c>
      <c r="S788" s="18" t="n"/>
      <c r="T788" s="19">
        <f>IF($Q788&lt;&gt;"Yes","",IF($S788="","(enter date)",_xlfn.LET(_xlpm.dn,IFERROR(_xlfn.XLOOKUP($S788,nrCDdate,nrCDnum),""),IF(_xlpm.dn="","(not a class day)",IFERROR(_xlfn.XLOOKUP(_xlpm.dn+cfgRetestClassDays,nrCDnum,nrCDdate),"")))))</f>
        <v/>
      </c>
      <c r="U788" s="17">
        <f>IF($Q788&lt;&gt;"Yes","",IF(COUNTIFS(nrES_PID,$D788,nrES_Code,$F788,nrES_Att,2)&gt;0,"Retested",IF(OR($T788="",NOT(ISNUMBER($T788))),"Pending",IF(TODAY()&gt;$T788,"OVERDUE","Due "&amp;TEXT($T788,"mm/dd")))))</f>
        <v/>
      </c>
      <c r="V788" s="16" t="n"/>
      <c r="W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IF($C789="","",IF($L789="","",IF($K789=1,IF(COUNTIFS(nrES_PID,$D789,nrES_Code,$F789,nrES_Att,2)&gt;0,"",$L789),IF(COUNTIFS(nrES_PID,$D789,nrES_Code,$F789,nrES_Att,1)=0,$L789,IF($L789&gt;=$J789,cfgRetakeRecordedCap,SUMIFS(nrES_Raw,nrES_PID,$D789,nrES_Code,$F789,nrES_Att,1))))))</f>
        <v/>
      </c>
      <c r="N789" s="17">
        <f>IF($C789="","",IF($L789="","",IF($L789&gt;=$J789,"Yes","No")))</f>
        <v/>
      </c>
      <c r="O789" s="17">
        <f>IF($C789="","",IF($M789="","",IF($M789&gt;=$J789,"Yes","No")))</f>
        <v/>
      </c>
      <c r="P789" s="17">
        <f>IF($C789="","",IF($K789="","",IF(COUNTIFS(nrES_PID,$D789,nrES_Code,$F789,nrES_Att,"&gt;"&amp;$K789)=0,"Yes","No")))</f>
        <v/>
      </c>
      <c r="Q789" s="17">
        <f>IF($C789="","",IF($L789="","",IF(AND($K789=1,$L789&lt;$J789,COUNTIFS(nrES_PID,$D789,nrES_Code,$F789,nrES_Att,2)=0),"Yes","No")))</f>
        <v/>
      </c>
      <c r="R789" s="17">
        <f>IF($C789="","",IF($L789="","",IF(AND($K789=2,$L789&lt;$J789,COUNTIFS(nrES_PID,$D789,nrES_Code,$F789,nrES_Att,1)&gt;0),"Yes","No")))</f>
        <v/>
      </c>
      <c r="S789" s="18" t="n"/>
      <c r="T789" s="19">
        <f>IF($Q789&lt;&gt;"Yes","",IF($S789="","(enter date)",_xlfn.LET(_xlpm.dn,IFERROR(_xlfn.XLOOKUP($S789,nrCDdate,nrCDnum),""),IF(_xlpm.dn="","(not a class day)",IFERROR(_xlfn.XLOOKUP(_xlpm.dn+cfgRetestClassDays,nrCDnum,nrCDdate),"")))))</f>
        <v/>
      </c>
      <c r="U789" s="17">
        <f>IF($Q789&lt;&gt;"Yes","",IF(COUNTIFS(nrES_PID,$D789,nrES_Code,$F789,nrES_Att,2)&gt;0,"Retested",IF(OR($T789="",NOT(ISNUMBER($T789))),"Pending",IF(TODAY()&gt;$T789,"OVERDUE","Due "&amp;TEXT($T789,"mm/dd")))))</f>
        <v/>
      </c>
      <c r="V789" s="16" t="n"/>
      <c r="W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IF($C790="","",IF($L790="","",IF($K790=1,IF(COUNTIFS(nrES_PID,$D790,nrES_Code,$F790,nrES_Att,2)&gt;0,"",$L790),IF(COUNTIFS(nrES_PID,$D790,nrES_Code,$F790,nrES_Att,1)=0,$L790,IF($L790&gt;=$J790,cfgRetakeRecordedCap,SUMIFS(nrES_Raw,nrES_PID,$D790,nrES_Code,$F790,nrES_Att,1))))))</f>
        <v/>
      </c>
      <c r="N790" s="17">
        <f>IF($C790="","",IF($L790="","",IF($L790&gt;=$J790,"Yes","No")))</f>
        <v/>
      </c>
      <c r="O790" s="17">
        <f>IF($C790="","",IF($M790="","",IF($M790&gt;=$J790,"Yes","No")))</f>
        <v/>
      </c>
      <c r="P790" s="17">
        <f>IF($C790="","",IF($K790="","",IF(COUNTIFS(nrES_PID,$D790,nrES_Code,$F790,nrES_Att,"&gt;"&amp;$K790)=0,"Yes","No")))</f>
        <v/>
      </c>
      <c r="Q790" s="17">
        <f>IF($C790="","",IF($L790="","",IF(AND($K790=1,$L790&lt;$J790,COUNTIFS(nrES_PID,$D790,nrES_Code,$F790,nrES_Att,2)=0),"Yes","No")))</f>
        <v/>
      </c>
      <c r="R790" s="17">
        <f>IF($C790="","",IF($L790="","",IF(AND($K790=2,$L790&lt;$J790,COUNTIFS(nrES_PID,$D790,nrES_Code,$F790,nrES_Att,1)&gt;0),"Yes","No")))</f>
        <v/>
      </c>
      <c r="S790" s="18" t="n"/>
      <c r="T790" s="19">
        <f>IF($Q790&lt;&gt;"Yes","",IF($S790="","(enter date)",_xlfn.LET(_xlpm.dn,IFERROR(_xlfn.XLOOKUP($S790,nrCDdate,nrCDnum),""),IF(_xlpm.dn="","(not a class day)",IFERROR(_xlfn.XLOOKUP(_xlpm.dn+cfgRetestClassDays,nrCDnum,nrCDdate),"")))))</f>
        <v/>
      </c>
      <c r="U790" s="17">
        <f>IF($Q790&lt;&gt;"Yes","",IF(COUNTIFS(nrES_PID,$D790,nrES_Code,$F790,nrES_Att,2)&gt;0,"Retested",IF(OR($T790="",NOT(ISNUMBER($T790))),"Pending",IF(TODAY()&gt;$T790,"OVERDUE","Due "&amp;TEXT($T790,"mm/dd")))))</f>
        <v/>
      </c>
      <c r="V790" s="16" t="n"/>
      <c r="W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IF($C791="","",IF($L791="","",IF($K791=1,IF(COUNTIFS(nrES_PID,$D791,nrES_Code,$F791,nrES_Att,2)&gt;0,"",$L791),IF(COUNTIFS(nrES_PID,$D791,nrES_Code,$F791,nrES_Att,1)=0,$L791,IF($L791&gt;=$J791,cfgRetakeRecordedCap,SUMIFS(nrES_Raw,nrES_PID,$D791,nrES_Code,$F791,nrES_Att,1))))))</f>
        <v/>
      </c>
      <c r="N791" s="17">
        <f>IF($C791="","",IF($L791="","",IF($L791&gt;=$J791,"Yes","No")))</f>
        <v/>
      </c>
      <c r="O791" s="17">
        <f>IF($C791="","",IF($M791="","",IF($M791&gt;=$J791,"Yes","No")))</f>
        <v/>
      </c>
      <c r="P791" s="17">
        <f>IF($C791="","",IF($K791="","",IF(COUNTIFS(nrES_PID,$D791,nrES_Code,$F791,nrES_Att,"&gt;"&amp;$K791)=0,"Yes","No")))</f>
        <v/>
      </c>
      <c r="Q791" s="17">
        <f>IF($C791="","",IF($L791="","",IF(AND($K791=1,$L791&lt;$J791,COUNTIFS(nrES_PID,$D791,nrES_Code,$F791,nrES_Att,2)=0),"Yes","No")))</f>
        <v/>
      </c>
      <c r="R791" s="17">
        <f>IF($C791="","",IF($L791="","",IF(AND($K791=2,$L791&lt;$J791,COUNTIFS(nrES_PID,$D791,nrES_Code,$F791,nrES_Att,1)&gt;0),"Yes","No")))</f>
        <v/>
      </c>
      <c r="S791" s="18" t="n"/>
      <c r="T791" s="19">
        <f>IF($Q791&lt;&gt;"Yes","",IF($S791="","(enter date)",_xlfn.LET(_xlpm.dn,IFERROR(_xlfn.XLOOKUP($S791,nrCDdate,nrCDnum),""),IF(_xlpm.dn="","(not a class day)",IFERROR(_xlfn.XLOOKUP(_xlpm.dn+cfgRetestClassDays,nrCDnum,nrCDdate),"")))))</f>
        <v/>
      </c>
      <c r="U791" s="17">
        <f>IF($Q791&lt;&gt;"Yes","",IF(COUNTIFS(nrES_PID,$D791,nrES_Code,$F791,nrES_Att,2)&gt;0,"Retested",IF(OR($T791="",NOT(ISNUMBER($T791))),"Pending",IF(TODAY()&gt;$T791,"OVERDUE","Due "&amp;TEXT($T791,"mm/dd")))))</f>
        <v/>
      </c>
      <c r="V791" s="16" t="n"/>
      <c r="W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IF($C792="","",IF($L792="","",IF($K792=1,IF(COUNTIFS(nrES_PID,$D792,nrES_Code,$F792,nrES_Att,2)&gt;0,"",$L792),IF(COUNTIFS(nrES_PID,$D792,nrES_Code,$F792,nrES_Att,1)=0,$L792,IF($L792&gt;=$J792,cfgRetakeRecordedCap,SUMIFS(nrES_Raw,nrES_PID,$D792,nrES_Code,$F792,nrES_Att,1))))))</f>
        <v/>
      </c>
      <c r="N792" s="17">
        <f>IF($C792="","",IF($L792="","",IF($L792&gt;=$J792,"Yes","No")))</f>
        <v/>
      </c>
      <c r="O792" s="17">
        <f>IF($C792="","",IF($M792="","",IF($M792&gt;=$J792,"Yes","No")))</f>
        <v/>
      </c>
      <c r="P792" s="17">
        <f>IF($C792="","",IF($K792="","",IF(COUNTIFS(nrES_PID,$D792,nrES_Code,$F792,nrES_Att,"&gt;"&amp;$K792)=0,"Yes","No")))</f>
        <v/>
      </c>
      <c r="Q792" s="17">
        <f>IF($C792="","",IF($L792="","",IF(AND($K792=1,$L792&lt;$J792,COUNTIFS(nrES_PID,$D792,nrES_Code,$F792,nrES_Att,2)=0),"Yes","No")))</f>
        <v/>
      </c>
      <c r="R792" s="17">
        <f>IF($C792="","",IF($L792="","",IF(AND($K792=2,$L792&lt;$J792,COUNTIFS(nrES_PID,$D792,nrES_Code,$F792,nrES_Att,1)&gt;0),"Yes","No")))</f>
        <v/>
      </c>
      <c r="S792" s="18" t="n"/>
      <c r="T792" s="19">
        <f>IF($Q792&lt;&gt;"Yes","",IF($S792="","(enter date)",_xlfn.LET(_xlpm.dn,IFERROR(_xlfn.XLOOKUP($S792,nrCDdate,nrCDnum),""),IF(_xlpm.dn="","(not a class day)",IFERROR(_xlfn.XLOOKUP(_xlpm.dn+cfgRetestClassDays,nrCDnum,nrCDdate),"")))))</f>
        <v/>
      </c>
      <c r="U792" s="17">
        <f>IF($Q792&lt;&gt;"Yes","",IF(COUNTIFS(nrES_PID,$D792,nrES_Code,$F792,nrES_Att,2)&gt;0,"Retested",IF(OR($T792="",NOT(ISNUMBER($T792))),"Pending",IF(TODAY()&gt;$T792,"OVERDUE","Due "&amp;TEXT($T792,"mm/dd")))))</f>
        <v/>
      </c>
      <c r="V792" s="16" t="n"/>
      <c r="W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IF($C793="","",IF($L793="","",IF($K793=1,IF(COUNTIFS(nrES_PID,$D793,nrES_Code,$F793,nrES_Att,2)&gt;0,"",$L793),IF(COUNTIFS(nrES_PID,$D793,nrES_Code,$F793,nrES_Att,1)=0,$L793,IF($L793&gt;=$J793,cfgRetakeRecordedCap,SUMIFS(nrES_Raw,nrES_PID,$D793,nrES_Code,$F793,nrES_Att,1))))))</f>
        <v/>
      </c>
      <c r="N793" s="17">
        <f>IF($C793="","",IF($L793="","",IF($L793&gt;=$J793,"Yes","No")))</f>
        <v/>
      </c>
      <c r="O793" s="17">
        <f>IF($C793="","",IF($M793="","",IF($M793&gt;=$J793,"Yes","No")))</f>
        <v/>
      </c>
      <c r="P793" s="17">
        <f>IF($C793="","",IF($K793="","",IF(COUNTIFS(nrES_PID,$D793,nrES_Code,$F793,nrES_Att,"&gt;"&amp;$K793)=0,"Yes","No")))</f>
        <v/>
      </c>
      <c r="Q793" s="17">
        <f>IF($C793="","",IF($L793="","",IF(AND($K793=1,$L793&lt;$J793,COUNTIFS(nrES_PID,$D793,nrES_Code,$F793,nrES_Att,2)=0),"Yes","No")))</f>
        <v/>
      </c>
      <c r="R793" s="17">
        <f>IF($C793="","",IF($L793="","",IF(AND($K793=2,$L793&lt;$J793,COUNTIFS(nrES_PID,$D793,nrES_Code,$F793,nrES_Att,1)&gt;0),"Yes","No")))</f>
        <v/>
      </c>
      <c r="S793" s="18" t="n"/>
      <c r="T793" s="19">
        <f>IF($Q793&lt;&gt;"Yes","",IF($S793="","(enter date)",_xlfn.LET(_xlpm.dn,IFERROR(_xlfn.XLOOKUP($S793,nrCDdate,nrCDnum),""),IF(_xlpm.dn="","(not a class day)",IFERROR(_xlfn.XLOOKUP(_xlpm.dn+cfgRetestClassDays,nrCDnum,nrCDdate),"")))))</f>
        <v/>
      </c>
      <c r="U793" s="17">
        <f>IF($Q793&lt;&gt;"Yes","",IF(COUNTIFS(nrES_PID,$D793,nrES_Code,$F793,nrES_Att,2)&gt;0,"Retested",IF(OR($T793="",NOT(ISNUMBER($T793))),"Pending",IF(TODAY()&gt;$T793,"OVERDUE","Due "&amp;TEXT($T793,"mm/dd")))))</f>
        <v/>
      </c>
      <c r="V793" s="16" t="n"/>
      <c r="W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IF($C794="","",IF($L794="","",IF($K794=1,IF(COUNTIFS(nrES_PID,$D794,nrES_Code,$F794,nrES_Att,2)&gt;0,"",$L794),IF(COUNTIFS(nrES_PID,$D794,nrES_Code,$F794,nrES_Att,1)=0,$L794,IF($L794&gt;=$J794,cfgRetakeRecordedCap,SUMIFS(nrES_Raw,nrES_PID,$D794,nrES_Code,$F794,nrES_Att,1))))))</f>
        <v/>
      </c>
      <c r="N794" s="17">
        <f>IF($C794="","",IF($L794="","",IF($L794&gt;=$J794,"Yes","No")))</f>
        <v/>
      </c>
      <c r="O794" s="17">
        <f>IF($C794="","",IF($M794="","",IF($M794&gt;=$J794,"Yes","No")))</f>
        <v/>
      </c>
      <c r="P794" s="17">
        <f>IF($C794="","",IF($K794="","",IF(COUNTIFS(nrES_PID,$D794,nrES_Code,$F794,nrES_Att,"&gt;"&amp;$K794)=0,"Yes","No")))</f>
        <v/>
      </c>
      <c r="Q794" s="17">
        <f>IF($C794="","",IF($L794="","",IF(AND($K794=1,$L794&lt;$J794,COUNTIFS(nrES_PID,$D794,nrES_Code,$F794,nrES_Att,2)=0),"Yes","No")))</f>
        <v/>
      </c>
      <c r="R794" s="17">
        <f>IF($C794="","",IF($L794="","",IF(AND($K794=2,$L794&lt;$J794,COUNTIFS(nrES_PID,$D794,nrES_Code,$F794,nrES_Att,1)&gt;0),"Yes","No")))</f>
        <v/>
      </c>
      <c r="S794" s="18" t="n"/>
      <c r="T794" s="19">
        <f>IF($Q794&lt;&gt;"Yes","",IF($S794="","(enter date)",_xlfn.LET(_xlpm.dn,IFERROR(_xlfn.XLOOKUP($S794,nrCDdate,nrCDnum),""),IF(_xlpm.dn="","(not a class day)",IFERROR(_xlfn.XLOOKUP(_xlpm.dn+cfgRetestClassDays,nrCDnum,nrCDdate),"")))))</f>
        <v/>
      </c>
      <c r="U794" s="17">
        <f>IF($Q794&lt;&gt;"Yes","",IF(COUNTIFS(nrES_PID,$D794,nrES_Code,$F794,nrES_Att,2)&gt;0,"Retested",IF(OR($T794="",NOT(ISNUMBER($T794))),"Pending",IF(TODAY()&gt;$T794,"OVERDUE","Due "&amp;TEXT($T794,"mm/dd")))))</f>
        <v/>
      </c>
      <c r="V794" s="16" t="n"/>
      <c r="W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IF($C795="","",IF($L795="","",IF($K795=1,IF(COUNTIFS(nrES_PID,$D795,nrES_Code,$F795,nrES_Att,2)&gt;0,"",$L795),IF(COUNTIFS(nrES_PID,$D795,nrES_Code,$F795,nrES_Att,1)=0,$L795,IF($L795&gt;=$J795,cfgRetakeRecordedCap,SUMIFS(nrES_Raw,nrES_PID,$D795,nrES_Code,$F795,nrES_Att,1))))))</f>
        <v/>
      </c>
      <c r="N795" s="17">
        <f>IF($C795="","",IF($L795="","",IF($L795&gt;=$J795,"Yes","No")))</f>
        <v/>
      </c>
      <c r="O795" s="17">
        <f>IF($C795="","",IF($M795="","",IF($M795&gt;=$J795,"Yes","No")))</f>
        <v/>
      </c>
      <c r="P795" s="17">
        <f>IF($C795="","",IF($K795="","",IF(COUNTIFS(nrES_PID,$D795,nrES_Code,$F795,nrES_Att,"&gt;"&amp;$K795)=0,"Yes","No")))</f>
        <v/>
      </c>
      <c r="Q795" s="17">
        <f>IF($C795="","",IF($L795="","",IF(AND($K795=1,$L795&lt;$J795,COUNTIFS(nrES_PID,$D795,nrES_Code,$F795,nrES_Att,2)=0),"Yes","No")))</f>
        <v/>
      </c>
      <c r="R795" s="17">
        <f>IF($C795="","",IF($L795="","",IF(AND($K795=2,$L795&lt;$J795,COUNTIFS(nrES_PID,$D795,nrES_Code,$F795,nrES_Att,1)&gt;0),"Yes","No")))</f>
        <v/>
      </c>
      <c r="S795" s="18" t="n"/>
      <c r="T795" s="19">
        <f>IF($Q795&lt;&gt;"Yes","",IF($S795="","(enter date)",_xlfn.LET(_xlpm.dn,IFERROR(_xlfn.XLOOKUP($S795,nrCDdate,nrCDnum),""),IF(_xlpm.dn="","(not a class day)",IFERROR(_xlfn.XLOOKUP(_xlpm.dn+cfgRetestClassDays,nrCDnum,nrCDdate),"")))))</f>
        <v/>
      </c>
      <c r="U795" s="17">
        <f>IF($Q795&lt;&gt;"Yes","",IF(COUNTIFS(nrES_PID,$D795,nrES_Code,$F795,nrES_Att,2)&gt;0,"Retested",IF(OR($T795="",NOT(ISNUMBER($T795))),"Pending",IF(TODAY()&gt;$T795,"OVERDUE","Due "&amp;TEXT($T795,"mm/dd")))))</f>
        <v/>
      </c>
      <c r="V795" s="16" t="n"/>
      <c r="W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IF($C796="","",IF($L796="","",IF($K796=1,IF(COUNTIFS(nrES_PID,$D796,nrES_Code,$F796,nrES_Att,2)&gt;0,"",$L796),IF(COUNTIFS(nrES_PID,$D796,nrES_Code,$F796,nrES_Att,1)=0,$L796,IF($L796&gt;=$J796,cfgRetakeRecordedCap,SUMIFS(nrES_Raw,nrES_PID,$D796,nrES_Code,$F796,nrES_Att,1))))))</f>
        <v/>
      </c>
      <c r="N796" s="17">
        <f>IF($C796="","",IF($L796="","",IF($L796&gt;=$J796,"Yes","No")))</f>
        <v/>
      </c>
      <c r="O796" s="17">
        <f>IF($C796="","",IF($M796="","",IF($M796&gt;=$J796,"Yes","No")))</f>
        <v/>
      </c>
      <c r="P796" s="17">
        <f>IF($C796="","",IF($K796="","",IF(COUNTIFS(nrES_PID,$D796,nrES_Code,$F796,nrES_Att,"&gt;"&amp;$K796)=0,"Yes","No")))</f>
        <v/>
      </c>
      <c r="Q796" s="17">
        <f>IF($C796="","",IF($L796="","",IF(AND($K796=1,$L796&lt;$J796,COUNTIFS(nrES_PID,$D796,nrES_Code,$F796,nrES_Att,2)=0),"Yes","No")))</f>
        <v/>
      </c>
      <c r="R796" s="17">
        <f>IF($C796="","",IF($L796="","",IF(AND($K796=2,$L796&lt;$J796,COUNTIFS(nrES_PID,$D796,nrES_Code,$F796,nrES_Att,1)&gt;0),"Yes","No")))</f>
        <v/>
      </c>
      <c r="S796" s="18" t="n"/>
      <c r="T796" s="19">
        <f>IF($Q796&lt;&gt;"Yes","",IF($S796="","(enter date)",_xlfn.LET(_xlpm.dn,IFERROR(_xlfn.XLOOKUP($S796,nrCDdate,nrCDnum),""),IF(_xlpm.dn="","(not a class day)",IFERROR(_xlfn.XLOOKUP(_xlpm.dn+cfgRetestClassDays,nrCDnum,nrCDdate),"")))))</f>
        <v/>
      </c>
      <c r="U796" s="17">
        <f>IF($Q796&lt;&gt;"Yes","",IF(COUNTIFS(nrES_PID,$D796,nrES_Code,$F796,nrES_Att,2)&gt;0,"Retested",IF(OR($T796="",NOT(ISNUMBER($T796))),"Pending",IF(TODAY()&gt;$T796,"OVERDUE","Due "&amp;TEXT($T796,"mm/dd")))))</f>
        <v/>
      </c>
      <c r="V796" s="16" t="n"/>
      <c r="W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IF($C797="","",IF($L797="","",IF($K797=1,IF(COUNTIFS(nrES_PID,$D797,nrES_Code,$F797,nrES_Att,2)&gt;0,"",$L797),IF(COUNTIFS(nrES_PID,$D797,nrES_Code,$F797,nrES_Att,1)=0,$L797,IF($L797&gt;=$J797,cfgRetakeRecordedCap,SUMIFS(nrES_Raw,nrES_PID,$D797,nrES_Code,$F797,nrES_Att,1))))))</f>
        <v/>
      </c>
      <c r="N797" s="17">
        <f>IF($C797="","",IF($L797="","",IF($L797&gt;=$J797,"Yes","No")))</f>
        <v/>
      </c>
      <c r="O797" s="17">
        <f>IF($C797="","",IF($M797="","",IF($M797&gt;=$J797,"Yes","No")))</f>
        <v/>
      </c>
      <c r="P797" s="17">
        <f>IF($C797="","",IF($K797="","",IF(COUNTIFS(nrES_PID,$D797,nrES_Code,$F797,nrES_Att,"&gt;"&amp;$K797)=0,"Yes","No")))</f>
        <v/>
      </c>
      <c r="Q797" s="17">
        <f>IF($C797="","",IF($L797="","",IF(AND($K797=1,$L797&lt;$J797,COUNTIFS(nrES_PID,$D797,nrES_Code,$F797,nrES_Att,2)=0),"Yes","No")))</f>
        <v/>
      </c>
      <c r="R797" s="17">
        <f>IF($C797="","",IF($L797="","",IF(AND($K797=2,$L797&lt;$J797,COUNTIFS(nrES_PID,$D797,nrES_Code,$F797,nrES_Att,1)&gt;0),"Yes","No")))</f>
        <v/>
      </c>
      <c r="S797" s="18" t="n"/>
      <c r="T797" s="19">
        <f>IF($Q797&lt;&gt;"Yes","",IF($S797="","(enter date)",_xlfn.LET(_xlpm.dn,IFERROR(_xlfn.XLOOKUP($S797,nrCDdate,nrCDnum),""),IF(_xlpm.dn="","(not a class day)",IFERROR(_xlfn.XLOOKUP(_xlpm.dn+cfgRetestClassDays,nrCDnum,nrCDdate),"")))))</f>
        <v/>
      </c>
      <c r="U797" s="17">
        <f>IF($Q797&lt;&gt;"Yes","",IF(COUNTIFS(nrES_PID,$D797,nrES_Code,$F797,nrES_Att,2)&gt;0,"Retested",IF(OR($T797="",NOT(ISNUMBER($T797))),"Pending",IF(TODAY()&gt;$T797,"OVERDUE","Due "&amp;TEXT($T797,"mm/dd")))))</f>
        <v/>
      </c>
      <c r="V797" s="16" t="n"/>
      <c r="W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IF($C798="","",IF($L798="","",IF($K798=1,IF(COUNTIFS(nrES_PID,$D798,nrES_Code,$F798,nrES_Att,2)&gt;0,"",$L798),IF(COUNTIFS(nrES_PID,$D798,nrES_Code,$F798,nrES_Att,1)=0,$L798,IF($L798&gt;=$J798,cfgRetakeRecordedCap,SUMIFS(nrES_Raw,nrES_PID,$D798,nrES_Code,$F798,nrES_Att,1))))))</f>
        <v/>
      </c>
      <c r="N798" s="17">
        <f>IF($C798="","",IF($L798="","",IF($L798&gt;=$J798,"Yes","No")))</f>
        <v/>
      </c>
      <c r="O798" s="17">
        <f>IF($C798="","",IF($M798="","",IF($M798&gt;=$J798,"Yes","No")))</f>
        <v/>
      </c>
      <c r="P798" s="17">
        <f>IF($C798="","",IF($K798="","",IF(COUNTIFS(nrES_PID,$D798,nrES_Code,$F798,nrES_Att,"&gt;"&amp;$K798)=0,"Yes","No")))</f>
        <v/>
      </c>
      <c r="Q798" s="17">
        <f>IF($C798="","",IF($L798="","",IF(AND($K798=1,$L798&lt;$J798,COUNTIFS(nrES_PID,$D798,nrES_Code,$F798,nrES_Att,2)=0),"Yes","No")))</f>
        <v/>
      </c>
      <c r="R798" s="17">
        <f>IF($C798="","",IF($L798="","",IF(AND($K798=2,$L798&lt;$J798,COUNTIFS(nrES_PID,$D798,nrES_Code,$F798,nrES_Att,1)&gt;0),"Yes","No")))</f>
        <v/>
      </c>
      <c r="S798" s="18" t="n"/>
      <c r="T798" s="19">
        <f>IF($Q798&lt;&gt;"Yes","",IF($S798="","(enter date)",_xlfn.LET(_xlpm.dn,IFERROR(_xlfn.XLOOKUP($S798,nrCDdate,nrCDnum),""),IF(_xlpm.dn="","(not a class day)",IFERROR(_xlfn.XLOOKUP(_xlpm.dn+cfgRetestClassDays,nrCDnum,nrCDdate),"")))))</f>
        <v/>
      </c>
      <c r="U798" s="17">
        <f>IF($Q798&lt;&gt;"Yes","",IF(COUNTIFS(nrES_PID,$D798,nrES_Code,$F798,nrES_Att,2)&gt;0,"Retested",IF(OR($T798="",NOT(ISNUMBER($T798))),"Pending",IF(TODAY()&gt;$T798,"OVERDUE","Due "&amp;TEXT($T798,"mm/dd")))))</f>
        <v/>
      </c>
      <c r="V798" s="16" t="n"/>
      <c r="W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IF($C799="","",IF($L799="","",IF($K799=1,IF(COUNTIFS(nrES_PID,$D799,nrES_Code,$F799,nrES_Att,2)&gt;0,"",$L799),IF(COUNTIFS(nrES_PID,$D799,nrES_Code,$F799,nrES_Att,1)=0,$L799,IF($L799&gt;=$J799,cfgRetakeRecordedCap,SUMIFS(nrES_Raw,nrES_PID,$D799,nrES_Code,$F799,nrES_Att,1))))))</f>
        <v/>
      </c>
      <c r="N799" s="17">
        <f>IF($C799="","",IF($L799="","",IF($L799&gt;=$J799,"Yes","No")))</f>
        <v/>
      </c>
      <c r="O799" s="17">
        <f>IF($C799="","",IF($M799="","",IF($M799&gt;=$J799,"Yes","No")))</f>
        <v/>
      </c>
      <c r="P799" s="17">
        <f>IF($C799="","",IF($K799="","",IF(COUNTIFS(nrES_PID,$D799,nrES_Code,$F799,nrES_Att,"&gt;"&amp;$K799)=0,"Yes","No")))</f>
        <v/>
      </c>
      <c r="Q799" s="17">
        <f>IF($C799="","",IF($L799="","",IF(AND($K799=1,$L799&lt;$J799,COUNTIFS(nrES_PID,$D799,nrES_Code,$F799,nrES_Att,2)=0),"Yes","No")))</f>
        <v/>
      </c>
      <c r="R799" s="17">
        <f>IF($C799="","",IF($L799="","",IF(AND($K799=2,$L799&lt;$J799,COUNTIFS(nrES_PID,$D799,nrES_Code,$F799,nrES_Att,1)&gt;0),"Yes","No")))</f>
        <v/>
      </c>
      <c r="S799" s="18" t="n"/>
      <c r="T799" s="19">
        <f>IF($Q799&lt;&gt;"Yes","",IF($S799="","(enter date)",_xlfn.LET(_xlpm.dn,IFERROR(_xlfn.XLOOKUP($S799,nrCDdate,nrCDnum),""),IF(_xlpm.dn="","(not a class day)",IFERROR(_xlfn.XLOOKUP(_xlpm.dn+cfgRetestClassDays,nrCDnum,nrCDdate),"")))))</f>
        <v/>
      </c>
      <c r="U799" s="17">
        <f>IF($Q799&lt;&gt;"Yes","",IF(COUNTIFS(nrES_PID,$D799,nrES_Code,$F799,nrES_Att,2)&gt;0,"Retested",IF(OR($T799="",NOT(ISNUMBER($T799))),"Pending",IF(TODAY()&gt;$T799,"OVERDUE","Due "&amp;TEXT($T799,"mm/dd")))))</f>
        <v/>
      </c>
      <c r="V799" s="16" t="n"/>
      <c r="W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IF($C800="","",IF($L800="","",IF($K800=1,IF(COUNTIFS(nrES_PID,$D800,nrES_Code,$F800,nrES_Att,2)&gt;0,"",$L800),IF(COUNTIFS(nrES_PID,$D800,nrES_Code,$F800,nrES_Att,1)=0,$L800,IF($L800&gt;=$J800,cfgRetakeRecordedCap,SUMIFS(nrES_Raw,nrES_PID,$D800,nrES_Code,$F800,nrES_Att,1))))))</f>
        <v/>
      </c>
      <c r="N800" s="17">
        <f>IF($C800="","",IF($L800="","",IF($L800&gt;=$J800,"Yes","No")))</f>
        <v/>
      </c>
      <c r="O800" s="17">
        <f>IF($C800="","",IF($M800="","",IF($M800&gt;=$J800,"Yes","No")))</f>
        <v/>
      </c>
      <c r="P800" s="17">
        <f>IF($C800="","",IF($K800="","",IF(COUNTIFS(nrES_PID,$D800,nrES_Code,$F800,nrES_Att,"&gt;"&amp;$K800)=0,"Yes","No")))</f>
        <v/>
      </c>
      <c r="Q800" s="17">
        <f>IF($C800="","",IF($L800="","",IF(AND($K800=1,$L800&lt;$J800,COUNTIFS(nrES_PID,$D800,nrES_Code,$F800,nrES_Att,2)=0),"Yes","No")))</f>
        <v/>
      </c>
      <c r="R800" s="17">
        <f>IF($C800="","",IF($L800="","",IF(AND($K800=2,$L800&lt;$J800,COUNTIFS(nrES_PID,$D800,nrES_Code,$F800,nrES_Att,1)&gt;0),"Yes","No")))</f>
        <v/>
      </c>
      <c r="S800" s="18" t="n"/>
      <c r="T800" s="19">
        <f>IF($Q800&lt;&gt;"Yes","",IF($S800="","(enter date)",_xlfn.LET(_xlpm.dn,IFERROR(_xlfn.XLOOKUP($S800,nrCDdate,nrCDnum),""),IF(_xlpm.dn="","(not a class day)",IFERROR(_xlfn.XLOOKUP(_xlpm.dn+cfgRetestClassDays,nrCDnum,nrCDdate),"")))))</f>
        <v/>
      </c>
      <c r="U800" s="17">
        <f>IF($Q800&lt;&gt;"Yes","",IF(COUNTIFS(nrES_PID,$D800,nrES_Code,$F800,nrES_Att,2)&gt;0,"Retested",IF(OR($T800="",NOT(ISNUMBER($T800))),"Pending",IF(TODAY()&gt;$T800,"OVERDUE","Due "&amp;TEXT($T800,"mm/dd")))))</f>
        <v/>
      </c>
      <c r="V800" s="16" t="n"/>
      <c r="W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IF($C801="","",IF($L801="","",IF($K801=1,IF(COUNTIFS(nrES_PID,$D801,nrES_Code,$F801,nrES_Att,2)&gt;0,"",$L801),IF(COUNTIFS(nrES_PID,$D801,nrES_Code,$F801,nrES_Att,1)=0,$L801,IF($L801&gt;=$J801,cfgRetakeRecordedCap,SUMIFS(nrES_Raw,nrES_PID,$D801,nrES_Code,$F801,nrES_Att,1))))))</f>
        <v/>
      </c>
      <c r="N801" s="17">
        <f>IF($C801="","",IF($L801="","",IF($L801&gt;=$J801,"Yes","No")))</f>
        <v/>
      </c>
      <c r="O801" s="17">
        <f>IF($C801="","",IF($M801="","",IF($M801&gt;=$J801,"Yes","No")))</f>
        <v/>
      </c>
      <c r="P801" s="17">
        <f>IF($C801="","",IF($K801="","",IF(COUNTIFS(nrES_PID,$D801,nrES_Code,$F801,nrES_Att,"&gt;"&amp;$K801)=0,"Yes","No")))</f>
        <v/>
      </c>
      <c r="Q801" s="17">
        <f>IF($C801="","",IF($L801="","",IF(AND($K801=1,$L801&lt;$J801,COUNTIFS(nrES_PID,$D801,nrES_Code,$F801,nrES_Att,2)=0),"Yes","No")))</f>
        <v/>
      </c>
      <c r="R801" s="17">
        <f>IF($C801="","",IF($L801="","",IF(AND($K801=2,$L801&lt;$J801,COUNTIFS(nrES_PID,$D801,nrES_Code,$F801,nrES_Att,1)&gt;0),"Yes","No")))</f>
        <v/>
      </c>
      <c r="S801" s="18" t="n"/>
      <c r="T801" s="19">
        <f>IF($Q801&lt;&gt;"Yes","",IF($S801="","(enter date)",_xlfn.LET(_xlpm.dn,IFERROR(_xlfn.XLOOKUP($S801,nrCDdate,nrCDnum),""),IF(_xlpm.dn="","(not a class day)",IFERROR(_xlfn.XLOOKUP(_xlpm.dn+cfgRetestClassDays,nrCDnum,nrCDdate),"")))))</f>
        <v/>
      </c>
      <c r="U801" s="17">
        <f>IF($Q801&lt;&gt;"Yes","",IF(COUNTIFS(nrES_PID,$D801,nrES_Code,$F801,nrES_Att,2)&gt;0,"Retested",IF(OR($T801="",NOT(ISNUMBER($T801))),"Pending",IF(TODAY()&gt;$T801,"OVERDUE","Due "&amp;TEXT($T801,"mm/dd")))))</f>
        <v/>
      </c>
      <c r="V801" s="16" t="n"/>
      <c r="W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IF($C802="","",IF($L802="","",IF($K802=1,IF(COUNTIFS(nrES_PID,$D802,nrES_Code,$F802,nrES_Att,2)&gt;0,"",$L802),IF(COUNTIFS(nrES_PID,$D802,nrES_Code,$F802,nrES_Att,1)=0,$L802,IF($L802&gt;=$J802,cfgRetakeRecordedCap,SUMIFS(nrES_Raw,nrES_PID,$D802,nrES_Code,$F802,nrES_Att,1))))))</f>
        <v/>
      </c>
      <c r="N802" s="17">
        <f>IF($C802="","",IF($L802="","",IF($L802&gt;=$J802,"Yes","No")))</f>
        <v/>
      </c>
      <c r="O802" s="17">
        <f>IF($C802="","",IF($M802="","",IF($M802&gt;=$J802,"Yes","No")))</f>
        <v/>
      </c>
      <c r="P802" s="17">
        <f>IF($C802="","",IF($K802="","",IF(COUNTIFS(nrES_PID,$D802,nrES_Code,$F802,nrES_Att,"&gt;"&amp;$K802)=0,"Yes","No")))</f>
        <v/>
      </c>
      <c r="Q802" s="17">
        <f>IF($C802="","",IF($L802="","",IF(AND($K802=1,$L802&lt;$J802,COUNTIFS(nrES_PID,$D802,nrES_Code,$F802,nrES_Att,2)=0),"Yes","No")))</f>
        <v/>
      </c>
      <c r="R802" s="17">
        <f>IF($C802="","",IF($L802="","",IF(AND($K802=2,$L802&lt;$J802,COUNTIFS(nrES_PID,$D802,nrES_Code,$F802,nrES_Att,1)&gt;0),"Yes","No")))</f>
        <v/>
      </c>
      <c r="S802" s="18" t="n"/>
      <c r="T802" s="19">
        <f>IF($Q802&lt;&gt;"Yes","",IF($S802="","(enter date)",_xlfn.LET(_xlpm.dn,IFERROR(_xlfn.XLOOKUP($S802,nrCDdate,nrCDnum),""),IF(_xlpm.dn="","(not a class day)",IFERROR(_xlfn.XLOOKUP(_xlpm.dn+cfgRetestClassDays,nrCDnum,nrCDdate),"")))))</f>
        <v/>
      </c>
      <c r="U802" s="17">
        <f>IF($Q802&lt;&gt;"Yes","",IF(COUNTIFS(nrES_PID,$D802,nrES_Code,$F802,nrES_Att,2)&gt;0,"Retested",IF(OR($T802="",NOT(ISNUMBER($T802))),"Pending",IF(TODAY()&gt;$T802,"OVERDUE","Due "&amp;TEXT($T802,"mm/dd")))))</f>
        <v/>
      </c>
      <c r="V802" s="16" t="n"/>
      <c r="W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IF($C803="","",IF($L803="","",IF($K803=1,IF(COUNTIFS(nrES_PID,$D803,nrES_Code,$F803,nrES_Att,2)&gt;0,"",$L803),IF(COUNTIFS(nrES_PID,$D803,nrES_Code,$F803,nrES_Att,1)=0,$L803,IF($L803&gt;=$J803,cfgRetakeRecordedCap,SUMIFS(nrES_Raw,nrES_PID,$D803,nrES_Code,$F803,nrES_Att,1))))))</f>
        <v/>
      </c>
      <c r="N803" s="17">
        <f>IF($C803="","",IF($L803="","",IF($L803&gt;=$J803,"Yes","No")))</f>
        <v/>
      </c>
      <c r="O803" s="17">
        <f>IF($C803="","",IF($M803="","",IF($M803&gt;=$J803,"Yes","No")))</f>
        <v/>
      </c>
      <c r="P803" s="17">
        <f>IF($C803="","",IF($K803="","",IF(COUNTIFS(nrES_PID,$D803,nrES_Code,$F803,nrES_Att,"&gt;"&amp;$K803)=0,"Yes","No")))</f>
        <v/>
      </c>
      <c r="Q803" s="17">
        <f>IF($C803="","",IF($L803="","",IF(AND($K803=1,$L803&lt;$J803,COUNTIFS(nrES_PID,$D803,nrES_Code,$F803,nrES_Att,2)=0),"Yes","No")))</f>
        <v/>
      </c>
      <c r="R803" s="17">
        <f>IF($C803="","",IF($L803="","",IF(AND($K803=2,$L803&lt;$J803,COUNTIFS(nrES_PID,$D803,nrES_Code,$F803,nrES_Att,1)&gt;0),"Yes","No")))</f>
        <v/>
      </c>
      <c r="S803" s="18" t="n"/>
      <c r="T803" s="19">
        <f>IF($Q803&lt;&gt;"Yes","",IF($S803="","(enter date)",_xlfn.LET(_xlpm.dn,IFERROR(_xlfn.XLOOKUP($S803,nrCDdate,nrCDnum),""),IF(_xlpm.dn="","(not a class day)",IFERROR(_xlfn.XLOOKUP(_xlpm.dn+cfgRetestClassDays,nrCDnum,nrCDdate),"")))))</f>
        <v/>
      </c>
      <c r="U803" s="17">
        <f>IF($Q803&lt;&gt;"Yes","",IF(COUNTIFS(nrES_PID,$D803,nrES_Code,$F803,nrES_Att,2)&gt;0,"Retested",IF(OR($T803="",NOT(ISNUMBER($T803))),"Pending",IF(TODAY()&gt;$T803,"OVERDUE","Due "&amp;TEXT($T803,"mm/dd")))))</f>
        <v/>
      </c>
      <c r="V803" s="16" t="n"/>
      <c r="W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IF($C804="","",IF($L804="","",IF($K804=1,IF(COUNTIFS(nrES_PID,$D804,nrES_Code,$F804,nrES_Att,2)&gt;0,"",$L804),IF(COUNTIFS(nrES_PID,$D804,nrES_Code,$F804,nrES_Att,1)=0,$L804,IF($L804&gt;=$J804,cfgRetakeRecordedCap,SUMIFS(nrES_Raw,nrES_PID,$D804,nrES_Code,$F804,nrES_Att,1))))))</f>
        <v/>
      </c>
      <c r="N804" s="17">
        <f>IF($C804="","",IF($L804="","",IF($L804&gt;=$J804,"Yes","No")))</f>
        <v/>
      </c>
      <c r="O804" s="17">
        <f>IF($C804="","",IF($M804="","",IF($M804&gt;=$J804,"Yes","No")))</f>
        <v/>
      </c>
      <c r="P804" s="17">
        <f>IF($C804="","",IF($K804="","",IF(COUNTIFS(nrES_PID,$D804,nrES_Code,$F804,nrES_Att,"&gt;"&amp;$K804)=0,"Yes","No")))</f>
        <v/>
      </c>
      <c r="Q804" s="17">
        <f>IF($C804="","",IF($L804="","",IF(AND($K804=1,$L804&lt;$J804,COUNTIFS(nrES_PID,$D804,nrES_Code,$F804,nrES_Att,2)=0),"Yes","No")))</f>
        <v/>
      </c>
      <c r="R804" s="17">
        <f>IF($C804="","",IF($L804="","",IF(AND($K804=2,$L804&lt;$J804,COUNTIFS(nrES_PID,$D804,nrES_Code,$F804,nrES_Att,1)&gt;0),"Yes","No")))</f>
        <v/>
      </c>
      <c r="S804" s="18" t="n"/>
      <c r="T804" s="19">
        <f>IF($Q804&lt;&gt;"Yes","",IF($S804="","(enter date)",_xlfn.LET(_xlpm.dn,IFERROR(_xlfn.XLOOKUP($S804,nrCDdate,nrCDnum),""),IF(_xlpm.dn="","(not a class day)",IFERROR(_xlfn.XLOOKUP(_xlpm.dn+cfgRetestClassDays,nrCDnum,nrCDdate),"")))))</f>
        <v/>
      </c>
      <c r="U804" s="17">
        <f>IF($Q804&lt;&gt;"Yes","",IF(COUNTIFS(nrES_PID,$D804,nrES_Code,$F804,nrES_Att,2)&gt;0,"Retested",IF(OR($T804="",NOT(ISNUMBER($T804))),"Pending",IF(TODAY()&gt;$T804,"OVERDUE","Due "&amp;TEXT($T804,"mm/dd")))))</f>
        <v/>
      </c>
      <c r="V804" s="16" t="n"/>
      <c r="W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IF($C805="","",IF($L805="","",IF($K805=1,IF(COUNTIFS(nrES_PID,$D805,nrES_Code,$F805,nrES_Att,2)&gt;0,"",$L805),IF(COUNTIFS(nrES_PID,$D805,nrES_Code,$F805,nrES_Att,1)=0,$L805,IF($L805&gt;=$J805,cfgRetakeRecordedCap,SUMIFS(nrES_Raw,nrES_PID,$D805,nrES_Code,$F805,nrES_Att,1))))))</f>
        <v/>
      </c>
      <c r="N805" s="17">
        <f>IF($C805="","",IF($L805="","",IF($L805&gt;=$J805,"Yes","No")))</f>
        <v/>
      </c>
      <c r="O805" s="17">
        <f>IF($C805="","",IF($M805="","",IF($M805&gt;=$J805,"Yes","No")))</f>
        <v/>
      </c>
      <c r="P805" s="17">
        <f>IF($C805="","",IF($K805="","",IF(COUNTIFS(nrES_PID,$D805,nrES_Code,$F805,nrES_Att,"&gt;"&amp;$K805)=0,"Yes","No")))</f>
        <v/>
      </c>
      <c r="Q805" s="17">
        <f>IF($C805="","",IF($L805="","",IF(AND($K805=1,$L805&lt;$J805,COUNTIFS(nrES_PID,$D805,nrES_Code,$F805,nrES_Att,2)=0),"Yes","No")))</f>
        <v/>
      </c>
      <c r="R805" s="17">
        <f>IF($C805="","",IF($L805="","",IF(AND($K805=2,$L805&lt;$J805,COUNTIFS(nrES_PID,$D805,nrES_Code,$F805,nrES_Att,1)&gt;0),"Yes","No")))</f>
        <v/>
      </c>
      <c r="S805" s="18" t="n"/>
      <c r="T805" s="19">
        <f>IF($Q805&lt;&gt;"Yes","",IF($S805="","(enter date)",_xlfn.LET(_xlpm.dn,IFERROR(_xlfn.XLOOKUP($S805,nrCDdate,nrCDnum),""),IF(_xlpm.dn="","(not a class day)",IFERROR(_xlfn.XLOOKUP(_xlpm.dn+cfgRetestClassDays,nrCDnum,nrCDdate),"")))))</f>
        <v/>
      </c>
      <c r="U805" s="17">
        <f>IF($Q805&lt;&gt;"Yes","",IF(COUNTIFS(nrES_PID,$D805,nrES_Code,$F805,nrES_Att,2)&gt;0,"Retested",IF(OR($T805="",NOT(ISNUMBER($T805))),"Pending",IF(TODAY()&gt;$T805,"OVERDUE","Due "&amp;TEXT($T805,"mm/dd")))))</f>
        <v/>
      </c>
      <c r="V805" s="16" t="n"/>
      <c r="W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IF($C806="","",IF($L806="","",IF($K806=1,IF(COUNTIFS(nrES_PID,$D806,nrES_Code,$F806,nrES_Att,2)&gt;0,"",$L806),IF(COUNTIFS(nrES_PID,$D806,nrES_Code,$F806,nrES_Att,1)=0,$L806,IF($L806&gt;=$J806,cfgRetakeRecordedCap,SUMIFS(nrES_Raw,nrES_PID,$D806,nrES_Code,$F806,nrES_Att,1))))))</f>
        <v/>
      </c>
      <c r="N806" s="17">
        <f>IF($C806="","",IF($L806="","",IF($L806&gt;=$J806,"Yes","No")))</f>
        <v/>
      </c>
      <c r="O806" s="17">
        <f>IF($C806="","",IF($M806="","",IF($M806&gt;=$J806,"Yes","No")))</f>
        <v/>
      </c>
      <c r="P806" s="17">
        <f>IF($C806="","",IF($K806="","",IF(COUNTIFS(nrES_PID,$D806,nrES_Code,$F806,nrES_Att,"&gt;"&amp;$K806)=0,"Yes","No")))</f>
        <v/>
      </c>
      <c r="Q806" s="17">
        <f>IF($C806="","",IF($L806="","",IF(AND($K806=1,$L806&lt;$J806,COUNTIFS(nrES_PID,$D806,nrES_Code,$F806,nrES_Att,2)=0),"Yes","No")))</f>
        <v/>
      </c>
      <c r="R806" s="17">
        <f>IF($C806="","",IF($L806="","",IF(AND($K806=2,$L806&lt;$J806,COUNTIFS(nrES_PID,$D806,nrES_Code,$F806,nrES_Att,1)&gt;0),"Yes","No")))</f>
        <v/>
      </c>
      <c r="S806" s="18" t="n"/>
      <c r="T806" s="19">
        <f>IF($Q806&lt;&gt;"Yes","",IF($S806="","(enter date)",_xlfn.LET(_xlpm.dn,IFERROR(_xlfn.XLOOKUP($S806,nrCDdate,nrCDnum),""),IF(_xlpm.dn="","(not a class day)",IFERROR(_xlfn.XLOOKUP(_xlpm.dn+cfgRetestClassDays,nrCDnum,nrCDdate),"")))))</f>
        <v/>
      </c>
      <c r="U806" s="17">
        <f>IF($Q806&lt;&gt;"Yes","",IF(COUNTIFS(nrES_PID,$D806,nrES_Code,$F806,nrES_Att,2)&gt;0,"Retested",IF(OR($T806="",NOT(ISNUMBER($T806))),"Pending",IF(TODAY()&gt;$T806,"OVERDUE","Due "&amp;TEXT($T806,"mm/dd")))))</f>
        <v/>
      </c>
      <c r="V806" s="16" t="n"/>
      <c r="W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IF($C807="","",IF($L807="","",IF($K807=1,IF(COUNTIFS(nrES_PID,$D807,nrES_Code,$F807,nrES_Att,2)&gt;0,"",$L807),IF(COUNTIFS(nrES_PID,$D807,nrES_Code,$F807,nrES_Att,1)=0,$L807,IF($L807&gt;=$J807,cfgRetakeRecordedCap,SUMIFS(nrES_Raw,nrES_PID,$D807,nrES_Code,$F807,nrES_Att,1))))))</f>
        <v/>
      </c>
      <c r="N807" s="17">
        <f>IF($C807="","",IF($L807="","",IF($L807&gt;=$J807,"Yes","No")))</f>
        <v/>
      </c>
      <c r="O807" s="17">
        <f>IF($C807="","",IF($M807="","",IF($M807&gt;=$J807,"Yes","No")))</f>
        <v/>
      </c>
      <c r="P807" s="17">
        <f>IF($C807="","",IF($K807="","",IF(COUNTIFS(nrES_PID,$D807,nrES_Code,$F807,nrES_Att,"&gt;"&amp;$K807)=0,"Yes","No")))</f>
        <v/>
      </c>
      <c r="Q807" s="17">
        <f>IF($C807="","",IF($L807="","",IF(AND($K807=1,$L807&lt;$J807,COUNTIFS(nrES_PID,$D807,nrES_Code,$F807,nrES_Att,2)=0),"Yes","No")))</f>
        <v/>
      </c>
      <c r="R807" s="17">
        <f>IF($C807="","",IF($L807="","",IF(AND($K807=2,$L807&lt;$J807,COUNTIFS(nrES_PID,$D807,nrES_Code,$F807,nrES_Att,1)&gt;0),"Yes","No")))</f>
        <v/>
      </c>
      <c r="S807" s="18" t="n"/>
      <c r="T807" s="19">
        <f>IF($Q807&lt;&gt;"Yes","",IF($S807="","(enter date)",_xlfn.LET(_xlpm.dn,IFERROR(_xlfn.XLOOKUP($S807,nrCDdate,nrCDnum),""),IF(_xlpm.dn="","(not a class day)",IFERROR(_xlfn.XLOOKUP(_xlpm.dn+cfgRetestClassDays,nrCDnum,nrCDdate),"")))))</f>
        <v/>
      </c>
      <c r="U807" s="17">
        <f>IF($Q807&lt;&gt;"Yes","",IF(COUNTIFS(nrES_PID,$D807,nrES_Code,$F807,nrES_Att,2)&gt;0,"Retested",IF(OR($T807="",NOT(ISNUMBER($T807))),"Pending",IF(TODAY()&gt;$T807,"OVERDUE","Due "&amp;TEXT($T807,"mm/dd")))))</f>
        <v/>
      </c>
      <c r="V807" s="16" t="n"/>
      <c r="W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IF($C808="","",IF($L808="","",IF($K808=1,IF(COUNTIFS(nrES_PID,$D808,nrES_Code,$F808,nrES_Att,2)&gt;0,"",$L808),IF(COUNTIFS(nrES_PID,$D808,nrES_Code,$F808,nrES_Att,1)=0,$L808,IF($L808&gt;=$J808,cfgRetakeRecordedCap,SUMIFS(nrES_Raw,nrES_PID,$D808,nrES_Code,$F808,nrES_Att,1))))))</f>
        <v/>
      </c>
      <c r="N808" s="17">
        <f>IF($C808="","",IF($L808="","",IF($L808&gt;=$J808,"Yes","No")))</f>
        <v/>
      </c>
      <c r="O808" s="17">
        <f>IF($C808="","",IF($M808="","",IF($M808&gt;=$J808,"Yes","No")))</f>
        <v/>
      </c>
      <c r="P808" s="17">
        <f>IF($C808="","",IF($K808="","",IF(COUNTIFS(nrES_PID,$D808,nrES_Code,$F808,nrES_Att,"&gt;"&amp;$K808)=0,"Yes","No")))</f>
        <v/>
      </c>
      <c r="Q808" s="17">
        <f>IF($C808="","",IF($L808="","",IF(AND($K808=1,$L808&lt;$J808,COUNTIFS(nrES_PID,$D808,nrES_Code,$F808,nrES_Att,2)=0),"Yes","No")))</f>
        <v/>
      </c>
      <c r="R808" s="17">
        <f>IF($C808="","",IF($L808="","",IF(AND($K808=2,$L808&lt;$J808,COUNTIFS(nrES_PID,$D808,nrES_Code,$F808,nrES_Att,1)&gt;0),"Yes","No")))</f>
        <v/>
      </c>
      <c r="S808" s="18" t="n"/>
      <c r="T808" s="19">
        <f>IF($Q808&lt;&gt;"Yes","",IF($S808="","(enter date)",_xlfn.LET(_xlpm.dn,IFERROR(_xlfn.XLOOKUP($S808,nrCDdate,nrCDnum),""),IF(_xlpm.dn="","(not a class day)",IFERROR(_xlfn.XLOOKUP(_xlpm.dn+cfgRetestClassDays,nrCDnum,nrCDdate),"")))))</f>
        <v/>
      </c>
      <c r="U808" s="17">
        <f>IF($Q808&lt;&gt;"Yes","",IF(COUNTIFS(nrES_PID,$D808,nrES_Code,$F808,nrES_Att,2)&gt;0,"Retested",IF(OR($T808="",NOT(ISNUMBER($T808))),"Pending",IF(TODAY()&gt;$T808,"OVERDUE","Due "&amp;TEXT($T808,"mm/dd")))))</f>
        <v/>
      </c>
      <c r="V808" s="16" t="n"/>
      <c r="W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IF($C809="","",IF($L809="","",IF($K809=1,IF(COUNTIFS(nrES_PID,$D809,nrES_Code,$F809,nrES_Att,2)&gt;0,"",$L809),IF(COUNTIFS(nrES_PID,$D809,nrES_Code,$F809,nrES_Att,1)=0,$L809,IF($L809&gt;=$J809,cfgRetakeRecordedCap,SUMIFS(nrES_Raw,nrES_PID,$D809,nrES_Code,$F809,nrES_Att,1))))))</f>
        <v/>
      </c>
      <c r="N809" s="17">
        <f>IF($C809="","",IF($L809="","",IF($L809&gt;=$J809,"Yes","No")))</f>
        <v/>
      </c>
      <c r="O809" s="17">
        <f>IF($C809="","",IF($M809="","",IF($M809&gt;=$J809,"Yes","No")))</f>
        <v/>
      </c>
      <c r="P809" s="17">
        <f>IF($C809="","",IF($K809="","",IF(COUNTIFS(nrES_PID,$D809,nrES_Code,$F809,nrES_Att,"&gt;"&amp;$K809)=0,"Yes","No")))</f>
        <v/>
      </c>
      <c r="Q809" s="17">
        <f>IF($C809="","",IF($L809="","",IF(AND($K809=1,$L809&lt;$J809,COUNTIFS(nrES_PID,$D809,nrES_Code,$F809,nrES_Att,2)=0),"Yes","No")))</f>
        <v/>
      </c>
      <c r="R809" s="17">
        <f>IF($C809="","",IF($L809="","",IF(AND($K809=2,$L809&lt;$J809,COUNTIFS(nrES_PID,$D809,nrES_Code,$F809,nrES_Att,1)&gt;0),"Yes","No")))</f>
        <v/>
      </c>
      <c r="S809" s="18" t="n"/>
      <c r="T809" s="19">
        <f>IF($Q809&lt;&gt;"Yes","",IF($S809="","(enter date)",_xlfn.LET(_xlpm.dn,IFERROR(_xlfn.XLOOKUP($S809,nrCDdate,nrCDnum),""),IF(_xlpm.dn="","(not a class day)",IFERROR(_xlfn.XLOOKUP(_xlpm.dn+cfgRetestClassDays,nrCDnum,nrCDdate),"")))))</f>
        <v/>
      </c>
      <c r="U809" s="17">
        <f>IF($Q809&lt;&gt;"Yes","",IF(COUNTIFS(nrES_PID,$D809,nrES_Code,$F809,nrES_Att,2)&gt;0,"Retested",IF(OR($T809="",NOT(ISNUMBER($T809))),"Pending",IF(TODAY()&gt;$T809,"OVERDUE","Due "&amp;TEXT($T809,"mm/dd")))))</f>
        <v/>
      </c>
      <c r="V809" s="16" t="n"/>
      <c r="W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IF($C810="","",IF($L810="","",IF($K810=1,IF(COUNTIFS(nrES_PID,$D810,nrES_Code,$F810,nrES_Att,2)&gt;0,"",$L810),IF(COUNTIFS(nrES_PID,$D810,nrES_Code,$F810,nrES_Att,1)=0,$L810,IF($L810&gt;=$J810,cfgRetakeRecordedCap,SUMIFS(nrES_Raw,nrES_PID,$D810,nrES_Code,$F810,nrES_Att,1))))))</f>
        <v/>
      </c>
      <c r="N810" s="17">
        <f>IF($C810="","",IF($L810="","",IF($L810&gt;=$J810,"Yes","No")))</f>
        <v/>
      </c>
      <c r="O810" s="17">
        <f>IF($C810="","",IF($M810="","",IF($M810&gt;=$J810,"Yes","No")))</f>
        <v/>
      </c>
      <c r="P810" s="17">
        <f>IF($C810="","",IF($K810="","",IF(COUNTIFS(nrES_PID,$D810,nrES_Code,$F810,nrES_Att,"&gt;"&amp;$K810)=0,"Yes","No")))</f>
        <v/>
      </c>
      <c r="Q810" s="17">
        <f>IF($C810="","",IF($L810="","",IF(AND($K810=1,$L810&lt;$J810,COUNTIFS(nrES_PID,$D810,nrES_Code,$F810,nrES_Att,2)=0),"Yes","No")))</f>
        <v/>
      </c>
      <c r="R810" s="17">
        <f>IF($C810="","",IF($L810="","",IF(AND($K810=2,$L810&lt;$J810,COUNTIFS(nrES_PID,$D810,nrES_Code,$F810,nrES_Att,1)&gt;0),"Yes","No")))</f>
        <v/>
      </c>
      <c r="S810" s="18" t="n"/>
      <c r="T810" s="19">
        <f>IF($Q810&lt;&gt;"Yes","",IF($S810="","(enter date)",_xlfn.LET(_xlpm.dn,IFERROR(_xlfn.XLOOKUP($S810,nrCDdate,nrCDnum),""),IF(_xlpm.dn="","(not a class day)",IFERROR(_xlfn.XLOOKUP(_xlpm.dn+cfgRetestClassDays,nrCDnum,nrCDdate),"")))))</f>
        <v/>
      </c>
      <c r="U810" s="17">
        <f>IF($Q810&lt;&gt;"Yes","",IF(COUNTIFS(nrES_PID,$D810,nrES_Code,$F810,nrES_Att,2)&gt;0,"Retested",IF(OR($T810="",NOT(ISNUMBER($T810))),"Pending",IF(TODAY()&gt;$T810,"OVERDUE","Due "&amp;TEXT($T810,"mm/dd")))))</f>
        <v/>
      </c>
      <c r="V810" s="16" t="n"/>
      <c r="W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IF($C811="","",IF($L811="","",IF($K811=1,IF(COUNTIFS(nrES_PID,$D811,nrES_Code,$F811,nrES_Att,2)&gt;0,"",$L811),IF(COUNTIFS(nrES_PID,$D811,nrES_Code,$F811,nrES_Att,1)=0,$L811,IF($L811&gt;=$J811,cfgRetakeRecordedCap,SUMIFS(nrES_Raw,nrES_PID,$D811,nrES_Code,$F811,nrES_Att,1))))))</f>
        <v/>
      </c>
      <c r="N811" s="17">
        <f>IF($C811="","",IF($L811="","",IF($L811&gt;=$J811,"Yes","No")))</f>
        <v/>
      </c>
      <c r="O811" s="17">
        <f>IF($C811="","",IF($M811="","",IF($M811&gt;=$J811,"Yes","No")))</f>
        <v/>
      </c>
      <c r="P811" s="17">
        <f>IF($C811="","",IF($K811="","",IF(COUNTIFS(nrES_PID,$D811,nrES_Code,$F811,nrES_Att,"&gt;"&amp;$K811)=0,"Yes","No")))</f>
        <v/>
      </c>
      <c r="Q811" s="17">
        <f>IF($C811="","",IF($L811="","",IF(AND($K811=1,$L811&lt;$J811,COUNTIFS(nrES_PID,$D811,nrES_Code,$F811,nrES_Att,2)=0),"Yes","No")))</f>
        <v/>
      </c>
      <c r="R811" s="17">
        <f>IF($C811="","",IF($L811="","",IF(AND($K811=2,$L811&lt;$J811,COUNTIFS(nrES_PID,$D811,nrES_Code,$F811,nrES_Att,1)&gt;0),"Yes","No")))</f>
        <v/>
      </c>
      <c r="S811" s="18" t="n"/>
      <c r="T811" s="19">
        <f>IF($Q811&lt;&gt;"Yes","",IF($S811="","(enter date)",_xlfn.LET(_xlpm.dn,IFERROR(_xlfn.XLOOKUP($S811,nrCDdate,nrCDnum),""),IF(_xlpm.dn="","(not a class day)",IFERROR(_xlfn.XLOOKUP(_xlpm.dn+cfgRetestClassDays,nrCDnum,nrCDdate),"")))))</f>
        <v/>
      </c>
      <c r="U811" s="17">
        <f>IF($Q811&lt;&gt;"Yes","",IF(COUNTIFS(nrES_PID,$D811,nrES_Code,$F811,nrES_Att,2)&gt;0,"Retested",IF(OR($T811="",NOT(ISNUMBER($T811))),"Pending",IF(TODAY()&gt;$T811,"OVERDUE","Due "&amp;TEXT($T811,"mm/dd")))))</f>
        <v/>
      </c>
      <c r="V811" s="16" t="n"/>
      <c r="W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IF($C812="","",IF($L812="","",IF($K812=1,IF(COUNTIFS(nrES_PID,$D812,nrES_Code,$F812,nrES_Att,2)&gt;0,"",$L812),IF(COUNTIFS(nrES_PID,$D812,nrES_Code,$F812,nrES_Att,1)=0,$L812,IF($L812&gt;=$J812,cfgRetakeRecordedCap,SUMIFS(nrES_Raw,nrES_PID,$D812,nrES_Code,$F812,nrES_Att,1))))))</f>
        <v/>
      </c>
      <c r="N812" s="17">
        <f>IF($C812="","",IF($L812="","",IF($L812&gt;=$J812,"Yes","No")))</f>
        <v/>
      </c>
      <c r="O812" s="17">
        <f>IF($C812="","",IF($M812="","",IF($M812&gt;=$J812,"Yes","No")))</f>
        <v/>
      </c>
      <c r="P812" s="17">
        <f>IF($C812="","",IF($K812="","",IF(COUNTIFS(nrES_PID,$D812,nrES_Code,$F812,nrES_Att,"&gt;"&amp;$K812)=0,"Yes","No")))</f>
        <v/>
      </c>
      <c r="Q812" s="17">
        <f>IF($C812="","",IF($L812="","",IF(AND($K812=1,$L812&lt;$J812,COUNTIFS(nrES_PID,$D812,nrES_Code,$F812,nrES_Att,2)=0),"Yes","No")))</f>
        <v/>
      </c>
      <c r="R812" s="17">
        <f>IF($C812="","",IF($L812="","",IF(AND($K812=2,$L812&lt;$J812,COUNTIFS(nrES_PID,$D812,nrES_Code,$F812,nrES_Att,1)&gt;0),"Yes","No")))</f>
        <v/>
      </c>
      <c r="S812" s="18" t="n"/>
      <c r="T812" s="19">
        <f>IF($Q812&lt;&gt;"Yes","",IF($S812="","(enter date)",_xlfn.LET(_xlpm.dn,IFERROR(_xlfn.XLOOKUP($S812,nrCDdate,nrCDnum),""),IF(_xlpm.dn="","(not a class day)",IFERROR(_xlfn.XLOOKUP(_xlpm.dn+cfgRetestClassDays,nrCDnum,nrCDdate),"")))))</f>
        <v/>
      </c>
      <c r="U812" s="17">
        <f>IF($Q812&lt;&gt;"Yes","",IF(COUNTIFS(nrES_PID,$D812,nrES_Code,$F812,nrES_Att,2)&gt;0,"Retested",IF(OR($T812="",NOT(ISNUMBER($T812))),"Pending",IF(TODAY()&gt;$T812,"OVERDUE","Due "&amp;TEXT($T812,"mm/dd")))))</f>
        <v/>
      </c>
      <c r="V812" s="16" t="n"/>
      <c r="W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IF($C813="","",IF($L813="","",IF($K813=1,IF(COUNTIFS(nrES_PID,$D813,nrES_Code,$F813,nrES_Att,2)&gt;0,"",$L813),IF(COUNTIFS(nrES_PID,$D813,nrES_Code,$F813,nrES_Att,1)=0,$L813,IF($L813&gt;=$J813,cfgRetakeRecordedCap,SUMIFS(nrES_Raw,nrES_PID,$D813,nrES_Code,$F813,nrES_Att,1))))))</f>
        <v/>
      </c>
      <c r="N813" s="17">
        <f>IF($C813="","",IF($L813="","",IF($L813&gt;=$J813,"Yes","No")))</f>
        <v/>
      </c>
      <c r="O813" s="17">
        <f>IF($C813="","",IF($M813="","",IF($M813&gt;=$J813,"Yes","No")))</f>
        <v/>
      </c>
      <c r="P813" s="17">
        <f>IF($C813="","",IF($K813="","",IF(COUNTIFS(nrES_PID,$D813,nrES_Code,$F813,nrES_Att,"&gt;"&amp;$K813)=0,"Yes","No")))</f>
        <v/>
      </c>
      <c r="Q813" s="17">
        <f>IF($C813="","",IF($L813="","",IF(AND($K813=1,$L813&lt;$J813,COUNTIFS(nrES_PID,$D813,nrES_Code,$F813,nrES_Att,2)=0),"Yes","No")))</f>
        <v/>
      </c>
      <c r="R813" s="17">
        <f>IF($C813="","",IF($L813="","",IF(AND($K813=2,$L813&lt;$J813,COUNTIFS(nrES_PID,$D813,nrES_Code,$F813,nrES_Att,1)&gt;0),"Yes","No")))</f>
        <v/>
      </c>
      <c r="S813" s="18" t="n"/>
      <c r="T813" s="19">
        <f>IF($Q813&lt;&gt;"Yes","",IF($S813="","(enter date)",_xlfn.LET(_xlpm.dn,IFERROR(_xlfn.XLOOKUP($S813,nrCDdate,nrCDnum),""),IF(_xlpm.dn="","(not a class day)",IFERROR(_xlfn.XLOOKUP(_xlpm.dn+cfgRetestClassDays,nrCDnum,nrCDdate),"")))))</f>
        <v/>
      </c>
      <c r="U813" s="17">
        <f>IF($Q813&lt;&gt;"Yes","",IF(COUNTIFS(nrES_PID,$D813,nrES_Code,$F813,nrES_Att,2)&gt;0,"Retested",IF(OR($T813="",NOT(ISNUMBER($T813))),"Pending",IF(TODAY()&gt;$T813,"OVERDUE","Due "&amp;TEXT($T813,"mm/dd")))))</f>
        <v/>
      </c>
      <c r="V813" s="16" t="n"/>
      <c r="W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IF($C814="","",IF($L814="","",IF($K814=1,IF(COUNTIFS(nrES_PID,$D814,nrES_Code,$F814,nrES_Att,2)&gt;0,"",$L814),IF(COUNTIFS(nrES_PID,$D814,nrES_Code,$F814,nrES_Att,1)=0,$L814,IF($L814&gt;=$J814,cfgRetakeRecordedCap,SUMIFS(nrES_Raw,nrES_PID,$D814,nrES_Code,$F814,nrES_Att,1))))))</f>
        <v/>
      </c>
      <c r="N814" s="17">
        <f>IF($C814="","",IF($L814="","",IF($L814&gt;=$J814,"Yes","No")))</f>
        <v/>
      </c>
      <c r="O814" s="17">
        <f>IF($C814="","",IF($M814="","",IF($M814&gt;=$J814,"Yes","No")))</f>
        <v/>
      </c>
      <c r="P814" s="17">
        <f>IF($C814="","",IF($K814="","",IF(COUNTIFS(nrES_PID,$D814,nrES_Code,$F814,nrES_Att,"&gt;"&amp;$K814)=0,"Yes","No")))</f>
        <v/>
      </c>
      <c r="Q814" s="17">
        <f>IF($C814="","",IF($L814="","",IF(AND($K814=1,$L814&lt;$J814,COUNTIFS(nrES_PID,$D814,nrES_Code,$F814,nrES_Att,2)=0),"Yes","No")))</f>
        <v/>
      </c>
      <c r="R814" s="17">
        <f>IF($C814="","",IF($L814="","",IF(AND($K814=2,$L814&lt;$J814,COUNTIFS(nrES_PID,$D814,nrES_Code,$F814,nrES_Att,1)&gt;0),"Yes","No")))</f>
        <v/>
      </c>
      <c r="S814" s="18" t="n"/>
      <c r="T814" s="19">
        <f>IF($Q814&lt;&gt;"Yes","",IF($S814="","(enter date)",_xlfn.LET(_xlpm.dn,IFERROR(_xlfn.XLOOKUP($S814,nrCDdate,nrCDnum),""),IF(_xlpm.dn="","(not a class day)",IFERROR(_xlfn.XLOOKUP(_xlpm.dn+cfgRetestClassDays,nrCDnum,nrCDdate),"")))))</f>
        <v/>
      </c>
      <c r="U814" s="17">
        <f>IF($Q814&lt;&gt;"Yes","",IF(COUNTIFS(nrES_PID,$D814,nrES_Code,$F814,nrES_Att,2)&gt;0,"Retested",IF(OR($T814="",NOT(ISNUMBER($T814))),"Pending",IF(TODAY()&gt;$T814,"OVERDUE","Due "&amp;TEXT($T814,"mm/dd")))))</f>
        <v/>
      </c>
      <c r="V814" s="16" t="n"/>
      <c r="W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IF($C815="","",IF($L815="","",IF($K815=1,IF(COUNTIFS(nrES_PID,$D815,nrES_Code,$F815,nrES_Att,2)&gt;0,"",$L815),IF(COUNTIFS(nrES_PID,$D815,nrES_Code,$F815,nrES_Att,1)=0,$L815,IF($L815&gt;=$J815,cfgRetakeRecordedCap,SUMIFS(nrES_Raw,nrES_PID,$D815,nrES_Code,$F815,nrES_Att,1))))))</f>
        <v/>
      </c>
      <c r="N815" s="17">
        <f>IF($C815="","",IF($L815="","",IF($L815&gt;=$J815,"Yes","No")))</f>
        <v/>
      </c>
      <c r="O815" s="17">
        <f>IF($C815="","",IF($M815="","",IF($M815&gt;=$J815,"Yes","No")))</f>
        <v/>
      </c>
      <c r="P815" s="17">
        <f>IF($C815="","",IF($K815="","",IF(COUNTIFS(nrES_PID,$D815,nrES_Code,$F815,nrES_Att,"&gt;"&amp;$K815)=0,"Yes","No")))</f>
        <v/>
      </c>
      <c r="Q815" s="17">
        <f>IF($C815="","",IF($L815="","",IF(AND($K815=1,$L815&lt;$J815,COUNTIFS(nrES_PID,$D815,nrES_Code,$F815,nrES_Att,2)=0),"Yes","No")))</f>
        <v/>
      </c>
      <c r="R815" s="17">
        <f>IF($C815="","",IF($L815="","",IF(AND($K815=2,$L815&lt;$J815,COUNTIFS(nrES_PID,$D815,nrES_Code,$F815,nrES_Att,1)&gt;0),"Yes","No")))</f>
        <v/>
      </c>
      <c r="S815" s="18" t="n"/>
      <c r="T815" s="19">
        <f>IF($Q815&lt;&gt;"Yes","",IF($S815="","(enter date)",_xlfn.LET(_xlpm.dn,IFERROR(_xlfn.XLOOKUP($S815,nrCDdate,nrCDnum),""),IF(_xlpm.dn="","(not a class day)",IFERROR(_xlfn.XLOOKUP(_xlpm.dn+cfgRetestClassDays,nrCDnum,nrCDdate),"")))))</f>
        <v/>
      </c>
      <c r="U815" s="17">
        <f>IF($Q815&lt;&gt;"Yes","",IF(COUNTIFS(nrES_PID,$D815,nrES_Code,$F815,nrES_Att,2)&gt;0,"Retested",IF(OR($T815="",NOT(ISNUMBER($T815))),"Pending",IF(TODAY()&gt;$T815,"OVERDUE","Due "&amp;TEXT($T815,"mm/dd")))))</f>
        <v/>
      </c>
      <c r="V815" s="16" t="n"/>
      <c r="W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IF($C816="","",IF($L816="","",IF($K816=1,IF(COUNTIFS(nrES_PID,$D816,nrES_Code,$F816,nrES_Att,2)&gt;0,"",$L816),IF(COUNTIFS(nrES_PID,$D816,nrES_Code,$F816,nrES_Att,1)=0,$L816,IF($L816&gt;=$J816,cfgRetakeRecordedCap,SUMIFS(nrES_Raw,nrES_PID,$D816,nrES_Code,$F816,nrES_Att,1))))))</f>
        <v/>
      </c>
      <c r="N816" s="17">
        <f>IF($C816="","",IF($L816="","",IF($L816&gt;=$J816,"Yes","No")))</f>
        <v/>
      </c>
      <c r="O816" s="17">
        <f>IF($C816="","",IF($M816="","",IF($M816&gt;=$J816,"Yes","No")))</f>
        <v/>
      </c>
      <c r="P816" s="17">
        <f>IF($C816="","",IF($K816="","",IF(COUNTIFS(nrES_PID,$D816,nrES_Code,$F816,nrES_Att,"&gt;"&amp;$K816)=0,"Yes","No")))</f>
        <v/>
      </c>
      <c r="Q816" s="17">
        <f>IF($C816="","",IF($L816="","",IF(AND($K816=1,$L816&lt;$J816,COUNTIFS(nrES_PID,$D816,nrES_Code,$F816,nrES_Att,2)=0),"Yes","No")))</f>
        <v/>
      </c>
      <c r="R816" s="17">
        <f>IF($C816="","",IF($L816="","",IF(AND($K816=2,$L816&lt;$J816,COUNTIFS(nrES_PID,$D816,nrES_Code,$F816,nrES_Att,1)&gt;0),"Yes","No")))</f>
        <v/>
      </c>
      <c r="S816" s="18" t="n"/>
      <c r="T816" s="19">
        <f>IF($Q816&lt;&gt;"Yes","",IF($S816="","(enter date)",_xlfn.LET(_xlpm.dn,IFERROR(_xlfn.XLOOKUP($S816,nrCDdate,nrCDnum),""),IF(_xlpm.dn="","(not a class day)",IFERROR(_xlfn.XLOOKUP(_xlpm.dn+cfgRetestClassDays,nrCDnum,nrCDdate),"")))))</f>
        <v/>
      </c>
      <c r="U816" s="17">
        <f>IF($Q816&lt;&gt;"Yes","",IF(COUNTIFS(nrES_PID,$D816,nrES_Code,$F816,nrES_Att,2)&gt;0,"Retested",IF(OR($T816="",NOT(ISNUMBER($T816))),"Pending",IF(TODAY()&gt;$T816,"OVERDUE","Due "&amp;TEXT($T816,"mm/dd")))))</f>
        <v/>
      </c>
      <c r="V816" s="16" t="n"/>
      <c r="W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IF($C817="","",IF($L817="","",IF($K817=1,IF(COUNTIFS(nrES_PID,$D817,nrES_Code,$F817,nrES_Att,2)&gt;0,"",$L817),IF(COUNTIFS(nrES_PID,$D817,nrES_Code,$F817,nrES_Att,1)=0,$L817,IF($L817&gt;=$J817,cfgRetakeRecordedCap,SUMIFS(nrES_Raw,nrES_PID,$D817,nrES_Code,$F817,nrES_Att,1))))))</f>
        <v/>
      </c>
      <c r="N817" s="17">
        <f>IF($C817="","",IF($L817="","",IF($L817&gt;=$J817,"Yes","No")))</f>
        <v/>
      </c>
      <c r="O817" s="17">
        <f>IF($C817="","",IF($M817="","",IF($M817&gt;=$J817,"Yes","No")))</f>
        <v/>
      </c>
      <c r="P817" s="17">
        <f>IF($C817="","",IF($K817="","",IF(COUNTIFS(nrES_PID,$D817,nrES_Code,$F817,nrES_Att,"&gt;"&amp;$K817)=0,"Yes","No")))</f>
        <v/>
      </c>
      <c r="Q817" s="17">
        <f>IF($C817="","",IF($L817="","",IF(AND($K817=1,$L817&lt;$J817,COUNTIFS(nrES_PID,$D817,nrES_Code,$F817,nrES_Att,2)=0),"Yes","No")))</f>
        <v/>
      </c>
      <c r="R817" s="17">
        <f>IF($C817="","",IF($L817="","",IF(AND($K817=2,$L817&lt;$J817,COUNTIFS(nrES_PID,$D817,nrES_Code,$F817,nrES_Att,1)&gt;0),"Yes","No")))</f>
        <v/>
      </c>
      <c r="S817" s="18" t="n"/>
      <c r="T817" s="19">
        <f>IF($Q817&lt;&gt;"Yes","",IF($S817="","(enter date)",_xlfn.LET(_xlpm.dn,IFERROR(_xlfn.XLOOKUP($S817,nrCDdate,nrCDnum),""),IF(_xlpm.dn="","(not a class day)",IFERROR(_xlfn.XLOOKUP(_xlpm.dn+cfgRetestClassDays,nrCDnum,nrCDdate),"")))))</f>
        <v/>
      </c>
      <c r="U817" s="17">
        <f>IF($Q817&lt;&gt;"Yes","",IF(COUNTIFS(nrES_PID,$D817,nrES_Code,$F817,nrES_Att,2)&gt;0,"Retested",IF(OR($T817="",NOT(ISNUMBER($T817))),"Pending",IF(TODAY()&gt;$T817,"OVERDUE","Due "&amp;TEXT($T817,"mm/dd")))))</f>
        <v/>
      </c>
      <c r="V817" s="16" t="n"/>
      <c r="W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IF($C818="","",IF($L818="","",IF($K818=1,IF(COUNTIFS(nrES_PID,$D818,nrES_Code,$F818,nrES_Att,2)&gt;0,"",$L818),IF(COUNTIFS(nrES_PID,$D818,nrES_Code,$F818,nrES_Att,1)=0,$L818,IF($L818&gt;=$J818,cfgRetakeRecordedCap,SUMIFS(nrES_Raw,nrES_PID,$D818,nrES_Code,$F818,nrES_Att,1))))))</f>
        <v/>
      </c>
      <c r="N818" s="17">
        <f>IF($C818="","",IF($L818="","",IF($L818&gt;=$J818,"Yes","No")))</f>
        <v/>
      </c>
      <c r="O818" s="17">
        <f>IF($C818="","",IF($M818="","",IF($M818&gt;=$J818,"Yes","No")))</f>
        <v/>
      </c>
      <c r="P818" s="17">
        <f>IF($C818="","",IF($K818="","",IF(COUNTIFS(nrES_PID,$D818,nrES_Code,$F818,nrES_Att,"&gt;"&amp;$K818)=0,"Yes","No")))</f>
        <v/>
      </c>
      <c r="Q818" s="17">
        <f>IF($C818="","",IF($L818="","",IF(AND($K818=1,$L818&lt;$J818,COUNTIFS(nrES_PID,$D818,nrES_Code,$F818,nrES_Att,2)=0),"Yes","No")))</f>
        <v/>
      </c>
      <c r="R818" s="17">
        <f>IF($C818="","",IF($L818="","",IF(AND($K818=2,$L818&lt;$J818,COUNTIFS(nrES_PID,$D818,nrES_Code,$F818,nrES_Att,1)&gt;0),"Yes","No")))</f>
        <v/>
      </c>
      <c r="S818" s="18" t="n"/>
      <c r="T818" s="19">
        <f>IF($Q818&lt;&gt;"Yes","",IF($S818="","(enter date)",_xlfn.LET(_xlpm.dn,IFERROR(_xlfn.XLOOKUP($S818,nrCDdate,nrCDnum),""),IF(_xlpm.dn="","(not a class day)",IFERROR(_xlfn.XLOOKUP(_xlpm.dn+cfgRetestClassDays,nrCDnum,nrCDdate),"")))))</f>
        <v/>
      </c>
      <c r="U818" s="17">
        <f>IF($Q818&lt;&gt;"Yes","",IF(COUNTIFS(nrES_PID,$D818,nrES_Code,$F818,nrES_Att,2)&gt;0,"Retested",IF(OR($T818="",NOT(ISNUMBER($T818))),"Pending",IF(TODAY()&gt;$T818,"OVERDUE","Due "&amp;TEXT($T818,"mm/dd")))))</f>
        <v/>
      </c>
      <c r="V818" s="16" t="n"/>
      <c r="W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IF($C819="","",IF($L819="","",IF($K819=1,IF(COUNTIFS(nrES_PID,$D819,nrES_Code,$F819,nrES_Att,2)&gt;0,"",$L819),IF(COUNTIFS(nrES_PID,$D819,nrES_Code,$F819,nrES_Att,1)=0,$L819,IF($L819&gt;=$J819,cfgRetakeRecordedCap,SUMIFS(nrES_Raw,nrES_PID,$D819,nrES_Code,$F819,nrES_Att,1))))))</f>
        <v/>
      </c>
      <c r="N819" s="17">
        <f>IF($C819="","",IF($L819="","",IF($L819&gt;=$J819,"Yes","No")))</f>
        <v/>
      </c>
      <c r="O819" s="17">
        <f>IF($C819="","",IF($M819="","",IF($M819&gt;=$J819,"Yes","No")))</f>
        <v/>
      </c>
      <c r="P819" s="17">
        <f>IF($C819="","",IF($K819="","",IF(COUNTIFS(nrES_PID,$D819,nrES_Code,$F819,nrES_Att,"&gt;"&amp;$K819)=0,"Yes","No")))</f>
        <v/>
      </c>
      <c r="Q819" s="17">
        <f>IF($C819="","",IF($L819="","",IF(AND($K819=1,$L819&lt;$J819,COUNTIFS(nrES_PID,$D819,nrES_Code,$F819,nrES_Att,2)=0),"Yes","No")))</f>
        <v/>
      </c>
      <c r="R819" s="17">
        <f>IF($C819="","",IF($L819="","",IF(AND($K819=2,$L819&lt;$J819,COUNTIFS(nrES_PID,$D819,nrES_Code,$F819,nrES_Att,1)&gt;0),"Yes","No")))</f>
        <v/>
      </c>
      <c r="S819" s="18" t="n"/>
      <c r="T819" s="19">
        <f>IF($Q819&lt;&gt;"Yes","",IF($S819="","(enter date)",_xlfn.LET(_xlpm.dn,IFERROR(_xlfn.XLOOKUP($S819,nrCDdate,nrCDnum),""),IF(_xlpm.dn="","(not a class day)",IFERROR(_xlfn.XLOOKUP(_xlpm.dn+cfgRetestClassDays,nrCDnum,nrCDdate),"")))))</f>
        <v/>
      </c>
      <c r="U819" s="17">
        <f>IF($Q819&lt;&gt;"Yes","",IF(COUNTIFS(nrES_PID,$D819,nrES_Code,$F819,nrES_Att,2)&gt;0,"Retested",IF(OR($T819="",NOT(ISNUMBER($T819))),"Pending",IF(TODAY()&gt;$T819,"OVERDUE","Due "&amp;TEXT($T819,"mm/dd")))))</f>
        <v/>
      </c>
      <c r="V819" s="16" t="n"/>
      <c r="W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IF($C820="","",IF($L820="","",IF($K820=1,IF(COUNTIFS(nrES_PID,$D820,nrES_Code,$F820,nrES_Att,2)&gt;0,"",$L820),IF(COUNTIFS(nrES_PID,$D820,nrES_Code,$F820,nrES_Att,1)=0,$L820,IF($L820&gt;=$J820,cfgRetakeRecordedCap,SUMIFS(nrES_Raw,nrES_PID,$D820,nrES_Code,$F820,nrES_Att,1))))))</f>
        <v/>
      </c>
      <c r="N820" s="17">
        <f>IF($C820="","",IF($L820="","",IF($L820&gt;=$J820,"Yes","No")))</f>
        <v/>
      </c>
      <c r="O820" s="17">
        <f>IF($C820="","",IF($M820="","",IF($M820&gt;=$J820,"Yes","No")))</f>
        <v/>
      </c>
      <c r="P820" s="17">
        <f>IF($C820="","",IF($K820="","",IF(COUNTIFS(nrES_PID,$D820,nrES_Code,$F820,nrES_Att,"&gt;"&amp;$K820)=0,"Yes","No")))</f>
        <v/>
      </c>
      <c r="Q820" s="17">
        <f>IF($C820="","",IF($L820="","",IF(AND($K820=1,$L820&lt;$J820,COUNTIFS(nrES_PID,$D820,nrES_Code,$F820,nrES_Att,2)=0),"Yes","No")))</f>
        <v/>
      </c>
      <c r="R820" s="17">
        <f>IF($C820="","",IF($L820="","",IF(AND($K820=2,$L820&lt;$J820,COUNTIFS(nrES_PID,$D820,nrES_Code,$F820,nrES_Att,1)&gt;0),"Yes","No")))</f>
        <v/>
      </c>
      <c r="S820" s="18" t="n"/>
      <c r="T820" s="19">
        <f>IF($Q820&lt;&gt;"Yes","",IF($S820="","(enter date)",_xlfn.LET(_xlpm.dn,IFERROR(_xlfn.XLOOKUP($S820,nrCDdate,nrCDnum),""),IF(_xlpm.dn="","(not a class day)",IFERROR(_xlfn.XLOOKUP(_xlpm.dn+cfgRetestClassDays,nrCDnum,nrCDdate),"")))))</f>
        <v/>
      </c>
      <c r="U820" s="17">
        <f>IF($Q820&lt;&gt;"Yes","",IF(COUNTIFS(nrES_PID,$D820,nrES_Code,$F820,nrES_Att,2)&gt;0,"Retested",IF(OR($T820="",NOT(ISNUMBER($T820))),"Pending",IF(TODAY()&gt;$T820,"OVERDUE","Due "&amp;TEXT($T820,"mm/dd")))))</f>
        <v/>
      </c>
      <c r="V820" s="16" t="n"/>
      <c r="W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IF($C821="","",IF($L821="","",IF($K821=1,IF(COUNTIFS(nrES_PID,$D821,nrES_Code,$F821,nrES_Att,2)&gt;0,"",$L821),IF(COUNTIFS(nrES_PID,$D821,nrES_Code,$F821,nrES_Att,1)=0,$L821,IF($L821&gt;=$J821,cfgRetakeRecordedCap,SUMIFS(nrES_Raw,nrES_PID,$D821,nrES_Code,$F821,nrES_Att,1))))))</f>
        <v/>
      </c>
      <c r="N821" s="17">
        <f>IF($C821="","",IF($L821="","",IF($L821&gt;=$J821,"Yes","No")))</f>
        <v/>
      </c>
      <c r="O821" s="17">
        <f>IF($C821="","",IF($M821="","",IF($M821&gt;=$J821,"Yes","No")))</f>
        <v/>
      </c>
      <c r="P821" s="17">
        <f>IF($C821="","",IF($K821="","",IF(COUNTIFS(nrES_PID,$D821,nrES_Code,$F821,nrES_Att,"&gt;"&amp;$K821)=0,"Yes","No")))</f>
        <v/>
      </c>
      <c r="Q821" s="17">
        <f>IF($C821="","",IF($L821="","",IF(AND($K821=1,$L821&lt;$J821,COUNTIFS(nrES_PID,$D821,nrES_Code,$F821,nrES_Att,2)=0),"Yes","No")))</f>
        <v/>
      </c>
      <c r="R821" s="17">
        <f>IF($C821="","",IF($L821="","",IF(AND($K821=2,$L821&lt;$J821,COUNTIFS(nrES_PID,$D821,nrES_Code,$F821,nrES_Att,1)&gt;0),"Yes","No")))</f>
        <v/>
      </c>
      <c r="S821" s="18" t="n"/>
      <c r="T821" s="19">
        <f>IF($Q821&lt;&gt;"Yes","",IF($S821="","(enter date)",_xlfn.LET(_xlpm.dn,IFERROR(_xlfn.XLOOKUP($S821,nrCDdate,nrCDnum),""),IF(_xlpm.dn="","(not a class day)",IFERROR(_xlfn.XLOOKUP(_xlpm.dn+cfgRetestClassDays,nrCDnum,nrCDdate),"")))))</f>
        <v/>
      </c>
      <c r="U821" s="17">
        <f>IF($Q821&lt;&gt;"Yes","",IF(COUNTIFS(nrES_PID,$D821,nrES_Code,$F821,nrES_Att,2)&gt;0,"Retested",IF(OR($T821="",NOT(ISNUMBER($T821))),"Pending",IF(TODAY()&gt;$T821,"OVERDUE","Due "&amp;TEXT($T821,"mm/dd")))))</f>
        <v/>
      </c>
      <c r="V821" s="16" t="n"/>
      <c r="W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IF($C822="","",IF($L822="","",IF($K822=1,IF(COUNTIFS(nrES_PID,$D822,nrES_Code,$F822,nrES_Att,2)&gt;0,"",$L822),IF(COUNTIFS(nrES_PID,$D822,nrES_Code,$F822,nrES_Att,1)=0,$L822,IF($L822&gt;=$J822,cfgRetakeRecordedCap,SUMIFS(nrES_Raw,nrES_PID,$D822,nrES_Code,$F822,nrES_Att,1))))))</f>
        <v/>
      </c>
      <c r="N822" s="17">
        <f>IF($C822="","",IF($L822="","",IF($L822&gt;=$J822,"Yes","No")))</f>
        <v/>
      </c>
      <c r="O822" s="17">
        <f>IF($C822="","",IF($M822="","",IF($M822&gt;=$J822,"Yes","No")))</f>
        <v/>
      </c>
      <c r="P822" s="17">
        <f>IF($C822="","",IF($K822="","",IF(COUNTIFS(nrES_PID,$D822,nrES_Code,$F822,nrES_Att,"&gt;"&amp;$K822)=0,"Yes","No")))</f>
        <v/>
      </c>
      <c r="Q822" s="17">
        <f>IF($C822="","",IF($L822="","",IF(AND($K822=1,$L822&lt;$J822,COUNTIFS(nrES_PID,$D822,nrES_Code,$F822,nrES_Att,2)=0),"Yes","No")))</f>
        <v/>
      </c>
      <c r="R822" s="17">
        <f>IF($C822="","",IF($L822="","",IF(AND($K822=2,$L822&lt;$J822,COUNTIFS(nrES_PID,$D822,nrES_Code,$F822,nrES_Att,1)&gt;0),"Yes","No")))</f>
        <v/>
      </c>
      <c r="S822" s="18" t="n"/>
      <c r="T822" s="19">
        <f>IF($Q822&lt;&gt;"Yes","",IF($S822="","(enter date)",_xlfn.LET(_xlpm.dn,IFERROR(_xlfn.XLOOKUP($S822,nrCDdate,nrCDnum),""),IF(_xlpm.dn="","(not a class day)",IFERROR(_xlfn.XLOOKUP(_xlpm.dn+cfgRetestClassDays,nrCDnum,nrCDdate),"")))))</f>
        <v/>
      </c>
      <c r="U822" s="17">
        <f>IF($Q822&lt;&gt;"Yes","",IF(COUNTIFS(nrES_PID,$D822,nrES_Code,$F822,nrES_Att,2)&gt;0,"Retested",IF(OR($T822="",NOT(ISNUMBER($T822))),"Pending",IF(TODAY()&gt;$T822,"OVERDUE","Due "&amp;TEXT($T822,"mm/dd")))))</f>
        <v/>
      </c>
      <c r="V822" s="16" t="n"/>
      <c r="W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IF($C823="","",IF($L823="","",IF($K823=1,IF(COUNTIFS(nrES_PID,$D823,nrES_Code,$F823,nrES_Att,2)&gt;0,"",$L823),IF(COUNTIFS(nrES_PID,$D823,nrES_Code,$F823,nrES_Att,1)=0,$L823,IF($L823&gt;=$J823,cfgRetakeRecordedCap,SUMIFS(nrES_Raw,nrES_PID,$D823,nrES_Code,$F823,nrES_Att,1))))))</f>
        <v/>
      </c>
      <c r="N823" s="17">
        <f>IF($C823="","",IF($L823="","",IF($L823&gt;=$J823,"Yes","No")))</f>
        <v/>
      </c>
      <c r="O823" s="17">
        <f>IF($C823="","",IF($M823="","",IF($M823&gt;=$J823,"Yes","No")))</f>
        <v/>
      </c>
      <c r="P823" s="17">
        <f>IF($C823="","",IF($K823="","",IF(COUNTIFS(nrES_PID,$D823,nrES_Code,$F823,nrES_Att,"&gt;"&amp;$K823)=0,"Yes","No")))</f>
        <v/>
      </c>
      <c r="Q823" s="17">
        <f>IF($C823="","",IF($L823="","",IF(AND($K823=1,$L823&lt;$J823,COUNTIFS(nrES_PID,$D823,nrES_Code,$F823,nrES_Att,2)=0),"Yes","No")))</f>
        <v/>
      </c>
      <c r="R823" s="17">
        <f>IF($C823="","",IF($L823="","",IF(AND($K823=2,$L823&lt;$J823,COUNTIFS(nrES_PID,$D823,nrES_Code,$F823,nrES_Att,1)&gt;0),"Yes","No")))</f>
        <v/>
      </c>
      <c r="S823" s="18" t="n"/>
      <c r="T823" s="19">
        <f>IF($Q823&lt;&gt;"Yes","",IF($S823="","(enter date)",_xlfn.LET(_xlpm.dn,IFERROR(_xlfn.XLOOKUP($S823,nrCDdate,nrCDnum),""),IF(_xlpm.dn="","(not a class day)",IFERROR(_xlfn.XLOOKUP(_xlpm.dn+cfgRetestClassDays,nrCDnum,nrCDdate),"")))))</f>
        <v/>
      </c>
      <c r="U823" s="17">
        <f>IF($Q823&lt;&gt;"Yes","",IF(COUNTIFS(nrES_PID,$D823,nrES_Code,$F823,nrES_Att,2)&gt;0,"Retested",IF(OR($T823="",NOT(ISNUMBER($T823))),"Pending",IF(TODAY()&gt;$T823,"OVERDUE","Due "&amp;TEXT($T823,"mm/dd")))))</f>
        <v/>
      </c>
      <c r="V823" s="16" t="n"/>
      <c r="W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IF($C824="","",IF($L824="","",IF($K824=1,IF(COUNTIFS(nrES_PID,$D824,nrES_Code,$F824,nrES_Att,2)&gt;0,"",$L824),IF(COUNTIFS(nrES_PID,$D824,nrES_Code,$F824,nrES_Att,1)=0,$L824,IF($L824&gt;=$J824,cfgRetakeRecordedCap,SUMIFS(nrES_Raw,nrES_PID,$D824,nrES_Code,$F824,nrES_Att,1))))))</f>
        <v/>
      </c>
      <c r="N824" s="17">
        <f>IF($C824="","",IF($L824="","",IF($L824&gt;=$J824,"Yes","No")))</f>
        <v/>
      </c>
      <c r="O824" s="17">
        <f>IF($C824="","",IF($M824="","",IF($M824&gt;=$J824,"Yes","No")))</f>
        <v/>
      </c>
      <c r="P824" s="17">
        <f>IF($C824="","",IF($K824="","",IF(COUNTIFS(nrES_PID,$D824,nrES_Code,$F824,nrES_Att,"&gt;"&amp;$K824)=0,"Yes","No")))</f>
        <v/>
      </c>
      <c r="Q824" s="17">
        <f>IF($C824="","",IF($L824="","",IF(AND($K824=1,$L824&lt;$J824,COUNTIFS(nrES_PID,$D824,nrES_Code,$F824,nrES_Att,2)=0),"Yes","No")))</f>
        <v/>
      </c>
      <c r="R824" s="17">
        <f>IF($C824="","",IF($L824="","",IF(AND($K824=2,$L824&lt;$J824,COUNTIFS(nrES_PID,$D824,nrES_Code,$F824,nrES_Att,1)&gt;0),"Yes","No")))</f>
        <v/>
      </c>
      <c r="S824" s="18" t="n"/>
      <c r="T824" s="19">
        <f>IF($Q824&lt;&gt;"Yes","",IF($S824="","(enter date)",_xlfn.LET(_xlpm.dn,IFERROR(_xlfn.XLOOKUP($S824,nrCDdate,nrCDnum),""),IF(_xlpm.dn="","(not a class day)",IFERROR(_xlfn.XLOOKUP(_xlpm.dn+cfgRetestClassDays,nrCDnum,nrCDdate),"")))))</f>
        <v/>
      </c>
      <c r="U824" s="17">
        <f>IF($Q824&lt;&gt;"Yes","",IF(COUNTIFS(nrES_PID,$D824,nrES_Code,$F824,nrES_Att,2)&gt;0,"Retested",IF(OR($T824="",NOT(ISNUMBER($T824))),"Pending",IF(TODAY()&gt;$T824,"OVERDUE","Due "&amp;TEXT($T824,"mm/dd")))))</f>
        <v/>
      </c>
      <c r="V824" s="16" t="n"/>
      <c r="W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IF($C825="","",IF($L825="","",IF($K825=1,IF(COUNTIFS(nrES_PID,$D825,nrES_Code,$F825,nrES_Att,2)&gt;0,"",$L825),IF(COUNTIFS(nrES_PID,$D825,nrES_Code,$F825,nrES_Att,1)=0,$L825,IF($L825&gt;=$J825,cfgRetakeRecordedCap,SUMIFS(nrES_Raw,nrES_PID,$D825,nrES_Code,$F825,nrES_Att,1))))))</f>
        <v/>
      </c>
      <c r="N825" s="17">
        <f>IF($C825="","",IF($L825="","",IF($L825&gt;=$J825,"Yes","No")))</f>
        <v/>
      </c>
      <c r="O825" s="17">
        <f>IF($C825="","",IF($M825="","",IF($M825&gt;=$J825,"Yes","No")))</f>
        <v/>
      </c>
      <c r="P825" s="17">
        <f>IF($C825="","",IF($K825="","",IF(COUNTIFS(nrES_PID,$D825,nrES_Code,$F825,nrES_Att,"&gt;"&amp;$K825)=0,"Yes","No")))</f>
        <v/>
      </c>
      <c r="Q825" s="17">
        <f>IF($C825="","",IF($L825="","",IF(AND($K825=1,$L825&lt;$J825,COUNTIFS(nrES_PID,$D825,nrES_Code,$F825,nrES_Att,2)=0),"Yes","No")))</f>
        <v/>
      </c>
      <c r="R825" s="17">
        <f>IF($C825="","",IF($L825="","",IF(AND($K825=2,$L825&lt;$J825,COUNTIFS(nrES_PID,$D825,nrES_Code,$F825,nrES_Att,1)&gt;0),"Yes","No")))</f>
        <v/>
      </c>
      <c r="S825" s="18" t="n"/>
      <c r="T825" s="19">
        <f>IF($Q825&lt;&gt;"Yes","",IF($S825="","(enter date)",_xlfn.LET(_xlpm.dn,IFERROR(_xlfn.XLOOKUP($S825,nrCDdate,nrCDnum),""),IF(_xlpm.dn="","(not a class day)",IFERROR(_xlfn.XLOOKUP(_xlpm.dn+cfgRetestClassDays,nrCDnum,nrCDdate),"")))))</f>
        <v/>
      </c>
      <c r="U825" s="17">
        <f>IF($Q825&lt;&gt;"Yes","",IF(COUNTIFS(nrES_PID,$D825,nrES_Code,$F825,nrES_Att,2)&gt;0,"Retested",IF(OR($T825="",NOT(ISNUMBER($T825))),"Pending",IF(TODAY()&gt;$T825,"OVERDUE","Due "&amp;TEXT($T825,"mm/dd")))))</f>
        <v/>
      </c>
      <c r="V825" s="16" t="n"/>
      <c r="W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IF($C826="","",IF($L826="","",IF($K826=1,IF(COUNTIFS(nrES_PID,$D826,nrES_Code,$F826,nrES_Att,2)&gt;0,"",$L826),IF(COUNTIFS(nrES_PID,$D826,nrES_Code,$F826,nrES_Att,1)=0,$L826,IF($L826&gt;=$J826,cfgRetakeRecordedCap,SUMIFS(nrES_Raw,nrES_PID,$D826,nrES_Code,$F826,nrES_Att,1))))))</f>
        <v/>
      </c>
      <c r="N826" s="17">
        <f>IF($C826="","",IF($L826="","",IF($L826&gt;=$J826,"Yes","No")))</f>
        <v/>
      </c>
      <c r="O826" s="17">
        <f>IF($C826="","",IF($M826="","",IF($M826&gt;=$J826,"Yes","No")))</f>
        <v/>
      </c>
      <c r="P826" s="17">
        <f>IF($C826="","",IF($K826="","",IF(COUNTIFS(nrES_PID,$D826,nrES_Code,$F826,nrES_Att,"&gt;"&amp;$K826)=0,"Yes","No")))</f>
        <v/>
      </c>
      <c r="Q826" s="17">
        <f>IF($C826="","",IF($L826="","",IF(AND($K826=1,$L826&lt;$J826,COUNTIFS(nrES_PID,$D826,nrES_Code,$F826,nrES_Att,2)=0),"Yes","No")))</f>
        <v/>
      </c>
      <c r="R826" s="17">
        <f>IF($C826="","",IF($L826="","",IF(AND($K826=2,$L826&lt;$J826,COUNTIFS(nrES_PID,$D826,nrES_Code,$F826,nrES_Att,1)&gt;0),"Yes","No")))</f>
        <v/>
      </c>
      <c r="S826" s="18" t="n"/>
      <c r="T826" s="19">
        <f>IF($Q826&lt;&gt;"Yes","",IF($S826="","(enter date)",_xlfn.LET(_xlpm.dn,IFERROR(_xlfn.XLOOKUP($S826,nrCDdate,nrCDnum),""),IF(_xlpm.dn="","(not a class day)",IFERROR(_xlfn.XLOOKUP(_xlpm.dn+cfgRetestClassDays,nrCDnum,nrCDdate),"")))))</f>
        <v/>
      </c>
      <c r="U826" s="17">
        <f>IF($Q826&lt;&gt;"Yes","",IF(COUNTIFS(nrES_PID,$D826,nrES_Code,$F826,nrES_Att,2)&gt;0,"Retested",IF(OR($T826="",NOT(ISNUMBER($T826))),"Pending",IF(TODAY()&gt;$T826,"OVERDUE","Due "&amp;TEXT($T826,"mm/dd")))))</f>
        <v/>
      </c>
      <c r="V826" s="16" t="n"/>
      <c r="W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IF($C827="","",IF($L827="","",IF($K827=1,IF(COUNTIFS(nrES_PID,$D827,nrES_Code,$F827,nrES_Att,2)&gt;0,"",$L827),IF(COUNTIFS(nrES_PID,$D827,nrES_Code,$F827,nrES_Att,1)=0,$L827,IF($L827&gt;=$J827,cfgRetakeRecordedCap,SUMIFS(nrES_Raw,nrES_PID,$D827,nrES_Code,$F827,nrES_Att,1))))))</f>
        <v/>
      </c>
      <c r="N827" s="17">
        <f>IF($C827="","",IF($L827="","",IF($L827&gt;=$J827,"Yes","No")))</f>
        <v/>
      </c>
      <c r="O827" s="17">
        <f>IF($C827="","",IF($M827="","",IF($M827&gt;=$J827,"Yes","No")))</f>
        <v/>
      </c>
      <c r="P827" s="17">
        <f>IF($C827="","",IF($K827="","",IF(COUNTIFS(nrES_PID,$D827,nrES_Code,$F827,nrES_Att,"&gt;"&amp;$K827)=0,"Yes","No")))</f>
        <v/>
      </c>
      <c r="Q827" s="17">
        <f>IF($C827="","",IF($L827="","",IF(AND($K827=1,$L827&lt;$J827,COUNTIFS(nrES_PID,$D827,nrES_Code,$F827,nrES_Att,2)=0),"Yes","No")))</f>
        <v/>
      </c>
      <c r="R827" s="17">
        <f>IF($C827="","",IF($L827="","",IF(AND($K827=2,$L827&lt;$J827,COUNTIFS(nrES_PID,$D827,nrES_Code,$F827,nrES_Att,1)&gt;0),"Yes","No")))</f>
        <v/>
      </c>
      <c r="S827" s="18" t="n"/>
      <c r="T827" s="19">
        <f>IF($Q827&lt;&gt;"Yes","",IF($S827="","(enter date)",_xlfn.LET(_xlpm.dn,IFERROR(_xlfn.XLOOKUP($S827,nrCDdate,nrCDnum),""),IF(_xlpm.dn="","(not a class day)",IFERROR(_xlfn.XLOOKUP(_xlpm.dn+cfgRetestClassDays,nrCDnum,nrCDdate),"")))))</f>
        <v/>
      </c>
      <c r="U827" s="17">
        <f>IF($Q827&lt;&gt;"Yes","",IF(COUNTIFS(nrES_PID,$D827,nrES_Code,$F827,nrES_Att,2)&gt;0,"Retested",IF(OR($T827="",NOT(ISNUMBER($T827))),"Pending",IF(TODAY()&gt;$T827,"OVERDUE","Due "&amp;TEXT($T827,"mm/dd")))))</f>
        <v/>
      </c>
      <c r="V827" s="16" t="n"/>
      <c r="W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IF($C828="","",IF($L828="","",IF($K828=1,IF(COUNTIFS(nrES_PID,$D828,nrES_Code,$F828,nrES_Att,2)&gt;0,"",$L828),IF(COUNTIFS(nrES_PID,$D828,nrES_Code,$F828,nrES_Att,1)=0,$L828,IF($L828&gt;=$J828,cfgRetakeRecordedCap,SUMIFS(nrES_Raw,nrES_PID,$D828,nrES_Code,$F828,nrES_Att,1))))))</f>
        <v/>
      </c>
      <c r="N828" s="17">
        <f>IF($C828="","",IF($L828="","",IF($L828&gt;=$J828,"Yes","No")))</f>
        <v/>
      </c>
      <c r="O828" s="17">
        <f>IF($C828="","",IF($M828="","",IF($M828&gt;=$J828,"Yes","No")))</f>
        <v/>
      </c>
      <c r="P828" s="17">
        <f>IF($C828="","",IF($K828="","",IF(COUNTIFS(nrES_PID,$D828,nrES_Code,$F828,nrES_Att,"&gt;"&amp;$K828)=0,"Yes","No")))</f>
        <v/>
      </c>
      <c r="Q828" s="17">
        <f>IF($C828="","",IF($L828="","",IF(AND($K828=1,$L828&lt;$J828,COUNTIFS(nrES_PID,$D828,nrES_Code,$F828,nrES_Att,2)=0),"Yes","No")))</f>
        <v/>
      </c>
      <c r="R828" s="17">
        <f>IF($C828="","",IF($L828="","",IF(AND($K828=2,$L828&lt;$J828,COUNTIFS(nrES_PID,$D828,nrES_Code,$F828,nrES_Att,1)&gt;0),"Yes","No")))</f>
        <v/>
      </c>
      <c r="S828" s="18" t="n"/>
      <c r="T828" s="19">
        <f>IF($Q828&lt;&gt;"Yes","",IF($S828="","(enter date)",_xlfn.LET(_xlpm.dn,IFERROR(_xlfn.XLOOKUP($S828,nrCDdate,nrCDnum),""),IF(_xlpm.dn="","(not a class day)",IFERROR(_xlfn.XLOOKUP(_xlpm.dn+cfgRetestClassDays,nrCDnum,nrCDdate),"")))))</f>
        <v/>
      </c>
      <c r="U828" s="17">
        <f>IF($Q828&lt;&gt;"Yes","",IF(COUNTIFS(nrES_PID,$D828,nrES_Code,$F828,nrES_Att,2)&gt;0,"Retested",IF(OR($T828="",NOT(ISNUMBER($T828))),"Pending",IF(TODAY()&gt;$T828,"OVERDUE","Due "&amp;TEXT($T828,"mm/dd")))))</f>
        <v/>
      </c>
      <c r="V828" s="16" t="n"/>
      <c r="W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IF($C829="","",IF($L829="","",IF($K829=1,IF(COUNTIFS(nrES_PID,$D829,nrES_Code,$F829,nrES_Att,2)&gt;0,"",$L829),IF(COUNTIFS(nrES_PID,$D829,nrES_Code,$F829,nrES_Att,1)=0,$L829,IF($L829&gt;=$J829,cfgRetakeRecordedCap,SUMIFS(nrES_Raw,nrES_PID,$D829,nrES_Code,$F829,nrES_Att,1))))))</f>
        <v/>
      </c>
      <c r="N829" s="17">
        <f>IF($C829="","",IF($L829="","",IF($L829&gt;=$J829,"Yes","No")))</f>
        <v/>
      </c>
      <c r="O829" s="17">
        <f>IF($C829="","",IF($M829="","",IF($M829&gt;=$J829,"Yes","No")))</f>
        <v/>
      </c>
      <c r="P829" s="17">
        <f>IF($C829="","",IF($K829="","",IF(COUNTIFS(nrES_PID,$D829,nrES_Code,$F829,nrES_Att,"&gt;"&amp;$K829)=0,"Yes","No")))</f>
        <v/>
      </c>
      <c r="Q829" s="17">
        <f>IF($C829="","",IF($L829="","",IF(AND($K829=1,$L829&lt;$J829,COUNTIFS(nrES_PID,$D829,nrES_Code,$F829,nrES_Att,2)=0),"Yes","No")))</f>
        <v/>
      </c>
      <c r="R829" s="17">
        <f>IF($C829="","",IF($L829="","",IF(AND($K829=2,$L829&lt;$J829,COUNTIFS(nrES_PID,$D829,nrES_Code,$F829,nrES_Att,1)&gt;0),"Yes","No")))</f>
        <v/>
      </c>
      <c r="S829" s="18" t="n"/>
      <c r="T829" s="19">
        <f>IF($Q829&lt;&gt;"Yes","",IF($S829="","(enter date)",_xlfn.LET(_xlpm.dn,IFERROR(_xlfn.XLOOKUP($S829,nrCDdate,nrCDnum),""),IF(_xlpm.dn="","(not a class day)",IFERROR(_xlfn.XLOOKUP(_xlpm.dn+cfgRetestClassDays,nrCDnum,nrCDdate),"")))))</f>
        <v/>
      </c>
      <c r="U829" s="17">
        <f>IF($Q829&lt;&gt;"Yes","",IF(COUNTIFS(nrES_PID,$D829,nrES_Code,$F829,nrES_Att,2)&gt;0,"Retested",IF(OR($T829="",NOT(ISNUMBER($T829))),"Pending",IF(TODAY()&gt;$T829,"OVERDUE","Due "&amp;TEXT($T829,"mm/dd")))))</f>
        <v/>
      </c>
      <c r="V829" s="16" t="n"/>
      <c r="W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IF($C830="","",IF($L830="","",IF($K830=1,IF(COUNTIFS(nrES_PID,$D830,nrES_Code,$F830,nrES_Att,2)&gt;0,"",$L830),IF(COUNTIFS(nrES_PID,$D830,nrES_Code,$F830,nrES_Att,1)=0,$L830,IF($L830&gt;=$J830,cfgRetakeRecordedCap,SUMIFS(nrES_Raw,nrES_PID,$D830,nrES_Code,$F830,nrES_Att,1))))))</f>
        <v/>
      </c>
      <c r="N830" s="17">
        <f>IF($C830="","",IF($L830="","",IF($L830&gt;=$J830,"Yes","No")))</f>
        <v/>
      </c>
      <c r="O830" s="17">
        <f>IF($C830="","",IF($M830="","",IF($M830&gt;=$J830,"Yes","No")))</f>
        <v/>
      </c>
      <c r="P830" s="17">
        <f>IF($C830="","",IF($K830="","",IF(COUNTIFS(nrES_PID,$D830,nrES_Code,$F830,nrES_Att,"&gt;"&amp;$K830)=0,"Yes","No")))</f>
        <v/>
      </c>
      <c r="Q830" s="17">
        <f>IF($C830="","",IF($L830="","",IF(AND($K830=1,$L830&lt;$J830,COUNTIFS(nrES_PID,$D830,nrES_Code,$F830,nrES_Att,2)=0),"Yes","No")))</f>
        <v/>
      </c>
      <c r="R830" s="17">
        <f>IF($C830="","",IF($L830="","",IF(AND($K830=2,$L830&lt;$J830,COUNTIFS(nrES_PID,$D830,nrES_Code,$F830,nrES_Att,1)&gt;0),"Yes","No")))</f>
        <v/>
      </c>
      <c r="S830" s="18" t="n"/>
      <c r="T830" s="19">
        <f>IF($Q830&lt;&gt;"Yes","",IF($S830="","(enter date)",_xlfn.LET(_xlpm.dn,IFERROR(_xlfn.XLOOKUP($S830,nrCDdate,nrCDnum),""),IF(_xlpm.dn="","(not a class day)",IFERROR(_xlfn.XLOOKUP(_xlpm.dn+cfgRetestClassDays,nrCDnum,nrCDdate),"")))))</f>
        <v/>
      </c>
      <c r="U830" s="17">
        <f>IF($Q830&lt;&gt;"Yes","",IF(COUNTIFS(nrES_PID,$D830,nrES_Code,$F830,nrES_Att,2)&gt;0,"Retested",IF(OR($T830="",NOT(ISNUMBER($T830))),"Pending",IF(TODAY()&gt;$T830,"OVERDUE","Due "&amp;TEXT($T830,"mm/dd")))))</f>
        <v/>
      </c>
      <c r="V830" s="16" t="n"/>
      <c r="W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IF($C831="","",IF($L831="","",IF($K831=1,IF(COUNTIFS(nrES_PID,$D831,nrES_Code,$F831,nrES_Att,2)&gt;0,"",$L831),IF(COUNTIFS(nrES_PID,$D831,nrES_Code,$F831,nrES_Att,1)=0,$L831,IF($L831&gt;=$J831,cfgRetakeRecordedCap,SUMIFS(nrES_Raw,nrES_PID,$D831,nrES_Code,$F831,nrES_Att,1))))))</f>
        <v/>
      </c>
      <c r="N831" s="17">
        <f>IF($C831="","",IF($L831="","",IF($L831&gt;=$J831,"Yes","No")))</f>
        <v/>
      </c>
      <c r="O831" s="17">
        <f>IF($C831="","",IF($M831="","",IF($M831&gt;=$J831,"Yes","No")))</f>
        <v/>
      </c>
      <c r="P831" s="17">
        <f>IF($C831="","",IF($K831="","",IF(COUNTIFS(nrES_PID,$D831,nrES_Code,$F831,nrES_Att,"&gt;"&amp;$K831)=0,"Yes","No")))</f>
        <v/>
      </c>
      <c r="Q831" s="17">
        <f>IF($C831="","",IF($L831="","",IF(AND($K831=1,$L831&lt;$J831,COUNTIFS(nrES_PID,$D831,nrES_Code,$F831,nrES_Att,2)=0),"Yes","No")))</f>
        <v/>
      </c>
      <c r="R831" s="17">
        <f>IF($C831="","",IF($L831="","",IF(AND($K831=2,$L831&lt;$J831,COUNTIFS(nrES_PID,$D831,nrES_Code,$F831,nrES_Att,1)&gt;0),"Yes","No")))</f>
        <v/>
      </c>
      <c r="S831" s="18" t="n"/>
      <c r="T831" s="19">
        <f>IF($Q831&lt;&gt;"Yes","",IF($S831="","(enter date)",_xlfn.LET(_xlpm.dn,IFERROR(_xlfn.XLOOKUP($S831,nrCDdate,nrCDnum),""),IF(_xlpm.dn="","(not a class day)",IFERROR(_xlfn.XLOOKUP(_xlpm.dn+cfgRetestClassDays,nrCDnum,nrCDdate),"")))))</f>
        <v/>
      </c>
      <c r="U831" s="17">
        <f>IF($Q831&lt;&gt;"Yes","",IF(COUNTIFS(nrES_PID,$D831,nrES_Code,$F831,nrES_Att,2)&gt;0,"Retested",IF(OR($T831="",NOT(ISNUMBER($T831))),"Pending",IF(TODAY()&gt;$T831,"OVERDUE","Due "&amp;TEXT($T831,"mm/dd")))))</f>
        <v/>
      </c>
      <c r="V831" s="16" t="n"/>
      <c r="W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IF($C832="","",IF($L832="","",IF($K832=1,IF(COUNTIFS(nrES_PID,$D832,nrES_Code,$F832,nrES_Att,2)&gt;0,"",$L832),IF(COUNTIFS(nrES_PID,$D832,nrES_Code,$F832,nrES_Att,1)=0,$L832,IF($L832&gt;=$J832,cfgRetakeRecordedCap,SUMIFS(nrES_Raw,nrES_PID,$D832,nrES_Code,$F832,nrES_Att,1))))))</f>
        <v/>
      </c>
      <c r="N832" s="17">
        <f>IF($C832="","",IF($L832="","",IF($L832&gt;=$J832,"Yes","No")))</f>
        <v/>
      </c>
      <c r="O832" s="17">
        <f>IF($C832="","",IF($M832="","",IF($M832&gt;=$J832,"Yes","No")))</f>
        <v/>
      </c>
      <c r="P832" s="17">
        <f>IF($C832="","",IF($K832="","",IF(COUNTIFS(nrES_PID,$D832,nrES_Code,$F832,nrES_Att,"&gt;"&amp;$K832)=0,"Yes","No")))</f>
        <v/>
      </c>
      <c r="Q832" s="17">
        <f>IF($C832="","",IF($L832="","",IF(AND($K832=1,$L832&lt;$J832,COUNTIFS(nrES_PID,$D832,nrES_Code,$F832,nrES_Att,2)=0),"Yes","No")))</f>
        <v/>
      </c>
      <c r="R832" s="17">
        <f>IF($C832="","",IF($L832="","",IF(AND($K832=2,$L832&lt;$J832,COUNTIFS(nrES_PID,$D832,nrES_Code,$F832,nrES_Att,1)&gt;0),"Yes","No")))</f>
        <v/>
      </c>
      <c r="S832" s="18" t="n"/>
      <c r="T832" s="19">
        <f>IF($Q832&lt;&gt;"Yes","",IF($S832="","(enter date)",_xlfn.LET(_xlpm.dn,IFERROR(_xlfn.XLOOKUP($S832,nrCDdate,nrCDnum),""),IF(_xlpm.dn="","(not a class day)",IFERROR(_xlfn.XLOOKUP(_xlpm.dn+cfgRetestClassDays,nrCDnum,nrCDdate),"")))))</f>
        <v/>
      </c>
      <c r="U832" s="17">
        <f>IF($Q832&lt;&gt;"Yes","",IF(COUNTIFS(nrES_PID,$D832,nrES_Code,$F832,nrES_Att,2)&gt;0,"Retested",IF(OR($T832="",NOT(ISNUMBER($T832))),"Pending",IF(TODAY()&gt;$T832,"OVERDUE","Due "&amp;TEXT($T832,"mm/dd")))))</f>
        <v/>
      </c>
      <c r="V832" s="16" t="n"/>
      <c r="W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IF($C833="","",IF($L833="","",IF($K833=1,IF(COUNTIFS(nrES_PID,$D833,nrES_Code,$F833,nrES_Att,2)&gt;0,"",$L833),IF(COUNTIFS(nrES_PID,$D833,nrES_Code,$F833,nrES_Att,1)=0,$L833,IF($L833&gt;=$J833,cfgRetakeRecordedCap,SUMIFS(nrES_Raw,nrES_PID,$D833,nrES_Code,$F833,nrES_Att,1))))))</f>
        <v/>
      </c>
      <c r="N833" s="17">
        <f>IF($C833="","",IF($L833="","",IF($L833&gt;=$J833,"Yes","No")))</f>
        <v/>
      </c>
      <c r="O833" s="17">
        <f>IF($C833="","",IF($M833="","",IF($M833&gt;=$J833,"Yes","No")))</f>
        <v/>
      </c>
      <c r="P833" s="17">
        <f>IF($C833="","",IF($K833="","",IF(COUNTIFS(nrES_PID,$D833,nrES_Code,$F833,nrES_Att,"&gt;"&amp;$K833)=0,"Yes","No")))</f>
        <v/>
      </c>
      <c r="Q833" s="17">
        <f>IF($C833="","",IF($L833="","",IF(AND($K833=1,$L833&lt;$J833,COUNTIFS(nrES_PID,$D833,nrES_Code,$F833,nrES_Att,2)=0),"Yes","No")))</f>
        <v/>
      </c>
      <c r="R833" s="17">
        <f>IF($C833="","",IF($L833="","",IF(AND($K833=2,$L833&lt;$J833,COUNTIFS(nrES_PID,$D833,nrES_Code,$F833,nrES_Att,1)&gt;0),"Yes","No")))</f>
        <v/>
      </c>
      <c r="S833" s="18" t="n"/>
      <c r="T833" s="19">
        <f>IF($Q833&lt;&gt;"Yes","",IF($S833="","(enter date)",_xlfn.LET(_xlpm.dn,IFERROR(_xlfn.XLOOKUP($S833,nrCDdate,nrCDnum),""),IF(_xlpm.dn="","(not a class day)",IFERROR(_xlfn.XLOOKUP(_xlpm.dn+cfgRetestClassDays,nrCDnum,nrCDdate),"")))))</f>
        <v/>
      </c>
      <c r="U833" s="17">
        <f>IF($Q833&lt;&gt;"Yes","",IF(COUNTIFS(nrES_PID,$D833,nrES_Code,$F833,nrES_Att,2)&gt;0,"Retested",IF(OR($T833="",NOT(ISNUMBER($T833))),"Pending",IF(TODAY()&gt;$T833,"OVERDUE","Due "&amp;TEXT($T833,"mm/dd")))))</f>
        <v/>
      </c>
      <c r="V833" s="16" t="n"/>
      <c r="W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IF($C834="","",IF($L834="","",IF($K834=1,IF(COUNTIFS(nrES_PID,$D834,nrES_Code,$F834,nrES_Att,2)&gt;0,"",$L834),IF(COUNTIFS(nrES_PID,$D834,nrES_Code,$F834,nrES_Att,1)=0,$L834,IF($L834&gt;=$J834,cfgRetakeRecordedCap,SUMIFS(nrES_Raw,nrES_PID,$D834,nrES_Code,$F834,nrES_Att,1))))))</f>
        <v/>
      </c>
      <c r="N834" s="17">
        <f>IF($C834="","",IF($L834="","",IF($L834&gt;=$J834,"Yes","No")))</f>
        <v/>
      </c>
      <c r="O834" s="17">
        <f>IF($C834="","",IF($M834="","",IF($M834&gt;=$J834,"Yes","No")))</f>
        <v/>
      </c>
      <c r="P834" s="17">
        <f>IF($C834="","",IF($K834="","",IF(COUNTIFS(nrES_PID,$D834,nrES_Code,$F834,nrES_Att,"&gt;"&amp;$K834)=0,"Yes","No")))</f>
        <v/>
      </c>
      <c r="Q834" s="17">
        <f>IF($C834="","",IF($L834="","",IF(AND($K834=1,$L834&lt;$J834,COUNTIFS(nrES_PID,$D834,nrES_Code,$F834,nrES_Att,2)=0),"Yes","No")))</f>
        <v/>
      </c>
      <c r="R834" s="17">
        <f>IF($C834="","",IF($L834="","",IF(AND($K834=2,$L834&lt;$J834,COUNTIFS(nrES_PID,$D834,nrES_Code,$F834,nrES_Att,1)&gt;0),"Yes","No")))</f>
        <v/>
      </c>
      <c r="S834" s="18" t="n"/>
      <c r="T834" s="19">
        <f>IF($Q834&lt;&gt;"Yes","",IF($S834="","(enter date)",_xlfn.LET(_xlpm.dn,IFERROR(_xlfn.XLOOKUP($S834,nrCDdate,nrCDnum),""),IF(_xlpm.dn="","(not a class day)",IFERROR(_xlfn.XLOOKUP(_xlpm.dn+cfgRetestClassDays,nrCDnum,nrCDdate),"")))))</f>
        <v/>
      </c>
      <c r="U834" s="17">
        <f>IF($Q834&lt;&gt;"Yes","",IF(COUNTIFS(nrES_PID,$D834,nrES_Code,$F834,nrES_Att,2)&gt;0,"Retested",IF(OR($T834="",NOT(ISNUMBER($T834))),"Pending",IF(TODAY()&gt;$T834,"OVERDUE","Due "&amp;TEXT($T834,"mm/dd")))))</f>
        <v/>
      </c>
      <c r="V834" s="16" t="n"/>
      <c r="W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IF($C835="","",IF($L835="","",IF($K835=1,IF(COUNTIFS(nrES_PID,$D835,nrES_Code,$F835,nrES_Att,2)&gt;0,"",$L835),IF(COUNTIFS(nrES_PID,$D835,nrES_Code,$F835,nrES_Att,1)=0,$L835,IF($L835&gt;=$J835,cfgRetakeRecordedCap,SUMIFS(nrES_Raw,nrES_PID,$D835,nrES_Code,$F835,nrES_Att,1))))))</f>
        <v/>
      </c>
      <c r="N835" s="17">
        <f>IF($C835="","",IF($L835="","",IF($L835&gt;=$J835,"Yes","No")))</f>
        <v/>
      </c>
      <c r="O835" s="17">
        <f>IF($C835="","",IF($M835="","",IF($M835&gt;=$J835,"Yes","No")))</f>
        <v/>
      </c>
      <c r="P835" s="17">
        <f>IF($C835="","",IF($K835="","",IF(COUNTIFS(nrES_PID,$D835,nrES_Code,$F835,nrES_Att,"&gt;"&amp;$K835)=0,"Yes","No")))</f>
        <v/>
      </c>
      <c r="Q835" s="17">
        <f>IF($C835="","",IF($L835="","",IF(AND($K835=1,$L835&lt;$J835,COUNTIFS(nrES_PID,$D835,nrES_Code,$F835,nrES_Att,2)=0),"Yes","No")))</f>
        <v/>
      </c>
      <c r="R835" s="17">
        <f>IF($C835="","",IF($L835="","",IF(AND($K835=2,$L835&lt;$J835,COUNTIFS(nrES_PID,$D835,nrES_Code,$F835,nrES_Att,1)&gt;0),"Yes","No")))</f>
        <v/>
      </c>
      <c r="S835" s="18" t="n"/>
      <c r="T835" s="19">
        <f>IF($Q835&lt;&gt;"Yes","",IF($S835="","(enter date)",_xlfn.LET(_xlpm.dn,IFERROR(_xlfn.XLOOKUP($S835,nrCDdate,nrCDnum),""),IF(_xlpm.dn="","(not a class day)",IFERROR(_xlfn.XLOOKUP(_xlpm.dn+cfgRetestClassDays,nrCDnum,nrCDdate),"")))))</f>
        <v/>
      </c>
      <c r="U835" s="17">
        <f>IF($Q835&lt;&gt;"Yes","",IF(COUNTIFS(nrES_PID,$D835,nrES_Code,$F835,nrES_Att,2)&gt;0,"Retested",IF(OR($T835="",NOT(ISNUMBER($T835))),"Pending",IF(TODAY()&gt;$T835,"OVERDUE","Due "&amp;TEXT($T835,"mm/dd")))))</f>
        <v/>
      </c>
      <c r="V835" s="16" t="n"/>
      <c r="W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IF($C836="","",IF($L836="","",IF($K836=1,IF(COUNTIFS(nrES_PID,$D836,nrES_Code,$F836,nrES_Att,2)&gt;0,"",$L836),IF(COUNTIFS(nrES_PID,$D836,nrES_Code,$F836,nrES_Att,1)=0,$L836,IF($L836&gt;=$J836,cfgRetakeRecordedCap,SUMIFS(nrES_Raw,nrES_PID,$D836,nrES_Code,$F836,nrES_Att,1))))))</f>
        <v/>
      </c>
      <c r="N836" s="17">
        <f>IF($C836="","",IF($L836="","",IF($L836&gt;=$J836,"Yes","No")))</f>
        <v/>
      </c>
      <c r="O836" s="17">
        <f>IF($C836="","",IF($M836="","",IF($M836&gt;=$J836,"Yes","No")))</f>
        <v/>
      </c>
      <c r="P836" s="17">
        <f>IF($C836="","",IF($K836="","",IF(COUNTIFS(nrES_PID,$D836,nrES_Code,$F836,nrES_Att,"&gt;"&amp;$K836)=0,"Yes","No")))</f>
        <v/>
      </c>
      <c r="Q836" s="17">
        <f>IF($C836="","",IF($L836="","",IF(AND($K836=1,$L836&lt;$J836,COUNTIFS(nrES_PID,$D836,nrES_Code,$F836,nrES_Att,2)=0),"Yes","No")))</f>
        <v/>
      </c>
      <c r="R836" s="17">
        <f>IF($C836="","",IF($L836="","",IF(AND($K836=2,$L836&lt;$J836,COUNTIFS(nrES_PID,$D836,nrES_Code,$F836,nrES_Att,1)&gt;0),"Yes","No")))</f>
        <v/>
      </c>
      <c r="S836" s="18" t="n"/>
      <c r="T836" s="19">
        <f>IF($Q836&lt;&gt;"Yes","",IF($S836="","(enter date)",_xlfn.LET(_xlpm.dn,IFERROR(_xlfn.XLOOKUP($S836,nrCDdate,nrCDnum),""),IF(_xlpm.dn="","(not a class day)",IFERROR(_xlfn.XLOOKUP(_xlpm.dn+cfgRetestClassDays,nrCDnum,nrCDdate),"")))))</f>
        <v/>
      </c>
      <c r="U836" s="17">
        <f>IF($Q836&lt;&gt;"Yes","",IF(COUNTIFS(nrES_PID,$D836,nrES_Code,$F836,nrES_Att,2)&gt;0,"Retested",IF(OR($T836="",NOT(ISNUMBER($T836))),"Pending",IF(TODAY()&gt;$T836,"OVERDUE","Due "&amp;TEXT($T836,"mm/dd")))))</f>
        <v/>
      </c>
      <c r="V836" s="16" t="n"/>
      <c r="W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IF($C837="","",IF($L837="","",IF($K837=1,IF(COUNTIFS(nrES_PID,$D837,nrES_Code,$F837,nrES_Att,2)&gt;0,"",$L837),IF(COUNTIFS(nrES_PID,$D837,nrES_Code,$F837,nrES_Att,1)=0,$L837,IF($L837&gt;=$J837,cfgRetakeRecordedCap,SUMIFS(nrES_Raw,nrES_PID,$D837,nrES_Code,$F837,nrES_Att,1))))))</f>
        <v/>
      </c>
      <c r="N837" s="17">
        <f>IF($C837="","",IF($L837="","",IF($L837&gt;=$J837,"Yes","No")))</f>
        <v/>
      </c>
      <c r="O837" s="17">
        <f>IF($C837="","",IF($M837="","",IF($M837&gt;=$J837,"Yes","No")))</f>
        <v/>
      </c>
      <c r="P837" s="17">
        <f>IF($C837="","",IF($K837="","",IF(COUNTIFS(nrES_PID,$D837,nrES_Code,$F837,nrES_Att,"&gt;"&amp;$K837)=0,"Yes","No")))</f>
        <v/>
      </c>
      <c r="Q837" s="17">
        <f>IF($C837="","",IF($L837="","",IF(AND($K837=1,$L837&lt;$J837,COUNTIFS(nrES_PID,$D837,nrES_Code,$F837,nrES_Att,2)=0),"Yes","No")))</f>
        <v/>
      </c>
      <c r="R837" s="17">
        <f>IF($C837="","",IF($L837="","",IF(AND($K837=2,$L837&lt;$J837,COUNTIFS(nrES_PID,$D837,nrES_Code,$F837,nrES_Att,1)&gt;0),"Yes","No")))</f>
        <v/>
      </c>
      <c r="S837" s="18" t="n"/>
      <c r="T837" s="19">
        <f>IF($Q837&lt;&gt;"Yes","",IF($S837="","(enter date)",_xlfn.LET(_xlpm.dn,IFERROR(_xlfn.XLOOKUP($S837,nrCDdate,nrCDnum),""),IF(_xlpm.dn="","(not a class day)",IFERROR(_xlfn.XLOOKUP(_xlpm.dn+cfgRetestClassDays,nrCDnum,nrCDdate),"")))))</f>
        <v/>
      </c>
      <c r="U837" s="17">
        <f>IF($Q837&lt;&gt;"Yes","",IF(COUNTIFS(nrES_PID,$D837,nrES_Code,$F837,nrES_Att,2)&gt;0,"Retested",IF(OR($T837="",NOT(ISNUMBER($T837))),"Pending",IF(TODAY()&gt;$T837,"OVERDUE","Due "&amp;TEXT($T837,"mm/dd")))))</f>
        <v/>
      </c>
      <c r="V837" s="16" t="n"/>
      <c r="W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IF($C838="","",IF($L838="","",IF($K838=1,IF(COUNTIFS(nrES_PID,$D838,nrES_Code,$F838,nrES_Att,2)&gt;0,"",$L838),IF(COUNTIFS(nrES_PID,$D838,nrES_Code,$F838,nrES_Att,1)=0,$L838,IF($L838&gt;=$J838,cfgRetakeRecordedCap,SUMIFS(nrES_Raw,nrES_PID,$D838,nrES_Code,$F838,nrES_Att,1))))))</f>
        <v/>
      </c>
      <c r="N838" s="17">
        <f>IF($C838="","",IF($L838="","",IF($L838&gt;=$J838,"Yes","No")))</f>
        <v/>
      </c>
      <c r="O838" s="17">
        <f>IF($C838="","",IF($M838="","",IF($M838&gt;=$J838,"Yes","No")))</f>
        <v/>
      </c>
      <c r="P838" s="17">
        <f>IF($C838="","",IF($K838="","",IF(COUNTIFS(nrES_PID,$D838,nrES_Code,$F838,nrES_Att,"&gt;"&amp;$K838)=0,"Yes","No")))</f>
        <v/>
      </c>
      <c r="Q838" s="17">
        <f>IF($C838="","",IF($L838="","",IF(AND($K838=1,$L838&lt;$J838,COUNTIFS(nrES_PID,$D838,nrES_Code,$F838,nrES_Att,2)=0),"Yes","No")))</f>
        <v/>
      </c>
      <c r="R838" s="17">
        <f>IF($C838="","",IF($L838="","",IF(AND($K838=2,$L838&lt;$J838,COUNTIFS(nrES_PID,$D838,nrES_Code,$F838,nrES_Att,1)&gt;0),"Yes","No")))</f>
        <v/>
      </c>
      <c r="S838" s="18" t="n"/>
      <c r="T838" s="19">
        <f>IF($Q838&lt;&gt;"Yes","",IF($S838="","(enter date)",_xlfn.LET(_xlpm.dn,IFERROR(_xlfn.XLOOKUP($S838,nrCDdate,nrCDnum),""),IF(_xlpm.dn="","(not a class day)",IFERROR(_xlfn.XLOOKUP(_xlpm.dn+cfgRetestClassDays,nrCDnum,nrCDdate),"")))))</f>
        <v/>
      </c>
      <c r="U838" s="17">
        <f>IF($Q838&lt;&gt;"Yes","",IF(COUNTIFS(nrES_PID,$D838,nrES_Code,$F838,nrES_Att,2)&gt;0,"Retested",IF(OR($T838="",NOT(ISNUMBER($T838))),"Pending",IF(TODAY()&gt;$T838,"OVERDUE","Due "&amp;TEXT($T838,"mm/dd")))))</f>
        <v/>
      </c>
      <c r="V838" s="16" t="n"/>
      <c r="W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IF($C839="","",IF($L839="","",IF($K839=1,IF(COUNTIFS(nrES_PID,$D839,nrES_Code,$F839,nrES_Att,2)&gt;0,"",$L839),IF(COUNTIFS(nrES_PID,$D839,nrES_Code,$F839,nrES_Att,1)=0,$L839,IF($L839&gt;=$J839,cfgRetakeRecordedCap,SUMIFS(nrES_Raw,nrES_PID,$D839,nrES_Code,$F839,nrES_Att,1))))))</f>
        <v/>
      </c>
      <c r="N839" s="17">
        <f>IF($C839="","",IF($L839="","",IF($L839&gt;=$J839,"Yes","No")))</f>
        <v/>
      </c>
      <c r="O839" s="17">
        <f>IF($C839="","",IF($M839="","",IF($M839&gt;=$J839,"Yes","No")))</f>
        <v/>
      </c>
      <c r="P839" s="17">
        <f>IF($C839="","",IF($K839="","",IF(COUNTIFS(nrES_PID,$D839,nrES_Code,$F839,nrES_Att,"&gt;"&amp;$K839)=0,"Yes","No")))</f>
        <v/>
      </c>
      <c r="Q839" s="17">
        <f>IF($C839="","",IF($L839="","",IF(AND($K839=1,$L839&lt;$J839,COUNTIFS(nrES_PID,$D839,nrES_Code,$F839,nrES_Att,2)=0),"Yes","No")))</f>
        <v/>
      </c>
      <c r="R839" s="17">
        <f>IF($C839="","",IF($L839="","",IF(AND($K839=2,$L839&lt;$J839,COUNTIFS(nrES_PID,$D839,nrES_Code,$F839,nrES_Att,1)&gt;0),"Yes","No")))</f>
        <v/>
      </c>
      <c r="S839" s="18" t="n"/>
      <c r="T839" s="19">
        <f>IF($Q839&lt;&gt;"Yes","",IF($S839="","(enter date)",_xlfn.LET(_xlpm.dn,IFERROR(_xlfn.XLOOKUP($S839,nrCDdate,nrCDnum),""),IF(_xlpm.dn="","(not a class day)",IFERROR(_xlfn.XLOOKUP(_xlpm.dn+cfgRetestClassDays,nrCDnum,nrCDdate),"")))))</f>
        <v/>
      </c>
      <c r="U839" s="17">
        <f>IF($Q839&lt;&gt;"Yes","",IF(COUNTIFS(nrES_PID,$D839,nrES_Code,$F839,nrES_Att,2)&gt;0,"Retested",IF(OR($T839="",NOT(ISNUMBER($T839))),"Pending",IF(TODAY()&gt;$T839,"OVERDUE","Due "&amp;TEXT($T839,"mm/dd")))))</f>
        <v/>
      </c>
      <c r="V839" s="16" t="n"/>
      <c r="W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IF($C840="","",IF($L840="","",IF($K840=1,IF(COUNTIFS(nrES_PID,$D840,nrES_Code,$F840,nrES_Att,2)&gt;0,"",$L840),IF(COUNTIFS(nrES_PID,$D840,nrES_Code,$F840,nrES_Att,1)=0,$L840,IF($L840&gt;=$J840,cfgRetakeRecordedCap,SUMIFS(nrES_Raw,nrES_PID,$D840,nrES_Code,$F840,nrES_Att,1))))))</f>
        <v/>
      </c>
      <c r="N840" s="17">
        <f>IF($C840="","",IF($L840="","",IF($L840&gt;=$J840,"Yes","No")))</f>
        <v/>
      </c>
      <c r="O840" s="17">
        <f>IF($C840="","",IF($M840="","",IF($M840&gt;=$J840,"Yes","No")))</f>
        <v/>
      </c>
      <c r="P840" s="17">
        <f>IF($C840="","",IF($K840="","",IF(COUNTIFS(nrES_PID,$D840,nrES_Code,$F840,nrES_Att,"&gt;"&amp;$K840)=0,"Yes","No")))</f>
        <v/>
      </c>
      <c r="Q840" s="17">
        <f>IF($C840="","",IF($L840="","",IF(AND($K840=1,$L840&lt;$J840,COUNTIFS(nrES_PID,$D840,nrES_Code,$F840,nrES_Att,2)=0),"Yes","No")))</f>
        <v/>
      </c>
      <c r="R840" s="17">
        <f>IF($C840="","",IF($L840="","",IF(AND($K840=2,$L840&lt;$J840,COUNTIFS(nrES_PID,$D840,nrES_Code,$F840,nrES_Att,1)&gt;0),"Yes","No")))</f>
        <v/>
      </c>
      <c r="S840" s="18" t="n"/>
      <c r="T840" s="19">
        <f>IF($Q840&lt;&gt;"Yes","",IF($S840="","(enter date)",_xlfn.LET(_xlpm.dn,IFERROR(_xlfn.XLOOKUP($S840,nrCDdate,nrCDnum),""),IF(_xlpm.dn="","(not a class day)",IFERROR(_xlfn.XLOOKUP(_xlpm.dn+cfgRetestClassDays,nrCDnum,nrCDdate),"")))))</f>
        <v/>
      </c>
      <c r="U840" s="17">
        <f>IF($Q840&lt;&gt;"Yes","",IF(COUNTIFS(nrES_PID,$D840,nrES_Code,$F840,nrES_Att,2)&gt;0,"Retested",IF(OR($T840="",NOT(ISNUMBER($T840))),"Pending",IF(TODAY()&gt;$T840,"OVERDUE","Due "&amp;TEXT($T840,"mm/dd")))))</f>
        <v/>
      </c>
      <c r="V840" s="16" t="n"/>
      <c r="W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IF($C841="","",IF($L841="","",IF($K841=1,IF(COUNTIFS(nrES_PID,$D841,nrES_Code,$F841,nrES_Att,2)&gt;0,"",$L841),IF(COUNTIFS(nrES_PID,$D841,nrES_Code,$F841,nrES_Att,1)=0,$L841,IF($L841&gt;=$J841,cfgRetakeRecordedCap,SUMIFS(nrES_Raw,nrES_PID,$D841,nrES_Code,$F841,nrES_Att,1))))))</f>
        <v/>
      </c>
      <c r="N841" s="17">
        <f>IF($C841="","",IF($L841="","",IF($L841&gt;=$J841,"Yes","No")))</f>
        <v/>
      </c>
      <c r="O841" s="17">
        <f>IF($C841="","",IF($M841="","",IF($M841&gt;=$J841,"Yes","No")))</f>
        <v/>
      </c>
      <c r="P841" s="17">
        <f>IF($C841="","",IF($K841="","",IF(COUNTIFS(nrES_PID,$D841,nrES_Code,$F841,nrES_Att,"&gt;"&amp;$K841)=0,"Yes","No")))</f>
        <v/>
      </c>
      <c r="Q841" s="17">
        <f>IF($C841="","",IF($L841="","",IF(AND($K841=1,$L841&lt;$J841,COUNTIFS(nrES_PID,$D841,nrES_Code,$F841,nrES_Att,2)=0),"Yes","No")))</f>
        <v/>
      </c>
      <c r="R841" s="17">
        <f>IF($C841="","",IF($L841="","",IF(AND($K841=2,$L841&lt;$J841,COUNTIFS(nrES_PID,$D841,nrES_Code,$F841,nrES_Att,1)&gt;0),"Yes","No")))</f>
        <v/>
      </c>
      <c r="S841" s="18" t="n"/>
      <c r="T841" s="19">
        <f>IF($Q841&lt;&gt;"Yes","",IF($S841="","(enter date)",_xlfn.LET(_xlpm.dn,IFERROR(_xlfn.XLOOKUP($S841,nrCDdate,nrCDnum),""),IF(_xlpm.dn="","(not a class day)",IFERROR(_xlfn.XLOOKUP(_xlpm.dn+cfgRetestClassDays,nrCDnum,nrCDdate),"")))))</f>
        <v/>
      </c>
      <c r="U841" s="17">
        <f>IF($Q841&lt;&gt;"Yes","",IF(COUNTIFS(nrES_PID,$D841,nrES_Code,$F841,nrES_Att,2)&gt;0,"Retested",IF(OR($T841="",NOT(ISNUMBER($T841))),"Pending",IF(TODAY()&gt;$T841,"OVERDUE","Due "&amp;TEXT($T841,"mm/dd")))))</f>
        <v/>
      </c>
      <c r="V841" s="16" t="n"/>
      <c r="W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IF($C842="","",IF($L842="","",IF($K842=1,IF(COUNTIFS(nrES_PID,$D842,nrES_Code,$F842,nrES_Att,2)&gt;0,"",$L842),IF(COUNTIFS(nrES_PID,$D842,nrES_Code,$F842,nrES_Att,1)=0,$L842,IF($L842&gt;=$J842,cfgRetakeRecordedCap,SUMIFS(nrES_Raw,nrES_PID,$D842,nrES_Code,$F842,nrES_Att,1))))))</f>
        <v/>
      </c>
      <c r="N842" s="17">
        <f>IF($C842="","",IF($L842="","",IF($L842&gt;=$J842,"Yes","No")))</f>
        <v/>
      </c>
      <c r="O842" s="17">
        <f>IF($C842="","",IF($M842="","",IF($M842&gt;=$J842,"Yes","No")))</f>
        <v/>
      </c>
      <c r="P842" s="17">
        <f>IF($C842="","",IF($K842="","",IF(COUNTIFS(nrES_PID,$D842,nrES_Code,$F842,nrES_Att,"&gt;"&amp;$K842)=0,"Yes","No")))</f>
        <v/>
      </c>
      <c r="Q842" s="17">
        <f>IF($C842="","",IF($L842="","",IF(AND($K842=1,$L842&lt;$J842,COUNTIFS(nrES_PID,$D842,nrES_Code,$F842,nrES_Att,2)=0),"Yes","No")))</f>
        <v/>
      </c>
      <c r="R842" s="17">
        <f>IF($C842="","",IF($L842="","",IF(AND($K842=2,$L842&lt;$J842,COUNTIFS(nrES_PID,$D842,nrES_Code,$F842,nrES_Att,1)&gt;0),"Yes","No")))</f>
        <v/>
      </c>
      <c r="S842" s="18" t="n"/>
      <c r="T842" s="19">
        <f>IF($Q842&lt;&gt;"Yes","",IF($S842="","(enter date)",_xlfn.LET(_xlpm.dn,IFERROR(_xlfn.XLOOKUP($S842,nrCDdate,nrCDnum),""),IF(_xlpm.dn="","(not a class day)",IFERROR(_xlfn.XLOOKUP(_xlpm.dn+cfgRetestClassDays,nrCDnum,nrCDdate),"")))))</f>
        <v/>
      </c>
      <c r="U842" s="17">
        <f>IF($Q842&lt;&gt;"Yes","",IF(COUNTIFS(nrES_PID,$D842,nrES_Code,$F842,nrES_Att,2)&gt;0,"Retested",IF(OR($T842="",NOT(ISNUMBER($T842))),"Pending",IF(TODAY()&gt;$T842,"OVERDUE","Due "&amp;TEXT($T842,"mm/dd")))))</f>
        <v/>
      </c>
      <c r="V842" s="16" t="n"/>
      <c r="W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IF($C843="","",IF($L843="","",IF($K843=1,IF(COUNTIFS(nrES_PID,$D843,nrES_Code,$F843,nrES_Att,2)&gt;0,"",$L843),IF(COUNTIFS(nrES_PID,$D843,nrES_Code,$F843,nrES_Att,1)=0,$L843,IF($L843&gt;=$J843,cfgRetakeRecordedCap,SUMIFS(nrES_Raw,nrES_PID,$D843,nrES_Code,$F843,nrES_Att,1))))))</f>
        <v/>
      </c>
      <c r="N843" s="17">
        <f>IF($C843="","",IF($L843="","",IF($L843&gt;=$J843,"Yes","No")))</f>
        <v/>
      </c>
      <c r="O843" s="17">
        <f>IF($C843="","",IF($M843="","",IF($M843&gt;=$J843,"Yes","No")))</f>
        <v/>
      </c>
      <c r="P843" s="17">
        <f>IF($C843="","",IF($K843="","",IF(COUNTIFS(nrES_PID,$D843,nrES_Code,$F843,nrES_Att,"&gt;"&amp;$K843)=0,"Yes","No")))</f>
        <v/>
      </c>
      <c r="Q843" s="17">
        <f>IF($C843="","",IF($L843="","",IF(AND($K843=1,$L843&lt;$J843,COUNTIFS(nrES_PID,$D843,nrES_Code,$F843,nrES_Att,2)=0),"Yes","No")))</f>
        <v/>
      </c>
      <c r="R843" s="17">
        <f>IF($C843="","",IF($L843="","",IF(AND($K843=2,$L843&lt;$J843,COUNTIFS(nrES_PID,$D843,nrES_Code,$F843,nrES_Att,1)&gt;0),"Yes","No")))</f>
        <v/>
      </c>
      <c r="S843" s="18" t="n"/>
      <c r="T843" s="19">
        <f>IF($Q843&lt;&gt;"Yes","",IF($S843="","(enter date)",_xlfn.LET(_xlpm.dn,IFERROR(_xlfn.XLOOKUP($S843,nrCDdate,nrCDnum),""),IF(_xlpm.dn="","(not a class day)",IFERROR(_xlfn.XLOOKUP(_xlpm.dn+cfgRetestClassDays,nrCDnum,nrCDdate),"")))))</f>
        <v/>
      </c>
      <c r="U843" s="17">
        <f>IF($Q843&lt;&gt;"Yes","",IF(COUNTIFS(nrES_PID,$D843,nrES_Code,$F843,nrES_Att,2)&gt;0,"Retested",IF(OR($T843="",NOT(ISNUMBER($T843))),"Pending",IF(TODAY()&gt;$T843,"OVERDUE","Due "&amp;TEXT($T843,"mm/dd")))))</f>
        <v/>
      </c>
      <c r="V843" s="16" t="n"/>
      <c r="W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IF($C844="","",IF($L844="","",IF($K844=1,IF(COUNTIFS(nrES_PID,$D844,nrES_Code,$F844,nrES_Att,2)&gt;0,"",$L844),IF(COUNTIFS(nrES_PID,$D844,nrES_Code,$F844,nrES_Att,1)=0,$L844,IF($L844&gt;=$J844,cfgRetakeRecordedCap,SUMIFS(nrES_Raw,nrES_PID,$D844,nrES_Code,$F844,nrES_Att,1))))))</f>
        <v/>
      </c>
      <c r="N844" s="17">
        <f>IF($C844="","",IF($L844="","",IF($L844&gt;=$J844,"Yes","No")))</f>
        <v/>
      </c>
      <c r="O844" s="17">
        <f>IF($C844="","",IF($M844="","",IF($M844&gt;=$J844,"Yes","No")))</f>
        <v/>
      </c>
      <c r="P844" s="17">
        <f>IF($C844="","",IF($K844="","",IF(COUNTIFS(nrES_PID,$D844,nrES_Code,$F844,nrES_Att,"&gt;"&amp;$K844)=0,"Yes","No")))</f>
        <v/>
      </c>
      <c r="Q844" s="17">
        <f>IF($C844="","",IF($L844="","",IF(AND($K844=1,$L844&lt;$J844,COUNTIFS(nrES_PID,$D844,nrES_Code,$F844,nrES_Att,2)=0),"Yes","No")))</f>
        <v/>
      </c>
      <c r="R844" s="17">
        <f>IF($C844="","",IF($L844="","",IF(AND($K844=2,$L844&lt;$J844,COUNTIFS(nrES_PID,$D844,nrES_Code,$F844,nrES_Att,1)&gt;0),"Yes","No")))</f>
        <v/>
      </c>
      <c r="S844" s="18" t="n"/>
      <c r="T844" s="19">
        <f>IF($Q844&lt;&gt;"Yes","",IF($S844="","(enter date)",_xlfn.LET(_xlpm.dn,IFERROR(_xlfn.XLOOKUP($S844,nrCDdate,nrCDnum),""),IF(_xlpm.dn="","(not a class day)",IFERROR(_xlfn.XLOOKUP(_xlpm.dn+cfgRetestClassDays,nrCDnum,nrCDdate),"")))))</f>
        <v/>
      </c>
      <c r="U844" s="17">
        <f>IF($Q844&lt;&gt;"Yes","",IF(COUNTIFS(nrES_PID,$D844,nrES_Code,$F844,nrES_Att,2)&gt;0,"Retested",IF(OR($T844="",NOT(ISNUMBER($T844))),"Pending",IF(TODAY()&gt;$T844,"OVERDUE","Due "&amp;TEXT($T844,"mm/dd")))))</f>
        <v/>
      </c>
      <c r="V844" s="16" t="n"/>
      <c r="W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IF($C845="","",IF($L845="","",IF($K845=1,IF(COUNTIFS(nrES_PID,$D845,nrES_Code,$F845,nrES_Att,2)&gt;0,"",$L845),IF(COUNTIFS(nrES_PID,$D845,nrES_Code,$F845,nrES_Att,1)=0,$L845,IF($L845&gt;=$J845,cfgRetakeRecordedCap,SUMIFS(nrES_Raw,nrES_PID,$D845,nrES_Code,$F845,nrES_Att,1))))))</f>
        <v/>
      </c>
      <c r="N845" s="17">
        <f>IF($C845="","",IF($L845="","",IF($L845&gt;=$J845,"Yes","No")))</f>
        <v/>
      </c>
      <c r="O845" s="17">
        <f>IF($C845="","",IF($M845="","",IF($M845&gt;=$J845,"Yes","No")))</f>
        <v/>
      </c>
      <c r="P845" s="17">
        <f>IF($C845="","",IF($K845="","",IF(COUNTIFS(nrES_PID,$D845,nrES_Code,$F845,nrES_Att,"&gt;"&amp;$K845)=0,"Yes","No")))</f>
        <v/>
      </c>
      <c r="Q845" s="17">
        <f>IF($C845="","",IF($L845="","",IF(AND($K845=1,$L845&lt;$J845,COUNTIFS(nrES_PID,$D845,nrES_Code,$F845,nrES_Att,2)=0),"Yes","No")))</f>
        <v/>
      </c>
      <c r="R845" s="17">
        <f>IF($C845="","",IF($L845="","",IF(AND($K845=2,$L845&lt;$J845,COUNTIFS(nrES_PID,$D845,nrES_Code,$F845,nrES_Att,1)&gt;0),"Yes","No")))</f>
        <v/>
      </c>
      <c r="S845" s="18" t="n"/>
      <c r="T845" s="19">
        <f>IF($Q845&lt;&gt;"Yes","",IF($S845="","(enter date)",_xlfn.LET(_xlpm.dn,IFERROR(_xlfn.XLOOKUP($S845,nrCDdate,nrCDnum),""),IF(_xlpm.dn="","(not a class day)",IFERROR(_xlfn.XLOOKUP(_xlpm.dn+cfgRetestClassDays,nrCDnum,nrCDdate),"")))))</f>
        <v/>
      </c>
      <c r="U845" s="17">
        <f>IF($Q845&lt;&gt;"Yes","",IF(COUNTIFS(nrES_PID,$D845,nrES_Code,$F845,nrES_Att,2)&gt;0,"Retested",IF(OR($T845="",NOT(ISNUMBER($T845))),"Pending",IF(TODAY()&gt;$T845,"OVERDUE","Due "&amp;TEXT($T845,"mm/dd")))))</f>
        <v/>
      </c>
      <c r="V845" s="16" t="n"/>
      <c r="W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IF($C846="","",IF($L846="","",IF($K846=1,IF(COUNTIFS(nrES_PID,$D846,nrES_Code,$F846,nrES_Att,2)&gt;0,"",$L846),IF(COUNTIFS(nrES_PID,$D846,nrES_Code,$F846,nrES_Att,1)=0,$L846,IF($L846&gt;=$J846,cfgRetakeRecordedCap,SUMIFS(nrES_Raw,nrES_PID,$D846,nrES_Code,$F846,nrES_Att,1))))))</f>
        <v/>
      </c>
      <c r="N846" s="17">
        <f>IF($C846="","",IF($L846="","",IF($L846&gt;=$J846,"Yes","No")))</f>
        <v/>
      </c>
      <c r="O846" s="17">
        <f>IF($C846="","",IF($M846="","",IF($M846&gt;=$J846,"Yes","No")))</f>
        <v/>
      </c>
      <c r="P846" s="17">
        <f>IF($C846="","",IF($K846="","",IF(COUNTIFS(nrES_PID,$D846,nrES_Code,$F846,nrES_Att,"&gt;"&amp;$K846)=0,"Yes","No")))</f>
        <v/>
      </c>
      <c r="Q846" s="17">
        <f>IF($C846="","",IF($L846="","",IF(AND($K846=1,$L846&lt;$J846,COUNTIFS(nrES_PID,$D846,nrES_Code,$F846,nrES_Att,2)=0),"Yes","No")))</f>
        <v/>
      </c>
      <c r="R846" s="17">
        <f>IF($C846="","",IF($L846="","",IF(AND($K846=2,$L846&lt;$J846,COUNTIFS(nrES_PID,$D846,nrES_Code,$F846,nrES_Att,1)&gt;0),"Yes","No")))</f>
        <v/>
      </c>
      <c r="S846" s="18" t="n"/>
      <c r="T846" s="19">
        <f>IF($Q846&lt;&gt;"Yes","",IF($S846="","(enter date)",_xlfn.LET(_xlpm.dn,IFERROR(_xlfn.XLOOKUP($S846,nrCDdate,nrCDnum),""),IF(_xlpm.dn="","(not a class day)",IFERROR(_xlfn.XLOOKUP(_xlpm.dn+cfgRetestClassDays,nrCDnum,nrCDdate),"")))))</f>
        <v/>
      </c>
      <c r="U846" s="17">
        <f>IF($Q846&lt;&gt;"Yes","",IF(COUNTIFS(nrES_PID,$D846,nrES_Code,$F846,nrES_Att,2)&gt;0,"Retested",IF(OR($T846="",NOT(ISNUMBER($T846))),"Pending",IF(TODAY()&gt;$T846,"OVERDUE","Due "&amp;TEXT($T846,"mm/dd")))))</f>
        <v/>
      </c>
      <c r="V846" s="16" t="n"/>
      <c r="W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IF($C847="","",IF($L847="","",IF($K847=1,IF(COUNTIFS(nrES_PID,$D847,nrES_Code,$F847,nrES_Att,2)&gt;0,"",$L847),IF(COUNTIFS(nrES_PID,$D847,nrES_Code,$F847,nrES_Att,1)=0,$L847,IF($L847&gt;=$J847,cfgRetakeRecordedCap,SUMIFS(nrES_Raw,nrES_PID,$D847,nrES_Code,$F847,nrES_Att,1))))))</f>
        <v/>
      </c>
      <c r="N847" s="17">
        <f>IF($C847="","",IF($L847="","",IF($L847&gt;=$J847,"Yes","No")))</f>
        <v/>
      </c>
      <c r="O847" s="17">
        <f>IF($C847="","",IF($M847="","",IF($M847&gt;=$J847,"Yes","No")))</f>
        <v/>
      </c>
      <c r="P847" s="17">
        <f>IF($C847="","",IF($K847="","",IF(COUNTIFS(nrES_PID,$D847,nrES_Code,$F847,nrES_Att,"&gt;"&amp;$K847)=0,"Yes","No")))</f>
        <v/>
      </c>
      <c r="Q847" s="17">
        <f>IF($C847="","",IF($L847="","",IF(AND($K847=1,$L847&lt;$J847,COUNTIFS(nrES_PID,$D847,nrES_Code,$F847,nrES_Att,2)=0),"Yes","No")))</f>
        <v/>
      </c>
      <c r="R847" s="17">
        <f>IF($C847="","",IF($L847="","",IF(AND($K847=2,$L847&lt;$J847,COUNTIFS(nrES_PID,$D847,nrES_Code,$F847,nrES_Att,1)&gt;0),"Yes","No")))</f>
        <v/>
      </c>
      <c r="S847" s="18" t="n"/>
      <c r="T847" s="19">
        <f>IF($Q847&lt;&gt;"Yes","",IF($S847="","(enter date)",_xlfn.LET(_xlpm.dn,IFERROR(_xlfn.XLOOKUP($S847,nrCDdate,nrCDnum),""),IF(_xlpm.dn="","(not a class day)",IFERROR(_xlfn.XLOOKUP(_xlpm.dn+cfgRetestClassDays,nrCDnum,nrCDdate),"")))))</f>
        <v/>
      </c>
      <c r="U847" s="17">
        <f>IF($Q847&lt;&gt;"Yes","",IF(COUNTIFS(nrES_PID,$D847,nrES_Code,$F847,nrES_Att,2)&gt;0,"Retested",IF(OR($T847="",NOT(ISNUMBER($T847))),"Pending",IF(TODAY()&gt;$T847,"OVERDUE","Due "&amp;TEXT($T847,"mm/dd")))))</f>
        <v/>
      </c>
      <c r="V847" s="16" t="n"/>
      <c r="W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IF($C848="","",IF($L848="","",IF($K848=1,IF(COUNTIFS(nrES_PID,$D848,nrES_Code,$F848,nrES_Att,2)&gt;0,"",$L848),IF(COUNTIFS(nrES_PID,$D848,nrES_Code,$F848,nrES_Att,1)=0,$L848,IF($L848&gt;=$J848,cfgRetakeRecordedCap,SUMIFS(nrES_Raw,nrES_PID,$D848,nrES_Code,$F848,nrES_Att,1))))))</f>
        <v/>
      </c>
      <c r="N848" s="17">
        <f>IF($C848="","",IF($L848="","",IF($L848&gt;=$J848,"Yes","No")))</f>
        <v/>
      </c>
      <c r="O848" s="17">
        <f>IF($C848="","",IF($M848="","",IF($M848&gt;=$J848,"Yes","No")))</f>
        <v/>
      </c>
      <c r="P848" s="17">
        <f>IF($C848="","",IF($K848="","",IF(COUNTIFS(nrES_PID,$D848,nrES_Code,$F848,nrES_Att,"&gt;"&amp;$K848)=0,"Yes","No")))</f>
        <v/>
      </c>
      <c r="Q848" s="17">
        <f>IF($C848="","",IF($L848="","",IF(AND($K848=1,$L848&lt;$J848,COUNTIFS(nrES_PID,$D848,nrES_Code,$F848,nrES_Att,2)=0),"Yes","No")))</f>
        <v/>
      </c>
      <c r="R848" s="17">
        <f>IF($C848="","",IF($L848="","",IF(AND($K848=2,$L848&lt;$J848,COUNTIFS(nrES_PID,$D848,nrES_Code,$F848,nrES_Att,1)&gt;0),"Yes","No")))</f>
        <v/>
      </c>
      <c r="S848" s="18" t="n"/>
      <c r="T848" s="19">
        <f>IF($Q848&lt;&gt;"Yes","",IF($S848="","(enter date)",_xlfn.LET(_xlpm.dn,IFERROR(_xlfn.XLOOKUP($S848,nrCDdate,nrCDnum),""),IF(_xlpm.dn="","(not a class day)",IFERROR(_xlfn.XLOOKUP(_xlpm.dn+cfgRetestClassDays,nrCDnum,nrCDdate),"")))))</f>
        <v/>
      </c>
      <c r="U848" s="17">
        <f>IF($Q848&lt;&gt;"Yes","",IF(COUNTIFS(nrES_PID,$D848,nrES_Code,$F848,nrES_Att,2)&gt;0,"Retested",IF(OR($T848="",NOT(ISNUMBER($T848))),"Pending",IF(TODAY()&gt;$T848,"OVERDUE","Due "&amp;TEXT($T848,"mm/dd")))))</f>
        <v/>
      </c>
      <c r="V848" s="16" t="n"/>
      <c r="W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IF($C849="","",IF($L849="","",IF($K849=1,IF(COUNTIFS(nrES_PID,$D849,nrES_Code,$F849,nrES_Att,2)&gt;0,"",$L849),IF(COUNTIFS(nrES_PID,$D849,nrES_Code,$F849,nrES_Att,1)=0,$L849,IF($L849&gt;=$J849,cfgRetakeRecordedCap,SUMIFS(nrES_Raw,nrES_PID,$D849,nrES_Code,$F849,nrES_Att,1))))))</f>
        <v/>
      </c>
      <c r="N849" s="17">
        <f>IF($C849="","",IF($L849="","",IF($L849&gt;=$J849,"Yes","No")))</f>
        <v/>
      </c>
      <c r="O849" s="17">
        <f>IF($C849="","",IF($M849="","",IF($M849&gt;=$J849,"Yes","No")))</f>
        <v/>
      </c>
      <c r="P849" s="17">
        <f>IF($C849="","",IF($K849="","",IF(COUNTIFS(nrES_PID,$D849,nrES_Code,$F849,nrES_Att,"&gt;"&amp;$K849)=0,"Yes","No")))</f>
        <v/>
      </c>
      <c r="Q849" s="17">
        <f>IF($C849="","",IF($L849="","",IF(AND($K849=1,$L849&lt;$J849,COUNTIFS(nrES_PID,$D849,nrES_Code,$F849,nrES_Att,2)=0),"Yes","No")))</f>
        <v/>
      </c>
      <c r="R849" s="17">
        <f>IF($C849="","",IF($L849="","",IF(AND($K849=2,$L849&lt;$J849,COUNTIFS(nrES_PID,$D849,nrES_Code,$F849,nrES_Att,1)&gt;0),"Yes","No")))</f>
        <v/>
      </c>
      <c r="S849" s="18" t="n"/>
      <c r="T849" s="19">
        <f>IF($Q849&lt;&gt;"Yes","",IF($S849="","(enter date)",_xlfn.LET(_xlpm.dn,IFERROR(_xlfn.XLOOKUP($S849,nrCDdate,nrCDnum),""),IF(_xlpm.dn="","(not a class day)",IFERROR(_xlfn.XLOOKUP(_xlpm.dn+cfgRetestClassDays,nrCDnum,nrCDdate),"")))))</f>
        <v/>
      </c>
      <c r="U849" s="17">
        <f>IF($Q849&lt;&gt;"Yes","",IF(COUNTIFS(nrES_PID,$D849,nrES_Code,$F849,nrES_Att,2)&gt;0,"Retested",IF(OR($T849="",NOT(ISNUMBER($T849))),"Pending",IF(TODAY()&gt;$T849,"OVERDUE","Due "&amp;TEXT($T849,"mm/dd")))))</f>
        <v/>
      </c>
      <c r="V849" s="16" t="n"/>
      <c r="W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IF($C850="","",IF($L850="","",IF($K850=1,IF(COUNTIFS(nrES_PID,$D850,nrES_Code,$F850,nrES_Att,2)&gt;0,"",$L850),IF(COUNTIFS(nrES_PID,$D850,nrES_Code,$F850,nrES_Att,1)=0,$L850,IF($L850&gt;=$J850,cfgRetakeRecordedCap,SUMIFS(nrES_Raw,nrES_PID,$D850,nrES_Code,$F850,nrES_Att,1))))))</f>
        <v/>
      </c>
      <c r="N850" s="17">
        <f>IF($C850="","",IF($L850="","",IF($L850&gt;=$J850,"Yes","No")))</f>
        <v/>
      </c>
      <c r="O850" s="17">
        <f>IF($C850="","",IF($M850="","",IF($M850&gt;=$J850,"Yes","No")))</f>
        <v/>
      </c>
      <c r="P850" s="17">
        <f>IF($C850="","",IF($K850="","",IF(COUNTIFS(nrES_PID,$D850,nrES_Code,$F850,nrES_Att,"&gt;"&amp;$K850)=0,"Yes","No")))</f>
        <v/>
      </c>
      <c r="Q850" s="17">
        <f>IF($C850="","",IF($L850="","",IF(AND($K850=1,$L850&lt;$J850,COUNTIFS(nrES_PID,$D850,nrES_Code,$F850,nrES_Att,2)=0),"Yes","No")))</f>
        <v/>
      </c>
      <c r="R850" s="17">
        <f>IF($C850="","",IF($L850="","",IF(AND($K850=2,$L850&lt;$J850,COUNTIFS(nrES_PID,$D850,nrES_Code,$F850,nrES_Att,1)&gt;0),"Yes","No")))</f>
        <v/>
      </c>
      <c r="S850" s="18" t="n"/>
      <c r="T850" s="19">
        <f>IF($Q850&lt;&gt;"Yes","",IF($S850="","(enter date)",_xlfn.LET(_xlpm.dn,IFERROR(_xlfn.XLOOKUP($S850,nrCDdate,nrCDnum),""),IF(_xlpm.dn="","(not a class day)",IFERROR(_xlfn.XLOOKUP(_xlpm.dn+cfgRetestClassDays,nrCDnum,nrCDdate),"")))))</f>
        <v/>
      </c>
      <c r="U850" s="17">
        <f>IF($Q850&lt;&gt;"Yes","",IF(COUNTIFS(nrES_PID,$D850,nrES_Code,$F850,nrES_Att,2)&gt;0,"Retested",IF(OR($T850="",NOT(ISNUMBER($T850))),"Pending",IF(TODAY()&gt;$T850,"OVERDUE","Due "&amp;TEXT($T850,"mm/dd")))))</f>
        <v/>
      </c>
      <c r="V850" s="16" t="n"/>
      <c r="W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IF($C851="","",IF($L851="","",IF($K851=1,IF(COUNTIFS(nrES_PID,$D851,nrES_Code,$F851,nrES_Att,2)&gt;0,"",$L851),IF(COUNTIFS(nrES_PID,$D851,nrES_Code,$F851,nrES_Att,1)=0,$L851,IF($L851&gt;=$J851,cfgRetakeRecordedCap,SUMIFS(nrES_Raw,nrES_PID,$D851,nrES_Code,$F851,nrES_Att,1))))))</f>
        <v/>
      </c>
      <c r="N851" s="17">
        <f>IF($C851="","",IF($L851="","",IF($L851&gt;=$J851,"Yes","No")))</f>
        <v/>
      </c>
      <c r="O851" s="17">
        <f>IF($C851="","",IF($M851="","",IF($M851&gt;=$J851,"Yes","No")))</f>
        <v/>
      </c>
      <c r="P851" s="17">
        <f>IF($C851="","",IF($K851="","",IF(COUNTIFS(nrES_PID,$D851,nrES_Code,$F851,nrES_Att,"&gt;"&amp;$K851)=0,"Yes","No")))</f>
        <v/>
      </c>
      <c r="Q851" s="17">
        <f>IF($C851="","",IF($L851="","",IF(AND($K851=1,$L851&lt;$J851,COUNTIFS(nrES_PID,$D851,nrES_Code,$F851,nrES_Att,2)=0),"Yes","No")))</f>
        <v/>
      </c>
      <c r="R851" s="17">
        <f>IF($C851="","",IF($L851="","",IF(AND($K851=2,$L851&lt;$J851,COUNTIFS(nrES_PID,$D851,nrES_Code,$F851,nrES_Att,1)&gt;0),"Yes","No")))</f>
        <v/>
      </c>
      <c r="S851" s="18" t="n"/>
      <c r="T851" s="19">
        <f>IF($Q851&lt;&gt;"Yes","",IF($S851="","(enter date)",_xlfn.LET(_xlpm.dn,IFERROR(_xlfn.XLOOKUP($S851,nrCDdate,nrCDnum),""),IF(_xlpm.dn="","(not a class day)",IFERROR(_xlfn.XLOOKUP(_xlpm.dn+cfgRetestClassDays,nrCDnum,nrCDdate),"")))))</f>
        <v/>
      </c>
      <c r="U851" s="17">
        <f>IF($Q851&lt;&gt;"Yes","",IF(COUNTIFS(nrES_PID,$D851,nrES_Code,$F851,nrES_Att,2)&gt;0,"Retested",IF(OR($T851="",NOT(ISNUMBER($T851))),"Pending",IF(TODAY()&gt;$T851,"OVERDUE","Due "&amp;TEXT($T851,"mm/dd")))))</f>
        <v/>
      </c>
      <c r="V851" s="16" t="n"/>
      <c r="W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IF($C852="","",IF($L852="","",IF($K852=1,IF(COUNTIFS(nrES_PID,$D852,nrES_Code,$F852,nrES_Att,2)&gt;0,"",$L852),IF(COUNTIFS(nrES_PID,$D852,nrES_Code,$F852,nrES_Att,1)=0,$L852,IF($L852&gt;=$J852,cfgRetakeRecordedCap,SUMIFS(nrES_Raw,nrES_PID,$D852,nrES_Code,$F852,nrES_Att,1))))))</f>
        <v/>
      </c>
      <c r="N852" s="17">
        <f>IF($C852="","",IF($L852="","",IF($L852&gt;=$J852,"Yes","No")))</f>
        <v/>
      </c>
      <c r="O852" s="17">
        <f>IF($C852="","",IF($M852="","",IF($M852&gt;=$J852,"Yes","No")))</f>
        <v/>
      </c>
      <c r="P852" s="17">
        <f>IF($C852="","",IF($K852="","",IF(COUNTIFS(nrES_PID,$D852,nrES_Code,$F852,nrES_Att,"&gt;"&amp;$K852)=0,"Yes","No")))</f>
        <v/>
      </c>
      <c r="Q852" s="17">
        <f>IF($C852="","",IF($L852="","",IF(AND($K852=1,$L852&lt;$J852,COUNTIFS(nrES_PID,$D852,nrES_Code,$F852,nrES_Att,2)=0),"Yes","No")))</f>
        <v/>
      </c>
      <c r="R852" s="17">
        <f>IF($C852="","",IF($L852="","",IF(AND($K852=2,$L852&lt;$J852,COUNTIFS(nrES_PID,$D852,nrES_Code,$F852,nrES_Att,1)&gt;0),"Yes","No")))</f>
        <v/>
      </c>
      <c r="S852" s="18" t="n"/>
      <c r="T852" s="19">
        <f>IF($Q852&lt;&gt;"Yes","",IF($S852="","(enter date)",_xlfn.LET(_xlpm.dn,IFERROR(_xlfn.XLOOKUP($S852,nrCDdate,nrCDnum),""),IF(_xlpm.dn="","(not a class day)",IFERROR(_xlfn.XLOOKUP(_xlpm.dn+cfgRetestClassDays,nrCDnum,nrCDdate),"")))))</f>
        <v/>
      </c>
      <c r="U852" s="17">
        <f>IF($Q852&lt;&gt;"Yes","",IF(COUNTIFS(nrES_PID,$D852,nrES_Code,$F852,nrES_Att,2)&gt;0,"Retested",IF(OR($T852="",NOT(ISNUMBER($T852))),"Pending",IF(TODAY()&gt;$T852,"OVERDUE","Due "&amp;TEXT($T852,"mm/dd")))))</f>
        <v/>
      </c>
      <c r="V852" s="16" t="n"/>
      <c r="W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IF($C853="","",IF($L853="","",IF($K853=1,IF(COUNTIFS(nrES_PID,$D853,nrES_Code,$F853,nrES_Att,2)&gt;0,"",$L853),IF(COUNTIFS(nrES_PID,$D853,nrES_Code,$F853,nrES_Att,1)=0,$L853,IF($L853&gt;=$J853,cfgRetakeRecordedCap,SUMIFS(nrES_Raw,nrES_PID,$D853,nrES_Code,$F853,nrES_Att,1))))))</f>
        <v/>
      </c>
      <c r="N853" s="17">
        <f>IF($C853="","",IF($L853="","",IF($L853&gt;=$J853,"Yes","No")))</f>
        <v/>
      </c>
      <c r="O853" s="17">
        <f>IF($C853="","",IF($M853="","",IF($M853&gt;=$J853,"Yes","No")))</f>
        <v/>
      </c>
      <c r="P853" s="17">
        <f>IF($C853="","",IF($K853="","",IF(COUNTIFS(nrES_PID,$D853,nrES_Code,$F853,nrES_Att,"&gt;"&amp;$K853)=0,"Yes","No")))</f>
        <v/>
      </c>
      <c r="Q853" s="17">
        <f>IF($C853="","",IF($L853="","",IF(AND($K853=1,$L853&lt;$J853,COUNTIFS(nrES_PID,$D853,nrES_Code,$F853,nrES_Att,2)=0),"Yes","No")))</f>
        <v/>
      </c>
      <c r="R853" s="17">
        <f>IF($C853="","",IF($L853="","",IF(AND($K853=2,$L853&lt;$J853,COUNTIFS(nrES_PID,$D853,nrES_Code,$F853,nrES_Att,1)&gt;0),"Yes","No")))</f>
        <v/>
      </c>
      <c r="S853" s="18" t="n"/>
      <c r="T853" s="19">
        <f>IF($Q853&lt;&gt;"Yes","",IF($S853="","(enter date)",_xlfn.LET(_xlpm.dn,IFERROR(_xlfn.XLOOKUP($S853,nrCDdate,nrCDnum),""),IF(_xlpm.dn="","(not a class day)",IFERROR(_xlfn.XLOOKUP(_xlpm.dn+cfgRetestClassDays,nrCDnum,nrCDdate),"")))))</f>
        <v/>
      </c>
      <c r="U853" s="17">
        <f>IF($Q853&lt;&gt;"Yes","",IF(COUNTIFS(nrES_PID,$D853,nrES_Code,$F853,nrES_Att,2)&gt;0,"Retested",IF(OR($T853="",NOT(ISNUMBER($T853))),"Pending",IF(TODAY()&gt;$T853,"OVERDUE","Due "&amp;TEXT($T853,"mm/dd")))))</f>
        <v/>
      </c>
      <c r="V853" s="16" t="n"/>
      <c r="W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IF($C854="","",IF($L854="","",IF($K854=1,IF(COUNTIFS(nrES_PID,$D854,nrES_Code,$F854,nrES_Att,2)&gt;0,"",$L854),IF(COUNTIFS(nrES_PID,$D854,nrES_Code,$F854,nrES_Att,1)=0,$L854,IF($L854&gt;=$J854,cfgRetakeRecordedCap,SUMIFS(nrES_Raw,nrES_PID,$D854,nrES_Code,$F854,nrES_Att,1))))))</f>
        <v/>
      </c>
      <c r="N854" s="17">
        <f>IF($C854="","",IF($L854="","",IF($L854&gt;=$J854,"Yes","No")))</f>
        <v/>
      </c>
      <c r="O854" s="17">
        <f>IF($C854="","",IF($M854="","",IF($M854&gt;=$J854,"Yes","No")))</f>
        <v/>
      </c>
      <c r="P854" s="17">
        <f>IF($C854="","",IF($K854="","",IF(COUNTIFS(nrES_PID,$D854,nrES_Code,$F854,nrES_Att,"&gt;"&amp;$K854)=0,"Yes","No")))</f>
        <v/>
      </c>
      <c r="Q854" s="17">
        <f>IF($C854="","",IF($L854="","",IF(AND($K854=1,$L854&lt;$J854,COUNTIFS(nrES_PID,$D854,nrES_Code,$F854,nrES_Att,2)=0),"Yes","No")))</f>
        <v/>
      </c>
      <c r="R854" s="17">
        <f>IF($C854="","",IF($L854="","",IF(AND($K854=2,$L854&lt;$J854,COUNTIFS(nrES_PID,$D854,nrES_Code,$F854,nrES_Att,1)&gt;0),"Yes","No")))</f>
        <v/>
      </c>
      <c r="S854" s="18" t="n"/>
      <c r="T854" s="19">
        <f>IF($Q854&lt;&gt;"Yes","",IF($S854="","(enter date)",_xlfn.LET(_xlpm.dn,IFERROR(_xlfn.XLOOKUP($S854,nrCDdate,nrCDnum),""),IF(_xlpm.dn="","(not a class day)",IFERROR(_xlfn.XLOOKUP(_xlpm.dn+cfgRetestClassDays,nrCDnum,nrCDdate),"")))))</f>
        <v/>
      </c>
      <c r="U854" s="17">
        <f>IF($Q854&lt;&gt;"Yes","",IF(COUNTIFS(nrES_PID,$D854,nrES_Code,$F854,nrES_Att,2)&gt;0,"Retested",IF(OR($T854="",NOT(ISNUMBER($T854))),"Pending",IF(TODAY()&gt;$T854,"OVERDUE","Due "&amp;TEXT($T854,"mm/dd")))))</f>
        <v/>
      </c>
      <c r="V854" s="16" t="n"/>
      <c r="W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IF($C855="","",IF($L855="","",IF($K855=1,IF(COUNTIFS(nrES_PID,$D855,nrES_Code,$F855,nrES_Att,2)&gt;0,"",$L855),IF(COUNTIFS(nrES_PID,$D855,nrES_Code,$F855,nrES_Att,1)=0,$L855,IF($L855&gt;=$J855,cfgRetakeRecordedCap,SUMIFS(nrES_Raw,nrES_PID,$D855,nrES_Code,$F855,nrES_Att,1))))))</f>
        <v/>
      </c>
      <c r="N855" s="17">
        <f>IF($C855="","",IF($L855="","",IF($L855&gt;=$J855,"Yes","No")))</f>
        <v/>
      </c>
      <c r="O855" s="17">
        <f>IF($C855="","",IF($M855="","",IF($M855&gt;=$J855,"Yes","No")))</f>
        <v/>
      </c>
      <c r="P855" s="17">
        <f>IF($C855="","",IF($K855="","",IF(COUNTIFS(nrES_PID,$D855,nrES_Code,$F855,nrES_Att,"&gt;"&amp;$K855)=0,"Yes","No")))</f>
        <v/>
      </c>
      <c r="Q855" s="17">
        <f>IF($C855="","",IF($L855="","",IF(AND($K855=1,$L855&lt;$J855,COUNTIFS(nrES_PID,$D855,nrES_Code,$F855,nrES_Att,2)=0),"Yes","No")))</f>
        <v/>
      </c>
      <c r="R855" s="17">
        <f>IF($C855="","",IF($L855="","",IF(AND($K855=2,$L855&lt;$J855,COUNTIFS(nrES_PID,$D855,nrES_Code,$F855,nrES_Att,1)&gt;0),"Yes","No")))</f>
        <v/>
      </c>
      <c r="S855" s="18" t="n"/>
      <c r="T855" s="19">
        <f>IF($Q855&lt;&gt;"Yes","",IF($S855="","(enter date)",_xlfn.LET(_xlpm.dn,IFERROR(_xlfn.XLOOKUP($S855,nrCDdate,nrCDnum),""),IF(_xlpm.dn="","(not a class day)",IFERROR(_xlfn.XLOOKUP(_xlpm.dn+cfgRetestClassDays,nrCDnum,nrCDdate),"")))))</f>
        <v/>
      </c>
      <c r="U855" s="17">
        <f>IF($Q855&lt;&gt;"Yes","",IF(COUNTIFS(nrES_PID,$D855,nrES_Code,$F855,nrES_Att,2)&gt;0,"Retested",IF(OR($T855="",NOT(ISNUMBER($T855))),"Pending",IF(TODAY()&gt;$T855,"OVERDUE","Due "&amp;TEXT($T855,"mm/dd")))))</f>
        <v/>
      </c>
      <c r="V855" s="16" t="n"/>
      <c r="W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IF($C856="","",IF($L856="","",IF($K856=1,IF(COUNTIFS(nrES_PID,$D856,nrES_Code,$F856,nrES_Att,2)&gt;0,"",$L856),IF(COUNTIFS(nrES_PID,$D856,nrES_Code,$F856,nrES_Att,1)=0,$L856,IF($L856&gt;=$J856,cfgRetakeRecordedCap,SUMIFS(nrES_Raw,nrES_PID,$D856,nrES_Code,$F856,nrES_Att,1))))))</f>
        <v/>
      </c>
      <c r="N856" s="17">
        <f>IF($C856="","",IF($L856="","",IF($L856&gt;=$J856,"Yes","No")))</f>
        <v/>
      </c>
      <c r="O856" s="17">
        <f>IF($C856="","",IF($M856="","",IF($M856&gt;=$J856,"Yes","No")))</f>
        <v/>
      </c>
      <c r="P856" s="17">
        <f>IF($C856="","",IF($K856="","",IF(COUNTIFS(nrES_PID,$D856,nrES_Code,$F856,nrES_Att,"&gt;"&amp;$K856)=0,"Yes","No")))</f>
        <v/>
      </c>
      <c r="Q856" s="17">
        <f>IF($C856="","",IF($L856="","",IF(AND($K856=1,$L856&lt;$J856,COUNTIFS(nrES_PID,$D856,nrES_Code,$F856,nrES_Att,2)=0),"Yes","No")))</f>
        <v/>
      </c>
      <c r="R856" s="17">
        <f>IF($C856="","",IF($L856="","",IF(AND($K856=2,$L856&lt;$J856,COUNTIFS(nrES_PID,$D856,nrES_Code,$F856,nrES_Att,1)&gt;0),"Yes","No")))</f>
        <v/>
      </c>
      <c r="S856" s="18" t="n"/>
      <c r="T856" s="19">
        <f>IF($Q856&lt;&gt;"Yes","",IF($S856="","(enter date)",_xlfn.LET(_xlpm.dn,IFERROR(_xlfn.XLOOKUP($S856,nrCDdate,nrCDnum),""),IF(_xlpm.dn="","(not a class day)",IFERROR(_xlfn.XLOOKUP(_xlpm.dn+cfgRetestClassDays,nrCDnum,nrCDdate),"")))))</f>
        <v/>
      </c>
      <c r="U856" s="17">
        <f>IF($Q856&lt;&gt;"Yes","",IF(COUNTIFS(nrES_PID,$D856,nrES_Code,$F856,nrES_Att,2)&gt;0,"Retested",IF(OR($T856="",NOT(ISNUMBER($T856))),"Pending",IF(TODAY()&gt;$T856,"OVERDUE","Due "&amp;TEXT($T856,"mm/dd")))))</f>
        <v/>
      </c>
      <c r="V856" s="16" t="n"/>
      <c r="W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IF($C857="","",IF($L857="","",IF($K857=1,IF(COUNTIFS(nrES_PID,$D857,nrES_Code,$F857,nrES_Att,2)&gt;0,"",$L857),IF(COUNTIFS(nrES_PID,$D857,nrES_Code,$F857,nrES_Att,1)=0,$L857,IF($L857&gt;=$J857,cfgRetakeRecordedCap,SUMIFS(nrES_Raw,nrES_PID,$D857,nrES_Code,$F857,nrES_Att,1))))))</f>
        <v/>
      </c>
      <c r="N857" s="17">
        <f>IF($C857="","",IF($L857="","",IF($L857&gt;=$J857,"Yes","No")))</f>
        <v/>
      </c>
      <c r="O857" s="17">
        <f>IF($C857="","",IF($M857="","",IF($M857&gt;=$J857,"Yes","No")))</f>
        <v/>
      </c>
      <c r="P857" s="17">
        <f>IF($C857="","",IF($K857="","",IF(COUNTIFS(nrES_PID,$D857,nrES_Code,$F857,nrES_Att,"&gt;"&amp;$K857)=0,"Yes","No")))</f>
        <v/>
      </c>
      <c r="Q857" s="17">
        <f>IF($C857="","",IF($L857="","",IF(AND($K857=1,$L857&lt;$J857,COUNTIFS(nrES_PID,$D857,nrES_Code,$F857,nrES_Att,2)=0),"Yes","No")))</f>
        <v/>
      </c>
      <c r="R857" s="17">
        <f>IF($C857="","",IF($L857="","",IF(AND($K857=2,$L857&lt;$J857,COUNTIFS(nrES_PID,$D857,nrES_Code,$F857,nrES_Att,1)&gt;0),"Yes","No")))</f>
        <v/>
      </c>
      <c r="S857" s="18" t="n"/>
      <c r="T857" s="19">
        <f>IF($Q857&lt;&gt;"Yes","",IF($S857="","(enter date)",_xlfn.LET(_xlpm.dn,IFERROR(_xlfn.XLOOKUP($S857,nrCDdate,nrCDnum),""),IF(_xlpm.dn="","(not a class day)",IFERROR(_xlfn.XLOOKUP(_xlpm.dn+cfgRetestClassDays,nrCDnum,nrCDdate),"")))))</f>
        <v/>
      </c>
      <c r="U857" s="17">
        <f>IF($Q857&lt;&gt;"Yes","",IF(COUNTIFS(nrES_PID,$D857,nrES_Code,$F857,nrES_Att,2)&gt;0,"Retested",IF(OR($T857="",NOT(ISNUMBER($T857))),"Pending",IF(TODAY()&gt;$T857,"OVERDUE","Due "&amp;TEXT($T857,"mm/dd")))))</f>
        <v/>
      </c>
      <c r="V857" s="16" t="n"/>
      <c r="W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IF($C858="","",IF($L858="","",IF($K858=1,IF(COUNTIFS(nrES_PID,$D858,nrES_Code,$F858,nrES_Att,2)&gt;0,"",$L858),IF(COUNTIFS(nrES_PID,$D858,nrES_Code,$F858,nrES_Att,1)=0,$L858,IF($L858&gt;=$J858,cfgRetakeRecordedCap,SUMIFS(nrES_Raw,nrES_PID,$D858,nrES_Code,$F858,nrES_Att,1))))))</f>
        <v/>
      </c>
      <c r="N858" s="17">
        <f>IF($C858="","",IF($L858="","",IF($L858&gt;=$J858,"Yes","No")))</f>
        <v/>
      </c>
      <c r="O858" s="17">
        <f>IF($C858="","",IF($M858="","",IF($M858&gt;=$J858,"Yes","No")))</f>
        <v/>
      </c>
      <c r="P858" s="17">
        <f>IF($C858="","",IF($K858="","",IF(COUNTIFS(nrES_PID,$D858,nrES_Code,$F858,nrES_Att,"&gt;"&amp;$K858)=0,"Yes","No")))</f>
        <v/>
      </c>
      <c r="Q858" s="17">
        <f>IF($C858="","",IF($L858="","",IF(AND($K858=1,$L858&lt;$J858,COUNTIFS(nrES_PID,$D858,nrES_Code,$F858,nrES_Att,2)=0),"Yes","No")))</f>
        <v/>
      </c>
      <c r="R858" s="17">
        <f>IF($C858="","",IF($L858="","",IF(AND($K858=2,$L858&lt;$J858,COUNTIFS(nrES_PID,$D858,nrES_Code,$F858,nrES_Att,1)&gt;0),"Yes","No")))</f>
        <v/>
      </c>
      <c r="S858" s="18" t="n"/>
      <c r="T858" s="19">
        <f>IF($Q858&lt;&gt;"Yes","",IF($S858="","(enter date)",_xlfn.LET(_xlpm.dn,IFERROR(_xlfn.XLOOKUP($S858,nrCDdate,nrCDnum),""),IF(_xlpm.dn="","(not a class day)",IFERROR(_xlfn.XLOOKUP(_xlpm.dn+cfgRetestClassDays,nrCDnum,nrCDdate),"")))))</f>
        <v/>
      </c>
      <c r="U858" s="17">
        <f>IF($Q858&lt;&gt;"Yes","",IF(COUNTIFS(nrES_PID,$D858,nrES_Code,$F858,nrES_Att,2)&gt;0,"Retested",IF(OR($T858="",NOT(ISNUMBER($T858))),"Pending",IF(TODAY()&gt;$T858,"OVERDUE","Due "&amp;TEXT($T858,"mm/dd")))))</f>
        <v/>
      </c>
      <c r="V858" s="16" t="n"/>
      <c r="W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IF($C859="","",IF($L859="","",IF($K859=1,IF(COUNTIFS(nrES_PID,$D859,nrES_Code,$F859,nrES_Att,2)&gt;0,"",$L859),IF(COUNTIFS(nrES_PID,$D859,nrES_Code,$F859,nrES_Att,1)=0,$L859,IF($L859&gt;=$J859,cfgRetakeRecordedCap,SUMIFS(nrES_Raw,nrES_PID,$D859,nrES_Code,$F859,nrES_Att,1))))))</f>
        <v/>
      </c>
      <c r="N859" s="17">
        <f>IF($C859="","",IF($L859="","",IF($L859&gt;=$J859,"Yes","No")))</f>
        <v/>
      </c>
      <c r="O859" s="17">
        <f>IF($C859="","",IF($M859="","",IF($M859&gt;=$J859,"Yes","No")))</f>
        <v/>
      </c>
      <c r="P859" s="17">
        <f>IF($C859="","",IF($K859="","",IF(COUNTIFS(nrES_PID,$D859,nrES_Code,$F859,nrES_Att,"&gt;"&amp;$K859)=0,"Yes","No")))</f>
        <v/>
      </c>
      <c r="Q859" s="17">
        <f>IF($C859="","",IF($L859="","",IF(AND($K859=1,$L859&lt;$J859,COUNTIFS(nrES_PID,$D859,nrES_Code,$F859,nrES_Att,2)=0),"Yes","No")))</f>
        <v/>
      </c>
      <c r="R859" s="17">
        <f>IF($C859="","",IF($L859="","",IF(AND($K859=2,$L859&lt;$J859,COUNTIFS(nrES_PID,$D859,nrES_Code,$F859,nrES_Att,1)&gt;0),"Yes","No")))</f>
        <v/>
      </c>
      <c r="S859" s="18" t="n"/>
      <c r="T859" s="19">
        <f>IF($Q859&lt;&gt;"Yes","",IF($S859="","(enter date)",_xlfn.LET(_xlpm.dn,IFERROR(_xlfn.XLOOKUP($S859,nrCDdate,nrCDnum),""),IF(_xlpm.dn="","(not a class day)",IFERROR(_xlfn.XLOOKUP(_xlpm.dn+cfgRetestClassDays,nrCDnum,nrCDdate),"")))))</f>
        <v/>
      </c>
      <c r="U859" s="17">
        <f>IF($Q859&lt;&gt;"Yes","",IF(COUNTIFS(nrES_PID,$D859,nrES_Code,$F859,nrES_Att,2)&gt;0,"Retested",IF(OR($T859="",NOT(ISNUMBER($T859))),"Pending",IF(TODAY()&gt;$T859,"OVERDUE","Due "&amp;TEXT($T859,"mm/dd")))))</f>
        <v/>
      </c>
      <c r="V859" s="16" t="n"/>
      <c r="W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IF($C860="","",IF($L860="","",IF($K860=1,IF(COUNTIFS(nrES_PID,$D860,nrES_Code,$F860,nrES_Att,2)&gt;0,"",$L860),IF(COUNTIFS(nrES_PID,$D860,nrES_Code,$F860,nrES_Att,1)=0,$L860,IF($L860&gt;=$J860,cfgRetakeRecordedCap,SUMIFS(nrES_Raw,nrES_PID,$D860,nrES_Code,$F860,nrES_Att,1))))))</f>
        <v/>
      </c>
      <c r="N860" s="17">
        <f>IF($C860="","",IF($L860="","",IF($L860&gt;=$J860,"Yes","No")))</f>
        <v/>
      </c>
      <c r="O860" s="17">
        <f>IF($C860="","",IF($M860="","",IF($M860&gt;=$J860,"Yes","No")))</f>
        <v/>
      </c>
      <c r="P860" s="17">
        <f>IF($C860="","",IF($K860="","",IF(COUNTIFS(nrES_PID,$D860,nrES_Code,$F860,nrES_Att,"&gt;"&amp;$K860)=0,"Yes","No")))</f>
        <v/>
      </c>
      <c r="Q860" s="17">
        <f>IF($C860="","",IF($L860="","",IF(AND($K860=1,$L860&lt;$J860,COUNTIFS(nrES_PID,$D860,nrES_Code,$F860,nrES_Att,2)=0),"Yes","No")))</f>
        <v/>
      </c>
      <c r="R860" s="17">
        <f>IF($C860="","",IF($L860="","",IF(AND($K860=2,$L860&lt;$J860,COUNTIFS(nrES_PID,$D860,nrES_Code,$F860,nrES_Att,1)&gt;0),"Yes","No")))</f>
        <v/>
      </c>
      <c r="S860" s="18" t="n"/>
      <c r="T860" s="19">
        <f>IF($Q860&lt;&gt;"Yes","",IF($S860="","(enter date)",_xlfn.LET(_xlpm.dn,IFERROR(_xlfn.XLOOKUP($S860,nrCDdate,nrCDnum),""),IF(_xlpm.dn="","(not a class day)",IFERROR(_xlfn.XLOOKUP(_xlpm.dn+cfgRetestClassDays,nrCDnum,nrCDdate),"")))))</f>
        <v/>
      </c>
      <c r="U860" s="17">
        <f>IF($Q860&lt;&gt;"Yes","",IF(COUNTIFS(nrES_PID,$D860,nrES_Code,$F860,nrES_Att,2)&gt;0,"Retested",IF(OR($T860="",NOT(ISNUMBER($T860))),"Pending",IF(TODAY()&gt;$T860,"OVERDUE","Due "&amp;TEXT($T860,"mm/dd")))))</f>
        <v/>
      </c>
      <c r="V860" s="16" t="n"/>
      <c r="W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IF($C861="","",IF($L861="","",IF($K861=1,IF(COUNTIFS(nrES_PID,$D861,nrES_Code,$F861,nrES_Att,2)&gt;0,"",$L861),IF(COUNTIFS(nrES_PID,$D861,nrES_Code,$F861,nrES_Att,1)=0,$L861,IF($L861&gt;=$J861,cfgRetakeRecordedCap,SUMIFS(nrES_Raw,nrES_PID,$D861,nrES_Code,$F861,nrES_Att,1))))))</f>
        <v/>
      </c>
      <c r="N861" s="17">
        <f>IF($C861="","",IF($L861="","",IF($L861&gt;=$J861,"Yes","No")))</f>
        <v/>
      </c>
      <c r="O861" s="17">
        <f>IF($C861="","",IF($M861="","",IF($M861&gt;=$J861,"Yes","No")))</f>
        <v/>
      </c>
      <c r="P861" s="17">
        <f>IF($C861="","",IF($K861="","",IF(COUNTIFS(nrES_PID,$D861,nrES_Code,$F861,nrES_Att,"&gt;"&amp;$K861)=0,"Yes","No")))</f>
        <v/>
      </c>
      <c r="Q861" s="17">
        <f>IF($C861="","",IF($L861="","",IF(AND($K861=1,$L861&lt;$J861,COUNTIFS(nrES_PID,$D861,nrES_Code,$F861,nrES_Att,2)=0),"Yes","No")))</f>
        <v/>
      </c>
      <c r="R861" s="17">
        <f>IF($C861="","",IF($L861="","",IF(AND($K861=2,$L861&lt;$J861,COUNTIFS(nrES_PID,$D861,nrES_Code,$F861,nrES_Att,1)&gt;0),"Yes","No")))</f>
        <v/>
      </c>
      <c r="S861" s="18" t="n"/>
      <c r="T861" s="19">
        <f>IF($Q861&lt;&gt;"Yes","",IF($S861="","(enter date)",_xlfn.LET(_xlpm.dn,IFERROR(_xlfn.XLOOKUP($S861,nrCDdate,nrCDnum),""),IF(_xlpm.dn="","(not a class day)",IFERROR(_xlfn.XLOOKUP(_xlpm.dn+cfgRetestClassDays,nrCDnum,nrCDdate),"")))))</f>
        <v/>
      </c>
      <c r="U861" s="17">
        <f>IF($Q861&lt;&gt;"Yes","",IF(COUNTIFS(nrES_PID,$D861,nrES_Code,$F861,nrES_Att,2)&gt;0,"Retested",IF(OR($T861="",NOT(ISNUMBER($T861))),"Pending",IF(TODAY()&gt;$T861,"OVERDUE","Due "&amp;TEXT($T861,"mm/dd")))))</f>
        <v/>
      </c>
      <c r="V861" s="16" t="n"/>
      <c r="W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IF($C862="","",IF($L862="","",IF($K862=1,IF(COUNTIFS(nrES_PID,$D862,nrES_Code,$F862,nrES_Att,2)&gt;0,"",$L862),IF(COUNTIFS(nrES_PID,$D862,nrES_Code,$F862,nrES_Att,1)=0,$L862,IF($L862&gt;=$J862,cfgRetakeRecordedCap,SUMIFS(nrES_Raw,nrES_PID,$D862,nrES_Code,$F862,nrES_Att,1))))))</f>
        <v/>
      </c>
      <c r="N862" s="17">
        <f>IF($C862="","",IF($L862="","",IF($L862&gt;=$J862,"Yes","No")))</f>
        <v/>
      </c>
      <c r="O862" s="17">
        <f>IF($C862="","",IF($M862="","",IF($M862&gt;=$J862,"Yes","No")))</f>
        <v/>
      </c>
      <c r="P862" s="17">
        <f>IF($C862="","",IF($K862="","",IF(COUNTIFS(nrES_PID,$D862,nrES_Code,$F862,nrES_Att,"&gt;"&amp;$K862)=0,"Yes","No")))</f>
        <v/>
      </c>
      <c r="Q862" s="17">
        <f>IF($C862="","",IF($L862="","",IF(AND($K862=1,$L862&lt;$J862,COUNTIFS(nrES_PID,$D862,nrES_Code,$F862,nrES_Att,2)=0),"Yes","No")))</f>
        <v/>
      </c>
      <c r="R862" s="17">
        <f>IF($C862="","",IF($L862="","",IF(AND($K862=2,$L862&lt;$J862,COUNTIFS(nrES_PID,$D862,nrES_Code,$F862,nrES_Att,1)&gt;0),"Yes","No")))</f>
        <v/>
      </c>
      <c r="S862" s="18" t="n"/>
      <c r="T862" s="19">
        <f>IF($Q862&lt;&gt;"Yes","",IF($S862="","(enter date)",_xlfn.LET(_xlpm.dn,IFERROR(_xlfn.XLOOKUP($S862,nrCDdate,nrCDnum),""),IF(_xlpm.dn="","(not a class day)",IFERROR(_xlfn.XLOOKUP(_xlpm.dn+cfgRetestClassDays,nrCDnum,nrCDdate),"")))))</f>
        <v/>
      </c>
      <c r="U862" s="17">
        <f>IF($Q862&lt;&gt;"Yes","",IF(COUNTIFS(nrES_PID,$D862,nrES_Code,$F862,nrES_Att,2)&gt;0,"Retested",IF(OR($T862="",NOT(ISNUMBER($T862))),"Pending",IF(TODAY()&gt;$T862,"OVERDUE","Due "&amp;TEXT($T862,"mm/dd")))))</f>
        <v/>
      </c>
      <c r="V862" s="16" t="n"/>
      <c r="W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IF($C863="","",IF($L863="","",IF($K863=1,IF(COUNTIFS(nrES_PID,$D863,nrES_Code,$F863,nrES_Att,2)&gt;0,"",$L863),IF(COUNTIFS(nrES_PID,$D863,nrES_Code,$F863,nrES_Att,1)=0,$L863,IF($L863&gt;=$J863,cfgRetakeRecordedCap,SUMIFS(nrES_Raw,nrES_PID,$D863,nrES_Code,$F863,nrES_Att,1))))))</f>
        <v/>
      </c>
      <c r="N863" s="17">
        <f>IF($C863="","",IF($L863="","",IF($L863&gt;=$J863,"Yes","No")))</f>
        <v/>
      </c>
      <c r="O863" s="17">
        <f>IF($C863="","",IF($M863="","",IF($M863&gt;=$J863,"Yes","No")))</f>
        <v/>
      </c>
      <c r="P863" s="17">
        <f>IF($C863="","",IF($K863="","",IF(COUNTIFS(nrES_PID,$D863,nrES_Code,$F863,nrES_Att,"&gt;"&amp;$K863)=0,"Yes","No")))</f>
        <v/>
      </c>
      <c r="Q863" s="17">
        <f>IF($C863="","",IF($L863="","",IF(AND($K863=1,$L863&lt;$J863,COUNTIFS(nrES_PID,$D863,nrES_Code,$F863,nrES_Att,2)=0),"Yes","No")))</f>
        <v/>
      </c>
      <c r="R863" s="17">
        <f>IF($C863="","",IF($L863="","",IF(AND($K863=2,$L863&lt;$J863,COUNTIFS(nrES_PID,$D863,nrES_Code,$F863,nrES_Att,1)&gt;0),"Yes","No")))</f>
        <v/>
      </c>
      <c r="S863" s="18" t="n"/>
      <c r="T863" s="19">
        <f>IF($Q863&lt;&gt;"Yes","",IF($S863="","(enter date)",_xlfn.LET(_xlpm.dn,IFERROR(_xlfn.XLOOKUP($S863,nrCDdate,nrCDnum),""),IF(_xlpm.dn="","(not a class day)",IFERROR(_xlfn.XLOOKUP(_xlpm.dn+cfgRetestClassDays,nrCDnum,nrCDdate),"")))))</f>
        <v/>
      </c>
      <c r="U863" s="17">
        <f>IF($Q863&lt;&gt;"Yes","",IF(COUNTIFS(nrES_PID,$D863,nrES_Code,$F863,nrES_Att,2)&gt;0,"Retested",IF(OR($T863="",NOT(ISNUMBER($T863))),"Pending",IF(TODAY()&gt;$T863,"OVERDUE","Due "&amp;TEXT($T863,"mm/dd")))))</f>
        <v/>
      </c>
      <c r="V863" s="16" t="n"/>
      <c r="W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IF($C864="","",IF($L864="","",IF($K864=1,IF(COUNTIFS(nrES_PID,$D864,nrES_Code,$F864,nrES_Att,2)&gt;0,"",$L864),IF(COUNTIFS(nrES_PID,$D864,nrES_Code,$F864,nrES_Att,1)=0,$L864,IF($L864&gt;=$J864,cfgRetakeRecordedCap,SUMIFS(nrES_Raw,nrES_PID,$D864,nrES_Code,$F864,nrES_Att,1))))))</f>
        <v/>
      </c>
      <c r="N864" s="17">
        <f>IF($C864="","",IF($L864="","",IF($L864&gt;=$J864,"Yes","No")))</f>
        <v/>
      </c>
      <c r="O864" s="17">
        <f>IF($C864="","",IF($M864="","",IF($M864&gt;=$J864,"Yes","No")))</f>
        <v/>
      </c>
      <c r="P864" s="17">
        <f>IF($C864="","",IF($K864="","",IF(COUNTIFS(nrES_PID,$D864,nrES_Code,$F864,nrES_Att,"&gt;"&amp;$K864)=0,"Yes","No")))</f>
        <v/>
      </c>
      <c r="Q864" s="17">
        <f>IF($C864="","",IF($L864="","",IF(AND($K864=1,$L864&lt;$J864,COUNTIFS(nrES_PID,$D864,nrES_Code,$F864,nrES_Att,2)=0),"Yes","No")))</f>
        <v/>
      </c>
      <c r="R864" s="17">
        <f>IF($C864="","",IF($L864="","",IF(AND($K864=2,$L864&lt;$J864,COUNTIFS(nrES_PID,$D864,nrES_Code,$F864,nrES_Att,1)&gt;0),"Yes","No")))</f>
        <v/>
      </c>
      <c r="S864" s="18" t="n"/>
      <c r="T864" s="19">
        <f>IF($Q864&lt;&gt;"Yes","",IF($S864="","(enter date)",_xlfn.LET(_xlpm.dn,IFERROR(_xlfn.XLOOKUP($S864,nrCDdate,nrCDnum),""),IF(_xlpm.dn="","(not a class day)",IFERROR(_xlfn.XLOOKUP(_xlpm.dn+cfgRetestClassDays,nrCDnum,nrCDdate),"")))))</f>
        <v/>
      </c>
      <c r="U864" s="17">
        <f>IF($Q864&lt;&gt;"Yes","",IF(COUNTIFS(nrES_PID,$D864,nrES_Code,$F864,nrES_Att,2)&gt;0,"Retested",IF(OR($T864="",NOT(ISNUMBER($T864))),"Pending",IF(TODAY()&gt;$T864,"OVERDUE","Due "&amp;TEXT($T864,"mm/dd")))))</f>
        <v/>
      </c>
      <c r="V864" s="16" t="n"/>
      <c r="W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IF($C865="","",IF($L865="","",IF($K865=1,IF(COUNTIFS(nrES_PID,$D865,nrES_Code,$F865,nrES_Att,2)&gt;0,"",$L865),IF(COUNTIFS(nrES_PID,$D865,nrES_Code,$F865,nrES_Att,1)=0,$L865,IF($L865&gt;=$J865,cfgRetakeRecordedCap,SUMIFS(nrES_Raw,nrES_PID,$D865,nrES_Code,$F865,nrES_Att,1))))))</f>
        <v/>
      </c>
      <c r="N865" s="17">
        <f>IF($C865="","",IF($L865="","",IF($L865&gt;=$J865,"Yes","No")))</f>
        <v/>
      </c>
      <c r="O865" s="17">
        <f>IF($C865="","",IF($M865="","",IF($M865&gt;=$J865,"Yes","No")))</f>
        <v/>
      </c>
      <c r="P865" s="17">
        <f>IF($C865="","",IF($K865="","",IF(COUNTIFS(nrES_PID,$D865,nrES_Code,$F865,nrES_Att,"&gt;"&amp;$K865)=0,"Yes","No")))</f>
        <v/>
      </c>
      <c r="Q865" s="17">
        <f>IF($C865="","",IF($L865="","",IF(AND($K865=1,$L865&lt;$J865,COUNTIFS(nrES_PID,$D865,nrES_Code,$F865,nrES_Att,2)=0),"Yes","No")))</f>
        <v/>
      </c>
      <c r="R865" s="17">
        <f>IF($C865="","",IF($L865="","",IF(AND($K865=2,$L865&lt;$J865,COUNTIFS(nrES_PID,$D865,nrES_Code,$F865,nrES_Att,1)&gt;0),"Yes","No")))</f>
        <v/>
      </c>
      <c r="S865" s="18" t="n"/>
      <c r="T865" s="19">
        <f>IF($Q865&lt;&gt;"Yes","",IF($S865="","(enter date)",_xlfn.LET(_xlpm.dn,IFERROR(_xlfn.XLOOKUP($S865,nrCDdate,nrCDnum),""),IF(_xlpm.dn="","(not a class day)",IFERROR(_xlfn.XLOOKUP(_xlpm.dn+cfgRetestClassDays,nrCDnum,nrCDdate),"")))))</f>
        <v/>
      </c>
      <c r="U865" s="17">
        <f>IF($Q865&lt;&gt;"Yes","",IF(COUNTIFS(nrES_PID,$D865,nrES_Code,$F865,nrES_Att,2)&gt;0,"Retested",IF(OR($T865="",NOT(ISNUMBER($T865))),"Pending",IF(TODAY()&gt;$T865,"OVERDUE","Due "&amp;TEXT($T865,"mm/dd")))))</f>
        <v/>
      </c>
      <c r="V865" s="16" t="n"/>
      <c r="W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IF($C866="","",IF($L866="","",IF($K866=1,IF(COUNTIFS(nrES_PID,$D866,nrES_Code,$F866,nrES_Att,2)&gt;0,"",$L866),IF(COUNTIFS(nrES_PID,$D866,nrES_Code,$F866,nrES_Att,1)=0,$L866,IF($L866&gt;=$J866,cfgRetakeRecordedCap,SUMIFS(nrES_Raw,nrES_PID,$D866,nrES_Code,$F866,nrES_Att,1))))))</f>
        <v/>
      </c>
      <c r="N866" s="17">
        <f>IF($C866="","",IF($L866="","",IF($L866&gt;=$J866,"Yes","No")))</f>
        <v/>
      </c>
      <c r="O866" s="17">
        <f>IF($C866="","",IF($M866="","",IF($M866&gt;=$J866,"Yes","No")))</f>
        <v/>
      </c>
      <c r="P866" s="17">
        <f>IF($C866="","",IF($K866="","",IF(COUNTIFS(nrES_PID,$D866,nrES_Code,$F866,nrES_Att,"&gt;"&amp;$K866)=0,"Yes","No")))</f>
        <v/>
      </c>
      <c r="Q866" s="17">
        <f>IF($C866="","",IF($L866="","",IF(AND($K866=1,$L866&lt;$J866,COUNTIFS(nrES_PID,$D866,nrES_Code,$F866,nrES_Att,2)=0),"Yes","No")))</f>
        <v/>
      </c>
      <c r="R866" s="17">
        <f>IF($C866="","",IF($L866="","",IF(AND($K866=2,$L866&lt;$J866,COUNTIFS(nrES_PID,$D866,nrES_Code,$F866,nrES_Att,1)&gt;0),"Yes","No")))</f>
        <v/>
      </c>
      <c r="S866" s="18" t="n"/>
      <c r="T866" s="19">
        <f>IF($Q866&lt;&gt;"Yes","",IF($S866="","(enter date)",_xlfn.LET(_xlpm.dn,IFERROR(_xlfn.XLOOKUP($S866,nrCDdate,nrCDnum),""),IF(_xlpm.dn="","(not a class day)",IFERROR(_xlfn.XLOOKUP(_xlpm.dn+cfgRetestClassDays,nrCDnum,nrCDdate),"")))))</f>
        <v/>
      </c>
      <c r="U866" s="17">
        <f>IF($Q866&lt;&gt;"Yes","",IF(COUNTIFS(nrES_PID,$D866,nrES_Code,$F866,nrES_Att,2)&gt;0,"Retested",IF(OR($T866="",NOT(ISNUMBER($T866))),"Pending",IF(TODAY()&gt;$T866,"OVERDUE","Due "&amp;TEXT($T866,"mm/dd")))))</f>
        <v/>
      </c>
      <c r="V866" s="16" t="n"/>
      <c r="W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IF($C867="","",IF($L867="","",IF($K867=1,IF(COUNTIFS(nrES_PID,$D867,nrES_Code,$F867,nrES_Att,2)&gt;0,"",$L867),IF(COUNTIFS(nrES_PID,$D867,nrES_Code,$F867,nrES_Att,1)=0,$L867,IF($L867&gt;=$J867,cfgRetakeRecordedCap,SUMIFS(nrES_Raw,nrES_PID,$D867,nrES_Code,$F867,nrES_Att,1))))))</f>
        <v/>
      </c>
      <c r="N867" s="17">
        <f>IF($C867="","",IF($L867="","",IF($L867&gt;=$J867,"Yes","No")))</f>
        <v/>
      </c>
      <c r="O867" s="17">
        <f>IF($C867="","",IF($M867="","",IF($M867&gt;=$J867,"Yes","No")))</f>
        <v/>
      </c>
      <c r="P867" s="17">
        <f>IF($C867="","",IF($K867="","",IF(COUNTIFS(nrES_PID,$D867,nrES_Code,$F867,nrES_Att,"&gt;"&amp;$K867)=0,"Yes","No")))</f>
        <v/>
      </c>
      <c r="Q867" s="17">
        <f>IF($C867="","",IF($L867="","",IF(AND($K867=1,$L867&lt;$J867,COUNTIFS(nrES_PID,$D867,nrES_Code,$F867,nrES_Att,2)=0),"Yes","No")))</f>
        <v/>
      </c>
      <c r="R867" s="17">
        <f>IF($C867="","",IF($L867="","",IF(AND($K867=2,$L867&lt;$J867,COUNTIFS(nrES_PID,$D867,nrES_Code,$F867,nrES_Att,1)&gt;0),"Yes","No")))</f>
        <v/>
      </c>
      <c r="S867" s="18" t="n"/>
      <c r="T867" s="19">
        <f>IF($Q867&lt;&gt;"Yes","",IF($S867="","(enter date)",_xlfn.LET(_xlpm.dn,IFERROR(_xlfn.XLOOKUP($S867,nrCDdate,nrCDnum),""),IF(_xlpm.dn="","(not a class day)",IFERROR(_xlfn.XLOOKUP(_xlpm.dn+cfgRetestClassDays,nrCDnum,nrCDdate),"")))))</f>
        <v/>
      </c>
      <c r="U867" s="17">
        <f>IF($Q867&lt;&gt;"Yes","",IF(COUNTIFS(nrES_PID,$D867,nrES_Code,$F867,nrES_Att,2)&gt;0,"Retested",IF(OR($T867="",NOT(ISNUMBER($T867))),"Pending",IF(TODAY()&gt;$T867,"OVERDUE","Due "&amp;TEXT($T867,"mm/dd")))))</f>
        <v/>
      </c>
      <c r="V867" s="16" t="n"/>
      <c r="W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IF($C868="","",IF($L868="","",IF($K868=1,IF(COUNTIFS(nrES_PID,$D868,nrES_Code,$F868,nrES_Att,2)&gt;0,"",$L868),IF(COUNTIFS(nrES_PID,$D868,nrES_Code,$F868,nrES_Att,1)=0,$L868,IF($L868&gt;=$J868,cfgRetakeRecordedCap,SUMIFS(nrES_Raw,nrES_PID,$D868,nrES_Code,$F868,nrES_Att,1))))))</f>
        <v/>
      </c>
      <c r="N868" s="17">
        <f>IF($C868="","",IF($L868="","",IF($L868&gt;=$J868,"Yes","No")))</f>
        <v/>
      </c>
      <c r="O868" s="17">
        <f>IF($C868="","",IF($M868="","",IF($M868&gt;=$J868,"Yes","No")))</f>
        <v/>
      </c>
      <c r="P868" s="17">
        <f>IF($C868="","",IF($K868="","",IF(COUNTIFS(nrES_PID,$D868,nrES_Code,$F868,nrES_Att,"&gt;"&amp;$K868)=0,"Yes","No")))</f>
        <v/>
      </c>
      <c r="Q868" s="17">
        <f>IF($C868="","",IF($L868="","",IF(AND($K868=1,$L868&lt;$J868,COUNTIFS(nrES_PID,$D868,nrES_Code,$F868,nrES_Att,2)=0),"Yes","No")))</f>
        <v/>
      </c>
      <c r="R868" s="17">
        <f>IF($C868="","",IF($L868="","",IF(AND($K868=2,$L868&lt;$J868,COUNTIFS(nrES_PID,$D868,nrES_Code,$F868,nrES_Att,1)&gt;0),"Yes","No")))</f>
        <v/>
      </c>
      <c r="S868" s="18" t="n"/>
      <c r="T868" s="19">
        <f>IF($Q868&lt;&gt;"Yes","",IF($S868="","(enter date)",_xlfn.LET(_xlpm.dn,IFERROR(_xlfn.XLOOKUP($S868,nrCDdate,nrCDnum),""),IF(_xlpm.dn="","(not a class day)",IFERROR(_xlfn.XLOOKUP(_xlpm.dn+cfgRetestClassDays,nrCDnum,nrCDdate),"")))))</f>
        <v/>
      </c>
      <c r="U868" s="17">
        <f>IF($Q868&lt;&gt;"Yes","",IF(COUNTIFS(nrES_PID,$D868,nrES_Code,$F868,nrES_Att,2)&gt;0,"Retested",IF(OR($T868="",NOT(ISNUMBER($T868))),"Pending",IF(TODAY()&gt;$T868,"OVERDUE","Due "&amp;TEXT($T868,"mm/dd")))))</f>
        <v/>
      </c>
      <c r="V868" s="16" t="n"/>
      <c r="W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IF($C869="","",IF($L869="","",IF($K869=1,IF(COUNTIFS(nrES_PID,$D869,nrES_Code,$F869,nrES_Att,2)&gt;0,"",$L869),IF(COUNTIFS(nrES_PID,$D869,nrES_Code,$F869,nrES_Att,1)=0,$L869,IF($L869&gt;=$J869,cfgRetakeRecordedCap,SUMIFS(nrES_Raw,nrES_PID,$D869,nrES_Code,$F869,nrES_Att,1))))))</f>
        <v/>
      </c>
      <c r="N869" s="17">
        <f>IF($C869="","",IF($L869="","",IF($L869&gt;=$J869,"Yes","No")))</f>
        <v/>
      </c>
      <c r="O869" s="17">
        <f>IF($C869="","",IF($M869="","",IF($M869&gt;=$J869,"Yes","No")))</f>
        <v/>
      </c>
      <c r="P869" s="17">
        <f>IF($C869="","",IF($K869="","",IF(COUNTIFS(nrES_PID,$D869,nrES_Code,$F869,nrES_Att,"&gt;"&amp;$K869)=0,"Yes","No")))</f>
        <v/>
      </c>
      <c r="Q869" s="17">
        <f>IF($C869="","",IF($L869="","",IF(AND($K869=1,$L869&lt;$J869,COUNTIFS(nrES_PID,$D869,nrES_Code,$F869,nrES_Att,2)=0),"Yes","No")))</f>
        <v/>
      </c>
      <c r="R869" s="17">
        <f>IF($C869="","",IF($L869="","",IF(AND($K869=2,$L869&lt;$J869,COUNTIFS(nrES_PID,$D869,nrES_Code,$F869,nrES_Att,1)&gt;0),"Yes","No")))</f>
        <v/>
      </c>
      <c r="S869" s="18" t="n"/>
      <c r="T869" s="19">
        <f>IF($Q869&lt;&gt;"Yes","",IF($S869="","(enter date)",_xlfn.LET(_xlpm.dn,IFERROR(_xlfn.XLOOKUP($S869,nrCDdate,nrCDnum),""),IF(_xlpm.dn="","(not a class day)",IFERROR(_xlfn.XLOOKUP(_xlpm.dn+cfgRetestClassDays,nrCDnum,nrCDdate),"")))))</f>
        <v/>
      </c>
      <c r="U869" s="17">
        <f>IF($Q869&lt;&gt;"Yes","",IF(COUNTIFS(nrES_PID,$D869,nrES_Code,$F869,nrES_Att,2)&gt;0,"Retested",IF(OR($T869="",NOT(ISNUMBER($T869))),"Pending",IF(TODAY()&gt;$T869,"OVERDUE","Due "&amp;TEXT($T869,"mm/dd")))))</f>
        <v/>
      </c>
      <c r="V869" s="16" t="n"/>
      <c r="W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IF($C870="","",IF($L870="","",IF($K870=1,IF(COUNTIFS(nrES_PID,$D870,nrES_Code,$F870,nrES_Att,2)&gt;0,"",$L870),IF(COUNTIFS(nrES_PID,$D870,nrES_Code,$F870,nrES_Att,1)=0,$L870,IF($L870&gt;=$J870,cfgRetakeRecordedCap,SUMIFS(nrES_Raw,nrES_PID,$D870,nrES_Code,$F870,nrES_Att,1))))))</f>
        <v/>
      </c>
      <c r="N870" s="17">
        <f>IF($C870="","",IF($L870="","",IF($L870&gt;=$J870,"Yes","No")))</f>
        <v/>
      </c>
      <c r="O870" s="17">
        <f>IF($C870="","",IF($M870="","",IF($M870&gt;=$J870,"Yes","No")))</f>
        <v/>
      </c>
      <c r="P870" s="17">
        <f>IF($C870="","",IF($K870="","",IF(COUNTIFS(nrES_PID,$D870,nrES_Code,$F870,nrES_Att,"&gt;"&amp;$K870)=0,"Yes","No")))</f>
        <v/>
      </c>
      <c r="Q870" s="17">
        <f>IF($C870="","",IF($L870="","",IF(AND($K870=1,$L870&lt;$J870,COUNTIFS(nrES_PID,$D870,nrES_Code,$F870,nrES_Att,2)=0),"Yes","No")))</f>
        <v/>
      </c>
      <c r="R870" s="17">
        <f>IF($C870="","",IF($L870="","",IF(AND($K870=2,$L870&lt;$J870,COUNTIFS(nrES_PID,$D870,nrES_Code,$F870,nrES_Att,1)&gt;0),"Yes","No")))</f>
        <v/>
      </c>
      <c r="S870" s="18" t="n"/>
      <c r="T870" s="19">
        <f>IF($Q870&lt;&gt;"Yes","",IF($S870="","(enter date)",_xlfn.LET(_xlpm.dn,IFERROR(_xlfn.XLOOKUP($S870,nrCDdate,nrCDnum),""),IF(_xlpm.dn="","(not a class day)",IFERROR(_xlfn.XLOOKUP(_xlpm.dn+cfgRetestClassDays,nrCDnum,nrCDdate),"")))))</f>
        <v/>
      </c>
      <c r="U870" s="17">
        <f>IF($Q870&lt;&gt;"Yes","",IF(COUNTIFS(nrES_PID,$D870,nrES_Code,$F870,nrES_Att,2)&gt;0,"Retested",IF(OR($T870="",NOT(ISNUMBER($T870))),"Pending",IF(TODAY()&gt;$T870,"OVERDUE","Due "&amp;TEXT($T870,"mm/dd")))))</f>
        <v/>
      </c>
      <c r="V870" s="16" t="n"/>
      <c r="W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IF($C871="","",IF($L871="","",IF($K871=1,IF(COUNTIFS(nrES_PID,$D871,nrES_Code,$F871,nrES_Att,2)&gt;0,"",$L871),IF(COUNTIFS(nrES_PID,$D871,nrES_Code,$F871,nrES_Att,1)=0,$L871,IF($L871&gt;=$J871,cfgRetakeRecordedCap,SUMIFS(nrES_Raw,nrES_PID,$D871,nrES_Code,$F871,nrES_Att,1))))))</f>
        <v/>
      </c>
      <c r="N871" s="17">
        <f>IF($C871="","",IF($L871="","",IF($L871&gt;=$J871,"Yes","No")))</f>
        <v/>
      </c>
      <c r="O871" s="17">
        <f>IF($C871="","",IF($M871="","",IF($M871&gt;=$J871,"Yes","No")))</f>
        <v/>
      </c>
      <c r="P871" s="17">
        <f>IF($C871="","",IF($K871="","",IF(COUNTIFS(nrES_PID,$D871,nrES_Code,$F871,nrES_Att,"&gt;"&amp;$K871)=0,"Yes","No")))</f>
        <v/>
      </c>
      <c r="Q871" s="17">
        <f>IF($C871="","",IF($L871="","",IF(AND($K871=1,$L871&lt;$J871,COUNTIFS(nrES_PID,$D871,nrES_Code,$F871,nrES_Att,2)=0),"Yes","No")))</f>
        <v/>
      </c>
      <c r="R871" s="17">
        <f>IF($C871="","",IF($L871="","",IF(AND($K871=2,$L871&lt;$J871,COUNTIFS(nrES_PID,$D871,nrES_Code,$F871,nrES_Att,1)&gt;0),"Yes","No")))</f>
        <v/>
      </c>
      <c r="S871" s="18" t="n"/>
      <c r="T871" s="19">
        <f>IF($Q871&lt;&gt;"Yes","",IF($S871="","(enter date)",_xlfn.LET(_xlpm.dn,IFERROR(_xlfn.XLOOKUP($S871,nrCDdate,nrCDnum),""),IF(_xlpm.dn="","(not a class day)",IFERROR(_xlfn.XLOOKUP(_xlpm.dn+cfgRetestClassDays,nrCDnum,nrCDdate),"")))))</f>
        <v/>
      </c>
      <c r="U871" s="17">
        <f>IF($Q871&lt;&gt;"Yes","",IF(COUNTIFS(nrES_PID,$D871,nrES_Code,$F871,nrES_Att,2)&gt;0,"Retested",IF(OR($T871="",NOT(ISNUMBER($T871))),"Pending",IF(TODAY()&gt;$T871,"OVERDUE","Due "&amp;TEXT($T871,"mm/dd")))))</f>
        <v/>
      </c>
      <c r="V871" s="16" t="n"/>
      <c r="W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IF($C872="","",IF($L872="","",IF($K872=1,IF(COUNTIFS(nrES_PID,$D872,nrES_Code,$F872,nrES_Att,2)&gt;0,"",$L872),IF(COUNTIFS(nrES_PID,$D872,nrES_Code,$F872,nrES_Att,1)=0,$L872,IF($L872&gt;=$J872,cfgRetakeRecordedCap,SUMIFS(nrES_Raw,nrES_PID,$D872,nrES_Code,$F872,nrES_Att,1))))))</f>
        <v/>
      </c>
      <c r="N872" s="17">
        <f>IF($C872="","",IF($L872="","",IF($L872&gt;=$J872,"Yes","No")))</f>
        <v/>
      </c>
      <c r="O872" s="17">
        <f>IF($C872="","",IF($M872="","",IF($M872&gt;=$J872,"Yes","No")))</f>
        <v/>
      </c>
      <c r="P872" s="17">
        <f>IF($C872="","",IF($K872="","",IF(COUNTIFS(nrES_PID,$D872,nrES_Code,$F872,nrES_Att,"&gt;"&amp;$K872)=0,"Yes","No")))</f>
        <v/>
      </c>
      <c r="Q872" s="17">
        <f>IF($C872="","",IF($L872="","",IF(AND($K872=1,$L872&lt;$J872,COUNTIFS(nrES_PID,$D872,nrES_Code,$F872,nrES_Att,2)=0),"Yes","No")))</f>
        <v/>
      </c>
      <c r="R872" s="17">
        <f>IF($C872="","",IF($L872="","",IF(AND($K872=2,$L872&lt;$J872,COUNTIFS(nrES_PID,$D872,nrES_Code,$F872,nrES_Att,1)&gt;0),"Yes","No")))</f>
        <v/>
      </c>
      <c r="S872" s="18" t="n"/>
      <c r="T872" s="19">
        <f>IF($Q872&lt;&gt;"Yes","",IF($S872="","(enter date)",_xlfn.LET(_xlpm.dn,IFERROR(_xlfn.XLOOKUP($S872,nrCDdate,nrCDnum),""),IF(_xlpm.dn="","(not a class day)",IFERROR(_xlfn.XLOOKUP(_xlpm.dn+cfgRetestClassDays,nrCDnum,nrCDdate),"")))))</f>
        <v/>
      </c>
      <c r="U872" s="17">
        <f>IF($Q872&lt;&gt;"Yes","",IF(COUNTIFS(nrES_PID,$D872,nrES_Code,$F872,nrES_Att,2)&gt;0,"Retested",IF(OR($T872="",NOT(ISNUMBER($T872))),"Pending",IF(TODAY()&gt;$T872,"OVERDUE","Due "&amp;TEXT($T872,"mm/dd")))))</f>
        <v/>
      </c>
      <c r="V872" s="16" t="n"/>
      <c r="W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IF($C873="","",IF($L873="","",IF($K873=1,IF(COUNTIFS(nrES_PID,$D873,nrES_Code,$F873,nrES_Att,2)&gt;0,"",$L873),IF(COUNTIFS(nrES_PID,$D873,nrES_Code,$F873,nrES_Att,1)=0,$L873,IF($L873&gt;=$J873,cfgRetakeRecordedCap,SUMIFS(nrES_Raw,nrES_PID,$D873,nrES_Code,$F873,nrES_Att,1))))))</f>
        <v/>
      </c>
      <c r="N873" s="17">
        <f>IF($C873="","",IF($L873="","",IF($L873&gt;=$J873,"Yes","No")))</f>
        <v/>
      </c>
      <c r="O873" s="17">
        <f>IF($C873="","",IF($M873="","",IF($M873&gt;=$J873,"Yes","No")))</f>
        <v/>
      </c>
      <c r="P873" s="17">
        <f>IF($C873="","",IF($K873="","",IF(COUNTIFS(nrES_PID,$D873,nrES_Code,$F873,nrES_Att,"&gt;"&amp;$K873)=0,"Yes","No")))</f>
        <v/>
      </c>
      <c r="Q873" s="17">
        <f>IF($C873="","",IF($L873="","",IF(AND($K873=1,$L873&lt;$J873,COUNTIFS(nrES_PID,$D873,nrES_Code,$F873,nrES_Att,2)=0),"Yes","No")))</f>
        <v/>
      </c>
      <c r="R873" s="17">
        <f>IF($C873="","",IF($L873="","",IF(AND($K873=2,$L873&lt;$J873,COUNTIFS(nrES_PID,$D873,nrES_Code,$F873,nrES_Att,1)&gt;0),"Yes","No")))</f>
        <v/>
      </c>
      <c r="S873" s="18" t="n"/>
      <c r="T873" s="19">
        <f>IF($Q873&lt;&gt;"Yes","",IF($S873="","(enter date)",_xlfn.LET(_xlpm.dn,IFERROR(_xlfn.XLOOKUP($S873,nrCDdate,nrCDnum),""),IF(_xlpm.dn="","(not a class day)",IFERROR(_xlfn.XLOOKUP(_xlpm.dn+cfgRetestClassDays,nrCDnum,nrCDdate),"")))))</f>
        <v/>
      </c>
      <c r="U873" s="17">
        <f>IF($Q873&lt;&gt;"Yes","",IF(COUNTIFS(nrES_PID,$D873,nrES_Code,$F873,nrES_Att,2)&gt;0,"Retested",IF(OR($T873="",NOT(ISNUMBER($T873))),"Pending",IF(TODAY()&gt;$T873,"OVERDUE","Due "&amp;TEXT($T873,"mm/dd")))))</f>
        <v/>
      </c>
      <c r="V873" s="16" t="n"/>
      <c r="W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IF($C874="","",IF($L874="","",IF($K874=1,IF(COUNTIFS(nrES_PID,$D874,nrES_Code,$F874,nrES_Att,2)&gt;0,"",$L874),IF(COUNTIFS(nrES_PID,$D874,nrES_Code,$F874,nrES_Att,1)=0,$L874,IF($L874&gt;=$J874,cfgRetakeRecordedCap,SUMIFS(nrES_Raw,nrES_PID,$D874,nrES_Code,$F874,nrES_Att,1))))))</f>
        <v/>
      </c>
      <c r="N874" s="17">
        <f>IF($C874="","",IF($L874="","",IF($L874&gt;=$J874,"Yes","No")))</f>
        <v/>
      </c>
      <c r="O874" s="17">
        <f>IF($C874="","",IF($M874="","",IF($M874&gt;=$J874,"Yes","No")))</f>
        <v/>
      </c>
      <c r="P874" s="17">
        <f>IF($C874="","",IF($K874="","",IF(COUNTIFS(nrES_PID,$D874,nrES_Code,$F874,nrES_Att,"&gt;"&amp;$K874)=0,"Yes","No")))</f>
        <v/>
      </c>
      <c r="Q874" s="17">
        <f>IF($C874="","",IF($L874="","",IF(AND($K874=1,$L874&lt;$J874,COUNTIFS(nrES_PID,$D874,nrES_Code,$F874,nrES_Att,2)=0),"Yes","No")))</f>
        <v/>
      </c>
      <c r="R874" s="17">
        <f>IF($C874="","",IF($L874="","",IF(AND($K874=2,$L874&lt;$J874,COUNTIFS(nrES_PID,$D874,nrES_Code,$F874,nrES_Att,1)&gt;0),"Yes","No")))</f>
        <v/>
      </c>
      <c r="S874" s="18" t="n"/>
      <c r="T874" s="19">
        <f>IF($Q874&lt;&gt;"Yes","",IF($S874="","(enter date)",_xlfn.LET(_xlpm.dn,IFERROR(_xlfn.XLOOKUP($S874,nrCDdate,nrCDnum),""),IF(_xlpm.dn="","(not a class day)",IFERROR(_xlfn.XLOOKUP(_xlpm.dn+cfgRetestClassDays,nrCDnum,nrCDdate),"")))))</f>
        <v/>
      </c>
      <c r="U874" s="17">
        <f>IF($Q874&lt;&gt;"Yes","",IF(COUNTIFS(nrES_PID,$D874,nrES_Code,$F874,nrES_Att,2)&gt;0,"Retested",IF(OR($T874="",NOT(ISNUMBER($T874))),"Pending",IF(TODAY()&gt;$T874,"OVERDUE","Due "&amp;TEXT($T874,"mm/dd")))))</f>
        <v/>
      </c>
      <c r="V874" s="16" t="n"/>
      <c r="W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IF($C875="","",IF($L875="","",IF($K875=1,IF(COUNTIFS(nrES_PID,$D875,nrES_Code,$F875,nrES_Att,2)&gt;0,"",$L875),IF(COUNTIFS(nrES_PID,$D875,nrES_Code,$F875,nrES_Att,1)=0,$L875,IF($L875&gt;=$J875,cfgRetakeRecordedCap,SUMIFS(nrES_Raw,nrES_PID,$D875,nrES_Code,$F875,nrES_Att,1))))))</f>
        <v/>
      </c>
      <c r="N875" s="17">
        <f>IF($C875="","",IF($L875="","",IF($L875&gt;=$J875,"Yes","No")))</f>
        <v/>
      </c>
      <c r="O875" s="17">
        <f>IF($C875="","",IF($M875="","",IF($M875&gt;=$J875,"Yes","No")))</f>
        <v/>
      </c>
      <c r="P875" s="17">
        <f>IF($C875="","",IF($K875="","",IF(COUNTIFS(nrES_PID,$D875,nrES_Code,$F875,nrES_Att,"&gt;"&amp;$K875)=0,"Yes","No")))</f>
        <v/>
      </c>
      <c r="Q875" s="17">
        <f>IF($C875="","",IF($L875="","",IF(AND($K875=1,$L875&lt;$J875,COUNTIFS(nrES_PID,$D875,nrES_Code,$F875,nrES_Att,2)=0),"Yes","No")))</f>
        <v/>
      </c>
      <c r="R875" s="17">
        <f>IF($C875="","",IF($L875="","",IF(AND($K875=2,$L875&lt;$J875,COUNTIFS(nrES_PID,$D875,nrES_Code,$F875,nrES_Att,1)&gt;0),"Yes","No")))</f>
        <v/>
      </c>
      <c r="S875" s="18" t="n"/>
      <c r="T875" s="19">
        <f>IF($Q875&lt;&gt;"Yes","",IF($S875="","(enter date)",_xlfn.LET(_xlpm.dn,IFERROR(_xlfn.XLOOKUP($S875,nrCDdate,nrCDnum),""),IF(_xlpm.dn="","(not a class day)",IFERROR(_xlfn.XLOOKUP(_xlpm.dn+cfgRetestClassDays,nrCDnum,nrCDdate),"")))))</f>
        <v/>
      </c>
      <c r="U875" s="17">
        <f>IF($Q875&lt;&gt;"Yes","",IF(COUNTIFS(nrES_PID,$D875,nrES_Code,$F875,nrES_Att,2)&gt;0,"Retested",IF(OR($T875="",NOT(ISNUMBER($T875))),"Pending",IF(TODAY()&gt;$T875,"OVERDUE","Due "&amp;TEXT($T875,"mm/dd")))))</f>
        <v/>
      </c>
      <c r="V875" s="16" t="n"/>
      <c r="W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IF($C876="","",IF($L876="","",IF($K876=1,IF(COUNTIFS(nrES_PID,$D876,nrES_Code,$F876,nrES_Att,2)&gt;0,"",$L876),IF(COUNTIFS(nrES_PID,$D876,nrES_Code,$F876,nrES_Att,1)=0,$L876,IF($L876&gt;=$J876,cfgRetakeRecordedCap,SUMIFS(nrES_Raw,nrES_PID,$D876,nrES_Code,$F876,nrES_Att,1))))))</f>
        <v/>
      </c>
      <c r="N876" s="17">
        <f>IF($C876="","",IF($L876="","",IF($L876&gt;=$J876,"Yes","No")))</f>
        <v/>
      </c>
      <c r="O876" s="17">
        <f>IF($C876="","",IF($M876="","",IF($M876&gt;=$J876,"Yes","No")))</f>
        <v/>
      </c>
      <c r="P876" s="17">
        <f>IF($C876="","",IF($K876="","",IF(COUNTIFS(nrES_PID,$D876,nrES_Code,$F876,nrES_Att,"&gt;"&amp;$K876)=0,"Yes","No")))</f>
        <v/>
      </c>
      <c r="Q876" s="17">
        <f>IF($C876="","",IF($L876="","",IF(AND($K876=1,$L876&lt;$J876,COUNTIFS(nrES_PID,$D876,nrES_Code,$F876,nrES_Att,2)=0),"Yes","No")))</f>
        <v/>
      </c>
      <c r="R876" s="17">
        <f>IF($C876="","",IF($L876="","",IF(AND($K876=2,$L876&lt;$J876,COUNTIFS(nrES_PID,$D876,nrES_Code,$F876,nrES_Att,1)&gt;0),"Yes","No")))</f>
        <v/>
      </c>
      <c r="S876" s="18" t="n"/>
      <c r="T876" s="19">
        <f>IF($Q876&lt;&gt;"Yes","",IF($S876="","(enter date)",_xlfn.LET(_xlpm.dn,IFERROR(_xlfn.XLOOKUP($S876,nrCDdate,nrCDnum),""),IF(_xlpm.dn="","(not a class day)",IFERROR(_xlfn.XLOOKUP(_xlpm.dn+cfgRetestClassDays,nrCDnum,nrCDdate),"")))))</f>
        <v/>
      </c>
      <c r="U876" s="17">
        <f>IF($Q876&lt;&gt;"Yes","",IF(COUNTIFS(nrES_PID,$D876,nrES_Code,$F876,nrES_Att,2)&gt;0,"Retested",IF(OR($T876="",NOT(ISNUMBER($T876))),"Pending",IF(TODAY()&gt;$T876,"OVERDUE","Due "&amp;TEXT($T876,"mm/dd")))))</f>
        <v/>
      </c>
      <c r="V876" s="16" t="n"/>
      <c r="W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IF($C877="","",IF($L877="","",IF($K877=1,IF(COUNTIFS(nrES_PID,$D877,nrES_Code,$F877,nrES_Att,2)&gt;0,"",$L877),IF(COUNTIFS(nrES_PID,$D877,nrES_Code,$F877,nrES_Att,1)=0,$L877,IF($L877&gt;=$J877,cfgRetakeRecordedCap,SUMIFS(nrES_Raw,nrES_PID,$D877,nrES_Code,$F877,nrES_Att,1))))))</f>
        <v/>
      </c>
      <c r="N877" s="17">
        <f>IF($C877="","",IF($L877="","",IF($L877&gt;=$J877,"Yes","No")))</f>
        <v/>
      </c>
      <c r="O877" s="17">
        <f>IF($C877="","",IF($M877="","",IF($M877&gt;=$J877,"Yes","No")))</f>
        <v/>
      </c>
      <c r="P877" s="17">
        <f>IF($C877="","",IF($K877="","",IF(COUNTIFS(nrES_PID,$D877,nrES_Code,$F877,nrES_Att,"&gt;"&amp;$K877)=0,"Yes","No")))</f>
        <v/>
      </c>
      <c r="Q877" s="17">
        <f>IF($C877="","",IF($L877="","",IF(AND($K877=1,$L877&lt;$J877,COUNTIFS(nrES_PID,$D877,nrES_Code,$F877,nrES_Att,2)=0),"Yes","No")))</f>
        <v/>
      </c>
      <c r="R877" s="17">
        <f>IF($C877="","",IF($L877="","",IF(AND($K877=2,$L877&lt;$J877,COUNTIFS(nrES_PID,$D877,nrES_Code,$F877,nrES_Att,1)&gt;0),"Yes","No")))</f>
        <v/>
      </c>
      <c r="S877" s="18" t="n"/>
      <c r="T877" s="19">
        <f>IF($Q877&lt;&gt;"Yes","",IF($S877="","(enter date)",_xlfn.LET(_xlpm.dn,IFERROR(_xlfn.XLOOKUP($S877,nrCDdate,nrCDnum),""),IF(_xlpm.dn="","(not a class day)",IFERROR(_xlfn.XLOOKUP(_xlpm.dn+cfgRetestClassDays,nrCDnum,nrCDdate),"")))))</f>
        <v/>
      </c>
      <c r="U877" s="17">
        <f>IF($Q877&lt;&gt;"Yes","",IF(COUNTIFS(nrES_PID,$D877,nrES_Code,$F877,nrES_Att,2)&gt;0,"Retested",IF(OR($T877="",NOT(ISNUMBER($T877))),"Pending",IF(TODAY()&gt;$T877,"OVERDUE","Due "&amp;TEXT($T877,"mm/dd")))))</f>
        <v/>
      </c>
      <c r="V877" s="16" t="n"/>
      <c r="W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IF($C878="","",IF($L878="","",IF($K878=1,IF(COUNTIFS(nrES_PID,$D878,nrES_Code,$F878,nrES_Att,2)&gt;0,"",$L878),IF(COUNTIFS(nrES_PID,$D878,nrES_Code,$F878,nrES_Att,1)=0,$L878,IF($L878&gt;=$J878,cfgRetakeRecordedCap,SUMIFS(nrES_Raw,nrES_PID,$D878,nrES_Code,$F878,nrES_Att,1))))))</f>
        <v/>
      </c>
      <c r="N878" s="17">
        <f>IF($C878="","",IF($L878="","",IF($L878&gt;=$J878,"Yes","No")))</f>
        <v/>
      </c>
      <c r="O878" s="17">
        <f>IF($C878="","",IF($M878="","",IF($M878&gt;=$J878,"Yes","No")))</f>
        <v/>
      </c>
      <c r="P878" s="17">
        <f>IF($C878="","",IF($K878="","",IF(COUNTIFS(nrES_PID,$D878,nrES_Code,$F878,nrES_Att,"&gt;"&amp;$K878)=0,"Yes","No")))</f>
        <v/>
      </c>
      <c r="Q878" s="17">
        <f>IF($C878="","",IF($L878="","",IF(AND($K878=1,$L878&lt;$J878,COUNTIFS(nrES_PID,$D878,nrES_Code,$F878,nrES_Att,2)=0),"Yes","No")))</f>
        <v/>
      </c>
      <c r="R878" s="17">
        <f>IF($C878="","",IF($L878="","",IF(AND($K878=2,$L878&lt;$J878,COUNTIFS(nrES_PID,$D878,nrES_Code,$F878,nrES_Att,1)&gt;0),"Yes","No")))</f>
        <v/>
      </c>
      <c r="S878" s="18" t="n"/>
      <c r="T878" s="19">
        <f>IF($Q878&lt;&gt;"Yes","",IF($S878="","(enter date)",_xlfn.LET(_xlpm.dn,IFERROR(_xlfn.XLOOKUP($S878,nrCDdate,nrCDnum),""),IF(_xlpm.dn="","(not a class day)",IFERROR(_xlfn.XLOOKUP(_xlpm.dn+cfgRetestClassDays,nrCDnum,nrCDdate),"")))))</f>
        <v/>
      </c>
      <c r="U878" s="17">
        <f>IF($Q878&lt;&gt;"Yes","",IF(COUNTIFS(nrES_PID,$D878,nrES_Code,$F878,nrES_Att,2)&gt;0,"Retested",IF(OR($T878="",NOT(ISNUMBER($T878))),"Pending",IF(TODAY()&gt;$T878,"OVERDUE","Due "&amp;TEXT($T878,"mm/dd")))))</f>
        <v/>
      </c>
      <c r="V878" s="16" t="n"/>
      <c r="W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IF($C879="","",IF($L879="","",IF($K879=1,IF(COUNTIFS(nrES_PID,$D879,nrES_Code,$F879,nrES_Att,2)&gt;0,"",$L879),IF(COUNTIFS(nrES_PID,$D879,nrES_Code,$F879,nrES_Att,1)=0,$L879,IF($L879&gt;=$J879,cfgRetakeRecordedCap,SUMIFS(nrES_Raw,nrES_PID,$D879,nrES_Code,$F879,nrES_Att,1))))))</f>
        <v/>
      </c>
      <c r="N879" s="17">
        <f>IF($C879="","",IF($L879="","",IF($L879&gt;=$J879,"Yes","No")))</f>
        <v/>
      </c>
      <c r="O879" s="17">
        <f>IF($C879="","",IF($M879="","",IF($M879&gt;=$J879,"Yes","No")))</f>
        <v/>
      </c>
      <c r="P879" s="17">
        <f>IF($C879="","",IF($K879="","",IF(COUNTIFS(nrES_PID,$D879,nrES_Code,$F879,nrES_Att,"&gt;"&amp;$K879)=0,"Yes","No")))</f>
        <v/>
      </c>
      <c r="Q879" s="17">
        <f>IF($C879="","",IF($L879="","",IF(AND($K879=1,$L879&lt;$J879,COUNTIFS(nrES_PID,$D879,nrES_Code,$F879,nrES_Att,2)=0),"Yes","No")))</f>
        <v/>
      </c>
      <c r="R879" s="17">
        <f>IF($C879="","",IF($L879="","",IF(AND($K879=2,$L879&lt;$J879,COUNTIFS(nrES_PID,$D879,nrES_Code,$F879,nrES_Att,1)&gt;0),"Yes","No")))</f>
        <v/>
      </c>
      <c r="S879" s="18" t="n"/>
      <c r="T879" s="19">
        <f>IF($Q879&lt;&gt;"Yes","",IF($S879="","(enter date)",_xlfn.LET(_xlpm.dn,IFERROR(_xlfn.XLOOKUP($S879,nrCDdate,nrCDnum),""),IF(_xlpm.dn="","(not a class day)",IFERROR(_xlfn.XLOOKUP(_xlpm.dn+cfgRetestClassDays,nrCDnum,nrCDdate),"")))))</f>
        <v/>
      </c>
      <c r="U879" s="17">
        <f>IF($Q879&lt;&gt;"Yes","",IF(COUNTIFS(nrES_PID,$D879,nrES_Code,$F879,nrES_Att,2)&gt;0,"Retested",IF(OR($T879="",NOT(ISNUMBER($T879))),"Pending",IF(TODAY()&gt;$T879,"OVERDUE","Due "&amp;TEXT($T879,"mm/dd")))))</f>
        <v/>
      </c>
      <c r="V879" s="16" t="n"/>
      <c r="W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IF($C880="","",IF($L880="","",IF($K880=1,IF(COUNTIFS(nrES_PID,$D880,nrES_Code,$F880,nrES_Att,2)&gt;0,"",$L880),IF(COUNTIFS(nrES_PID,$D880,nrES_Code,$F880,nrES_Att,1)=0,$L880,IF($L880&gt;=$J880,cfgRetakeRecordedCap,SUMIFS(nrES_Raw,nrES_PID,$D880,nrES_Code,$F880,nrES_Att,1))))))</f>
        <v/>
      </c>
      <c r="N880" s="17">
        <f>IF($C880="","",IF($L880="","",IF($L880&gt;=$J880,"Yes","No")))</f>
        <v/>
      </c>
      <c r="O880" s="17">
        <f>IF($C880="","",IF($M880="","",IF($M880&gt;=$J880,"Yes","No")))</f>
        <v/>
      </c>
      <c r="P880" s="17">
        <f>IF($C880="","",IF($K880="","",IF(COUNTIFS(nrES_PID,$D880,nrES_Code,$F880,nrES_Att,"&gt;"&amp;$K880)=0,"Yes","No")))</f>
        <v/>
      </c>
      <c r="Q880" s="17">
        <f>IF($C880="","",IF($L880="","",IF(AND($K880=1,$L880&lt;$J880,COUNTIFS(nrES_PID,$D880,nrES_Code,$F880,nrES_Att,2)=0),"Yes","No")))</f>
        <v/>
      </c>
      <c r="R880" s="17">
        <f>IF($C880="","",IF($L880="","",IF(AND($K880=2,$L880&lt;$J880,COUNTIFS(nrES_PID,$D880,nrES_Code,$F880,nrES_Att,1)&gt;0),"Yes","No")))</f>
        <v/>
      </c>
      <c r="S880" s="18" t="n"/>
      <c r="T880" s="19">
        <f>IF($Q880&lt;&gt;"Yes","",IF($S880="","(enter date)",_xlfn.LET(_xlpm.dn,IFERROR(_xlfn.XLOOKUP($S880,nrCDdate,nrCDnum),""),IF(_xlpm.dn="","(not a class day)",IFERROR(_xlfn.XLOOKUP(_xlpm.dn+cfgRetestClassDays,nrCDnum,nrCDdate),"")))))</f>
        <v/>
      </c>
      <c r="U880" s="17">
        <f>IF($Q880&lt;&gt;"Yes","",IF(COUNTIFS(nrES_PID,$D880,nrES_Code,$F880,nrES_Att,2)&gt;0,"Retested",IF(OR($T880="",NOT(ISNUMBER($T880))),"Pending",IF(TODAY()&gt;$T880,"OVERDUE","Due "&amp;TEXT($T880,"mm/dd")))))</f>
        <v/>
      </c>
      <c r="V880" s="16" t="n"/>
      <c r="W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IF($C881="","",IF($L881="","",IF($K881=1,IF(COUNTIFS(nrES_PID,$D881,nrES_Code,$F881,nrES_Att,2)&gt;0,"",$L881),IF(COUNTIFS(nrES_PID,$D881,nrES_Code,$F881,nrES_Att,1)=0,$L881,IF($L881&gt;=$J881,cfgRetakeRecordedCap,SUMIFS(nrES_Raw,nrES_PID,$D881,nrES_Code,$F881,nrES_Att,1))))))</f>
        <v/>
      </c>
      <c r="N881" s="17">
        <f>IF($C881="","",IF($L881="","",IF($L881&gt;=$J881,"Yes","No")))</f>
        <v/>
      </c>
      <c r="O881" s="17">
        <f>IF($C881="","",IF($M881="","",IF($M881&gt;=$J881,"Yes","No")))</f>
        <v/>
      </c>
      <c r="P881" s="17">
        <f>IF($C881="","",IF($K881="","",IF(COUNTIFS(nrES_PID,$D881,nrES_Code,$F881,nrES_Att,"&gt;"&amp;$K881)=0,"Yes","No")))</f>
        <v/>
      </c>
      <c r="Q881" s="17">
        <f>IF($C881="","",IF($L881="","",IF(AND($K881=1,$L881&lt;$J881,COUNTIFS(nrES_PID,$D881,nrES_Code,$F881,nrES_Att,2)=0),"Yes","No")))</f>
        <v/>
      </c>
      <c r="R881" s="17">
        <f>IF($C881="","",IF($L881="","",IF(AND($K881=2,$L881&lt;$J881,COUNTIFS(nrES_PID,$D881,nrES_Code,$F881,nrES_Att,1)&gt;0),"Yes","No")))</f>
        <v/>
      </c>
      <c r="S881" s="18" t="n"/>
      <c r="T881" s="19">
        <f>IF($Q881&lt;&gt;"Yes","",IF($S881="","(enter date)",_xlfn.LET(_xlpm.dn,IFERROR(_xlfn.XLOOKUP($S881,nrCDdate,nrCDnum),""),IF(_xlpm.dn="","(not a class day)",IFERROR(_xlfn.XLOOKUP(_xlpm.dn+cfgRetestClassDays,nrCDnum,nrCDdate),"")))))</f>
        <v/>
      </c>
      <c r="U881" s="17">
        <f>IF($Q881&lt;&gt;"Yes","",IF(COUNTIFS(nrES_PID,$D881,nrES_Code,$F881,nrES_Att,2)&gt;0,"Retested",IF(OR($T881="",NOT(ISNUMBER($T881))),"Pending",IF(TODAY()&gt;$T881,"OVERDUE","Due "&amp;TEXT($T881,"mm/dd")))))</f>
        <v/>
      </c>
      <c r="V881" s="16" t="n"/>
      <c r="W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IF($C882="","",IF($L882="","",IF($K882=1,IF(COUNTIFS(nrES_PID,$D882,nrES_Code,$F882,nrES_Att,2)&gt;0,"",$L882),IF(COUNTIFS(nrES_PID,$D882,nrES_Code,$F882,nrES_Att,1)=0,$L882,IF($L882&gt;=$J882,cfgRetakeRecordedCap,SUMIFS(nrES_Raw,nrES_PID,$D882,nrES_Code,$F882,nrES_Att,1))))))</f>
        <v/>
      </c>
      <c r="N882" s="17">
        <f>IF($C882="","",IF($L882="","",IF($L882&gt;=$J882,"Yes","No")))</f>
        <v/>
      </c>
      <c r="O882" s="17">
        <f>IF($C882="","",IF($M882="","",IF($M882&gt;=$J882,"Yes","No")))</f>
        <v/>
      </c>
      <c r="P882" s="17">
        <f>IF($C882="","",IF($K882="","",IF(COUNTIFS(nrES_PID,$D882,nrES_Code,$F882,nrES_Att,"&gt;"&amp;$K882)=0,"Yes","No")))</f>
        <v/>
      </c>
      <c r="Q882" s="17">
        <f>IF($C882="","",IF($L882="","",IF(AND($K882=1,$L882&lt;$J882,COUNTIFS(nrES_PID,$D882,nrES_Code,$F882,nrES_Att,2)=0),"Yes","No")))</f>
        <v/>
      </c>
      <c r="R882" s="17">
        <f>IF($C882="","",IF($L882="","",IF(AND($K882=2,$L882&lt;$J882,COUNTIFS(nrES_PID,$D882,nrES_Code,$F882,nrES_Att,1)&gt;0),"Yes","No")))</f>
        <v/>
      </c>
      <c r="S882" s="18" t="n"/>
      <c r="T882" s="19">
        <f>IF($Q882&lt;&gt;"Yes","",IF($S882="","(enter date)",_xlfn.LET(_xlpm.dn,IFERROR(_xlfn.XLOOKUP($S882,nrCDdate,nrCDnum),""),IF(_xlpm.dn="","(not a class day)",IFERROR(_xlfn.XLOOKUP(_xlpm.dn+cfgRetestClassDays,nrCDnum,nrCDdate),"")))))</f>
        <v/>
      </c>
      <c r="U882" s="17">
        <f>IF($Q882&lt;&gt;"Yes","",IF(COUNTIFS(nrES_PID,$D882,nrES_Code,$F882,nrES_Att,2)&gt;0,"Retested",IF(OR($T882="",NOT(ISNUMBER($T882))),"Pending",IF(TODAY()&gt;$T882,"OVERDUE","Due "&amp;TEXT($T882,"mm/dd")))))</f>
        <v/>
      </c>
      <c r="V882" s="16" t="n"/>
      <c r="W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IF($C883="","",IF($L883="","",IF($K883=1,IF(COUNTIFS(nrES_PID,$D883,nrES_Code,$F883,nrES_Att,2)&gt;0,"",$L883),IF(COUNTIFS(nrES_PID,$D883,nrES_Code,$F883,nrES_Att,1)=0,$L883,IF($L883&gt;=$J883,cfgRetakeRecordedCap,SUMIFS(nrES_Raw,nrES_PID,$D883,nrES_Code,$F883,nrES_Att,1))))))</f>
        <v/>
      </c>
      <c r="N883" s="17">
        <f>IF($C883="","",IF($L883="","",IF($L883&gt;=$J883,"Yes","No")))</f>
        <v/>
      </c>
      <c r="O883" s="17">
        <f>IF($C883="","",IF($M883="","",IF($M883&gt;=$J883,"Yes","No")))</f>
        <v/>
      </c>
      <c r="P883" s="17">
        <f>IF($C883="","",IF($K883="","",IF(COUNTIFS(nrES_PID,$D883,nrES_Code,$F883,nrES_Att,"&gt;"&amp;$K883)=0,"Yes","No")))</f>
        <v/>
      </c>
      <c r="Q883" s="17">
        <f>IF($C883="","",IF($L883="","",IF(AND($K883=1,$L883&lt;$J883,COUNTIFS(nrES_PID,$D883,nrES_Code,$F883,nrES_Att,2)=0),"Yes","No")))</f>
        <v/>
      </c>
      <c r="R883" s="17">
        <f>IF($C883="","",IF($L883="","",IF(AND($K883=2,$L883&lt;$J883,COUNTIFS(nrES_PID,$D883,nrES_Code,$F883,nrES_Att,1)&gt;0),"Yes","No")))</f>
        <v/>
      </c>
      <c r="S883" s="18" t="n"/>
      <c r="T883" s="19">
        <f>IF($Q883&lt;&gt;"Yes","",IF($S883="","(enter date)",_xlfn.LET(_xlpm.dn,IFERROR(_xlfn.XLOOKUP($S883,nrCDdate,nrCDnum),""),IF(_xlpm.dn="","(not a class day)",IFERROR(_xlfn.XLOOKUP(_xlpm.dn+cfgRetestClassDays,nrCDnum,nrCDdate),"")))))</f>
        <v/>
      </c>
      <c r="U883" s="17">
        <f>IF($Q883&lt;&gt;"Yes","",IF(COUNTIFS(nrES_PID,$D883,nrES_Code,$F883,nrES_Att,2)&gt;0,"Retested",IF(OR($T883="",NOT(ISNUMBER($T883))),"Pending",IF(TODAY()&gt;$T883,"OVERDUE","Due "&amp;TEXT($T883,"mm/dd")))))</f>
        <v/>
      </c>
      <c r="V883" s="16" t="n"/>
      <c r="W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IF($C884="","",IF($L884="","",IF($K884=1,IF(COUNTIFS(nrES_PID,$D884,nrES_Code,$F884,nrES_Att,2)&gt;0,"",$L884),IF(COUNTIFS(nrES_PID,$D884,nrES_Code,$F884,nrES_Att,1)=0,$L884,IF($L884&gt;=$J884,cfgRetakeRecordedCap,SUMIFS(nrES_Raw,nrES_PID,$D884,nrES_Code,$F884,nrES_Att,1))))))</f>
        <v/>
      </c>
      <c r="N884" s="17">
        <f>IF($C884="","",IF($L884="","",IF($L884&gt;=$J884,"Yes","No")))</f>
        <v/>
      </c>
      <c r="O884" s="17">
        <f>IF($C884="","",IF($M884="","",IF($M884&gt;=$J884,"Yes","No")))</f>
        <v/>
      </c>
      <c r="P884" s="17">
        <f>IF($C884="","",IF($K884="","",IF(COUNTIFS(nrES_PID,$D884,nrES_Code,$F884,nrES_Att,"&gt;"&amp;$K884)=0,"Yes","No")))</f>
        <v/>
      </c>
      <c r="Q884" s="17">
        <f>IF($C884="","",IF($L884="","",IF(AND($K884=1,$L884&lt;$J884,COUNTIFS(nrES_PID,$D884,nrES_Code,$F884,nrES_Att,2)=0),"Yes","No")))</f>
        <v/>
      </c>
      <c r="R884" s="17">
        <f>IF($C884="","",IF($L884="","",IF(AND($K884=2,$L884&lt;$J884,COUNTIFS(nrES_PID,$D884,nrES_Code,$F884,nrES_Att,1)&gt;0),"Yes","No")))</f>
        <v/>
      </c>
      <c r="S884" s="18" t="n"/>
      <c r="T884" s="19">
        <f>IF($Q884&lt;&gt;"Yes","",IF($S884="","(enter date)",_xlfn.LET(_xlpm.dn,IFERROR(_xlfn.XLOOKUP($S884,nrCDdate,nrCDnum),""),IF(_xlpm.dn="","(not a class day)",IFERROR(_xlfn.XLOOKUP(_xlpm.dn+cfgRetestClassDays,nrCDnum,nrCDdate),"")))))</f>
        <v/>
      </c>
      <c r="U884" s="17">
        <f>IF($Q884&lt;&gt;"Yes","",IF(COUNTIFS(nrES_PID,$D884,nrES_Code,$F884,nrES_Att,2)&gt;0,"Retested",IF(OR($T884="",NOT(ISNUMBER($T884))),"Pending",IF(TODAY()&gt;$T884,"OVERDUE","Due "&amp;TEXT($T884,"mm/dd")))))</f>
        <v/>
      </c>
      <c r="V884" s="16" t="n"/>
      <c r="W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IF($C885="","",IF($L885="","",IF($K885=1,IF(COUNTIFS(nrES_PID,$D885,nrES_Code,$F885,nrES_Att,2)&gt;0,"",$L885),IF(COUNTIFS(nrES_PID,$D885,nrES_Code,$F885,nrES_Att,1)=0,$L885,IF($L885&gt;=$J885,cfgRetakeRecordedCap,SUMIFS(nrES_Raw,nrES_PID,$D885,nrES_Code,$F885,nrES_Att,1))))))</f>
        <v/>
      </c>
      <c r="N885" s="17">
        <f>IF($C885="","",IF($L885="","",IF($L885&gt;=$J885,"Yes","No")))</f>
        <v/>
      </c>
      <c r="O885" s="17">
        <f>IF($C885="","",IF($M885="","",IF($M885&gt;=$J885,"Yes","No")))</f>
        <v/>
      </c>
      <c r="P885" s="17">
        <f>IF($C885="","",IF($K885="","",IF(COUNTIFS(nrES_PID,$D885,nrES_Code,$F885,nrES_Att,"&gt;"&amp;$K885)=0,"Yes","No")))</f>
        <v/>
      </c>
      <c r="Q885" s="17">
        <f>IF($C885="","",IF($L885="","",IF(AND($K885=1,$L885&lt;$J885,COUNTIFS(nrES_PID,$D885,nrES_Code,$F885,nrES_Att,2)=0),"Yes","No")))</f>
        <v/>
      </c>
      <c r="R885" s="17">
        <f>IF($C885="","",IF($L885="","",IF(AND($K885=2,$L885&lt;$J885,COUNTIFS(nrES_PID,$D885,nrES_Code,$F885,nrES_Att,1)&gt;0),"Yes","No")))</f>
        <v/>
      </c>
      <c r="S885" s="18" t="n"/>
      <c r="T885" s="19">
        <f>IF($Q885&lt;&gt;"Yes","",IF($S885="","(enter date)",_xlfn.LET(_xlpm.dn,IFERROR(_xlfn.XLOOKUP($S885,nrCDdate,nrCDnum),""),IF(_xlpm.dn="","(not a class day)",IFERROR(_xlfn.XLOOKUP(_xlpm.dn+cfgRetestClassDays,nrCDnum,nrCDdate),"")))))</f>
        <v/>
      </c>
      <c r="U885" s="17">
        <f>IF($Q885&lt;&gt;"Yes","",IF(COUNTIFS(nrES_PID,$D885,nrES_Code,$F885,nrES_Att,2)&gt;0,"Retested",IF(OR($T885="",NOT(ISNUMBER($T885))),"Pending",IF(TODAY()&gt;$T885,"OVERDUE","Due "&amp;TEXT($T885,"mm/dd")))))</f>
        <v/>
      </c>
      <c r="V885" s="16" t="n"/>
      <c r="W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IF($C886="","",IF($L886="","",IF($K886=1,IF(COUNTIFS(nrES_PID,$D886,nrES_Code,$F886,nrES_Att,2)&gt;0,"",$L886),IF(COUNTIFS(nrES_PID,$D886,nrES_Code,$F886,nrES_Att,1)=0,$L886,IF($L886&gt;=$J886,cfgRetakeRecordedCap,SUMIFS(nrES_Raw,nrES_PID,$D886,nrES_Code,$F886,nrES_Att,1))))))</f>
        <v/>
      </c>
      <c r="N886" s="17">
        <f>IF($C886="","",IF($L886="","",IF($L886&gt;=$J886,"Yes","No")))</f>
        <v/>
      </c>
      <c r="O886" s="17">
        <f>IF($C886="","",IF($M886="","",IF($M886&gt;=$J886,"Yes","No")))</f>
        <v/>
      </c>
      <c r="P886" s="17">
        <f>IF($C886="","",IF($K886="","",IF(COUNTIFS(nrES_PID,$D886,nrES_Code,$F886,nrES_Att,"&gt;"&amp;$K886)=0,"Yes","No")))</f>
        <v/>
      </c>
      <c r="Q886" s="17">
        <f>IF($C886="","",IF($L886="","",IF(AND($K886=1,$L886&lt;$J886,COUNTIFS(nrES_PID,$D886,nrES_Code,$F886,nrES_Att,2)=0),"Yes","No")))</f>
        <v/>
      </c>
      <c r="R886" s="17">
        <f>IF($C886="","",IF($L886="","",IF(AND($K886=2,$L886&lt;$J886,COUNTIFS(nrES_PID,$D886,nrES_Code,$F886,nrES_Att,1)&gt;0),"Yes","No")))</f>
        <v/>
      </c>
      <c r="S886" s="18" t="n"/>
      <c r="T886" s="19">
        <f>IF($Q886&lt;&gt;"Yes","",IF($S886="","(enter date)",_xlfn.LET(_xlpm.dn,IFERROR(_xlfn.XLOOKUP($S886,nrCDdate,nrCDnum),""),IF(_xlpm.dn="","(not a class day)",IFERROR(_xlfn.XLOOKUP(_xlpm.dn+cfgRetestClassDays,nrCDnum,nrCDdate),"")))))</f>
        <v/>
      </c>
      <c r="U886" s="17">
        <f>IF($Q886&lt;&gt;"Yes","",IF(COUNTIFS(nrES_PID,$D886,nrES_Code,$F886,nrES_Att,2)&gt;0,"Retested",IF(OR($T886="",NOT(ISNUMBER($T886))),"Pending",IF(TODAY()&gt;$T886,"OVERDUE","Due "&amp;TEXT($T886,"mm/dd")))))</f>
        <v/>
      </c>
      <c r="V886" s="16" t="n"/>
      <c r="W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IF($C887="","",IF($L887="","",IF($K887=1,IF(COUNTIFS(nrES_PID,$D887,nrES_Code,$F887,nrES_Att,2)&gt;0,"",$L887),IF(COUNTIFS(nrES_PID,$D887,nrES_Code,$F887,nrES_Att,1)=0,$L887,IF($L887&gt;=$J887,cfgRetakeRecordedCap,SUMIFS(nrES_Raw,nrES_PID,$D887,nrES_Code,$F887,nrES_Att,1))))))</f>
        <v/>
      </c>
      <c r="N887" s="17">
        <f>IF($C887="","",IF($L887="","",IF($L887&gt;=$J887,"Yes","No")))</f>
        <v/>
      </c>
      <c r="O887" s="17">
        <f>IF($C887="","",IF($M887="","",IF($M887&gt;=$J887,"Yes","No")))</f>
        <v/>
      </c>
      <c r="P887" s="17">
        <f>IF($C887="","",IF($K887="","",IF(COUNTIFS(nrES_PID,$D887,nrES_Code,$F887,nrES_Att,"&gt;"&amp;$K887)=0,"Yes","No")))</f>
        <v/>
      </c>
      <c r="Q887" s="17">
        <f>IF($C887="","",IF($L887="","",IF(AND($K887=1,$L887&lt;$J887,COUNTIFS(nrES_PID,$D887,nrES_Code,$F887,nrES_Att,2)=0),"Yes","No")))</f>
        <v/>
      </c>
      <c r="R887" s="17">
        <f>IF($C887="","",IF($L887="","",IF(AND($K887=2,$L887&lt;$J887,COUNTIFS(nrES_PID,$D887,nrES_Code,$F887,nrES_Att,1)&gt;0),"Yes","No")))</f>
        <v/>
      </c>
      <c r="S887" s="18" t="n"/>
      <c r="T887" s="19">
        <f>IF($Q887&lt;&gt;"Yes","",IF($S887="","(enter date)",_xlfn.LET(_xlpm.dn,IFERROR(_xlfn.XLOOKUP($S887,nrCDdate,nrCDnum),""),IF(_xlpm.dn="","(not a class day)",IFERROR(_xlfn.XLOOKUP(_xlpm.dn+cfgRetestClassDays,nrCDnum,nrCDdate),"")))))</f>
        <v/>
      </c>
      <c r="U887" s="17">
        <f>IF($Q887&lt;&gt;"Yes","",IF(COUNTIFS(nrES_PID,$D887,nrES_Code,$F887,nrES_Att,2)&gt;0,"Retested",IF(OR($T887="",NOT(ISNUMBER($T887))),"Pending",IF(TODAY()&gt;$T887,"OVERDUE","Due "&amp;TEXT($T887,"mm/dd")))))</f>
        <v/>
      </c>
      <c r="V887" s="16" t="n"/>
      <c r="W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IF($C888="","",IF($L888="","",IF($K888=1,IF(COUNTIFS(nrES_PID,$D888,nrES_Code,$F888,nrES_Att,2)&gt;0,"",$L888),IF(COUNTIFS(nrES_PID,$D888,nrES_Code,$F888,nrES_Att,1)=0,$L888,IF($L888&gt;=$J888,cfgRetakeRecordedCap,SUMIFS(nrES_Raw,nrES_PID,$D888,nrES_Code,$F888,nrES_Att,1))))))</f>
        <v/>
      </c>
      <c r="N888" s="17">
        <f>IF($C888="","",IF($L888="","",IF($L888&gt;=$J888,"Yes","No")))</f>
        <v/>
      </c>
      <c r="O888" s="17">
        <f>IF($C888="","",IF($M888="","",IF($M888&gt;=$J888,"Yes","No")))</f>
        <v/>
      </c>
      <c r="P888" s="17">
        <f>IF($C888="","",IF($K888="","",IF(COUNTIFS(nrES_PID,$D888,nrES_Code,$F888,nrES_Att,"&gt;"&amp;$K888)=0,"Yes","No")))</f>
        <v/>
      </c>
      <c r="Q888" s="17">
        <f>IF($C888="","",IF($L888="","",IF(AND($K888=1,$L888&lt;$J888,COUNTIFS(nrES_PID,$D888,nrES_Code,$F888,nrES_Att,2)=0),"Yes","No")))</f>
        <v/>
      </c>
      <c r="R888" s="17">
        <f>IF($C888="","",IF($L888="","",IF(AND($K888=2,$L888&lt;$J888,COUNTIFS(nrES_PID,$D888,nrES_Code,$F888,nrES_Att,1)&gt;0),"Yes","No")))</f>
        <v/>
      </c>
      <c r="S888" s="18" t="n"/>
      <c r="T888" s="19">
        <f>IF($Q888&lt;&gt;"Yes","",IF($S888="","(enter date)",_xlfn.LET(_xlpm.dn,IFERROR(_xlfn.XLOOKUP($S888,nrCDdate,nrCDnum),""),IF(_xlpm.dn="","(not a class day)",IFERROR(_xlfn.XLOOKUP(_xlpm.dn+cfgRetestClassDays,nrCDnum,nrCDdate),"")))))</f>
        <v/>
      </c>
      <c r="U888" s="17">
        <f>IF($Q888&lt;&gt;"Yes","",IF(COUNTIFS(nrES_PID,$D888,nrES_Code,$F888,nrES_Att,2)&gt;0,"Retested",IF(OR($T888="",NOT(ISNUMBER($T888))),"Pending",IF(TODAY()&gt;$T888,"OVERDUE","Due "&amp;TEXT($T888,"mm/dd")))))</f>
        <v/>
      </c>
      <c r="V888" s="16" t="n"/>
      <c r="W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IF($C889="","",IF($L889="","",IF($K889=1,IF(COUNTIFS(nrES_PID,$D889,nrES_Code,$F889,nrES_Att,2)&gt;0,"",$L889),IF(COUNTIFS(nrES_PID,$D889,nrES_Code,$F889,nrES_Att,1)=0,$L889,IF($L889&gt;=$J889,cfgRetakeRecordedCap,SUMIFS(nrES_Raw,nrES_PID,$D889,nrES_Code,$F889,nrES_Att,1))))))</f>
        <v/>
      </c>
      <c r="N889" s="17">
        <f>IF($C889="","",IF($L889="","",IF($L889&gt;=$J889,"Yes","No")))</f>
        <v/>
      </c>
      <c r="O889" s="17">
        <f>IF($C889="","",IF($M889="","",IF($M889&gt;=$J889,"Yes","No")))</f>
        <v/>
      </c>
      <c r="P889" s="17">
        <f>IF($C889="","",IF($K889="","",IF(COUNTIFS(nrES_PID,$D889,nrES_Code,$F889,nrES_Att,"&gt;"&amp;$K889)=0,"Yes","No")))</f>
        <v/>
      </c>
      <c r="Q889" s="17">
        <f>IF($C889="","",IF($L889="","",IF(AND($K889=1,$L889&lt;$J889,COUNTIFS(nrES_PID,$D889,nrES_Code,$F889,nrES_Att,2)=0),"Yes","No")))</f>
        <v/>
      </c>
      <c r="R889" s="17">
        <f>IF($C889="","",IF($L889="","",IF(AND($K889=2,$L889&lt;$J889,COUNTIFS(nrES_PID,$D889,nrES_Code,$F889,nrES_Att,1)&gt;0),"Yes","No")))</f>
        <v/>
      </c>
      <c r="S889" s="18" t="n"/>
      <c r="T889" s="19">
        <f>IF($Q889&lt;&gt;"Yes","",IF($S889="","(enter date)",_xlfn.LET(_xlpm.dn,IFERROR(_xlfn.XLOOKUP($S889,nrCDdate,nrCDnum),""),IF(_xlpm.dn="","(not a class day)",IFERROR(_xlfn.XLOOKUP(_xlpm.dn+cfgRetestClassDays,nrCDnum,nrCDdate),"")))))</f>
        <v/>
      </c>
      <c r="U889" s="17">
        <f>IF($Q889&lt;&gt;"Yes","",IF(COUNTIFS(nrES_PID,$D889,nrES_Code,$F889,nrES_Att,2)&gt;0,"Retested",IF(OR($T889="",NOT(ISNUMBER($T889))),"Pending",IF(TODAY()&gt;$T889,"OVERDUE","Due "&amp;TEXT($T889,"mm/dd")))))</f>
        <v/>
      </c>
      <c r="V889" s="16" t="n"/>
      <c r="W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IF($C890="","",IF($L890="","",IF($K890=1,IF(COUNTIFS(nrES_PID,$D890,nrES_Code,$F890,nrES_Att,2)&gt;0,"",$L890),IF(COUNTIFS(nrES_PID,$D890,nrES_Code,$F890,nrES_Att,1)=0,$L890,IF($L890&gt;=$J890,cfgRetakeRecordedCap,SUMIFS(nrES_Raw,nrES_PID,$D890,nrES_Code,$F890,nrES_Att,1))))))</f>
        <v/>
      </c>
      <c r="N890" s="17">
        <f>IF($C890="","",IF($L890="","",IF($L890&gt;=$J890,"Yes","No")))</f>
        <v/>
      </c>
      <c r="O890" s="17">
        <f>IF($C890="","",IF($M890="","",IF($M890&gt;=$J890,"Yes","No")))</f>
        <v/>
      </c>
      <c r="P890" s="17">
        <f>IF($C890="","",IF($K890="","",IF(COUNTIFS(nrES_PID,$D890,nrES_Code,$F890,nrES_Att,"&gt;"&amp;$K890)=0,"Yes","No")))</f>
        <v/>
      </c>
      <c r="Q890" s="17">
        <f>IF($C890="","",IF($L890="","",IF(AND($K890=1,$L890&lt;$J890,COUNTIFS(nrES_PID,$D890,nrES_Code,$F890,nrES_Att,2)=0),"Yes","No")))</f>
        <v/>
      </c>
      <c r="R890" s="17">
        <f>IF($C890="","",IF($L890="","",IF(AND($K890=2,$L890&lt;$J890,COUNTIFS(nrES_PID,$D890,nrES_Code,$F890,nrES_Att,1)&gt;0),"Yes","No")))</f>
        <v/>
      </c>
      <c r="S890" s="18" t="n"/>
      <c r="T890" s="19">
        <f>IF($Q890&lt;&gt;"Yes","",IF($S890="","(enter date)",_xlfn.LET(_xlpm.dn,IFERROR(_xlfn.XLOOKUP($S890,nrCDdate,nrCDnum),""),IF(_xlpm.dn="","(not a class day)",IFERROR(_xlfn.XLOOKUP(_xlpm.dn+cfgRetestClassDays,nrCDnum,nrCDdate),"")))))</f>
        <v/>
      </c>
      <c r="U890" s="17">
        <f>IF($Q890&lt;&gt;"Yes","",IF(COUNTIFS(nrES_PID,$D890,nrES_Code,$F890,nrES_Att,2)&gt;0,"Retested",IF(OR($T890="",NOT(ISNUMBER($T890))),"Pending",IF(TODAY()&gt;$T890,"OVERDUE","Due "&amp;TEXT($T890,"mm/dd")))))</f>
        <v/>
      </c>
      <c r="V890" s="16" t="n"/>
      <c r="W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IF($C891="","",IF($L891="","",IF($K891=1,IF(COUNTIFS(nrES_PID,$D891,nrES_Code,$F891,nrES_Att,2)&gt;0,"",$L891),IF(COUNTIFS(nrES_PID,$D891,nrES_Code,$F891,nrES_Att,1)=0,$L891,IF($L891&gt;=$J891,cfgRetakeRecordedCap,SUMIFS(nrES_Raw,nrES_PID,$D891,nrES_Code,$F891,nrES_Att,1))))))</f>
        <v/>
      </c>
      <c r="N891" s="17">
        <f>IF($C891="","",IF($L891="","",IF($L891&gt;=$J891,"Yes","No")))</f>
        <v/>
      </c>
      <c r="O891" s="17">
        <f>IF($C891="","",IF($M891="","",IF($M891&gt;=$J891,"Yes","No")))</f>
        <v/>
      </c>
      <c r="P891" s="17">
        <f>IF($C891="","",IF($K891="","",IF(COUNTIFS(nrES_PID,$D891,nrES_Code,$F891,nrES_Att,"&gt;"&amp;$K891)=0,"Yes","No")))</f>
        <v/>
      </c>
      <c r="Q891" s="17">
        <f>IF($C891="","",IF($L891="","",IF(AND($K891=1,$L891&lt;$J891,COUNTIFS(nrES_PID,$D891,nrES_Code,$F891,nrES_Att,2)=0),"Yes","No")))</f>
        <v/>
      </c>
      <c r="R891" s="17">
        <f>IF($C891="","",IF($L891="","",IF(AND($K891=2,$L891&lt;$J891,COUNTIFS(nrES_PID,$D891,nrES_Code,$F891,nrES_Att,1)&gt;0),"Yes","No")))</f>
        <v/>
      </c>
      <c r="S891" s="18" t="n"/>
      <c r="T891" s="19">
        <f>IF($Q891&lt;&gt;"Yes","",IF($S891="","(enter date)",_xlfn.LET(_xlpm.dn,IFERROR(_xlfn.XLOOKUP($S891,nrCDdate,nrCDnum),""),IF(_xlpm.dn="","(not a class day)",IFERROR(_xlfn.XLOOKUP(_xlpm.dn+cfgRetestClassDays,nrCDnum,nrCDdate),"")))))</f>
        <v/>
      </c>
      <c r="U891" s="17">
        <f>IF($Q891&lt;&gt;"Yes","",IF(COUNTIFS(nrES_PID,$D891,nrES_Code,$F891,nrES_Att,2)&gt;0,"Retested",IF(OR($T891="",NOT(ISNUMBER($T891))),"Pending",IF(TODAY()&gt;$T891,"OVERDUE","Due "&amp;TEXT($T891,"mm/dd")))))</f>
        <v/>
      </c>
      <c r="V891" s="16" t="n"/>
      <c r="W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IF($C892="","",IF($L892="","",IF($K892=1,IF(COUNTIFS(nrES_PID,$D892,nrES_Code,$F892,nrES_Att,2)&gt;0,"",$L892),IF(COUNTIFS(nrES_PID,$D892,nrES_Code,$F892,nrES_Att,1)=0,$L892,IF($L892&gt;=$J892,cfgRetakeRecordedCap,SUMIFS(nrES_Raw,nrES_PID,$D892,nrES_Code,$F892,nrES_Att,1))))))</f>
        <v/>
      </c>
      <c r="N892" s="17">
        <f>IF($C892="","",IF($L892="","",IF($L892&gt;=$J892,"Yes","No")))</f>
        <v/>
      </c>
      <c r="O892" s="17">
        <f>IF($C892="","",IF($M892="","",IF($M892&gt;=$J892,"Yes","No")))</f>
        <v/>
      </c>
      <c r="P892" s="17">
        <f>IF($C892="","",IF($K892="","",IF(COUNTIFS(nrES_PID,$D892,nrES_Code,$F892,nrES_Att,"&gt;"&amp;$K892)=0,"Yes","No")))</f>
        <v/>
      </c>
      <c r="Q892" s="17">
        <f>IF($C892="","",IF($L892="","",IF(AND($K892=1,$L892&lt;$J892,COUNTIFS(nrES_PID,$D892,nrES_Code,$F892,nrES_Att,2)=0),"Yes","No")))</f>
        <v/>
      </c>
      <c r="R892" s="17">
        <f>IF($C892="","",IF($L892="","",IF(AND($K892=2,$L892&lt;$J892,COUNTIFS(nrES_PID,$D892,nrES_Code,$F892,nrES_Att,1)&gt;0),"Yes","No")))</f>
        <v/>
      </c>
      <c r="S892" s="18" t="n"/>
      <c r="T892" s="19">
        <f>IF($Q892&lt;&gt;"Yes","",IF($S892="","(enter date)",_xlfn.LET(_xlpm.dn,IFERROR(_xlfn.XLOOKUP($S892,nrCDdate,nrCDnum),""),IF(_xlpm.dn="","(not a class day)",IFERROR(_xlfn.XLOOKUP(_xlpm.dn+cfgRetestClassDays,nrCDnum,nrCDdate),"")))))</f>
        <v/>
      </c>
      <c r="U892" s="17">
        <f>IF($Q892&lt;&gt;"Yes","",IF(COUNTIFS(nrES_PID,$D892,nrES_Code,$F892,nrES_Att,2)&gt;0,"Retested",IF(OR($T892="",NOT(ISNUMBER($T892))),"Pending",IF(TODAY()&gt;$T892,"OVERDUE","Due "&amp;TEXT($T892,"mm/dd")))))</f>
        <v/>
      </c>
      <c r="V892" s="16" t="n"/>
      <c r="W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IF($C893="","",IF($L893="","",IF($K893=1,IF(COUNTIFS(nrES_PID,$D893,nrES_Code,$F893,nrES_Att,2)&gt;0,"",$L893),IF(COUNTIFS(nrES_PID,$D893,nrES_Code,$F893,nrES_Att,1)=0,$L893,IF($L893&gt;=$J893,cfgRetakeRecordedCap,SUMIFS(nrES_Raw,nrES_PID,$D893,nrES_Code,$F893,nrES_Att,1))))))</f>
        <v/>
      </c>
      <c r="N893" s="17">
        <f>IF($C893="","",IF($L893="","",IF($L893&gt;=$J893,"Yes","No")))</f>
        <v/>
      </c>
      <c r="O893" s="17">
        <f>IF($C893="","",IF($M893="","",IF($M893&gt;=$J893,"Yes","No")))</f>
        <v/>
      </c>
      <c r="P893" s="17">
        <f>IF($C893="","",IF($K893="","",IF(COUNTIFS(nrES_PID,$D893,nrES_Code,$F893,nrES_Att,"&gt;"&amp;$K893)=0,"Yes","No")))</f>
        <v/>
      </c>
      <c r="Q893" s="17">
        <f>IF($C893="","",IF($L893="","",IF(AND($K893=1,$L893&lt;$J893,COUNTIFS(nrES_PID,$D893,nrES_Code,$F893,nrES_Att,2)=0),"Yes","No")))</f>
        <v/>
      </c>
      <c r="R893" s="17">
        <f>IF($C893="","",IF($L893="","",IF(AND($K893=2,$L893&lt;$J893,COUNTIFS(nrES_PID,$D893,nrES_Code,$F893,nrES_Att,1)&gt;0),"Yes","No")))</f>
        <v/>
      </c>
      <c r="S893" s="18" t="n"/>
      <c r="T893" s="19">
        <f>IF($Q893&lt;&gt;"Yes","",IF($S893="","(enter date)",_xlfn.LET(_xlpm.dn,IFERROR(_xlfn.XLOOKUP($S893,nrCDdate,nrCDnum),""),IF(_xlpm.dn="","(not a class day)",IFERROR(_xlfn.XLOOKUP(_xlpm.dn+cfgRetestClassDays,nrCDnum,nrCDdate),"")))))</f>
        <v/>
      </c>
      <c r="U893" s="17">
        <f>IF($Q893&lt;&gt;"Yes","",IF(COUNTIFS(nrES_PID,$D893,nrES_Code,$F893,nrES_Att,2)&gt;0,"Retested",IF(OR($T893="",NOT(ISNUMBER($T893))),"Pending",IF(TODAY()&gt;$T893,"OVERDUE","Due "&amp;TEXT($T893,"mm/dd")))))</f>
        <v/>
      </c>
      <c r="V893" s="16" t="n"/>
      <c r="W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IF($C894="","",IF($L894="","",IF($K894=1,IF(COUNTIFS(nrES_PID,$D894,nrES_Code,$F894,nrES_Att,2)&gt;0,"",$L894),IF(COUNTIFS(nrES_PID,$D894,nrES_Code,$F894,nrES_Att,1)=0,$L894,IF($L894&gt;=$J894,cfgRetakeRecordedCap,SUMIFS(nrES_Raw,nrES_PID,$D894,nrES_Code,$F894,nrES_Att,1))))))</f>
        <v/>
      </c>
      <c r="N894" s="17">
        <f>IF($C894="","",IF($L894="","",IF($L894&gt;=$J894,"Yes","No")))</f>
        <v/>
      </c>
      <c r="O894" s="17">
        <f>IF($C894="","",IF($M894="","",IF($M894&gt;=$J894,"Yes","No")))</f>
        <v/>
      </c>
      <c r="P894" s="17">
        <f>IF($C894="","",IF($K894="","",IF(COUNTIFS(nrES_PID,$D894,nrES_Code,$F894,nrES_Att,"&gt;"&amp;$K894)=0,"Yes","No")))</f>
        <v/>
      </c>
      <c r="Q894" s="17">
        <f>IF($C894="","",IF($L894="","",IF(AND($K894=1,$L894&lt;$J894,COUNTIFS(nrES_PID,$D894,nrES_Code,$F894,nrES_Att,2)=0),"Yes","No")))</f>
        <v/>
      </c>
      <c r="R894" s="17">
        <f>IF($C894="","",IF($L894="","",IF(AND($K894=2,$L894&lt;$J894,COUNTIFS(nrES_PID,$D894,nrES_Code,$F894,nrES_Att,1)&gt;0),"Yes","No")))</f>
        <v/>
      </c>
      <c r="S894" s="18" t="n"/>
      <c r="T894" s="19">
        <f>IF($Q894&lt;&gt;"Yes","",IF($S894="","(enter date)",_xlfn.LET(_xlpm.dn,IFERROR(_xlfn.XLOOKUP($S894,nrCDdate,nrCDnum),""),IF(_xlpm.dn="","(not a class day)",IFERROR(_xlfn.XLOOKUP(_xlpm.dn+cfgRetestClassDays,nrCDnum,nrCDdate),"")))))</f>
        <v/>
      </c>
      <c r="U894" s="17">
        <f>IF($Q894&lt;&gt;"Yes","",IF(COUNTIFS(nrES_PID,$D894,nrES_Code,$F894,nrES_Att,2)&gt;0,"Retested",IF(OR($T894="",NOT(ISNUMBER($T894))),"Pending",IF(TODAY()&gt;$T894,"OVERDUE","Due "&amp;TEXT($T894,"mm/dd")))))</f>
        <v/>
      </c>
      <c r="V894" s="16" t="n"/>
      <c r="W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IF($C895="","",IF($L895="","",IF($K895=1,IF(COUNTIFS(nrES_PID,$D895,nrES_Code,$F895,nrES_Att,2)&gt;0,"",$L895),IF(COUNTIFS(nrES_PID,$D895,nrES_Code,$F895,nrES_Att,1)=0,$L895,IF($L895&gt;=$J895,cfgRetakeRecordedCap,SUMIFS(nrES_Raw,nrES_PID,$D895,nrES_Code,$F895,nrES_Att,1))))))</f>
        <v/>
      </c>
      <c r="N895" s="17">
        <f>IF($C895="","",IF($L895="","",IF($L895&gt;=$J895,"Yes","No")))</f>
        <v/>
      </c>
      <c r="O895" s="17">
        <f>IF($C895="","",IF($M895="","",IF($M895&gt;=$J895,"Yes","No")))</f>
        <v/>
      </c>
      <c r="P895" s="17">
        <f>IF($C895="","",IF($K895="","",IF(COUNTIFS(nrES_PID,$D895,nrES_Code,$F895,nrES_Att,"&gt;"&amp;$K895)=0,"Yes","No")))</f>
        <v/>
      </c>
      <c r="Q895" s="17">
        <f>IF($C895="","",IF($L895="","",IF(AND($K895=1,$L895&lt;$J895,COUNTIFS(nrES_PID,$D895,nrES_Code,$F895,nrES_Att,2)=0),"Yes","No")))</f>
        <v/>
      </c>
      <c r="R895" s="17">
        <f>IF($C895="","",IF($L895="","",IF(AND($K895=2,$L895&lt;$J895,COUNTIFS(nrES_PID,$D895,nrES_Code,$F895,nrES_Att,1)&gt;0),"Yes","No")))</f>
        <v/>
      </c>
      <c r="S895" s="18" t="n"/>
      <c r="T895" s="19">
        <f>IF($Q895&lt;&gt;"Yes","",IF($S895="","(enter date)",_xlfn.LET(_xlpm.dn,IFERROR(_xlfn.XLOOKUP($S895,nrCDdate,nrCDnum),""),IF(_xlpm.dn="","(not a class day)",IFERROR(_xlfn.XLOOKUP(_xlpm.dn+cfgRetestClassDays,nrCDnum,nrCDdate),"")))))</f>
        <v/>
      </c>
      <c r="U895" s="17">
        <f>IF($Q895&lt;&gt;"Yes","",IF(COUNTIFS(nrES_PID,$D895,nrES_Code,$F895,nrES_Att,2)&gt;0,"Retested",IF(OR($T895="",NOT(ISNUMBER($T895))),"Pending",IF(TODAY()&gt;$T895,"OVERDUE","Due "&amp;TEXT($T895,"mm/dd")))))</f>
        <v/>
      </c>
      <c r="V895" s="16" t="n"/>
      <c r="W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IF($C896="","",IF($L896="","",IF($K896=1,IF(COUNTIFS(nrES_PID,$D896,nrES_Code,$F896,nrES_Att,2)&gt;0,"",$L896),IF(COUNTIFS(nrES_PID,$D896,nrES_Code,$F896,nrES_Att,1)=0,$L896,IF($L896&gt;=$J896,cfgRetakeRecordedCap,SUMIFS(nrES_Raw,nrES_PID,$D896,nrES_Code,$F896,nrES_Att,1))))))</f>
        <v/>
      </c>
      <c r="N896" s="17">
        <f>IF($C896="","",IF($L896="","",IF($L896&gt;=$J896,"Yes","No")))</f>
        <v/>
      </c>
      <c r="O896" s="17">
        <f>IF($C896="","",IF($M896="","",IF($M896&gt;=$J896,"Yes","No")))</f>
        <v/>
      </c>
      <c r="P896" s="17">
        <f>IF($C896="","",IF($K896="","",IF(COUNTIFS(nrES_PID,$D896,nrES_Code,$F896,nrES_Att,"&gt;"&amp;$K896)=0,"Yes","No")))</f>
        <v/>
      </c>
      <c r="Q896" s="17">
        <f>IF($C896="","",IF($L896="","",IF(AND($K896=1,$L896&lt;$J896,COUNTIFS(nrES_PID,$D896,nrES_Code,$F896,nrES_Att,2)=0),"Yes","No")))</f>
        <v/>
      </c>
      <c r="R896" s="17">
        <f>IF($C896="","",IF($L896="","",IF(AND($K896=2,$L896&lt;$J896,COUNTIFS(nrES_PID,$D896,nrES_Code,$F896,nrES_Att,1)&gt;0),"Yes","No")))</f>
        <v/>
      </c>
      <c r="S896" s="18" t="n"/>
      <c r="T896" s="19">
        <f>IF($Q896&lt;&gt;"Yes","",IF($S896="","(enter date)",_xlfn.LET(_xlpm.dn,IFERROR(_xlfn.XLOOKUP($S896,nrCDdate,nrCDnum),""),IF(_xlpm.dn="","(not a class day)",IFERROR(_xlfn.XLOOKUP(_xlpm.dn+cfgRetestClassDays,nrCDnum,nrCDdate),"")))))</f>
        <v/>
      </c>
      <c r="U896" s="17">
        <f>IF($Q896&lt;&gt;"Yes","",IF(COUNTIFS(nrES_PID,$D896,nrES_Code,$F896,nrES_Att,2)&gt;0,"Retested",IF(OR($T896="",NOT(ISNUMBER($T896))),"Pending",IF(TODAY()&gt;$T896,"OVERDUE","Due "&amp;TEXT($T896,"mm/dd")))))</f>
        <v/>
      </c>
      <c r="V896" s="16" t="n"/>
      <c r="W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IF($C897="","",IF($L897="","",IF($K897=1,IF(COUNTIFS(nrES_PID,$D897,nrES_Code,$F897,nrES_Att,2)&gt;0,"",$L897),IF(COUNTIFS(nrES_PID,$D897,nrES_Code,$F897,nrES_Att,1)=0,$L897,IF($L897&gt;=$J897,cfgRetakeRecordedCap,SUMIFS(nrES_Raw,nrES_PID,$D897,nrES_Code,$F897,nrES_Att,1))))))</f>
        <v/>
      </c>
      <c r="N897" s="17">
        <f>IF($C897="","",IF($L897="","",IF($L897&gt;=$J897,"Yes","No")))</f>
        <v/>
      </c>
      <c r="O897" s="17">
        <f>IF($C897="","",IF($M897="","",IF($M897&gt;=$J897,"Yes","No")))</f>
        <v/>
      </c>
      <c r="P897" s="17">
        <f>IF($C897="","",IF($K897="","",IF(COUNTIFS(nrES_PID,$D897,nrES_Code,$F897,nrES_Att,"&gt;"&amp;$K897)=0,"Yes","No")))</f>
        <v/>
      </c>
      <c r="Q897" s="17">
        <f>IF($C897="","",IF($L897="","",IF(AND($K897=1,$L897&lt;$J897,COUNTIFS(nrES_PID,$D897,nrES_Code,$F897,nrES_Att,2)=0),"Yes","No")))</f>
        <v/>
      </c>
      <c r="R897" s="17">
        <f>IF($C897="","",IF($L897="","",IF(AND($K897=2,$L897&lt;$J897,COUNTIFS(nrES_PID,$D897,nrES_Code,$F897,nrES_Att,1)&gt;0),"Yes","No")))</f>
        <v/>
      </c>
      <c r="S897" s="18" t="n"/>
      <c r="T897" s="19">
        <f>IF($Q897&lt;&gt;"Yes","",IF($S897="","(enter date)",_xlfn.LET(_xlpm.dn,IFERROR(_xlfn.XLOOKUP($S897,nrCDdate,nrCDnum),""),IF(_xlpm.dn="","(not a class day)",IFERROR(_xlfn.XLOOKUP(_xlpm.dn+cfgRetestClassDays,nrCDnum,nrCDdate),"")))))</f>
        <v/>
      </c>
      <c r="U897" s="17">
        <f>IF($Q897&lt;&gt;"Yes","",IF(COUNTIFS(nrES_PID,$D897,nrES_Code,$F897,nrES_Att,2)&gt;0,"Retested",IF(OR($T897="",NOT(ISNUMBER($T897))),"Pending",IF(TODAY()&gt;$T897,"OVERDUE","Due "&amp;TEXT($T897,"mm/dd")))))</f>
        <v/>
      </c>
      <c r="V897" s="16" t="n"/>
      <c r="W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IF($C898="","",IF($L898="","",IF($K898=1,IF(COUNTIFS(nrES_PID,$D898,nrES_Code,$F898,nrES_Att,2)&gt;0,"",$L898),IF(COUNTIFS(nrES_PID,$D898,nrES_Code,$F898,nrES_Att,1)=0,$L898,IF($L898&gt;=$J898,cfgRetakeRecordedCap,SUMIFS(nrES_Raw,nrES_PID,$D898,nrES_Code,$F898,nrES_Att,1))))))</f>
        <v/>
      </c>
      <c r="N898" s="17">
        <f>IF($C898="","",IF($L898="","",IF($L898&gt;=$J898,"Yes","No")))</f>
        <v/>
      </c>
      <c r="O898" s="17">
        <f>IF($C898="","",IF($M898="","",IF($M898&gt;=$J898,"Yes","No")))</f>
        <v/>
      </c>
      <c r="P898" s="17">
        <f>IF($C898="","",IF($K898="","",IF(COUNTIFS(nrES_PID,$D898,nrES_Code,$F898,nrES_Att,"&gt;"&amp;$K898)=0,"Yes","No")))</f>
        <v/>
      </c>
      <c r="Q898" s="17">
        <f>IF($C898="","",IF($L898="","",IF(AND($K898=1,$L898&lt;$J898,COUNTIFS(nrES_PID,$D898,nrES_Code,$F898,nrES_Att,2)=0),"Yes","No")))</f>
        <v/>
      </c>
      <c r="R898" s="17">
        <f>IF($C898="","",IF($L898="","",IF(AND($K898=2,$L898&lt;$J898,COUNTIFS(nrES_PID,$D898,nrES_Code,$F898,nrES_Att,1)&gt;0),"Yes","No")))</f>
        <v/>
      </c>
      <c r="S898" s="18" t="n"/>
      <c r="T898" s="19">
        <f>IF($Q898&lt;&gt;"Yes","",IF($S898="","(enter date)",_xlfn.LET(_xlpm.dn,IFERROR(_xlfn.XLOOKUP($S898,nrCDdate,nrCDnum),""),IF(_xlpm.dn="","(not a class day)",IFERROR(_xlfn.XLOOKUP(_xlpm.dn+cfgRetestClassDays,nrCDnum,nrCDdate),"")))))</f>
        <v/>
      </c>
      <c r="U898" s="17">
        <f>IF($Q898&lt;&gt;"Yes","",IF(COUNTIFS(nrES_PID,$D898,nrES_Code,$F898,nrES_Att,2)&gt;0,"Retested",IF(OR($T898="",NOT(ISNUMBER($T898))),"Pending",IF(TODAY()&gt;$T898,"OVERDUE","Due "&amp;TEXT($T898,"mm/dd")))))</f>
        <v/>
      </c>
      <c r="V898" s="16" t="n"/>
      <c r="W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IF($C899="","",IF($L899="","",IF($K899=1,IF(COUNTIFS(nrES_PID,$D899,nrES_Code,$F899,nrES_Att,2)&gt;0,"",$L899),IF(COUNTIFS(nrES_PID,$D899,nrES_Code,$F899,nrES_Att,1)=0,$L899,IF($L899&gt;=$J899,cfgRetakeRecordedCap,SUMIFS(nrES_Raw,nrES_PID,$D899,nrES_Code,$F899,nrES_Att,1))))))</f>
        <v/>
      </c>
      <c r="N899" s="17">
        <f>IF($C899="","",IF($L899="","",IF($L899&gt;=$J899,"Yes","No")))</f>
        <v/>
      </c>
      <c r="O899" s="17">
        <f>IF($C899="","",IF($M899="","",IF($M899&gt;=$J899,"Yes","No")))</f>
        <v/>
      </c>
      <c r="P899" s="17">
        <f>IF($C899="","",IF($K899="","",IF(COUNTIFS(nrES_PID,$D899,nrES_Code,$F899,nrES_Att,"&gt;"&amp;$K899)=0,"Yes","No")))</f>
        <v/>
      </c>
      <c r="Q899" s="17">
        <f>IF($C899="","",IF($L899="","",IF(AND($K899=1,$L899&lt;$J899,COUNTIFS(nrES_PID,$D899,nrES_Code,$F899,nrES_Att,2)=0),"Yes","No")))</f>
        <v/>
      </c>
      <c r="R899" s="17">
        <f>IF($C899="","",IF($L899="","",IF(AND($K899=2,$L899&lt;$J899,COUNTIFS(nrES_PID,$D899,nrES_Code,$F899,nrES_Att,1)&gt;0),"Yes","No")))</f>
        <v/>
      </c>
      <c r="S899" s="18" t="n"/>
      <c r="T899" s="19">
        <f>IF($Q899&lt;&gt;"Yes","",IF($S899="","(enter date)",_xlfn.LET(_xlpm.dn,IFERROR(_xlfn.XLOOKUP($S899,nrCDdate,nrCDnum),""),IF(_xlpm.dn="","(not a class day)",IFERROR(_xlfn.XLOOKUP(_xlpm.dn+cfgRetestClassDays,nrCDnum,nrCDdate),"")))))</f>
        <v/>
      </c>
      <c r="U899" s="17">
        <f>IF($Q899&lt;&gt;"Yes","",IF(COUNTIFS(nrES_PID,$D899,nrES_Code,$F899,nrES_Att,2)&gt;0,"Retested",IF(OR($T899="",NOT(ISNUMBER($T899))),"Pending",IF(TODAY()&gt;$T899,"OVERDUE","Due "&amp;TEXT($T899,"mm/dd")))))</f>
        <v/>
      </c>
      <c r="V899" s="16" t="n"/>
      <c r="W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IF($C900="","",IF($L900="","",IF($K900=1,IF(COUNTIFS(nrES_PID,$D900,nrES_Code,$F900,nrES_Att,2)&gt;0,"",$L900),IF(COUNTIFS(nrES_PID,$D900,nrES_Code,$F900,nrES_Att,1)=0,$L900,IF($L900&gt;=$J900,cfgRetakeRecordedCap,SUMIFS(nrES_Raw,nrES_PID,$D900,nrES_Code,$F900,nrES_Att,1))))))</f>
        <v/>
      </c>
      <c r="N900" s="17">
        <f>IF($C900="","",IF($L900="","",IF($L900&gt;=$J900,"Yes","No")))</f>
        <v/>
      </c>
      <c r="O900" s="17">
        <f>IF($C900="","",IF($M900="","",IF($M900&gt;=$J900,"Yes","No")))</f>
        <v/>
      </c>
      <c r="P900" s="17">
        <f>IF($C900="","",IF($K900="","",IF(COUNTIFS(nrES_PID,$D900,nrES_Code,$F900,nrES_Att,"&gt;"&amp;$K900)=0,"Yes","No")))</f>
        <v/>
      </c>
      <c r="Q900" s="17">
        <f>IF($C900="","",IF($L900="","",IF(AND($K900=1,$L900&lt;$J900,COUNTIFS(nrES_PID,$D900,nrES_Code,$F900,nrES_Att,2)=0),"Yes","No")))</f>
        <v/>
      </c>
      <c r="R900" s="17">
        <f>IF($C900="","",IF($L900="","",IF(AND($K900=2,$L900&lt;$J900,COUNTIFS(nrES_PID,$D900,nrES_Code,$F900,nrES_Att,1)&gt;0),"Yes","No")))</f>
        <v/>
      </c>
      <c r="S900" s="18" t="n"/>
      <c r="T900" s="19">
        <f>IF($Q900&lt;&gt;"Yes","",IF($S900="","(enter date)",_xlfn.LET(_xlpm.dn,IFERROR(_xlfn.XLOOKUP($S900,nrCDdate,nrCDnum),""),IF(_xlpm.dn="","(not a class day)",IFERROR(_xlfn.XLOOKUP(_xlpm.dn+cfgRetestClassDays,nrCDnum,nrCDdate),"")))))</f>
        <v/>
      </c>
      <c r="U900" s="17">
        <f>IF($Q900&lt;&gt;"Yes","",IF(COUNTIFS(nrES_PID,$D900,nrES_Code,$F900,nrES_Att,2)&gt;0,"Retested",IF(OR($T900="",NOT(ISNUMBER($T900))),"Pending",IF(TODAY()&gt;$T900,"OVERDUE","Due "&amp;TEXT($T900,"mm/dd")))))</f>
        <v/>
      </c>
      <c r="V900" s="16" t="n"/>
      <c r="W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IF($C901="","",IF($L901="","",IF($K901=1,IF(COUNTIFS(nrES_PID,$D901,nrES_Code,$F901,nrES_Att,2)&gt;0,"",$L901),IF(COUNTIFS(nrES_PID,$D901,nrES_Code,$F901,nrES_Att,1)=0,$L901,IF($L901&gt;=$J901,cfgRetakeRecordedCap,SUMIFS(nrES_Raw,nrES_PID,$D901,nrES_Code,$F901,nrES_Att,1))))))</f>
        <v/>
      </c>
      <c r="N901" s="17">
        <f>IF($C901="","",IF($L901="","",IF($L901&gt;=$J901,"Yes","No")))</f>
        <v/>
      </c>
      <c r="O901" s="17">
        <f>IF($C901="","",IF($M901="","",IF($M901&gt;=$J901,"Yes","No")))</f>
        <v/>
      </c>
      <c r="P901" s="17">
        <f>IF($C901="","",IF($K901="","",IF(COUNTIFS(nrES_PID,$D901,nrES_Code,$F901,nrES_Att,"&gt;"&amp;$K901)=0,"Yes","No")))</f>
        <v/>
      </c>
      <c r="Q901" s="17">
        <f>IF($C901="","",IF($L901="","",IF(AND($K901=1,$L901&lt;$J901,COUNTIFS(nrES_PID,$D901,nrES_Code,$F901,nrES_Att,2)=0),"Yes","No")))</f>
        <v/>
      </c>
      <c r="R901" s="17">
        <f>IF($C901="","",IF($L901="","",IF(AND($K901=2,$L901&lt;$J901,COUNTIFS(nrES_PID,$D901,nrES_Code,$F901,nrES_Att,1)&gt;0),"Yes","No")))</f>
        <v/>
      </c>
      <c r="S901" s="18" t="n"/>
      <c r="T901" s="19">
        <f>IF($Q901&lt;&gt;"Yes","",IF($S901="","(enter date)",_xlfn.LET(_xlpm.dn,IFERROR(_xlfn.XLOOKUP($S901,nrCDdate,nrCDnum),""),IF(_xlpm.dn="","(not a class day)",IFERROR(_xlfn.XLOOKUP(_xlpm.dn+cfgRetestClassDays,nrCDnum,nrCDdate),"")))))</f>
        <v/>
      </c>
      <c r="U901" s="17">
        <f>IF($Q901&lt;&gt;"Yes","",IF(COUNTIFS(nrES_PID,$D901,nrES_Code,$F901,nrES_Att,2)&gt;0,"Retested",IF(OR($T901="",NOT(ISNUMBER($T901))),"Pending",IF(TODAY()&gt;$T901,"OVERDUE","Due "&amp;TEXT($T901,"mm/dd")))))</f>
        <v/>
      </c>
      <c r="V901" s="16" t="n"/>
      <c r="W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IF($C902="","",IF($L902="","",IF($K902=1,IF(COUNTIFS(nrES_PID,$D902,nrES_Code,$F902,nrES_Att,2)&gt;0,"",$L902),IF(COUNTIFS(nrES_PID,$D902,nrES_Code,$F902,nrES_Att,1)=0,$L902,IF($L902&gt;=$J902,cfgRetakeRecordedCap,SUMIFS(nrES_Raw,nrES_PID,$D902,nrES_Code,$F902,nrES_Att,1))))))</f>
        <v/>
      </c>
      <c r="N902" s="17">
        <f>IF($C902="","",IF($L902="","",IF($L902&gt;=$J902,"Yes","No")))</f>
        <v/>
      </c>
      <c r="O902" s="17">
        <f>IF($C902="","",IF($M902="","",IF($M902&gt;=$J902,"Yes","No")))</f>
        <v/>
      </c>
      <c r="P902" s="17">
        <f>IF($C902="","",IF($K902="","",IF(COUNTIFS(nrES_PID,$D902,nrES_Code,$F902,nrES_Att,"&gt;"&amp;$K902)=0,"Yes","No")))</f>
        <v/>
      </c>
      <c r="Q902" s="17">
        <f>IF($C902="","",IF($L902="","",IF(AND($K902=1,$L902&lt;$J902,COUNTIFS(nrES_PID,$D902,nrES_Code,$F902,nrES_Att,2)=0),"Yes","No")))</f>
        <v/>
      </c>
      <c r="R902" s="17">
        <f>IF($C902="","",IF($L902="","",IF(AND($K902=2,$L902&lt;$J902,COUNTIFS(nrES_PID,$D902,nrES_Code,$F902,nrES_Att,1)&gt;0),"Yes","No")))</f>
        <v/>
      </c>
      <c r="S902" s="18" t="n"/>
      <c r="T902" s="19">
        <f>IF($Q902&lt;&gt;"Yes","",IF($S902="","(enter date)",_xlfn.LET(_xlpm.dn,IFERROR(_xlfn.XLOOKUP($S902,nrCDdate,nrCDnum),""),IF(_xlpm.dn="","(not a class day)",IFERROR(_xlfn.XLOOKUP(_xlpm.dn+cfgRetestClassDays,nrCDnum,nrCDdate),"")))))</f>
        <v/>
      </c>
      <c r="U902" s="17">
        <f>IF($Q902&lt;&gt;"Yes","",IF(COUNTIFS(nrES_PID,$D902,nrES_Code,$F902,nrES_Att,2)&gt;0,"Retested",IF(OR($T902="",NOT(ISNUMBER($T902))),"Pending",IF(TODAY()&gt;$T902,"OVERDUE","Due "&amp;TEXT($T902,"mm/dd")))))</f>
        <v/>
      </c>
      <c r="V902" s="16" t="n"/>
      <c r="W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IF($C903="","",IF($L903="","",IF($K903=1,IF(COUNTIFS(nrES_PID,$D903,nrES_Code,$F903,nrES_Att,2)&gt;0,"",$L903),IF(COUNTIFS(nrES_PID,$D903,nrES_Code,$F903,nrES_Att,1)=0,$L903,IF($L903&gt;=$J903,cfgRetakeRecordedCap,SUMIFS(nrES_Raw,nrES_PID,$D903,nrES_Code,$F903,nrES_Att,1))))))</f>
        <v/>
      </c>
      <c r="N903" s="17">
        <f>IF($C903="","",IF($L903="","",IF($L903&gt;=$J903,"Yes","No")))</f>
        <v/>
      </c>
      <c r="O903" s="17">
        <f>IF($C903="","",IF($M903="","",IF($M903&gt;=$J903,"Yes","No")))</f>
        <v/>
      </c>
      <c r="P903" s="17">
        <f>IF($C903="","",IF($K903="","",IF(COUNTIFS(nrES_PID,$D903,nrES_Code,$F903,nrES_Att,"&gt;"&amp;$K903)=0,"Yes","No")))</f>
        <v/>
      </c>
      <c r="Q903" s="17">
        <f>IF($C903="","",IF($L903="","",IF(AND($K903=1,$L903&lt;$J903,COUNTIFS(nrES_PID,$D903,nrES_Code,$F903,nrES_Att,2)=0),"Yes","No")))</f>
        <v/>
      </c>
      <c r="R903" s="17">
        <f>IF($C903="","",IF($L903="","",IF(AND($K903=2,$L903&lt;$J903,COUNTIFS(nrES_PID,$D903,nrES_Code,$F903,nrES_Att,1)&gt;0),"Yes","No")))</f>
        <v/>
      </c>
      <c r="S903" s="18" t="n"/>
      <c r="T903" s="19">
        <f>IF($Q903&lt;&gt;"Yes","",IF($S903="","(enter date)",_xlfn.LET(_xlpm.dn,IFERROR(_xlfn.XLOOKUP($S903,nrCDdate,nrCDnum),""),IF(_xlpm.dn="","(not a class day)",IFERROR(_xlfn.XLOOKUP(_xlpm.dn+cfgRetestClassDays,nrCDnum,nrCDdate),"")))))</f>
        <v/>
      </c>
      <c r="U903" s="17">
        <f>IF($Q903&lt;&gt;"Yes","",IF(COUNTIFS(nrES_PID,$D903,nrES_Code,$F903,nrES_Att,2)&gt;0,"Retested",IF(OR($T903="",NOT(ISNUMBER($T903))),"Pending",IF(TODAY()&gt;$T903,"OVERDUE","Due "&amp;TEXT($T903,"mm/dd")))))</f>
        <v/>
      </c>
      <c r="V903" s="16" t="n"/>
      <c r="W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IF($C904="","",IF($L904="","",IF($K904=1,IF(COUNTIFS(nrES_PID,$D904,nrES_Code,$F904,nrES_Att,2)&gt;0,"",$L904),IF(COUNTIFS(nrES_PID,$D904,nrES_Code,$F904,nrES_Att,1)=0,$L904,IF($L904&gt;=$J904,cfgRetakeRecordedCap,SUMIFS(nrES_Raw,nrES_PID,$D904,nrES_Code,$F904,nrES_Att,1))))))</f>
        <v/>
      </c>
      <c r="N904" s="17">
        <f>IF($C904="","",IF($L904="","",IF($L904&gt;=$J904,"Yes","No")))</f>
        <v/>
      </c>
      <c r="O904" s="17">
        <f>IF($C904="","",IF($M904="","",IF($M904&gt;=$J904,"Yes","No")))</f>
        <v/>
      </c>
      <c r="P904" s="17">
        <f>IF($C904="","",IF($K904="","",IF(COUNTIFS(nrES_PID,$D904,nrES_Code,$F904,nrES_Att,"&gt;"&amp;$K904)=0,"Yes","No")))</f>
        <v/>
      </c>
      <c r="Q904" s="17">
        <f>IF($C904="","",IF($L904="","",IF(AND($K904=1,$L904&lt;$J904,COUNTIFS(nrES_PID,$D904,nrES_Code,$F904,nrES_Att,2)=0),"Yes","No")))</f>
        <v/>
      </c>
      <c r="R904" s="17">
        <f>IF($C904="","",IF($L904="","",IF(AND($K904=2,$L904&lt;$J904,COUNTIFS(nrES_PID,$D904,nrES_Code,$F904,nrES_Att,1)&gt;0),"Yes","No")))</f>
        <v/>
      </c>
      <c r="S904" s="18" t="n"/>
      <c r="T904" s="19">
        <f>IF($Q904&lt;&gt;"Yes","",IF($S904="","(enter date)",_xlfn.LET(_xlpm.dn,IFERROR(_xlfn.XLOOKUP($S904,nrCDdate,nrCDnum),""),IF(_xlpm.dn="","(not a class day)",IFERROR(_xlfn.XLOOKUP(_xlpm.dn+cfgRetestClassDays,nrCDnum,nrCDdate),"")))))</f>
        <v/>
      </c>
      <c r="U904" s="17">
        <f>IF($Q904&lt;&gt;"Yes","",IF(COUNTIFS(nrES_PID,$D904,nrES_Code,$F904,nrES_Att,2)&gt;0,"Retested",IF(OR($T904="",NOT(ISNUMBER($T904))),"Pending",IF(TODAY()&gt;$T904,"OVERDUE","Due "&amp;TEXT($T904,"mm/dd")))))</f>
        <v/>
      </c>
      <c r="V904" s="16" t="n"/>
      <c r="W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IF($C905="","",IF($L905="","",IF($K905=1,IF(COUNTIFS(nrES_PID,$D905,nrES_Code,$F905,nrES_Att,2)&gt;0,"",$L905),IF(COUNTIFS(nrES_PID,$D905,nrES_Code,$F905,nrES_Att,1)=0,$L905,IF($L905&gt;=$J905,cfgRetakeRecordedCap,SUMIFS(nrES_Raw,nrES_PID,$D905,nrES_Code,$F905,nrES_Att,1))))))</f>
        <v/>
      </c>
      <c r="N905" s="17">
        <f>IF($C905="","",IF($L905="","",IF($L905&gt;=$J905,"Yes","No")))</f>
        <v/>
      </c>
      <c r="O905" s="17">
        <f>IF($C905="","",IF($M905="","",IF($M905&gt;=$J905,"Yes","No")))</f>
        <v/>
      </c>
      <c r="P905" s="17">
        <f>IF($C905="","",IF($K905="","",IF(COUNTIFS(nrES_PID,$D905,nrES_Code,$F905,nrES_Att,"&gt;"&amp;$K905)=0,"Yes","No")))</f>
        <v/>
      </c>
      <c r="Q905" s="17">
        <f>IF($C905="","",IF($L905="","",IF(AND($K905=1,$L905&lt;$J905,COUNTIFS(nrES_PID,$D905,nrES_Code,$F905,nrES_Att,2)=0),"Yes","No")))</f>
        <v/>
      </c>
      <c r="R905" s="17">
        <f>IF($C905="","",IF($L905="","",IF(AND($K905=2,$L905&lt;$J905,COUNTIFS(nrES_PID,$D905,nrES_Code,$F905,nrES_Att,1)&gt;0),"Yes","No")))</f>
        <v/>
      </c>
      <c r="S905" s="18" t="n"/>
      <c r="T905" s="19">
        <f>IF($Q905&lt;&gt;"Yes","",IF($S905="","(enter date)",_xlfn.LET(_xlpm.dn,IFERROR(_xlfn.XLOOKUP($S905,nrCDdate,nrCDnum),""),IF(_xlpm.dn="","(not a class day)",IFERROR(_xlfn.XLOOKUP(_xlpm.dn+cfgRetestClassDays,nrCDnum,nrCDdate),"")))))</f>
        <v/>
      </c>
      <c r="U905" s="17">
        <f>IF($Q905&lt;&gt;"Yes","",IF(COUNTIFS(nrES_PID,$D905,nrES_Code,$F905,nrES_Att,2)&gt;0,"Retested",IF(OR($T905="",NOT(ISNUMBER($T905))),"Pending",IF(TODAY()&gt;$T905,"OVERDUE","Due "&amp;TEXT($T905,"mm/dd")))))</f>
        <v/>
      </c>
      <c r="V905" s="16" t="n"/>
      <c r="W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IF($C906="","",IF($L906="","",IF($K906=1,IF(COUNTIFS(nrES_PID,$D906,nrES_Code,$F906,nrES_Att,2)&gt;0,"",$L906),IF(COUNTIFS(nrES_PID,$D906,nrES_Code,$F906,nrES_Att,1)=0,$L906,IF($L906&gt;=$J906,cfgRetakeRecordedCap,SUMIFS(nrES_Raw,nrES_PID,$D906,nrES_Code,$F906,nrES_Att,1))))))</f>
        <v/>
      </c>
      <c r="N906" s="17">
        <f>IF($C906="","",IF($L906="","",IF($L906&gt;=$J906,"Yes","No")))</f>
        <v/>
      </c>
      <c r="O906" s="17">
        <f>IF($C906="","",IF($M906="","",IF($M906&gt;=$J906,"Yes","No")))</f>
        <v/>
      </c>
      <c r="P906" s="17">
        <f>IF($C906="","",IF($K906="","",IF(COUNTIFS(nrES_PID,$D906,nrES_Code,$F906,nrES_Att,"&gt;"&amp;$K906)=0,"Yes","No")))</f>
        <v/>
      </c>
      <c r="Q906" s="17">
        <f>IF($C906="","",IF($L906="","",IF(AND($K906=1,$L906&lt;$J906,COUNTIFS(nrES_PID,$D906,nrES_Code,$F906,nrES_Att,2)=0),"Yes","No")))</f>
        <v/>
      </c>
      <c r="R906" s="17">
        <f>IF($C906="","",IF($L906="","",IF(AND($K906=2,$L906&lt;$J906,COUNTIFS(nrES_PID,$D906,nrES_Code,$F906,nrES_Att,1)&gt;0),"Yes","No")))</f>
        <v/>
      </c>
      <c r="S906" s="18" t="n"/>
      <c r="T906" s="19">
        <f>IF($Q906&lt;&gt;"Yes","",IF($S906="","(enter date)",_xlfn.LET(_xlpm.dn,IFERROR(_xlfn.XLOOKUP($S906,nrCDdate,nrCDnum),""),IF(_xlpm.dn="","(not a class day)",IFERROR(_xlfn.XLOOKUP(_xlpm.dn+cfgRetestClassDays,nrCDnum,nrCDdate),"")))))</f>
        <v/>
      </c>
      <c r="U906" s="17">
        <f>IF($Q906&lt;&gt;"Yes","",IF(COUNTIFS(nrES_PID,$D906,nrES_Code,$F906,nrES_Att,2)&gt;0,"Retested",IF(OR($T906="",NOT(ISNUMBER($T906))),"Pending",IF(TODAY()&gt;$T906,"OVERDUE","Due "&amp;TEXT($T906,"mm/dd")))))</f>
        <v/>
      </c>
      <c r="V906" s="16" t="n"/>
      <c r="W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IF($C907="","",IF($L907="","",IF($K907=1,IF(COUNTIFS(nrES_PID,$D907,nrES_Code,$F907,nrES_Att,2)&gt;0,"",$L907),IF(COUNTIFS(nrES_PID,$D907,nrES_Code,$F907,nrES_Att,1)=0,$L907,IF($L907&gt;=$J907,cfgRetakeRecordedCap,SUMIFS(nrES_Raw,nrES_PID,$D907,nrES_Code,$F907,nrES_Att,1))))))</f>
        <v/>
      </c>
      <c r="N907" s="17">
        <f>IF($C907="","",IF($L907="","",IF($L907&gt;=$J907,"Yes","No")))</f>
        <v/>
      </c>
      <c r="O907" s="17">
        <f>IF($C907="","",IF($M907="","",IF($M907&gt;=$J907,"Yes","No")))</f>
        <v/>
      </c>
      <c r="P907" s="17">
        <f>IF($C907="","",IF($K907="","",IF(COUNTIFS(nrES_PID,$D907,nrES_Code,$F907,nrES_Att,"&gt;"&amp;$K907)=0,"Yes","No")))</f>
        <v/>
      </c>
      <c r="Q907" s="17">
        <f>IF($C907="","",IF($L907="","",IF(AND($K907=1,$L907&lt;$J907,COUNTIFS(nrES_PID,$D907,nrES_Code,$F907,nrES_Att,2)=0),"Yes","No")))</f>
        <v/>
      </c>
      <c r="R907" s="17">
        <f>IF($C907="","",IF($L907="","",IF(AND($K907=2,$L907&lt;$J907,COUNTIFS(nrES_PID,$D907,nrES_Code,$F907,nrES_Att,1)&gt;0),"Yes","No")))</f>
        <v/>
      </c>
      <c r="S907" s="18" t="n"/>
      <c r="T907" s="19">
        <f>IF($Q907&lt;&gt;"Yes","",IF($S907="","(enter date)",_xlfn.LET(_xlpm.dn,IFERROR(_xlfn.XLOOKUP($S907,nrCDdate,nrCDnum),""),IF(_xlpm.dn="","(not a class day)",IFERROR(_xlfn.XLOOKUP(_xlpm.dn+cfgRetestClassDays,nrCDnum,nrCDdate),"")))))</f>
        <v/>
      </c>
      <c r="U907" s="17">
        <f>IF($Q907&lt;&gt;"Yes","",IF(COUNTIFS(nrES_PID,$D907,nrES_Code,$F907,nrES_Att,2)&gt;0,"Retested",IF(OR($T907="",NOT(ISNUMBER($T907))),"Pending",IF(TODAY()&gt;$T907,"OVERDUE","Due "&amp;TEXT($T907,"mm/dd")))))</f>
        <v/>
      </c>
      <c r="V907" s="16" t="n"/>
      <c r="W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IF($C908="","",IF($L908="","",IF($K908=1,IF(COUNTIFS(nrES_PID,$D908,nrES_Code,$F908,nrES_Att,2)&gt;0,"",$L908),IF(COUNTIFS(nrES_PID,$D908,nrES_Code,$F908,nrES_Att,1)=0,$L908,IF($L908&gt;=$J908,cfgRetakeRecordedCap,SUMIFS(nrES_Raw,nrES_PID,$D908,nrES_Code,$F908,nrES_Att,1))))))</f>
        <v/>
      </c>
      <c r="N908" s="17">
        <f>IF($C908="","",IF($L908="","",IF($L908&gt;=$J908,"Yes","No")))</f>
        <v/>
      </c>
      <c r="O908" s="17">
        <f>IF($C908="","",IF($M908="","",IF($M908&gt;=$J908,"Yes","No")))</f>
        <v/>
      </c>
      <c r="P908" s="17">
        <f>IF($C908="","",IF($K908="","",IF(COUNTIFS(nrES_PID,$D908,nrES_Code,$F908,nrES_Att,"&gt;"&amp;$K908)=0,"Yes","No")))</f>
        <v/>
      </c>
      <c r="Q908" s="17">
        <f>IF($C908="","",IF($L908="","",IF(AND($K908=1,$L908&lt;$J908,COUNTIFS(nrES_PID,$D908,nrES_Code,$F908,nrES_Att,2)=0),"Yes","No")))</f>
        <v/>
      </c>
      <c r="R908" s="17">
        <f>IF($C908="","",IF($L908="","",IF(AND($K908=2,$L908&lt;$J908,COUNTIFS(nrES_PID,$D908,nrES_Code,$F908,nrES_Att,1)&gt;0),"Yes","No")))</f>
        <v/>
      </c>
      <c r="S908" s="18" t="n"/>
      <c r="T908" s="19">
        <f>IF($Q908&lt;&gt;"Yes","",IF($S908="","(enter date)",_xlfn.LET(_xlpm.dn,IFERROR(_xlfn.XLOOKUP($S908,nrCDdate,nrCDnum),""),IF(_xlpm.dn="","(not a class day)",IFERROR(_xlfn.XLOOKUP(_xlpm.dn+cfgRetestClassDays,nrCDnum,nrCDdate),"")))))</f>
        <v/>
      </c>
      <c r="U908" s="17">
        <f>IF($Q908&lt;&gt;"Yes","",IF(COUNTIFS(nrES_PID,$D908,nrES_Code,$F908,nrES_Att,2)&gt;0,"Retested",IF(OR($T908="",NOT(ISNUMBER($T908))),"Pending",IF(TODAY()&gt;$T908,"OVERDUE","Due "&amp;TEXT($T908,"mm/dd")))))</f>
        <v/>
      </c>
      <c r="V908" s="16" t="n"/>
      <c r="W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IF($C909="","",IF($L909="","",IF($K909=1,IF(COUNTIFS(nrES_PID,$D909,nrES_Code,$F909,nrES_Att,2)&gt;0,"",$L909),IF(COUNTIFS(nrES_PID,$D909,nrES_Code,$F909,nrES_Att,1)=0,$L909,IF($L909&gt;=$J909,cfgRetakeRecordedCap,SUMIFS(nrES_Raw,nrES_PID,$D909,nrES_Code,$F909,nrES_Att,1))))))</f>
        <v/>
      </c>
      <c r="N909" s="17">
        <f>IF($C909="","",IF($L909="","",IF($L909&gt;=$J909,"Yes","No")))</f>
        <v/>
      </c>
      <c r="O909" s="17">
        <f>IF($C909="","",IF($M909="","",IF($M909&gt;=$J909,"Yes","No")))</f>
        <v/>
      </c>
      <c r="P909" s="17">
        <f>IF($C909="","",IF($K909="","",IF(COUNTIFS(nrES_PID,$D909,nrES_Code,$F909,nrES_Att,"&gt;"&amp;$K909)=0,"Yes","No")))</f>
        <v/>
      </c>
      <c r="Q909" s="17">
        <f>IF($C909="","",IF($L909="","",IF(AND($K909=1,$L909&lt;$J909,COUNTIFS(nrES_PID,$D909,nrES_Code,$F909,nrES_Att,2)=0),"Yes","No")))</f>
        <v/>
      </c>
      <c r="R909" s="17">
        <f>IF($C909="","",IF($L909="","",IF(AND($K909=2,$L909&lt;$J909,COUNTIFS(nrES_PID,$D909,nrES_Code,$F909,nrES_Att,1)&gt;0),"Yes","No")))</f>
        <v/>
      </c>
      <c r="S909" s="18" t="n"/>
      <c r="T909" s="19">
        <f>IF($Q909&lt;&gt;"Yes","",IF($S909="","(enter date)",_xlfn.LET(_xlpm.dn,IFERROR(_xlfn.XLOOKUP($S909,nrCDdate,nrCDnum),""),IF(_xlpm.dn="","(not a class day)",IFERROR(_xlfn.XLOOKUP(_xlpm.dn+cfgRetestClassDays,nrCDnum,nrCDdate),"")))))</f>
        <v/>
      </c>
      <c r="U909" s="17">
        <f>IF($Q909&lt;&gt;"Yes","",IF(COUNTIFS(nrES_PID,$D909,nrES_Code,$F909,nrES_Att,2)&gt;0,"Retested",IF(OR($T909="",NOT(ISNUMBER($T909))),"Pending",IF(TODAY()&gt;$T909,"OVERDUE","Due "&amp;TEXT($T909,"mm/dd")))))</f>
        <v/>
      </c>
      <c r="V909" s="16" t="n"/>
      <c r="W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IF($C910="","",IF($L910="","",IF($K910=1,IF(COUNTIFS(nrES_PID,$D910,nrES_Code,$F910,nrES_Att,2)&gt;0,"",$L910),IF(COUNTIFS(nrES_PID,$D910,nrES_Code,$F910,nrES_Att,1)=0,$L910,IF($L910&gt;=$J910,cfgRetakeRecordedCap,SUMIFS(nrES_Raw,nrES_PID,$D910,nrES_Code,$F910,nrES_Att,1))))))</f>
        <v/>
      </c>
      <c r="N910" s="17">
        <f>IF($C910="","",IF($L910="","",IF($L910&gt;=$J910,"Yes","No")))</f>
        <v/>
      </c>
      <c r="O910" s="17">
        <f>IF($C910="","",IF($M910="","",IF($M910&gt;=$J910,"Yes","No")))</f>
        <v/>
      </c>
      <c r="P910" s="17">
        <f>IF($C910="","",IF($K910="","",IF(COUNTIFS(nrES_PID,$D910,nrES_Code,$F910,nrES_Att,"&gt;"&amp;$K910)=0,"Yes","No")))</f>
        <v/>
      </c>
      <c r="Q910" s="17">
        <f>IF($C910="","",IF($L910="","",IF(AND($K910=1,$L910&lt;$J910,COUNTIFS(nrES_PID,$D910,nrES_Code,$F910,nrES_Att,2)=0),"Yes","No")))</f>
        <v/>
      </c>
      <c r="R910" s="17">
        <f>IF($C910="","",IF($L910="","",IF(AND($K910=2,$L910&lt;$J910,COUNTIFS(nrES_PID,$D910,nrES_Code,$F910,nrES_Att,1)&gt;0),"Yes","No")))</f>
        <v/>
      </c>
      <c r="S910" s="18" t="n"/>
      <c r="T910" s="19">
        <f>IF($Q910&lt;&gt;"Yes","",IF($S910="","(enter date)",_xlfn.LET(_xlpm.dn,IFERROR(_xlfn.XLOOKUP($S910,nrCDdate,nrCDnum),""),IF(_xlpm.dn="","(not a class day)",IFERROR(_xlfn.XLOOKUP(_xlpm.dn+cfgRetestClassDays,nrCDnum,nrCDdate),"")))))</f>
        <v/>
      </c>
      <c r="U910" s="17">
        <f>IF($Q910&lt;&gt;"Yes","",IF(COUNTIFS(nrES_PID,$D910,nrES_Code,$F910,nrES_Att,2)&gt;0,"Retested",IF(OR($T910="",NOT(ISNUMBER($T910))),"Pending",IF(TODAY()&gt;$T910,"OVERDUE","Due "&amp;TEXT($T910,"mm/dd")))))</f>
        <v/>
      </c>
      <c r="V910" s="16" t="n"/>
      <c r="W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IF($C911="","",IF($L911="","",IF($K911=1,IF(COUNTIFS(nrES_PID,$D911,nrES_Code,$F911,nrES_Att,2)&gt;0,"",$L911),IF(COUNTIFS(nrES_PID,$D911,nrES_Code,$F911,nrES_Att,1)=0,$L911,IF($L911&gt;=$J911,cfgRetakeRecordedCap,SUMIFS(nrES_Raw,nrES_PID,$D911,nrES_Code,$F911,nrES_Att,1))))))</f>
        <v/>
      </c>
      <c r="N911" s="17">
        <f>IF($C911="","",IF($L911="","",IF($L911&gt;=$J911,"Yes","No")))</f>
        <v/>
      </c>
      <c r="O911" s="17">
        <f>IF($C911="","",IF($M911="","",IF($M911&gt;=$J911,"Yes","No")))</f>
        <v/>
      </c>
      <c r="P911" s="17">
        <f>IF($C911="","",IF($K911="","",IF(COUNTIFS(nrES_PID,$D911,nrES_Code,$F911,nrES_Att,"&gt;"&amp;$K911)=0,"Yes","No")))</f>
        <v/>
      </c>
      <c r="Q911" s="17">
        <f>IF($C911="","",IF($L911="","",IF(AND($K911=1,$L911&lt;$J911,COUNTIFS(nrES_PID,$D911,nrES_Code,$F911,nrES_Att,2)=0),"Yes","No")))</f>
        <v/>
      </c>
      <c r="R911" s="17">
        <f>IF($C911="","",IF($L911="","",IF(AND($K911=2,$L911&lt;$J911,COUNTIFS(nrES_PID,$D911,nrES_Code,$F911,nrES_Att,1)&gt;0),"Yes","No")))</f>
        <v/>
      </c>
      <c r="S911" s="18" t="n"/>
      <c r="T911" s="19">
        <f>IF($Q911&lt;&gt;"Yes","",IF($S911="","(enter date)",_xlfn.LET(_xlpm.dn,IFERROR(_xlfn.XLOOKUP($S911,nrCDdate,nrCDnum),""),IF(_xlpm.dn="","(not a class day)",IFERROR(_xlfn.XLOOKUP(_xlpm.dn+cfgRetestClassDays,nrCDnum,nrCDdate),"")))))</f>
        <v/>
      </c>
      <c r="U911" s="17">
        <f>IF($Q911&lt;&gt;"Yes","",IF(COUNTIFS(nrES_PID,$D911,nrES_Code,$F911,nrES_Att,2)&gt;0,"Retested",IF(OR($T911="",NOT(ISNUMBER($T911))),"Pending",IF(TODAY()&gt;$T911,"OVERDUE","Due "&amp;TEXT($T911,"mm/dd")))))</f>
        <v/>
      </c>
      <c r="V911" s="16" t="n"/>
      <c r="W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IF($C912="","",IF($L912="","",IF($K912=1,IF(COUNTIFS(nrES_PID,$D912,nrES_Code,$F912,nrES_Att,2)&gt;0,"",$L912),IF(COUNTIFS(nrES_PID,$D912,nrES_Code,$F912,nrES_Att,1)=0,$L912,IF($L912&gt;=$J912,cfgRetakeRecordedCap,SUMIFS(nrES_Raw,nrES_PID,$D912,nrES_Code,$F912,nrES_Att,1))))))</f>
        <v/>
      </c>
      <c r="N912" s="17">
        <f>IF($C912="","",IF($L912="","",IF($L912&gt;=$J912,"Yes","No")))</f>
        <v/>
      </c>
      <c r="O912" s="17">
        <f>IF($C912="","",IF($M912="","",IF($M912&gt;=$J912,"Yes","No")))</f>
        <v/>
      </c>
      <c r="P912" s="17">
        <f>IF($C912="","",IF($K912="","",IF(COUNTIFS(nrES_PID,$D912,nrES_Code,$F912,nrES_Att,"&gt;"&amp;$K912)=0,"Yes","No")))</f>
        <v/>
      </c>
      <c r="Q912" s="17">
        <f>IF($C912="","",IF($L912="","",IF(AND($K912=1,$L912&lt;$J912,COUNTIFS(nrES_PID,$D912,nrES_Code,$F912,nrES_Att,2)=0),"Yes","No")))</f>
        <v/>
      </c>
      <c r="R912" s="17">
        <f>IF($C912="","",IF($L912="","",IF(AND($K912=2,$L912&lt;$J912,COUNTIFS(nrES_PID,$D912,nrES_Code,$F912,nrES_Att,1)&gt;0),"Yes","No")))</f>
        <v/>
      </c>
      <c r="S912" s="18" t="n"/>
      <c r="T912" s="19">
        <f>IF($Q912&lt;&gt;"Yes","",IF($S912="","(enter date)",_xlfn.LET(_xlpm.dn,IFERROR(_xlfn.XLOOKUP($S912,nrCDdate,nrCDnum),""),IF(_xlpm.dn="","(not a class day)",IFERROR(_xlfn.XLOOKUP(_xlpm.dn+cfgRetestClassDays,nrCDnum,nrCDdate),"")))))</f>
        <v/>
      </c>
      <c r="U912" s="17">
        <f>IF($Q912&lt;&gt;"Yes","",IF(COUNTIFS(nrES_PID,$D912,nrES_Code,$F912,nrES_Att,2)&gt;0,"Retested",IF(OR($T912="",NOT(ISNUMBER($T912))),"Pending",IF(TODAY()&gt;$T912,"OVERDUE","Due "&amp;TEXT($T912,"mm/dd")))))</f>
        <v/>
      </c>
      <c r="V912" s="16" t="n"/>
      <c r="W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IF($C913="","",IF($L913="","",IF($K913=1,IF(COUNTIFS(nrES_PID,$D913,nrES_Code,$F913,nrES_Att,2)&gt;0,"",$L913),IF(COUNTIFS(nrES_PID,$D913,nrES_Code,$F913,nrES_Att,1)=0,$L913,IF($L913&gt;=$J913,cfgRetakeRecordedCap,SUMIFS(nrES_Raw,nrES_PID,$D913,nrES_Code,$F913,nrES_Att,1))))))</f>
        <v/>
      </c>
      <c r="N913" s="17">
        <f>IF($C913="","",IF($L913="","",IF($L913&gt;=$J913,"Yes","No")))</f>
        <v/>
      </c>
      <c r="O913" s="17">
        <f>IF($C913="","",IF($M913="","",IF($M913&gt;=$J913,"Yes","No")))</f>
        <v/>
      </c>
      <c r="P913" s="17">
        <f>IF($C913="","",IF($K913="","",IF(COUNTIFS(nrES_PID,$D913,nrES_Code,$F913,nrES_Att,"&gt;"&amp;$K913)=0,"Yes","No")))</f>
        <v/>
      </c>
      <c r="Q913" s="17">
        <f>IF($C913="","",IF($L913="","",IF(AND($K913=1,$L913&lt;$J913,COUNTIFS(nrES_PID,$D913,nrES_Code,$F913,nrES_Att,2)=0),"Yes","No")))</f>
        <v/>
      </c>
      <c r="R913" s="17">
        <f>IF($C913="","",IF($L913="","",IF(AND($K913=2,$L913&lt;$J913,COUNTIFS(nrES_PID,$D913,nrES_Code,$F913,nrES_Att,1)&gt;0),"Yes","No")))</f>
        <v/>
      </c>
      <c r="S913" s="18" t="n"/>
      <c r="T913" s="19">
        <f>IF($Q913&lt;&gt;"Yes","",IF($S913="","(enter date)",_xlfn.LET(_xlpm.dn,IFERROR(_xlfn.XLOOKUP($S913,nrCDdate,nrCDnum),""),IF(_xlpm.dn="","(not a class day)",IFERROR(_xlfn.XLOOKUP(_xlpm.dn+cfgRetestClassDays,nrCDnum,nrCDdate),"")))))</f>
        <v/>
      </c>
      <c r="U913" s="17">
        <f>IF($Q913&lt;&gt;"Yes","",IF(COUNTIFS(nrES_PID,$D913,nrES_Code,$F913,nrES_Att,2)&gt;0,"Retested",IF(OR($T913="",NOT(ISNUMBER($T913))),"Pending",IF(TODAY()&gt;$T913,"OVERDUE","Due "&amp;TEXT($T913,"mm/dd")))))</f>
        <v/>
      </c>
      <c r="V913" s="16" t="n"/>
      <c r="W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IF($C914="","",IF($L914="","",IF($K914=1,IF(COUNTIFS(nrES_PID,$D914,nrES_Code,$F914,nrES_Att,2)&gt;0,"",$L914),IF(COUNTIFS(nrES_PID,$D914,nrES_Code,$F914,nrES_Att,1)=0,$L914,IF($L914&gt;=$J914,cfgRetakeRecordedCap,SUMIFS(nrES_Raw,nrES_PID,$D914,nrES_Code,$F914,nrES_Att,1))))))</f>
        <v/>
      </c>
      <c r="N914" s="17">
        <f>IF($C914="","",IF($L914="","",IF($L914&gt;=$J914,"Yes","No")))</f>
        <v/>
      </c>
      <c r="O914" s="17">
        <f>IF($C914="","",IF($M914="","",IF($M914&gt;=$J914,"Yes","No")))</f>
        <v/>
      </c>
      <c r="P914" s="17">
        <f>IF($C914="","",IF($K914="","",IF(COUNTIFS(nrES_PID,$D914,nrES_Code,$F914,nrES_Att,"&gt;"&amp;$K914)=0,"Yes","No")))</f>
        <v/>
      </c>
      <c r="Q914" s="17">
        <f>IF($C914="","",IF($L914="","",IF(AND($K914=1,$L914&lt;$J914,COUNTIFS(nrES_PID,$D914,nrES_Code,$F914,nrES_Att,2)=0),"Yes","No")))</f>
        <v/>
      </c>
      <c r="R914" s="17">
        <f>IF($C914="","",IF($L914="","",IF(AND($K914=2,$L914&lt;$J914,COUNTIFS(nrES_PID,$D914,nrES_Code,$F914,nrES_Att,1)&gt;0),"Yes","No")))</f>
        <v/>
      </c>
      <c r="S914" s="18" t="n"/>
      <c r="T914" s="19">
        <f>IF($Q914&lt;&gt;"Yes","",IF($S914="","(enter date)",_xlfn.LET(_xlpm.dn,IFERROR(_xlfn.XLOOKUP($S914,nrCDdate,nrCDnum),""),IF(_xlpm.dn="","(not a class day)",IFERROR(_xlfn.XLOOKUP(_xlpm.dn+cfgRetestClassDays,nrCDnum,nrCDdate),"")))))</f>
        <v/>
      </c>
      <c r="U914" s="17">
        <f>IF($Q914&lt;&gt;"Yes","",IF(COUNTIFS(nrES_PID,$D914,nrES_Code,$F914,nrES_Att,2)&gt;0,"Retested",IF(OR($T914="",NOT(ISNUMBER($T914))),"Pending",IF(TODAY()&gt;$T914,"OVERDUE","Due "&amp;TEXT($T914,"mm/dd")))))</f>
        <v/>
      </c>
      <c r="V914" s="16" t="n"/>
      <c r="W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IF($C915="","",IF($L915="","",IF($K915=1,IF(COUNTIFS(nrES_PID,$D915,nrES_Code,$F915,nrES_Att,2)&gt;0,"",$L915),IF(COUNTIFS(nrES_PID,$D915,nrES_Code,$F915,nrES_Att,1)=0,$L915,IF($L915&gt;=$J915,cfgRetakeRecordedCap,SUMIFS(nrES_Raw,nrES_PID,$D915,nrES_Code,$F915,nrES_Att,1))))))</f>
        <v/>
      </c>
      <c r="N915" s="17">
        <f>IF($C915="","",IF($L915="","",IF($L915&gt;=$J915,"Yes","No")))</f>
        <v/>
      </c>
      <c r="O915" s="17">
        <f>IF($C915="","",IF($M915="","",IF($M915&gt;=$J915,"Yes","No")))</f>
        <v/>
      </c>
      <c r="P915" s="17">
        <f>IF($C915="","",IF($K915="","",IF(COUNTIFS(nrES_PID,$D915,nrES_Code,$F915,nrES_Att,"&gt;"&amp;$K915)=0,"Yes","No")))</f>
        <v/>
      </c>
      <c r="Q915" s="17">
        <f>IF($C915="","",IF($L915="","",IF(AND($K915=1,$L915&lt;$J915,COUNTIFS(nrES_PID,$D915,nrES_Code,$F915,nrES_Att,2)=0),"Yes","No")))</f>
        <v/>
      </c>
      <c r="R915" s="17">
        <f>IF($C915="","",IF($L915="","",IF(AND($K915=2,$L915&lt;$J915,COUNTIFS(nrES_PID,$D915,nrES_Code,$F915,nrES_Att,1)&gt;0),"Yes","No")))</f>
        <v/>
      </c>
      <c r="S915" s="18" t="n"/>
      <c r="T915" s="19">
        <f>IF($Q915&lt;&gt;"Yes","",IF($S915="","(enter date)",_xlfn.LET(_xlpm.dn,IFERROR(_xlfn.XLOOKUP($S915,nrCDdate,nrCDnum),""),IF(_xlpm.dn="","(not a class day)",IFERROR(_xlfn.XLOOKUP(_xlpm.dn+cfgRetestClassDays,nrCDnum,nrCDdate),"")))))</f>
        <v/>
      </c>
      <c r="U915" s="17">
        <f>IF($Q915&lt;&gt;"Yes","",IF(COUNTIFS(nrES_PID,$D915,nrES_Code,$F915,nrES_Att,2)&gt;0,"Retested",IF(OR($T915="",NOT(ISNUMBER($T915))),"Pending",IF(TODAY()&gt;$T915,"OVERDUE","Due "&amp;TEXT($T915,"mm/dd")))))</f>
        <v/>
      </c>
      <c r="V915" s="16" t="n"/>
      <c r="W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IF($C916="","",IF($L916="","",IF($K916=1,IF(COUNTIFS(nrES_PID,$D916,nrES_Code,$F916,nrES_Att,2)&gt;0,"",$L916),IF(COUNTIFS(nrES_PID,$D916,nrES_Code,$F916,nrES_Att,1)=0,$L916,IF($L916&gt;=$J916,cfgRetakeRecordedCap,SUMIFS(nrES_Raw,nrES_PID,$D916,nrES_Code,$F916,nrES_Att,1))))))</f>
        <v/>
      </c>
      <c r="N916" s="17">
        <f>IF($C916="","",IF($L916="","",IF($L916&gt;=$J916,"Yes","No")))</f>
        <v/>
      </c>
      <c r="O916" s="17">
        <f>IF($C916="","",IF($M916="","",IF($M916&gt;=$J916,"Yes","No")))</f>
        <v/>
      </c>
      <c r="P916" s="17">
        <f>IF($C916="","",IF($K916="","",IF(COUNTIFS(nrES_PID,$D916,nrES_Code,$F916,nrES_Att,"&gt;"&amp;$K916)=0,"Yes","No")))</f>
        <v/>
      </c>
      <c r="Q916" s="17">
        <f>IF($C916="","",IF($L916="","",IF(AND($K916=1,$L916&lt;$J916,COUNTIFS(nrES_PID,$D916,nrES_Code,$F916,nrES_Att,2)=0),"Yes","No")))</f>
        <v/>
      </c>
      <c r="R916" s="17">
        <f>IF($C916="","",IF($L916="","",IF(AND($K916=2,$L916&lt;$J916,COUNTIFS(nrES_PID,$D916,nrES_Code,$F916,nrES_Att,1)&gt;0),"Yes","No")))</f>
        <v/>
      </c>
      <c r="S916" s="18" t="n"/>
      <c r="T916" s="19">
        <f>IF($Q916&lt;&gt;"Yes","",IF($S916="","(enter date)",_xlfn.LET(_xlpm.dn,IFERROR(_xlfn.XLOOKUP($S916,nrCDdate,nrCDnum),""),IF(_xlpm.dn="","(not a class day)",IFERROR(_xlfn.XLOOKUP(_xlpm.dn+cfgRetestClassDays,nrCDnum,nrCDdate),"")))))</f>
        <v/>
      </c>
      <c r="U916" s="17">
        <f>IF($Q916&lt;&gt;"Yes","",IF(COUNTIFS(nrES_PID,$D916,nrES_Code,$F916,nrES_Att,2)&gt;0,"Retested",IF(OR($T916="",NOT(ISNUMBER($T916))),"Pending",IF(TODAY()&gt;$T916,"OVERDUE","Due "&amp;TEXT($T916,"mm/dd")))))</f>
        <v/>
      </c>
      <c r="V916" s="16" t="n"/>
      <c r="W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IF($C917="","",IF($L917="","",IF($K917=1,IF(COUNTIFS(nrES_PID,$D917,nrES_Code,$F917,nrES_Att,2)&gt;0,"",$L917),IF(COUNTIFS(nrES_PID,$D917,nrES_Code,$F917,nrES_Att,1)=0,$L917,IF($L917&gt;=$J917,cfgRetakeRecordedCap,SUMIFS(nrES_Raw,nrES_PID,$D917,nrES_Code,$F917,nrES_Att,1))))))</f>
        <v/>
      </c>
      <c r="N917" s="17">
        <f>IF($C917="","",IF($L917="","",IF($L917&gt;=$J917,"Yes","No")))</f>
        <v/>
      </c>
      <c r="O917" s="17">
        <f>IF($C917="","",IF($M917="","",IF($M917&gt;=$J917,"Yes","No")))</f>
        <v/>
      </c>
      <c r="P917" s="17">
        <f>IF($C917="","",IF($K917="","",IF(COUNTIFS(nrES_PID,$D917,nrES_Code,$F917,nrES_Att,"&gt;"&amp;$K917)=0,"Yes","No")))</f>
        <v/>
      </c>
      <c r="Q917" s="17">
        <f>IF($C917="","",IF($L917="","",IF(AND($K917=1,$L917&lt;$J917,COUNTIFS(nrES_PID,$D917,nrES_Code,$F917,nrES_Att,2)=0),"Yes","No")))</f>
        <v/>
      </c>
      <c r="R917" s="17">
        <f>IF($C917="","",IF($L917="","",IF(AND($K917=2,$L917&lt;$J917,COUNTIFS(nrES_PID,$D917,nrES_Code,$F917,nrES_Att,1)&gt;0),"Yes","No")))</f>
        <v/>
      </c>
      <c r="S917" s="18" t="n"/>
      <c r="T917" s="19">
        <f>IF($Q917&lt;&gt;"Yes","",IF($S917="","(enter date)",_xlfn.LET(_xlpm.dn,IFERROR(_xlfn.XLOOKUP($S917,nrCDdate,nrCDnum),""),IF(_xlpm.dn="","(not a class day)",IFERROR(_xlfn.XLOOKUP(_xlpm.dn+cfgRetestClassDays,nrCDnum,nrCDdate),"")))))</f>
        <v/>
      </c>
      <c r="U917" s="17">
        <f>IF($Q917&lt;&gt;"Yes","",IF(COUNTIFS(nrES_PID,$D917,nrES_Code,$F917,nrES_Att,2)&gt;0,"Retested",IF(OR($T917="",NOT(ISNUMBER($T917))),"Pending",IF(TODAY()&gt;$T917,"OVERDUE","Due "&amp;TEXT($T917,"mm/dd")))))</f>
        <v/>
      </c>
      <c r="V917" s="16" t="n"/>
      <c r="W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IF($C918="","",IF($L918="","",IF($K918=1,IF(COUNTIFS(nrES_PID,$D918,nrES_Code,$F918,nrES_Att,2)&gt;0,"",$L918),IF(COUNTIFS(nrES_PID,$D918,nrES_Code,$F918,nrES_Att,1)=0,$L918,IF($L918&gt;=$J918,cfgRetakeRecordedCap,SUMIFS(nrES_Raw,nrES_PID,$D918,nrES_Code,$F918,nrES_Att,1))))))</f>
        <v/>
      </c>
      <c r="N918" s="17">
        <f>IF($C918="","",IF($L918="","",IF($L918&gt;=$J918,"Yes","No")))</f>
        <v/>
      </c>
      <c r="O918" s="17">
        <f>IF($C918="","",IF($M918="","",IF($M918&gt;=$J918,"Yes","No")))</f>
        <v/>
      </c>
      <c r="P918" s="17">
        <f>IF($C918="","",IF($K918="","",IF(COUNTIFS(nrES_PID,$D918,nrES_Code,$F918,nrES_Att,"&gt;"&amp;$K918)=0,"Yes","No")))</f>
        <v/>
      </c>
      <c r="Q918" s="17">
        <f>IF($C918="","",IF($L918="","",IF(AND($K918=1,$L918&lt;$J918,COUNTIFS(nrES_PID,$D918,nrES_Code,$F918,nrES_Att,2)=0),"Yes","No")))</f>
        <v/>
      </c>
      <c r="R918" s="17">
        <f>IF($C918="","",IF($L918="","",IF(AND($K918=2,$L918&lt;$J918,COUNTIFS(nrES_PID,$D918,nrES_Code,$F918,nrES_Att,1)&gt;0),"Yes","No")))</f>
        <v/>
      </c>
      <c r="S918" s="18" t="n"/>
      <c r="T918" s="19">
        <f>IF($Q918&lt;&gt;"Yes","",IF($S918="","(enter date)",_xlfn.LET(_xlpm.dn,IFERROR(_xlfn.XLOOKUP($S918,nrCDdate,nrCDnum),""),IF(_xlpm.dn="","(not a class day)",IFERROR(_xlfn.XLOOKUP(_xlpm.dn+cfgRetestClassDays,nrCDnum,nrCDdate),"")))))</f>
        <v/>
      </c>
      <c r="U918" s="17">
        <f>IF($Q918&lt;&gt;"Yes","",IF(COUNTIFS(nrES_PID,$D918,nrES_Code,$F918,nrES_Att,2)&gt;0,"Retested",IF(OR($T918="",NOT(ISNUMBER($T918))),"Pending",IF(TODAY()&gt;$T918,"OVERDUE","Due "&amp;TEXT($T918,"mm/dd")))))</f>
        <v/>
      </c>
      <c r="V918" s="16" t="n"/>
      <c r="W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IF($C919="","",IF($L919="","",IF($K919=1,IF(COUNTIFS(nrES_PID,$D919,nrES_Code,$F919,nrES_Att,2)&gt;0,"",$L919),IF(COUNTIFS(nrES_PID,$D919,nrES_Code,$F919,nrES_Att,1)=0,$L919,IF($L919&gt;=$J919,cfgRetakeRecordedCap,SUMIFS(nrES_Raw,nrES_PID,$D919,nrES_Code,$F919,nrES_Att,1))))))</f>
        <v/>
      </c>
      <c r="N919" s="17">
        <f>IF($C919="","",IF($L919="","",IF($L919&gt;=$J919,"Yes","No")))</f>
        <v/>
      </c>
      <c r="O919" s="17">
        <f>IF($C919="","",IF($M919="","",IF($M919&gt;=$J919,"Yes","No")))</f>
        <v/>
      </c>
      <c r="P919" s="17">
        <f>IF($C919="","",IF($K919="","",IF(COUNTIFS(nrES_PID,$D919,nrES_Code,$F919,nrES_Att,"&gt;"&amp;$K919)=0,"Yes","No")))</f>
        <v/>
      </c>
      <c r="Q919" s="17">
        <f>IF($C919="","",IF($L919="","",IF(AND($K919=1,$L919&lt;$J919,COUNTIFS(nrES_PID,$D919,nrES_Code,$F919,nrES_Att,2)=0),"Yes","No")))</f>
        <v/>
      </c>
      <c r="R919" s="17">
        <f>IF($C919="","",IF($L919="","",IF(AND($K919=2,$L919&lt;$J919,COUNTIFS(nrES_PID,$D919,nrES_Code,$F919,nrES_Att,1)&gt;0),"Yes","No")))</f>
        <v/>
      </c>
      <c r="S919" s="18" t="n"/>
      <c r="T919" s="19">
        <f>IF($Q919&lt;&gt;"Yes","",IF($S919="","(enter date)",_xlfn.LET(_xlpm.dn,IFERROR(_xlfn.XLOOKUP($S919,nrCDdate,nrCDnum),""),IF(_xlpm.dn="","(not a class day)",IFERROR(_xlfn.XLOOKUP(_xlpm.dn+cfgRetestClassDays,nrCDnum,nrCDdate),"")))))</f>
        <v/>
      </c>
      <c r="U919" s="17">
        <f>IF($Q919&lt;&gt;"Yes","",IF(COUNTIFS(nrES_PID,$D919,nrES_Code,$F919,nrES_Att,2)&gt;0,"Retested",IF(OR($T919="",NOT(ISNUMBER($T919))),"Pending",IF(TODAY()&gt;$T919,"OVERDUE","Due "&amp;TEXT($T919,"mm/dd")))))</f>
        <v/>
      </c>
      <c r="V919" s="16" t="n"/>
      <c r="W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IF($C920="","",IF($L920="","",IF($K920=1,IF(COUNTIFS(nrES_PID,$D920,nrES_Code,$F920,nrES_Att,2)&gt;0,"",$L920),IF(COUNTIFS(nrES_PID,$D920,nrES_Code,$F920,nrES_Att,1)=0,$L920,IF($L920&gt;=$J920,cfgRetakeRecordedCap,SUMIFS(nrES_Raw,nrES_PID,$D920,nrES_Code,$F920,nrES_Att,1))))))</f>
        <v/>
      </c>
      <c r="N920" s="17">
        <f>IF($C920="","",IF($L920="","",IF($L920&gt;=$J920,"Yes","No")))</f>
        <v/>
      </c>
      <c r="O920" s="17">
        <f>IF($C920="","",IF($M920="","",IF($M920&gt;=$J920,"Yes","No")))</f>
        <v/>
      </c>
      <c r="P920" s="17">
        <f>IF($C920="","",IF($K920="","",IF(COUNTIFS(nrES_PID,$D920,nrES_Code,$F920,nrES_Att,"&gt;"&amp;$K920)=0,"Yes","No")))</f>
        <v/>
      </c>
      <c r="Q920" s="17">
        <f>IF($C920="","",IF($L920="","",IF(AND($K920=1,$L920&lt;$J920,COUNTIFS(nrES_PID,$D920,nrES_Code,$F920,nrES_Att,2)=0),"Yes","No")))</f>
        <v/>
      </c>
      <c r="R920" s="17">
        <f>IF($C920="","",IF($L920="","",IF(AND($K920=2,$L920&lt;$J920,COUNTIFS(nrES_PID,$D920,nrES_Code,$F920,nrES_Att,1)&gt;0),"Yes","No")))</f>
        <v/>
      </c>
      <c r="S920" s="18" t="n"/>
      <c r="T920" s="19">
        <f>IF($Q920&lt;&gt;"Yes","",IF($S920="","(enter date)",_xlfn.LET(_xlpm.dn,IFERROR(_xlfn.XLOOKUP($S920,nrCDdate,nrCDnum),""),IF(_xlpm.dn="","(not a class day)",IFERROR(_xlfn.XLOOKUP(_xlpm.dn+cfgRetestClassDays,nrCDnum,nrCDdate),"")))))</f>
        <v/>
      </c>
      <c r="U920" s="17">
        <f>IF($Q920&lt;&gt;"Yes","",IF(COUNTIFS(nrES_PID,$D920,nrES_Code,$F920,nrES_Att,2)&gt;0,"Retested",IF(OR($T920="",NOT(ISNUMBER($T920))),"Pending",IF(TODAY()&gt;$T920,"OVERDUE","Due "&amp;TEXT($T920,"mm/dd")))))</f>
        <v/>
      </c>
      <c r="V920" s="16" t="n"/>
      <c r="W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IF($C921="","",IF($L921="","",IF($K921=1,IF(COUNTIFS(nrES_PID,$D921,nrES_Code,$F921,nrES_Att,2)&gt;0,"",$L921),IF(COUNTIFS(nrES_PID,$D921,nrES_Code,$F921,nrES_Att,1)=0,$L921,IF($L921&gt;=$J921,cfgRetakeRecordedCap,SUMIFS(nrES_Raw,nrES_PID,$D921,nrES_Code,$F921,nrES_Att,1))))))</f>
        <v/>
      </c>
      <c r="N921" s="17">
        <f>IF($C921="","",IF($L921="","",IF($L921&gt;=$J921,"Yes","No")))</f>
        <v/>
      </c>
      <c r="O921" s="17">
        <f>IF($C921="","",IF($M921="","",IF($M921&gt;=$J921,"Yes","No")))</f>
        <v/>
      </c>
      <c r="P921" s="17">
        <f>IF($C921="","",IF($K921="","",IF(COUNTIFS(nrES_PID,$D921,nrES_Code,$F921,nrES_Att,"&gt;"&amp;$K921)=0,"Yes","No")))</f>
        <v/>
      </c>
      <c r="Q921" s="17">
        <f>IF($C921="","",IF($L921="","",IF(AND($K921=1,$L921&lt;$J921,COUNTIFS(nrES_PID,$D921,nrES_Code,$F921,nrES_Att,2)=0),"Yes","No")))</f>
        <v/>
      </c>
      <c r="R921" s="17">
        <f>IF($C921="","",IF($L921="","",IF(AND($K921=2,$L921&lt;$J921,COUNTIFS(nrES_PID,$D921,nrES_Code,$F921,nrES_Att,1)&gt;0),"Yes","No")))</f>
        <v/>
      </c>
      <c r="S921" s="18" t="n"/>
      <c r="T921" s="19">
        <f>IF($Q921&lt;&gt;"Yes","",IF($S921="","(enter date)",_xlfn.LET(_xlpm.dn,IFERROR(_xlfn.XLOOKUP($S921,nrCDdate,nrCDnum),""),IF(_xlpm.dn="","(not a class day)",IFERROR(_xlfn.XLOOKUP(_xlpm.dn+cfgRetestClassDays,nrCDnum,nrCDdate),"")))))</f>
        <v/>
      </c>
      <c r="U921" s="17">
        <f>IF($Q921&lt;&gt;"Yes","",IF(COUNTIFS(nrES_PID,$D921,nrES_Code,$F921,nrES_Att,2)&gt;0,"Retested",IF(OR($T921="",NOT(ISNUMBER($T921))),"Pending",IF(TODAY()&gt;$T921,"OVERDUE","Due "&amp;TEXT($T921,"mm/dd")))))</f>
        <v/>
      </c>
      <c r="V921" s="16" t="n"/>
      <c r="W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IF($C922="","",IF($L922="","",IF($K922=1,IF(COUNTIFS(nrES_PID,$D922,nrES_Code,$F922,nrES_Att,2)&gt;0,"",$L922),IF(COUNTIFS(nrES_PID,$D922,nrES_Code,$F922,nrES_Att,1)=0,$L922,IF($L922&gt;=$J922,cfgRetakeRecordedCap,SUMIFS(nrES_Raw,nrES_PID,$D922,nrES_Code,$F922,nrES_Att,1))))))</f>
        <v/>
      </c>
      <c r="N922" s="17">
        <f>IF($C922="","",IF($L922="","",IF($L922&gt;=$J922,"Yes","No")))</f>
        <v/>
      </c>
      <c r="O922" s="17">
        <f>IF($C922="","",IF($M922="","",IF($M922&gt;=$J922,"Yes","No")))</f>
        <v/>
      </c>
      <c r="P922" s="17">
        <f>IF($C922="","",IF($K922="","",IF(COUNTIFS(nrES_PID,$D922,nrES_Code,$F922,nrES_Att,"&gt;"&amp;$K922)=0,"Yes","No")))</f>
        <v/>
      </c>
      <c r="Q922" s="17">
        <f>IF($C922="","",IF($L922="","",IF(AND($K922=1,$L922&lt;$J922,COUNTIFS(nrES_PID,$D922,nrES_Code,$F922,nrES_Att,2)=0),"Yes","No")))</f>
        <v/>
      </c>
      <c r="R922" s="17">
        <f>IF($C922="","",IF($L922="","",IF(AND($K922=2,$L922&lt;$J922,COUNTIFS(nrES_PID,$D922,nrES_Code,$F922,nrES_Att,1)&gt;0),"Yes","No")))</f>
        <v/>
      </c>
      <c r="S922" s="18" t="n"/>
      <c r="T922" s="19">
        <f>IF($Q922&lt;&gt;"Yes","",IF($S922="","(enter date)",_xlfn.LET(_xlpm.dn,IFERROR(_xlfn.XLOOKUP($S922,nrCDdate,nrCDnum),""),IF(_xlpm.dn="","(not a class day)",IFERROR(_xlfn.XLOOKUP(_xlpm.dn+cfgRetestClassDays,nrCDnum,nrCDdate),"")))))</f>
        <v/>
      </c>
      <c r="U922" s="17">
        <f>IF($Q922&lt;&gt;"Yes","",IF(COUNTIFS(nrES_PID,$D922,nrES_Code,$F922,nrES_Att,2)&gt;0,"Retested",IF(OR($T922="",NOT(ISNUMBER($T922))),"Pending",IF(TODAY()&gt;$T922,"OVERDUE","Due "&amp;TEXT($T922,"mm/dd")))))</f>
        <v/>
      </c>
      <c r="V922" s="16" t="n"/>
      <c r="W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IF($C923="","",IF($L923="","",IF($K923=1,IF(COUNTIFS(nrES_PID,$D923,nrES_Code,$F923,nrES_Att,2)&gt;0,"",$L923),IF(COUNTIFS(nrES_PID,$D923,nrES_Code,$F923,nrES_Att,1)=0,$L923,IF($L923&gt;=$J923,cfgRetakeRecordedCap,SUMIFS(nrES_Raw,nrES_PID,$D923,nrES_Code,$F923,nrES_Att,1))))))</f>
        <v/>
      </c>
      <c r="N923" s="17">
        <f>IF($C923="","",IF($L923="","",IF($L923&gt;=$J923,"Yes","No")))</f>
        <v/>
      </c>
      <c r="O923" s="17">
        <f>IF($C923="","",IF($M923="","",IF($M923&gt;=$J923,"Yes","No")))</f>
        <v/>
      </c>
      <c r="P923" s="17">
        <f>IF($C923="","",IF($K923="","",IF(COUNTIFS(nrES_PID,$D923,nrES_Code,$F923,nrES_Att,"&gt;"&amp;$K923)=0,"Yes","No")))</f>
        <v/>
      </c>
      <c r="Q923" s="17">
        <f>IF($C923="","",IF($L923="","",IF(AND($K923=1,$L923&lt;$J923,COUNTIFS(nrES_PID,$D923,nrES_Code,$F923,nrES_Att,2)=0),"Yes","No")))</f>
        <v/>
      </c>
      <c r="R923" s="17">
        <f>IF($C923="","",IF($L923="","",IF(AND($K923=2,$L923&lt;$J923,COUNTIFS(nrES_PID,$D923,nrES_Code,$F923,nrES_Att,1)&gt;0),"Yes","No")))</f>
        <v/>
      </c>
      <c r="S923" s="18" t="n"/>
      <c r="T923" s="19">
        <f>IF($Q923&lt;&gt;"Yes","",IF($S923="","(enter date)",_xlfn.LET(_xlpm.dn,IFERROR(_xlfn.XLOOKUP($S923,nrCDdate,nrCDnum),""),IF(_xlpm.dn="","(not a class day)",IFERROR(_xlfn.XLOOKUP(_xlpm.dn+cfgRetestClassDays,nrCDnum,nrCDdate),"")))))</f>
        <v/>
      </c>
      <c r="U923" s="17">
        <f>IF($Q923&lt;&gt;"Yes","",IF(COUNTIFS(nrES_PID,$D923,nrES_Code,$F923,nrES_Att,2)&gt;0,"Retested",IF(OR($T923="",NOT(ISNUMBER($T923))),"Pending",IF(TODAY()&gt;$T923,"OVERDUE","Due "&amp;TEXT($T923,"mm/dd")))))</f>
        <v/>
      </c>
      <c r="V923" s="16" t="n"/>
      <c r="W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IF($C924="","",IF($L924="","",IF($K924=1,IF(COUNTIFS(nrES_PID,$D924,nrES_Code,$F924,nrES_Att,2)&gt;0,"",$L924),IF(COUNTIFS(nrES_PID,$D924,nrES_Code,$F924,nrES_Att,1)=0,$L924,IF($L924&gt;=$J924,cfgRetakeRecordedCap,SUMIFS(nrES_Raw,nrES_PID,$D924,nrES_Code,$F924,nrES_Att,1))))))</f>
        <v/>
      </c>
      <c r="N924" s="17">
        <f>IF($C924="","",IF($L924="","",IF($L924&gt;=$J924,"Yes","No")))</f>
        <v/>
      </c>
      <c r="O924" s="17">
        <f>IF($C924="","",IF($M924="","",IF($M924&gt;=$J924,"Yes","No")))</f>
        <v/>
      </c>
      <c r="P924" s="17">
        <f>IF($C924="","",IF($K924="","",IF(COUNTIFS(nrES_PID,$D924,nrES_Code,$F924,nrES_Att,"&gt;"&amp;$K924)=0,"Yes","No")))</f>
        <v/>
      </c>
      <c r="Q924" s="17">
        <f>IF($C924="","",IF($L924="","",IF(AND($K924=1,$L924&lt;$J924,COUNTIFS(nrES_PID,$D924,nrES_Code,$F924,nrES_Att,2)=0),"Yes","No")))</f>
        <v/>
      </c>
      <c r="R924" s="17">
        <f>IF($C924="","",IF($L924="","",IF(AND($K924=2,$L924&lt;$J924,COUNTIFS(nrES_PID,$D924,nrES_Code,$F924,nrES_Att,1)&gt;0),"Yes","No")))</f>
        <v/>
      </c>
      <c r="S924" s="18" t="n"/>
      <c r="T924" s="19">
        <f>IF($Q924&lt;&gt;"Yes","",IF($S924="","(enter date)",_xlfn.LET(_xlpm.dn,IFERROR(_xlfn.XLOOKUP($S924,nrCDdate,nrCDnum),""),IF(_xlpm.dn="","(not a class day)",IFERROR(_xlfn.XLOOKUP(_xlpm.dn+cfgRetestClassDays,nrCDnum,nrCDdate),"")))))</f>
        <v/>
      </c>
      <c r="U924" s="17">
        <f>IF($Q924&lt;&gt;"Yes","",IF(COUNTIFS(nrES_PID,$D924,nrES_Code,$F924,nrES_Att,2)&gt;0,"Retested",IF(OR($T924="",NOT(ISNUMBER($T924))),"Pending",IF(TODAY()&gt;$T924,"OVERDUE","Due "&amp;TEXT($T924,"mm/dd")))))</f>
        <v/>
      </c>
      <c r="V924" s="16" t="n"/>
      <c r="W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IF($C925="","",IF($L925="","",IF($K925=1,IF(COUNTIFS(nrES_PID,$D925,nrES_Code,$F925,nrES_Att,2)&gt;0,"",$L925),IF(COUNTIFS(nrES_PID,$D925,nrES_Code,$F925,nrES_Att,1)=0,$L925,IF($L925&gt;=$J925,cfgRetakeRecordedCap,SUMIFS(nrES_Raw,nrES_PID,$D925,nrES_Code,$F925,nrES_Att,1))))))</f>
        <v/>
      </c>
      <c r="N925" s="17">
        <f>IF($C925="","",IF($L925="","",IF($L925&gt;=$J925,"Yes","No")))</f>
        <v/>
      </c>
      <c r="O925" s="17">
        <f>IF($C925="","",IF($M925="","",IF($M925&gt;=$J925,"Yes","No")))</f>
        <v/>
      </c>
      <c r="P925" s="17">
        <f>IF($C925="","",IF($K925="","",IF(COUNTIFS(nrES_PID,$D925,nrES_Code,$F925,nrES_Att,"&gt;"&amp;$K925)=0,"Yes","No")))</f>
        <v/>
      </c>
      <c r="Q925" s="17">
        <f>IF($C925="","",IF($L925="","",IF(AND($K925=1,$L925&lt;$J925,COUNTIFS(nrES_PID,$D925,nrES_Code,$F925,nrES_Att,2)=0),"Yes","No")))</f>
        <v/>
      </c>
      <c r="R925" s="17">
        <f>IF($C925="","",IF($L925="","",IF(AND($K925=2,$L925&lt;$J925,COUNTIFS(nrES_PID,$D925,nrES_Code,$F925,nrES_Att,1)&gt;0),"Yes","No")))</f>
        <v/>
      </c>
      <c r="S925" s="18" t="n"/>
      <c r="T925" s="19">
        <f>IF($Q925&lt;&gt;"Yes","",IF($S925="","(enter date)",_xlfn.LET(_xlpm.dn,IFERROR(_xlfn.XLOOKUP($S925,nrCDdate,nrCDnum),""),IF(_xlpm.dn="","(not a class day)",IFERROR(_xlfn.XLOOKUP(_xlpm.dn+cfgRetestClassDays,nrCDnum,nrCDdate),"")))))</f>
        <v/>
      </c>
      <c r="U925" s="17">
        <f>IF($Q925&lt;&gt;"Yes","",IF(COUNTIFS(nrES_PID,$D925,nrES_Code,$F925,nrES_Att,2)&gt;0,"Retested",IF(OR($T925="",NOT(ISNUMBER($T925))),"Pending",IF(TODAY()&gt;$T925,"OVERDUE","Due "&amp;TEXT($T925,"mm/dd")))))</f>
        <v/>
      </c>
      <c r="V925" s="16" t="n"/>
      <c r="W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IF($C926="","",IF($L926="","",IF($K926=1,IF(COUNTIFS(nrES_PID,$D926,nrES_Code,$F926,nrES_Att,2)&gt;0,"",$L926),IF(COUNTIFS(nrES_PID,$D926,nrES_Code,$F926,nrES_Att,1)=0,$L926,IF($L926&gt;=$J926,cfgRetakeRecordedCap,SUMIFS(nrES_Raw,nrES_PID,$D926,nrES_Code,$F926,nrES_Att,1))))))</f>
        <v/>
      </c>
      <c r="N926" s="17">
        <f>IF($C926="","",IF($L926="","",IF($L926&gt;=$J926,"Yes","No")))</f>
        <v/>
      </c>
      <c r="O926" s="17">
        <f>IF($C926="","",IF($M926="","",IF($M926&gt;=$J926,"Yes","No")))</f>
        <v/>
      </c>
      <c r="P926" s="17">
        <f>IF($C926="","",IF($K926="","",IF(COUNTIFS(nrES_PID,$D926,nrES_Code,$F926,nrES_Att,"&gt;"&amp;$K926)=0,"Yes","No")))</f>
        <v/>
      </c>
      <c r="Q926" s="17">
        <f>IF($C926="","",IF($L926="","",IF(AND($K926=1,$L926&lt;$J926,COUNTIFS(nrES_PID,$D926,nrES_Code,$F926,nrES_Att,2)=0),"Yes","No")))</f>
        <v/>
      </c>
      <c r="R926" s="17">
        <f>IF($C926="","",IF($L926="","",IF(AND($K926=2,$L926&lt;$J926,COUNTIFS(nrES_PID,$D926,nrES_Code,$F926,nrES_Att,1)&gt;0),"Yes","No")))</f>
        <v/>
      </c>
      <c r="S926" s="18" t="n"/>
      <c r="T926" s="19">
        <f>IF($Q926&lt;&gt;"Yes","",IF($S926="","(enter date)",_xlfn.LET(_xlpm.dn,IFERROR(_xlfn.XLOOKUP($S926,nrCDdate,nrCDnum),""),IF(_xlpm.dn="","(not a class day)",IFERROR(_xlfn.XLOOKUP(_xlpm.dn+cfgRetestClassDays,nrCDnum,nrCDdate),"")))))</f>
        <v/>
      </c>
      <c r="U926" s="17">
        <f>IF($Q926&lt;&gt;"Yes","",IF(COUNTIFS(nrES_PID,$D926,nrES_Code,$F926,nrES_Att,2)&gt;0,"Retested",IF(OR($T926="",NOT(ISNUMBER($T926))),"Pending",IF(TODAY()&gt;$T926,"OVERDUE","Due "&amp;TEXT($T926,"mm/dd")))))</f>
        <v/>
      </c>
      <c r="V926" s="16" t="n"/>
      <c r="W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IF($C927="","",IF($L927="","",IF($K927=1,IF(COUNTIFS(nrES_PID,$D927,nrES_Code,$F927,nrES_Att,2)&gt;0,"",$L927),IF(COUNTIFS(nrES_PID,$D927,nrES_Code,$F927,nrES_Att,1)=0,$L927,IF($L927&gt;=$J927,cfgRetakeRecordedCap,SUMIFS(nrES_Raw,nrES_PID,$D927,nrES_Code,$F927,nrES_Att,1))))))</f>
        <v/>
      </c>
      <c r="N927" s="17">
        <f>IF($C927="","",IF($L927="","",IF($L927&gt;=$J927,"Yes","No")))</f>
        <v/>
      </c>
      <c r="O927" s="17">
        <f>IF($C927="","",IF($M927="","",IF($M927&gt;=$J927,"Yes","No")))</f>
        <v/>
      </c>
      <c r="P927" s="17">
        <f>IF($C927="","",IF($K927="","",IF(COUNTIFS(nrES_PID,$D927,nrES_Code,$F927,nrES_Att,"&gt;"&amp;$K927)=0,"Yes","No")))</f>
        <v/>
      </c>
      <c r="Q927" s="17">
        <f>IF($C927="","",IF($L927="","",IF(AND($K927=1,$L927&lt;$J927,COUNTIFS(nrES_PID,$D927,nrES_Code,$F927,nrES_Att,2)=0),"Yes","No")))</f>
        <v/>
      </c>
      <c r="R927" s="17">
        <f>IF($C927="","",IF($L927="","",IF(AND($K927=2,$L927&lt;$J927,COUNTIFS(nrES_PID,$D927,nrES_Code,$F927,nrES_Att,1)&gt;0),"Yes","No")))</f>
        <v/>
      </c>
      <c r="S927" s="18" t="n"/>
      <c r="T927" s="19">
        <f>IF($Q927&lt;&gt;"Yes","",IF($S927="","(enter date)",_xlfn.LET(_xlpm.dn,IFERROR(_xlfn.XLOOKUP($S927,nrCDdate,nrCDnum),""),IF(_xlpm.dn="","(not a class day)",IFERROR(_xlfn.XLOOKUP(_xlpm.dn+cfgRetestClassDays,nrCDnum,nrCDdate),"")))))</f>
        <v/>
      </c>
      <c r="U927" s="17">
        <f>IF($Q927&lt;&gt;"Yes","",IF(COUNTIFS(nrES_PID,$D927,nrES_Code,$F927,nrES_Att,2)&gt;0,"Retested",IF(OR($T927="",NOT(ISNUMBER($T927))),"Pending",IF(TODAY()&gt;$T927,"OVERDUE","Due "&amp;TEXT($T927,"mm/dd")))))</f>
        <v/>
      </c>
      <c r="V927" s="16" t="n"/>
      <c r="W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IF($C928="","",IF($L928="","",IF($K928=1,IF(COUNTIFS(nrES_PID,$D928,nrES_Code,$F928,nrES_Att,2)&gt;0,"",$L928),IF(COUNTIFS(nrES_PID,$D928,nrES_Code,$F928,nrES_Att,1)=0,$L928,IF($L928&gt;=$J928,cfgRetakeRecordedCap,SUMIFS(nrES_Raw,nrES_PID,$D928,nrES_Code,$F928,nrES_Att,1))))))</f>
        <v/>
      </c>
      <c r="N928" s="17">
        <f>IF($C928="","",IF($L928="","",IF($L928&gt;=$J928,"Yes","No")))</f>
        <v/>
      </c>
      <c r="O928" s="17">
        <f>IF($C928="","",IF($M928="","",IF($M928&gt;=$J928,"Yes","No")))</f>
        <v/>
      </c>
      <c r="P928" s="17">
        <f>IF($C928="","",IF($K928="","",IF(COUNTIFS(nrES_PID,$D928,nrES_Code,$F928,nrES_Att,"&gt;"&amp;$K928)=0,"Yes","No")))</f>
        <v/>
      </c>
      <c r="Q928" s="17">
        <f>IF($C928="","",IF($L928="","",IF(AND($K928=1,$L928&lt;$J928,COUNTIFS(nrES_PID,$D928,nrES_Code,$F928,nrES_Att,2)=0),"Yes","No")))</f>
        <v/>
      </c>
      <c r="R928" s="17">
        <f>IF($C928="","",IF($L928="","",IF(AND($K928=2,$L928&lt;$J928,COUNTIFS(nrES_PID,$D928,nrES_Code,$F928,nrES_Att,1)&gt;0),"Yes","No")))</f>
        <v/>
      </c>
      <c r="S928" s="18" t="n"/>
      <c r="T928" s="19">
        <f>IF($Q928&lt;&gt;"Yes","",IF($S928="","(enter date)",_xlfn.LET(_xlpm.dn,IFERROR(_xlfn.XLOOKUP($S928,nrCDdate,nrCDnum),""),IF(_xlpm.dn="","(not a class day)",IFERROR(_xlfn.XLOOKUP(_xlpm.dn+cfgRetestClassDays,nrCDnum,nrCDdate),"")))))</f>
        <v/>
      </c>
      <c r="U928" s="17">
        <f>IF($Q928&lt;&gt;"Yes","",IF(COUNTIFS(nrES_PID,$D928,nrES_Code,$F928,nrES_Att,2)&gt;0,"Retested",IF(OR($T928="",NOT(ISNUMBER($T928))),"Pending",IF(TODAY()&gt;$T928,"OVERDUE","Due "&amp;TEXT($T928,"mm/dd")))))</f>
        <v/>
      </c>
      <c r="V928" s="16" t="n"/>
      <c r="W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IF($C929="","",IF($L929="","",IF($K929=1,IF(COUNTIFS(nrES_PID,$D929,nrES_Code,$F929,nrES_Att,2)&gt;0,"",$L929),IF(COUNTIFS(nrES_PID,$D929,nrES_Code,$F929,nrES_Att,1)=0,$L929,IF($L929&gt;=$J929,cfgRetakeRecordedCap,SUMIFS(nrES_Raw,nrES_PID,$D929,nrES_Code,$F929,nrES_Att,1))))))</f>
        <v/>
      </c>
      <c r="N929" s="17">
        <f>IF($C929="","",IF($L929="","",IF($L929&gt;=$J929,"Yes","No")))</f>
        <v/>
      </c>
      <c r="O929" s="17">
        <f>IF($C929="","",IF($M929="","",IF($M929&gt;=$J929,"Yes","No")))</f>
        <v/>
      </c>
      <c r="P929" s="17">
        <f>IF($C929="","",IF($K929="","",IF(COUNTIFS(nrES_PID,$D929,nrES_Code,$F929,nrES_Att,"&gt;"&amp;$K929)=0,"Yes","No")))</f>
        <v/>
      </c>
      <c r="Q929" s="17">
        <f>IF($C929="","",IF($L929="","",IF(AND($K929=1,$L929&lt;$J929,COUNTIFS(nrES_PID,$D929,nrES_Code,$F929,nrES_Att,2)=0),"Yes","No")))</f>
        <v/>
      </c>
      <c r="R929" s="17">
        <f>IF($C929="","",IF($L929="","",IF(AND($K929=2,$L929&lt;$J929,COUNTIFS(nrES_PID,$D929,nrES_Code,$F929,nrES_Att,1)&gt;0),"Yes","No")))</f>
        <v/>
      </c>
      <c r="S929" s="18" t="n"/>
      <c r="T929" s="19">
        <f>IF($Q929&lt;&gt;"Yes","",IF($S929="","(enter date)",_xlfn.LET(_xlpm.dn,IFERROR(_xlfn.XLOOKUP($S929,nrCDdate,nrCDnum),""),IF(_xlpm.dn="","(not a class day)",IFERROR(_xlfn.XLOOKUP(_xlpm.dn+cfgRetestClassDays,nrCDnum,nrCDdate),"")))))</f>
        <v/>
      </c>
      <c r="U929" s="17">
        <f>IF($Q929&lt;&gt;"Yes","",IF(COUNTIFS(nrES_PID,$D929,nrES_Code,$F929,nrES_Att,2)&gt;0,"Retested",IF(OR($T929="",NOT(ISNUMBER($T929))),"Pending",IF(TODAY()&gt;$T929,"OVERDUE","Due "&amp;TEXT($T929,"mm/dd")))))</f>
        <v/>
      </c>
      <c r="V929" s="16" t="n"/>
      <c r="W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IF($C930="","",IF($L930="","",IF($K930=1,IF(COUNTIFS(nrES_PID,$D930,nrES_Code,$F930,nrES_Att,2)&gt;0,"",$L930),IF(COUNTIFS(nrES_PID,$D930,nrES_Code,$F930,nrES_Att,1)=0,$L930,IF($L930&gt;=$J930,cfgRetakeRecordedCap,SUMIFS(nrES_Raw,nrES_PID,$D930,nrES_Code,$F930,nrES_Att,1))))))</f>
        <v/>
      </c>
      <c r="N930" s="17">
        <f>IF($C930="","",IF($L930="","",IF($L930&gt;=$J930,"Yes","No")))</f>
        <v/>
      </c>
      <c r="O930" s="17">
        <f>IF($C930="","",IF($M930="","",IF($M930&gt;=$J930,"Yes","No")))</f>
        <v/>
      </c>
      <c r="P930" s="17">
        <f>IF($C930="","",IF($K930="","",IF(COUNTIFS(nrES_PID,$D930,nrES_Code,$F930,nrES_Att,"&gt;"&amp;$K930)=0,"Yes","No")))</f>
        <v/>
      </c>
      <c r="Q930" s="17">
        <f>IF($C930="","",IF($L930="","",IF(AND($K930=1,$L930&lt;$J930,COUNTIFS(nrES_PID,$D930,nrES_Code,$F930,nrES_Att,2)=0),"Yes","No")))</f>
        <v/>
      </c>
      <c r="R930" s="17">
        <f>IF($C930="","",IF($L930="","",IF(AND($K930=2,$L930&lt;$J930,COUNTIFS(nrES_PID,$D930,nrES_Code,$F930,nrES_Att,1)&gt;0),"Yes","No")))</f>
        <v/>
      </c>
      <c r="S930" s="18" t="n"/>
      <c r="T930" s="19">
        <f>IF($Q930&lt;&gt;"Yes","",IF($S930="","(enter date)",_xlfn.LET(_xlpm.dn,IFERROR(_xlfn.XLOOKUP($S930,nrCDdate,nrCDnum),""),IF(_xlpm.dn="","(not a class day)",IFERROR(_xlfn.XLOOKUP(_xlpm.dn+cfgRetestClassDays,nrCDnum,nrCDdate),"")))))</f>
        <v/>
      </c>
      <c r="U930" s="17">
        <f>IF($Q930&lt;&gt;"Yes","",IF(COUNTIFS(nrES_PID,$D930,nrES_Code,$F930,nrES_Att,2)&gt;0,"Retested",IF(OR($T930="",NOT(ISNUMBER($T930))),"Pending",IF(TODAY()&gt;$T930,"OVERDUE","Due "&amp;TEXT($T930,"mm/dd")))))</f>
        <v/>
      </c>
      <c r="V930" s="16" t="n"/>
      <c r="W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IF($C931="","",IF($L931="","",IF($K931=1,IF(COUNTIFS(nrES_PID,$D931,nrES_Code,$F931,nrES_Att,2)&gt;0,"",$L931),IF(COUNTIFS(nrES_PID,$D931,nrES_Code,$F931,nrES_Att,1)=0,$L931,IF($L931&gt;=$J931,cfgRetakeRecordedCap,SUMIFS(nrES_Raw,nrES_PID,$D931,nrES_Code,$F931,nrES_Att,1))))))</f>
        <v/>
      </c>
      <c r="N931" s="17">
        <f>IF($C931="","",IF($L931="","",IF($L931&gt;=$J931,"Yes","No")))</f>
        <v/>
      </c>
      <c r="O931" s="17">
        <f>IF($C931="","",IF($M931="","",IF($M931&gt;=$J931,"Yes","No")))</f>
        <v/>
      </c>
      <c r="P931" s="17">
        <f>IF($C931="","",IF($K931="","",IF(COUNTIFS(nrES_PID,$D931,nrES_Code,$F931,nrES_Att,"&gt;"&amp;$K931)=0,"Yes","No")))</f>
        <v/>
      </c>
      <c r="Q931" s="17">
        <f>IF($C931="","",IF($L931="","",IF(AND($K931=1,$L931&lt;$J931,COUNTIFS(nrES_PID,$D931,nrES_Code,$F931,nrES_Att,2)=0),"Yes","No")))</f>
        <v/>
      </c>
      <c r="R931" s="17">
        <f>IF($C931="","",IF($L931="","",IF(AND($K931=2,$L931&lt;$J931,COUNTIFS(nrES_PID,$D931,nrES_Code,$F931,nrES_Att,1)&gt;0),"Yes","No")))</f>
        <v/>
      </c>
      <c r="S931" s="18" t="n"/>
      <c r="T931" s="19">
        <f>IF($Q931&lt;&gt;"Yes","",IF($S931="","(enter date)",_xlfn.LET(_xlpm.dn,IFERROR(_xlfn.XLOOKUP($S931,nrCDdate,nrCDnum),""),IF(_xlpm.dn="","(not a class day)",IFERROR(_xlfn.XLOOKUP(_xlpm.dn+cfgRetestClassDays,nrCDnum,nrCDdate),"")))))</f>
        <v/>
      </c>
      <c r="U931" s="17">
        <f>IF($Q931&lt;&gt;"Yes","",IF(COUNTIFS(nrES_PID,$D931,nrES_Code,$F931,nrES_Att,2)&gt;0,"Retested",IF(OR($T931="",NOT(ISNUMBER($T931))),"Pending",IF(TODAY()&gt;$T931,"OVERDUE","Due "&amp;TEXT($T931,"mm/dd")))))</f>
        <v/>
      </c>
      <c r="V931" s="16" t="n"/>
      <c r="W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IF($C932="","",IF($L932="","",IF($K932=1,IF(COUNTIFS(nrES_PID,$D932,nrES_Code,$F932,nrES_Att,2)&gt;0,"",$L932),IF(COUNTIFS(nrES_PID,$D932,nrES_Code,$F932,nrES_Att,1)=0,$L932,IF($L932&gt;=$J932,cfgRetakeRecordedCap,SUMIFS(nrES_Raw,nrES_PID,$D932,nrES_Code,$F932,nrES_Att,1))))))</f>
        <v/>
      </c>
      <c r="N932" s="17">
        <f>IF($C932="","",IF($L932="","",IF($L932&gt;=$J932,"Yes","No")))</f>
        <v/>
      </c>
      <c r="O932" s="17">
        <f>IF($C932="","",IF($M932="","",IF($M932&gt;=$J932,"Yes","No")))</f>
        <v/>
      </c>
      <c r="P932" s="17">
        <f>IF($C932="","",IF($K932="","",IF(COUNTIFS(nrES_PID,$D932,nrES_Code,$F932,nrES_Att,"&gt;"&amp;$K932)=0,"Yes","No")))</f>
        <v/>
      </c>
      <c r="Q932" s="17">
        <f>IF($C932="","",IF($L932="","",IF(AND($K932=1,$L932&lt;$J932,COUNTIFS(nrES_PID,$D932,nrES_Code,$F932,nrES_Att,2)=0),"Yes","No")))</f>
        <v/>
      </c>
      <c r="R932" s="17">
        <f>IF($C932="","",IF($L932="","",IF(AND($K932=2,$L932&lt;$J932,COUNTIFS(nrES_PID,$D932,nrES_Code,$F932,nrES_Att,1)&gt;0),"Yes","No")))</f>
        <v/>
      </c>
      <c r="S932" s="18" t="n"/>
      <c r="T932" s="19">
        <f>IF($Q932&lt;&gt;"Yes","",IF($S932="","(enter date)",_xlfn.LET(_xlpm.dn,IFERROR(_xlfn.XLOOKUP($S932,nrCDdate,nrCDnum),""),IF(_xlpm.dn="","(not a class day)",IFERROR(_xlfn.XLOOKUP(_xlpm.dn+cfgRetestClassDays,nrCDnum,nrCDdate),"")))))</f>
        <v/>
      </c>
      <c r="U932" s="17">
        <f>IF($Q932&lt;&gt;"Yes","",IF(COUNTIFS(nrES_PID,$D932,nrES_Code,$F932,nrES_Att,2)&gt;0,"Retested",IF(OR($T932="",NOT(ISNUMBER($T932))),"Pending",IF(TODAY()&gt;$T932,"OVERDUE","Due "&amp;TEXT($T932,"mm/dd")))))</f>
        <v/>
      </c>
      <c r="V932" s="16" t="n"/>
      <c r="W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IF($C933="","",IF($L933="","",IF($K933=1,IF(COUNTIFS(nrES_PID,$D933,nrES_Code,$F933,nrES_Att,2)&gt;0,"",$L933),IF(COUNTIFS(nrES_PID,$D933,nrES_Code,$F933,nrES_Att,1)=0,$L933,IF($L933&gt;=$J933,cfgRetakeRecordedCap,SUMIFS(nrES_Raw,nrES_PID,$D933,nrES_Code,$F933,nrES_Att,1))))))</f>
        <v/>
      </c>
      <c r="N933" s="17">
        <f>IF($C933="","",IF($L933="","",IF($L933&gt;=$J933,"Yes","No")))</f>
        <v/>
      </c>
      <c r="O933" s="17">
        <f>IF($C933="","",IF($M933="","",IF($M933&gt;=$J933,"Yes","No")))</f>
        <v/>
      </c>
      <c r="P933" s="17">
        <f>IF($C933="","",IF($K933="","",IF(COUNTIFS(nrES_PID,$D933,nrES_Code,$F933,nrES_Att,"&gt;"&amp;$K933)=0,"Yes","No")))</f>
        <v/>
      </c>
      <c r="Q933" s="17">
        <f>IF($C933="","",IF($L933="","",IF(AND($K933=1,$L933&lt;$J933,COUNTIFS(nrES_PID,$D933,nrES_Code,$F933,nrES_Att,2)=0),"Yes","No")))</f>
        <v/>
      </c>
      <c r="R933" s="17">
        <f>IF($C933="","",IF($L933="","",IF(AND($K933=2,$L933&lt;$J933,COUNTIFS(nrES_PID,$D933,nrES_Code,$F933,nrES_Att,1)&gt;0),"Yes","No")))</f>
        <v/>
      </c>
      <c r="S933" s="18" t="n"/>
      <c r="T933" s="19">
        <f>IF($Q933&lt;&gt;"Yes","",IF($S933="","(enter date)",_xlfn.LET(_xlpm.dn,IFERROR(_xlfn.XLOOKUP($S933,nrCDdate,nrCDnum),""),IF(_xlpm.dn="","(not a class day)",IFERROR(_xlfn.XLOOKUP(_xlpm.dn+cfgRetestClassDays,nrCDnum,nrCDdate),"")))))</f>
        <v/>
      </c>
      <c r="U933" s="17">
        <f>IF($Q933&lt;&gt;"Yes","",IF(COUNTIFS(nrES_PID,$D933,nrES_Code,$F933,nrES_Att,2)&gt;0,"Retested",IF(OR($T933="",NOT(ISNUMBER($T933))),"Pending",IF(TODAY()&gt;$T933,"OVERDUE","Due "&amp;TEXT($T933,"mm/dd")))))</f>
        <v/>
      </c>
      <c r="V933" s="16" t="n"/>
      <c r="W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IF($C934="","",IF($L934="","",IF($K934=1,IF(COUNTIFS(nrES_PID,$D934,nrES_Code,$F934,nrES_Att,2)&gt;0,"",$L934),IF(COUNTIFS(nrES_PID,$D934,nrES_Code,$F934,nrES_Att,1)=0,$L934,IF($L934&gt;=$J934,cfgRetakeRecordedCap,SUMIFS(nrES_Raw,nrES_PID,$D934,nrES_Code,$F934,nrES_Att,1))))))</f>
        <v/>
      </c>
      <c r="N934" s="17">
        <f>IF($C934="","",IF($L934="","",IF($L934&gt;=$J934,"Yes","No")))</f>
        <v/>
      </c>
      <c r="O934" s="17">
        <f>IF($C934="","",IF($M934="","",IF($M934&gt;=$J934,"Yes","No")))</f>
        <v/>
      </c>
      <c r="P934" s="17">
        <f>IF($C934="","",IF($K934="","",IF(COUNTIFS(nrES_PID,$D934,nrES_Code,$F934,nrES_Att,"&gt;"&amp;$K934)=0,"Yes","No")))</f>
        <v/>
      </c>
      <c r="Q934" s="17">
        <f>IF($C934="","",IF($L934="","",IF(AND($K934=1,$L934&lt;$J934,COUNTIFS(nrES_PID,$D934,nrES_Code,$F934,nrES_Att,2)=0),"Yes","No")))</f>
        <v/>
      </c>
      <c r="R934" s="17">
        <f>IF($C934="","",IF($L934="","",IF(AND($K934=2,$L934&lt;$J934,COUNTIFS(nrES_PID,$D934,nrES_Code,$F934,nrES_Att,1)&gt;0),"Yes","No")))</f>
        <v/>
      </c>
      <c r="S934" s="18" t="n"/>
      <c r="T934" s="19">
        <f>IF($Q934&lt;&gt;"Yes","",IF($S934="","(enter date)",_xlfn.LET(_xlpm.dn,IFERROR(_xlfn.XLOOKUP($S934,nrCDdate,nrCDnum),""),IF(_xlpm.dn="","(not a class day)",IFERROR(_xlfn.XLOOKUP(_xlpm.dn+cfgRetestClassDays,nrCDnum,nrCDdate),"")))))</f>
        <v/>
      </c>
      <c r="U934" s="17">
        <f>IF($Q934&lt;&gt;"Yes","",IF(COUNTIFS(nrES_PID,$D934,nrES_Code,$F934,nrES_Att,2)&gt;0,"Retested",IF(OR($T934="",NOT(ISNUMBER($T934))),"Pending",IF(TODAY()&gt;$T934,"OVERDUE","Due "&amp;TEXT($T934,"mm/dd")))))</f>
        <v/>
      </c>
      <c r="V934" s="16" t="n"/>
      <c r="W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IF($C935="","",IF($L935="","",IF($K935=1,IF(COUNTIFS(nrES_PID,$D935,nrES_Code,$F935,nrES_Att,2)&gt;0,"",$L935),IF(COUNTIFS(nrES_PID,$D935,nrES_Code,$F935,nrES_Att,1)=0,$L935,IF($L935&gt;=$J935,cfgRetakeRecordedCap,SUMIFS(nrES_Raw,nrES_PID,$D935,nrES_Code,$F935,nrES_Att,1))))))</f>
        <v/>
      </c>
      <c r="N935" s="17">
        <f>IF($C935="","",IF($L935="","",IF($L935&gt;=$J935,"Yes","No")))</f>
        <v/>
      </c>
      <c r="O935" s="17">
        <f>IF($C935="","",IF($M935="","",IF($M935&gt;=$J935,"Yes","No")))</f>
        <v/>
      </c>
      <c r="P935" s="17">
        <f>IF($C935="","",IF($K935="","",IF(COUNTIFS(nrES_PID,$D935,nrES_Code,$F935,nrES_Att,"&gt;"&amp;$K935)=0,"Yes","No")))</f>
        <v/>
      </c>
      <c r="Q935" s="17">
        <f>IF($C935="","",IF($L935="","",IF(AND($K935=1,$L935&lt;$J935,COUNTIFS(nrES_PID,$D935,nrES_Code,$F935,nrES_Att,2)=0),"Yes","No")))</f>
        <v/>
      </c>
      <c r="R935" s="17">
        <f>IF($C935="","",IF($L935="","",IF(AND($K935=2,$L935&lt;$J935,COUNTIFS(nrES_PID,$D935,nrES_Code,$F935,nrES_Att,1)&gt;0),"Yes","No")))</f>
        <v/>
      </c>
      <c r="S935" s="18" t="n"/>
      <c r="T935" s="19">
        <f>IF($Q935&lt;&gt;"Yes","",IF($S935="","(enter date)",_xlfn.LET(_xlpm.dn,IFERROR(_xlfn.XLOOKUP($S935,nrCDdate,nrCDnum),""),IF(_xlpm.dn="","(not a class day)",IFERROR(_xlfn.XLOOKUP(_xlpm.dn+cfgRetestClassDays,nrCDnum,nrCDdate),"")))))</f>
        <v/>
      </c>
      <c r="U935" s="17">
        <f>IF($Q935&lt;&gt;"Yes","",IF(COUNTIFS(nrES_PID,$D935,nrES_Code,$F935,nrES_Att,2)&gt;0,"Retested",IF(OR($T935="",NOT(ISNUMBER($T935))),"Pending",IF(TODAY()&gt;$T935,"OVERDUE","Due "&amp;TEXT($T935,"mm/dd")))))</f>
        <v/>
      </c>
      <c r="V935" s="16" t="n"/>
      <c r="W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IF($C936="","",IF($L936="","",IF($K936=1,IF(COUNTIFS(nrES_PID,$D936,nrES_Code,$F936,nrES_Att,2)&gt;0,"",$L936),IF(COUNTIFS(nrES_PID,$D936,nrES_Code,$F936,nrES_Att,1)=0,$L936,IF($L936&gt;=$J936,cfgRetakeRecordedCap,SUMIFS(nrES_Raw,nrES_PID,$D936,nrES_Code,$F936,nrES_Att,1))))))</f>
        <v/>
      </c>
      <c r="N936" s="17">
        <f>IF($C936="","",IF($L936="","",IF($L936&gt;=$J936,"Yes","No")))</f>
        <v/>
      </c>
      <c r="O936" s="17">
        <f>IF($C936="","",IF($M936="","",IF($M936&gt;=$J936,"Yes","No")))</f>
        <v/>
      </c>
      <c r="P936" s="17">
        <f>IF($C936="","",IF($K936="","",IF(COUNTIFS(nrES_PID,$D936,nrES_Code,$F936,nrES_Att,"&gt;"&amp;$K936)=0,"Yes","No")))</f>
        <v/>
      </c>
      <c r="Q936" s="17">
        <f>IF($C936="","",IF($L936="","",IF(AND($K936=1,$L936&lt;$J936,COUNTIFS(nrES_PID,$D936,nrES_Code,$F936,nrES_Att,2)=0),"Yes","No")))</f>
        <v/>
      </c>
      <c r="R936" s="17">
        <f>IF($C936="","",IF($L936="","",IF(AND($K936=2,$L936&lt;$J936,COUNTIFS(nrES_PID,$D936,nrES_Code,$F936,nrES_Att,1)&gt;0),"Yes","No")))</f>
        <v/>
      </c>
      <c r="S936" s="18" t="n"/>
      <c r="T936" s="19">
        <f>IF($Q936&lt;&gt;"Yes","",IF($S936="","(enter date)",_xlfn.LET(_xlpm.dn,IFERROR(_xlfn.XLOOKUP($S936,nrCDdate,nrCDnum),""),IF(_xlpm.dn="","(not a class day)",IFERROR(_xlfn.XLOOKUP(_xlpm.dn+cfgRetestClassDays,nrCDnum,nrCDdate),"")))))</f>
        <v/>
      </c>
      <c r="U936" s="17">
        <f>IF($Q936&lt;&gt;"Yes","",IF(COUNTIFS(nrES_PID,$D936,nrES_Code,$F936,nrES_Att,2)&gt;0,"Retested",IF(OR($T936="",NOT(ISNUMBER($T936))),"Pending",IF(TODAY()&gt;$T936,"OVERDUE","Due "&amp;TEXT($T936,"mm/dd")))))</f>
        <v/>
      </c>
      <c r="V936" s="16" t="n"/>
      <c r="W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IF($C937="","",IF($L937="","",IF($K937=1,IF(COUNTIFS(nrES_PID,$D937,nrES_Code,$F937,nrES_Att,2)&gt;0,"",$L937),IF(COUNTIFS(nrES_PID,$D937,nrES_Code,$F937,nrES_Att,1)=0,$L937,IF($L937&gt;=$J937,cfgRetakeRecordedCap,SUMIFS(nrES_Raw,nrES_PID,$D937,nrES_Code,$F937,nrES_Att,1))))))</f>
        <v/>
      </c>
      <c r="N937" s="17">
        <f>IF($C937="","",IF($L937="","",IF($L937&gt;=$J937,"Yes","No")))</f>
        <v/>
      </c>
      <c r="O937" s="17">
        <f>IF($C937="","",IF($M937="","",IF($M937&gt;=$J937,"Yes","No")))</f>
        <v/>
      </c>
      <c r="P937" s="17">
        <f>IF($C937="","",IF($K937="","",IF(COUNTIFS(nrES_PID,$D937,nrES_Code,$F937,nrES_Att,"&gt;"&amp;$K937)=0,"Yes","No")))</f>
        <v/>
      </c>
      <c r="Q937" s="17">
        <f>IF($C937="","",IF($L937="","",IF(AND($K937=1,$L937&lt;$J937,COUNTIFS(nrES_PID,$D937,nrES_Code,$F937,nrES_Att,2)=0),"Yes","No")))</f>
        <v/>
      </c>
      <c r="R937" s="17">
        <f>IF($C937="","",IF($L937="","",IF(AND($K937=2,$L937&lt;$J937,COUNTIFS(nrES_PID,$D937,nrES_Code,$F937,nrES_Att,1)&gt;0),"Yes","No")))</f>
        <v/>
      </c>
      <c r="S937" s="18" t="n"/>
      <c r="T937" s="19">
        <f>IF($Q937&lt;&gt;"Yes","",IF($S937="","(enter date)",_xlfn.LET(_xlpm.dn,IFERROR(_xlfn.XLOOKUP($S937,nrCDdate,nrCDnum),""),IF(_xlpm.dn="","(not a class day)",IFERROR(_xlfn.XLOOKUP(_xlpm.dn+cfgRetestClassDays,nrCDnum,nrCDdate),"")))))</f>
        <v/>
      </c>
      <c r="U937" s="17">
        <f>IF($Q937&lt;&gt;"Yes","",IF(COUNTIFS(nrES_PID,$D937,nrES_Code,$F937,nrES_Att,2)&gt;0,"Retested",IF(OR($T937="",NOT(ISNUMBER($T937))),"Pending",IF(TODAY()&gt;$T937,"OVERDUE","Due "&amp;TEXT($T937,"mm/dd")))))</f>
        <v/>
      </c>
      <c r="V937" s="16" t="n"/>
      <c r="W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IF($C938="","",IF($L938="","",IF($K938=1,IF(COUNTIFS(nrES_PID,$D938,nrES_Code,$F938,nrES_Att,2)&gt;0,"",$L938),IF(COUNTIFS(nrES_PID,$D938,nrES_Code,$F938,nrES_Att,1)=0,$L938,IF($L938&gt;=$J938,cfgRetakeRecordedCap,SUMIFS(nrES_Raw,nrES_PID,$D938,nrES_Code,$F938,nrES_Att,1))))))</f>
        <v/>
      </c>
      <c r="N938" s="17">
        <f>IF($C938="","",IF($L938="","",IF($L938&gt;=$J938,"Yes","No")))</f>
        <v/>
      </c>
      <c r="O938" s="17">
        <f>IF($C938="","",IF($M938="","",IF($M938&gt;=$J938,"Yes","No")))</f>
        <v/>
      </c>
      <c r="P938" s="17">
        <f>IF($C938="","",IF($K938="","",IF(COUNTIFS(nrES_PID,$D938,nrES_Code,$F938,nrES_Att,"&gt;"&amp;$K938)=0,"Yes","No")))</f>
        <v/>
      </c>
      <c r="Q938" s="17">
        <f>IF($C938="","",IF($L938="","",IF(AND($K938=1,$L938&lt;$J938,COUNTIFS(nrES_PID,$D938,nrES_Code,$F938,nrES_Att,2)=0),"Yes","No")))</f>
        <v/>
      </c>
      <c r="R938" s="17">
        <f>IF($C938="","",IF($L938="","",IF(AND($K938=2,$L938&lt;$J938,COUNTIFS(nrES_PID,$D938,nrES_Code,$F938,nrES_Att,1)&gt;0),"Yes","No")))</f>
        <v/>
      </c>
      <c r="S938" s="18" t="n"/>
      <c r="T938" s="19">
        <f>IF($Q938&lt;&gt;"Yes","",IF($S938="","(enter date)",_xlfn.LET(_xlpm.dn,IFERROR(_xlfn.XLOOKUP($S938,nrCDdate,nrCDnum),""),IF(_xlpm.dn="","(not a class day)",IFERROR(_xlfn.XLOOKUP(_xlpm.dn+cfgRetestClassDays,nrCDnum,nrCDdate),"")))))</f>
        <v/>
      </c>
      <c r="U938" s="17">
        <f>IF($Q938&lt;&gt;"Yes","",IF(COUNTIFS(nrES_PID,$D938,nrES_Code,$F938,nrES_Att,2)&gt;0,"Retested",IF(OR($T938="",NOT(ISNUMBER($T938))),"Pending",IF(TODAY()&gt;$T938,"OVERDUE","Due "&amp;TEXT($T938,"mm/dd")))))</f>
        <v/>
      </c>
      <c r="V938" s="16" t="n"/>
      <c r="W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IF($C939="","",IF($L939="","",IF($K939=1,IF(COUNTIFS(nrES_PID,$D939,nrES_Code,$F939,nrES_Att,2)&gt;0,"",$L939),IF(COUNTIFS(nrES_PID,$D939,nrES_Code,$F939,nrES_Att,1)=0,$L939,IF($L939&gt;=$J939,cfgRetakeRecordedCap,SUMIFS(nrES_Raw,nrES_PID,$D939,nrES_Code,$F939,nrES_Att,1))))))</f>
        <v/>
      </c>
      <c r="N939" s="17">
        <f>IF($C939="","",IF($L939="","",IF($L939&gt;=$J939,"Yes","No")))</f>
        <v/>
      </c>
      <c r="O939" s="17">
        <f>IF($C939="","",IF($M939="","",IF($M939&gt;=$J939,"Yes","No")))</f>
        <v/>
      </c>
      <c r="P939" s="17">
        <f>IF($C939="","",IF($K939="","",IF(COUNTIFS(nrES_PID,$D939,nrES_Code,$F939,nrES_Att,"&gt;"&amp;$K939)=0,"Yes","No")))</f>
        <v/>
      </c>
      <c r="Q939" s="17">
        <f>IF($C939="","",IF($L939="","",IF(AND($K939=1,$L939&lt;$J939,COUNTIFS(nrES_PID,$D939,nrES_Code,$F939,nrES_Att,2)=0),"Yes","No")))</f>
        <v/>
      </c>
      <c r="R939" s="17">
        <f>IF($C939="","",IF($L939="","",IF(AND($K939=2,$L939&lt;$J939,COUNTIFS(nrES_PID,$D939,nrES_Code,$F939,nrES_Att,1)&gt;0),"Yes","No")))</f>
        <v/>
      </c>
      <c r="S939" s="18" t="n"/>
      <c r="T939" s="19">
        <f>IF($Q939&lt;&gt;"Yes","",IF($S939="","(enter date)",_xlfn.LET(_xlpm.dn,IFERROR(_xlfn.XLOOKUP($S939,nrCDdate,nrCDnum),""),IF(_xlpm.dn="","(not a class day)",IFERROR(_xlfn.XLOOKUP(_xlpm.dn+cfgRetestClassDays,nrCDnum,nrCDdate),"")))))</f>
        <v/>
      </c>
      <c r="U939" s="17">
        <f>IF($Q939&lt;&gt;"Yes","",IF(COUNTIFS(nrES_PID,$D939,nrES_Code,$F939,nrES_Att,2)&gt;0,"Retested",IF(OR($T939="",NOT(ISNUMBER($T939))),"Pending",IF(TODAY()&gt;$T939,"OVERDUE","Due "&amp;TEXT($T939,"mm/dd")))))</f>
        <v/>
      </c>
      <c r="V939" s="16" t="n"/>
      <c r="W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IF($C940="","",IF($L940="","",IF($K940=1,IF(COUNTIFS(nrES_PID,$D940,nrES_Code,$F940,nrES_Att,2)&gt;0,"",$L940),IF(COUNTIFS(nrES_PID,$D940,nrES_Code,$F940,nrES_Att,1)=0,$L940,IF($L940&gt;=$J940,cfgRetakeRecordedCap,SUMIFS(nrES_Raw,nrES_PID,$D940,nrES_Code,$F940,nrES_Att,1))))))</f>
        <v/>
      </c>
      <c r="N940" s="17">
        <f>IF($C940="","",IF($L940="","",IF($L940&gt;=$J940,"Yes","No")))</f>
        <v/>
      </c>
      <c r="O940" s="17">
        <f>IF($C940="","",IF($M940="","",IF($M940&gt;=$J940,"Yes","No")))</f>
        <v/>
      </c>
      <c r="P940" s="17">
        <f>IF($C940="","",IF($K940="","",IF(COUNTIFS(nrES_PID,$D940,nrES_Code,$F940,nrES_Att,"&gt;"&amp;$K940)=0,"Yes","No")))</f>
        <v/>
      </c>
      <c r="Q940" s="17">
        <f>IF($C940="","",IF($L940="","",IF(AND($K940=1,$L940&lt;$J940,COUNTIFS(nrES_PID,$D940,nrES_Code,$F940,nrES_Att,2)=0),"Yes","No")))</f>
        <v/>
      </c>
      <c r="R940" s="17">
        <f>IF($C940="","",IF($L940="","",IF(AND($K940=2,$L940&lt;$J940,COUNTIFS(nrES_PID,$D940,nrES_Code,$F940,nrES_Att,1)&gt;0),"Yes","No")))</f>
        <v/>
      </c>
      <c r="S940" s="18" t="n"/>
      <c r="T940" s="19">
        <f>IF($Q940&lt;&gt;"Yes","",IF($S940="","(enter date)",_xlfn.LET(_xlpm.dn,IFERROR(_xlfn.XLOOKUP($S940,nrCDdate,nrCDnum),""),IF(_xlpm.dn="","(not a class day)",IFERROR(_xlfn.XLOOKUP(_xlpm.dn+cfgRetestClassDays,nrCDnum,nrCDdate),"")))))</f>
        <v/>
      </c>
      <c r="U940" s="17">
        <f>IF($Q940&lt;&gt;"Yes","",IF(COUNTIFS(nrES_PID,$D940,nrES_Code,$F940,nrES_Att,2)&gt;0,"Retested",IF(OR($T940="",NOT(ISNUMBER($T940))),"Pending",IF(TODAY()&gt;$T940,"OVERDUE","Due "&amp;TEXT($T940,"mm/dd")))))</f>
        <v/>
      </c>
      <c r="V940" s="16" t="n"/>
      <c r="W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IF($C941="","",IF($L941="","",IF($K941=1,IF(COUNTIFS(nrES_PID,$D941,nrES_Code,$F941,nrES_Att,2)&gt;0,"",$L941),IF(COUNTIFS(nrES_PID,$D941,nrES_Code,$F941,nrES_Att,1)=0,$L941,IF($L941&gt;=$J941,cfgRetakeRecordedCap,SUMIFS(nrES_Raw,nrES_PID,$D941,nrES_Code,$F941,nrES_Att,1))))))</f>
        <v/>
      </c>
      <c r="N941" s="17">
        <f>IF($C941="","",IF($L941="","",IF($L941&gt;=$J941,"Yes","No")))</f>
        <v/>
      </c>
      <c r="O941" s="17">
        <f>IF($C941="","",IF($M941="","",IF($M941&gt;=$J941,"Yes","No")))</f>
        <v/>
      </c>
      <c r="P941" s="17">
        <f>IF($C941="","",IF($K941="","",IF(COUNTIFS(nrES_PID,$D941,nrES_Code,$F941,nrES_Att,"&gt;"&amp;$K941)=0,"Yes","No")))</f>
        <v/>
      </c>
      <c r="Q941" s="17">
        <f>IF($C941="","",IF($L941="","",IF(AND($K941=1,$L941&lt;$J941,COUNTIFS(nrES_PID,$D941,nrES_Code,$F941,nrES_Att,2)=0),"Yes","No")))</f>
        <v/>
      </c>
      <c r="R941" s="17">
        <f>IF($C941="","",IF($L941="","",IF(AND($K941=2,$L941&lt;$J941,COUNTIFS(nrES_PID,$D941,nrES_Code,$F941,nrES_Att,1)&gt;0),"Yes","No")))</f>
        <v/>
      </c>
      <c r="S941" s="18" t="n"/>
      <c r="T941" s="19">
        <f>IF($Q941&lt;&gt;"Yes","",IF($S941="","(enter date)",_xlfn.LET(_xlpm.dn,IFERROR(_xlfn.XLOOKUP($S941,nrCDdate,nrCDnum),""),IF(_xlpm.dn="","(not a class day)",IFERROR(_xlfn.XLOOKUP(_xlpm.dn+cfgRetestClassDays,nrCDnum,nrCDdate),"")))))</f>
        <v/>
      </c>
      <c r="U941" s="17">
        <f>IF($Q941&lt;&gt;"Yes","",IF(COUNTIFS(nrES_PID,$D941,nrES_Code,$F941,nrES_Att,2)&gt;0,"Retested",IF(OR($T941="",NOT(ISNUMBER($T941))),"Pending",IF(TODAY()&gt;$T941,"OVERDUE","Due "&amp;TEXT($T941,"mm/dd")))))</f>
        <v/>
      </c>
      <c r="V941" s="16" t="n"/>
      <c r="W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IF($C942="","",IF($L942="","",IF($K942=1,IF(COUNTIFS(nrES_PID,$D942,nrES_Code,$F942,nrES_Att,2)&gt;0,"",$L942),IF(COUNTIFS(nrES_PID,$D942,nrES_Code,$F942,nrES_Att,1)=0,$L942,IF($L942&gt;=$J942,cfgRetakeRecordedCap,SUMIFS(nrES_Raw,nrES_PID,$D942,nrES_Code,$F942,nrES_Att,1))))))</f>
        <v/>
      </c>
      <c r="N942" s="17">
        <f>IF($C942="","",IF($L942="","",IF($L942&gt;=$J942,"Yes","No")))</f>
        <v/>
      </c>
      <c r="O942" s="17">
        <f>IF($C942="","",IF($M942="","",IF($M942&gt;=$J942,"Yes","No")))</f>
        <v/>
      </c>
      <c r="P942" s="17">
        <f>IF($C942="","",IF($K942="","",IF(COUNTIFS(nrES_PID,$D942,nrES_Code,$F942,nrES_Att,"&gt;"&amp;$K942)=0,"Yes","No")))</f>
        <v/>
      </c>
      <c r="Q942" s="17">
        <f>IF($C942="","",IF($L942="","",IF(AND($K942=1,$L942&lt;$J942,COUNTIFS(nrES_PID,$D942,nrES_Code,$F942,nrES_Att,2)=0),"Yes","No")))</f>
        <v/>
      </c>
      <c r="R942" s="17">
        <f>IF($C942="","",IF($L942="","",IF(AND($K942=2,$L942&lt;$J942,COUNTIFS(nrES_PID,$D942,nrES_Code,$F942,nrES_Att,1)&gt;0),"Yes","No")))</f>
        <v/>
      </c>
      <c r="S942" s="18" t="n"/>
      <c r="T942" s="19">
        <f>IF($Q942&lt;&gt;"Yes","",IF($S942="","(enter date)",_xlfn.LET(_xlpm.dn,IFERROR(_xlfn.XLOOKUP($S942,nrCDdate,nrCDnum),""),IF(_xlpm.dn="","(not a class day)",IFERROR(_xlfn.XLOOKUP(_xlpm.dn+cfgRetestClassDays,nrCDnum,nrCDdate),"")))))</f>
        <v/>
      </c>
      <c r="U942" s="17">
        <f>IF($Q942&lt;&gt;"Yes","",IF(COUNTIFS(nrES_PID,$D942,nrES_Code,$F942,nrES_Att,2)&gt;0,"Retested",IF(OR($T942="",NOT(ISNUMBER($T942))),"Pending",IF(TODAY()&gt;$T942,"OVERDUE","Due "&amp;TEXT($T942,"mm/dd")))))</f>
        <v/>
      </c>
      <c r="V942" s="16" t="n"/>
      <c r="W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IF($C943="","",IF($L943="","",IF($K943=1,IF(COUNTIFS(nrES_PID,$D943,nrES_Code,$F943,nrES_Att,2)&gt;0,"",$L943),IF(COUNTIFS(nrES_PID,$D943,nrES_Code,$F943,nrES_Att,1)=0,$L943,IF($L943&gt;=$J943,cfgRetakeRecordedCap,SUMIFS(nrES_Raw,nrES_PID,$D943,nrES_Code,$F943,nrES_Att,1))))))</f>
        <v/>
      </c>
      <c r="N943" s="17">
        <f>IF($C943="","",IF($L943="","",IF($L943&gt;=$J943,"Yes","No")))</f>
        <v/>
      </c>
      <c r="O943" s="17">
        <f>IF($C943="","",IF($M943="","",IF($M943&gt;=$J943,"Yes","No")))</f>
        <v/>
      </c>
      <c r="P943" s="17">
        <f>IF($C943="","",IF($K943="","",IF(COUNTIFS(nrES_PID,$D943,nrES_Code,$F943,nrES_Att,"&gt;"&amp;$K943)=0,"Yes","No")))</f>
        <v/>
      </c>
      <c r="Q943" s="17">
        <f>IF($C943="","",IF($L943="","",IF(AND($K943=1,$L943&lt;$J943,COUNTIFS(nrES_PID,$D943,nrES_Code,$F943,nrES_Att,2)=0),"Yes","No")))</f>
        <v/>
      </c>
      <c r="R943" s="17">
        <f>IF($C943="","",IF($L943="","",IF(AND($K943=2,$L943&lt;$J943,COUNTIFS(nrES_PID,$D943,nrES_Code,$F943,nrES_Att,1)&gt;0),"Yes","No")))</f>
        <v/>
      </c>
      <c r="S943" s="18" t="n"/>
      <c r="T943" s="19">
        <f>IF($Q943&lt;&gt;"Yes","",IF($S943="","(enter date)",_xlfn.LET(_xlpm.dn,IFERROR(_xlfn.XLOOKUP($S943,nrCDdate,nrCDnum),""),IF(_xlpm.dn="","(not a class day)",IFERROR(_xlfn.XLOOKUP(_xlpm.dn+cfgRetestClassDays,nrCDnum,nrCDdate),"")))))</f>
        <v/>
      </c>
      <c r="U943" s="17">
        <f>IF($Q943&lt;&gt;"Yes","",IF(COUNTIFS(nrES_PID,$D943,nrES_Code,$F943,nrES_Att,2)&gt;0,"Retested",IF(OR($T943="",NOT(ISNUMBER($T943))),"Pending",IF(TODAY()&gt;$T943,"OVERDUE","Due "&amp;TEXT($T943,"mm/dd")))))</f>
        <v/>
      </c>
      <c r="V943" s="16" t="n"/>
      <c r="W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IF($C944="","",IF($L944="","",IF($K944=1,IF(COUNTIFS(nrES_PID,$D944,nrES_Code,$F944,nrES_Att,2)&gt;0,"",$L944),IF(COUNTIFS(nrES_PID,$D944,nrES_Code,$F944,nrES_Att,1)=0,$L944,IF($L944&gt;=$J944,cfgRetakeRecordedCap,SUMIFS(nrES_Raw,nrES_PID,$D944,nrES_Code,$F944,nrES_Att,1))))))</f>
        <v/>
      </c>
      <c r="N944" s="17">
        <f>IF($C944="","",IF($L944="","",IF($L944&gt;=$J944,"Yes","No")))</f>
        <v/>
      </c>
      <c r="O944" s="17">
        <f>IF($C944="","",IF($M944="","",IF($M944&gt;=$J944,"Yes","No")))</f>
        <v/>
      </c>
      <c r="P944" s="17">
        <f>IF($C944="","",IF($K944="","",IF(COUNTIFS(nrES_PID,$D944,nrES_Code,$F944,nrES_Att,"&gt;"&amp;$K944)=0,"Yes","No")))</f>
        <v/>
      </c>
      <c r="Q944" s="17">
        <f>IF($C944="","",IF($L944="","",IF(AND($K944=1,$L944&lt;$J944,COUNTIFS(nrES_PID,$D944,nrES_Code,$F944,nrES_Att,2)=0),"Yes","No")))</f>
        <v/>
      </c>
      <c r="R944" s="17">
        <f>IF($C944="","",IF($L944="","",IF(AND($K944=2,$L944&lt;$J944,COUNTIFS(nrES_PID,$D944,nrES_Code,$F944,nrES_Att,1)&gt;0),"Yes","No")))</f>
        <v/>
      </c>
      <c r="S944" s="18" t="n"/>
      <c r="T944" s="19">
        <f>IF($Q944&lt;&gt;"Yes","",IF($S944="","(enter date)",_xlfn.LET(_xlpm.dn,IFERROR(_xlfn.XLOOKUP($S944,nrCDdate,nrCDnum),""),IF(_xlpm.dn="","(not a class day)",IFERROR(_xlfn.XLOOKUP(_xlpm.dn+cfgRetestClassDays,nrCDnum,nrCDdate),"")))))</f>
        <v/>
      </c>
      <c r="U944" s="17">
        <f>IF($Q944&lt;&gt;"Yes","",IF(COUNTIFS(nrES_PID,$D944,nrES_Code,$F944,nrES_Att,2)&gt;0,"Retested",IF(OR($T944="",NOT(ISNUMBER($T944))),"Pending",IF(TODAY()&gt;$T944,"OVERDUE","Due "&amp;TEXT($T944,"mm/dd")))))</f>
        <v/>
      </c>
      <c r="V944" s="16" t="n"/>
      <c r="W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IF($C945="","",IF($L945="","",IF($K945=1,IF(COUNTIFS(nrES_PID,$D945,nrES_Code,$F945,nrES_Att,2)&gt;0,"",$L945),IF(COUNTIFS(nrES_PID,$D945,nrES_Code,$F945,nrES_Att,1)=0,$L945,IF($L945&gt;=$J945,cfgRetakeRecordedCap,SUMIFS(nrES_Raw,nrES_PID,$D945,nrES_Code,$F945,nrES_Att,1))))))</f>
        <v/>
      </c>
      <c r="N945" s="17">
        <f>IF($C945="","",IF($L945="","",IF($L945&gt;=$J945,"Yes","No")))</f>
        <v/>
      </c>
      <c r="O945" s="17">
        <f>IF($C945="","",IF($M945="","",IF($M945&gt;=$J945,"Yes","No")))</f>
        <v/>
      </c>
      <c r="P945" s="17">
        <f>IF($C945="","",IF($K945="","",IF(COUNTIFS(nrES_PID,$D945,nrES_Code,$F945,nrES_Att,"&gt;"&amp;$K945)=0,"Yes","No")))</f>
        <v/>
      </c>
      <c r="Q945" s="17">
        <f>IF($C945="","",IF($L945="","",IF(AND($K945=1,$L945&lt;$J945,COUNTIFS(nrES_PID,$D945,nrES_Code,$F945,nrES_Att,2)=0),"Yes","No")))</f>
        <v/>
      </c>
      <c r="R945" s="17">
        <f>IF($C945="","",IF($L945="","",IF(AND($K945=2,$L945&lt;$J945,COUNTIFS(nrES_PID,$D945,nrES_Code,$F945,nrES_Att,1)&gt;0),"Yes","No")))</f>
        <v/>
      </c>
      <c r="S945" s="18" t="n"/>
      <c r="T945" s="19">
        <f>IF($Q945&lt;&gt;"Yes","",IF($S945="","(enter date)",_xlfn.LET(_xlpm.dn,IFERROR(_xlfn.XLOOKUP($S945,nrCDdate,nrCDnum),""),IF(_xlpm.dn="","(not a class day)",IFERROR(_xlfn.XLOOKUP(_xlpm.dn+cfgRetestClassDays,nrCDnum,nrCDdate),"")))))</f>
        <v/>
      </c>
      <c r="U945" s="17">
        <f>IF($Q945&lt;&gt;"Yes","",IF(COUNTIFS(nrES_PID,$D945,nrES_Code,$F945,nrES_Att,2)&gt;0,"Retested",IF(OR($T945="",NOT(ISNUMBER($T945))),"Pending",IF(TODAY()&gt;$T945,"OVERDUE","Due "&amp;TEXT($T945,"mm/dd")))))</f>
        <v/>
      </c>
      <c r="V945" s="16" t="n"/>
      <c r="W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IF($C946="","",IF($L946="","",IF($K946=1,IF(COUNTIFS(nrES_PID,$D946,nrES_Code,$F946,nrES_Att,2)&gt;0,"",$L946),IF(COUNTIFS(nrES_PID,$D946,nrES_Code,$F946,nrES_Att,1)=0,$L946,IF($L946&gt;=$J946,cfgRetakeRecordedCap,SUMIFS(nrES_Raw,nrES_PID,$D946,nrES_Code,$F946,nrES_Att,1))))))</f>
        <v/>
      </c>
      <c r="N946" s="17">
        <f>IF($C946="","",IF($L946="","",IF($L946&gt;=$J946,"Yes","No")))</f>
        <v/>
      </c>
      <c r="O946" s="17">
        <f>IF($C946="","",IF($M946="","",IF($M946&gt;=$J946,"Yes","No")))</f>
        <v/>
      </c>
      <c r="P946" s="17">
        <f>IF($C946="","",IF($K946="","",IF(COUNTIFS(nrES_PID,$D946,nrES_Code,$F946,nrES_Att,"&gt;"&amp;$K946)=0,"Yes","No")))</f>
        <v/>
      </c>
      <c r="Q946" s="17">
        <f>IF($C946="","",IF($L946="","",IF(AND($K946=1,$L946&lt;$J946,COUNTIFS(nrES_PID,$D946,nrES_Code,$F946,nrES_Att,2)=0),"Yes","No")))</f>
        <v/>
      </c>
      <c r="R946" s="17">
        <f>IF($C946="","",IF($L946="","",IF(AND($K946=2,$L946&lt;$J946,COUNTIFS(nrES_PID,$D946,nrES_Code,$F946,nrES_Att,1)&gt;0),"Yes","No")))</f>
        <v/>
      </c>
      <c r="S946" s="18" t="n"/>
      <c r="T946" s="19">
        <f>IF($Q946&lt;&gt;"Yes","",IF($S946="","(enter date)",_xlfn.LET(_xlpm.dn,IFERROR(_xlfn.XLOOKUP($S946,nrCDdate,nrCDnum),""),IF(_xlpm.dn="","(not a class day)",IFERROR(_xlfn.XLOOKUP(_xlpm.dn+cfgRetestClassDays,nrCDnum,nrCDdate),"")))))</f>
        <v/>
      </c>
      <c r="U946" s="17">
        <f>IF($Q946&lt;&gt;"Yes","",IF(COUNTIFS(nrES_PID,$D946,nrES_Code,$F946,nrES_Att,2)&gt;0,"Retested",IF(OR($T946="",NOT(ISNUMBER($T946))),"Pending",IF(TODAY()&gt;$T946,"OVERDUE","Due "&amp;TEXT($T946,"mm/dd")))))</f>
        <v/>
      </c>
      <c r="V946" s="16" t="n"/>
      <c r="W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IF($C947="","",IF($L947="","",IF($K947=1,IF(COUNTIFS(nrES_PID,$D947,nrES_Code,$F947,nrES_Att,2)&gt;0,"",$L947),IF(COUNTIFS(nrES_PID,$D947,nrES_Code,$F947,nrES_Att,1)=0,$L947,IF($L947&gt;=$J947,cfgRetakeRecordedCap,SUMIFS(nrES_Raw,nrES_PID,$D947,nrES_Code,$F947,nrES_Att,1))))))</f>
        <v/>
      </c>
      <c r="N947" s="17">
        <f>IF($C947="","",IF($L947="","",IF($L947&gt;=$J947,"Yes","No")))</f>
        <v/>
      </c>
      <c r="O947" s="17">
        <f>IF($C947="","",IF($M947="","",IF($M947&gt;=$J947,"Yes","No")))</f>
        <v/>
      </c>
      <c r="P947" s="17">
        <f>IF($C947="","",IF($K947="","",IF(COUNTIFS(nrES_PID,$D947,nrES_Code,$F947,nrES_Att,"&gt;"&amp;$K947)=0,"Yes","No")))</f>
        <v/>
      </c>
      <c r="Q947" s="17">
        <f>IF($C947="","",IF($L947="","",IF(AND($K947=1,$L947&lt;$J947,COUNTIFS(nrES_PID,$D947,nrES_Code,$F947,nrES_Att,2)=0),"Yes","No")))</f>
        <v/>
      </c>
      <c r="R947" s="17">
        <f>IF($C947="","",IF($L947="","",IF(AND($K947=2,$L947&lt;$J947,COUNTIFS(nrES_PID,$D947,nrES_Code,$F947,nrES_Att,1)&gt;0),"Yes","No")))</f>
        <v/>
      </c>
      <c r="S947" s="18" t="n"/>
      <c r="T947" s="19">
        <f>IF($Q947&lt;&gt;"Yes","",IF($S947="","(enter date)",_xlfn.LET(_xlpm.dn,IFERROR(_xlfn.XLOOKUP($S947,nrCDdate,nrCDnum),""),IF(_xlpm.dn="","(not a class day)",IFERROR(_xlfn.XLOOKUP(_xlpm.dn+cfgRetestClassDays,nrCDnum,nrCDdate),"")))))</f>
        <v/>
      </c>
      <c r="U947" s="17">
        <f>IF($Q947&lt;&gt;"Yes","",IF(COUNTIFS(nrES_PID,$D947,nrES_Code,$F947,nrES_Att,2)&gt;0,"Retested",IF(OR($T947="",NOT(ISNUMBER($T947))),"Pending",IF(TODAY()&gt;$T947,"OVERDUE","Due "&amp;TEXT($T947,"mm/dd")))))</f>
        <v/>
      </c>
      <c r="V947" s="16" t="n"/>
      <c r="W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IF($C948="","",IF($L948="","",IF($K948=1,IF(COUNTIFS(nrES_PID,$D948,nrES_Code,$F948,nrES_Att,2)&gt;0,"",$L948),IF(COUNTIFS(nrES_PID,$D948,nrES_Code,$F948,nrES_Att,1)=0,$L948,IF($L948&gt;=$J948,cfgRetakeRecordedCap,SUMIFS(nrES_Raw,nrES_PID,$D948,nrES_Code,$F948,nrES_Att,1))))))</f>
        <v/>
      </c>
      <c r="N948" s="17">
        <f>IF($C948="","",IF($L948="","",IF($L948&gt;=$J948,"Yes","No")))</f>
        <v/>
      </c>
      <c r="O948" s="17">
        <f>IF($C948="","",IF($M948="","",IF($M948&gt;=$J948,"Yes","No")))</f>
        <v/>
      </c>
      <c r="P948" s="17">
        <f>IF($C948="","",IF($K948="","",IF(COUNTIFS(nrES_PID,$D948,nrES_Code,$F948,nrES_Att,"&gt;"&amp;$K948)=0,"Yes","No")))</f>
        <v/>
      </c>
      <c r="Q948" s="17">
        <f>IF($C948="","",IF($L948="","",IF(AND($K948=1,$L948&lt;$J948,COUNTIFS(nrES_PID,$D948,nrES_Code,$F948,nrES_Att,2)=0),"Yes","No")))</f>
        <v/>
      </c>
      <c r="R948" s="17">
        <f>IF($C948="","",IF($L948="","",IF(AND($K948=2,$L948&lt;$J948,COUNTIFS(nrES_PID,$D948,nrES_Code,$F948,nrES_Att,1)&gt;0),"Yes","No")))</f>
        <v/>
      </c>
      <c r="S948" s="18" t="n"/>
      <c r="T948" s="19">
        <f>IF($Q948&lt;&gt;"Yes","",IF($S948="","(enter date)",_xlfn.LET(_xlpm.dn,IFERROR(_xlfn.XLOOKUP($S948,nrCDdate,nrCDnum),""),IF(_xlpm.dn="","(not a class day)",IFERROR(_xlfn.XLOOKUP(_xlpm.dn+cfgRetestClassDays,nrCDnum,nrCDdate),"")))))</f>
        <v/>
      </c>
      <c r="U948" s="17">
        <f>IF($Q948&lt;&gt;"Yes","",IF(COUNTIFS(nrES_PID,$D948,nrES_Code,$F948,nrES_Att,2)&gt;0,"Retested",IF(OR($T948="",NOT(ISNUMBER($T948))),"Pending",IF(TODAY()&gt;$T948,"OVERDUE","Due "&amp;TEXT($T948,"mm/dd")))))</f>
        <v/>
      </c>
      <c r="V948" s="16" t="n"/>
      <c r="W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IF($C949="","",IF($L949="","",IF($K949=1,IF(COUNTIFS(nrES_PID,$D949,nrES_Code,$F949,nrES_Att,2)&gt;0,"",$L949),IF(COUNTIFS(nrES_PID,$D949,nrES_Code,$F949,nrES_Att,1)=0,$L949,IF($L949&gt;=$J949,cfgRetakeRecordedCap,SUMIFS(nrES_Raw,nrES_PID,$D949,nrES_Code,$F949,nrES_Att,1))))))</f>
        <v/>
      </c>
      <c r="N949" s="17">
        <f>IF($C949="","",IF($L949="","",IF($L949&gt;=$J949,"Yes","No")))</f>
        <v/>
      </c>
      <c r="O949" s="17">
        <f>IF($C949="","",IF($M949="","",IF($M949&gt;=$J949,"Yes","No")))</f>
        <v/>
      </c>
      <c r="P949" s="17">
        <f>IF($C949="","",IF($K949="","",IF(COUNTIFS(nrES_PID,$D949,nrES_Code,$F949,nrES_Att,"&gt;"&amp;$K949)=0,"Yes","No")))</f>
        <v/>
      </c>
      <c r="Q949" s="17">
        <f>IF($C949="","",IF($L949="","",IF(AND($K949=1,$L949&lt;$J949,COUNTIFS(nrES_PID,$D949,nrES_Code,$F949,nrES_Att,2)=0),"Yes","No")))</f>
        <v/>
      </c>
      <c r="R949" s="17">
        <f>IF($C949="","",IF($L949="","",IF(AND($K949=2,$L949&lt;$J949,COUNTIFS(nrES_PID,$D949,nrES_Code,$F949,nrES_Att,1)&gt;0),"Yes","No")))</f>
        <v/>
      </c>
      <c r="S949" s="18" t="n"/>
      <c r="T949" s="19">
        <f>IF($Q949&lt;&gt;"Yes","",IF($S949="","(enter date)",_xlfn.LET(_xlpm.dn,IFERROR(_xlfn.XLOOKUP($S949,nrCDdate,nrCDnum),""),IF(_xlpm.dn="","(not a class day)",IFERROR(_xlfn.XLOOKUP(_xlpm.dn+cfgRetestClassDays,nrCDnum,nrCDdate),"")))))</f>
        <v/>
      </c>
      <c r="U949" s="17">
        <f>IF($Q949&lt;&gt;"Yes","",IF(COUNTIFS(nrES_PID,$D949,nrES_Code,$F949,nrES_Att,2)&gt;0,"Retested",IF(OR($T949="",NOT(ISNUMBER($T949))),"Pending",IF(TODAY()&gt;$T949,"OVERDUE","Due "&amp;TEXT($T949,"mm/dd")))))</f>
        <v/>
      </c>
      <c r="V949" s="16" t="n"/>
      <c r="W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IF($C950="","",IF($L950="","",IF($K950=1,IF(COUNTIFS(nrES_PID,$D950,nrES_Code,$F950,nrES_Att,2)&gt;0,"",$L950),IF(COUNTIFS(nrES_PID,$D950,nrES_Code,$F950,nrES_Att,1)=0,$L950,IF($L950&gt;=$J950,cfgRetakeRecordedCap,SUMIFS(nrES_Raw,nrES_PID,$D950,nrES_Code,$F950,nrES_Att,1))))))</f>
        <v/>
      </c>
      <c r="N950" s="17">
        <f>IF($C950="","",IF($L950="","",IF($L950&gt;=$J950,"Yes","No")))</f>
        <v/>
      </c>
      <c r="O950" s="17">
        <f>IF($C950="","",IF($M950="","",IF($M950&gt;=$J950,"Yes","No")))</f>
        <v/>
      </c>
      <c r="P950" s="17">
        <f>IF($C950="","",IF($K950="","",IF(COUNTIFS(nrES_PID,$D950,nrES_Code,$F950,nrES_Att,"&gt;"&amp;$K950)=0,"Yes","No")))</f>
        <v/>
      </c>
      <c r="Q950" s="17">
        <f>IF($C950="","",IF($L950="","",IF(AND($K950=1,$L950&lt;$J950,COUNTIFS(nrES_PID,$D950,nrES_Code,$F950,nrES_Att,2)=0),"Yes","No")))</f>
        <v/>
      </c>
      <c r="R950" s="17">
        <f>IF($C950="","",IF($L950="","",IF(AND($K950=2,$L950&lt;$J950,COUNTIFS(nrES_PID,$D950,nrES_Code,$F950,nrES_Att,1)&gt;0),"Yes","No")))</f>
        <v/>
      </c>
      <c r="S950" s="18" t="n"/>
      <c r="T950" s="19">
        <f>IF($Q950&lt;&gt;"Yes","",IF($S950="","(enter date)",_xlfn.LET(_xlpm.dn,IFERROR(_xlfn.XLOOKUP($S950,nrCDdate,nrCDnum),""),IF(_xlpm.dn="","(not a class day)",IFERROR(_xlfn.XLOOKUP(_xlpm.dn+cfgRetestClassDays,nrCDnum,nrCDdate),"")))))</f>
        <v/>
      </c>
      <c r="U950" s="17">
        <f>IF($Q950&lt;&gt;"Yes","",IF(COUNTIFS(nrES_PID,$D950,nrES_Code,$F950,nrES_Att,2)&gt;0,"Retested",IF(OR($T950="",NOT(ISNUMBER($T950))),"Pending",IF(TODAY()&gt;$T950,"OVERDUE","Due "&amp;TEXT($T950,"mm/dd")))))</f>
        <v/>
      </c>
      <c r="V950" s="16" t="n"/>
      <c r="W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IF($C951="","",IF($L951="","",IF($K951=1,IF(COUNTIFS(nrES_PID,$D951,nrES_Code,$F951,nrES_Att,2)&gt;0,"",$L951),IF(COUNTIFS(nrES_PID,$D951,nrES_Code,$F951,nrES_Att,1)=0,$L951,IF($L951&gt;=$J951,cfgRetakeRecordedCap,SUMIFS(nrES_Raw,nrES_PID,$D951,nrES_Code,$F951,nrES_Att,1))))))</f>
        <v/>
      </c>
      <c r="N951" s="17">
        <f>IF($C951="","",IF($L951="","",IF($L951&gt;=$J951,"Yes","No")))</f>
        <v/>
      </c>
      <c r="O951" s="17">
        <f>IF($C951="","",IF($M951="","",IF($M951&gt;=$J951,"Yes","No")))</f>
        <v/>
      </c>
      <c r="P951" s="17">
        <f>IF($C951="","",IF($K951="","",IF(COUNTIFS(nrES_PID,$D951,nrES_Code,$F951,nrES_Att,"&gt;"&amp;$K951)=0,"Yes","No")))</f>
        <v/>
      </c>
      <c r="Q951" s="17">
        <f>IF($C951="","",IF($L951="","",IF(AND($K951=1,$L951&lt;$J951,COUNTIFS(nrES_PID,$D951,nrES_Code,$F951,nrES_Att,2)=0),"Yes","No")))</f>
        <v/>
      </c>
      <c r="R951" s="17">
        <f>IF($C951="","",IF($L951="","",IF(AND($K951=2,$L951&lt;$J951,COUNTIFS(nrES_PID,$D951,nrES_Code,$F951,nrES_Att,1)&gt;0),"Yes","No")))</f>
        <v/>
      </c>
      <c r="S951" s="18" t="n"/>
      <c r="T951" s="19">
        <f>IF($Q951&lt;&gt;"Yes","",IF($S951="","(enter date)",_xlfn.LET(_xlpm.dn,IFERROR(_xlfn.XLOOKUP($S951,nrCDdate,nrCDnum),""),IF(_xlpm.dn="","(not a class day)",IFERROR(_xlfn.XLOOKUP(_xlpm.dn+cfgRetestClassDays,nrCDnum,nrCDdate),"")))))</f>
        <v/>
      </c>
      <c r="U951" s="17">
        <f>IF($Q951&lt;&gt;"Yes","",IF(COUNTIFS(nrES_PID,$D951,nrES_Code,$F951,nrES_Att,2)&gt;0,"Retested",IF(OR($T951="",NOT(ISNUMBER($T951))),"Pending",IF(TODAY()&gt;$T951,"OVERDUE","Due "&amp;TEXT($T951,"mm/dd")))))</f>
        <v/>
      </c>
      <c r="V951" s="16" t="n"/>
      <c r="W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IF($C952="","",IF($L952="","",IF($K952=1,IF(COUNTIFS(nrES_PID,$D952,nrES_Code,$F952,nrES_Att,2)&gt;0,"",$L952),IF(COUNTIFS(nrES_PID,$D952,nrES_Code,$F952,nrES_Att,1)=0,$L952,IF($L952&gt;=$J952,cfgRetakeRecordedCap,SUMIFS(nrES_Raw,nrES_PID,$D952,nrES_Code,$F952,nrES_Att,1))))))</f>
        <v/>
      </c>
      <c r="N952" s="17">
        <f>IF($C952="","",IF($L952="","",IF($L952&gt;=$J952,"Yes","No")))</f>
        <v/>
      </c>
      <c r="O952" s="17">
        <f>IF($C952="","",IF($M952="","",IF($M952&gt;=$J952,"Yes","No")))</f>
        <v/>
      </c>
      <c r="P952" s="17">
        <f>IF($C952="","",IF($K952="","",IF(COUNTIFS(nrES_PID,$D952,nrES_Code,$F952,nrES_Att,"&gt;"&amp;$K952)=0,"Yes","No")))</f>
        <v/>
      </c>
      <c r="Q952" s="17">
        <f>IF($C952="","",IF($L952="","",IF(AND($K952=1,$L952&lt;$J952,COUNTIFS(nrES_PID,$D952,nrES_Code,$F952,nrES_Att,2)=0),"Yes","No")))</f>
        <v/>
      </c>
      <c r="R952" s="17">
        <f>IF($C952="","",IF($L952="","",IF(AND($K952=2,$L952&lt;$J952,COUNTIFS(nrES_PID,$D952,nrES_Code,$F952,nrES_Att,1)&gt;0),"Yes","No")))</f>
        <v/>
      </c>
      <c r="S952" s="18" t="n"/>
      <c r="T952" s="19">
        <f>IF($Q952&lt;&gt;"Yes","",IF($S952="","(enter date)",_xlfn.LET(_xlpm.dn,IFERROR(_xlfn.XLOOKUP($S952,nrCDdate,nrCDnum),""),IF(_xlpm.dn="","(not a class day)",IFERROR(_xlfn.XLOOKUP(_xlpm.dn+cfgRetestClassDays,nrCDnum,nrCDdate),"")))))</f>
        <v/>
      </c>
      <c r="U952" s="17">
        <f>IF($Q952&lt;&gt;"Yes","",IF(COUNTIFS(nrES_PID,$D952,nrES_Code,$F952,nrES_Att,2)&gt;0,"Retested",IF(OR($T952="",NOT(ISNUMBER($T952))),"Pending",IF(TODAY()&gt;$T952,"OVERDUE","Due "&amp;TEXT($T952,"mm/dd")))))</f>
        <v/>
      </c>
      <c r="V952" s="16" t="n"/>
      <c r="W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IF($C953="","",IF($L953="","",IF($K953=1,IF(COUNTIFS(nrES_PID,$D953,nrES_Code,$F953,nrES_Att,2)&gt;0,"",$L953),IF(COUNTIFS(nrES_PID,$D953,nrES_Code,$F953,nrES_Att,1)=0,$L953,IF($L953&gt;=$J953,cfgRetakeRecordedCap,SUMIFS(nrES_Raw,nrES_PID,$D953,nrES_Code,$F953,nrES_Att,1))))))</f>
        <v/>
      </c>
      <c r="N953" s="17">
        <f>IF($C953="","",IF($L953="","",IF($L953&gt;=$J953,"Yes","No")))</f>
        <v/>
      </c>
      <c r="O953" s="17">
        <f>IF($C953="","",IF($M953="","",IF($M953&gt;=$J953,"Yes","No")))</f>
        <v/>
      </c>
      <c r="P953" s="17">
        <f>IF($C953="","",IF($K953="","",IF(COUNTIFS(nrES_PID,$D953,nrES_Code,$F953,nrES_Att,"&gt;"&amp;$K953)=0,"Yes","No")))</f>
        <v/>
      </c>
      <c r="Q953" s="17">
        <f>IF($C953="","",IF($L953="","",IF(AND($K953=1,$L953&lt;$J953,COUNTIFS(nrES_PID,$D953,nrES_Code,$F953,nrES_Att,2)=0),"Yes","No")))</f>
        <v/>
      </c>
      <c r="R953" s="17">
        <f>IF($C953="","",IF($L953="","",IF(AND($K953=2,$L953&lt;$J953,COUNTIFS(nrES_PID,$D953,nrES_Code,$F953,nrES_Att,1)&gt;0),"Yes","No")))</f>
        <v/>
      </c>
      <c r="S953" s="18" t="n"/>
      <c r="T953" s="19">
        <f>IF($Q953&lt;&gt;"Yes","",IF($S953="","(enter date)",_xlfn.LET(_xlpm.dn,IFERROR(_xlfn.XLOOKUP($S953,nrCDdate,nrCDnum),""),IF(_xlpm.dn="","(not a class day)",IFERROR(_xlfn.XLOOKUP(_xlpm.dn+cfgRetestClassDays,nrCDnum,nrCDdate),"")))))</f>
        <v/>
      </c>
      <c r="U953" s="17">
        <f>IF($Q953&lt;&gt;"Yes","",IF(COUNTIFS(nrES_PID,$D953,nrES_Code,$F953,nrES_Att,2)&gt;0,"Retested",IF(OR($T953="",NOT(ISNUMBER($T953))),"Pending",IF(TODAY()&gt;$T953,"OVERDUE","Due "&amp;TEXT($T953,"mm/dd")))))</f>
        <v/>
      </c>
      <c r="V953" s="16" t="n"/>
      <c r="W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IF($C954="","",IF($L954="","",IF($K954=1,IF(COUNTIFS(nrES_PID,$D954,nrES_Code,$F954,nrES_Att,2)&gt;0,"",$L954),IF(COUNTIFS(nrES_PID,$D954,nrES_Code,$F954,nrES_Att,1)=0,$L954,IF($L954&gt;=$J954,cfgRetakeRecordedCap,SUMIFS(nrES_Raw,nrES_PID,$D954,nrES_Code,$F954,nrES_Att,1))))))</f>
        <v/>
      </c>
      <c r="N954" s="17">
        <f>IF($C954="","",IF($L954="","",IF($L954&gt;=$J954,"Yes","No")))</f>
        <v/>
      </c>
      <c r="O954" s="17">
        <f>IF($C954="","",IF($M954="","",IF($M954&gt;=$J954,"Yes","No")))</f>
        <v/>
      </c>
      <c r="P954" s="17">
        <f>IF($C954="","",IF($K954="","",IF(COUNTIFS(nrES_PID,$D954,nrES_Code,$F954,nrES_Att,"&gt;"&amp;$K954)=0,"Yes","No")))</f>
        <v/>
      </c>
      <c r="Q954" s="17">
        <f>IF($C954="","",IF($L954="","",IF(AND($K954=1,$L954&lt;$J954,COUNTIFS(nrES_PID,$D954,nrES_Code,$F954,nrES_Att,2)=0),"Yes","No")))</f>
        <v/>
      </c>
      <c r="R954" s="17">
        <f>IF($C954="","",IF($L954="","",IF(AND($K954=2,$L954&lt;$J954,COUNTIFS(nrES_PID,$D954,nrES_Code,$F954,nrES_Att,1)&gt;0),"Yes","No")))</f>
        <v/>
      </c>
      <c r="S954" s="18" t="n"/>
      <c r="T954" s="19">
        <f>IF($Q954&lt;&gt;"Yes","",IF($S954="","(enter date)",_xlfn.LET(_xlpm.dn,IFERROR(_xlfn.XLOOKUP($S954,nrCDdate,nrCDnum),""),IF(_xlpm.dn="","(not a class day)",IFERROR(_xlfn.XLOOKUP(_xlpm.dn+cfgRetestClassDays,nrCDnum,nrCDdate),"")))))</f>
        <v/>
      </c>
      <c r="U954" s="17">
        <f>IF($Q954&lt;&gt;"Yes","",IF(COUNTIFS(nrES_PID,$D954,nrES_Code,$F954,nrES_Att,2)&gt;0,"Retested",IF(OR($T954="",NOT(ISNUMBER($T954))),"Pending",IF(TODAY()&gt;$T954,"OVERDUE","Due "&amp;TEXT($T954,"mm/dd")))))</f>
        <v/>
      </c>
      <c r="V954" s="16" t="n"/>
      <c r="W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IF($C955="","",IF($L955="","",IF($K955=1,IF(COUNTIFS(nrES_PID,$D955,nrES_Code,$F955,nrES_Att,2)&gt;0,"",$L955),IF(COUNTIFS(nrES_PID,$D955,nrES_Code,$F955,nrES_Att,1)=0,$L955,IF($L955&gt;=$J955,cfgRetakeRecordedCap,SUMIFS(nrES_Raw,nrES_PID,$D955,nrES_Code,$F955,nrES_Att,1))))))</f>
        <v/>
      </c>
      <c r="N955" s="17">
        <f>IF($C955="","",IF($L955="","",IF($L955&gt;=$J955,"Yes","No")))</f>
        <v/>
      </c>
      <c r="O955" s="17">
        <f>IF($C955="","",IF($M955="","",IF($M955&gt;=$J955,"Yes","No")))</f>
        <v/>
      </c>
      <c r="P955" s="17">
        <f>IF($C955="","",IF($K955="","",IF(COUNTIFS(nrES_PID,$D955,nrES_Code,$F955,nrES_Att,"&gt;"&amp;$K955)=0,"Yes","No")))</f>
        <v/>
      </c>
      <c r="Q955" s="17">
        <f>IF($C955="","",IF($L955="","",IF(AND($K955=1,$L955&lt;$J955,COUNTIFS(nrES_PID,$D955,nrES_Code,$F955,nrES_Att,2)=0),"Yes","No")))</f>
        <v/>
      </c>
      <c r="R955" s="17">
        <f>IF($C955="","",IF($L955="","",IF(AND($K955=2,$L955&lt;$J955,COUNTIFS(nrES_PID,$D955,nrES_Code,$F955,nrES_Att,1)&gt;0),"Yes","No")))</f>
        <v/>
      </c>
      <c r="S955" s="18" t="n"/>
      <c r="T955" s="19">
        <f>IF($Q955&lt;&gt;"Yes","",IF($S955="","(enter date)",_xlfn.LET(_xlpm.dn,IFERROR(_xlfn.XLOOKUP($S955,nrCDdate,nrCDnum),""),IF(_xlpm.dn="","(not a class day)",IFERROR(_xlfn.XLOOKUP(_xlpm.dn+cfgRetestClassDays,nrCDnum,nrCDdate),"")))))</f>
        <v/>
      </c>
      <c r="U955" s="17">
        <f>IF($Q955&lt;&gt;"Yes","",IF(COUNTIFS(nrES_PID,$D955,nrES_Code,$F955,nrES_Att,2)&gt;0,"Retested",IF(OR($T955="",NOT(ISNUMBER($T955))),"Pending",IF(TODAY()&gt;$T955,"OVERDUE","Due "&amp;TEXT($T955,"mm/dd")))))</f>
        <v/>
      </c>
      <c r="V955" s="16" t="n"/>
      <c r="W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IF($C956="","",IF($L956="","",IF($K956=1,IF(COUNTIFS(nrES_PID,$D956,nrES_Code,$F956,nrES_Att,2)&gt;0,"",$L956),IF(COUNTIFS(nrES_PID,$D956,nrES_Code,$F956,nrES_Att,1)=0,$L956,IF($L956&gt;=$J956,cfgRetakeRecordedCap,SUMIFS(nrES_Raw,nrES_PID,$D956,nrES_Code,$F956,nrES_Att,1))))))</f>
        <v/>
      </c>
      <c r="N956" s="17">
        <f>IF($C956="","",IF($L956="","",IF($L956&gt;=$J956,"Yes","No")))</f>
        <v/>
      </c>
      <c r="O956" s="17">
        <f>IF($C956="","",IF($M956="","",IF($M956&gt;=$J956,"Yes","No")))</f>
        <v/>
      </c>
      <c r="P956" s="17">
        <f>IF($C956="","",IF($K956="","",IF(COUNTIFS(nrES_PID,$D956,nrES_Code,$F956,nrES_Att,"&gt;"&amp;$K956)=0,"Yes","No")))</f>
        <v/>
      </c>
      <c r="Q956" s="17">
        <f>IF($C956="","",IF($L956="","",IF(AND($K956=1,$L956&lt;$J956,COUNTIFS(nrES_PID,$D956,nrES_Code,$F956,nrES_Att,2)=0),"Yes","No")))</f>
        <v/>
      </c>
      <c r="R956" s="17">
        <f>IF($C956="","",IF($L956="","",IF(AND($K956=2,$L956&lt;$J956,COUNTIFS(nrES_PID,$D956,nrES_Code,$F956,nrES_Att,1)&gt;0),"Yes","No")))</f>
        <v/>
      </c>
      <c r="S956" s="18" t="n"/>
      <c r="T956" s="19">
        <f>IF($Q956&lt;&gt;"Yes","",IF($S956="","(enter date)",_xlfn.LET(_xlpm.dn,IFERROR(_xlfn.XLOOKUP($S956,nrCDdate,nrCDnum),""),IF(_xlpm.dn="","(not a class day)",IFERROR(_xlfn.XLOOKUP(_xlpm.dn+cfgRetestClassDays,nrCDnum,nrCDdate),"")))))</f>
        <v/>
      </c>
      <c r="U956" s="17">
        <f>IF($Q956&lt;&gt;"Yes","",IF(COUNTIFS(nrES_PID,$D956,nrES_Code,$F956,nrES_Att,2)&gt;0,"Retested",IF(OR($T956="",NOT(ISNUMBER($T956))),"Pending",IF(TODAY()&gt;$T956,"OVERDUE","Due "&amp;TEXT($T956,"mm/dd")))))</f>
        <v/>
      </c>
      <c r="V956" s="16" t="n"/>
      <c r="W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IF($C957="","",IF($L957="","",IF($K957=1,IF(COUNTIFS(nrES_PID,$D957,nrES_Code,$F957,nrES_Att,2)&gt;0,"",$L957),IF(COUNTIFS(nrES_PID,$D957,nrES_Code,$F957,nrES_Att,1)=0,$L957,IF($L957&gt;=$J957,cfgRetakeRecordedCap,SUMIFS(nrES_Raw,nrES_PID,$D957,nrES_Code,$F957,nrES_Att,1))))))</f>
        <v/>
      </c>
      <c r="N957" s="17">
        <f>IF($C957="","",IF($L957="","",IF($L957&gt;=$J957,"Yes","No")))</f>
        <v/>
      </c>
      <c r="O957" s="17">
        <f>IF($C957="","",IF($M957="","",IF($M957&gt;=$J957,"Yes","No")))</f>
        <v/>
      </c>
      <c r="P957" s="17">
        <f>IF($C957="","",IF($K957="","",IF(COUNTIFS(nrES_PID,$D957,nrES_Code,$F957,nrES_Att,"&gt;"&amp;$K957)=0,"Yes","No")))</f>
        <v/>
      </c>
      <c r="Q957" s="17">
        <f>IF($C957="","",IF($L957="","",IF(AND($K957=1,$L957&lt;$J957,COUNTIFS(nrES_PID,$D957,nrES_Code,$F957,nrES_Att,2)=0),"Yes","No")))</f>
        <v/>
      </c>
      <c r="R957" s="17">
        <f>IF($C957="","",IF($L957="","",IF(AND($K957=2,$L957&lt;$J957,COUNTIFS(nrES_PID,$D957,nrES_Code,$F957,nrES_Att,1)&gt;0),"Yes","No")))</f>
        <v/>
      </c>
      <c r="S957" s="18" t="n"/>
      <c r="T957" s="19">
        <f>IF($Q957&lt;&gt;"Yes","",IF($S957="","(enter date)",_xlfn.LET(_xlpm.dn,IFERROR(_xlfn.XLOOKUP($S957,nrCDdate,nrCDnum),""),IF(_xlpm.dn="","(not a class day)",IFERROR(_xlfn.XLOOKUP(_xlpm.dn+cfgRetestClassDays,nrCDnum,nrCDdate),"")))))</f>
        <v/>
      </c>
      <c r="U957" s="17">
        <f>IF($Q957&lt;&gt;"Yes","",IF(COUNTIFS(nrES_PID,$D957,nrES_Code,$F957,nrES_Att,2)&gt;0,"Retested",IF(OR($T957="",NOT(ISNUMBER($T957))),"Pending",IF(TODAY()&gt;$T957,"OVERDUE","Due "&amp;TEXT($T957,"mm/dd")))))</f>
        <v/>
      </c>
      <c r="V957" s="16" t="n"/>
      <c r="W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IF($C958="","",IF($L958="","",IF($K958=1,IF(COUNTIFS(nrES_PID,$D958,nrES_Code,$F958,nrES_Att,2)&gt;0,"",$L958),IF(COUNTIFS(nrES_PID,$D958,nrES_Code,$F958,nrES_Att,1)=0,$L958,IF($L958&gt;=$J958,cfgRetakeRecordedCap,SUMIFS(nrES_Raw,nrES_PID,$D958,nrES_Code,$F958,nrES_Att,1))))))</f>
        <v/>
      </c>
      <c r="N958" s="17">
        <f>IF($C958="","",IF($L958="","",IF($L958&gt;=$J958,"Yes","No")))</f>
        <v/>
      </c>
      <c r="O958" s="17">
        <f>IF($C958="","",IF($M958="","",IF($M958&gt;=$J958,"Yes","No")))</f>
        <v/>
      </c>
      <c r="P958" s="17">
        <f>IF($C958="","",IF($K958="","",IF(COUNTIFS(nrES_PID,$D958,nrES_Code,$F958,nrES_Att,"&gt;"&amp;$K958)=0,"Yes","No")))</f>
        <v/>
      </c>
      <c r="Q958" s="17">
        <f>IF($C958="","",IF($L958="","",IF(AND($K958=1,$L958&lt;$J958,COUNTIFS(nrES_PID,$D958,nrES_Code,$F958,nrES_Att,2)=0),"Yes","No")))</f>
        <v/>
      </c>
      <c r="R958" s="17">
        <f>IF($C958="","",IF($L958="","",IF(AND($K958=2,$L958&lt;$J958,COUNTIFS(nrES_PID,$D958,nrES_Code,$F958,nrES_Att,1)&gt;0),"Yes","No")))</f>
        <v/>
      </c>
      <c r="S958" s="18" t="n"/>
      <c r="T958" s="19">
        <f>IF($Q958&lt;&gt;"Yes","",IF($S958="","(enter date)",_xlfn.LET(_xlpm.dn,IFERROR(_xlfn.XLOOKUP($S958,nrCDdate,nrCDnum),""),IF(_xlpm.dn="","(not a class day)",IFERROR(_xlfn.XLOOKUP(_xlpm.dn+cfgRetestClassDays,nrCDnum,nrCDdate),"")))))</f>
        <v/>
      </c>
      <c r="U958" s="17">
        <f>IF($Q958&lt;&gt;"Yes","",IF(COUNTIFS(nrES_PID,$D958,nrES_Code,$F958,nrES_Att,2)&gt;0,"Retested",IF(OR($T958="",NOT(ISNUMBER($T958))),"Pending",IF(TODAY()&gt;$T958,"OVERDUE","Due "&amp;TEXT($T958,"mm/dd")))))</f>
        <v/>
      </c>
      <c r="V958" s="16" t="n"/>
      <c r="W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IF($C959="","",IF($L959="","",IF($K959=1,IF(COUNTIFS(nrES_PID,$D959,nrES_Code,$F959,nrES_Att,2)&gt;0,"",$L959),IF(COUNTIFS(nrES_PID,$D959,nrES_Code,$F959,nrES_Att,1)=0,$L959,IF($L959&gt;=$J959,cfgRetakeRecordedCap,SUMIFS(nrES_Raw,nrES_PID,$D959,nrES_Code,$F959,nrES_Att,1))))))</f>
        <v/>
      </c>
      <c r="N959" s="17">
        <f>IF($C959="","",IF($L959="","",IF($L959&gt;=$J959,"Yes","No")))</f>
        <v/>
      </c>
      <c r="O959" s="17">
        <f>IF($C959="","",IF($M959="","",IF($M959&gt;=$J959,"Yes","No")))</f>
        <v/>
      </c>
      <c r="P959" s="17">
        <f>IF($C959="","",IF($K959="","",IF(COUNTIFS(nrES_PID,$D959,nrES_Code,$F959,nrES_Att,"&gt;"&amp;$K959)=0,"Yes","No")))</f>
        <v/>
      </c>
      <c r="Q959" s="17">
        <f>IF($C959="","",IF($L959="","",IF(AND($K959=1,$L959&lt;$J959,COUNTIFS(nrES_PID,$D959,nrES_Code,$F959,nrES_Att,2)=0),"Yes","No")))</f>
        <v/>
      </c>
      <c r="R959" s="17">
        <f>IF($C959="","",IF($L959="","",IF(AND($K959=2,$L959&lt;$J959,COUNTIFS(nrES_PID,$D959,nrES_Code,$F959,nrES_Att,1)&gt;0),"Yes","No")))</f>
        <v/>
      </c>
      <c r="S959" s="18" t="n"/>
      <c r="T959" s="19">
        <f>IF($Q959&lt;&gt;"Yes","",IF($S959="","(enter date)",_xlfn.LET(_xlpm.dn,IFERROR(_xlfn.XLOOKUP($S959,nrCDdate,nrCDnum),""),IF(_xlpm.dn="","(not a class day)",IFERROR(_xlfn.XLOOKUP(_xlpm.dn+cfgRetestClassDays,nrCDnum,nrCDdate),"")))))</f>
        <v/>
      </c>
      <c r="U959" s="17">
        <f>IF($Q959&lt;&gt;"Yes","",IF(COUNTIFS(nrES_PID,$D959,nrES_Code,$F959,nrES_Att,2)&gt;0,"Retested",IF(OR($T959="",NOT(ISNUMBER($T959))),"Pending",IF(TODAY()&gt;$T959,"OVERDUE","Due "&amp;TEXT($T959,"mm/dd")))))</f>
        <v/>
      </c>
      <c r="V959" s="16" t="n"/>
      <c r="W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IF($C960="","",IF($L960="","",IF($K960=1,IF(COUNTIFS(nrES_PID,$D960,nrES_Code,$F960,nrES_Att,2)&gt;0,"",$L960),IF(COUNTIFS(nrES_PID,$D960,nrES_Code,$F960,nrES_Att,1)=0,$L960,IF($L960&gt;=$J960,cfgRetakeRecordedCap,SUMIFS(nrES_Raw,nrES_PID,$D960,nrES_Code,$F960,nrES_Att,1))))))</f>
        <v/>
      </c>
      <c r="N960" s="17">
        <f>IF($C960="","",IF($L960="","",IF($L960&gt;=$J960,"Yes","No")))</f>
        <v/>
      </c>
      <c r="O960" s="17">
        <f>IF($C960="","",IF($M960="","",IF($M960&gt;=$J960,"Yes","No")))</f>
        <v/>
      </c>
      <c r="P960" s="17">
        <f>IF($C960="","",IF($K960="","",IF(COUNTIFS(nrES_PID,$D960,nrES_Code,$F960,nrES_Att,"&gt;"&amp;$K960)=0,"Yes","No")))</f>
        <v/>
      </c>
      <c r="Q960" s="17">
        <f>IF($C960="","",IF($L960="","",IF(AND($K960=1,$L960&lt;$J960,COUNTIFS(nrES_PID,$D960,nrES_Code,$F960,nrES_Att,2)=0),"Yes","No")))</f>
        <v/>
      </c>
      <c r="R960" s="17">
        <f>IF($C960="","",IF($L960="","",IF(AND($K960=2,$L960&lt;$J960,COUNTIFS(nrES_PID,$D960,nrES_Code,$F960,nrES_Att,1)&gt;0),"Yes","No")))</f>
        <v/>
      </c>
      <c r="S960" s="18" t="n"/>
      <c r="T960" s="19">
        <f>IF($Q960&lt;&gt;"Yes","",IF($S960="","(enter date)",_xlfn.LET(_xlpm.dn,IFERROR(_xlfn.XLOOKUP($S960,nrCDdate,nrCDnum),""),IF(_xlpm.dn="","(not a class day)",IFERROR(_xlfn.XLOOKUP(_xlpm.dn+cfgRetestClassDays,nrCDnum,nrCDdate),"")))))</f>
        <v/>
      </c>
      <c r="U960" s="17">
        <f>IF($Q960&lt;&gt;"Yes","",IF(COUNTIFS(nrES_PID,$D960,nrES_Code,$F960,nrES_Att,2)&gt;0,"Retested",IF(OR($T960="",NOT(ISNUMBER($T960))),"Pending",IF(TODAY()&gt;$T960,"OVERDUE","Due "&amp;TEXT($T960,"mm/dd")))))</f>
        <v/>
      </c>
      <c r="V960" s="16" t="n"/>
      <c r="W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IF($C961="","",IF($L961="","",IF($K961=1,IF(COUNTIFS(nrES_PID,$D961,nrES_Code,$F961,nrES_Att,2)&gt;0,"",$L961),IF(COUNTIFS(nrES_PID,$D961,nrES_Code,$F961,nrES_Att,1)=0,$L961,IF($L961&gt;=$J961,cfgRetakeRecordedCap,SUMIFS(nrES_Raw,nrES_PID,$D961,nrES_Code,$F961,nrES_Att,1))))))</f>
        <v/>
      </c>
      <c r="N961" s="17">
        <f>IF($C961="","",IF($L961="","",IF($L961&gt;=$J961,"Yes","No")))</f>
        <v/>
      </c>
      <c r="O961" s="17">
        <f>IF($C961="","",IF($M961="","",IF($M961&gt;=$J961,"Yes","No")))</f>
        <v/>
      </c>
      <c r="P961" s="17">
        <f>IF($C961="","",IF($K961="","",IF(COUNTIFS(nrES_PID,$D961,nrES_Code,$F961,nrES_Att,"&gt;"&amp;$K961)=0,"Yes","No")))</f>
        <v/>
      </c>
      <c r="Q961" s="17">
        <f>IF($C961="","",IF($L961="","",IF(AND($K961=1,$L961&lt;$J961,COUNTIFS(nrES_PID,$D961,nrES_Code,$F961,nrES_Att,2)=0),"Yes","No")))</f>
        <v/>
      </c>
      <c r="R961" s="17">
        <f>IF($C961="","",IF($L961="","",IF(AND($K961=2,$L961&lt;$J961,COUNTIFS(nrES_PID,$D961,nrES_Code,$F961,nrES_Att,1)&gt;0),"Yes","No")))</f>
        <v/>
      </c>
      <c r="S961" s="18" t="n"/>
      <c r="T961" s="19">
        <f>IF($Q961&lt;&gt;"Yes","",IF($S961="","(enter date)",_xlfn.LET(_xlpm.dn,IFERROR(_xlfn.XLOOKUP($S961,nrCDdate,nrCDnum),""),IF(_xlpm.dn="","(not a class day)",IFERROR(_xlfn.XLOOKUP(_xlpm.dn+cfgRetestClassDays,nrCDnum,nrCDdate),"")))))</f>
        <v/>
      </c>
      <c r="U961" s="17">
        <f>IF($Q961&lt;&gt;"Yes","",IF(COUNTIFS(nrES_PID,$D961,nrES_Code,$F961,nrES_Att,2)&gt;0,"Retested",IF(OR($T961="",NOT(ISNUMBER($T961))),"Pending",IF(TODAY()&gt;$T961,"OVERDUE","Due "&amp;TEXT($T961,"mm/dd")))))</f>
        <v/>
      </c>
      <c r="V961" s="16" t="n"/>
      <c r="W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IF($C962="","",IF($L962="","",IF($K962=1,IF(COUNTIFS(nrES_PID,$D962,nrES_Code,$F962,nrES_Att,2)&gt;0,"",$L962),IF(COUNTIFS(nrES_PID,$D962,nrES_Code,$F962,nrES_Att,1)=0,$L962,IF($L962&gt;=$J962,cfgRetakeRecordedCap,SUMIFS(nrES_Raw,nrES_PID,$D962,nrES_Code,$F962,nrES_Att,1))))))</f>
        <v/>
      </c>
      <c r="N962" s="17">
        <f>IF($C962="","",IF($L962="","",IF($L962&gt;=$J962,"Yes","No")))</f>
        <v/>
      </c>
      <c r="O962" s="17">
        <f>IF($C962="","",IF($M962="","",IF($M962&gt;=$J962,"Yes","No")))</f>
        <v/>
      </c>
      <c r="P962" s="17">
        <f>IF($C962="","",IF($K962="","",IF(COUNTIFS(nrES_PID,$D962,nrES_Code,$F962,nrES_Att,"&gt;"&amp;$K962)=0,"Yes","No")))</f>
        <v/>
      </c>
      <c r="Q962" s="17">
        <f>IF($C962="","",IF($L962="","",IF(AND($K962=1,$L962&lt;$J962,COUNTIFS(nrES_PID,$D962,nrES_Code,$F962,nrES_Att,2)=0),"Yes","No")))</f>
        <v/>
      </c>
      <c r="R962" s="17">
        <f>IF($C962="","",IF($L962="","",IF(AND($K962=2,$L962&lt;$J962,COUNTIFS(nrES_PID,$D962,nrES_Code,$F962,nrES_Att,1)&gt;0),"Yes","No")))</f>
        <v/>
      </c>
      <c r="S962" s="18" t="n"/>
      <c r="T962" s="19">
        <f>IF($Q962&lt;&gt;"Yes","",IF($S962="","(enter date)",_xlfn.LET(_xlpm.dn,IFERROR(_xlfn.XLOOKUP($S962,nrCDdate,nrCDnum),""),IF(_xlpm.dn="","(not a class day)",IFERROR(_xlfn.XLOOKUP(_xlpm.dn+cfgRetestClassDays,nrCDnum,nrCDdate),"")))))</f>
        <v/>
      </c>
      <c r="U962" s="17">
        <f>IF($Q962&lt;&gt;"Yes","",IF(COUNTIFS(nrES_PID,$D962,nrES_Code,$F962,nrES_Att,2)&gt;0,"Retested",IF(OR($T962="",NOT(ISNUMBER($T962))),"Pending",IF(TODAY()&gt;$T962,"OVERDUE","Due "&amp;TEXT($T962,"mm/dd")))))</f>
        <v/>
      </c>
      <c r="V962" s="16" t="n"/>
      <c r="W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IF($C963="","",IF($L963="","",IF($K963=1,IF(COUNTIFS(nrES_PID,$D963,nrES_Code,$F963,nrES_Att,2)&gt;0,"",$L963),IF(COUNTIFS(nrES_PID,$D963,nrES_Code,$F963,nrES_Att,1)=0,$L963,IF($L963&gt;=$J963,cfgRetakeRecordedCap,SUMIFS(nrES_Raw,nrES_PID,$D963,nrES_Code,$F963,nrES_Att,1))))))</f>
        <v/>
      </c>
      <c r="N963" s="17">
        <f>IF($C963="","",IF($L963="","",IF($L963&gt;=$J963,"Yes","No")))</f>
        <v/>
      </c>
      <c r="O963" s="17">
        <f>IF($C963="","",IF($M963="","",IF($M963&gt;=$J963,"Yes","No")))</f>
        <v/>
      </c>
      <c r="P963" s="17">
        <f>IF($C963="","",IF($K963="","",IF(COUNTIFS(nrES_PID,$D963,nrES_Code,$F963,nrES_Att,"&gt;"&amp;$K963)=0,"Yes","No")))</f>
        <v/>
      </c>
      <c r="Q963" s="17">
        <f>IF($C963="","",IF($L963="","",IF(AND($K963=1,$L963&lt;$J963,COUNTIFS(nrES_PID,$D963,nrES_Code,$F963,nrES_Att,2)=0),"Yes","No")))</f>
        <v/>
      </c>
      <c r="R963" s="17">
        <f>IF($C963="","",IF($L963="","",IF(AND($K963=2,$L963&lt;$J963,COUNTIFS(nrES_PID,$D963,nrES_Code,$F963,nrES_Att,1)&gt;0),"Yes","No")))</f>
        <v/>
      </c>
      <c r="S963" s="18" t="n"/>
      <c r="T963" s="19">
        <f>IF($Q963&lt;&gt;"Yes","",IF($S963="","(enter date)",_xlfn.LET(_xlpm.dn,IFERROR(_xlfn.XLOOKUP($S963,nrCDdate,nrCDnum),""),IF(_xlpm.dn="","(not a class day)",IFERROR(_xlfn.XLOOKUP(_xlpm.dn+cfgRetestClassDays,nrCDnum,nrCDdate),"")))))</f>
        <v/>
      </c>
      <c r="U963" s="17">
        <f>IF($Q963&lt;&gt;"Yes","",IF(COUNTIFS(nrES_PID,$D963,nrES_Code,$F963,nrES_Att,2)&gt;0,"Retested",IF(OR($T963="",NOT(ISNUMBER($T963))),"Pending",IF(TODAY()&gt;$T963,"OVERDUE","Due "&amp;TEXT($T963,"mm/dd")))))</f>
        <v/>
      </c>
      <c r="V963" s="16" t="n"/>
      <c r="W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IF($C964="","",IF($L964="","",IF($K964=1,IF(COUNTIFS(nrES_PID,$D964,nrES_Code,$F964,nrES_Att,2)&gt;0,"",$L964),IF(COUNTIFS(nrES_PID,$D964,nrES_Code,$F964,nrES_Att,1)=0,$L964,IF($L964&gt;=$J964,cfgRetakeRecordedCap,SUMIFS(nrES_Raw,nrES_PID,$D964,nrES_Code,$F964,nrES_Att,1))))))</f>
        <v/>
      </c>
      <c r="N964" s="17">
        <f>IF($C964="","",IF($L964="","",IF($L964&gt;=$J964,"Yes","No")))</f>
        <v/>
      </c>
      <c r="O964" s="17">
        <f>IF($C964="","",IF($M964="","",IF($M964&gt;=$J964,"Yes","No")))</f>
        <v/>
      </c>
      <c r="P964" s="17">
        <f>IF($C964="","",IF($K964="","",IF(COUNTIFS(nrES_PID,$D964,nrES_Code,$F964,nrES_Att,"&gt;"&amp;$K964)=0,"Yes","No")))</f>
        <v/>
      </c>
      <c r="Q964" s="17">
        <f>IF($C964="","",IF($L964="","",IF(AND($K964=1,$L964&lt;$J964,COUNTIFS(nrES_PID,$D964,nrES_Code,$F964,nrES_Att,2)=0),"Yes","No")))</f>
        <v/>
      </c>
      <c r="R964" s="17">
        <f>IF($C964="","",IF($L964="","",IF(AND($K964=2,$L964&lt;$J964,COUNTIFS(nrES_PID,$D964,nrES_Code,$F964,nrES_Att,1)&gt;0),"Yes","No")))</f>
        <v/>
      </c>
      <c r="S964" s="18" t="n"/>
      <c r="T964" s="19">
        <f>IF($Q964&lt;&gt;"Yes","",IF($S964="","(enter date)",_xlfn.LET(_xlpm.dn,IFERROR(_xlfn.XLOOKUP($S964,nrCDdate,nrCDnum),""),IF(_xlpm.dn="","(not a class day)",IFERROR(_xlfn.XLOOKUP(_xlpm.dn+cfgRetestClassDays,nrCDnum,nrCDdate),"")))))</f>
        <v/>
      </c>
      <c r="U964" s="17">
        <f>IF($Q964&lt;&gt;"Yes","",IF(COUNTIFS(nrES_PID,$D964,nrES_Code,$F964,nrES_Att,2)&gt;0,"Retested",IF(OR($T964="",NOT(ISNUMBER($T964))),"Pending",IF(TODAY()&gt;$T964,"OVERDUE","Due "&amp;TEXT($T964,"mm/dd")))))</f>
        <v/>
      </c>
      <c r="V964" s="16" t="n"/>
      <c r="W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IF($C965="","",IF($L965="","",IF($K965=1,IF(COUNTIFS(nrES_PID,$D965,nrES_Code,$F965,nrES_Att,2)&gt;0,"",$L965),IF(COUNTIFS(nrES_PID,$D965,nrES_Code,$F965,nrES_Att,1)=0,$L965,IF($L965&gt;=$J965,cfgRetakeRecordedCap,SUMIFS(nrES_Raw,nrES_PID,$D965,nrES_Code,$F965,nrES_Att,1))))))</f>
        <v/>
      </c>
      <c r="N965" s="17">
        <f>IF($C965="","",IF($L965="","",IF($L965&gt;=$J965,"Yes","No")))</f>
        <v/>
      </c>
      <c r="O965" s="17">
        <f>IF($C965="","",IF($M965="","",IF($M965&gt;=$J965,"Yes","No")))</f>
        <v/>
      </c>
      <c r="P965" s="17">
        <f>IF($C965="","",IF($K965="","",IF(COUNTIFS(nrES_PID,$D965,nrES_Code,$F965,nrES_Att,"&gt;"&amp;$K965)=0,"Yes","No")))</f>
        <v/>
      </c>
      <c r="Q965" s="17">
        <f>IF($C965="","",IF($L965="","",IF(AND($K965=1,$L965&lt;$J965,COUNTIFS(nrES_PID,$D965,nrES_Code,$F965,nrES_Att,2)=0),"Yes","No")))</f>
        <v/>
      </c>
      <c r="R965" s="17">
        <f>IF($C965="","",IF($L965="","",IF(AND($K965=2,$L965&lt;$J965,COUNTIFS(nrES_PID,$D965,nrES_Code,$F965,nrES_Att,1)&gt;0),"Yes","No")))</f>
        <v/>
      </c>
      <c r="S965" s="18" t="n"/>
      <c r="T965" s="19">
        <f>IF($Q965&lt;&gt;"Yes","",IF($S965="","(enter date)",_xlfn.LET(_xlpm.dn,IFERROR(_xlfn.XLOOKUP($S965,nrCDdate,nrCDnum),""),IF(_xlpm.dn="","(not a class day)",IFERROR(_xlfn.XLOOKUP(_xlpm.dn+cfgRetestClassDays,nrCDnum,nrCDdate),"")))))</f>
        <v/>
      </c>
      <c r="U965" s="17">
        <f>IF($Q965&lt;&gt;"Yes","",IF(COUNTIFS(nrES_PID,$D965,nrES_Code,$F965,nrES_Att,2)&gt;0,"Retested",IF(OR($T965="",NOT(ISNUMBER($T965))),"Pending",IF(TODAY()&gt;$T965,"OVERDUE","Due "&amp;TEXT($T965,"mm/dd")))))</f>
        <v/>
      </c>
      <c r="V965" s="16" t="n"/>
      <c r="W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IF($C966="","",IF($L966="","",IF($K966=1,IF(COUNTIFS(nrES_PID,$D966,nrES_Code,$F966,nrES_Att,2)&gt;0,"",$L966),IF(COUNTIFS(nrES_PID,$D966,nrES_Code,$F966,nrES_Att,1)=0,$L966,IF($L966&gt;=$J966,cfgRetakeRecordedCap,SUMIFS(nrES_Raw,nrES_PID,$D966,nrES_Code,$F966,nrES_Att,1))))))</f>
        <v/>
      </c>
      <c r="N966" s="17">
        <f>IF($C966="","",IF($L966="","",IF($L966&gt;=$J966,"Yes","No")))</f>
        <v/>
      </c>
      <c r="O966" s="17">
        <f>IF($C966="","",IF($M966="","",IF($M966&gt;=$J966,"Yes","No")))</f>
        <v/>
      </c>
      <c r="P966" s="17">
        <f>IF($C966="","",IF($K966="","",IF(COUNTIFS(nrES_PID,$D966,nrES_Code,$F966,nrES_Att,"&gt;"&amp;$K966)=0,"Yes","No")))</f>
        <v/>
      </c>
      <c r="Q966" s="17">
        <f>IF($C966="","",IF($L966="","",IF(AND($K966=1,$L966&lt;$J966,COUNTIFS(nrES_PID,$D966,nrES_Code,$F966,nrES_Att,2)=0),"Yes","No")))</f>
        <v/>
      </c>
      <c r="R966" s="17">
        <f>IF($C966="","",IF($L966="","",IF(AND($K966=2,$L966&lt;$J966,COUNTIFS(nrES_PID,$D966,nrES_Code,$F966,nrES_Att,1)&gt;0),"Yes","No")))</f>
        <v/>
      </c>
      <c r="S966" s="18" t="n"/>
      <c r="T966" s="19">
        <f>IF($Q966&lt;&gt;"Yes","",IF($S966="","(enter date)",_xlfn.LET(_xlpm.dn,IFERROR(_xlfn.XLOOKUP($S966,nrCDdate,nrCDnum),""),IF(_xlpm.dn="","(not a class day)",IFERROR(_xlfn.XLOOKUP(_xlpm.dn+cfgRetestClassDays,nrCDnum,nrCDdate),"")))))</f>
        <v/>
      </c>
      <c r="U966" s="17">
        <f>IF($Q966&lt;&gt;"Yes","",IF(COUNTIFS(nrES_PID,$D966,nrES_Code,$F966,nrES_Att,2)&gt;0,"Retested",IF(OR($T966="",NOT(ISNUMBER($T966))),"Pending",IF(TODAY()&gt;$T966,"OVERDUE","Due "&amp;TEXT($T966,"mm/dd")))))</f>
        <v/>
      </c>
      <c r="V966" s="16" t="n"/>
      <c r="W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IF($C967="","",IF($L967="","",IF($K967=1,IF(COUNTIFS(nrES_PID,$D967,nrES_Code,$F967,nrES_Att,2)&gt;0,"",$L967),IF(COUNTIFS(nrES_PID,$D967,nrES_Code,$F967,nrES_Att,1)=0,$L967,IF($L967&gt;=$J967,cfgRetakeRecordedCap,SUMIFS(nrES_Raw,nrES_PID,$D967,nrES_Code,$F967,nrES_Att,1))))))</f>
        <v/>
      </c>
      <c r="N967" s="17">
        <f>IF($C967="","",IF($L967="","",IF($L967&gt;=$J967,"Yes","No")))</f>
        <v/>
      </c>
      <c r="O967" s="17">
        <f>IF($C967="","",IF($M967="","",IF($M967&gt;=$J967,"Yes","No")))</f>
        <v/>
      </c>
      <c r="P967" s="17">
        <f>IF($C967="","",IF($K967="","",IF(COUNTIFS(nrES_PID,$D967,nrES_Code,$F967,nrES_Att,"&gt;"&amp;$K967)=0,"Yes","No")))</f>
        <v/>
      </c>
      <c r="Q967" s="17">
        <f>IF($C967="","",IF($L967="","",IF(AND($K967=1,$L967&lt;$J967,COUNTIFS(nrES_PID,$D967,nrES_Code,$F967,nrES_Att,2)=0),"Yes","No")))</f>
        <v/>
      </c>
      <c r="R967" s="17">
        <f>IF($C967="","",IF($L967="","",IF(AND($K967=2,$L967&lt;$J967,COUNTIFS(nrES_PID,$D967,nrES_Code,$F967,nrES_Att,1)&gt;0),"Yes","No")))</f>
        <v/>
      </c>
      <c r="S967" s="18" t="n"/>
      <c r="T967" s="19">
        <f>IF($Q967&lt;&gt;"Yes","",IF($S967="","(enter date)",_xlfn.LET(_xlpm.dn,IFERROR(_xlfn.XLOOKUP($S967,nrCDdate,nrCDnum),""),IF(_xlpm.dn="","(not a class day)",IFERROR(_xlfn.XLOOKUP(_xlpm.dn+cfgRetestClassDays,nrCDnum,nrCDdate),"")))))</f>
        <v/>
      </c>
      <c r="U967" s="17">
        <f>IF($Q967&lt;&gt;"Yes","",IF(COUNTIFS(nrES_PID,$D967,nrES_Code,$F967,nrES_Att,2)&gt;0,"Retested",IF(OR($T967="",NOT(ISNUMBER($T967))),"Pending",IF(TODAY()&gt;$T967,"OVERDUE","Due "&amp;TEXT($T967,"mm/dd")))))</f>
        <v/>
      </c>
      <c r="V967" s="16" t="n"/>
      <c r="W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IF($C968="","",IF($L968="","",IF($K968=1,IF(COUNTIFS(nrES_PID,$D968,nrES_Code,$F968,nrES_Att,2)&gt;0,"",$L968),IF(COUNTIFS(nrES_PID,$D968,nrES_Code,$F968,nrES_Att,1)=0,$L968,IF($L968&gt;=$J968,cfgRetakeRecordedCap,SUMIFS(nrES_Raw,nrES_PID,$D968,nrES_Code,$F968,nrES_Att,1))))))</f>
        <v/>
      </c>
      <c r="N968" s="17">
        <f>IF($C968="","",IF($L968="","",IF($L968&gt;=$J968,"Yes","No")))</f>
        <v/>
      </c>
      <c r="O968" s="17">
        <f>IF($C968="","",IF($M968="","",IF($M968&gt;=$J968,"Yes","No")))</f>
        <v/>
      </c>
      <c r="P968" s="17">
        <f>IF($C968="","",IF($K968="","",IF(COUNTIFS(nrES_PID,$D968,nrES_Code,$F968,nrES_Att,"&gt;"&amp;$K968)=0,"Yes","No")))</f>
        <v/>
      </c>
      <c r="Q968" s="17">
        <f>IF($C968="","",IF($L968="","",IF(AND($K968=1,$L968&lt;$J968,COUNTIFS(nrES_PID,$D968,nrES_Code,$F968,nrES_Att,2)=0),"Yes","No")))</f>
        <v/>
      </c>
      <c r="R968" s="17">
        <f>IF($C968="","",IF($L968="","",IF(AND($K968=2,$L968&lt;$J968,COUNTIFS(nrES_PID,$D968,nrES_Code,$F968,nrES_Att,1)&gt;0),"Yes","No")))</f>
        <v/>
      </c>
      <c r="S968" s="18" t="n"/>
      <c r="T968" s="19">
        <f>IF($Q968&lt;&gt;"Yes","",IF($S968="","(enter date)",_xlfn.LET(_xlpm.dn,IFERROR(_xlfn.XLOOKUP($S968,nrCDdate,nrCDnum),""),IF(_xlpm.dn="","(not a class day)",IFERROR(_xlfn.XLOOKUP(_xlpm.dn+cfgRetestClassDays,nrCDnum,nrCDdate),"")))))</f>
        <v/>
      </c>
      <c r="U968" s="17">
        <f>IF($Q968&lt;&gt;"Yes","",IF(COUNTIFS(nrES_PID,$D968,nrES_Code,$F968,nrES_Att,2)&gt;0,"Retested",IF(OR($T968="",NOT(ISNUMBER($T968))),"Pending",IF(TODAY()&gt;$T968,"OVERDUE","Due "&amp;TEXT($T968,"mm/dd")))))</f>
        <v/>
      </c>
      <c r="V968" s="16" t="n"/>
      <c r="W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IF($C969="","",IF($L969="","",IF($K969=1,IF(COUNTIFS(nrES_PID,$D969,nrES_Code,$F969,nrES_Att,2)&gt;0,"",$L969),IF(COUNTIFS(nrES_PID,$D969,nrES_Code,$F969,nrES_Att,1)=0,$L969,IF($L969&gt;=$J969,cfgRetakeRecordedCap,SUMIFS(nrES_Raw,nrES_PID,$D969,nrES_Code,$F969,nrES_Att,1))))))</f>
        <v/>
      </c>
      <c r="N969" s="17">
        <f>IF($C969="","",IF($L969="","",IF($L969&gt;=$J969,"Yes","No")))</f>
        <v/>
      </c>
      <c r="O969" s="17">
        <f>IF($C969="","",IF($M969="","",IF($M969&gt;=$J969,"Yes","No")))</f>
        <v/>
      </c>
      <c r="P969" s="17">
        <f>IF($C969="","",IF($K969="","",IF(COUNTIFS(nrES_PID,$D969,nrES_Code,$F969,nrES_Att,"&gt;"&amp;$K969)=0,"Yes","No")))</f>
        <v/>
      </c>
      <c r="Q969" s="17">
        <f>IF($C969="","",IF($L969="","",IF(AND($K969=1,$L969&lt;$J969,COUNTIFS(nrES_PID,$D969,nrES_Code,$F969,nrES_Att,2)=0),"Yes","No")))</f>
        <v/>
      </c>
      <c r="R969" s="17">
        <f>IF($C969="","",IF($L969="","",IF(AND($K969=2,$L969&lt;$J969,COUNTIFS(nrES_PID,$D969,nrES_Code,$F969,nrES_Att,1)&gt;0),"Yes","No")))</f>
        <v/>
      </c>
      <c r="S969" s="18" t="n"/>
      <c r="T969" s="19">
        <f>IF($Q969&lt;&gt;"Yes","",IF($S969="","(enter date)",_xlfn.LET(_xlpm.dn,IFERROR(_xlfn.XLOOKUP($S969,nrCDdate,nrCDnum),""),IF(_xlpm.dn="","(not a class day)",IFERROR(_xlfn.XLOOKUP(_xlpm.dn+cfgRetestClassDays,nrCDnum,nrCDdate),"")))))</f>
        <v/>
      </c>
      <c r="U969" s="17">
        <f>IF($Q969&lt;&gt;"Yes","",IF(COUNTIFS(nrES_PID,$D969,nrES_Code,$F969,nrES_Att,2)&gt;0,"Retested",IF(OR($T969="",NOT(ISNUMBER($T969))),"Pending",IF(TODAY()&gt;$T969,"OVERDUE","Due "&amp;TEXT($T969,"mm/dd")))))</f>
        <v/>
      </c>
      <c r="V969" s="16" t="n"/>
      <c r="W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IF($C970="","",IF($L970="","",IF($K970=1,IF(COUNTIFS(nrES_PID,$D970,nrES_Code,$F970,nrES_Att,2)&gt;0,"",$L970),IF(COUNTIFS(nrES_PID,$D970,nrES_Code,$F970,nrES_Att,1)=0,$L970,IF($L970&gt;=$J970,cfgRetakeRecordedCap,SUMIFS(nrES_Raw,nrES_PID,$D970,nrES_Code,$F970,nrES_Att,1))))))</f>
        <v/>
      </c>
      <c r="N970" s="17">
        <f>IF($C970="","",IF($L970="","",IF($L970&gt;=$J970,"Yes","No")))</f>
        <v/>
      </c>
      <c r="O970" s="17">
        <f>IF($C970="","",IF($M970="","",IF($M970&gt;=$J970,"Yes","No")))</f>
        <v/>
      </c>
      <c r="P970" s="17">
        <f>IF($C970="","",IF($K970="","",IF(COUNTIFS(nrES_PID,$D970,nrES_Code,$F970,nrES_Att,"&gt;"&amp;$K970)=0,"Yes","No")))</f>
        <v/>
      </c>
      <c r="Q970" s="17">
        <f>IF($C970="","",IF($L970="","",IF(AND($K970=1,$L970&lt;$J970,COUNTIFS(nrES_PID,$D970,nrES_Code,$F970,nrES_Att,2)=0),"Yes","No")))</f>
        <v/>
      </c>
      <c r="R970" s="17">
        <f>IF($C970="","",IF($L970="","",IF(AND($K970=2,$L970&lt;$J970,COUNTIFS(nrES_PID,$D970,nrES_Code,$F970,nrES_Att,1)&gt;0),"Yes","No")))</f>
        <v/>
      </c>
      <c r="S970" s="18" t="n"/>
      <c r="T970" s="19">
        <f>IF($Q970&lt;&gt;"Yes","",IF($S970="","(enter date)",_xlfn.LET(_xlpm.dn,IFERROR(_xlfn.XLOOKUP($S970,nrCDdate,nrCDnum),""),IF(_xlpm.dn="","(not a class day)",IFERROR(_xlfn.XLOOKUP(_xlpm.dn+cfgRetestClassDays,nrCDnum,nrCDdate),"")))))</f>
        <v/>
      </c>
      <c r="U970" s="17">
        <f>IF($Q970&lt;&gt;"Yes","",IF(COUNTIFS(nrES_PID,$D970,nrES_Code,$F970,nrES_Att,2)&gt;0,"Retested",IF(OR($T970="",NOT(ISNUMBER($T970))),"Pending",IF(TODAY()&gt;$T970,"OVERDUE","Due "&amp;TEXT($T970,"mm/dd")))))</f>
        <v/>
      </c>
      <c r="V970" s="16" t="n"/>
      <c r="W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IF($C971="","",IF($L971="","",IF($K971=1,IF(COUNTIFS(nrES_PID,$D971,nrES_Code,$F971,nrES_Att,2)&gt;0,"",$L971),IF(COUNTIFS(nrES_PID,$D971,nrES_Code,$F971,nrES_Att,1)=0,$L971,IF($L971&gt;=$J971,cfgRetakeRecordedCap,SUMIFS(nrES_Raw,nrES_PID,$D971,nrES_Code,$F971,nrES_Att,1))))))</f>
        <v/>
      </c>
      <c r="N971" s="17">
        <f>IF($C971="","",IF($L971="","",IF($L971&gt;=$J971,"Yes","No")))</f>
        <v/>
      </c>
      <c r="O971" s="17">
        <f>IF($C971="","",IF($M971="","",IF($M971&gt;=$J971,"Yes","No")))</f>
        <v/>
      </c>
      <c r="P971" s="17">
        <f>IF($C971="","",IF($K971="","",IF(COUNTIFS(nrES_PID,$D971,nrES_Code,$F971,nrES_Att,"&gt;"&amp;$K971)=0,"Yes","No")))</f>
        <v/>
      </c>
      <c r="Q971" s="17">
        <f>IF($C971="","",IF($L971="","",IF(AND($K971=1,$L971&lt;$J971,COUNTIFS(nrES_PID,$D971,nrES_Code,$F971,nrES_Att,2)=0),"Yes","No")))</f>
        <v/>
      </c>
      <c r="R971" s="17">
        <f>IF($C971="","",IF($L971="","",IF(AND($K971=2,$L971&lt;$J971,COUNTIFS(nrES_PID,$D971,nrES_Code,$F971,nrES_Att,1)&gt;0),"Yes","No")))</f>
        <v/>
      </c>
      <c r="S971" s="18" t="n"/>
      <c r="T971" s="19">
        <f>IF($Q971&lt;&gt;"Yes","",IF($S971="","(enter date)",_xlfn.LET(_xlpm.dn,IFERROR(_xlfn.XLOOKUP($S971,nrCDdate,nrCDnum),""),IF(_xlpm.dn="","(not a class day)",IFERROR(_xlfn.XLOOKUP(_xlpm.dn+cfgRetestClassDays,nrCDnum,nrCDdate),"")))))</f>
        <v/>
      </c>
      <c r="U971" s="17">
        <f>IF($Q971&lt;&gt;"Yes","",IF(COUNTIFS(nrES_PID,$D971,nrES_Code,$F971,nrES_Att,2)&gt;0,"Retested",IF(OR($T971="",NOT(ISNUMBER($T971))),"Pending",IF(TODAY()&gt;$T971,"OVERDUE","Due "&amp;TEXT($T971,"mm/dd")))))</f>
        <v/>
      </c>
      <c r="V971" s="16" t="n"/>
      <c r="W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IF($C972="","",IF($L972="","",IF($K972=1,IF(COUNTIFS(nrES_PID,$D972,nrES_Code,$F972,nrES_Att,2)&gt;0,"",$L972),IF(COUNTIFS(nrES_PID,$D972,nrES_Code,$F972,nrES_Att,1)=0,$L972,IF($L972&gt;=$J972,cfgRetakeRecordedCap,SUMIFS(nrES_Raw,nrES_PID,$D972,nrES_Code,$F972,nrES_Att,1))))))</f>
        <v/>
      </c>
      <c r="N972" s="17">
        <f>IF($C972="","",IF($L972="","",IF($L972&gt;=$J972,"Yes","No")))</f>
        <v/>
      </c>
      <c r="O972" s="17">
        <f>IF($C972="","",IF($M972="","",IF($M972&gt;=$J972,"Yes","No")))</f>
        <v/>
      </c>
      <c r="P972" s="17">
        <f>IF($C972="","",IF($K972="","",IF(COUNTIFS(nrES_PID,$D972,nrES_Code,$F972,nrES_Att,"&gt;"&amp;$K972)=0,"Yes","No")))</f>
        <v/>
      </c>
      <c r="Q972" s="17">
        <f>IF($C972="","",IF($L972="","",IF(AND($K972=1,$L972&lt;$J972,COUNTIFS(nrES_PID,$D972,nrES_Code,$F972,nrES_Att,2)=0),"Yes","No")))</f>
        <v/>
      </c>
      <c r="R972" s="17">
        <f>IF($C972="","",IF($L972="","",IF(AND($K972=2,$L972&lt;$J972,COUNTIFS(nrES_PID,$D972,nrES_Code,$F972,nrES_Att,1)&gt;0),"Yes","No")))</f>
        <v/>
      </c>
      <c r="S972" s="18" t="n"/>
      <c r="T972" s="19">
        <f>IF($Q972&lt;&gt;"Yes","",IF($S972="","(enter date)",_xlfn.LET(_xlpm.dn,IFERROR(_xlfn.XLOOKUP($S972,nrCDdate,nrCDnum),""),IF(_xlpm.dn="","(not a class day)",IFERROR(_xlfn.XLOOKUP(_xlpm.dn+cfgRetestClassDays,nrCDnum,nrCDdate),"")))))</f>
        <v/>
      </c>
      <c r="U972" s="17">
        <f>IF($Q972&lt;&gt;"Yes","",IF(COUNTIFS(nrES_PID,$D972,nrES_Code,$F972,nrES_Att,2)&gt;0,"Retested",IF(OR($T972="",NOT(ISNUMBER($T972))),"Pending",IF(TODAY()&gt;$T972,"OVERDUE","Due "&amp;TEXT($T972,"mm/dd")))))</f>
        <v/>
      </c>
      <c r="V972" s="16" t="n"/>
      <c r="W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IF($C973="","",IF($L973="","",IF($K973=1,IF(COUNTIFS(nrES_PID,$D973,nrES_Code,$F973,nrES_Att,2)&gt;0,"",$L973),IF(COUNTIFS(nrES_PID,$D973,nrES_Code,$F973,nrES_Att,1)=0,$L973,IF($L973&gt;=$J973,cfgRetakeRecordedCap,SUMIFS(nrES_Raw,nrES_PID,$D973,nrES_Code,$F973,nrES_Att,1))))))</f>
        <v/>
      </c>
      <c r="N973" s="17">
        <f>IF($C973="","",IF($L973="","",IF($L973&gt;=$J973,"Yes","No")))</f>
        <v/>
      </c>
      <c r="O973" s="17">
        <f>IF($C973="","",IF($M973="","",IF($M973&gt;=$J973,"Yes","No")))</f>
        <v/>
      </c>
      <c r="P973" s="17">
        <f>IF($C973="","",IF($K973="","",IF(COUNTIFS(nrES_PID,$D973,nrES_Code,$F973,nrES_Att,"&gt;"&amp;$K973)=0,"Yes","No")))</f>
        <v/>
      </c>
      <c r="Q973" s="17">
        <f>IF($C973="","",IF($L973="","",IF(AND($K973=1,$L973&lt;$J973,COUNTIFS(nrES_PID,$D973,nrES_Code,$F973,nrES_Att,2)=0),"Yes","No")))</f>
        <v/>
      </c>
      <c r="R973" s="17">
        <f>IF($C973="","",IF($L973="","",IF(AND($K973=2,$L973&lt;$J973,COUNTIFS(nrES_PID,$D973,nrES_Code,$F973,nrES_Att,1)&gt;0),"Yes","No")))</f>
        <v/>
      </c>
      <c r="S973" s="18" t="n"/>
      <c r="T973" s="19">
        <f>IF($Q973&lt;&gt;"Yes","",IF($S973="","(enter date)",_xlfn.LET(_xlpm.dn,IFERROR(_xlfn.XLOOKUP($S973,nrCDdate,nrCDnum),""),IF(_xlpm.dn="","(not a class day)",IFERROR(_xlfn.XLOOKUP(_xlpm.dn+cfgRetestClassDays,nrCDnum,nrCDdate),"")))))</f>
        <v/>
      </c>
      <c r="U973" s="17">
        <f>IF($Q973&lt;&gt;"Yes","",IF(COUNTIFS(nrES_PID,$D973,nrES_Code,$F973,nrES_Att,2)&gt;0,"Retested",IF(OR($T973="",NOT(ISNUMBER($T973))),"Pending",IF(TODAY()&gt;$T973,"OVERDUE","Due "&amp;TEXT($T973,"mm/dd")))))</f>
        <v/>
      </c>
      <c r="V973" s="16" t="n"/>
      <c r="W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IF($C974="","",IF($L974="","",IF($K974=1,IF(COUNTIFS(nrES_PID,$D974,nrES_Code,$F974,nrES_Att,2)&gt;0,"",$L974),IF(COUNTIFS(nrES_PID,$D974,nrES_Code,$F974,nrES_Att,1)=0,$L974,IF($L974&gt;=$J974,cfgRetakeRecordedCap,SUMIFS(nrES_Raw,nrES_PID,$D974,nrES_Code,$F974,nrES_Att,1))))))</f>
        <v/>
      </c>
      <c r="N974" s="17">
        <f>IF($C974="","",IF($L974="","",IF($L974&gt;=$J974,"Yes","No")))</f>
        <v/>
      </c>
      <c r="O974" s="17">
        <f>IF($C974="","",IF($M974="","",IF($M974&gt;=$J974,"Yes","No")))</f>
        <v/>
      </c>
      <c r="P974" s="17">
        <f>IF($C974="","",IF($K974="","",IF(COUNTIFS(nrES_PID,$D974,nrES_Code,$F974,nrES_Att,"&gt;"&amp;$K974)=0,"Yes","No")))</f>
        <v/>
      </c>
      <c r="Q974" s="17">
        <f>IF($C974="","",IF($L974="","",IF(AND($K974=1,$L974&lt;$J974,COUNTIFS(nrES_PID,$D974,nrES_Code,$F974,nrES_Att,2)=0),"Yes","No")))</f>
        <v/>
      </c>
      <c r="R974" s="17">
        <f>IF($C974="","",IF($L974="","",IF(AND($K974=2,$L974&lt;$J974,COUNTIFS(nrES_PID,$D974,nrES_Code,$F974,nrES_Att,1)&gt;0),"Yes","No")))</f>
        <v/>
      </c>
      <c r="S974" s="18" t="n"/>
      <c r="T974" s="19">
        <f>IF($Q974&lt;&gt;"Yes","",IF($S974="","(enter date)",_xlfn.LET(_xlpm.dn,IFERROR(_xlfn.XLOOKUP($S974,nrCDdate,nrCDnum),""),IF(_xlpm.dn="","(not a class day)",IFERROR(_xlfn.XLOOKUP(_xlpm.dn+cfgRetestClassDays,nrCDnum,nrCDdate),"")))))</f>
        <v/>
      </c>
      <c r="U974" s="17">
        <f>IF($Q974&lt;&gt;"Yes","",IF(COUNTIFS(nrES_PID,$D974,nrES_Code,$F974,nrES_Att,2)&gt;0,"Retested",IF(OR($T974="",NOT(ISNUMBER($T974))),"Pending",IF(TODAY()&gt;$T974,"OVERDUE","Due "&amp;TEXT($T974,"mm/dd")))))</f>
        <v/>
      </c>
      <c r="V974" s="16" t="n"/>
      <c r="W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IF($C975="","",IF($L975="","",IF($K975=1,IF(COUNTIFS(nrES_PID,$D975,nrES_Code,$F975,nrES_Att,2)&gt;0,"",$L975),IF(COUNTIFS(nrES_PID,$D975,nrES_Code,$F975,nrES_Att,1)=0,$L975,IF($L975&gt;=$J975,cfgRetakeRecordedCap,SUMIFS(nrES_Raw,nrES_PID,$D975,nrES_Code,$F975,nrES_Att,1))))))</f>
        <v/>
      </c>
      <c r="N975" s="17">
        <f>IF($C975="","",IF($L975="","",IF($L975&gt;=$J975,"Yes","No")))</f>
        <v/>
      </c>
      <c r="O975" s="17">
        <f>IF($C975="","",IF($M975="","",IF($M975&gt;=$J975,"Yes","No")))</f>
        <v/>
      </c>
      <c r="P975" s="17">
        <f>IF($C975="","",IF($K975="","",IF(COUNTIFS(nrES_PID,$D975,nrES_Code,$F975,nrES_Att,"&gt;"&amp;$K975)=0,"Yes","No")))</f>
        <v/>
      </c>
      <c r="Q975" s="17">
        <f>IF($C975="","",IF($L975="","",IF(AND($K975=1,$L975&lt;$J975,COUNTIFS(nrES_PID,$D975,nrES_Code,$F975,nrES_Att,2)=0),"Yes","No")))</f>
        <v/>
      </c>
      <c r="R975" s="17">
        <f>IF($C975="","",IF($L975="","",IF(AND($K975=2,$L975&lt;$J975,COUNTIFS(nrES_PID,$D975,nrES_Code,$F975,nrES_Att,1)&gt;0),"Yes","No")))</f>
        <v/>
      </c>
      <c r="S975" s="18" t="n"/>
      <c r="T975" s="19">
        <f>IF($Q975&lt;&gt;"Yes","",IF($S975="","(enter date)",_xlfn.LET(_xlpm.dn,IFERROR(_xlfn.XLOOKUP($S975,nrCDdate,nrCDnum),""),IF(_xlpm.dn="","(not a class day)",IFERROR(_xlfn.XLOOKUP(_xlpm.dn+cfgRetestClassDays,nrCDnum,nrCDdate),"")))))</f>
        <v/>
      </c>
      <c r="U975" s="17">
        <f>IF($Q975&lt;&gt;"Yes","",IF(COUNTIFS(nrES_PID,$D975,nrES_Code,$F975,nrES_Att,2)&gt;0,"Retested",IF(OR($T975="",NOT(ISNUMBER($T975))),"Pending",IF(TODAY()&gt;$T975,"OVERDUE","Due "&amp;TEXT($T975,"mm/dd")))))</f>
        <v/>
      </c>
      <c r="V975" s="16" t="n"/>
      <c r="W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IF($C976="","",IF($L976="","",IF($K976=1,IF(COUNTIFS(nrES_PID,$D976,nrES_Code,$F976,nrES_Att,2)&gt;0,"",$L976),IF(COUNTIFS(nrES_PID,$D976,nrES_Code,$F976,nrES_Att,1)=0,$L976,IF($L976&gt;=$J976,cfgRetakeRecordedCap,SUMIFS(nrES_Raw,nrES_PID,$D976,nrES_Code,$F976,nrES_Att,1))))))</f>
        <v/>
      </c>
      <c r="N976" s="17">
        <f>IF($C976="","",IF($L976="","",IF($L976&gt;=$J976,"Yes","No")))</f>
        <v/>
      </c>
      <c r="O976" s="17">
        <f>IF($C976="","",IF($M976="","",IF($M976&gt;=$J976,"Yes","No")))</f>
        <v/>
      </c>
      <c r="P976" s="17">
        <f>IF($C976="","",IF($K976="","",IF(COUNTIFS(nrES_PID,$D976,nrES_Code,$F976,nrES_Att,"&gt;"&amp;$K976)=0,"Yes","No")))</f>
        <v/>
      </c>
      <c r="Q976" s="17">
        <f>IF($C976="","",IF($L976="","",IF(AND($K976=1,$L976&lt;$J976,COUNTIFS(nrES_PID,$D976,nrES_Code,$F976,nrES_Att,2)=0),"Yes","No")))</f>
        <v/>
      </c>
      <c r="R976" s="17">
        <f>IF($C976="","",IF($L976="","",IF(AND($K976=2,$L976&lt;$J976,COUNTIFS(nrES_PID,$D976,nrES_Code,$F976,nrES_Att,1)&gt;0),"Yes","No")))</f>
        <v/>
      </c>
      <c r="S976" s="18" t="n"/>
      <c r="T976" s="19">
        <f>IF($Q976&lt;&gt;"Yes","",IF($S976="","(enter date)",_xlfn.LET(_xlpm.dn,IFERROR(_xlfn.XLOOKUP($S976,nrCDdate,nrCDnum),""),IF(_xlpm.dn="","(not a class day)",IFERROR(_xlfn.XLOOKUP(_xlpm.dn+cfgRetestClassDays,nrCDnum,nrCDdate),"")))))</f>
        <v/>
      </c>
      <c r="U976" s="17">
        <f>IF($Q976&lt;&gt;"Yes","",IF(COUNTIFS(nrES_PID,$D976,nrES_Code,$F976,nrES_Att,2)&gt;0,"Retested",IF(OR($T976="",NOT(ISNUMBER($T976))),"Pending",IF(TODAY()&gt;$T976,"OVERDUE","Due "&amp;TEXT($T976,"mm/dd")))))</f>
        <v/>
      </c>
      <c r="V976" s="16" t="n"/>
      <c r="W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IF($C977="","",IF($L977="","",IF($K977=1,IF(COUNTIFS(nrES_PID,$D977,nrES_Code,$F977,nrES_Att,2)&gt;0,"",$L977),IF(COUNTIFS(nrES_PID,$D977,nrES_Code,$F977,nrES_Att,1)=0,$L977,IF($L977&gt;=$J977,cfgRetakeRecordedCap,SUMIFS(nrES_Raw,nrES_PID,$D977,nrES_Code,$F977,nrES_Att,1))))))</f>
        <v/>
      </c>
      <c r="N977" s="17">
        <f>IF($C977="","",IF($L977="","",IF($L977&gt;=$J977,"Yes","No")))</f>
        <v/>
      </c>
      <c r="O977" s="17">
        <f>IF($C977="","",IF($M977="","",IF($M977&gt;=$J977,"Yes","No")))</f>
        <v/>
      </c>
      <c r="P977" s="17">
        <f>IF($C977="","",IF($K977="","",IF(COUNTIFS(nrES_PID,$D977,nrES_Code,$F977,nrES_Att,"&gt;"&amp;$K977)=0,"Yes","No")))</f>
        <v/>
      </c>
      <c r="Q977" s="17">
        <f>IF($C977="","",IF($L977="","",IF(AND($K977=1,$L977&lt;$J977,COUNTIFS(nrES_PID,$D977,nrES_Code,$F977,nrES_Att,2)=0),"Yes","No")))</f>
        <v/>
      </c>
      <c r="R977" s="17">
        <f>IF($C977="","",IF($L977="","",IF(AND($K977=2,$L977&lt;$J977,COUNTIFS(nrES_PID,$D977,nrES_Code,$F977,nrES_Att,1)&gt;0),"Yes","No")))</f>
        <v/>
      </c>
      <c r="S977" s="18" t="n"/>
      <c r="T977" s="19">
        <f>IF($Q977&lt;&gt;"Yes","",IF($S977="","(enter date)",_xlfn.LET(_xlpm.dn,IFERROR(_xlfn.XLOOKUP($S977,nrCDdate,nrCDnum),""),IF(_xlpm.dn="","(not a class day)",IFERROR(_xlfn.XLOOKUP(_xlpm.dn+cfgRetestClassDays,nrCDnum,nrCDdate),"")))))</f>
        <v/>
      </c>
      <c r="U977" s="17">
        <f>IF($Q977&lt;&gt;"Yes","",IF(COUNTIFS(nrES_PID,$D977,nrES_Code,$F977,nrES_Att,2)&gt;0,"Retested",IF(OR($T977="",NOT(ISNUMBER($T977))),"Pending",IF(TODAY()&gt;$T977,"OVERDUE","Due "&amp;TEXT($T977,"mm/dd")))))</f>
        <v/>
      </c>
      <c r="V977" s="16" t="n"/>
      <c r="W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IF($C978="","",IF($L978="","",IF($K978=1,IF(COUNTIFS(nrES_PID,$D978,nrES_Code,$F978,nrES_Att,2)&gt;0,"",$L978),IF(COUNTIFS(nrES_PID,$D978,nrES_Code,$F978,nrES_Att,1)=0,$L978,IF($L978&gt;=$J978,cfgRetakeRecordedCap,SUMIFS(nrES_Raw,nrES_PID,$D978,nrES_Code,$F978,nrES_Att,1))))))</f>
        <v/>
      </c>
      <c r="N978" s="17">
        <f>IF($C978="","",IF($L978="","",IF($L978&gt;=$J978,"Yes","No")))</f>
        <v/>
      </c>
      <c r="O978" s="17">
        <f>IF($C978="","",IF($M978="","",IF($M978&gt;=$J978,"Yes","No")))</f>
        <v/>
      </c>
      <c r="P978" s="17">
        <f>IF($C978="","",IF($K978="","",IF(COUNTIFS(nrES_PID,$D978,nrES_Code,$F978,nrES_Att,"&gt;"&amp;$K978)=0,"Yes","No")))</f>
        <v/>
      </c>
      <c r="Q978" s="17">
        <f>IF($C978="","",IF($L978="","",IF(AND($K978=1,$L978&lt;$J978,COUNTIFS(nrES_PID,$D978,nrES_Code,$F978,nrES_Att,2)=0),"Yes","No")))</f>
        <v/>
      </c>
      <c r="R978" s="17">
        <f>IF($C978="","",IF($L978="","",IF(AND($K978=2,$L978&lt;$J978,COUNTIFS(nrES_PID,$D978,nrES_Code,$F978,nrES_Att,1)&gt;0),"Yes","No")))</f>
        <v/>
      </c>
      <c r="S978" s="18" t="n"/>
      <c r="T978" s="19">
        <f>IF($Q978&lt;&gt;"Yes","",IF($S978="","(enter date)",_xlfn.LET(_xlpm.dn,IFERROR(_xlfn.XLOOKUP($S978,nrCDdate,nrCDnum),""),IF(_xlpm.dn="","(not a class day)",IFERROR(_xlfn.XLOOKUP(_xlpm.dn+cfgRetestClassDays,nrCDnum,nrCDdate),"")))))</f>
        <v/>
      </c>
      <c r="U978" s="17">
        <f>IF($Q978&lt;&gt;"Yes","",IF(COUNTIFS(nrES_PID,$D978,nrES_Code,$F978,nrES_Att,2)&gt;0,"Retested",IF(OR($T978="",NOT(ISNUMBER($T978))),"Pending",IF(TODAY()&gt;$T978,"OVERDUE","Due "&amp;TEXT($T978,"mm/dd")))))</f>
        <v/>
      </c>
      <c r="V978" s="16" t="n"/>
      <c r="W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IF($C979="","",IF($L979="","",IF($K979=1,IF(COUNTIFS(nrES_PID,$D979,nrES_Code,$F979,nrES_Att,2)&gt;0,"",$L979),IF(COUNTIFS(nrES_PID,$D979,nrES_Code,$F979,nrES_Att,1)=0,$L979,IF($L979&gt;=$J979,cfgRetakeRecordedCap,SUMIFS(nrES_Raw,nrES_PID,$D979,nrES_Code,$F979,nrES_Att,1))))))</f>
        <v/>
      </c>
      <c r="N979" s="17">
        <f>IF($C979="","",IF($L979="","",IF($L979&gt;=$J979,"Yes","No")))</f>
        <v/>
      </c>
      <c r="O979" s="17">
        <f>IF($C979="","",IF($M979="","",IF($M979&gt;=$J979,"Yes","No")))</f>
        <v/>
      </c>
      <c r="P979" s="17">
        <f>IF($C979="","",IF($K979="","",IF(COUNTIFS(nrES_PID,$D979,nrES_Code,$F979,nrES_Att,"&gt;"&amp;$K979)=0,"Yes","No")))</f>
        <v/>
      </c>
      <c r="Q979" s="17">
        <f>IF($C979="","",IF($L979="","",IF(AND($K979=1,$L979&lt;$J979,COUNTIFS(nrES_PID,$D979,nrES_Code,$F979,nrES_Att,2)=0),"Yes","No")))</f>
        <v/>
      </c>
      <c r="R979" s="17">
        <f>IF($C979="","",IF($L979="","",IF(AND($K979=2,$L979&lt;$J979,COUNTIFS(nrES_PID,$D979,nrES_Code,$F979,nrES_Att,1)&gt;0),"Yes","No")))</f>
        <v/>
      </c>
      <c r="S979" s="18" t="n"/>
      <c r="T979" s="19">
        <f>IF($Q979&lt;&gt;"Yes","",IF($S979="","(enter date)",_xlfn.LET(_xlpm.dn,IFERROR(_xlfn.XLOOKUP($S979,nrCDdate,nrCDnum),""),IF(_xlpm.dn="","(not a class day)",IFERROR(_xlfn.XLOOKUP(_xlpm.dn+cfgRetestClassDays,nrCDnum,nrCDdate),"")))))</f>
        <v/>
      </c>
      <c r="U979" s="17">
        <f>IF($Q979&lt;&gt;"Yes","",IF(COUNTIFS(nrES_PID,$D979,nrES_Code,$F979,nrES_Att,2)&gt;0,"Retested",IF(OR($T979="",NOT(ISNUMBER($T979))),"Pending",IF(TODAY()&gt;$T979,"OVERDUE","Due "&amp;TEXT($T979,"mm/dd")))))</f>
        <v/>
      </c>
      <c r="V979" s="16" t="n"/>
      <c r="W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IF($C980="","",IF($L980="","",IF($K980=1,IF(COUNTIFS(nrES_PID,$D980,nrES_Code,$F980,nrES_Att,2)&gt;0,"",$L980),IF(COUNTIFS(nrES_PID,$D980,nrES_Code,$F980,nrES_Att,1)=0,$L980,IF($L980&gt;=$J980,cfgRetakeRecordedCap,SUMIFS(nrES_Raw,nrES_PID,$D980,nrES_Code,$F980,nrES_Att,1))))))</f>
        <v/>
      </c>
      <c r="N980" s="17">
        <f>IF($C980="","",IF($L980="","",IF($L980&gt;=$J980,"Yes","No")))</f>
        <v/>
      </c>
      <c r="O980" s="17">
        <f>IF($C980="","",IF($M980="","",IF($M980&gt;=$J980,"Yes","No")))</f>
        <v/>
      </c>
      <c r="P980" s="17">
        <f>IF($C980="","",IF($K980="","",IF(COUNTIFS(nrES_PID,$D980,nrES_Code,$F980,nrES_Att,"&gt;"&amp;$K980)=0,"Yes","No")))</f>
        <v/>
      </c>
      <c r="Q980" s="17">
        <f>IF($C980="","",IF($L980="","",IF(AND($K980=1,$L980&lt;$J980,COUNTIFS(nrES_PID,$D980,nrES_Code,$F980,nrES_Att,2)=0),"Yes","No")))</f>
        <v/>
      </c>
      <c r="R980" s="17">
        <f>IF($C980="","",IF($L980="","",IF(AND($K980=2,$L980&lt;$J980,COUNTIFS(nrES_PID,$D980,nrES_Code,$F980,nrES_Att,1)&gt;0),"Yes","No")))</f>
        <v/>
      </c>
      <c r="S980" s="18" t="n"/>
      <c r="T980" s="19">
        <f>IF($Q980&lt;&gt;"Yes","",IF($S980="","(enter date)",_xlfn.LET(_xlpm.dn,IFERROR(_xlfn.XLOOKUP($S980,nrCDdate,nrCDnum),""),IF(_xlpm.dn="","(not a class day)",IFERROR(_xlfn.XLOOKUP(_xlpm.dn+cfgRetestClassDays,nrCDnum,nrCDdate),"")))))</f>
        <v/>
      </c>
      <c r="U980" s="17">
        <f>IF($Q980&lt;&gt;"Yes","",IF(COUNTIFS(nrES_PID,$D980,nrES_Code,$F980,nrES_Att,2)&gt;0,"Retested",IF(OR($T980="",NOT(ISNUMBER($T980))),"Pending",IF(TODAY()&gt;$T980,"OVERDUE","Due "&amp;TEXT($T980,"mm/dd")))))</f>
        <v/>
      </c>
      <c r="V980" s="16" t="n"/>
      <c r="W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IF($C981="","",IF($L981="","",IF($K981=1,IF(COUNTIFS(nrES_PID,$D981,nrES_Code,$F981,nrES_Att,2)&gt;0,"",$L981),IF(COUNTIFS(nrES_PID,$D981,nrES_Code,$F981,nrES_Att,1)=0,$L981,IF($L981&gt;=$J981,cfgRetakeRecordedCap,SUMIFS(nrES_Raw,nrES_PID,$D981,nrES_Code,$F981,nrES_Att,1))))))</f>
        <v/>
      </c>
      <c r="N981" s="17">
        <f>IF($C981="","",IF($L981="","",IF($L981&gt;=$J981,"Yes","No")))</f>
        <v/>
      </c>
      <c r="O981" s="17">
        <f>IF($C981="","",IF($M981="","",IF($M981&gt;=$J981,"Yes","No")))</f>
        <v/>
      </c>
      <c r="P981" s="17">
        <f>IF($C981="","",IF($K981="","",IF(COUNTIFS(nrES_PID,$D981,nrES_Code,$F981,nrES_Att,"&gt;"&amp;$K981)=0,"Yes","No")))</f>
        <v/>
      </c>
      <c r="Q981" s="17">
        <f>IF($C981="","",IF($L981="","",IF(AND($K981=1,$L981&lt;$J981,COUNTIFS(nrES_PID,$D981,nrES_Code,$F981,nrES_Att,2)=0),"Yes","No")))</f>
        <v/>
      </c>
      <c r="R981" s="17">
        <f>IF($C981="","",IF($L981="","",IF(AND($K981=2,$L981&lt;$J981,COUNTIFS(nrES_PID,$D981,nrES_Code,$F981,nrES_Att,1)&gt;0),"Yes","No")))</f>
        <v/>
      </c>
      <c r="S981" s="18" t="n"/>
      <c r="T981" s="19">
        <f>IF($Q981&lt;&gt;"Yes","",IF($S981="","(enter date)",_xlfn.LET(_xlpm.dn,IFERROR(_xlfn.XLOOKUP($S981,nrCDdate,nrCDnum),""),IF(_xlpm.dn="","(not a class day)",IFERROR(_xlfn.XLOOKUP(_xlpm.dn+cfgRetestClassDays,nrCDnum,nrCDdate),"")))))</f>
        <v/>
      </c>
      <c r="U981" s="17">
        <f>IF($Q981&lt;&gt;"Yes","",IF(COUNTIFS(nrES_PID,$D981,nrES_Code,$F981,nrES_Att,2)&gt;0,"Retested",IF(OR($T981="",NOT(ISNUMBER($T981))),"Pending",IF(TODAY()&gt;$T981,"OVERDUE","Due "&amp;TEXT($T981,"mm/dd")))))</f>
        <v/>
      </c>
      <c r="V981" s="16" t="n"/>
      <c r="W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IF($C982="","",IF($L982="","",IF($K982=1,IF(COUNTIFS(nrES_PID,$D982,nrES_Code,$F982,nrES_Att,2)&gt;0,"",$L982),IF(COUNTIFS(nrES_PID,$D982,nrES_Code,$F982,nrES_Att,1)=0,$L982,IF($L982&gt;=$J982,cfgRetakeRecordedCap,SUMIFS(nrES_Raw,nrES_PID,$D982,nrES_Code,$F982,nrES_Att,1))))))</f>
        <v/>
      </c>
      <c r="N982" s="17">
        <f>IF($C982="","",IF($L982="","",IF($L982&gt;=$J982,"Yes","No")))</f>
        <v/>
      </c>
      <c r="O982" s="17">
        <f>IF($C982="","",IF($M982="","",IF($M982&gt;=$J982,"Yes","No")))</f>
        <v/>
      </c>
      <c r="P982" s="17">
        <f>IF($C982="","",IF($K982="","",IF(COUNTIFS(nrES_PID,$D982,nrES_Code,$F982,nrES_Att,"&gt;"&amp;$K982)=0,"Yes","No")))</f>
        <v/>
      </c>
      <c r="Q982" s="17">
        <f>IF($C982="","",IF($L982="","",IF(AND($K982=1,$L982&lt;$J982,COUNTIFS(nrES_PID,$D982,nrES_Code,$F982,nrES_Att,2)=0),"Yes","No")))</f>
        <v/>
      </c>
      <c r="R982" s="17">
        <f>IF($C982="","",IF($L982="","",IF(AND($K982=2,$L982&lt;$J982,COUNTIFS(nrES_PID,$D982,nrES_Code,$F982,nrES_Att,1)&gt;0),"Yes","No")))</f>
        <v/>
      </c>
      <c r="S982" s="18" t="n"/>
      <c r="T982" s="19">
        <f>IF($Q982&lt;&gt;"Yes","",IF($S982="","(enter date)",_xlfn.LET(_xlpm.dn,IFERROR(_xlfn.XLOOKUP($S982,nrCDdate,nrCDnum),""),IF(_xlpm.dn="","(not a class day)",IFERROR(_xlfn.XLOOKUP(_xlpm.dn+cfgRetestClassDays,nrCDnum,nrCDdate),"")))))</f>
        <v/>
      </c>
      <c r="U982" s="17">
        <f>IF($Q982&lt;&gt;"Yes","",IF(COUNTIFS(nrES_PID,$D982,nrES_Code,$F982,nrES_Att,2)&gt;0,"Retested",IF(OR($T982="",NOT(ISNUMBER($T982))),"Pending",IF(TODAY()&gt;$T982,"OVERDUE","Due "&amp;TEXT($T982,"mm/dd")))))</f>
        <v/>
      </c>
      <c r="V982" s="16" t="n"/>
      <c r="W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IF($C983="","",IF($L983="","",IF($K983=1,IF(COUNTIFS(nrES_PID,$D983,nrES_Code,$F983,nrES_Att,2)&gt;0,"",$L983),IF(COUNTIFS(nrES_PID,$D983,nrES_Code,$F983,nrES_Att,1)=0,$L983,IF($L983&gt;=$J983,cfgRetakeRecordedCap,SUMIFS(nrES_Raw,nrES_PID,$D983,nrES_Code,$F983,nrES_Att,1))))))</f>
        <v/>
      </c>
      <c r="N983" s="17">
        <f>IF($C983="","",IF($L983="","",IF($L983&gt;=$J983,"Yes","No")))</f>
        <v/>
      </c>
      <c r="O983" s="17">
        <f>IF($C983="","",IF($M983="","",IF($M983&gt;=$J983,"Yes","No")))</f>
        <v/>
      </c>
      <c r="P983" s="17">
        <f>IF($C983="","",IF($K983="","",IF(COUNTIFS(nrES_PID,$D983,nrES_Code,$F983,nrES_Att,"&gt;"&amp;$K983)=0,"Yes","No")))</f>
        <v/>
      </c>
      <c r="Q983" s="17">
        <f>IF($C983="","",IF($L983="","",IF(AND($K983=1,$L983&lt;$J983,COUNTIFS(nrES_PID,$D983,nrES_Code,$F983,nrES_Att,2)=0),"Yes","No")))</f>
        <v/>
      </c>
      <c r="R983" s="17">
        <f>IF($C983="","",IF($L983="","",IF(AND($K983=2,$L983&lt;$J983,COUNTIFS(nrES_PID,$D983,nrES_Code,$F983,nrES_Att,1)&gt;0),"Yes","No")))</f>
        <v/>
      </c>
      <c r="S983" s="18" t="n"/>
      <c r="T983" s="19">
        <f>IF($Q983&lt;&gt;"Yes","",IF($S983="","(enter date)",_xlfn.LET(_xlpm.dn,IFERROR(_xlfn.XLOOKUP($S983,nrCDdate,nrCDnum),""),IF(_xlpm.dn="","(not a class day)",IFERROR(_xlfn.XLOOKUP(_xlpm.dn+cfgRetestClassDays,nrCDnum,nrCDdate),"")))))</f>
        <v/>
      </c>
      <c r="U983" s="17">
        <f>IF($Q983&lt;&gt;"Yes","",IF(COUNTIFS(nrES_PID,$D983,nrES_Code,$F983,nrES_Att,2)&gt;0,"Retested",IF(OR($T983="",NOT(ISNUMBER($T983))),"Pending",IF(TODAY()&gt;$T983,"OVERDUE","Due "&amp;TEXT($T983,"mm/dd")))))</f>
        <v/>
      </c>
      <c r="V983" s="16" t="n"/>
      <c r="W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IF($C984="","",IF($L984="","",IF($K984=1,IF(COUNTIFS(nrES_PID,$D984,nrES_Code,$F984,nrES_Att,2)&gt;0,"",$L984),IF(COUNTIFS(nrES_PID,$D984,nrES_Code,$F984,nrES_Att,1)=0,$L984,IF($L984&gt;=$J984,cfgRetakeRecordedCap,SUMIFS(nrES_Raw,nrES_PID,$D984,nrES_Code,$F984,nrES_Att,1))))))</f>
        <v/>
      </c>
      <c r="N984" s="17">
        <f>IF($C984="","",IF($L984="","",IF($L984&gt;=$J984,"Yes","No")))</f>
        <v/>
      </c>
      <c r="O984" s="17">
        <f>IF($C984="","",IF($M984="","",IF($M984&gt;=$J984,"Yes","No")))</f>
        <v/>
      </c>
      <c r="P984" s="17">
        <f>IF($C984="","",IF($K984="","",IF(COUNTIFS(nrES_PID,$D984,nrES_Code,$F984,nrES_Att,"&gt;"&amp;$K984)=0,"Yes","No")))</f>
        <v/>
      </c>
      <c r="Q984" s="17">
        <f>IF($C984="","",IF($L984="","",IF(AND($K984=1,$L984&lt;$J984,COUNTIFS(nrES_PID,$D984,nrES_Code,$F984,nrES_Att,2)=0),"Yes","No")))</f>
        <v/>
      </c>
      <c r="R984" s="17">
        <f>IF($C984="","",IF($L984="","",IF(AND($K984=2,$L984&lt;$J984,COUNTIFS(nrES_PID,$D984,nrES_Code,$F984,nrES_Att,1)&gt;0),"Yes","No")))</f>
        <v/>
      </c>
      <c r="S984" s="18" t="n"/>
      <c r="T984" s="19">
        <f>IF($Q984&lt;&gt;"Yes","",IF($S984="","(enter date)",_xlfn.LET(_xlpm.dn,IFERROR(_xlfn.XLOOKUP($S984,nrCDdate,nrCDnum),""),IF(_xlpm.dn="","(not a class day)",IFERROR(_xlfn.XLOOKUP(_xlpm.dn+cfgRetestClassDays,nrCDnum,nrCDdate),"")))))</f>
        <v/>
      </c>
      <c r="U984" s="17">
        <f>IF($Q984&lt;&gt;"Yes","",IF(COUNTIFS(nrES_PID,$D984,nrES_Code,$F984,nrES_Att,2)&gt;0,"Retested",IF(OR($T984="",NOT(ISNUMBER($T984))),"Pending",IF(TODAY()&gt;$T984,"OVERDUE","Due "&amp;TEXT($T984,"mm/dd")))))</f>
        <v/>
      </c>
      <c r="V984" s="16" t="n"/>
      <c r="W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IF($C985="","",IF($L985="","",IF($K985=1,IF(COUNTIFS(nrES_PID,$D985,nrES_Code,$F985,nrES_Att,2)&gt;0,"",$L985),IF(COUNTIFS(nrES_PID,$D985,nrES_Code,$F985,nrES_Att,1)=0,$L985,IF($L985&gt;=$J985,cfgRetakeRecordedCap,SUMIFS(nrES_Raw,nrES_PID,$D985,nrES_Code,$F985,nrES_Att,1))))))</f>
        <v/>
      </c>
      <c r="N985" s="17">
        <f>IF($C985="","",IF($L985="","",IF($L985&gt;=$J985,"Yes","No")))</f>
        <v/>
      </c>
      <c r="O985" s="17">
        <f>IF($C985="","",IF($M985="","",IF($M985&gt;=$J985,"Yes","No")))</f>
        <v/>
      </c>
      <c r="P985" s="17">
        <f>IF($C985="","",IF($K985="","",IF(COUNTIFS(nrES_PID,$D985,nrES_Code,$F985,nrES_Att,"&gt;"&amp;$K985)=0,"Yes","No")))</f>
        <v/>
      </c>
      <c r="Q985" s="17">
        <f>IF($C985="","",IF($L985="","",IF(AND($K985=1,$L985&lt;$J985,COUNTIFS(nrES_PID,$D985,nrES_Code,$F985,nrES_Att,2)=0),"Yes","No")))</f>
        <v/>
      </c>
      <c r="R985" s="17">
        <f>IF($C985="","",IF($L985="","",IF(AND($K985=2,$L985&lt;$J985,COUNTIFS(nrES_PID,$D985,nrES_Code,$F985,nrES_Att,1)&gt;0),"Yes","No")))</f>
        <v/>
      </c>
      <c r="S985" s="18" t="n"/>
      <c r="T985" s="19">
        <f>IF($Q985&lt;&gt;"Yes","",IF($S985="","(enter date)",_xlfn.LET(_xlpm.dn,IFERROR(_xlfn.XLOOKUP($S985,nrCDdate,nrCDnum),""),IF(_xlpm.dn="","(not a class day)",IFERROR(_xlfn.XLOOKUP(_xlpm.dn+cfgRetestClassDays,nrCDnum,nrCDdate),"")))))</f>
        <v/>
      </c>
      <c r="U985" s="17">
        <f>IF($Q985&lt;&gt;"Yes","",IF(COUNTIFS(nrES_PID,$D985,nrES_Code,$F985,nrES_Att,2)&gt;0,"Retested",IF(OR($T985="",NOT(ISNUMBER($T985))),"Pending",IF(TODAY()&gt;$T985,"OVERDUE","Due "&amp;TEXT($T985,"mm/dd")))))</f>
        <v/>
      </c>
      <c r="V985" s="16" t="n"/>
      <c r="W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IF($C986="","",IF($L986="","",IF($K986=1,IF(COUNTIFS(nrES_PID,$D986,nrES_Code,$F986,nrES_Att,2)&gt;0,"",$L986),IF(COUNTIFS(nrES_PID,$D986,nrES_Code,$F986,nrES_Att,1)=0,$L986,IF($L986&gt;=$J986,cfgRetakeRecordedCap,SUMIFS(nrES_Raw,nrES_PID,$D986,nrES_Code,$F986,nrES_Att,1))))))</f>
        <v/>
      </c>
      <c r="N986" s="17">
        <f>IF($C986="","",IF($L986="","",IF($L986&gt;=$J986,"Yes","No")))</f>
        <v/>
      </c>
      <c r="O986" s="17">
        <f>IF($C986="","",IF($M986="","",IF($M986&gt;=$J986,"Yes","No")))</f>
        <v/>
      </c>
      <c r="P986" s="17">
        <f>IF($C986="","",IF($K986="","",IF(COUNTIFS(nrES_PID,$D986,nrES_Code,$F986,nrES_Att,"&gt;"&amp;$K986)=0,"Yes","No")))</f>
        <v/>
      </c>
      <c r="Q986" s="17">
        <f>IF($C986="","",IF($L986="","",IF(AND($K986=1,$L986&lt;$J986,COUNTIFS(nrES_PID,$D986,nrES_Code,$F986,nrES_Att,2)=0),"Yes","No")))</f>
        <v/>
      </c>
      <c r="R986" s="17">
        <f>IF($C986="","",IF($L986="","",IF(AND($K986=2,$L986&lt;$J986,COUNTIFS(nrES_PID,$D986,nrES_Code,$F986,nrES_Att,1)&gt;0),"Yes","No")))</f>
        <v/>
      </c>
      <c r="S986" s="18" t="n"/>
      <c r="T986" s="19">
        <f>IF($Q986&lt;&gt;"Yes","",IF($S986="","(enter date)",_xlfn.LET(_xlpm.dn,IFERROR(_xlfn.XLOOKUP($S986,nrCDdate,nrCDnum),""),IF(_xlpm.dn="","(not a class day)",IFERROR(_xlfn.XLOOKUP(_xlpm.dn+cfgRetestClassDays,nrCDnum,nrCDdate),"")))))</f>
        <v/>
      </c>
      <c r="U986" s="17">
        <f>IF($Q986&lt;&gt;"Yes","",IF(COUNTIFS(nrES_PID,$D986,nrES_Code,$F986,nrES_Att,2)&gt;0,"Retested",IF(OR($T986="",NOT(ISNUMBER($T986))),"Pending",IF(TODAY()&gt;$T986,"OVERDUE","Due "&amp;TEXT($T986,"mm/dd")))))</f>
        <v/>
      </c>
      <c r="V986" s="16" t="n"/>
      <c r="W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IF($C987="","",IF($L987="","",IF($K987=1,IF(COUNTIFS(nrES_PID,$D987,nrES_Code,$F987,nrES_Att,2)&gt;0,"",$L987),IF(COUNTIFS(nrES_PID,$D987,nrES_Code,$F987,nrES_Att,1)=0,$L987,IF($L987&gt;=$J987,cfgRetakeRecordedCap,SUMIFS(nrES_Raw,nrES_PID,$D987,nrES_Code,$F987,nrES_Att,1))))))</f>
        <v/>
      </c>
      <c r="N987" s="17">
        <f>IF($C987="","",IF($L987="","",IF($L987&gt;=$J987,"Yes","No")))</f>
        <v/>
      </c>
      <c r="O987" s="17">
        <f>IF($C987="","",IF($M987="","",IF($M987&gt;=$J987,"Yes","No")))</f>
        <v/>
      </c>
      <c r="P987" s="17">
        <f>IF($C987="","",IF($K987="","",IF(COUNTIFS(nrES_PID,$D987,nrES_Code,$F987,nrES_Att,"&gt;"&amp;$K987)=0,"Yes","No")))</f>
        <v/>
      </c>
      <c r="Q987" s="17">
        <f>IF($C987="","",IF($L987="","",IF(AND($K987=1,$L987&lt;$J987,COUNTIFS(nrES_PID,$D987,nrES_Code,$F987,nrES_Att,2)=0),"Yes","No")))</f>
        <v/>
      </c>
      <c r="R987" s="17">
        <f>IF($C987="","",IF($L987="","",IF(AND($K987=2,$L987&lt;$J987,COUNTIFS(nrES_PID,$D987,nrES_Code,$F987,nrES_Att,1)&gt;0),"Yes","No")))</f>
        <v/>
      </c>
      <c r="S987" s="18" t="n"/>
      <c r="T987" s="19">
        <f>IF($Q987&lt;&gt;"Yes","",IF($S987="","(enter date)",_xlfn.LET(_xlpm.dn,IFERROR(_xlfn.XLOOKUP($S987,nrCDdate,nrCDnum),""),IF(_xlpm.dn="","(not a class day)",IFERROR(_xlfn.XLOOKUP(_xlpm.dn+cfgRetestClassDays,nrCDnum,nrCDdate),"")))))</f>
        <v/>
      </c>
      <c r="U987" s="17">
        <f>IF($Q987&lt;&gt;"Yes","",IF(COUNTIFS(nrES_PID,$D987,nrES_Code,$F987,nrES_Att,2)&gt;0,"Retested",IF(OR($T987="",NOT(ISNUMBER($T987))),"Pending",IF(TODAY()&gt;$T987,"OVERDUE","Due "&amp;TEXT($T987,"mm/dd")))))</f>
        <v/>
      </c>
      <c r="V987" s="16" t="n"/>
      <c r="W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IF($C988="","",IF($L988="","",IF($K988=1,IF(COUNTIFS(nrES_PID,$D988,nrES_Code,$F988,nrES_Att,2)&gt;0,"",$L988),IF(COUNTIFS(nrES_PID,$D988,nrES_Code,$F988,nrES_Att,1)=0,$L988,IF($L988&gt;=$J988,cfgRetakeRecordedCap,SUMIFS(nrES_Raw,nrES_PID,$D988,nrES_Code,$F988,nrES_Att,1))))))</f>
        <v/>
      </c>
      <c r="N988" s="17">
        <f>IF($C988="","",IF($L988="","",IF($L988&gt;=$J988,"Yes","No")))</f>
        <v/>
      </c>
      <c r="O988" s="17">
        <f>IF($C988="","",IF($M988="","",IF($M988&gt;=$J988,"Yes","No")))</f>
        <v/>
      </c>
      <c r="P988" s="17">
        <f>IF($C988="","",IF($K988="","",IF(COUNTIFS(nrES_PID,$D988,nrES_Code,$F988,nrES_Att,"&gt;"&amp;$K988)=0,"Yes","No")))</f>
        <v/>
      </c>
      <c r="Q988" s="17">
        <f>IF($C988="","",IF($L988="","",IF(AND($K988=1,$L988&lt;$J988,COUNTIFS(nrES_PID,$D988,nrES_Code,$F988,nrES_Att,2)=0),"Yes","No")))</f>
        <v/>
      </c>
      <c r="R988" s="17">
        <f>IF($C988="","",IF($L988="","",IF(AND($K988=2,$L988&lt;$J988,COUNTIFS(nrES_PID,$D988,nrES_Code,$F988,nrES_Att,1)&gt;0),"Yes","No")))</f>
        <v/>
      </c>
      <c r="S988" s="18" t="n"/>
      <c r="T988" s="19">
        <f>IF($Q988&lt;&gt;"Yes","",IF($S988="","(enter date)",_xlfn.LET(_xlpm.dn,IFERROR(_xlfn.XLOOKUP($S988,nrCDdate,nrCDnum),""),IF(_xlpm.dn="","(not a class day)",IFERROR(_xlfn.XLOOKUP(_xlpm.dn+cfgRetestClassDays,nrCDnum,nrCDdate),"")))))</f>
        <v/>
      </c>
      <c r="U988" s="17">
        <f>IF($Q988&lt;&gt;"Yes","",IF(COUNTIFS(nrES_PID,$D988,nrES_Code,$F988,nrES_Att,2)&gt;0,"Retested",IF(OR($T988="",NOT(ISNUMBER($T988))),"Pending",IF(TODAY()&gt;$T988,"OVERDUE","Due "&amp;TEXT($T988,"mm/dd")))))</f>
        <v/>
      </c>
      <c r="V988" s="16" t="n"/>
      <c r="W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IF($C989="","",IF($L989="","",IF($K989=1,IF(COUNTIFS(nrES_PID,$D989,nrES_Code,$F989,nrES_Att,2)&gt;0,"",$L989),IF(COUNTIFS(nrES_PID,$D989,nrES_Code,$F989,nrES_Att,1)=0,$L989,IF($L989&gt;=$J989,cfgRetakeRecordedCap,SUMIFS(nrES_Raw,nrES_PID,$D989,nrES_Code,$F989,nrES_Att,1))))))</f>
        <v/>
      </c>
      <c r="N989" s="17">
        <f>IF($C989="","",IF($L989="","",IF($L989&gt;=$J989,"Yes","No")))</f>
        <v/>
      </c>
      <c r="O989" s="17">
        <f>IF($C989="","",IF($M989="","",IF($M989&gt;=$J989,"Yes","No")))</f>
        <v/>
      </c>
      <c r="P989" s="17">
        <f>IF($C989="","",IF($K989="","",IF(COUNTIFS(nrES_PID,$D989,nrES_Code,$F989,nrES_Att,"&gt;"&amp;$K989)=0,"Yes","No")))</f>
        <v/>
      </c>
      <c r="Q989" s="17">
        <f>IF($C989="","",IF($L989="","",IF(AND($K989=1,$L989&lt;$J989,COUNTIFS(nrES_PID,$D989,nrES_Code,$F989,nrES_Att,2)=0),"Yes","No")))</f>
        <v/>
      </c>
      <c r="R989" s="17">
        <f>IF($C989="","",IF($L989="","",IF(AND($K989=2,$L989&lt;$J989,COUNTIFS(nrES_PID,$D989,nrES_Code,$F989,nrES_Att,1)&gt;0),"Yes","No")))</f>
        <v/>
      </c>
      <c r="S989" s="18" t="n"/>
      <c r="T989" s="19">
        <f>IF($Q989&lt;&gt;"Yes","",IF($S989="","(enter date)",_xlfn.LET(_xlpm.dn,IFERROR(_xlfn.XLOOKUP($S989,nrCDdate,nrCDnum),""),IF(_xlpm.dn="","(not a class day)",IFERROR(_xlfn.XLOOKUP(_xlpm.dn+cfgRetestClassDays,nrCDnum,nrCDdate),"")))))</f>
        <v/>
      </c>
      <c r="U989" s="17">
        <f>IF($Q989&lt;&gt;"Yes","",IF(COUNTIFS(nrES_PID,$D989,nrES_Code,$F989,nrES_Att,2)&gt;0,"Retested",IF(OR($T989="",NOT(ISNUMBER($T989))),"Pending",IF(TODAY()&gt;$T989,"OVERDUE","Due "&amp;TEXT($T989,"mm/dd")))))</f>
        <v/>
      </c>
      <c r="V989" s="16" t="n"/>
      <c r="W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IF($C990="","",IF($L990="","",IF($K990=1,IF(COUNTIFS(nrES_PID,$D990,nrES_Code,$F990,nrES_Att,2)&gt;0,"",$L990),IF(COUNTIFS(nrES_PID,$D990,nrES_Code,$F990,nrES_Att,1)=0,$L990,IF($L990&gt;=$J990,cfgRetakeRecordedCap,SUMIFS(nrES_Raw,nrES_PID,$D990,nrES_Code,$F990,nrES_Att,1))))))</f>
        <v/>
      </c>
      <c r="N990" s="17">
        <f>IF($C990="","",IF($L990="","",IF($L990&gt;=$J990,"Yes","No")))</f>
        <v/>
      </c>
      <c r="O990" s="17">
        <f>IF($C990="","",IF($M990="","",IF($M990&gt;=$J990,"Yes","No")))</f>
        <v/>
      </c>
      <c r="P990" s="17">
        <f>IF($C990="","",IF($K990="","",IF(COUNTIFS(nrES_PID,$D990,nrES_Code,$F990,nrES_Att,"&gt;"&amp;$K990)=0,"Yes","No")))</f>
        <v/>
      </c>
      <c r="Q990" s="17">
        <f>IF($C990="","",IF($L990="","",IF(AND($K990=1,$L990&lt;$J990,COUNTIFS(nrES_PID,$D990,nrES_Code,$F990,nrES_Att,2)=0),"Yes","No")))</f>
        <v/>
      </c>
      <c r="R990" s="17">
        <f>IF($C990="","",IF($L990="","",IF(AND($K990=2,$L990&lt;$J990,COUNTIFS(nrES_PID,$D990,nrES_Code,$F990,nrES_Att,1)&gt;0),"Yes","No")))</f>
        <v/>
      </c>
      <c r="S990" s="18" t="n"/>
      <c r="T990" s="19">
        <f>IF($Q990&lt;&gt;"Yes","",IF($S990="","(enter date)",_xlfn.LET(_xlpm.dn,IFERROR(_xlfn.XLOOKUP($S990,nrCDdate,nrCDnum),""),IF(_xlpm.dn="","(not a class day)",IFERROR(_xlfn.XLOOKUP(_xlpm.dn+cfgRetestClassDays,nrCDnum,nrCDdate),"")))))</f>
        <v/>
      </c>
      <c r="U990" s="17">
        <f>IF($Q990&lt;&gt;"Yes","",IF(COUNTIFS(nrES_PID,$D990,nrES_Code,$F990,nrES_Att,2)&gt;0,"Retested",IF(OR($T990="",NOT(ISNUMBER($T990))),"Pending",IF(TODAY()&gt;$T990,"OVERDUE","Due "&amp;TEXT($T990,"mm/dd")))))</f>
        <v/>
      </c>
      <c r="V990" s="16" t="n"/>
      <c r="W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IF($C991="","",IF($L991="","",IF($K991=1,IF(COUNTIFS(nrES_PID,$D991,nrES_Code,$F991,nrES_Att,2)&gt;0,"",$L991),IF(COUNTIFS(nrES_PID,$D991,nrES_Code,$F991,nrES_Att,1)=0,$L991,IF($L991&gt;=$J991,cfgRetakeRecordedCap,SUMIFS(nrES_Raw,nrES_PID,$D991,nrES_Code,$F991,nrES_Att,1))))))</f>
        <v/>
      </c>
      <c r="N991" s="17">
        <f>IF($C991="","",IF($L991="","",IF($L991&gt;=$J991,"Yes","No")))</f>
        <v/>
      </c>
      <c r="O991" s="17">
        <f>IF($C991="","",IF($M991="","",IF($M991&gt;=$J991,"Yes","No")))</f>
        <v/>
      </c>
      <c r="P991" s="17">
        <f>IF($C991="","",IF($K991="","",IF(COUNTIFS(nrES_PID,$D991,nrES_Code,$F991,nrES_Att,"&gt;"&amp;$K991)=0,"Yes","No")))</f>
        <v/>
      </c>
      <c r="Q991" s="17">
        <f>IF($C991="","",IF($L991="","",IF(AND($K991=1,$L991&lt;$J991,COUNTIFS(nrES_PID,$D991,nrES_Code,$F991,nrES_Att,2)=0),"Yes","No")))</f>
        <v/>
      </c>
      <c r="R991" s="17">
        <f>IF($C991="","",IF($L991="","",IF(AND($K991=2,$L991&lt;$J991,COUNTIFS(nrES_PID,$D991,nrES_Code,$F991,nrES_Att,1)&gt;0),"Yes","No")))</f>
        <v/>
      </c>
      <c r="S991" s="18" t="n"/>
      <c r="T991" s="19">
        <f>IF($Q991&lt;&gt;"Yes","",IF($S991="","(enter date)",_xlfn.LET(_xlpm.dn,IFERROR(_xlfn.XLOOKUP($S991,nrCDdate,nrCDnum),""),IF(_xlpm.dn="","(not a class day)",IFERROR(_xlfn.XLOOKUP(_xlpm.dn+cfgRetestClassDays,nrCDnum,nrCDdate),"")))))</f>
        <v/>
      </c>
      <c r="U991" s="17">
        <f>IF($Q991&lt;&gt;"Yes","",IF(COUNTIFS(nrES_PID,$D991,nrES_Code,$F991,nrES_Att,2)&gt;0,"Retested",IF(OR($T991="",NOT(ISNUMBER($T991))),"Pending",IF(TODAY()&gt;$T991,"OVERDUE","Due "&amp;TEXT($T991,"mm/dd")))))</f>
        <v/>
      </c>
      <c r="V991" s="16" t="n"/>
      <c r="W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IF($C992="","",IF($L992="","",IF($K992=1,IF(COUNTIFS(nrES_PID,$D992,nrES_Code,$F992,nrES_Att,2)&gt;0,"",$L992),IF(COUNTIFS(nrES_PID,$D992,nrES_Code,$F992,nrES_Att,1)=0,$L992,IF($L992&gt;=$J992,cfgRetakeRecordedCap,SUMIFS(nrES_Raw,nrES_PID,$D992,nrES_Code,$F992,nrES_Att,1))))))</f>
        <v/>
      </c>
      <c r="N992" s="17">
        <f>IF($C992="","",IF($L992="","",IF($L992&gt;=$J992,"Yes","No")))</f>
        <v/>
      </c>
      <c r="O992" s="17">
        <f>IF($C992="","",IF($M992="","",IF($M992&gt;=$J992,"Yes","No")))</f>
        <v/>
      </c>
      <c r="P992" s="17">
        <f>IF($C992="","",IF($K992="","",IF(COUNTIFS(nrES_PID,$D992,nrES_Code,$F992,nrES_Att,"&gt;"&amp;$K992)=0,"Yes","No")))</f>
        <v/>
      </c>
      <c r="Q992" s="17">
        <f>IF($C992="","",IF($L992="","",IF(AND($K992=1,$L992&lt;$J992,COUNTIFS(nrES_PID,$D992,nrES_Code,$F992,nrES_Att,2)=0),"Yes","No")))</f>
        <v/>
      </c>
      <c r="R992" s="17">
        <f>IF($C992="","",IF($L992="","",IF(AND($K992=2,$L992&lt;$J992,COUNTIFS(nrES_PID,$D992,nrES_Code,$F992,nrES_Att,1)&gt;0),"Yes","No")))</f>
        <v/>
      </c>
      <c r="S992" s="18" t="n"/>
      <c r="T992" s="19">
        <f>IF($Q992&lt;&gt;"Yes","",IF($S992="","(enter date)",_xlfn.LET(_xlpm.dn,IFERROR(_xlfn.XLOOKUP($S992,nrCDdate,nrCDnum),""),IF(_xlpm.dn="","(not a class day)",IFERROR(_xlfn.XLOOKUP(_xlpm.dn+cfgRetestClassDays,nrCDnum,nrCDdate),"")))))</f>
        <v/>
      </c>
      <c r="U992" s="17">
        <f>IF($Q992&lt;&gt;"Yes","",IF(COUNTIFS(nrES_PID,$D992,nrES_Code,$F992,nrES_Att,2)&gt;0,"Retested",IF(OR($T992="",NOT(ISNUMBER($T992))),"Pending",IF(TODAY()&gt;$T992,"OVERDUE","Due "&amp;TEXT($T992,"mm/dd")))))</f>
        <v/>
      </c>
      <c r="V992" s="16" t="n"/>
      <c r="W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IF($C993="","",IF($L993="","",IF($K993=1,IF(COUNTIFS(nrES_PID,$D993,nrES_Code,$F993,nrES_Att,2)&gt;0,"",$L993),IF(COUNTIFS(nrES_PID,$D993,nrES_Code,$F993,nrES_Att,1)=0,$L993,IF($L993&gt;=$J993,cfgRetakeRecordedCap,SUMIFS(nrES_Raw,nrES_PID,$D993,nrES_Code,$F993,nrES_Att,1))))))</f>
        <v/>
      </c>
      <c r="N993" s="17">
        <f>IF($C993="","",IF($L993="","",IF($L993&gt;=$J993,"Yes","No")))</f>
        <v/>
      </c>
      <c r="O993" s="17">
        <f>IF($C993="","",IF($M993="","",IF($M993&gt;=$J993,"Yes","No")))</f>
        <v/>
      </c>
      <c r="P993" s="17">
        <f>IF($C993="","",IF($K993="","",IF(COUNTIFS(nrES_PID,$D993,nrES_Code,$F993,nrES_Att,"&gt;"&amp;$K993)=0,"Yes","No")))</f>
        <v/>
      </c>
      <c r="Q993" s="17">
        <f>IF($C993="","",IF($L993="","",IF(AND($K993=1,$L993&lt;$J993,COUNTIFS(nrES_PID,$D993,nrES_Code,$F993,nrES_Att,2)=0),"Yes","No")))</f>
        <v/>
      </c>
      <c r="R993" s="17">
        <f>IF($C993="","",IF($L993="","",IF(AND($K993=2,$L993&lt;$J993,COUNTIFS(nrES_PID,$D993,nrES_Code,$F993,nrES_Att,1)&gt;0),"Yes","No")))</f>
        <v/>
      </c>
      <c r="S993" s="18" t="n"/>
      <c r="T993" s="19">
        <f>IF($Q993&lt;&gt;"Yes","",IF($S993="","(enter date)",_xlfn.LET(_xlpm.dn,IFERROR(_xlfn.XLOOKUP($S993,nrCDdate,nrCDnum),""),IF(_xlpm.dn="","(not a class day)",IFERROR(_xlfn.XLOOKUP(_xlpm.dn+cfgRetestClassDays,nrCDnum,nrCDdate),"")))))</f>
        <v/>
      </c>
      <c r="U993" s="17">
        <f>IF($Q993&lt;&gt;"Yes","",IF(COUNTIFS(nrES_PID,$D993,nrES_Code,$F993,nrES_Att,2)&gt;0,"Retested",IF(OR($T993="",NOT(ISNUMBER($T993))),"Pending",IF(TODAY()&gt;$T993,"OVERDUE","Due "&amp;TEXT($T993,"mm/dd")))))</f>
        <v/>
      </c>
      <c r="V993" s="16" t="n"/>
      <c r="W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IF($C994="","",IF($L994="","",IF($K994=1,IF(COUNTIFS(nrES_PID,$D994,nrES_Code,$F994,nrES_Att,2)&gt;0,"",$L994),IF(COUNTIFS(nrES_PID,$D994,nrES_Code,$F994,nrES_Att,1)=0,$L994,IF($L994&gt;=$J994,cfgRetakeRecordedCap,SUMIFS(nrES_Raw,nrES_PID,$D994,nrES_Code,$F994,nrES_Att,1))))))</f>
        <v/>
      </c>
      <c r="N994" s="17">
        <f>IF($C994="","",IF($L994="","",IF($L994&gt;=$J994,"Yes","No")))</f>
        <v/>
      </c>
      <c r="O994" s="17">
        <f>IF($C994="","",IF($M994="","",IF($M994&gt;=$J994,"Yes","No")))</f>
        <v/>
      </c>
      <c r="P994" s="17">
        <f>IF($C994="","",IF($K994="","",IF(COUNTIFS(nrES_PID,$D994,nrES_Code,$F994,nrES_Att,"&gt;"&amp;$K994)=0,"Yes","No")))</f>
        <v/>
      </c>
      <c r="Q994" s="17">
        <f>IF($C994="","",IF($L994="","",IF(AND($K994=1,$L994&lt;$J994,COUNTIFS(nrES_PID,$D994,nrES_Code,$F994,nrES_Att,2)=0),"Yes","No")))</f>
        <v/>
      </c>
      <c r="R994" s="17">
        <f>IF($C994="","",IF($L994="","",IF(AND($K994=2,$L994&lt;$J994,COUNTIFS(nrES_PID,$D994,nrES_Code,$F994,nrES_Att,1)&gt;0),"Yes","No")))</f>
        <v/>
      </c>
      <c r="S994" s="18" t="n"/>
      <c r="T994" s="19">
        <f>IF($Q994&lt;&gt;"Yes","",IF($S994="","(enter date)",_xlfn.LET(_xlpm.dn,IFERROR(_xlfn.XLOOKUP($S994,nrCDdate,nrCDnum),""),IF(_xlpm.dn="","(not a class day)",IFERROR(_xlfn.XLOOKUP(_xlpm.dn+cfgRetestClassDays,nrCDnum,nrCDdate),"")))))</f>
        <v/>
      </c>
      <c r="U994" s="17">
        <f>IF($Q994&lt;&gt;"Yes","",IF(COUNTIFS(nrES_PID,$D994,nrES_Code,$F994,nrES_Att,2)&gt;0,"Retested",IF(OR($T994="",NOT(ISNUMBER($T994))),"Pending",IF(TODAY()&gt;$T994,"OVERDUE","Due "&amp;TEXT($T994,"mm/dd")))))</f>
        <v/>
      </c>
      <c r="V994" s="16" t="n"/>
      <c r="W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IF($C995="","",IF($L995="","",IF($K995=1,IF(COUNTIFS(nrES_PID,$D995,nrES_Code,$F995,nrES_Att,2)&gt;0,"",$L995),IF(COUNTIFS(nrES_PID,$D995,nrES_Code,$F995,nrES_Att,1)=0,$L995,IF($L995&gt;=$J995,cfgRetakeRecordedCap,SUMIFS(nrES_Raw,nrES_PID,$D995,nrES_Code,$F995,nrES_Att,1))))))</f>
        <v/>
      </c>
      <c r="N995" s="17">
        <f>IF($C995="","",IF($L995="","",IF($L995&gt;=$J995,"Yes","No")))</f>
        <v/>
      </c>
      <c r="O995" s="17">
        <f>IF($C995="","",IF($M995="","",IF($M995&gt;=$J995,"Yes","No")))</f>
        <v/>
      </c>
      <c r="P995" s="17">
        <f>IF($C995="","",IF($K995="","",IF(COUNTIFS(nrES_PID,$D995,nrES_Code,$F995,nrES_Att,"&gt;"&amp;$K995)=0,"Yes","No")))</f>
        <v/>
      </c>
      <c r="Q995" s="17">
        <f>IF($C995="","",IF($L995="","",IF(AND($K995=1,$L995&lt;$J995,COUNTIFS(nrES_PID,$D995,nrES_Code,$F995,nrES_Att,2)=0),"Yes","No")))</f>
        <v/>
      </c>
      <c r="R995" s="17">
        <f>IF($C995="","",IF($L995="","",IF(AND($K995=2,$L995&lt;$J995,COUNTIFS(nrES_PID,$D995,nrES_Code,$F995,nrES_Att,1)&gt;0),"Yes","No")))</f>
        <v/>
      </c>
      <c r="S995" s="18" t="n"/>
      <c r="T995" s="19">
        <f>IF($Q995&lt;&gt;"Yes","",IF($S995="","(enter date)",_xlfn.LET(_xlpm.dn,IFERROR(_xlfn.XLOOKUP($S995,nrCDdate,nrCDnum),""),IF(_xlpm.dn="","(not a class day)",IFERROR(_xlfn.XLOOKUP(_xlpm.dn+cfgRetestClassDays,nrCDnum,nrCDdate),"")))))</f>
        <v/>
      </c>
      <c r="U995" s="17">
        <f>IF($Q995&lt;&gt;"Yes","",IF(COUNTIFS(nrES_PID,$D995,nrES_Code,$F995,nrES_Att,2)&gt;0,"Retested",IF(OR($T995="",NOT(ISNUMBER($T995))),"Pending",IF(TODAY()&gt;$T995,"OVERDUE","Due "&amp;TEXT($T995,"mm/dd")))))</f>
        <v/>
      </c>
      <c r="V995" s="16" t="n"/>
      <c r="W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IF($C996="","",IF($L996="","",IF($K996=1,IF(COUNTIFS(nrES_PID,$D996,nrES_Code,$F996,nrES_Att,2)&gt;0,"",$L996),IF(COUNTIFS(nrES_PID,$D996,nrES_Code,$F996,nrES_Att,1)=0,$L996,IF($L996&gt;=$J996,cfgRetakeRecordedCap,SUMIFS(nrES_Raw,nrES_PID,$D996,nrES_Code,$F996,nrES_Att,1))))))</f>
        <v/>
      </c>
      <c r="N996" s="17">
        <f>IF($C996="","",IF($L996="","",IF($L996&gt;=$J996,"Yes","No")))</f>
        <v/>
      </c>
      <c r="O996" s="17">
        <f>IF($C996="","",IF($M996="","",IF($M996&gt;=$J996,"Yes","No")))</f>
        <v/>
      </c>
      <c r="P996" s="17">
        <f>IF($C996="","",IF($K996="","",IF(COUNTIFS(nrES_PID,$D996,nrES_Code,$F996,nrES_Att,"&gt;"&amp;$K996)=0,"Yes","No")))</f>
        <v/>
      </c>
      <c r="Q996" s="17">
        <f>IF($C996="","",IF($L996="","",IF(AND($K996=1,$L996&lt;$J996,COUNTIFS(nrES_PID,$D996,nrES_Code,$F996,nrES_Att,2)=0),"Yes","No")))</f>
        <v/>
      </c>
      <c r="R996" s="17">
        <f>IF($C996="","",IF($L996="","",IF(AND($K996=2,$L996&lt;$J996,COUNTIFS(nrES_PID,$D996,nrES_Code,$F996,nrES_Att,1)&gt;0),"Yes","No")))</f>
        <v/>
      </c>
      <c r="S996" s="18" t="n"/>
      <c r="T996" s="19">
        <f>IF($Q996&lt;&gt;"Yes","",IF($S996="","(enter date)",_xlfn.LET(_xlpm.dn,IFERROR(_xlfn.XLOOKUP($S996,nrCDdate,nrCDnum),""),IF(_xlpm.dn="","(not a class day)",IFERROR(_xlfn.XLOOKUP(_xlpm.dn+cfgRetestClassDays,nrCDnum,nrCDdate),"")))))</f>
        <v/>
      </c>
      <c r="U996" s="17">
        <f>IF($Q996&lt;&gt;"Yes","",IF(COUNTIFS(nrES_PID,$D996,nrES_Code,$F996,nrES_Att,2)&gt;0,"Retested",IF(OR($T996="",NOT(ISNUMBER($T996))),"Pending",IF(TODAY()&gt;$T996,"OVERDUE","Due "&amp;TEXT($T996,"mm/dd")))))</f>
        <v/>
      </c>
      <c r="V996" s="16" t="n"/>
      <c r="W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IF($C997="","",IF($L997="","",IF($K997=1,IF(COUNTIFS(nrES_PID,$D997,nrES_Code,$F997,nrES_Att,2)&gt;0,"",$L997),IF(COUNTIFS(nrES_PID,$D997,nrES_Code,$F997,nrES_Att,1)=0,$L997,IF($L997&gt;=$J997,cfgRetakeRecordedCap,SUMIFS(nrES_Raw,nrES_PID,$D997,nrES_Code,$F997,nrES_Att,1))))))</f>
        <v/>
      </c>
      <c r="N997" s="17">
        <f>IF($C997="","",IF($L997="","",IF($L997&gt;=$J997,"Yes","No")))</f>
        <v/>
      </c>
      <c r="O997" s="17">
        <f>IF($C997="","",IF($M997="","",IF($M997&gt;=$J997,"Yes","No")))</f>
        <v/>
      </c>
      <c r="P997" s="17">
        <f>IF($C997="","",IF($K997="","",IF(COUNTIFS(nrES_PID,$D997,nrES_Code,$F997,nrES_Att,"&gt;"&amp;$K997)=0,"Yes","No")))</f>
        <v/>
      </c>
      <c r="Q997" s="17">
        <f>IF($C997="","",IF($L997="","",IF(AND($K997=1,$L997&lt;$J997,COUNTIFS(nrES_PID,$D997,nrES_Code,$F997,nrES_Att,2)=0),"Yes","No")))</f>
        <v/>
      </c>
      <c r="R997" s="17">
        <f>IF($C997="","",IF($L997="","",IF(AND($K997=2,$L997&lt;$J997,COUNTIFS(nrES_PID,$D997,nrES_Code,$F997,nrES_Att,1)&gt;0),"Yes","No")))</f>
        <v/>
      </c>
      <c r="S997" s="18" t="n"/>
      <c r="T997" s="19">
        <f>IF($Q997&lt;&gt;"Yes","",IF($S997="","(enter date)",_xlfn.LET(_xlpm.dn,IFERROR(_xlfn.XLOOKUP($S997,nrCDdate,nrCDnum),""),IF(_xlpm.dn="","(not a class day)",IFERROR(_xlfn.XLOOKUP(_xlpm.dn+cfgRetestClassDays,nrCDnum,nrCDdate),"")))))</f>
        <v/>
      </c>
      <c r="U997" s="17">
        <f>IF($Q997&lt;&gt;"Yes","",IF(COUNTIFS(nrES_PID,$D997,nrES_Code,$F997,nrES_Att,2)&gt;0,"Retested",IF(OR($T997="",NOT(ISNUMBER($T997))),"Pending",IF(TODAY()&gt;$T997,"OVERDUE","Due "&amp;TEXT($T997,"mm/dd")))))</f>
        <v/>
      </c>
      <c r="V997" s="16" t="n"/>
      <c r="W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IF($C998="","",IF($L998="","",IF($K998=1,IF(COUNTIFS(nrES_PID,$D998,nrES_Code,$F998,nrES_Att,2)&gt;0,"",$L998),IF(COUNTIFS(nrES_PID,$D998,nrES_Code,$F998,nrES_Att,1)=0,$L998,IF($L998&gt;=$J998,cfgRetakeRecordedCap,SUMIFS(nrES_Raw,nrES_PID,$D998,nrES_Code,$F998,nrES_Att,1))))))</f>
        <v/>
      </c>
      <c r="N998" s="17">
        <f>IF($C998="","",IF($L998="","",IF($L998&gt;=$J998,"Yes","No")))</f>
        <v/>
      </c>
      <c r="O998" s="17">
        <f>IF($C998="","",IF($M998="","",IF($M998&gt;=$J998,"Yes","No")))</f>
        <v/>
      </c>
      <c r="P998" s="17">
        <f>IF($C998="","",IF($K998="","",IF(COUNTIFS(nrES_PID,$D998,nrES_Code,$F998,nrES_Att,"&gt;"&amp;$K998)=0,"Yes","No")))</f>
        <v/>
      </c>
      <c r="Q998" s="17">
        <f>IF($C998="","",IF($L998="","",IF(AND($K998=1,$L998&lt;$J998,COUNTIFS(nrES_PID,$D998,nrES_Code,$F998,nrES_Att,2)=0),"Yes","No")))</f>
        <v/>
      </c>
      <c r="R998" s="17">
        <f>IF($C998="","",IF($L998="","",IF(AND($K998=2,$L998&lt;$J998,COUNTIFS(nrES_PID,$D998,nrES_Code,$F998,nrES_Att,1)&gt;0),"Yes","No")))</f>
        <v/>
      </c>
      <c r="S998" s="18" t="n"/>
      <c r="T998" s="19">
        <f>IF($Q998&lt;&gt;"Yes","",IF($S998="","(enter date)",_xlfn.LET(_xlpm.dn,IFERROR(_xlfn.XLOOKUP($S998,nrCDdate,nrCDnum),""),IF(_xlpm.dn="","(not a class day)",IFERROR(_xlfn.XLOOKUP(_xlpm.dn+cfgRetestClassDays,nrCDnum,nrCDdate),"")))))</f>
        <v/>
      </c>
      <c r="U998" s="17">
        <f>IF($Q998&lt;&gt;"Yes","",IF(COUNTIFS(nrES_PID,$D998,nrES_Code,$F998,nrES_Att,2)&gt;0,"Retested",IF(OR($T998="",NOT(ISNUMBER($T998))),"Pending",IF(TODAY()&gt;$T998,"OVERDUE","Due "&amp;TEXT($T998,"mm/dd")))))</f>
        <v/>
      </c>
      <c r="V998" s="16" t="n"/>
      <c r="W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IF($C999="","",IF($L999="","",IF($K999=1,IF(COUNTIFS(nrES_PID,$D999,nrES_Code,$F999,nrES_Att,2)&gt;0,"",$L999),IF(COUNTIFS(nrES_PID,$D999,nrES_Code,$F999,nrES_Att,1)=0,$L999,IF($L999&gt;=$J999,cfgRetakeRecordedCap,SUMIFS(nrES_Raw,nrES_PID,$D999,nrES_Code,$F999,nrES_Att,1))))))</f>
        <v/>
      </c>
      <c r="N999" s="17">
        <f>IF($C999="","",IF($L999="","",IF($L999&gt;=$J999,"Yes","No")))</f>
        <v/>
      </c>
      <c r="O999" s="17">
        <f>IF($C999="","",IF($M999="","",IF($M999&gt;=$J999,"Yes","No")))</f>
        <v/>
      </c>
      <c r="P999" s="17">
        <f>IF($C999="","",IF($K999="","",IF(COUNTIFS(nrES_PID,$D999,nrES_Code,$F999,nrES_Att,"&gt;"&amp;$K999)=0,"Yes","No")))</f>
        <v/>
      </c>
      <c r="Q999" s="17">
        <f>IF($C999="","",IF($L999="","",IF(AND($K999=1,$L999&lt;$J999,COUNTIFS(nrES_PID,$D999,nrES_Code,$F999,nrES_Att,2)=0),"Yes","No")))</f>
        <v/>
      </c>
      <c r="R999" s="17">
        <f>IF($C999="","",IF($L999="","",IF(AND($K999=2,$L999&lt;$J999,COUNTIFS(nrES_PID,$D999,nrES_Code,$F999,nrES_Att,1)&gt;0),"Yes","No")))</f>
        <v/>
      </c>
      <c r="S999" s="18" t="n"/>
      <c r="T999" s="19">
        <f>IF($Q999&lt;&gt;"Yes","",IF($S999="","(enter date)",_xlfn.LET(_xlpm.dn,IFERROR(_xlfn.XLOOKUP($S999,nrCDdate,nrCDnum),""),IF(_xlpm.dn="","(not a class day)",IFERROR(_xlfn.XLOOKUP(_xlpm.dn+cfgRetestClassDays,nrCDnum,nrCDdate),"")))))</f>
        <v/>
      </c>
      <c r="U999" s="17">
        <f>IF($Q999&lt;&gt;"Yes","",IF(COUNTIFS(nrES_PID,$D999,nrES_Code,$F999,nrES_Att,2)&gt;0,"Retested",IF(OR($T999="",NOT(ISNUMBER($T999))),"Pending",IF(TODAY()&gt;$T999,"OVERDUE","Due "&amp;TEXT($T999,"mm/dd")))))</f>
        <v/>
      </c>
      <c r="V999" s="16" t="n"/>
      <c r="W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K1000=1,IF(COUNTIFS(nrES_PID,$D1000,nrES_Code,$F1000,nrES_Att,2)&gt;0,"",$L1000),IF(COUNTIFS(nrES_PID,$D1000,nrES_Code,$F1000,nrES_Att,1)=0,$L1000,IF($L1000&gt;=$J1000,cfgRetakeRecordedCap,SUMIFS(nrES_Raw,nrES_PID,$D1000,nrES_Code,$F1000,nrES_Att,1))))))</f>
        <v/>
      </c>
      <c r="N1000" s="17">
        <f>IF($C1000="","",IF($L1000="","",IF($L1000&gt;=$J1000,"Yes","No")))</f>
        <v/>
      </c>
      <c r="O1000" s="17">
        <f>IF($C1000="","",IF($M1000="","",IF($M1000&gt;=$J1000,"Yes","No")))</f>
        <v/>
      </c>
      <c r="P1000" s="17">
        <f>IF($C1000="","",IF($K1000="","",IF(COUNTIFS(nrES_PID,$D1000,nrES_Code,$F1000,nrES_Att,"&gt;"&amp;$K1000)=0,"Yes","No")))</f>
        <v/>
      </c>
      <c r="Q1000" s="17">
        <f>IF($C1000="","",IF($L1000="","",IF(AND($K1000=1,$L1000&lt;$J1000,COUNTIFS(nrES_PID,$D1000,nrES_Code,$F1000,nrES_Att,2)=0),"Yes","No")))</f>
        <v/>
      </c>
      <c r="R1000" s="17">
        <f>IF($C1000="","",IF($L1000="","",IF(AND($K1000=2,$L1000&lt;$J1000,COUNTIFS(nrES_PID,$D1000,nrES_Code,$F1000,nrES_Att,1)&gt;0),"Yes","No")))</f>
        <v/>
      </c>
      <c r="S1000" s="18" t="n"/>
      <c r="T1000" s="19">
        <f>IF($Q1000&lt;&gt;"Yes","",IF($S1000="","(enter date)",_xlfn.LET(_xlpm.dn,IFERROR(_xlfn.XLOOKUP($S1000,nrCDdate,nrCDnum),""),IF(_xlpm.dn="","(not a class day)",IFERROR(_xlfn.XLOOKUP(_xlpm.dn+cfgRetestClassDays,nrCDnum,nrCDdate),"")))))</f>
        <v/>
      </c>
      <c r="U1000" s="17">
        <f>IF($Q1000&lt;&gt;"Yes","",IF(COUNTIFS(nrES_PID,$D1000,nrES_Code,$F1000,nrES_Att,2)&gt;0,"Retested",IF(OR($T1000="",NOT(ISNUMBER($T1000))),"Pending",IF(TODAY()&gt;$T1000,"OVERDUE","Due "&amp;TEXT($T1000,"mm/dd")))))</f>
        <v/>
      </c>
      <c r="V1000" s="16" t="n"/>
      <c r="W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K1001=1,IF(COUNTIFS(nrES_PID,$D1001,nrES_Code,$F1001,nrES_Att,2)&gt;0,"",$L1001),IF(COUNTIFS(nrES_PID,$D1001,nrES_Code,$F1001,nrES_Att,1)=0,$L1001,IF($L1001&gt;=$J1001,cfgRetakeRecordedCap,SUMIFS(nrES_Raw,nrES_PID,$D1001,nrES_Code,$F1001,nrES_Att,1))))))</f>
        <v/>
      </c>
      <c r="N1001" s="17">
        <f>IF($C1001="","",IF($L1001="","",IF($L1001&gt;=$J1001,"Yes","No")))</f>
        <v/>
      </c>
      <c r="O1001" s="17">
        <f>IF($C1001="","",IF($M1001="","",IF($M1001&gt;=$J1001,"Yes","No")))</f>
        <v/>
      </c>
      <c r="P1001" s="17">
        <f>IF($C1001="","",IF($K1001="","",IF(COUNTIFS(nrES_PID,$D1001,nrES_Code,$F1001,nrES_Att,"&gt;"&amp;$K1001)=0,"Yes","No")))</f>
        <v/>
      </c>
      <c r="Q1001" s="17">
        <f>IF($C1001="","",IF($L1001="","",IF(AND($K1001=1,$L1001&lt;$J1001,COUNTIFS(nrES_PID,$D1001,nrES_Code,$F1001,nrES_Att,2)=0),"Yes","No")))</f>
        <v/>
      </c>
      <c r="R1001" s="17">
        <f>IF($C1001="","",IF($L1001="","",IF(AND($K1001=2,$L1001&lt;$J1001,COUNTIFS(nrES_PID,$D1001,nrES_Code,$F1001,nrES_Att,1)&gt;0),"Yes","No")))</f>
        <v/>
      </c>
      <c r="S1001" s="18" t="n"/>
      <c r="T1001" s="19">
        <f>IF($Q1001&lt;&gt;"Yes","",IF($S1001="","(enter date)",_xlfn.LET(_xlpm.dn,IFERROR(_xlfn.XLOOKUP($S1001,nrCDdate,nrCDnum),""),IF(_xlpm.dn="","(not a class day)",IFERROR(_xlfn.XLOOKUP(_xlpm.dn+cfgRetestClassDays,nrCDnum,nrCDdate),"")))))</f>
        <v/>
      </c>
      <c r="U1001" s="17">
        <f>IF($Q1001&lt;&gt;"Yes","",IF(COUNTIFS(nrES_PID,$D1001,nrES_Code,$F1001,nrES_Att,2)&gt;0,"Retested",IF(OR($T1001="",NOT(ISNUMBER($T1001))),"Pending",IF(TODAY()&gt;$T1001,"OVERDUE","Due "&amp;TEXT($T1001,"mm/dd")))))</f>
        <v/>
      </c>
      <c r="V1001" s="16" t="n"/>
      <c r="W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K1002=1,IF(COUNTIFS(nrES_PID,$D1002,nrES_Code,$F1002,nrES_Att,2)&gt;0,"",$L1002),IF(COUNTIFS(nrES_PID,$D1002,nrES_Code,$F1002,nrES_Att,1)=0,$L1002,IF($L1002&gt;=$J1002,cfgRetakeRecordedCap,SUMIFS(nrES_Raw,nrES_PID,$D1002,nrES_Code,$F1002,nrES_Att,1))))))</f>
        <v/>
      </c>
      <c r="N1002" s="17">
        <f>IF($C1002="","",IF($L1002="","",IF($L1002&gt;=$J1002,"Yes","No")))</f>
        <v/>
      </c>
      <c r="O1002" s="17">
        <f>IF($C1002="","",IF($M1002="","",IF($M1002&gt;=$J1002,"Yes","No")))</f>
        <v/>
      </c>
      <c r="P1002" s="17">
        <f>IF($C1002="","",IF($K1002="","",IF(COUNTIFS(nrES_PID,$D1002,nrES_Code,$F1002,nrES_Att,"&gt;"&amp;$K1002)=0,"Yes","No")))</f>
        <v/>
      </c>
      <c r="Q1002" s="17">
        <f>IF($C1002="","",IF($L1002="","",IF(AND($K1002=1,$L1002&lt;$J1002,COUNTIFS(nrES_PID,$D1002,nrES_Code,$F1002,nrES_Att,2)=0),"Yes","No")))</f>
        <v/>
      </c>
      <c r="R1002" s="17">
        <f>IF($C1002="","",IF($L1002="","",IF(AND($K1002=2,$L1002&lt;$J1002,COUNTIFS(nrES_PID,$D1002,nrES_Code,$F1002,nrES_Att,1)&gt;0),"Yes","No")))</f>
        <v/>
      </c>
      <c r="S1002" s="18" t="n"/>
      <c r="T1002" s="19">
        <f>IF($Q1002&lt;&gt;"Yes","",IF($S1002="","(enter date)",_xlfn.LET(_xlpm.dn,IFERROR(_xlfn.XLOOKUP($S1002,nrCDdate,nrCDnum),""),IF(_xlpm.dn="","(not a class day)",IFERROR(_xlfn.XLOOKUP(_xlpm.dn+cfgRetestClassDays,nrCDnum,nrCDdate),"")))))</f>
        <v/>
      </c>
      <c r="U1002" s="17">
        <f>IF($Q1002&lt;&gt;"Yes","",IF(COUNTIFS(nrES_PID,$D1002,nrES_Code,$F1002,nrES_Att,2)&gt;0,"Retested",IF(OR($T1002="",NOT(ISNUMBER($T1002))),"Pending",IF(TODAY()&gt;$T1002,"OVERDUE","Due "&amp;TEXT($T1002,"mm/dd")))))</f>
        <v/>
      </c>
      <c r="V1002" s="16" t="n"/>
      <c r="W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K1003=1,IF(COUNTIFS(nrES_PID,$D1003,nrES_Code,$F1003,nrES_Att,2)&gt;0,"",$L1003),IF(COUNTIFS(nrES_PID,$D1003,nrES_Code,$F1003,nrES_Att,1)=0,$L1003,IF($L1003&gt;=$J1003,cfgRetakeRecordedCap,SUMIFS(nrES_Raw,nrES_PID,$D1003,nrES_Code,$F1003,nrES_Att,1))))))</f>
        <v/>
      </c>
      <c r="N1003" s="17">
        <f>IF($C1003="","",IF($L1003="","",IF($L1003&gt;=$J1003,"Yes","No")))</f>
        <v/>
      </c>
      <c r="O1003" s="17">
        <f>IF($C1003="","",IF($M1003="","",IF($M1003&gt;=$J1003,"Yes","No")))</f>
        <v/>
      </c>
      <c r="P1003" s="17">
        <f>IF($C1003="","",IF($K1003="","",IF(COUNTIFS(nrES_PID,$D1003,nrES_Code,$F1003,nrES_Att,"&gt;"&amp;$K1003)=0,"Yes","No")))</f>
        <v/>
      </c>
      <c r="Q1003" s="17">
        <f>IF($C1003="","",IF($L1003="","",IF(AND($K1003=1,$L1003&lt;$J1003,COUNTIFS(nrES_PID,$D1003,nrES_Code,$F1003,nrES_Att,2)=0),"Yes","No")))</f>
        <v/>
      </c>
      <c r="R1003" s="17">
        <f>IF($C1003="","",IF($L1003="","",IF(AND($K1003=2,$L1003&lt;$J1003,COUNTIFS(nrES_PID,$D1003,nrES_Code,$F1003,nrES_Att,1)&gt;0),"Yes","No")))</f>
        <v/>
      </c>
      <c r="S1003" s="18" t="n"/>
      <c r="T1003" s="19">
        <f>IF($Q1003&lt;&gt;"Yes","",IF($S1003="","(enter date)",_xlfn.LET(_xlpm.dn,IFERROR(_xlfn.XLOOKUP($S1003,nrCDdate,nrCDnum),""),IF(_xlpm.dn="","(not a class day)",IFERROR(_xlfn.XLOOKUP(_xlpm.dn+cfgRetestClassDays,nrCDnum,nrCDdate),"")))))</f>
        <v/>
      </c>
      <c r="U1003" s="17">
        <f>IF($Q1003&lt;&gt;"Yes","",IF(COUNTIFS(nrES_PID,$D1003,nrES_Code,$F1003,nrES_Att,2)&gt;0,"Retested",IF(OR($T1003="",NOT(ISNUMBER($T1003))),"Pending",IF(TODAY()&gt;$T1003,"OVERDUE","Due "&amp;TEXT($T1003,"mm/dd")))))</f>
        <v/>
      </c>
      <c r="V1003" s="16" t="n"/>
      <c r="W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K1004=1,IF(COUNTIFS(nrES_PID,$D1004,nrES_Code,$F1004,nrES_Att,2)&gt;0,"",$L1004),IF(COUNTIFS(nrES_PID,$D1004,nrES_Code,$F1004,nrES_Att,1)=0,$L1004,IF($L1004&gt;=$J1004,cfgRetakeRecordedCap,SUMIFS(nrES_Raw,nrES_PID,$D1004,nrES_Code,$F1004,nrES_Att,1))))))</f>
        <v/>
      </c>
      <c r="N1004" s="17">
        <f>IF($C1004="","",IF($L1004="","",IF($L1004&gt;=$J1004,"Yes","No")))</f>
        <v/>
      </c>
      <c r="O1004" s="17">
        <f>IF($C1004="","",IF($M1004="","",IF($M1004&gt;=$J1004,"Yes","No")))</f>
        <v/>
      </c>
      <c r="P1004" s="17">
        <f>IF($C1004="","",IF($K1004="","",IF(COUNTIFS(nrES_PID,$D1004,nrES_Code,$F1004,nrES_Att,"&gt;"&amp;$K1004)=0,"Yes","No")))</f>
        <v/>
      </c>
      <c r="Q1004" s="17">
        <f>IF($C1004="","",IF($L1004="","",IF(AND($K1004=1,$L1004&lt;$J1004,COUNTIFS(nrES_PID,$D1004,nrES_Code,$F1004,nrES_Att,2)=0),"Yes","No")))</f>
        <v/>
      </c>
      <c r="R1004" s="17">
        <f>IF($C1004="","",IF($L1004="","",IF(AND($K1004=2,$L1004&lt;$J1004,COUNTIFS(nrES_PID,$D1004,nrES_Code,$F1004,nrES_Att,1)&gt;0),"Yes","No")))</f>
        <v/>
      </c>
      <c r="S1004" s="18" t="n"/>
      <c r="T1004" s="19">
        <f>IF($Q1004&lt;&gt;"Yes","",IF($S1004="","(enter date)",_xlfn.LET(_xlpm.dn,IFERROR(_xlfn.XLOOKUP($S1004,nrCDdate,nrCDnum),""),IF(_xlpm.dn="","(not a class day)",IFERROR(_xlfn.XLOOKUP(_xlpm.dn+cfgRetestClassDays,nrCDnum,nrCDdate),"")))))</f>
        <v/>
      </c>
      <c r="U1004" s="17">
        <f>IF($Q1004&lt;&gt;"Yes","",IF(COUNTIFS(nrES_PID,$D1004,nrES_Code,$F1004,nrES_Att,2)&gt;0,"Retested",IF(OR($T1004="",NOT(ISNUMBER($T1004))),"Pending",IF(TODAY()&gt;$T1004,"OVERDUE","Due "&amp;TEXT($T1004,"mm/dd")))))</f>
        <v/>
      </c>
      <c r="V1004" s="16" t="n"/>
      <c r="W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K1005=1,IF(COUNTIFS(nrES_PID,$D1005,nrES_Code,$F1005,nrES_Att,2)&gt;0,"",$L1005),IF(COUNTIFS(nrES_PID,$D1005,nrES_Code,$F1005,nrES_Att,1)=0,$L1005,IF($L1005&gt;=$J1005,cfgRetakeRecordedCap,SUMIFS(nrES_Raw,nrES_PID,$D1005,nrES_Code,$F1005,nrES_Att,1))))))</f>
        <v/>
      </c>
      <c r="N1005" s="17">
        <f>IF($C1005="","",IF($L1005="","",IF($L1005&gt;=$J1005,"Yes","No")))</f>
        <v/>
      </c>
      <c r="O1005" s="17">
        <f>IF($C1005="","",IF($M1005="","",IF($M1005&gt;=$J1005,"Yes","No")))</f>
        <v/>
      </c>
      <c r="P1005" s="17">
        <f>IF($C1005="","",IF($K1005="","",IF(COUNTIFS(nrES_PID,$D1005,nrES_Code,$F1005,nrES_Att,"&gt;"&amp;$K1005)=0,"Yes","No")))</f>
        <v/>
      </c>
      <c r="Q1005" s="17">
        <f>IF($C1005="","",IF($L1005="","",IF(AND($K1005=1,$L1005&lt;$J1005,COUNTIFS(nrES_PID,$D1005,nrES_Code,$F1005,nrES_Att,2)=0),"Yes","No")))</f>
        <v/>
      </c>
      <c r="R1005" s="17">
        <f>IF($C1005="","",IF($L1005="","",IF(AND($K1005=2,$L1005&lt;$J1005,COUNTIFS(nrES_PID,$D1005,nrES_Code,$F1005,nrES_Att,1)&gt;0),"Yes","No")))</f>
        <v/>
      </c>
      <c r="S1005" s="18" t="n"/>
      <c r="T1005" s="19">
        <f>IF($Q1005&lt;&gt;"Yes","",IF($S1005="","(enter date)",_xlfn.LET(_xlpm.dn,IFERROR(_xlfn.XLOOKUP($S1005,nrCDdate,nrCDnum),""),IF(_xlpm.dn="","(not a class day)",IFERROR(_xlfn.XLOOKUP(_xlpm.dn+cfgRetestClassDays,nrCDnum,nrCDdate),"")))))</f>
        <v/>
      </c>
      <c r="U1005" s="17">
        <f>IF($Q1005&lt;&gt;"Yes","",IF(COUNTIFS(nrES_PID,$D1005,nrES_Code,$F1005,nrES_Att,2)&gt;0,"Retested",IF(OR($T1005="",NOT(ISNUMBER($T1005))),"Pending",IF(TODAY()&gt;$T1005,"OVERDUE","Due "&amp;TEXT($T1005,"mm/dd")))))</f>
        <v/>
      </c>
      <c r="V1005" s="16" t="n"/>
      <c r="W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K1006=1,IF(COUNTIFS(nrES_PID,$D1006,nrES_Code,$F1006,nrES_Att,2)&gt;0,"",$L1006),IF(COUNTIFS(nrES_PID,$D1006,nrES_Code,$F1006,nrES_Att,1)=0,$L1006,IF($L1006&gt;=$J1006,cfgRetakeRecordedCap,SUMIFS(nrES_Raw,nrES_PID,$D1006,nrES_Code,$F1006,nrES_Att,1))))))</f>
        <v/>
      </c>
      <c r="N1006" s="17">
        <f>IF($C1006="","",IF($L1006="","",IF($L1006&gt;=$J1006,"Yes","No")))</f>
        <v/>
      </c>
      <c r="O1006" s="17">
        <f>IF($C1006="","",IF($M1006="","",IF($M1006&gt;=$J1006,"Yes","No")))</f>
        <v/>
      </c>
      <c r="P1006" s="17">
        <f>IF($C1006="","",IF($K1006="","",IF(COUNTIFS(nrES_PID,$D1006,nrES_Code,$F1006,nrES_Att,"&gt;"&amp;$K1006)=0,"Yes","No")))</f>
        <v/>
      </c>
      <c r="Q1006" s="17">
        <f>IF($C1006="","",IF($L1006="","",IF(AND($K1006=1,$L1006&lt;$J1006,COUNTIFS(nrES_PID,$D1006,nrES_Code,$F1006,nrES_Att,2)=0),"Yes","No")))</f>
        <v/>
      </c>
      <c r="R1006" s="17">
        <f>IF($C1006="","",IF($L1006="","",IF(AND($K1006=2,$L1006&lt;$J1006,COUNTIFS(nrES_PID,$D1006,nrES_Code,$F1006,nrES_Att,1)&gt;0),"Yes","No")))</f>
        <v/>
      </c>
      <c r="S1006" s="18" t="n"/>
      <c r="T1006" s="19">
        <f>IF($Q1006&lt;&gt;"Yes","",IF($S1006="","(enter date)",_xlfn.LET(_xlpm.dn,IFERROR(_xlfn.XLOOKUP($S1006,nrCDdate,nrCDnum),""),IF(_xlpm.dn="","(not a class day)",IFERROR(_xlfn.XLOOKUP(_xlpm.dn+cfgRetestClassDays,nrCDnum,nrCDdate),"")))))</f>
        <v/>
      </c>
      <c r="U1006" s="17">
        <f>IF($Q1006&lt;&gt;"Yes","",IF(COUNTIFS(nrES_PID,$D1006,nrES_Code,$F1006,nrES_Att,2)&gt;0,"Retested",IF(OR($T1006="",NOT(ISNUMBER($T1006))),"Pending",IF(TODAY()&gt;$T1006,"OVERDUE","Due "&amp;TEXT($T1006,"mm/dd")))))</f>
        <v/>
      </c>
      <c r="V1006" s="16" t="n"/>
      <c r="W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K1007=1,IF(COUNTIFS(nrES_PID,$D1007,nrES_Code,$F1007,nrES_Att,2)&gt;0,"",$L1007),IF(COUNTIFS(nrES_PID,$D1007,nrES_Code,$F1007,nrES_Att,1)=0,$L1007,IF($L1007&gt;=$J1007,cfgRetakeRecordedCap,SUMIFS(nrES_Raw,nrES_PID,$D1007,nrES_Code,$F1007,nrES_Att,1))))))</f>
        <v/>
      </c>
      <c r="N1007" s="17">
        <f>IF($C1007="","",IF($L1007="","",IF($L1007&gt;=$J1007,"Yes","No")))</f>
        <v/>
      </c>
      <c r="O1007" s="17">
        <f>IF($C1007="","",IF($M1007="","",IF($M1007&gt;=$J1007,"Yes","No")))</f>
        <v/>
      </c>
      <c r="P1007" s="17">
        <f>IF($C1007="","",IF($K1007="","",IF(COUNTIFS(nrES_PID,$D1007,nrES_Code,$F1007,nrES_Att,"&gt;"&amp;$K1007)=0,"Yes","No")))</f>
        <v/>
      </c>
      <c r="Q1007" s="17">
        <f>IF($C1007="","",IF($L1007="","",IF(AND($K1007=1,$L1007&lt;$J1007,COUNTIFS(nrES_PID,$D1007,nrES_Code,$F1007,nrES_Att,2)=0),"Yes","No")))</f>
        <v/>
      </c>
      <c r="R1007" s="17">
        <f>IF($C1007="","",IF($L1007="","",IF(AND($K1007=2,$L1007&lt;$J1007,COUNTIFS(nrES_PID,$D1007,nrES_Code,$F1007,nrES_Att,1)&gt;0),"Yes","No")))</f>
        <v/>
      </c>
      <c r="S1007" s="18" t="n"/>
      <c r="T1007" s="19">
        <f>IF($Q1007&lt;&gt;"Yes","",IF($S1007="","(enter date)",_xlfn.LET(_xlpm.dn,IFERROR(_xlfn.XLOOKUP($S1007,nrCDdate,nrCDnum),""),IF(_xlpm.dn="","(not a class day)",IFERROR(_xlfn.XLOOKUP(_xlpm.dn+cfgRetestClassDays,nrCDnum,nrCDdate),"")))))</f>
        <v/>
      </c>
      <c r="U1007" s="17">
        <f>IF($Q1007&lt;&gt;"Yes","",IF(COUNTIFS(nrES_PID,$D1007,nrES_Code,$F1007,nrES_Att,2)&gt;0,"Retested",IF(OR($T1007="",NOT(ISNUMBER($T1007))),"Pending",IF(TODAY()&gt;$T1007,"OVERDUE","Due "&amp;TEXT($T1007,"mm/dd")))))</f>
        <v/>
      </c>
      <c r="V1007" s="16" t="n"/>
      <c r="W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K1008=1,IF(COUNTIFS(nrES_PID,$D1008,nrES_Code,$F1008,nrES_Att,2)&gt;0,"",$L1008),IF(COUNTIFS(nrES_PID,$D1008,nrES_Code,$F1008,nrES_Att,1)=0,$L1008,IF($L1008&gt;=$J1008,cfgRetakeRecordedCap,SUMIFS(nrES_Raw,nrES_PID,$D1008,nrES_Code,$F1008,nrES_Att,1))))))</f>
        <v/>
      </c>
      <c r="N1008" s="17">
        <f>IF($C1008="","",IF($L1008="","",IF($L1008&gt;=$J1008,"Yes","No")))</f>
        <v/>
      </c>
      <c r="O1008" s="17">
        <f>IF($C1008="","",IF($M1008="","",IF($M1008&gt;=$J1008,"Yes","No")))</f>
        <v/>
      </c>
      <c r="P1008" s="17">
        <f>IF($C1008="","",IF($K1008="","",IF(COUNTIFS(nrES_PID,$D1008,nrES_Code,$F1008,nrES_Att,"&gt;"&amp;$K1008)=0,"Yes","No")))</f>
        <v/>
      </c>
      <c r="Q1008" s="17">
        <f>IF($C1008="","",IF($L1008="","",IF(AND($K1008=1,$L1008&lt;$J1008,COUNTIFS(nrES_PID,$D1008,nrES_Code,$F1008,nrES_Att,2)=0),"Yes","No")))</f>
        <v/>
      </c>
      <c r="R1008" s="17">
        <f>IF($C1008="","",IF($L1008="","",IF(AND($K1008=2,$L1008&lt;$J1008,COUNTIFS(nrES_PID,$D1008,nrES_Code,$F1008,nrES_Att,1)&gt;0),"Yes","No")))</f>
        <v/>
      </c>
      <c r="S1008" s="18" t="n"/>
      <c r="T1008" s="19">
        <f>IF($Q1008&lt;&gt;"Yes","",IF($S1008="","(enter date)",_xlfn.LET(_xlpm.dn,IFERROR(_xlfn.XLOOKUP($S1008,nrCDdate,nrCDnum),""),IF(_xlpm.dn="","(not a class day)",IFERROR(_xlfn.XLOOKUP(_xlpm.dn+cfgRetestClassDays,nrCDnum,nrCDdate),"")))))</f>
        <v/>
      </c>
      <c r="U1008" s="17">
        <f>IF($Q1008&lt;&gt;"Yes","",IF(COUNTIFS(nrES_PID,$D1008,nrES_Code,$F1008,nrES_Att,2)&gt;0,"Retested",IF(OR($T1008="",NOT(ISNUMBER($T1008))),"Pending",IF(TODAY()&gt;$T1008,"OVERDUE","Due "&amp;TEXT($T1008,"mm/dd")))))</f>
        <v/>
      </c>
      <c r="V1008" s="16" t="n"/>
      <c r="W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K1009=1,IF(COUNTIFS(nrES_PID,$D1009,nrES_Code,$F1009,nrES_Att,2)&gt;0,"",$L1009),IF(COUNTIFS(nrES_PID,$D1009,nrES_Code,$F1009,nrES_Att,1)=0,$L1009,IF($L1009&gt;=$J1009,cfgRetakeRecordedCap,SUMIFS(nrES_Raw,nrES_PID,$D1009,nrES_Code,$F1009,nrES_Att,1))))))</f>
        <v/>
      </c>
      <c r="N1009" s="17">
        <f>IF($C1009="","",IF($L1009="","",IF($L1009&gt;=$J1009,"Yes","No")))</f>
        <v/>
      </c>
      <c r="O1009" s="17">
        <f>IF($C1009="","",IF($M1009="","",IF($M1009&gt;=$J1009,"Yes","No")))</f>
        <v/>
      </c>
      <c r="P1009" s="17">
        <f>IF($C1009="","",IF($K1009="","",IF(COUNTIFS(nrES_PID,$D1009,nrES_Code,$F1009,nrES_Att,"&gt;"&amp;$K1009)=0,"Yes","No")))</f>
        <v/>
      </c>
      <c r="Q1009" s="17">
        <f>IF($C1009="","",IF($L1009="","",IF(AND($K1009=1,$L1009&lt;$J1009,COUNTIFS(nrES_PID,$D1009,nrES_Code,$F1009,nrES_Att,2)=0),"Yes","No")))</f>
        <v/>
      </c>
      <c r="R1009" s="17">
        <f>IF($C1009="","",IF($L1009="","",IF(AND($K1009=2,$L1009&lt;$J1009,COUNTIFS(nrES_PID,$D1009,nrES_Code,$F1009,nrES_Att,1)&gt;0),"Yes","No")))</f>
        <v/>
      </c>
      <c r="S1009" s="18" t="n"/>
      <c r="T1009" s="19">
        <f>IF($Q1009&lt;&gt;"Yes","",IF($S1009="","(enter date)",_xlfn.LET(_xlpm.dn,IFERROR(_xlfn.XLOOKUP($S1009,nrCDdate,nrCDnum),""),IF(_xlpm.dn="","(not a class day)",IFERROR(_xlfn.XLOOKUP(_xlpm.dn+cfgRetestClassDays,nrCDnum,nrCDdate),"")))))</f>
        <v/>
      </c>
      <c r="U1009" s="17">
        <f>IF($Q1009&lt;&gt;"Yes","",IF(COUNTIFS(nrES_PID,$D1009,nrES_Code,$F1009,nrES_Att,2)&gt;0,"Retested",IF(OR($T1009="",NOT(ISNUMBER($T1009))),"Pending",IF(TODAY()&gt;$T1009,"OVERDUE","Due "&amp;TEXT($T1009,"mm/dd")))))</f>
        <v/>
      </c>
      <c r="V1009" s="16" t="n"/>
      <c r="W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K1010=1,IF(COUNTIFS(nrES_PID,$D1010,nrES_Code,$F1010,nrES_Att,2)&gt;0,"",$L1010),IF(COUNTIFS(nrES_PID,$D1010,nrES_Code,$F1010,nrES_Att,1)=0,$L1010,IF($L1010&gt;=$J1010,cfgRetakeRecordedCap,SUMIFS(nrES_Raw,nrES_PID,$D1010,nrES_Code,$F1010,nrES_Att,1))))))</f>
        <v/>
      </c>
      <c r="N1010" s="17">
        <f>IF($C1010="","",IF($L1010="","",IF($L1010&gt;=$J1010,"Yes","No")))</f>
        <v/>
      </c>
      <c r="O1010" s="17">
        <f>IF($C1010="","",IF($M1010="","",IF($M1010&gt;=$J1010,"Yes","No")))</f>
        <v/>
      </c>
      <c r="P1010" s="17">
        <f>IF($C1010="","",IF($K1010="","",IF(COUNTIFS(nrES_PID,$D1010,nrES_Code,$F1010,nrES_Att,"&gt;"&amp;$K1010)=0,"Yes","No")))</f>
        <v/>
      </c>
      <c r="Q1010" s="17">
        <f>IF($C1010="","",IF($L1010="","",IF(AND($K1010=1,$L1010&lt;$J1010,COUNTIFS(nrES_PID,$D1010,nrES_Code,$F1010,nrES_Att,2)=0),"Yes","No")))</f>
        <v/>
      </c>
      <c r="R1010" s="17">
        <f>IF($C1010="","",IF($L1010="","",IF(AND($K1010=2,$L1010&lt;$J1010,COUNTIFS(nrES_PID,$D1010,nrES_Code,$F1010,nrES_Att,1)&gt;0),"Yes","No")))</f>
        <v/>
      </c>
      <c r="S1010" s="18" t="n"/>
      <c r="T1010" s="19">
        <f>IF($Q1010&lt;&gt;"Yes","",IF($S1010="","(enter date)",_xlfn.LET(_xlpm.dn,IFERROR(_xlfn.XLOOKUP($S1010,nrCDdate,nrCDnum),""),IF(_xlpm.dn="","(not a class day)",IFERROR(_xlfn.XLOOKUP(_xlpm.dn+cfgRetestClassDays,nrCDnum,nrCDdate),"")))))</f>
        <v/>
      </c>
      <c r="U1010" s="17">
        <f>IF($Q1010&lt;&gt;"Yes","",IF(COUNTIFS(nrES_PID,$D1010,nrES_Code,$F1010,nrES_Att,2)&gt;0,"Retested",IF(OR($T1010="",NOT(ISNUMBER($T1010))),"Pending",IF(TODAY()&gt;$T1010,"OVERDUE","Due "&amp;TEXT($T1010,"mm/dd")))))</f>
        <v/>
      </c>
      <c r="V1010" s="16" t="n"/>
      <c r="W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K1011=1,IF(COUNTIFS(nrES_PID,$D1011,nrES_Code,$F1011,nrES_Att,2)&gt;0,"",$L1011),IF(COUNTIFS(nrES_PID,$D1011,nrES_Code,$F1011,nrES_Att,1)=0,$L1011,IF($L1011&gt;=$J1011,cfgRetakeRecordedCap,SUMIFS(nrES_Raw,nrES_PID,$D1011,nrES_Code,$F1011,nrES_Att,1))))))</f>
        <v/>
      </c>
      <c r="N1011" s="17">
        <f>IF($C1011="","",IF($L1011="","",IF($L1011&gt;=$J1011,"Yes","No")))</f>
        <v/>
      </c>
      <c r="O1011" s="17">
        <f>IF($C1011="","",IF($M1011="","",IF($M1011&gt;=$J1011,"Yes","No")))</f>
        <v/>
      </c>
      <c r="P1011" s="17">
        <f>IF($C1011="","",IF($K1011="","",IF(COUNTIFS(nrES_PID,$D1011,nrES_Code,$F1011,nrES_Att,"&gt;"&amp;$K1011)=0,"Yes","No")))</f>
        <v/>
      </c>
      <c r="Q1011" s="17">
        <f>IF($C1011="","",IF($L1011="","",IF(AND($K1011=1,$L1011&lt;$J1011,COUNTIFS(nrES_PID,$D1011,nrES_Code,$F1011,nrES_Att,2)=0),"Yes","No")))</f>
        <v/>
      </c>
      <c r="R1011" s="17">
        <f>IF($C1011="","",IF($L1011="","",IF(AND($K1011=2,$L1011&lt;$J1011,COUNTIFS(nrES_PID,$D1011,nrES_Code,$F1011,nrES_Att,1)&gt;0),"Yes","No")))</f>
        <v/>
      </c>
      <c r="S1011" s="18" t="n"/>
      <c r="T1011" s="19">
        <f>IF($Q1011&lt;&gt;"Yes","",IF($S1011="","(enter date)",_xlfn.LET(_xlpm.dn,IFERROR(_xlfn.XLOOKUP($S1011,nrCDdate,nrCDnum),""),IF(_xlpm.dn="","(not a class day)",IFERROR(_xlfn.XLOOKUP(_xlpm.dn+cfgRetestClassDays,nrCDnum,nrCDdate),"")))))</f>
        <v/>
      </c>
      <c r="U1011" s="17">
        <f>IF($Q1011&lt;&gt;"Yes","",IF(COUNTIFS(nrES_PID,$D1011,nrES_Code,$F1011,nrES_Att,2)&gt;0,"Retested",IF(OR($T1011="",NOT(ISNUMBER($T1011))),"Pending",IF(TODAY()&gt;$T1011,"OVERDUE","Due "&amp;TEXT($T1011,"mm/dd")))))</f>
        <v/>
      </c>
      <c r="V1011" s="16" t="n"/>
      <c r="W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K1012=1,IF(COUNTIFS(nrES_PID,$D1012,nrES_Code,$F1012,nrES_Att,2)&gt;0,"",$L1012),IF(COUNTIFS(nrES_PID,$D1012,nrES_Code,$F1012,nrES_Att,1)=0,$L1012,IF($L1012&gt;=$J1012,cfgRetakeRecordedCap,SUMIFS(nrES_Raw,nrES_PID,$D1012,nrES_Code,$F1012,nrES_Att,1))))))</f>
        <v/>
      </c>
      <c r="N1012" s="17">
        <f>IF($C1012="","",IF($L1012="","",IF($L1012&gt;=$J1012,"Yes","No")))</f>
        <v/>
      </c>
      <c r="O1012" s="17">
        <f>IF($C1012="","",IF($M1012="","",IF($M1012&gt;=$J1012,"Yes","No")))</f>
        <v/>
      </c>
      <c r="P1012" s="17">
        <f>IF($C1012="","",IF($K1012="","",IF(COUNTIFS(nrES_PID,$D1012,nrES_Code,$F1012,nrES_Att,"&gt;"&amp;$K1012)=0,"Yes","No")))</f>
        <v/>
      </c>
      <c r="Q1012" s="17">
        <f>IF($C1012="","",IF($L1012="","",IF(AND($K1012=1,$L1012&lt;$J1012,COUNTIFS(nrES_PID,$D1012,nrES_Code,$F1012,nrES_Att,2)=0),"Yes","No")))</f>
        <v/>
      </c>
      <c r="R1012" s="17">
        <f>IF($C1012="","",IF($L1012="","",IF(AND($K1012=2,$L1012&lt;$J1012,COUNTIFS(nrES_PID,$D1012,nrES_Code,$F1012,nrES_Att,1)&gt;0),"Yes","No")))</f>
        <v/>
      </c>
      <c r="S1012" s="18" t="n"/>
      <c r="T1012" s="19">
        <f>IF($Q1012&lt;&gt;"Yes","",IF($S1012="","(enter date)",_xlfn.LET(_xlpm.dn,IFERROR(_xlfn.XLOOKUP($S1012,nrCDdate,nrCDnum),""),IF(_xlpm.dn="","(not a class day)",IFERROR(_xlfn.XLOOKUP(_xlpm.dn+cfgRetestClassDays,nrCDnum,nrCDdate),"")))))</f>
        <v/>
      </c>
      <c r="U1012" s="17">
        <f>IF($Q1012&lt;&gt;"Yes","",IF(COUNTIFS(nrES_PID,$D1012,nrES_Code,$F1012,nrES_Att,2)&gt;0,"Retested",IF(OR($T1012="",NOT(ISNUMBER($T1012))),"Pending",IF(TODAY()&gt;$T1012,"OVERDUE","Due "&amp;TEXT($T1012,"mm/dd")))))</f>
        <v/>
      </c>
      <c r="V1012" s="16" t="n"/>
      <c r="W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K1013=1,IF(COUNTIFS(nrES_PID,$D1013,nrES_Code,$F1013,nrES_Att,2)&gt;0,"",$L1013),IF(COUNTIFS(nrES_PID,$D1013,nrES_Code,$F1013,nrES_Att,1)=0,$L1013,IF($L1013&gt;=$J1013,cfgRetakeRecordedCap,SUMIFS(nrES_Raw,nrES_PID,$D1013,nrES_Code,$F1013,nrES_Att,1))))))</f>
        <v/>
      </c>
      <c r="N1013" s="17">
        <f>IF($C1013="","",IF($L1013="","",IF($L1013&gt;=$J1013,"Yes","No")))</f>
        <v/>
      </c>
      <c r="O1013" s="17">
        <f>IF($C1013="","",IF($M1013="","",IF($M1013&gt;=$J1013,"Yes","No")))</f>
        <v/>
      </c>
      <c r="P1013" s="17">
        <f>IF($C1013="","",IF($K1013="","",IF(COUNTIFS(nrES_PID,$D1013,nrES_Code,$F1013,nrES_Att,"&gt;"&amp;$K1013)=0,"Yes","No")))</f>
        <v/>
      </c>
      <c r="Q1013" s="17">
        <f>IF($C1013="","",IF($L1013="","",IF(AND($K1013=1,$L1013&lt;$J1013,COUNTIFS(nrES_PID,$D1013,nrES_Code,$F1013,nrES_Att,2)=0),"Yes","No")))</f>
        <v/>
      </c>
      <c r="R1013" s="17">
        <f>IF($C1013="","",IF($L1013="","",IF(AND($K1013=2,$L1013&lt;$J1013,COUNTIFS(nrES_PID,$D1013,nrES_Code,$F1013,nrES_Att,1)&gt;0),"Yes","No")))</f>
        <v/>
      </c>
      <c r="S1013" s="18" t="n"/>
      <c r="T1013" s="19">
        <f>IF($Q1013&lt;&gt;"Yes","",IF($S1013="","(enter date)",_xlfn.LET(_xlpm.dn,IFERROR(_xlfn.XLOOKUP($S1013,nrCDdate,nrCDnum),""),IF(_xlpm.dn="","(not a class day)",IFERROR(_xlfn.XLOOKUP(_xlpm.dn+cfgRetestClassDays,nrCDnum,nrCDdate),"")))))</f>
        <v/>
      </c>
      <c r="U1013" s="17">
        <f>IF($Q1013&lt;&gt;"Yes","",IF(COUNTIFS(nrES_PID,$D1013,nrES_Code,$F1013,nrES_Att,2)&gt;0,"Retested",IF(OR($T1013="",NOT(ISNUMBER($T1013))),"Pending",IF(TODAY()&gt;$T1013,"OVERDUE","Due "&amp;TEXT($T1013,"mm/dd")))))</f>
        <v/>
      </c>
      <c r="V1013" s="16" t="n"/>
      <c r="W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K1014=1,IF(COUNTIFS(nrES_PID,$D1014,nrES_Code,$F1014,nrES_Att,2)&gt;0,"",$L1014),IF(COUNTIFS(nrES_PID,$D1014,nrES_Code,$F1014,nrES_Att,1)=0,$L1014,IF($L1014&gt;=$J1014,cfgRetakeRecordedCap,SUMIFS(nrES_Raw,nrES_PID,$D1014,nrES_Code,$F1014,nrES_Att,1))))))</f>
        <v/>
      </c>
      <c r="N1014" s="17">
        <f>IF($C1014="","",IF($L1014="","",IF($L1014&gt;=$J1014,"Yes","No")))</f>
        <v/>
      </c>
      <c r="O1014" s="17">
        <f>IF($C1014="","",IF($M1014="","",IF($M1014&gt;=$J1014,"Yes","No")))</f>
        <v/>
      </c>
      <c r="P1014" s="17">
        <f>IF($C1014="","",IF($K1014="","",IF(COUNTIFS(nrES_PID,$D1014,nrES_Code,$F1014,nrES_Att,"&gt;"&amp;$K1014)=0,"Yes","No")))</f>
        <v/>
      </c>
      <c r="Q1014" s="17">
        <f>IF($C1014="","",IF($L1014="","",IF(AND($K1014=1,$L1014&lt;$J1014,COUNTIFS(nrES_PID,$D1014,nrES_Code,$F1014,nrES_Att,2)=0),"Yes","No")))</f>
        <v/>
      </c>
      <c r="R1014" s="17">
        <f>IF($C1014="","",IF($L1014="","",IF(AND($K1014=2,$L1014&lt;$J1014,COUNTIFS(nrES_PID,$D1014,nrES_Code,$F1014,nrES_Att,1)&gt;0),"Yes","No")))</f>
        <v/>
      </c>
      <c r="S1014" s="18" t="n"/>
      <c r="T1014" s="19">
        <f>IF($Q1014&lt;&gt;"Yes","",IF($S1014="","(enter date)",_xlfn.LET(_xlpm.dn,IFERROR(_xlfn.XLOOKUP($S1014,nrCDdate,nrCDnum),""),IF(_xlpm.dn="","(not a class day)",IFERROR(_xlfn.XLOOKUP(_xlpm.dn+cfgRetestClassDays,nrCDnum,nrCDdate),"")))))</f>
        <v/>
      </c>
      <c r="U1014" s="17">
        <f>IF($Q1014&lt;&gt;"Yes","",IF(COUNTIFS(nrES_PID,$D1014,nrES_Code,$F1014,nrES_Att,2)&gt;0,"Retested",IF(OR($T1014="",NOT(ISNUMBER($T1014))),"Pending",IF(TODAY()&gt;$T1014,"OVERDUE","Due "&amp;TEXT($T1014,"mm/dd")))))</f>
        <v/>
      </c>
      <c r="V1014" s="16" t="n"/>
      <c r="W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K1015=1,IF(COUNTIFS(nrES_PID,$D1015,nrES_Code,$F1015,nrES_Att,2)&gt;0,"",$L1015),IF(COUNTIFS(nrES_PID,$D1015,nrES_Code,$F1015,nrES_Att,1)=0,$L1015,IF($L1015&gt;=$J1015,cfgRetakeRecordedCap,SUMIFS(nrES_Raw,nrES_PID,$D1015,nrES_Code,$F1015,nrES_Att,1))))))</f>
        <v/>
      </c>
      <c r="N1015" s="17">
        <f>IF($C1015="","",IF($L1015="","",IF($L1015&gt;=$J1015,"Yes","No")))</f>
        <v/>
      </c>
      <c r="O1015" s="17">
        <f>IF($C1015="","",IF($M1015="","",IF($M1015&gt;=$J1015,"Yes","No")))</f>
        <v/>
      </c>
      <c r="P1015" s="17">
        <f>IF($C1015="","",IF($K1015="","",IF(COUNTIFS(nrES_PID,$D1015,nrES_Code,$F1015,nrES_Att,"&gt;"&amp;$K1015)=0,"Yes","No")))</f>
        <v/>
      </c>
      <c r="Q1015" s="17">
        <f>IF($C1015="","",IF($L1015="","",IF(AND($K1015=1,$L1015&lt;$J1015,COUNTIFS(nrES_PID,$D1015,nrES_Code,$F1015,nrES_Att,2)=0),"Yes","No")))</f>
        <v/>
      </c>
      <c r="R1015" s="17">
        <f>IF($C1015="","",IF($L1015="","",IF(AND($K1015=2,$L1015&lt;$J1015,COUNTIFS(nrES_PID,$D1015,nrES_Code,$F1015,nrES_Att,1)&gt;0),"Yes","No")))</f>
        <v/>
      </c>
      <c r="S1015" s="18" t="n"/>
      <c r="T1015" s="19">
        <f>IF($Q1015&lt;&gt;"Yes","",IF($S1015="","(enter date)",_xlfn.LET(_xlpm.dn,IFERROR(_xlfn.XLOOKUP($S1015,nrCDdate,nrCDnum),""),IF(_xlpm.dn="","(not a class day)",IFERROR(_xlfn.XLOOKUP(_xlpm.dn+cfgRetestClassDays,nrCDnum,nrCDdate),"")))))</f>
        <v/>
      </c>
      <c r="U1015" s="17">
        <f>IF($Q1015&lt;&gt;"Yes","",IF(COUNTIFS(nrES_PID,$D1015,nrES_Code,$F1015,nrES_Att,2)&gt;0,"Retested",IF(OR($T1015="",NOT(ISNUMBER($T1015))),"Pending",IF(TODAY()&gt;$T1015,"OVERDUE","Due "&amp;TEXT($T1015,"mm/dd")))))</f>
        <v/>
      </c>
      <c r="V1015" s="16" t="n"/>
      <c r="W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K1016=1,IF(COUNTIFS(nrES_PID,$D1016,nrES_Code,$F1016,nrES_Att,2)&gt;0,"",$L1016),IF(COUNTIFS(nrES_PID,$D1016,nrES_Code,$F1016,nrES_Att,1)=0,$L1016,IF($L1016&gt;=$J1016,cfgRetakeRecordedCap,SUMIFS(nrES_Raw,nrES_PID,$D1016,nrES_Code,$F1016,nrES_Att,1))))))</f>
        <v/>
      </c>
      <c r="N1016" s="17">
        <f>IF($C1016="","",IF($L1016="","",IF($L1016&gt;=$J1016,"Yes","No")))</f>
        <v/>
      </c>
      <c r="O1016" s="17">
        <f>IF($C1016="","",IF($M1016="","",IF($M1016&gt;=$J1016,"Yes","No")))</f>
        <v/>
      </c>
      <c r="P1016" s="17">
        <f>IF($C1016="","",IF($K1016="","",IF(COUNTIFS(nrES_PID,$D1016,nrES_Code,$F1016,nrES_Att,"&gt;"&amp;$K1016)=0,"Yes","No")))</f>
        <v/>
      </c>
      <c r="Q1016" s="17">
        <f>IF($C1016="","",IF($L1016="","",IF(AND($K1016=1,$L1016&lt;$J1016,COUNTIFS(nrES_PID,$D1016,nrES_Code,$F1016,nrES_Att,2)=0),"Yes","No")))</f>
        <v/>
      </c>
      <c r="R1016" s="17">
        <f>IF($C1016="","",IF($L1016="","",IF(AND($K1016=2,$L1016&lt;$J1016,COUNTIFS(nrES_PID,$D1016,nrES_Code,$F1016,nrES_Att,1)&gt;0),"Yes","No")))</f>
        <v/>
      </c>
      <c r="S1016" s="18" t="n"/>
      <c r="T1016" s="19">
        <f>IF($Q1016&lt;&gt;"Yes","",IF($S1016="","(enter date)",_xlfn.LET(_xlpm.dn,IFERROR(_xlfn.XLOOKUP($S1016,nrCDdate,nrCDnum),""),IF(_xlpm.dn="","(not a class day)",IFERROR(_xlfn.XLOOKUP(_xlpm.dn+cfgRetestClassDays,nrCDnum,nrCDdate),"")))))</f>
        <v/>
      </c>
      <c r="U1016" s="17">
        <f>IF($Q1016&lt;&gt;"Yes","",IF(COUNTIFS(nrES_PID,$D1016,nrES_Code,$F1016,nrES_Att,2)&gt;0,"Retested",IF(OR($T1016="",NOT(ISNUMBER($T1016))),"Pending",IF(TODAY()&gt;$T1016,"OVERDUE","Due "&amp;TEXT($T1016,"mm/dd")))))</f>
        <v/>
      </c>
      <c r="V1016" s="16" t="n"/>
      <c r="W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K1017=1,IF(COUNTIFS(nrES_PID,$D1017,nrES_Code,$F1017,nrES_Att,2)&gt;0,"",$L1017),IF(COUNTIFS(nrES_PID,$D1017,nrES_Code,$F1017,nrES_Att,1)=0,$L1017,IF($L1017&gt;=$J1017,cfgRetakeRecordedCap,SUMIFS(nrES_Raw,nrES_PID,$D1017,nrES_Code,$F1017,nrES_Att,1))))))</f>
        <v/>
      </c>
      <c r="N1017" s="17">
        <f>IF($C1017="","",IF($L1017="","",IF($L1017&gt;=$J1017,"Yes","No")))</f>
        <v/>
      </c>
      <c r="O1017" s="17">
        <f>IF($C1017="","",IF($M1017="","",IF($M1017&gt;=$J1017,"Yes","No")))</f>
        <v/>
      </c>
      <c r="P1017" s="17">
        <f>IF($C1017="","",IF($K1017="","",IF(COUNTIFS(nrES_PID,$D1017,nrES_Code,$F1017,nrES_Att,"&gt;"&amp;$K1017)=0,"Yes","No")))</f>
        <v/>
      </c>
      <c r="Q1017" s="17">
        <f>IF($C1017="","",IF($L1017="","",IF(AND($K1017=1,$L1017&lt;$J1017,COUNTIFS(nrES_PID,$D1017,nrES_Code,$F1017,nrES_Att,2)=0),"Yes","No")))</f>
        <v/>
      </c>
      <c r="R1017" s="17">
        <f>IF($C1017="","",IF($L1017="","",IF(AND($K1017=2,$L1017&lt;$J1017,COUNTIFS(nrES_PID,$D1017,nrES_Code,$F1017,nrES_Att,1)&gt;0),"Yes","No")))</f>
        <v/>
      </c>
      <c r="S1017" s="18" t="n"/>
      <c r="T1017" s="19">
        <f>IF($Q1017&lt;&gt;"Yes","",IF($S1017="","(enter date)",_xlfn.LET(_xlpm.dn,IFERROR(_xlfn.XLOOKUP($S1017,nrCDdate,nrCDnum),""),IF(_xlpm.dn="","(not a class day)",IFERROR(_xlfn.XLOOKUP(_xlpm.dn+cfgRetestClassDays,nrCDnum,nrCDdate),"")))))</f>
        <v/>
      </c>
      <c r="U1017" s="17">
        <f>IF($Q1017&lt;&gt;"Yes","",IF(COUNTIFS(nrES_PID,$D1017,nrES_Code,$F1017,nrES_Att,2)&gt;0,"Retested",IF(OR($T1017="",NOT(ISNUMBER($T1017))),"Pending",IF(TODAY()&gt;$T1017,"OVERDUE","Due "&amp;TEXT($T1017,"mm/dd")))))</f>
        <v/>
      </c>
      <c r="V1017" s="16" t="n"/>
      <c r="W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K1018=1,IF(COUNTIFS(nrES_PID,$D1018,nrES_Code,$F1018,nrES_Att,2)&gt;0,"",$L1018),IF(COUNTIFS(nrES_PID,$D1018,nrES_Code,$F1018,nrES_Att,1)=0,$L1018,IF($L1018&gt;=$J1018,cfgRetakeRecordedCap,SUMIFS(nrES_Raw,nrES_PID,$D1018,nrES_Code,$F1018,nrES_Att,1))))))</f>
        <v/>
      </c>
      <c r="N1018" s="17">
        <f>IF($C1018="","",IF($L1018="","",IF($L1018&gt;=$J1018,"Yes","No")))</f>
        <v/>
      </c>
      <c r="O1018" s="17">
        <f>IF($C1018="","",IF($M1018="","",IF($M1018&gt;=$J1018,"Yes","No")))</f>
        <v/>
      </c>
      <c r="P1018" s="17">
        <f>IF($C1018="","",IF($K1018="","",IF(COUNTIFS(nrES_PID,$D1018,nrES_Code,$F1018,nrES_Att,"&gt;"&amp;$K1018)=0,"Yes","No")))</f>
        <v/>
      </c>
      <c r="Q1018" s="17">
        <f>IF($C1018="","",IF($L1018="","",IF(AND($K1018=1,$L1018&lt;$J1018,COUNTIFS(nrES_PID,$D1018,nrES_Code,$F1018,nrES_Att,2)=0),"Yes","No")))</f>
        <v/>
      </c>
      <c r="R1018" s="17">
        <f>IF($C1018="","",IF($L1018="","",IF(AND($K1018=2,$L1018&lt;$J1018,COUNTIFS(nrES_PID,$D1018,nrES_Code,$F1018,nrES_Att,1)&gt;0),"Yes","No")))</f>
        <v/>
      </c>
      <c r="S1018" s="18" t="n"/>
      <c r="T1018" s="19">
        <f>IF($Q1018&lt;&gt;"Yes","",IF($S1018="","(enter date)",_xlfn.LET(_xlpm.dn,IFERROR(_xlfn.XLOOKUP($S1018,nrCDdate,nrCDnum),""),IF(_xlpm.dn="","(not a class day)",IFERROR(_xlfn.XLOOKUP(_xlpm.dn+cfgRetestClassDays,nrCDnum,nrCDdate),"")))))</f>
        <v/>
      </c>
      <c r="U1018" s="17">
        <f>IF($Q1018&lt;&gt;"Yes","",IF(COUNTIFS(nrES_PID,$D1018,nrES_Code,$F1018,nrES_Att,2)&gt;0,"Retested",IF(OR($T1018="",NOT(ISNUMBER($T1018))),"Pending",IF(TODAY()&gt;$T1018,"OVERDUE","Due "&amp;TEXT($T1018,"mm/dd")))))</f>
        <v/>
      </c>
      <c r="V1018" s="16" t="n"/>
      <c r="W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K1019=1,IF(COUNTIFS(nrES_PID,$D1019,nrES_Code,$F1019,nrES_Att,2)&gt;0,"",$L1019),IF(COUNTIFS(nrES_PID,$D1019,nrES_Code,$F1019,nrES_Att,1)=0,$L1019,IF($L1019&gt;=$J1019,cfgRetakeRecordedCap,SUMIFS(nrES_Raw,nrES_PID,$D1019,nrES_Code,$F1019,nrES_Att,1))))))</f>
        <v/>
      </c>
      <c r="N1019" s="17">
        <f>IF($C1019="","",IF($L1019="","",IF($L1019&gt;=$J1019,"Yes","No")))</f>
        <v/>
      </c>
      <c r="O1019" s="17">
        <f>IF($C1019="","",IF($M1019="","",IF($M1019&gt;=$J1019,"Yes","No")))</f>
        <v/>
      </c>
      <c r="P1019" s="17">
        <f>IF($C1019="","",IF($K1019="","",IF(COUNTIFS(nrES_PID,$D1019,nrES_Code,$F1019,nrES_Att,"&gt;"&amp;$K1019)=0,"Yes","No")))</f>
        <v/>
      </c>
      <c r="Q1019" s="17">
        <f>IF($C1019="","",IF($L1019="","",IF(AND($K1019=1,$L1019&lt;$J1019,COUNTIFS(nrES_PID,$D1019,nrES_Code,$F1019,nrES_Att,2)=0),"Yes","No")))</f>
        <v/>
      </c>
      <c r="R1019" s="17">
        <f>IF($C1019="","",IF($L1019="","",IF(AND($K1019=2,$L1019&lt;$J1019,COUNTIFS(nrES_PID,$D1019,nrES_Code,$F1019,nrES_Att,1)&gt;0),"Yes","No")))</f>
        <v/>
      </c>
      <c r="S1019" s="18" t="n"/>
      <c r="T1019" s="19">
        <f>IF($Q1019&lt;&gt;"Yes","",IF($S1019="","(enter date)",_xlfn.LET(_xlpm.dn,IFERROR(_xlfn.XLOOKUP($S1019,nrCDdate,nrCDnum),""),IF(_xlpm.dn="","(not a class day)",IFERROR(_xlfn.XLOOKUP(_xlpm.dn+cfgRetestClassDays,nrCDnum,nrCDdate),"")))))</f>
        <v/>
      </c>
      <c r="U1019" s="17">
        <f>IF($Q1019&lt;&gt;"Yes","",IF(COUNTIFS(nrES_PID,$D1019,nrES_Code,$F1019,nrES_Att,2)&gt;0,"Retested",IF(OR($T1019="",NOT(ISNUMBER($T1019))),"Pending",IF(TODAY()&gt;$T1019,"OVERDUE","Due "&amp;TEXT($T1019,"mm/dd")))))</f>
        <v/>
      </c>
      <c r="V1019" s="16" t="n"/>
      <c r="W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K1020=1,IF(COUNTIFS(nrES_PID,$D1020,nrES_Code,$F1020,nrES_Att,2)&gt;0,"",$L1020),IF(COUNTIFS(nrES_PID,$D1020,nrES_Code,$F1020,nrES_Att,1)=0,$L1020,IF($L1020&gt;=$J1020,cfgRetakeRecordedCap,SUMIFS(nrES_Raw,nrES_PID,$D1020,nrES_Code,$F1020,nrES_Att,1))))))</f>
        <v/>
      </c>
      <c r="N1020" s="17">
        <f>IF($C1020="","",IF($L1020="","",IF($L1020&gt;=$J1020,"Yes","No")))</f>
        <v/>
      </c>
      <c r="O1020" s="17">
        <f>IF($C1020="","",IF($M1020="","",IF($M1020&gt;=$J1020,"Yes","No")))</f>
        <v/>
      </c>
      <c r="P1020" s="17">
        <f>IF($C1020="","",IF($K1020="","",IF(COUNTIFS(nrES_PID,$D1020,nrES_Code,$F1020,nrES_Att,"&gt;"&amp;$K1020)=0,"Yes","No")))</f>
        <v/>
      </c>
      <c r="Q1020" s="17">
        <f>IF($C1020="","",IF($L1020="","",IF(AND($K1020=1,$L1020&lt;$J1020,COUNTIFS(nrES_PID,$D1020,nrES_Code,$F1020,nrES_Att,2)=0),"Yes","No")))</f>
        <v/>
      </c>
      <c r="R1020" s="17">
        <f>IF($C1020="","",IF($L1020="","",IF(AND($K1020=2,$L1020&lt;$J1020,COUNTIFS(nrES_PID,$D1020,nrES_Code,$F1020,nrES_Att,1)&gt;0),"Yes","No")))</f>
        <v/>
      </c>
      <c r="S1020" s="18" t="n"/>
      <c r="T1020" s="19">
        <f>IF($Q1020&lt;&gt;"Yes","",IF($S1020="","(enter date)",_xlfn.LET(_xlpm.dn,IFERROR(_xlfn.XLOOKUP($S1020,nrCDdate,nrCDnum),""),IF(_xlpm.dn="","(not a class day)",IFERROR(_xlfn.XLOOKUP(_xlpm.dn+cfgRetestClassDays,nrCDnum,nrCDdate),"")))))</f>
        <v/>
      </c>
      <c r="U1020" s="17">
        <f>IF($Q1020&lt;&gt;"Yes","",IF(COUNTIFS(nrES_PID,$D1020,nrES_Code,$F1020,nrES_Att,2)&gt;0,"Retested",IF(OR($T1020="",NOT(ISNUMBER($T1020))),"Pending",IF(TODAY()&gt;$T1020,"OVERDUE","Due "&amp;TEXT($T1020,"mm/dd")))))</f>
        <v/>
      </c>
      <c r="V1020" s="16" t="n"/>
      <c r="W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K1021=1,IF(COUNTIFS(nrES_PID,$D1021,nrES_Code,$F1021,nrES_Att,2)&gt;0,"",$L1021),IF(COUNTIFS(nrES_PID,$D1021,nrES_Code,$F1021,nrES_Att,1)=0,$L1021,IF($L1021&gt;=$J1021,cfgRetakeRecordedCap,SUMIFS(nrES_Raw,nrES_PID,$D1021,nrES_Code,$F1021,nrES_Att,1))))))</f>
        <v/>
      </c>
      <c r="N1021" s="17">
        <f>IF($C1021="","",IF($L1021="","",IF($L1021&gt;=$J1021,"Yes","No")))</f>
        <v/>
      </c>
      <c r="O1021" s="17">
        <f>IF($C1021="","",IF($M1021="","",IF($M1021&gt;=$J1021,"Yes","No")))</f>
        <v/>
      </c>
      <c r="P1021" s="17">
        <f>IF($C1021="","",IF($K1021="","",IF(COUNTIFS(nrES_PID,$D1021,nrES_Code,$F1021,nrES_Att,"&gt;"&amp;$K1021)=0,"Yes","No")))</f>
        <v/>
      </c>
      <c r="Q1021" s="17">
        <f>IF($C1021="","",IF($L1021="","",IF(AND($K1021=1,$L1021&lt;$J1021,COUNTIFS(nrES_PID,$D1021,nrES_Code,$F1021,nrES_Att,2)=0),"Yes","No")))</f>
        <v/>
      </c>
      <c r="R1021" s="17">
        <f>IF($C1021="","",IF($L1021="","",IF(AND($K1021=2,$L1021&lt;$J1021,COUNTIFS(nrES_PID,$D1021,nrES_Code,$F1021,nrES_Att,1)&gt;0),"Yes","No")))</f>
        <v/>
      </c>
      <c r="S1021" s="18" t="n"/>
      <c r="T1021" s="19">
        <f>IF($Q1021&lt;&gt;"Yes","",IF($S1021="","(enter date)",_xlfn.LET(_xlpm.dn,IFERROR(_xlfn.XLOOKUP($S1021,nrCDdate,nrCDnum),""),IF(_xlpm.dn="","(not a class day)",IFERROR(_xlfn.XLOOKUP(_xlpm.dn+cfgRetestClassDays,nrCDnum,nrCDdate),"")))))</f>
        <v/>
      </c>
      <c r="U1021" s="17">
        <f>IF($Q1021&lt;&gt;"Yes","",IF(COUNTIFS(nrES_PID,$D1021,nrES_Code,$F1021,nrES_Att,2)&gt;0,"Retested",IF(OR($T1021="",NOT(ISNUMBER($T1021))),"Pending",IF(TODAY()&gt;$T1021,"OVERDUE","Due "&amp;TEXT($T1021,"mm/dd")))))</f>
        <v/>
      </c>
      <c r="V1021" s="16" t="n"/>
      <c r="W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K1022=1,IF(COUNTIFS(nrES_PID,$D1022,nrES_Code,$F1022,nrES_Att,2)&gt;0,"",$L1022),IF(COUNTIFS(nrES_PID,$D1022,nrES_Code,$F1022,nrES_Att,1)=0,$L1022,IF($L1022&gt;=$J1022,cfgRetakeRecordedCap,SUMIFS(nrES_Raw,nrES_PID,$D1022,nrES_Code,$F1022,nrES_Att,1))))))</f>
        <v/>
      </c>
      <c r="N1022" s="17">
        <f>IF($C1022="","",IF($L1022="","",IF($L1022&gt;=$J1022,"Yes","No")))</f>
        <v/>
      </c>
      <c r="O1022" s="17">
        <f>IF($C1022="","",IF($M1022="","",IF($M1022&gt;=$J1022,"Yes","No")))</f>
        <v/>
      </c>
      <c r="P1022" s="17">
        <f>IF($C1022="","",IF($K1022="","",IF(COUNTIFS(nrES_PID,$D1022,nrES_Code,$F1022,nrES_Att,"&gt;"&amp;$K1022)=0,"Yes","No")))</f>
        <v/>
      </c>
      <c r="Q1022" s="17">
        <f>IF($C1022="","",IF($L1022="","",IF(AND($K1022=1,$L1022&lt;$J1022,COUNTIFS(nrES_PID,$D1022,nrES_Code,$F1022,nrES_Att,2)=0),"Yes","No")))</f>
        <v/>
      </c>
      <c r="R1022" s="17">
        <f>IF($C1022="","",IF($L1022="","",IF(AND($K1022=2,$L1022&lt;$J1022,COUNTIFS(nrES_PID,$D1022,nrES_Code,$F1022,nrES_Att,1)&gt;0),"Yes","No")))</f>
        <v/>
      </c>
      <c r="S1022" s="18" t="n"/>
      <c r="T1022" s="19">
        <f>IF($Q1022&lt;&gt;"Yes","",IF($S1022="","(enter date)",_xlfn.LET(_xlpm.dn,IFERROR(_xlfn.XLOOKUP($S1022,nrCDdate,nrCDnum),""),IF(_xlpm.dn="","(not a class day)",IFERROR(_xlfn.XLOOKUP(_xlpm.dn+cfgRetestClassDays,nrCDnum,nrCDdate),"")))))</f>
        <v/>
      </c>
      <c r="U1022" s="17">
        <f>IF($Q1022&lt;&gt;"Yes","",IF(COUNTIFS(nrES_PID,$D1022,nrES_Code,$F1022,nrES_Att,2)&gt;0,"Retested",IF(OR($T1022="",NOT(ISNUMBER($T1022))),"Pending",IF(TODAY()&gt;$T1022,"OVERDUE","Due "&amp;TEXT($T1022,"mm/dd")))))</f>
        <v/>
      </c>
      <c r="V1022" s="16" t="n"/>
      <c r="W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K1023=1,IF(COUNTIFS(nrES_PID,$D1023,nrES_Code,$F1023,nrES_Att,2)&gt;0,"",$L1023),IF(COUNTIFS(nrES_PID,$D1023,nrES_Code,$F1023,nrES_Att,1)=0,$L1023,IF($L1023&gt;=$J1023,cfgRetakeRecordedCap,SUMIFS(nrES_Raw,nrES_PID,$D1023,nrES_Code,$F1023,nrES_Att,1))))))</f>
        <v/>
      </c>
      <c r="N1023" s="17">
        <f>IF($C1023="","",IF($L1023="","",IF($L1023&gt;=$J1023,"Yes","No")))</f>
        <v/>
      </c>
      <c r="O1023" s="17">
        <f>IF($C1023="","",IF($M1023="","",IF($M1023&gt;=$J1023,"Yes","No")))</f>
        <v/>
      </c>
      <c r="P1023" s="17">
        <f>IF($C1023="","",IF($K1023="","",IF(COUNTIFS(nrES_PID,$D1023,nrES_Code,$F1023,nrES_Att,"&gt;"&amp;$K1023)=0,"Yes","No")))</f>
        <v/>
      </c>
      <c r="Q1023" s="17">
        <f>IF($C1023="","",IF($L1023="","",IF(AND($K1023=1,$L1023&lt;$J1023,COUNTIFS(nrES_PID,$D1023,nrES_Code,$F1023,nrES_Att,2)=0),"Yes","No")))</f>
        <v/>
      </c>
      <c r="R1023" s="17">
        <f>IF($C1023="","",IF($L1023="","",IF(AND($K1023=2,$L1023&lt;$J1023,COUNTIFS(nrES_PID,$D1023,nrES_Code,$F1023,nrES_Att,1)&gt;0),"Yes","No")))</f>
        <v/>
      </c>
      <c r="S1023" s="18" t="n"/>
      <c r="T1023" s="19">
        <f>IF($Q1023&lt;&gt;"Yes","",IF($S1023="","(enter date)",_xlfn.LET(_xlpm.dn,IFERROR(_xlfn.XLOOKUP($S1023,nrCDdate,nrCDnum),""),IF(_xlpm.dn="","(not a class day)",IFERROR(_xlfn.XLOOKUP(_xlpm.dn+cfgRetestClassDays,nrCDnum,nrCDdate),"")))))</f>
        <v/>
      </c>
      <c r="U1023" s="17">
        <f>IF($Q1023&lt;&gt;"Yes","",IF(COUNTIFS(nrES_PID,$D1023,nrES_Code,$F1023,nrES_Att,2)&gt;0,"Retested",IF(OR($T1023="",NOT(ISNUMBER($T1023))),"Pending",IF(TODAY()&gt;$T1023,"OVERDUE","Due "&amp;TEXT($T1023,"mm/dd")))))</f>
        <v/>
      </c>
      <c r="V1023" s="16" t="n"/>
      <c r="W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K1024=1,IF(COUNTIFS(nrES_PID,$D1024,nrES_Code,$F1024,nrES_Att,2)&gt;0,"",$L1024),IF(COUNTIFS(nrES_PID,$D1024,nrES_Code,$F1024,nrES_Att,1)=0,$L1024,IF($L1024&gt;=$J1024,cfgRetakeRecordedCap,SUMIFS(nrES_Raw,nrES_PID,$D1024,nrES_Code,$F1024,nrES_Att,1))))))</f>
        <v/>
      </c>
      <c r="N1024" s="17">
        <f>IF($C1024="","",IF($L1024="","",IF($L1024&gt;=$J1024,"Yes","No")))</f>
        <v/>
      </c>
      <c r="O1024" s="17">
        <f>IF($C1024="","",IF($M1024="","",IF($M1024&gt;=$J1024,"Yes","No")))</f>
        <v/>
      </c>
      <c r="P1024" s="17">
        <f>IF($C1024="","",IF($K1024="","",IF(COUNTIFS(nrES_PID,$D1024,nrES_Code,$F1024,nrES_Att,"&gt;"&amp;$K1024)=0,"Yes","No")))</f>
        <v/>
      </c>
      <c r="Q1024" s="17">
        <f>IF($C1024="","",IF($L1024="","",IF(AND($K1024=1,$L1024&lt;$J1024,COUNTIFS(nrES_PID,$D1024,nrES_Code,$F1024,nrES_Att,2)=0),"Yes","No")))</f>
        <v/>
      </c>
      <c r="R1024" s="17">
        <f>IF($C1024="","",IF($L1024="","",IF(AND($K1024=2,$L1024&lt;$J1024,COUNTIFS(nrES_PID,$D1024,nrES_Code,$F1024,nrES_Att,1)&gt;0),"Yes","No")))</f>
        <v/>
      </c>
      <c r="S1024" s="18" t="n"/>
      <c r="T1024" s="19">
        <f>IF($Q1024&lt;&gt;"Yes","",IF($S1024="","(enter date)",_xlfn.LET(_xlpm.dn,IFERROR(_xlfn.XLOOKUP($S1024,nrCDdate,nrCDnum),""),IF(_xlpm.dn="","(not a class day)",IFERROR(_xlfn.XLOOKUP(_xlpm.dn+cfgRetestClassDays,nrCDnum,nrCDdate),"")))))</f>
        <v/>
      </c>
      <c r="U1024" s="17">
        <f>IF($Q1024&lt;&gt;"Yes","",IF(COUNTIFS(nrES_PID,$D1024,nrES_Code,$F1024,nrES_Att,2)&gt;0,"Retested",IF(OR($T1024="",NOT(ISNUMBER($T1024))),"Pending",IF(TODAY()&gt;$T1024,"OVERDUE","Due "&amp;TEXT($T1024,"mm/dd")))))</f>
        <v/>
      </c>
      <c r="V1024" s="16" t="n"/>
      <c r="W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K1025=1,IF(COUNTIFS(nrES_PID,$D1025,nrES_Code,$F1025,nrES_Att,2)&gt;0,"",$L1025),IF(COUNTIFS(nrES_PID,$D1025,nrES_Code,$F1025,nrES_Att,1)=0,$L1025,IF($L1025&gt;=$J1025,cfgRetakeRecordedCap,SUMIFS(nrES_Raw,nrES_PID,$D1025,nrES_Code,$F1025,nrES_Att,1))))))</f>
        <v/>
      </c>
      <c r="N1025" s="17">
        <f>IF($C1025="","",IF($L1025="","",IF($L1025&gt;=$J1025,"Yes","No")))</f>
        <v/>
      </c>
      <c r="O1025" s="17">
        <f>IF($C1025="","",IF($M1025="","",IF($M1025&gt;=$J1025,"Yes","No")))</f>
        <v/>
      </c>
      <c r="P1025" s="17">
        <f>IF($C1025="","",IF($K1025="","",IF(COUNTIFS(nrES_PID,$D1025,nrES_Code,$F1025,nrES_Att,"&gt;"&amp;$K1025)=0,"Yes","No")))</f>
        <v/>
      </c>
      <c r="Q1025" s="17">
        <f>IF($C1025="","",IF($L1025="","",IF(AND($K1025=1,$L1025&lt;$J1025,COUNTIFS(nrES_PID,$D1025,nrES_Code,$F1025,nrES_Att,2)=0),"Yes","No")))</f>
        <v/>
      </c>
      <c r="R1025" s="17">
        <f>IF($C1025="","",IF($L1025="","",IF(AND($K1025=2,$L1025&lt;$J1025,COUNTIFS(nrES_PID,$D1025,nrES_Code,$F1025,nrES_Att,1)&gt;0),"Yes","No")))</f>
        <v/>
      </c>
      <c r="S1025" s="18" t="n"/>
      <c r="T1025" s="19">
        <f>IF($Q1025&lt;&gt;"Yes","",IF($S1025="","(enter date)",_xlfn.LET(_xlpm.dn,IFERROR(_xlfn.XLOOKUP($S1025,nrCDdate,nrCDnum),""),IF(_xlpm.dn="","(not a class day)",IFERROR(_xlfn.XLOOKUP(_xlpm.dn+cfgRetestClassDays,nrCDnum,nrCDdate),"")))))</f>
        <v/>
      </c>
      <c r="U1025" s="17">
        <f>IF($Q1025&lt;&gt;"Yes","",IF(COUNTIFS(nrES_PID,$D1025,nrES_Code,$F1025,nrES_Att,2)&gt;0,"Retested",IF(OR($T1025="",NOT(ISNUMBER($T1025))),"Pending",IF(TODAY()&gt;$T1025,"OVERDUE","Due "&amp;TEXT($T1025,"mm/dd")))))</f>
        <v/>
      </c>
      <c r="V1025" s="16" t="n"/>
      <c r="W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K1026=1,IF(COUNTIFS(nrES_PID,$D1026,nrES_Code,$F1026,nrES_Att,2)&gt;0,"",$L1026),IF(COUNTIFS(nrES_PID,$D1026,nrES_Code,$F1026,nrES_Att,1)=0,$L1026,IF($L1026&gt;=$J1026,cfgRetakeRecordedCap,SUMIFS(nrES_Raw,nrES_PID,$D1026,nrES_Code,$F1026,nrES_Att,1))))))</f>
        <v/>
      </c>
      <c r="N1026" s="17">
        <f>IF($C1026="","",IF($L1026="","",IF($L1026&gt;=$J1026,"Yes","No")))</f>
        <v/>
      </c>
      <c r="O1026" s="17">
        <f>IF($C1026="","",IF($M1026="","",IF($M1026&gt;=$J1026,"Yes","No")))</f>
        <v/>
      </c>
      <c r="P1026" s="17">
        <f>IF($C1026="","",IF($K1026="","",IF(COUNTIFS(nrES_PID,$D1026,nrES_Code,$F1026,nrES_Att,"&gt;"&amp;$K1026)=0,"Yes","No")))</f>
        <v/>
      </c>
      <c r="Q1026" s="17">
        <f>IF($C1026="","",IF($L1026="","",IF(AND($K1026=1,$L1026&lt;$J1026,COUNTIFS(nrES_PID,$D1026,nrES_Code,$F1026,nrES_Att,2)=0),"Yes","No")))</f>
        <v/>
      </c>
      <c r="R1026" s="17">
        <f>IF($C1026="","",IF($L1026="","",IF(AND($K1026=2,$L1026&lt;$J1026,COUNTIFS(nrES_PID,$D1026,nrES_Code,$F1026,nrES_Att,1)&gt;0),"Yes","No")))</f>
        <v/>
      </c>
      <c r="S1026" s="18" t="n"/>
      <c r="T1026" s="19">
        <f>IF($Q1026&lt;&gt;"Yes","",IF($S1026="","(enter date)",_xlfn.LET(_xlpm.dn,IFERROR(_xlfn.XLOOKUP($S1026,nrCDdate,nrCDnum),""),IF(_xlpm.dn="","(not a class day)",IFERROR(_xlfn.XLOOKUP(_xlpm.dn+cfgRetestClassDays,nrCDnum,nrCDdate),"")))))</f>
        <v/>
      </c>
      <c r="U1026" s="17">
        <f>IF($Q1026&lt;&gt;"Yes","",IF(COUNTIFS(nrES_PID,$D1026,nrES_Code,$F1026,nrES_Att,2)&gt;0,"Retested",IF(OR($T1026="",NOT(ISNUMBER($T1026))),"Pending",IF(TODAY()&gt;$T1026,"OVERDUE","Due "&amp;TEXT($T1026,"mm/dd")))))</f>
        <v/>
      </c>
      <c r="V1026" s="16" t="n"/>
      <c r="W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K1027=1,IF(COUNTIFS(nrES_PID,$D1027,nrES_Code,$F1027,nrES_Att,2)&gt;0,"",$L1027),IF(COUNTIFS(nrES_PID,$D1027,nrES_Code,$F1027,nrES_Att,1)=0,$L1027,IF($L1027&gt;=$J1027,cfgRetakeRecordedCap,SUMIFS(nrES_Raw,nrES_PID,$D1027,nrES_Code,$F1027,nrES_Att,1))))))</f>
        <v/>
      </c>
      <c r="N1027" s="17">
        <f>IF($C1027="","",IF($L1027="","",IF($L1027&gt;=$J1027,"Yes","No")))</f>
        <v/>
      </c>
      <c r="O1027" s="17">
        <f>IF($C1027="","",IF($M1027="","",IF($M1027&gt;=$J1027,"Yes","No")))</f>
        <v/>
      </c>
      <c r="P1027" s="17">
        <f>IF($C1027="","",IF($K1027="","",IF(COUNTIFS(nrES_PID,$D1027,nrES_Code,$F1027,nrES_Att,"&gt;"&amp;$K1027)=0,"Yes","No")))</f>
        <v/>
      </c>
      <c r="Q1027" s="17">
        <f>IF($C1027="","",IF($L1027="","",IF(AND($K1027=1,$L1027&lt;$J1027,COUNTIFS(nrES_PID,$D1027,nrES_Code,$F1027,nrES_Att,2)=0),"Yes","No")))</f>
        <v/>
      </c>
      <c r="R1027" s="17">
        <f>IF($C1027="","",IF($L1027="","",IF(AND($K1027=2,$L1027&lt;$J1027,COUNTIFS(nrES_PID,$D1027,nrES_Code,$F1027,nrES_Att,1)&gt;0),"Yes","No")))</f>
        <v/>
      </c>
      <c r="S1027" s="18" t="n"/>
      <c r="T1027" s="19">
        <f>IF($Q1027&lt;&gt;"Yes","",IF($S1027="","(enter date)",_xlfn.LET(_xlpm.dn,IFERROR(_xlfn.XLOOKUP($S1027,nrCDdate,nrCDnum),""),IF(_xlpm.dn="","(not a class day)",IFERROR(_xlfn.XLOOKUP(_xlpm.dn+cfgRetestClassDays,nrCDnum,nrCDdate),"")))))</f>
        <v/>
      </c>
      <c r="U1027" s="17">
        <f>IF($Q1027&lt;&gt;"Yes","",IF(COUNTIFS(nrES_PID,$D1027,nrES_Code,$F1027,nrES_Att,2)&gt;0,"Retested",IF(OR($T1027="",NOT(ISNUMBER($T1027))),"Pending",IF(TODAY()&gt;$T1027,"OVERDUE","Due "&amp;TEXT($T1027,"mm/dd")))))</f>
        <v/>
      </c>
      <c r="V1027" s="16" t="n"/>
      <c r="W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K1028=1,IF(COUNTIFS(nrES_PID,$D1028,nrES_Code,$F1028,nrES_Att,2)&gt;0,"",$L1028),IF(COUNTIFS(nrES_PID,$D1028,nrES_Code,$F1028,nrES_Att,1)=0,$L1028,IF($L1028&gt;=$J1028,cfgRetakeRecordedCap,SUMIFS(nrES_Raw,nrES_PID,$D1028,nrES_Code,$F1028,nrES_Att,1))))))</f>
        <v/>
      </c>
      <c r="N1028" s="17">
        <f>IF($C1028="","",IF($L1028="","",IF($L1028&gt;=$J1028,"Yes","No")))</f>
        <v/>
      </c>
      <c r="O1028" s="17">
        <f>IF($C1028="","",IF($M1028="","",IF($M1028&gt;=$J1028,"Yes","No")))</f>
        <v/>
      </c>
      <c r="P1028" s="17">
        <f>IF($C1028="","",IF($K1028="","",IF(COUNTIFS(nrES_PID,$D1028,nrES_Code,$F1028,nrES_Att,"&gt;"&amp;$K1028)=0,"Yes","No")))</f>
        <v/>
      </c>
      <c r="Q1028" s="17">
        <f>IF($C1028="","",IF($L1028="","",IF(AND($K1028=1,$L1028&lt;$J1028,COUNTIFS(nrES_PID,$D1028,nrES_Code,$F1028,nrES_Att,2)=0),"Yes","No")))</f>
        <v/>
      </c>
      <c r="R1028" s="17">
        <f>IF($C1028="","",IF($L1028="","",IF(AND($K1028=2,$L1028&lt;$J1028,COUNTIFS(nrES_PID,$D1028,nrES_Code,$F1028,nrES_Att,1)&gt;0),"Yes","No")))</f>
        <v/>
      </c>
      <c r="S1028" s="18" t="n"/>
      <c r="T1028" s="19">
        <f>IF($Q1028&lt;&gt;"Yes","",IF($S1028="","(enter date)",_xlfn.LET(_xlpm.dn,IFERROR(_xlfn.XLOOKUP($S1028,nrCDdate,nrCDnum),""),IF(_xlpm.dn="","(not a class day)",IFERROR(_xlfn.XLOOKUP(_xlpm.dn+cfgRetestClassDays,nrCDnum,nrCDdate),"")))))</f>
        <v/>
      </c>
      <c r="U1028" s="17">
        <f>IF($Q1028&lt;&gt;"Yes","",IF(COUNTIFS(nrES_PID,$D1028,nrES_Code,$F1028,nrES_Att,2)&gt;0,"Retested",IF(OR($T1028="",NOT(ISNUMBER($T1028))),"Pending",IF(TODAY()&gt;$T1028,"OVERDUE","Due "&amp;TEXT($T1028,"mm/dd")))))</f>
        <v/>
      </c>
      <c r="V1028" s="16" t="n"/>
      <c r="W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K1029=1,IF(COUNTIFS(nrES_PID,$D1029,nrES_Code,$F1029,nrES_Att,2)&gt;0,"",$L1029),IF(COUNTIFS(nrES_PID,$D1029,nrES_Code,$F1029,nrES_Att,1)=0,$L1029,IF($L1029&gt;=$J1029,cfgRetakeRecordedCap,SUMIFS(nrES_Raw,nrES_PID,$D1029,nrES_Code,$F1029,nrES_Att,1))))))</f>
        <v/>
      </c>
      <c r="N1029" s="17">
        <f>IF($C1029="","",IF($L1029="","",IF($L1029&gt;=$J1029,"Yes","No")))</f>
        <v/>
      </c>
      <c r="O1029" s="17">
        <f>IF($C1029="","",IF($M1029="","",IF($M1029&gt;=$J1029,"Yes","No")))</f>
        <v/>
      </c>
      <c r="P1029" s="17">
        <f>IF($C1029="","",IF($K1029="","",IF(COUNTIFS(nrES_PID,$D1029,nrES_Code,$F1029,nrES_Att,"&gt;"&amp;$K1029)=0,"Yes","No")))</f>
        <v/>
      </c>
      <c r="Q1029" s="17">
        <f>IF($C1029="","",IF($L1029="","",IF(AND($K1029=1,$L1029&lt;$J1029,COUNTIFS(nrES_PID,$D1029,nrES_Code,$F1029,nrES_Att,2)=0),"Yes","No")))</f>
        <v/>
      </c>
      <c r="R1029" s="17">
        <f>IF($C1029="","",IF($L1029="","",IF(AND($K1029=2,$L1029&lt;$J1029,COUNTIFS(nrES_PID,$D1029,nrES_Code,$F1029,nrES_Att,1)&gt;0),"Yes","No")))</f>
        <v/>
      </c>
      <c r="S1029" s="18" t="n"/>
      <c r="T1029" s="19">
        <f>IF($Q1029&lt;&gt;"Yes","",IF($S1029="","(enter date)",_xlfn.LET(_xlpm.dn,IFERROR(_xlfn.XLOOKUP($S1029,nrCDdate,nrCDnum),""),IF(_xlpm.dn="","(not a class day)",IFERROR(_xlfn.XLOOKUP(_xlpm.dn+cfgRetestClassDays,nrCDnum,nrCDdate),"")))))</f>
        <v/>
      </c>
      <c r="U1029" s="17">
        <f>IF($Q1029&lt;&gt;"Yes","",IF(COUNTIFS(nrES_PID,$D1029,nrES_Code,$F1029,nrES_Att,2)&gt;0,"Retested",IF(OR($T1029="",NOT(ISNUMBER($T1029))),"Pending",IF(TODAY()&gt;$T1029,"OVERDUE","Due "&amp;TEXT($T1029,"mm/dd")))))</f>
        <v/>
      </c>
      <c r="V1029" s="16" t="n"/>
      <c r="W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K1030=1,IF(COUNTIFS(nrES_PID,$D1030,nrES_Code,$F1030,nrES_Att,2)&gt;0,"",$L1030),IF(COUNTIFS(nrES_PID,$D1030,nrES_Code,$F1030,nrES_Att,1)=0,$L1030,IF($L1030&gt;=$J1030,cfgRetakeRecordedCap,SUMIFS(nrES_Raw,nrES_PID,$D1030,nrES_Code,$F1030,nrES_Att,1))))))</f>
        <v/>
      </c>
      <c r="N1030" s="17">
        <f>IF($C1030="","",IF($L1030="","",IF($L1030&gt;=$J1030,"Yes","No")))</f>
        <v/>
      </c>
      <c r="O1030" s="17">
        <f>IF($C1030="","",IF($M1030="","",IF($M1030&gt;=$J1030,"Yes","No")))</f>
        <v/>
      </c>
      <c r="P1030" s="17">
        <f>IF($C1030="","",IF($K1030="","",IF(COUNTIFS(nrES_PID,$D1030,nrES_Code,$F1030,nrES_Att,"&gt;"&amp;$K1030)=0,"Yes","No")))</f>
        <v/>
      </c>
      <c r="Q1030" s="17">
        <f>IF($C1030="","",IF($L1030="","",IF(AND($K1030=1,$L1030&lt;$J1030,COUNTIFS(nrES_PID,$D1030,nrES_Code,$F1030,nrES_Att,2)=0),"Yes","No")))</f>
        <v/>
      </c>
      <c r="R1030" s="17">
        <f>IF($C1030="","",IF($L1030="","",IF(AND($K1030=2,$L1030&lt;$J1030,COUNTIFS(nrES_PID,$D1030,nrES_Code,$F1030,nrES_Att,1)&gt;0),"Yes","No")))</f>
        <v/>
      </c>
      <c r="S1030" s="18" t="n"/>
      <c r="T1030" s="19">
        <f>IF($Q1030&lt;&gt;"Yes","",IF($S1030="","(enter date)",_xlfn.LET(_xlpm.dn,IFERROR(_xlfn.XLOOKUP($S1030,nrCDdate,nrCDnum),""),IF(_xlpm.dn="","(not a class day)",IFERROR(_xlfn.XLOOKUP(_xlpm.dn+cfgRetestClassDays,nrCDnum,nrCDdate),"")))))</f>
        <v/>
      </c>
      <c r="U1030" s="17">
        <f>IF($Q1030&lt;&gt;"Yes","",IF(COUNTIFS(nrES_PID,$D1030,nrES_Code,$F1030,nrES_Att,2)&gt;0,"Retested",IF(OR($T1030="",NOT(ISNUMBER($T1030))),"Pending",IF(TODAY()&gt;$T1030,"OVERDUE","Due "&amp;TEXT($T1030,"mm/dd")))))</f>
        <v/>
      </c>
      <c r="V1030" s="16" t="n"/>
      <c r="W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K1031=1,IF(COUNTIFS(nrES_PID,$D1031,nrES_Code,$F1031,nrES_Att,2)&gt;0,"",$L1031),IF(COUNTIFS(nrES_PID,$D1031,nrES_Code,$F1031,nrES_Att,1)=0,$L1031,IF($L1031&gt;=$J1031,cfgRetakeRecordedCap,SUMIFS(nrES_Raw,nrES_PID,$D1031,nrES_Code,$F1031,nrES_Att,1))))))</f>
        <v/>
      </c>
      <c r="N1031" s="17">
        <f>IF($C1031="","",IF($L1031="","",IF($L1031&gt;=$J1031,"Yes","No")))</f>
        <v/>
      </c>
      <c r="O1031" s="17">
        <f>IF($C1031="","",IF($M1031="","",IF($M1031&gt;=$J1031,"Yes","No")))</f>
        <v/>
      </c>
      <c r="P1031" s="17">
        <f>IF($C1031="","",IF($K1031="","",IF(COUNTIFS(nrES_PID,$D1031,nrES_Code,$F1031,nrES_Att,"&gt;"&amp;$K1031)=0,"Yes","No")))</f>
        <v/>
      </c>
      <c r="Q1031" s="17">
        <f>IF($C1031="","",IF($L1031="","",IF(AND($K1031=1,$L1031&lt;$J1031,COUNTIFS(nrES_PID,$D1031,nrES_Code,$F1031,nrES_Att,2)=0),"Yes","No")))</f>
        <v/>
      </c>
      <c r="R1031" s="17">
        <f>IF($C1031="","",IF($L1031="","",IF(AND($K1031=2,$L1031&lt;$J1031,COUNTIFS(nrES_PID,$D1031,nrES_Code,$F1031,nrES_Att,1)&gt;0),"Yes","No")))</f>
        <v/>
      </c>
      <c r="S1031" s="18" t="n"/>
      <c r="T1031" s="19">
        <f>IF($Q1031&lt;&gt;"Yes","",IF($S1031="","(enter date)",_xlfn.LET(_xlpm.dn,IFERROR(_xlfn.XLOOKUP($S1031,nrCDdate,nrCDnum),""),IF(_xlpm.dn="","(not a class day)",IFERROR(_xlfn.XLOOKUP(_xlpm.dn+cfgRetestClassDays,nrCDnum,nrCDdate),"")))))</f>
        <v/>
      </c>
      <c r="U1031" s="17">
        <f>IF($Q1031&lt;&gt;"Yes","",IF(COUNTIFS(nrES_PID,$D1031,nrES_Code,$F1031,nrES_Att,2)&gt;0,"Retested",IF(OR($T1031="",NOT(ISNUMBER($T1031))),"Pending",IF(TODAY()&gt;$T1031,"OVERDUE","Due "&amp;TEXT($T1031,"mm/dd")))))</f>
        <v/>
      </c>
      <c r="V1031" s="16" t="n"/>
      <c r="W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K1032=1,IF(COUNTIFS(nrES_PID,$D1032,nrES_Code,$F1032,nrES_Att,2)&gt;0,"",$L1032),IF(COUNTIFS(nrES_PID,$D1032,nrES_Code,$F1032,nrES_Att,1)=0,$L1032,IF($L1032&gt;=$J1032,cfgRetakeRecordedCap,SUMIFS(nrES_Raw,nrES_PID,$D1032,nrES_Code,$F1032,nrES_Att,1))))))</f>
        <v/>
      </c>
      <c r="N1032" s="17">
        <f>IF($C1032="","",IF($L1032="","",IF($L1032&gt;=$J1032,"Yes","No")))</f>
        <v/>
      </c>
      <c r="O1032" s="17">
        <f>IF($C1032="","",IF($M1032="","",IF($M1032&gt;=$J1032,"Yes","No")))</f>
        <v/>
      </c>
      <c r="P1032" s="17">
        <f>IF($C1032="","",IF($K1032="","",IF(COUNTIFS(nrES_PID,$D1032,nrES_Code,$F1032,nrES_Att,"&gt;"&amp;$K1032)=0,"Yes","No")))</f>
        <v/>
      </c>
      <c r="Q1032" s="17">
        <f>IF($C1032="","",IF($L1032="","",IF(AND($K1032=1,$L1032&lt;$J1032,COUNTIFS(nrES_PID,$D1032,nrES_Code,$F1032,nrES_Att,2)=0),"Yes","No")))</f>
        <v/>
      </c>
      <c r="R1032" s="17">
        <f>IF($C1032="","",IF($L1032="","",IF(AND($K1032=2,$L1032&lt;$J1032,COUNTIFS(nrES_PID,$D1032,nrES_Code,$F1032,nrES_Att,1)&gt;0),"Yes","No")))</f>
        <v/>
      </c>
      <c r="S1032" s="18" t="n"/>
      <c r="T1032" s="19">
        <f>IF($Q1032&lt;&gt;"Yes","",IF($S1032="","(enter date)",_xlfn.LET(_xlpm.dn,IFERROR(_xlfn.XLOOKUP($S1032,nrCDdate,nrCDnum),""),IF(_xlpm.dn="","(not a class day)",IFERROR(_xlfn.XLOOKUP(_xlpm.dn+cfgRetestClassDays,nrCDnum,nrCDdate),"")))))</f>
        <v/>
      </c>
      <c r="U1032" s="17">
        <f>IF($Q1032&lt;&gt;"Yes","",IF(COUNTIFS(nrES_PID,$D1032,nrES_Code,$F1032,nrES_Att,2)&gt;0,"Retested",IF(OR($T1032="",NOT(ISNUMBER($T1032))),"Pending",IF(TODAY()&gt;$T1032,"OVERDUE","Due "&amp;TEXT($T1032,"mm/dd")))))</f>
        <v/>
      </c>
      <c r="V1032" s="16" t="n"/>
      <c r="W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K1033=1,IF(COUNTIFS(nrES_PID,$D1033,nrES_Code,$F1033,nrES_Att,2)&gt;0,"",$L1033),IF(COUNTIFS(nrES_PID,$D1033,nrES_Code,$F1033,nrES_Att,1)=0,$L1033,IF($L1033&gt;=$J1033,cfgRetakeRecordedCap,SUMIFS(nrES_Raw,nrES_PID,$D1033,nrES_Code,$F1033,nrES_Att,1))))))</f>
        <v/>
      </c>
      <c r="N1033" s="17">
        <f>IF($C1033="","",IF($L1033="","",IF($L1033&gt;=$J1033,"Yes","No")))</f>
        <v/>
      </c>
      <c r="O1033" s="17">
        <f>IF($C1033="","",IF($M1033="","",IF($M1033&gt;=$J1033,"Yes","No")))</f>
        <v/>
      </c>
      <c r="P1033" s="17">
        <f>IF($C1033="","",IF($K1033="","",IF(COUNTIFS(nrES_PID,$D1033,nrES_Code,$F1033,nrES_Att,"&gt;"&amp;$K1033)=0,"Yes","No")))</f>
        <v/>
      </c>
      <c r="Q1033" s="17">
        <f>IF($C1033="","",IF($L1033="","",IF(AND($K1033=1,$L1033&lt;$J1033,COUNTIFS(nrES_PID,$D1033,nrES_Code,$F1033,nrES_Att,2)=0),"Yes","No")))</f>
        <v/>
      </c>
      <c r="R1033" s="17">
        <f>IF($C1033="","",IF($L1033="","",IF(AND($K1033=2,$L1033&lt;$J1033,COUNTIFS(nrES_PID,$D1033,nrES_Code,$F1033,nrES_Att,1)&gt;0),"Yes","No")))</f>
        <v/>
      </c>
      <c r="S1033" s="18" t="n"/>
      <c r="T1033" s="19">
        <f>IF($Q1033&lt;&gt;"Yes","",IF($S1033="","(enter date)",_xlfn.LET(_xlpm.dn,IFERROR(_xlfn.XLOOKUP($S1033,nrCDdate,nrCDnum),""),IF(_xlpm.dn="","(not a class day)",IFERROR(_xlfn.XLOOKUP(_xlpm.dn+cfgRetestClassDays,nrCDnum,nrCDdate),"")))))</f>
        <v/>
      </c>
      <c r="U1033" s="17">
        <f>IF($Q1033&lt;&gt;"Yes","",IF(COUNTIFS(nrES_PID,$D1033,nrES_Code,$F1033,nrES_Att,2)&gt;0,"Retested",IF(OR($T1033="",NOT(ISNUMBER($T1033))),"Pending",IF(TODAY()&gt;$T1033,"OVERDUE","Due "&amp;TEXT($T1033,"mm/dd")))))</f>
        <v/>
      </c>
      <c r="V1033" s="16" t="n"/>
      <c r="W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K1034=1,IF(COUNTIFS(nrES_PID,$D1034,nrES_Code,$F1034,nrES_Att,2)&gt;0,"",$L1034),IF(COUNTIFS(nrES_PID,$D1034,nrES_Code,$F1034,nrES_Att,1)=0,$L1034,IF($L1034&gt;=$J1034,cfgRetakeRecordedCap,SUMIFS(nrES_Raw,nrES_PID,$D1034,nrES_Code,$F1034,nrES_Att,1))))))</f>
        <v/>
      </c>
      <c r="N1034" s="17">
        <f>IF($C1034="","",IF($L1034="","",IF($L1034&gt;=$J1034,"Yes","No")))</f>
        <v/>
      </c>
      <c r="O1034" s="17">
        <f>IF($C1034="","",IF($M1034="","",IF($M1034&gt;=$J1034,"Yes","No")))</f>
        <v/>
      </c>
      <c r="P1034" s="17">
        <f>IF($C1034="","",IF($K1034="","",IF(COUNTIFS(nrES_PID,$D1034,nrES_Code,$F1034,nrES_Att,"&gt;"&amp;$K1034)=0,"Yes","No")))</f>
        <v/>
      </c>
      <c r="Q1034" s="17">
        <f>IF($C1034="","",IF($L1034="","",IF(AND($K1034=1,$L1034&lt;$J1034,COUNTIFS(nrES_PID,$D1034,nrES_Code,$F1034,nrES_Att,2)=0),"Yes","No")))</f>
        <v/>
      </c>
      <c r="R1034" s="17">
        <f>IF($C1034="","",IF($L1034="","",IF(AND($K1034=2,$L1034&lt;$J1034,COUNTIFS(nrES_PID,$D1034,nrES_Code,$F1034,nrES_Att,1)&gt;0),"Yes","No")))</f>
        <v/>
      </c>
      <c r="S1034" s="18" t="n"/>
      <c r="T1034" s="19">
        <f>IF($Q1034&lt;&gt;"Yes","",IF($S1034="","(enter date)",_xlfn.LET(_xlpm.dn,IFERROR(_xlfn.XLOOKUP($S1034,nrCDdate,nrCDnum),""),IF(_xlpm.dn="","(not a class day)",IFERROR(_xlfn.XLOOKUP(_xlpm.dn+cfgRetestClassDays,nrCDnum,nrCDdate),"")))))</f>
        <v/>
      </c>
      <c r="U1034" s="17">
        <f>IF($Q1034&lt;&gt;"Yes","",IF(COUNTIFS(nrES_PID,$D1034,nrES_Code,$F1034,nrES_Att,2)&gt;0,"Retested",IF(OR($T1034="",NOT(ISNUMBER($T1034))),"Pending",IF(TODAY()&gt;$T1034,"OVERDUE","Due "&amp;TEXT($T1034,"mm/dd")))))</f>
        <v/>
      </c>
      <c r="V1034" s="16" t="n"/>
      <c r="W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K1035=1,IF(COUNTIFS(nrES_PID,$D1035,nrES_Code,$F1035,nrES_Att,2)&gt;0,"",$L1035),IF(COUNTIFS(nrES_PID,$D1035,nrES_Code,$F1035,nrES_Att,1)=0,$L1035,IF($L1035&gt;=$J1035,cfgRetakeRecordedCap,SUMIFS(nrES_Raw,nrES_PID,$D1035,nrES_Code,$F1035,nrES_Att,1))))))</f>
        <v/>
      </c>
      <c r="N1035" s="17">
        <f>IF($C1035="","",IF($L1035="","",IF($L1035&gt;=$J1035,"Yes","No")))</f>
        <v/>
      </c>
      <c r="O1035" s="17">
        <f>IF($C1035="","",IF($M1035="","",IF($M1035&gt;=$J1035,"Yes","No")))</f>
        <v/>
      </c>
      <c r="P1035" s="17">
        <f>IF($C1035="","",IF($K1035="","",IF(COUNTIFS(nrES_PID,$D1035,nrES_Code,$F1035,nrES_Att,"&gt;"&amp;$K1035)=0,"Yes","No")))</f>
        <v/>
      </c>
      <c r="Q1035" s="17">
        <f>IF($C1035="","",IF($L1035="","",IF(AND($K1035=1,$L1035&lt;$J1035,COUNTIFS(nrES_PID,$D1035,nrES_Code,$F1035,nrES_Att,2)=0),"Yes","No")))</f>
        <v/>
      </c>
      <c r="R1035" s="17">
        <f>IF($C1035="","",IF($L1035="","",IF(AND($K1035=2,$L1035&lt;$J1035,COUNTIFS(nrES_PID,$D1035,nrES_Code,$F1035,nrES_Att,1)&gt;0),"Yes","No")))</f>
        <v/>
      </c>
      <c r="S1035" s="18" t="n"/>
      <c r="T1035" s="19">
        <f>IF($Q1035&lt;&gt;"Yes","",IF($S1035="","(enter date)",_xlfn.LET(_xlpm.dn,IFERROR(_xlfn.XLOOKUP($S1035,nrCDdate,nrCDnum),""),IF(_xlpm.dn="","(not a class day)",IFERROR(_xlfn.XLOOKUP(_xlpm.dn+cfgRetestClassDays,nrCDnum,nrCDdate),"")))))</f>
        <v/>
      </c>
      <c r="U1035" s="17">
        <f>IF($Q1035&lt;&gt;"Yes","",IF(COUNTIFS(nrES_PID,$D1035,nrES_Code,$F1035,nrES_Att,2)&gt;0,"Retested",IF(OR($T1035="",NOT(ISNUMBER($T1035))),"Pending",IF(TODAY()&gt;$T1035,"OVERDUE","Due "&amp;TEXT($T1035,"mm/dd")))))</f>
        <v/>
      </c>
      <c r="V1035" s="16" t="n"/>
      <c r="W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K1036=1,IF(COUNTIFS(nrES_PID,$D1036,nrES_Code,$F1036,nrES_Att,2)&gt;0,"",$L1036),IF(COUNTIFS(nrES_PID,$D1036,nrES_Code,$F1036,nrES_Att,1)=0,$L1036,IF($L1036&gt;=$J1036,cfgRetakeRecordedCap,SUMIFS(nrES_Raw,nrES_PID,$D1036,nrES_Code,$F1036,nrES_Att,1))))))</f>
        <v/>
      </c>
      <c r="N1036" s="17">
        <f>IF($C1036="","",IF($L1036="","",IF($L1036&gt;=$J1036,"Yes","No")))</f>
        <v/>
      </c>
      <c r="O1036" s="17">
        <f>IF($C1036="","",IF($M1036="","",IF($M1036&gt;=$J1036,"Yes","No")))</f>
        <v/>
      </c>
      <c r="P1036" s="17">
        <f>IF($C1036="","",IF($K1036="","",IF(COUNTIFS(nrES_PID,$D1036,nrES_Code,$F1036,nrES_Att,"&gt;"&amp;$K1036)=0,"Yes","No")))</f>
        <v/>
      </c>
      <c r="Q1036" s="17">
        <f>IF($C1036="","",IF($L1036="","",IF(AND($K1036=1,$L1036&lt;$J1036,COUNTIFS(nrES_PID,$D1036,nrES_Code,$F1036,nrES_Att,2)=0),"Yes","No")))</f>
        <v/>
      </c>
      <c r="R1036" s="17">
        <f>IF($C1036="","",IF($L1036="","",IF(AND($K1036=2,$L1036&lt;$J1036,COUNTIFS(nrES_PID,$D1036,nrES_Code,$F1036,nrES_Att,1)&gt;0),"Yes","No")))</f>
        <v/>
      </c>
      <c r="S1036" s="18" t="n"/>
      <c r="T1036" s="19">
        <f>IF($Q1036&lt;&gt;"Yes","",IF($S1036="","(enter date)",_xlfn.LET(_xlpm.dn,IFERROR(_xlfn.XLOOKUP($S1036,nrCDdate,nrCDnum),""),IF(_xlpm.dn="","(not a class day)",IFERROR(_xlfn.XLOOKUP(_xlpm.dn+cfgRetestClassDays,nrCDnum,nrCDdate),"")))))</f>
        <v/>
      </c>
      <c r="U1036" s="17">
        <f>IF($Q1036&lt;&gt;"Yes","",IF(COUNTIFS(nrES_PID,$D1036,nrES_Code,$F1036,nrES_Att,2)&gt;0,"Retested",IF(OR($T1036="",NOT(ISNUMBER($T1036))),"Pending",IF(TODAY()&gt;$T1036,"OVERDUE","Due "&amp;TEXT($T1036,"mm/dd")))))</f>
        <v/>
      </c>
      <c r="V1036" s="16" t="n"/>
      <c r="W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K1037=1,IF(COUNTIFS(nrES_PID,$D1037,nrES_Code,$F1037,nrES_Att,2)&gt;0,"",$L1037),IF(COUNTIFS(nrES_PID,$D1037,nrES_Code,$F1037,nrES_Att,1)=0,$L1037,IF($L1037&gt;=$J1037,cfgRetakeRecordedCap,SUMIFS(nrES_Raw,nrES_PID,$D1037,nrES_Code,$F1037,nrES_Att,1))))))</f>
        <v/>
      </c>
      <c r="N1037" s="17">
        <f>IF($C1037="","",IF($L1037="","",IF($L1037&gt;=$J1037,"Yes","No")))</f>
        <v/>
      </c>
      <c r="O1037" s="17">
        <f>IF($C1037="","",IF($M1037="","",IF($M1037&gt;=$J1037,"Yes","No")))</f>
        <v/>
      </c>
      <c r="P1037" s="17">
        <f>IF($C1037="","",IF($K1037="","",IF(COUNTIFS(nrES_PID,$D1037,nrES_Code,$F1037,nrES_Att,"&gt;"&amp;$K1037)=0,"Yes","No")))</f>
        <v/>
      </c>
      <c r="Q1037" s="17">
        <f>IF($C1037="","",IF($L1037="","",IF(AND($K1037=1,$L1037&lt;$J1037,COUNTIFS(nrES_PID,$D1037,nrES_Code,$F1037,nrES_Att,2)=0),"Yes","No")))</f>
        <v/>
      </c>
      <c r="R1037" s="17">
        <f>IF($C1037="","",IF($L1037="","",IF(AND($K1037=2,$L1037&lt;$J1037,COUNTIFS(nrES_PID,$D1037,nrES_Code,$F1037,nrES_Att,1)&gt;0),"Yes","No")))</f>
        <v/>
      </c>
      <c r="S1037" s="18" t="n"/>
      <c r="T1037" s="19">
        <f>IF($Q1037&lt;&gt;"Yes","",IF($S1037="","(enter date)",_xlfn.LET(_xlpm.dn,IFERROR(_xlfn.XLOOKUP($S1037,nrCDdate,nrCDnum),""),IF(_xlpm.dn="","(not a class day)",IFERROR(_xlfn.XLOOKUP(_xlpm.dn+cfgRetestClassDays,nrCDnum,nrCDdate),"")))))</f>
        <v/>
      </c>
      <c r="U1037" s="17">
        <f>IF($Q1037&lt;&gt;"Yes","",IF(COUNTIFS(nrES_PID,$D1037,nrES_Code,$F1037,nrES_Att,2)&gt;0,"Retested",IF(OR($T1037="",NOT(ISNUMBER($T1037))),"Pending",IF(TODAY()&gt;$T1037,"OVERDUE","Due "&amp;TEXT($T1037,"mm/dd")))))</f>
        <v/>
      </c>
      <c r="V1037" s="16" t="n"/>
      <c r="W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K1038=1,IF(COUNTIFS(nrES_PID,$D1038,nrES_Code,$F1038,nrES_Att,2)&gt;0,"",$L1038),IF(COUNTIFS(nrES_PID,$D1038,nrES_Code,$F1038,nrES_Att,1)=0,$L1038,IF($L1038&gt;=$J1038,cfgRetakeRecordedCap,SUMIFS(nrES_Raw,nrES_PID,$D1038,nrES_Code,$F1038,nrES_Att,1))))))</f>
        <v/>
      </c>
      <c r="N1038" s="17">
        <f>IF($C1038="","",IF($L1038="","",IF($L1038&gt;=$J1038,"Yes","No")))</f>
        <v/>
      </c>
      <c r="O1038" s="17">
        <f>IF($C1038="","",IF($M1038="","",IF($M1038&gt;=$J1038,"Yes","No")))</f>
        <v/>
      </c>
      <c r="P1038" s="17">
        <f>IF($C1038="","",IF($K1038="","",IF(COUNTIFS(nrES_PID,$D1038,nrES_Code,$F1038,nrES_Att,"&gt;"&amp;$K1038)=0,"Yes","No")))</f>
        <v/>
      </c>
      <c r="Q1038" s="17">
        <f>IF($C1038="","",IF($L1038="","",IF(AND($K1038=1,$L1038&lt;$J1038,COUNTIFS(nrES_PID,$D1038,nrES_Code,$F1038,nrES_Att,2)=0),"Yes","No")))</f>
        <v/>
      </c>
      <c r="R1038" s="17">
        <f>IF($C1038="","",IF($L1038="","",IF(AND($K1038=2,$L1038&lt;$J1038,COUNTIFS(nrES_PID,$D1038,nrES_Code,$F1038,nrES_Att,1)&gt;0),"Yes","No")))</f>
        <v/>
      </c>
      <c r="S1038" s="18" t="n"/>
      <c r="T1038" s="19">
        <f>IF($Q1038&lt;&gt;"Yes","",IF($S1038="","(enter date)",_xlfn.LET(_xlpm.dn,IFERROR(_xlfn.XLOOKUP($S1038,nrCDdate,nrCDnum),""),IF(_xlpm.dn="","(not a class day)",IFERROR(_xlfn.XLOOKUP(_xlpm.dn+cfgRetestClassDays,nrCDnum,nrCDdate),"")))))</f>
        <v/>
      </c>
      <c r="U1038" s="17">
        <f>IF($Q1038&lt;&gt;"Yes","",IF(COUNTIFS(nrES_PID,$D1038,nrES_Code,$F1038,nrES_Att,2)&gt;0,"Retested",IF(OR($T1038="",NOT(ISNUMBER($T1038))),"Pending",IF(TODAY()&gt;$T1038,"OVERDUE","Due "&amp;TEXT($T1038,"mm/dd")))))</f>
        <v/>
      </c>
      <c r="V1038" s="16" t="n"/>
      <c r="W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K1039=1,IF(COUNTIFS(nrES_PID,$D1039,nrES_Code,$F1039,nrES_Att,2)&gt;0,"",$L1039),IF(COUNTIFS(nrES_PID,$D1039,nrES_Code,$F1039,nrES_Att,1)=0,$L1039,IF($L1039&gt;=$J1039,cfgRetakeRecordedCap,SUMIFS(nrES_Raw,nrES_PID,$D1039,nrES_Code,$F1039,nrES_Att,1))))))</f>
        <v/>
      </c>
      <c r="N1039" s="17">
        <f>IF($C1039="","",IF($L1039="","",IF($L1039&gt;=$J1039,"Yes","No")))</f>
        <v/>
      </c>
      <c r="O1039" s="17">
        <f>IF($C1039="","",IF($M1039="","",IF($M1039&gt;=$J1039,"Yes","No")))</f>
        <v/>
      </c>
      <c r="P1039" s="17">
        <f>IF($C1039="","",IF($K1039="","",IF(COUNTIFS(nrES_PID,$D1039,nrES_Code,$F1039,nrES_Att,"&gt;"&amp;$K1039)=0,"Yes","No")))</f>
        <v/>
      </c>
      <c r="Q1039" s="17">
        <f>IF($C1039="","",IF($L1039="","",IF(AND($K1039=1,$L1039&lt;$J1039,COUNTIFS(nrES_PID,$D1039,nrES_Code,$F1039,nrES_Att,2)=0),"Yes","No")))</f>
        <v/>
      </c>
      <c r="R1039" s="17">
        <f>IF($C1039="","",IF($L1039="","",IF(AND($K1039=2,$L1039&lt;$J1039,COUNTIFS(nrES_PID,$D1039,nrES_Code,$F1039,nrES_Att,1)&gt;0),"Yes","No")))</f>
        <v/>
      </c>
      <c r="S1039" s="18" t="n"/>
      <c r="T1039" s="19">
        <f>IF($Q1039&lt;&gt;"Yes","",IF($S1039="","(enter date)",_xlfn.LET(_xlpm.dn,IFERROR(_xlfn.XLOOKUP($S1039,nrCDdate,nrCDnum),""),IF(_xlpm.dn="","(not a class day)",IFERROR(_xlfn.XLOOKUP(_xlpm.dn+cfgRetestClassDays,nrCDnum,nrCDdate),"")))))</f>
        <v/>
      </c>
      <c r="U1039" s="17">
        <f>IF($Q1039&lt;&gt;"Yes","",IF(COUNTIFS(nrES_PID,$D1039,nrES_Code,$F1039,nrES_Att,2)&gt;0,"Retested",IF(OR($T1039="",NOT(ISNUMBER($T1039))),"Pending",IF(TODAY()&gt;$T1039,"OVERDUE","Due "&amp;TEXT($T1039,"mm/dd")))))</f>
        <v/>
      </c>
      <c r="V1039" s="16" t="n"/>
      <c r="W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K1040=1,IF(COUNTIFS(nrES_PID,$D1040,nrES_Code,$F1040,nrES_Att,2)&gt;0,"",$L1040),IF(COUNTIFS(nrES_PID,$D1040,nrES_Code,$F1040,nrES_Att,1)=0,$L1040,IF($L1040&gt;=$J1040,cfgRetakeRecordedCap,SUMIFS(nrES_Raw,nrES_PID,$D1040,nrES_Code,$F1040,nrES_Att,1))))))</f>
        <v/>
      </c>
      <c r="N1040" s="17">
        <f>IF($C1040="","",IF($L1040="","",IF($L1040&gt;=$J1040,"Yes","No")))</f>
        <v/>
      </c>
      <c r="O1040" s="17">
        <f>IF($C1040="","",IF($M1040="","",IF($M1040&gt;=$J1040,"Yes","No")))</f>
        <v/>
      </c>
      <c r="P1040" s="17">
        <f>IF($C1040="","",IF($K1040="","",IF(COUNTIFS(nrES_PID,$D1040,nrES_Code,$F1040,nrES_Att,"&gt;"&amp;$K1040)=0,"Yes","No")))</f>
        <v/>
      </c>
      <c r="Q1040" s="17">
        <f>IF($C1040="","",IF($L1040="","",IF(AND($K1040=1,$L1040&lt;$J1040,COUNTIFS(nrES_PID,$D1040,nrES_Code,$F1040,nrES_Att,2)=0),"Yes","No")))</f>
        <v/>
      </c>
      <c r="R1040" s="17">
        <f>IF($C1040="","",IF($L1040="","",IF(AND($K1040=2,$L1040&lt;$J1040,COUNTIFS(nrES_PID,$D1040,nrES_Code,$F1040,nrES_Att,1)&gt;0),"Yes","No")))</f>
        <v/>
      </c>
      <c r="S1040" s="18" t="n"/>
      <c r="T1040" s="19">
        <f>IF($Q1040&lt;&gt;"Yes","",IF($S1040="","(enter date)",_xlfn.LET(_xlpm.dn,IFERROR(_xlfn.XLOOKUP($S1040,nrCDdate,nrCDnum),""),IF(_xlpm.dn="","(not a class day)",IFERROR(_xlfn.XLOOKUP(_xlpm.dn+cfgRetestClassDays,nrCDnum,nrCDdate),"")))))</f>
        <v/>
      </c>
      <c r="U1040" s="17">
        <f>IF($Q1040&lt;&gt;"Yes","",IF(COUNTIFS(nrES_PID,$D1040,nrES_Code,$F1040,nrES_Att,2)&gt;0,"Retested",IF(OR($T1040="",NOT(ISNUMBER($T1040))),"Pending",IF(TODAY()&gt;$T1040,"OVERDUE","Due "&amp;TEXT($T1040,"mm/dd")))))</f>
        <v/>
      </c>
      <c r="V1040" s="16" t="n"/>
      <c r="W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K1041=1,IF(COUNTIFS(nrES_PID,$D1041,nrES_Code,$F1041,nrES_Att,2)&gt;0,"",$L1041),IF(COUNTIFS(nrES_PID,$D1041,nrES_Code,$F1041,nrES_Att,1)=0,$L1041,IF($L1041&gt;=$J1041,cfgRetakeRecordedCap,SUMIFS(nrES_Raw,nrES_PID,$D1041,nrES_Code,$F1041,nrES_Att,1))))))</f>
        <v/>
      </c>
      <c r="N1041" s="17">
        <f>IF($C1041="","",IF($L1041="","",IF($L1041&gt;=$J1041,"Yes","No")))</f>
        <v/>
      </c>
      <c r="O1041" s="17">
        <f>IF($C1041="","",IF($M1041="","",IF($M1041&gt;=$J1041,"Yes","No")))</f>
        <v/>
      </c>
      <c r="P1041" s="17">
        <f>IF($C1041="","",IF($K1041="","",IF(COUNTIFS(nrES_PID,$D1041,nrES_Code,$F1041,nrES_Att,"&gt;"&amp;$K1041)=0,"Yes","No")))</f>
        <v/>
      </c>
      <c r="Q1041" s="17">
        <f>IF($C1041="","",IF($L1041="","",IF(AND($K1041=1,$L1041&lt;$J1041,COUNTIFS(nrES_PID,$D1041,nrES_Code,$F1041,nrES_Att,2)=0),"Yes","No")))</f>
        <v/>
      </c>
      <c r="R1041" s="17">
        <f>IF($C1041="","",IF($L1041="","",IF(AND($K1041=2,$L1041&lt;$J1041,COUNTIFS(nrES_PID,$D1041,nrES_Code,$F1041,nrES_Att,1)&gt;0),"Yes","No")))</f>
        <v/>
      </c>
      <c r="S1041" s="18" t="n"/>
      <c r="T1041" s="19">
        <f>IF($Q1041&lt;&gt;"Yes","",IF($S1041="","(enter date)",_xlfn.LET(_xlpm.dn,IFERROR(_xlfn.XLOOKUP($S1041,nrCDdate,nrCDnum),""),IF(_xlpm.dn="","(not a class day)",IFERROR(_xlfn.XLOOKUP(_xlpm.dn+cfgRetestClassDays,nrCDnum,nrCDdate),"")))))</f>
        <v/>
      </c>
      <c r="U1041" s="17">
        <f>IF($Q1041&lt;&gt;"Yes","",IF(COUNTIFS(nrES_PID,$D1041,nrES_Code,$F1041,nrES_Att,2)&gt;0,"Retested",IF(OR($T1041="",NOT(ISNUMBER($T1041))),"Pending",IF(TODAY()&gt;$T1041,"OVERDUE","Due "&amp;TEXT($T1041,"mm/dd")))))</f>
        <v/>
      </c>
      <c r="V1041" s="16" t="n"/>
      <c r="W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K1042=1,IF(COUNTIFS(nrES_PID,$D1042,nrES_Code,$F1042,nrES_Att,2)&gt;0,"",$L1042),IF(COUNTIFS(nrES_PID,$D1042,nrES_Code,$F1042,nrES_Att,1)=0,$L1042,IF($L1042&gt;=$J1042,cfgRetakeRecordedCap,SUMIFS(nrES_Raw,nrES_PID,$D1042,nrES_Code,$F1042,nrES_Att,1))))))</f>
        <v/>
      </c>
      <c r="N1042" s="17">
        <f>IF($C1042="","",IF($L1042="","",IF($L1042&gt;=$J1042,"Yes","No")))</f>
        <v/>
      </c>
      <c r="O1042" s="17">
        <f>IF($C1042="","",IF($M1042="","",IF($M1042&gt;=$J1042,"Yes","No")))</f>
        <v/>
      </c>
      <c r="P1042" s="17">
        <f>IF($C1042="","",IF($K1042="","",IF(COUNTIFS(nrES_PID,$D1042,nrES_Code,$F1042,nrES_Att,"&gt;"&amp;$K1042)=0,"Yes","No")))</f>
        <v/>
      </c>
      <c r="Q1042" s="17">
        <f>IF($C1042="","",IF($L1042="","",IF(AND($K1042=1,$L1042&lt;$J1042,COUNTIFS(nrES_PID,$D1042,nrES_Code,$F1042,nrES_Att,2)=0),"Yes","No")))</f>
        <v/>
      </c>
      <c r="R1042" s="17">
        <f>IF($C1042="","",IF($L1042="","",IF(AND($K1042=2,$L1042&lt;$J1042,COUNTIFS(nrES_PID,$D1042,nrES_Code,$F1042,nrES_Att,1)&gt;0),"Yes","No")))</f>
        <v/>
      </c>
      <c r="S1042" s="18" t="n"/>
      <c r="T1042" s="19">
        <f>IF($Q1042&lt;&gt;"Yes","",IF($S1042="","(enter date)",_xlfn.LET(_xlpm.dn,IFERROR(_xlfn.XLOOKUP($S1042,nrCDdate,nrCDnum),""),IF(_xlpm.dn="","(not a class day)",IFERROR(_xlfn.XLOOKUP(_xlpm.dn+cfgRetestClassDays,nrCDnum,nrCDdate),"")))))</f>
        <v/>
      </c>
      <c r="U1042" s="17">
        <f>IF($Q1042&lt;&gt;"Yes","",IF(COUNTIFS(nrES_PID,$D1042,nrES_Code,$F1042,nrES_Att,2)&gt;0,"Retested",IF(OR($T1042="",NOT(ISNUMBER($T1042))),"Pending",IF(TODAY()&gt;$T1042,"OVERDUE","Due "&amp;TEXT($T1042,"mm/dd")))))</f>
        <v/>
      </c>
      <c r="V1042" s="16" t="n"/>
      <c r="W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K1043=1,IF(COUNTIFS(nrES_PID,$D1043,nrES_Code,$F1043,nrES_Att,2)&gt;0,"",$L1043),IF(COUNTIFS(nrES_PID,$D1043,nrES_Code,$F1043,nrES_Att,1)=0,$L1043,IF($L1043&gt;=$J1043,cfgRetakeRecordedCap,SUMIFS(nrES_Raw,nrES_PID,$D1043,nrES_Code,$F1043,nrES_Att,1))))))</f>
        <v/>
      </c>
      <c r="N1043" s="17">
        <f>IF($C1043="","",IF($L1043="","",IF($L1043&gt;=$J1043,"Yes","No")))</f>
        <v/>
      </c>
      <c r="O1043" s="17">
        <f>IF($C1043="","",IF($M1043="","",IF($M1043&gt;=$J1043,"Yes","No")))</f>
        <v/>
      </c>
      <c r="P1043" s="17">
        <f>IF($C1043="","",IF($K1043="","",IF(COUNTIFS(nrES_PID,$D1043,nrES_Code,$F1043,nrES_Att,"&gt;"&amp;$K1043)=0,"Yes","No")))</f>
        <v/>
      </c>
      <c r="Q1043" s="17">
        <f>IF($C1043="","",IF($L1043="","",IF(AND($K1043=1,$L1043&lt;$J1043,COUNTIFS(nrES_PID,$D1043,nrES_Code,$F1043,nrES_Att,2)=0),"Yes","No")))</f>
        <v/>
      </c>
      <c r="R1043" s="17">
        <f>IF($C1043="","",IF($L1043="","",IF(AND($K1043=2,$L1043&lt;$J1043,COUNTIFS(nrES_PID,$D1043,nrES_Code,$F1043,nrES_Att,1)&gt;0),"Yes","No")))</f>
        <v/>
      </c>
      <c r="S1043" s="18" t="n"/>
      <c r="T1043" s="19">
        <f>IF($Q1043&lt;&gt;"Yes","",IF($S1043="","(enter date)",_xlfn.LET(_xlpm.dn,IFERROR(_xlfn.XLOOKUP($S1043,nrCDdate,nrCDnum),""),IF(_xlpm.dn="","(not a class day)",IFERROR(_xlfn.XLOOKUP(_xlpm.dn+cfgRetestClassDays,nrCDnum,nrCDdate),"")))))</f>
        <v/>
      </c>
      <c r="U1043" s="17">
        <f>IF($Q1043&lt;&gt;"Yes","",IF(COUNTIFS(nrES_PID,$D1043,nrES_Code,$F1043,nrES_Att,2)&gt;0,"Retested",IF(OR($T1043="",NOT(ISNUMBER($T1043))),"Pending",IF(TODAY()&gt;$T1043,"OVERDUE","Due "&amp;TEXT($T1043,"mm/dd")))))</f>
        <v/>
      </c>
      <c r="V1043" s="16" t="n"/>
      <c r="W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K1044=1,IF(COUNTIFS(nrES_PID,$D1044,nrES_Code,$F1044,nrES_Att,2)&gt;0,"",$L1044),IF(COUNTIFS(nrES_PID,$D1044,nrES_Code,$F1044,nrES_Att,1)=0,$L1044,IF($L1044&gt;=$J1044,cfgRetakeRecordedCap,SUMIFS(nrES_Raw,nrES_PID,$D1044,nrES_Code,$F1044,nrES_Att,1))))))</f>
        <v/>
      </c>
      <c r="N1044" s="17">
        <f>IF($C1044="","",IF($L1044="","",IF($L1044&gt;=$J1044,"Yes","No")))</f>
        <v/>
      </c>
      <c r="O1044" s="17">
        <f>IF($C1044="","",IF($M1044="","",IF($M1044&gt;=$J1044,"Yes","No")))</f>
        <v/>
      </c>
      <c r="P1044" s="17">
        <f>IF($C1044="","",IF($K1044="","",IF(COUNTIFS(nrES_PID,$D1044,nrES_Code,$F1044,nrES_Att,"&gt;"&amp;$K1044)=0,"Yes","No")))</f>
        <v/>
      </c>
      <c r="Q1044" s="17">
        <f>IF($C1044="","",IF($L1044="","",IF(AND($K1044=1,$L1044&lt;$J1044,COUNTIFS(nrES_PID,$D1044,nrES_Code,$F1044,nrES_Att,2)=0),"Yes","No")))</f>
        <v/>
      </c>
      <c r="R1044" s="17">
        <f>IF($C1044="","",IF($L1044="","",IF(AND($K1044=2,$L1044&lt;$J1044,COUNTIFS(nrES_PID,$D1044,nrES_Code,$F1044,nrES_Att,1)&gt;0),"Yes","No")))</f>
        <v/>
      </c>
      <c r="S1044" s="18" t="n"/>
      <c r="T1044" s="19">
        <f>IF($Q1044&lt;&gt;"Yes","",IF($S1044="","(enter date)",_xlfn.LET(_xlpm.dn,IFERROR(_xlfn.XLOOKUP($S1044,nrCDdate,nrCDnum),""),IF(_xlpm.dn="","(not a class day)",IFERROR(_xlfn.XLOOKUP(_xlpm.dn+cfgRetestClassDays,nrCDnum,nrCDdate),"")))))</f>
        <v/>
      </c>
      <c r="U1044" s="17">
        <f>IF($Q1044&lt;&gt;"Yes","",IF(COUNTIFS(nrES_PID,$D1044,nrES_Code,$F1044,nrES_Att,2)&gt;0,"Retested",IF(OR($T1044="",NOT(ISNUMBER($T1044))),"Pending",IF(TODAY()&gt;$T1044,"OVERDUE","Due "&amp;TEXT($T1044,"mm/dd")))))</f>
        <v/>
      </c>
      <c r="V1044" s="16" t="n"/>
      <c r="W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K1045=1,IF(COUNTIFS(nrES_PID,$D1045,nrES_Code,$F1045,nrES_Att,2)&gt;0,"",$L1045),IF(COUNTIFS(nrES_PID,$D1045,nrES_Code,$F1045,nrES_Att,1)=0,$L1045,IF($L1045&gt;=$J1045,cfgRetakeRecordedCap,SUMIFS(nrES_Raw,nrES_PID,$D1045,nrES_Code,$F1045,nrES_Att,1))))))</f>
        <v/>
      </c>
      <c r="N1045" s="17">
        <f>IF($C1045="","",IF($L1045="","",IF($L1045&gt;=$J1045,"Yes","No")))</f>
        <v/>
      </c>
      <c r="O1045" s="17">
        <f>IF($C1045="","",IF($M1045="","",IF($M1045&gt;=$J1045,"Yes","No")))</f>
        <v/>
      </c>
      <c r="P1045" s="17">
        <f>IF($C1045="","",IF($K1045="","",IF(COUNTIFS(nrES_PID,$D1045,nrES_Code,$F1045,nrES_Att,"&gt;"&amp;$K1045)=0,"Yes","No")))</f>
        <v/>
      </c>
      <c r="Q1045" s="17">
        <f>IF($C1045="","",IF($L1045="","",IF(AND($K1045=1,$L1045&lt;$J1045,COUNTIFS(nrES_PID,$D1045,nrES_Code,$F1045,nrES_Att,2)=0),"Yes","No")))</f>
        <v/>
      </c>
      <c r="R1045" s="17">
        <f>IF($C1045="","",IF($L1045="","",IF(AND($K1045=2,$L1045&lt;$J1045,COUNTIFS(nrES_PID,$D1045,nrES_Code,$F1045,nrES_Att,1)&gt;0),"Yes","No")))</f>
        <v/>
      </c>
      <c r="S1045" s="18" t="n"/>
      <c r="T1045" s="19">
        <f>IF($Q1045&lt;&gt;"Yes","",IF($S1045="","(enter date)",_xlfn.LET(_xlpm.dn,IFERROR(_xlfn.XLOOKUP($S1045,nrCDdate,nrCDnum),""),IF(_xlpm.dn="","(not a class day)",IFERROR(_xlfn.XLOOKUP(_xlpm.dn+cfgRetestClassDays,nrCDnum,nrCDdate),"")))))</f>
        <v/>
      </c>
      <c r="U1045" s="17">
        <f>IF($Q1045&lt;&gt;"Yes","",IF(COUNTIFS(nrES_PID,$D1045,nrES_Code,$F1045,nrES_Att,2)&gt;0,"Retested",IF(OR($T1045="",NOT(ISNUMBER($T1045))),"Pending",IF(TODAY()&gt;$T1045,"OVERDUE","Due "&amp;TEXT($T1045,"mm/dd")))))</f>
        <v/>
      </c>
      <c r="V1045" s="16" t="n"/>
      <c r="W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K1046=1,IF(COUNTIFS(nrES_PID,$D1046,nrES_Code,$F1046,nrES_Att,2)&gt;0,"",$L1046),IF(COUNTIFS(nrES_PID,$D1046,nrES_Code,$F1046,nrES_Att,1)=0,$L1046,IF($L1046&gt;=$J1046,cfgRetakeRecordedCap,SUMIFS(nrES_Raw,nrES_PID,$D1046,nrES_Code,$F1046,nrES_Att,1))))))</f>
        <v/>
      </c>
      <c r="N1046" s="17">
        <f>IF($C1046="","",IF($L1046="","",IF($L1046&gt;=$J1046,"Yes","No")))</f>
        <v/>
      </c>
      <c r="O1046" s="17">
        <f>IF($C1046="","",IF($M1046="","",IF($M1046&gt;=$J1046,"Yes","No")))</f>
        <v/>
      </c>
      <c r="P1046" s="17">
        <f>IF($C1046="","",IF($K1046="","",IF(COUNTIFS(nrES_PID,$D1046,nrES_Code,$F1046,nrES_Att,"&gt;"&amp;$K1046)=0,"Yes","No")))</f>
        <v/>
      </c>
      <c r="Q1046" s="17">
        <f>IF($C1046="","",IF($L1046="","",IF(AND($K1046=1,$L1046&lt;$J1046,COUNTIFS(nrES_PID,$D1046,nrES_Code,$F1046,nrES_Att,2)=0),"Yes","No")))</f>
        <v/>
      </c>
      <c r="R1046" s="17">
        <f>IF($C1046="","",IF($L1046="","",IF(AND($K1046=2,$L1046&lt;$J1046,COUNTIFS(nrES_PID,$D1046,nrES_Code,$F1046,nrES_Att,1)&gt;0),"Yes","No")))</f>
        <v/>
      </c>
      <c r="S1046" s="18" t="n"/>
      <c r="T1046" s="19">
        <f>IF($Q1046&lt;&gt;"Yes","",IF($S1046="","(enter date)",_xlfn.LET(_xlpm.dn,IFERROR(_xlfn.XLOOKUP($S1046,nrCDdate,nrCDnum),""),IF(_xlpm.dn="","(not a class day)",IFERROR(_xlfn.XLOOKUP(_xlpm.dn+cfgRetestClassDays,nrCDnum,nrCDdate),"")))))</f>
        <v/>
      </c>
      <c r="U1046" s="17">
        <f>IF($Q1046&lt;&gt;"Yes","",IF(COUNTIFS(nrES_PID,$D1046,nrES_Code,$F1046,nrES_Att,2)&gt;0,"Retested",IF(OR($T1046="",NOT(ISNUMBER($T1046))),"Pending",IF(TODAY()&gt;$T1046,"OVERDUE","Due "&amp;TEXT($T1046,"mm/dd")))))</f>
        <v/>
      </c>
      <c r="V1046" s="16" t="n"/>
      <c r="W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K1047=1,IF(COUNTIFS(nrES_PID,$D1047,nrES_Code,$F1047,nrES_Att,2)&gt;0,"",$L1047),IF(COUNTIFS(nrES_PID,$D1047,nrES_Code,$F1047,nrES_Att,1)=0,$L1047,IF($L1047&gt;=$J1047,cfgRetakeRecordedCap,SUMIFS(nrES_Raw,nrES_PID,$D1047,nrES_Code,$F1047,nrES_Att,1))))))</f>
        <v/>
      </c>
      <c r="N1047" s="17">
        <f>IF($C1047="","",IF($L1047="","",IF($L1047&gt;=$J1047,"Yes","No")))</f>
        <v/>
      </c>
      <c r="O1047" s="17">
        <f>IF($C1047="","",IF($M1047="","",IF($M1047&gt;=$J1047,"Yes","No")))</f>
        <v/>
      </c>
      <c r="P1047" s="17">
        <f>IF($C1047="","",IF($K1047="","",IF(COUNTIFS(nrES_PID,$D1047,nrES_Code,$F1047,nrES_Att,"&gt;"&amp;$K1047)=0,"Yes","No")))</f>
        <v/>
      </c>
      <c r="Q1047" s="17">
        <f>IF($C1047="","",IF($L1047="","",IF(AND($K1047=1,$L1047&lt;$J1047,COUNTIFS(nrES_PID,$D1047,nrES_Code,$F1047,nrES_Att,2)=0),"Yes","No")))</f>
        <v/>
      </c>
      <c r="R1047" s="17">
        <f>IF($C1047="","",IF($L1047="","",IF(AND($K1047=2,$L1047&lt;$J1047,COUNTIFS(nrES_PID,$D1047,nrES_Code,$F1047,nrES_Att,1)&gt;0),"Yes","No")))</f>
        <v/>
      </c>
      <c r="S1047" s="18" t="n"/>
      <c r="T1047" s="19">
        <f>IF($Q1047&lt;&gt;"Yes","",IF($S1047="","(enter date)",_xlfn.LET(_xlpm.dn,IFERROR(_xlfn.XLOOKUP($S1047,nrCDdate,nrCDnum),""),IF(_xlpm.dn="","(not a class day)",IFERROR(_xlfn.XLOOKUP(_xlpm.dn+cfgRetestClassDays,nrCDnum,nrCDdate),"")))))</f>
        <v/>
      </c>
      <c r="U1047" s="17">
        <f>IF($Q1047&lt;&gt;"Yes","",IF(COUNTIFS(nrES_PID,$D1047,nrES_Code,$F1047,nrES_Att,2)&gt;0,"Retested",IF(OR($T1047="",NOT(ISNUMBER($T1047))),"Pending",IF(TODAY()&gt;$T1047,"OVERDUE","Due "&amp;TEXT($T1047,"mm/dd")))))</f>
        <v/>
      </c>
      <c r="V1047" s="16" t="n"/>
      <c r="W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K1048=1,IF(COUNTIFS(nrES_PID,$D1048,nrES_Code,$F1048,nrES_Att,2)&gt;0,"",$L1048),IF(COUNTIFS(nrES_PID,$D1048,nrES_Code,$F1048,nrES_Att,1)=0,$L1048,IF($L1048&gt;=$J1048,cfgRetakeRecordedCap,SUMIFS(nrES_Raw,nrES_PID,$D1048,nrES_Code,$F1048,nrES_Att,1))))))</f>
        <v/>
      </c>
      <c r="N1048" s="17">
        <f>IF($C1048="","",IF($L1048="","",IF($L1048&gt;=$J1048,"Yes","No")))</f>
        <v/>
      </c>
      <c r="O1048" s="17">
        <f>IF($C1048="","",IF($M1048="","",IF($M1048&gt;=$J1048,"Yes","No")))</f>
        <v/>
      </c>
      <c r="P1048" s="17">
        <f>IF($C1048="","",IF($K1048="","",IF(COUNTIFS(nrES_PID,$D1048,nrES_Code,$F1048,nrES_Att,"&gt;"&amp;$K1048)=0,"Yes","No")))</f>
        <v/>
      </c>
      <c r="Q1048" s="17">
        <f>IF($C1048="","",IF($L1048="","",IF(AND($K1048=1,$L1048&lt;$J1048,COUNTIFS(nrES_PID,$D1048,nrES_Code,$F1048,nrES_Att,2)=0),"Yes","No")))</f>
        <v/>
      </c>
      <c r="R1048" s="17">
        <f>IF($C1048="","",IF($L1048="","",IF(AND($K1048=2,$L1048&lt;$J1048,COUNTIFS(nrES_PID,$D1048,nrES_Code,$F1048,nrES_Att,1)&gt;0),"Yes","No")))</f>
        <v/>
      </c>
      <c r="S1048" s="18" t="n"/>
      <c r="T1048" s="19">
        <f>IF($Q1048&lt;&gt;"Yes","",IF($S1048="","(enter date)",_xlfn.LET(_xlpm.dn,IFERROR(_xlfn.XLOOKUP($S1048,nrCDdate,nrCDnum),""),IF(_xlpm.dn="","(not a class day)",IFERROR(_xlfn.XLOOKUP(_xlpm.dn+cfgRetestClassDays,nrCDnum,nrCDdate),"")))))</f>
        <v/>
      </c>
      <c r="U1048" s="17">
        <f>IF($Q1048&lt;&gt;"Yes","",IF(COUNTIFS(nrES_PID,$D1048,nrES_Code,$F1048,nrES_Att,2)&gt;0,"Retested",IF(OR($T1048="",NOT(ISNUMBER($T1048))),"Pending",IF(TODAY()&gt;$T1048,"OVERDUE","Due "&amp;TEXT($T1048,"mm/dd")))))</f>
        <v/>
      </c>
      <c r="V1048" s="16" t="n"/>
      <c r="W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K1049=1,IF(COUNTIFS(nrES_PID,$D1049,nrES_Code,$F1049,nrES_Att,2)&gt;0,"",$L1049),IF(COUNTIFS(nrES_PID,$D1049,nrES_Code,$F1049,nrES_Att,1)=0,$L1049,IF($L1049&gt;=$J1049,cfgRetakeRecordedCap,SUMIFS(nrES_Raw,nrES_PID,$D1049,nrES_Code,$F1049,nrES_Att,1))))))</f>
        <v/>
      </c>
      <c r="N1049" s="17">
        <f>IF($C1049="","",IF($L1049="","",IF($L1049&gt;=$J1049,"Yes","No")))</f>
        <v/>
      </c>
      <c r="O1049" s="17">
        <f>IF($C1049="","",IF($M1049="","",IF($M1049&gt;=$J1049,"Yes","No")))</f>
        <v/>
      </c>
      <c r="P1049" s="17">
        <f>IF($C1049="","",IF($K1049="","",IF(COUNTIFS(nrES_PID,$D1049,nrES_Code,$F1049,nrES_Att,"&gt;"&amp;$K1049)=0,"Yes","No")))</f>
        <v/>
      </c>
      <c r="Q1049" s="17">
        <f>IF($C1049="","",IF($L1049="","",IF(AND($K1049=1,$L1049&lt;$J1049,COUNTIFS(nrES_PID,$D1049,nrES_Code,$F1049,nrES_Att,2)=0),"Yes","No")))</f>
        <v/>
      </c>
      <c r="R1049" s="17">
        <f>IF($C1049="","",IF($L1049="","",IF(AND($K1049=2,$L1049&lt;$J1049,COUNTIFS(nrES_PID,$D1049,nrES_Code,$F1049,nrES_Att,1)&gt;0),"Yes","No")))</f>
        <v/>
      </c>
      <c r="S1049" s="18" t="n"/>
      <c r="T1049" s="19">
        <f>IF($Q1049&lt;&gt;"Yes","",IF($S1049="","(enter date)",_xlfn.LET(_xlpm.dn,IFERROR(_xlfn.XLOOKUP($S1049,nrCDdate,nrCDnum),""),IF(_xlpm.dn="","(not a class day)",IFERROR(_xlfn.XLOOKUP(_xlpm.dn+cfgRetestClassDays,nrCDnum,nrCDdate),"")))))</f>
        <v/>
      </c>
      <c r="U1049" s="17">
        <f>IF($Q1049&lt;&gt;"Yes","",IF(COUNTIFS(nrES_PID,$D1049,nrES_Code,$F1049,nrES_Att,2)&gt;0,"Retested",IF(OR($T1049="",NOT(ISNUMBER($T1049))),"Pending",IF(TODAY()&gt;$T1049,"OVERDUE","Due "&amp;TEXT($T1049,"mm/dd")))))</f>
        <v/>
      </c>
      <c r="V1049" s="16" t="n"/>
      <c r="W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K1050=1,IF(COUNTIFS(nrES_PID,$D1050,nrES_Code,$F1050,nrES_Att,2)&gt;0,"",$L1050),IF(COUNTIFS(nrES_PID,$D1050,nrES_Code,$F1050,nrES_Att,1)=0,$L1050,IF($L1050&gt;=$J1050,cfgRetakeRecordedCap,SUMIFS(nrES_Raw,nrES_PID,$D1050,nrES_Code,$F1050,nrES_Att,1))))))</f>
        <v/>
      </c>
      <c r="N1050" s="17">
        <f>IF($C1050="","",IF($L1050="","",IF($L1050&gt;=$J1050,"Yes","No")))</f>
        <v/>
      </c>
      <c r="O1050" s="17">
        <f>IF($C1050="","",IF($M1050="","",IF($M1050&gt;=$J1050,"Yes","No")))</f>
        <v/>
      </c>
      <c r="P1050" s="17">
        <f>IF($C1050="","",IF($K1050="","",IF(COUNTIFS(nrES_PID,$D1050,nrES_Code,$F1050,nrES_Att,"&gt;"&amp;$K1050)=0,"Yes","No")))</f>
        <v/>
      </c>
      <c r="Q1050" s="17">
        <f>IF($C1050="","",IF($L1050="","",IF(AND($K1050=1,$L1050&lt;$J1050,COUNTIFS(nrES_PID,$D1050,nrES_Code,$F1050,nrES_Att,2)=0),"Yes","No")))</f>
        <v/>
      </c>
      <c r="R1050" s="17">
        <f>IF($C1050="","",IF($L1050="","",IF(AND($K1050=2,$L1050&lt;$J1050,COUNTIFS(nrES_PID,$D1050,nrES_Code,$F1050,nrES_Att,1)&gt;0),"Yes","No")))</f>
        <v/>
      </c>
      <c r="S1050" s="18" t="n"/>
      <c r="T1050" s="19">
        <f>IF($Q1050&lt;&gt;"Yes","",IF($S1050="","(enter date)",_xlfn.LET(_xlpm.dn,IFERROR(_xlfn.XLOOKUP($S1050,nrCDdate,nrCDnum),""),IF(_xlpm.dn="","(not a class day)",IFERROR(_xlfn.XLOOKUP(_xlpm.dn+cfgRetestClassDays,nrCDnum,nrCDdate),"")))))</f>
        <v/>
      </c>
      <c r="U1050" s="17">
        <f>IF($Q1050&lt;&gt;"Yes","",IF(COUNTIFS(nrES_PID,$D1050,nrES_Code,$F1050,nrES_Att,2)&gt;0,"Retested",IF(OR($T1050="",NOT(ISNUMBER($T1050))),"Pending",IF(TODAY()&gt;$T1050,"OVERDUE","Due "&amp;TEXT($T1050,"mm/dd")))))</f>
        <v/>
      </c>
      <c r="V1050" s="16" t="n"/>
      <c r="W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K1051=1,IF(COUNTIFS(nrES_PID,$D1051,nrES_Code,$F1051,nrES_Att,2)&gt;0,"",$L1051),IF(COUNTIFS(nrES_PID,$D1051,nrES_Code,$F1051,nrES_Att,1)=0,$L1051,IF($L1051&gt;=$J1051,cfgRetakeRecordedCap,SUMIFS(nrES_Raw,nrES_PID,$D1051,nrES_Code,$F1051,nrES_Att,1))))))</f>
        <v/>
      </c>
      <c r="N1051" s="17">
        <f>IF($C1051="","",IF($L1051="","",IF($L1051&gt;=$J1051,"Yes","No")))</f>
        <v/>
      </c>
      <c r="O1051" s="17">
        <f>IF($C1051="","",IF($M1051="","",IF($M1051&gt;=$J1051,"Yes","No")))</f>
        <v/>
      </c>
      <c r="P1051" s="17">
        <f>IF($C1051="","",IF($K1051="","",IF(COUNTIFS(nrES_PID,$D1051,nrES_Code,$F1051,nrES_Att,"&gt;"&amp;$K1051)=0,"Yes","No")))</f>
        <v/>
      </c>
      <c r="Q1051" s="17">
        <f>IF($C1051="","",IF($L1051="","",IF(AND($K1051=1,$L1051&lt;$J1051,COUNTIFS(nrES_PID,$D1051,nrES_Code,$F1051,nrES_Att,2)=0),"Yes","No")))</f>
        <v/>
      </c>
      <c r="R1051" s="17">
        <f>IF($C1051="","",IF($L1051="","",IF(AND($K1051=2,$L1051&lt;$J1051,COUNTIFS(nrES_PID,$D1051,nrES_Code,$F1051,nrES_Att,1)&gt;0),"Yes","No")))</f>
        <v/>
      </c>
      <c r="S1051" s="18" t="n"/>
      <c r="T1051" s="19">
        <f>IF($Q1051&lt;&gt;"Yes","",IF($S1051="","(enter date)",_xlfn.LET(_xlpm.dn,IFERROR(_xlfn.XLOOKUP($S1051,nrCDdate,nrCDnum),""),IF(_xlpm.dn="","(not a class day)",IFERROR(_xlfn.XLOOKUP(_xlpm.dn+cfgRetestClassDays,nrCDnum,nrCDdate),"")))))</f>
        <v/>
      </c>
      <c r="U1051" s="17">
        <f>IF($Q1051&lt;&gt;"Yes","",IF(COUNTIFS(nrES_PID,$D1051,nrES_Code,$F1051,nrES_Att,2)&gt;0,"Retested",IF(OR($T1051="",NOT(ISNUMBER($T1051))),"Pending",IF(TODAY()&gt;$T1051,"OVERDUE","Due "&amp;TEXT($T1051,"mm/dd")))))</f>
        <v/>
      </c>
      <c r="V1051" s="16" t="n"/>
      <c r="W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K1052=1,IF(COUNTIFS(nrES_PID,$D1052,nrES_Code,$F1052,nrES_Att,2)&gt;0,"",$L1052),IF(COUNTIFS(nrES_PID,$D1052,nrES_Code,$F1052,nrES_Att,1)=0,$L1052,IF($L1052&gt;=$J1052,cfgRetakeRecordedCap,SUMIFS(nrES_Raw,nrES_PID,$D1052,nrES_Code,$F1052,nrES_Att,1))))))</f>
        <v/>
      </c>
      <c r="N1052" s="17">
        <f>IF($C1052="","",IF($L1052="","",IF($L1052&gt;=$J1052,"Yes","No")))</f>
        <v/>
      </c>
      <c r="O1052" s="17">
        <f>IF($C1052="","",IF($M1052="","",IF($M1052&gt;=$J1052,"Yes","No")))</f>
        <v/>
      </c>
      <c r="P1052" s="17">
        <f>IF($C1052="","",IF($K1052="","",IF(COUNTIFS(nrES_PID,$D1052,nrES_Code,$F1052,nrES_Att,"&gt;"&amp;$K1052)=0,"Yes","No")))</f>
        <v/>
      </c>
      <c r="Q1052" s="17">
        <f>IF($C1052="","",IF($L1052="","",IF(AND($K1052=1,$L1052&lt;$J1052,COUNTIFS(nrES_PID,$D1052,nrES_Code,$F1052,nrES_Att,2)=0),"Yes","No")))</f>
        <v/>
      </c>
      <c r="R1052" s="17">
        <f>IF($C1052="","",IF($L1052="","",IF(AND($K1052=2,$L1052&lt;$J1052,COUNTIFS(nrES_PID,$D1052,nrES_Code,$F1052,nrES_Att,1)&gt;0),"Yes","No")))</f>
        <v/>
      </c>
      <c r="S1052" s="18" t="n"/>
      <c r="T1052" s="19">
        <f>IF($Q1052&lt;&gt;"Yes","",IF($S1052="","(enter date)",_xlfn.LET(_xlpm.dn,IFERROR(_xlfn.XLOOKUP($S1052,nrCDdate,nrCDnum),""),IF(_xlpm.dn="","(not a class day)",IFERROR(_xlfn.XLOOKUP(_xlpm.dn+cfgRetestClassDays,nrCDnum,nrCDdate),"")))))</f>
        <v/>
      </c>
      <c r="U1052" s="17">
        <f>IF($Q1052&lt;&gt;"Yes","",IF(COUNTIFS(nrES_PID,$D1052,nrES_Code,$F1052,nrES_Att,2)&gt;0,"Retested",IF(OR($T1052="",NOT(ISNUMBER($T1052))),"Pending",IF(TODAY()&gt;$T1052,"OVERDUE","Due "&amp;TEXT($T1052,"mm/dd")))))</f>
        <v/>
      </c>
      <c r="V1052" s="16" t="n"/>
      <c r="W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K1053=1,IF(COUNTIFS(nrES_PID,$D1053,nrES_Code,$F1053,nrES_Att,2)&gt;0,"",$L1053),IF(COUNTIFS(nrES_PID,$D1053,nrES_Code,$F1053,nrES_Att,1)=0,$L1053,IF($L1053&gt;=$J1053,cfgRetakeRecordedCap,SUMIFS(nrES_Raw,nrES_PID,$D1053,nrES_Code,$F1053,nrES_Att,1))))))</f>
        <v/>
      </c>
      <c r="N1053" s="17">
        <f>IF($C1053="","",IF($L1053="","",IF($L1053&gt;=$J1053,"Yes","No")))</f>
        <v/>
      </c>
      <c r="O1053" s="17">
        <f>IF($C1053="","",IF($M1053="","",IF($M1053&gt;=$J1053,"Yes","No")))</f>
        <v/>
      </c>
      <c r="P1053" s="17">
        <f>IF($C1053="","",IF($K1053="","",IF(COUNTIFS(nrES_PID,$D1053,nrES_Code,$F1053,nrES_Att,"&gt;"&amp;$K1053)=0,"Yes","No")))</f>
        <v/>
      </c>
      <c r="Q1053" s="17">
        <f>IF($C1053="","",IF($L1053="","",IF(AND($K1053=1,$L1053&lt;$J1053,COUNTIFS(nrES_PID,$D1053,nrES_Code,$F1053,nrES_Att,2)=0),"Yes","No")))</f>
        <v/>
      </c>
      <c r="R1053" s="17">
        <f>IF($C1053="","",IF($L1053="","",IF(AND($K1053=2,$L1053&lt;$J1053,COUNTIFS(nrES_PID,$D1053,nrES_Code,$F1053,nrES_Att,1)&gt;0),"Yes","No")))</f>
        <v/>
      </c>
      <c r="S1053" s="18" t="n"/>
      <c r="T1053" s="19">
        <f>IF($Q1053&lt;&gt;"Yes","",IF($S1053="","(enter date)",_xlfn.LET(_xlpm.dn,IFERROR(_xlfn.XLOOKUP($S1053,nrCDdate,nrCDnum),""),IF(_xlpm.dn="","(not a class day)",IFERROR(_xlfn.XLOOKUP(_xlpm.dn+cfgRetestClassDays,nrCDnum,nrCDdate),"")))))</f>
        <v/>
      </c>
      <c r="U1053" s="17">
        <f>IF($Q1053&lt;&gt;"Yes","",IF(COUNTIFS(nrES_PID,$D1053,nrES_Code,$F1053,nrES_Att,2)&gt;0,"Retested",IF(OR($T1053="",NOT(ISNUMBER($T1053))),"Pending",IF(TODAY()&gt;$T1053,"OVERDUE","Due "&amp;TEXT($T1053,"mm/dd")))))</f>
        <v/>
      </c>
      <c r="V1053" s="16" t="n"/>
      <c r="W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K1054=1,IF(COUNTIFS(nrES_PID,$D1054,nrES_Code,$F1054,nrES_Att,2)&gt;0,"",$L1054),IF(COUNTIFS(nrES_PID,$D1054,nrES_Code,$F1054,nrES_Att,1)=0,$L1054,IF($L1054&gt;=$J1054,cfgRetakeRecordedCap,SUMIFS(nrES_Raw,nrES_PID,$D1054,nrES_Code,$F1054,nrES_Att,1))))))</f>
        <v/>
      </c>
      <c r="N1054" s="17">
        <f>IF($C1054="","",IF($L1054="","",IF($L1054&gt;=$J1054,"Yes","No")))</f>
        <v/>
      </c>
      <c r="O1054" s="17">
        <f>IF($C1054="","",IF($M1054="","",IF($M1054&gt;=$J1054,"Yes","No")))</f>
        <v/>
      </c>
      <c r="P1054" s="17">
        <f>IF($C1054="","",IF($K1054="","",IF(COUNTIFS(nrES_PID,$D1054,nrES_Code,$F1054,nrES_Att,"&gt;"&amp;$K1054)=0,"Yes","No")))</f>
        <v/>
      </c>
      <c r="Q1054" s="17">
        <f>IF($C1054="","",IF($L1054="","",IF(AND($K1054=1,$L1054&lt;$J1054,COUNTIFS(nrES_PID,$D1054,nrES_Code,$F1054,nrES_Att,2)=0),"Yes","No")))</f>
        <v/>
      </c>
      <c r="R1054" s="17">
        <f>IF($C1054="","",IF($L1054="","",IF(AND($K1054=2,$L1054&lt;$J1054,COUNTIFS(nrES_PID,$D1054,nrES_Code,$F1054,nrES_Att,1)&gt;0),"Yes","No")))</f>
        <v/>
      </c>
      <c r="S1054" s="18" t="n"/>
      <c r="T1054" s="19">
        <f>IF($Q1054&lt;&gt;"Yes","",IF($S1054="","(enter date)",_xlfn.LET(_xlpm.dn,IFERROR(_xlfn.XLOOKUP($S1054,nrCDdate,nrCDnum),""),IF(_xlpm.dn="","(not a class day)",IFERROR(_xlfn.XLOOKUP(_xlpm.dn+cfgRetestClassDays,nrCDnum,nrCDdate),"")))))</f>
        <v/>
      </c>
      <c r="U1054" s="17">
        <f>IF($Q1054&lt;&gt;"Yes","",IF(COUNTIFS(nrES_PID,$D1054,nrES_Code,$F1054,nrES_Att,2)&gt;0,"Retested",IF(OR($T1054="",NOT(ISNUMBER($T1054))),"Pending",IF(TODAY()&gt;$T1054,"OVERDUE","Due "&amp;TEXT($T1054,"mm/dd")))))</f>
        <v/>
      </c>
      <c r="V1054" s="16" t="n"/>
      <c r="W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K1055=1,IF(COUNTIFS(nrES_PID,$D1055,nrES_Code,$F1055,nrES_Att,2)&gt;0,"",$L1055),IF(COUNTIFS(nrES_PID,$D1055,nrES_Code,$F1055,nrES_Att,1)=0,$L1055,IF($L1055&gt;=$J1055,cfgRetakeRecordedCap,SUMIFS(nrES_Raw,nrES_PID,$D1055,nrES_Code,$F1055,nrES_Att,1))))))</f>
        <v/>
      </c>
      <c r="N1055" s="17">
        <f>IF($C1055="","",IF($L1055="","",IF($L1055&gt;=$J1055,"Yes","No")))</f>
        <v/>
      </c>
      <c r="O1055" s="17">
        <f>IF($C1055="","",IF($M1055="","",IF($M1055&gt;=$J1055,"Yes","No")))</f>
        <v/>
      </c>
      <c r="P1055" s="17">
        <f>IF($C1055="","",IF($K1055="","",IF(COUNTIFS(nrES_PID,$D1055,nrES_Code,$F1055,nrES_Att,"&gt;"&amp;$K1055)=0,"Yes","No")))</f>
        <v/>
      </c>
      <c r="Q1055" s="17">
        <f>IF($C1055="","",IF($L1055="","",IF(AND($K1055=1,$L1055&lt;$J1055,COUNTIFS(nrES_PID,$D1055,nrES_Code,$F1055,nrES_Att,2)=0),"Yes","No")))</f>
        <v/>
      </c>
      <c r="R1055" s="17">
        <f>IF($C1055="","",IF($L1055="","",IF(AND($K1055=2,$L1055&lt;$J1055,COUNTIFS(nrES_PID,$D1055,nrES_Code,$F1055,nrES_Att,1)&gt;0),"Yes","No")))</f>
        <v/>
      </c>
      <c r="S1055" s="18" t="n"/>
      <c r="T1055" s="19">
        <f>IF($Q1055&lt;&gt;"Yes","",IF($S1055="","(enter date)",_xlfn.LET(_xlpm.dn,IFERROR(_xlfn.XLOOKUP($S1055,nrCDdate,nrCDnum),""),IF(_xlpm.dn="","(not a class day)",IFERROR(_xlfn.XLOOKUP(_xlpm.dn+cfgRetestClassDays,nrCDnum,nrCDdate),"")))))</f>
        <v/>
      </c>
      <c r="U1055" s="17">
        <f>IF($Q1055&lt;&gt;"Yes","",IF(COUNTIFS(nrES_PID,$D1055,nrES_Code,$F1055,nrES_Att,2)&gt;0,"Retested",IF(OR($T1055="",NOT(ISNUMBER($T1055))),"Pending",IF(TODAY()&gt;$T1055,"OVERDUE","Due "&amp;TEXT($T1055,"mm/dd")))))</f>
        <v/>
      </c>
      <c r="V1055" s="16" t="n"/>
      <c r="W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K1056=1,IF(COUNTIFS(nrES_PID,$D1056,nrES_Code,$F1056,nrES_Att,2)&gt;0,"",$L1056),IF(COUNTIFS(nrES_PID,$D1056,nrES_Code,$F1056,nrES_Att,1)=0,$L1056,IF($L1056&gt;=$J1056,cfgRetakeRecordedCap,SUMIFS(nrES_Raw,nrES_PID,$D1056,nrES_Code,$F1056,nrES_Att,1))))))</f>
        <v/>
      </c>
      <c r="N1056" s="17">
        <f>IF($C1056="","",IF($L1056="","",IF($L1056&gt;=$J1056,"Yes","No")))</f>
        <v/>
      </c>
      <c r="O1056" s="17">
        <f>IF($C1056="","",IF($M1056="","",IF($M1056&gt;=$J1056,"Yes","No")))</f>
        <v/>
      </c>
      <c r="P1056" s="17">
        <f>IF($C1056="","",IF($K1056="","",IF(COUNTIFS(nrES_PID,$D1056,nrES_Code,$F1056,nrES_Att,"&gt;"&amp;$K1056)=0,"Yes","No")))</f>
        <v/>
      </c>
      <c r="Q1056" s="17">
        <f>IF($C1056="","",IF($L1056="","",IF(AND($K1056=1,$L1056&lt;$J1056,COUNTIFS(nrES_PID,$D1056,nrES_Code,$F1056,nrES_Att,2)=0),"Yes","No")))</f>
        <v/>
      </c>
      <c r="R1056" s="17">
        <f>IF($C1056="","",IF($L1056="","",IF(AND($K1056=2,$L1056&lt;$J1056,COUNTIFS(nrES_PID,$D1056,nrES_Code,$F1056,nrES_Att,1)&gt;0),"Yes","No")))</f>
        <v/>
      </c>
      <c r="S1056" s="18" t="n"/>
      <c r="T1056" s="19">
        <f>IF($Q1056&lt;&gt;"Yes","",IF($S1056="","(enter date)",_xlfn.LET(_xlpm.dn,IFERROR(_xlfn.XLOOKUP($S1056,nrCDdate,nrCDnum),""),IF(_xlpm.dn="","(not a class day)",IFERROR(_xlfn.XLOOKUP(_xlpm.dn+cfgRetestClassDays,nrCDnum,nrCDdate),"")))))</f>
        <v/>
      </c>
      <c r="U1056" s="17">
        <f>IF($Q1056&lt;&gt;"Yes","",IF(COUNTIFS(nrES_PID,$D1056,nrES_Code,$F1056,nrES_Att,2)&gt;0,"Retested",IF(OR($T1056="",NOT(ISNUMBER($T1056))),"Pending",IF(TODAY()&gt;$T1056,"OVERDUE","Due "&amp;TEXT($T1056,"mm/dd")))))</f>
        <v/>
      </c>
      <c r="V1056" s="16" t="n"/>
      <c r="W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K1057=1,IF(COUNTIFS(nrES_PID,$D1057,nrES_Code,$F1057,nrES_Att,2)&gt;0,"",$L1057),IF(COUNTIFS(nrES_PID,$D1057,nrES_Code,$F1057,nrES_Att,1)=0,$L1057,IF($L1057&gt;=$J1057,cfgRetakeRecordedCap,SUMIFS(nrES_Raw,nrES_PID,$D1057,nrES_Code,$F1057,nrES_Att,1))))))</f>
        <v/>
      </c>
      <c r="N1057" s="17">
        <f>IF($C1057="","",IF($L1057="","",IF($L1057&gt;=$J1057,"Yes","No")))</f>
        <v/>
      </c>
      <c r="O1057" s="17">
        <f>IF($C1057="","",IF($M1057="","",IF($M1057&gt;=$J1057,"Yes","No")))</f>
        <v/>
      </c>
      <c r="P1057" s="17">
        <f>IF($C1057="","",IF($K1057="","",IF(COUNTIFS(nrES_PID,$D1057,nrES_Code,$F1057,nrES_Att,"&gt;"&amp;$K1057)=0,"Yes","No")))</f>
        <v/>
      </c>
      <c r="Q1057" s="17">
        <f>IF($C1057="","",IF($L1057="","",IF(AND($K1057=1,$L1057&lt;$J1057,COUNTIFS(nrES_PID,$D1057,nrES_Code,$F1057,nrES_Att,2)=0),"Yes","No")))</f>
        <v/>
      </c>
      <c r="R1057" s="17">
        <f>IF($C1057="","",IF($L1057="","",IF(AND($K1057=2,$L1057&lt;$J1057,COUNTIFS(nrES_PID,$D1057,nrES_Code,$F1057,nrES_Att,1)&gt;0),"Yes","No")))</f>
        <v/>
      </c>
      <c r="S1057" s="18" t="n"/>
      <c r="T1057" s="19">
        <f>IF($Q1057&lt;&gt;"Yes","",IF($S1057="","(enter date)",_xlfn.LET(_xlpm.dn,IFERROR(_xlfn.XLOOKUP($S1057,nrCDdate,nrCDnum),""),IF(_xlpm.dn="","(not a class day)",IFERROR(_xlfn.XLOOKUP(_xlpm.dn+cfgRetestClassDays,nrCDnum,nrCDdate),"")))))</f>
        <v/>
      </c>
      <c r="U1057" s="17">
        <f>IF($Q1057&lt;&gt;"Yes","",IF(COUNTIFS(nrES_PID,$D1057,nrES_Code,$F1057,nrES_Att,2)&gt;0,"Retested",IF(OR($T1057="",NOT(ISNUMBER($T1057))),"Pending",IF(TODAY()&gt;$T1057,"OVERDUE","Due "&amp;TEXT($T1057,"mm/dd")))))</f>
        <v/>
      </c>
      <c r="V1057" s="16" t="n"/>
      <c r="W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K1058=1,IF(COUNTIFS(nrES_PID,$D1058,nrES_Code,$F1058,nrES_Att,2)&gt;0,"",$L1058),IF(COUNTIFS(nrES_PID,$D1058,nrES_Code,$F1058,nrES_Att,1)=0,$L1058,IF($L1058&gt;=$J1058,cfgRetakeRecordedCap,SUMIFS(nrES_Raw,nrES_PID,$D1058,nrES_Code,$F1058,nrES_Att,1))))))</f>
        <v/>
      </c>
      <c r="N1058" s="17">
        <f>IF($C1058="","",IF($L1058="","",IF($L1058&gt;=$J1058,"Yes","No")))</f>
        <v/>
      </c>
      <c r="O1058" s="17">
        <f>IF($C1058="","",IF($M1058="","",IF($M1058&gt;=$J1058,"Yes","No")))</f>
        <v/>
      </c>
      <c r="P1058" s="17">
        <f>IF($C1058="","",IF($K1058="","",IF(COUNTIFS(nrES_PID,$D1058,nrES_Code,$F1058,nrES_Att,"&gt;"&amp;$K1058)=0,"Yes","No")))</f>
        <v/>
      </c>
      <c r="Q1058" s="17">
        <f>IF($C1058="","",IF($L1058="","",IF(AND($K1058=1,$L1058&lt;$J1058,COUNTIFS(nrES_PID,$D1058,nrES_Code,$F1058,nrES_Att,2)=0),"Yes","No")))</f>
        <v/>
      </c>
      <c r="R1058" s="17">
        <f>IF($C1058="","",IF($L1058="","",IF(AND($K1058=2,$L1058&lt;$J1058,COUNTIFS(nrES_PID,$D1058,nrES_Code,$F1058,nrES_Att,1)&gt;0),"Yes","No")))</f>
        <v/>
      </c>
      <c r="S1058" s="18" t="n"/>
      <c r="T1058" s="19">
        <f>IF($Q1058&lt;&gt;"Yes","",IF($S1058="","(enter date)",_xlfn.LET(_xlpm.dn,IFERROR(_xlfn.XLOOKUP($S1058,nrCDdate,nrCDnum),""),IF(_xlpm.dn="","(not a class day)",IFERROR(_xlfn.XLOOKUP(_xlpm.dn+cfgRetestClassDays,nrCDnum,nrCDdate),"")))))</f>
        <v/>
      </c>
      <c r="U1058" s="17">
        <f>IF($Q1058&lt;&gt;"Yes","",IF(COUNTIFS(nrES_PID,$D1058,nrES_Code,$F1058,nrES_Att,2)&gt;0,"Retested",IF(OR($T1058="",NOT(ISNUMBER($T1058))),"Pending",IF(TODAY()&gt;$T1058,"OVERDUE","Due "&amp;TEXT($T1058,"mm/dd")))))</f>
        <v/>
      </c>
      <c r="V1058" s="16" t="n"/>
      <c r="W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K1059=1,IF(COUNTIFS(nrES_PID,$D1059,nrES_Code,$F1059,nrES_Att,2)&gt;0,"",$L1059),IF(COUNTIFS(nrES_PID,$D1059,nrES_Code,$F1059,nrES_Att,1)=0,$L1059,IF($L1059&gt;=$J1059,cfgRetakeRecordedCap,SUMIFS(nrES_Raw,nrES_PID,$D1059,nrES_Code,$F1059,nrES_Att,1))))))</f>
        <v/>
      </c>
      <c r="N1059" s="17">
        <f>IF($C1059="","",IF($L1059="","",IF($L1059&gt;=$J1059,"Yes","No")))</f>
        <v/>
      </c>
      <c r="O1059" s="17">
        <f>IF($C1059="","",IF($M1059="","",IF($M1059&gt;=$J1059,"Yes","No")))</f>
        <v/>
      </c>
      <c r="P1059" s="17">
        <f>IF($C1059="","",IF($K1059="","",IF(COUNTIFS(nrES_PID,$D1059,nrES_Code,$F1059,nrES_Att,"&gt;"&amp;$K1059)=0,"Yes","No")))</f>
        <v/>
      </c>
      <c r="Q1059" s="17">
        <f>IF($C1059="","",IF($L1059="","",IF(AND($K1059=1,$L1059&lt;$J1059,COUNTIFS(nrES_PID,$D1059,nrES_Code,$F1059,nrES_Att,2)=0),"Yes","No")))</f>
        <v/>
      </c>
      <c r="R1059" s="17">
        <f>IF($C1059="","",IF($L1059="","",IF(AND($K1059=2,$L1059&lt;$J1059,COUNTIFS(nrES_PID,$D1059,nrES_Code,$F1059,nrES_Att,1)&gt;0),"Yes","No")))</f>
        <v/>
      </c>
      <c r="S1059" s="18" t="n"/>
      <c r="T1059" s="19">
        <f>IF($Q1059&lt;&gt;"Yes","",IF($S1059="","(enter date)",_xlfn.LET(_xlpm.dn,IFERROR(_xlfn.XLOOKUP($S1059,nrCDdate,nrCDnum),""),IF(_xlpm.dn="","(not a class day)",IFERROR(_xlfn.XLOOKUP(_xlpm.dn+cfgRetestClassDays,nrCDnum,nrCDdate),"")))))</f>
        <v/>
      </c>
      <c r="U1059" s="17">
        <f>IF($Q1059&lt;&gt;"Yes","",IF(COUNTIFS(nrES_PID,$D1059,nrES_Code,$F1059,nrES_Att,2)&gt;0,"Retested",IF(OR($T1059="",NOT(ISNUMBER($T1059))),"Pending",IF(TODAY()&gt;$T1059,"OVERDUE","Due "&amp;TEXT($T1059,"mm/dd")))))</f>
        <v/>
      </c>
      <c r="V1059" s="16" t="n"/>
      <c r="W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K1060=1,IF(COUNTIFS(nrES_PID,$D1060,nrES_Code,$F1060,nrES_Att,2)&gt;0,"",$L1060),IF(COUNTIFS(nrES_PID,$D1060,nrES_Code,$F1060,nrES_Att,1)=0,$L1060,IF($L1060&gt;=$J1060,cfgRetakeRecordedCap,SUMIFS(nrES_Raw,nrES_PID,$D1060,nrES_Code,$F1060,nrES_Att,1))))))</f>
        <v/>
      </c>
      <c r="N1060" s="17">
        <f>IF($C1060="","",IF($L1060="","",IF($L1060&gt;=$J1060,"Yes","No")))</f>
        <v/>
      </c>
      <c r="O1060" s="17">
        <f>IF($C1060="","",IF($M1060="","",IF($M1060&gt;=$J1060,"Yes","No")))</f>
        <v/>
      </c>
      <c r="P1060" s="17">
        <f>IF($C1060="","",IF($K1060="","",IF(COUNTIFS(nrES_PID,$D1060,nrES_Code,$F1060,nrES_Att,"&gt;"&amp;$K1060)=0,"Yes","No")))</f>
        <v/>
      </c>
      <c r="Q1060" s="17">
        <f>IF($C1060="","",IF($L1060="","",IF(AND($K1060=1,$L1060&lt;$J1060,COUNTIFS(nrES_PID,$D1060,nrES_Code,$F1060,nrES_Att,2)=0),"Yes","No")))</f>
        <v/>
      </c>
      <c r="R1060" s="17">
        <f>IF($C1060="","",IF($L1060="","",IF(AND($K1060=2,$L1060&lt;$J1060,COUNTIFS(nrES_PID,$D1060,nrES_Code,$F1060,nrES_Att,1)&gt;0),"Yes","No")))</f>
        <v/>
      </c>
      <c r="S1060" s="18" t="n"/>
      <c r="T1060" s="19">
        <f>IF($Q1060&lt;&gt;"Yes","",IF($S1060="","(enter date)",_xlfn.LET(_xlpm.dn,IFERROR(_xlfn.XLOOKUP($S1060,nrCDdate,nrCDnum),""),IF(_xlpm.dn="","(not a class day)",IFERROR(_xlfn.XLOOKUP(_xlpm.dn+cfgRetestClassDays,nrCDnum,nrCDdate),"")))))</f>
        <v/>
      </c>
      <c r="U1060" s="17">
        <f>IF($Q1060&lt;&gt;"Yes","",IF(COUNTIFS(nrES_PID,$D1060,nrES_Code,$F1060,nrES_Att,2)&gt;0,"Retested",IF(OR($T1060="",NOT(ISNUMBER($T1060))),"Pending",IF(TODAY()&gt;$T1060,"OVERDUE","Due "&amp;TEXT($T1060,"mm/dd")))))</f>
        <v/>
      </c>
      <c r="V1060" s="16" t="n"/>
      <c r="W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K1061=1,IF(COUNTIFS(nrES_PID,$D1061,nrES_Code,$F1061,nrES_Att,2)&gt;0,"",$L1061),IF(COUNTIFS(nrES_PID,$D1061,nrES_Code,$F1061,nrES_Att,1)=0,$L1061,IF($L1061&gt;=$J1061,cfgRetakeRecordedCap,SUMIFS(nrES_Raw,nrES_PID,$D1061,nrES_Code,$F1061,nrES_Att,1))))))</f>
        <v/>
      </c>
      <c r="N1061" s="17">
        <f>IF($C1061="","",IF($L1061="","",IF($L1061&gt;=$J1061,"Yes","No")))</f>
        <v/>
      </c>
      <c r="O1061" s="17">
        <f>IF($C1061="","",IF($M1061="","",IF($M1061&gt;=$J1061,"Yes","No")))</f>
        <v/>
      </c>
      <c r="P1061" s="17">
        <f>IF($C1061="","",IF($K1061="","",IF(COUNTIFS(nrES_PID,$D1061,nrES_Code,$F1061,nrES_Att,"&gt;"&amp;$K1061)=0,"Yes","No")))</f>
        <v/>
      </c>
      <c r="Q1061" s="17">
        <f>IF($C1061="","",IF($L1061="","",IF(AND($K1061=1,$L1061&lt;$J1061,COUNTIFS(nrES_PID,$D1061,nrES_Code,$F1061,nrES_Att,2)=0),"Yes","No")))</f>
        <v/>
      </c>
      <c r="R1061" s="17">
        <f>IF($C1061="","",IF($L1061="","",IF(AND($K1061=2,$L1061&lt;$J1061,COUNTIFS(nrES_PID,$D1061,nrES_Code,$F1061,nrES_Att,1)&gt;0),"Yes","No")))</f>
        <v/>
      </c>
      <c r="S1061" s="18" t="n"/>
      <c r="T1061" s="19">
        <f>IF($Q1061&lt;&gt;"Yes","",IF($S1061="","(enter date)",_xlfn.LET(_xlpm.dn,IFERROR(_xlfn.XLOOKUP($S1061,nrCDdate,nrCDnum),""),IF(_xlpm.dn="","(not a class day)",IFERROR(_xlfn.XLOOKUP(_xlpm.dn+cfgRetestClassDays,nrCDnum,nrCDdate),"")))))</f>
        <v/>
      </c>
      <c r="U1061" s="17">
        <f>IF($Q1061&lt;&gt;"Yes","",IF(COUNTIFS(nrES_PID,$D1061,nrES_Code,$F1061,nrES_Att,2)&gt;0,"Retested",IF(OR($T1061="",NOT(ISNUMBER($T1061))),"Pending",IF(TODAY()&gt;$T1061,"OVERDUE","Due "&amp;TEXT($T1061,"mm/dd")))))</f>
        <v/>
      </c>
      <c r="V1061" s="16" t="n"/>
      <c r="W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K1062=1,IF(COUNTIFS(nrES_PID,$D1062,nrES_Code,$F1062,nrES_Att,2)&gt;0,"",$L1062),IF(COUNTIFS(nrES_PID,$D1062,nrES_Code,$F1062,nrES_Att,1)=0,$L1062,IF($L1062&gt;=$J1062,cfgRetakeRecordedCap,SUMIFS(nrES_Raw,nrES_PID,$D1062,nrES_Code,$F1062,nrES_Att,1))))))</f>
        <v/>
      </c>
      <c r="N1062" s="17">
        <f>IF($C1062="","",IF($L1062="","",IF($L1062&gt;=$J1062,"Yes","No")))</f>
        <v/>
      </c>
      <c r="O1062" s="17">
        <f>IF($C1062="","",IF($M1062="","",IF($M1062&gt;=$J1062,"Yes","No")))</f>
        <v/>
      </c>
      <c r="P1062" s="17">
        <f>IF($C1062="","",IF($K1062="","",IF(COUNTIFS(nrES_PID,$D1062,nrES_Code,$F1062,nrES_Att,"&gt;"&amp;$K1062)=0,"Yes","No")))</f>
        <v/>
      </c>
      <c r="Q1062" s="17">
        <f>IF($C1062="","",IF($L1062="","",IF(AND($K1062=1,$L1062&lt;$J1062,COUNTIFS(nrES_PID,$D1062,nrES_Code,$F1062,nrES_Att,2)=0),"Yes","No")))</f>
        <v/>
      </c>
      <c r="R1062" s="17">
        <f>IF($C1062="","",IF($L1062="","",IF(AND($K1062=2,$L1062&lt;$J1062,COUNTIFS(nrES_PID,$D1062,nrES_Code,$F1062,nrES_Att,1)&gt;0),"Yes","No")))</f>
        <v/>
      </c>
      <c r="S1062" s="18" t="n"/>
      <c r="T1062" s="19">
        <f>IF($Q1062&lt;&gt;"Yes","",IF($S1062="","(enter date)",_xlfn.LET(_xlpm.dn,IFERROR(_xlfn.XLOOKUP($S1062,nrCDdate,nrCDnum),""),IF(_xlpm.dn="","(not a class day)",IFERROR(_xlfn.XLOOKUP(_xlpm.dn+cfgRetestClassDays,nrCDnum,nrCDdate),"")))))</f>
        <v/>
      </c>
      <c r="U1062" s="17">
        <f>IF($Q1062&lt;&gt;"Yes","",IF(COUNTIFS(nrES_PID,$D1062,nrES_Code,$F1062,nrES_Att,2)&gt;0,"Retested",IF(OR($T1062="",NOT(ISNUMBER($T1062))),"Pending",IF(TODAY()&gt;$T1062,"OVERDUE","Due "&amp;TEXT($T1062,"mm/dd")))))</f>
        <v/>
      </c>
      <c r="V1062" s="16" t="n"/>
      <c r="W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K1063=1,IF(COUNTIFS(nrES_PID,$D1063,nrES_Code,$F1063,nrES_Att,2)&gt;0,"",$L1063),IF(COUNTIFS(nrES_PID,$D1063,nrES_Code,$F1063,nrES_Att,1)=0,$L1063,IF($L1063&gt;=$J1063,cfgRetakeRecordedCap,SUMIFS(nrES_Raw,nrES_PID,$D1063,nrES_Code,$F1063,nrES_Att,1))))))</f>
        <v/>
      </c>
      <c r="N1063" s="17">
        <f>IF($C1063="","",IF($L1063="","",IF($L1063&gt;=$J1063,"Yes","No")))</f>
        <v/>
      </c>
      <c r="O1063" s="17">
        <f>IF($C1063="","",IF($M1063="","",IF($M1063&gt;=$J1063,"Yes","No")))</f>
        <v/>
      </c>
      <c r="P1063" s="17">
        <f>IF($C1063="","",IF($K1063="","",IF(COUNTIFS(nrES_PID,$D1063,nrES_Code,$F1063,nrES_Att,"&gt;"&amp;$K1063)=0,"Yes","No")))</f>
        <v/>
      </c>
      <c r="Q1063" s="17">
        <f>IF($C1063="","",IF($L1063="","",IF(AND($K1063=1,$L1063&lt;$J1063,COUNTIFS(nrES_PID,$D1063,nrES_Code,$F1063,nrES_Att,2)=0),"Yes","No")))</f>
        <v/>
      </c>
      <c r="R1063" s="17">
        <f>IF($C1063="","",IF($L1063="","",IF(AND($K1063=2,$L1063&lt;$J1063,COUNTIFS(nrES_PID,$D1063,nrES_Code,$F1063,nrES_Att,1)&gt;0),"Yes","No")))</f>
        <v/>
      </c>
      <c r="S1063" s="18" t="n"/>
      <c r="T1063" s="19">
        <f>IF($Q1063&lt;&gt;"Yes","",IF($S1063="","(enter date)",_xlfn.LET(_xlpm.dn,IFERROR(_xlfn.XLOOKUP($S1063,nrCDdate,nrCDnum),""),IF(_xlpm.dn="","(not a class day)",IFERROR(_xlfn.XLOOKUP(_xlpm.dn+cfgRetestClassDays,nrCDnum,nrCDdate),"")))))</f>
        <v/>
      </c>
      <c r="U1063" s="17">
        <f>IF($Q1063&lt;&gt;"Yes","",IF(COUNTIFS(nrES_PID,$D1063,nrES_Code,$F1063,nrES_Att,2)&gt;0,"Retested",IF(OR($T1063="",NOT(ISNUMBER($T1063))),"Pending",IF(TODAY()&gt;$T1063,"OVERDUE","Due "&amp;TEXT($T1063,"mm/dd")))))</f>
        <v/>
      </c>
      <c r="V1063" s="16" t="n"/>
      <c r="W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K1064=1,IF(COUNTIFS(nrES_PID,$D1064,nrES_Code,$F1064,nrES_Att,2)&gt;0,"",$L1064),IF(COUNTIFS(nrES_PID,$D1064,nrES_Code,$F1064,nrES_Att,1)=0,$L1064,IF($L1064&gt;=$J1064,cfgRetakeRecordedCap,SUMIFS(nrES_Raw,nrES_PID,$D1064,nrES_Code,$F1064,nrES_Att,1))))))</f>
        <v/>
      </c>
      <c r="N1064" s="17">
        <f>IF($C1064="","",IF($L1064="","",IF($L1064&gt;=$J1064,"Yes","No")))</f>
        <v/>
      </c>
      <c r="O1064" s="17">
        <f>IF($C1064="","",IF($M1064="","",IF($M1064&gt;=$J1064,"Yes","No")))</f>
        <v/>
      </c>
      <c r="P1064" s="17">
        <f>IF($C1064="","",IF($K1064="","",IF(COUNTIFS(nrES_PID,$D1064,nrES_Code,$F1064,nrES_Att,"&gt;"&amp;$K1064)=0,"Yes","No")))</f>
        <v/>
      </c>
      <c r="Q1064" s="17">
        <f>IF($C1064="","",IF($L1064="","",IF(AND($K1064=1,$L1064&lt;$J1064,COUNTIFS(nrES_PID,$D1064,nrES_Code,$F1064,nrES_Att,2)=0),"Yes","No")))</f>
        <v/>
      </c>
      <c r="R1064" s="17">
        <f>IF($C1064="","",IF($L1064="","",IF(AND($K1064=2,$L1064&lt;$J1064,COUNTIFS(nrES_PID,$D1064,nrES_Code,$F1064,nrES_Att,1)&gt;0),"Yes","No")))</f>
        <v/>
      </c>
      <c r="S1064" s="18" t="n"/>
      <c r="T1064" s="19">
        <f>IF($Q1064&lt;&gt;"Yes","",IF($S1064="","(enter date)",_xlfn.LET(_xlpm.dn,IFERROR(_xlfn.XLOOKUP($S1064,nrCDdate,nrCDnum),""),IF(_xlpm.dn="","(not a class day)",IFERROR(_xlfn.XLOOKUP(_xlpm.dn+cfgRetestClassDays,nrCDnum,nrCDdate),"")))))</f>
        <v/>
      </c>
      <c r="U1064" s="17">
        <f>IF($Q1064&lt;&gt;"Yes","",IF(COUNTIFS(nrES_PID,$D1064,nrES_Code,$F1064,nrES_Att,2)&gt;0,"Retested",IF(OR($T1064="",NOT(ISNUMBER($T1064))),"Pending",IF(TODAY()&gt;$T1064,"OVERDUE","Due "&amp;TEXT($T1064,"mm/dd")))))</f>
        <v/>
      </c>
      <c r="V1064" s="16" t="n"/>
      <c r="W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K1065=1,IF(COUNTIFS(nrES_PID,$D1065,nrES_Code,$F1065,nrES_Att,2)&gt;0,"",$L1065),IF(COUNTIFS(nrES_PID,$D1065,nrES_Code,$F1065,nrES_Att,1)=0,$L1065,IF($L1065&gt;=$J1065,cfgRetakeRecordedCap,SUMIFS(nrES_Raw,nrES_PID,$D1065,nrES_Code,$F1065,nrES_Att,1))))))</f>
        <v/>
      </c>
      <c r="N1065" s="17">
        <f>IF($C1065="","",IF($L1065="","",IF($L1065&gt;=$J1065,"Yes","No")))</f>
        <v/>
      </c>
      <c r="O1065" s="17">
        <f>IF($C1065="","",IF($M1065="","",IF($M1065&gt;=$J1065,"Yes","No")))</f>
        <v/>
      </c>
      <c r="P1065" s="17">
        <f>IF($C1065="","",IF($K1065="","",IF(COUNTIFS(nrES_PID,$D1065,nrES_Code,$F1065,nrES_Att,"&gt;"&amp;$K1065)=0,"Yes","No")))</f>
        <v/>
      </c>
      <c r="Q1065" s="17">
        <f>IF($C1065="","",IF($L1065="","",IF(AND($K1065=1,$L1065&lt;$J1065,COUNTIFS(nrES_PID,$D1065,nrES_Code,$F1065,nrES_Att,2)=0),"Yes","No")))</f>
        <v/>
      </c>
      <c r="R1065" s="17">
        <f>IF($C1065="","",IF($L1065="","",IF(AND($K1065=2,$L1065&lt;$J1065,COUNTIFS(nrES_PID,$D1065,nrES_Code,$F1065,nrES_Att,1)&gt;0),"Yes","No")))</f>
        <v/>
      </c>
      <c r="S1065" s="18" t="n"/>
      <c r="T1065" s="19">
        <f>IF($Q1065&lt;&gt;"Yes","",IF($S1065="","(enter date)",_xlfn.LET(_xlpm.dn,IFERROR(_xlfn.XLOOKUP($S1065,nrCDdate,nrCDnum),""),IF(_xlpm.dn="","(not a class day)",IFERROR(_xlfn.XLOOKUP(_xlpm.dn+cfgRetestClassDays,nrCDnum,nrCDdate),"")))))</f>
        <v/>
      </c>
      <c r="U1065" s="17">
        <f>IF($Q1065&lt;&gt;"Yes","",IF(COUNTIFS(nrES_PID,$D1065,nrES_Code,$F1065,nrES_Att,2)&gt;0,"Retested",IF(OR($T1065="",NOT(ISNUMBER($T1065))),"Pending",IF(TODAY()&gt;$T1065,"OVERDUE","Due "&amp;TEXT($T1065,"mm/dd")))))</f>
        <v/>
      </c>
      <c r="V1065" s="16" t="n"/>
      <c r="W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K1066=1,IF(COUNTIFS(nrES_PID,$D1066,nrES_Code,$F1066,nrES_Att,2)&gt;0,"",$L1066),IF(COUNTIFS(nrES_PID,$D1066,nrES_Code,$F1066,nrES_Att,1)=0,$L1066,IF($L1066&gt;=$J1066,cfgRetakeRecordedCap,SUMIFS(nrES_Raw,nrES_PID,$D1066,nrES_Code,$F1066,nrES_Att,1))))))</f>
        <v/>
      </c>
      <c r="N1066" s="17">
        <f>IF($C1066="","",IF($L1066="","",IF($L1066&gt;=$J1066,"Yes","No")))</f>
        <v/>
      </c>
      <c r="O1066" s="17">
        <f>IF($C1066="","",IF($M1066="","",IF($M1066&gt;=$J1066,"Yes","No")))</f>
        <v/>
      </c>
      <c r="P1066" s="17">
        <f>IF($C1066="","",IF($K1066="","",IF(COUNTIFS(nrES_PID,$D1066,nrES_Code,$F1066,nrES_Att,"&gt;"&amp;$K1066)=0,"Yes","No")))</f>
        <v/>
      </c>
      <c r="Q1066" s="17">
        <f>IF($C1066="","",IF($L1066="","",IF(AND($K1066=1,$L1066&lt;$J1066,COUNTIFS(nrES_PID,$D1066,nrES_Code,$F1066,nrES_Att,2)=0),"Yes","No")))</f>
        <v/>
      </c>
      <c r="R1066" s="17">
        <f>IF($C1066="","",IF($L1066="","",IF(AND($K1066=2,$L1066&lt;$J1066,COUNTIFS(nrES_PID,$D1066,nrES_Code,$F1066,nrES_Att,1)&gt;0),"Yes","No")))</f>
        <v/>
      </c>
      <c r="S1066" s="18" t="n"/>
      <c r="T1066" s="19">
        <f>IF($Q1066&lt;&gt;"Yes","",IF($S1066="","(enter date)",_xlfn.LET(_xlpm.dn,IFERROR(_xlfn.XLOOKUP($S1066,nrCDdate,nrCDnum),""),IF(_xlpm.dn="","(not a class day)",IFERROR(_xlfn.XLOOKUP(_xlpm.dn+cfgRetestClassDays,nrCDnum,nrCDdate),"")))))</f>
        <v/>
      </c>
      <c r="U1066" s="17">
        <f>IF($Q1066&lt;&gt;"Yes","",IF(COUNTIFS(nrES_PID,$D1066,nrES_Code,$F1066,nrES_Att,2)&gt;0,"Retested",IF(OR($T1066="",NOT(ISNUMBER($T1066))),"Pending",IF(TODAY()&gt;$T1066,"OVERDUE","Due "&amp;TEXT($T1066,"mm/dd")))))</f>
        <v/>
      </c>
      <c r="V1066" s="16" t="n"/>
      <c r="W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K1067=1,IF(COUNTIFS(nrES_PID,$D1067,nrES_Code,$F1067,nrES_Att,2)&gt;0,"",$L1067),IF(COUNTIFS(nrES_PID,$D1067,nrES_Code,$F1067,nrES_Att,1)=0,$L1067,IF($L1067&gt;=$J1067,cfgRetakeRecordedCap,SUMIFS(nrES_Raw,nrES_PID,$D1067,nrES_Code,$F1067,nrES_Att,1))))))</f>
        <v/>
      </c>
      <c r="N1067" s="17">
        <f>IF($C1067="","",IF($L1067="","",IF($L1067&gt;=$J1067,"Yes","No")))</f>
        <v/>
      </c>
      <c r="O1067" s="17">
        <f>IF($C1067="","",IF($M1067="","",IF($M1067&gt;=$J1067,"Yes","No")))</f>
        <v/>
      </c>
      <c r="P1067" s="17">
        <f>IF($C1067="","",IF($K1067="","",IF(COUNTIFS(nrES_PID,$D1067,nrES_Code,$F1067,nrES_Att,"&gt;"&amp;$K1067)=0,"Yes","No")))</f>
        <v/>
      </c>
      <c r="Q1067" s="17">
        <f>IF($C1067="","",IF($L1067="","",IF(AND($K1067=1,$L1067&lt;$J1067,COUNTIFS(nrES_PID,$D1067,nrES_Code,$F1067,nrES_Att,2)=0),"Yes","No")))</f>
        <v/>
      </c>
      <c r="R1067" s="17">
        <f>IF($C1067="","",IF($L1067="","",IF(AND($K1067=2,$L1067&lt;$J1067,COUNTIFS(nrES_PID,$D1067,nrES_Code,$F1067,nrES_Att,1)&gt;0),"Yes","No")))</f>
        <v/>
      </c>
      <c r="S1067" s="18" t="n"/>
      <c r="T1067" s="19">
        <f>IF($Q1067&lt;&gt;"Yes","",IF($S1067="","(enter date)",_xlfn.LET(_xlpm.dn,IFERROR(_xlfn.XLOOKUP($S1067,nrCDdate,nrCDnum),""),IF(_xlpm.dn="","(not a class day)",IFERROR(_xlfn.XLOOKUP(_xlpm.dn+cfgRetestClassDays,nrCDnum,nrCDdate),"")))))</f>
        <v/>
      </c>
      <c r="U1067" s="17">
        <f>IF($Q1067&lt;&gt;"Yes","",IF(COUNTIFS(nrES_PID,$D1067,nrES_Code,$F1067,nrES_Att,2)&gt;0,"Retested",IF(OR($T1067="",NOT(ISNUMBER($T1067))),"Pending",IF(TODAY()&gt;$T1067,"OVERDUE","Due "&amp;TEXT($T1067,"mm/dd")))))</f>
        <v/>
      </c>
      <c r="V1067" s="16" t="n"/>
      <c r="W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K1068=1,IF(COUNTIFS(nrES_PID,$D1068,nrES_Code,$F1068,nrES_Att,2)&gt;0,"",$L1068),IF(COUNTIFS(nrES_PID,$D1068,nrES_Code,$F1068,nrES_Att,1)=0,$L1068,IF($L1068&gt;=$J1068,cfgRetakeRecordedCap,SUMIFS(nrES_Raw,nrES_PID,$D1068,nrES_Code,$F1068,nrES_Att,1))))))</f>
        <v/>
      </c>
      <c r="N1068" s="17">
        <f>IF($C1068="","",IF($L1068="","",IF($L1068&gt;=$J1068,"Yes","No")))</f>
        <v/>
      </c>
      <c r="O1068" s="17">
        <f>IF($C1068="","",IF($M1068="","",IF($M1068&gt;=$J1068,"Yes","No")))</f>
        <v/>
      </c>
      <c r="P1068" s="17">
        <f>IF($C1068="","",IF($K1068="","",IF(COUNTIFS(nrES_PID,$D1068,nrES_Code,$F1068,nrES_Att,"&gt;"&amp;$K1068)=0,"Yes","No")))</f>
        <v/>
      </c>
      <c r="Q1068" s="17">
        <f>IF($C1068="","",IF($L1068="","",IF(AND($K1068=1,$L1068&lt;$J1068,COUNTIFS(nrES_PID,$D1068,nrES_Code,$F1068,nrES_Att,2)=0),"Yes","No")))</f>
        <v/>
      </c>
      <c r="R1068" s="17">
        <f>IF($C1068="","",IF($L1068="","",IF(AND($K1068=2,$L1068&lt;$J1068,COUNTIFS(nrES_PID,$D1068,nrES_Code,$F1068,nrES_Att,1)&gt;0),"Yes","No")))</f>
        <v/>
      </c>
      <c r="S1068" s="18" t="n"/>
      <c r="T1068" s="19">
        <f>IF($Q1068&lt;&gt;"Yes","",IF($S1068="","(enter date)",_xlfn.LET(_xlpm.dn,IFERROR(_xlfn.XLOOKUP($S1068,nrCDdate,nrCDnum),""),IF(_xlpm.dn="","(not a class day)",IFERROR(_xlfn.XLOOKUP(_xlpm.dn+cfgRetestClassDays,nrCDnum,nrCDdate),"")))))</f>
        <v/>
      </c>
      <c r="U1068" s="17">
        <f>IF($Q1068&lt;&gt;"Yes","",IF(COUNTIFS(nrES_PID,$D1068,nrES_Code,$F1068,nrES_Att,2)&gt;0,"Retested",IF(OR($T1068="",NOT(ISNUMBER($T1068))),"Pending",IF(TODAY()&gt;$T1068,"OVERDUE","Due "&amp;TEXT($T1068,"mm/dd")))))</f>
        <v/>
      </c>
      <c r="V1068" s="16" t="n"/>
      <c r="W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K1069=1,IF(COUNTIFS(nrES_PID,$D1069,nrES_Code,$F1069,nrES_Att,2)&gt;0,"",$L1069),IF(COUNTIFS(nrES_PID,$D1069,nrES_Code,$F1069,nrES_Att,1)=0,$L1069,IF($L1069&gt;=$J1069,cfgRetakeRecordedCap,SUMIFS(nrES_Raw,nrES_PID,$D1069,nrES_Code,$F1069,nrES_Att,1))))))</f>
        <v/>
      </c>
      <c r="N1069" s="17">
        <f>IF($C1069="","",IF($L1069="","",IF($L1069&gt;=$J1069,"Yes","No")))</f>
        <v/>
      </c>
      <c r="O1069" s="17">
        <f>IF($C1069="","",IF($M1069="","",IF($M1069&gt;=$J1069,"Yes","No")))</f>
        <v/>
      </c>
      <c r="P1069" s="17">
        <f>IF($C1069="","",IF($K1069="","",IF(COUNTIFS(nrES_PID,$D1069,nrES_Code,$F1069,nrES_Att,"&gt;"&amp;$K1069)=0,"Yes","No")))</f>
        <v/>
      </c>
      <c r="Q1069" s="17">
        <f>IF($C1069="","",IF($L1069="","",IF(AND($K1069=1,$L1069&lt;$J1069,COUNTIFS(nrES_PID,$D1069,nrES_Code,$F1069,nrES_Att,2)=0),"Yes","No")))</f>
        <v/>
      </c>
      <c r="R1069" s="17">
        <f>IF($C1069="","",IF($L1069="","",IF(AND($K1069=2,$L1069&lt;$J1069,COUNTIFS(nrES_PID,$D1069,nrES_Code,$F1069,nrES_Att,1)&gt;0),"Yes","No")))</f>
        <v/>
      </c>
      <c r="S1069" s="18" t="n"/>
      <c r="T1069" s="19">
        <f>IF($Q1069&lt;&gt;"Yes","",IF($S1069="","(enter date)",_xlfn.LET(_xlpm.dn,IFERROR(_xlfn.XLOOKUP($S1069,nrCDdate,nrCDnum),""),IF(_xlpm.dn="","(not a class day)",IFERROR(_xlfn.XLOOKUP(_xlpm.dn+cfgRetestClassDays,nrCDnum,nrCDdate),"")))))</f>
        <v/>
      </c>
      <c r="U1069" s="17">
        <f>IF($Q1069&lt;&gt;"Yes","",IF(COUNTIFS(nrES_PID,$D1069,nrES_Code,$F1069,nrES_Att,2)&gt;0,"Retested",IF(OR($T1069="",NOT(ISNUMBER($T1069))),"Pending",IF(TODAY()&gt;$T1069,"OVERDUE","Due "&amp;TEXT($T1069,"mm/dd")))))</f>
        <v/>
      </c>
      <c r="V1069" s="16" t="n"/>
      <c r="W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K1070=1,IF(COUNTIFS(nrES_PID,$D1070,nrES_Code,$F1070,nrES_Att,2)&gt;0,"",$L1070),IF(COUNTIFS(nrES_PID,$D1070,nrES_Code,$F1070,nrES_Att,1)=0,$L1070,IF($L1070&gt;=$J1070,cfgRetakeRecordedCap,SUMIFS(nrES_Raw,nrES_PID,$D1070,nrES_Code,$F1070,nrES_Att,1))))))</f>
        <v/>
      </c>
      <c r="N1070" s="17">
        <f>IF($C1070="","",IF($L1070="","",IF($L1070&gt;=$J1070,"Yes","No")))</f>
        <v/>
      </c>
      <c r="O1070" s="17">
        <f>IF($C1070="","",IF($M1070="","",IF($M1070&gt;=$J1070,"Yes","No")))</f>
        <v/>
      </c>
      <c r="P1070" s="17">
        <f>IF($C1070="","",IF($K1070="","",IF(COUNTIFS(nrES_PID,$D1070,nrES_Code,$F1070,nrES_Att,"&gt;"&amp;$K1070)=0,"Yes","No")))</f>
        <v/>
      </c>
      <c r="Q1070" s="17">
        <f>IF($C1070="","",IF($L1070="","",IF(AND($K1070=1,$L1070&lt;$J1070,COUNTIFS(nrES_PID,$D1070,nrES_Code,$F1070,nrES_Att,2)=0),"Yes","No")))</f>
        <v/>
      </c>
      <c r="R1070" s="17">
        <f>IF($C1070="","",IF($L1070="","",IF(AND($K1070=2,$L1070&lt;$J1070,COUNTIFS(nrES_PID,$D1070,nrES_Code,$F1070,nrES_Att,1)&gt;0),"Yes","No")))</f>
        <v/>
      </c>
      <c r="S1070" s="18" t="n"/>
      <c r="T1070" s="19">
        <f>IF($Q1070&lt;&gt;"Yes","",IF($S1070="","(enter date)",_xlfn.LET(_xlpm.dn,IFERROR(_xlfn.XLOOKUP($S1070,nrCDdate,nrCDnum),""),IF(_xlpm.dn="","(not a class day)",IFERROR(_xlfn.XLOOKUP(_xlpm.dn+cfgRetestClassDays,nrCDnum,nrCDdate),"")))))</f>
        <v/>
      </c>
      <c r="U1070" s="17">
        <f>IF($Q1070&lt;&gt;"Yes","",IF(COUNTIFS(nrES_PID,$D1070,nrES_Code,$F1070,nrES_Att,2)&gt;0,"Retested",IF(OR($T1070="",NOT(ISNUMBER($T1070))),"Pending",IF(TODAY()&gt;$T1070,"OVERDUE","Due "&amp;TEXT($T1070,"mm/dd")))))</f>
        <v/>
      </c>
      <c r="V1070" s="16" t="n"/>
      <c r="W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K1071=1,IF(COUNTIFS(nrES_PID,$D1071,nrES_Code,$F1071,nrES_Att,2)&gt;0,"",$L1071),IF(COUNTIFS(nrES_PID,$D1071,nrES_Code,$F1071,nrES_Att,1)=0,$L1071,IF($L1071&gt;=$J1071,cfgRetakeRecordedCap,SUMIFS(nrES_Raw,nrES_PID,$D1071,nrES_Code,$F1071,nrES_Att,1))))))</f>
        <v/>
      </c>
      <c r="N1071" s="17">
        <f>IF($C1071="","",IF($L1071="","",IF($L1071&gt;=$J1071,"Yes","No")))</f>
        <v/>
      </c>
      <c r="O1071" s="17">
        <f>IF($C1071="","",IF($M1071="","",IF($M1071&gt;=$J1071,"Yes","No")))</f>
        <v/>
      </c>
      <c r="P1071" s="17">
        <f>IF($C1071="","",IF($K1071="","",IF(COUNTIFS(nrES_PID,$D1071,nrES_Code,$F1071,nrES_Att,"&gt;"&amp;$K1071)=0,"Yes","No")))</f>
        <v/>
      </c>
      <c r="Q1071" s="17">
        <f>IF($C1071="","",IF($L1071="","",IF(AND($K1071=1,$L1071&lt;$J1071,COUNTIFS(nrES_PID,$D1071,nrES_Code,$F1071,nrES_Att,2)=0),"Yes","No")))</f>
        <v/>
      </c>
      <c r="R1071" s="17">
        <f>IF($C1071="","",IF($L1071="","",IF(AND($K1071=2,$L1071&lt;$J1071,COUNTIFS(nrES_PID,$D1071,nrES_Code,$F1071,nrES_Att,1)&gt;0),"Yes","No")))</f>
        <v/>
      </c>
      <c r="S1071" s="18" t="n"/>
      <c r="T1071" s="19">
        <f>IF($Q1071&lt;&gt;"Yes","",IF($S1071="","(enter date)",_xlfn.LET(_xlpm.dn,IFERROR(_xlfn.XLOOKUP($S1071,nrCDdate,nrCDnum),""),IF(_xlpm.dn="","(not a class day)",IFERROR(_xlfn.XLOOKUP(_xlpm.dn+cfgRetestClassDays,nrCDnum,nrCDdate),"")))))</f>
        <v/>
      </c>
      <c r="U1071" s="17">
        <f>IF($Q1071&lt;&gt;"Yes","",IF(COUNTIFS(nrES_PID,$D1071,nrES_Code,$F1071,nrES_Att,2)&gt;0,"Retested",IF(OR($T1071="",NOT(ISNUMBER($T1071))),"Pending",IF(TODAY()&gt;$T1071,"OVERDUE","Due "&amp;TEXT($T1071,"mm/dd")))))</f>
        <v/>
      </c>
      <c r="V1071" s="16" t="n"/>
      <c r="W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K1072=1,IF(COUNTIFS(nrES_PID,$D1072,nrES_Code,$F1072,nrES_Att,2)&gt;0,"",$L1072),IF(COUNTIFS(nrES_PID,$D1072,nrES_Code,$F1072,nrES_Att,1)=0,$L1072,IF($L1072&gt;=$J1072,cfgRetakeRecordedCap,SUMIFS(nrES_Raw,nrES_PID,$D1072,nrES_Code,$F1072,nrES_Att,1))))))</f>
        <v/>
      </c>
      <c r="N1072" s="17">
        <f>IF($C1072="","",IF($L1072="","",IF($L1072&gt;=$J1072,"Yes","No")))</f>
        <v/>
      </c>
      <c r="O1072" s="17">
        <f>IF($C1072="","",IF($M1072="","",IF($M1072&gt;=$J1072,"Yes","No")))</f>
        <v/>
      </c>
      <c r="P1072" s="17">
        <f>IF($C1072="","",IF($K1072="","",IF(COUNTIFS(nrES_PID,$D1072,nrES_Code,$F1072,nrES_Att,"&gt;"&amp;$K1072)=0,"Yes","No")))</f>
        <v/>
      </c>
      <c r="Q1072" s="17">
        <f>IF($C1072="","",IF($L1072="","",IF(AND($K1072=1,$L1072&lt;$J1072,COUNTIFS(nrES_PID,$D1072,nrES_Code,$F1072,nrES_Att,2)=0),"Yes","No")))</f>
        <v/>
      </c>
      <c r="R1072" s="17">
        <f>IF($C1072="","",IF($L1072="","",IF(AND($K1072=2,$L1072&lt;$J1072,COUNTIFS(nrES_PID,$D1072,nrES_Code,$F1072,nrES_Att,1)&gt;0),"Yes","No")))</f>
        <v/>
      </c>
      <c r="S1072" s="18" t="n"/>
      <c r="T1072" s="19">
        <f>IF($Q1072&lt;&gt;"Yes","",IF($S1072="","(enter date)",_xlfn.LET(_xlpm.dn,IFERROR(_xlfn.XLOOKUP($S1072,nrCDdate,nrCDnum),""),IF(_xlpm.dn="","(not a class day)",IFERROR(_xlfn.XLOOKUP(_xlpm.dn+cfgRetestClassDays,nrCDnum,nrCDdate),"")))))</f>
        <v/>
      </c>
      <c r="U1072" s="17">
        <f>IF($Q1072&lt;&gt;"Yes","",IF(COUNTIFS(nrES_PID,$D1072,nrES_Code,$F1072,nrES_Att,2)&gt;0,"Retested",IF(OR($T1072="",NOT(ISNUMBER($T1072))),"Pending",IF(TODAY()&gt;$T1072,"OVERDUE","Due "&amp;TEXT($T1072,"mm/dd")))))</f>
        <v/>
      </c>
      <c r="V1072" s="16" t="n"/>
      <c r="W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K1073=1,IF(COUNTIFS(nrES_PID,$D1073,nrES_Code,$F1073,nrES_Att,2)&gt;0,"",$L1073),IF(COUNTIFS(nrES_PID,$D1073,nrES_Code,$F1073,nrES_Att,1)=0,$L1073,IF($L1073&gt;=$J1073,cfgRetakeRecordedCap,SUMIFS(nrES_Raw,nrES_PID,$D1073,nrES_Code,$F1073,nrES_Att,1))))))</f>
        <v/>
      </c>
      <c r="N1073" s="17">
        <f>IF($C1073="","",IF($L1073="","",IF($L1073&gt;=$J1073,"Yes","No")))</f>
        <v/>
      </c>
      <c r="O1073" s="17">
        <f>IF($C1073="","",IF($M1073="","",IF($M1073&gt;=$J1073,"Yes","No")))</f>
        <v/>
      </c>
      <c r="P1073" s="17">
        <f>IF($C1073="","",IF($K1073="","",IF(COUNTIFS(nrES_PID,$D1073,nrES_Code,$F1073,nrES_Att,"&gt;"&amp;$K1073)=0,"Yes","No")))</f>
        <v/>
      </c>
      <c r="Q1073" s="17">
        <f>IF($C1073="","",IF($L1073="","",IF(AND($K1073=1,$L1073&lt;$J1073,COUNTIFS(nrES_PID,$D1073,nrES_Code,$F1073,nrES_Att,2)=0),"Yes","No")))</f>
        <v/>
      </c>
      <c r="R1073" s="17">
        <f>IF($C1073="","",IF($L1073="","",IF(AND($K1073=2,$L1073&lt;$J1073,COUNTIFS(nrES_PID,$D1073,nrES_Code,$F1073,nrES_Att,1)&gt;0),"Yes","No")))</f>
        <v/>
      </c>
      <c r="S1073" s="18" t="n"/>
      <c r="T1073" s="19">
        <f>IF($Q1073&lt;&gt;"Yes","",IF($S1073="","(enter date)",_xlfn.LET(_xlpm.dn,IFERROR(_xlfn.XLOOKUP($S1073,nrCDdate,nrCDnum),""),IF(_xlpm.dn="","(not a class day)",IFERROR(_xlfn.XLOOKUP(_xlpm.dn+cfgRetestClassDays,nrCDnum,nrCDdate),"")))))</f>
        <v/>
      </c>
      <c r="U1073" s="17">
        <f>IF($Q1073&lt;&gt;"Yes","",IF(COUNTIFS(nrES_PID,$D1073,nrES_Code,$F1073,nrES_Att,2)&gt;0,"Retested",IF(OR($T1073="",NOT(ISNUMBER($T1073))),"Pending",IF(TODAY()&gt;$T1073,"OVERDUE","Due "&amp;TEXT($T1073,"mm/dd")))))</f>
        <v/>
      </c>
      <c r="V1073" s="16" t="n"/>
      <c r="W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K1074=1,IF(COUNTIFS(nrES_PID,$D1074,nrES_Code,$F1074,nrES_Att,2)&gt;0,"",$L1074),IF(COUNTIFS(nrES_PID,$D1074,nrES_Code,$F1074,nrES_Att,1)=0,$L1074,IF($L1074&gt;=$J1074,cfgRetakeRecordedCap,SUMIFS(nrES_Raw,nrES_PID,$D1074,nrES_Code,$F1074,nrES_Att,1))))))</f>
        <v/>
      </c>
      <c r="N1074" s="17">
        <f>IF($C1074="","",IF($L1074="","",IF($L1074&gt;=$J1074,"Yes","No")))</f>
        <v/>
      </c>
      <c r="O1074" s="17">
        <f>IF($C1074="","",IF($M1074="","",IF($M1074&gt;=$J1074,"Yes","No")))</f>
        <v/>
      </c>
      <c r="P1074" s="17">
        <f>IF($C1074="","",IF($K1074="","",IF(COUNTIFS(nrES_PID,$D1074,nrES_Code,$F1074,nrES_Att,"&gt;"&amp;$K1074)=0,"Yes","No")))</f>
        <v/>
      </c>
      <c r="Q1074" s="17">
        <f>IF($C1074="","",IF($L1074="","",IF(AND($K1074=1,$L1074&lt;$J1074,COUNTIFS(nrES_PID,$D1074,nrES_Code,$F1074,nrES_Att,2)=0),"Yes","No")))</f>
        <v/>
      </c>
      <c r="R1074" s="17">
        <f>IF($C1074="","",IF($L1074="","",IF(AND($K1074=2,$L1074&lt;$J1074,COUNTIFS(nrES_PID,$D1074,nrES_Code,$F1074,nrES_Att,1)&gt;0),"Yes","No")))</f>
        <v/>
      </c>
      <c r="S1074" s="18" t="n"/>
      <c r="T1074" s="19">
        <f>IF($Q1074&lt;&gt;"Yes","",IF($S1074="","(enter date)",_xlfn.LET(_xlpm.dn,IFERROR(_xlfn.XLOOKUP($S1074,nrCDdate,nrCDnum),""),IF(_xlpm.dn="","(not a class day)",IFERROR(_xlfn.XLOOKUP(_xlpm.dn+cfgRetestClassDays,nrCDnum,nrCDdate),"")))))</f>
        <v/>
      </c>
      <c r="U1074" s="17">
        <f>IF($Q1074&lt;&gt;"Yes","",IF(COUNTIFS(nrES_PID,$D1074,nrES_Code,$F1074,nrES_Att,2)&gt;0,"Retested",IF(OR($T1074="",NOT(ISNUMBER($T1074))),"Pending",IF(TODAY()&gt;$T1074,"OVERDUE","Due "&amp;TEXT($T1074,"mm/dd")))))</f>
        <v/>
      </c>
      <c r="V1074" s="16" t="n"/>
      <c r="W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K1075=1,IF(COUNTIFS(nrES_PID,$D1075,nrES_Code,$F1075,nrES_Att,2)&gt;0,"",$L1075),IF(COUNTIFS(nrES_PID,$D1075,nrES_Code,$F1075,nrES_Att,1)=0,$L1075,IF($L1075&gt;=$J1075,cfgRetakeRecordedCap,SUMIFS(nrES_Raw,nrES_PID,$D1075,nrES_Code,$F1075,nrES_Att,1))))))</f>
        <v/>
      </c>
      <c r="N1075" s="17">
        <f>IF($C1075="","",IF($L1075="","",IF($L1075&gt;=$J1075,"Yes","No")))</f>
        <v/>
      </c>
      <c r="O1075" s="17">
        <f>IF($C1075="","",IF($M1075="","",IF($M1075&gt;=$J1075,"Yes","No")))</f>
        <v/>
      </c>
      <c r="P1075" s="17">
        <f>IF($C1075="","",IF($K1075="","",IF(COUNTIFS(nrES_PID,$D1075,nrES_Code,$F1075,nrES_Att,"&gt;"&amp;$K1075)=0,"Yes","No")))</f>
        <v/>
      </c>
      <c r="Q1075" s="17">
        <f>IF($C1075="","",IF($L1075="","",IF(AND($K1075=1,$L1075&lt;$J1075,COUNTIFS(nrES_PID,$D1075,nrES_Code,$F1075,nrES_Att,2)=0),"Yes","No")))</f>
        <v/>
      </c>
      <c r="R1075" s="17">
        <f>IF($C1075="","",IF($L1075="","",IF(AND($K1075=2,$L1075&lt;$J1075,COUNTIFS(nrES_PID,$D1075,nrES_Code,$F1075,nrES_Att,1)&gt;0),"Yes","No")))</f>
        <v/>
      </c>
      <c r="S1075" s="18" t="n"/>
      <c r="T1075" s="19">
        <f>IF($Q1075&lt;&gt;"Yes","",IF($S1075="","(enter date)",_xlfn.LET(_xlpm.dn,IFERROR(_xlfn.XLOOKUP($S1075,nrCDdate,nrCDnum),""),IF(_xlpm.dn="","(not a class day)",IFERROR(_xlfn.XLOOKUP(_xlpm.dn+cfgRetestClassDays,nrCDnum,nrCDdate),"")))))</f>
        <v/>
      </c>
      <c r="U1075" s="17">
        <f>IF($Q1075&lt;&gt;"Yes","",IF(COUNTIFS(nrES_PID,$D1075,nrES_Code,$F1075,nrES_Att,2)&gt;0,"Retested",IF(OR($T1075="",NOT(ISNUMBER($T1075))),"Pending",IF(TODAY()&gt;$T1075,"OVERDUE","Due "&amp;TEXT($T1075,"mm/dd")))))</f>
        <v/>
      </c>
      <c r="V1075" s="16" t="n"/>
      <c r="W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K1076=1,IF(COUNTIFS(nrES_PID,$D1076,nrES_Code,$F1076,nrES_Att,2)&gt;0,"",$L1076),IF(COUNTIFS(nrES_PID,$D1076,nrES_Code,$F1076,nrES_Att,1)=0,$L1076,IF($L1076&gt;=$J1076,cfgRetakeRecordedCap,SUMIFS(nrES_Raw,nrES_PID,$D1076,nrES_Code,$F1076,nrES_Att,1))))))</f>
        <v/>
      </c>
      <c r="N1076" s="17">
        <f>IF($C1076="","",IF($L1076="","",IF($L1076&gt;=$J1076,"Yes","No")))</f>
        <v/>
      </c>
      <c r="O1076" s="17">
        <f>IF($C1076="","",IF($M1076="","",IF($M1076&gt;=$J1076,"Yes","No")))</f>
        <v/>
      </c>
      <c r="P1076" s="17">
        <f>IF($C1076="","",IF($K1076="","",IF(COUNTIFS(nrES_PID,$D1076,nrES_Code,$F1076,nrES_Att,"&gt;"&amp;$K1076)=0,"Yes","No")))</f>
        <v/>
      </c>
      <c r="Q1076" s="17">
        <f>IF($C1076="","",IF($L1076="","",IF(AND($K1076=1,$L1076&lt;$J1076,COUNTIFS(nrES_PID,$D1076,nrES_Code,$F1076,nrES_Att,2)=0),"Yes","No")))</f>
        <v/>
      </c>
      <c r="R1076" s="17">
        <f>IF($C1076="","",IF($L1076="","",IF(AND($K1076=2,$L1076&lt;$J1076,COUNTIFS(nrES_PID,$D1076,nrES_Code,$F1076,nrES_Att,1)&gt;0),"Yes","No")))</f>
        <v/>
      </c>
      <c r="S1076" s="18" t="n"/>
      <c r="T1076" s="19">
        <f>IF($Q1076&lt;&gt;"Yes","",IF($S1076="","(enter date)",_xlfn.LET(_xlpm.dn,IFERROR(_xlfn.XLOOKUP($S1076,nrCDdate,nrCDnum),""),IF(_xlpm.dn="","(not a class day)",IFERROR(_xlfn.XLOOKUP(_xlpm.dn+cfgRetestClassDays,nrCDnum,nrCDdate),"")))))</f>
        <v/>
      </c>
      <c r="U1076" s="17">
        <f>IF($Q1076&lt;&gt;"Yes","",IF(COUNTIFS(nrES_PID,$D1076,nrES_Code,$F1076,nrES_Att,2)&gt;0,"Retested",IF(OR($T1076="",NOT(ISNUMBER($T1076))),"Pending",IF(TODAY()&gt;$T1076,"OVERDUE","Due "&amp;TEXT($T1076,"mm/dd")))))</f>
        <v/>
      </c>
      <c r="V1076" s="16" t="n"/>
      <c r="W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K1077=1,IF(COUNTIFS(nrES_PID,$D1077,nrES_Code,$F1077,nrES_Att,2)&gt;0,"",$L1077),IF(COUNTIFS(nrES_PID,$D1077,nrES_Code,$F1077,nrES_Att,1)=0,$L1077,IF($L1077&gt;=$J1077,cfgRetakeRecordedCap,SUMIFS(nrES_Raw,nrES_PID,$D1077,nrES_Code,$F1077,nrES_Att,1))))))</f>
        <v/>
      </c>
      <c r="N1077" s="17">
        <f>IF($C1077="","",IF($L1077="","",IF($L1077&gt;=$J1077,"Yes","No")))</f>
        <v/>
      </c>
      <c r="O1077" s="17">
        <f>IF($C1077="","",IF($M1077="","",IF($M1077&gt;=$J1077,"Yes","No")))</f>
        <v/>
      </c>
      <c r="P1077" s="17">
        <f>IF($C1077="","",IF($K1077="","",IF(COUNTIFS(nrES_PID,$D1077,nrES_Code,$F1077,nrES_Att,"&gt;"&amp;$K1077)=0,"Yes","No")))</f>
        <v/>
      </c>
      <c r="Q1077" s="17">
        <f>IF($C1077="","",IF($L1077="","",IF(AND($K1077=1,$L1077&lt;$J1077,COUNTIFS(nrES_PID,$D1077,nrES_Code,$F1077,nrES_Att,2)=0),"Yes","No")))</f>
        <v/>
      </c>
      <c r="R1077" s="17">
        <f>IF($C1077="","",IF($L1077="","",IF(AND($K1077=2,$L1077&lt;$J1077,COUNTIFS(nrES_PID,$D1077,nrES_Code,$F1077,nrES_Att,1)&gt;0),"Yes","No")))</f>
        <v/>
      </c>
      <c r="S1077" s="18" t="n"/>
      <c r="T1077" s="19">
        <f>IF($Q1077&lt;&gt;"Yes","",IF($S1077="","(enter date)",_xlfn.LET(_xlpm.dn,IFERROR(_xlfn.XLOOKUP($S1077,nrCDdate,nrCDnum),""),IF(_xlpm.dn="","(not a class day)",IFERROR(_xlfn.XLOOKUP(_xlpm.dn+cfgRetestClassDays,nrCDnum,nrCDdate),"")))))</f>
        <v/>
      </c>
      <c r="U1077" s="17">
        <f>IF($Q1077&lt;&gt;"Yes","",IF(COUNTIFS(nrES_PID,$D1077,nrES_Code,$F1077,nrES_Att,2)&gt;0,"Retested",IF(OR($T1077="",NOT(ISNUMBER($T1077))),"Pending",IF(TODAY()&gt;$T1077,"OVERDUE","Due "&amp;TEXT($T1077,"mm/dd")))))</f>
        <v/>
      </c>
      <c r="V1077" s="16" t="n"/>
      <c r="W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K1078=1,IF(COUNTIFS(nrES_PID,$D1078,nrES_Code,$F1078,nrES_Att,2)&gt;0,"",$L1078),IF(COUNTIFS(nrES_PID,$D1078,nrES_Code,$F1078,nrES_Att,1)=0,$L1078,IF($L1078&gt;=$J1078,cfgRetakeRecordedCap,SUMIFS(nrES_Raw,nrES_PID,$D1078,nrES_Code,$F1078,nrES_Att,1))))))</f>
        <v/>
      </c>
      <c r="N1078" s="17">
        <f>IF($C1078="","",IF($L1078="","",IF($L1078&gt;=$J1078,"Yes","No")))</f>
        <v/>
      </c>
      <c r="O1078" s="17">
        <f>IF($C1078="","",IF($M1078="","",IF($M1078&gt;=$J1078,"Yes","No")))</f>
        <v/>
      </c>
      <c r="P1078" s="17">
        <f>IF($C1078="","",IF($K1078="","",IF(COUNTIFS(nrES_PID,$D1078,nrES_Code,$F1078,nrES_Att,"&gt;"&amp;$K1078)=0,"Yes","No")))</f>
        <v/>
      </c>
      <c r="Q1078" s="17">
        <f>IF($C1078="","",IF($L1078="","",IF(AND($K1078=1,$L1078&lt;$J1078,COUNTIFS(nrES_PID,$D1078,nrES_Code,$F1078,nrES_Att,2)=0),"Yes","No")))</f>
        <v/>
      </c>
      <c r="R1078" s="17">
        <f>IF($C1078="","",IF($L1078="","",IF(AND($K1078=2,$L1078&lt;$J1078,COUNTIFS(nrES_PID,$D1078,nrES_Code,$F1078,nrES_Att,1)&gt;0),"Yes","No")))</f>
        <v/>
      </c>
      <c r="S1078" s="18" t="n"/>
      <c r="T1078" s="19">
        <f>IF($Q1078&lt;&gt;"Yes","",IF($S1078="","(enter date)",_xlfn.LET(_xlpm.dn,IFERROR(_xlfn.XLOOKUP($S1078,nrCDdate,nrCDnum),""),IF(_xlpm.dn="","(not a class day)",IFERROR(_xlfn.XLOOKUP(_xlpm.dn+cfgRetestClassDays,nrCDnum,nrCDdate),"")))))</f>
        <v/>
      </c>
      <c r="U1078" s="17">
        <f>IF($Q1078&lt;&gt;"Yes","",IF(COUNTIFS(nrES_PID,$D1078,nrES_Code,$F1078,nrES_Att,2)&gt;0,"Retested",IF(OR($T1078="",NOT(ISNUMBER($T1078))),"Pending",IF(TODAY()&gt;$T1078,"OVERDUE","Due "&amp;TEXT($T1078,"mm/dd")))))</f>
        <v/>
      </c>
      <c r="V1078" s="16" t="n"/>
      <c r="W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K1079=1,IF(COUNTIFS(nrES_PID,$D1079,nrES_Code,$F1079,nrES_Att,2)&gt;0,"",$L1079),IF(COUNTIFS(nrES_PID,$D1079,nrES_Code,$F1079,nrES_Att,1)=0,$L1079,IF($L1079&gt;=$J1079,cfgRetakeRecordedCap,SUMIFS(nrES_Raw,nrES_PID,$D1079,nrES_Code,$F1079,nrES_Att,1))))))</f>
        <v/>
      </c>
      <c r="N1079" s="17">
        <f>IF($C1079="","",IF($L1079="","",IF($L1079&gt;=$J1079,"Yes","No")))</f>
        <v/>
      </c>
      <c r="O1079" s="17">
        <f>IF($C1079="","",IF($M1079="","",IF($M1079&gt;=$J1079,"Yes","No")))</f>
        <v/>
      </c>
      <c r="P1079" s="17">
        <f>IF($C1079="","",IF($K1079="","",IF(COUNTIFS(nrES_PID,$D1079,nrES_Code,$F1079,nrES_Att,"&gt;"&amp;$K1079)=0,"Yes","No")))</f>
        <v/>
      </c>
      <c r="Q1079" s="17">
        <f>IF($C1079="","",IF($L1079="","",IF(AND($K1079=1,$L1079&lt;$J1079,COUNTIFS(nrES_PID,$D1079,nrES_Code,$F1079,nrES_Att,2)=0),"Yes","No")))</f>
        <v/>
      </c>
      <c r="R1079" s="17">
        <f>IF($C1079="","",IF($L1079="","",IF(AND($K1079=2,$L1079&lt;$J1079,COUNTIFS(nrES_PID,$D1079,nrES_Code,$F1079,nrES_Att,1)&gt;0),"Yes","No")))</f>
        <v/>
      </c>
      <c r="S1079" s="18" t="n"/>
      <c r="T1079" s="19">
        <f>IF($Q1079&lt;&gt;"Yes","",IF($S1079="","(enter date)",_xlfn.LET(_xlpm.dn,IFERROR(_xlfn.XLOOKUP($S1079,nrCDdate,nrCDnum),""),IF(_xlpm.dn="","(not a class day)",IFERROR(_xlfn.XLOOKUP(_xlpm.dn+cfgRetestClassDays,nrCDnum,nrCDdate),"")))))</f>
        <v/>
      </c>
      <c r="U1079" s="17">
        <f>IF($Q1079&lt;&gt;"Yes","",IF(COUNTIFS(nrES_PID,$D1079,nrES_Code,$F1079,nrES_Att,2)&gt;0,"Retested",IF(OR($T1079="",NOT(ISNUMBER($T1079))),"Pending",IF(TODAY()&gt;$T1079,"OVERDUE","Due "&amp;TEXT($T1079,"mm/dd")))))</f>
        <v/>
      </c>
      <c r="V1079" s="16" t="n"/>
      <c r="W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K1080=1,IF(COUNTIFS(nrES_PID,$D1080,nrES_Code,$F1080,nrES_Att,2)&gt;0,"",$L1080),IF(COUNTIFS(nrES_PID,$D1080,nrES_Code,$F1080,nrES_Att,1)=0,$L1080,IF($L1080&gt;=$J1080,cfgRetakeRecordedCap,SUMIFS(nrES_Raw,nrES_PID,$D1080,nrES_Code,$F1080,nrES_Att,1))))))</f>
        <v/>
      </c>
      <c r="N1080" s="17">
        <f>IF($C1080="","",IF($L1080="","",IF($L1080&gt;=$J1080,"Yes","No")))</f>
        <v/>
      </c>
      <c r="O1080" s="17">
        <f>IF($C1080="","",IF($M1080="","",IF($M1080&gt;=$J1080,"Yes","No")))</f>
        <v/>
      </c>
      <c r="P1080" s="17">
        <f>IF($C1080="","",IF($K1080="","",IF(COUNTIFS(nrES_PID,$D1080,nrES_Code,$F1080,nrES_Att,"&gt;"&amp;$K1080)=0,"Yes","No")))</f>
        <v/>
      </c>
      <c r="Q1080" s="17">
        <f>IF($C1080="","",IF($L1080="","",IF(AND($K1080=1,$L1080&lt;$J1080,COUNTIFS(nrES_PID,$D1080,nrES_Code,$F1080,nrES_Att,2)=0),"Yes","No")))</f>
        <v/>
      </c>
      <c r="R1080" s="17">
        <f>IF($C1080="","",IF($L1080="","",IF(AND($K1080=2,$L1080&lt;$J1080,COUNTIFS(nrES_PID,$D1080,nrES_Code,$F1080,nrES_Att,1)&gt;0),"Yes","No")))</f>
        <v/>
      </c>
      <c r="S1080" s="18" t="n"/>
      <c r="T1080" s="19">
        <f>IF($Q1080&lt;&gt;"Yes","",IF($S1080="","(enter date)",_xlfn.LET(_xlpm.dn,IFERROR(_xlfn.XLOOKUP($S1080,nrCDdate,nrCDnum),""),IF(_xlpm.dn="","(not a class day)",IFERROR(_xlfn.XLOOKUP(_xlpm.dn+cfgRetestClassDays,nrCDnum,nrCDdate),"")))))</f>
        <v/>
      </c>
      <c r="U1080" s="17">
        <f>IF($Q1080&lt;&gt;"Yes","",IF(COUNTIFS(nrES_PID,$D1080,nrES_Code,$F1080,nrES_Att,2)&gt;0,"Retested",IF(OR($T1080="",NOT(ISNUMBER($T1080))),"Pending",IF(TODAY()&gt;$T1080,"OVERDUE","Due "&amp;TEXT($T1080,"mm/dd")))))</f>
        <v/>
      </c>
      <c r="V1080" s="16" t="n"/>
      <c r="W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K1081=1,IF(COUNTIFS(nrES_PID,$D1081,nrES_Code,$F1081,nrES_Att,2)&gt;0,"",$L1081),IF(COUNTIFS(nrES_PID,$D1081,nrES_Code,$F1081,nrES_Att,1)=0,$L1081,IF($L1081&gt;=$J1081,cfgRetakeRecordedCap,SUMIFS(nrES_Raw,nrES_PID,$D1081,nrES_Code,$F1081,nrES_Att,1))))))</f>
        <v/>
      </c>
      <c r="N1081" s="17">
        <f>IF($C1081="","",IF($L1081="","",IF($L1081&gt;=$J1081,"Yes","No")))</f>
        <v/>
      </c>
      <c r="O1081" s="17">
        <f>IF($C1081="","",IF($M1081="","",IF($M1081&gt;=$J1081,"Yes","No")))</f>
        <v/>
      </c>
      <c r="P1081" s="17">
        <f>IF($C1081="","",IF($K1081="","",IF(COUNTIFS(nrES_PID,$D1081,nrES_Code,$F1081,nrES_Att,"&gt;"&amp;$K1081)=0,"Yes","No")))</f>
        <v/>
      </c>
      <c r="Q1081" s="17">
        <f>IF($C1081="","",IF($L1081="","",IF(AND($K1081=1,$L1081&lt;$J1081,COUNTIFS(nrES_PID,$D1081,nrES_Code,$F1081,nrES_Att,2)=0),"Yes","No")))</f>
        <v/>
      </c>
      <c r="R1081" s="17">
        <f>IF($C1081="","",IF($L1081="","",IF(AND($K1081=2,$L1081&lt;$J1081,COUNTIFS(nrES_PID,$D1081,nrES_Code,$F1081,nrES_Att,1)&gt;0),"Yes","No")))</f>
        <v/>
      </c>
      <c r="S1081" s="18" t="n"/>
      <c r="T1081" s="19">
        <f>IF($Q1081&lt;&gt;"Yes","",IF($S1081="","(enter date)",_xlfn.LET(_xlpm.dn,IFERROR(_xlfn.XLOOKUP($S1081,nrCDdate,nrCDnum),""),IF(_xlpm.dn="","(not a class day)",IFERROR(_xlfn.XLOOKUP(_xlpm.dn+cfgRetestClassDays,nrCDnum,nrCDdate),"")))))</f>
        <v/>
      </c>
      <c r="U1081" s="17">
        <f>IF($Q1081&lt;&gt;"Yes","",IF(COUNTIFS(nrES_PID,$D1081,nrES_Code,$F1081,nrES_Att,2)&gt;0,"Retested",IF(OR($T1081="",NOT(ISNUMBER($T1081))),"Pending",IF(TODAY()&gt;$T1081,"OVERDUE","Due "&amp;TEXT($T1081,"mm/dd")))))</f>
        <v/>
      </c>
      <c r="V1081" s="16" t="n"/>
      <c r="W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K1082=1,IF(COUNTIFS(nrES_PID,$D1082,nrES_Code,$F1082,nrES_Att,2)&gt;0,"",$L1082),IF(COUNTIFS(nrES_PID,$D1082,nrES_Code,$F1082,nrES_Att,1)=0,$L1082,IF($L1082&gt;=$J1082,cfgRetakeRecordedCap,SUMIFS(nrES_Raw,nrES_PID,$D1082,nrES_Code,$F1082,nrES_Att,1))))))</f>
        <v/>
      </c>
      <c r="N1082" s="17">
        <f>IF($C1082="","",IF($L1082="","",IF($L1082&gt;=$J1082,"Yes","No")))</f>
        <v/>
      </c>
      <c r="O1082" s="17">
        <f>IF($C1082="","",IF($M1082="","",IF($M1082&gt;=$J1082,"Yes","No")))</f>
        <v/>
      </c>
      <c r="P1082" s="17">
        <f>IF($C1082="","",IF($K1082="","",IF(COUNTIFS(nrES_PID,$D1082,nrES_Code,$F1082,nrES_Att,"&gt;"&amp;$K1082)=0,"Yes","No")))</f>
        <v/>
      </c>
      <c r="Q1082" s="17">
        <f>IF($C1082="","",IF($L1082="","",IF(AND($K1082=1,$L1082&lt;$J1082,COUNTIFS(nrES_PID,$D1082,nrES_Code,$F1082,nrES_Att,2)=0),"Yes","No")))</f>
        <v/>
      </c>
      <c r="R1082" s="17">
        <f>IF($C1082="","",IF($L1082="","",IF(AND($K1082=2,$L1082&lt;$J1082,COUNTIFS(nrES_PID,$D1082,nrES_Code,$F1082,nrES_Att,1)&gt;0),"Yes","No")))</f>
        <v/>
      </c>
      <c r="S1082" s="18" t="n"/>
      <c r="T1082" s="19">
        <f>IF($Q1082&lt;&gt;"Yes","",IF($S1082="","(enter date)",_xlfn.LET(_xlpm.dn,IFERROR(_xlfn.XLOOKUP($S1082,nrCDdate,nrCDnum),""),IF(_xlpm.dn="","(not a class day)",IFERROR(_xlfn.XLOOKUP(_xlpm.dn+cfgRetestClassDays,nrCDnum,nrCDdate),"")))))</f>
        <v/>
      </c>
      <c r="U1082" s="17">
        <f>IF($Q1082&lt;&gt;"Yes","",IF(COUNTIFS(nrES_PID,$D1082,nrES_Code,$F1082,nrES_Att,2)&gt;0,"Retested",IF(OR($T1082="",NOT(ISNUMBER($T1082))),"Pending",IF(TODAY()&gt;$T1082,"OVERDUE","Due "&amp;TEXT($T1082,"mm/dd")))))</f>
        <v/>
      </c>
      <c r="V1082" s="16" t="n"/>
      <c r="W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K1083=1,IF(COUNTIFS(nrES_PID,$D1083,nrES_Code,$F1083,nrES_Att,2)&gt;0,"",$L1083),IF(COUNTIFS(nrES_PID,$D1083,nrES_Code,$F1083,nrES_Att,1)=0,$L1083,IF($L1083&gt;=$J1083,cfgRetakeRecordedCap,SUMIFS(nrES_Raw,nrES_PID,$D1083,nrES_Code,$F1083,nrES_Att,1))))))</f>
        <v/>
      </c>
      <c r="N1083" s="17">
        <f>IF($C1083="","",IF($L1083="","",IF($L1083&gt;=$J1083,"Yes","No")))</f>
        <v/>
      </c>
      <c r="O1083" s="17">
        <f>IF($C1083="","",IF($M1083="","",IF($M1083&gt;=$J1083,"Yes","No")))</f>
        <v/>
      </c>
      <c r="P1083" s="17">
        <f>IF($C1083="","",IF($K1083="","",IF(COUNTIFS(nrES_PID,$D1083,nrES_Code,$F1083,nrES_Att,"&gt;"&amp;$K1083)=0,"Yes","No")))</f>
        <v/>
      </c>
      <c r="Q1083" s="17">
        <f>IF($C1083="","",IF($L1083="","",IF(AND($K1083=1,$L1083&lt;$J1083,COUNTIFS(nrES_PID,$D1083,nrES_Code,$F1083,nrES_Att,2)=0),"Yes","No")))</f>
        <v/>
      </c>
      <c r="R1083" s="17">
        <f>IF($C1083="","",IF($L1083="","",IF(AND($K1083=2,$L1083&lt;$J1083,COUNTIFS(nrES_PID,$D1083,nrES_Code,$F1083,nrES_Att,1)&gt;0),"Yes","No")))</f>
        <v/>
      </c>
      <c r="S1083" s="18" t="n"/>
      <c r="T1083" s="19">
        <f>IF($Q1083&lt;&gt;"Yes","",IF($S1083="","(enter date)",_xlfn.LET(_xlpm.dn,IFERROR(_xlfn.XLOOKUP($S1083,nrCDdate,nrCDnum),""),IF(_xlpm.dn="","(not a class day)",IFERROR(_xlfn.XLOOKUP(_xlpm.dn+cfgRetestClassDays,nrCDnum,nrCDdate),"")))))</f>
        <v/>
      </c>
      <c r="U1083" s="17">
        <f>IF($Q1083&lt;&gt;"Yes","",IF(COUNTIFS(nrES_PID,$D1083,nrES_Code,$F1083,nrES_Att,2)&gt;0,"Retested",IF(OR($T1083="",NOT(ISNUMBER($T1083))),"Pending",IF(TODAY()&gt;$T1083,"OVERDUE","Due "&amp;TEXT($T1083,"mm/dd")))))</f>
        <v/>
      </c>
      <c r="V1083" s="16" t="n"/>
      <c r="W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K1084=1,IF(COUNTIFS(nrES_PID,$D1084,nrES_Code,$F1084,nrES_Att,2)&gt;0,"",$L1084),IF(COUNTIFS(nrES_PID,$D1084,nrES_Code,$F1084,nrES_Att,1)=0,$L1084,IF($L1084&gt;=$J1084,cfgRetakeRecordedCap,SUMIFS(nrES_Raw,nrES_PID,$D1084,nrES_Code,$F1084,nrES_Att,1))))))</f>
        <v/>
      </c>
      <c r="N1084" s="17">
        <f>IF($C1084="","",IF($L1084="","",IF($L1084&gt;=$J1084,"Yes","No")))</f>
        <v/>
      </c>
      <c r="O1084" s="17">
        <f>IF($C1084="","",IF($M1084="","",IF($M1084&gt;=$J1084,"Yes","No")))</f>
        <v/>
      </c>
      <c r="P1084" s="17">
        <f>IF($C1084="","",IF($K1084="","",IF(COUNTIFS(nrES_PID,$D1084,nrES_Code,$F1084,nrES_Att,"&gt;"&amp;$K1084)=0,"Yes","No")))</f>
        <v/>
      </c>
      <c r="Q1084" s="17">
        <f>IF($C1084="","",IF($L1084="","",IF(AND($K1084=1,$L1084&lt;$J1084,COUNTIFS(nrES_PID,$D1084,nrES_Code,$F1084,nrES_Att,2)=0),"Yes","No")))</f>
        <v/>
      </c>
      <c r="R1084" s="17">
        <f>IF($C1084="","",IF($L1084="","",IF(AND($K1084=2,$L1084&lt;$J1084,COUNTIFS(nrES_PID,$D1084,nrES_Code,$F1084,nrES_Att,1)&gt;0),"Yes","No")))</f>
        <v/>
      </c>
      <c r="S1084" s="18" t="n"/>
      <c r="T1084" s="19">
        <f>IF($Q1084&lt;&gt;"Yes","",IF($S1084="","(enter date)",_xlfn.LET(_xlpm.dn,IFERROR(_xlfn.XLOOKUP($S1084,nrCDdate,nrCDnum),""),IF(_xlpm.dn="","(not a class day)",IFERROR(_xlfn.XLOOKUP(_xlpm.dn+cfgRetestClassDays,nrCDnum,nrCDdate),"")))))</f>
        <v/>
      </c>
      <c r="U1084" s="17">
        <f>IF($Q1084&lt;&gt;"Yes","",IF(COUNTIFS(nrES_PID,$D1084,nrES_Code,$F1084,nrES_Att,2)&gt;0,"Retested",IF(OR($T1084="",NOT(ISNUMBER($T1084))),"Pending",IF(TODAY()&gt;$T1084,"OVERDUE","Due "&amp;TEXT($T1084,"mm/dd")))))</f>
        <v/>
      </c>
      <c r="V1084" s="16" t="n"/>
      <c r="W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K1085=1,IF(COUNTIFS(nrES_PID,$D1085,nrES_Code,$F1085,nrES_Att,2)&gt;0,"",$L1085),IF(COUNTIFS(nrES_PID,$D1085,nrES_Code,$F1085,nrES_Att,1)=0,$L1085,IF($L1085&gt;=$J1085,cfgRetakeRecordedCap,SUMIFS(nrES_Raw,nrES_PID,$D1085,nrES_Code,$F1085,nrES_Att,1))))))</f>
        <v/>
      </c>
      <c r="N1085" s="17">
        <f>IF($C1085="","",IF($L1085="","",IF($L1085&gt;=$J1085,"Yes","No")))</f>
        <v/>
      </c>
      <c r="O1085" s="17">
        <f>IF($C1085="","",IF($M1085="","",IF($M1085&gt;=$J1085,"Yes","No")))</f>
        <v/>
      </c>
      <c r="P1085" s="17">
        <f>IF($C1085="","",IF($K1085="","",IF(COUNTIFS(nrES_PID,$D1085,nrES_Code,$F1085,nrES_Att,"&gt;"&amp;$K1085)=0,"Yes","No")))</f>
        <v/>
      </c>
      <c r="Q1085" s="17">
        <f>IF($C1085="","",IF($L1085="","",IF(AND($K1085=1,$L1085&lt;$J1085,COUNTIFS(nrES_PID,$D1085,nrES_Code,$F1085,nrES_Att,2)=0),"Yes","No")))</f>
        <v/>
      </c>
      <c r="R1085" s="17">
        <f>IF($C1085="","",IF($L1085="","",IF(AND($K1085=2,$L1085&lt;$J1085,COUNTIFS(nrES_PID,$D1085,nrES_Code,$F1085,nrES_Att,1)&gt;0),"Yes","No")))</f>
        <v/>
      </c>
      <c r="S1085" s="18" t="n"/>
      <c r="T1085" s="19">
        <f>IF($Q1085&lt;&gt;"Yes","",IF($S1085="","(enter date)",_xlfn.LET(_xlpm.dn,IFERROR(_xlfn.XLOOKUP($S1085,nrCDdate,nrCDnum),""),IF(_xlpm.dn="","(not a class day)",IFERROR(_xlfn.XLOOKUP(_xlpm.dn+cfgRetestClassDays,nrCDnum,nrCDdate),"")))))</f>
        <v/>
      </c>
      <c r="U1085" s="17">
        <f>IF($Q1085&lt;&gt;"Yes","",IF(COUNTIFS(nrES_PID,$D1085,nrES_Code,$F1085,nrES_Att,2)&gt;0,"Retested",IF(OR($T1085="",NOT(ISNUMBER($T1085))),"Pending",IF(TODAY()&gt;$T1085,"OVERDUE","Due "&amp;TEXT($T1085,"mm/dd")))))</f>
        <v/>
      </c>
      <c r="V1085" s="16" t="n"/>
      <c r="W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K1086=1,IF(COUNTIFS(nrES_PID,$D1086,nrES_Code,$F1086,nrES_Att,2)&gt;0,"",$L1086),IF(COUNTIFS(nrES_PID,$D1086,nrES_Code,$F1086,nrES_Att,1)=0,$L1086,IF($L1086&gt;=$J1086,cfgRetakeRecordedCap,SUMIFS(nrES_Raw,nrES_PID,$D1086,nrES_Code,$F1086,nrES_Att,1))))))</f>
        <v/>
      </c>
      <c r="N1086" s="17">
        <f>IF($C1086="","",IF($L1086="","",IF($L1086&gt;=$J1086,"Yes","No")))</f>
        <v/>
      </c>
      <c r="O1086" s="17">
        <f>IF($C1086="","",IF($M1086="","",IF($M1086&gt;=$J1086,"Yes","No")))</f>
        <v/>
      </c>
      <c r="P1086" s="17">
        <f>IF($C1086="","",IF($K1086="","",IF(COUNTIFS(nrES_PID,$D1086,nrES_Code,$F1086,nrES_Att,"&gt;"&amp;$K1086)=0,"Yes","No")))</f>
        <v/>
      </c>
      <c r="Q1086" s="17">
        <f>IF($C1086="","",IF($L1086="","",IF(AND($K1086=1,$L1086&lt;$J1086,COUNTIFS(nrES_PID,$D1086,nrES_Code,$F1086,nrES_Att,2)=0),"Yes","No")))</f>
        <v/>
      </c>
      <c r="R1086" s="17">
        <f>IF($C1086="","",IF($L1086="","",IF(AND($K1086=2,$L1086&lt;$J1086,COUNTIFS(nrES_PID,$D1086,nrES_Code,$F1086,nrES_Att,1)&gt;0),"Yes","No")))</f>
        <v/>
      </c>
      <c r="S1086" s="18" t="n"/>
      <c r="T1086" s="19">
        <f>IF($Q1086&lt;&gt;"Yes","",IF($S1086="","(enter date)",_xlfn.LET(_xlpm.dn,IFERROR(_xlfn.XLOOKUP($S1086,nrCDdate,nrCDnum),""),IF(_xlpm.dn="","(not a class day)",IFERROR(_xlfn.XLOOKUP(_xlpm.dn+cfgRetestClassDays,nrCDnum,nrCDdate),"")))))</f>
        <v/>
      </c>
      <c r="U1086" s="17">
        <f>IF($Q1086&lt;&gt;"Yes","",IF(COUNTIFS(nrES_PID,$D1086,nrES_Code,$F1086,nrES_Att,2)&gt;0,"Retested",IF(OR($T1086="",NOT(ISNUMBER($T1086))),"Pending",IF(TODAY()&gt;$T1086,"OVERDUE","Due "&amp;TEXT($T1086,"mm/dd")))))</f>
        <v/>
      </c>
      <c r="V1086" s="16" t="n"/>
      <c r="W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K1087=1,IF(COUNTIFS(nrES_PID,$D1087,nrES_Code,$F1087,nrES_Att,2)&gt;0,"",$L1087),IF(COUNTIFS(nrES_PID,$D1087,nrES_Code,$F1087,nrES_Att,1)=0,$L1087,IF($L1087&gt;=$J1087,cfgRetakeRecordedCap,SUMIFS(nrES_Raw,nrES_PID,$D1087,nrES_Code,$F1087,nrES_Att,1))))))</f>
        <v/>
      </c>
      <c r="N1087" s="17">
        <f>IF($C1087="","",IF($L1087="","",IF($L1087&gt;=$J1087,"Yes","No")))</f>
        <v/>
      </c>
      <c r="O1087" s="17">
        <f>IF($C1087="","",IF($M1087="","",IF($M1087&gt;=$J1087,"Yes","No")))</f>
        <v/>
      </c>
      <c r="P1087" s="17">
        <f>IF($C1087="","",IF($K1087="","",IF(COUNTIFS(nrES_PID,$D1087,nrES_Code,$F1087,nrES_Att,"&gt;"&amp;$K1087)=0,"Yes","No")))</f>
        <v/>
      </c>
      <c r="Q1087" s="17">
        <f>IF($C1087="","",IF($L1087="","",IF(AND($K1087=1,$L1087&lt;$J1087,COUNTIFS(nrES_PID,$D1087,nrES_Code,$F1087,nrES_Att,2)=0),"Yes","No")))</f>
        <v/>
      </c>
      <c r="R1087" s="17">
        <f>IF($C1087="","",IF($L1087="","",IF(AND($K1087=2,$L1087&lt;$J1087,COUNTIFS(nrES_PID,$D1087,nrES_Code,$F1087,nrES_Att,1)&gt;0),"Yes","No")))</f>
        <v/>
      </c>
      <c r="S1087" s="18" t="n"/>
      <c r="T1087" s="19">
        <f>IF($Q1087&lt;&gt;"Yes","",IF($S1087="","(enter date)",_xlfn.LET(_xlpm.dn,IFERROR(_xlfn.XLOOKUP($S1087,nrCDdate,nrCDnum),""),IF(_xlpm.dn="","(not a class day)",IFERROR(_xlfn.XLOOKUP(_xlpm.dn+cfgRetestClassDays,nrCDnum,nrCDdate),"")))))</f>
        <v/>
      </c>
      <c r="U1087" s="17">
        <f>IF($Q1087&lt;&gt;"Yes","",IF(COUNTIFS(nrES_PID,$D1087,nrES_Code,$F1087,nrES_Att,2)&gt;0,"Retested",IF(OR($T1087="",NOT(ISNUMBER($T1087))),"Pending",IF(TODAY()&gt;$T1087,"OVERDUE","Due "&amp;TEXT($T1087,"mm/dd")))))</f>
        <v/>
      </c>
      <c r="V1087" s="16" t="n"/>
      <c r="W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K1088=1,IF(COUNTIFS(nrES_PID,$D1088,nrES_Code,$F1088,nrES_Att,2)&gt;0,"",$L1088),IF(COUNTIFS(nrES_PID,$D1088,nrES_Code,$F1088,nrES_Att,1)=0,$L1088,IF($L1088&gt;=$J1088,cfgRetakeRecordedCap,SUMIFS(nrES_Raw,nrES_PID,$D1088,nrES_Code,$F1088,nrES_Att,1))))))</f>
        <v/>
      </c>
      <c r="N1088" s="17">
        <f>IF($C1088="","",IF($L1088="","",IF($L1088&gt;=$J1088,"Yes","No")))</f>
        <v/>
      </c>
      <c r="O1088" s="17">
        <f>IF($C1088="","",IF($M1088="","",IF($M1088&gt;=$J1088,"Yes","No")))</f>
        <v/>
      </c>
      <c r="P1088" s="17">
        <f>IF($C1088="","",IF($K1088="","",IF(COUNTIFS(nrES_PID,$D1088,nrES_Code,$F1088,nrES_Att,"&gt;"&amp;$K1088)=0,"Yes","No")))</f>
        <v/>
      </c>
      <c r="Q1088" s="17">
        <f>IF($C1088="","",IF($L1088="","",IF(AND($K1088=1,$L1088&lt;$J1088,COUNTIFS(nrES_PID,$D1088,nrES_Code,$F1088,nrES_Att,2)=0),"Yes","No")))</f>
        <v/>
      </c>
      <c r="R1088" s="17">
        <f>IF($C1088="","",IF($L1088="","",IF(AND($K1088=2,$L1088&lt;$J1088,COUNTIFS(nrES_PID,$D1088,nrES_Code,$F1088,nrES_Att,1)&gt;0),"Yes","No")))</f>
        <v/>
      </c>
      <c r="S1088" s="18" t="n"/>
      <c r="T1088" s="19">
        <f>IF($Q1088&lt;&gt;"Yes","",IF($S1088="","(enter date)",_xlfn.LET(_xlpm.dn,IFERROR(_xlfn.XLOOKUP($S1088,nrCDdate,nrCDnum),""),IF(_xlpm.dn="","(not a class day)",IFERROR(_xlfn.XLOOKUP(_xlpm.dn+cfgRetestClassDays,nrCDnum,nrCDdate),"")))))</f>
        <v/>
      </c>
      <c r="U1088" s="17">
        <f>IF($Q1088&lt;&gt;"Yes","",IF(COUNTIFS(nrES_PID,$D1088,nrES_Code,$F1088,nrES_Att,2)&gt;0,"Retested",IF(OR($T1088="",NOT(ISNUMBER($T1088))),"Pending",IF(TODAY()&gt;$T1088,"OVERDUE","Due "&amp;TEXT($T1088,"mm/dd")))))</f>
        <v/>
      </c>
      <c r="V1088" s="16" t="n"/>
      <c r="W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K1089=1,IF(COUNTIFS(nrES_PID,$D1089,nrES_Code,$F1089,nrES_Att,2)&gt;0,"",$L1089),IF(COUNTIFS(nrES_PID,$D1089,nrES_Code,$F1089,nrES_Att,1)=0,$L1089,IF($L1089&gt;=$J1089,cfgRetakeRecordedCap,SUMIFS(nrES_Raw,nrES_PID,$D1089,nrES_Code,$F1089,nrES_Att,1))))))</f>
        <v/>
      </c>
      <c r="N1089" s="17">
        <f>IF($C1089="","",IF($L1089="","",IF($L1089&gt;=$J1089,"Yes","No")))</f>
        <v/>
      </c>
      <c r="O1089" s="17">
        <f>IF($C1089="","",IF($M1089="","",IF($M1089&gt;=$J1089,"Yes","No")))</f>
        <v/>
      </c>
      <c r="P1089" s="17">
        <f>IF($C1089="","",IF($K1089="","",IF(COUNTIFS(nrES_PID,$D1089,nrES_Code,$F1089,nrES_Att,"&gt;"&amp;$K1089)=0,"Yes","No")))</f>
        <v/>
      </c>
      <c r="Q1089" s="17">
        <f>IF($C1089="","",IF($L1089="","",IF(AND($K1089=1,$L1089&lt;$J1089,COUNTIFS(nrES_PID,$D1089,nrES_Code,$F1089,nrES_Att,2)=0),"Yes","No")))</f>
        <v/>
      </c>
      <c r="R1089" s="17">
        <f>IF($C1089="","",IF($L1089="","",IF(AND($K1089=2,$L1089&lt;$J1089,COUNTIFS(nrES_PID,$D1089,nrES_Code,$F1089,nrES_Att,1)&gt;0),"Yes","No")))</f>
        <v/>
      </c>
      <c r="S1089" s="18" t="n"/>
      <c r="T1089" s="19">
        <f>IF($Q1089&lt;&gt;"Yes","",IF($S1089="","(enter date)",_xlfn.LET(_xlpm.dn,IFERROR(_xlfn.XLOOKUP($S1089,nrCDdate,nrCDnum),""),IF(_xlpm.dn="","(not a class day)",IFERROR(_xlfn.XLOOKUP(_xlpm.dn+cfgRetestClassDays,nrCDnum,nrCDdate),"")))))</f>
        <v/>
      </c>
      <c r="U1089" s="17">
        <f>IF($Q1089&lt;&gt;"Yes","",IF(COUNTIFS(nrES_PID,$D1089,nrES_Code,$F1089,nrES_Att,2)&gt;0,"Retested",IF(OR($T1089="",NOT(ISNUMBER($T1089))),"Pending",IF(TODAY()&gt;$T1089,"OVERDUE","Due "&amp;TEXT($T1089,"mm/dd")))))</f>
        <v/>
      </c>
      <c r="V1089" s="16" t="n"/>
      <c r="W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K1090=1,IF(COUNTIFS(nrES_PID,$D1090,nrES_Code,$F1090,nrES_Att,2)&gt;0,"",$L1090),IF(COUNTIFS(nrES_PID,$D1090,nrES_Code,$F1090,nrES_Att,1)=0,$L1090,IF($L1090&gt;=$J1090,cfgRetakeRecordedCap,SUMIFS(nrES_Raw,nrES_PID,$D1090,nrES_Code,$F1090,nrES_Att,1))))))</f>
        <v/>
      </c>
      <c r="N1090" s="17">
        <f>IF($C1090="","",IF($L1090="","",IF($L1090&gt;=$J1090,"Yes","No")))</f>
        <v/>
      </c>
      <c r="O1090" s="17">
        <f>IF($C1090="","",IF($M1090="","",IF($M1090&gt;=$J1090,"Yes","No")))</f>
        <v/>
      </c>
      <c r="P1090" s="17">
        <f>IF($C1090="","",IF($K1090="","",IF(COUNTIFS(nrES_PID,$D1090,nrES_Code,$F1090,nrES_Att,"&gt;"&amp;$K1090)=0,"Yes","No")))</f>
        <v/>
      </c>
      <c r="Q1090" s="17">
        <f>IF($C1090="","",IF($L1090="","",IF(AND($K1090=1,$L1090&lt;$J1090,COUNTIFS(nrES_PID,$D1090,nrES_Code,$F1090,nrES_Att,2)=0),"Yes","No")))</f>
        <v/>
      </c>
      <c r="R1090" s="17">
        <f>IF($C1090="","",IF($L1090="","",IF(AND($K1090=2,$L1090&lt;$J1090,COUNTIFS(nrES_PID,$D1090,nrES_Code,$F1090,nrES_Att,1)&gt;0),"Yes","No")))</f>
        <v/>
      </c>
      <c r="S1090" s="18" t="n"/>
      <c r="T1090" s="19">
        <f>IF($Q1090&lt;&gt;"Yes","",IF($S1090="","(enter date)",_xlfn.LET(_xlpm.dn,IFERROR(_xlfn.XLOOKUP($S1090,nrCDdate,nrCDnum),""),IF(_xlpm.dn="","(not a class day)",IFERROR(_xlfn.XLOOKUP(_xlpm.dn+cfgRetestClassDays,nrCDnum,nrCDdate),"")))))</f>
        <v/>
      </c>
      <c r="U1090" s="17">
        <f>IF($Q1090&lt;&gt;"Yes","",IF(COUNTIFS(nrES_PID,$D1090,nrES_Code,$F1090,nrES_Att,2)&gt;0,"Retested",IF(OR($T1090="",NOT(ISNUMBER($T1090))),"Pending",IF(TODAY()&gt;$T1090,"OVERDUE","Due "&amp;TEXT($T1090,"mm/dd")))))</f>
        <v/>
      </c>
      <c r="V1090" s="16" t="n"/>
      <c r="W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K1091=1,IF(COUNTIFS(nrES_PID,$D1091,nrES_Code,$F1091,nrES_Att,2)&gt;0,"",$L1091),IF(COUNTIFS(nrES_PID,$D1091,nrES_Code,$F1091,nrES_Att,1)=0,$L1091,IF($L1091&gt;=$J1091,cfgRetakeRecordedCap,SUMIFS(nrES_Raw,nrES_PID,$D1091,nrES_Code,$F1091,nrES_Att,1))))))</f>
        <v/>
      </c>
      <c r="N1091" s="17">
        <f>IF($C1091="","",IF($L1091="","",IF($L1091&gt;=$J1091,"Yes","No")))</f>
        <v/>
      </c>
      <c r="O1091" s="17">
        <f>IF($C1091="","",IF($M1091="","",IF($M1091&gt;=$J1091,"Yes","No")))</f>
        <v/>
      </c>
      <c r="P1091" s="17">
        <f>IF($C1091="","",IF($K1091="","",IF(COUNTIFS(nrES_PID,$D1091,nrES_Code,$F1091,nrES_Att,"&gt;"&amp;$K1091)=0,"Yes","No")))</f>
        <v/>
      </c>
      <c r="Q1091" s="17">
        <f>IF($C1091="","",IF($L1091="","",IF(AND($K1091=1,$L1091&lt;$J1091,COUNTIFS(nrES_PID,$D1091,nrES_Code,$F1091,nrES_Att,2)=0),"Yes","No")))</f>
        <v/>
      </c>
      <c r="R1091" s="17">
        <f>IF($C1091="","",IF($L1091="","",IF(AND($K1091=2,$L1091&lt;$J1091,COUNTIFS(nrES_PID,$D1091,nrES_Code,$F1091,nrES_Att,1)&gt;0),"Yes","No")))</f>
        <v/>
      </c>
      <c r="S1091" s="18" t="n"/>
      <c r="T1091" s="19">
        <f>IF($Q1091&lt;&gt;"Yes","",IF($S1091="","(enter date)",_xlfn.LET(_xlpm.dn,IFERROR(_xlfn.XLOOKUP($S1091,nrCDdate,nrCDnum),""),IF(_xlpm.dn="","(not a class day)",IFERROR(_xlfn.XLOOKUP(_xlpm.dn+cfgRetestClassDays,nrCDnum,nrCDdate),"")))))</f>
        <v/>
      </c>
      <c r="U1091" s="17">
        <f>IF($Q1091&lt;&gt;"Yes","",IF(COUNTIFS(nrES_PID,$D1091,nrES_Code,$F1091,nrES_Att,2)&gt;0,"Retested",IF(OR($T1091="",NOT(ISNUMBER($T1091))),"Pending",IF(TODAY()&gt;$T1091,"OVERDUE","Due "&amp;TEXT($T1091,"mm/dd")))))</f>
        <v/>
      </c>
      <c r="V1091" s="16" t="n"/>
      <c r="W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K1092=1,IF(COUNTIFS(nrES_PID,$D1092,nrES_Code,$F1092,nrES_Att,2)&gt;0,"",$L1092),IF(COUNTIFS(nrES_PID,$D1092,nrES_Code,$F1092,nrES_Att,1)=0,$L1092,IF($L1092&gt;=$J1092,cfgRetakeRecordedCap,SUMIFS(nrES_Raw,nrES_PID,$D1092,nrES_Code,$F1092,nrES_Att,1))))))</f>
        <v/>
      </c>
      <c r="N1092" s="17">
        <f>IF($C1092="","",IF($L1092="","",IF($L1092&gt;=$J1092,"Yes","No")))</f>
        <v/>
      </c>
      <c r="O1092" s="17">
        <f>IF($C1092="","",IF($M1092="","",IF($M1092&gt;=$J1092,"Yes","No")))</f>
        <v/>
      </c>
      <c r="P1092" s="17">
        <f>IF($C1092="","",IF($K1092="","",IF(COUNTIFS(nrES_PID,$D1092,nrES_Code,$F1092,nrES_Att,"&gt;"&amp;$K1092)=0,"Yes","No")))</f>
        <v/>
      </c>
      <c r="Q1092" s="17">
        <f>IF($C1092="","",IF($L1092="","",IF(AND($K1092=1,$L1092&lt;$J1092,COUNTIFS(nrES_PID,$D1092,nrES_Code,$F1092,nrES_Att,2)=0),"Yes","No")))</f>
        <v/>
      </c>
      <c r="R1092" s="17">
        <f>IF($C1092="","",IF($L1092="","",IF(AND($K1092=2,$L1092&lt;$J1092,COUNTIFS(nrES_PID,$D1092,nrES_Code,$F1092,nrES_Att,1)&gt;0),"Yes","No")))</f>
        <v/>
      </c>
      <c r="S1092" s="18" t="n"/>
      <c r="T1092" s="19">
        <f>IF($Q1092&lt;&gt;"Yes","",IF($S1092="","(enter date)",_xlfn.LET(_xlpm.dn,IFERROR(_xlfn.XLOOKUP($S1092,nrCDdate,nrCDnum),""),IF(_xlpm.dn="","(not a class day)",IFERROR(_xlfn.XLOOKUP(_xlpm.dn+cfgRetestClassDays,nrCDnum,nrCDdate),"")))))</f>
        <v/>
      </c>
      <c r="U1092" s="17">
        <f>IF($Q1092&lt;&gt;"Yes","",IF(COUNTIFS(nrES_PID,$D1092,nrES_Code,$F1092,nrES_Att,2)&gt;0,"Retested",IF(OR($T1092="",NOT(ISNUMBER($T1092))),"Pending",IF(TODAY()&gt;$T1092,"OVERDUE","Due "&amp;TEXT($T1092,"mm/dd")))))</f>
        <v/>
      </c>
      <c r="V1092" s="16" t="n"/>
      <c r="W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K1093=1,IF(COUNTIFS(nrES_PID,$D1093,nrES_Code,$F1093,nrES_Att,2)&gt;0,"",$L1093),IF(COUNTIFS(nrES_PID,$D1093,nrES_Code,$F1093,nrES_Att,1)=0,$L1093,IF($L1093&gt;=$J1093,cfgRetakeRecordedCap,SUMIFS(nrES_Raw,nrES_PID,$D1093,nrES_Code,$F1093,nrES_Att,1))))))</f>
        <v/>
      </c>
      <c r="N1093" s="17">
        <f>IF($C1093="","",IF($L1093="","",IF($L1093&gt;=$J1093,"Yes","No")))</f>
        <v/>
      </c>
      <c r="O1093" s="17">
        <f>IF($C1093="","",IF($M1093="","",IF($M1093&gt;=$J1093,"Yes","No")))</f>
        <v/>
      </c>
      <c r="P1093" s="17">
        <f>IF($C1093="","",IF($K1093="","",IF(COUNTIFS(nrES_PID,$D1093,nrES_Code,$F1093,nrES_Att,"&gt;"&amp;$K1093)=0,"Yes","No")))</f>
        <v/>
      </c>
      <c r="Q1093" s="17">
        <f>IF($C1093="","",IF($L1093="","",IF(AND($K1093=1,$L1093&lt;$J1093,COUNTIFS(nrES_PID,$D1093,nrES_Code,$F1093,nrES_Att,2)=0),"Yes","No")))</f>
        <v/>
      </c>
      <c r="R1093" s="17">
        <f>IF($C1093="","",IF($L1093="","",IF(AND($K1093=2,$L1093&lt;$J1093,COUNTIFS(nrES_PID,$D1093,nrES_Code,$F1093,nrES_Att,1)&gt;0),"Yes","No")))</f>
        <v/>
      </c>
      <c r="S1093" s="18" t="n"/>
      <c r="T1093" s="19">
        <f>IF($Q1093&lt;&gt;"Yes","",IF($S1093="","(enter date)",_xlfn.LET(_xlpm.dn,IFERROR(_xlfn.XLOOKUP($S1093,nrCDdate,nrCDnum),""),IF(_xlpm.dn="","(not a class day)",IFERROR(_xlfn.XLOOKUP(_xlpm.dn+cfgRetestClassDays,nrCDnum,nrCDdate),"")))))</f>
        <v/>
      </c>
      <c r="U1093" s="17">
        <f>IF($Q1093&lt;&gt;"Yes","",IF(COUNTIFS(nrES_PID,$D1093,nrES_Code,$F1093,nrES_Att,2)&gt;0,"Retested",IF(OR($T1093="",NOT(ISNUMBER($T1093))),"Pending",IF(TODAY()&gt;$T1093,"OVERDUE","Due "&amp;TEXT($T1093,"mm/dd")))))</f>
        <v/>
      </c>
      <c r="V1093" s="16" t="n"/>
      <c r="W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K1094=1,IF(COUNTIFS(nrES_PID,$D1094,nrES_Code,$F1094,nrES_Att,2)&gt;0,"",$L1094),IF(COUNTIFS(nrES_PID,$D1094,nrES_Code,$F1094,nrES_Att,1)=0,$L1094,IF($L1094&gt;=$J1094,cfgRetakeRecordedCap,SUMIFS(nrES_Raw,nrES_PID,$D1094,nrES_Code,$F1094,nrES_Att,1))))))</f>
        <v/>
      </c>
      <c r="N1094" s="17">
        <f>IF($C1094="","",IF($L1094="","",IF($L1094&gt;=$J1094,"Yes","No")))</f>
        <v/>
      </c>
      <c r="O1094" s="17">
        <f>IF($C1094="","",IF($M1094="","",IF($M1094&gt;=$J1094,"Yes","No")))</f>
        <v/>
      </c>
      <c r="P1094" s="17">
        <f>IF($C1094="","",IF($K1094="","",IF(COUNTIFS(nrES_PID,$D1094,nrES_Code,$F1094,nrES_Att,"&gt;"&amp;$K1094)=0,"Yes","No")))</f>
        <v/>
      </c>
      <c r="Q1094" s="17">
        <f>IF($C1094="","",IF($L1094="","",IF(AND($K1094=1,$L1094&lt;$J1094,COUNTIFS(nrES_PID,$D1094,nrES_Code,$F1094,nrES_Att,2)=0),"Yes","No")))</f>
        <v/>
      </c>
      <c r="R1094" s="17">
        <f>IF($C1094="","",IF($L1094="","",IF(AND($K1094=2,$L1094&lt;$J1094,COUNTIFS(nrES_PID,$D1094,nrES_Code,$F1094,nrES_Att,1)&gt;0),"Yes","No")))</f>
        <v/>
      </c>
      <c r="S1094" s="18" t="n"/>
      <c r="T1094" s="19">
        <f>IF($Q1094&lt;&gt;"Yes","",IF($S1094="","(enter date)",_xlfn.LET(_xlpm.dn,IFERROR(_xlfn.XLOOKUP($S1094,nrCDdate,nrCDnum),""),IF(_xlpm.dn="","(not a class day)",IFERROR(_xlfn.XLOOKUP(_xlpm.dn+cfgRetestClassDays,nrCDnum,nrCDdate),"")))))</f>
        <v/>
      </c>
      <c r="U1094" s="17">
        <f>IF($Q1094&lt;&gt;"Yes","",IF(COUNTIFS(nrES_PID,$D1094,nrES_Code,$F1094,nrES_Att,2)&gt;0,"Retested",IF(OR($T1094="",NOT(ISNUMBER($T1094))),"Pending",IF(TODAY()&gt;$T1094,"OVERDUE","Due "&amp;TEXT($T1094,"mm/dd")))))</f>
        <v/>
      </c>
      <c r="V1094" s="16" t="n"/>
      <c r="W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K1095=1,IF(COUNTIFS(nrES_PID,$D1095,nrES_Code,$F1095,nrES_Att,2)&gt;0,"",$L1095),IF(COUNTIFS(nrES_PID,$D1095,nrES_Code,$F1095,nrES_Att,1)=0,$L1095,IF($L1095&gt;=$J1095,cfgRetakeRecordedCap,SUMIFS(nrES_Raw,nrES_PID,$D1095,nrES_Code,$F1095,nrES_Att,1))))))</f>
        <v/>
      </c>
      <c r="N1095" s="17">
        <f>IF($C1095="","",IF($L1095="","",IF($L1095&gt;=$J1095,"Yes","No")))</f>
        <v/>
      </c>
      <c r="O1095" s="17">
        <f>IF($C1095="","",IF($M1095="","",IF($M1095&gt;=$J1095,"Yes","No")))</f>
        <v/>
      </c>
      <c r="P1095" s="17">
        <f>IF($C1095="","",IF($K1095="","",IF(COUNTIFS(nrES_PID,$D1095,nrES_Code,$F1095,nrES_Att,"&gt;"&amp;$K1095)=0,"Yes","No")))</f>
        <v/>
      </c>
      <c r="Q1095" s="17">
        <f>IF($C1095="","",IF($L1095="","",IF(AND($K1095=1,$L1095&lt;$J1095,COUNTIFS(nrES_PID,$D1095,nrES_Code,$F1095,nrES_Att,2)=0),"Yes","No")))</f>
        <v/>
      </c>
      <c r="R1095" s="17">
        <f>IF($C1095="","",IF($L1095="","",IF(AND($K1095=2,$L1095&lt;$J1095,COUNTIFS(nrES_PID,$D1095,nrES_Code,$F1095,nrES_Att,1)&gt;0),"Yes","No")))</f>
        <v/>
      </c>
      <c r="S1095" s="18" t="n"/>
      <c r="T1095" s="19">
        <f>IF($Q1095&lt;&gt;"Yes","",IF($S1095="","(enter date)",_xlfn.LET(_xlpm.dn,IFERROR(_xlfn.XLOOKUP($S1095,nrCDdate,nrCDnum),""),IF(_xlpm.dn="","(not a class day)",IFERROR(_xlfn.XLOOKUP(_xlpm.dn+cfgRetestClassDays,nrCDnum,nrCDdate),"")))))</f>
        <v/>
      </c>
      <c r="U1095" s="17">
        <f>IF($Q1095&lt;&gt;"Yes","",IF(COUNTIFS(nrES_PID,$D1095,nrES_Code,$F1095,nrES_Att,2)&gt;0,"Retested",IF(OR($T1095="",NOT(ISNUMBER($T1095))),"Pending",IF(TODAY()&gt;$T1095,"OVERDUE","Due "&amp;TEXT($T1095,"mm/dd")))))</f>
        <v/>
      </c>
      <c r="V1095" s="16" t="n"/>
      <c r="W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K1096=1,IF(COUNTIFS(nrES_PID,$D1096,nrES_Code,$F1096,nrES_Att,2)&gt;0,"",$L1096),IF(COUNTIFS(nrES_PID,$D1096,nrES_Code,$F1096,nrES_Att,1)=0,$L1096,IF($L1096&gt;=$J1096,cfgRetakeRecordedCap,SUMIFS(nrES_Raw,nrES_PID,$D1096,nrES_Code,$F1096,nrES_Att,1))))))</f>
        <v/>
      </c>
      <c r="N1096" s="17">
        <f>IF($C1096="","",IF($L1096="","",IF($L1096&gt;=$J1096,"Yes","No")))</f>
        <v/>
      </c>
      <c r="O1096" s="17">
        <f>IF($C1096="","",IF($M1096="","",IF($M1096&gt;=$J1096,"Yes","No")))</f>
        <v/>
      </c>
      <c r="P1096" s="17">
        <f>IF($C1096="","",IF($K1096="","",IF(COUNTIFS(nrES_PID,$D1096,nrES_Code,$F1096,nrES_Att,"&gt;"&amp;$K1096)=0,"Yes","No")))</f>
        <v/>
      </c>
      <c r="Q1096" s="17">
        <f>IF($C1096="","",IF($L1096="","",IF(AND($K1096=1,$L1096&lt;$J1096,COUNTIFS(nrES_PID,$D1096,nrES_Code,$F1096,nrES_Att,2)=0),"Yes","No")))</f>
        <v/>
      </c>
      <c r="R1096" s="17">
        <f>IF($C1096="","",IF($L1096="","",IF(AND($K1096=2,$L1096&lt;$J1096,COUNTIFS(nrES_PID,$D1096,nrES_Code,$F1096,nrES_Att,1)&gt;0),"Yes","No")))</f>
        <v/>
      </c>
      <c r="S1096" s="18" t="n"/>
      <c r="T1096" s="19">
        <f>IF($Q1096&lt;&gt;"Yes","",IF($S1096="","(enter date)",_xlfn.LET(_xlpm.dn,IFERROR(_xlfn.XLOOKUP($S1096,nrCDdate,nrCDnum),""),IF(_xlpm.dn="","(not a class day)",IFERROR(_xlfn.XLOOKUP(_xlpm.dn+cfgRetestClassDays,nrCDnum,nrCDdate),"")))))</f>
        <v/>
      </c>
      <c r="U1096" s="17">
        <f>IF($Q1096&lt;&gt;"Yes","",IF(COUNTIFS(nrES_PID,$D1096,nrES_Code,$F1096,nrES_Att,2)&gt;0,"Retested",IF(OR($T1096="",NOT(ISNUMBER($T1096))),"Pending",IF(TODAY()&gt;$T1096,"OVERDUE","Due "&amp;TEXT($T1096,"mm/dd")))))</f>
        <v/>
      </c>
      <c r="V1096" s="16" t="n"/>
      <c r="W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K1097=1,IF(COUNTIFS(nrES_PID,$D1097,nrES_Code,$F1097,nrES_Att,2)&gt;0,"",$L1097),IF(COUNTIFS(nrES_PID,$D1097,nrES_Code,$F1097,nrES_Att,1)=0,$L1097,IF($L1097&gt;=$J1097,cfgRetakeRecordedCap,SUMIFS(nrES_Raw,nrES_PID,$D1097,nrES_Code,$F1097,nrES_Att,1))))))</f>
        <v/>
      </c>
      <c r="N1097" s="17">
        <f>IF($C1097="","",IF($L1097="","",IF($L1097&gt;=$J1097,"Yes","No")))</f>
        <v/>
      </c>
      <c r="O1097" s="17">
        <f>IF($C1097="","",IF($M1097="","",IF($M1097&gt;=$J1097,"Yes","No")))</f>
        <v/>
      </c>
      <c r="P1097" s="17">
        <f>IF($C1097="","",IF($K1097="","",IF(COUNTIFS(nrES_PID,$D1097,nrES_Code,$F1097,nrES_Att,"&gt;"&amp;$K1097)=0,"Yes","No")))</f>
        <v/>
      </c>
      <c r="Q1097" s="17">
        <f>IF($C1097="","",IF($L1097="","",IF(AND($K1097=1,$L1097&lt;$J1097,COUNTIFS(nrES_PID,$D1097,nrES_Code,$F1097,nrES_Att,2)=0),"Yes","No")))</f>
        <v/>
      </c>
      <c r="R1097" s="17">
        <f>IF($C1097="","",IF($L1097="","",IF(AND($K1097=2,$L1097&lt;$J1097,COUNTIFS(nrES_PID,$D1097,nrES_Code,$F1097,nrES_Att,1)&gt;0),"Yes","No")))</f>
        <v/>
      </c>
      <c r="S1097" s="18" t="n"/>
      <c r="T1097" s="19">
        <f>IF($Q1097&lt;&gt;"Yes","",IF($S1097="","(enter date)",_xlfn.LET(_xlpm.dn,IFERROR(_xlfn.XLOOKUP($S1097,nrCDdate,nrCDnum),""),IF(_xlpm.dn="","(not a class day)",IFERROR(_xlfn.XLOOKUP(_xlpm.dn+cfgRetestClassDays,nrCDnum,nrCDdate),"")))))</f>
        <v/>
      </c>
      <c r="U1097" s="17">
        <f>IF($Q1097&lt;&gt;"Yes","",IF(COUNTIFS(nrES_PID,$D1097,nrES_Code,$F1097,nrES_Att,2)&gt;0,"Retested",IF(OR($T1097="",NOT(ISNUMBER($T1097))),"Pending",IF(TODAY()&gt;$T1097,"OVERDUE","Due "&amp;TEXT($T1097,"mm/dd")))))</f>
        <v/>
      </c>
      <c r="V1097" s="16" t="n"/>
      <c r="W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K1098=1,IF(COUNTIFS(nrES_PID,$D1098,nrES_Code,$F1098,nrES_Att,2)&gt;0,"",$L1098),IF(COUNTIFS(nrES_PID,$D1098,nrES_Code,$F1098,nrES_Att,1)=0,$L1098,IF($L1098&gt;=$J1098,cfgRetakeRecordedCap,SUMIFS(nrES_Raw,nrES_PID,$D1098,nrES_Code,$F1098,nrES_Att,1))))))</f>
        <v/>
      </c>
      <c r="N1098" s="17">
        <f>IF($C1098="","",IF($L1098="","",IF($L1098&gt;=$J1098,"Yes","No")))</f>
        <v/>
      </c>
      <c r="O1098" s="17">
        <f>IF($C1098="","",IF($M1098="","",IF($M1098&gt;=$J1098,"Yes","No")))</f>
        <v/>
      </c>
      <c r="P1098" s="17">
        <f>IF($C1098="","",IF($K1098="","",IF(COUNTIFS(nrES_PID,$D1098,nrES_Code,$F1098,nrES_Att,"&gt;"&amp;$K1098)=0,"Yes","No")))</f>
        <v/>
      </c>
      <c r="Q1098" s="17">
        <f>IF($C1098="","",IF($L1098="","",IF(AND($K1098=1,$L1098&lt;$J1098,COUNTIFS(nrES_PID,$D1098,nrES_Code,$F1098,nrES_Att,2)=0),"Yes","No")))</f>
        <v/>
      </c>
      <c r="R1098" s="17">
        <f>IF($C1098="","",IF($L1098="","",IF(AND($K1098=2,$L1098&lt;$J1098,COUNTIFS(nrES_PID,$D1098,nrES_Code,$F1098,nrES_Att,1)&gt;0),"Yes","No")))</f>
        <v/>
      </c>
      <c r="S1098" s="18" t="n"/>
      <c r="T1098" s="19">
        <f>IF($Q1098&lt;&gt;"Yes","",IF($S1098="","(enter date)",_xlfn.LET(_xlpm.dn,IFERROR(_xlfn.XLOOKUP($S1098,nrCDdate,nrCDnum),""),IF(_xlpm.dn="","(not a class day)",IFERROR(_xlfn.XLOOKUP(_xlpm.dn+cfgRetestClassDays,nrCDnum,nrCDdate),"")))))</f>
        <v/>
      </c>
      <c r="U1098" s="17">
        <f>IF($Q1098&lt;&gt;"Yes","",IF(COUNTIFS(nrES_PID,$D1098,nrES_Code,$F1098,nrES_Att,2)&gt;0,"Retested",IF(OR($T1098="",NOT(ISNUMBER($T1098))),"Pending",IF(TODAY()&gt;$T1098,"OVERDUE","Due "&amp;TEXT($T1098,"mm/dd")))))</f>
        <v/>
      </c>
      <c r="V1098" s="16" t="n"/>
      <c r="W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K1099=1,IF(COUNTIFS(nrES_PID,$D1099,nrES_Code,$F1099,nrES_Att,2)&gt;0,"",$L1099),IF(COUNTIFS(nrES_PID,$D1099,nrES_Code,$F1099,nrES_Att,1)=0,$L1099,IF($L1099&gt;=$J1099,cfgRetakeRecordedCap,SUMIFS(nrES_Raw,nrES_PID,$D1099,nrES_Code,$F1099,nrES_Att,1))))))</f>
        <v/>
      </c>
      <c r="N1099" s="17">
        <f>IF($C1099="","",IF($L1099="","",IF($L1099&gt;=$J1099,"Yes","No")))</f>
        <v/>
      </c>
      <c r="O1099" s="17">
        <f>IF($C1099="","",IF($M1099="","",IF($M1099&gt;=$J1099,"Yes","No")))</f>
        <v/>
      </c>
      <c r="P1099" s="17">
        <f>IF($C1099="","",IF($K1099="","",IF(COUNTIFS(nrES_PID,$D1099,nrES_Code,$F1099,nrES_Att,"&gt;"&amp;$K1099)=0,"Yes","No")))</f>
        <v/>
      </c>
      <c r="Q1099" s="17">
        <f>IF($C1099="","",IF($L1099="","",IF(AND($K1099=1,$L1099&lt;$J1099,COUNTIFS(nrES_PID,$D1099,nrES_Code,$F1099,nrES_Att,2)=0),"Yes","No")))</f>
        <v/>
      </c>
      <c r="R1099" s="17">
        <f>IF($C1099="","",IF($L1099="","",IF(AND($K1099=2,$L1099&lt;$J1099,COUNTIFS(nrES_PID,$D1099,nrES_Code,$F1099,nrES_Att,1)&gt;0),"Yes","No")))</f>
        <v/>
      </c>
      <c r="S1099" s="18" t="n"/>
      <c r="T1099" s="19">
        <f>IF($Q1099&lt;&gt;"Yes","",IF($S1099="","(enter date)",_xlfn.LET(_xlpm.dn,IFERROR(_xlfn.XLOOKUP($S1099,nrCDdate,nrCDnum),""),IF(_xlpm.dn="","(not a class day)",IFERROR(_xlfn.XLOOKUP(_xlpm.dn+cfgRetestClassDays,nrCDnum,nrCDdate),"")))))</f>
        <v/>
      </c>
      <c r="U1099" s="17">
        <f>IF($Q1099&lt;&gt;"Yes","",IF(COUNTIFS(nrES_PID,$D1099,nrES_Code,$F1099,nrES_Att,2)&gt;0,"Retested",IF(OR($T1099="",NOT(ISNUMBER($T1099))),"Pending",IF(TODAY()&gt;$T1099,"OVERDUE","Due "&amp;TEXT($T1099,"mm/dd")))))</f>
        <v/>
      </c>
      <c r="V1099" s="16" t="n"/>
      <c r="W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K1100=1,IF(COUNTIFS(nrES_PID,$D1100,nrES_Code,$F1100,nrES_Att,2)&gt;0,"",$L1100),IF(COUNTIFS(nrES_PID,$D1100,nrES_Code,$F1100,nrES_Att,1)=0,$L1100,IF($L1100&gt;=$J1100,cfgRetakeRecordedCap,SUMIFS(nrES_Raw,nrES_PID,$D1100,nrES_Code,$F1100,nrES_Att,1))))))</f>
        <v/>
      </c>
      <c r="N1100" s="17">
        <f>IF($C1100="","",IF($L1100="","",IF($L1100&gt;=$J1100,"Yes","No")))</f>
        <v/>
      </c>
      <c r="O1100" s="17">
        <f>IF($C1100="","",IF($M1100="","",IF($M1100&gt;=$J1100,"Yes","No")))</f>
        <v/>
      </c>
      <c r="P1100" s="17">
        <f>IF($C1100="","",IF($K1100="","",IF(COUNTIFS(nrES_PID,$D1100,nrES_Code,$F1100,nrES_Att,"&gt;"&amp;$K1100)=0,"Yes","No")))</f>
        <v/>
      </c>
      <c r="Q1100" s="17">
        <f>IF($C1100="","",IF($L1100="","",IF(AND($K1100=1,$L1100&lt;$J1100,COUNTIFS(nrES_PID,$D1100,nrES_Code,$F1100,nrES_Att,2)=0),"Yes","No")))</f>
        <v/>
      </c>
      <c r="R1100" s="17">
        <f>IF($C1100="","",IF($L1100="","",IF(AND($K1100=2,$L1100&lt;$J1100,COUNTIFS(nrES_PID,$D1100,nrES_Code,$F1100,nrES_Att,1)&gt;0),"Yes","No")))</f>
        <v/>
      </c>
      <c r="S1100" s="18" t="n"/>
      <c r="T1100" s="19">
        <f>IF($Q1100&lt;&gt;"Yes","",IF($S1100="","(enter date)",_xlfn.LET(_xlpm.dn,IFERROR(_xlfn.XLOOKUP($S1100,nrCDdate,nrCDnum),""),IF(_xlpm.dn="","(not a class day)",IFERROR(_xlfn.XLOOKUP(_xlpm.dn+cfgRetestClassDays,nrCDnum,nrCDdate),"")))))</f>
        <v/>
      </c>
      <c r="U1100" s="17">
        <f>IF($Q1100&lt;&gt;"Yes","",IF(COUNTIFS(nrES_PID,$D1100,nrES_Code,$F1100,nrES_Att,2)&gt;0,"Retested",IF(OR($T1100="",NOT(ISNUMBER($T1100))),"Pending",IF(TODAY()&gt;$T1100,"OVERDUE","Due "&amp;TEXT($T1100,"mm/dd")))))</f>
        <v/>
      </c>
      <c r="V1100" s="16" t="n"/>
      <c r="W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K1101=1,IF(COUNTIFS(nrES_PID,$D1101,nrES_Code,$F1101,nrES_Att,2)&gt;0,"",$L1101),IF(COUNTIFS(nrES_PID,$D1101,nrES_Code,$F1101,nrES_Att,1)=0,$L1101,IF($L1101&gt;=$J1101,cfgRetakeRecordedCap,SUMIFS(nrES_Raw,nrES_PID,$D1101,nrES_Code,$F1101,nrES_Att,1))))))</f>
        <v/>
      </c>
      <c r="N1101" s="17">
        <f>IF($C1101="","",IF($L1101="","",IF($L1101&gt;=$J1101,"Yes","No")))</f>
        <v/>
      </c>
      <c r="O1101" s="17">
        <f>IF($C1101="","",IF($M1101="","",IF($M1101&gt;=$J1101,"Yes","No")))</f>
        <v/>
      </c>
      <c r="P1101" s="17">
        <f>IF($C1101="","",IF($K1101="","",IF(COUNTIFS(nrES_PID,$D1101,nrES_Code,$F1101,nrES_Att,"&gt;"&amp;$K1101)=0,"Yes","No")))</f>
        <v/>
      </c>
      <c r="Q1101" s="17">
        <f>IF($C1101="","",IF($L1101="","",IF(AND($K1101=1,$L1101&lt;$J1101,COUNTIFS(nrES_PID,$D1101,nrES_Code,$F1101,nrES_Att,2)=0),"Yes","No")))</f>
        <v/>
      </c>
      <c r="R1101" s="17">
        <f>IF($C1101="","",IF($L1101="","",IF(AND($K1101=2,$L1101&lt;$J1101,COUNTIFS(nrES_PID,$D1101,nrES_Code,$F1101,nrES_Att,1)&gt;0),"Yes","No")))</f>
        <v/>
      </c>
      <c r="S1101" s="18" t="n"/>
      <c r="T1101" s="19">
        <f>IF($Q1101&lt;&gt;"Yes","",IF($S1101="","(enter date)",_xlfn.LET(_xlpm.dn,IFERROR(_xlfn.XLOOKUP($S1101,nrCDdate,nrCDnum),""),IF(_xlpm.dn="","(not a class day)",IFERROR(_xlfn.XLOOKUP(_xlpm.dn+cfgRetestClassDays,nrCDnum,nrCDdate),"")))))</f>
        <v/>
      </c>
      <c r="U1101" s="17">
        <f>IF($Q1101&lt;&gt;"Yes","",IF(COUNTIFS(nrES_PID,$D1101,nrES_Code,$F1101,nrES_Att,2)&gt;0,"Retested",IF(OR($T1101="",NOT(ISNUMBER($T1101))),"Pending",IF(TODAY()&gt;$T1101,"OVERDUE","Due "&amp;TEXT($T1101,"mm/dd")))))</f>
        <v/>
      </c>
      <c r="V1101" s="16" t="n"/>
      <c r="W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K1102=1,IF(COUNTIFS(nrES_PID,$D1102,nrES_Code,$F1102,nrES_Att,2)&gt;0,"",$L1102),IF(COUNTIFS(nrES_PID,$D1102,nrES_Code,$F1102,nrES_Att,1)=0,$L1102,IF($L1102&gt;=$J1102,cfgRetakeRecordedCap,SUMIFS(nrES_Raw,nrES_PID,$D1102,nrES_Code,$F1102,nrES_Att,1))))))</f>
        <v/>
      </c>
      <c r="N1102" s="17">
        <f>IF($C1102="","",IF($L1102="","",IF($L1102&gt;=$J1102,"Yes","No")))</f>
        <v/>
      </c>
      <c r="O1102" s="17">
        <f>IF($C1102="","",IF($M1102="","",IF($M1102&gt;=$J1102,"Yes","No")))</f>
        <v/>
      </c>
      <c r="P1102" s="17">
        <f>IF($C1102="","",IF($K1102="","",IF(COUNTIFS(nrES_PID,$D1102,nrES_Code,$F1102,nrES_Att,"&gt;"&amp;$K1102)=0,"Yes","No")))</f>
        <v/>
      </c>
      <c r="Q1102" s="17">
        <f>IF($C1102="","",IF($L1102="","",IF(AND($K1102=1,$L1102&lt;$J1102,COUNTIFS(nrES_PID,$D1102,nrES_Code,$F1102,nrES_Att,2)=0),"Yes","No")))</f>
        <v/>
      </c>
      <c r="R1102" s="17">
        <f>IF($C1102="","",IF($L1102="","",IF(AND($K1102=2,$L1102&lt;$J1102,COUNTIFS(nrES_PID,$D1102,nrES_Code,$F1102,nrES_Att,1)&gt;0),"Yes","No")))</f>
        <v/>
      </c>
      <c r="S1102" s="18" t="n"/>
      <c r="T1102" s="19">
        <f>IF($Q1102&lt;&gt;"Yes","",IF($S1102="","(enter date)",_xlfn.LET(_xlpm.dn,IFERROR(_xlfn.XLOOKUP($S1102,nrCDdate,nrCDnum),""),IF(_xlpm.dn="","(not a class day)",IFERROR(_xlfn.XLOOKUP(_xlpm.dn+cfgRetestClassDays,nrCDnum,nrCDdate),"")))))</f>
        <v/>
      </c>
      <c r="U1102" s="17">
        <f>IF($Q1102&lt;&gt;"Yes","",IF(COUNTIFS(nrES_PID,$D1102,nrES_Code,$F1102,nrES_Att,2)&gt;0,"Retested",IF(OR($T1102="",NOT(ISNUMBER($T1102))),"Pending",IF(TODAY()&gt;$T1102,"OVERDUE","Due "&amp;TEXT($T1102,"mm/dd")))))</f>
        <v/>
      </c>
      <c r="V1102" s="16" t="n"/>
      <c r="W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K1103=1,IF(COUNTIFS(nrES_PID,$D1103,nrES_Code,$F1103,nrES_Att,2)&gt;0,"",$L1103),IF(COUNTIFS(nrES_PID,$D1103,nrES_Code,$F1103,nrES_Att,1)=0,$L1103,IF($L1103&gt;=$J1103,cfgRetakeRecordedCap,SUMIFS(nrES_Raw,nrES_PID,$D1103,nrES_Code,$F1103,nrES_Att,1))))))</f>
        <v/>
      </c>
      <c r="N1103" s="17">
        <f>IF($C1103="","",IF($L1103="","",IF($L1103&gt;=$J1103,"Yes","No")))</f>
        <v/>
      </c>
      <c r="O1103" s="17">
        <f>IF($C1103="","",IF($M1103="","",IF($M1103&gt;=$J1103,"Yes","No")))</f>
        <v/>
      </c>
      <c r="P1103" s="17">
        <f>IF($C1103="","",IF($K1103="","",IF(COUNTIFS(nrES_PID,$D1103,nrES_Code,$F1103,nrES_Att,"&gt;"&amp;$K1103)=0,"Yes","No")))</f>
        <v/>
      </c>
      <c r="Q1103" s="17">
        <f>IF($C1103="","",IF($L1103="","",IF(AND($K1103=1,$L1103&lt;$J1103,COUNTIFS(nrES_PID,$D1103,nrES_Code,$F1103,nrES_Att,2)=0),"Yes","No")))</f>
        <v/>
      </c>
      <c r="R1103" s="17">
        <f>IF($C1103="","",IF($L1103="","",IF(AND($K1103=2,$L1103&lt;$J1103,COUNTIFS(nrES_PID,$D1103,nrES_Code,$F1103,nrES_Att,1)&gt;0),"Yes","No")))</f>
        <v/>
      </c>
      <c r="S1103" s="18" t="n"/>
      <c r="T1103" s="19">
        <f>IF($Q1103&lt;&gt;"Yes","",IF($S1103="","(enter date)",_xlfn.LET(_xlpm.dn,IFERROR(_xlfn.XLOOKUP($S1103,nrCDdate,nrCDnum),""),IF(_xlpm.dn="","(not a class day)",IFERROR(_xlfn.XLOOKUP(_xlpm.dn+cfgRetestClassDays,nrCDnum,nrCDdate),"")))))</f>
        <v/>
      </c>
      <c r="U1103" s="17">
        <f>IF($Q1103&lt;&gt;"Yes","",IF(COUNTIFS(nrES_PID,$D1103,nrES_Code,$F1103,nrES_Att,2)&gt;0,"Retested",IF(OR($T1103="",NOT(ISNUMBER($T1103))),"Pending",IF(TODAY()&gt;$T1103,"OVERDUE","Due "&amp;TEXT($T1103,"mm/dd")))))</f>
        <v/>
      </c>
      <c r="V1103" s="16" t="n"/>
      <c r="W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K1104=1,IF(COUNTIFS(nrES_PID,$D1104,nrES_Code,$F1104,nrES_Att,2)&gt;0,"",$L1104),IF(COUNTIFS(nrES_PID,$D1104,nrES_Code,$F1104,nrES_Att,1)=0,$L1104,IF($L1104&gt;=$J1104,cfgRetakeRecordedCap,SUMIFS(nrES_Raw,nrES_PID,$D1104,nrES_Code,$F1104,nrES_Att,1))))))</f>
        <v/>
      </c>
      <c r="N1104" s="17">
        <f>IF($C1104="","",IF($L1104="","",IF($L1104&gt;=$J1104,"Yes","No")))</f>
        <v/>
      </c>
      <c r="O1104" s="17">
        <f>IF($C1104="","",IF($M1104="","",IF($M1104&gt;=$J1104,"Yes","No")))</f>
        <v/>
      </c>
      <c r="P1104" s="17">
        <f>IF($C1104="","",IF($K1104="","",IF(COUNTIFS(nrES_PID,$D1104,nrES_Code,$F1104,nrES_Att,"&gt;"&amp;$K1104)=0,"Yes","No")))</f>
        <v/>
      </c>
      <c r="Q1104" s="17">
        <f>IF($C1104="","",IF($L1104="","",IF(AND($K1104=1,$L1104&lt;$J1104,COUNTIFS(nrES_PID,$D1104,nrES_Code,$F1104,nrES_Att,2)=0),"Yes","No")))</f>
        <v/>
      </c>
      <c r="R1104" s="17">
        <f>IF($C1104="","",IF($L1104="","",IF(AND($K1104=2,$L1104&lt;$J1104,COUNTIFS(nrES_PID,$D1104,nrES_Code,$F1104,nrES_Att,1)&gt;0),"Yes","No")))</f>
        <v/>
      </c>
      <c r="S1104" s="18" t="n"/>
      <c r="T1104" s="19">
        <f>IF($Q1104&lt;&gt;"Yes","",IF($S1104="","(enter date)",_xlfn.LET(_xlpm.dn,IFERROR(_xlfn.XLOOKUP($S1104,nrCDdate,nrCDnum),""),IF(_xlpm.dn="","(not a class day)",IFERROR(_xlfn.XLOOKUP(_xlpm.dn+cfgRetestClassDays,nrCDnum,nrCDdate),"")))))</f>
        <v/>
      </c>
      <c r="U1104" s="17">
        <f>IF($Q1104&lt;&gt;"Yes","",IF(COUNTIFS(nrES_PID,$D1104,nrES_Code,$F1104,nrES_Att,2)&gt;0,"Retested",IF(OR($T1104="",NOT(ISNUMBER($T1104))),"Pending",IF(TODAY()&gt;$T1104,"OVERDUE","Due "&amp;TEXT($T1104,"mm/dd")))))</f>
        <v/>
      </c>
      <c r="V1104" s="16" t="n"/>
      <c r="W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K1105=1,IF(COUNTIFS(nrES_PID,$D1105,nrES_Code,$F1105,nrES_Att,2)&gt;0,"",$L1105),IF(COUNTIFS(nrES_PID,$D1105,nrES_Code,$F1105,nrES_Att,1)=0,$L1105,IF($L1105&gt;=$J1105,cfgRetakeRecordedCap,SUMIFS(nrES_Raw,nrES_PID,$D1105,nrES_Code,$F1105,nrES_Att,1))))))</f>
        <v/>
      </c>
      <c r="N1105" s="17">
        <f>IF($C1105="","",IF($L1105="","",IF($L1105&gt;=$J1105,"Yes","No")))</f>
        <v/>
      </c>
      <c r="O1105" s="17">
        <f>IF($C1105="","",IF($M1105="","",IF($M1105&gt;=$J1105,"Yes","No")))</f>
        <v/>
      </c>
      <c r="P1105" s="17">
        <f>IF($C1105="","",IF($K1105="","",IF(COUNTIFS(nrES_PID,$D1105,nrES_Code,$F1105,nrES_Att,"&gt;"&amp;$K1105)=0,"Yes","No")))</f>
        <v/>
      </c>
      <c r="Q1105" s="17">
        <f>IF($C1105="","",IF($L1105="","",IF(AND($K1105=1,$L1105&lt;$J1105,COUNTIFS(nrES_PID,$D1105,nrES_Code,$F1105,nrES_Att,2)=0),"Yes","No")))</f>
        <v/>
      </c>
      <c r="R1105" s="17">
        <f>IF($C1105="","",IF($L1105="","",IF(AND($K1105=2,$L1105&lt;$J1105,COUNTIFS(nrES_PID,$D1105,nrES_Code,$F1105,nrES_Att,1)&gt;0),"Yes","No")))</f>
        <v/>
      </c>
      <c r="S1105" s="18" t="n"/>
      <c r="T1105" s="19">
        <f>IF($Q1105&lt;&gt;"Yes","",IF($S1105="","(enter date)",_xlfn.LET(_xlpm.dn,IFERROR(_xlfn.XLOOKUP($S1105,nrCDdate,nrCDnum),""),IF(_xlpm.dn="","(not a class day)",IFERROR(_xlfn.XLOOKUP(_xlpm.dn+cfgRetestClassDays,nrCDnum,nrCDdate),"")))))</f>
        <v/>
      </c>
      <c r="U1105" s="17">
        <f>IF($Q1105&lt;&gt;"Yes","",IF(COUNTIFS(nrES_PID,$D1105,nrES_Code,$F1105,nrES_Att,2)&gt;0,"Retested",IF(OR($T1105="",NOT(ISNUMBER($T1105))),"Pending",IF(TODAY()&gt;$T1105,"OVERDUE","Due "&amp;TEXT($T1105,"mm/dd")))))</f>
        <v/>
      </c>
      <c r="V1105" s="16" t="n"/>
      <c r="W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K1106=1,IF(COUNTIFS(nrES_PID,$D1106,nrES_Code,$F1106,nrES_Att,2)&gt;0,"",$L1106),IF(COUNTIFS(nrES_PID,$D1106,nrES_Code,$F1106,nrES_Att,1)=0,$L1106,IF($L1106&gt;=$J1106,cfgRetakeRecordedCap,SUMIFS(nrES_Raw,nrES_PID,$D1106,nrES_Code,$F1106,nrES_Att,1))))))</f>
        <v/>
      </c>
      <c r="N1106" s="17">
        <f>IF($C1106="","",IF($L1106="","",IF($L1106&gt;=$J1106,"Yes","No")))</f>
        <v/>
      </c>
      <c r="O1106" s="17">
        <f>IF($C1106="","",IF($M1106="","",IF($M1106&gt;=$J1106,"Yes","No")))</f>
        <v/>
      </c>
      <c r="P1106" s="17">
        <f>IF($C1106="","",IF($K1106="","",IF(COUNTIFS(nrES_PID,$D1106,nrES_Code,$F1106,nrES_Att,"&gt;"&amp;$K1106)=0,"Yes","No")))</f>
        <v/>
      </c>
      <c r="Q1106" s="17">
        <f>IF($C1106="","",IF($L1106="","",IF(AND($K1106=1,$L1106&lt;$J1106,COUNTIFS(nrES_PID,$D1106,nrES_Code,$F1106,nrES_Att,2)=0),"Yes","No")))</f>
        <v/>
      </c>
      <c r="R1106" s="17">
        <f>IF($C1106="","",IF($L1106="","",IF(AND($K1106=2,$L1106&lt;$J1106,COUNTIFS(nrES_PID,$D1106,nrES_Code,$F1106,nrES_Att,1)&gt;0),"Yes","No")))</f>
        <v/>
      </c>
      <c r="S1106" s="18" t="n"/>
      <c r="T1106" s="19">
        <f>IF($Q1106&lt;&gt;"Yes","",IF($S1106="","(enter date)",_xlfn.LET(_xlpm.dn,IFERROR(_xlfn.XLOOKUP($S1106,nrCDdate,nrCDnum),""),IF(_xlpm.dn="","(not a class day)",IFERROR(_xlfn.XLOOKUP(_xlpm.dn+cfgRetestClassDays,nrCDnum,nrCDdate),"")))))</f>
        <v/>
      </c>
      <c r="U1106" s="17">
        <f>IF($Q1106&lt;&gt;"Yes","",IF(COUNTIFS(nrES_PID,$D1106,nrES_Code,$F1106,nrES_Att,2)&gt;0,"Retested",IF(OR($T1106="",NOT(ISNUMBER($T1106))),"Pending",IF(TODAY()&gt;$T1106,"OVERDUE","Due "&amp;TEXT($T1106,"mm/dd")))))</f>
        <v/>
      </c>
      <c r="V1106" s="16" t="n"/>
      <c r="W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K1107=1,IF(COUNTIFS(nrES_PID,$D1107,nrES_Code,$F1107,nrES_Att,2)&gt;0,"",$L1107),IF(COUNTIFS(nrES_PID,$D1107,nrES_Code,$F1107,nrES_Att,1)=0,$L1107,IF($L1107&gt;=$J1107,cfgRetakeRecordedCap,SUMIFS(nrES_Raw,nrES_PID,$D1107,nrES_Code,$F1107,nrES_Att,1))))))</f>
        <v/>
      </c>
      <c r="N1107" s="17">
        <f>IF($C1107="","",IF($L1107="","",IF($L1107&gt;=$J1107,"Yes","No")))</f>
        <v/>
      </c>
      <c r="O1107" s="17">
        <f>IF($C1107="","",IF($M1107="","",IF($M1107&gt;=$J1107,"Yes","No")))</f>
        <v/>
      </c>
      <c r="P1107" s="17">
        <f>IF($C1107="","",IF($K1107="","",IF(COUNTIFS(nrES_PID,$D1107,nrES_Code,$F1107,nrES_Att,"&gt;"&amp;$K1107)=0,"Yes","No")))</f>
        <v/>
      </c>
      <c r="Q1107" s="17">
        <f>IF($C1107="","",IF($L1107="","",IF(AND($K1107=1,$L1107&lt;$J1107,COUNTIFS(nrES_PID,$D1107,nrES_Code,$F1107,nrES_Att,2)=0),"Yes","No")))</f>
        <v/>
      </c>
      <c r="R1107" s="17">
        <f>IF($C1107="","",IF($L1107="","",IF(AND($K1107=2,$L1107&lt;$J1107,COUNTIFS(nrES_PID,$D1107,nrES_Code,$F1107,nrES_Att,1)&gt;0),"Yes","No")))</f>
        <v/>
      </c>
      <c r="S1107" s="18" t="n"/>
      <c r="T1107" s="19">
        <f>IF($Q1107&lt;&gt;"Yes","",IF($S1107="","(enter date)",_xlfn.LET(_xlpm.dn,IFERROR(_xlfn.XLOOKUP($S1107,nrCDdate,nrCDnum),""),IF(_xlpm.dn="","(not a class day)",IFERROR(_xlfn.XLOOKUP(_xlpm.dn+cfgRetestClassDays,nrCDnum,nrCDdate),"")))))</f>
        <v/>
      </c>
      <c r="U1107" s="17">
        <f>IF($Q1107&lt;&gt;"Yes","",IF(COUNTIFS(nrES_PID,$D1107,nrES_Code,$F1107,nrES_Att,2)&gt;0,"Retested",IF(OR($T1107="",NOT(ISNUMBER($T1107))),"Pending",IF(TODAY()&gt;$T1107,"OVERDUE","Due "&amp;TEXT($T1107,"mm/dd")))))</f>
        <v/>
      </c>
      <c r="V1107" s="16" t="n"/>
      <c r="W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K1108=1,IF(COUNTIFS(nrES_PID,$D1108,nrES_Code,$F1108,nrES_Att,2)&gt;0,"",$L1108),IF(COUNTIFS(nrES_PID,$D1108,nrES_Code,$F1108,nrES_Att,1)=0,$L1108,IF($L1108&gt;=$J1108,cfgRetakeRecordedCap,SUMIFS(nrES_Raw,nrES_PID,$D1108,nrES_Code,$F1108,nrES_Att,1))))))</f>
        <v/>
      </c>
      <c r="N1108" s="17">
        <f>IF($C1108="","",IF($L1108="","",IF($L1108&gt;=$J1108,"Yes","No")))</f>
        <v/>
      </c>
      <c r="O1108" s="17">
        <f>IF($C1108="","",IF($M1108="","",IF($M1108&gt;=$J1108,"Yes","No")))</f>
        <v/>
      </c>
      <c r="P1108" s="17">
        <f>IF($C1108="","",IF($K1108="","",IF(COUNTIFS(nrES_PID,$D1108,nrES_Code,$F1108,nrES_Att,"&gt;"&amp;$K1108)=0,"Yes","No")))</f>
        <v/>
      </c>
      <c r="Q1108" s="17">
        <f>IF($C1108="","",IF($L1108="","",IF(AND($K1108=1,$L1108&lt;$J1108,COUNTIFS(nrES_PID,$D1108,nrES_Code,$F1108,nrES_Att,2)=0),"Yes","No")))</f>
        <v/>
      </c>
      <c r="R1108" s="17">
        <f>IF($C1108="","",IF($L1108="","",IF(AND($K1108=2,$L1108&lt;$J1108,COUNTIFS(nrES_PID,$D1108,nrES_Code,$F1108,nrES_Att,1)&gt;0),"Yes","No")))</f>
        <v/>
      </c>
      <c r="S1108" s="18" t="n"/>
      <c r="T1108" s="19">
        <f>IF($Q1108&lt;&gt;"Yes","",IF($S1108="","(enter date)",_xlfn.LET(_xlpm.dn,IFERROR(_xlfn.XLOOKUP($S1108,nrCDdate,nrCDnum),""),IF(_xlpm.dn="","(not a class day)",IFERROR(_xlfn.XLOOKUP(_xlpm.dn+cfgRetestClassDays,nrCDnum,nrCDdate),"")))))</f>
        <v/>
      </c>
      <c r="U1108" s="17">
        <f>IF($Q1108&lt;&gt;"Yes","",IF(COUNTIFS(nrES_PID,$D1108,nrES_Code,$F1108,nrES_Att,2)&gt;0,"Retested",IF(OR($T1108="",NOT(ISNUMBER($T1108))),"Pending",IF(TODAY()&gt;$T1108,"OVERDUE","Due "&amp;TEXT($T1108,"mm/dd")))))</f>
        <v/>
      </c>
      <c r="V1108" s="16" t="n"/>
      <c r="W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K1109=1,IF(COUNTIFS(nrES_PID,$D1109,nrES_Code,$F1109,nrES_Att,2)&gt;0,"",$L1109),IF(COUNTIFS(nrES_PID,$D1109,nrES_Code,$F1109,nrES_Att,1)=0,$L1109,IF($L1109&gt;=$J1109,cfgRetakeRecordedCap,SUMIFS(nrES_Raw,nrES_PID,$D1109,nrES_Code,$F1109,nrES_Att,1))))))</f>
        <v/>
      </c>
      <c r="N1109" s="17">
        <f>IF($C1109="","",IF($L1109="","",IF($L1109&gt;=$J1109,"Yes","No")))</f>
        <v/>
      </c>
      <c r="O1109" s="17">
        <f>IF($C1109="","",IF($M1109="","",IF($M1109&gt;=$J1109,"Yes","No")))</f>
        <v/>
      </c>
      <c r="P1109" s="17">
        <f>IF($C1109="","",IF($K1109="","",IF(COUNTIFS(nrES_PID,$D1109,nrES_Code,$F1109,nrES_Att,"&gt;"&amp;$K1109)=0,"Yes","No")))</f>
        <v/>
      </c>
      <c r="Q1109" s="17">
        <f>IF($C1109="","",IF($L1109="","",IF(AND($K1109=1,$L1109&lt;$J1109,COUNTIFS(nrES_PID,$D1109,nrES_Code,$F1109,nrES_Att,2)=0),"Yes","No")))</f>
        <v/>
      </c>
      <c r="R1109" s="17">
        <f>IF($C1109="","",IF($L1109="","",IF(AND($K1109=2,$L1109&lt;$J1109,COUNTIFS(nrES_PID,$D1109,nrES_Code,$F1109,nrES_Att,1)&gt;0),"Yes","No")))</f>
        <v/>
      </c>
      <c r="S1109" s="18" t="n"/>
      <c r="T1109" s="19">
        <f>IF($Q1109&lt;&gt;"Yes","",IF($S1109="","(enter date)",_xlfn.LET(_xlpm.dn,IFERROR(_xlfn.XLOOKUP($S1109,nrCDdate,nrCDnum),""),IF(_xlpm.dn="","(not a class day)",IFERROR(_xlfn.XLOOKUP(_xlpm.dn+cfgRetestClassDays,nrCDnum,nrCDdate),"")))))</f>
        <v/>
      </c>
      <c r="U1109" s="17">
        <f>IF($Q1109&lt;&gt;"Yes","",IF(COUNTIFS(nrES_PID,$D1109,nrES_Code,$F1109,nrES_Att,2)&gt;0,"Retested",IF(OR($T1109="",NOT(ISNUMBER($T1109))),"Pending",IF(TODAY()&gt;$T1109,"OVERDUE","Due "&amp;TEXT($T1109,"mm/dd")))))</f>
        <v/>
      </c>
      <c r="V1109" s="16" t="n"/>
      <c r="W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K1110=1,IF(COUNTIFS(nrES_PID,$D1110,nrES_Code,$F1110,nrES_Att,2)&gt;0,"",$L1110),IF(COUNTIFS(nrES_PID,$D1110,nrES_Code,$F1110,nrES_Att,1)=0,$L1110,IF($L1110&gt;=$J1110,cfgRetakeRecordedCap,SUMIFS(nrES_Raw,nrES_PID,$D1110,nrES_Code,$F1110,nrES_Att,1))))))</f>
        <v/>
      </c>
      <c r="N1110" s="17">
        <f>IF($C1110="","",IF($L1110="","",IF($L1110&gt;=$J1110,"Yes","No")))</f>
        <v/>
      </c>
      <c r="O1110" s="17">
        <f>IF($C1110="","",IF($M1110="","",IF($M1110&gt;=$J1110,"Yes","No")))</f>
        <v/>
      </c>
      <c r="P1110" s="17">
        <f>IF($C1110="","",IF($K1110="","",IF(COUNTIFS(nrES_PID,$D1110,nrES_Code,$F1110,nrES_Att,"&gt;"&amp;$K1110)=0,"Yes","No")))</f>
        <v/>
      </c>
      <c r="Q1110" s="17">
        <f>IF($C1110="","",IF($L1110="","",IF(AND($K1110=1,$L1110&lt;$J1110,COUNTIFS(nrES_PID,$D1110,nrES_Code,$F1110,nrES_Att,2)=0),"Yes","No")))</f>
        <v/>
      </c>
      <c r="R1110" s="17">
        <f>IF($C1110="","",IF($L1110="","",IF(AND($K1110=2,$L1110&lt;$J1110,COUNTIFS(nrES_PID,$D1110,nrES_Code,$F1110,nrES_Att,1)&gt;0),"Yes","No")))</f>
        <v/>
      </c>
      <c r="S1110" s="18" t="n"/>
      <c r="T1110" s="19">
        <f>IF($Q1110&lt;&gt;"Yes","",IF($S1110="","(enter date)",_xlfn.LET(_xlpm.dn,IFERROR(_xlfn.XLOOKUP($S1110,nrCDdate,nrCDnum),""),IF(_xlpm.dn="","(not a class day)",IFERROR(_xlfn.XLOOKUP(_xlpm.dn+cfgRetestClassDays,nrCDnum,nrCDdate),"")))))</f>
        <v/>
      </c>
      <c r="U1110" s="17">
        <f>IF($Q1110&lt;&gt;"Yes","",IF(COUNTIFS(nrES_PID,$D1110,nrES_Code,$F1110,nrES_Att,2)&gt;0,"Retested",IF(OR($T1110="",NOT(ISNUMBER($T1110))),"Pending",IF(TODAY()&gt;$T1110,"OVERDUE","Due "&amp;TEXT($T1110,"mm/dd")))))</f>
        <v/>
      </c>
      <c r="V1110" s="16" t="n"/>
      <c r="W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K1111=1,IF(COUNTIFS(nrES_PID,$D1111,nrES_Code,$F1111,nrES_Att,2)&gt;0,"",$L1111),IF(COUNTIFS(nrES_PID,$D1111,nrES_Code,$F1111,nrES_Att,1)=0,$L1111,IF($L1111&gt;=$J1111,cfgRetakeRecordedCap,SUMIFS(nrES_Raw,nrES_PID,$D1111,nrES_Code,$F1111,nrES_Att,1))))))</f>
        <v/>
      </c>
      <c r="N1111" s="17">
        <f>IF($C1111="","",IF($L1111="","",IF($L1111&gt;=$J1111,"Yes","No")))</f>
        <v/>
      </c>
      <c r="O1111" s="17">
        <f>IF($C1111="","",IF($M1111="","",IF($M1111&gt;=$J1111,"Yes","No")))</f>
        <v/>
      </c>
      <c r="P1111" s="17">
        <f>IF($C1111="","",IF($K1111="","",IF(COUNTIFS(nrES_PID,$D1111,nrES_Code,$F1111,nrES_Att,"&gt;"&amp;$K1111)=0,"Yes","No")))</f>
        <v/>
      </c>
      <c r="Q1111" s="17">
        <f>IF($C1111="","",IF($L1111="","",IF(AND($K1111=1,$L1111&lt;$J1111,COUNTIFS(nrES_PID,$D1111,nrES_Code,$F1111,nrES_Att,2)=0),"Yes","No")))</f>
        <v/>
      </c>
      <c r="R1111" s="17">
        <f>IF($C1111="","",IF($L1111="","",IF(AND($K1111=2,$L1111&lt;$J1111,COUNTIFS(nrES_PID,$D1111,nrES_Code,$F1111,nrES_Att,1)&gt;0),"Yes","No")))</f>
        <v/>
      </c>
      <c r="S1111" s="18" t="n"/>
      <c r="T1111" s="19">
        <f>IF($Q1111&lt;&gt;"Yes","",IF($S1111="","(enter date)",_xlfn.LET(_xlpm.dn,IFERROR(_xlfn.XLOOKUP($S1111,nrCDdate,nrCDnum),""),IF(_xlpm.dn="","(not a class day)",IFERROR(_xlfn.XLOOKUP(_xlpm.dn+cfgRetestClassDays,nrCDnum,nrCDdate),"")))))</f>
        <v/>
      </c>
      <c r="U1111" s="17">
        <f>IF($Q1111&lt;&gt;"Yes","",IF(COUNTIFS(nrES_PID,$D1111,nrES_Code,$F1111,nrES_Att,2)&gt;0,"Retested",IF(OR($T1111="",NOT(ISNUMBER($T1111))),"Pending",IF(TODAY()&gt;$T1111,"OVERDUE","Due "&amp;TEXT($T1111,"mm/dd")))))</f>
        <v/>
      </c>
      <c r="V1111" s="16" t="n"/>
      <c r="W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K1112=1,IF(COUNTIFS(nrES_PID,$D1112,nrES_Code,$F1112,nrES_Att,2)&gt;0,"",$L1112),IF(COUNTIFS(nrES_PID,$D1112,nrES_Code,$F1112,nrES_Att,1)=0,$L1112,IF($L1112&gt;=$J1112,cfgRetakeRecordedCap,SUMIFS(nrES_Raw,nrES_PID,$D1112,nrES_Code,$F1112,nrES_Att,1))))))</f>
        <v/>
      </c>
      <c r="N1112" s="17">
        <f>IF($C1112="","",IF($L1112="","",IF($L1112&gt;=$J1112,"Yes","No")))</f>
        <v/>
      </c>
      <c r="O1112" s="17">
        <f>IF($C1112="","",IF($M1112="","",IF($M1112&gt;=$J1112,"Yes","No")))</f>
        <v/>
      </c>
      <c r="P1112" s="17">
        <f>IF($C1112="","",IF($K1112="","",IF(COUNTIFS(nrES_PID,$D1112,nrES_Code,$F1112,nrES_Att,"&gt;"&amp;$K1112)=0,"Yes","No")))</f>
        <v/>
      </c>
      <c r="Q1112" s="17">
        <f>IF($C1112="","",IF($L1112="","",IF(AND($K1112=1,$L1112&lt;$J1112,COUNTIFS(nrES_PID,$D1112,nrES_Code,$F1112,nrES_Att,2)=0),"Yes","No")))</f>
        <v/>
      </c>
      <c r="R1112" s="17">
        <f>IF($C1112="","",IF($L1112="","",IF(AND($K1112=2,$L1112&lt;$J1112,COUNTIFS(nrES_PID,$D1112,nrES_Code,$F1112,nrES_Att,1)&gt;0),"Yes","No")))</f>
        <v/>
      </c>
      <c r="S1112" s="18" t="n"/>
      <c r="T1112" s="19">
        <f>IF($Q1112&lt;&gt;"Yes","",IF($S1112="","(enter date)",_xlfn.LET(_xlpm.dn,IFERROR(_xlfn.XLOOKUP($S1112,nrCDdate,nrCDnum),""),IF(_xlpm.dn="","(not a class day)",IFERROR(_xlfn.XLOOKUP(_xlpm.dn+cfgRetestClassDays,nrCDnum,nrCDdate),"")))))</f>
        <v/>
      </c>
      <c r="U1112" s="17">
        <f>IF($Q1112&lt;&gt;"Yes","",IF(COUNTIFS(nrES_PID,$D1112,nrES_Code,$F1112,nrES_Att,2)&gt;0,"Retested",IF(OR($T1112="",NOT(ISNUMBER($T1112))),"Pending",IF(TODAY()&gt;$T1112,"OVERDUE","Due "&amp;TEXT($T1112,"mm/dd")))))</f>
        <v/>
      </c>
      <c r="V1112" s="16" t="n"/>
      <c r="W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K1113=1,IF(COUNTIFS(nrES_PID,$D1113,nrES_Code,$F1113,nrES_Att,2)&gt;0,"",$L1113),IF(COUNTIFS(nrES_PID,$D1113,nrES_Code,$F1113,nrES_Att,1)=0,$L1113,IF($L1113&gt;=$J1113,cfgRetakeRecordedCap,SUMIFS(nrES_Raw,nrES_PID,$D1113,nrES_Code,$F1113,nrES_Att,1))))))</f>
        <v/>
      </c>
      <c r="N1113" s="17">
        <f>IF($C1113="","",IF($L1113="","",IF($L1113&gt;=$J1113,"Yes","No")))</f>
        <v/>
      </c>
      <c r="O1113" s="17">
        <f>IF($C1113="","",IF($M1113="","",IF($M1113&gt;=$J1113,"Yes","No")))</f>
        <v/>
      </c>
      <c r="P1113" s="17">
        <f>IF($C1113="","",IF($K1113="","",IF(COUNTIFS(nrES_PID,$D1113,nrES_Code,$F1113,nrES_Att,"&gt;"&amp;$K1113)=0,"Yes","No")))</f>
        <v/>
      </c>
      <c r="Q1113" s="17">
        <f>IF($C1113="","",IF($L1113="","",IF(AND($K1113=1,$L1113&lt;$J1113,COUNTIFS(nrES_PID,$D1113,nrES_Code,$F1113,nrES_Att,2)=0),"Yes","No")))</f>
        <v/>
      </c>
      <c r="R1113" s="17">
        <f>IF($C1113="","",IF($L1113="","",IF(AND($K1113=2,$L1113&lt;$J1113,COUNTIFS(nrES_PID,$D1113,nrES_Code,$F1113,nrES_Att,1)&gt;0),"Yes","No")))</f>
        <v/>
      </c>
      <c r="S1113" s="18" t="n"/>
      <c r="T1113" s="19">
        <f>IF($Q1113&lt;&gt;"Yes","",IF($S1113="","(enter date)",_xlfn.LET(_xlpm.dn,IFERROR(_xlfn.XLOOKUP($S1113,nrCDdate,nrCDnum),""),IF(_xlpm.dn="","(not a class day)",IFERROR(_xlfn.XLOOKUP(_xlpm.dn+cfgRetestClassDays,nrCDnum,nrCDdate),"")))))</f>
        <v/>
      </c>
      <c r="U1113" s="17">
        <f>IF($Q1113&lt;&gt;"Yes","",IF(COUNTIFS(nrES_PID,$D1113,nrES_Code,$F1113,nrES_Att,2)&gt;0,"Retested",IF(OR($T1113="",NOT(ISNUMBER($T1113))),"Pending",IF(TODAY()&gt;$T1113,"OVERDUE","Due "&amp;TEXT($T1113,"mm/dd")))))</f>
        <v/>
      </c>
      <c r="V1113" s="16" t="n"/>
      <c r="W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K1114=1,IF(COUNTIFS(nrES_PID,$D1114,nrES_Code,$F1114,nrES_Att,2)&gt;0,"",$L1114),IF(COUNTIFS(nrES_PID,$D1114,nrES_Code,$F1114,nrES_Att,1)=0,$L1114,IF($L1114&gt;=$J1114,cfgRetakeRecordedCap,SUMIFS(nrES_Raw,nrES_PID,$D1114,nrES_Code,$F1114,nrES_Att,1))))))</f>
        <v/>
      </c>
      <c r="N1114" s="17">
        <f>IF($C1114="","",IF($L1114="","",IF($L1114&gt;=$J1114,"Yes","No")))</f>
        <v/>
      </c>
      <c r="O1114" s="17">
        <f>IF($C1114="","",IF($M1114="","",IF($M1114&gt;=$J1114,"Yes","No")))</f>
        <v/>
      </c>
      <c r="P1114" s="17">
        <f>IF($C1114="","",IF($K1114="","",IF(COUNTIFS(nrES_PID,$D1114,nrES_Code,$F1114,nrES_Att,"&gt;"&amp;$K1114)=0,"Yes","No")))</f>
        <v/>
      </c>
      <c r="Q1114" s="17">
        <f>IF($C1114="","",IF($L1114="","",IF(AND($K1114=1,$L1114&lt;$J1114,COUNTIFS(nrES_PID,$D1114,nrES_Code,$F1114,nrES_Att,2)=0),"Yes","No")))</f>
        <v/>
      </c>
      <c r="R1114" s="17">
        <f>IF($C1114="","",IF($L1114="","",IF(AND($K1114=2,$L1114&lt;$J1114,COUNTIFS(nrES_PID,$D1114,nrES_Code,$F1114,nrES_Att,1)&gt;0),"Yes","No")))</f>
        <v/>
      </c>
      <c r="S1114" s="18" t="n"/>
      <c r="T1114" s="19">
        <f>IF($Q1114&lt;&gt;"Yes","",IF($S1114="","(enter date)",_xlfn.LET(_xlpm.dn,IFERROR(_xlfn.XLOOKUP($S1114,nrCDdate,nrCDnum),""),IF(_xlpm.dn="","(not a class day)",IFERROR(_xlfn.XLOOKUP(_xlpm.dn+cfgRetestClassDays,nrCDnum,nrCDdate),"")))))</f>
        <v/>
      </c>
      <c r="U1114" s="17">
        <f>IF($Q1114&lt;&gt;"Yes","",IF(COUNTIFS(nrES_PID,$D1114,nrES_Code,$F1114,nrES_Att,2)&gt;0,"Retested",IF(OR($T1114="",NOT(ISNUMBER($T1114))),"Pending",IF(TODAY()&gt;$T1114,"OVERDUE","Due "&amp;TEXT($T1114,"mm/dd")))))</f>
        <v/>
      </c>
      <c r="V1114" s="16" t="n"/>
      <c r="W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K1115=1,IF(COUNTIFS(nrES_PID,$D1115,nrES_Code,$F1115,nrES_Att,2)&gt;0,"",$L1115),IF(COUNTIFS(nrES_PID,$D1115,nrES_Code,$F1115,nrES_Att,1)=0,$L1115,IF($L1115&gt;=$J1115,cfgRetakeRecordedCap,SUMIFS(nrES_Raw,nrES_PID,$D1115,nrES_Code,$F1115,nrES_Att,1))))))</f>
        <v/>
      </c>
      <c r="N1115" s="17">
        <f>IF($C1115="","",IF($L1115="","",IF($L1115&gt;=$J1115,"Yes","No")))</f>
        <v/>
      </c>
      <c r="O1115" s="17">
        <f>IF($C1115="","",IF($M1115="","",IF($M1115&gt;=$J1115,"Yes","No")))</f>
        <v/>
      </c>
      <c r="P1115" s="17">
        <f>IF($C1115="","",IF($K1115="","",IF(COUNTIFS(nrES_PID,$D1115,nrES_Code,$F1115,nrES_Att,"&gt;"&amp;$K1115)=0,"Yes","No")))</f>
        <v/>
      </c>
      <c r="Q1115" s="17">
        <f>IF($C1115="","",IF($L1115="","",IF(AND($K1115=1,$L1115&lt;$J1115,COUNTIFS(nrES_PID,$D1115,nrES_Code,$F1115,nrES_Att,2)=0),"Yes","No")))</f>
        <v/>
      </c>
      <c r="R1115" s="17">
        <f>IF($C1115="","",IF($L1115="","",IF(AND($K1115=2,$L1115&lt;$J1115,COUNTIFS(nrES_PID,$D1115,nrES_Code,$F1115,nrES_Att,1)&gt;0),"Yes","No")))</f>
        <v/>
      </c>
      <c r="S1115" s="18" t="n"/>
      <c r="T1115" s="19">
        <f>IF($Q1115&lt;&gt;"Yes","",IF($S1115="","(enter date)",_xlfn.LET(_xlpm.dn,IFERROR(_xlfn.XLOOKUP($S1115,nrCDdate,nrCDnum),""),IF(_xlpm.dn="","(not a class day)",IFERROR(_xlfn.XLOOKUP(_xlpm.dn+cfgRetestClassDays,nrCDnum,nrCDdate),"")))))</f>
        <v/>
      </c>
      <c r="U1115" s="17">
        <f>IF($Q1115&lt;&gt;"Yes","",IF(COUNTIFS(nrES_PID,$D1115,nrES_Code,$F1115,nrES_Att,2)&gt;0,"Retested",IF(OR($T1115="",NOT(ISNUMBER($T1115))),"Pending",IF(TODAY()&gt;$T1115,"OVERDUE","Due "&amp;TEXT($T1115,"mm/dd")))))</f>
        <v/>
      </c>
      <c r="V1115" s="16" t="n"/>
      <c r="W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K1116=1,IF(COUNTIFS(nrES_PID,$D1116,nrES_Code,$F1116,nrES_Att,2)&gt;0,"",$L1116),IF(COUNTIFS(nrES_PID,$D1116,nrES_Code,$F1116,nrES_Att,1)=0,$L1116,IF($L1116&gt;=$J1116,cfgRetakeRecordedCap,SUMIFS(nrES_Raw,nrES_PID,$D1116,nrES_Code,$F1116,nrES_Att,1))))))</f>
        <v/>
      </c>
      <c r="N1116" s="17">
        <f>IF($C1116="","",IF($L1116="","",IF($L1116&gt;=$J1116,"Yes","No")))</f>
        <v/>
      </c>
      <c r="O1116" s="17">
        <f>IF($C1116="","",IF($M1116="","",IF($M1116&gt;=$J1116,"Yes","No")))</f>
        <v/>
      </c>
      <c r="P1116" s="17">
        <f>IF($C1116="","",IF($K1116="","",IF(COUNTIFS(nrES_PID,$D1116,nrES_Code,$F1116,nrES_Att,"&gt;"&amp;$K1116)=0,"Yes","No")))</f>
        <v/>
      </c>
      <c r="Q1116" s="17">
        <f>IF($C1116="","",IF($L1116="","",IF(AND($K1116=1,$L1116&lt;$J1116,COUNTIFS(nrES_PID,$D1116,nrES_Code,$F1116,nrES_Att,2)=0),"Yes","No")))</f>
        <v/>
      </c>
      <c r="R1116" s="17">
        <f>IF($C1116="","",IF($L1116="","",IF(AND($K1116=2,$L1116&lt;$J1116,COUNTIFS(nrES_PID,$D1116,nrES_Code,$F1116,nrES_Att,1)&gt;0),"Yes","No")))</f>
        <v/>
      </c>
      <c r="S1116" s="18" t="n"/>
      <c r="T1116" s="19">
        <f>IF($Q1116&lt;&gt;"Yes","",IF($S1116="","(enter date)",_xlfn.LET(_xlpm.dn,IFERROR(_xlfn.XLOOKUP($S1116,nrCDdate,nrCDnum),""),IF(_xlpm.dn="","(not a class day)",IFERROR(_xlfn.XLOOKUP(_xlpm.dn+cfgRetestClassDays,nrCDnum,nrCDdate),"")))))</f>
        <v/>
      </c>
      <c r="U1116" s="17">
        <f>IF($Q1116&lt;&gt;"Yes","",IF(COUNTIFS(nrES_PID,$D1116,nrES_Code,$F1116,nrES_Att,2)&gt;0,"Retested",IF(OR($T1116="",NOT(ISNUMBER($T1116))),"Pending",IF(TODAY()&gt;$T1116,"OVERDUE","Due "&amp;TEXT($T1116,"mm/dd")))))</f>
        <v/>
      </c>
      <c r="V1116" s="16" t="n"/>
      <c r="W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K1117=1,IF(COUNTIFS(nrES_PID,$D1117,nrES_Code,$F1117,nrES_Att,2)&gt;0,"",$L1117),IF(COUNTIFS(nrES_PID,$D1117,nrES_Code,$F1117,nrES_Att,1)=0,$L1117,IF($L1117&gt;=$J1117,cfgRetakeRecordedCap,SUMIFS(nrES_Raw,nrES_PID,$D1117,nrES_Code,$F1117,nrES_Att,1))))))</f>
        <v/>
      </c>
      <c r="N1117" s="17">
        <f>IF($C1117="","",IF($L1117="","",IF($L1117&gt;=$J1117,"Yes","No")))</f>
        <v/>
      </c>
      <c r="O1117" s="17">
        <f>IF($C1117="","",IF($M1117="","",IF($M1117&gt;=$J1117,"Yes","No")))</f>
        <v/>
      </c>
      <c r="P1117" s="17">
        <f>IF($C1117="","",IF($K1117="","",IF(COUNTIFS(nrES_PID,$D1117,nrES_Code,$F1117,nrES_Att,"&gt;"&amp;$K1117)=0,"Yes","No")))</f>
        <v/>
      </c>
      <c r="Q1117" s="17">
        <f>IF($C1117="","",IF($L1117="","",IF(AND($K1117=1,$L1117&lt;$J1117,COUNTIFS(nrES_PID,$D1117,nrES_Code,$F1117,nrES_Att,2)=0),"Yes","No")))</f>
        <v/>
      </c>
      <c r="R1117" s="17">
        <f>IF($C1117="","",IF($L1117="","",IF(AND($K1117=2,$L1117&lt;$J1117,COUNTIFS(nrES_PID,$D1117,nrES_Code,$F1117,nrES_Att,1)&gt;0),"Yes","No")))</f>
        <v/>
      </c>
      <c r="S1117" s="18" t="n"/>
      <c r="T1117" s="19">
        <f>IF($Q1117&lt;&gt;"Yes","",IF($S1117="","(enter date)",_xlfn.LET(_xlpm.dn,IFERROR(_xlfn.XLOOKUP($S1117,nrCDdate,nrCDnum),""),IF(_xlpm.dn="","(not a class day)",IFERROR(_xlfn.XLOOKUP(_xlpm.dn+cfgRetestClassDays,nrCDnum,nrCDdate),"")))))</f>
        <v/>
      </c>
      <c r="U1117" s="17">
        <f>IF($Q1117&lt;&gt;"Yes","",IF(COUNTIFS(nrES_PID,$D1117,nrES_Code,$F1117,nrES_Att,2)&gt;0,"Retested",IF(OR($T1117="",NOT(ISNUMBER($T1117))),"Pending",IF(TODAY()&gt;$T1117,"OVERDUE","Due "&amp;TEXT($T1117,"mm/dd")))))</f>
        <v/>
      </c>
      <c r="V1117" s="16" t="n"/>
      <c r="W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K1118=1,IF(COUNTIFS(nrES_PID,$D1118,nrES_Code,$F1118,nrES_Att,2)&gt;0,"",$L1118),IF(COUNTIFS(nrES_PID,$D1118,nrES_Code,$F1118,nrES_Att,1)=0,$L1118,IF($L1118&gt;=$J1118,cfgRetakeRecordedCap,SUMIFS(nrES_Raw,nrES_PID,$D1118,nrES_Code,$F1118,nrES_Att,1))))))</f>
        <v/>
      </c>
      <c r="N1118" s="17">
        <f>IF($C1118="","",IF($L1118="","",IF($L1118&gt;=$J1118,"Yes","No")))</f>
        <v/>
      </c>
      <c r="O1118" s="17">
        <f>IF($C1118="","",IF($M1118="","",IF($M1118&gt;=$J1118,"Yes","No")))</f>
        <v/>
      </c>
      <c r="P1118" s="17">
        <f>IF($C1118="","",IF($K1118="","",IF(COUNTIFS(nrES_PID,$D1118,nrES_Code,$F1118,nrES_Att,"&gt;"&amp;$K1118)=0,"Yes","No")))</f>
        <v/>
      </c>
      <c r="Q1118" s="17">
        <f>IF($C1118="","",IF($L1118="","",IF(AND($K1118=1,$L1118&lt;$J1118,COUNTIFS(nrES_PID,$D1118,nrES_Code,$F1118,nrES_Att,2)=0),"Yes","No")))</f>
        <v/>
      </c>
      <c r="R1118" s="17">
        <f>IF($C1118="","",IF($L1118="","",IF(AND($K1118=2,$L1118&lt;$J1118,COUNTIFS(nrES_PID,$D1118,nrES_Code,$F1118,nrES_Att,1)&gt;0),"Yes","No")))</f>
        <v/>
      </c>
      <c r="S1118" s="18" t="n"/>
      <c r="T1118" s="19">
        <f>IF($Q1118&lt;&gt;"Yes","",IF($S1118="","(enter date)",_xlfn.LET(_xlpm.dn,IFERROR(_xlfn.XLOOKUP($S1118,nrCDdate,nrCDnum),""),IF(_xlpm.dn="","(not a class day)",IFERROR(_xlfn.XLOOKUP(_xlpm.dn+cfgRetestClassDays,nrCDnum,nrCDdate),"")))))</f>
        <v/>
      </c>
      <c r="U1118" s="17">
        <f>IF($Q1118&lt;&gt;"Yes","",IF(COUNTIFS(nrES_PID,$D1118,nrES_Code,$F1118,nrES_Att,2)&gt;0,"Retested",IF(OR($T1118="",NOT(ISNUMBER($T1118))),"Pending",IF(TODAY()&gt;$T1118,"OVERDUE","Due "&amp;TEXT($T1118,"mm/dd")))))</f>
        <v/>
      </c>
      <c r="V1118" s="16" t="n"/>
      <c r="W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K1119=1,IF(COUNTIFS(nrES_PID,$D1119,nrES_Code,$F1119,nrES_Att,2)&gt;0,"",$L1119),IF(COUNTIFS(nrES_PID,$D1119,nrES_Code,$F1119,nrES_Att,1)=0,$L1119,IF($L1119&gt;=$J1119,cfgRetakeRecordedCap,SUMIFS(nrES_Raw,nrES_PID,$D1119,nrES_Code,$F1119,nrES_Att,1))))))</f>
        <v/>
      </c>
      <c r="N1119" s="17">
        <f>IF($C1119="","",IF($L1119="","",IF($L1119&gt;=$J1119,"Yes","No")))</f>
        <v/>
      </c>
      <c r="O1119" s="17">
        <f>IF($C1119="","",IF($M1119="","",IF($M1119&gt;=$J1119,"Yes","No")))</f>
        <v/>
      </c>
      <c r="P1119" s="17">
        <f>IF($C1119="","",IF($K1119="","",IF(COUNTIFS(nrES_PID,$D1119,nrES_Code,$F1119,nrES_Att,"&gt;"&amp;$K1119)=0,"Yes","No")))</f>
        <v/>
      </c>
      <c r="Q1119" s="17">
        <f>IF($C1119="","",IF($L1119="","",IF(AND($K1119=1,$L1119&lt;$J1119,COUNTIFS(nrES_PID,$D1119,nrES_Code,$F1119,nrES_Att,2)=0),"Yes","No")))</f>
        <v/>
      </c>
      <c r="R1119" s="17">
        <f>IF($C1119="","",IF($L1119="","",IF(AND($K1119=2,$L1119&lt;$J1119,COUNTIFS(nrES_PID,$D1119,nrES_Code,$F1119,nrES_Att,1)&gt;0),"Yes","No")))</f>
        <v/>
      </c>
      <c r="S1119" s="18" t="n"/>
      <c r="T1119" s="19">
        <f>IF($Q1119&lt;&gt;"Yes","",IF($S1119="","(enter date)",_xlfn.LET(_xlpm.dn,IFERROR(_xlfn.XLOOKUP($S1119,nrCDdate,nrCDnum),""),IF(_xlpm.dn="","(not a class day)",IFERROR(_xlfn.XLOOKUP(_xlpm.dn+cfgRetestClassDays,nrCDnum,nrCDdate),"")))))</f>
        <v/>
      </c>
      <c r="U1119" s="17">
        <f>IF($Q1119&lt;&gt;"Yes","",IF(COUNTIFS(nrES_PID,$D1119,nrES_Code,$F1119,nrES_Att,2)&gt;0,"Retested",IF(OR($T1119="",NOT(ISNUMBER($T1119))),"Pending",IF(TODAY()&gt;$T1119,"OVERDUE","Due "&amp;TEXT($T1119,"mm/dd")))))</f>
        <v/>
      </c>
      <c r="V1119" s="16" t="n"/>
      <c r="W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K1120=1,IF(COUNTIFS(nrES_PID,$D1120,nrES_Code,$F1120,nrES_Att,2)&gt;0,"",$L1120),IF(COUNTIFS(nrES_PID,$D1120,nrES_Code,$F1120,nrES_Att,1)=0,$L1120,IF($L1120&gt;=$J1120,cfgRetakeRecordedCap,SUMIFS(nrES_Raw,nrES_PID,$D1120,nrES_Code,$F1120,nrES_Att,1))))))</f>
        <v/>
      </c>
      <c r="N1120" s="17">
        <f>IF($C1120="","",IF($L1120="","",IF($L1120&gt;=$J1120,"Yes","No")))</f>
        <v/>
      </c>
      <c r="O1120" s="17">
        <f>IF($C1120="","",IF($M1120="","",IF($M1120&gt;=$J1120,"Yes","No")))</f>
        <v/>
      </c>
      <c r="P1120" s="17">
        <f>IF($C1120="","",IF($K1120="","",IF(COUNTIFS(nrES_PID,$D1120,nrES_Code,$F1120,nrES_Att,"&gt;"&amp;$K1120)=0,"Yes","No")))</f>
        <v/>
      </c>
      <c r="Q1120" s="17">
        <f>IF($C1120="","",IF($L1120="","",IF(AND($K1120=1,$L1120&lt;$J1120,COUNTIFS(nrES_PID,$D1120,nrES_Code,$F1120,nrES_Att,2)=0),"Yes","No")))</f>
        <v/>
      </c>
      <c r="R1120" s="17">
        <f>IF($C1120="","",IF($L1120="","",IF(AND($K1120=2,$L1120&lt;$J1120,COUNTIFS(nrES_PID,$D1120,nrES_Code,$F1120,nrES_Att,1)&gt;0),"Yes","No")))</f>
        <v/>
      </c>
      <c r="S1120" s="18" t="n"/>
      <c r="T1120" s="19">
        <f>IF($Q1120&lt;&gt;"Yes","",IF($S1120="","(enter date)",_xlfn.LET(_xlpm.dn,IFERROR(_xlfn.XLOOKUP($S1120,nrCDdate,nrCDnum),""),IF(_xlpm.dn="","(not a class day)",IFERROR(_xlfn.XLOOKUP(_xlpm.dn+cfgRetestClassDays,nrCDnum,nrCDdate),"")))))</f>
        <v/>
      </c>
      <c r="U1120" s="17">
        <f>IF($Q1120&lt;&gt;"Yes","",IF(COUNTIFS(nrES_PID,$D1120,nrES_Code,$F1120,nrES_Att,2)&gt;0,"Retested",IF(OR($T1120="",NOT(ISNUMBER($T1120))),"Pending",IF(TODAY()&gt;$T1120,"OVERDUE","Due "&amp;TEXT($T1120,"mm/dd")))))</f>
        <v/>
      </c>
      <c r="V1120" s="16" t="n"/>
      <c r="W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K1121=1,IF(COUNTIFS(nrES_PID,$D1121,nrES_Code,$F1121,nrES_Att,2)&gt;0,"",$L1121),IF(COUNTIFS(nrES_PID,$D1121,nrES_Code,$F1121,nrES_Att,1)=0,$L1121,IF($L1121&gt;=$J1121,cfgRetakeRecordedCap,SUMIFS(nrES_Raw,nrES_PID,$D1121,nrES_Code,$F1121,nrES_Att,1))))))</f>
        <v/>
      </c>
      <c r="N1121" s="17">
        <f>IF($C1121="","",IF($L1121="","",IF($L1121&gt;=$J1121,"Yes","No")))</f>
        <v/>
      </c>
      <c r="O1121" s="17">
        <f>IF($C1121="","",IF($M1121="","",IF($M1121&gt;=$J1121,"Yes","No")))</f>
        <v/>
      </c>
      <c r="P1121" s="17">
        <f>IF($C1121="","",IF($K1121="","",IF(COUNTIFS(nrES_PID,$D1121,nrES_Code,$F1121,nrES_Att,"&gt;"&amp;$K1121)=0,"Yes","No")))</f>
        <v/>
      </c>
      <c r="Q1121" s="17">
        <f>IF($C1121="","",IF($L1121="","",IF(AND($K1121=1,$L1121&lt;$J1121,COUNTIFS(nrES_PID,$D1121,nrES_Code,$F1121,nrES_Att,2)=0),"Yes","No")))</f>
        <v/>
      </c>
      <c r="R1121" s="17">
        <f>IF($C1121="","",IF($L1121="","",IF(AND($K1121=2,$L1121&lt;$J1121,COUNTIFS(nrES_PID,$D1121,nrES_Code,$F1121,nrES_Att,1)&gt;0),"Yes","No")))</f>
        <v/>
      </c>
      <c r="S1121" s="18" t="n"/>
      <c r="T1121" s="19">
        <f>IF($Q1121&lt;&gt;"Yes","",IF($S1121="","(enter date)",_xlfn.LET(_xlpm.dn,IFERROR(_xlfn.XLOOKUP($S1121,nrCDdate,nrCDnum),""),IF(_xlpm.dn="","(not a class day)",IFERROR(_xlfn.XLOOKUP(_xlpm.dn+cfgRetestClassDays,nrCDnum,nrCDdate),"")))))</f>
        <v/>
      </c>
      <c r="U1121" s="17">
        <f>IF($Q1121&lt;&gt;"Yes","",IF(COUNTIFS(nrES_PID,$D1121,nrES_Code,$F1121,nrES_Att,2)&gt;0,"Retested",IF(OR($T1121="",NOT(ISNUMBER($T1121))),"Pending",IF(TODAY()&gt;$T1121,"OVERDUE","Due "&amp;TEXT($T1121,"mm/dd")))))</f>
        <v/>
      </c>
      <c r="V1121" s="16" t="n"/>
      <c r="W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K1122=1,IF(COUNTIFS(nrES_PID,$D1122,nrES_Code,$F1122,nrES_Att,2)&gt;0,"",$L1122),IF(COUNTIFS(nrES_PID,$D1122,nrES_Code,$F1122,nrES_Att,1)=0,$L1122,IF($L1122&gt;=$J1122,cfgRetakeRecordedCap,SUMIFS(nrES_Raw,nrES_PID,$D1122,nrES_Code,$F1122,nrES_Att,1))))))</f>
        <v/>
      </c>
      <c r="N1122" s="17">
        <f>IF($C1122="","",IF($L1122="","",IF($L1122&gt;=$J1122,"Yes","No")))</f>
        <v/>
      </c>
      <c r="O1122" s="17">
        <f>IF($C1122="","",IF($M1122="","",IF($M1122&gt;=$J1122,"Yes","No")))</f>
        <v/>
      </c>
      <c r="P1122" s="17">
        <f>IF($C1122="","",IF($K1122="","",IF(COUNTIFS(nrES_PID,$D1122,nrES_Code,$F1122,nrES_Att,"&gt;"&amp;$K1122)=0,"Yes","No")))</f>
        <v/>
      </c>
      <c r="Q1122" s="17">
        <f>IF($C1122="","",IF($L1122="","",IF(AND($K1122=1,$L1122&lt;$J1122,COUNTIFS(nrES_PID,$D1122,nrES_Code,$F1122,nrES_Att,2)=0),"Yes","No")))</f>
        <v/>
      </c>
      <c r="R1122" s="17">
        <f>IF($C1122="","",IF($L1122="","",IF(AND($K1122=2,$L1122&lt;$J1122,COUNTIFS(nrES_PID,$D1122,nrES_Code,$F1122,nrES_Att,1)&gt;0),"Yes","No")))</f>
        <v/>
      </c>
      <c r="S1122" s="18" t="n"/>
      <c r="T1122" s="19">
        <f>IF($Q1122&lt;&gt;"Yes","",IF($S1122="","(enter date)",_xlfn.LET(_xlpm.dn,IFERROR(_xlfn.XLOOKUP($S1122,nrCDdate,nrCDnum),""),IF(_xlpm.dn="","(not a class day)",IFERROR(_xlfn.XLOOKUP(_xlpm.dn+cfgRetestClassDays,nrCDnum,nrCDdate),"")))))</f>
        <v/>
      </c>
      <c r="U1122" s="17">
        <f>IF($Q1122&lt;&gt;"Yes","",IF(COUNTIFS(nrES_PID,$D1122,nrES_Code,$F1122,nrES_Att,2)&gt;0,"Retested",IF(OR($T1122="",NOT(ISNUMBER($T1122))),"Pending",IF(TODAY()&gt;$T1122,"OVERDUE","Due "&amp;TEXT($T1122,"mm/dd")))))</f>
        <v/>
      </c>
      <c r="V1122" s="16" t="n"/>
      <c r="W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K1123=1,IF(COUNTIFS(nrES_PID,$D1123,nrES_Code,$F1123,nrES_Att,2)&gt;0,"",$L1123),IF(COUNTIFS(nrES_PID,$D1123,nrES_Code,$F1123,nrES_Att,1)=0,$L1123,IF($L1123&gt;=$J1123,cfgRetakeRecordedCap,SUMIFS(nrES_Raw,nrES_PID,$D1123,nrES_Code,$F1123,nrES_Att,1))))))</f>
        <v/>
      </c>
      <c r="N1123" s="17">
        <f>IF($C1123="","",IF($L1123="","",IF($L1123&gt;=$J1123,"Yes","No")))</f>
        <v/>
      </c>
      <c r="O1123" s="17">
        <f>IF($C1123="","",IF($M1123="","",IF($M1123&gt;=$J1123,"Yes","No")))</f>
        <v/>
      </c>
      <c r="P1123" s="17">
        <f>IF($C1123="","",IF($K1123="","",IF(COUNTIFS(nrES_PID,$D1123,nrES_Code,$F1123,nrES_Att,"&gt;"&amp;$K1123)=0,"Yes","No")))</f>
        <v/>
      </c>
      <c r="Q1123" s="17">
        <f>IF($C1123="","",IF($L1123="","",IF(AND($K1123=1,$L1123&lt;$J1123,COUNTIFS(nrES_PID,$D1123,nrES_Code,$F1123,nrES_Att,2)=0),"Yes","No")))</f>
        <v/>
      </c>
      <c r="R1123" s="17">
        <f>IF($C1123="","",IF($L1123="","",IF(AND($K1123=2,$L1123&lt;$J1123,COUNTIFS(nrES_PID,$D1123,nrES_Code,$F1123,nrES_Att,1)&gt;0),"Yes","No")))</f>
        <v/>
      </c>
      <c r="S1123" s="18" t="n"/>
      <c r="T1123" s="19">
        <f>IF($Q1123&lt;&gt;"Yes","",IF($S1123="","(enter date)",_xlfn.LET(_xlpm.dn,IFERROR(_xlfn.XLOOKUP($S1123,nrCDdate,nrCDnum),""),IF(_xlpm.dn="","(not a class day)",IFERROR(_xlfn.XLOOKUP(_xlpm.dn+cfgRetestClassDays,nrCDnum,nrCDdate),"")))))</f>
        <v/>
      </c>
      <c r="U1123" s="17">
        <f>IF($Q1123&lt;&gt;"Yes","",IF(COUNTIFS(nrES_PID,$D1123,nrES_Code,$F1123,nrES_Att,2)&gt;0,"Retested",IF(OR($T1123="",NOT(ISNUMBER($T1123))),"Pending",IF(TODAY()&gt;$T1123,"OVERDUE","Due "&amp;TEXT($T1123,"mm/dd")))))</f>
        <v/>
      </c>
      <c r="V1123" s="16" t="n"/>
      <c r="W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K1124=1,IF(COUNTIFS(nrES_PID,$D1124,nrES_Code,$F1124,nrES_Att,2)&gt;0,"",$L1124),IF(COUNTIFS(nrES_PID,$D1124,nrES_Code,$F1124,nrES_Att,1)=0,$L1124,IF($L1124&gt;=$J1124,cfgRetakeRecordedCap,SUMIFS(nrES_Raw,nrES_PID,$D1124,nrES_Code,$F1124,nrES_Att,1))))))</f>
        <v/>
      </c>
      <c r="N1124" s="17">
        <f>IF($C1124="","",IF($L1124="","",IF($L1124&gt;=$J1124,"Yes","No")))</f>
        <v/>
      </c>
      <c r="O1124" s="17">
        <f>IF($C1124="","",IF($M1124="","",IF($M1124&gt;=$J1124,"Yes","No")))</f>
        <v/>
      </c>
      <c r="P1124" s="17">
        <f>IF($C1124="","",IF($K1124="","",IF(COUNTIFS(nrES_PID,$D1124,nrES_Code,$F1124,nrES_Att,"&gt;"&amp;$K1124)=0,"Yes","No")))</f>
        <v/>
      </c>
      <c r="Q1124" s="17">
        <f>IF($C1124="","",IF($L1124="","",IF(AND($K1124=1,$L1124&lt;$J1124,COUNTIFS(nrES_PID,$D1124,nrES_Code,$F1124,nrES_Att,2)=0),"Yes","No")))</f>
        <v/>
      </c>
      <c r="R1124" s="17">
        <f>IF($C1124="","",IF($L1124="","",IF(AND($K1124=2,$L1124&lt;$J1124,COUNTIFS(nrES_PID,$D1124,nrES_Code,$F1124,nrES_Att,1)&gt;0),"Yes","No")))</f>
        <v/>
      </c>
      <c r="S1124" s="18" t="n"/>
      <c r="T1124" s="19">
        <f>IF($Q1124&lt;&gt;"Yes","",IF($S1124="","(enter date)",_xlfn.LET(_xlpm.dn,IFERROR(_xlfn.XLOOKUP($S1124,nrCDdate,nrCDnum),""),IF(_xlpm.dn="","(not a class day)",IFERROR(_xlfn.XLOOKUP(_xlpm.dn+cfgRetestClassDays,nrCDnum,nrCDdate),"")))))</f>
        <v/>
      </c>
      <c r="U1124" s="17">
        <f>IF($Q1124&lt;&gt;"Yes","",IF(COUNTIFS(nrES_PID,$D1124,nrES_Code,$F1124,nrES_Att,2)&gt;0,"Retested",IF(OR($T1124="",NOT(ISNUMBER($T1124))),"Pending",IF(TODAY()&gt;$T1124,"OVERDUE","Due "&amp;TEXT($T1124,"mm/dd")))))</f>
        <v/>
      </c>
      <c r="V1124" s="16" t="n"/>
      <c r="W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K1125=1,IF(COUNTIFS(nrES_PID,$D1125,nrES_Code,$F1125,nrES_Att,2)&gt;0,"",$L1125),IF(COUNTIFS(nrES_PID,$D1125,nrES_Code,$F1125,nrES_Att,1)=0,$L1125,IF($L1125&gt;=$J1125,cfgRetakeRecordedCap,SUMIFS(nrES_Raw,nrES_PID,$D1125,nrES_Code,$F1125,nrES_Att,1))))))</f>
        <v/>
      </c>
      <c r="N1125" s="17">
        <f>IF($C1125="","",IF($L1125="","",IF($L1125&gt;=$J1125,"Yes","No")))</f>
        <v/>
      </c>
      <c r="O1125" s="17">
        <f>IF($C1125="","",IF($M1125="","",IF($M1125&gt;=$J1125,"Yes","No")))</f>
        <v/>
      </c>
      <c r="P1125" s="17">
        <f>IF($C1125="","",IF($K1125="","",IF(COUNTIFS(nrES_PID,$D1125,nrES_Code,$F1125,nrES_Att,"&gt;"&amp;$K1125)=0,"Yes","No")))</f>
        <v/>
      </c>
      <c r="Q1125" s="17">
        <f>IF($C1125="","",IF($L1125="","",IF(AND($K1125=1,$L1125&lt;$J1125,COUNTIFS(nrES_PID,$D1125,nrES_Code,$F1125,nrES_Att,2)=0),"Yes","No")))</f>
        <v/>
      </c>
      <c r="R1125" s="17">
        <f>IF($C1125="","",IF($L1125="","",IF(AND($K1125=2,$L1125&lt;$J1125,COUNTIFS(nrES_PID,$D1125,nrES_Code,$F1125,nrES_Att,1)&gt;0),"Yes","No")))</f>
        <v/>
      </c>
      <c r="S1125" s="18" t="n"/>
      <c r="T1125" s="19">
        <f>IF($Q1125&lt;&gt;"Yes","",IF($S1125="","(enter date)",_xlfn.LET(_xlpm.dn,IFERROR(_xlfn.XLOOKUP($S1125,nrCDdate,nrCDnum),""),IF(_xlpm.dn="","(not a class day)",IFERROR(_xlfn.XLOOKUP(_xlpm.dn+cfgRetestClassDays,nrCDnum,nrCDdate),"")))))</f>
        <v/>
      </c>
      <c r="U1125" s="17">
        <f>IF($Q1125&lt;&gt;"Yes","",IF(COUNTIFS(nrES_PID,$D1125,nrES_Code,$F1125,nrES_Att,2)&gt;0,"Retested",IF(OR($T1125="",NOT(ISNUMBER($T1125))),"Pending",IF(TODAY()&gt;$T1125,"OVERDUE","Due "&amp;TEXT($T1125,"mm/dd")))))</f>
        <v/>
      </c>
      <c r="V1125" s="16" t="n"/>
      <c r="W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K1126=1,IF(COUNTIFS(nrES_PID,$D1126,nrES_Code,$F1126,nrES_Att,2)&gt;0,"",$L1126),IF(COUNTIFS(nrES_PID,$D1126,nrES_Code,$F1126,nrES_Att,1)=0,$L1126,IF($L1126&gt;=$J1126,cfgRetakeRecordedCap,SUMIFS(nrES_Raw,nrES_PID,$D1126,nrES_Code,$F1126,nrES_Att,1))))))</f>
        <v/>
      </c>
      <c r="N1126" s="17">
        <f>IF($C1126="","",IF($L1126="","",IF($L1126&gt;=$J1126,"Yes","No")))</f>
        <v/>
      </c>
      <c r="O1126" s="17">
        <f>IF($C1126="","",IF($M1126="","",IF($M1126&gt;=$J1126,"Yes","No")))</f>
        <v/>
      </c>
      <c r="P1126" s="17">
        <f>IF($C1126="","",IF($K1126="","",IF(COUNTIFS(nrES_PID,$D1126,nrES_Code,$F1126,nrES_Att,"&gt;"&amp;$K1126)=0,"Yes","No")))</f>
        <v/>
      </c>
      <c r="Q1126" s="17">
        <f>IF($C1126="","",IF($L1126="","",IF(AND($K1126=1,$L1126&lt;$J1126,COUNTIFS(nrES_PID,$D1126,nrES_Code,$F1126,nrES_Att,2)=0),"Yes","No")))</f>
        <v/>
      </c>
      <c r="R1126" s="17">
        <f>IF($C1126="","",IF($L1126="","",IF(AND($K1126=2,$L1126&lt;$J1126,COUNTIFS(nrES_PID,$D1126,nrES_Code,$F1126,nrES_Att,1)&gt;0),"Yes","No")))</f>
        <v/>
      </c>
      <c r="S1126" s="18" t="n"/>
      <c r="T1126" s="19">
        <f>IF($Q1126&lt;&gt;"Yes","",IF($S1126="","(enter date)",_xlfn.LET(_xlpm.dn,IFERROR(_xlfn.XLOOKUP($S1126,nrCDdate,nrCDnum),""),IF(_xlpm.dn="","(not a class day)",IFERROR(_xlfn.XLOOKUP(_xlpm.dn+cfgRetestClassDays,nrCDnum,nrCDdate),"")))))</f>
        <v/>
      </c>
      <c r="U1126" s="17">
        <f>IF($Q1126&lt;&gt;"Yes","",IF(COUNTIFS(nrES_PID,$D1126,nrES_Code,$F1126,nrES_Att,2)&gt;0,"Retested",IF(OR($T1126="",NOT(ISNUMBER($T1126))),"Pending",IF(TODAY()&gt;$T1126,"OVERDUE","Due "&amp;TEXT($T1126,"mm/dd")))))</f>
        <v/>
      </c>
      <c r="V1126" s="16" t="n"/>
      <c r="W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K1127=1,IF(COUNTIFS(nrES_PID,$D1127,nrES_Code,$F1127,nrES_Att,2)&gt;0,"",$L1127),IF(COUNTIFS(nrES_PID,$D1127,nrES_Code,$F1127,nrES_Att,1)=0,$L1127,IF($L1127&gt;=$J1127,cfgRetakeRecordedCap,SUMIFS(nrES_Raw,nrES_PID,$D1127,nrES_Code,$F1127,nrES_Att,1))))))</f>
        <v/>
      </c>
      <c r="N1127" s="17">
        <f>IF($C1127="","",IF($L1127="","",IF($L1127&gt;=$J1127,"Yes","No")))</f>
        <v/>
      </c>
      <c r="O1127" s="17">
        <f>IF($C1127="","",IF($M1127="","",IF($M1127&gt;=$J1127,"Yes","No")))</f>
        <v/>
      </c>
      <c r="P1127" s="17">
        <f>IF($C1127="","",IF($K1127="","",IF(COUNTIFS(nrES_PID,$D1127,nrES_Code,$F1127,nrES_Att,"&gt;"&amp;$K1127)=0,"Yes","No")))</f>
        <v/>
      </c>
      <c r="Q1127" s="17">
        <f>IF($C1127="","",IF($L1127="","",IF(AND($K1127=1,$L1127&lt;$J1127,COUNTIFS(nrES_PID,$D1127,nrES_Code,$F1127,nrES_Att,2)=0),"Yes","No")))</f>
        <v/>
      </c>
      <c r="R1127" s="17">
        <f>IF($C1127="","",IF($L1127="","",IF(AND($K1127=2,$L1127&lt;$J1127,COUNTIFS(nrES_PID,$D1127,nrES_Code,$F1127,nrES_Att,1)&gt;0),"Yes","No")))</f>
        <v/>
      </c>
      <c r="S1127" s="18" t="n"/>
      <c r="T1127" s="19">
        <f>IF($Q1127&lt;&gt;"Yes","",IF($S1127="","(enter date)",_xlfn.LET(_xlpm.dn,IFERROR(_xlfn.XLOOKUP($S1127,nrCDdate,nrCDnum),""),IF(_xlpm.dn="","(not a class day)",IFERROR(_xlfn.XLOOKUP(_xlpm.dn+cfgRetestClassDays,nrCDnum,nrCDdate),"")))))</f>
        <v/>
      </c>
      <c r="U1127" s="17">
        <f>IF($Q1127&lt;&gt;"Yes","",IF(COUNTIFS(nrES_PID,$D1127,nrES_Code,$F1127,nrES_Att,2)&gt;0,"Retested",IF(OR($T1127="",NOT(ISNUMBER($T1127))),"Pending",IF(TODAY()&gt;$T1127,"OVERDUE","Due "&amp;TEXT($T1127,"mm/dd")))))</f>
        <v/>
      </c>
      <c r="V1127" s="16" t="n"/>
      <c r="W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K1128=1,IF(COUNTIFS(nrES_PID,$D1128,nrES_Code,$F1128,nrES_Att,2)&gt;0,"",$L1128),IF(COUNTIFS(nrES_PID,$D1128,nrES_Code,$F1128,nrES_Att,1)=0,$L1128,IF($L1128&gt;=$J1128,cfgRetakeRecordedCap,SUMIFS(nrES_Raw,nrES_PID,$D1128,nrES_Code,$F1128,nrES_Att,1))))))</f>
        <v/>
      </c>
      <c r="N1128" s="17">
        <f>IF($C1128="","",IF($L1128="","",IF($L1128&gt;=$J1128,"Yes","No")))</f>
        <v/>
      </c>
      <c r="O1128" s="17">
        <f>IF($C1128="","",IF($M1128="","",IF($M1128&gt;=$J1128,"Yes","No")))</f>
        <v/>
      </c>
      <c r="P1128" s="17">
        <f>IF($C1128="","",IF($K1128="","",IF(COUNTIFS(nrES_PID,$D1128,nrES_Code,$F1128,nrES_Att,"&gt;"&amp;$K1128)=0,"Yes","No")))</f>
        <v/>
      </c>
      <c r="Q1128" s="17">
        <f>IF($C1128="","",IF($L1128="","",IF(AND($K1128=1,$L1128&lt;$J1128,COUNTIFS(nrES_PID,$D1128,nrES_Code,$F1128,nrES_Att,2)=0),"Yes","No")))</f>
        <v/>
      </c>
      <c r="R1128" s="17">
        <f>IF($C1128="","",IF($L1128="","",IF(AND($K1128=2,$L1128&lt;$J1128,COUNTIFS(nrES_PID,$D1128,nrES_Code,$F1128,nrES_Att,1)&gt;0),"Yes","No")))</f>
        <v/>
      </c>
      <c r="S1128" s="18" t="n"/>
      <c r="T1128" s="19">
        <f>IF($Q1128&lt;&gt;"Yes","",IF($S1128="","(enter date)",_xlfn.LET(_xlpm.dn,IFERROR(_xlfn.XLOOKUP($S1128,nrCDdate,nrCDnum),""),IF(_xlpm.dn="","(not a class day)",IFERROR(_xlfn.XLOOKUP(_xlpm.dn+cfgRetestClassDays,nrCDnum,nrCDdate),"")))))</f>
        <v/>
      </c>
      <c r="U1128" s="17">
        <f>IF($Q1128&lt;&gt;"Yes","",IF(COUNTIFS(nrES_PID,$D1128,nrES_Code,$F1128,nrES_Att,2)&gt;0,"Retested",IF(OR($T1128="",NOT(ISNUMBER($T1128))),"Pending",IF(TODAY()&gt;$T1128,"OVERDUE","Due "&amp;TEXT($T1128,"mm/dd")))))</f>
        <v/>
      </c>
      <c r="V1128" s="16" t="n"/>
      <c r="W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K1129=1,IF(COUNTIFS(nrES_PID,$D1129,nrES_Code,$F1129,nrES_Att,2)&gt;0,"",$L1129),IF(COUNTIFS(nrES_PID,$D1129,nrES_Code,$F1129,nrES_Att,1)=0,$L1129,IF($L1129&gt;=$J1129,cfgRetakeRecordedCap,SUMIFS(nrES_Raw,nrES_PID,$D1129,nrES_Code,$F1129,nrES_Att,1))))))</f>
        <v/>
      </c>
      <c r="N1129" s="17">
        <f>IF($C1129="","",IF($L1129="","",IF($L1129&gt;=$J1129,"Yes","No")))</f>
        <v/>
      </c>
      <c r="O1129" s="17">
        <f>IF($C1129="","",IF($M1129="","",IF($M1129&gt;=$J1129,"Yes","No")))</f>
        <v/>
      </c>
      <c r="P1129" s="17">
        <f>IF($C1129="","",IF($K1129="","",IF(COUNTIFS(nrES_PID,$D1129,nrES_Code,$F1129,nrES_Att,"&gt;"&amp;$K1129)=0,"Yes","No")))</f>
        <v/>
      </c>
      <c r="Q1129" s="17">
        <f>IF($C1129="","",IF($L1129="","",IF(AND($K1129=1,$L1129&lt;$J1129,COUNTIFS(nrES_PID,$D1129,nrES_Code,$F1129,nrES_Att,2)=0),"Yes","No")))</f>
        <v/>
      </c>
      <c r="R1129" s="17">
        <f>IF($C1129="","",IF($L1129="","",IF(AND($K1129=2,$L1129&lt;$J1129,COUNTIFS(nrES_PID,$D1129,nrES_Code,$F1129,nrES_Att,1)&gt;0),"Yes","No")))</f>
        <v/>
      </c>
      <c r="S1129" s="18" t="n"/>
      <c r="T1129" s="19">
        <f>IF($Q1129&lt;&gt;"Yes","",IF($S1129="","(enter date)",_xlfn.LET(_xlpm.dn,IFERROR(_xlfn.XLOOKUP($S1129,nrCDdate,nrCDnum),""),IF(_xlpm.dn="","(not a class day)",IFERROR(_xlfn.XLOOKUP(_xlpm.dn+cfgRetestClassDays,nrCDnum,nrCDdate),"")))))</f>
        <v/>
      </c>
      <c r="U1129" s="17">
        <f>IF($Q1129&lt;&gt;"Yes","",IF(COUNTIFS(nrES_PID,$D1129,nrES_Code,$F1129,nrES_Att,2)&gt;0,"Retested",IF(OR($T1129="",NOT(ISNUMBER($T1129))),"Pending",IF(TODAY()&gt;$T1129,"OVERDUE","Due "&amp;TEXT($T1129,"mm/dd")))))</f>
        <v/>
      </c>
      <c r="V1129" s="16" t="n"/>
      <c r="W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K1130=1,IF(COUNTIFS(nrES_PID,$D1130,nrES_Code,$F1130,nrES_Att,2)&gt;0,"",$L1130),IF(COUNTIFS(nrES_PID,$D1130,nrES_Code,$F1130,nrES_Att,1)=0,$L1130,IF($L1130&gt;=$J1130,cfgRetakeRecordedCap,SUMIFS(nrES_Raw,nrES_PID,$D1130,nrES_Code,$F1130,nrES_Att,1))))))</f>
        <v/>
      </c>
      <c r="N1130" s="17">
        <f>IF($C1130="","",IF($L1130="","",IF($L1130&gt;=$J1130,"Yes","No")))</f>
        <v/>
      </c>
      <c r="O1130" s="17">
        <f>IF($C1130="","",IF($M1130="","",IF($M1130&gt;=$J1130,"Yes","No")))</f>
        <v/>
      </c>
      <c r="P1130" s="17">
        <f>IF($C1130="","",IF($K1130="","",IF(COUNTIFS(nrES_PID,$D1130,nrES_Code,$F1130,nrES_Att,"&gt;"&amp;$K1130)=0,"Yes","No")))</f>
        <v/>
      </c>
      <c r="Q1130" s="17">
        <f>IF($C1130="","",IF($L1130="","",IF(AND($K1130=1,$L1130&lt;$J1130,COUNTIFS(nrES_PID,$D1130,nrES_Code,$F1130,nrES_Att,2)=0),"Yes","No")))</f>
        <v/>
      </c>
      <c r="R1130" s="17">
        <f>IF($C1130="","",IF($L1130="","",IF(AND($K1130=2,$L1130&lt;$J1130,COUNTIFS(nrES_PID,$D1130,nrES_Code,$F1130,nrES_Att,1)&gt;0),"Yes","No")))</f>
        <v/>
      </c>
      <c r="S1130" s="18" t="n"/>
      <c r="T1130" s="19">
        <f>IF($Q1130&lt;&gt;"Yes","",IF($S1130="","(enter date)",_xlfn.LET(_xlpm.dn,IFERROR(_xlfn.XLOOKUP($S1130,nrCDdate,nrCDnum),""),IF(_xlpm.dn="","(not a class day)",IFERROR(_xlfn.XLOOKUP(_xlpm.dn+cfgRetestClassDays,nrCDnum,nrCDdate),"")))))</f>
        <v/>
      </c>
      <c r="U1130" s="17">
        <f>IF($Q1130&lt;&gt;"Yes","",IF(COUNTIFS(nrES_PID,$D1130,nrES_Code,$F1130,nrES_Att,2)&gt;0,"Retested",IF(OR($T1130="",NOT(ISNUMBER($T1130))),"Pending",IF(TODAY()&gt;$T1130,"OVERDUE","Due "&amp;TEXT($T1130,"mm/dd")))))</f>
        <v/>
      </c>
      <c r="V1130" s="16" t="n"/>
      <c r="W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K1131=1,IF(COUNTIFS(nrES_PID,$D1131,nrES_Code,$F1131,nrES_Att,2)&gt;0,"",$L1131),IF(COUNTIFS(nrES_PID,$D1131,nrES_Code,$F1131,nrES_Att,1)=0,$L1131,IF($L1131&gt;=$J1131,cfgRetakeRecordedCap,SUMIFS(nrES_Raw,nrES_PID,$D1131,nrES_Code,$F1131,nrES_Att,1))))))</f>
        <v/>
      </c>
      <c r="N1131" s="17">
        <f>IF($C1131="","",IF($L1131="","",IF($L1131&gt;=$J1131,"Yes","No")))</f>
        <v/>
      </c>
      <c r="O1131" s="17">
        <f>IF($C1131="","",IF($M1131="","",IF($M1131&gt;=$J1131,"Yes","No")))</f>
        <v/>
      </c>
      <c r="P1131" s="17">
        <f>IF($C1131="","",IF($K1131="","",IF(COUNTIFS(nrES_PID,$D1131,nrES_Code,$F1131,nrES_Att,"&gt;"&amp;$K1131)=0,"Yes","No")))</f>
        <v/>
      </c>
      <c r="Q1131" s="17">
        <f>IF($C1131="","",IF($L1131="","",IF(AND($K1131=1,$L1131&lt;$J1131,COUNTIFS(nrES_PID,$D1131,nrES_Code,$F1131,nrES_Att,2)=0),"Yes","No")))</f>
        <v/>
      </c>
      <c r="R1131" s="17">
        <f>IF($C1131="","",IF($L1131="","",IF(AND($K1131=2,$L1131&lt;$J1131,COUNTIFS(nrES_PID,$D1131,nrES_Code,$F1131,nrES_Att,1)&gt;0),"Yes","No")))</f>
        <v/>
      </c>
      <c r="S1131" s="18" t="n"/>
      <c r="T1131" s="19">
        <f>IF($Q1131&lt;&gt;"Yes","",IF($S1131="","(enter date)",_xlfn.LET(_xlpm.dn,IFERROR(_xlfn.XLOOKUP($S1131,nrCDdate,nrCDnum),""),IF(_xlpm.dn="","(not a class day)",IFERROR(_xlfn.XLOOKUP(_xlpm.dn+cfgRetestClassDays,nrCDnum,nrCDdate),"")))))</f>
        <v/>
      </c>
      <c r="U1131" s="17">
        <f>IF($Q1131&lt;&gt;"Yes","",IF(COUNTIFS(nrES_PID,$D1131,nrES_Code,$F1131,nrES_Att,2)&gt;0,"Retested",IF(OR($T1131="",NOT(ISNUMBER($T1131))),"Pending",IF(TODAY()&gt;$T1131,"OVERDUE","Due "&amp;TEXT($T1131,"mm/dd")))))</f>
        <v/>
      </c>
      <c r="V1131" s="16" t="n"/>
      <c r="W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K1132=1,IF(COUNTIFS(nrES_PID,$D1132,nrES_Code,$F1132,nrES_Att,2)&gt;0,"",$L1132),IF(COUNTIFS(nrES_PID,$D1132,nrES_Code,$F1132,nrES_Att,1)=0,$L1132,IF($L1132&gt;=$J1132,cfgRetakeRecordedCap,SUMIFS(nrES_Raw,nrES_PID,$D1132,nrES_Code,$F1132,nrES_Att,1))))))</f>
        <v/>
      </c>
      <c r="N1132" s="17">
        <f>IF($C1132="","",IF($L1132="","",IF($L1132&gt;=$J1132,"Yes","No")))</f>
        <v/>
      </c>
      <c r="O1132" s="17">
        <f>IF($C1132="","",IF($M1132="","",IF($M1132&gt;=$J1132,"Yes","No")))</f>
        <v/>
      </c>
      <c r="P1132" s="17">
        <f>IF($C1132="","",IF($K1132="","",IF(COUNTIFS(nrES_PID,$D1132,nrES_Code,$F1132,nrES_Att,"&gt;"&amp;$K1132)=0,"Yes","No")))</f>
        <v/>
      </c>
      <c r="Q1132" s="17">
        <f>IF($C1132="","",IF($L1132="","",IF(AND($K1132=1,$L1132&lt;$J1132,COUNTIFS(nrES_PID,$D1132,nrES_Code,$F1132,nrES_Att,2)=0),"Yes","No")))</f>
        <v/>
      </c>
      <c r="R1132" s="17">
        <f>IF($C1132="","",IF($L1132="","",IF(AND($K1132=2,$L1132&lt;$J1132,COUNTIFS(nrES_PID,$D1132,nrES_Code,$F1132,nrES_Att,1)&gt;0),"Yes","No")))</f>
        <v/>
      </c>
      <c r="S1132" s="18" t="n"/>
      <c r="T1132" s="19">
        <f>IF($Q1132&lt;&gt;"Yes","",IF($S1132="","(enter date)",_xlfn.LET(_xlpm.dn,IFERROR(_xlfn.XLOOKUP($S1132,nrCDdate,nrCDnum),""),IF(_xlpm.dn="","(not a class day)",IFERROR(_xlfn.XLOOKUP(_xlpm.dn+cfgRetestClassDays,nrCDnum,nrCDdate),"")))))</f>
        <v/>
      </c>
      <c r="U1132" s="17">
        <f>IF($Q1132&lt;&gt;"Yes","",IF(COUNTIFS(nrES_PID,$D1132,nrES_Code,$F1132,nrES_Att,2)&gt;0,"Retested",IF(OR($T1132="",NOT(ISNUMBER($T1132))),"Pending",IF(TODAY()&gt;$T1132,"OVERDUE","Due "&amp;TEXT($T1132,"mm/dd")))))</f>
        <v/>
      </c>
      <c r="V1132" s="16" t="n"/>
      <c r="W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K1133=1,IF(COUNTIFS(nrES_PID,$D1133,nrES_Code,$F1133,nrES_Att,2)&gt;0,"",$L1133),IF(COUNTIFS(nrES_PID,$D1133,nrES_Code,$F1133,nrES_Att,1)=0,$L1133,IF($L1133&gt;=$J1133,cfgRetakeRecordedCap,SUMIFS(nrES_Raw,nrES_PID,$D1133,nrES_Code,$F1133,nrES_Att,1))))))</f>
        <v/>
      </c>
      <c r="N1133" s="17">
        <f>IF($C1133="","",IF($L1133="","",IF($L1133&gt;=$J1133,"Yes","No")))</f>
        <v/>
      </c>
      <c r="O1133" s="17">
        <f>IF($C1133="","",IF($M1133="","",IF($M1133&gt;=$J1133,"Yes","No")))</f>
        <v/>
      </c>
      <c r="P1133" s="17">
        <f>IF($C1133="","",IF($K1133="","",IF(COUNTIFS(nrES_PID,$D1133,nrES_Code,$F1133,nrES_Att,"&gt;"&amp;$K1133)=0,"Yes","No")))</f>
        <v/>
      </c>
      <c r="Q1133" s="17">
        <f>IF($C1133="","",IF($L1133="","",IF(AND($K1133=1,$L1133&lt;$J1133,COUNTIFS(nrES_PID,$D1133,nrES_Code,$F1133,nrES_Att,2)=0),"Yes","No")))</f>
        <v/>
      </c>
      <c r="R1133" s="17">
        <f>IF($C1133="","",IF($L1133="","",IF(AND($K1133=2,$L1133&lt;$J1133,COUNTIFS(nrES_PID,$D1133,nrES_Code,$F1133,nrES_Att,1)&gt;0),"Yes","No")))</f>
        <v/>
      </c>
      <c r="S1133" s="18" t="n"/>
      <c r="T1133" s="19">
        <f>IF($Q1133&lt;&gt;"Yes","",IF($S1133="","(enter date)",_xlfn.LET(_xlpm.dn,IFERROR(_xlfn.XLOOKUP($S1133,nrCDdate,nrCDnum),""),IF(_xlpm.dn="","(not a class day)",IFERROR(_xlfn.XLOOKUP(_xlpm.dn+cfgRetestClassDays,nrCDnum,nrCDdate),"")))))</f>
        <v/>
      </c>
      <c r="U1133" s="17">
        <f>IF($Q1133&lt;&gt;"Yes","",IF(COUNTIFS(nrES_PID,$D1133,nrES_Code,$F1133,nrES_Att,2)&gt;0,"Retested",IF(OR($T1133="",NOT(ISNUMBER($T1133))),"Pending",IF(TODAY()&gt;$T1133,"OVERDUE","Due "&amp;TEXT($T1133,"mm/dd")))))</f>
        <v/>
      </c>
      <c r="V1133" s="16" t="n"/>
      <c r="W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K1134=1,IF(COUNTIFS(nrES_PID,$D1134,nrES_Code,$F1134,nrES_Att,2)&gt;0,"",$L1134),IF(COUNTIFS(nrES_PID,$D1134,nrES_Code,$F1134,nrES_Att,1)=0,$L1134,IF($L1134&gt;=$J1134,cfgRetakeRecordedCap,SUMIFS(nrES_Raw,nrES_PID,$D1134,nrES_Code,$F1134,nrES_Att,1))))))</f>
        <v/>
      </c>
      <c r="N1134" s="17">
        <f>IF($C1134="","",IF($L1134="","",IF($L1134&gt;=$J1134,"Yes","No")))</f>
        <v/>
      </c>
      <c r="O1134" s="17">
        <f>IF($C1134="","",IF($M1134="","",IF($M1134&gt;=$J1134,"Yes","No")))</f>
        <v/>
      </c>
      <c r="P1134" s="17">
        <f>IF($C1134="","",IF($K1134="","",IF(COUNTIFS(nrES_PID,$D1134,nrES_Code,$F1134,nrES_Att,"&gt;"&amp;$K1134)=0,"Yes","No")))</f>
        <v/>
      </c>
      <c r="Q1134" s="17">
        <f>IF($C1134="","",IF($L1134="","",IF(AND($K1134=1,$L1134&lt;$J1134,COUNTIFS(nrES_PID,$D1134,nrES_Code,$F1134,nrES_Att,2)=0),"Yes","No")))</f>
        <v/>
      </c>
      <c r="R1134" s="17">
        <f>IF($C1134="","",IF($L1134="","",IF(AND($K1134=2,$L1134&lt;$J1134,COUNTIFS(nrES_PID,$D1134,nrES_Code,$F1134,nrES_Att,1)&gt;0),"Yes","No")))</f>
        <v/>
      </c>
      <c r="S1134" s="18" t="n"/>
      <c r="T1134" s="19">
        <f>IF($Q1134&lt;&gt;"Yes","",IF($S1134="","(enter date)",_xlfn.LET(_xlpm.dn,IFERROR(_xlfn.XLOOKUP($S1134,nrCDdate,nrCDnum),""),IF(_xlpm.dn="","(not a class day)",IFERROR(_xlfn.XLOOKUP(_xlpm.dn+cfgRetestClassDays,nrCDnum,nrCDdate),"")))))</f>
        <v/>
      </c>
      <c r="U1134" s="17">
        <f>IF($Q1134&lt;&gt;"Yes","",IF(COUNTIFS(nrES_PID,$D1134,nrES_Code,$F1134,nrES_Att,2)&gt;0,"Retested",IF(OR($T1134="",NOT(ISNUMBER($T1134))),"Pending",IF(TODAY()&gt;$T1134,"OVERDUE","Due "&amp;TEXT($T1134,"mm/dd")))))</f>
        <v/>
      </c>
      <c r="V1134" s="16" t="n"/>
      <c r="W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K1135=1,IF(COUNTIFS(nrES_PID,$D1135,nrES_Code,$F1135,nrES_Att,2)&gt;0,"",$L1135),IF(COUNTIFS(nrES_PID,$D1135,nrES_Code,$F1135,nrES_Att,1)=0,$L1135,IF($L1135&gt;=$J1135,cfgRetakeRecordedCap,SUMIFS(nrES_Raw,nrES_PID,$D1135,nrES_Code,$F1135,nrES_Att,1))))))</f>
        <v/>
      </c>
      <c r="N1135" s="17">
        <f>IF($C1135="","",IF($L1135="","",IF($L1135&gt;=$J1135,"Yes","No")))</f>
        <v/>
      </c>
      <c r="O1135" s="17">
        <f>IF($C1135="","",IF($M1135="","",IF($M1135&gt;=$J1135,"Yes","No")))</f>
        <v/>
      </c>
      <c r="P1135" s="17">
        <f>IF($C1135="","",IF($K1135="","",IF(COUNTIFS(nrES_PID,$D1135,nrES_Code,$F1135,nrES_Att,"&gt;"&amp;$K1135)=0,"Yes","No")))</f>
        <v/>
      </c>
      <c r="Q1135" s="17">
        <f>IF($C1135="","",IF($L1135="","",IF(AND($K1135=1,$L1135&lt;$J1135,COUNTIFS(nrES_PID,$D1135,nrES_Code,$F1135,nrES_Att,2)=0),"Yes","No")))</f>
        <v/>
      </c>
      <c r="R1135" s="17">
        <f>IF($C1135="","",IF($L1135="","",IF(AND($K1135=2,$L1135&lt;$J1135,COUNTIFS(nrES_PID,$D1135,nrES_Code,$F1135,nrES_Att,1)&gt;0),"Yes","No")))</f>
        <v/>
      </c>
      <c r="S1135" s="18" t="n"/>
      <c r="T1135" s="19">
        <f>IF($Q1135&lt;&gt;"Yes","",IF($S1135="","(enter date)",_xlfn.LET(_xlpm.dn,IFERROR(_xlfn.XLOOKUP($S1135,nrCDdate,nrCDnum),""),IF(_xlpm.dn="","(not a class day)",IFERROR(_xlfn.XLOOKUP(_xlpm.dn+cfgRetestClassDays,nrCDnum,nrCDdate),"")))))</f>
        <v/>
      </c>
      <c r="U1135" s="17">
        <f>IF($Q1135&lt;&gt;"Yes","",IF(COUNTIFS(nrES_PID,$D1135,nrES_Code,$F1135,nrES_Att,2)&gt;0,"Retested",IF(OR($T1135="",NOT(ISNUMBER($T1135))),"Pending",IF(TODAY()&gt;$T1135,"OVERDUE","Due "&amp;TEXT($T1135,"mm/dd")))))</f>
        <v/>
      </c>
      <c r="V1135" s="16" t="n"/>
      <c r="W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K1136=1,IF(COUNTIFS(nrES_PID,$D1136,nrES_Code,$F1136,nrES_Att,2)&gt;0,"",$L1136),IF(COUNTIFS(nrES_PID,$D1136,nrES_Code,$F1136,nrES_Att,1)=0,$L1136,IF($L1136&gt;=$J1136,cfgRetakeRecordedCap,SUMIFS(nrES_Raw,nrES_PID,$D1136,nrES_Code,$F1136,nrES_Att,1))))))</f>
        <v/>
      </c>
      <c r="N1136" s="17">
        <f>IF($C1136="","",IF($L1136="","",IF($L1136&gt;=$J1136,"Yes","No")))</f>
        <v/>
      </c>
      <c r="O1136" s="17">
        <f>IF($C1136="","",IF($M1136="","",IF($M1136&gt;=$J1136,"Yes","No")))</f>
        <v/>
      </c>
      <c r="P1136" s="17">
        <f>IF($C1136="","",IF($K1136="","",IF(COUNTIFS(nrES_PID,$D1136,nrES_Code,$F1136,nrES_Att,"&gt;"&amp;$K1136)=0,"Yes","No")))</f>
        <v/>
      </c>
      <c r="Q1136" s="17">
        <f>IF($C1136="","",IF($L1136="","",IF(AND($K1136=1,$L1136&lt;$J1136,COUNTIFS(nrES_PID,$D1136,nrES_Code,$F1136,nrES_Att,2)=0),"Yes","No")))</f>
        <v/>
      </c>
      <c r="R1136" s="17">
        <f>IF($C1136="","",IF($L1136="","",IF(AND($K1136=2,$L1136&lt;$J1136,COUNTIFS(nrES_PID,$D1136,nrES_Code,$F1136,nrES_Att,1)&gt;0),"Yes","No")))</f>
        <v/>
      </c>
      <c r="S1136" s="18" t="n"/>
      <c r="T1136" s="19">
        <f>IF($Q1136&lt;&gt;"Yes","",IF($S1136="","(enter date)",_xlfn.LET(_xlpm.dn,IFERROR(_xlfn.XLOOKUP($S1136,nrCDdate,nrCDnum),""),IF(_xlpm.dn="","(not a class day)",IFERROR(_xlfn.XLOOKUP(_xlpm.dn+cfgRetestClassDays,nrCDnum,nrCDdate),"")))))</f>
        <v/>
      </c>
      <c r="U1136" s="17">
        <f>IF($Q1136&lt;&gt;"Yes","",IF(COUNTIFS(nrES_PID,$D1136,nrES_Code,$F1136,nrES_Att,2)&gt;0,"Retested",IF(OR($T1136="",NOT(ISNUMBER($T1136))),"Pending",IF(TODAY()&gt;$T1136,"OVERDUE","Due "&amp;TEXT($T1136,"mm/dd")))))</f>
        <v/>
      </c>
      <c r="V1136" s="16" t="n"/>
      <c r="W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K1137=1,IF(COUNTIFS(nrES_PID,$D1137,nrES_Code,$F1137,nrES_Att,2)&gt;0,"",$L1137),IF(COUNTIFS(nrES_PID,$D1137,nrES_Code,$F1137,nrES_Att,1)=0,$L1137,IF($L1137&gt;=$J1137,cfgRetakeRecordedCap,SUMIFS(nrES_Raw,nrES_PID,$D1137,nrES_Code,$F1137,nrES_Att,1))))))</f>
        <v/>
      </c>
      <c r="N1137" s="17">
        <f>IF($C1137="","",IF($L1137="","",IF($L1137&gt;=$J1137,"Yes","No")))</f>
        <v/>
      </c>
      <c r="O1137" s="17">
        <f>IF($C1137="","",IF($M1137="","",IF($M1137&gt;=$J1137,"Yes","No")))</f>
        <v/>
      </c>
      <c r="P1137" s="17">
        <f>IF($C1137="","",IF($K1137="","",IF(COUNTIFS(nrES_PID,$D1137,nrES_Code,$F1137,nrES_Att,"&gt;"&amp;$K1137)=0,"Yes","No")))</f>
        <v/>
      </c>
      <c r="Q1137" s="17">
        <f>IF($C1137="","",IF($L1137="","",IF(AND($K1137=1,$L1137&lt;$J1137,COUNTIFS(nrES_PID,$D1137,nrES_Code,$F1137,nrES_Att,2)=0),"Yes","No")))</f>
        <v/>
      </c>
      <c r="R1137" s="17">
        <f>IF($C1137="","",IF($L1137="","",IF(AND($K1137=2,$L1137&lt;$J1137,COUNTIFS(nrES_PID,$D1137,nrES_Code,$F1137,nrES_Att,1)&gt;0),"Yes","No")))</f>
        <v/>
      </c>
      <c r="S1137" s="18" t="n"/>
      <c r="T1137" s="19">
        <f>IF($Q1137&lt;&gt;"Yes","",IF($S1137="","(enter date)",_xlfn.LET(_xlpm.dn,IFERROR(_xlfn.XLOOKUP($S1137,nrCDdate,nrCDnum),""),IF(_xlpm.dn="","(not a class day)",IFERROR(_xlfn.XLOOKUP(_xlpm.dn+cfgRetestClassDays,nrCDnum,nrCDdate),"")))))</f>
        <v/>
      </c>
      <c r="U1137" s="17">
        <f>IF($Q1137&lt;&gt;"Yes","",IF(COUNTIFS(nrES_PID,$D1137,nrES_Code,$F1137,nrES_Att,2)&gt;0,"Retested",IF(OR($T1137="",NOT(ISNUMBER($T1137))),"Pending",IF(TODAY()&gt;$T1137,"OVERDUE","Due "&amp;TEXT($T1137,"mm/dd")))))</f>
        <v/>
      </c>
      <c r="V1137" s="16" t="n"/>
      <c r="W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K1138=1,IF(COUNTIFS(nrES_PID,$D1138,nrES_Code,$F1138,nrES_Att,2)&gt;0,"",$L1138),IF(COUNTIFS(nrES_PID,$D1138,nrES_Code,$F1138,nrES_Att,1)=0,$L1138,IF($L1138&gt;=$J1138,cfgRetakeRecordedCap,SUMIFS(nrES_Raw,nrES_PID,$D1138,nrES_Code,$F1138,nrES_Att,1))))))</f>
        <v/>
      </c>
      <c r="N1138" s="17">
        <f>IF($C1138="","",IF($L1138="","",IF($L1138&gt;=$J1138,"Yes","No")))</f>
        <v/>
      </c>
      <c r="O1138" s="17">
        <f>IF($C1138="","",IF($M1138="","",IF($M1138&gt;=$J1138,"Yes","No")))</f>
        <v/>
      </c>
      <c r="P1138" s="17">
        <f>IF($C1138="","",IF($K1138="","",IF(COUNTIFS(nrES_PID,$D1138,nrES_Code,$F1138,nrES_Att,"&gt;"&amp;$K1138)=0,"Yes","No")))</f>
        <v/>
      </c>
      <c r="Q1138" s="17">
        <f>IF($C1138="","",IF($L1138="","",IF(AND($K1138=1,$L1138&lt;$J1138,COUNTIFS(nrES_PID,$D1138,nrES_Code,$F1138,nrES_Att,2)=0),"Yes","No")))</f>
        <v/>
      </c>
      <c r="R1138" s="17">
        <f>IF($C1138="","",IF($L1138="","",IF(AND($K1138=2,$L1138&lt;$J1138,COUNTIFS(nrES_PID,$D1138,nrES_Code,$F1138,nrES_Att,1)&gt;0),"Yes","No")))</f>
        <v/>
      </c>
      <c r="S1138" s="18" t="n"/>
      <c r="T1138" s="19">
        <f>IF($Q1138&lt;&gt;"Yes","",IF($S1138="","(enter date)",_xlfn.LET(_xlpm.dn,IFERROR(_xlfn.XLOOKUP($S1138,nrCDdate,nrCDnum),""),IF(_xlpm.dn="","(not a class day)",IFERROR(_xlfn.XLOOKUP(_xlpm.dn+cfgRetestClassDays,nrCDnum,nrCDdate),"")))))</f>
        <v/>
      </c>
      <c r="U1138" s="17">
        <f>IF($Q1138&lt;&gt;"Yes","",IF(COUNTIFS(nrES_PID,$D1138,nrES_Code,$F1138,nrES_Att,2)&gt;0,"Retested",IF(OR($T1138="",NOT(ISNUMBER($T1138))),"Pending",IF(TODAY()&gt;$T1138,"OVERDUE","Due "&amp;TEXT($T1138,"mm/dd")))))</f>
        <v/>
      </c>
      <c r="V1138" s="16" t="n"/>
      <c r="W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K1139=1,IF(COUNTIFS(nrES_PID,$D1139,nrES_Code,$F1139,nrES_Att,2)&gt;0,"",$L1139),IF(COUNTIFS(nrES_PID,$D1139,nrES_Code,$F1139,nrES_Att,1)=0,$L1139,IF($L1139&gt;=$J1139,cfgRetakeRecordedCap,SUMIFS(nrES_Raw,nrES_PID,$D1139,nrES_Code,$F1139,nrES_Att,1))))))</f>
        <v/>
      </c>
      <c r="N1139" s="17">
        <f>IF($C1139="","",IF($L1139="","",IF($L1139&gt;=$J1139,"Yes","No")))</f>
        <v/>
      </c>
      <c r="O1139" s="17">
        <f>IF($C1139="","",IF($M1139="","",IF($M1139&gt;=$J1139,"Yes","No")))</f>
        <v/>
      </c>
      <c r="P1139" s="17">
        <f>IF($C1139="","",IF($K1139="","",IF(COUNTIFS(nrES_PID,$D1139,nrES_Code,$F1139,nrES_Att,"&gt;"&amp;$K1139)=0,"Yes","No")))</f>
        <v/>
      </c>
      <c r="Q1139" s="17">
        <f>IF($C1139="","",IF($L1139="","",IF(AND($K1139=1,$L1139&lt;$J1139,COUNTIFS(nrES_PID,$D1139,nrES_Code,$F1139,nrES_Att,2)=0),"Yes","No")))</f>
        <v/>
      </c>
      <c r="R1139" s="17">
        <f>IF($C1139="","",IF($L1139="","",IF(AND($K1139=2,$L1139&lt;$J1139,COUNTIFS(nrES_PID,$D1139,nrES_Code,$F1139,nrES_Att,1)&gt;0),"Yes","No")))</f>
        <v/>
      </c>
      <c r="S1139" s="18" t="n"/>
      <c r="T1139" s="19">
        <f>IF($Q1139&lt;&gt;"Yes","",IF($S1139="","(enter date)",_xlfn.LET(_xlpm.dn,IFERROR(_xlfn.XLOOKUP($S1139,nrCDdate,nrCDnum),""),IF(_xlpm.dn="","(not a class day)",IFERROR(_xlfn.XLOOKUP(_xlpm.dn+cfgRetestClassDays,nrCDnum,nrCDdate),"")))))</f>
        <v/>
      </c>
      <c r="U1139" s="17">
        <f>IF($Q1139&lt;&gt;"Yes","",IF(COUNTIFS(nrES_PID,$D1139,nrES_Code,$F1139,nrES_Att,2)&gt;0,"Retested",IF(OR($T1139="",NOT(ISNUMBER($T1139))),"Pending",IF(TODAY()&gt;$T1139,"OVERDUE","Due "&amp;TEXT($T1139,"mm/dd")))))</f>
        <v/>
      </c>
      <c r="V1139" s="16" t="n"/>
      <c r="W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K1140=1,IF(COUNTIFS(nrES_PID,$D1140,nrES_Code,$F1140,nrES_Att,2)&gt;0,"",$L1140),IF(COUNTIFS(nrES_PID,$D1140,nrES_Code,$F1140,nrES_Att,1)=0,$L1140,IF($L1140&gt;=$J1140,cfgRetakeRecordedCap,SUMIFS(nrES_Raw,nrES_PID,$D1140,nrES_Code,$F1140,nrES_Att,1))))))</f>
        <v/>
      </c>
      <c r="N1140" s="17">
        <f>IF($C1140="","",IF($L1140="","",IF($L1140&gt;=$J1140,"Yes","No")))</f>
        <v/>
      </c>
      <c r="O1140" s="17">
        <f>IF($C1140="","",IF($M1140="","",IF($M1140&gt;=$J1140,"Yes","No")))</f>
        <v/>
      </c>
      <c r="P1140" s="17">
        <f>IF($C1140="","",IF($K1140="","",IF(COUNTIFS(nrES_PID,$D1140,nrES_Code,$F1140,nrES_Att,"&gt;"&amp;$K1140)=0,"Yes","No")))</f>
        <v/>
      </c>
      <c r="Q1140" s="17">
        <f>IF($C1140="","",IF($L1140="","",IF(AND($K1140=1,$L1140&lt;$J1140,COUNTIFS(nrES_PID,$D1140,nrES_Code,$F1140,nrES_Att,2)=0),"Yes","No")))</f>
        <v/>
      </c>
      <c r="R1140" s="17">
        <f>IF($C1140="","",IF($L1140="","",IF(AND($K1140=2,$L1140&lt;$J1140,COUNTIFS(nrES_PID,$D1140,nrES_Code,$F1140,nrES_Att,1)&gt;0),"Yes","No")))</f>
        <v/>
      </c>
      <c r="S1140" s="18" t="n"/>
      <c r="T1140" s="19">
        <f>IF($Q1140&lt;&gt;"Yes","",IF($S1140="","(enter date)",_xlfn.LET(_xlpm.dn,IFERROR(_xlfn.XLOOKUP($S1140,nrCDdate,nrCDnum),""),IF(_xlpm.dn="","(not a class day)",IFERROR(_xlfn.XLOOKUP(_xlpm.dn+cfgRetestClassDays,nrCDnum,nrCDdate),"")))))</f>
        <v/>
      </c>
      <c r="U1140" s="17">
        <f>IF($Q1140&lt;&gt;"Yes","",IF(COUNTIFS(nrES_PID,$D1140,nrES_Code,$F1140,nrES_Att,2)&gt;0,"Retested",IF(OR($T1140="",NOT(ISNUMBER($T1140))),"Pending",IF(TODAY()&gt;$T1140,"OVERDUE","Due "&amp;TEXT($T1140,"mm/dd")))))</f>
        <v/>
      </c>
      <c r="V1140" s="16" t="n"/>
      <c r="W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K1141=1,IF(COUNTIFS(nrES_PID,$D1141,nrES_Code,$F1141,nrES_Att,2)&gt;0,"",$L1141),IF(COUNTIFS(nrES_PID,$D1141,nrES_Code,$F1141,nrES_Att,1)=0,$L1141,IF($L1141&gt;=$J1141,cfgRetakeRecordedCap,SUMIFS(nrES_Raw,nrES_PID,$D1141,nrES_Code,$F1141,nrES_Att,1))))))</f>
        <v/>
      </c>
      <c r="N1141" s="17">
        <f>IF($C1141="","",IF($L1141="","",IF($L1141&gt;=$J1141,"Yes","No")))</f>
        <v/>
      </c>
      <c r="O1141" s="17">
        <f>IF($C1141="","",IF($M1141="","",IF($M1141&gt;=$J1141,"Yes","No")))</f>
        <v/>
      </c>
      <c r="P1141" s="17">
        <f>IF($C1141="","",IF($K1141="","",IF(COUNTIFS(nrES_PID,$D1141,nrES_Code,$F1141,nrES_Att,"&gt;"&amp;$K1141)=0,"Yes","No")))</f>
        <v/>
      </c>
      <c r="Q1141" s="17">
        <f>IF($C1141="","",IF($L1141="","",IF(AND($K1141=1,$L1141&lt;$J1141,COUNTIFS(nrES_PID,$D1141,nrES_Code,$F1141,nrES_Att,2)=0),"Yes","No")))</f>
        <v/>
      </c>
      <c r="R1141" s="17">
        <f>IF($C1141="","",IF($L1141="","",IF(AND($K1141=2,$L1141&lt;$J1141,COUNTIFS(nrES_PID,$D1141,nrES_Code,$F1141,nrES_Att,1)&gt;0),"Yes","No")))</f>
        <v/>
      </c>
      <c r="S1141" s="18" t="n"/>
      <c r="T1141" s="19">
        <f>IF($Q1141&lt;&gt;"Yes","",IF($S1141="","(enter date)",_xlfn.LET(_xlpm.dn,IFERROR(_xlfn.XLOOKUP($S1141,nrCDdate,nrCDnum),""),IF(_xlpm.dn="","(not a class day)",IFERROR(_xlfn.XLOOKUP(_xlpm.dn+cfgRetestClassDays,nrCDnum,nrCDdate),"")))))</f>
        <v/>
      </c>
      <c r="U1141" s="17">
        <f>IF($Q1141&lt;&gt;"Yes","",IF(COUNTIFS(nrES_PID,$D1141,nrES_Code,$F1141,nrES_Att,2)&gt;0,"Retested",IF(OR($T1141="",NOT(ISNUMBER($T1141))),"Pending",IF(TODAY()&gt;$T1141,"OVERDUE","Due "&amp;TEXT($T1141,"mm/dd")))))</f>
        <v/>
      </c>
      <c r="V1141" s="16" t="n"/>
      <c r="W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K1142=1,IF(COUNTIFS(nrES_PID,$D1142,nrES_Code,$F1142,nrES_Att,2)&gt;0,"",$L1142),IF(COUNTIFS(nrES_PID,$D1142,nrES_Code,$F1142,nrES_Att,1)=0,$L1142,IF($L1142&gt;=$J1142,cfgRetakeRecordedCap,SUMIFS(nrES_Raw,nrES_PID,$D1142,nrES_Code,$F1142,nrES_Att,1))))))</f>
        <v/>
      </c>
      <c r="N1142" s="17">
        <f>IF($C1142="","",IF($L1142="","",IF($L1142&gt;=$J1142,"Yes","No")))</f>
        <v/>
      </c>
      <c r="O1142" s="17">
        <f>IF($C1142="","",IF($M1142="","",IF($M1142&gt;=$J1142,"Yes","No")))</f>
        <v/>
      </c>
      <c r="P1142" s="17">
        <f>IF($C1142="","",IF($K1142="","",IF(COUNTIFS(nrES_PID,$D1142,nrES_Code,$F1142,nrES_Att,"&gt;"&amp;$K1142)=0,"Yes","No")))</f>
        <v/>
      </c>
      <c r="Q1142" s="17">
        <f>IF($C1142="","",IF($L1142="","",IF(AND($K1142=1,$L1142&lt;$J1142,COUNTIFS(nrES_PID,$D1142,nrES_Code,$F1142,nrES_Att,2)=0),"Yes","No")))</f>
        <v/>
      </c>
      <c r="R1142" s="17">
        <f>IF($C1142="","",IF($L1142="","",IF(AND($K1142=2,$L1142&lt;$J1142,COUNTIFS(nrES_PID,$D1142,nrES_Code,$F1142,nrES_Att,1)&gt;0),"Yes","No")))</f>
        <v/>
      </c>
      <c r="S1142" s="18" t="n"/>
      <c r="T1142" s="19">
        <f>IF($Q1142&lt;&gt;"Yes","",IF($S1142="","(enter date)",_xlfn.LET(_xlpm.dn,IFERROR(_xlfn.XLOOKUP($S1142,nrCDdate,nrCDnum),""),IF(_xlpm.dn="","(not a class day)",IFERROR(_xlfn.XLOOKUP(_xlpm.dn+cfgRetestClassDays,nrCDnum,nrCDdate),"")))))</f>
        <v/>
      </c>
      <c r="U1142" s="17">
        <f>IF($Q1142&lt;&gt;"Yes","",IF(COUNTIFS(nrES_PID,$D1142,nrES_Code,$F1142,nrES_Att,2)&gt;0,"Retested",IF(OR($T1142="",NOT(ISNUMBER($T1142))),"Pending",IF(TODAY()&gt;$T1142,"OVERDUE","Due "&amp;TEXT($T1142,"mm/dd")))))</f>
        <v/>
      </c>
      <c r="V1142" s="16" t="n"/>
      <c r="W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K1143=1,IF(COUNTIFS(nrES_PID,$D1143,nrES_Code,$F1143,nrES_Att,2)&gt;0,"",$L1143),IF(COUNTIFS(nrES_PID,$D1143,nrES_Code,$F1143,nrES_Att,1)=0,$L1143,IF($L1143&gt;=$J1143,cfgRetakeRecordedCap,SUMIFS(nrES_Raw,nrES_PID,$D1143,nrES_Code,$F1143,nrES_Att,1))))))</f>
        <v/>
      </c>
      <c r="N1143" s="17">
        <f>IF($C1143="","",IF($L1143="","",IF($L1143&gt;=$J1143,"Yes","No")))</f>
        <v/>
      </c>
      <c r="O1143" s="17">
        <f>IF($C1143="","",IF($M1143="","",IF($M1143&gt;=$J1143,"Yes","No")))</f>
        <v/>
      </c>
      <c r="P1143" s="17">
        <f>IF($C1143="","",IF($K1143="","",IF(COUNTIFS(nrES_PID,$D1143,nrES_Code,$F1143,nrES_Att,"&gt;"&amp;$K1143)=0,"Yes","No")))</f>
        <v/>
      </c>
      <c r="Q1143" s="17">
        <f>IF($C1143="","",IF($L1143="","",IF(AND($K1143=1,$L1143&lt;$J1143,COUNTIFS(nrES_PID,$D1143,nrES_Code,$F1143,nrES_Att,2)=0),"Yes","No")))</f>
        <v/>
      </c>
      <c r="R1143" s="17">
        <f>IF($C1143="","",IF($L1143="","",IF(AND($K1143=2,$L1143&lt;$J1143,COUNTIFS(nrES_PID,$D1143,nrES_Code,$F1143,nrES_Att,1)&gt;0),"Yes","No")))</f>
        <v/>
      </c>
      <c r="S1143" s="18" t="n"/>
      <c r="T1143" s="19">
        <f>IF($Q1143&lt;&gt;"Yes","",IF($S1143="","(enter date)",_xlfn.LET(_xlpm.dn,IFERROR(_xlfn.XLOOKUP($S1143,nrCDdate,nrCDnum),""),IF(_xlpm.dn="","(not a class day)",IFERROR(_xlfn.XLOOKUP(_xlpm.dn+cfgRetestClassDays,nrCDnum,nrCDdate),"")))))</f>
        <v/>
      </c>
      <c r="U1143" s="17">
        <f>IF($Q1143&lt;&gt;"Yes","",IF(COUNTIFS(nrES_PID,$D1143,nrES_Code,$F1143,nrES_Att,2)&gt;0,"Retested",IF(OR($T1143="",NOT(ISNUMBER($T1143))),"Pending",IF(TODAY()&gt;$T1143,"OVERDUE","Due "&amp;TEXT($T1143,"mm/dd")))))</f>
        <v/>
      </c>
      <c r="V1143" s="16" t="n"/>
      <c r="W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K1144=1,IF(COUNTIFS(nrES_PID,$D1144,nrES_Code,$F1144,nrES_Att,2)&gt;0,"",$L1144),IF(COUNTIFS(nrES_PID,$D1144,nrES_Code,$F1144,nrES_Att,1)=0,$L1144,IF($L1144&gt;=$J1144,cfgRetakeRecordedCap,SUMIFS(nrES_Raw,nrES_PID,$D1144,nrES_Code,$F1144,nrES_Att,1))))))</f>
        <v/>
      </c>
      <c r="N1144" s="17">
        <f>IF($C1144="","",IF($L1144="","",IF($L1144&gt;=$J1144,"Yes","No")))</f>
        <v/>
      </c>
      <c r="O1144" s="17">
        <f>IF($C1144="","",IF($M1144="","",IF($M1144&gt;=$J1144,"Yes","No")))</f>
        <v/>
      </c>
      <c r="P1144" s="17">
        <f>IF($C1144="","",IF($K1144="","",IF(COUNTIFS(nrES_PID,$D1144,nrES_Code,$F1144,nrES_Att,"&gt;"&amp;$K1144)=0,"Yes","No")))</f>
        <v/>
      </c>
      <c r="Q1144" s="17">
        <f>IF($C1144="","",IF($L1144="","",IF(AND($K1144=1,$L1144&lt;$J1144,COUNTIFS(nrES_PID,$D1144,nrES_Code,$F1144,nrES_Att,2)=0),"Yes","No")))</f>
        <v/>
      </c>
      <c r="R1144" s="17">
        <f>IF($C1144="","",IF($L1144="","",IF(AND($K1144=2,$L1144&lt;$J1144,COUNTIFS(nrES_PID,$D1144,nrES_Code,$F1144,nrES_Att,1)&gt;0),"Yes","No")))</f>
        <v/>
      </c>
      <c r="S1144" s="18" t="n"/>
      <c r="T1144" s="19">
        <f>IF($Q1144&lt;&gt;"Yes","",IF($S1144="","(enter date)",_xlfn.LET(_xlpm.dn,IFERROR(_xlfn.XLOOKUP($S1144,nrCDdate,nrCDnum),""),IF(_xlpm.dn="","(not a class day)",IFERROR(_xlfn.XLOOKUP(_xlpm.dn+cfgRetestClassDays,nrCDnum,nrCDdate),"")))))</f>
        <v/>
      </c>
      <c r="U1144" s="17">
        <f>IF($Q1144&lt;&gt;"Yes","",IF(COUNTIFS(nrES_PID,$D1144,nrES_Code,$F1144,nrES_Att,2)&gt;0,"Retested",IF(OR($T1144="",NOT(ISNUMBER($T1144))),"Pending",IF(TODAY()&gt;$T1144,"OVERDUE","Due "&amp;TEXT($T1144,"mm/dd")))))</f>
        <v/>
      </c>
      <c r="V1144" s="16" t="n"/>
      <c r="W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K1145=1,IF(COUNTIFS(nrES_PID,$D1145,nrES_Code,$F1145,nrES_Att,2)&gt;0,"",$L1145),IF(COUNTIFS(nrES_PID,$D1145,nrES_Code,$F1145,nrES_Att,1)=0,$L1145,IF($L1145&gt;=$J1145,cfgRetakeRecordedCap,SUMIFS(nrES_Raw,nrES_PID,$D1145,nrES_Code,$F1145,nrES_Att,1))))))</f>
        <v/>
      </c>
      <c r="N1145" s="17">
        <f>IF($C1145="","",IF($L1145="","",IF($L1145&gt;=$J1145,"Yes","No")))</f>
        <v/>
      </c>
      <c r="O1145" s="17">
        <f>IF($C1145="","",IF($M1145="","",IF($M1145&gt;=$J1145,"Yes","No")))</f>
        <v/>
      </c>
      <c r="P1145" s="17">
        <f>IF($C1145="","",IF($K1145="","",IF(COUNTIFS(nrES_PID,$D1145,nrES_Code,$F1145,nrES_Att,"&gt;"&amp;$K1145)=0,"Yes","No")))</f>
        <v/>
      </c>
      <c r="Q1145" s="17">
        <f>IF($C1145="","",IF($L1145="","",IF(AND($K1145=1,$L1145&lt;$J1145,COUNTIFS(nrES_PID,$D1145,nrES_Code,$F1145,nrES_Att,2)=0),"Yes","No")))</f>
        <v/>
      </c>
      <c r="R1145" s="17">
        <f>IF($C1145="","",IF($L1145="","",IF(AND($K1145=2,$L1145&lt;$J1145,COUNTIFS(nrES_PID,$D1145,nrES_Code,$F1145,nrES_Att,1)&gt;0),"Yes","No")))</f>
        <v/>
      </c>
      <c r="S1145" s="18" t="n"/>
      <c r="T1145" s="19">
        <f>IF($Q1145&lt;&gt;"Yes","",IF($S1145="","(enter date)",_xlfn.LET(_xlpm.dn,IFERROR(_xlfn.XLOOKUP($S1145,nrCDdate,nrCDnum),""),IF(_xlpm.dn="","(not a class day)",IFERROR(_xlfn.XLOOKUP(_xlpm.dn+cfgRetestClassDays,nrCDnum,nrCDdate),"")))))</f>
        <v/>
      </c>
      <c r="U1145" s="17">
        <f>IF($Q1145&lt;&gt;"Yes","",IF(COUNTIFS(nrES_PID,$D1145,nrES_Code,$F1145,nrES_Att,2)&gt;0,"Retested",IF(OR($T1145="",NOT(ISNUMBER($T1145))),"Pending",IF(TODAY()&gt;$T1145,"OVERDUE","Due "&amp;TEXT($T1145,"mm/dd")))))</f>
        <v/>
      </c>
      <c r="V1145" s="16" t="n"/>
      <c r="W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K1146=1,IF(COUNTIFS(nrES_PID,$D1146,nrES_Code,$F1146,nrES_Att,2)&gt;0,"",$L1146),IF(COUNTIFS(nrES_PID,$D1146,nrES_Code,$F1146,nrES_Att,1)=0,$L1146,IF($L1146&gt;=$J1146,cfgRetakeRecordedCap,SUMIFS(nrES_Raw,nrES_PID,$D1146,nrES_Code,$F1146,nrES_Att,1))))))</f>
        <v/>
      </c>
      <c r="N1146" s="17">
        <f>IF($C1146="","",IF($L1146="","",IF($L1146&gt;=$J1146,"Yes","No")))</f>
        <v/>
      </c>
      <c r="O1146" s="17">
        <f>IF($C1146="","",IF($M1146="","",IF($M1146&gt;=$J1146,"Yes","No")))</f>
        <v/>
      </c>
      <c r="P1146" s="17">
        <f>IF($C1146="","",IF($K1146="","",IF(COUNTIFS(nrES_PID,$D1146,nrES_Code,$F1146,nrES_Att,"&gt;"&amp;$K1146)=0,"Yes","No")))</f>
        <v/>
      </c>
      <c r="Q1146" s="17">
        <f>IF($C1146="","",IF($L1146="","",IF(AND($K1146=1,$L1146&lt;$J1146,COUNTIFS(nrES_PID,$D1146,nrES_Code,$F1146,nrES_Att,2)=0),"Yes","No")))</f>
        <v/>
      </c>
      <c r="R1146" s="17">
        <f>IF($C1146="","",IF($L1146="","",IF(AND($K1146=2,$L1146&lt;$J1146,COUNTIFS(nrES_PID,$D1146,nrES_Code,$F1146,nrES_Att,1)&gt;0),"Yes","No")))</f>
        <v/>
      </c>
      <c r="S1146" s="18" t="n"/>
      <c r="T1146" s="19">
        <f>IF($Q1146&lt;&gt;"Yes","",IF($S1146="","(enter date)",_xlfn.LET(_xlpm.dn,IFERROR(_xlfn.XLOOKUP($S1146,nrCDdate,nrCDnum),""),IF(_xlpm.dn="","(not a class day)",IFERROR(_xlfn.XLOOKUP(_xlpm.dn+cfgRetestClassDays,nrCDnum,nrCDdate),"")))))</f>
        <v/>
      </c>
      <c r="U1146" s="17">
        <f>IF($Q1146&lt;&gt;"Yes","",IF(COUNTIFS(nrES_PID,$D1146,nrES_Code,$F1146,nrES_Att,2)&gt;0,"Retested",IF(OR($T1146="",NOT(ISNUMBER($T1146))),"Pending",IF(TODAY()&gt;$T1146,"OVERDUE","Due "&amp;TEXT($T1146,"mm/dd")))))</f>
        <v/>
      </c>
      <c r="V1146" s="16" t="n"/>
      <c r="W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K1147=1,IF(COUNTIFS(nrES_PID,$D1147,nrES_Code,$F1147,nrES_Att,2)&gt;0,"",$L1147),IF(COUNTIFS(nrES_PID,$D1147,nrES_Code,$F1147,nrES_Att,1)=0,$L1147,IF($L1147&gt;=$J1147,cfgRetakeRecordedCap,SUMIFS(nrES_Raw,nrES_PID,$D1147,nrES_Code,$F1147,nrES_Att,1))))))</f>
        <v/>
      </c>
      <c r="N1147" s="17">
        <f>IF($C1147="","",IF($L1147="","",IF($L1147&gt;=$J1147,"Yes","No")))</f>
        <v/>
      </c>
      <c r="O1147" s="17">
        <f>IF($C1147="","",IF($M1147="","",IF($M1147&gt;=$J1147,"Yes","No")))</f>
        <v/>
      </c>
      <c r="P1147" s="17">
        <f>IF($C1147="","",IF($K1147="","",IF(COUNTIFS(nrES_PID,$D1147,nrES_Code,$F1147,nrES_Att,"&gt;"&amp;$K1147)=0,"Yes","No")))</f>
        <v/>
      </c>
      <c r="Q1147" s="17">
        <f>IF($C1147="","",IF($L1147="","",IF(AND($K1147=1,$L1147&lt;$J1147,COUNTIFS(nrES_PID,$D1147,nrES_Code,$F1147,nrES_Att,2)=0),"Yes","No")))</f>
        <v/>
      </c>
      <c r="R1147" s="17">
        <f>IF($C1147="","",IF($L1147="","",IF(AND($K1147=2,$L1147&lt;$J1147,COUNTIFS(nrES_PID,$D1147,nrES_Code,$F1147,nrES_Att,1)&gt;0),"Yes","No")))</f>
        <v/>
      </c>
      <c r="S1147" s="18" t="n"/>
      <c r="T1147" s="19">
        <f>IF($Q1147&lt;&gt;"Yes","",IF($S1147="","(enter date)",_xlfn.LET(_xlpm.dn,IFERROR(_xlfn.XLOOKUP($S1147,nrCDdate,nrCDnum),""),IF(_xlpm.dn="","(not a class day)",IFERROR(_xlfn.XLOOKUP(_xlpm.dn+cfgRetestClassDays,nrCDnum,nrCDdate),"")))))</f>
        <v/>
      </c>
      <c r="U1147" s="17">
        <f>IF($Q1147&lt;&gt;"Yes","",IF(COUNTIFS(nrES_PID,$D1147,nrES_Code,$F1147,nrES_Att,2)&gt;0,"Retested",IF(OR($T1147="",NOT(ISNUMBER($T1147))),"Pending",IF(TODAY()&gt;$T1147,"OVERDUE","Due "&amp;TEXT($T1147,"mm/dd")))))</f>
        <v/>
      </c>
      <c r="V1147" s="16" t="n"/>
      <c r="W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K1148=1,IF(COUNTIFS(nrES_PID,$D1148,nrES_Code,$F1148,nrES_Att,2)&gt;0,"",$L1148),IF(COUNTIFS(nrES_PID,$D1148,nrES_Code,$F1148,nrES_Att,1)=0,$L1148,IF($L1148&gt;=$J1148,cfgRetakeRecordedCap,SUMIFS(nrES_Raw,nrES_PID,$D1148,nrES_Code,$F1148,nrES_Att,1))))))</f>
        <v/>
      </c>
      <c r="N1148" s="17">
        <f>IF($C1148="","",IF($L1148="","",IF($L1148&gt;=$J1148,"Yes","No")))</f>
        <v/>
      </c>
      <c r="O1148" s="17">
        <f>IF($C1148="","",IF($M1148="","",IF($M1148&gt;=$J1148,"Yes","No")))</f>
        <v/>
      </c>
      <c r="P1148" s="17">
        <f>IF($C1148="","",IF($K1148="","",IF(COUNTIFS(nrES_PID,$D1148,nrES_Code,$F1148,nrES_Att,"&gt;"&amp;$K1148)=0,"Yes","No")))</f>
        <v/>
      </c>
      <c r="Q1148" s="17">
        <f>IF($C1148="","",IF($L1148="","",IF(AND($K1148=1,$L1148&lt;$J1148,COUNTIFS(nrES_PID,$D1148,nrES_Code,$F1148,nrES_Att,2)=0),"Yes","No")))</f>
        <v/>
      </c>
      <c r="R1148" s="17">
        <f>IF($C1148="","",IF($L1148="","",IF(AND($K1148=2,$L1148&lt;$J1148,COUNTIFS(nrES_PID,$D1148,nrES_Code,$F1148,nrES_Att,1)&gt;0),"Yes","No")))</f>
        <v/>
      </c>
      <c r="S1148" s="18" t="n"/>
      <c r="T1148" s="19">
        <f>IF($Q1148&lt;&gt;"Yes","",IF($S1148="","(enter date)",_xlfn.LET(_xlpm.dn,IFERROR(_xlfn.XLOOKUP($S1148,nrCDdate,nrCDnum),""),IF(_xlpm.dn="","(not a class day)",IFERROR(_xlfn.XLOOKUP(_xlpm.dn+cfgRetestClassDays,nrCDnum,nrCDdate),"")))))</f>
        <v/>
      </c>
      <c r="U1148" s="17">
        <f>IF($Q1148&lt;&gt;"Yes","",IF(COUNTIFS(nrES_PID,$D1148,nrES_Code,$F1148,nrES_Att,2)&gt;0,"Retested",IF(OR($T1148="",NOT(ISNUMBER($T1148))),"Pending",IF(TODAY()&gt;$T1148,"OVERDUE","Due "&amp;TEXT($T1148,"mm/dd")))))</f>
        <v/>
      </c>
      <c r="V1148" s="16" t="n"/>
      <c r="W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K1149=1,IF(COUNTIFS(nrES_PID,$D1149,nrES_Code,$F1149,nrES_Att,2)&gt;0,"",$L1149),IF(COUNTIFS(nrES_PID,$D1149,nrES_Code,$F1149,nrES_Att,1)=0,$L1149,IF($L1149&gt;=$J1149,cfgRetakeRecordedCap,SUMIFS(nrES_Raw,nrES_PID,$D1149,nrES_Code,$F1149,nrES_Att,1))))))</f>
        <v/>
      </c>
      <c r="N1149" s="17">
        <f>IF($C1149="","",IF($L1149="","",IF($L1149&gt;=$J1149,"Yes","No")))</f>
        <v/>
      </c>
      <c r="O1149" s="17">
        <f>IF($C1149="","",IF($M1149="","",IF($M1149&gt;=$J1149,"Yes","No")))</f>
        <v/>
      </c>
      <c r="P1149" s="17">
        <f>IF($C1149="","",IF($K1149="","",IF(COUNTIFS(nrES_PID,$D1149,nrES_Code,$F1149,nrES_Att,"&gt;"&amp;$K1149)=0,"Yes","No")))</f>
        <v/>
      </c>
      <c r="Q1149" s="17">
        <f>IF($C1149="","",IF($L1149="","",IF(AND($K1149=1,$L1149&lt;$J1149,COUNTIFS(nrES_PID,$D1149,nrES_Code,$F1149,nrES_Att,2)=0),"Yes","No")))</f>
        <v/>
      </c>
      <c r="R1149" s="17">
        <f>IF($C1149="","",IF($L1149="","",IF(AND($K1149=2,$L1149&lt;$J1149,COUNTIFS(nrES_PID,$D1149,nrES_Code,$F1149,nrES_Att,1)&gt;0),"Yes","No")))</f>
        <v/>
      </c>
      <c r="S1149" s="18" t="n"/>
      <c r="T1149" s="19">
        <f>IF($Q1149&lt;&gt;"Yes","",IF($S1149="","(enter date)",_xlfn.LET(_xlpm.dn,IFERROR(_xlfn.XLOOKUP($S1149,nrCDdate,nrCDnum),""),IF(_xlpm.dn="","(not a class day)",IFERROR(_xlfn.XLOOKUP(_xlpm.dn+cfgRetestClassDays,nrCDnum,nrCDdate),"")))))</f>
        <v/>
      </c>
      <c r="U1149" s="17">
        <f>IF($Q1149&lt;&gt;"Yes","",IF(COUNTIFS(nrES_PID,$D1149,nrES_Code,$F1149,nrES_Att,2)&gt;0,"Retested",IF(OR($T1149="",NOT(ISNUMBER($T1149))),"Pending",IF(TODAY()&gt;$T1149,"OVERDUE","Due "&amp;TEXT($T1149,"mm/dd")))))</f>
        <v/>
      </c>
      <c r="V1149" s="16" t="n"/>
      <c r="W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K1150=1,IF(COUNTIFS(nrES_PID,$D1150,nrES_Code,$F1150,nrES_Att,2)&gt;0,"",$L1150),IF(COUNTIFS(nrES_PID,$D1150,nrES_Code,$F1150,nrES_Att,1)=0,$L1150,IF($L1150&gt;=$J1150,cfgRetakeRecordedCap,SUMIFS(nrES_Raw,nrES_PID,$D1150,nrES_Code,$F1150,nrES_Att,1))))))</f>
        <v/>
      </c>
      <c r="N1150" s="17">
        <f>IF($C1150="","",IF($L1150="","",IF($L1150&gt;=$J1150,"Yes","No")))</f>
        <v/>
      </c>
      <c r="O1150" s="17">
        <f>IF($C1150="","",IF($M1150="","",IF($M1150&gt;=$J1150,"Yes","No")))</f>
        <v/>
      </c>
      <c r="P1150" s="17">
        <f>IF($C1150="","",IF($K1150="","",IF(COUNTIFS(nrES_PID,$D1150,nrES_Code,$F1150,nrES_Att,"&gt;"&amp;$K1150)=0,"Yes","No")))</f>
        <v/>
      </c>
      <c r="Q1150" s="17">
        <f>IF($C1150="","",IF($L1150="","",IF(AND($K1150=1,$L1150&lt;$J1150,COUNTIFS(nrES_PID,$D1150,nrES_Code,$F1150,nrES_Att,2)=0),"Yes","No")))</f>
        <v/>
      </c>
      <c r="R1150" s="17">
        <f>IF($C1150="","",IF($L1150="","",IF(AND($K1150=2,$L1150&lt;$J1150,COUNTIFS(nrES_PID,$D1150,nrES_Code,$F1150,nrES_Att,1)&gt;0),"Yes","No")))</f>
        <v/>
      </c>
      <c r="S1150" s="18" t="n"/>
      <c r="T1150" s="19">
        <f>IF($Q1150&lt;&gt;"Yes","",IF($S1150="","(enter date)",_xlfn.LET(_xlpm.dn,IFERROR(_xlfn.XLOOKUP($S1150,nrCDdate,nrCDnum),""),IF(_xlpm.dn="","(not a class day)",IFERROR(_xlfn.XLOOKUP(_xlpm.dn+cfgRetestClassDays,nrCDnum,nrCDdate),"")))))</f>
        <v/>
      </c>
      <c r="U1150" s="17">
        <f>IF($Q1150&lt;&gt;"Yes","",IF(COUNTIFS(nrES_PID,$D1150,nrES_Code,$F1150,nrES_Att,2)&gt;0,"Retested",IF(OR($T1150="",NOT(ISNUMBER($T1150))),"Pending",IF(TODAY()&gt;$T1150,"OVERDUE","Due "&amp;TEXT($T1150,"mm/dd")))))</f>
        <v/>
      </c>
      <c r="V1150" s="16" t="n"/>
      <c r="W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K1151=1,IF(COUNTIFS(nrES_PID,$D1151,nrES_Code,$F1151,nrES_Att,2)&gt;0,"",$L1151),IF(COUNTIFS(nrES_PID,$D1151,nrES_Code,$F1151,nrES_Att,1)=0,$L1151,IF($L1151&gt;=$J1151,cfgRetakeRecordedCap,SUMIFS(nrES_Raw,nrES_PID,$D1151,nrES_Code,$F1151,nrES_Att,1))))))</f>
        <v/>
      </c>
      <c r="N1151" s="17">
        <f>IF($C1151="","",IF($L1151="","",IF($L1151&gt;=$J1151,"Yes","No")))</f>
        <v/>
      </c>
      <c r="O1151" s="17">
        <f>IF($C1151="","",IF($M1151="","",IF($M1151&gt;=$J1151,"Yes","No")))</f>
        <v/>
      </c>
      <c r="P1151" s="17">
        <f>IF($C1151="","",IF($K1151="","",IF(COUNTIFS(nrES_PID,$D1151,nrES_Code,$F1151,nrES_Att,"&gt;"&amp;$K1151)=0,"Yes","No")))</f>
        <v/>
      </c>
      <c r="Q1151" s="17">
        <f>IF($C1151="","",IF($L1151="","",IF(AND($K1151=1,$L1151&lt;$J1151,COUNTIFS(nrES_PID,$D1151,nrES_Code,$F1151,nrES_Att,2)=0),"Yes","No")))</f>
        <v/>
      </c>
      <c r="R1151" s="17">
        <f>IF($C1151="","",IF($L1151="","",IF(AND($K1151=2,$L1151&lt;$J1151,COUNTIFS(nrES_PID,$D1151,nrES_Code,$F1151,nrES_Att,1)&gt;0),"Yes","No")))</f>
        <v/>
      </c>
      <c r="S1151" s="18" t="n"/>
      <c r="T1151" s="19">
        <f>IF($Q1151&lt;&gt;"Yes","",IF($S1151="","(enter date)",_xlfn.LET(_xlpm.dn,IFERROR(_xlfn.XLOOKUP($S1151,nrCDdate,nrCDnum),""),IF(_xlpm.dn="","(not a class day)",IFERROR(_xlfn.XLOOKUP(_xlpm.dn+cfgRetestClassDays,nrCDnum,nrCDdate),"")))))</f>
        <v/>
      </c>
      <c r="U1151" s="17">
        <f>IF($Q1151&lt;&gt;"Yes","",IF(COUNTIFS(nrES_PID,$D1151,nrES_Code,$F1151,nrES_Att,2)&gt;0,"Retested",IF(OR($T1151="",NOT(ISNUMBER($T1151))),"Pending",IF(TODAY()&gt;$T1151,"OVERDUE","Due "&amp;TEXT($T1151,"mm/dd")))))</f>
        <v/>
      </c>
      <c r="V1151" s="16" t="n"/>
      <c r="W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K1152=1,IF(COUNTIFS(nrES_PID,$D1152,nrES_Code,$F1152,nrES_Att,2)&gt;0,"",$L1152),IF(COUNTIFS(nrES_PID,$D1152,nrES_Code,$F1152,nrES_Att,1)=0,$L1152,IF($L1152&gt;=$J1152,cfgRetakeRecordedCap,SUMIFS(nrES_Raw,nrES_PID,$D1152,nrES_Code,$F1152,nrES_Att,1))))))</f>
        <v/>
      </c>
      <c r="N1152" s="17">
        <f>IF($C1152="","",IF($L1152="","",IF($L1152&gt;=$J1152,"Yes","No")))</f>
        <v/>
      </c>
      <c r="O1152" s="17">
        <f>IF($C1152="","",IF($M1152="","",IF($M1152&gt;=$J1152,"Yes","No")))</f>
        <v/>
      </c>
      <c r="P1152" s="17">
        <f>IF($C1152="","",IF($K1152="","",IF(COUNTIFS(nrES_PID,$D1152,nrES_Code,$F1152,nrES_Att,"&gt;"&amp;$K1152)=0,"Yes","No")))</f>
        <v/>
      </c>
      <c r="Q1152" s="17">
        <f>IF($C1152="","",IF($L1152="","",IF(AND($K1152=1,$L1152&lt;$J1152,COUNTIFS(nrES_PID,$D1152,nrES_Code,$F1152,nrES_Att,2)=0),"Yes","No")))</f>
        <v/>
      </c>
      <c r="R1152" s="17">
        <f>IF($C1152="","",IF($L1152="","",IF(AND($K1152=2,$L1152&lt;$J1152,COUNTIFS(nrES_PID,$D1152,nrES_Code,$F1152,nrES_Att,1)&gt;0),"Yes","No")))</f>
        <v/>
      </c>
      <c r="S1152" s="18" t="n"/>
      <c r="T1152" s="19">
        <f>IF($Q1152&lt;&gt;"Yes","",IF($S1152="","(enter date)",_xlfn.LET(_xlpm.dn,IFERROR(_xlfn.XLOOKUP($S1152,nrCDdate,nrCDnum),""),IF(_xlpm.dn="","(not a class day)",IFERROR(_xlfn.XLOOKUP(_xlpm.dn+cfgRetestClassDays,nrCDnum,nrCDdate),"")))))</f>
        <v/>
      </c>
      <c r="U1152" s="17">
        <f>IF($Q1152&lt;&gt;"Yes","",IF(COUNTIFS(nrES_PID,$D1152,nrES_Code,$F1152,nrES_Att,2)&gt;0,"Retested",IF(OR($T1152="",NOT(ISNUMBER($T1152))),"Pending",IF(TODAY()&gt;$T1152,"OVERDUE","Due "&amp;TEXT($T1152,"mm/dd")))))</f>
        <v/>
      </c>
      <c r="V1152" s="16" t="n"/>
      <c r="W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K1153=1,IF(COUNTIFS(nrES_PID,$D1153,nrES_Code,$F1153,nrES_Att,2)&gt;0,"",$L1153),IF(COUNTIFS(nrES_PID,$D1153,nrES_Code,$F1153,nrES_Att,1)=0,$L1153,IF($L1153&gt;=$J1153,cfgRetakeRecordedCap,SUMIFS(nrES_Raw,nrES_PID,$D1153,nrES_Code,$F1153,nrES_Att,1))))))</f>
        <v/>
      </c>
      <c r="N1153" s="17">
        <f>IF($C1153="","",IF($L1153="","",IF($L1153&gt;=$J1153,"Yes","No")))</f>
        <v/>
      </c>
      <c r="O1153" s="17">
        <f>IF($C1153="","",IF($M1153="","",IF($M1153&gt;=$J1153,"Yes","No")))</f>
        <v/>
      </c>
      <c r="P1153" s="17">
        <f>IF($C1153="","",IF($K1153="","",IF(COUNTIFS(nrES_PID,$D1153,nrES_Code,$F1153,nrES_Att,"&gt;"&amp;$K1153)=0,"Yes","No")))</f>
        <v/>
      </c>
      <c r="Q1153" s="17">
        <f>IF($C1153="","",IF($L1153="","",IF(AND($K1153=1,$L1153&lt;$J1153,COUNTIFS(nrES_PID,$D1153,nrES_Code,$F1153,nrES_Att,2)=0),"Yes","No")))</f>
        <v/>
      </c>
      <c r="R1153" s="17">
        <f>IF($C1153="","",IF($L1153="","",IF(AND($K1153=2,$L1153&lt;$J1153,COUNTIFS(nrES_PID,$D1153,nrES_Code,$F1153,nrES_Att,1)&gt;0),"Yes","No")))</f>
        <v/>
      </c>
      <c r="S1153" s="18" t="n"/>
      <c r="T1153" s="19">
        <f>IF($Q1153&lt;&gt;"Yes","",IF($S1153="","(enter date)",_xlfn.LET(_xlpm.dn,IFERROR(_xlfn.XLOOKUP($S1153,nrCDdate,nrCDnum),""),IF(_xlpm.dn="","(not a class day)",IFERROR(_xlfn.XLOOKUP(_xlpm.dn+cfgRetestClassDays,nrCDnum,nrCDdate),"")))))</f>
        <v/>
      </c>
      <c r="U1153" s="17">
        <f>IF($Q1153&lt;&gt;"Yes","",IF(COUNTIFS(nrES_PID,$D1153,nrES_Code,$F1153,nrES_Att,2)&gt;0,"Retested",IF(OR($T1153="",NOT(ISNUMBER($T1153))),"Pending",IF(TODAY()&gt;$T1153,"OVERDUE","Due "&amp;TEXT($T1153,"mm/dd")))))</f>
        <v/>
      </c>
      <c r="V1153" s="16" t="n"/>
      <c r="W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K1154=1,IF(COUNTIFS(nrES_PID,$D1154,nrES_Code,$F1154,nrES_Att,2)&gt;0,"",$L1154),IF(COUNTIFS(nrES_PID,$D1154,nrES_Code,$F1154,nrES_Att,1)=0,$L1154,IF($L1154&gt;=$J1154,cfgRetakeRecordedCap,SUMIFS(nrES_Raw,nrES_PID,$D1154,nrES_Code,$F1154,nrES_Att,1))))))</f>
        <v/>
      </c>
      <c r="N1154" s="17">
        <f>IF($C1154="","",IF($L1154="","",IF($L1154&gt;=$J1154,"Yes","No")))</f>
        <v/>
      </c>
      <c r="O1154" s="17">
        <f>IF($C1154="","",IF($M1154="","",IF($M1154&gt;=$J1154,"Yes","No")))</f>
        <v/>
      </c>
      <c r="P1154" s="17">
        <f>IF($C1154="","",IF($K1154="","",IF(COUNTIFS(nrES_PID,$D1154,nrES_Code,$F1154,nrES_Att,"&gt;"&amp;$K1154)=0,"Yes","No")))</f>
        <v/>
      </c>
      <c r="Q1154" s="17">
        <f>IF($C1154="","",IF($L1154="","",IF(AND($K1154=1,$L1154&lt;$J1154,COUNTIFS(nrES_PID,$D1154,nrES_Code,$F1154,nrES_Att,2)=0),"Yes","No")))</f>
        <v/>
      </c>
      <c r="R1154" s="17">
        <f>IF($C1154="","",IF($L1154="","",IF(AND($K1154=2,$L1154&lt;$J1154,COUNTIFS(nrES_PID,$D1154,nrES_Code,$F1154,nrES_Att,1)&gt;0),"Yes","No")))</f>
        <v/>
      </c>
      <c r="S1154" s="18" t="n"/>
      <c r="T1154" s="19">
        <f>IF($Q1154&lt;&gt;"Yes","",IF($S1154="","(enter date)",_xlfn.LET(_xlpm.dn,IFERROR(_xlfn.XLOOKUP($S1154,nrCDdate,nrCDnum),""),IF(_xlpm.dn="","(not a class day)",IFERROR(_xlfn.XLOOKUP(_xlpm.dn+cfgRetestClassDays,nrCDnum,nrCDdate),"")))))</f>
        <v/>
      </c>
      <c r="U1154" s="17">
        <f>IF($Q1154&lt;&gt;"Yes","",IF(COUNTIFS(nrES_PID,$D1154,nrES_Code,$F1154,nrES_Att,2)&gt;0,"Retested",IF(OR($T1154="",NOT(ISNUMBER($T1154))),"Pending",IF(TODAY()&gt;$T1154,"OVERDUE","Due "&amp;TEXT($T1154,"mm/dd")))))</f>
        <v/>
      </c>
      <c r="V1154" s="16" t="n"/>
      <c r="W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K1155=1,IF(COUNTIFS(nrES_PID,$D1155,nrES_Code,$F1155,nrES_Att,2)&gt;0,"",$L1155),IF(COUNTIFS(nrES_PID,$D1155,nrES_Code,$F1155,nrES_Att,1)=0,$L1155,IF($L1155&gt;=$J1155,cfgRetakeRecordedCap,SUMIFS(nrES_Raw,nrES_PID,$D1155,nrES_Code,$F1155,nrES_Att,1))))))</f>
        <v/>
      </c>
      <c r="N1155" s="17">
        <f>IF($C1155="","",IF($L1155="","",IF($L1155&gt;=$J1155,"Yes","No")))</f>
        <v/>
      </c>
      <c r="O1155" s="17">
        <f>IF($C1155="","",IF($M1155="","",IF($M1155&gt;=$J1155,"Yes","No")))</f>
        <v/>
      </c>
      <c r="P1155" s="17">
        <f>IF($C1155="","",IF($K1155="","",IF(COUNTIFS(nrES_PID,$D1155,nrES_Code,$F1155,nrES_Att,"&gt;"&amp;$K1155)=0,"Yes","No")))</f>
        <v/>
      </c>
      <c r="Q1155" s="17">
        <f>IF($C1155="","",IF($L1155="","",IF(AND($K1155=1,$L1155&lt;$J1155,COUNTIFS(nrES_PID,$D1155,nrES_Code,$F1155,nrES_Att,2)=0),"Yes","No")))</f>
        <v/>
      </c>
      <c r="R1155" s="17">
        <f>IF($C1155="","",IF($L1155="","",IF(AND($K1155=2,$L1155&lt;$J1155,COUNTIFS(nrES_PID,$D1155,nrES_Code,$F1155,nrES_Att,1)&gt;0),"Yes","No")))</f>
        <v/>
      </c>
      <c r="S1155" s="18" t="n"/>
      <c r="T1155" s="19">
        <f>IF($Q1155&lt;&gt;"Yes","",IF($S1155="","(enter date)",_xlfn.LET(_xlpm.dn,IFERROR(_xlfn.XLOOKUP($S1155,nrCDdate,nrCDnum),""),IF(_xlpm.dn="","(not a class day)",IFERROR(_xlfn.XLOOKUP(_xlpm.dn+cfgRetestClassDays,nrCDnum,nrCDdate),"")))))</f>
        <v/>
      </c>
      <c r="U1155" s="17">
        <f>IF($Q1155&lt;&gt;"Yes","",IF(COUNTIFS(nrES_PID,$D1155,nrES_Code,$F1155,nrES_Att,2)&gt;0,"Retested",IF(OR($T1155="",NOT(ISNUMBER($T1155))),"Pending",IF(TODAY()&gt;$T1155,"OVERDUE","Due "&amp;TEXT($T1155,"mm/dd")))))</f>
        <v/>
      </c>
      <c r="V1155" s="16" t="n"/>
      <c r="W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K1156=1,IF(COUNTIFS(nrES_PID,$D1156,nrES_Code,$F1156,nrES_Att,2)&gt;0,"",$L1156),IF(COUNTIFS(nrES_PID,$D1156,nrES_Code,$F1156,nrES_Att,1)=0,$L1156,IF($L1156&gt;=$J1156,cfgRetakeRecordedCap,SUMIFS(nrES_Raw,nrES_PID,$D1156,nrES_Code,$F1156,nrES_Att,1))))))</f>
        <v/>
      </c>
      <c r="N1156" s="17">
        <f>IF($C1156="","",IF($L1156="","",IF($L1156&gt;=$J1156,"Yes","No")))</f>
        <v/>
      </c>
      <c r="O1156" s="17">
        <f>IF($C1156="","",IF($M1156="","",IF($M1156&gt;=$J1156,"Yes","No")))</f>
        <v/>
      </c>
      <c r="P1156" s="17">
        <f>IF($C1156="","",IF($K1156="","",IF(COUNTIFS(nrES_PID,$D1156,nrES_Code,$F1156,nrES_Att,"&gt;"&amp;$K1156)=0,"Yes","No")))</f>
        <v/>
      </c>
      <c r="Q1156" s="17">
        <f>IF($C1156="","",IF($L1156="","",IF(AND($K1156=1,$L1156&lt;$J1156,COUNTIFS(nrES_PID,$D1156,nrES_Code,$F1156,nrES_Att,2)=0),"Yes","No")))</f>
        <v/>
      </c>
      <c r="R1156" s="17">
        <f>IF($C1156="","",IF($L1156="","",IF(AND($K1156=2,$L1156&lt;$J1156,COUNTIFS(nrES_PID,$D1156,nrES_Code,$F1156,nrES_Att,1)&gt;0),"Yes","No")))</f>
        <v/>
      </c>
      <c r="S1156" s="18" t="n"/>
      <c r="T1156" s="19">
        <f>IF($Q1156&lt;&gt;"Yes","",IF($S1156="","(enter date)",_xlfn.LET(_xlpm.dn,IFERROR(_xlfn.XLOOKUP($S1156,nrCDdate,nrCDnum),""),IF(_xlpm.dn="","(not a class day)",IFERROR(_xlfn.XLOOKUP(_xlpm.dn+cfgRetestClassDays,nrCDnum,nrCDdate),"")))))</f>
        <v/>
      </c>
      <c r="U1156" s="17">
        <f>IF($Q1156&lt;&gt;"Yes","",IF(COUNTIFS(nrES_PID,$D1156,nrES_Code,$F1156,nrES_Att,2)&gt;0,"Retested",IF(OR($T1156="",NOT(ISNUMBER($T1156))),"Pending",IF(TODAY()&gt;$T1156,"OVERDUE","Due "&amp;TEXT($T1156,"mm/dd")))))</f>
        <v/>
      </c>
      <c r="V1156" s="16" t="n"/>
      <c r="W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K1157=1,IF(COUNTIFS(nrES_PID,$D1157,nrES_Code,$F1157,nrES_Att,2)&gt;0,"",$L1157),IF(COUNTIFS(nrES_PID,$D1157,nrES_Code,$F1157,nrES_Att,1)=0,$L1157,IF($L1157&gt;=$J1157,cfgRetakeRecordedCap,SUMIFS(nrES_Raw,nrES_PID,$D1157,nrES_Code,$F1157,nrES_Att,1))))))</f>
        <v/>
      </c>
      <c r="N1157" s="17">
        <f>IF($C1157="","",IF($L1157="","",IF($L1157&gt;=$J1157,"Yes","No")))</f>
        <v/>
      </c>
      <c r="O1157" s="17">
        <f>IF($C1157="","",IF($M1157="","",IF($M1157&gt;=$J1157,"Yes","No")))</f>
        <v/>
      </c>
      <c r="P1157" s="17">
        <f>IF($C1157="","",IF($K1157="","",IF(COUNTIFS(nrES_PID,$D1157,nrES_Code,$F1157,nrES_Att,"&gt;"&amp;$K1157)=0,"Yes","No")))</f>
        <v/>
      </c>
      <c r="Q1157" s="17">
        <f>IF($C1157="","",IF($L1157="","",IF(AND($K1157=1,$L1157&lt;$J1157,COUNTIFS(nrES_PID,$D1157,nrES_Code,$F1157,nrES_Att,2)=0),"Yes","No")))</f>
        <v/>
      </c>
      <c r="R1157" s="17">
        <f>IF($C1157="","",IF($L1157="","",IF(AND($K1157=2,$L1157&lt;$J1157,COUNTIFS(nrES_PID,$D1157,nrES_Code,$F1157,nrES_Att,1)&gt;0),"Yes","No")))</f>
        <v/>
      </c>
      <c r="S1157" s="18" t="n"/>
      <c r="T1157" s="19">
        <f>IF($Q1157&lt;&gt;"Yes","",IF($S1157="","(enter date)",_xlfn.LET(_xlpm.dn,IFERROR(_xlfn.XLOOKUP($S1157,nrCDdate,nrCDnum),""),IF(_xlpm.dn="","(not a class day)",IFERROR(_xlfn.XLOOKUP(_xlpm.dn+cfgRetestClassDays,nrCDnum,nrCDdate),"")))))</f>
        <v/>
      </c>
      <c r="U1157" s="17">
        <f>IF($Q1157&lt;&gt;"Yes","",IF(COUNTIFS(nrES_PID,$D1157,nrES_Code,$F1157,nrES_Att,2)&gt;0,"Retested",IF(OR($T1157="",NOT(ISNUMBER($T1157))),"Pending",IF(TODAY()&gt;$T1157,"OVERDUE","Due "&amp;TEXT($T1157,"mm/dd")))))</f>
        <v/>
      </c>
      <c r="V1157" s="16" t="n"/>
      <c r="W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K1158=1,IF(COUNTIFS(nrES_PID,$D1158,nrES_Code,$F1158,nrES_Att,2)&gt;0,"",$L1158),IF(COUNTIFS(nrES_PID,$D1158,nrES_Code,$F1158,nrES_Att,1)=0,$L1158,IF($L1158&gt;=$J1158,cfgRetakeRecordedCap,SUMIFS(nrES_Raw,nrES_PID,$D1158,nrES_Code,$F1158,nrES_Att,1))))))</f>
        <v/>
      </c>
      <c r="N1158" s="17">
        <f>IF($C1158="","",IF($L1158="","",IF($L1158&gt;=$J1158,"Yes","No")))</f>
        <v/>
      </c>
      <c r="O1158" s="17">
        <f>IF($C1158="","",IF($M1158="","",IF($M1158&gt;=$J1158,"Yes","No")))</f>
        <v/>
      </c>
      <c r="P1158" s="17">
        <f>IF($C1158="","",IF($K1158="","",IF(COUNTIFS(nrES_PID,$D1158,nrES_Code,$F1158,nrES_Att,"&gt;"&amp;$K1158)=0,"Yes","No")))</f>
        <v/>
      </c>
      <c r="Q1158" s="17">
        <f>IF($C1158="","",IF($L1158="","",IF(AND($K1158=1,$L1158&lt;$J1158,COUNTIFS(nrES_PID,$D1158,nrES_Code,$F1158,nrES_Att,2)=0),"Yes","No")))</f>
        <v/>
      </c>
      <c r="R1158" s="17">
        <f>IF($C1158="","",IF($L1158="","",IF(AND($K1158=2,$L1158&lt;$J1158,COUNTIFS(nrES_PID,$D1158,nrES_Code,$F1158,nrES_Att,1)&gt;0),"Yes","No")))</f>
        <v/>
      </c>
      <c r="S1158" s="18" t="n"/>
      <c r="T1158" s="19">
        <f>IF($Q1158&lt;&gt;"Yes","",IF($S1158="","(enter date)",_xlfn.LET(_xlpm.dn,IFERROR(_xlfn.XLOOKUP($S1158,nrCDdate,nrCDnum),""),IF(_xlpm.dn="","(not a class day)",IFERROR(_xlfn.XLOOKUP(_xlpm.dn+cfgRetestClassDays,nrCDnum,nrCDdate),"")))))</f>
        <v/>
      </c>
      <c r="U1158" s="17">
        <f>IF($Q1158&lt;&gt;"Yes","",IF(COUNTIFS(nrES_PID,$D1158,nrES_Code,$F1158,nrES_Att,2)&gt;0,"Retested",IF(OR($T1158="",NOT(ISNUMBER($T1158))),"Pending",IF(TODAY()&gt;$T1158,"OVERDUE","Due "&amp;TEXT($T1158,"mm/dd")))))</f>
        <v/>
      </c>
      <c r="V1158" s="16" t="n"/>
      <c r="W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K1159=1,IF(COUNTIFS(nrES_PID,$D1159,nrES_Code,$F1159,nrES_Att,2)&gt;0,"",$L1159),IF(COUNTIFS(nrES_PID,$D1159,nrES_Code,$F1159,nrES_Att,1)=0,$L1159,IF($L1159&gt;=$J1159,cfgRetakeRecordedCap,SUMIFS(nrES_Raw,nrES_PID,$D1159,nrES_Code,$F1159,nrES_Att,1))))))</f>
        <v/>
      </c>
      <c r="N1159" s="17">
        <f>IF($C1159="","",IF($L1159="","",IF($L1159&gt;=$J1159,"Yes","No")))</f>
        <v/>
      </c>
      <c r="O1159" s="17">
        <f>IF($C1159="","",IF($M1159="","",IF($M1159&gt;=$J1159,"Yes","No")))</f>
        <v/>
      </c>
      <c r="P1159" s="17">
        <f>IF($C1159="","",IF($K1159="","",IF(COUNTIFS(nrES_PID,$D1159,nrES_Code,$F1159,nrES_Att,"&gt;"&amp;$K1159)=0,"Yes","No")))</f>
        <v/>
      </c>
      <c r="Q1159" s="17">
        <f>IF($C1159="","",IF($L1159="","",IF(AND($K1159=1,$L1159&lt;$J1159,COUNTIFS(nrES_PID,$D1159,nrES_Code,$F1159,nrES_Att,2)=0),"Yes","No")))</f>
        <v/>
      </c>
      <c r="R1159" s="17">
        <f>IF($C1159="","",IF($L1159="","",IF(AND($K1159=2,$L1159&lt;$J1159,COUNTIFS(nrES_PID,$D1159,nrES_Code,$F1159,nrES_Att,1)&gt;0),"Yes","No")))</f>
        <v/>
      </c>
      <c r="S1159" s="18" t="n"/>
      <c r="T1159" s="19">
        <f>IF($Q1159&lt;&gt;"Yes","",IF($S1159="","(enter date)",_xlfn.LET(_xlpm.dn,IFERROR(_xlfn.XLOOKUP($S1159,nrCDdate,nrCDnum),""),IF(_xlpm.dn="","(not a class day)",IFERROR(_xlfn.XLOOKUP(_xlpm.dn+cfgRetestClassDays,nrCDnum,nrCDdate),"")))))</f>
        <v/>
      </c>
      <c r="U1159" s="17">
        <f>IF($Q1159&lt;&gt;"Yes","",IF(COUNTIFS(nrES_PID,$D1159,nrES_Code,$F1159,nrES_Att,2)&gt;0,"Retested",IF(OR($T1159="",NOT(ISNUMBER($T1159))),"Pending",IF(TODAY()&gt;$T1159,"OVERDUE","Due "&amp;TEXT($T1159,"mm/dd")))))</f>
        <v/>
      </c>
      <c r="V1159" s="16" t="n"/>
      <c r="W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K1160=1,IF(COUNTIFS(nrES_PID,$D1160,nrES_Code,$F1160,nrES_Att,2)&gt;0,"",$L1160),IF(COUNTIFS(nrES_PID,$D1160,nrES_Code,$F1160,nrES_Att,1)=0,$L1160,IF($L1160&gt;=$J1160,cfgRetakeRecordedCap,SUMIFS(nrES_Raw,nrES_PID,$D1160,nrES_Code,$F1160,nrES_Att,1))))))</f>
        <v/>
      </c>
      <c r="N1160" s="17">
        <f>IF($C1160="","",IF($L1160="","",IF($L1160&gt;=$J1160,"Yes","No")))</f>
        <v/>
      </c>
      <c r="O1160" s="17">
        <f>IF($C1160="","",IF($M1160="","",IF($M1160&gt;=$J1160,"Yes","No")))</f>
        <v/>
      </c>
      <c r="P1160" s="17">
        <f>IF($C1160="","",IF($K1160="","",IF(COUNTIFS(nrES_PID,$D1160,nrES_Code,$F1160,nrES_Att,"&gt;"&amp;$K1160)=0,"Yes","No")))</f>
        <v/>
      </c>
      <c r="Q1160" s="17">
        <f>IF($C1160="","",IF($L1160="","",IF(AND($K1160=1,$L1160&lt;$J1160,COUNTIFS(nrES_PID,$D1160,nrES_Code,$F1160,nrES_Att,2)=0),"Yes","No")))</f>
        <v/>
      </c>
      <c r="R1160" s="17">
        <f>IF($C1160="","",IF($L1160="","",IF(AND($K1160=2,$L1160&lt;$J1160,COUNTIFS(nrES_PID,$D1160,nrES_Code,$F1160,nrES_Att,1)&gt;0),"Yes","No")))</f>
        <v/>
      </c>
      <c r="S1160" s="18" t="n"/>
      <c r="T1160" s="19">
        <f>IF($Q1160&lt;&gt;"Yes","",IF($S1160="","(enter date)",_xlfn.LET(_xlpm.dn,IFERROR(_xlfn.XLOOKUP($S1160,nrCDdate,nrCDnum),""),IF(_xlpm.dn="","(not a class day)",IFERROR(_xlfn.XLOOKUP(_xlpm.dn+cfgRetestClassDays,nrCDnum,nrCDdate),"")))))</f>
        <v/>
      </c>
      <c r="U1160" s="17">
        <f>IF($Q1160&lt;&gt;"Yes","",IF(COUNTIFS(nrES_PID,$D1160,nrES_Code,$F1160,nrES_Att,2)&gt;0,"Retested",IF(OR($T1160="",NOT(ISNUMBER($T1160))),"Pending",IF(TODAY()&gt;$T1160,"OVERDUE","Due "&amp;TEXT($T1160,"mm/dd")))))</f>
        <v/>
      </c>
      <c r="V1160" s="16" t="n"/>
      <c r="W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K1161=1,IF(COUNTIFS(nrES_PID,$D1161,nrES_Code,$F1161,nrES_Att,2)&gt;0,"",$L1161),IF(COUNTIFS(nrES_PID,$D1161,nrES_Code,$F1161,nrES_Att,1)=0,$L1161,IF($L1161&gt;=$J1161,cfgRetakeRecordedCap,SUMIFS(nrES_Raw,nrES_PID,$D1161,nrES_Code,$F1161,nrES_Att,1))))))</f>
        <v/>
      </c>
      <c r="N1161" s="17">
        <f>IF($C1161="","",IF($L1161="","",IF($L1161&gt;=$J1161,"Yes","No")))</f>
        <v/>
      </c>
      <c r="O1161" s="17">
        <f>IF($C1161="","",IF($M1161="","",IF($M1161&gt;=$J1161,"Yes","No")))</f>
        <v/>
      </c>
      <c r="P1161" s="17">
        <f>IF($C1161="","",IF($K1161="","",IF(COUNTIFS(nrES_PID,$D1161,nrES_Code,$F1161,nrES_Att,"&gt;"&amp;$K1161)=0,"Yes","No")))</f>
        <v/>
      </c>
      <c r="Q1161" s="17">
        <f>IF($C1161="","",IF($L1161="","",IF(AND($K1161=1,$L1161&lt;$J1161,COUNTIFS(nrES_PID,$D1161,nrES_Code,$F1161,nrES_Att,2)=0),"Yes","No")))</f>
        <v/>
      </c>
      <c r="R1161" s="17">
        <f>IF($C1161="","",IF($L1161="","",IF(AND($K1161=2,$L1161&lt;$J1161,COUNTIFS(nrES_PID,$D1161,nrES_Code,$F1161,nrES_Att,1)&gt;0),"Yes","No")))</f>
        <v/>
      </c>
      <c r="S1161" s="18" t="n"/>
      <c r="T1161" s="19">
        <f>IF($Q1161&lt;&gt;"Yes","",IF($S1161="","(enter date)",_xlfn.LET(_xlpm.dn,IFERROR(_xlfn.XLOOKUP($S1161,nrCDdate,nrCDnum),""),IF(_xlpm.dn="","(not a class day)",IFERROR(_xlfn.XLOOKUP(_xlpm.dn+cfgRetestClassDays,nrCDnum,nrCDdate),"")))))</f>
        <v/>
      </c>
      <c r="U1161" s="17">
        <f>IF($Q1161&lt;&gt;"Yes","",IF(COUNTIFS(nrES_PID,$D1161,nrES_Code,$F1161,nrES_Att,2)&gt;0,"Retested",IF(OR($T1161="",NOT(ISNUMBER($T1161))),"Pending",IF(TODAY()&gt;$T1161,"OVERDUE","Due "&amp;TEXT($T1161,"mm/dd")))))</f>
        <v/>
      </c>
      <c r="V1161" s="16" t="n"/>
      <c r="W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K1162=1,IF(COUNTIFS(nrES_PID,$D1162,nrES_Code,$F1162,nrES_Att,2)&gt;0,"",$L1162),IF(COUNTIFS(nrES_PID,$D1162,nrES_Code,$F1162,nrES_Att,1)=0,$L1162,IF($L1162&gt;=$J1162,cfgRetakeRecordedCap,SUMIFS(nrES_Raw,nrES_PID,$D1162,nrES_Code,$F1162,nrES_Att,1))))))</f>
        <v/>
      </c>
      <c r="N1162" s="17">
        <f>IF($C1162="","",IF($L1162="","",IF($L1162&gt;=$J1162,"Yes","No")))</f>
        <v/>
      </c>
      <c r="O1162" s="17">
        <f>IF($C1162="","",IF($M1162="","",IF($M1162&gt;=$J1162,"Yes","No")))</f>
        <v/>
      </c>
      <c r="P1162" s="17">
        <f>IF($C1162="","",IF($K1162="","",IF(COUNTIFS(nrES_PID,$D1162,nrES_Code,$F1162,nrES_Att,"&gt;"&amp;$K1162)=0,"Yes","No")))</f>
        <v/>
      </c>
      <c r="Q1162" s="17">
        <f>IF($C1162="","",IF($L1162="","",IF(AND($K1162=1,$L1162&lt;$J1162,COUNTIFS(nrES_PID,$D1162,nrES_Code,$F1162,nrES_Att,2)=0),"Yes","No")))</f>
        <v/>
      </c>
      <c r="R1162" s="17">
        <f>IF($C1162="","",IF($L1162="","",IF(AND($K1162=2,$L1162&lt;$J1162,COUNTIFS(nrES_PID,$D1162,nrES_Code,$F1162,nrES_Att,1)&gt;0),"Yes","No")))</f>
        <v/>
      </c>
      <c r="S1162" s="18" t="n"/>
      <c r="T1162" s="19">
        <f>IF($Q1162&lt;&gt;"Yes","",IF($S1162="","(enter date)",_xlfn.LET(_xlpm.dn,IFERROR(_xlfn.XLOOKUP($S1162,nrCDdate,nrCDnum),""),IF(_xlpm.dn="","(not a class day)",IFERROR(_xlfn.XLOOKUP(_xlpm.dn+cfgRetestClassDays,nrCDnum,nrCDdate),"")))))</f>
        <v/>
      </c>
      <c r="U1162" s="17">
        <f>IF($Q1162&lt;&gt;"Yes","",IF(COUNTIFS(nrES_PID,$D1162,nrES_Code,$F1162,nrES_Att,2)&gt;0,"Retested",IF(OR($T1162="",NOT(ISNUMBER($T1162))),"Pending",IF(TODAY()&gt;$T1162,"OVERDUE","Due "&amp;TEXT($T1162,"mm/dd")))))</f>
        <v/>
      </c>
      <c r="V1162" s="16" t="n"/>
      <c r="W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K1163=1,IF(COUNTIFS(nrES_PID,$D1163,nrES_Code,$F1163,nrES_Att,2)&gt;0,"",$L1163),IF(COUNTIFS(nrES_PID,$D1163,nrES_Code,$F1163,nrES_Att,1)=0,$L1163,IF($L1163&gt;=$J1163,cfgRetakeRecordedCap,SUMIFS(nrES_Raw,nrES_PID,$D1163,nrES_Code,$F1163,nrES_Att,1))))))</f>
        <v/>
      </c>
      <c r="N1163" s="17">
        <f>IF($C1163="","",IF($L1163="","",IF($L1163&gt;=$J1163,"Yes","No")))</f>
        <v/>
      </c>
      <c r="O1163" s="17">
        <f>IF($C1163="","",IF($M1163="","",IF($M1163&gt;=$J1163,"Yes","No")))</f>
        <v/>
      </c>
      <c r="P1163" s="17">
        <f>IF($C1163="","",IF($K1163="","",IF(COUNTIFS(nrES_PID,$D1163,nrES_Code,$F1163,nrES_Att,"&gt;"&amp;$K1163)=0,"Yes","No")))</f>
        <v/>
      </c>
      <c r="Q1163" s="17">
        <f>IF($C1163="","",IF($L1163="","",IF(AND($K1163=1,$L1163&lt;$J1163,COUNTIFS(nrES_PID,$D1163,nrES_Code,$F1163,nrES_Att,2)=0),"Yes","No")))</f>
        <v/>
      </c>
      <c r="R1163" s="17">
        <f>IF($C1163="","",IF($L1163="","",IF(AND($K1163=2,$L1163&lt;$J1163,COUNTIFS(nrES_PID,$D1163,nrES_Code,$F1163,nrES_Att,1)&gt;0),"Yes","No")))</f>
        <v/>
      </c>
      <c r="S1163" s="18" t="n"/>
      <c r="T1163" s="19">
        <f>IF($Q1163&lt;&gt;"Yes","",IF($S1163="","(enter date)",_xlfn.LET(_xlpm.dn,IFERROR(_xlfn.XLOOKUP($S1163,nrCDdate,nrCDnum),""),IF(_xlpm.dn="","(not a class day)",IFERROR(_xlfn.XLOOKUP(_xlpm.dn+cfgRetestClassDays,nrCDnum,nrCDdate),"")))))</f>
        <v/>
      </c>
      <c r="U1163" s="17">
        <f>IF($Q1163&lt;&gt;"Yes","",IF(COUNTIFS(nrES_PID,$D1163,nrES_Code,$F1163,nrES_Att,2)&gt;0,"Retested",IF(OR($T1163="",NOT(ISNUMBER($T1163))),"Pending",IF(TODAY()&gt;$T1163,"OVERDUE","Due "&amp;TEXT($T1163,"mm/dd")))))</f>
        <v/>
      </c>
      <c r="V1163" s="16" t="n"/>
      <c r="W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K1164=1,IF(COUNTIFS(nrES_PID,$D1164,nrES_Code,$F1164,nrES_Att,2)&gt;0,"",$L1164),IF(COUNTIFS(nrES_PID,$D1164,nrES_Code,$F1164,nrES_Att,1)=0,$L1164,IF($L1164&gt;=$J1164,cfgRetakeRecordedCap,SUMIFS(nrES_Raw,nrES_PID,$D1164,nrES_Code,$F1164,nrES_Att,1))))))</f>
        <v/>
      </c>
      <c r="N1164" s="17">
        <f>IF($C1164="","",IF($L1164="","",IF($L1164&gt;=$J1164,"Yes","No")))</f>
        <v/>
      </c>
      <c r="O1164" s="17">
        <f>IF($C1164="","",IF($M1164="","",IF($M1164&gt;=$J1164,"Yes","No")))</f>
        <v/>
      </c>
      <c r="P1164" s="17">
        <f>IF($C1164="","",IF($K1164="","",IF(COUNTIFS(nrES_PID,$D1164,nrES_Code,$F1164,nrES_Att,"&gt;"&amp;$K1164)=0,"Yes","No")))</f>
        <v/>
      </c>
      <c r="Q1164" s="17">
        <f>IF($C1164="","",IF($L1164="","",IF(AND($K1164=1,$L1164&lt;$J1164,COUNTIFS(nrES_PID,$D1164,nrES_Code,$F1164,nrES_Att,2)=0),"Yes","No")))</f>
        <v/>
      </c>
      <c r="R1164" s="17">
        <f>IF($C1164="","",IF($L1164="","",IF(AND($K1164=2,$L1164&lt;$J1164,COUNTIFS(nrES_PID,$D1164,nrES_Code,$F1164,nrES_Att,1)&gt;0),"Yes","No")))</f>
        <v/>
      </c>
      <c r="S1164" s="18" t="n"/>
      <c r="T1164" s="19">
        <f>IF($Q1164&lt;&gt;"Yes","",IF($S1164="","(enter date)",_xlfn.LET(_xlpm.dn,IFERROR(_xlfn.XLOOKUP($S1164,nrCDdate,nrCDnum),""),IF(_xlpm.dn="","(not a class day)",IFERROR(_xlfn.XLOOKUP(_xlpm.dn+cfgRetestClassDays,nrCDnum,nrCDdate),"")))))</f>
        <v/>
      </c>
      <c r="U1164" s="17">
        <f>IF($Q1164&lt;&gt;"Yes","",IF(COUNTIFS(nrES_PID,$D1164,nrES_Code,$F1164,nrES_Att,2)&gt;0,"Retested",IF(OR($T1164="",NOT(ISNUMBER($T1164))),"Pending",IF(TODAY()&gt;$T1164,"OVERDUE","Due "&amp;TEXT($T1164,"mm/dd")))))</f>
        <v/>
      </c>
      <c r="V1164" s="16" t="n"/>
      <c r="W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K1165=1,IF(COUNTIFS(nrES_PID,$D1165,nrES_Code,$F1165,nrES_Att,2)&gt;0,"",$L1165),IF(COUNTIFS(nrES_PID,$D1165,nrES_Code,$F1165,nrES_Att,1)=0,$L1165,IF($L1165&gt;=$J1165,cfgRetakeRecordedCap,SUMIFS(nrES_Raw,nrES_PID,$D1165,nrES_Code,$F1165,nrES_Att,1))))))</f>
        <v/>
      </c>
      <c r="N1165" s="17">
        <f>IF($C1165="","",IF($L1165="","",IF($L1165&gt;=$J1165,"Yes","No")))</f>
        <v/>
      </c>
      <c r="O1165" s="17">
        <f>IF($C1165="","",IF($M1165="","",IF($M1165&gt;=$J1165,"Yes","No")))</f>
        <v/>
      </c>
      <c r="P1165" s="17">
        <f>IF($C1165="","",IF($K1165="","",IF(COUNTIFS(nrES_PID,$D1165,nrES_Code,$F1165,nrES_Att,"&gt;"&amp;$K1165)=0,"Yes","No")))</f>
        <v/>
      </c>
      <c r="Q1165" s="17">
        <f>IF($C1165="","",IF($L1165="","",IF(AND($K1165=1,$L1165&lt;$J1165,COUNTIFS(nrES_PID,$D1165,nrES_Code,$F1165,nrES_Att,2)=0),"Yes","No")))</f>
        <v/>
      </c>
      <c r="R1165" s="17">
        <f>IF($C1165="","",IF($L1165="","",IF(AND($K1165=2,$L1165&lt;$J1165,COUNTIFS(nrES_PID,$D1165,nrES_Code,$F1165,nrES_Att,1)&gt;0),"Yes","No")))</f>
        <v/>
      </c>
      <c r="S1165" s="18" t="n"/>
      <c r="T1165" s="19">
        <f>IF($Q1165&lt;&gt;"Yes","",IF($S1165="","(enter date)",_xlfn.LET(_xlpm.dn,IFERROR(_xlfn.XLOOKUP($S1165,nrCDdate,nrCDnum),""),IF(_xlpm.dn="","(not a class day)",IFERROR(_xlfn.XLOOKUP(_xlpm.dn+cfgRetestClassDays,nrCDnum,nrCDdate),"")))))</f>
        <v/>
      </c>
      <c r="U1165" s="17">
        <f>IF($Q1165&lt;&gt;"Yes","",IF(COUNTIFS(nrES_PID,$D1165,nrES_Code,$F1165,nrES_Att,2)&gt;0,"Retested",IF(OR($T1165="",NOT(ISNUMBER($T1165))),"Pending",IF(TODAY()&gt;$T1165,"OVERDUE","Due "&amp;TEXT($T1165,"mm/dd")))))</f>
        <v/>
      </c>
      <c r="V1165" s="16" t="n"/>
      <c r="W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K1166=1,IF(COUNTIFS(nrES_PID,$D1166,nrES_Code,$F1166,nrES_Att,2)&gt;0,"",$L1166),IF(COUNTIFS(nrES_PID,$D1166,nrES_Code,$F1166,nrES_Att,1)=0,$L1166,IF($L1166&gt;=$J1166,cfgRetakeRecordedCap,SUMIFS(nrES_Raw,nrES_PID,$D1166,nrES_Code,$F1166,nrES_Att,1))))))</f>
        <v/>
      </c>
      <c r="N1166" s="17">
        <f>IF($C1166="","",IF($L1166="","",IF($L1166&gt;=$J1166,"Yes","No")))</f>
        <v/>
      </c>
      <c r="O1166" s="17">
        <f>IF($C1166="","",IF($M1166="","",IF($M1166&gt;=$J1166,"Yes","No")))</f>
        <v/>
      </c>
      <c r="P1166" s="17">
        <f>IF($C1166="","",IF($K1166="","",IF(COUNTIFS(nrES_PID,$D1166,nrES_Code,$F1166,nrES_Att,"&gt;"&amp;$K1166)=0,"Yes","No")))</f>
        <v/>
      </c>
      <c r="Q1166" s="17">
        <f>IF($C1166="","",IF($L1166="","",IF(AND($K1166=1,$L1166&lt;$J1166,COUNTIFS(nrES_PID,$D1166,nrES_Code,$F1166,nrES_Att,2)=0),"Yes","No")))</f>
        <v/>
      </c>
      <c r="R1166" s="17">
        <f>IF($C1166="","",IF($L1166="","",IF(AND($K1166=2,$L1166&lt;$J1166,COUNTIFS(nrES_PID,$D1166,nrES_Code,$F1166,nrES_Att,1)&gt;0),"Yes","No")))</f>
        <v/>
      </c>
      <c r="S1166" s="18" t="n"/>
      <c r="T1166" s="19">
        <f>IF($Q1166&lt;&gt;"Yes","",IF($S1166="","(enter date)",_xlfn.LET(_xlpm.dn,IFERROR(_xlfn.XLOOKUP($S1166,nrCDdate,nrCDnum),""),IF(_xlpm.dn="","(not a class day)",IFERROR(_xlfn.XLOOKUP(_xlpm.dn+cfgRetestClassDays,nrCDnum,nrCDdate),"")))))</f>
        <v/>
      </c>
      <c r="U1166" s="17">
        <f>IF($Q1166&lt;&gt;"Yes","",IF(COUNTIFS(nrES_PID,$D1166,nrES_Code,$F1166,nrES_Att,2)&gt;0,"Retested",IF(OR($T1166="",NOT(ISNUMBER($T1166))),"Pending",IF(TODAY()&gt;$T1166,"OVERDUE","Due "&amp;TEXT($T1166,"mm/dd")))))</f>
        <v/>
      </c>
      <c r="V1166" s="16" t="n"/>
      <c r="W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K1167=1,IF(COUNTIFS(nrES_PID,$D1167,nrES_Code,$F1167,nrES_Att,2)&gt;0,"",$L1167),IF(COUNTIFS(nrES_PID,$D1167,nrES_Code,$F1167,nrES_Att,1)=0,$L1167,IF($L1167&gt;=$J1167,cfgRetakeRecordedCap,SUMIFS(nrES_Raw,nrES_PID,$D1167,nrES_Code,$F1167,nrES_Att,1))))))</f>
        <v/>
      </c>
      <c r="N1167" s="17">
        <f>IF($C1167="","",IF($L1167="","",IF($L1167&gt;=$J1167,"Yes","No")))</f>
        <v/>
      </c>
      <c r="O1167" s="17">
        <f>IF($C1167="","",IF($M1167="","",IF($M1167&gt;=$J1167,"Yes","No")))</f>
        <v/>
      </c>
      <c r="P1167" s="17">
        <f>IF($C1167="","",IF($K1167="","",IF(COUNTIFS(nrES_PID,$D1167,nrES_Code,$F1167,nrES_Att,"&gt;"&amp;$K1167)=0,"Yes","No")))</f>
        <v/>
      </c>
      <c r="Q1167" s="17">
        <f>IF($C1167="","",IF($L1167="","",IF(AND($K1167=1,$L1167&lt;$J1167,COUNTIFS(nrES_PID,$D1167,nrES_Code,$F1167,nrES_Att,2)=0),"Yes","No")))</f>
        <v/>
      </c>
      <c r="R1167" s="17">
        <f>IF($C1167="","",IF($L1167="","",IF(AND($K1167=2,$L1167&lt;$J1167,COUNTIFS(nrES_PID,$D1167,nrES_Code,$F1167,nrES_Att,1)&gt;0),"Yes","No")))</f>
        <v/>
      </c>
      <c r="S1167" s="18" t="n"/>
      <c r="T1167" s="19">
        <f>IF($Q1167&lt;&gt;"Yes","",IF($S1167="","(enter date)",_xlfn.LET(_xlpm.dn,IFERROR(_xlfn.XLOOKUP($S1167,nrCDdate,nrCDnum),""),IF(_xlpm.dn="","(not a class day)",IFERROR(_xlfn.XLOOKUP(_xlpm.dn+cfgRetestClassDays,nrCDnum,nrCDdate),"")))))</f>
        <v/>
      </c>
      <c r="U1167" s="17">
        <f>IF($Q1167&lt;&gt;"Yes","",IF(COUNTIFS(nrES_PID,$D1167,nrES_Code,$F1167,nrES_Att,2)&gt;0,"Retested",IF(OR($T1167="",NOT(ISNUMBER($T1167))),"Pending",IF(TODAY()&gt;$T1167,"OVERDUE","Due "&amp;TEXT($T1167,"mm/dd")))))</f>
        <v/>
      </c>
      <c r="V1167" s="16" t="n"/>
      <c r="W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K1168=1,IF(COUNTIFS(nrES_PID,$D1168,nrES_Code,$F1168,nrES_Att,2)&gt;0,"",$L1168),IF(COUNTIFS(nrES_PID,$D1168,nrES_Code,$F1168,nrES_Att,1)=0,$L1168,IF($L1168&gt;=$J1168,cfgRetakeRecordedCap,SUMIFS(nrES_Raw,nrES_PID,$D1168,nrES_Code,$F1168,nrES_Att,1))))))</f>
        <v/>
      </c>
      <c r="N1168" s="17">
        <f>IF($C1168="","",IF($L1168="","",IF($L1168&gt;=$J1168,"Yes","No")))</f>
        <v/>
      </c>
      <c r="O1168" s="17">
        <f>IF($C1168="","",IF($M1168="","",IF($M1168&gt;=$J1168,"Yes","No")))</f>
        <v/>
      </c>
      <c r="P1168" s="17">
        <f>IF($C1168="","",IF($K1168="","",IF(COUNTIFS(nrES_PID,$D1168,nrES_Code,$F1168,nrES_Att,"&gt;"&amp;$K1168)=0,"Yes","No")))</f>
        <v/>
      </c>
      <c r="Q1168" s="17">
        <f>IF($C1168="","",IF($L1168="","",IF(AND($K1168=1,$L1168&lt;$J1168,COUNTIFS(nrES_PID,$D1168,nrES_Code,$F1168,nrES_Att,2)=0),"Yes","No")))</f>
        <v/>
      </c>
      <c r="R1168" s="17">
        <f>IF($C1168="","",IF($L1168="","",IF(AND($K1168=2,$L1168&lt;$J1168,COUNTIFS(nrES_PID,$D1168,nrES_Code,$F1168,nrES_Att,1)&gt;0),"Yes","No")))</f>
        <v/>
      </c>
      <c r="S1168" s="18" t="n"/>
      <c r="T1168" s="19">
        <f>IF($Q1168&lt;&gt;"Yes","",IF($S1168="","(enter date)",_xlfn.LET(_xlpm.dn,IFERROR(_xlfn.XLOOKUP($S1168,nrCDdate,nrCDnum),""),IF(_xlpm.dn="","(not a class day)",IFERROR(_xlfn.XLOOKUP(_xlpm.dn+cfgRetestClassDays,nrCDnum,nrCDdate),"")))))</f>
        <v/>
      </c>
      <c r="U1168" s="17">
        <f>IF($Q1168&lt;&gt;"Yes","",IF(COUNTIFS(nrES_PID,$D1168,nrES_Code,$F1168,nrES_Att,2)&gt;0,"Retested",IF(OR($T1168="",NOT(ISNUMBER($T1168))),"Pending",IF(TODAY()&gt;$T1168,"OVERDUE","Due "&amp;TEXT($T1168,"mm/dd")))))</f>
        <v/>
      </c>
      <c r="V1168" s="16" t="n"/>
      <c r="W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K1169=1,IF(COUNTIFS(nrES_PID,$D1169,nrES_Code,$F1169,nrES_Att,2)&gt;0,"",$L1169),IF(COUNTIFS(nrES_PID,$D1169,nrES_Code,$F1169,nrES_Att,1)=0,$L1169,IF($L1169&gt;=$J1169,cfgRetakeRecordedCap,SUMIFS(nrES_Raw,nrES_PID,$D1169,nrES_Code,$F1169,nrES_Att,1))))))</f>
        <v/>
      </c>
      <c r="N1169" s="17">
        <f>IF($C1169="","",IF($L1169="","",IF($L1169&gt;=$J1169,"Yes","No")))</f>
        <v/>
      </c>
      <c r="O1169" s="17">
        <f>IF($C1169="","",IF($M1169="","",IF($M1169&gt;=$J1169,"Yes","No")))</f>
        <v/>
      </c>
      <c r="P1169" s="17">
        <f>IF($C1169="","",IF($K1169="","",IF(COUNTIFS(nrES_PID,$D1169,nrES_Code,$F1169,nrES_Att,"&gt;"&amp;$K1169)=0,"Yes","No")))</f>
        <v/>
      </c>
      <c r="Q1169" s="17">
        <f>IF($C1169="","",IF($L1169="","",IF(AND($K1169=1,$L1169&lt;$J1169,COUNTIFS(nrES_PID,$D1169,nrES_Code,$F1169,nrES_Att,2)=0),"Yes","No")))</f>
        <v/>
      </c>
      <c r="R1169" s="17">
        <f>IF($C1169="","",IF($L1169="","",IF(AND($K1169=2,$L1169&lt;$J1169,COUNTIFS(nrES_PID,$D1169,nrES_Code,$F1169,nrES_Att,1)&gt;0),"Yes","No")))</f>
        <v/>
      </c>
      <c r="S1169" s="18" t="n"/>
      <c r="T1169" s="19">
        <f>IF($Q1169&lt;&gt;"Yes","",IF($S1169="","(enter date)",_xlfn.LET(_xlpm.dn,IFERROR(_xlfn.XLOOKUP($S1169,nrCDdate,nrCDnum),""),IF(_xlpm.dn="","(not a class day)",IFERROR(_xlfn.XLOOKUP(_xlpm.dn+cfgRetestClassDays,nrCDnum,nrCDdate),"")))))</f>
        <v/>
      </c>
      <c r="U1169" s="17">
        <f>IF($Q1169&lt;&gt;"Yes","",IF(COUNTIFS(nrES_PID,$D1169,nrES_Code,$F1169,nrES_Att,2)&gt;0,"Retested",IF(OR($T1169="",NOT(ISNUMBER($T1169))),"Pending",IF(TODAY()&gt;$T1169,"OVERDUE","Due "&amp;TEXT($T1169,"mm/dd")))))</f>
        <v/>
      </c>
      <c r="V1169" s="16" t="n"/>
      <c r="W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K1170=1,IF(COUNTIFS(nrES_PID,$D1170,nrES_Code,$F1170,nrES_Att,2)&gt;0,"",$L1170),IF(COUNTIFS(nrES_PID,$D1170,nrES_Code,$F1170,nrES_Att,1)=0,$L1170,IF($L1170&gt;=$J1170,cfgRetakeRecordedCap,SUMIFS(nrES_Raw,nrES_PID,$D1170,nrES_Code,$F1170,nrES_Att,1))))))</f>
        <v/>
      </c>
      <c r="N1170" s="17">
        <f>IF($C1170="","",IF($L1170="","",IF($L1170&gt;=$J1170,"Yes","No")))</f>
        <v/>
      </c>
      <c r="O1170" s="17">
        <f>IF($C1170="","",IF($M1170="","",IF($M1170&gt;=$J1170,"Yes","No")))</f>
        <v/>
      </c>
      <c r="P1170" s="17">
        <f>IF($C1170="","",IF($K1170="","",IF(COUNTIFS(nrES_PID,$D1170,nrES_Code,$F1170,nrES_Att,"&gt;"&amp;$K1170)=0,"Yes","No")))</f>
        <v/>
      </c>
      <c r="Q1170" s="17">
        <f>IF($C1170="","",IF($L1170="","",IF(AND($K1170=1,$L1170&lt;$J1170,COUNTIFS(nrES_PID,$D1170,nrES_Code,$F1170,nrES_Att,2)=0),"Yes","No")))</f>
        <v/>
      </c>
      <c r="R1170" s="17">
        <f>IF($C1170="","",IF($L1170="","",IF(AND($K1170=2,$L1170&lt;$J1170,COUNTIFS(nrES_PID,$D1170,nrES_Code,$F1170,nrES_Att,1)&gt;0),"Yes","No")))</f>
        <v/>
      </c>
      <c r="S1170" s="18" t="n"/>
      <c r="T1170" s="19">
        <f>IF($Q1170&lt;&gt;"Yes","",IF($S1170="","(enter date)",_xlfn.LET(_xlpm.dn,IFERROR(_xlfn.XLOOKUP($S1170,nrCDdate,nrCDnum),""),IF(_xlpm.dn="","(not a class day)",IFERROR(_xlfn.XLOOKUP(_xlpm.dn+cfgRetestClassDays,nrCDnum,nrCDdate),"")))))</f>
        <v/>
      </c>
      <c r="U1170" s="17">
        <f>IF($Q1170&lt;&gt;"Yes","",IF(COUNTIFS(nrES_PID,$D1170,nrES_Code,$F1170,nrES_Att,2)&gt;0,"Retested",IF(OR($T1170="",NOT(ISNUMBER($T1170))),"Pending",IF(TODAY()&gt;$T1170,"OVERDUE","Due "&amp;TEXT($T1170,"mm/dd")))))</f>
        <v/>
      </c>
      <c r="V1170" s="16" t="n"/>
      <c r="W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K1171=1,IF(COUNTIFS(nrES_PID,$D1171,nrES_Code,$F1171,nrES_Att,2)&gt;0,"",$L1171),IF(COUNTIFS(nrES_PID,$D1171,nrES_Code,$F1171,nrES_Att,1)=0,$L1171,IF($L1171&gt;=$J1171,cfgRetakeRecordedCap,SUMIFS(nrES_Raw,nrES_PID,$D1171,nrES_Code,$F1171,nrES_Att,1))))))</f>
        <v/>
      </c>
      <c r="N1171" s="17">
        <f>IF($C1171="","",IF($L1171="","",IF($L1171&gt;=$J1171,"Yes","No")))</f>
        <v/>
      </c>
      <c r="O1171" s="17">
        <f>IF($C1171="","",IF($M1171="","",IF($M1171&gt;=$J1171,"Yes","No")))</f>
        <v/>
      </c>
      <c r="P1171" s="17">
        <f>IF($C1171="","",IF($K1171="","",IF(COUNTIFS(nrES_PID,$D1171,nrES_Code,$F1171,nrES_Att,"&gt;"&amp;$K1171)=0,"Yes","No")))</f>
        <v/>
      </c>
      <c r="Q1171" s="17">
        <f>IF($C1171="","",IF($L1171="","",IF(AND($K1171=1,$L1171&lt;$J1171,COUNTIFS(nrES_PID,$D1171,nrES_Code,$F1171,nrES_Att,2)=0),"Yes","No")))</f>
        <v/>
      </c>
      <c r="R1171" s="17">
        <f>IF($C1171="","",IF($L1171="","",IF(AND($K1171=2,$L1171&lt;$J1171,COUNTIFS(nrES_PID,$D1171,nrES_Code,$F1171,nrES_Att,1)&gt;0),"Yes","No")))</f>
        <v/>
      </c>
      <c r="S1171" s="18" t="n"/>
      <c r="T1171" s="19">
        <f>IF($Q1171&lt;&gt;"Yes","",IF($S1171="","(enter date)",_xlfn.LET(_xlpm.dn,IFERROR(_xlfn.XLOOKUP($S1171,nrCDdate,nrCDnum),""),IF(_xlpm.dn="","(not a class day)",IFERROR(_xlfn.XLOOKUP(_xlpm.dn+cfgRetestClassDays,nrCDnum,nrCDdate),"")))))</f>
        <v/>
      </c>
      <c r="U1171" s="17">
        <f>IF($Q1171&lt;&gt;"Yes","",IF(COUNTIFS(nrES_PID,$D1171,nrES_Code,$F1171,nrES_Att,2)&gt;0,"Retested",IF(OR($T1171="",NOT(ISNUMBER($T1171))),"Pending",IF(TODAY()&gt;$T1171,"OVERDUE","Due "&amp;TEXT($T1171,"mm/dd")))))</f>
        <v/>
      </c>
      <c r="V1171" s="16" t="n"/>
      <c r="W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K1172=1,IF(COUNTIFS(nrES_PID,$D1172,nrES_Code,$F1172,nrES_Att,2)&gt;0,"",$L1172),IF(COUNTIFS(nrES_PID,$D1172,nrES_Code,$F1172,nrES_Att,1)=0,$L1172,IF($L1172&gt;=$J1172,cfgRetakeRecordedCap,SUMIFS(nrES_Raw,nrES_PID,$D1172,nrES_Code,$F1172,nrES_Att,1))))))</f>
        <v/>
      </c>
      <c r="N1172" s="17">
        <f>IF($C1172="","",IF($L1172="","",IF($L1172&gt;=$J1172,"Yes","No")))</f>
        <v/>
      </c>
      <c r="O1172" s="17">
        <f>IF($C1172="","",IF($M1172="","",IF($M1172&gt;=$J1172,"Yes","No")))</f>
        <v/>
      </c>
      <c r="P1172" s="17">
        <f>IF($C1172="","",IF($K1172="","",IF(COUNTIFS(nrES_PID,$D1172,nrES_Code,$F1172,nrES_Att,"&gt;"&amp;$K1172)=0,"Yes","No")))</f>
        <v/>
      </c>
      <c r="Q1172" s="17">
        <f>IF($C1172="","",IF($L1172="","",IF(AND($K1172=1,$L1172&lt;$J1172,COUNTIFS(nrES_PID,$D1172,nrES_Code,$F1172,nrES_Att,2)=0),"Yes","No")))</f>
        <v/>
      </c>
      <c r="R1172" s="17">
        <f>IF($C1172="","",IF($L1172="","",IF(AND($K1172=2,$L1172&lt;$J1172,COUNTIFS(nrES_PID,$D1172,nrES_Code,$F1172,nrES_Att,1)&gt;0),"Yes","No")))</f>
        <v/>
      </c>
      <c r="S1172" s="18" t="n"/>
      <c r="T1172" s="19">
        <f>IF($Q1172&lt;&gt;"Yes","",IF($S1172="","(enter date)",_xlfn.LET(_xlpm.dn,IFERROR(_xlfn.XLOOKUP($S1172,nrCDdate,nrCDnum),""),IF(_xlpm.dn="","(not a class day)",IFERROR(_xlfn.XLOOKUP(_xlpm.dn+cfgRetestClassDays,nrCDnum,nrCDdate),"")))))</f>
        <v/>
      </c>
      <c r="U1172" s="17">
        <f>IF($Q1172&lt;&gt;"Yes","",IF(COUNTIFS(nrES_PID,$D1172,nrES_Code,$F1172,nrES_Att,2)&gt;0,"Retested",IF(OR($T1172="",NOT(ISNUMBER($T1172))),"Pending",IF(TODAY()&gt;$T1172,"OVERDUE","Due "&amp;TEXT($T1172,"mm/dd")))))</f>
        <v/>
      </c>
      <c r="V1172" s="16" t="n"/>
      <c r="W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K1173=1,IF(COUNTIFS(nrES_PID,$D1173,nrES_Code,$F1173,nrES_Att,2)&gt;0,"",$L1173),IF(COUNTIFS(nrES_PID,$D1173,nrES_Code,$F1173,nrES_Att,1)=0,$L1173,IF($L1173&gt;=$J1173,cfgRetakeRecordedCap,SUMIFS(nrES_Raw,nrES_PID,$D1173,nrES_Code,$F1173,nrES_Att,1))))))</f>
        <v/>
      </c>
      <c r="N1173" s="17">
        <f>IF($C1173="","",IF($L1173="","",IF($L1173&gt;=$J1173,"Yes","No")))</f>
        <v/>
      </c>
      <c r="O1173" s="17">
        <f>IF($C1173="","",IF($M1173="","",IF($M1173&gt;=$J1173,"Yes","No")))</f>
        <v/>
      </c>
      <c r="P1173" s="17">
        <f>IF($C1173="","",IF($K1173="","",IF(COUNTIFS(nrES_PID,$D1173,nrES_Code,$F1173,nrES_Att,"&gt;"&amp;$K1173)=0,"Yes","No")))</f>
        <v/>
      </c>
      <c r="Q1173" s="17">
        <f>IF($C1173="","",IF($L1173="","",IF(AND($K1173=1,$L1173&lt;$J1173,COUNTIFS(nrES_PID,$D1173,nrES_Code,$F1173,nrES_Att,2)=0),"Yes","No")))</f>
        <v/>
      </c>
      <c r="R1173" s="17">
        <f>IF($C1173="","",IF($L1173="","",IF(AND($K1173=2,$L1173&lt;$J1173,COUNTIFS(nrES_PID,$D1173,nrES_Code,$F1173,nrES_Att,1)&gt;0),"Yes","No")))</f>
        <v/>
      </c>
      <c r="S1173" s="18" t="n"/>
      <c r="T1173" s="19">
        <f>IF($Q1173&lt;&gt;"Yes","",IF($S1173="","(enter date)",_xlfn.LET(_xlpm.dn,IFERROR(_xlfn.XLOOKUP($S1173,nrCDdate,nrCDnum),""),IF(_xlpm.dn="","(not a class day)",IFERROR(_xlfn.XLOOKUP(_xlpm.dn+cfgRetestClassDays,nrCDnum,nrCDdate),"")))))</f>
        <v/>
      </c>
      <c r="U1173" s="17">
        <f>IF($Q1173&lt;&gt;"Yes","",IF(COUNTIFS(nrES_PID,$D1173,nrES_Code,$F1173,nrES_Att,2)&gt;0,"Retested",IF(OR($T1173="",NOT(ISNUMBER($T1173))),"Pending",IF(TODAY()&gt;$T1173,"OVERDUE","Due "&amp;TEXT($T1173,"mm/dd")))))</f>
        <v/>
      </c>
      <c r="V1173" s="16" t="n"/>
      <c r="W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K1174=1,IF(COUNTIFS(nrES_PID,$D1174,nrES_Code,$F1174,nrES_Att,2)&gt;0,"",$L1174),IF(COUNTIFS(nrES_PID,$D1174,nrES_Code,$F1174,nrES_Att,1)=0,$L1174,IF($L1174&gt;=$J1174,cfgRetakeRecordedCap,SUMIFS(nrES_Raw,nrES_PID,$D1174,nrES_Code,$F1174,nrES_Att,1))))))</f>
        <v/>
      </c>
      <c r="N1174" s="17">
        <f>IF($C1174="","",IF($L1174="","",IF($L1174&gt;=$J1174,"Yes","No")))</f>
        <v/>
      </c>
      <c r="O1174" s="17">
        <f>IF($C1174="","",IF($M1174="","",IF($M1174&gt;=$J1174,"Yes","No")))</f>
        <v/>
      </c>
      <c r="P1174" s="17">
        <f>IF($C1174="","",IF($K1174="","",IF(COUNTIFS(nrES_PID,$D1174,nrES_Code,$F1174,nrES_Att,"&gt;"&amp;$K1174)=0,"Yes","No")))</f>
        <v/>
      </c>
      <c r="Q1174" s="17">
        <f>IF($C1174="","",IF($L1174="","",IF(AND($K1174=1,$L1174&lt;$J1174,COUNTIFS(nrES_PID,$D1174,nrES_Code,$F1174,nrES_Att,2)=0),"Yes","No")))</f>
        <v/>
      </c>
      <c r="R1174" s="17">
        <f>IF($C1174="","",IF($L1174="","",IF(AND($K1174=2,$L1174&lt;$J1174,COUNTIFS(nrES_PID,$D1174,nrES_Code,$F1174,nrES_Att,1)&gt;0),"Yes","No")))</f>
        <v/>
      </c>
      <c r="S1174" s="18" t="n"/>
      <c r="T1174" s="19">
        <f>IF($Q1174&lt;&gt;"Yes","",IF($S1174="","(enter date)",_xlfn.LET(_xlpm.dn,IFERROR(_xlfn.XLOOKUP($S1174,nrCDdate,nrCDnum),""),IF(_xlpm.dn="","(not a class day)",IFERROR(_xlfn.XLOOKUP(_xlpm.dn+cfgRetestClassDays,nrCDnum,nrCDdate),"")))))</f>
        <v/>
      </c>
      <c r="U1174" s="17">
        <f>IF($Q1174&lt;&gt;"Yes","",IF(COUNTIFS(nrES_PID,$D1174,nrES_Code,$F1174,nrES_Att,2)&gt;0,"Retested",IF(OR($T1174="",NOT(ISNUMBER($T1174))),"Pending",IF(TODAY()&gt;$T1174,"OVERDUE","Due "&amp;TEXT($T1174,"mm/dd")))))</f>
        <v/>
      </c>
      <c r="V1174" s="16" t="n"/>
      <c r="W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K1175=1,IF(COUNTIFS(nrES_PID,$D1175,nrES_Code,$F1175,nrES_Att,2)&gt;0,"",$L1175),IF(COUNTIFS(nrES_PID,$D1175,nrES_Code,$F1175,nrES_Att,1)=0,$L1175,IF($L1175&gt;=$J1175,cfgRetakeRecordedCap,SUMIFS(nrES_Raw,nrES_PID,$D1175,nrES_Code,$F1175,nrES_Att,1))))))</f>
        <v/>
      </c>
      <c r="N1175" s="17">
        <f>IF($C1175="","",IF($L1175="","",IF($L1175&gt;=$J1175,"Yes","No")))</f>
        <v/>
      </c>
      <c r="O1175" s="17">
        <f>IF($C1175="","",IF($M1175="","",IF($M1175&gt;=$J1175,"Yes","No")))</f>
        <v/>
      </c>
      <c r="P1175" s="17">
        <f>IF($C1175="","",IF($K1175="","",IF(COUNTIFS(nrES_PID,$D1175,nrES_Code,$F1175,nrES_Att,"&gt;"&amp;$K1175)=0,"Yes","No")))</f>
        <v/>
      </c>
      <c r="Q1175" s="17">
        <f>IF($C1175="","",IF($L1175="","",IF(AND($K1175=1,$L1175&lt;$J1175,COUNTIFS(nrES_PID,$D1175,nrES_Code,$F1175,nrES_Att,2)=0),"Yes","No")))</f>
        <v/>
      </c>
      <c r="R1175" s="17">
        <f>IF($C1175="","",IF($L1175="","",IF(AND($K1175=2,$L1175&lt;$J1175,COUNTIFS(nrES_PID,$D1175,nrES_Code,$F1175,nrES_Att,1)&gt;0),"Yes","No")))</f>
        <v/>
      </c>
      <c r="S1175" s="18" t="n"/>
      <c r="T1175" s="19">
        <f>IF($Q1175&lt;&gt;"Yes","",IF($S1175="","(enter date)",_xlfn.LET(_xlpm.dn,IFERROR(_xlfn.XLOOKUP($S1175,nrCDdate,nrCDnum),""),IF(_xlpm.dn="","(not a class day)",IFERROR(_xlfn.XLOOKUP(_xlpm.dn+cfgRetestClassDays,nrCDnum,nrCDdate),"")))))</f>
        <v/>
      </c>
      <c r="U1175" s="17">
        <f>IF($Q1175&lt;&gt;"Yes","",IF(COUNTIFS(nrES_PID,$D1175,nrES_Code,$F1175,nrES_Att,2)&gt;0,"Retested",IF(OR($T1175="",NOT(ISNUMBER($T1175))),"Pending",IF(TODAY()&gt;$T1175,"OVERDUE","Due "&amp;TEXT($T1175,"mm/dd")))))</f>
        <v/>
      </c>
      <c r="V1175" s="16" t="n"/>
      <c r="W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K1176=1,IF(COUNTIFS(nrES_PID,$D1176,nrES_Code,$F1176,nrES_Att,2)&gt;0,"",$L1176),IF(COUNTIFS(nrES_PID,$D1176,nrES_Code,$F1176,nrES_Att,1)=0,$L1176,IF($L1176&gt;=$J1176,cfgRetakeRecordedCap,SUMIFS(nrES_Raw,nrES_PID,$D1176,nrES_Code,$F1176,nrES_Att,1))))))</f>
        <v/>
      </c>
      <c r="N1176" s="17">
        <f>IF($C1176="","",IF($L1176="","",IF($L1176&gt;=$J1176,"Yes","No")))</f>
        <v/>
      </c>
      <c r="O1176" s="17">
        <f>IF($C1176="","",IF($M1176="","",IF($M1176&gt;=$J1176,"Yes","No")))</f>
        <v/>
      </c>
      <c r="P1176" s="17">
        <f>IF($C1176="","",IF($K1176="","",IF(COUNTIFS(nrES_PID,$D1176,nrES_Code,$F1176,nrES_Att,"&gt;"&amp;$K1176)=0,"Yes","No")))</f>
        <v/>
      </c>
      <c r="Q1176" s="17">
        <f>IF($C1176="","",IF($L1176="","",IF(AND($K1176=1,$L1176&lt;$J1176,COUNTIFS(nrES_PID,$D1176,nrES_Code,$F1176,nrES_Att,2)=0),"Yes","No")))</f>
        <v/>
      </c>
      <c r="R1176" s="17">
        <f>IF($C1176="","",IF($L1176="","",IF(AND($K1176=2,$L1176&lt;$J1176,COUNTIFS(nrES_PID,$D1176,nrES_Code,$F1176,nrES_Att,1)&gt;0),"Yes","No")))</f>
        <v/>
      </c>
      <c r="S1176" s="18" t="n"/>
      <c r="T1176" s="19">
        <f>IF($Q1176&lt;&gt;"Yes","",IF($S1176="","(enter date)",_xlfn.LET(_xlpm.dn,IFERROR(_xlfn.XLOOKUP($S1176,nrCDdate,nrCDnum),""),IF(_xlpm.dn="","(not a class day)",IFERROR(_xlfn.XLOOKUP(_xlpm.dn+cfgRetestClassDays,nrCDnum,nrCDdate),"")))))</f>
        <v/>
      </c>
      <c r="U1176" s="17">
        <f>IF($Q1176&lt;&gt;"Yes","",IF(COUNTIFS(nrES_PID,$D1176,nrES_Code,$F1176,nrES_Att,2)&gt;0,"Retested",IF(OR($T1176="",NOT(ISNUMBER($T1176))),"Pending",IF(TODAY()&gt;$T1176,"OVERDUE","Due "&amp;TEXT($T1176,"mm/dd")))))</f>
        <v/>
      </c>
      <c r="V1176" s="16" t="n"/>
      <c r="W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K1177=1,IF(COUNTIFS(nrES_PID,$D1177,nrES_Code,$F1177,nrES_Att,2)&gt;0,"",$L1177),IF(COUNTIFS(nrES_PID,$D1177,nrES_Code,$F1177,nrES_Att,1)=0,$L1177,IF($L1177&gt;=$J1177,cfgRetakeRecordedCap,SUMIFS(nrES_Raw,nrES_PID,$D1177,nrES_Code,$F1177,nrES_Att,1))))))</f>
        <v/>
      </c>
      <c r="N1177" s="17">
        <f>IF($C1177="","",IF($L1177="","",IF($L1177&gt;=$J1177,"Yes","No")))</f>
        <v/>
      </c>
      <c r="O1177" s="17">
        <f>IF($C1177="","",IF($M1177="","",IF($M1177&gt;=$J1177,"Yes","No")))</f>
        <v/>
      </c>
      <c r="P1177" s="17">
        <f>IF($C1177="","",IF($K1177="","",IF(COUNTIFS(nrES_PID,$D1177,nrES_Code,$F1177,nrES_Att,"&gt;"&amp;$K1177)=0,"Yes","No")))</f>
        <v/>
      </c>
      <c r="Q1177" s="17">
        <f>IF($C1177="","",IF($L1177="","",IF(AND($K1177=1,$L1177&lt;$J1177,COUNTIFS(nrES_PID,$D1177,nrES_Code,$F1177,nrES_Att,2)=0),"Yes","No")))</f>
        <v/>
      </c>
      <c r="R1177" s="17">
        <f>IF($C1177="","",IF($L1177="","",IF(AND($K1177=2,$L1177&lt;$J1177,COUNTIFS(nrES_PID,$D1177,nrES_Code,$F1177,nrES_Att,1)&gt;0),"Yes","No")))</f>
        <v/>
      </c>
      <c r="S1177" s="18" t="n"/>
      <c r="T1177" s="19">
        <f>IF($Q1177&lt;&gt;"Yes","",IF($S1177="","(enter date)",_xlfn.LET(_xlpm.dn,IFERROR(_xlfn.XLOOKUP($S1177,nrCDdate,nrCDnum),""),IF(_xlpm.dn="","(not a class day)",IFERROR(_xlfn.XLOOKUP(_xlpm.dn+cfgRetestClassDays,nrCDnum,nrCDdate),"")))))</f>
        <v/>
      </c>
      <c r="U1177" s="17">
        <f>IF($Q1177&lt;&gt;"Yes","",IF(COUNTIFS(nrES_PID,$D1177,nrES_Code,$F1177,nrES_Att,2)&gt;0,"Retested",IF(OR($T1177="",NOT(ISNUMBER($T1177))),"Pending",IF(TODAY()&gt;$T1177,"OVERDUE","Due "&amp;TEXT($T1177,"mm/dd")))))</f>
        <v/>
      </c>
      <c r="V1177" s="16" t="n"/>
      <c r="W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K1178=1,IF(COUNTIFS(nrES_PID,$D1178,nrES_Code,$F1178,nrES_Att,2)&gt;0,"",$L1178),IF(COUNTIFS(nrES_PID,$D1178,nrES_Code,$F1178,nrES_Att,1)=0,$L1178,IF($L1178&gt;=$J1178,cfgRetakeRecordedCap,SUMIFS(nrES_Raw,nrES_PID,$D1178,nrES_Code,$F1178,nrES_Att,1))))))</f>
        <v/>
      </c>
      <c r="N1178" s="17">
        <f>IF($C1178="","",IF($L1178="","",IF($L1178&gt;=$J1178,"Yes","No")))</f>
        <v/>
      </c>
      <c r="O1178" s="17">
        <f>IF($C1178="","",IF($M1178="","",IF($M1178&gt;=$J1178,"Yes","No")))</f>
        <v/>
      </c>
      <c r="P1178" s="17">
        <f>IF($C1178="","",IF($K1178="","",IF(COUNTIFS(nrES_PID,$D1178,nrES_Code,$F1178,nrES_Att,"&gt;"&amp;$K1178)=0,"Yes","No")))</f>
        <v/>
      </c>
      <c r="Q1178" s="17">
        <f>IF($C1178="","",IF($L1178="","",IF(AND($K1178=1,$L1178&lt;$J1178,COUNTIFS(nrES_PID,$D1178,nrES_Code,$F1178,nrES_Att,2)=0),"Yes","No")))</f>
        <v/>
      </c>
      <c r="R1178" s="17">
        <f>IF($C1178="","",IF($L1178="","",IF(AND($K1178=2,$L1178&lt;$J1178,COUNTIFS(nrES_PID,$D1178,nrES_Code,$F1178,nrES_Att,1)&gt;0),"Yes","No")))</f>
        <v/>
      </c>
      <c r="S1178" s="18" t="n"/>
      <c r="T1178" s="19">
        <f>IF($Q1178&lt;&gt;"Yes","",IF($S1178="","(enter date)",_xlfn.LET(_xlpm.dn,IFERROR(_xlfn.XLOOKUP($S1178,nrCDdate,nrCDnum),""),IF(_xlpm.dn="","(not a class day)",IFERROR(_xlfn.XLOOKUP(_xlpm.dn+cfgRetestClassDays,nrCDnum,nrCDdate),"")))))</f>
        <v/>
      </c>
      <c r="U1178" s="17">
        <f>IF($Q1178&lt;&gt;"Yes","",IF(COUNTIFS(nrES_PID,$D1178,nrES_Code,$F1178,nrES_Att,2)&gt;0,"Retested",IF(OR($T1178="",NOT(ISNUMBER($T1178))),"Pending",IF(TODAY()&gt;$T1178,"OVERDUE","Due "&amp;TEXT($T1178,"mm/dd")))))</f>
        <v/>
      </c>
      <c r="V1178" s="16" t="n"/>
      <c r="W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K1179=1,IF(COUNTIFS(nrES_PID,$D1179,nrES_Code,$F1179,nrES_Att,2)&gt;0,"",$L1179),IF(COUNTIFS(nrES_PID,$D1179,nrES_Code,$F1179,nrES_Att,1)=0,$L1179,IF($L1179&gt;=$J1179,cfgRetakeRecordedCap,SUMIFS(nrES_Raw,nrES_PID,$D1179,nrES_Code,$F1179,nrES_Att,1))))))</f>
        <v/>
      </c>
      <c r="N1179" s="17">
        <f>IF($C1179="","",IF($L1179="","",IF($L1179&gt;=$J1179,"Yes","No")))</f>
        <v/>
      </c>
      <c r="O1179" s="17">
        <f>IF($C1179="","",IF($M1179="","",IF($M1179&gt;=$J1179,"Yes","No")))</f>
        <v/>
      </c>
      <c r="P1179" s="17">
        <f>IF($C1179="","",IF($K1179="","",IF(COUNTIFS(nrES_PID,$D1179,nrES_Code,$F1179,nrES_Att,"&gt;"&amp;$K1179)=0,"Yes","No")))</f>
        <v/>
      </c>
      <c r="Q1179" s="17">
        <f>IF($C1179="","",IF($L1179="","",IF(AND($K1179=1,$L1179&lt;$J1179,COUNTIFS(nrES_PID,$D1179,nrES_Code,$F1179,nrES_Att,2)=0),"Yes","No")))</f>
        <v/>
      </c>
      <c r="R1179" s="17">
        <f>IF($C1179="","",IF($L1179="","",IF(AND($K1179=2,$L1179&lt;$J1179,COUNTIFS(nrES_PID,$D1179,nrES_Code,$F1179,nrES_Att,1)&gt;0),"Yes","No")))</f>
        <v/>
      </c>
      <c r="S1179" s="18" t="n"/>
      <c r="T1179" s="19">
        <f>IF($Q1179&lt;&gt;"Yes","",IF($S1179="","(enter date)",_xlfn.LET(_xlpm.dn,IFERROR(_xlfn.XLOOKUP($S1179,nrCDdate,nrCDnum),""),IF(_xlpm.dn="","(not a class day)",IFERROR(_xlfn.XLOOKUP(_xlpm.dn+cfgRetestClassDays,nrCDnum,nrCDdate),"")))))</f>
        <v/>
      </c>
      <c r="U1179" s="17">
        <f>IF($Q1179&lt;&gt;"Yes","",IF(COUNTIFS(nrES_PID,$D1179,nrES_Code,$F1179,nrES_Att,2)&gt;0,"Retested",IF(OR($T1179="",NOT(ISNUMBER($T1179))),"Pending",IF(TODAY()&gt;$T1179,"OVERDUE","Due "&amp;TEXT($T1179,"mm/dd")))))</f>
        <v/>
      </c>
      <c r="V1179" s="16" t="n"/>
      <c r="W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K1180=1,IF(COUNTIFS(nrES_PID,$D1180,nrES_Code,$F1180,nrES_Att,2)&gt;0,"",$L1180),IF(COUNTIFS(nrES_PID,$D1180,nrES_Code,$F1180,nrES_Att,1)=0,$L1180,IF($L1180&gt;=$J1180,cfgRetakeRecordedCap,SUMIFS(nrES_Raw,nrES_PID,$D1180,nrES_Code,$F1180,nrES_Att,1))))))</f>
        <v/>
      </c>
      <c r="N1180" s="17">
        <f>IF($C1180="","",IF($L1180="","",IF($L1180&gt;=$J1180,"Yes","No")))</f>
        <v/>
      </c>
      <c r="O1180" s="17">
        <f>IF($C1180="","",IF($M1180="","",IF($M1180&gt;=$J1180,"Yes","No")))</f>
        <v/>
      </c>
      <c r="P1180" s="17">
        <f>IF($C1180="","",IF($K1180="","",IF(COUNTIFS(nrES_PID,$D1180,nrES_Code,$F1180,nrES_Att,"&gt;"&amp;$K1180)=0,"Yes","No")))</f>
        <v/>
      </c>
      <c r="Q1180" s="17">
        <f>IF($C1180="","",IF($L1180="","",IF(AND($K1180=1,$L1180&lt;$J1180,COUNTIFS(nrES_PID,$D1180,nrES_Code,$F1180,nrES_Att,2)=0),"Yes","No")))</f>
        <v/>
      </c>
      <c r="R1180" s="17">
        <f>IF($C1180="","",IF($L1180="","",IF(AND($K1180=2,$L1180&lt;$J1180,COUNTIFS(nrES_PID,$D1180,nrES_Code,$F1180,nrES_Att,1)&gt;0),"Yes","No")))</f>
        <v/>
      </c>
      <c r="S1180" s="18" t="n"/>
      <c r="T1180" s="19">
        <f>IF($Q1180&lt;&gt;"Yes","",IF($S1180="","(enter date)",_xlfn.LET(_xlpm.dn,IFERROR(_xlfn.XLOOKUP($S1180,nrCDdate,nrCDnum),""),IF(_xlpm.dn="","(not a class day)",IFERROR(_xlfn.XLOOKUP(_xlpm.dn+cfgRetestClassDays,nrCDnum,nrCDdate),"")))))</f>
        <v/>
      </c>
      <c r="U1180" s="17">
        <f>IF($Q1180&lt;&gt;"Yes","",IF(COUNTIFS(nrES_PID,$D1180,nrES_Code,$F1180,nrES_Att,2)&gt;0,"Retested",IF(OR($T1180="",NOT(ISNUMBER($T1180))),"Pending",IF(TODAY()&gt;$T1180,"OVERDUE","Due "&amp;TEXT($T1180,"mm/dd")))))</f>
        <v/>
      </c>
      <c r="V1180" s="16" t="n"/>
      <c r="W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K1181=1,IF(COUNTIFS(nrES_PID,$D1181,nrES_Code,$F1181,nrES_Att,2)&gt;0,"",$L1181),IF(COUNTIFS(nrES_PID,$D1181,nrES_Code,$F1181,nrES_Att,1)=0,$L1181,IF($L1181&gt;=$J1181,cfgRetakeRecordedCap,SUMIFS(nrES_Raw,nrES_PID,$D1181,nrES_Code,$F1181,nrES_Att,1))))))</f>
        <v/>
      </c>
      <c r="N1181" s="17">
        <f>IF($C1181="","",IF($L1181="","",IF($L1181&gt;=$J1181,"Yes","No")))</f>
        <v/>
      </c>
      <c r="O1181" s="17">
        <f>IF($C1181="","",IF($M1181="","",IF($M1181&gt;=$J1181,"Yes","No")))</f>
        <v/>
      </c>
      <c r="P1181" s="17">
        <f>IF($C1181="","",IF($K1181="","",IF(COUNTIFS(nrES_PID,$D1181,nrES_Code,$F1181,nrES_Att,"&gt;"&amp;$K1181)=0,"Yes","No")))</f>
        <v/>
      </c>
      <c r="Q1181" s="17">
        <f>IF($C1181="","",IF($L1181="","",IF(AND($K1181=1,$L1181&lt;$J1181,COUNTIFS(nrES_PID,$D1181,nrES_Code,$F1181,nrES_Att,2)=0),"Yes","No")))</f>
        <v/>
      </c>
      <c r="R1181" s="17">
        <f>IF($C1181="","",IF($L1181="","",IF(AND($K1181=2,$L1181&lt;$J1181,COUNTIFS(nrES_PID,$D1181,nrES_Code,$F1181,nrES_Att,1)&gt;0),"Yes","No")))</f>
        <v/>
      </c>
      <c r="S1181" s="18" t="n"/>
      <c r="T1181" s="19">
        <f>IF($Q1181&lt;&gt;"Yes","",IF($S1181="","(enter date)",_xlfn.LET(_xlpm.dn,IFERROR(_xlfn.XLOOKUP($S1181,nrCDdate,nrCDnum),""),IF(_xlpm.dn="","(not a class day)",IFERROR(_xlfn.XLOOKUP(_xlpm.dn+cfgRetestClassDays,nrCDnum,nrCDdate),"")))))</f>
        <v/>
      </c>
      <c r="U1181" s="17">
        <f>IF($Q1181&lt;&gt;"Yes","",IF(COUNTIFS(nrES_PID,$D1181,nrES_Code,$F1181,nrES_Att,2)&gt;0,"Retested",IF(OR($T1181="",NOT(ISNUMBER($T1181))),"Pending",IF(TODAY()&gt;$T1181,"OVERDUE","Due "&amp;TEXT($T1181,"mm/dd")))))</f>
        <v/>
      </c>
      <c r="V1181" s="16" t="n"/>
      <c r="W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K1182=1,IF(COUNTIFS(nrES_PID,$D1182,nrES_Code,$F1182,nrES_Att,2)&gt;0,"",$L1182),IF(COUNTIFS(nrES_PID,$D1182,nrES_Code,$F1182,nrES_Att,1)=0,$L1182,IF($L1182&gt;=$J1182,cfgRetakeRecordedCap,SUMIFS(nrES_Raw,nrES_PID,$D1182,nrES_Code,$F1182,nrES_Att,1))))))</f>
        <v/>
      </c>
      <c r="N1182" s="17">
        <f>IF($C1182="","",IF($L1182="","",IF($L1182&gt;=$J1182,"Yes","No")))</f>
        <v/>
      </c>
      <c r="O1182" s="17">
        <f>IF($C1182="","",IF($M1182="","",IF($M1182&gt;=$J1182,"Yes","No")))</f>
        <v/>
      </c>
      <c r="P1182" s="17">
        <f>IF($C1182="","",IF($K1182="","",IF(COUNTIFS(nrES_PID,$D1182,nrES_Code,$F1182,nrES_Att,"&gt;"&amp;$K1182)=0,"Yes","No")))</f>
        <v/>
      </c>
      <c r="Q1182" s="17">
        <f>IF($C1182="","",IF($L1182="","",IF(AND($K1182=1,$L1182&lt;$J1182,COUNTIFS(nrES_PID,$D1182,nrES_Code,$F1182,nrES_Att,2)=0),"Yes","No")))</f>
        <v/>
      </c>
      <c r="R1182" s="17">
        <f>IF($C1182="","",IF($L1182="","",IF(AND($K1182=2,$L1182&lt;$J1182,COUNTIFS(nrES_PID,$D1182,nrES_Code,$F1182,nrES_Att,1)&gt;0),"Yes","No")))</f>
        <v/>
      </c>
      <c r="S1182" s="18" t="n"/>
      <c r="T1182" s="19">
        <f>IF($Q1182&lt;&gt;"Yes","",IF($S1182="","(enter date)",_xlfn.LET(_xlpm.dn,IFERROR(_xlfn.XLOOKUP($S1182,nrCDdate,nrCDnum),""),IF(_xlpm.dn="","(not a class day)",IFERROR(_xlfn.XLOOKUP(_xlpm.dn+cfgRetestClassDays,nrCDnum,nrCDdate),"")))))</f>
        <v/>
      </c>
      <c r="U1182" s="17">
        <f>IF($Q1182&lt;&gt;"Yes","",IF(COUNTIFS(nrES_PID,$D1182,nrES_Code,$F1182,nrES_Att,2)&gt;0,"Retested",IF(OR($T1182="",NOT(ISNUMBER($T1182))),"Pending",IF(TODAY()&gt;$T1182,"OVERDUE","Due "&amp;TEXT($T1182,"mm/dd")))))</f>
        <v/>
      </c>
      <c r="V1182" s="16" t="n"/>
      <c r="W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K1183=1,IF(COUNTIFS(nrES_PID,$D1183,nrES_Code,$F1183,nrES_Att,2)&gt;0,"",$L1183),IF(COUNTIFS(nrES_PID,$D1183,nrES_Code,$F1183,nrES_Att,1)=0,$L1183,IF($L1183&gt;=$J1183,cfgRetakeRecordedCap,SUMIFS(nrES_Raw,nrES_PID,$D1183,nrES_Code,$F1183,nrES_Att,1))))))</f>
        <v/>
      </c>
      <c r="N1183" s="17">
        <f>IF($C1183="","",IF($L1183="","",IF($L1183&gt;=$J1183,"Yes","No")))</f>
        <v/>
      </c>
      <c r="O1183" s="17">
        <f>IF($C1183="","",IF($M1183="","",IF($M1183&gt;=$J1183,"Yes","No")))</f>
        <v/>
      </c>
      <c r="P1183" s="17">
        <f>IF($C1183="","",IF($K1183="","",IF(COUNTIFS(nrES_PID,$D1183,nrES_Code,$F1183,nrES_Att,"&gt;"&amp;$K1183)=0,"Yes","No")))</f>
        <v/>
      </c>
      <c r="Q1183" s="17">
        <f>IF($C1183="","",IF($L1183="","",IF(AND($K1183=1,$L1183&lt;$J1183,COUNTIFS(nrES_PID,$D1183,nrES_Code,$F1183,nrES_Att,2)=0),"Yes","No")))</f>
        <v/>
      </c>
      <c r="R1183" s="17">
        <f>IF($C1183="","",IF($L1183="","",IF(AND($K1183=2,$L1183&lt;$J1183,COUNTIFS(nrES_PID,$D1183,nrES_Code,$F1183,nrES_Att,1)&gt;0),"Yes","No")))</f>
        <v/>
      </c>
      <c r="S1183" s="18" t="n"/>
      <c r="T1183" s="19">
        <f>IF($Q1183&lt;&gt;"Yes","",IF($S1183="","(enter date)",_xlfn.LET(_xlpm.dn,IFERROR(_xlfn.XLOOKUP($S1183,nrCDdate,nrCDnum),""),IF(_xlpm.dn="","(not a class day)",IFERROR(_xlfn.XLOOKUP(_xlpm.dn+cfgRetestClassDays,nrCDnum,nrCDdate),"")))))</f>
        <v/>
      </c>
      <c r="U1183" s="17">
        <f>IF($Q1183&lt;&gt;"Yes","",IF(COUNTIFS(nrES_PID,$D1183,nrES_Code,$F1183,nrES_Att,2)&gt;0,"Retested",IF(OR($T1183="",NOT(ISNUMBER($T1183))),"Pending",IF(TODAY()&gt;$T1183,"OVERDUE","Due "&amp;TEXT($T1183,"mm/dd")))))</f>
        <v/>
      </c>
      <c r="V1183" s="16" t="n"/>
      <c r="W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K1184=1,IF(COUNTIFS(nrES_PID,$D1184,nrES_Code,$F1184,nrES_Att,2)&gt;0,"",$L1184),IF(COUNTIFS(nrES_PID,$D1184,nrES_Code,$F1184,nrES_Att,1)=0,$L1184,IF($L1184&gt;=$J1184,cfgRetakeRecordedCap,SUMIFS(nrES_Raw,nrES_PID,$D1184,nrES_Code,$F1184,nrES_Att,1))))))</f>
        <v/>
      </c>
      <c r="N1184" s="17">
        <f>IF($C1184="","",IF($L1184="","",IF($L1184&gt;=$J1184,"Yes","No")))</f>
        <v/>
      </c>
      <c r="O1184" s="17">
        <f>IF($C1184="","",IF($M1184="","",IF($M1184&gt;=$J1184,"Yes","No")))</f>
        <v/>
      </c>
      <c r="P1184" s="17">
        <f>IF($C1184="","",IF($K1184="","",IF(COUNTIFS(nrES_PID,$D1184,nrES_Code,$F1184,nrES_Att,"&gt;"&amp;$K1184)=0,"Yes","No")))</f>
        <v/>
      </c>
      <c r="Q1184" s="17">
        <f>IF($C1184="","",IF($L1184="","",IF(AND($K1184=1,$L1184&lt;$J1184,COUNTIFS(nrES_PID,$D1184,nrES_Code,$F1184,nrES_Att,2)=0),"Yes","No")))</f>
        <v/>
      </c>
      <c r="R1184" s="17">
        <f>IF($C1184="","",IF($L1184="","",IF(AND($K1184=2,$L1184&lt;$J1184,COUNTIFS(nrES_PID,$D1184,nrES_Code,$F1184,nrES_Att,1)&gt;0),"Yes","No")))</f>
        <v/>
      </c>
      <c r="S1184" s="18" t="n"/>
      <c r="T1184" s="19">
        <f>IF($Q1184&lt;&gt;"Yes","",IF($S1184="","(enter date)",_xlfn.LET(_xlpm.dn,IFERROR(_xlfn.XLOOKUP($S1184,nrCDdate,nrCDnum),""),IF(_xlpm.dn="","(not a class day)",IFERROR(_xlfn.XLOOKUP(_xlpm.dn+cfgRetestClassDays,nrCDnum,nrCDdate),"")))))</f>
        <v/>
      </c>
      <c r="U1184" s="17">
        <f>IF($Q1184&lt;&gt;"Yes","",IF(COUNTIFS(nrES_PID,$D1184,nrES_Code,$F1184,nrES_Att,2)&gt;0,"Retested",IF(OR($T1184="",NOT(ISNUMBER($T1184))),"Pending",IF(TODAY()&gt;$T1184,"OVERDUE","Due "&amp;TEXT($T1184,"mm/dd")))))</f>
        <v/>
      </c>
      <c r="V1184" s="16" t="n"/>
      <c r="W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K1185=1,IF(COUNTIFS(nrES_PID,$D1185,nrES_Code,$F1185,nrES_Att,2)&gt;0,"",$L1185),IF(COUNTIFS(nrES_PID,$D1185,nrES_Code,$F1185,nrES_Att,1)=0,$L1185,IF($L1185&gt;=$J1185,cfgRetakeRecordedCap,SUMIFS(nrES_Raw,nrES_PID,$D1185,nrES_Code,$F1185,nrES_Att,1))))))</f>
        <v/>
      </c>
      <c r="N1185" s="17">
        <f>IF($C1185="","",IF($L1185="","",IF($L1185&gt;=$J1185,"Yes","No")))</f>
        <v/>
      </c>
      <c r="O1185" s="17">
        <f>IF($C1185="","",IF($M1185="","",IF($M1185&gt;=$J1185,"Yes","No")))</f>
        <v/>
      </c>
      <c r="P1185" s="17">
        <f>IF($C1185="","",IF($K1185="","",IF(COUNTIFS(nrES_PID,$D1185,nrES_Code,$F1185,nrES_Att,"&gt;"&amp;$K1185)=0,"Yes","No")))</f>
        <v/>
      </c>
      <c r="Q1185" s="17">
        <f>IF($C1185="","",IF($L1185="","",IF(AND($K1185=1,$L1185&lt;$J1185,COUNTIFS(nrES_PID,$D1185,nrES_Code,$F1185,nrES_Att,2)=0),"Yes","No")))</f>
        <v/>
      </c>
      <c r="R1185" s="17">
        <f>IF($C1185="","",IF($L1185="","",IF(AND($K1185=2,$L1185&lt;$J1185,COUNTIFS(nrES_PID,$D1185,nrES_Code,$F1185,nrES_Att,1)&gt;0),"Yes","No")))</f>
        <v/>
      </c>
      <c r="S1185" s="18" t="n"/>
      <c r="T1185" s="19">
        <f>IF($Q1185&lt;&gt;"Yes","",IF($S1185="","(enter date)",_xlfn.LET(_xlpm.dn,IFERROR(_xlfn.XLOOKUP($S1185,nrCDdate,nrCDnum),""),IF(_xlpm.dn="","(not a class day)",IFERROR(_xlfn.XLOOKUP(_xlpm.dn+cfgRetestClassDays,nrCDnum,nrCDdate),"")))))</f>
        <v/>
      </c>
      <c r="U1185" s="17">
        <f>IF($Q1185&lt;&gt;"Yes","",IF(COUNTIFS(nrES_PID,$D1185,nrES_Code,$F1185,nrES_Att,2)&gt;0,"Retested",IF(OR($T1185="",NOT(ISNUMBER($T1185))),"Pending",IF(TODAY()&gt;$T1185,"OVERDUE","Due "&amp;TEXT($T1185,"mm/dd")))))</f>
        <v/>
      </c>
      <c r="V1185" s="16" t="n"/>
      <c r="W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K1186=1,IF(COUNTIFS(nrES_PID,$D1186,nrES_Code,$F1186,nrES_Att,2)&gt;0,"",$L1186),IF(COUNTIFS(nrES_PID,$D1186,nrES_Code,$F1186,nrES_Att,1)=0,$L1186,IF($L1186&gt;=$J1186,cfgRetakeRecordedCap,SUMIFS(nrES_Raw,nrES_PID,$D1186,nrES_Code,$F1186,nrES_Att,1))))))</f>
        <v/>
      </c>
      <c r="N1186" s="17">
        <f>IF($C1186="","",IF($L1186="","",IF($L1186&gt;=$J1186,"Yes","No")))</f>
        <v/>
      </c>
      <c r="O1186" s="17">
        <f>IF($C1186="","",IF($M1186="","",IF($M1186&gt;=$J1186,"Yes","No")))</f>
        <v/>
      </c>
      <c r="P1186" s="17">
        <f>IF($C1186="","",IF($K1186="","",IF(COUNTIFS(nrES_PID,$D1186,nrES_Code,$F1186,nrES_Att,"&gt;"&amp;$K1186)=0,"Yes","No")))</f>
        <v/>
      </c>
      <c r="Q1186" s="17">
        <f>IF($C1186="","",IF($L1186="","",IF(AND($K1186=1,$L1186&lt;$J1186,COUNTIFS(nrES_PID,$D1186,nrES_Code,$F1186,nrES_Att,2)=0),"Yes","No")))</f>
        <v/>
      </c>
      <c r="R1186" s="17">
        <f>IF($C1186="","",IF($L1186="","",IF(AND($K1186=2,$L1186&lt;$J1186,COUNTIFS(nrES_PID,$D1186,nrES_Code,$F1186,nrES_Att,1)&gt;0),"Yes","No")))</f>
        <v/>
      </c>
      <c r="S1186" s="18" t="n"/>
      <c r="T1186" s="19">
        <f>IF($Q1186&lt;&gt;"Yes","",IF($S1186="","(enter date)",_xlfn.LET(_xlpm.dn,IFERROR(_xlfn.XLOOKUP($S1186,nrCDdate,nrCDnum),""),IF(_xlpm.dn="","(not a class day)",IFERROR(_xlfn.XLOOKUP(_xlpm.dn+cfgRetestClassDays,nrCDnum,nrCDdate),"")))))</f>
        <v/>
      </c>
      <c r="U1186" s="17">
        <f>IF($Q1186&lt;&gt;"Yes","",IF(COUNTIFS(nrES_PID,$D1186,nrES_Code,$F1186,nrES_Att,2)&gt;0,"Retested",IF(OR($T1186="",NOT(ISNUMBER($T1186))),"Pending",IF(TODAY()&gt;$T1186,"OVERDUE","Due "&amp;TEXT($T1186,"mm/dd")))))</f>
        <v/>
      </c>
      <c r="V1186" s="16" t="n"/>
      <c r="W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K1187=1,IF(COUNTIFS(nrES_PID,$D1187,nrES_Code,$F1187,nrES_Att,2)&gt;0,"",$L1187),IF(COUNTIFS(nrES_PID,$D1187,nrES_Code,$F1187,nrES_Att,1)=0,$L1187,IF($L1187&gt;=$J1187,cfgRetakeRecordedCap,SUMIFS(nrES_Raw,nrES_PID,$D1187,nrES_Code,$F1187,nrES_Att,1))))))</f>
        <v/>
      </c>
      <c r="N1187" s="17">
        <f>IF($C1187="","",IF($L1187="","",IF($L1187&gt;=$J1187,"Yes","No")))</f>
        <v/>
      </c>
      <c r="O1187" s="17">
        <f>IF($C1187="","",IF($M1187="","",IF($M1187&gt;=$J1187,"Yes","No")))</f>
        <v/>
      </c>
      <c r="P1187" s="17">
        <f>IF($C1187="","",IF($K1187="","",IF(COUNTIFS(nrES_PID,$D1187,nrES_Code,$F1187,nrES_Att,"&gt;"&amp;$K1187)=0,"Yes","No")))</f>
        <v/>
      </c>
      <c r="Q1187" s="17">
        <f>IF($C1187="","",IF($L1187="","",IF(AND($K1187=1,$L1187&lt;$J1187,COUNTIFS(nrES_PID,$D1187,nrES_Code,$F1187,nrES_Att,2)=0),"Yes","No")))</f>
        <v/>
      </c>
      <c r="R1187" s="17">
        <f>IF($C1187="","",IF($L1187="","",IF(AND($K1187=2,$L1187&lt;$J1187,COUNTIFS(nrES_PID,$D1187,nrES_Code,$F1187,nrES_Att,1)&gt;0),"Yes","No")))</f>
        <v/>
      </c>
      <c r="S1187" s="18" t="n"/>
      <c r="T1187" s="19">
        <f>IF($Q1187&lt;&gt;"Yes","",IF($S1187="","(enter date)",_xlfn.LET(_xlpm.dn,IFERROR(_xlfn.XLOOKUP($S1187,nrCDdate,nrCDnum),""),IF(_xlpm.dn="","(not a class day)",IFERROR(_xlfn.XLOOKUP(_xlpm.dn+cfgRetestClassDays,nrCDnum,nrCDdate),"")))))</f>
        <v/>
      </c>
      <c r="U1187" s="17">
        <f>IF($Q1187&lt;&gt;"Yes","",IF(COUNTIFS(nrES_PID,$D1187,nrES_Code,$F1187,nrES_Att,2)&gt;0,"Retested",IF(OR($T1187="",NOT(ISNUMBER($T1187))),"Pending",IF(TODAY()&gt;$T1187,"OVERDUE","Due "&amp;TEXT($T1187,"mm/dd")))))</f>
        <v/>
      </c>
      <c r="V1187" s="16" t="n"/>
      <c r="W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K1188=1,IF(COUNTIFS(nrES_PID,$D1188,nrES_Code,$F1188,nrES_Att,2)&gt;0,"",$L1188),IF(COUNTIFS(nrES_PID,$D1188,nrES_Code,$F1188,nrES_Att,1)=0,$L1188,IF($L1188&gt;=$J1188,cfgRetakeRecordedCap,SUMIFS(nrES_Raw,nrES_PID,$D1188,nrES_Code,$F1188,nrES_Att,1))))))</f>
        <v/>
      </c>
      <c r="N1188" s="17">
        <f>IF($C1188="","",IF($L1188="","",IF($L1188&gt;=$J1188,"Yes","No")))</f>
        <v/>
      </c>
      <c r="O1188" s="17">
        <f>IF($C1188="","",IF($M1188="","",IF($M1188&gt;=$J1188,"Yes","No")))</f>
        <v/>
      </c>
      <c r="P1188" s="17">
        <f>IF($C1188="","",IF($K1188="","",IF(COUNTIFS(nrES_PID,$D1188,nrES_Code,$F1188,nrES_Att,"&gt;"&amp;$K1188)=0,"Yes","No")))</f>
        <v/>
      </c>
      <c r="Q1188" s="17">
        <f>IF($C1188="","",IF($L1188="","",IF(AND($K1188=1,$L1188&lt;$J1188,COUNTIFS(nrES_PID,$D1188,nrES_Code,$F1188,nrES_Att,2)=0),"Yes","No")))</f>
        <v/>
      </c>
      <c r="R1188" s="17">
        <f>IF($C1188="","",IF($L1188="","",IF(AND($K1188=2,$L1188&lt;$J1188,COUNTIFS(nrES_PID,$D1188,nrES_Code,$F1188,nrES_Att,1)&gt;0),"Yes","No")))</f>
        <v/>
      </c>
      <c r="S1188" s="18" t="n"/>
      <c r="T1188" s="19">
        <f>IF($Q1188&lt;&gt;"Yes","",IF($S1188="","(enter date)",_xlfn.LET(_xlpm.dn,IFERROR(_xlfn.XLOOKUP($S1188,nrCDdate,nrCDnum),""),IF(_xlpm.dn="","(not a class day)",IFERROR(_xlfn.XLOOKUP(_xlpm.dn+cfgRetestClassDays,nrCDnum,nrCDdate),"")))))</f>
        <v/>
      </c>
      <c r="U1188" s="17">
        <f>IF($Q1188&lt;&gt;"Yes","",IF(COUNTIFS(nrES_PID,$D1188,nrES_Code,$F1188,nrES_Att,2)&gt;0,"Retested",IF(OR($T1188="",NOT(ISNUMBER($T1188))),"Pending",IF(TODAY()&gt;$T1188,"OVERDUE","Due "&amp;TEXT($T1188,"mm/dd")))))</f>
        <v/>
      </c>
      <c r="V1188" s="16" t="n"/>
      <c r="W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K1189=1,IF(COUNTIFS(nrES_PID,$D1189,nrES_Code,$F1189,nrES_Att,2)&gt;0,"",$L1189),IF(COUNTIFS(nrES_PID,$D1189,nrES_Code,$F1189,nrES_Att,1)=0,$L1189,IF($L1189&gt;=$J1189,cfgRetakeRecordedCap,SUMIFS(nrES_Raw,nrES_PID,$D1189,nrES_Code,$F1189,nrES_Att,1))))))</f>
        <v/>
      </c>
      <c r="N1189" s="17">
        <f>IF($C1189="","",IF($L1189="","",IF($L1189&gt;=$J1189,"Yes","No")))</f>
        <v/>
      </c>
      <c r="O1189" s="17">
        <f>IF($C1189="","",IF($M1189="","",IF($M1189&gt;=$J1189,"Yes","No")))</f>
        <v/>
      </c>
      <c r="P1189" s="17">
        <f>IF($C1189="","",IF($K1189="","",IF(COUNTIFS(nrES_PID,$D1189,nrES_Code,$F1189,nrES_Att,"&gt;"&amp;$K1189)=0,"Yes","No")))</f>
        <v/>
      </c>
      <c r="Q1189" s="17">
        <f>IF($C1189="","",IF($L1189="","",IF(AND($K1189=1,$L1189&lt;$J1189,COUNTIFS(nrES_PID,$D1189,nrES_Code,$F1189,nrES_Att,2)=0),"Yes","No")))</f>
        <v/>
      </c>
      <c r="R1189" s="17">
        <f>IF($C1189="","",IF($L1189="","",IF(AND($K1189=2,$L1189&lt;$J1189,COUNTIFS(nrES_PID,$D1189,nrES_Code,$F1189,nrES_Att,1)&gt;0),"Yes","No")))</f>
        <v/>
      </c>
      <c r="S1189" s="18" t="n"/>
      <c r="T1189" s="19">
        <f>IF($Q1189&lt;&gt;"Yes","",IF($S1189="","(enter date)",_xlfn.LET(_xlpm.dn,IFERROR(_xlfn.XLOOKUP($S1189,nrCDdate,nrCDnum),""),IF(_xlpm.dn="","(not a class day)",IFERROR(_xlfn.XLOOKUP(_xlpm.dn+cfgRetestClassDays,nrCDnum,nrCDdate),"")))))</f>
        <v/>
      </c>
      <c r="U1189" s="17">
        <f>IF($Q1189&lt;&gt;"Yes","",IF(COUNTIFS(nrES_PID,$D1189,nrES_Code,$F1189,nrES_Att,2)&gt;0,"Retested",IF(OR($T1189="",NOT(ISNUMBER($T1189))),"Pending",IF(TODAY()&gt;$T1189,"OVERDUE","Due "&amp;TEXT($T1189,"mm/dd")))))</f>
        <v/>
      </c>
      <c r="V1189" s="16" t="n"/>
      <c r="W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K1190=1,IF(COUNTIFS(nrES_PID,$D1190,nrES_Code,$F1190,nrES_Att,2)&gt;0,"",$L1190),IF(COUNTIFS(nrES_PID,$D1190,nrES_Code,$F1190,nrES_Att,1)=0,$L1190,IF($L1190&gt;=$J1190,cfgRetakeRecordedCap,SUMIFS(nrES_Raw,nrES_PID,$D1190,nrES_Code,$F1190,nrES_Att,1))))))</f>
        <v/>
      </c>
      <c r="N1190" s="17">
        <f>IF($C1190="","",IF($L1190="","",IF($L1190&gt;=$J1190,"Yes","No")))</f>
        <v/>
      </c>
      <c r="O1190" s="17">
        <f>IF($C1190="","",IF($M1190="","",IF($M1190&gt;=$J1190,"Yes","No")))</f>
        <v/>
      </c>
      <c r="P1190" s="17">
        <f>IF($C1190="","",IF($K1190="","",IF(COUNTIFS(nrES_PID,$D1190,nrES_Code,$F1190,nrES_Att,"&gt;"&amp;$K1190)=0,"Yes","No")))</f>
        <v/>
      </c>
      <c r="Q1190" s="17">
        <f>IF($C1190="","",IF($L1190="","",IF(AND($K1190=1,$L1190&lt;$J1190,COUNTIFS(nrES_PID,$D1190,nrES_Code,$F1190,nrES_Att,2)=0),"Yes","No")))</f>
        <v/>
      </c>
      <c r="R1190" s="17">
        <f>IF($C1190="","",IF($L1190="","",IF(AND($K1190=2,$L1190&lt;$J1190,COUNTIFS(nrES_PID,$D1190,nrES_Code,$F1190,nrES_Att,1)&gt;0),"Yes","No")))</f>
        <v/>
      </c>
      <c r="S1190" s="18" t="n"/>
      <c r="T1190" s="19">
        <f>IF($Q1190&lt;&gt;"Yes","",IF($S1190="","(enter date)",_xlfn.LET(_xlpm.dn,IFERROR(_xlfn.XLOOKUP($S1190,nrCDdate,nrCDnum),""),IF(_xlpm.dn="","(not a class day)",IFERROR(_xlfn.XLOOKUP(_xlpm.dn+cfgRetestClassDays,nrCDnum,nrCDdate),"")))))</f>
        <v/>
      </c>
      <c r="U1190" s="17">
        <f>IF($Q1190&lt;&gt;"Yes","",IF(COUNTIFS(nrES_PID,$D1190,nrES_Code,$F1190,nrES_Att,2)&gt;0,"Retested",IF(OR($T1190="",NOT(ISNUMBER($T1190))),"Pending",IF(TODAY()&gt;$T1190,"OVERDUE","Due "&amp;TEXT($T1190,"mm/dd")))))</f>
        <v/>
      </c>
      <c r="V1190" s="16" t="n"/>
      <c r="W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K1191=1,IF(COUNTIFS(nrES_PID,$D1191,nrES_Code,$F1191,nrES_Att,2)&gt;0,"",$L1191),IF(COUNTIFS(nrES_PID,$D1191,nrES_Code,$F1191,nrES_Att,1)=0,$L1191,IF($L1191&gt;=$J1191,cfgRetakeRecordedCap,SUMIFS(nrES_Raw,nrES_PID,$D1191,nrES_Code,$F1191,nrES_Att,1))))))</f>
        <v/>
      </c>
      <c r="N1191" s="17">
        <f>IF($C1191="","",IF($L1191="","",IF($L1191&gt;=$J1191,"Yes","No")))</f>
        <v/>
      </c>
      <c r="O1191" s="17">
        <f>IF($C1191="","",IF($M1191="","",IF($M1191&gt;=$J1191,"Yes","No")))</f>
        <v/>
      </c>
      <c r="P1191" s="17">
        <f>IF($C1191="","",IF($K1191="","",IF(COUNTIFS(nrES_PID,$D1191,nrES_Code,$F1191,nrES_Att,"&gt;"&amp;$K1191)=0,"Yes","No")))</f>
        <v/>
      </c>
      <c r="Q1191" s="17">
        <f>IF($C1191="","",IF($L1191="","",IF(AND($K1191=1,$L1191&lt;$J1191,COUNTIFS(nrES_PID,$D1191,nrES_Code,$F1191,nrES_Att,2)=0),"Yes","No")))</f>
        <v/>
      </c>
      <c r="R1191" s="17">
        <f>IF($C1191="","",IF($L1191="","",IF(AND($K1191=2,$L1191&lt;$J1191,COUNTIFS(nrES_PID,$D1191,nrES_Code,$F1191,nrES_Att,1)&gt;0),"Yes","No")))</f>
        <v/>
      </c>
      <c r="S1191" s="18" t="n"/>
      <c r="T1191" s="19">
        <f>IF($Q1191&lt;&gt;"Yes","",IF($S1191="","(enter date)",_xlfn.LET(_xlpm.dn,IFERROR(_xlfn.XLOOKUP($S1191,nrCDdate,nrCDnum),""),IF(_xlpm.dn="","(not a class day)",IFERROR(_xlfn.XLOOKUP(_xlpm.dn+cfgRetestClassDays,nrCDnum,nrCDdate),"")))))</f>
        <v/>
      </c>
      <c r="U1191" s="17">
        <f>IF($Q1191&lt;&gt;"Yes","",IF(COUNTIFS(nrES_PID,$D1191,nrES_Code,$F1191,nrES_Att,2)&gt;0,"Retested",IF(OR($T1191="",NOT(ISNUMBER($T1191))),"Pending",IF(TODAY()&gt;$T1191,"OVERDUE","Due "&amp;TEXT($T1191,"mm/dd")))))</f>
        <v/>
      </c>
      <c r="V1191" s="16" t="n"/>
      <c r="W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K1192=1,IF(COUNTIFS(nrES_PID,$D1192,nrES_Code,$F1192,nrES_Att,2)&gt;0,"",$L1192),IF(COUNTIFS(nrES_PID,$D1192,nrES_Code,$F1192,nrES_Att,1)=0,$L1192,IF($L1192&gt;=$J1192,cfgRetakeRecordedCap,SUMIFS(nrES_Raw,nrES_PID,$D1192,nrES_Code,$F1192,nrES_Att,1))))))</f>
        <v/>
      </c>
      <c r="N1192" s="17">
        <f>IF($C1192="","",IF($L1192="","",IF($L1192&gt;=$J1192,"Yes","No")))</f>
        <v/>
      </c>
      <c r="O1192" s="17">
        <f>IF($C1192="","",IF($M1192="","",IF($M1192&gt;=$J1192,"Yes","No")))</f>
        <v/>
      </c>
      <c r="P1192" s="17">
        <f>IF($C1192="","",IF($K1192="","",IF(COUNTIFS(nrES_PID,$D1192,nrES_Code,$F1192,nrES_Att,"&gt;"&amp;$K1192)=0,"Yes","No")))</f>
        <v/>
      </c>
      <c r="Q1192" s="17">
        <f>IF($C1192="","",IF($L1192="","",IF(AND($K1192=1,$L1192&lt;$J1192,COUNTIFS(nrES_PID,$D1192,nrES_Code,$F1192,nrES_Att,2)=0),"Yes","No")))</f>
        <v/>
      </c>
      <c r="R1192" s="17">
        <f>IF($C1192="","",IF($L1192="","",IF(AND($K1192=2,$L1192&lt;$J1192,COUNTIFS(nrES_PID,$D1192,nrES_Code,$F1192,nrES_Att,1)&gt;0),"Yes","No")))</f>
        <v/>
      </c>
      <c r="S1192" s="18" t="n"/>
      <c r="T1192" s="19">
        <f>IF($Q1192&lt;&gt;"Yes","",IF($S1192="","(enter date)",_xlfn.LET(_xlpm.dn,IFERROR(_xlfn.XLOOKUP($S1192,nrCDdate,nrCDnum),""),IF(_xlpm.dn="","(not a class day)",IFERROR(_xlfn.XLOOKUP(_xlpm.dn+cfgRetestClassDays,nrCDnum,nrCDdate),"")))))</f>
        <v/>
      </c>
      <c r="U1192" s="17">
        <f>IF($Q1192&lt;&gt;"Yes","",IF(COUNTIFS(nrES_PID,$D1192,nrES_Code,$F1192,nrES_Att,2)&gt;0,"Retested",IF(OR($T1192="",NOT(ISNUMBER($T1192))),"Pending",IF(TODAY()&gt;$T1192,"OVERDUE","Due "&amp;TEXT($T1192,"mm/dd")))))</f>
        <v/>
      </c>
      <c r="V1192" s="16" t="n"/>
      <c r="W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K1193=1,IF(COUNTIFS(nrES_PID,$D1193,nrES_Code,$F1193,nrES_Att,2)&gt;0,"",$L1193),IF(COUNTIFS(nrES_PID,$D1193,nrES_Code,$F1193,nrES_Att,1)=0,$L1193,IF($L1193&gt;=$J1193,cfgRetakeRecordedCap,SUMIFS(nrES_Raw,nrES_PID,$D1193,nrES_Code,$F1193,nrES_Att,1))))))</f>
        <v/>
      </c>
      <c r="N1193" s="17">
        <f>IF($C1193="","",IF($L1193="","",IF($L1193&gt;=$J1193,"Yes","No")))</f>
        <v/>
      </c>
      <c r="O1193" s="17">
        <f>IF($C1193="","",IF($M1193="","",IF($M1193&gt;=$J1193,"Yes","No")))</f>
        <v/>
      </c>
      <c r="P1193" s="17">
        <f>IF($C1193="","",IF($K1193="","",IF(COUNTIFS(nrES_PID,$D1193,nrES_Code,$F1193,nrES_Att,"&gt;"&amp;$K1193)=0,"Yes","No")))</f>
        <v/>
      </c>
      <c r="Q1193" s="17">
        <f>IF($C1193="","",IF($L1193="","",IF(AND($K1193=1,$L1193&lt;$J1193,COUNTIFS(nrES_PID,$D1193,nrES_Code,$F1193,nrES_Att,2)=0),"Yes","No")))</f>
        <v/>
      </c>
      <c r="R1193" s="17">
        <f>IF($C1193="","",IF($L1193="","",IF(AND($K1193=2,$L1193&lt;$J1193,COUNTIFS(nrES_PID,$D1193,nrES_Code,$F1193,nrES_Att,1)&gt;0),"Yes","No")))</f>
        <v/>
      </c>
      <c r="S1193" s="18" t="n"/>
      <c r="T1193" s="19">
        <f>IF($Q1193&lt;&gt;"Yes","",IF($S1193="","(enter date)",_xlfn.LET(_xlpm.dn,IFERROR(_xlfn.XLOOKUP($S1193,nrCDdate,nrCDnum),""),IF(_xlpm.dn="","(not a class day)",IFERROR(_xlfn.XLOOKUP(_xlpm.dn+cfgRetestClassDays,nrCDnum,nrCDdate),"")))))</f>
        <v/>
      </c>
      <c r="U1193" s="17">
        <f>IF($Q1193&lt;&gt;"Yes","",IF(COUNTIFS(nrES_PID,$D1193,nrES_Code,$F1193,nrES_Att,2)&gt;0,"Retested",IF(OR($T1193="",NOT(ISNUMBER($T1193))),"Pending",IF(TODAY()&gt;$T1193,"OVERDUE","Due "&amp;TEXT($T1193,"mm/dd")))))</f>
        <v/>
      </c>
      <c r="V1193" s="16" t="n"/>
      <c r="W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K1194=1,IF(COUNTIFS(nrES_PID,$D1194,nrES_Code,$F1194,nrES_Att,2)&gt;0,"",$L1194),IF(COUNTIFS(nrES_PID,$D1194,nrES_Code,$F1194,nrES_Att,1)=0,$L1194,IF($L1194&gt;=$J1194,cfgRetakeRecordedCap,SUMIFS(nrES_Raw,nrES_PID,$D1194,nrES_Code,$F1194,nrES_Att,1))))))</f>
        <v/>
      </c>
      <c r="N1194" s="17">
        <f>IF($C1194="","",IF($L1194="","",IF($L1194&gt;=$J1194,"Yes","No")))</f>
        <v/>
      </c>
      <c r="O1194" s="17">
        <f>IF($C1194="","",IF($M1194="","",IF($M1194&gt;=$J1194,"Yes","No")))</f>
        <v/>
      </c>
      <c r="P1194" s="17">
        <f>IF($C1194="","",IF($K1194="","",IF(COUNTIFS(nrES_PID,$D1194,nrES_Code,$F1194,nrES_Att,"&gt;"&amp;$K1194)=0,"Yes","No")))</f>
        <v/>
      </c>
      <c r="Q1194" s="17">
        <f>IF($C1194="","",IF($L1194="","",IF(AND($K1194=1,$L1194&lt;$J1194,COUNTIFS(nrES_PID,$D1194,nrES_Code,$F1194,nrES_Att,2)=0),"Yes","No")))</f>
        <v/>
      </c>
      <c r="R1194" s="17">
        <f>IF($C1194="","",IF($L1194="","",IF(AND($K1194=2,$L1194&lt;$J1194,COUNTIFS(nrES_PID,$D1194,nrES_Code,$F1194,nrES_Att,1)&gt;0),"Yes","No")))</f>
        <v/>
      </c>
      <c r="S1194" s="18" t="n"/>
      <c r="T1194" s="19">
        <f>IF($Q1194&lt;&gt;"Yes","",IF($S1194="","(enter date)",_xlfn.LET(_xlpm.dn,IFERROR(_xlfn.XLOOKUP($S1194,nrCDdate,nrCDnum),""),IF(_xlpm.dn="","(not a class day)",IFERROR(_xlfn.XLOOKUP(_xlpm.dn+cfgRetestClassDays,nrCDnum,nrCDdate),"")))))</f>
        <v/>
      </c>
      <c r="U1194" s="17">
        <f>IF($Q1194&lt;&gt;"Yes","",IF(COUNTIFS(nrES_PID,$D1194,nrES_Code,$F1194,nrES_Att,2)&gt;0,"Retested",IF(OR($T1194="",NOT(ISNUMBER($T1194))),"Pending",IF(TODAY()&gt;$T1194,"OVERDUE","Due "&amp;TEXT($T1194,"mm/dd")))))</f>
        <v/>
      </c>
      <c r="V1194" s="16" t="n"/>
      <c r="W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K1195=1,IF(COUNTIFS(nrES_PID,$D1195,nrES_Code,$F1195,nrES_Att,2)&gt;0,"",$L1195),IF(COUNTIFS(nrES_PID,$D1195,nrES_Code,$F1195,nrES_Att,1)=0,$L1195,IF($L1195&gt;=$J1195,cfgRetakeRecordedCap,SUMIFS(nrES_Raw,nrES_PID,$D1195,nrES_Code,$F1195,nrES_Att,1))))))</f>
        <v/>
      </c>
      <c r="N1195" s="17">
        <f>IF($C1195="","",IF($L1195="","",IF($L1195&gt;=$J1195,"Yes","No")))</f>
        <v/>
      </c>
      <c r="O1195" s="17">
        <f>IF($C1195="","",IF($M1195="","",IF($M1195&gt;=$J1195,"Yes","No")))</f>
        <v/>
      </c>
      <c r="P1195" s="17">
        <f>IF($C1195="","",IF($K1195="","",IF(COUNTIFS(nrES_PID,$D1195,nrES_Code,$F1195,nrES_Att,"&gt;"&amp;$K1195)=0,"Yes","No")))</f>
        <v/>
      </c>
      <c r="Q1195" s="17">
        <f>IF($C1195="","",IF($L1195="","",IF(AND($K1195=1,$L1195&lt;$J1195,COUNTIFS(nrES_PID,$D1195,nrES_Code,$F1195,nrES_Att,2)=0),"Yes","No")))</f>
        <v/>
      </c>
      <c r="R1195" s="17">
        <f>IF($C1195="","",IF($L1195="","",IF(AND($K1195=2,$L1195&lt;$J1195,COUNTIFS(nrES_PID,$D1195,nrES_Code,$F1195,nrES_Att,1)&gt;0),"Yes","No")))</f>
        <v/>
      </c>
      <c r="S1195" s="18" t="n"/>
      <c r="T1195" s="19">
        <f>IF($Q1195&lt;&gt;"Yes","",IF($S1195="","(enter date)",_xlfn.LET(_xlpm.dn,IFERROR(_xlfn.XLOOKUP($S1195,nrCDdate,nrCDnum),""),IF(_xlpm.dn="","(not a class day)",IFERROR(_xlfn.XLOOKUP(_xlpm.dn+cfgRetestClassDays,nrCDnum,nrCDdate),"")))))</f>
        <v/>
      </c>
      <c r="U1195" s="17">
        <f>IF($Q1195&lt;&gt;"Yes","",IF(COUNTIFS(nrES_PID,$D1195,nrES_Code,$F1195,nrES_Att,2)&gt;0,"Retested",IF(OR($T1195="",NOT(ISNUMBER($T1195))),"Pending",IF(TODAY()&gt;$T1195,"OVERDUE","Due "&amp;TEXT($T1195,"mm/dd")))))</f>
        <v/>
      </c>
      <c r="V1195" s="16" t="n"/>
      <c r="W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K1196=1,IF(COUNTIFS(nrES_PID,$D1196,nrES_Code,$F1196,nrES_Att,2)&gt;0,"",$L1196),IF(COUNTIFS(nrES_PID,$D1196,nrES_Code,$F1196,nrES_Att,1)=0,$L1196,IF($L1196&gt;=$J1196,cfgRetakeRecordedCap,SUMIFS(nrES_Raw,nrES_PID,$D1196,nrES_Code,$F1196,nrES_Att,1))))))</f>
        <v/>
      </c>
      <c r="N1196" s="17">
        <f>IF($C1196="","",IF($L1196="","",IF($L1196&gt;=$J1196,"Yes","No")))</f>
        <v/>
      </c>
      <c r="O1196" s="17">
        <f>IF($C1196="","",IF($M1196="","",IF($M1196&gt;=$J1196,"Yes","No")))</f>
        <v/>
      </c>
      <c r="P1196" s="17">
        <f>IF($C1196="","",IF($K1196="","",IF(COUNTIFS(nrES_PID,$D1196,nrES_Code,$F1196,nrES_Att,"&gt;"&amp;$K1196)=0,"Yes","No")))</f>
        <v/>
      </c>
      <c r="Q1196" s="17">
        <f>IF($C1196="","",IF($L1196="","",IF(AND($K1196=1,$L1196&lt;$J1196,COUNTIFS(nrES_PID,$D1196,nrES_Code,$F1196,nrES_Att,2)=0),"Yes","No")))</f>
        <v/>
      </c>
      <c r="R1196" s="17">
        <f>IF($C1196="","",IF($L1196="","",IF(AND($K1196=2,$L1196&lt;$J1196,COUNTIFS(nrES_PID,$D1196,nrES_Code,$F1196,nrES_Att,1)&gt;0),"Yes","No")))</f>
        <v/>
      </c>
      <c r="S1196" s="18" t="n"/>
      <c r="T1196" s="19">
        <f>IF($Q1196&lt;&gt;"Yes","",IF($S1196="","(enter date)",_xlfn.LET(_xlpm.dn,IFERROR(_xlfn.XLOOKUP($S1196,nrCDdate,nrCDnum),""),IF(_xlpm.dn="","(not a class day)",IFERROR(_xlfn.XLOOKUP(_xlpm.dn+cfgRetestClassDays,nrCDnum,nrCDdate),"")))))</f>
        <v/>
      </c>
      <c r="U1196" s="17">
        <f>IF($Q1196&lt;&gt;"Yes","",IF(COUNTIFS(nrES_PID,$D1196,nrES_Code,$F1196,nrES_Att,2)&gt;0,"Retested",IF(OR($T1196="",NOT(ISNUMBER($T1196))),"Pending",IF(TODAY()&gt;$T1196,"OVERDUE","Due "&amp;TEXT($T1196,"mm/dd")))))</f>
        <v/>
      </c>
      <c r="V1196" s="16" t="n"/>
      <c r="W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K1197=1,IF(COUNTIFS(nrES_PID,$D1197,nrES_Code,$F1197,nrES_Att,2)&gt;0,"",$L1197),IF(COUNTIFS(nrES_PID,$D1197,nrES_Code,$F1197,nrES_Att,1)=0,$L1197,IF($L1197&gt;=$J1197,cfgRetakeRecordedCap,SUMIFS(nrES_Raw,nrES_PID,$D1197,nrES_Code,$F1197,nrES_Att,1))))))</f>
        <v/>
      </c>
      <c r="N1197" s="17">
        <f>IF($C1197="","",IF($L1197="","",IF($L1197&gt;=$J1197,"Yes","No")))</f>
        <v/>
      </c>
      <c r="O1197" s="17">
        <f>IF($C1197="","",IF($M1197="","",IF($M1197&gt;=$J1197,"Yes","No")))</f>
        <v/>
      </c>
      <c r="P1197" s="17">
        <f>IF($C1197="","",IF($K1197="","",IF(COUNTIFS(nrES_PID,$D1197,nrES_Code,$F1197,nrES_Att,"&gt;"&amp;$K1197)=0,"Yes","No")))</f>
        <v/>
      </c>
      <c r="Q1197" s="17">
        <f>IF($C1197="","",IF($L1197="","",IF(AND($K1197=1,$L1197&lt;$J1197,COUNTIFS(nrES_PID,$D1197,nrES_Code,$F1197,nrES_Att,2)=0),"Yes","No")))</f>
        <v/>
      </c>
      <c r="R1197" s="17">
        <f>IF($C1197="","",IF($L1197="","",IF(AND($K1197=2,$L1197&lt;$J1197,COUNTIFS(nrES_PID,$D1197,nrES_Code,$F1197,nrES_Att,1)&gt;0),"Yes","No")))</f>
        <v/>
      </c>
      <c r="S1197" s="18" t="n"/>
      <c r="T1197" s="19">
        <f>IF($Q1197&lt;&gt;"Yes","",IF($S1197="","(enter date)",_xlfn.LET(_xlpm.dn,IFERROR(_xlfn.XLOOKUP($S1197,nrCDdate,nrCDnum),""),IF(_xlpm.dn="","(not a class day)",IFERROR(_xlfn.XLOOKUP(_xlpm.dn+cfgRetestClassDays,nrCDnum,nrCDdate),"")))))</f>
        <v/>
      </c>
      <c r="U1197" s="17">
        <f>IF($Q1197&lt;&gt;"Yes","",IF(COUNTIFS(nrES_PID,$D1197,nrES_Code,$F1197,nrES_Att,2)&gt;0,"Retested",IF(OR($T1197="",NOT(ISNUMBER($T1197))),"Pending",IF(TODAY()&gt;$T1197,"OVERDUE","Due "&amp;TEXT($T1197,"mm/dd")))))</f>
        <v/>
      </c>
      <c r="V1197" s="16" t="n"/>
      <c r="W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K1198=1,IF(COUNTIFS(nrES_PID,$D1198,nrES_Code,$F1198,nrES_Att,2)&gt;0,"",$L1198),IF(COUNTIFS(nrES_PID,$D1198,nrES_Code,$F1198,nrES_Att,1)=0,$L1198,IF($L1198&gt;=$J1198,cfgRetakeRecordedCap,SUMIFS(nrES_Raw,nrES_PID,$D1198,nrES_Code,$F1198,nrES_Att,1))))))</f>
        <v/>
      </c>
      <c r="N1198" s="17">
        <f>IF($C1198="","",IF($L1198="","",IF($L1198&gt;=$J1198,"Yes","No")))</f>
        <v/>
      </c>
      <c r="O1198" s="17">
        <f>IF($C1198="","",IF($M1198="","",IF($M1198&gt;=$J1198,"Yes","No")))</f>
        <v/>
      </c>
      <c r="P1198" s="17">
        <f>IF($C1198="","",IF($K1198="","",IF(COUNTIFS(nrES_PID,$D1198,nrES_Code,$F1198,nrES_Att,"&gt;"&amp;$K1198)=0,"Yes","No")))</f>
        <v/>
      </c>
      <c r="Q1198" s="17">
        <f>IF($C1198="","",IF($L1198="","",IF(AND($K1198=1,$L1198&lt;$J1198,COUNTIFS(nrES_PID,$D1198,nrES_Code,$F1198,nrES_Att,2)=0),"Yes","No")))</f>
        <v/>
      </c>
      <c r="R1198" s="17">
        <f>IF($C1198="","",IF($L1198="","",IF(AND($K1198=2,$L1198&lt;$J1198,COUNTIFS(nrES_PID,$D1198,nrES_Code,$F1198,nrES_Att,1)&gt;0),"Yes","No")))</f>
        <v/>
      </c>
      <c r="S1198" s="18" t="n"/>
      <c r="T1198" s="19">
        <f>IF($Q1198&lt;&gt;"Yes","",IF($S1198="","(enter date)",_xlfn.LET(_xlpm.dn,IFERROR(_xlfn.XLOOKUP($S1198,nrCDdate,nrCDnum),""),IF(_xlpm.dn="","(not a class day)",IFERROR(_xlfn.XLOOKUP(_xlpm.dn+cfgRetestClassDays,nrCDnum,nrCDdate),"")))))</f>
        <v/>
      </c>
      <c r="U1198" s="17">
        <f>IF($Q1198&lt;&gt;"Yes","",IF(COUNTIFS(nrES_PID,$D1198,nrES_Code,$F1198,nrES_Att,2)&gt;0,"Retested",IF(OR($T1198="",NOT(ISNUMBER($T1198))),"Pending",IF(TODAY()&gt;$T1198,"OVERDUE","Due "&amp;TEXT($T1198,"mm/dd")))))</f>
        <v/>
      </c>
      <c r="V1198" s="16" t="n"/>
      <c r="W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K1199=1,IF(COUNTIFS(nrES_PID,$D1199,nrES_Code,$F1199,nrES_Att,2)&gt;0,"",$L1199),IF(COUNTIFS(nrES_PID,$D1199,nrES_Code,$F1199,nrES_Att,1)=0,$L1199,IF($L1199&gt;=$J1199,cfgRetakeRecordedCap,SUMIFS(nrES_Raw,nrES_PID,$D1199,nrES_Code,$F1199,nrES_Att,1))))))</f>
        <v/>
      </c>
      <c r="N1199" s="17">
        <f>IF($C1199="","",IF($L1199="","",IF($L1199&gt;=$J1199,"Yes","No")))</f>
        <v/>
      </c>
      <c r="O1199" s="17">
        <f>IF($C1199="","",IF($M1199="","",IF($M1199&gt;=$J1199,"Yes","No")))</f>
        <v/>
      </c>
      <c r="P1199" s="17">
        <f>IF($C1199="","",IF($K1199="","",IF(COUNTIFS(nrES_PID,$D1199,nrES_Code,$F1199,nrES_Att,"&gt;"&amp;$K1199)=0,"Yes","No")))</f>
        <v/>
      </c>
      <c r="Q1199" s="17">
        <f>IF($C1199="","",IF($L1199="","",IF(AND($K1199=1,$L1199&lt;$J1199,COUNTIFS(nrES_PID,$D1199,nrES_Code,$F1199,nrES_Att,2)=0),"Yes","No")))</f>
        <v/>
      </c>
      <c r="R1199" s="17">
        <f>IF($C1199="","",IF($L1199="","",IF(AND($K1199=2,$L1199&lt;$J1199,COUNTIFS(nrES_PID,$D1199,nrES_Code,$F1199,nrES_Att,1)&gt;0),"Yes","No")))</f>
        <v/>
      </c>
      <c r="S1199" s="18" t="n"/>
      <c r="T1199" s="19">
        <f>IF($Q1199&lt;&gt;"Yes","",IF($S1199="","(enter date)",_xlfn.LET(_xlpm.dn,IFERROR(_xlfn.XLOOKUP($S1199,nrCDdate,nrCDnum),""),IF(_xlpm.dn="","(not a class day)",IFERROR(_xlfn.XLOOKUP(_xlpm.dn+cfgRetestClassDays,nrCDnum,nrCDdate),"")))))</f>
        <v/>
      </c>
      <c r="U1199" s="17">
        <f>IF($Q1199&lt;&gt;"Yes","",IF(COUNTIFS(nrES_PID,$D1199,nrES_Code,$F1199,nrES_Att,2)&gt;0,"Retested",IF(OR($T1199="",NOT(ISNUMBER($T1199))),"Pending",IF(TODAY()&gt;$T1199,"OVERDUE","Due "&amp;TEXT($T1199,"mm/dd")))))</f>
        <v/>
      </c>
      <c r="V1199" s="16" t="n"/>
      <c r="W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K1200=1,IF(COUNTIFS(nrES_PID,$D1200,nrES_Code,$F1200,nrES_Att,2)&gt;0,"",$L1200),IF(COUNTIFS(nrES_PID,$D1200,nrES_Code,$F1200,nrES_Att,1)=0,$L1200,IF($L1200&gt;=$J1200,cfgRetakeRecordedCap,SUMIFS(nrES_Raw,nrES_PID,$D1200,nrES_Code,$F1200,nrES_Att,1))))))</f>
        <v/>
      </c>
      <c r="N1200" s="17">
        <f>IF($C1200="","",IF($L1200="","",IF($L1200&gt;=$J1200,"Yes","No")))</f>
        <v/>
      </c>
      <c r="O1200" s="17">
        <f>IF($C1200="","",IF($M1200="","",IF($M1200&gt;=$J1200,"Yes","No")))</f>
        <v/>
      </c>
      <c r="P1200" s="17">
        <f>IF($C1200="","",IF($K1200="","",IF(COUNTIFS(nrES_PID,$D1200,nrES_Code,$F1200,nrES_Att,"&gt;"&amp;$K1200)=0,"Yes","No")))</f>
        <v/>
      </c>
      <c r="Q1200" s="17">
        <f>IF($C1200="","",IF($L1200="","",IF(AND($K1200=1,$L1200&lt;$J1200,COUNTIFS(nrES_PID,$D1200,nrES_Code,$F1200,nrES_Att,2)=0),"Yes","No")))</f>
        <v/>
      </c>
      <c r="R1200" s="17">
        <f>IF($C1200="","",IF($L1200="","",IF(AND($K1200=2,$L1200&lt;$J1200,COUNTIFS(nrES_PID,$D1200,nrES_Code,$F1200,nrES_Att,1)&gt;0),"Yes","No")))</f>
        <v/>
      </c>
      <c r="S1200" s="18" t="n"/>
      <c r="T1200" s="19">
        <f>IF($Q1200&lt;&gt;"Yes","",IF($S1200="","(enter date)",_xlfn.LET(_xlpm.dn,IFERROR(_xlfn.XLOOKUP($S1200,nrCDdate,nrCDnum),""),IF(_xlpm.dn="","(not a class day)",IFERROR(_xlfn.XLOOKUP(_xlpm.dn+cfgRetestClassDays,nrCDnum,nrCDdate),"")))))</f>
        <v/>
      </c>
      <c r="U1200" s="17">
        <f>IF($Q1200&lt;&gt;"Yes","",IF(COUNTIFS(nrES_PID,$D1200,nrES_Code,$F1200,nrES_Att,2)&gt;0,"Retested",IF(OR($T1200="",NOT(ISNUMBER($T1200))),"Pending",IF(TODAY()&gt;$T1200,"OVERDUE","Due "&amp;TEXT($T1200,"mm/dd")))))</f>
        <v/>
      </c>
      <c r="V1200" s="16" t="n"/>
      <c r="W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K1201=1,IF(COUNTIFS(nrES_PID,$D1201,nrES_Code,$F1201,nrES_Att,2)&gt;0,"",$L1201),IF(COUNTIFS(nrES_PID,$D1201,nrES_Code,$F1201,nrES_Att,1)=0,$L1201,IF($L1201&gt;=$J1201,cfgRetakeRecordedCap,SUMIFS(nrES_Raw,nrES_PID,$D1201,nrES_Code,$F1201,nrES_Att,1))))))</f>
        <v/>
      </c>
      <c r="N1201" s="17">
        <f>IF($C1201="","",IF($L1201="","",IF($L1201&gt;=$J1201,"Yes","No")))</f>
        <v/>
      </c>
      <c r="O1201" s="17">
        <f>IF($C1201="","",IF($M1201="","",IF($M1201&gt;=$J1201,"Yes","No")))</f>
        <v/>
      </c>
      <c r="P1201" s="17">
        <f>IF($C1201="","",IF($K1201="","",IF(COUNTIFS(nrES_PID,$D1201,nrES_Code,$F1201,nrES_Att,"&gt;"&amp;$K1201)=0,"Yes","No")))</f>
        <v/>
      </c>
      <c r="Q1201" s="17">
        <f>IF($C1201="","",IF($L1201="","",IF(AND($K1201=1,$L1201&lt;$J1201,COUNTIFS(nrES_PID,$D1201,nrES_Code,$F1201,nrES_Att,2)=0),"Yes","No")))</f>
        <v/>
      </c>
      <c r="R1201" s="17">
        <f>IF($C1201="","",IF($L1201="","",IF(AND($K1201=2,$L1201&lt;$J1201,COUNTIFS(nrES_PID,$D1201,nrES_Code,$F1201,nrES_Att,1)&gt;0),"Yes","No")))</f>
        <v/>
      </c>
      <c r="S1201" s="18" t="n"/>
      <c r="T1201" s="19">
        <f>IF($Q1201&lt;&gt;"Yes","",IF($S1201="","(enter date)",_xlfn.LET(_xlpm.dn,IFERROR(_xlfn.XLOOKUP($S1201,nrCDdate,nrCDnum),""),IF(_xlpm.dn="","(not a class day)",IFERROR(_xlfn.XLOOKUP(_xlpm.dn+cfgRetestClassDays,nrCDnum,nrCDdate),"")))))</f>
        <v/>
      </c>
      <c r="U1201" s="17">
        <f>IF($Q1201&lt;&gt;"Yes","",IF(COUNTIFS(nrES_PID,$D1201,nrES_Code,$F1201,nrES_Att,2)&gt;0,"Retested",IF(OR($T1201="",NOT(ISNUMBER($T1201))),"Pending",IF(TODAY()&gt;$T1201,"OVERDUE","Due "&amp;TEXT($T1201,"mm/dd")))))</f>
        <v/>
      </c>
      <c r="V1201" s="16" t="n"/>
      <c r="W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K1202=1,IF(COUNTIFS(nrES_PID,$D1202,nrES_Code,$F1202,nrES_Att,2)&gt;0,"",$L1202),IF(COUNTIFS(nrES_PID,$D1202,nrES_Code,$F1202,nrES_Att,1)=0,$L1202,IF($L1202&gt;=$J1202,cfgRetakeRecordedCap,SUMIFS(nrES_Raw,nrES_PID,$D1202,nrES_Code,$F1202,nrES_Att,1))))))</f>
        <v/>
      </c>
      <c r="N1202" s="17">
        <f>IF($C1202="","",IF($L1202="","",IF($L1202&gt;=$J1202,"Yes","No")))</f>
        <v/>
      </c>
      <c r="O1202" s="17">
        <f>IF($C1202="","",IF($M1202="","",IF($M1202&gt;=$J1202,"Yes","No")))</f>
        <v/>
      </c>
      <c r="P1202" s="17">
        <f>IF($C1202="","",IF($K1202="","",IF(COUNTIFS(nrES_PID,$D1202,nrES_Code,$F1202,nrES_Att,"&gt;"&amp;$K1202)=0,"Yes","No")))</f>
        <v/>
      </c>
      <c r="Q1202" s="17">
        <f>IF($C1202="","",IF($L1202="","",IF(AND($K1202=1,$L1202&lt;$J1202,COUNTIFS(nrES_PID,$D1202,nrES_Code,$F1202,nrES_Att,2)=0),"Yes","No")))</f>
        <v/>
      </c>
      <c r="R1202" s="17">
        <f>IF($C1202="","",IF($L1202="","",IF(AND($K1202=2,$L1202&lt;$J1202,COUNTIFS(nrES_PID,$D1202,nrES_Code,$F1202,nrES_Att,1)&gt;0),"Yes","No")))</f>
        <v/>
      </c>
      <c r="S1202" s="18" t="n"/>
      <c r="T1202" s="19">
        <f>IF($Q1202&lt;&gt;"Yes","",IF($S1202="","(enter date)",_xlfn.LET(_xlpm.dn,IFERROR(_xlfn.XLOOKUP($S1202,nrCDdate,nrCDnum),""),IF(_xlpm.dn="","(not a class day)",IFERROR(_xlfn.XLOOKUP(_xlpm.dn+cfgRetestClassDays,nrCDnum,nrCDdate),"")))))</f>
        <v/>
      </c>
      <c r="U1202" s="17">
        <f>IF($Q1202&lt;&gt;"Yes","",IF(COUNTIFS(nrES_PID,$D1202,nrES_Code,$F1202,nrES_Att,2)&gt;0,"Retested",IF(OR($T1202="",NOT(ISNUMBER($T1202))),"Pending",IF(TODAY()&gt;$T1202,"OVERDUE","Due "&amp;TEXT($T1202,"mm/dd")))))</f>
        <v/>
      </c>
      <c r="V1202" s="16" t="n"/>
      <c r="W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K1203=1,IF(COUNTIFS(nrES_PID,$D1203,nrES_Code,$F1203,nrES_Att,2)&gt;0,"",$L1203),IF(COUNTIFS(nrES_PID,$D1203,nrES_Code,$F1203,nrES_Att,1)=0,$L1203,IF($L1203&gt;=$J1203,cfgRetakeRecordedCap,SUMIFS(nrES_Raw,nrES_PID,$D1203,nrES_Code,$F1203,nrES_Att,1))))))</f>
        <v/>
      </c>
      <c r="N1203" s="17">
        <f>IF($C1203="","",IF($L1203="","",IF($L1203&gt;=$J1203,"Yes","No")))</f>
        <v/>
      </c>
      <c r="O1203" s="17">
        <f>IF($C1203="","",IF($M1203="","",IF($M1203&gt;=$J1203,"Yes","No")))</f>
        <v/>
      </c>
      <c r="P1203" s="17">
        <f>IF($C1203="","",IF($K1203="","",IF(COUNTIFS(nrES_PID,$D1203,nrES_Code,$F1203,nrES_Att,"&gt;"&amp;$K1203)=0,"Yes","No")))</f>
        <v/>
      </c>
      <c r="Q1203" s="17">
        <f>IF($C1203="","",IF($L1203="","",IF(AND($K1203=1,$L1203&lt;$J1203,COUNTIFS(nrES_PID,$D1203,nrES_Code,$F1203,nrES_Att,2)=0),"Yes","No")))</f>
        <v/>
      </c>
      <c r="R1203" s="17">
        <f>IF($C1203="","",IF($L1203="","",IF(AND($K1203=2,$L1203&lt;$J1203,COUNTIFS(nrES_PID,$D1203,nrES_Code,$F1203,nrES_Att,1)&gt;0),"Yes","No")))</f>
        <v/>
      </c>
      <c r="S1203" s="18" t="n"/>
      <c r="T1203" s="19">
        <f>IF($Q1203&lt;&gt;"Yes","",IF($S1203="","(enter date)",_xlfn.LET(_xlpm.dn,IFERROR(_xlfn.XLOOKUP($S1203,nrCDdate,nrCDnum),""),IF(_xlpm.dn="","(not a class day)",IFERROR(_xlfn.XLOOKUP(_xlpm.dn+cfgRetestClassDays,nrCDnum,nrCDdate),"")))))</f>
        <v/>
      </c>
      <c r="U1203" s="17">
        <f>IF($Q1203&lt;&gt;"Yes","",IF(COUNTIFS(nrES_PID,$D1203,nrES_Code,$F1203,nrES_Att,2)&gt;0,"Retested",IF(OR($T1203="",NOT(ISNUMBER($T1203))),"Pending",IF(TODAY()&gt;$T1203,"OVERDUE","Due "&amp;TEXT($T1203,"mm/dd")))))</f>
        <v/>
      </c>
      <c r="V1203" s="16" t="n"/>
      <c r="W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K1204=1,IF(COUNTIFS(nrES_PID,$D1204,nrES_Code,$F1204,nrES_Att,2)&gt;0,"",$L1204),IF(COUNTIFS(nrES_PID,$D1204,nrES_Code,$F1204,nrES_Att,1)=0,$L1204,IF($L1204&gt;=$J1204,cfgRetakeRecordedCap,SUMIFS(nrES_Raw,nrES_PID,$D1204,nrES_Code,$F1204,nrES_Att,1))))))</f>
        <v/>
      </c>
      <c r="N1204" s="17">
        <f>IF($C1204="","",IF($L1204="","",IF($L1204&gt;=$J1204,"Yes","No")))</f>
        <v/>
      </c>
      <c r="O1204" s="17">
        <f>IF($C1204="","",IF($M1204="","",IF($M1204&gt;=$J1204,"Yes","No")))</f>
        <v/>
      </c>
      <c r="P1204" s="17">
        <f>IF($C1204="","",IF($K1204="","",IF(COUNTIFS(nrES_PID,$D1204,nrES_Code,$F1204,nrES_Att,"&gt;"&amp;$K1204)=0,"Yes","No")))</f>
        <v/>
      </c>
      <c r="Q1204" s="17">
        <f>IF($C1204="","",IF($L1204="","",IF(AND($K1204=1,$L1204&lt;$J1204,COUNTIFS(nrES_PID,$D1204,nrES_Code,$F1204,nrES_Att,2)=0),"Yes","No")))</f>
        <v/>
      </c>
      <c r="R1204" s="17">
        <f>IF($C1204="","",IF($L1204="","",IF(AND($K1204=2,$L1204&lt;$J1204,COUNTIFS(nrES_PID,$D1204,nrES_Code,$F1204,nrES_Att,1)&gt;0),"Yes","No")))</f>
        <v/>
      </c>
      <c r="S1204" s="18" t="n"/>
      <c r="T1204" s="19">
        <f>IF($Q1204&lt;&gt;"Yes","",IF($S1204="","(enter date)",_xlfn.LET(_xlpm.dn,IFERROR(_xlfn.XLOOKUP($S1204,nrCDdate,nrCDnum),""),IF(_xlpm.dn="","(not a class day)",IFERROR(_xlfn.XLOOKUP(_xlpm.dn+cfgRetestClassDays,nrCDnum,nrCDdate),"")))))</f>
        <v/>
      </c>
      <c r="U1204" s="17">
        <f>IF($Q1204&lt;&gt;"Yes","",IF(COUNTIFS(nrES_PID,$D1204,nrES_Code,$F1204,nrES_Att,2)&gt;0,"Retested",IF(OR($T1204="",NOT(ISNUMBER($T1204))),"Pending",IF(TODAY()&gt;$T1204,"OVERDUE","Due "&amp;TEXT($T1204,"mm/dd")))))</f>
        <v/>
      </c>
      <c r="V1204" s="16" t="n"/>
      <c r="W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K1205=1,IF(COUNTIFS(nrES_PID,$D1205,nrES_Code,$F1205,nrES_Att,2)&gt;0,"",$L1205),IF(COUNTIFS(nrES_PID,$D1205,nrES_Code,$F1205,nrES_Att,1)=0,$L1205,IF($L1205&gt;=$J1205,cfgRetakeRecordedCap,SUMIFS(nrES_Raw,nrES_PID,$D1205,nrES_Code,$F1205,nrES_Att,1))))))</f>
        <v/>
      </c>
      <c r="N1205" s="17">
        <f>IF($C1205="","",IF($L1205="","",IF($L1205&gt;=$J1205,"Yes","No")))</f>
        <v/>
      </c>
      <c r="O1205" s="17">
        <f>IF($C1205="","",IF($M1205="","",IF($M1205&gt;=$J1205,"Yes","No")))</f>
        <v/>
      </c>
      <c r="P1205" s="17">
        <f>IF($C1205="","",IF($K1205="","",IF(COUNTIFS(nrES_PID,$D1205,nrES_Code,$F1205,nrES_Att,"&gt;"&amp;$K1205)=0,"Yes","No")))</f>
        <v/>
      </c>
      <c r="Q1205" s="17">
        <f>IF($C1205="","",IF($L1205="","",IF(AND($K1205=1,$L1205&lt;$J1205,COUNTIFS(nrES_PID,$D1205,nrES_Code,$F1205,nrES_Att,2)=0),"Yes","No")))</f>
        <v/>
      </c>
      <c r="R1205" s="17">
        <f>IF($C1205="","",IF($L1205="","",IF(AND($K1205=2,$L1205&lt;$J1205,COUNTIFS(nrES_PID,$D1205,nrES_Code,$F1205,nrES_Att,1)&gt;0),"Yes","No")))</f>
        <v/>
      </c>
      <c r="S1205" s="18" t="n"/>
      <c r="T1205" s="19">
        <f>IF($Q1205&lt;&gt;"Yes","",IF($S1205="","(enter date)",_xlfn.LET(_xlpm.dn,IFERROR(_xlfn.XLOOKUP($S1205,nrCDdate,nrCDnum),""),IF(_xlpm.dn="","(not a class day)",IFERROR(_xlfn.XLOOKUP(_xlpm.dn+cfgRetestClassDays,nrCDnum,nrCDdate),"")))))</f>
        <v/>
      </c>
      <c r="U1205" s="17">
        <f>IF($Q1205&lt;&gt;"Yes","",IF(COUNTIFS(nrES_PID,$D1205,nrES_Code,$F1205,nrES_Att,2)&gt;0,"Retested",IF(OR($T1205="",NOT(ISNUMBER($T1205))),"Pending",IF(TODAY()&gt;$T1205,"OVERDUE","Due "&amp;TEXT($T1205,"mm/dd")))))</f>
        <v/>
      </c>
      <c r="V1205" s="16" t="n"/>
      <c r="W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K1206=1,IF(COUNTIFS(nrES_PID,$D1206,nrES_Code,$F1206,nrES_Att,2)&gt;0,"",$L1206),IF(COUNTIFS(nrES_PID,$D1206,nrES_Code,$F1206,nrES_Att,1)=0,$L1206,IF($L1206&gt;=$J1206,cfgRetakeRecordedCap,SUMIFS(nrES_Raw,nrES_PID,$D1206,nrES_Code,$F1206,nrES_Att,1))))))</f>
        <v/>
      </c>
      <c r="N1206" s="17">
        <f>IF($C1206="","",IF($L1206="","",IF($L1206&gt;=$J1206,"Yes","No")))</f>
        <v/>
      </c>
      <c r="O1206" s="17">
        <f>IF($C1206="","",IF($M1206="","",IF($M1206&gt;=$J1206,"Yes","No")))</f>
        <v/>
      </c>
      <c r="P1206" s="17">
        <f>IF($C1206="","",IF($K1206="","",IF(COUNTIFS(nrES_PID,$D1206,nrES_Code,$F1206,nrES_Att,"&gt;"&amp;$K1206)=0,"Yes","No")))</f>
        <v/>
      </c>
      <c r="Q1206" s="17">
        <f>IF($C1206="","",IF($L1206="","",IF(AND($K1206=1,$L1206&lt;$J1206,COUNTIFS(nrES_PID,$D1206,nrES_Code,$F1206,nrES_Att,2)=0),"Yes","No")))</f>
        <v/>
      </c>
      <c r="R1206" s="17">
        <f>IF($C1206="","",IF($L1206="","",IF(AND($K1206=2,$L1206&lt;$J1206,COUNTIFS(nrES_PID,$D1206,nrES_Code,$F1206,nrES_Att,1)&gt;0),"Yes","No")))</f>
        <v/>
      </c>
      <c r="S1206" s="18" t="n"/>
      <c r="T1206" s="19">
        <f>IF($Q1206&lt;&gt;"Yes","",IF($S1206="","(enter date)",_xlfn.LET(_xlpm.dn,IFERROR(_xlfn.XLOOKUP($S1206,nrCDdate,nrCDnum),""),IF(_xlpm.dn="","(not a class day)",IFERROR(_xlfn.XLOOKUP(_xlpm.dn+cfgRetestClassDays,nrCDnum,nrCDdate),"")))))</f>
        <v/>
      </c>
      <c r="U1206" s="17">
        <f>IF($Q1206&lt;&gt;"Yes","",IF(COUNTIFS(nrES_PID,$D1206,nrES_Code,$F1206,nrES_Att,2)&gt;0,"Retested",IF(OR($T1206="",NOT(ISNUMBER($T1206))),"Pending",IF(TODAY()&gt;$T1206,"OVERDUE","Due "&amp;TEXT($T1206,"mm/dd")))))</f>
        <v/>
      </c>
      <c r="V1206" s="16" t="n"/>
      <c r="W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K1207=1,IF(COUNTIFS(nrES_PID,$D1207,nrES_Code,$F1207,nrES_Att,2)&gt;0,"",$L1207),IF(COUNTIFS(nrES_PID,$D1207,nrES_Code,$F1207,nrES_Att,1)=0,$L1207,IF($L1207&gt;=$J1207,cfgRetakeRecordedCap,SUMIFS(nrES_Raw,nrES_PID,$D1207,nrES_Code,$F1207,nrES_Att,1))))))</f>
        <v/>
      </c>
      <c r="N1207" s="17">
        <f>IF($C1207="","",IF($L1207="","",IF($L1207&gt;=$J1207,"Yes","No")))</f>
        <v/>
      </c>
      <c r="O1207" s="17">
        <f>IF($C1207="","",IF($M1207="","",IF($M1207&gt;=$J1207,"Yes","No")))</f>
        <v/>
      </c>
      <c r="P1207" s="17">
        <f>IF($C1207="","",IF($K1207="","",IF(COUNTIFS(nrES_PID,$D1207,nrES_Code,$F1207,nrES_Att,"&gt;"&amp;$K1207)=0,"Yes","No")))</f>
        <v/>
      </c>
      <c r="Q1207" s="17">
        <f>IF($C1207="","",IF($L1207="","",IF(AND($K1207=1,$L1207&lt;$J1207,COUNTIFS(nrES_PID,$D1207,nrES_Code,$F1207,nrES_Att,2)=0),"Yes","No")))</f>
        <v/>
      </c>
      <c r="R1207" s="17">
        <f>IF($C1207="","",IF($L1207="","",IF(AND($K1207=2,$L1207&lt;$J1207,COUNTIFS(nrES_PID,$D1207,nrES_Code,$F1207,nrES_Att,1)&gt;0),"Yes","No")))</f>
        <v/>
      </c>
      <c r="S1207" s="18" t="n"/>
      <c r="T1207" s="19">
        <f>IF($Q1207&lt;&gt;"Yes","",IF($S1207="","(enter date)",_xlfn.LET(_xlpm.dn,IFERROR(_xlfn.XLOOKUP($S1207,nrCDdate,nrCDnum),""),IF(_xlpm.dn="","(not a class day)",IFERROR(_xlfn.XLOOKUP(_xlpm.dn+cfgRetestClassDays,nrCDnum,nrCDdate),"")))))</f>
        <v/>
      </c>
      <c r="U1207" s="17">
        <f>IF($Q1207&lt;&gt;"Yes","",IF(COUNTIFS(nrES_PID,$D1207,nrES_Code,$F1207,nrES_Att,2)&gt;0,"Retested",IF(OR($T1207="",NOT(ISNUMBER($T1207))),"Pending",IF(TODAY()&gt;$T1207,"OVERDUE","Due "&amp;TEXT($T1207,"mm/dd")))))</f>
        <v/>
      </c>
      <c r="V1207" s="16" t="n"/>
      <c r="W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K1208=1,IF(COUNTIFS(nrES_PID,$D1208,nrES_Code,$F1208,nrES_Att,2)&gt;0,"",$L1208),IF(COUNTIFS(nrES_PID,$D1208,nrES_Code,$F1208,nrES_Att,1)=0,$L1208,IF($L1208&gt;=$J1208,cfgRetakeRecordedCap,SUMIFS(nrES_Raw,nrES_PID,$D1208,nrES_Code,$F1208,nrES_Att,1))))))</f>
        <v/>
      </c>
      <c r="N1208" s="17">
        <f>IF($C1208="","",IF($L1208="","",IF($L1208&gt;=$J1208,"Yes","No")))</f>
        <v/>
      </c>
      <c r="O1208" s="17">
        <f>IF($C1208="","",IF($M1208="","",IF($M1208&gt;=$J1208,"Yes","No")))</f>
        <v/>
      </c>
      <c r="P1208" s="17">
        <f>IF($C1208="","",IF($K1208="","",IF(COUNTIFS(nrES_PID,$D1208,nrES_Code,$F1208,nrES_Att,"&gt;"&amp;$K1208)=0,"Yes","No")))</f>
        <v/>
      </c>
      <c r="Q1208" s="17">
        <f>IF($C1208="","",IF($L1208="","",IF(AND($K1208=1,$L1208&lt;$J1208,COUNTIFS(nrES_PID,$D1208,nrES_Code,$F1208,nrES_Att,2)=0),"Yes","No")))</f>
        <v/>
      </c>
      <c r="R1208" s="17">
        <f>IF($C1208="","",IF($L1208="","",IF(AND($K1208=2,$L1208&lt;$J1208,COUNTIFS(nrES_PID,$D1208,nrES_Code,$F1208,nrES_Att,1)&gt;0),"Yes","No")))</f>
        <v/>
      </c>
      <c r="S1208" s="18" t="n"/>
      <c r="T1208" s="19">
        <f>IF($Q1208&lt;&gt;"Yes","",IF($S1208="","(enter date)",_xlfn.LET(_xlpm.dn,IFERROR(_xlfn.XLOOKUP($S1208,nrCDdate,nrCDnum),""),IF(_xlpm.dn="","(not a class day)",IFERROR(_xlfn.XLOOKUP(_xlpm.dn+cfgRetestClassDays,nrCDnum,nrCDdate),"")))))</f>
        <v/>
      </c>
      <c r="U1208" s="17">
        <f>IF($Q1208&lt;&gt;"Yes","",IF(COUNTIFS(nrES_PID,$D1208,nrES_Code,$F1208,nrES_Att,2)&gt;0,"Retested",IF(OR($T1208="",NOT(ISNUMBER($T1208))),"Pending",IF(TODAY()&gt;$T1208,"OVERDUE","Due "&amp;TEXT($T1208,"mm/dd")))))</f>
        <v/>
      </c>
      <c r="V1208" s="16" t="n"/>
      <c r="W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K1209=1,IF(COUNTIFS(nrES_PID,$D1209,nrES_Code,$F1209,nrES_Att,2)&gt;0,"",$L1209),IF(COUNTIFS(nrES_PID,$D1209,nrES_Code,$F1209,nrES_Att,1)=0,$L1209,IF($L1209&gt;=$J1209,cfgRetakeRecordedCap,SUMIFS(nrES_Raw,nrES_PID,$D1209,nrES_Code,$F1209,nrES_Att,1))))))</f>
        <v/>
      </c>
      <c r="N1209" s="17">
        <f>IF($C1209="","",IF($L1209="","",IF($L1209&gt;=$J1209,"Yes","No")))</f>
        <v/>
      </c>
      <c r="O1209" s="17">
        <f>IF($C1209="","",IF($M1209="","",IF($M1209&gt;=$J1209,"Yes","No")))</f>
        <v/>
      </c>
      <c r="P1209" s="17">
        <f>IF($C1209="","",IF($K1209="","",IF(COUNTIFS(nrES_PID,$D1209,nrES_Code,$F1209,nrES_Att,"&gt;"&amp;$K1209)=0,"Yes","No")))</f>
        <v/>
      </c>
      <c r="Q1209" s="17">
        <f>IF($C1209="","",IF($L1209="","",IF(AND($K1209=1,$L1209&lt;$J1209,COUNTIFS(nrES_PID,$D1209,nrES_Code,$F1209,nrES_Att,2)=0),"Yes","No")))</f>
        <v/>
      </c>
      <c r="R1209" s="17">
        <f>IF($C1209="","",IF($L1209="","",IF(AND($K1209=2,$L1209&lt;$J1209,COUNTIFS(nrES_PID,$D1209,nrES_Code,$F1209,nrES_Att,1)&gt;0),"Yes","No")))</f>
        <v/>
      </c>
      <c r="S1209" s="18" t="n"/>
      <c r="T1209" s="19">
        <f>IF($Q1209&lt;&gt;"Yes","",IF($S1209="","(enter date)",_xlfn.LET(_xlpm.dn,IFERROR(_xlfn.XLOOKUP($S1209,nrCDdate,nrCDnum),""),IF(_xlpm.dn="","(not a class day)",IFERROR(_xlfn.XLOOKUP(_xlpm.dn+cfgRetestClassDays,nrCDnum,nrCDdate),"")))))</f>
        <v/>
      </c>
      <c r="U1209" s="17">
        <f>IF($Q1209&lt;&gt;"Yes","",IF(COUNTIFS(nrES_PID,$D1209,nrES_Code,$F1209,nrES_Att,2)&gt;0,"Retested",IF(OR($T1209="",NOT(ISNUMBER($T1209))),"Pending",IF(TODAY()&gt;$T1209,"OVERDUE","Due "&amp;TEXT($T1209,"mm/dd")))))</f>
        <v/>
      </c>
      <c r="V1209" s="16" t="n"/>
      <c r="W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K1210=1,IF(COUNTIFS(nrES_PID,$D1210,nrES_Code,$F1210,nrES_Att,2)&gt;0,"",$L1210),IF(COUNTIFS(nrES_PID,$D1210,nrES_Code,$F1210,nrES_Att,1)=0,$L1210,IF($L1210&gt;=$J1210,cfgRetakeRecordedCap,SUMIFS(nrES_Raw,nrES_PID,$D1210,nrES_Code,$F1210,nrES_Att,1))))))</f>
        <v/>
      </c>
      <c r="N1210" s="17">
        <f>IF($C1210="","",IF($L1210="","",IF($L1210&gt;=$J1210,"Yes","No")))</f>
        <v/>
      </c>
      <c r="O1210" s="17">
        <f>IF($C1210="","",IF($M1210="","",IF($M1210&gt;=$J1210,"Yes","No")))</f>
        <v/>
      </c>
      <c r="P1210" s="17">
        <f>IF($C1210="","",IF($K1210="","",IF(COUNTIFS(nrES_PID,$D1210,nrES_Code,$F1210,nrES_Att,"&gt;"&amp;$K1210)=0,"Yes","No")))</f>
        <v/>
      </c>
      <c r="Q1210" s="17">
        <f>IF($C1210="","",IF($L1210="","",IF(AND($K1210=1,$L1210&lt;$J1210,COUNTIFS(nrES_PID,$D1210,nrES_Code,$F1210,nrES_Att,2)=0),"Yes","No")))</f>
        <v/>
      </c>
      <c r="R1210" s="17">
        <f>IF($C1210="","",IF($L1210="","",IF(AND($K1210=2,$L1210&lt;$J1210,COUNTIFS(nrES_PID,$D1210,nrES_Code,$F1210,nrES_Att,1)&gt;0),"Yes","No")))</f>
        <v/>
      </c>
      <c r="S1210" s="18" t="n"/>
      <c r="T1210" s="19">
        <f>IF($Q1210&lt;&gt;"Yes","",IF($S1210="","(enter date)",_xlfn.LET(_xlpm.dn,IFERROR(_xlfn.XLOOKUP($S1210,nrCDdate,nrCDnum),""),IF(_xlpm.dn="","(not a class day)",IFERROR(_xlfn.XLOOKUP(_xlpm.dn+cfgRetestClassDays,nrCDnum,nrCDdate),"")))))</f>
        <v/>
      </c>
      <c r="U1210" s="17">
        <f>IF($Q1210&lt;&gt;"Yes","",IF(COUNTIFS(nrES_PID,$D1210,nrES_Code,$F1210,nrES_Att,2)&gt;0,"Retested",IF(OR($T1210="",NOT(ISNUMBER($T1210))),"Pending",IF(TODAY()&gt;$T1210,"OVERDUE","Due "&amp;TEXT($T1210,"mm/dd")))))</f>
        <v/>
      </c>
      <c r="V1210" s="16" t="n"/>
      <c r="W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K1211=1,IF(COUNTIFS(nrES_PID,$D1211,nrES_Code,$F1211,nrES_Att,2)&gt;0,"",$L1211),IF(COUNTIFS(nrES_PID,$D1211,nrES_Code,$F1211,nrES_Att,1)=0,$L1211,IF($L1211&gt;=$J1211,cfgRetakeRecordedCap,SUMIFS(nrES_Raw,nrES_PID,$D1211,nrES_Code,$F1211,nrES_Att,1))))))</f>
        <v/>
      </c>
      <c r="N1211" s="17">
        <f>IF($C1211="","",IF($L1211="","",IF($L1211&gt;=$J1211,"Yes","No")))</f>
        <v/>
      </c>
      <c r="O1211" s="17">
        <f>IF($C1211="","",IF($M1211="","",IF($M1211&gt;=$J1211,"Yes","No")))</f>
        <v/>
      </c>
      <c r="P1211" s="17">
        <f>IF($C1211="","",IF($K1211="","",IF(COUNTIFS(nrES_PID,$D1211,nrES_Code,$F1211,nrES_Att,"&gt;"&amp;$K1211)=0,"Yes","No")))</f>
        <v/>
      </c>
      <c r="Q1211" s="17">
        <f>IF($C1211="","",IF($L1211="","",IF(AND($K1211=1,$L1211&lt;$J1211,COUNTIFS(nrES_PID,$D1211,nrES_Code,$F1211,nrES_Att,2)=0),"Yes","No")))</f>
        <v/>
      </c>
      <c r="R1211" s="17">
        <f>IF($C1211="","",IF($L1211="","",IF(AND($K1211=2,$L1211&lt;$J1211,COUNTIFS(nrES_PID,$D1211,nrES_Code,$F1211,nrES_Att,1)&gt;0),"Yes","No")))</f>
        <v/>
      </c>
      <c r="S1211" s="18" t="n"/>
      <c r="T1211" s="19">
        <f>IF($Q1211&lt;&gt;"Yes","",IF($S1211="","(enter date)",_xlfn.LET(_xlpm.dn,IFERROR(_xlfn.XLOOKUP($S1211,nrCDdate,nrCDnum),""),IF(_xlpm.dn="","(not a class day)",IFERROR(_xlfn.XLOOKUP(_xlpm.dn+cfgRetestClassDays,nrCDnum,nrCDdate),"")))))</f>
        <v/>
      </c>
      <c r="U1211" s="17">
        <f>IF($Q1211&lt;&gt;"Yes","",IF(COUNTIFS(nrES_PID,$D1211,nrES_Code,$F1211,nrES_Att,2)&gt;0,"Retested",IF(OR($T1211="",NOT(ISNUMBER($T1211))),"Pending",IF(TODAY()&gt;$T1211,"OVERDUE","Due "&amp;TEXT($T1211,"mm/dd")))))</f>
        <v/>
      </c>
      <c r="V1211" s="16" t="n"/>
      <c r="W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K1212=1,IF(COUNTIFS(nrES_PID,$D1212,nrES_Code,$F1212,nrES_Att,2)&gt;0,"",$L1212),IF(COUNTIFS(nrES_PID,$D1212,nrES_Code,$F1212,nrES_Att,1)=0,$L1212,IF($L1212&gt;=$J1212,cfgRetakeRecordedCap,SUMIFS(nrES_Raw,nrES_PID,$D1212,nrES_Code,$F1212,nrES_Att,1))))))</f>
        <v/>
      </c>
      <c r="N1212" s="17">
        <f>IF($C1212="","",IF($L1212="","",IF($L1212&gt;=$J1212,"Yes","No")))</f>
        <v/>
      </c>
      <c r="O1212" s="17">
        <f>IF($C1212="","",IF($M1212="","",IF($M1212&gt;=$J1212,"Yes","No")))</f>
        <v/>
      </c>
      <c r="P1212" s="17">
        <f>IF($C1212="","",IF($K1212="","",IF(COUNTIFS(nrES_PID,$D1212,nrES_Code,$F1212,nrES_Att,"&gt;"&amp;$K1212)=0,"Yes","No")))</f>
        <v/>
      </c>
      <c r="Q1212" s="17">
        <f>IF($C1212="","",IF($L1212="","",IF(AND($K1212=1,$L1212&lt;$J1212,COUNTIFS(nrES_PID,$D1212,nrES_Code,$F1212,nrES_Att,2)=0),"Yes","No")))</f>
        <v/>
      </c>
      <c r="R1212" s="17">
        <f>IF($C1212="","",IF($L1212="","",IF(AND($K1212=2,$L1212&lt;$J1212,COUNTIFS(nrES_PID,$D1212,nrES_Code,$F1212,nrES_Att,1)&gt;0),"Yes","No")))</f>
        <v/>
      </c>
      <c r="S1212" s="18" t="n"/>
      <c r="T1212" s="19">
        <f>IF($Q1212&lt;&gt;"Yes","",IF($S1212="","(enter date)",_xlfn.LET(_xlpm.dn,IFERROR(_xlfn.XLOOKUP($S1212,nrCDdate,nrCDnum),""),IF(_xlpm.dn="","(not a class day)",IFERROR(_xlfn.XLOOKUP(_xlpm.dn+cfgRetestClassDays,nrCDnum,nrCDdate),"")))))</f>
        <v/>
      </c>
      <c r="U1212" s="17">
        <f>IF($Q1212&lt;&gt;"Yes","",IF(COUNTIFS(nrES_PID,$D1212,nrES_Code,$F1212,nrES_Att,2)&gt;0,"Retested",IF(OR($T1212="",NOT(ISNUMBER($T1212))),"Pending",IF(TODAY()&gt;$T1212,"OVERDUE","Due "&amp;TEXT($T1212,"mm/dd")))))</f>
        <v/>
      </c>
      <c r="V1212" s="16" t="n"/>
      <c r="W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K1213=1,IF(COUNTIFS(nrES_PID,$D1213,nrES_Code,$F1213,nrES_Att,2)&gt;0,"",$L1213),IF(COUNTIFS(nrES_PID,$D1213,nrES_Code,$F1213,nrES_Att,1)=0,$L1213,IF($L1213&gt;=$J1213,cfgRetakeRecordedCap,SUMIFS(nrES_Raw,nrES_PID,$D1213,nrES_Code,$F1213,nrES_Att,1))))))</f>
        <v/>
      </c>
      <c r="N1213" s="17">
        <f>IF($C1213="","",IF($L1213="","",IF($L1213&gt;=$J1213,"Yes","No")))</f>
        <v/>
      </c>
      <c r="O1213" s="17">
        <f>IF($C1213="","",IF($M1213="","",IF($M1213&gt;=$J1213,"Yes","No")))</f>
        <v/>
      </c>
      <c r="P1213" s="17">
        <f>IF($C1213="","",IF($K1213="","",IF(COUNTIFS(nrES_PID,$D1213,nrES_Code,$F1213,nrES_Att,"&gt;"&amp;$K1213)=0,"Yes","No")))</f>
        <v/>
      </c>
      <c r="Q1213" s="17">
        <f>IF($C1213="","",IF($L1213="","",IF(AND($K1213=1,$L1213&lt;$J1213,COUNTIFS(nrES_PID,$D1213,nrES_Code,$F1213,nrES_Att,2)=0),"Yes","No")))</f>
        <v/>
      </c>
      <c r="R1213" s="17">
        <f>IF($C1213="","",IF($L1213="","",IF(AND($K1213=2,$L1213&lt;$J1213,COUNTIFS(nrES_PID,$D1213,nrES_Code,$F1213,nrES_Att,1)&gt;0),"Yes","No")))</f>
        <v/>
      </c>
      <c r="S1213" s="18" t="n"/>
      <c r="T1213" s="19">
        <f>IF($Q1213&lt;&gt;"Yes","",IF($S1213="","(enter date)",_xlfn.LET(_xlpm.dn,IFERROR(_xlfn.XLOOKUP($S1213,nrCDdate,nrCDnum),""),IF(_xlpm.dn="","(not a class day)",IFERROR(_xlfn.XLOOKUP(_xlpm.dn+cfgRetestClassDays,nrCDnum,nrCDdate),"")))))</f>
        <v/>
      </c>
      <c r="U1213" s="17">
        <f>IF($Q1213&lt;&gt;"Yes","",IF(COUNTIFS(nrES_PID,$D1213,nrES_Code,$F1213,nrES_Att,2)&gt;0,"Retested",IF(OR($T1213="",NOT(ISNUMBER($T1213))),"Pending",IF(TODAY()&gt;$T1213,"OVERDUE","Due "&amp;TEXT($T1213,"mm/dd")))))</f>
        <v/>
      </c>
      <c r="V1213" s="16" t="n"/>
      <c r="W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K1214=1,IF(COUNTIFS(nrES_PID,$D1214,nrES_Code,$F1214,nrES_Att,2)&gt;0,"",$L1214),IF(COUNTIFS(nrES_PID,$D1214,nrES_Code,$F1214,nrES_Att,1)=0,$L1214,IF($L1214&gt;=$J1214,cfgRetakeRecordedCap,SUMIFS(nrES_Raw,nrES_PID,$D1214,nrES_Code,$F1214,nrES_Att,1))))))</f>
        <v/>
      </c>
      <c r="N1214" s="17">
        <f>IF($C1214="","",IF($L1214="","",IF($L1214&gt;=$J1214,"Yes","No")))</f>
        <v/>
      </c>
      <c r="O1214" s="17">
        <f>IF($C1214="","",IF($M1214="","",IF($M1214&gt;=$J1214,"Yes","No")))</f>
        <v/>
      </c>
      <c r="P1214" s="17">
        <f>IF($C1214="","",IF($K1214="","",IF(COUNTIFS(nrES_PID,$D1214,nrES_Code,$F1214,nrES_Att,"&gt;"&amp;$K1214)=0,"Yes","No")))</f>
        <v/>
      </c>
      <c r="Q1214" s="17">
        <f>IF($C1214="","",IF($L1214="","",IF(AND($K1214=1,$L1214&lt;$J1214,COUNTIFS(nrES_PID,$D1214,nrES_Code,$F1214,nrES_Att,2)=0),"Yes","No")))</f>
        <v/>
      </c>
      <c r="R1214" s="17">
        <f>IF($C1214="","",IF($L1214="","",IF(AND($K1214=2,$L1214&lt;$J1214,COUNTIFS(nrES_PID,$D1214,nrES_Code,$F1214,nrES_Att,1)&gt;0),"Yes","No")))</f>
        <v/>
      </c>
      <c r="S1214" s="18" t="n"/>
      <c r="T1214" s="19">
        <f>IF($Q1214&lt;&gt;"Yes","",IF($S1214="","(enter date)",_xlfn.LET(_xlpm.dn,IFERROR(_xlfn.XLOOKUP($S1214,nrCDdate,nrCDnum),""),IF(_xlpm.dn="","(not a class day)",IFERROR(_xlfn.XLOOKUP(_xlpm.dn+cfgRetestClassDays,nrCDnum,nrCDdate),"")))))</f>
        <v/>
      </c>
      <c r="U1214" s="17">
        <f>IF($Q1214&lt;&gt;"Yes","",IF(COUNTIFS(nrES_PID,$D1214,nrES_Code,$F1214,nrES_Att,2)&gt;0,"Retested",IF(OR($T1214="",NOT(ISNUMBER($T1214))),"Pending",IF(TODAY()&gt;$T1214,"OVERDUE","Due "&amp;TEXT($T1214,"mm/dd")))))</f>
        <v/>
      </c>
      <c r="V1214" s="16" t="n"/>
      <c r="W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K1215=1,IF(COUNTIFS(nrES_PID,$D1215,nrES_Code,$F1215,nrES_Att,2)&gt;0,"",$L1215),IF(COUNTIFS(nrES_PID,$D1215,nrES_Code,$F1215,nrES_Att,1)=0,$L1215,IF($L1215&gt;=$J1215,cfgRetakeRecordedCap,SUMIFS(nrES_Raw,nrES_PID,$D1215,nrES_Code,$F1215,nrES_Att,1))))))</f>
        <v/>
      </c>
      <c r="N1215" s="17">
        <f>IF($C1215="","",IF($L1215="","",IF($L1215&gt;=$J1215,"Yes","No")))</f>
        <v/>
      </c>
      <c r="O1215" s="17">
        <f>IF($C1215="","",IF($M1215="","",IF($M1215&gt;=$J1215,"Yes","No")))</f>
        <v/>
      </c>
      <c r="P1215" s="17">
        <f>IF($C1215="","",IF($K1215="","",IF(COUNTIFS(nrES_PID,$D1215,nrES_Code,$F1215,nrES_Att,"&gt;"&amp;$K1215)=0,"Yes","No")))</f>
        <v/>
      </c>
      <c r="Q1215" s="17">
        <f>IF($C1215="","",IF($L1215="","",IF(AND($K1215=1,$L1215&lt;$J1215,COUNTIFS(nrES_PID,$D1215,nrES_Code,$F1215,nrES_Att,2)=0),"Yes","No")))</f>
        <v/>
      </c>
      <c r="R1215" s="17">
        <f>IF($C1215="","",IF($L1215="","",IF(AND($K1215=2,$L1215&lt;$J1215,COUNTIFS(nrES_PID,$D1215,nrES_Code,$F1215,nrES_Att,1)&gt;0),"Yes","No")))</f>
        <v/>
      </c>
      <c r="S1215" s="18" t="n"/>
      <c r="T1215" s="19">
        <f>IF($Q1215&lt;&gt;"Yes","",IF($S1215="","(enter date)",_xlfn.LET(_xlpm.dn,IFERROR(_xlfn.XLOOKUP($S1215,nrCDdate,nrCDnum),""),IF(_xlpm.dn="","(not a class day)",IFERROR(_xlfn.XLOOKUP(_xlpm.dn+cfgRetestClassDays,nrCDnum,nrCDdate),"")))))</f>
        <v/>
      </c>
      <c r="U1215" s="17">
        <f>IF($Q1215&lt;&gt;"Yes","",IF(COUNTIFS(nrES_PID,$D1215,nrES_Code,$F1215,nrES_Att,2)&gt;0,"Retested",IF(OR($T1215="",NOT(ISNUMBER($T1215))),"Pending",IF(TODAY()&gt;$T1215,"OVERDUE","Due "&amp;TEXT($T1215,"mm/dd")))))</f>
        <v/>
      </c>
      <c r="V1215" s="16" t="n"/>
      <c r="W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K1216=1,IF(COUNTIFS(nrES_PID,$D1216,nrES_Code,$F1216,nrES_Att,2)&gt;0,"",$L1216),IF(COUNTIFS(nrES_PID,$D1216,nrES_Code,$F1216,nrES_Att,1)=0,$L1216,IF($L1216&gt;=$J1216,cfgRetakeRecordedCap,SUMIFS(nrES_Raw,nrES_PID,$D1216,nrES_Code,$F1216,nrES_Att,1))))))</f>
        <v/>
      </c>
      <c r="N1216" s="17">
        <f>IF($C1216="","",IF($L1216="","",IF($L1216&gt;=$J1216,"Yes","No")))</f>
        <v/>
      </c>
      <c r="O1216" s="17">
        <f>IF($C1216="","",IF($M1216="","",IF($M1216&gt;=$J1216,"Yes","No")))</f>
        <v/>
      </c>
      <c r="P1216" s="17">
        <f>IF($C1216="","",IF($K1216="","",IF(COUNTIFS(nrES_PID,$D1216,nrES_Code,$F1216,nrES_Att,"&gt;"&amp;$K1216)=0,"Yes","No")))</f>
        <v/>
      </c>
      <c r="Q1216" s="17">
        <f>IF($C1216="","",IF($L1216="","",IF(AND($K1216=1,$L1216&lt;$J1216,COUNTIFS(nrES_PID,$D1216,nrES_Code,$F1216,nrES_Att,2)=0),"Yes","No")))</f>
        <v/>
      </c>
      <c r="R1216" s="17">
        <f>IF($C1216="","",IF($L1216="","",IF(AND($K1216=2,$L1216&lt;$J1216,COUNTIFS(nrES_PID,$D1216,nrES_Code,$F1216,nrES_Att,1)&gt;0),"Yes","No")))</f>
        <v/>
      </c>
      <c r="S1216" s="18" t="n"/>
      <c r="T1216" s="19">
        <f>IF($Q1216&lt;&gt;"Yes","",IF($S1216="","(enter date)",_xlfn.LET(_xlpm.dn,IFERROR(_xlfn.XLOOKUP($S1216,nrCDdate,nrCDnum),""),IF(_xlpm.dn="","(not a class day)",IFERROR(_xlfn.XLOOKUP(_xlpm.dn+cfgRetestClassDays,nrCDnum,nrCDdate),"")))))</f>
        <v/>
      </c>
      <c r="U1216" s="17">
        <f>IF($Q1216&lt;&gt;"Yes","",IF(COUNTIFS(nrES_PID,$D1216,nrES_Code,$F1216,nrES_Att,2)&gt;0,"Retested",IF(OR($T1216="",NOT(ISNUMBER($T1216))),"Pending",IF(TODAY()&gt;$T1216,"OVERDUE","Due "&amp;TEXT($T1216,"mm/dd")))))</f>
        <v/>
      </c>
      <c r="V1216" s="16" t="n"/>
      <c r="W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K1217=1,IF(COUNTIFS(nrES_PID,$D1217,nrES_Code,$F1217,nrES_Att,2)&gt;0,"",$L1217),IF(COUNTIFS(nrES_PID,$D1217,nrES_Code,$F1217,nrES_Att,1)=0,$L1217,IF($L1217&gt;=$J1217,cfgRetakeRecordedCap,SUMIFS(nrES_Raw,nrES_PID,$D1217,nrES_Code,$F1217,nrES_Att,1))))))</f>
        <v/>
      </c>
      <c r="N1217" s="17">
        <f>IF($C1217="","",IF($L1217="","",IF($L1217&gt;=$J1217,"Yes","No")))</f>
        <v/>
      </c>
      <c r="O1217" s="17">
        <f>IF($C1217="","",IF($M1217="","",IF($M1217&gt;=$J1217,"Yes","No")))</f>
        <v/>
      </c>
      <c r="P1217" s="17">
        <f>IF($C1217="","",IF($K1217="","",IF(COUNTIFS(nrES_PID,$D1217,nrES_Code,$F1217,nrES_Att,"&gt;"&amp;$K1217)=0,"Yes","No")))</f>
        <v/>
      </c>
      <c r="Q1217" s="17">
        <f>IF($C1217="","",IF($L1217="","",IF(AND($K1217=1,$L1217&lt;$J1217,COUNTIFS(nrES_PID,$D1217,nrES_Code,$F1217,nrES_Att,2)=0),"Yes","No")))</f>
        <v/>
      </c>
      <c r="R1217" s="17">
        <f>IF($C1217="","",IF($L1217="","",IF(AND($K1217=2,$L1217&lt;$J1217,COUNTIFS(nrES_PID,$D1217,nrES_Code,$F1217,nrES_Att,1)&gt;0),"Yes","No")))</f>
        <v/>
      </c>
      <c r="S1217" s="18" t="n"/>
      <c r="T1217" s="19">
        <f>IF($Q1217&lt;&gt;"Yes","",IF($S1217="","(enter date)",_xlfn.LET(_xlpm.dn,IFERROR(_xlfn.XLOOKUP($S1217,nrCDdate,nrCDnum),""),IF(_xlpm.dn="","(not a class day)",IFERROR(_xlfn.XLOOKUP(_xlpm.dn+cfgRetestClassDays,nrCDnum,nrCDdate),"")))))</f>
        <v/>
      </c>
      <c r="U1217" s="17">
        <f>IF($Q1217&lt;&gt;"Yes","",IF(COUNTIFS(nrES_PID,$D1217,nrES_Code,$F1217,nrES_Att,2)&gt;0,"Retested",IF(OR($T1217="",NOT(ISNUMBER($T1217))),"Pending",IF(TODAY()&gt;$T1217,"OVERDUE","Due "&amp;TEXT($T1217,"mm/dd")))))</f>
        <v/>
      </c>
      <c r="V1217" s="16" t="n"/>
      <c r="W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K1218=1,IF(COUNTIFS(nrES_PID,$D1218,nrES_Code,$F1218,nrES_Att,2)&gt;0,"",$L1218),IF(COUNTIFS(nrES_PID,$D1218,nrES_Code,$F1218,nrES_Att,1)=0,$L1218,IF($L1218&gt;=$J1218,cfgRetakeRecordedCap,SUMIFS(nrES_Raw,nrES_PID,$D1218,nrES_Code,$F1218,nrES_Att,1))))))</f>
        <v/>
      </c>
      <c r="N1218" s="17">
        <f>IF($C1218="","",IF($L1218="","",IF($L1218&gt;=$J1218,"Yes","No")))</f>
        <v/>
      </c>
      <c r="O1218" s="17">
        <f>IF($C1218="","",IF($M1218="","",IF($M1218&gt;=$J1218,"Yes","No")))</f>
        <v/>
      </c>
      <c r="P1218" s="17">
        <f>IF($C1218="","",IF($K1218="","",IF(COUNTIFS(nrES_PID,$D1218,nrES_Code,$F1218,nrES_Att,"&gt;"&amp;$K1218)=0,"Yes","No")))</f>
        <v/>
      </c>
      <c r="Q1218" s="17">
        <f>IF($C1218="","",IF($L1218="","",IF(AND($K1218=1,$L1218&lt;$J1218,COUNTIFS(nrES_PID,$D1218,nrES_Code,$F1218,nrES_Att,2)=0),"Yes","No")))</f>
        <v/>
      </c>
      <c r="R1218" s="17">
        <f>IF($C1218="","",IF($L1218="","",IF(AND($K1218=2,$L1218&lt;$J1218,COUNTIFS(nrES_PID,$D1218,nrES_Code,$F1218,nrES_Att,1)&gt;0),"Yes","No")))</f>
        <v/>
      </c>
      <c r="S1218" s="18" t="n"/>
      <c r="T1218" s="19">
        <f>IF($Q1218&lt;&gt;"Yes","",IF($S1218="","(enter date)",_xlfn.LET(_xlpm.dn,IFERROR(_xlfn.XLOOKUP($S1218,nrCDdate,nrCDnum),""),IF(_xlpm.dn="","(not a class day)",IFERROR(_xlfn.XLOOKUP(_xlpm.dn+cfgRetestClassDays,nrCDnum,nrCDdate),"")))))</f>
        <v/>
      </c>
      <c r="U1218" s="17">
        <f>IF($Q1218&lt;&gt;"Yes","",IF(COUNTIFS(nrES_PID,$D1218,nrES_Code,$F1218,nrES_Att,2)&gt;0,"Retested",IF(OR($T1218="",NOT(ISNUMBER($T1218))),"Pending",IF(TODAY()&gt;$T1218,"OVERDUE","Due "&amp;TEXT($T1218,"mm/dd")))))</f>
        <v/>
      </c>
      <c r="V1218" s="16" t="n"/>
      <c r="W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K1219=1,IF(COUNTIFS(nrES_PID,$D1219,nrES_Code,$F1219,nrES_Att,2)&gt;0,"",$L1219),IF(COUNTIFS(nrES_PID,$D1219,nrES_Code,$F1219,nrES_Att,1)=0,$L1219,IF($L1219&gt;=$J1219,cfgRetakeRecordedCap,SUMIFS(nrES_Raw,nrES_PID,$D1219,nrES_Code,$F1219,nrES_Att,1))))))</f>
        <v/>
      </c>
      <c r="N1219" s="17">
        <f>IF($C1219="","",IF($L1219="","",IF($L1219&gt;=$J1219,"Yes","No")))</f>
        <v/>
      </c>
      <c r="O1219" s="17">
        <f>IF($C1219="","",IF($M1219="","",IF($M1219&gt;=$J1219,"Yes","No")))</f>
        <v/>
      </c>
      <c r="P1219" s="17">
        <f>IF($C1219="","",IF($K1219="","",IF(COUNTIFS(nrES_PID,$D1219,nrES_Code,$F1219,nrES_Att,"&gt;"&amp;$K1219)=0,"Yes","No")))</f>
        <v/>
      </c>
      <c r="Q1219" s="17">
        <f>IF($C1219="","",IF($L1219="","",IF(AND($K1219=1,$L1219&lt;$J1219,COUNTIFS(nrES_PID,$D1219,nrES_Code,$F1219,nrES_Att,2)=0),"Yes","No")))</f>
        <v/>
      </c>
      <c r="R1219" s="17">
        <f>IF($C1219="","",IF($L1219="","",IF(AND($K1219=2,$L1219&lt;$J1219,COUNTIFS(nrES_PID,$D1219,nrES_Code,$F1219,nrES_Att,1)&gt;0),"Yes","No")))</f>
        <v/>
      </c>
      <c r="S1219" s="18" t="n"/>
      <c r="T1219" s="19">
        <f>IF($Q1219&lt;&gt;"Yes","",IF($S1219="","(enter date)",_xlfn.LET(_xlpm.dn,IFERROR(_xlfn.XLOOKUP($S1219,nrCDdate,nrCDnum),""),IF(_xlpm.dn="","(not a class day)",IFERROR(_xlfn.XLOOKUP(_xlpm.dn+cfgRetestClassDays,nrCDnum,nrCDdate),"")))))</f>
        <v/>
      </c>
      <c r="U1219" s="17">
        <f>IF($Q1219&lt;&gt;"Yes","",IF(COUNTIFS(nrES_PID,$D1219,nrES_Code,$F1219,nrES_Att,2)&gt;0,"Retested",IF(OR($T1219="",NOT(ISNUMBER($T1219))),"Pending",IF(TODAY()&gt;$T1219,"OVERDUE","Due "&amp;TEXT($T1219,"mm/dd")))))</f>
        <v/>
      </c>
      <c r="V1219" s="16" t="n"/>
      <c r="W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K1220=1,IF(COUNTIFS(nrES_PID,$D1220,nrES_Code,$F1220,nrES_Att,2)&gt;0,"",$L1220),IF(COUNTIFS(nrES_PID,$D1220,nrES_Code,$F1220,nrES_Att,1)=0,$L1220,IF($L1220&gt;=$J1220,cfgRetakeRecordedCap,SUMIFS(nrES_Raw,nrES_PID,$D1220,nrES_Code,$F1220,nrES_Att,1))))))</f>
        <v/>
      </c>
      <c r="N1220" s="17">
        <f>IF($C1220="","",IF($L1220="","",IF($L1220&gt;=$J1220,"Yes","No")))</f>
        <v/>
      </c>
      <c r="O1220" s="17">
        <f>IF($C1220="","",IF($M1220="","",IF($M1220&gt;=$J1220,"Yes","No")))</f>
        <v/>
      </c>
      <c r="P1220" s="17">
        <f>IF($C1220="","",IF($K1220="","",IF(COUNTIFS(nrES_PID,$D1220,nrES_Code,$F1220,nrES_Att,"&gt;"&amp;$K1220)=0,"Yes","No")))</f>
        <v/>
      </c>
      <c r="Q1220" s="17">
        <f>IF($C1220="","",IF($L1220="","",IF(AND($K1220=1,$L1220&lt;$J1220,COUNTIFS(nrES_PID,$D1220,nrES_Code,$F1220,nrES_Att,2)=0),"Yes","No")))</f>
        <v/>
      </c>
      <c r="R1220" s="17">
        <f>IF($C1220="","",IF($L1220="","",IF(AND($K1220=2,$L1220&lt;$J1220,COUNTIFS(nrES_PID,$D1220,nrES_Code,$F1220,nrES_Att,1)&gt;0),"Yes","No")))</f>
        <v/>
      </c>
      <c r="S1220" s="18" t="n"/>
      <c r="T1220" s="19">
        <f>IF($Q1220&lt;&gt;"Yes","",IF($S1220="","(enter date)",_xlfn.LET(_xlpm.dn,IFERROR(_xlfn.XLOOKUP($S1220,nrCDdate,nrCDnum),""),IF(_xlpm.dn="","(not a class day)",IFERROR(_xlfn.XLOOKUP(_xlpm.dn+cfgRetestClassDays,nrCDnum,nrCDdate),"")))))</f>
        <v/>
      </c>
      <c r="U1220" s="17">
        <f>IF($Q1220&lt;&gt;"Yes","",IF(COUNTIFS(nrES_PID,$D1220,nrES_Code,$F1220,nrES_Att,2)&gt;0,"Retested",IF(OR($T1220="",NOT(ISNUMBER($T1220))),"Pending",IF(TODAY()&gt;$T1220,"OVERDUE","Due "&amp;TEXT($T1220,"mm/dd")))))</f>
        <v/>
      </c>
      <c r="V1220" s="16" t="n"/>
      <c r="W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K1221=1,IF(COUNTIFS(nrES_PID,$D1221,nrES_Code,$F1221,nrES_Att,2)&gt;0,"",$L1221),IF(COUNTIFS(nrES_PID,$D1221,nrES_Code,$F1221,nrES_Att,1)=0,$L1221,IF($L1221&gt;=$J1221,cfgRetakeRecordedCap,SUMIFS(nrES_Raw,nrES_PID,$D1221,nrES_Code,$F1221,nrES_Att,1))))))</f>
        <v/>
      </c>
      <c r="N1221" s="17">
        <f>IF($C1221="","",IF($L1221="","",IF($L1221&gt;=$J1221,"Yes","No")))</f>
        <v/>
      </c>
      <c r="O1221" s="17">
        <f>IF($C1221="","",IF($M1221="","",IF($M1221&gt;=$J1221,"Yes","No")))</f>
        <v/>
      </c>
      <c r="P1221" s="17">
        <f>IF($C1221="","",IF($K1221="","",IF(COUNTIFS(nrES_PID,$D1221,nrES_Code,$F1221,nrES_Att,"&gt;"&amp;$K1221)=0,"Yes","No")))</f>
        <v/>
      </c>
      <c r="Q1221" s="17">
        <f>IF($C1221="","",IF($L1221="","",IF(AND($K1221=1,$L1221&lt;$J1221,COUNTIFS(nrES_PID,$D1221,nrES_Code,$F1221,nrES_Att,2)=0),"Yes","No")))</f>
        <v/>
      </c>
      <c r="R1221" s="17">
        <f>IF($C1221="","",IF($L1221="","",IF(AND($K1221=2,$L1221&lt;$J1221,COUNTIFS(nrES_PID,$D1221,nrES_Code,$F1221,nrES_Att,1)&gt;0),"Yes","No")))</f>
        <v/>
      </c>
      <c r="S1221" s="18" t="n"/>
      <c r="T1221" s="19">
        <f>IF($Q1221&lt;&gt;"Yes","",IF($S1221="","(enter date)",_xlfn.LET(_xlpm.dn,IFERROR(_xlfn.XLOOKUP($S1221,nrCDdate,nrCDnum),""),IF(_xlpm.dn="","(not a class day)",IFERROR(_xlfn.XLOOKUP(_xlpm.dn+cfgRetestClassDays,nrCDnum,nrCDdate),"")))))</f>
        <v/>
      </c>
      <c r="U1221" s="17">
        <f>IF($Q1221&lt;&gt;"Yes","",IF(COUNTIFS(nrES_PID,$D1221,nrES_Code,$F1221,nrES_Att,2)&gt;0,"Retested",IF(OR($T1221="",NOT(ISNUMBER($T1221))),"Pending",IF(TODAY()&gt;$T1221,"OVERDUE","Due "&amp;TEXT($T1221,"mm/dd")))))</f>
        <v/>
      </c>
      <c r="V1221" s="16" t="n"/>
      <c r="W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K1222=1,IF(COUNTIFS(nrES_PID,$D1222,nrES_Code,$F1222,nrES_Att,2)&gt;0,"",$L1222),IF(COUNTIFS(nrES_PID,$D1222,nrES_Code,$F1222,nrES_Att,1)=0,$L1222,IF($L1222&gt;=$J1222,cfgRetakeRecordedCap,SUMIFS(nrES_Raw,nrES_PID,$D1222,nrES_Code,$F1222,nrES_Att,1))))))</f>
        <v/>
      </c>
      <c r="N1222" s="17">
        <f>IF($C1222="","",IF($L1222="","",IF($L1222&gt;=$J1222,"Yes","No")))</f>
        <v/>
      </c>
      <c r="O1222" s="17">
        <f>IF($C1222="","",IF($M1222="","",IF($M1222&gt;=$J1222,"Yes","No")))</f>
        <v/>
      </c>
      <c r="P1222" s="17">
        <f>IF($C1222="","",IF($K1222="","",IF(COUNTIFS(nrES_PID,$D1222,nrES_Code,$F1222,nrES_Att,"&gt;"&amp;$K1222)=0,"Yes","No")))</f>
        <v/>
      </c>
      <c r="Q1222" s="17">
        <f>IF($C1222="","",IF($L1222="","",IF(AND($K1222=1,$L1222&lt;$J1222,COUNTIFS(nrES_PID,$D1222,nrES_Code,$F1222,nrES_Att,2)=0),"Yes","No")))</f>
        <v/>
      </c>
      <c r="R1222" s="17">
        <f>IF($C1222="","",IF($L1222="","",IF(AND($K1222=2,$L1222&lt;$J1222,COUNTIFS(nrES_PID,$D1222,nrES_Code,$F1222,nrES_Att,1)&gt;0),"Yes","No")))</f>
        <v/>
      </c>
      <c r="S1222" s="18" t="n"/>
      <c r="T1222" s="19">
        <f>IF($Q1222&lt;&gt;"Yes","",IF($S1222="","(enter date)",_xlfn.LET(_xlpm.dn,IFERROR(_xlfn.XLOOKUP($S1222,nrCDdate,nrCDnum),""),IF(_xlpm.dn="","(not a class day)",IFERROR(_xlfn.XLOOKUP(_xlpm.dn+cfgRetestClassDays,nrCDnum,nrCDdate),"")))))</f>
        <v/>
      </c>
      <c r="U1222" s="17">
        <f>IF($Q1222&lt;&gt;"Yes","",IF(COUNTIFS(nrES_PID,$D1222,nrES_Code,$F1222,nrES_Att,2)&gt;0,"Retested",IF(OR($T1222="",NOT(ISNUMBER($T1222))),"Pending",IF(TODAY()&gt;$T1222,"OVERDUE","Due "&amp;TEXT($T1222,"mm/dd")))))</f>
        <v/>
      </c>
      <c r="V1222" s="16" t="n"/>
      <c r="W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K1223=1,IF(COUNTIFS(nrES_PID,$D1223,nrES_Code,$F1223,nrES_Att,2)&gt;0,"",$L1223),IF(COUNTIFS(nrES_PID,$D1223,nrES_Code,$F1223,nrES_Att,1)=0,$L1223,IF($L1223&gt;=$J1223,cfgRetakeRecordedCap,SUMIFS(nrES_Raw,nrES_PID,$D1223,nrES_Code,$F1223,nrES_Att,1))))))</f>
        <v/>
      </c>
      <c r="N1223" s="17">
        <f>IF($C1223="","",IF($L1223="","",IF($L1223&gt;=$J1223,"Yes","No")))</f>
        <v/>
      </c>
      <c r="O1223" s="17">
        <f>IF($C1223="","",IF($M1223="","",IF($M1223&gt;=$J1223,"Yes","No")))</f>
        <v/>
      </c>
      <c r="P1223" s="17">
        <f>IF($C1223="","",IF($K1223="","",IF(COUNTIFS(nrES_PID,$D1223,nrES_Code,$F1223,nrES_Att,"&gt;"&amp;$K1223)=0,"Yes","No")))</f>
        <v/>
      </c>
      <c r="Q1223" s="17">
        <f>IF($C1223="","",IF($L1223="","",IF(AND($K1223=1,$L1223&lt;$J1223,COUNTIFS(nrES_PID,$D1223,nrES_Code,$F1223,nrES_Att,2)=0),"Yes","No")))</f>
        <v/>
      </c>
      <c r="R1223" s="17">
        <f>IF($C1223="","",IF($L1223="","",IF(AND($K1223=2,$L1223&lt;$J1223,COUNTIFS(nrES_PID,$D1223,nrES_Code,$F1223,nrES_Att,1)&gt;0),"Yes","No")))</f>
        <v/>
      </c>
      <c r="S1223" s="18" t="n"/>
      <c r="T1223" s="19">
        <f>IF($Q1223&lt;&gt;"Yes","",IF($S1223="","(enter date)",_xlfn.LET(_xlpm.dn,IFERROR(_xlfn.XLOOKUP($S1223,nrCDdate,nrCDnum),""),IF(_xlpm.dn="","(not a class day)",IFERROR(_xlfn.XLOOKUP(_xlpm.dn+cfgRetestClassDays,nrCDnum,nrCDdate),"")))))</f>
        <v/>
      </c>
      <c r="U1223" s="17">
        <f>IF($Q1223&lt;&gt;"Yes","",IF(COUNTIFS(nrES_PID,$D1223,nrES_Code,$F1223,nrES_Att,2)&gt;0,"Retested",IF(OR($T1223="",NOT(ISNUMBER($T1223))),"Pending",IF(TODAY()&gt;$T1223,"OVERDUE","Due "&amp;TEXT($T1223,"mm/dd")))))</f>
        <v/>
      </c>
      <c r="V1223" s="16" t="n"/>
      <c r="W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K1224=1,IF(COUNTIFS(nrES_PID,$D1224,nrES_Code,$F1224,nrES_Att,2)&gt;0,"",$L1224),IF(COUNTIFS(nrES_PID,$D1224,nrES_Code,$F1224,nrES_Att,1)=0,$L1224,IF($L1224&gt;=$J1224,cfgRetakeRecordedCap,SUMIFS(nrES_Raw,nrES_PID,$D1224,nrES_Code,$F1224,nrES_Att,1))))))</f>
        <v/>
      </c>
      <c r="N1224" s="17">
        <f>IF($C1224="","",IF($L1224="","",IF($L1224&gt;=$J1224,"Yes","No")))</f>
        <v/>
      </c>
      <c r="O1224" s="17">
        <f>IF($C1224="","",IF($M1224="","",IF($M1224&gt;=$J1224,"Yes","No")))</f>
        <v/>
      </c>
      <c r="P1224" s="17">
        <f>IF($C1224="","",IF($K1224="","",IF(COUNTIFS(nrES_PID,$D1224,nrES_Code,$F1224,nrES_Att,"&gt;"&amp;$K1224)=0,"Yes","No")))</f>
        <v/>
      </c>
      <c r="Q1224" s="17">
        <f>IF($C1224="","",IF($L1224="","",IF(AND($K1224=1,$L1224&lt;$J1224,COUNTIFS(nrES_PID,$D1224,nrES_Code,$F1224,nrES_Att,2)=0),"Yes","No")))</f>
        <v/>
      </c>
      <c r="R1224" s="17">
        <f>IF($C1224="","",IF($L1224="","",IF(AND($K1224=2,$L1224&lt;$J1224,COUNTIFS(nrES_PID,$D1224,nrES_Code,$F1224,nrES_Att,1)&gt;0),"Yes","No")))</f>
        <v/>
      </c>
      <c r="S1224" s="18" t="n"/>
      <c r="T1224" s="19">
        <f>IF($Q1224&lt;&gt;"Yes","",IF($S1224="","(enter date)",_xlfn.LET(_xlpm.dn,IFERROR(_xlfn.XLOOKUP($S1224,nrCDdate,nrCDnum),""),IF(_xlpm.dn="","(not a class day)",IFERROR(_xlfn.XLOOKUP(_xlpm.dn+cfgRetestClassDays,nrCDnum,nrCDdate),"")))))</f>
        <v/>
      </c>
      <c r="U1224" s="17">
        <f>IF($Q1224&lt;&gt;"Yes","",IF(COUNTIFS(nrES_PID,$D1224,nrES_Code,$F1224,nrES_Att,2)&gt;0,"Retested",IF(OR($T1224="",NOT(ISNUMBER($T1224))),"Pending",IF(TODAY()&gt;$T1224,"OVERDUE","Due "&amp;TEXT($T1224,"mm/dd")))))</f>
        <v/>
      </c>
      <c r="V1224" s="16" t="n"/>
      <c r="W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K1225=1,IF(COUNTIFS(nrES_PID,$D1225,nrES_Code,$F1225,nrES_Att,2)&gt;0,"",$L1225),IF(COUNTIFS(nrES_PID,$D1225,nrES_Code,$F1225,nrES_Att,1)=0,$L1225,IF($L1225&gt;=$J1225,cfgRetakeRecordedCap,SUMIFS(nrES_Raw,nrES_PID,$D1225,nrES_Code,$F1225,nrES_Att,1))))))</f>
        <v/>
      </c>
      <c r="N1225" s="17">
        <f>IF($C1225="","",IF($L1225="","",IF($L1225&gt;=$J1225,"Yes","No")))</f>
        <v/>
      </c>
      <c r="O1225" s="17">
        <f>IF($C1225="","",IF($M1225="","",IF($M1225&gt;=$J1225,"Yes","No")))</f>
        <v/>
      </c>
      <c r="P1225" s="17">
        <f>IF($C1225="","",IF($K1225="","",IF(COUNTIFS(nrES_PID,$D1225,nrES_Code,$F1225,nrES_Att,"&gt;"&amp;$K1225)=0,"Yes","No")))</f>
        <v/>
      </c>
      <c r="Q1225" s="17">
        <f>IF($C1225="","",IF($L1225="","",IF(AND($K1225=1,$L1225&lt;$J1225,COUNTIFS(nrES_PID,$D1225,nrES_Code,$F1225,nrES_Att,2)=0),"Yes","No")))</f>
        <v/>
      </c>
      <c r="R1225" s="17">
        <f>IF($C1225="","",IF($L1225="","",IF(AND($K1225=2,$L1225&lt;$J1225,COUNTIFS(nrES_PID,$D1225,nrES_Code,$F1225,nrES_Att,1)&gt;0),"Yes","No")))</f>
        <v/>
      </c>
      <c r="S1225" s="18" t="n"/>
      <c r="T1225" s="19">
        <f>IF($Q1225&lt;&gt;"Yes","",IF($S1225="","(enter date)",_xlfn.LET(_xlpm.dn,IFERROR(_xlfn.XLOOKUP($S1225,nrCDdate,nrCDnum),""),IF(_xlpm.dn="","(not a class day)",IFERROR(_xlfn.XLOOKUP(_xlpm.dn+cfgRetestClassDays,nrCDnum,nrCDdate),"")))))</f>
        <v/>
      </c>
      <c r="U1225" s="17">
        <f>IF($Q1225&lt;&gt;"Yes","",IF(COUNTIFS(nrES_PID,$D1225,nrES_Code,$F1225,nrES_Att,2)&gt;0,"Retested",IF(OR($T1225="",NOT(ISNUMBER($T1225))),"Pending",IF(TODAY()&gt;$T1225,"OVERDUE","Due "&amp;TEXT($T1225,"mm/dd")))))</f>
        <v/>
      </c>
      <c r="V1225" s="16" t="n"/>
      <c r="W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K1226=1,IF(COUNTIFS(nrES_PID,$D1226,nrES_Code,$F1226,nrES_Att,2)&gt;0,"",$L1226),IF(COUNTIFS(nrES_PID,$D1226,nrES_Code,$F1226,nrES_Att,1)=0,$L1226,IF($L1226&gt;=$J1226,cfgRetakeRecordedCap,SUMIFS(nrES_Raw,nrES_PID,$D1226,nrES_Code,$F1226,nrES_Att,1))))))</f>
        <v/>
      </c>
      <c r="N1226" s="17">
        <f>IF($C1226="","",IF($L1226="","",IF($L1226&gt;=$J1226,"Yes","No")))</f>
        <v/>
      </c>
      <c r="O1226" s="17">
        <f>IF($C1226="","",IF($M1226="","",IF($M1226&gt;=$J1226,"Yes","No")))</f>
        <v/>
      </c>
      <c r="P1226" s="17">
        <f>IF($C1226="","",IF($K1226="","",IF(COUNTIFS(nrES_PID,$D1226,nrES_Code,$F1226,nrES_Att,"&gt;"&amp;$K1226)=0,"Yes","No")))</f>
        <v/>
      </c>
      <c r="Q1226" s="17">
        <f>IF($C1226="","",IF($L1226="","",IF(AND($K1226=1,$L1226&lt;$J1226,COUNTIFS(nrES_PID,$D1226,nrES_Code,$F1226,nrES_Att,2)=0),"Yes","No")))</f>
        <v/>
      </c>
      <c r="R1226" s="17">
        <f>IF($C1226="","",IF($L1226="","",IF(AND($K1226=2,$L1226&lt;$J1226,COUNTIFS(nrES_PID,$D1226,nrES_Code,$F1226,nrES_Att,1)&gt;0),"Yes","No")))</f>
        <v/>
      </c>
      <c r="S1226" s="18" t="n"/>
      <c r="T1226" s="19">
        <f>IF($Q1226&lt;&gt;"Yes","",IF($S1226="","(enter date)",_xlfn.LET(_xlpm.dn,IFERROR(_xlfn.XLOOKUP($S1226,nrCDdate,nrCDnum),""),IF(_xlpm.dn="","(not a class day)",IFERROR(_xlfn.XLOOKUP(_xlpm.dn+cfgRetestClassDays,nrCDnum,nrCDdate),"")))))</f>
        <v/>
      </c>
      <c r="U1226" s="17">
        <f>IF($Q1226&lt;&gt;"Yes","",IF(COUNTIFS(nrES_PID,$D1226,nrES_Code,$F1226,nrES_Att,2)&gt;0,"Retested",IF(OR($T1226="",NOT(ISNUMBER($T1226))),"Pending",IF(TODAY()&gt;$T1226,"OVERDUE","Due "&amp;TEXT($T1226,"mm/dd")))))</f>
        <v/>
      </c>
      <c r="V1226" s="16" t="n"/>
      <c r="W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K1227=1,IF(COUNTIFS(nrES_PID,$D1227,nrES_Code,$F1227,nrES_Att,2)&gt;0,"",$L1227),IF(COUNTIFS(nrES_PID,$D1227,nrES_Code,$F1227,nrES_Att,1)=0,$L1227,IF($L1227&gt;=$J1227,cfgRetakeRecordedCap,SUMIFS(nrES_Raw,nrES_PID,$D1227,nrES_Code,$F1227,nrES_Att,1))))))</f>
        <v/>
      </c>
      <c r="N1227" s="17">
        <f>IF($C1227="","",IF($L1227="","",IF($L1227&gt;=$J1227,"Yes","No")))</f>
        <v/>
      </c>
      <c r="O1227" s="17">
        <f>IF($C1227="","",IF($M1227="","",IF($M1227&gt;=$J1227,"Yes","No")))</f>
        <v/>
      </c>
      <c r="P1227" s="17">
        <f>IF($C1227="","",IF($K1227="","",IF(COUNTIFS(nrES_PID,$D1227,nrES_Code,$F1227,nrES_Att,"&gt;"&amp;$K1227)=0,"Yes","No")))</f>
        <v/>
      </c>
      <c r="Q1227" s="17">
        <f>IF($C1227="","",IF($L1227="","",IF(AND($K1227=1,$L1227&lt;$J1227,COUNTIFS(nrES_PID,$D1227,nrES_Code,$F1227,nrES_Att,2)=0),"Yes","No")))</f>
        <v/>
      </c>
      <c r="R1227" s="17">
        <f>IF($C1227="","",IF($L1227="","",IF(AND($K1227=2,$L1227&lt;$J1227,COUNTIFS(nrES_PID,$D1227,nrES_Code,$F1227,nrES_Att,1)&gt;0),"Yes","No")))</f>
        <v/>
      </c>
      <c r="S1227" s="18" t="n"/>
      <c r="T1227" s="19">
        <f>IF($Q1227&lt;&gt;"Yes","",IF($S1227="","(enter date)",_xlfn.LET(_xlpm.dn,IFERROR(_xlfn.XLOOKUP($S1227,nrCDdate,nrCDnum),""),IF(_xlpm.dn="","(not a class day)",IFERROR(_xlfn.XLOOKUP(_xlpm.dn+cfgRetestClassDays,nrCDnum,nrCDdate),"")))))</f>
        <v/>
      </c>
      <c r="U1227" s="17">
        <f>IF($Q1227&lt;&gt;"Yes","",IF(COUNTIFS(nrES_PID,$D1227,nrES_Code,$F1227,nrES_Att,2)&gt;0,"Retested",IF(OR($T1227="",NOT(ISNUMBER($T1227))),"Pending",IF(TODAY()&gt;$T1227,"OVERDUE","Due "&amp;TEXT($T1227,"mm/dd")))))</f>
        <v/>
      </c>
      <c r="V1227" s="16" t="n"/>
      <c r="W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K1228=1,IF(COUNTIFS(nrES_PID,$D1228,nrES_Code,$F1228,nrES_Att,2)&gt;0,"",$L1228),IF(COUNTIFS(nrES_PID,$D1228,nrES_Code,$F1228,nrES_Att,1)=0,$L1228,IF($L1228&gt;=$J1228,cfgRetakeRecordedCap,SUMIFS(nrES_Raw,nrES_PID,$D1228,nrES_Code,$F1228,nrES_Att,1))))))</f>
        <v/>
      </c>
      <c r="N1228" s="17">
        <f>IF($C1228="","",IF($L1228="","",IF($L1228&gt;=$J1228,"Yes","No")))</f>
        <v/>
      </c>
      <c r="O1228" s="17">
        <f>IF($C1228="","",IF($M1228="","",IF($M1228&gt;=$J1228,"Yes","No")))</f>
        <v/>
      </c>
      <c r="P1228" s="17">
        <f>IF($C1228="","",IF($K1228="","",IF(COUNTIFS(nrES_PID,$D1228,nrES_Code,$F1228,nrES_Att,"&gt;"&amp;$K1228)=0,"Yes","No")))</f>
        <v/>
      </c>
      <c r="Q1228" s="17">
        <f>IF($C1228="","",IF($L1228="","",IF(AND($K1228=1,$L1228&lt;$J1228,COUNTIFS(nrES_PID,$D1228,nrES_Code,$F1228,nrES_Att,2)=0),"Yes","No")))</f>
        <v/>
      </c>
      <c r="R1228" s="17">
        <f>IF($C1228="","",IF($L1228="","",IF(AND($K1228=2,$L1228&lt;$J1228,COUNTIFS(nrES_PID,$D1228,nrES_Code,$F1228,nrES_Att,1)&gt;0),"Yes","No")))</f>
        <v/>
      </c>
      <c r="S1228" s="18" t="n"/>
      <c r="T1228" s="19">
        <f>IF($Q1228&lt;&gt;"Yes","",IF($S1228="","(enter date)",_xlfn.LET(_xlpm.dn,IFERROR(_xlfn.XLOOKUP($S1228,nrCDdate,nrCDnum),""),IF(_xlpm.dn="","(not a class day)",IFERROR(_xlfn.XLOOKUP(_xlpm.dn+cfgRetestClassDays,nrCDnum,nrCDdate),"")))))</f>
        <v/>
      </c>
      <c r="U1228" s="17">
        <f>IF($Q1228&lt;&gt;"Yes","",IF(COUNTIFS(nrES_PID,$D1228,nrES_Code,$F1228,nrES_Att,2)&gt;0,"Retested",IF(OR($T1228="",NOT(ISNUMBER($T1228))),"Pending",IF(TODAY()&gt;$T1228,"OVERDUE","Due "&amp;TEXT($T1228,"mm/dd")))))</f>
        <v/>
      </c>
      <c r="V1228" s="16" t="n"/>
      <c r="W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K1229=1,IF(COUNTIFS(nrES_PID,$D1229,nrES_Code,$F1229,nrES_Att,2)&gt;0,"",$L1229),IF(COUNTIFS(nrES_PID,$D1229,nrES_Code,$F1229,nrES_Att,1)=0,$L1229,IF($L1229&gt;=$J1229,cfgRetakeRecordedCap,SUMIFS(nrES_Raw,nrES_PID,$D1229,nrES_Code,$F1229,nrES_Att,1))))))</f>
        <v/>
      </c>
      <c r="N1229" s="17">
        <f>IF($C1229="","",IF($L1229="","",IF($L1229&gt;=$J1229,"Yes","No")))</f>
        <v/>
      </c>
      <c r="O1229" s="17">
        <f>IF($C1229="","",IF($M1229="","",IF($M1229&gt;=$J1229,"Yes","No")))</f>
        <v/>
      </c>
      <c r="P1229" s="17">
        <f>IF($C1229="","",IF($K1229="","",IF(COUNTIFS(nrES_PID,$D1229,nrES_Code,$F1229,nrES_Att,"&gt;"&amp;$K1229)=0,"Yes","No")))</f>
        <v/>
      </c>
      <c r="Q1229" s="17">
        <f>IF($C1229="","",IF($L1229="","",IF(AND($K1229=1,$L1229&lt;$J1229,COUNTIFS(nrES_PID,$D1229,nrES_Code,$F1229,nrES_Att,2)=0),"Yes","No")))</f>
        <v/>
      </c>
      <c r="R1229" s="17">
        <f>IF($C1229="","",IF($L1229="","",IF(AND($K1229=2,$L1229&lt;$J1229,COUNTIFS(nrES_PID,$D1229,nrES_Code,$F1229,nrES_Att,1)&gt;0),"Yes","No")))</f>
        <v/>
      </c>
      <c r="S1229" s="18" t="n"/>
      <c r="T1229" s="19">
        <f>IF($Q1229&lt;&gt;"Yes","",IF($S1229="","(enter date)",_xlfn.LET(_xlpm.dn,IFERROR(_xlfn.XLOOKUP($S1229,nrCDdate,nrCDnum),""),IF(_xlpm.dn="","(not a class day)",IFERROR(_xlfn.XLOOKUP(_xlpm.dn+cfgRetestClassDays,nrCDnum,nrCDdate),"")))))</f>
        <v/>
      </c>
      <c r="U1229" s="17">
        <f>IF($Q1229&lt;&gt;"Yes","",IF(COUNTIFS(nrES_PID,$D1229,nrES_Code,$F1229,nrES_Att,2)&gt;0,"Retested",IF(OR($T1229="",NOT(ISNUMBER($T1229))),"Pending",IF(TODAY()&gt;$T1229,"OVERDUE","Due "&amp;TEXT($T1229,"mm/dd")))))</f>
        <v/>
      </c>
      <c r="V1229" s="16" t="n"/>
      <c r="W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K1230=1,IF(COUNTIFS(nrES_PID,$D1230,nrES_Code,$F1230,nrES_Att,2)&gt;0,"",$L1230),IF(COUNTIFS(nrES_PID,$D1230,nrES_Code,$F1230,nrES_Att,1)=0,$L1230,IF($L1230&gt;=$J1230,cfgRetakeRecordedCap,SUMIFS(nrES_Raw,nrES_PID,$D1230,nrES_Code,$F1230,nrES_Att,1))))))</f>
        <v/>
      </c>
      <c r="N1230" s="17">
        <f>IF($C1230="","",IF($L1230="","",IF($L1230&gt;=$J1230,"Yes","No")))</f>
        <v/>
      </c>
      <c r="O1230" s="17">
        <f>IF($C1230="","",IF($M1230="","",IF($M1230&gt;=$J1230,"Yes","No")))</f>
        <v/>
      </c>
      <c r="P1230" s="17">
        <f>IF($C1230="","",IF($K1230="","",IF(COUNTIFS(nrES_PID,$D1230,nrES_Code,$F1230,nrES_Att,"&gt;"&amp;$K1230)=0,"Yes","No")))</f>
        <v/>
      </c>
      <c r="Q1230" s="17">
        <f>IF($C1230="","",IF($L1230="","",IF(AND($K1230=1,$L1230&lt;$J1230,COUNTIFS(nrES_PID,$D1230,nrES_Code,$F1230,nrES_Att,2)=0),"Yes","No")))</f>
        <v/>
      </c>
      <c r="R1230" s="17">
        <f>IF($C1230="","",IF($L1230="","",IF(AND($K1230=2,$L1230&lt;$J1230,COUNTIFS(nrES_PID,$D1230,nrES_Code,$F1230,nrES_Att,1)&gt;0),"Yes","No")))</f>
        <v/>
      </c>
      <c r="S1230" s="18" t="n"/>
      <c r="T1230" s="19">
        <f>IF($Q1230&lt;&gt;"Yes","",IF($S1230="","(enter date)",_xlfn.LET(_xlpm.dn,IFERROR(_xlfn.XLOOKUP($S1230,nrCDdate,nrCDnum),""),IF(_xlpm.dn="","(not a class day)",IFERROR(_xlfn.XLOOKUP(_xlpm.dn+cfgRetestClassDays,nrCDnum,nrCDdate),"")))))</f>
        <v/>
      </c>
      <c r="U1230" s="17">
        <f>IF($Q1230&lt;&gt;"Yes","",IF(COUNTIFS(nrES_PID,$D1230,nrES_Code,$F1230,nrES_Att,2)&gt;0,"Retested",IF(OR($T1230="",NOT(ISNUMBER($T1230))),"Pending",IF(TODAY()&gt;$T1230,"OVERDUE","Due "&amp;TEXT($T1230,"mm/dd")))))</f>
        <v/>
      </c>
      <c r="V1230" s="16" t="n"/>
      <c r="W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K1231=1,IF(COUNTIFS(nrES_PID,$D1231,nrES_Code,$F1231,nrES_Att,2)&gt;0,"",$L1231),IF(COUNTIFS(nrES_PID,$D1231,nrES_Code,$F1231,nrES_Att,1)=0,$L1231,IF($L1231&gt;=$J1231,cfgRetakeRecordedCap,SUMIFS(nrES_Raw,nrES_PID,$D1231,nrES_Code,$F1231,nrES_Att,1))))))</f>
        <v/>
      </c>
      <c r="N1231" s="17">
        <f>IF($C1231="","",IF($L1231="","",IF($L1231&gt;=$J1231,"Yes","No")))</f>
        <v/>
      </c>
      <c r="O1231" s="17">
        <f>IF($C1231="","",IF($M1231="","",IF($M1231&gt;=$J1231,"Yes","No")))</f>
        <v/>
      </c>
      <c r="P1231" s="17">
        <f>IF($C1231="","",IF($K1231="","",IF(COUNTIFS(nrES_PID,$D1231,nrES_Code,$F1231,nrES_Att,"&gt;"&amp;$K1231)=0,"Yes","No")))</f>
        <v/>
      </c>
      <c r="Q1231" s="17">
        <f>IF($C1231="","",IF($L1231="","",IF(AND($K1231=1,$L1231&lt;$J1231,COUNTIFS(nrES_PID,$D1231,nrES_Code,$F1231,nrES_Att,2)=0),"Yes","No")))</f>
        <v/>
      </c>
      <c r="R1231" s="17">
        <f>IF($C1231="","",IF($L1231="","",IF(AND($K1231=2,$L1231&lt;$J1231,COUNTIFS(nrES_PID,$D1231,nrES_Code,$F1231,nrES_Att,1)&gt;0),"Yes","No")))</f>
        <v/>
      </c>
      <c r="S1231" s="18" t="n"/>
      <c r="T1231" s="19">
        <f>IF($Q1231&lt;&gt;"Yes","",IF($S1231="","(enter date)",_xlfn.LET(_xlpm.dn,IFERROR(_xlfn.XLOOKUP($S1231,nrCDdate,nrCDnum),""),IF(_xlpm.dn="","(not a class day)",IFERROR(_xlfn.XLOOKUP(_xlpm.dn+cfgRetestClassDays,nrCDnum,nrCDdate),"")))))</f>
        <v/>
      </c>
      <c r="U1231" s="17">
        <f>IF($Q1231&lt;&gt;"Yes","",IF(COUNTIFS(nrES_PID,$D1231,nrES_Code,$F1231,nrES_Att,2)&gt;0,"Retested",IF(OR($T1231="",NOT(ISNUMBER($T1231))),"Pending",IF(TODAY()&gt;$T1231,"OVERDUE","Due "&amp;TEXT($T1231,"mm/dd")))))</f>
        <v/>
      </c>
      <c r="V1231" s="16" t="n"/>
      <c r="W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K1232=1,IF(COUNTIFS(nrES_PID,$D1232,nrES_Code,$F1232,nrES_Att,2)&gt;0,"",$L1232),IF(COUNTIFS(nrES_PID,$D1232,nrES_Code,$F1232,nrES_Att,1)=0,$L1232,IF($L1232&gt;=$J1232,cfgRetakeRecordedCap,SUMIFS(nrES_Raw,nrES_PID,$D1232,nrES_Code,$F1232,nrES_Att,1))))))</f>
        <v/>
      </c>
      <c r="N1232" s="17">
        <f>IF($C1232="","",IF($L1232="","",IF($L1232&gt;=$J1232,"Yes","No")))</f>
        <v/>
      </c>
      <c r="O1232" s="17">
        <f>IF($C1232="","",IF($M1232="","",IF($M1232&gt;=$J1232,"Yes","No")))</f>
        <v/>
      </c>
      <c r="P1232" s="17">
        <f>IF($C1232="","",IF($K1232="","",IF(COUNTIFS(nrES_PID,$D1232,nrES_Code,$F1232,nrES_Att,"&gt;"&amp;$K1232)=0,"Yes","No")))</f>
        <v/>
      </c>
      <c r="Q1232" s="17">
        <f>IF($C1232="","",IF($L1232="","",IF(AND($K1232=1,$L1232&lt;$J1232,COUNTIFS(nrES_PID,$D1232,nrES_Code,$F1232,nrES_Att,2)=0),"Yes","No")))</f>
        <v/>
      </c>
      <c r="R1232" s="17">
        <f>IF($C1232="","",IF($L1232="","",IF(AND($K1232=2,$L1232&lt;$J1232,COUNTIFS(nrES_PID,$D1232,nrES_Code,$F1232,nrES_Att,1)&gt;0),"Yes","No")))</f>
        <v/>
      </c>
      <c r="S1232" s="18" t="n"/>
      <c r="T1232" s="19">
        <f>IF($Q1232&lt;&gt;"Yes","",IF($S1232="","(enter date)",_xlfn.LET(_xlpm.dn,IFERROR(_xlfn.XLOOKUP($S1232,nrCDdate,nrCDnum),""),IF(_xlpm.dn="","(not a class day)",IFERROR(_xlfn.XLOOKUP(_xlpm.dn+cfgRetestClassDays,nrCDnum,nrCDdate),"")))))</f>
        <v/>
      </c>
      <c r="U1232" s="17">
        <f>IF($Q1232&lt;&gt;"Yes","",IF(COUNTIFS(nrES_PID,$D1232,nrES_Code,$F1232,nrES_Att,2)&gt;0,"Retested",IF(OR($T1232="",NOT(ISNUMBER($T1232))),"Pending",IF(TODAY()&gt;$T1232,"OVERDUE","Due "&amp;TEXT($T1232,"mm/dd")))))</f>
        <v/>
      </c>
      <c r="V1232" s="16" t="n"/>
      <c r="W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K1233=1,IF(COUNTIFS(nrES_PID,$D1233,nrES_Code,$F1233,nrES_Att,2)&gt;0,"",$L1233),IF(COUNTIFS(nrES_PID,$D1233,nrES_Code,$F1233,nrES_Att,1)=0,$L1233,IF($L1233&gt;=$J1233,cfgRetakeRecordedCap,SUMIFS(nrES_Raw,nrES_PID,$D1233,nrES_Code,$F1233,nrES_Att,1))))))</f>
        <v/>
      </c>
      <c r="N1233" s="17">
        <f>IF($C1233="","",IF($L1233="","",IF($L1233&gt;=$J1233,"Yes","No")))</f>
        <v/>
      </c>
      <c r="O1233" s="17">
        <f>IF($C1233="","",IF($M1233="","",IF($M1233&gt;=$J1233,"Yes","No")))</f>
        <v/>
      </c>
      <c r="P1233" s="17">
        <f>IF($C1233="","",IF($K1233="","",IF(COUNTIFS(nrES_PID,$D1233,nrES_Code,$F1233,nrES_Att,"&gt;"&amp;$K1233)=0,"Yes","No")))</f>
        <v/>
      </c>
      <c r="Q1233" s="17">
        <f>IF($C1233="","",IF($L1233="","",IF(AND($K1233=1,$L1233&lt;$J1233,COUNTIFS(nrES_PID,$D1233,nrES_Code,$F1233,nrES_Att,2)=0),"Yes","No")))</f>
        <v/>
      </c>
      <c r="R1233" s="17">
        <f>IF($C1233="","",IF($L1233="","",IF(AND($K1233=2,$L1233&lt;$J1233,COUNTIFS(nrES_PID,$D1233,nrES_Code,$F1233,nrES_Att,1)&gt;0),"Yes","No")))</f>
        <v/>
      </c>
      <c r="S1233" s="18" t="n"/>
      <c r="T1233" s="19">
        <f>IF($Q1233&lt;&gt;"Yes","",IF($S1233="","(enter date)",_xlfn.LET(_xlpm.dn,IFERROR(_xlfn.XLOOKUP($S1233,nrCDdate,nrCDnum),""),IF(_xlpm.dn="","(not a class day)",IFERROR(_xlfn.XLOOKUP(_xlpm.dn+cfgRetestClassDays,nrCDnum,nrCDdate),"")))))</f>
        <v/>
      </c>
      <c r="U1233" s="17">
        <f>IF($Q1233&lt;&gt;"Yes","",IF(COUNTIFS(nrES_PID,$D1233,nrES_Code,$F1233,nrES_Att,2)&gt;0,"Retested",IF(OR($T1233="",NOT(ISNUMBER($T1233))),"Pending",IF(TODAY()&gt;$T1233,"OVERDUE","Due "&amp;TEXT($T1233,"mm/dd")))))</f>
        <v/>
      </c>
      <c r="V1233" s="16" t="n"/>
      <c r="W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K1234=1,IF(COUNTIFS(nrES_PID,$D1234,nrES_Code,$F1234,nrES_Att,2)&gt;0,"",$L1234),IF(COUNTIFS(nrES_PID,$D1234,nrES_Code,$F1234,nrES_Att,1)=0,$L1234,IF($L1234&gt;=$J1234,cfgRetakeRecordedCap,SUMIFS(nrES_Raw,nrES_PID,$D1234,nrES_Code,$F1234,nrES_Att,1))))))</f>
        <v/>
      </c>
      <c r="N1234" s="17">
        <f>IF($C1234="","",IF($L1234="","",IF($L1234&gt;=$J1234,"Yes","No")))</f>
        <v/>
      </c>
      <c r="O1234" s="17">
        <f>IF($C1234="","",IF($M1234="","",IF($M1234&gt;=$J1234,"Yes","No")))</f>
        <v/>
      </c>
      <c r="P1234" s="17">
        <f>IF($C1234="","",IF($K1234="","",IF(COUNTIFS(nrES_PID,$D1234,nrES_Code,$F1234,nrES_Att,"&gt;"&amp;$K1234)=0,"Yes","No")))</f>
        <v/>
      </c>
      <c r="Q1234" s="17">
        <f>IF($C1234="","",IF($L1234="","",IF(AND($K1234=1,$L1234&lt;$J1234,COUNTIFS(nrES_PID,$D1234,nrES_Code,$F1234,nrES_Att,2)=0),"Yes","No")))</f>
        <v/>
      </c>
      <c r="R1234" s="17">
        <f>IF($C1234="","",IF($L1234="","",IF(AND($K1234=2,$L1234&lt;$J1234,COUNTIFS(nrES_PID,$D1234,nrES_Code,$F1234,nrES_Att,1)&gt;0),"Yes","No")))</f>
        <v/>
      </c>
      <c r="S1234" s="18" t="n"/>
      <c r="T1234" s="19">
        <f>IF($Q1234&lt;&gt;"Yes","",IF($S1234="","(enter date)",_xlfn.LET(_xlpm.dn,IFERROR(_xlfn.XLOOKUP($S1234,nrCDdate,nrCDnum),""),IF(_xlpm.dn="","(not a class day)",IFERROR(_xlfn.XLOOKUP(_xlpm.dn+cfgRetestClassDays,nrCDnum,nrCDdate),"")))))</f>
        <v/>
      </c>
      <c r="U1234" s="17">
        <f>IF($Q1234&lt;&gt;"Yes","",IF(COUNTIFS(nrES_PID,$D1234,nrES_Code,$F1234,nrES_Att,2)&gt;0,"Retested",IF(OR($T1234="",NOT(ISNUMBER($T1234))),"Pending",IF(TODAY()&gt;$T1234,"OVERDUE","Due "&amp;TEXT($T1234,"mm/dd")))))</f>
        <v/>
      </c>
      <c r="V1234" s="16" t="n"/>
      <c r="W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K1235=1,IF(COUNTIFS(nrES_PID,$D1235,nrES_Code,$F1235,nrES_Att,2)&gt;0,"",$L1235),IF(COUNTIFS(nrES_PID,$D1235,nrES_Code,$F1235,nrES_Att,1)=0,$L1235,IF($L1235&gt;=$J1235,cfgRetakeRecordedCap,SUMIFS(nrES_Raw,nrES_PID,$D1235,nrES_Code,$F1235,nrES_Att,1))))))</f>
        <v/>
      </c>
      <c r="N1235" s="17">
        <f>IF($C1235="","",IF($L1235="","",IF($L1235&gt;=$J1235,"Yes","No")))</f>
        <v/>
      </c>
      <c r="O1235" s="17">
        <f>IF($C1235="","",IF($M1235="","",IF($M1235&gt;=$J1235,"Yes","No")))</f>
        <v/>
      </c>
      <c r="P1235" s="17">
        <f>IF($C1235="","",IF($K1235="","",IF(COUNTIFS(nrES_PID,$D1235,nrES_Code,$F1235,nrES_Att,"&gt;"&amp;$K1235)=0,"Yes","No")))</f>
        <v/>
      </c>
      <c r="Q1235" s="17">
        <f>IF($C1235="","",IF($L1235="","",IF(AND($K1235=1,$L1235&lt;$J1235,COUNTIFS(nrES_PID,$D1235,nrES_Code,$F1235,nrES_Att,2)=0),"Yes","No")))</f>
        <v/>
      </c>
      <c r="R1235" s="17">
        <f>IF($C1235="","",IF($L1235="","",IF(AND($K1235=2,$L1235&lt;$J1235,COUNTIFS(nrES_PID,$D1235,nrES_Code,$F1235,nrES_Att,1)&gt;0),"Yes","No")))</f>
        <v/>
      </c>
      <c r="S1235" s="18" t="n"/>
      <c r="T1235" s="19">
        <f>IF($Q1235&lt;&gt;"Yes","",IF($S1235="","(enter date)",_xlfn.LET(_xlpm.dn,IFERROR(_xlfn.XLOOKUP($S1235,nrCDdate,nrCDnum),""),IF(_xlpm.dn="","(not a class day)",IFERROR(_xlfn.XLOOKUP(_xlpm.dn+cfgRetestClassDays,nrCDnum,nrCDdate),"")))))</f>
        <v/>
      </c>
      <c r="U1235" s="17">
        <f>IF($Q1235&lt;&gt;"Yes","",IF(COUNTIFS(nrES_PID,$D1235,nrES_Code,$F1235,nrES_Att,2)&gt;0,"Retested",IF(OR($T1235="",NOT(ISNUMBER($T1235))),"Pending",IF(TODAY()&gt;$T1235,"OVERDUE","Due "&amp;TEXT($T1235,"mm/dd")))))</f>
        <v/>
      </c>
      <c r="V1235" s="16" t="n"/>
      <c r="W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K1236=1,IF(COUNTIFS(nrES_PID,$D1236,nrES_Code,$F1236,nrES_Att,2)&gt;0,"",$L1236),IF(COUNTIFS(nrES_PID,$D1236,nrES_Code,$F1236,nrES_Att,1)=0,$L1236,IF($L1236&gt;=$J1236,cfgRetakeRecordedCap,SUMIFS(nrES_Raw,nrES_PID,$D1236,nrES_Code,$F1236,nrES_Att,1))))))</f>
        <v/>
      </c>
      <c r="N1236" s="17">
        <f>IF($C1236="","",IF($L1236="","",IF($L1236&gt;=$J1236,"Yes","No")))</f>
        <v/>
      </c>
      <c r="O1236" s="17">
        <f>IF($C1236="","",IF($M1236="","",IF($M1236&gt;=$J1236,"Yes","No")))</f>
        <v/>
      </c>
      <c r="P1236" s="17">
        <f>IF($C1236="","",IF($K1236="","",IF(COUNTIFS(nrES_PID,$D1236,nrES_Code,$F1236,nrES_Att,"&gt;"&amp;$K1236)=0,"Yes","No")))</f>
        <v/>
      </c>
      <c r="Q1236" s="17">
        <f>IF($C1236="","",IF($L1236="","",IF(AND($K1236=1,$L1236&lt;$J1236,COUNTIFS(nrES_PID,$D1236,nrES_Code,$F1236,nrES_Att,2)=0),"Yes","No")))</f>
        <v/>
      </c>
      <c r="R1236" s="17">
        <f>IF($C1236="","",IF($L1236="","",IF(AND($K1236=2,$L1236&lt;$J1236,COUNTIFS(nrES_PID,$D1236,nrES_Code,$F1236,nrES_Att,1)&gt;0),"Yes","No")))</f>
        <v/>
      </c>
      <c r="S1236" s="18" t="n"/>
      <c r="T1236" s="19">
        <f>IF($Q1236&lt;&gt;"Yes","",IF($S1236="","(enter date)",_xlfn.LET(_xlpm.dn,IFERROR(_xlfn.XLOOKUP($S1236,nrCDdate,nrCDnum),""),IF(_xlpm.dn="","(not a class day)",IFERROR(_xlfn.XLOOKUP(_xlpm.dn+cfgRetestClassDays,nrCDnum,nrCDdate),"")))))</f>
        <v/>
      </c>
      <c r="U1236" s="17">
        <f>IF($Q1236&lt;&gt;"Yes","",IF(COUNTIFS(nrES_PID,$D1236,nrES_Code,$F1236,nrES_Att,2)&gt;0,"Retested",IF(OR($T1236="",NOT(ISNUMBER($T1236))),"Pending",IF(TODAY()&gt;$T1236,"OVERDUE","Due "&amp;TEXT($T1236,"mm/dd")))))</f>
        <v/>
      </c>
      <c r="V1236" s="16" t="n"/>
      <c r="W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K1237=1,IF(COUNTIFS(nrES_PID,$D1237,nrES_Code,$F1237,nrES_Att,2)&gt;0,"",$L1237),IF(COUNTIFS(nrES_PID,$D1237,nrES_Code,$F1237,nrES_Att,1)=0,$L1237,IF($L1237&gt;=$J1237,cfgRetakeRecordedCap,SUMIFS(nrES_Raw,nrES_PID,$D1237,nrES_Code,$F1237,nrES_Att,1))))))</f>
        <v/>
      </c>
      <c r="N1237" s="17">
        <f>IF($C1237="","",IF($L1237="","",IF($L1237&gt;=$J1237,"Yes","No")))</f>
        <v/>
      </c>
      <c r="O1237" s="17">
        <f>IF($C1237="","",IF($M1237="","",IF($M1237&gt;=$J1237,"Yes","No")))</f>
        <v/>
      </c>
      <c r="P1237" s="17">
        <f>IF($C1237="","",IF($K1237="","",IF(COUNTIFS(nrES_PID,$D1237,nrES_Code,$F1237,nrES_Att,"&gt;"&amp;$K1237)=0,"Yes","No")))</f>
        <v/>
      </c>
      <c r="Q1237" s="17">
        <f>IF($C1237="","",IF($L1237="","",IF(AND($K1237=1,$L1237&lt;$J1237,COUNTIFS(nrES_PID,$D1237,nrES_Code,$F1237,nrES_Att,2)=0),"Yes","No")))</f>
        <v/>
      </c>
      <c r="R1237" s="17">
        <f>IF($C1237="","",IF($L1237="","",IF(AND($K1237=2,$L1237&lt;$J1237,COUNTIFS(nrES_PID,$D1237,nrES_Code,$F1237,nrES_Att,1)&gt;0),"Yes","No")))</f>
        <v/>
      </c>
      <c r="S1237" s="18" t="n"/>
      <c r="T1237" s="19">
        <f>IF($Q1237&lt;&gt;"Yes","",IF($S1237="","(enter date)",_xlfn.LET(_xlpm.dn,IFERROR(_xlfn.XLOOKUP($S1237,nrCDdate,nrCDnum),""),IF(_xlpm.dn="","(not a class day)",IFERROR(_xlfn.XLOOKUP(_xlpm.dn+cfgRetestClassDays,nrCDnum,nrCDdate),"")))))</f>
        <v/>
      </c>
      <c r="U1237" s="17">
        <f>IF($Q1237&lt;&gt;"Yes","",IF(COUNTIFS(nrES_PID,$D1237,nrES_Code,$F1237,nrES_Att,2)&gt;0,"Retested",IF(OR($T1237="",NOT(ISNUMBER($T1237))),"Pending",IF(TODAY()&gt;$T1237,"OVERDUE","Due "&amp;TEXT($T1237,"mm/dd")))))</f>
        <v/>
      </c>
      <c r="V1237" s="16" t="n"/>
      <c r="W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K1238=1,IF(COUNTIFS(nrES_PID,$D1238,nrES_Code,$F1238,nrES_Att,2)&gt;0,"",$L1238),IF(COUNTIFS(nrES_PID,$D1238,nrES_Code,$F1238,nrES_Att,1)=0,$L1238,IF($L1238&gt;=$J1238,cfgRetakeRecordedCap,SUMIFS(nrES_Raw,nrES_PID,$D1238,nrES_Code,$F1238,nrES_Att,1))))))</f>
        <v/>
      </c>
      <c r="N1238" s="17">
        <f>IF($C1238="","",IF($L1238="","",IF($L1238&gt;=$J1238,"Yes","No")))</f>
        <v/>
      </c>
      <c r="O1238" s="17">
        <f>IF($C1238="","",IF($M1238="","",IF($M1238&gt;=$J1238,"Yes","No")))</f>
        <v/>
      </c>
      <c r="P1238" s="17">
        <f>IF($C1238="","",IF($K1238="","",IF(COUNTIFS(nrES_PID,$D1238,nrES_Code,$F1238,nrES_Att,"&gt;"&amp;$K1238)=0,"Yes","No")))</f>
        <v/>
      </c>
      <c r="Q1238" s="17">
        <f>IF($C1238="","",IF($L1238="","",IF(AND($K1238=1,$L1238&lt;$J1238,COUNTIFS(nrES_PID,$D1238,nrES_Code,$F1238,nrES_Att,2)=0),"Yes","No")))</f>
        <v/>
      </c>
      <c r="R1238" s="17">
        <f>IF($C1238="","",IF($L1238="","",IF(AND($K1238=2,$L1238&lt;$J1238,COUNTIFS(nrES_PID,$D1238,nrES_Code,$F1238,nrES_Att,1)&gt;0),"Yes","No")))</f>
        <v/>
      </c>
      <c r="S1238" s="18" t="n"/>
      <c r="T1238" s="19">
        <f>IF($Q1238&lt;&gt;"Yes","",IF($S1238="","(enter date)",_xlfn.LET(_xlpm.dn,IFERROR(_xlfn.XLOOKUP($S1238,nrCDdate,nrCDnum),""),IF(_xlpm.dn="","(not a class day)",IFERROR(_xlfn.XLOOKUP(_xlpm.dn+cfgRetestClassDays,nrCDnum,nrCDdate),"")))))</f>
        <v/>
      </c>
      <c r="U1238" s="17">
        <f>IF($Q1238&lt;&gt;"Yes","",IF(COUNTIFS(nrES_PID,$D1238,nrES_Code,$F1238,nrES_Att,2)&gt;0,"Retested",IF(OR($T1238="",NOT(ISNUMBER($T1238))),"Pending",IF(TODAY()&gt;$T1238,"OVERDUE","Due "&amp;TEXT($T1238,"mm/dd")))))</f>
        <v/>
      </c>
      <c r="V1238" s="16" t="n"/>
      <c r="W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K1239=1,IF(COUNTIFS(nrES_PID,$D1239,nrES_Code,$F1239,nrES_Att,2)&gt;0,"",$L1239),IF(COUNTIFS(nrES_PID,$D1239,nrES_Code,$F1239,nrES_Att,1)=0,$L1239,IF($L1239&gt;=$J1239,cfgRetakeRecordedCap,SUMIFS(nrES_Raw,nrES_PID,$D1239,nrES_Code,$F1239,nrES_Att,1))))))</f>
        <v/>
      </c>
      <c r="N1239" s="17">
        <f>IF($C1239="","",IF($L1239="","",IF($L1239&gt;=$J1239,"Yes","No")))</f>
        <v/>
      </c>
      <c r="O1239" s="17">
        <f>IF($C1239="","",IF($M1239="","",IF($M1239&gt;=$J1239,"Yes","No")))</f>
        <v/>
      </c>
      <c r="P1239" s="17">
        <f>IF($C1239="","",IF($K1239="","",IF(COUNTIFS(nrES_PID,$D1239,nrES_Code,$F1239,nrES_Att,"&gt;"&amp;$K1239)=0,"Yes","No")))</f>
        <v/>
      </c>
      <c r="Q1239" s="17">
        <f>IF($C1239="","",IF($L1239="","",IF(AND($K1239=1,$L1239&lt;$J1239,COUNTIFS(nrES_PID,$D1239,nrES_Code,$F1239,nrES_Att,2)=0),"Yes","No")))</f>
        <v/>
      </c>
      <c r="R1239" s="17">
        <f>IF($C1239="","",IF($L1239="","",IF(AND($K1239=2,$L1239&lt;$J1239,COUNTIFS(nrES_PID,$D1239,nrES_Code,$F1239,nrES_Att,1)&gt;0),"Yes","No")))</f>
        <v/>
      </c>
      <c r="S1239" s="18" t="n"/>
      <c r="T1239" s="19">
        <f>IF($Q1239&lt;&gt;"Yes","",IF($S1239="","(enter date)",_xlfn.LET(_xlpm.dn,IFERROR(_xlfn.XLOOKUP($S1239,nrCDdate,nrCDnum),""),IF(_xlpm.dn="","(not a class day)",IFERROR(_xlfn.XLOOKUP(_xlpm.dn+cfgRetestClassDays,nrCDnum,nrCDdate),"")))))</f>
        <v/>
      </c>
      <c r="U1239" s="17">
        <f>IF($Q1239&lt;&gt;"Yes","",IF(COUNTIFS(nrES_PID,$D1239,nrES_Code,$F1239,nrES_Att,2)&gt;0,"Retested",IF(OR($T1239="",NOT(ISNUMBER($T1239))),"Pending",IF(TODAY()&gt;$T1239,"OVERDUE","Due "&amp;TEXT($T1239,"mm/dd")))))</f>
        <v/>
      </c>
      <c r="V1239" s="16" t="n"/>
      <c r="W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K1240=1,IF(COUNTIFS(nrES_PID,$D1240,nrES_Code,$F1240,nrES_Att,2)&gt;0,"",$L1240),IF(COUNTIFS(nrES_PID,$D1240,nrES_Code,$F1240,nrES_Att,1)=0,$L1240,IF($L1240&gt;=$J1240,cfgRetakeRecordedCap,SUMIFS(nrES_Raw,nrES_PID,$D1240,nrES_Code,$F1240,nrES_Att,1))))))</f>
        <v/>
      </c>
      <c r="N1240" s="17">
        <f>IF($C1240="","",IF($L1240="","",IF($L1240&gt;=$J1240,"Yes","No")))</f>
        <v/>
      </c>
      <c r="O1240" s="17">
        <f>IF($C1240="","",IF($M1240="","",IF($M1240&gt;=$J1240,"Yes","No")))</f>
        <v/>
      </c>
      <c r="P1240" s="17">
        <f>IF($C1240="","",IF($K1240="","",IF(COUNTIFS(nrES_PID,$D1240,nrES_Code,$F1240,nrES_Att,"&gt;"&amp;$K1240)=0,"Yes","No")))</f>
        <v/>
      </c>
      <c r="Q1240" s="17">
        <f>IF($C1240="","",IF($L1240="","",IF(AND($K1240=1,$L1240&lt;$J1240,COUNTIFS(nrES_PID,$D1240,nrES_Code,$F1240,nrES_Att,2)=0),"Yes","No")))</f>
        <v/>
      </c>
      <c r="R1240" s="17">
        <f>IF($C1240="","",IF($L1240="","",IF(AND($K1240=2,$L1240&lt;$J1240,COUNTIFS(nrES_PID,$D1240,nrES_Code,$F1240,nrES_Att,1)&gt;0),"Yes","No")))</f>
        <v/>
      </c>
      <c r="S1240" s="18" t="n"/>
      <c r="T1240" s="19">
        <f>IF($Q1240&lt;&gt;"Yes","",IF($S1240="","(enter date)",_xlfn.LET(_xlpm.dn,IFERROR(_xlfn.XLOOKUP($S1240,nrCDdate,nrCDnum),""),IF(_xlpm.dn="","(not a class day)",IFERROR(_xlfn.XLOOKUP(_xlpm.dn+cfgRetestClassDays,nrCDnum,nrCDdate),"")))))</f>
        <v/>
      </c>
      <c r="U1240" s="17">
        <f>IF($Q1240&lt;&gt;"Yes","",IF(COUNTIFS(nrES_PID,$D1240,nrES_Code,$F1240,nrES_Att,2)&gt;0,"Retested",IF(OR($T1240="",NOT(ISNUMBER($T1240))),"Pending",IF(TODAY()&gt;$T1240,"OVERDUE","Due "&amp;TEXT($T1240,"mm/dd")))))</f>
        <v/>
      </c>
      <c r="V1240" s="16" t="n"/>
      <c r="W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K1241=1,IF(COUNTIFS(nrES_PID,$D1241,nrES_Code,$F1241,nrES_Att,2)&gt;0,"",$L1241),IF(COUNTIFS(nrES_PID,$D1241,nrES_Code,$F1241,nrES_Att,1)=0,$L1241,IF($L1241&gt;=$J1241,cfgRetakeRecordedCap,SUMIFS(nrES_Raw,nrES_PID,$D1241,nrES_Code,$F1241,nrES_Att,1))))))</f>
        <v/>
      </c>
      <c r="N1241" s="17">
        <f>IF($C1241="","",IF($L1241="","",IF($L1241&gt;=$J1241,"Yes","No")))</f>
        <v/>
      </c>
      <c r="O1241" s="17">
        <f>IF($C1241="","",IF($M1241="","",IF($M1241&gt;=$J1241,"Yes","No")))</f>
        <v/>
      </c>
      <c r="P1241" s="17">
        <f>IF($C1241="","",IF($K1241="","",IF(COUNTIFS(nrES_PID,$D1241,nrES_Code,$F1241,nrES_Att,"&gt;"&amp;$K1241)=0,"Yes","No")))</f>
        <v/>
      </c>
      <c r="Q1241" s="17">
        <f>IF($C1241="","",IF($L1241="","",IF(AND($K1241=1,$L1241&lt;$J1241,COUNTIFS(nrES_PID,$D1241,nrES_Code,$F1241,nrES_Att,2)=0),"Yes","No")))</f>
        <v/>
      </c>
      <c r="R1241" s="17">
        <f>IF($C1241="","",IF($L1241="","",IF(AND($K1241=2,$L1241&lt;$J1241,COUNTIFS(nrES_PID,$D1241,nrES_Code,$F1241,nrES_Att,1)&gt;0),"Yes","No")))</f>
        <v/>
      </c>
      <c r="S1241" s="18" t="n"/>
      <c r="T1241" s="19">
        <f>IF($Q1241&lt;&gt;"Yes","",IF($S1241="","(enter date)",_xlfn.LET(_xlpm.dn,IFERROR(_xlfn.XLOOKUP($S1241,nrCDdate,nrCDnum),""),IF(_xlpm.dn="","(not a class day)",IFERROR(_xlfn.XLOOKUP(_xlpm.dn+cfgRetestClassDays,nrCDnum,nrCDdate),"")))))</f>
        <v/>
      </c>
      <c r="U1241" s="17">
        <f>IF($Q1241&lt;&gt;"Yes","",IF(COUNTIFS(nrES_PID,$D1241,nrES_Code,$F1241,nrES_Att,2)&gt;0,"Retested",IF(OR($T1241="",NOT(ISNUMBER($T1241))),"Pending",IF(TODAY()&gt;$T1241,"OVERDUE","Due "&amp;TEXT($T1241,"mm/dd")))))</f>
        <v/>
      </c>
      <c r="V1241" s="16" t="n"/>
      <c r="W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K1242=1,IF(COUNTIFS(nrES_PID,$D1242,nrES_Code,$F1242,nrES_Att,2)&gt;0,"",$L1242),IF(COUNTIFS(nrES_PID,$D1242,nrES_Code,$F1242,nrES_Att,1)=0,$L1242,IF($L1242&gt;=$J1242,cfgRetakeRecordedCap,SUMIFS(nrES_Raw,nrES_PID,$D1242,nrES_Code,$F1242,nrES_Att,1))))))</f>
        <v/>
      </c>
      <c r="N1242" s="17">
        <f>IF($C1242="","",IF($L1242="","",IF($L1242&gt;=$J1242,"Yes","No")))</f>
        <v/>
      </c>
      <c r="O1242" s="17">
        <f>IF($C1242="","",IF($M1242="","",IF($M1242&gt;=$J1242,"Yes","No")))</f>
        <v/>
      </c>
      <c r="P1242" s="17">
        <f>IF($C1242="","",IF($K1242="","",IF(COUNTIFS(nrES_PID,$D1242,nrES_Code,$F1242,nrES_Att,"&gt;"&amp;$K1242)=0,"Yes","No")))</f>
        <v/>
      </c>
      <c r="Q1242" s="17">
        <f>IF($C1242="","",IF($L1242="","",IF(AND($K1242=1,$L1242&lt;$J1242,COUNTIFS(nrES_PID,$D1242,nrES_Code,$F1242,nrES_Att,2)=0),"Yes","No")))</f>
        <v/>
      </c>
      <c r="R1242" s="17">
        <f>IF($C1242="","",IF($L1242="","",IF(AND($K1242=2,$L1242&lt;$J1242,COUNTIFS(nrES_PID,$D1242,nrES_Code,$F1242,nrES_Att,1)&gt;0),"Yes","No")))</f>
        <v/>
      </c>
      <c r="S1242" s="18" t="n"/>
      <c r="T1242" s="19">
        <f>IF($Q1242&lt;&gt;"Yes","",IF($S1242="","(enter date)",_xlfn.LET(_xlpm.dn,IFERROR(_xlfn.XLOOKUP($S1242,nrCDdate,nrCDnum),""),IF(_xlpm.dn="","(not a class day)",IFERROR(_xlfn.XLOOKUP(_xlpm.dn+cfgRetestClassDays,nrCDnum,nrCDdate),"")))))</f>
        <v/>
      </c>
      <c r="U1242" s="17">
        <f>IF($Q1242&lt;&gt;"Yes","",IF(COUNTIFS(nrES_PID,$D1242,nrES_Code,$F1242,nrES_Att,2)&gt;0,"Retested",IF(OR($T1242="",NOT(ISNUMBER($T1242))),"Pending",IF(TODAY()&gt;$T1242,"OVERDUE","Due "&amp;TEXT($T1242,"mm/dd")))))</f>
        <v/>
      </c>
      <c r="V1242" s="16" t="n"/>
      <c r="W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K1243=1,IF(COUNTIFS(nrES_PID,$D1243,nrES_Code,$F1243,nrES_Att,2)&gt;0,"",$L1243),IF(COUNTIFS(nrES_PID,$D1243,nrES_Code,$F1243,nrES_Att,1)=0,$L1243,IF($L1243&gt;=$J1243,cfgRetakeRecordedCap,SUMIFS(nrES_Raw,nrES_PID,$D1243,nrES_Code,$F1243,nrES_Att,1))))))</f>
        <v/>
      </c>
      <c r="N1243" s="17">
        <f>IF($C1243="","",IF($L1243="","",IF($L1243&gt;=$J1243,"Yes","No")))</f>
        <v/>
      </c>
      <c r="O1243" s="17">
        <f>IF($C1243="","",IF($M1243="","",IF($M1243&gt;=$J1243,"Yes","No")))</f>
        <v/>
      </c>
      <c r="P1243" s="17">
        <f>IF($C1243="","",IF($K1243="","",IF(COUNTIFS(nrES_PID,$D1243,nrES_Code,$F1243,nrES_Att,"&gt;"&amp;$K1243)=0,"Yes","No")))</f>
        <v/>
      </c>
      <c r="Q1243" s="17">
        <f>IF($C1243="","",IF($L1243="","",IF(AND($K1243=1,$L1243&lt;$J1243,COUNTIFS(nrES_PID,$D1243,nrES_Code,$F1243,nrES_Att,2)=0),"Yes","No")))</f>
        <v/>
      </c>
      <c r="R1243" s="17">
        <f>IF($C1243="","",IF($L1243="","",IF(AND($K1243=2,$L1243&lt;$J1243,COUNTIFS(nrES_PID,$D1243,nrES_Code,$F1243,nrES_Att,1)&gt;0),"Yes","No")))</f>
        <v/>
      </c>
      <c r="S1243" s="18" t="n"/>
      <c r="T1243" s="19">
        <f>IF($Q1243&lt;&gt;"Yes","",IF($S1243="","(enter date)",_xlfn.LET(_xlpm.dn,IFERROR(_xlfn.XLOOKUP($S1243,nrCDdate,nrCDnum),""),IF(_xlpm.dn="","(not a class day)",IFERROR(_xlfn.XLOOKUP(_xlpm.dn+cfgRetestClassDays,nrCDnum,nrCDdate),"")))))</f>
        <v/>
      </c>
      <c r="U1243" s="17">
        <f>IF($Q1243&lt;&gt;"Yes","",IF(COUNTIFS(nrES_PID,$D1243,nrES_Code,$F1243,nrES_Att,2)&gt;0,"Retested",IF(OR($T1243="",NOT(ISNUMBER($T1243))),"Pending",IF(TODAY()&gt;$T1243,"OVERDUE","Due "&amp;TEXT($T1243,"mm/dd")))))</f>
        <v/>
      </c>
      <c r="V1243" s="16" t="n"/>
      <c r="W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K1244=1,IF(COUNTIFS(nrES_PID,$D1244,nrES_Code,$F1244,nrES_Att,2)&gt;0,"",$L1244),IF(COUNTIFS(nrES_PID,$D1244,nrES_Code,$F1244,nrES_Att,1)=0,$L1244,IF($L1244&gt;=$J1244,cfgRetakeRecordedCap,SUMIFS(nrES_Raw,nrES_PID,$D1244,nrES_Code,$F1244,nrES_Att,1))))))</f>
        <v/>
      </c>
      <c r="N1244" s="17">
        <f>IF($C1244="","",IF($L1244="","",IF($L1244&gt;=$J1244,"Yes","No")))</f>
        <v/>
      </c>
      <c r="O1244" s="17">
        <f>IF($C1244="","",IF($M1244="","",IF($M1244&gt;=$J1244,"Yes","No")))</f>
        <v/>
      </c>
      <c r="P1244" s="17">
        <f>IF($C1244="","",IF($K1244="","",IF(COUNTIFS(nrES_PID,$D1244,nrES_Code,$F1244,nrES_Att,"&gt;"&amp;$K1244)=0,"Yes","No")))</f>
        <v/>
      </c>
      <c r="Q1244" s="17">
        <f>IF($C1244="","",IF($L1244="","",IF(AND($K1244=1,$L1244&lt;$J1244,COUNTIFS(nrES_PID,$D1244,nrES_Code,$F1244,nrES_Att,2)=0),"Yes","No")))</f>
        <v/>
      </c>
      <c r="R1244" s="17">
        <f>IF($C1244="","",IF($L1244="","",IF(AND($K1244=2,$L1244&lt;$J1244,COUNTIFS(nrES_PID,$D1244,nrES_Code,$F1244,nrES_Att,1)&gt;0),"Yes","No")))</f>
        <v/>
      </c>
      <c r="S1244" s="18" t="n"/>
      <c r="T1244" s="19">
        <f>IF($Q1244&lt;&gt;"Yes","",IF($S1244="","(enter date)",_xlfn.LET(_xlpm.dn,IFERROR(_xlfn.XLOOKUP($S1244,nrCDdate,nrCDnum),""),IF(_xlpm.dn="","(not a class day)",IFERROR(_xlfn.XLOOKUP(_xlpm.dn+cfgRetestClassDays,nrCDnum,nrCDdate),"")))))</f>
        <v/>
      </c>
      <c r="U1244" s="17">
        <f>IF($Q1244&lt;&gt;"Yes","",IF(COUNTIFS(nrES_PID,$D1244,nrES_Code,$F1244,nrES_Att,2)&gt;0,"Retested",IF(OR($T1244="",NOT(ISNUMBER($T1244))),"Pending",IF(TODAY()&gt;$T1244,"OVERDUE","Due "&amp;TEXT($T1244,"mm/dd")))))</f>
        <v/>
      </c>
      <c r="V1244" s="16" t="n"/>
      <c r="W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K1245=1,IF(COUNTIFS(nrES_PID,$D1245,nrES_Code,$F1245,nrES_Att,2)&gt;0,"",$L1245),IF(COUNTIFS(nrES_PID,$D1245,nrES_Code,$F1245,nrES_Att,1)=0,$L1245,IF($L1245&gt;=$J1245,cfgRetakeRecordedCap,SUMIFS(nrES_Raw,nrES_PID,$D1245,nrES_Code,$F1245,nrES_Att,1))))))</f>
        <v/>
      </c>
      <c r="N1245" s="17">
        <f>IF($C1245="","",IF($L1245="","",IF($L1245&gt;=$J1245,"Yes","No")))</f>
        <v/>
      </c>
      <c r="O1245" s="17">
        <f>IF($C1245="","",IF($M1245="","",IF($M1245&gt;=$J1245,"Yes","No")))</f>
        <v/>
      </c>
      <c r="P1245" s="17">
        <f>IF($C1245="","",IF($K1245="","",IF(COUNTIFS(nrES_PID,$D1245,nrES_Code,$F1245,nrES_Att,"&gt;"&amp;$K1245)=0,"Yes","No")))</f>
        <v/>
      </c>
      <c r="Q1245" s="17">
        <f>IF($C1245="","",IF($L1245="","",IF(AND($K1245=1,$L1245&lt;$J1245,COUNTIFS(nrES_PID,$D1245,nrES_Code,$F1245,nrES_Att,2)=0),"Yes","No")))</f>
        <v/>
      </c>
      <c r="R1245" s="17">
        <f>IF($C1245="","",IF($L1245="","",IF(AND($K1245=2,$L1245&lt;$J1245,COUNTIFS(nrES_PID,$D1245,nrES_Code,$F1245,nrES_Att,1)&gt;0),"Yes","No")))</f>
        <v/>
      </c>
      <c r="S1245" s="18" t="n"/>
      <c r="T1245" s="19">
        <f>IF($Q1245&lt;&gt;"Yes","",IF($S1245="","(enter date)",_xlfn.LET(_xlpm.dn,IFERROR(_xlfn.XLOOKUP($S1245,nrCDdate,nrCDnum),""),IF(_xlpm.dn="","(not a class day)",IFERROR(_xlfn.XLOOKUP(_xlpm.dn+cfgRetestClassDays,nrCDnum,nrCDdate),"")))))</f>
        <v/>
      </c>
      <c r="U1245" s="17">
        <f>IF($Q1245&lt;&gt;"Yes","",IF(COUNTIFS(nrES_PID,$D1245,nrES_Code,$F1245,nrES_Att,2)&gt;0,"Retested",IF(OR($T1245="",NOT(ISNUMBER($T1245))),"Pending",IF(TODAY()&gt;$T1245,"OVERDUE","Due "&amp;TEXT($T1245,"mm/dd")))))</f>
        <v/>
      </c>
      <c r="V1245" s="16" t="n"/>
      <c r="W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K1246=1,IF(COUNTIFS(nrES_PID,$D1246,nrES_Code,$F1246,nrES_Att,2)&gt;0,"",$L1246),IF(COUNTIFS(nrES_PID,$D1246,nrES_Code,$F1246,nrES_Att,1)=0,$L1246,IF($L1246&gt;=$J1246,cfgRetakeRecordedCap,SUMIFS(nrES_Raw,nrES_PID,$D1246,nrES_Code,$F1246,nrES_Att,1))))))</f>
        <v/>
      </c>
      <c r="N1246" s="17">
        <f>IF($C1246="","",IF($L1246="","",IF($L1246&gt;=$J1246,"Yes","No")))</f>
        <v/>
      </c>
      <c r="O1246" s="17">
        <f>IF($C1246="","",IF($M1246="","",IF($M1246&gt;=$J1246,"Yes","No")))</f>
        <v/>
      </c>
      <c r="P1246" s="17">
        <f>IF($C1246="","",IF($K1246="","",IF(COUNTIFS(nrES_PID,$D1246,nrES_Code,$F1246,nrES_Att,"&gt;"&amp;$K1246)=0,"Yes","No")))</f>
        <v/>
      </c>
      <c r="Q1246" s="17">
        <f>IF($C1246="","",IF($L1246="","",IF(AND($K1246=1,$L1246&lt;$J1246,COUNTIFS(nrES_PID,$D1246,nrES_Code,$F1246,nrES_Att,2)=0),"Yes","No")))</f>
        <v/>
      </c>
      <c r="R1246" s="17">
        <f>IF($C1246="","",IF($L1246="","",IF(AND($K1246=2,$L1246&lt;$J1246,COUNTIFS(nrES_PID,$D1246,nrES_Code,$F1246,nrES_Att,1)&gt;0),"Yes","No")))</f>
        <v/>
      </c>
      <c r="S1246" s="18" t="n"/>
      <c r="T1246" s="19">
        <f>IF($Q1246&lt;&gt;"Yes","",IF($S1246="","(enter date)",_xlfn.LET(_xlpm.dn,IFERROR(_xlfn.XLOOKUP($S1246,nrCDdate,nrCDnum),""),IF(_xlpm.dn="","(not a class day)",IFERROR(_xlfn.XLOOKUP(_xlpm.dn+cfgRetestClassDays,nrCDnum,nrCDdate),"")))))</f>
        <v/>
      </c>
      <c r="U1246" s="17">
        <f>IF($Q1246&lt;&gt;"Yes","",IF(COUNTIFS(nrES_PID,$D1246,nrES_Code,$F1246,nrES_Att,2)&gt;0,"Retested",IF(OR($T1246="",NOT(ISNUMBER($T1246))),"Pending",IF(TODAY()&gt;$T1246,"OVERDUE","Due "&amp;TEXT($T1246,"mm/dd")))))</f>
        <v/>
      </c>
      <c r="V1246" s="16" t="n"/>
      <c r="W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K1247=1,IF(COUNTIFS(nrES_PID,$D1247,nrES_Code,$F1247,nrES_Att,2)&gt;0,"",$L1247),IF(COUNTIFS(nrES_PID,$D1247,nrES_Code,$F1247,nrES_Att,1)=0,$L1247,IF($L1247&gt;=$J1247,cfgRetakeRecordedCap,SUMIFS(nrES_Raw,nrES_PID,$D1247,nrES_Code,$F1247,nrES_Att,1))))))</f>
        <v/>
      </c>
      <c r="N1247" s="17">
        <f>IF($C1247="","",IF($L1247="","",IF($L1247&gt;=$J1247,"Yes","No")))</f>
        <v/>
      </c>
      <c r="O1247" s="17">
        <f>IF($C1247="","",IF($M1247="","",IF($M1247&gt;=$J1247,"Yes","No")))</f>
        <v/>
      </c>
      <c r="P1247" s="17">
        <f>IF($C1247="","",IF($K1247="","",IF(COUNTIFS(nrES_PID,$D1247,nrES_Code,$F1247,nrES_Att,"&gt;"&amp;$K1247)=0,"Yes","No")))</f>
        <v/>
      </c>
      <c r="Q1247" s="17">
        <f>IF($C1247="","",IF($L1247="","",IF(AND($K1247=1,$L1247&lt;$J1247,COUNTIFS(nrES_PID,$D1247,nrES_Code,$F1247,nrES_Att,2)=0),"Yes","No")))</f>
        <v/>
      </c>
      <c r="R1247" s="17">
        <f>IF($C1247="","",IF($L1247="","",IF(AND($K1247=2,$L1247&lt;$J1247,COUNTIFS(nrES_PID,$D1247,nrES_Code,$F1247,nrES_Att,1)&gt;0),"Yes","No")))</f>
        <v/>
      </c>
      <c r="S1247" s="18" t="n"/>
      <c r="T1247" s="19">
        <f>IF($Q1247&lt;&gt;"Yes","",IF($S1247="","(enter date)",_xlfn.LET(_xlpm.dn,IFERROR(_xlfn.XLOOKUP($S1247,nrCDdate,nrCDnum),""),IF(_xlpm.dn="","(not a class day)",IFERROR(_xlfn.XLOOKUP(_xlpm.dn+cfgRetestClassDays,nrCDnum,nrCDdate),"")))))</f>
        <v/>
      </c>
      <c r="U1247" s="17">
        <f>IF($Q1247&lt;&gt;"Yes","",IF(COUNTIFS(nrES_PID,$D1247,nrES_Code,$F1247,nrES_Att,2)&gt;0,"Retested",IF(OR($T1247="",NOT(ISNUMBER($T1247))),"Pending",IF(TODAY()&gt;$T1247,"OVERDUE","Due "&amp;TEXT($T1247,"mm/dd")))))</f>
        <v/>
      </c>
      <c r="V1247" s="16" t="n"/>
      <c r="W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K1248=1,IF(COUNTIFS(nrES_PID,$D1248,nrES_Code,$F1248,nrES_Att,2)&gt;0,"",$L1248),IF(COUNTIFS(nrES_PID,$D1248,nrES_Code,$F1248,nrES_Att,1)=0,$L1248,IF($L1248&gt;=$J1248,cfgRetakeRecordedCap,SUMIFS(nrES_Raw,nrES_PID,$D1248,nrES_Code,$F1248,nrES_Att,1))))))</f>
        <v/>
      </c>
      <c r="N1248" s="17">
        <f>IF($C1248="","",IF($L1248="","",IF($L1248&gt;=$J1248,"Yes","No")))</f>
        <v/>
      </c>
      <c r="O1248" s="17">
        <f>IF($C1248="","",IF($M1248="","",IF($M1248&gt;=$J1248,"Yes","No")))</f>
        <v/>
      </c>
      <c r="P1248" s="17">
        <f>IF($C1248="","",IF($K1248="","",IF(COUNTIFS(nrES_PID,$D1248,nrES_Code,$F1248,nrES_Att,"&gt;"&amp;$K1248)=0,"Yes","No")))</f>
        <v/>
      </c>
      <c r="Q1248" s="17">
        <f>IF($C1248="","",IF($L1248="","",IF(AND($K1248=1,$L1248&lt;$J1248,COUNTIFS(nrES_PID,$D1248,nrES_Code,$F1248,nrES_Att,2)=0),"Yes","No")))</f>
        <v/>
      </c>
      <c r="R1248" s="17">
        <f>IF($C1248="","",IF($L1248="","",IF(AND($K1248=2,$L1248&lt;$J1248,COUNTIFS(nrES_PID,$D1248,nrES_Code,$F1248,nrES_Att,1)&gt;0),"Yes","No")))</f>
        <v/>
      </c>
      <c r="S1248" s="18" t="n"/>
      <c r="T1248" s="19">
        <f>IF($Q1248&lt;&gt;"Yes","",IF($S1248="","(enter date)",_xlfn.LET(_xlpm.dn,IFERROR(_xlfn.XLOOKUP($S1248,nrCDdate,nrCDnum),""),IF(_xlpm.dn="","(not a class day)",IFERROR(_xlfn.XLOOKUP(_xlpm.dn+cfgRetestClassDays,nrCDnum,nrCDdate),"")))))</f>
        <v/>
      </c>
      <c r="U1248" s="17">
        <f>IF($Q1248&lt;&gt;"Yes","",IF(COUNTIFS(nrES_PID,$D1248,nrES_Code,$F1248,nrES_Att,2)&gt;0,"Retested",IF(OR($T1248="",NOT(ISNUMBER($T1248))),"Pending",IF(TODAY()&gt;$T1248,"OVERDUE","Due "&amp;TEXT($T1248,"mm/dd")))))</f>
        <v/>
      </c>
      <c r="V1248" s="16" t="n"/>
      <c r="W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K1249=1,IF(COUNTIFS(nrES_PID,$D1249,nrES_Code,$F1249,nrES_Att,2)&gt;0,"",$L1249),IF(COUNTIFS(nrES_PID,$D1249,nrES_Code,$F1249,nrES_Att,1)=0,$L1249,IF($L1249&gt;=$J1249,cfgRetakeRecordedCap,SUMIFS(nrES_Raw,nrES_PID,$D1249,nrES_Code,$F1249,nrES_Att,1))))))</f>
        <v/>
      </c>
      <c r="N1249" s="17">
        <f>IF($C1249="","",IF($L1249="","",IF($L1249&gt;=$J1249,"Yes","No")))</f>
        <v/>
      </c>
      <c r="O1249" s="17">
        <f>IF($C1249="","",IF($M1249="","",IF($M1249&gt;=$J1249,"Yes","No")))</f>
        <v/>
      </c>
      <c r="P1249" s="17">
        <f>IF($C1249="","",IF($K1249="","",IF(COUNTIFS(nrES_PID,$D1249,nrES_Code,$F1249,nrES_Att,"&gt;"&amp;$K1249)=0,"Yes","No")))</f>
        <v/>
      </c>
      <c r="Q1249" s="17">
        <f>IF($C1249="","",IF($L1249="","",IF(AND($K1249=1,$L1249&lt;$J1249,COUNTIFS(nrES_PID,$D1249,nrES_Code,$F1249,nrES_Att,2)=0),"Yes","No")))</f>
        <v/>
      </c>
      <c r="R1249" s="17">
        <f>IF($C1249="","",IF($L1249="","",IF(AND($K1249=2,$L1249&lt;$J1249,COUNTIFS(nrES_PID,$D1249,nrES_Code,$F1249,nrES_Att,1)&gt;0),"Yes","No")))</f>
        <v/>
      </c>
      <c r="S1249" s="18" t="n"/>
      <c r="T1249" s="19">
        <f>IF($Q1249&lt;&gt;"Yes","",IF($S1249="","(enter date)",_xlfn.LET(_xlpm.dn,IFERROR(_xlfn.XLOOKUP($S1249,nrCDdate,nrCDnum),""),IF(_xlpm.dn="","(not a class day)",IFERROR(_xlfn.XLOOKUP(_xlpm.dn+cfgRetestClassDays,nrCDnum,nrCDdate),"")))))</f>
        <v/>
      </c>
      <c r="U1249" s="17">
        <f>IF($Q1249&lt;&gt;"Yes","",IF(COUNTIFS(nrES_PID,$D1249,nrES_Code,$F1249,nrES_Att,2)&gt;0,"Retested",IF(OR($T1249="",NOT(ISNUMBER($T1249))),"Pending",IF(TODAY()&gt;$T1249,"OVERDUE","Due "&amp;TEXT($T1249,"mm/dd")))))</f>
        <v/>
      </c>
      <c r="V1249" s="16" t="n"/>
      <c r="W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K1250=1,IF(COUNTIFS(nrES_PID,$D1250,nrES_Code,$F1250,nrES_Att,2)&gt;0,"",$L1250),IF(COUNTIFS(nrES_PID,$D1250,nrES_Code,$F1250,nrES_Att,1)=0,$L1250,IF($L1250&gt;=$J1250,cfgRetakeRecordedCap,SUMIFS(nrES_Raw,nrES_PID,$D1250,nrES_Code,$F1250,nrES_Att,1))))))</f>
        <v/>
      </c>
      <c r="N1250" s="17">
        <f>IF($C1250="","",IF($L1250="","",IF($L1250&gt;=$J1250,"Yes","No")))</f>
        <v/>
      </c>
      <c r="O1250" s="17">
        <f>IF($C1250="","",IF($M1250="","",IF($M1250&gt;=$J1250,"Yes","No")))</f>
        <v/>
      </c>
      <c r="P1250" s="17">
        <f>IF($C1250="","",IF($K1250="","",IF(COUNTIFS(nrES_PID,$D1250,nrES_Code,$F1250,nrES_Att,"&gt;"&amp;$K1250)=0,"Yes","No")))</f>
        <v/>
      </c>
      <c r="Q1250" s="17">
        <f>IF($C1250="","",IF($L1250="","",IF(AND($K1250=1,$L1250&lt;$J1250,COUNTIFS(nrES_PID,$D1250,nrES_Code,$F1250,nrES_Att,2)=0),"Yes","No")))</f>
        <v/>
      </c>
      <c r="R1250" s="17">
        <f>IF($C1250="","",IF($L1250="","",IF(AND($K1250=2,$L1250&lt;$J1250,COUNTIFS(nrES_PID,$D1250,nrES_Code,$F1250,nrES_Att,1)&gt;0),"Yes","No")))</f>
        <v/>
      </c>
      <c r="S1250" s="18" t="n"/>
      <c r="T1250" s="19">
        <f>IF($Q1250&lt;&gt;"Yes","",IF($S1250="","(enter date)",_xlfn.LET(_xlpm.dn,IFERROR(_xlfn.XLOOKUP($S1250,nrCDdate,nrCDnum),""),IF(_xlpm.dn="","(not a class day)",IFERROR(_xlfn.XLOOKUP(_xlpm.dn+cfgRetestClassDays,nrCDnum,nrCDdate),"")))))</f>
        <v/>
      </c>
      <c r="U1250" s="17">
        <f>IF($Q1250&lt;&gt;"Yes","",IF(COUNTIFS(nrES_PID,$D1250,nrES_Code,$F1250,nrES_Att,2)&gt;0,"Retested",IF(OR($T1250="",NOT(ISNUMBER($T1250))),"Pending",IF(TODAY()&gt;$T1250,"OVERDUE","Due "&amp;TEXT($T1250,"mm/dd")))))</f>
        <v/>
      </c>
      <c r="V1250" s="16" t="n"/>
      <c r="W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K1251=1,IF(COUNTIFS(nrES_PID,$D1251,nrES_Code,$F1251,nrES_Att,2)&gt;0,"",$L1251),IF(COUNTIFS(nrES_PID,$D1251,nrES_Code,$F1251,nrES_Att,1)=0,$L1251,IF($L1251&gt;=$J1251,cfgRetakeRecordedCap,SUMIFS(nrES_Raw,nrES_PID,$D1251,nrES_Code,$F1251,nrES_Att,1))))))</f>
        <v/>
      </c>
      <c r="N1251" s="17">
        <f>IF($C1251="","",IF($L1251="","",IF($L1251&gt;=$J1251,"Yes","No")))</f>
        <v/>
      </c>
      <c r="O1251" s="17">
        <f>IF($C1251="","",IF($M1251="","",IF($M1251&gt;=$J1251,"Yes","No")))</f>
        <v/>
      </c>
      <c r="P1251" s="17">
        <f>IF($C1251="","",IF($K1251="","",IF(COUNTIFS(nrES_PID,$D1251,nrES_Code,$F1251,nrES_Att,"&gt;"&amp;$K1251)=0,"Yes","No")))</f>
        <v/>
      </c>
      <c r="Q1251" s="17">
        <f>IF($C1251="","",IF($L1251="","",IF(AND($K1251=1,$L1251&lt;$J1251,COUNTIFS(nrES_PID,$D1251,nrES_Code,$F1251,nrES_Att,2)=0),"Yes","No")))</f>
        <v/>
      </c>
      <c r="R1251" s="17">
        <f>IF($C1251="","",IF($L1251="","",IF(AND($K1251=2,$L1251&lt;$J1251,COUNTIFS(nrES_PID,$D1251,nrES_Code,$F1251,nrES_Att,1)&gt;0),"Yes","No")))</f>
        <v/>
      </c>
      <c r="S1251" s="18" t="n"/>
      <c r="T1251" s="19">
        <f>IF($Q1251&lt;&gt;"Yes","",IF($S1251="","(enter date)",_xlfn.LET(_xlpm.dn,IFERROR(_xlfn.XLOOKUP($S1251,nrCDdate,nrCDnum),""),IF(_xlpm.dn="","(not a class day)",IFERROR(_xlfn.XLOOKUP(_xlpm.dn+cfgRetestClassDays,nrCDnum,nrCDdate),"")))))</f>
        <v/>
      </c>
      <c r="U1251" s="17">
        <f>IF($Q1251&lt;&gt;"Yes","",IF(COUNTIFS(nrES_PID,$D1251,nrES_Code,$F1251,nrES_Att,2)&gt;0,"Retested",IF(OR($T1251="",NOT(ISNUMBER($T1251))),"Pending",IF(TODAY()&gt;$T1251,"OVERDUE","Due "&amp;TEXT($T1251,"mm/dd")))))</f>
        <v/>
      </c>
      <c r="V1251" s="16" t="n"/>
      <c r="W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K1252=1,IF(COUNTIFS(nrES_PID,$D1252,nrES_Code,$F1252,nrES_Att,2)&gt;0,"",$L1252),IF(COUNTIFS(nrES_PID,$D1252,nrES_Code,$F1252,nrES_Att,1)=0,$L1252,IF($L1252&gt;=$J1252,cfgRetakeRecordedCap,SUMIFS(nrES_Raw,nrES_PID,$D1252,nrES_Code,$F1252,nrES_Att,1))))))</f>
        <v/>
      </c>
      <c r="N1252" s="17">
        <f>IF($C1252="","",IF($L1252="","",IF($L1252&gt;=$J1252,"Yes","No")))</f>
        <v/>
      </c>
      <c r="O1252" s="17">
        <f>IF($C1252="","",IF($M1252="","",IF($M1252&gt;=$J1252,"Yes","No")))</f>
        <v/>
      </c>
      <c r="P1252" s="17">
        <f>IF($C1252="","",IF($K1252="","",IF(COUNTIFS(nrES_PID,$D1252,nrES_Code,$F1252,nrES_Att,"&gt;"&amp;$K1252)=0,"Yes","No")))</f>
        <v/>
      </c>
      <c r="Q1252" s="17">
        <f>IF($C1252="","",IF($L1252="","",IF(AND($K1252=1,$L1252&lt;$J1252,COUNTIFS(nrES_PID,$D1252,nrES_Code,$F1252,nrES_Att,2)=0),"Yes","No")))</f>
        <v/>
      </c>
      <c r="R1252" s="17">
        <f>IF($C1252="","",IF($L1252="","",IF(AND($K1252=2,$L1252&lt;$J1252,COUNTIFS(nrES_PID,$D1252,nrES_Code,$F1252,nrES_Att,1)&gt;0),"Yes","No")))</f>
        <v/>
      </c>
      <c r="S1252" s="18" t="n"/>
      <c r="T1252" s="19">
        <f>IF($Q1252&lt;&gt;"Yes","",IF($S1252="","(enter date)",_xlfn.LET(_xlpm.dn,IFERROR(_xlfn.XLOOKUP($S1252,nrCDdate,nrCDnum),""),IF(_xlpm.dn="","(not a class day)",IFERROR(_xlfn.XLOOKUP(_xlpm.dn+cfgRetestClassDays,nrCDnum,nrCDdate),"")))))</f>
        <v/>
      </c>
      <c r="U1252" s="17">
        <f>IF($Q1252&lt;&gt;"Yes","",IF(COUNTIFS(nrES_PID,$D1252,nrES_Code,$F1252,nrES_Att,2)&gt;0,"Retested",IF(OR($T1252="",NOT(ISNUMBER($T1252))),"Pending",IF(TODAY()&gt;$T1252,"OVERDUE","Due "&amp;TEXT($T1252,"mm/dd")))))</f>
        <v/>
      </c>
      <c r="V1252" s="16" t="n"/>
      <c r="W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K1253=1,IF(COUNTIFS(nrES_PID,$D1253,nrES_Code,$F1253,nrES_Att,2)&gt;0,"",$L1253),IF(COUNTIFS(nrES_PID,$D1253,nrES_Code,$F1253,nrES_Att,1)=0,$L1253,IF($L1253&gt;=$J1253,cfgRetakeRecordedCap,SUMIFS(nrES_Raw,nrES_PID,$D1253,nrES_Code,$F1253,nrES_Att,1))))))</f>
        <v/>
      </c>
      <c r="N1253" s="17">
        <f>IF($C1253="","",IF($L1253="","",IF($L1253&gt;=$J1253,"Yes","No")))</f>
        <v/>
      </c>
      <c r="O1253" s="17">
        <f>IF($C1253="","",IF($M1253="","",IF($M1253&gt;=$J1253,"Yes","No")))</f>
        <v/>
      </c>
      <c r="P1253" s="17">
        <f>IF($C1253="","",IF($K1253="","",IF(COUNTIFS(nrES_PID,$D1253,nrES_Code,$F1253,nrES_Att,"&gt;"&amp;$K1253)=0,"Yes","No")))</f>
        <v/>
      </c>
      <c r="Q1253" s="17">
        <f>IF($C1253="","",IF($L1253="","",IF(AND($K1253=1,$L1253&lt;$J1253,COUNTIFS(nrES_PID,$D1253,nrES_Code,$F1253,nrES_Att,2)=0),"Yes","No")))</f>
        <v/>
      </c>
      <c r="R1253" s="17">
        <f>IF($C1253="","",IF($L1253="","",IF(AND($K1253=2,$L1253&lt;$J1253,COUNTIFS(nrES_PID,$D1253,nrES_Code,$F1253,nrES_Att,1)&gt;0),"Yes","No")))</f>
        <v/>
      </c>
      <c r="S1253" s="18" t="n"/>
      <c r="T1253" s="19">
        <f>IF($Q1253&lt;&gt;"Yes","",IF($S1253="","(enter date)",_xlfn.LET(_xlpm.dn,IFERROR(_xlfn.XLOOKUP($S1253,nrCDdate,nrCDnum),""),IF(_xlpm.dn="","(not a class day)",IFERROR(_xlfn.XLOOKUP(_xlpm.dn+cfgRetestClassDays,nrCDnum,nrCDdate),"")))))</f>
        <v/>
      </c>
      <c r="U1253" s="17">
        <f>IF($Q1253&lt;&gt;"Yes","",IF(COUNTIFS(nrES_PID,$D1253,nrES_Code,$F1253,nrES_Att,2)&gt;0,"Retested",IF(OR($T1253="",NOT(ISNUMBER($T1253))),"Pending",IF(TODAY()&gt;$T1253,"OVERDUE","Due "&amp;TEXT($T1253,"mm/dd")))))</f>
        <v/>
      </c>
      <c r="V1253" s="16" t="n"/>
      <c r="W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K1254=1,IF(COUNTIFS(nrES_PID,$D1254,nrES_Code,$F1254,nrES_Att,2)&gt;0,"",$L1254),IF(COUNTIFS(nrES_PID,$D1254,nrES_Code,$F1254,nrES_Att,1)=0,$L1254,IF($L1254&gt;=$J1254,cfgRetakeRecordedCap,SUMIFS(nrES_Raw,nrES_PID,$D1254,nrES_Code,$F1254,nrES_Att,1))))))</f>
        <v/>
      </c>
      <c r="N1254" s="17">
        <f>IF($C1254="","",IF($L1254="","",IF($L1254&gt;=$J1254,"Yes","No")))</f>
        <v/>
      </c>
      <c r="O1254" s="17">
        <f>IF($C1254="","",IF($M1254="","",IF($M1254&gt;=$J1254,"Yes","No")))</f>
        <v/>
      </c>
      <c r="P1254" s="17">
        <f>IF($C1254="","",IF($K1254="","",IF(COUNTIFS(nrES_PID,$D1254,nrES_Code,$F1254,nrES_Att,"&gt;"&amp;$K1254)=0,"Yes","No")))</f>
        <v/>
      </c>
      <c r="Q1254" s="17">
        <f>IF($C1254="","",IF($L1254="","",IF(AND($K1254=1,$L1254&lt;$J1254,COUNTIFS(nrES_PID,$D1254,nrES_Code,$F1254,nrES_Att,2)=0),"Yes","No")))</f>
        <v/>
      </c>
      <c r="R1254" s="17">
        <f>IF($C1254="","",IF($L1254="","",IF(AND($K1254=2,$L1254&lt;$J1254,COUNTIFS(nrES_PID,$D1254,nrES_Code,$F1254,nrES_Att,1)&gt;0),"Yes","No")))</f>
        <v/>
      </c>
      <c r="S1254" s="18" t="n"/>
      <c r="T1254" s="19">
        <f>IF($Q1254&lt;&gt;"Yes","",IF($S1254="","(enter date)",_xlfn.LET(_xlpm.dn,IFERROR(_xlfn.XLOOKUP($S1254,nrCDdate,nrCDnum),""),IF(_xlpm.dn="","(not a class day)",IFERROR(_xlfn.XLOOKUP(_xlpm.dn+cfgRetestClassDays,nrCDnum,nrCDdate),"")))))</f>
        <v/>
      </c>
      <c r="U1254" s="17">
        <f>IF($Q1254&lt;&gt;"Yes","",IF(COUNTIFS(nrES_PID,$D1254,nrES_Code,$F1254,nrES_Att,2)&gt;0,"Retested",IF(OR($T1254="",NOT(ISNUMBER($T1254))),"Pending",IF(TODAY()&gt;$T1254,"OVERDUE","Due "&amp;TEXT($T1254,"mm/dd")))))</f>
        <v/>
      </c>
      <c r="V1254" s="16" t="n"/>
      <c r="W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K1255=1,IF(COUNTIFS(nrES_PID,$D1255,nrES_Code,$F1255,nrES_Att,2)&gt;0,"",$L1255),IF(COUNTIFS(nrES_PID,$D1255,nrES_Code,$F1255,nrES_Att,1)=0,$L1255,IF($L1255&gt;=$J1255,cfgRetakeRecordedCap,SUMIFS(nrES_Raw,nrES_PID,$D1255,nrES_Code,$F1255,nrES_Att,1))))))</f>
        <v/>
      </c>
      <c r="N1255" s="17">
        <f>IF($C1255="","",IF($L1255="","",IF($L1255&gt;=$J1255,"Yes","No")))</f>
        <v/>
      </c>
      <c r="O1255" s="17">
        <f>IF($C1255="","",IF($M1255="","",IF($M1255&gt;=$J1255,"Yes","No")))</f>
        <v/>
      </c>
      <c r="P1255" s="17">
        <f>IF($C1255="","",IF($K1255="","",IF(COUNTIFS(nrES_PID,$D1255,nrES_Code,$F1255,nrES_Att,"&gt;"&amp;$K1255)=0,"Yes","No")))</f>
        <v/>
      </c>
      <c r="Q1255" s="17">
        <f>IF($C1255="","",IF($L1255="","",IF(AND($K1255=1,$L1255&lt;$J1255,COUNTIFS(nrES_PID,$D1255,nrES_Code,$F1255,nrES_Att,2)=0),"Yes","No")))</f>
        <v/>
      </c>
      <c r="R1255" s="17">
        <f>IF($C1255="","",IF($L1255="","",IF(AND($K1255=2,$L1255&lt;$J1255,COUNTIFS(nrES_PID,$D1255,nrES_Code,$F1255,nrES_Att,1)&gt;0),"Yes","No")))</f>
        <v/>
      </c>
      <c r="S1255" s="18" t="n"/>
      <c r="T1255" s="19">
        <f>IF($Q1255&lt;&gt;"Yes","",IF($S1255="","(enter date)",_xlfn.LET(_xlpm.dn,IFERROR(_xlfn.XLOOKUP($S1255,nrCDdate,nrCDnum),""),IF(_xlpm.dn="","(not a class day)",IFERROR(_xlfn.XLOOKUP(_xlpm.dn+cfgRetestClassDays,nrCDnum,nrCDdate),"")))))</f>
        <v/>
      </c>
      <c r="U1255" s="17">
        <f>IF($Q1255&lt;&gt;"Yes","",IF(COUNTIFS(nrES_PID,$D1255,nrES_Code,$F1255,nrES_Att,2)&gt;0,"Retested",IF(OR($T1255="",NOT(ISNUMBER($T1255))),"Pending",IF(TODAY()&gt;$T1255,"OVERDUE","Due "&amp;TEXT($T1255,"mm/dd")))))</f>
        <v/>
      </c>
      <c r="V1255" s="16" t="n"/>
      <c r="W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K1256=1,IF(COUNTIFS(nrES_PID,$D1256,nrES_Code,$F1256,nrES_Att,2)&gt;0,"",$L1256),IF(COUNTIFS(nrES_PID,$D1256,nrES_Code,$F1256,nrES_Att,1)=0,$L1256,IF($L1256&gt;=$J1256,cfgRetakeRecordedCap,SUMIFS(nrES_Raw,nrES_PID,$D1256,nrES_Code,$F1256,nrES_Att,1))))))</f>
        <v/>
      </c>
      <c r="N1256" s="17">
        <f>IF($C1256="","",IF($L1256="","",IF($L1256&gt;=$J1256,"Yes","No")))</f>
        <v/>
      </c>
      <c r="O1256" s="17">
        <f>IF($C1256="","",IF($M1256="","",IF($M1256&gt;=$J1256,"Yes","No")))</f>
        <v/>
      </c>
      <c r="P1256" s="17">
        <f>IF($C1256="","",IF($K1256="","",IF(COUNTIFS(nrES_PID,$D1256,nrES_Code,$F1256,nrES_Att,"&gt;"&amp;$K1256)=0,"Yes","No")))</f>
        <v/>
      </c>
      <c r="Q1256" s="17">
        <f>IF($C1256="","",IF($L1256="","",IF(AND($K1256=1,$L1256&lt;$J1256,COUNTIFS(nrES_PID,$D1256,nrES_Code,$F1256,nrES_Att,2)=0),"Yes","No")))</f>
        <v/>
      </c>
      <c r="R1256" s="17">
        <f>IF($C1256="","",IF($L1256="","",IF(AND($K1256=2,$L1256&lt;$J1256,COUNTIFS(nrES_PID,$D1256,nrES_Code,$F1256,nrES_Att,1)&gt;0),"Yes","No")))</f>
        <v/>
      </c>
      <c r="S1256" s="18" t="n"/>
      <c r="T1256" s="19">
        <f>IF($Q1256&lt;&gt;"Yes","",IF($S1256="","(enter date)",_xlfn.LET(_xlpm.dn,IFERROR(_xlfn.XLOOKUP($S1256,nrCDdate,nrCDnum),""),IF(_xlpm.dn="","(not a class day)",IFERROR(_xlfn.XLOOKUP(_xlpm.dn+cfgRetestClassDays,nrCDnum,nrCDdate),"")))))</f>
        <v/>
      </c>
      <c r="U1256" s="17">
        <f>IF($Q1256&lt;&gt;"Yes","",IF(COUNTIFS(nrES_PID,$D1256,nrES_Code,$F1256,nrES_Att,2)&gt;0,"Retested",IF(OR($T1256="",NOT(ISNUMBER($T1256))),"Pending",IF(TODAY()&gt;$T1256,"OVERDUE","Due "&amp;TEXT($T1256,"mm/dd")))))</f>
        <v/>
      </c>
      <c r="V1256" s="16" t="n"/>
      <c r="W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K1257=1,IF(COUNTIFS(nrES_PID,$D1257,nrES_Code,$F1257,nrES_Att,2)&gt;0,"",$L1257),IF(COUNTIFS(nrES_PID,$D1257,nrES_Code,$F1257,nrES_Att,1)=0,$L1257,IF($L1257&gt;=$J1257,cfgRetakeRecordedCap,SUMIFS(nrES_Raw,nrES_PID,$D1257,nrES_Code,$F1257,nrES_Att,1))))))</f>
        <v/>
      </c>
      <c r="N1257" s="17">
        <f>IF($C1257="","",IF($L1257="","",IF($L1257&gt;=$J1257,"Yes","No")))</f>
        <v/>
      </c>
      <c r="O1257" s="17">
        <f>IF($C1257="","",IF($M1257="","",IF($M1257&gt;=$J1257,"Yes","No")))</f>
        <v/>
      </c>
      <c r="P1257" s="17">
        <f>IF($C1257="","",IF($K1257="","",IF(COUNTIFS(nrES_PID,$D1257,nrES_Code,$F1257,nrES_Att,"&gt;"&amp;$K1257)=0,"Yes","No")))</f>
        <v/>
      </c>
      <c r="Q1257" s="17">
        <f>IF($C1257="","",IF($L1257="","",IF(AND($K1257=1,$L1257&lt;$J1257,COUNTIFS(nrES_PID,$D1257,nrES_Code,$F1257,nrES_Att,2)=0),"Yes","No")))</f>
        <v/>
      </c>
      <c r="R1257" s="17">
        <f>IF($C1257="","",IF($L1257="","",IF(AND($K1257=2,$L1257&lt;$J1257,COUNTIFS(nrES_PID,$D1257,nrES_Code,$F1257,nrES_Att,1)&gt;0),"Yes","No")))</f>
        <v/>
      </c>
      <c r="S1257" s="18" t="n"/>
      <c r="T1257" s="19">
        <f>IF($Q1257&lt;&gt;"Yes","",IF($S1257="","(enter date)",_xlfn.LET(_xlpm.dn,IFERROR(_xlfn.XLOOKUP($S1257,nrCDdate,nrCDnum),""),IF(_xlpm.dn="","(not a class day)",IFERROR(_xlfn.XLOOKUP(_xlpm.dn+cfgRetestClassDays,nrCDnum,nrCDdate),"")))))</f>
        <v/>
      </c>
      <c r="U1257" s="17">
        <f>IF($Q1257&lt;&gt;"Yes","",IF(COUNTIFS(nrES_PID,$D1257,nrES_Code,$F1257,nrES_Att,2)&gt;0,"Retested",IF(OR($T1257="",NOT(ISNUMBER($T1257))),"Pending",IF(TODAY()&gt;$T1257,"OVERDUE","Due "&amp;TEXT($T1257,"mm/dd")))))</f>
        <v/>
      </c>
      <c r="V1257" s="16" t="n"/>
      <c r="W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K1258=1,IF(COUNTIFS(nrES_PID,$D1258,nrES_Code,$F1258,nrES_Att,2)&gt;0,"",$L1258),IF(COUNTIFS(nrES_PID,$D1258,nrES_Code,$F1258,nrES_Att,1)=0,$L1258,IF($L1258&gt;=$J1258,cfgRetakeRecordedCap,SUMIFS(nrES_Raw,nrES_PID,$D1258,nrES_Code,$F1258,nrES_Att,1))))))</f>
        <v/>
      </c>
      <c r="N1258" s="17">
        <f>IF($C1258="","",IF($L1258="","",IF($L1258&gt;=$J1258,"Yes","No")))</f>
        <v/>
      </c>
      <c r="O1258" s="17">
        <f>IF($C1258="","",IF($M1258="","",IF($M1258&gt;=$J1258,"Yes","No")))</f>
        <v/>
      </c>
      <c r="P1258" s="17">
        <f>IF($C1258="","",IF($K1258="","",IF(COUNTIFS(nrES_PID,$D1258,nrES_Code,$F1258,nrES_Att,"&gt;"&amp;$K1258)=0,"Yes","No")))</f>
        <v/>
      </c>
      <c r="Q1258" s="17">
        <f>IF($C1258="","",IF($L1258="","",IF(AND($K1258=1,$L1258&lt;$J1258,COUNTIFS(nrES_PID,$D1258,nrES_Code,$F1258,nrES_Att,2)=0),"Yes","No")))</f>
        <v/>
      </c>
      <c r="R1258" s="17">
        <f>IF($C1258="","",IF($L1258="","",IF(AND($K1258=2,$L1258&lt;$J1258,COUNTIFS(nrES_PID,$D1258,nrES_Code,$F1258,nrES_Att,1)&gt;0),"Yes","No")))</f>
        <v/>
      </c>
      <c r="S1258" s="18" t="n"/>
      <c r="T1258" s="19">
        <f>IF($Q1258&lt;&gt;"Yes","",IF($S1258="","(enter date)",_xlfn.LET(_xlpm.dn,IFERROR(_xlfn.XLOOKUP($S1258,nrCDdate,nrCDnum),""),IF(_xlpm.dn="","(not a class day)",IFERROR(_xlfn.XLOOKUP(_xlpm.dn+cfgRetestClassDays,nrCDnum,nrCDdate),"")))))</f>
        <v/>
      </c>
      <c r="U1258" s="17">
        <f>IF($Q1258&lt;&gt;"Yes","",IF(COUNTIFS(nrES_PID,$D1258,nrES_Code,$F1258,nrES_Att,2)&gt;0,"Retested",IF(OR($T1258="",NOT(ISNUMBER($T1258))),"Pending",IF(TODAY()&gt;$T1258,"OVERDUE","Due "&amp;TEXT($T1258,"mm/dd")))))</f>
        <v/>
      </c>
      <c r="V1258" s="16" t="n"/>
      <c r="W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K1259=1,IF(COUNTIFS(nrES_PID,$D1259,nrES_Code,$F1259,nrES_Att,2)&gt;0,"",$L1259),IF(COUNTIFS(nrES_PID,$D1259,nrES_Code,$F1259,nrES_Att,1)=0,$L1259,IF($L1259&gt;=$J1259,cfgRetakeRecordedCap,SUMIFS(nrES_Raw,nrES_PID,$D1259,nrES_Code,$F1259,nrES_Att,1))))))</f>
        <v/>
      </c>
      <c r="N1259" s="17">
        <f>IF($C1259="","",IF($L1259="","",IF($L1259&gt;=$J1259,"Yes","No")))</f>
        <v/>
      </c>
      <c r="O1259" s="17">
        <f>IF($C1259="","",IF($M1259="","",IF($M1259&gt;=$J1259,"Yes","No")))</f>
        <v/>
      </c>
      <c r="P1259" s="17">
        <f>IF($C1259="","",IF($K1259="","",IF(COUNTIFS(nrES_PID,$D1259,nrES_Code,$F1259,nrES_Att,"&gt;"&amp;$K1259)=0,"Yes","No")))</f>
        <v/>
      </c>
      <c r="Q1259" s="17">
        <f>IF($C1259="","",IF($L1259="","",IF(AND($K1259=1,$L1259&lt;$J1259,COUNTIFS(nrES_PID,$D1259,nrES_Code,$F1259,nrES_Att,2)=0),"Yes","No")))</f>
        <v/>
      </c>
      <c r="R1259" s="17">
        <f>IF($C1259="","",IF($L1259="","",IF(AND($K1259=2,$L1259&lt;$J1259,COUNTIFS(nrES_PID,$D1259,nrES_Code,$F1259,nrES_Att,1)&gt;0),"Yes","No")))</f>
        <v/>
      </c>
      <c r="S1259" s="18" t="n"/>
      <c r="T1259" s="19">
        <f>IF($Q1259&lt;&gt;"Yes","",IF($S1259="","(enter date)",_xlfn.LET(_xlpm.dn,IFERROR(_xlfn.XLOOKUP($S1259,nrCDdate,nrCDnum),""),IF(_xlpm.dn="","(not a class day)",IFERROR(_xlfn.XLOOKUP(_xlpm.dn+cfgRetestClassDays,nrCDnum,nrCDdate),"")))))</f>
        <v/>
      </c>
      <c r="U1259" s="17">
        <f>IF($Q1259&lt;&gt;"Yes","",IF(COUNTIFS(nrES_PID,$D1259,nrES_Code,$F1259,nrES_Att,2)&gt;0,"Retested",IF(OR($T1259="",NOT(ISNUMBER($T1259))),"Pending",IF(TODAY()&gt;$T1259,"OVERDUE","Due "&amp;TEXT($T1259,"mm/dd")))))</f>
        <v/>
      </c>
      <c r="V1259" s="16" t="n"/>
      <c r="W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K1260=1,IF(COUNTIFS(nrES_PID,$D1260,nrES_Code,$F1260,nrES_Att,2)&gt;0,"",$L1260),IF(COUNTIFS(nrES_PID,$D1260,nrES_Code,$F1260,nrES_Att,1)=0,$L1260,IF($L1260&gt;=$J1260,cfgRetakeRecordedCap,SUMIFS(nrES_Raw,nrES_PID,$D1260,nrES_Code,$F1260,nrES_Att,1))))))</f>
        <v/>
      </c>
      <c r="N1260" s="17">
        <f>IF($C1260="","",IF($L1260="","",IF($L1260&gt;=$J1260,"Yes","No")))</f>
        <v/>
      </c>
      <c r="O1260" s="17">
        <f>IF($C1260="","",IF($M1260="","",IF($M1260&gt;=$J1260,"Yes","No")))</f>
        <v/>
      </c>
      <c r="P1260" s="17">
        <f>IF($C1260="","",IF($K1260="","",IF(COUNTIFS(nrES_PID,$D1260,nrES_Code,$F1260,nrES_Att,"&gt;"&amp;$K1260)=0,"Yes","No")))</f>
        <v/>
      </c>
      <c r="Q1260" s="17">
        <f>IF($C1260="","",IF($L1260="","",IF(AND($K1260=1,$L1260&lt;$J1260,COUNTIFS(nrES_PID,$D1260,nrES_Code,$F1260,nrES_Att,2)=0),"Yes","No")))</f>
        <v/>
      </c>
      <c r="R1260" s="17">
        <f>IF($C1260="","",IF($L1260="","",IF(AND($K1260=2,$L1260&lt;$J1260,COUNTIFS(nrES_PID,$D1260,nrES_Code,$F1260,nrES_Att,1)&gt;0),"Yes","No")))</f>
        <v/>
      </c>
      <c r="S1260" s="18" t="n"/>
      <c r="T1260" s="19">
        <f>IF($Q1260&lt;&gt;"Yes","",IF($S1260="","(enter date)",_xlfn.LET(_xlpm.dn,IFERROR(_xlfn.XLOOKUP($S1260,nrCDdate,nrCDnum),""),IF(_xlpm.dn="","(not a class day)",IFERROR(_xlfn.XLOOKUP(_xlpm.dn+cfgRetestClassDays,nrCDnum,nrCDdate),"")))))</f>
        <v/>
      </c>
      <c r="U1260" s="17">
        <f>IF($Q1260&lt;&gt;"Yes","",IF(COUNTIFS(nrES_PID,$D1260,nrES_Code,$F1260,nrES_Att,2)&gt;0,"Retested",IF(OR($T1260="",NOT(ISNUMBER($T1260))),"Pending",IF(TODAY()&gt;$T1260,"OVERDUE","Due "&amp;TEXT($T1260,"mm/dd")))))</f>
        <v/>
      </c>
      <c r="V1260" s="16" t="n"/>
      <c r="W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K1261=1,IF(COUNTIFS(nrES_PID,$D1261,nrES_Code,$F1261,nrES_Att,2)&gt;0,"",$L1261),IF(COUNTIFS(nrES_PID,$D1261,nrES_Code,$F1261,nrES_Att,1)=0,$L1261,IF($L1261&gt;=$J1261,cfgRetakeRecordedCap,SUMIFS(nrES_Raw,nrES_PID,$D1261,nrES_Code,$F1261,nrES_Att,1))))))</f>
        <v/>
      </c>
      <c r="N1261" s="17">
        <f>IF($C1261="","",IF($L1261="","",IF($L1261&gt;=$J1261,"Yes","No")))</f>
        <v/>
      </c>
      <c r="O1261" s="17">
        <f>IF($C1261="","",IF($M1261="","",IF($M1261&gt;=$J1261,"Yes","No")))</f>
        <v/>
      </c>
      <c r="P1261" s="17">
        <f>IF($C1261="","",IF($K1261="","",IF(COUNTIFS(nrES_PID,$D1261,nrES_Code,$F1261,nrES_Att,"&gt;"&amp;$K1261)=0,"Yes","No")))</f>
        <v/>
      </c>
      <c r="Q1261" s="17">
        <f>IF($C1261="","",IF($L1261="","",IF(AND($K1261=1,$L1261&lt;$J1261,COUNTIFS(nrES_PID,$D1261,nrES_Code,$F1261,nrES_Att,2)=0),"Yes","No")))</f>
        <v/>
      </c>
      <c r="R1261" s="17">
        <f>IF($C1261="","",IF($L1261="","",IF(AND($K1261=2,$L1261&lt;$J1261,COUNTIFS(nrES_PID,$D1261,nrES_Code,$F1261,nrES_Att,1)&gt;0),"Yes","No")))</f>
        <v/>
      </c>
      <c r="S1261" s="18" t="n"/>
      <c r="T1261" s="19">
        <f>IF($Q1261&lt;&gt;"Yes","",IF($S1261="","(enter date)",_xlfn.LET(_xlpm.dn,IFERROR(_xlfn.XLOOKUP($S1261,nrCDdate,nrCDnum),""),IF(_xlpm.dn="","(not a class day)",IFERROR(_xlfn.XLOOKUP(_xlpm.dn+cfgRetestClassDays,nrCDnum,nrCDdate),"")))))</f>
        <v/>
      </c>
      <c r="U1261" s="17">
        <f>IF($Q1261&lt;&gt;"Yes","",IF(COUNTIFS(nrES_PID,$D1261,nrES_Code,$F1261,nrES_Att,2)&gt;0,"Retested",IF(OR($T1261="",NOT(ISNUMBER($T1261))),"Pending",IF(TODAY()&gt;$T1261,"OVERDUE","Due "&amp;TEXT($T1261,"mm/dd")))))</f>
        <v/>
      </c>
      <c r="V1261" s="16" t="n"/>
      <c r="W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K1262=1,IF(COUNTIFS(nrES_PID,$D1262,nrES_Code,$F1262,nrES_Att,2)&gt;0,"",$L1262),IF(COUNTIFS(nrES_PID,$D1262,nrES_Code,$F1262,nrES_Att,1)=0,$L1262,IF($L1262&gt;=$J1262,cfgRetakeRecordedCap,SUMIFS(nrES_Raw,nrES_PID,$D1262,nrES_Code,$F1262,nrES_Att,1))))))</f>
        <v/>
      </c>
      <c r="N1262" s="17">
        <f>IF($C1262="","",IF($L1262="","",IF($L1262&gt;=$J1262,"Yes","No")))</f>
        <v/>
      </c>
      <c r="O1262" s="17">
        <f>IF($C1262="","",IF($M1262="","",IF($M1262&gt;=$J1262,"Yes","No")))</f>
        <v/>
      </c>
      <c r="P1262" s="17">
        <f>IF($C1262="","",IF($K1262="","",IF(COUNTIFS(nrES_PID,$D1262,nrES_Code,$F1262,nrES_Att,"&gt;"&amp;$K1262)=0,"Yes","No")))</f>
        <v/>
      </c>
      <c r="Q1262" s="17">
        <f>IF($C1262="","",IF($L1262="","",IF(AND($K1262=1,$L1262&lt;$J1262,COUNTIFS(nrES_PID,$D1262,nrES_Code,$F1262,nrES_Att,2)=0),"Yes","No")))</f>
        <v/>
      </c>
      <c r="R1262" s="17">
        <f>IF($C1262="","",IF($L1262="","",IF(AND($K1262=2,$L1262&lt;$J1262,COUNTIFS(nrES_PID,$D1262,nrES_Code,$F1262,nrES_Att,1)&gt;0),"Yes","No")))</f>
        <v/>
      </c>
      <c r="S1262" s="18" t="n"/>
      <c r="T1262" s="19">
        <f>IF($Q1262&lt;&gt;"Yes","",IF($S1262="","(enter date)",_xlfn.LET(_xlpm.dn,IFERROR(_xlfn.XLOOKUP($S1262,nrCDdate,nrCDnum),""),IF(_xlpm.dn="","(not a class day)",IFERROR(_xlfn.XLOOKUP(_xlpm.dn+cfgRetestClassDays,nrCDnum,nrCDdate),"")))))</f>
        <v/>
      </c>
      <c r="U1262" s="17">
        <f>IF($Q1262&lt;&gt;"Yes","",IF(COUNTIFS(nrES_PID,$D1262,nrES_Code,$F1262,nrES_Att,2)&gt;0,"Retested",IF(OR($T1262="",NOT(ISNUMBER($T1262))),"Pending",IF(TODAY()&gt;$T1262,"OVERDUE","Due "&amp;TEXT($T1262,"mm/dd")))))</f>
        <v/>
      </c>
      <c r="V1262" s="16" t="n"/>
      <c r="W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K1263=1,IF(COUNTIFS(nrES_PID,$D1263,nrES_Code,$F1263,nrES_Att,2)&gt;0,"",$L1263),IF(COUNTIFS(nrES_PID,$D1263,nrES_Code,$F1263,nrES_Att,1)=0,$L1263,IF($L1263&gt;=$J1263,cfgRetakeRecordedCap,SUMIFS(nrES_Raw,nrES_PID,$D1263,nrES_Code,$F1263,nrES_Att,1))))))</f>
        <v/>
      </c>
      <c r="N1263" s="17">
        <f>IF($C1263="","",IF($L1263="","",IF($L1263&gt;=$J1263,"Yes","No")))</f>
        <v/>
      </c>
      <c r="O1263" s="17">
        <f>IF($C1263="","",IF($M1263="","",IF($M1263&gt;=$J1263,"Yes","No")))</f>
        <v/>
      </c>
      <c r="P1263" s="17">
        <f>IF($C1263="","",IF($K1263="","",IF(COUNTIFS(nrES_PID,$D1263,nrES_Code,$F1263,nrES_Att,"&gt;"&amp;$K1263)=0,"Yes","No")))</f>
        <v/>
      </c>
      <c r="Q1263" s="17">
        <f>IF($C1263="","",IF($L1263="","",IF(AND($K1263=1,$L1263&lt;$J1263,COUNTIFS(nrES_PID,$D1263,nrES_Code,$F1263,nrES_Att,2)=0),"Yes","No")))</f>
        <v/>
      </c>
      <c r="R1263" s="17">
        <f>IF($C1263="","",IF($L1263="","",IF(AND($K1263=2,$L1263&lt;$J1263,COUNTIFS(nrES_PID,$D1263,nrES_Code,$F1263,nrES_Att,1)&gt;0),"Yes","No")))</f>
        <v/>
      </c>
      <c r="S1263" s="18" t="n"/>
      <c r="T1263" s="19">
        <f>IF($Q1263&lt;&gt;"Yes","",IF($S1263="","(enter date)",_xlfn.LET(_xlpm.dn,IFERROR(_xlfn.XLOOKUP($S1263,nrCDdate,nrCDnum),""),IF(_xlpm.dn="","(not a class day)",IFERROR(_xlfn.XLOOKUP(_xlpm.dn+cfgRetestClassDays,nrCDnum,nrCDdate),"")))))</f>
        <v/>
      </c>
      <c r="U1263" s="17">
        <f>IF($Q1263&lt;&gt;"Yes","",IF(COUNTIFS(nrES_PID,$D1263,nrES_Code,$F1263,nrES_Att,2)&gt;0,"Retested",IF(OR($T1263="",NOT(ISNUMBER($T1263))),"Pending",IF(TODAY()&gt;$T1263,"OVERDUE","Due "&amp;TEXT($T1263,"mm/dd")))))</f>
        <v/>
      </c>
      <c r="V1263" s="16" t="n"/>
      <c r="W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K1264=1,IF(COUNTIFS(nrES_PID,$D1264,nrES_Code,$F1264,nrES_Att,2)&gt;0,"",$L1264),IF(COUNTIFS(nrES_PID,$D1264,nrES_Code,$F1264,nrES_Att,1)=0,$L1264,IF($L1264&gt;=$J1264,cfgRetakeRecordedCap,SUMIFS(nrES_Raw,nrES_PID,$D1264,nrES_Code,$F1264,nrES_Att,1))))))</f>
        <v/>
      </c>
      <c r="N1264" s="17">
        <f>IF($C1264="","",IF($L1264="","",IF($L1264&gt;=$J1264,"Yes","No")))</f>
        <v/>
      </c>
      <c r="O1264" s="17">
        <f>IF($C1264="","",IF($M1264="","",IF($M1264&gt;=$J1264,"Yes","No")))</f>
        <v/>
      </c>
      <c r="P1264" s="17">
        <f>IF($C1264="","",IF($K1264="","",IF(COUNTIFS(nrES_PID,$D1264,nrES_Code,$F1264,nrES_Att,"&gt;"&amp;$K1264)=0,"Yes","No")))</f>
        <v/>
      </c>
      <c r="Q1264" s="17">
        <f>IF($C1264="","",IF($L1264="","",IF(AND($K1264=1,$L1264&lt;$J1264,COUNTIFS(nrES_PID,$D1264,nrES_Code,$F1264,nrES_Att,2)=0),"Yes","No")))</f>
        <v/>
      </c>
      <c r="R1264" s="17">
        <f>IF($C1264="","",IF($L1264="","",IF(AND($K1264=2,$L1264&lt;$J1264,COUNTIFS(nrES_PID,$D1264,nrES_Code,$F1264,nrES_Att,1)&gt;0),"Yes","No")))</f>
        <v/>
      </c>
      <c r="S1264" s="18" t="n"/>
      <c r="T1264" s="19">
        <f>IF($Q1264&lt;&gt;"Yes","",IF($S1264="","(enter date)",_xlfn.LET(_xlpm.dn,IFERROR(_xlfn.XLOOKUP($S1264,nrCDdate,nrCDnum),""),IF(_xlpm.dn="","(not a class day)",IFERROR(_xlfn.XLOOKUP(_xlpm.dn+cfgRetestClassDays,nrCDnum,nrCDdate),"")))))</f>
        <v/>
      </c>
      <c r="U1264" s="17">
        <f>IF($Q1264&lt;&gt;"Yes","",IF(COUNTIFS(nrES_PID,$D1264,nrES_Code,$F1264,nrES_Att,2)&gt;0,"Retested",IF(OR($T1264="",NOT(ISNUMBER($T1264))),"Pending",IF(TODAY()&gt;$T1264,"OVERDUE","Due "&amp;TEXT($T1264,"mm/dd")))))</f>
        <v/>
      </c>
      <c r="V1264" s="16" t="n"/>
      <c r="W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K1265=1,IF(COUNTIFS(nrES_PID,$D1265,nrES_Code,$F1265,nrES_Att,2)&gt;0,"",$L1265),IF(COUNTIFS(nrES_PID,$D1265,nrES_Code,$F1265,nrES_Att,1)=0,$L1265,IF($L1265&gt;=$J1265,cfgRetakeRecordedCap,SUMIFS(nrES_Raw,nrES_PID,$D1265,nrES_Code,$F1265,nrES_Att,1))))))</f>
        <v/>
      </c>
      <c r="N1265" s="17">
        <f>IF($C1265="","",IF($L1265="","",IF($L1265&gt;=$J1265,"Yes","No")))</f>
        <v/>
      </c>
      <c r="O1265" s="17">
        <f>IF($C1265="","",IF($M1265="","",IF($M1265&gt;=$J1265,"Yes","No")))</f>
        <v/>
      </c>
      <c r="P1265" s="17">
        <f>IF($C1265="","",IF($K1265="","",IF(COUNTIFS(nrES_PID,$D1265,nrES_Code,$F1265,nrES_Att,"&gt;"&amp;$K1265)=0,"Yes","No")))</f>
        <v/>
      </c>
      <c r="Q1265" s="17">
        <f>IF($C1265="","",IF($L1265="","",IF(AND($K1265=1,$L1265&lt;$J1265,COUNTIFS(nrES_PID,$D1265,nrES_Code,$F1265,nrES_Att,2)=0),"Yes","No")))</f>
        <v/>
      </c>
      <c r="R1265" s="17">
        <f>IF($C1265="","",IF($L1265="","",IF(AND($K1265=2,$L1265&lt;$J1265,COUNTIFS(nrES_PID,$D1265,nrES_Code,$F1265,nrES_Att,1)&gt;0),"Yes","No")))</f>
        <v/>
      </c>
      <c r="S1265" s="18" t="n"/>
      <c r="T1265" s="19">
        <f>IF($Q1265&lt;&gt;"Yes","",IF($S1265="","(enter date)",_xlfn.LET(_xlpm.dn,IFERROR(_xlfn.XLOOKUP($S1265,nrCDdate,nrCDnum),""),IF(_xlpm.dn="","(not a class day)",IFERROR(_xlfn.XLOOKUP(_xlpm.dn+cfgRetestClassDays,nrCDnum,nrCDdate),"")))))</f>
        <v/>
      </c>
      <c r="U1265" s="17">
        <f>IF($Q1265&lt;&gt;"Yes","",IF(COUNTIFS(nrES_PID,$D1265,nrES_Code,$F1265,nrES_Att,2)&gt;0,"Retested",IF(OR($T1265="",NOT(ISNUMBER($T1265))),"Pending",IF(TODAY()&gt;$T1265,"OVERDUE","Due "&amp;TEXT($T1265,"mm/dd")))))</f>
        <v/>
      </c>
      <c r="V1265" s="16" t="n"/>
      <c r="W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K1266=1,IF(COUNTIFS(nrES_PID,$D1266,nrES_Code,$F1266,nrES_Att,2)&gt;0,"",$L1266),IF(COUNTIFS(nrES_PID,$D1266,nrES_Code,$F1266,nrES_Att,1)=0,$L1266,IF($L1266&gt;=$J1266,cfgRetakeRecordedCap,SUMIFS(nrES_Raw,nrES_PID,$D1266,nrES_Code,$F1266,nrES_Att,1))))))</f>
        <v/>
      </c>
      <c r="N1266" s="17">
        <f>IF($C1266="","",IF($L1266="","",IF($L1266&gt;=$J1266,"Yes","No")))</f>
        <v/>
      </c>
      <c r="O1266" s="17">
        <f>IF($C1266="","",IF($M1266="","",IF($M1266&gt;=$J1266,"Yes","No")))</f>
        <v/>
      </c>
      <c r="P1266" s="17">
        <f>IF($C1266="","",IF($K1266="","",IF(COUNTIFS(nrES_PID,$D1266,nrES_Code,$F1266,nrES_Att,"&gt;"&amp;$K1266)=0,"Yes","No")))</f>
        <v/>
      </c>
      <c r="Q1266" s="17">
        <f>IF($C1266="","",IF($L1266="","",IF(AND($K1266=1,$L1266&lt;$J1266,COUNTIFS(nrES_PID,$D1266,nrES_Code,$F1266,nrES_Att,2)=0),"Yes","No")))</f>
        <v/>
      </c>
      <c r="R1266" s="17">
        <f>IF($C1266="","",IF($L1266="","",IF(AND($K1266=2,$L1266&lt;$J1266,COUNTIFS(nrES_PID,$D1266,nrES_Code,$F1266,nrES_Att,1)&gt;0),"Yes","No")))</f>
        <v/>
      </c>
      <c r="S1266" s="18" t="n"/>
      <c r="T1266" s="19">
        <f>IF($Q1266&lt;&gt;"Yes","",IF($S1266="","(enter date)",_xlfn.LET(_xlpm.dn,IFERROR(_xlfn.XLOOKUP($S1266,nrCDdate,nrCDnum),""),IF(_xlpm.dn="","(not a class day)",IFERROR(_xlfn.XLOOKUP(_xlpm.dn+cfgRetestClassDays,nrCDnum,nrCDdate),"")))))</f>
        <v/>
      </c>
      <c r="U1266" s="17">
        <f>IF($Q1266&lt;&gt;"Yes","",IF(COUNTIFS(nrES_PID,$D1266,nrES_Code,$F1266,nrES_Att,2)&gt;0,"Retested",IF(OR($T1266="",NOT(ISNUMBER($T1266))),"Pending",IF(TODAY()&gt;$T1266,"OVERDUE","Due "&amp;TEXT($T1266,"mm/dd")))))</f>
        <v/>
      </c>
      <c r="V1266" s="16" t="n"/>
      <c r="W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K1267=1,IF(COUNTIFS(nrES_PID,$D1267,nrES_Code,$F1267,nrES_Att,2)&gt;0,"",$L1267),IF(COUNTIFS(nrES_PID,$D1267,nrES_Code,$F1267,nrES_Att,1)=0,$L1267,IF($L1267&gt;=$J1267,cfgRetakeRecordedCap,SUMIFS(nrES_Raw,nrES_PID,$D1267,nrES_Code,$F1267,nrES_Att,1))))))</f>
        <v/>
      </c>
      <c r="N1267" s="17">
        <f>IF($C1267="","",IF($L1267="","",IF($L1267&gt;=$J1267,"Yes","No")))</f>
        <v/>
      </c>
      <c r="O1267" s="17">
        <f>IF($C1267="","",IF($M1267="","",IF($M1267&gt;=$J1267,"Yes","No")))</f>
        <v/>
      </c>
      <c r="P1267" s="17">
        <f>IF($C1267="","",IF($K1267="","",IF(COUNTIFS(nrES_PID,$D1267,nrES_Code,$F1267,nrES_Att,"&gt;"&amp;$K1267)=0,"Yes","No")))</f>
        <v/>
      </c>
      <c r="Q1267" s="17">
        <f>IF($C1267="","",IF($L1267="","",IF(AND($K1267=1,$L1267&lt;$J1267,COUNTIFS(nrES_PID,$D1267,nrES_Code,$F1267,nrES_Att,2)=0),"Yes","No")))</f>
        <v/>
      </c>
      <c r="R1267" s="17">
        <f>IF($C1267="","",IF($L1267="","",IF(AND($K1267=2,$L1267&lt;$J1267,COUNTIFS(nrES_PID,$D1267,nrES_Code,$F1267,nrES_Att,1)&gt;0),"Yes","No")))</f>
        <v/>
      </c>
      <c r="S1267" s="18" t="n"/>
      <c r="T1267" s="19">
        <f>IF($Q1267&lt;&gt;"Yes","",IF($S1267="","(enter date)",_xlfn.LET(_xlpm.dn,IFERROR(_xlfn.XLOOKUP($S1267,nrCDdate,nrCDnum),""),IF(_xlpm.dn="","(not a class day)",IFERROR(_xlfn.XLOOKUP(_xlpm.dn+cfgRetestClassDays,nrCDnum,nrCDdate),"")))))</f>
        <v/>
      </c>
      <c r="U1267" s="17">
        <f>IF($Q1267&lt;&gt;"Yes","",IF(COUNTIFS(nrES_PID,$D1267,nrES_Code,$F1267,nrES_Att,2)&gt;0,"Retested",IF(OR($T1267="",NOT(ISNUMBER($T1267))),"Pending",IF(TODAY()&gt;$T1267,"OVERDUE","Due "&amp;TEXT($T1267,"mm/dd")))))</f>
        <v/>
      </c>
      <c r="V1267" s="16" t="n"/>
      <c r="W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K1268=1,IF(COUNTIFS(nrES_PID,$D1268,nrES_Code,$F1268,nrES_Att,2)&gt;0,"",$L1268),IF(COUNTIFS(nrES_PID,$D1268,nrES_Code,$F1268,nrES_Att,1)=0,$L1268,IF($L1268&gt;=$J1268,cfgRetakeRecordedCap,SUMIFS(nrES_Raw,nrES_PID,$D1268,nrES_Code,$F1268,nrES_Att,1))))))</f>
        <v/>
      </c>
      <c r="N1268" s="17">
        <f>IF($C1268="","",IF($L1268="","",IF($L1268&gt;=$J1268,"Yes","No")))</f>
        <v/>
      </c>
      <c r="O1268" s="17">
        <f>IF($C1268="","",IF($M1268="","",IF($M1268&gt;=$J1268,"Yes","No")))</f>
        <v/>
      </c>
      <c r="P1268" s="17">
        <f>IF($C1268="","",IF($K1268="","",IF(COUNTIFS(nrES_PID,$D1268,nrES_Code,$F1268,nrES_Att,"&gt;"&amp;$K1268)=0,"Yes","No")))</f>
        <v/>
      </c>
      <c r="Q1268" s="17">
        <f>IF($C1268="","",IF($L1268="","",IF(AND($K1268=1,$L1268&lt;$J1268,COUNTIFS(nrES_PID,$D1268,nrES_Code,$F1268,nrES_Att,2)=0),"Yes","No")))</f>
        <v/>
      </c>
      <c r="R1268" s="17">
        <f>IF($C1268="","",IF($L1268="","",IF(AND($K1268=2,$L1268&lt;$J1268,COUNTIFS(nrES_PID,$D1268,nrES_Code,$F1268,nrES_Att,1)&gt;0),"Yes","No")))</f>
        <v/>
      </c>
      <c r="S1268" s="18" t="n"/>
      <c r="T1268" s="19">
        <f>IF($Q1268&lt;&gt;"Yes","",IF($S1268="","(enter date)",_xlfn.LET(_xlpm.dn,IFERROR(_xlfn.XLOOKUP($S1268,nrCDdate,nrCDnum),""),IF(_xlpm.dn="","(not a class day)",IFERROR(_xlfn.XLOOKUP(_xlpm.dn+cfgRetestClassDays,nrCDnum,nrCDdate),"")))))</f>
        <v/>
      </c>
      <c r="U1268" s="17">
        <f>IF($Q1268&lt;&gt;"Yes","",IF(COUNTIFS(nrES_PID,$D1268,nrES_Code,$F1268,nrES_Att,2)&gt;0,"Retested",IF(OR($T1268="",NOT(ISNUMBER($T1268))),"Pending",IF(TODAY()&gt;$T1268,"OVERDUE","Due "&amp;TEXT($T1268,"mm/dd")))))</f>
        <v/>
      </c>
      <c r="V1268" s="16" t="n"/>
      <c r="W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K1269=1,IF(COUNTIFS(nrES_PID,$D1269,nrES_Code,$F1269,nrES_Att,2)&gt;0,"",$L1269),IF(COUNTIFS(nrES_PID,$D1269,nrES_Code,$F1269,nrES_Att,1)=0,$L1269,IF($L1269&gt;=$J1269,cfgRetakeRecordedCap,SUMIFS(nrES_Raw,nrES_PID,$D1269,nrES_Code,$F1269,nrES_Att,1))))))</f>
        <v/>
      </c>
      <c r="N1269" s="17">
        <f>IF($C1269="","",IF($L1269="","",IF($L1269&gt;=$J1269,"Yes","No")))</f>
        <v/>
      </c>
      <c r="O1269" s="17">
        <f>IF($C1269="","",IF($M1269="","",IF($M1269&gt;=$J1269,"Yes","No")))</f>
        <v/>
      </c>
      <c r="P1269" s="17">
        <f>IF($C1269="","",IF($K1269="","",IF(COUNTIFS(nrES_PID,$D1269,nrES_Code,$F1269,nrES_Att,"&gt;"&amp;$K1269)=0,"Yes","No")))</f>
        <v/>
      </c>
      <c r="Q1269" s="17">
        <f>IF($C1269="","",IF($L1269="","",IF(AND($K1269=1,$L1269&lt;$J1269,COUNTIFS(nrES_PID,$D1269,nrES_Code,$F1269,nrES_Att,2)=0),"Yes","No")))</f>
        <v/>
      </c>
      <c r="R1269" s="17">
        <f>IF($C1269="","",IF($L1269="","",IF(AND($K1269=2,$L1269&lt;$J1269,COUNTIFS(nrES_PID,$D1269,nrES_Code,$F1269,nrES_Att,1)&gt;0),"Yes","No")))</f>
        <v/>
      </c>
      <c r="S1269" s="18" t="n"/>
      <c r="T1269" s="19">
        <f>IF($Q1269&lt;&gt;"Yes","",IF($S1269="","(enter date)",_xlfn.LET(_xlpm.dn,IFERROR(_xlfn.XLOOKUP($S1269,nrCDdate,nrCDnum),""),IF(_xlpm.dn="","(not a class day)",IFERROR(_xlfn.XLOOKUP(_xlpm.dn+cfgRetestClassDays,nrCDnum,nrCDdate),"")))))</f>
        <v/>
      </c>
      <c r="U1269" s="17">
        <f>IF($Q1269&lt;&gt;"Yes","",IF(COUNTIFS(nrES_PID,$D1269,nrES_Code,$F1269,nrES_Att,2)&gt;0,"Retested",IF(OR($T1269="",NOT(ISNUMBER($T1269))),"Pending",IF(TODAY()&gt;$T1269,"OVERDUE","Due "&amp;TEXT($T1269,"mm/dd")))))</f>
        <v/>
      </c>
      <c r="V1269" s="16" t="n"/>
      <c r="W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K1270=1,IF(COUNTIFS(nrES_PID,$D1270,nrES_Code,$F1270,nrES_Att,2)&gt;0,"",$L1270),IF(COUNTIFS(nrES_PID,$D1270,nrES_Code,$F1270,nrES_Att,1)=0,$L1270,IF($L1270&gt;=$J1270,cfgRetakeRecordedCap,SUMIFS(nrES_Raw,nrES_PID,$D1270,nrES_Code,$F1270,nrES_Att,1))))))</f>
        <v/>
      </c>
      <c r="N1270" s="17">
        <f>IF($C1270="","",IF($L1270="","",IF($L1270&gt;=$J1270,"Yes","No")))</f>
        <v/>
      </c>
      <c r="O1270" s="17">
        <f>IF($C1270="","",IF($M1270="","",IF($M1270&gt;=$J1270,"Yes","No")))</f>
        <v/>
      </c>
      <c r="P1270" s="17">
        <f>IF($C1270="","",IF($K1270="","",IF(COUNTIFS(nrES_PID,$D1270,nrES_Code,$F1270,nrES_Att,"&gt;"&amp;$K1270)=0,"Yes","No")))</f>
        <v/>
      </c>
      <c r="Q1270" s="17">
        <f>IF($C1270="","",IF($L1270="","",IF(AND($K1270=1,$L1270&lt;$J1270,COUNTIFS(nrES_PID,$D1270,nrES_Code,$F1270,nrES_Att,2)=0),"Yes","No")))</f>
        <v/>
      </c>
      <c r="R1270" s="17">
        <f>IF($C1270="","",IF($L1270="","",IF(AND($K1270=2,$L1270&lt;$J1270,COUNTIFS(nrES_PID,$D1270,nrES_Code,$F1270,nrES_Att,1)&gt;0),"Yes","No")))</f>
        <v/>
      </c>
      <c r="S1270" s="18" t="n"/>
      <c r="T1270" s="19">
        <f>IF($Q1270&lt;&gt;"Yes","",IF($S1270="","(enter date)",_xlfn.LET(_xlpm.dn,IFERROR(_xlfn.XLOOKUP($S1270,nrCDdate,nrCDnum),""),IF(_xlpm.dn="","(not a class day)",IFERROR(_xlfn.XLOOKUP(_xlpm.dn+cfgRetestClassDays,nrCDnum,nrCDdate),"")))))</f>
        <v/>
      </c>
      <c r="U1270" s="17">
        <f>IF($Q1270&lt;&gt;"Yes","",IF(COUNTIFS(nrES_PID,$D1270,nrES_Code,$F1270,nrES_Att,2)&gt;0,"Retested",IF(OR($T1270="",NOT(ISNUMBER($T1270))),"Pending",IF(TODAY()&gt;$T1270,"OVERDUE","Due "&amp;TEXT($T1270,"mm/dd")))))</f>
        <v/>
      </c>
      <c r="V1270" s="16" t="n"/>
      <c r="W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K1271=1,IF(COUNTIFS(nrES_PID,$D1271,nrES_Code,$F1271,nrES_Att,2)&gt;0,"",$L1271),IF(COUNTIFS(nrES_PID,$D1271,nrES_Code,$F1271,nrES_Att,1)=0,$L1271,IF($L1271&gt;=$J1271,cfgRetakeRecordedCap,SUMIFS(nrES_Raw,nrES_PID,$D1271,nrES_Code,$F1271,nrES_Att,1))))))</f>
        <v/>
      </c>
      <c r="N1271" s="17">
        <f>IF($C1271="","",IF($L1271="","",IF($L1271&gt;=$J1271,"Yes","No")))</f>
        <v/>
      </c>
      <c r="O1271" s="17">
        <f>IF($C1271="","",IF($M1271="","",IF($M1271&gt;=$J1271,"Yes","No")))</f>
        <v/>
      </c>
      <c r="P1271" s="17">
        <f>IF($C1271="","",IF($K1271="","",IF(COUNTIFS(nrES_PID,$D1271,nrES_Code,$F1271,nrES_Att,"&gt;"&amp;$K1271)=0,"Yes","No")))</f>
        <v/>
      </c>
      <c r="Q1271" s="17">
        <f>IF($C1271="","",IF($L1271="","",IF(AND($K1271=1,$L1271&lt;$J1271,COUNTIFS(nrES_PID,$D1271,nrES_Code,$F1271,nrES_Att,2)=0),"Yes","No")))</f>
        <v/>
      </c>
      <c r="R1271" s="17">
        <f>IF($C1271="","",IF($L1271="","",IF(AND($K1271=2,$L1271&lt;$J1271,COUNTIFS(nrES_PID,$D1271,nrES_Code,$F1271,nrES_Att,1)&gt;0),"Yes","No")))</f>
        <v/>
      </c>
      <c r="S1271" s="18" t="n"/>
      <c r="T1271" s="19">
        <f>IF($Q1271&lt;&gt;"Yes","",IF($S1271="","(enter date)",_xlfn.LET(_xlpm.dn,IFERROR(_xlfn.XLOOKUP($S1271,nrCDdate,nrCDnum),""),IF(_xlpm.dn="","(not a class day)",IFERROR(_xlfn.XLOOKUP(_xlpm.dn+cfgRetestClassDays,nrCDnum,nrCDdate),"")))))</f>
        <v/>
      </c>
      <c r="U1271" s="17">
        <f>IF($Q1271&lt;&gt;"Yes","",IF(COUNTIFS(nrES_PID,$D1271,nrES_Code,$F1271,nrES_Att,2)&gt;0,"Retested",IF(OR($T1271="",NOT(ISNUMBER($T1271))),"Pending",IF(TODAY()&gt;$T1271,"OVERDUE","Due "&amp;TEXT($T1271,"mm/dd")))))</f>
        <v/>
      </c>
      <c r="V1271" s="16" t="n"/>
      <c r="W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K1272=1,IF(COUNTIFS(nrES_PID,$D1272,nrES_Code,$F1272,nrES_Att,2)&gt;0,"",$L1272),IF(COUNTIFS(nrES_PID,$D1272,nrES_Code,$F1272,nrES_Att,1)=0,$L1272,IF($L1272&gt;=$J1272,cfgRetakeRecordedCap,SUMIFS(nrES_Raw,nrES_PID,$D1272,nrES_Code,$F1272,nrES_Att,1))))))</f>
        <v/>
      </c>
      <c r="N1272" s="17">
        <f>IF($C1272="","",IF($L1272="","",IF($L1272&gt;=$J1272,"Yes","No")))</f>
        <v/>
      </c>
      <c r="O1272" s="17">
        <f>IF($C1272="","",IF($M1272="","",IF($M1272&gt;=$J1272,"Yes","No")))</f>
        <v/>
      </c>
      <c r="P1272" s="17">
        <f>IF($C1272="","",IF($K1272="","",IF(COUNTIFS(nrES_PID,$D1272,nrES_Code,$F1272,nrES_Att,"&gt;"&amp;$K1272)=0,"Yes","No")))</f>
        <v/>
      </c>
      <c r="Q1272" s="17">
        <f>IF($C1272="","",IF($L1272="","",IF(AND($K1272=1,$L1272&lt;$J1272,COUNTIFS(nrES_PID,$D1272,nrES_Code,$F1272,nrES_Att,2)=0),"Yes","No")))</f>
        <v/>
      </c>
      <c r="R1272" s="17">
        <f>IF($C1272="","",IF($L1272="","",IF(AND($K1272=2,$L1272&lt;$J1272,COUNTIFS(nrES_PID,$D1272,nrES_Code,$F1272,nrES_Att,1)&gt;0),"Yes","No")))</f>
        <v/>
      </c>
      <c r="S1272" s="18" t="n"/>
      <c r="T1272" s="19">
        <f>IF($Q1272&lt;&gt;"Yes","",IF($S1272="","(enter date)",_xlfn.LET(_xlpm.dn,IFERROR(_xlfn.XLOOKUP($S1272,nrCDdate,nrCDnum),""),IF(_xlpm.dn="","(not a class day)",IFERROR(_xlfn.XLOOKUP(_xlpm.dn+cfgRetestClassDays,nrCDnum,nrCDdate),"")))))</f>
        <v/>
      </c>
      <c r="U1272" s="17">
        <f>IF($Q1272&lt;&gt;"Yes","",IF(COUNTIFS(nrES_PID,$D1272,nrES_Code,$F1272,nrES_Att,2)&gt;0,"Retested",IF(OR($T1272="",NOT(ISNUMBER($T1272))),"Pending",IF(TODAY()&gt;$T1272,"OVERDUE","Due "&amp;TEXT($T1272,"mm/dd")))))</f>
        <v/>
      </c>
      <c r="V1272" s="16" t="n"/>
      <c r="W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K1273=1,IF(COUNTIFS(nrES_PID,$D1273,nrES_Code,$F1273,nrES_Att,2)&gt;0,"",$L1273),IF(COUNTIFS(nrES_PID,$D1273,nrES_Code,$F1273,nrES_Att,1)=0,$L1273,IF($L1273&gt;=$J1273,cfgRetakeRecordedCap,SUMIFS(nrES_Raw,nrES_PID,$D1273,nrES_Code,$F1273,nrES_Att,1))))))</f>
        <v/>
      </c>
      <c r="N1273" s="17">
        <f>IF($C1273="","",IF($L1273="","",IF($L1273&gt;=$J1273,"Yes","No")))</f>
        <v/>
      </c>
      <c r="O1273" s="17">
        <f>IF($C1273="","",IF($M1273="","",IF($M1273&gt;=$J1273,"Yes","No")))</f>
        <v/>
      </c>
      <c r="P1273" s="17">
        <f>IF($C1273="","",IF($K1273="","",IF(COUNTIFS(nrES_PID,$D1273,nrES_Code,$F1273,nrES_Att,"&gt;"&amp;$K1273)=0,"Yes","No")))</f>
        <v/>
      </c>
      <c r="Q1273" s="17">
        <f>IF($C1273="","",IF($L1273="","",IF(AND($K1273=1,$L1273&lt;$J1273,COUNTIFS(nrES_PID,$D1273,nrES_Code,$F1273,nrES_Att,2)=0),"Yes","No")))</f>
        <v/>
      </c>
      <c r="R1273" s="17">
        <f>IF($C1273="","",IF($L1273="","",IF(AND($K1273=2,$L1273&lt;$J1273,COUNTIFS(nrES_PID,$D1273,nrES_Code,$F1273,nrES_Att,1)&gt;0),"Yes","No")))</f>
        <v/>
      </c>
      <c r="S1273" s="18" t="n"/>
      <c r="T1273" s="19">
        <f>IF($Q1273&lt;&gt;"Yes","",IF($S1273="","(enter date)",_xlfn.LET(_xlpm.dn,IFERROR(_xlfn.XLOOKUP($S1273,nrCDdate,nrCDnum),""),IF(_xlpm.dn="","(not a class day)",IFERROR(_xlfn.XLOOKUP(_xlpm.dn+cfgRetestClassDays,nrCDnum,nrCDdate),"")))))</f>
        <v/>
      </c>
      <c r="U1273" s="17">
        <f>IF($Q1273&lt;&gt;"Yes","",IF(COUNTIFS(nrES_PID,$D1273,nrES_Code,$F1273,nrES_Att,2)&gt;0,"Retested",IF(OR($T1273="",NOT(ISNUMBER($T1273))),"Pending",IF(TODAY()&gt;$T1273,"OVERDUE","Due "&amp;TEXT($T1273,"mm/dd")))))</f>
        <v/>
      </c>
      <c r="V1273" s="16" t="n"/>
      <c r="W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K1274=1,IF(COUNTIFS(nrES_PID,$D1274,nrES_Code,$F1274,nrES_Att,2)&gt;0,"",$L1274),IF(COUNTIFS(nrES_PID,$D1274,nrES_Code,$F1274,nrES_Att,1)=0,$L1274,IF($L1274&gt;=$J1274,cfgRetakeRecordedCap,SUMIFS(nrES_Raw,nrES_PID,$D1274,nrES_Code,$F1274,nrES_Att,1))))))</f>
        <v/>
      </c>
      <c r="N1274" s="17">
        <f>IF($C1274="","",IF($L1274="","",IF($L1274&gt;=$J1274,"Yes","No")))</f>
        <v/>
      </c>
      <c r="O1274" s="17">
        <f>IF($C1274="","",IF($M1274="","",IF($M1274&gt;=$J1274,"Yes","No")))</f>
        <v/>
      </c>
      <c r="P1274" s="17">
        <f>IF($C1274="","",IF($K1274="","",IF(COUNTIFS(nrES_PID,$D1274,nrES_Code,$F1274,nrES_Att,"&gt;"&amp;$K1274)=0,"Yes","No")))</f>
        <v/>
      </c>
      <c r="Q1274" s="17">
        <f>IF($C1274="","",IF($L1274="","",IF(AND($K1274=1,$L1274&lt;$J1274,COUNTIFS(nrES_PID,$D1274,nrES_Code,$F1274,nrES_Att,2)=0),"Yes","No")))</f>
        <v/>
      </c>
      <c r="R1274" s="17">
        <f>IF($C1274="","",IF($L1274="","",IF(AND($K1274=2,$L1274&lt;$J1274,COUNTIFS(nrES_PID,$D1274,nrES_Code,$F1274,nrES_Att,1)&gt;0),"Yes","No")))</f>
        <v/>
      </c>
      <c r="S1274" s="18" t="n"/>
      <c r="T1274" s="19">
        <f>IF($Q1274&lt;&gt;"Yes","",IF($S1274="","(enter date)",_xlfn.LET(_xlpm.dn,IFERROR(_xlfn.XLOOKUP($S1274,nrCDdate,nrCDnum),""),IF(_xlpm.dn="","(not a class day)",IFERROR(_xlfn.XLOOKUP(_xlpm.dn+cfgRetestClassDays,nrCDnum,nrCDdate),"")))))</f>
        <v/>
      </c>
      <c r="U1274" s="17">
        <f>IF($Q1274&lt;&gt;"Yes","",IF(COUNTIFS(nrES_PID,$D1274,nrES_Code,$F1274,nrES_Att,2)&gt;0,"Retested",IF(OR($T1274="",NOT(ISNUMBER($T1274))),"Pending",IF(TODAY()&gt;$T1274,"OVERDUE","Due "&amp;TEXT($T1274,"mm/dd")))))</f>
        <v/>
      </c>
      <c r="V1274" s="16" t="n"/>
      <c r="W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K1275=1,IF(COUNTIFS(nrES_PID,$D1275,nrES_Code,$F1275,nrES_Att,2)&gt;0,"",$L1275),IF(COUNTIFS(nrES_PID,$D1275,nrES_Code,$F1275,nrES_Att,1)=0,$L1275,IF($L1275&gt;=$J1275,cfgRetakeRecordedCap,SUMIFS(nrES_Raw,nrES_PID,$D1275,nrES_Code,$F1275,nrES_Att,1))))))</f>
        <v/>
      </c>
      <c r="N1275" s="17">
        <f>IF($C1275="","",IF($L1275="","",IF($L1275&gt;=$J1275,"Yes","No")))</f>
        <v/>
      </c>
      <c r="O1275" s="17">
        <f>IF($C1275="","",IF($M1275="","",IF($M1275&gt;=$J1275,"Yes","No")))</f>
        <v/>
      </c>
      <c r="P1275" s="17">
        <f>IF($C1275="","",IF($K1275="","",IF(COUNTIFS(nrES_PID,$D1275,nrES_Code,$F1275,nrES_Att,"&gt;"&amp;$K1275)=0,"Yes","No")))</f>
        <v/>
      </c>
      <c r="Q1275" s="17">
        <f>IF($C1275="","",IF($L1275="","",IF(AND($K1275=1,$L1275&lt;$J1275,COUNTIFS(nrES_PID,$D1275,nrES_Code,$F1275,nrES_Att,2)=0),"Yes","No")))</f>
        <v/>
      </c>
      <c r="R1275" s="17">
        <f>IF($C1275="","",IF($L1275="","",IF(AND($K1275=2,$L1275&lt;$J1275,COUNTIFS(nrES_PID,$D1275,nrES_Code,$F1275,nrES_Att,1)&gt;0),"Yes","No")))</f>
        <v/>
      </c>
      <c r="S1275" s="18" t="n"/>
      <c r="T1275" s="19">
        <f>IF($Q1275&lt;&gt;"Yes","",IF($S1275="","(enter date)",_xlfn.LET(_xlpm.dn,IFERROR(_xlfn.XLOOKUP($S1275,nrCDdate,nrCDnum),""),IF(_xlpm.dn="","(not a class day)",IFERROR(_xlfn.XLOOKUP(_xlpm.dn+cfgRetestClassDays,nrCDnum,nrCDdate),"")))))</f>
        <v/>
      </c>
      <c r="U1275" s="17">
        <f>IF($Q1275&lt;&gt;"Yes","",IF(COUNTIFS(nrES_PID,$D1275,nrES_Code,$F1275,nrES_Att,2)&gt;0,"Retested",IF(OR($T1275="",NOT(ISNUMBER($T1275))),"Pending",IF(TODAY()&gt;$T1275,"OVERDUE","Due "&amp;TEXT($T1275,"mm/dd")))))</f>
        <v/>
      </c>
      <c r="V1275" s="16" t="n"/>
      <c r="W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K1276=1,IF(COUNTIFS(nrES_PID,$D1276,nrES_Code,$F1276,nrES_Att,2)&gt;0,"",$L1276),IF(COUNTIFS(nrES_PID,$D1276,nrES_Code,$F1276,nrES_Att,1)=0,$L1276,IF($L1276&gt;=$J1276,cfgRetakeRecordedCap,SUMIFS(nrES_Raw,nrES_PID,$D1276,nrES_Code,$F1276,nrES_Att,1))))))</f>
        <v/>
      </c>
      <c r="N1276" s="17">
        <f>IF($C1276="","",IF($L1276="","",IF($L1276&gt;=$J1276,"Yes","No")))</f>
        <v/>
      </c>
      <c r="O1276" s="17">
        <f>IF($C1276="","",IF($M1276="","",IF($M1276&gt;=$J1276,"Yes","No")))</f>
        <v/>
      </c>
      <c r="P1276" s="17">
        <f>IF($C1276="","",IF($K1276="","",IF(COUNTIFS(nrES_PID,$D1276,nrES_Code,$F1276,nrES_Att,"&gt;"&amp;$K1276)=0,"Yes","No")))</f>
        <v/>
      </c>
      <c r="Q1276" s="17">
        <f>IF($C1276="","",IF($L1276="","",IF(AND($K1276=1,$L1276&lt;$J1276,COUNTIFS(nrES_PID,$D1276,nrES_Code,$F1276,nrES_Att,2)=0),"Yes","No")))</f>
        <v/>
      </c>
      <c r="R1276" s="17">
        <f>IF($C1276="","",IF($L1276="","",IF(AND($K1276=2,$L1276&lt;$J1276,COUNTIFS(nrES_PID,$D1276,nrES_Code,$F1276,nrES_Att,1)&gt;0),"Yes","No")))</f>
        <v/>
      </c>
      <c r="S1276" s="18" t="n"/>
      <c r="T1276" s="19">
        <f>IF($Q1276&lt;&gt;"Yes","",IF($S1276="","(enter date)",_xlfn.LET(_xlpm.dn,IFERROR(_xlfn.XLOOKUP($S1276,nrCDdate,nrCDnum),""),IF(_xlpm.dn="","(not a class day)",IFERROR(_xlfn.XLOOKUP(_xlpm.dn+cfgRetestClassDays,nrCDnum,nrCDdate),"")))))</f>
        <v/>
      </c>
      <c r="U1276" s="17">
        <f>IF($Q1276&lt;&gt;"Yes","",IF(COUNTIFS(nrES_PID,$D1276,nrES_Code,$F1276,nrES_Att,2)&gt;0,"Retested",IF(OR($T1276="",NOT(ISNUMBER($T1276))),"Pending",IF(TODAY()&gt;$T1276,"OVERDUE","Due "&amp;TEXT($T1276,"mm/dd")))))</f>
        <v/>
      </c>
      <c r="V1276" s="16" t="n"/>
      <c r="W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K1277=1,IF(COUNTIFS(nrES_PID,$D1277,nrES_Code,$F1277,nrES_Att,2)&gt;0,"",$L1277),IF(COUNTIFS(nrES_PID,$D1277,nrES_Code,$F1277,nrES_Att,1)=0,$L1277,IF($L1277&gt;=$J1277,cfgRetakeRecordedCap,SUMIFS(nrES_Raw,nrES_PID,$D1277,nrES_Code,$F1277,nrES_Att,1))))))</f>
        <v/>
      </c>
      <c r="N1277" s="17">
        <f>IF($C1277="","",IF($L1277="","",IF($L1277&gt;=$J1277,"Yes","No")))</f>
        <v/>
      </c>
      <c r="O1277" s="17">
        <f>IF($C1277="","",IF($M1277="","",IF($M1277&gt;=$J1277,"Yes","No")))</f>
        <v/>
      </c>
      <c r="P1277" s="17">
        <f>IF($C1277="","",IF($K1277="","",IF(COUNTIFS(nrES_PID,$D1277,nrES_Code,$F1277,nrES_Att,"&gt;"&amp;$K1277)=0,"Yes","No")))</f>
        <v/>
      </c>
      <c r="Q1277" s="17">
        <f>IF($C1277="","",IF($L1277="","",IF(AND($K1277=1,$L1277&lt;$J1277,COUNTIFS(nrES_PID,$D1277,nrES_Code,$F1277,nrES_Att,2)=0),"Yes","No")))</f>
        <v/>
      </c>
      <c r="R1277" s="17">
        <f>IF($C1277="","",IF($L1277="","",IF(AND($K1277=2,$L1277&lt;$J1277,COUNTIFS(nrES_PID,$D1277,nrES_Code,$F1277,nrES_Att,1)&gt;0),"Yes","No")))</f>
        <v/>
      </c>
      <c r="S1277" s="18" t="n"/>
      <c r="T1277" s="19">
        <f>IF($Q1277&lt;&gt;"Yes","",IF($S1277="","(enter date)",_xlfn.LET(_xlpm.dn,IFERROR(_xlfn.XLOOKUP($S1277,nrCDdate,nrCDnum),""),IF(_xlpm.dn="","(not a class day)",IFERROR(_xlfn.XLOOKUP(_xlpm.dn+cfgRetestClassDays,nrCDnum,nrCDdate),"")))))</f>
        <v/>
      </c>
      <c r="U1277" s="17">
        <f>IF($Q1277&lt;&gt;"Yes","",IF(COUNTIFS(nrES_PID,$D1277,nrES_Code,$F1277,nrES_Att,2)&gt;0,"Retested",IF(OR($T1277="",NOT(ISNUMBER($T1277))),"Pending",IF(TODAY()&gt;$T1277,"OVERDUE","Due "&amp;TEXT($T1277,"mm/dd")))))</f>
        <v/>
      </c>
      <c r="V1277" s="16" t="n"/>
      <c r="W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K1278=1,IF(COUNTIFS(nrES_PID,$D1278,nrES_Code,$F1278,nrES_Att,2)&gt;0,"",$L1278),IF(COUNTIFS(nrES_PID,$D1278,nrES_Code,$F1278,nrES_Att,1)=0,$L1278,IF($L1278&gt;=$J1278,cfgRetakeRecordedCap,SUMIFS(nrES_Raw,nrES_PID,$D1278,nrES_Code,$F1278,nrES_Att,1))))))</f>
        <v/>
      </c>
      <c r="N1278" s="17">
        <f>IF($C1278="","",IF($L1278="","",IF($L1278&gt;=$J1278,"Yes","No")))</f>
        <v/>
      </c>
      <c r="O1278" s="17">
        <f>IF($C1278="","",IF($M1278="","",IF($M1278&gt;=$J1278,"Yes","No")))</f>
        <v/>
      </c>
      <c r="P1278" s="17">
        <f>IF($C1278="","",IF($K1278="","",IF(COUNTIFS(nrES_PID,$D1278,nrES_Code,$F1278,nrES_Att,"&gt;"&amp;$K1278)=0,"Yes","No")))</f>
        <v/>
      </c>
      <c r="Q1278" s="17">
        <f>IF($C1278="","",IF($L1278="","",IF(AND($K1278=1,$L1278&lt;$J1278,COUNTIFS(nrES_PID,$D1278,nrES_Code,$F1278,nrES_Att,2)=0),"Yes","No")))</f>
        <v/>
      </c>
      <c r="R1278" s="17">
        <f>IF($C1278="","",IF($L1278="","",IF(AND($K1278=2,$L1278&lt;$J1278,COUNTIFS(nrES_PID,$D1278,nrES_Code,$F1278,nrES_Att,1)&gt;0),"Yes","No")))</f>
        <v/>
      </c>
      <c r="S1278" s="18" t="n"/>
      <c r="T1278" s="19">
        <f>IF($Q1278&lt;&gt;"Yes","",IF($S1278="","(enter date)",_xlfn.LET(_xlpm.dn,IFERROR(_xlfn.XLOOKUP($S1278,nrCDdate,nrCDnum),""),IF(_xlpm.dn="","(not a class day)",IFERROR(_xlfn.XLOOKUP(_xlpm.dn+cfgRetestClassDays,nrCDnum,nrCDdate),"")))))</f>
        <v/>
      </c>
      <c r="U1278" s="17">
        <f>IF($Q1278&lt;&gt;"Yes","",IF(COUNTIFS(nrES_PID,$D1278,nrES_Code,$F1278,nrES_Att,2)&gt;0,"Retested",IF(OR($T1278="",NOT(ISNUMBER($T1278))),"Pending",IF(TODAY()&gt;$T1278,"OVERDUE","Due "&amp;TEXT($T1278,"mm/dd")))))</f>
        <v/>
      </c>
      <c r="V1278" s="16" t="n"/>
      <c r="W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K1279=1,IF(COUNTIFS(nrES_PID,$D1279,nrES_Code,$F1279,nrES_Att,2)&gt;0,"",$L1279),IF(COUNTIFS(nrES_PID,$D1279,nrES_Code,$F1279,nrES_Att,1)=0,$L1279,IF($L1279&gt;=$J1279,cfgRetakeRecordedCap,SUMIFS(nrES_Raw,nrES_PID,$D1279,nrES_Code,$F1279,nrES_Att,1))))))</f>
        <v/>
      </c>
      <c r="N1279" s="17">
        <f>IF($C1279="","",IF($L1279="","",IF($L1279&gt;=$J1279,"Yes","No")))</f>
        <v/>
      </c>
      <c r="O1279" s="17">
        <f>IF($C1279="","",IF($M1279="","",IF($M1279&gt;=$J1279,"Yes","No")))</f>
        <v/>
      </c>
      <c r="P1279" s="17">
        <f>IF($C1279="","",IF($K1279="","",IF(COUNTIFS(nrES_PID,$D1279,nrES_Code,$F1279,nrES_Att,"&gt;"&amp;$K1279)=0,"Yes","No")))</f>
        <v/>
      </c>
      <c r="Q1279" s="17">
        <f>IF($C1279="","",IF($L1279="","",IF(AND($K1279=1,$L1279&lt;$J1279,COUNTIFS(nrES_PID,$D1279,nrES_Code,$F1279,nrES_Att,2)=0),"Yes","No")))</f>
        <v/>
      </c>
      <c r="R1279" s="17">
        <f>IF($C1279="","",IF($L1279="","",IF(AND($K1279=2,$L1279&lt;$J1279,COUNTIFS(nrES_PID,$D1279,nrES_Code,$F1279,nrES_Att,1)&gt;0),"Yes","No")))</f>
        <v/>
      </c>
      <c r="S1279" s="18" t="n"/>
      <c r="T1279" s="19">
        <f>IF($Q1279&lt;&gt;"Yes","",IF($S1279="","(enter date)",_xlfn.LET(_xlpm.dn,IFERROR(_xlfn.XLOOKUP($S1279,nrCDdate,nrCDnum),""),IF(_xlpm.dn="","(not a class day)",IFERROR(_xlfn.XLOOKUP(_xlpm.dn+cfgRetestClassDays,nrCDnum,nrCDdate),"")))))</f>
        <v/>
      </c>
      <c r="U1279" s="17">
        <f>IF($Q1279&lt;&gt;"Yes","",IF(COUNTIFS(nrES_PID,$D1279,nrES_Code,$F1279,nrES_Att,2)&gt;0,"Retested",IF(OR($T1279="",NOT(ISNUMBER($T1279))),"Pending",IF(TODAY()&gt;$T1279,"OVERDUE","Due "&amp;TEXT($T1279,"mm/dd")))))</f>
        <v/>
      </c>
      <c r="V1279" s="16" t="n"/>
      <c r="W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K1280=1,IF(COUNTIFS(nrES_PID,$D1280,nrES_Code,$F1280,nrES_Att,2)&gt;0,"",$L1280),IF(COUNTIFS(nrES_PID,$D1280,nrES_Code,$F1280,nrES_Att,1)=0,$L1280,IF($L1280&gt;=$J1280,cfgRetakeRecordedCap,SUMIFS(nrES_Raw,nrES_PID,$D1280,nrES_Code,$F1280,nrES_Att,1))))))</f>
        <v/>
      </c>
      <c r="N1280" s="17">
        <f>IF($C1280="","",IF($L1280="","",IF($L1280&gt;=$J1280,"Yes","No")))</f>
        <v/>
      </c>
      <c r="O1280" s="17">
        <f>IF($C1280="","",IF($M1280="","",IF($M1280&gt;=$J1280,"Yes","No")))</f>
        <v/>
      </c>
      <c r="P1280" s="17">
        <f>IF($C1280="","",IF($K1280="","",IF(COUNTIFS(nrES_PID,$D1280,nrES_Code,$F1280,nrES_Att,"&gt;"&amp;$K1280)=0,"Yes","No")))</f>
        <v/>
      </c>
      <c r="Q1280" s="17">
        <f>IF($C1280="","",IF($L1280="","",IF(AND($K1280=1,$L1280&lt;$J1280,COUNTIFS(nrES_PID,$D1280,nrES_Code,$F1280,nrES_Att,2)=0),"Yes","No")))</f>
        <v/>
      </c>
      <c r="R1280" s="17">
        <f>IF($C1280="","",IF($L1280="","",IF(AND($K1280=2,$L1280&lt;$J1280,COUNTIFS(nrES_PID,$D1280,nrES_Code,$F1280,nrES_Att,1)&gt;0),"Yes","No")))</f>
        <v/>
      </c>
      <c r="S1280" s="18" t="n"/>
      <c r="T1280" s="19">
        <f>IF($Q1280&lt;&gt;"Yes","",IF($S1280="","(enter date)",_xlfn.LET(_xlpm.dn,IFERROR(_xlfn.XLOOKUP($S1280,nrCDdate,nrCDnum),""),IF(_xlpm.dn="","(not a class day)",IFERROR(_xlfn.XLOOKUP(_xlpm.dn+cfgRetestClassDays,nrCDnum,nrCDdate),"")))))</f>
        <v/>
      </c>
      <c r="U1280" s="17">
        <f>IF($Q1280&lt;&gt;"Yes","",IF(COUNTIFS(nrES_PID,$D1280,nrES_Code,$F1280,nrES_Att,2)&gt;0,"Retested",IF(OR($T1280="",NOT(ISNUMBER($T1280))),"Pending",IF(TODAY()&gt;$T1280,"OVERDUE","Due "&amp;TEXT($T1280,"mm/dd")))))</f>
        <v/>
      </c>
      <c r="V1280" s="16" t="n"/>
      <c r="W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K1281=1,IF(COUNTIFS(nrES_PID,$D1281,nrES_Code,$F1281,nrES_Att,2)&gt;0,"",$L1281),IF(COUNTIFS(nrES_PID,$D1281,nrES_Code,$F1281,nrES_Att,1)=0,$L1281,IF($L1281&gt;=$J1281,cfgRetakeRecordedCap,SUMIFS(nrES_Raw,nrES_PID,$D1281,nrES_Code,$F1281,nrES_Att,1))))))</f>
        <v/>
      </c>
      <c r="N1281" s="17">
        <f>IF($C1281="","",IF($L1281="","",IF($L1281&gt;=$J1281,"Yes","No")))</f>
        <v/>
      </c>
      <c r="O1281" s="17">
        <f>IF($C1281="","",IF($M1281="","",IF($M1281&gt;=$J1281,"Yes","No")))</f>
        <v/>
      </c>
      <c r="P1281" s="17">
        <f>IF($C1281="","",IF($K1281="","",IF(COUNTIFS(nrES_PID,$D1281,nrES_Code,$F1281,nrES_Att,"&gt;"&amp;$K1281)=0,"Yes","No")))</f>
        <v/>
      </c>
      <c r="Q1281" s="17">
        <f>IF($C1281="","",IF($L1281="","",IF(AND($K1281=1,$L1281&lt;$J1281,COUNTIFS(nrES_PID,$D1281,nrES_Code,$F1281,nrES_Att,2)=0),"Yes","No")))</f>
        <v/>
      </c>
      <c r="R1281" s="17">
        <f>IF($C1281="","",IF($L1281="","",IF(AND($K1281=2,$L1281&lt;$J1281,COUNTIFS(nrES_PID,$D1281,nrES_Code,$F1281,nrES_Att,1)&gt;0),"Yes","No")))</f>
        <v/>
      </c>
      <c r="S1281" s="18" t="n"/>
      <c r="T1281" s="19">
        <f>IF($Q1281&lt;&gt;"Yes","",IF($S1281="","(enter date)",_xlfn.LET(_xlpm.dn,IFERROR(_xlfn.XLOOKUP($S1281,nrCDdate,nrCDnum),""),IF(_xlpm.dn="","(not a class day)",IFERROR(_xlfn.XLOOKUP(_xlpm.dn+cfgRetestClassDays,nrCDnum,nrCDdate),"")))))</f>
        <v/>
      </c>
      <c r="U1281" s="17">
        <f>IF($Q1281&lt;&gt;"Yes","",IF(COUNTIFS(nrES_PID,$D1281,nrES_Code,$F1281,nrES_Att,2)&gt;0,"Retested",IF(OR($T1281="",NOT(ISNUMBER($T1281))),"Pending",IF(TODAY()&gt;$T1281,"OVERDUE","Due "&amp;TEXT($T1281,"mm/dd")))))</f>
        <v/>
      </c>
      <c r="V1281" s="16" t="n"/>
      <c r="W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K1282=1,IF(COUNTIFS(nrES_PID,$D1282,nrES_Code,$F1282,nrES_Att,2)&gt;0,"",$L1282),IF(COUNTIFS(nrES_PID,$D1282,nrES_Code,$F1282,nrES_Att,1)=0,$L1282,IF($L1282&gt;=$J1282,cfgRetakeRecordedCap,SUMIFS(nrES_Raw,nrES_PID,$D1282,nrES_Code,$F1282,nrES_Att,1))))))</f>
        <v/>
      </c>
      <c r="N1282" s="17">
        <f>IF($C1282="","",IF($L1282="","",IF($L1282&gt;=$J1282,"Yes","No")))</f>
        <v/>
      </c>
      <c r="O1282" s="17">
        <f>IF($C1282="","",IF($M1282="","",IF($M1282&gt;=$J1282,"Yes","No")))</f>
        <v/>
      </c>
      <c r="P1282" s="17">
        <f>IF($C1282="","",IF($K1282="","",IF(COUNTIFS(nrES_PID,$D1282,nrES_Code,$F1282,nrES_Att,"&gt;"&amp;$K1282)=0,"Yes","No")))</f>
        <v/>
      </c>
      <c r="Q1282" s="17">
        <f>IF($C1282="","",IF($L1282="","",IF(AND($K1282=1,$L1282&lt;$J1282,COUNTIFS(nrES_PID,$D1282,nrES_Code,$F1282,nrES_Att,2)=0),"Yes","No")))</f>
        <v/>
      </c>
      <c r="R1282" s="17">
        <f>IF($C1282="","",IF($L1282="","",IF(AND($K1282=2,$L1282&lt;$J1282,COUNTIFS(nrES_PID,$D1282,nrES_Code,$F1282,nrES_Att,1)&gt;0),"Yes","No")))</f>
        <v/>
      </c>
      <c r="S1282" s="18" t="n"/>
      <c r="T1282" s="19">
        <f>IF($Q1282&lt;&gt;"Yes","",IF($S1282="","(enter date)",_xlfn.LET(_xlpm.dn,IFERROR(_xlfn.XLOOKUP($S1282,nrCDdate,nrCDnum),""),IF(_xlpm.dn="","(not a class day)",IFERROR(_xlfn.XLOOKUP(_xlpm.dn+cfgRetestClassDays,nrCDnum,nrCDdate),"")))))</f>
        <v/>
      </c>
      <c r="U1282" s="17">
        <f>IF($Q1282&lt;&gt;"Yes","",IF(COUNTIFS(nrES_PID,$D1282,nrES_Code,$F1282,nrES_Att,2)&gt;0,"Retested",IF(OR($T1282="",NOT(ISNUMBER($T1282))),"Pending",IF(TODAY()&gt;$T1282,"OVERDUE","Due "&amp;TEXT($T1282,"mm/dd")))))</f>
        <v/>
      </c>
      <c r="V1282" s="16" t="n"/>
      <c r="W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K1283=1,IF(COUNTIFS(nrES_PID,$D1283,nrES_Code,$F1283,nrES_Att,2)&gt;0,"",$L1283),IF(COUNTIFS(nrES_PID,$D1283,nrES_Code,$F1283,nrES_Att,1)=0,$L1283,IF($L1283&gt;=$J1283,cfgRetakeRecordedCap,SUMIFS(nrES_Raw,nrES_PID,$D1283,nrES_Code,$F1283,nrES_Att,1))))))</f>
        <v/>
      </c>
      <c r="N1283" s="17">
        <f>IF($C1283="","",IF($L1283="","",IF($L1283&gt;=$J1283,"Yes","No")))</f>
        <v/>
      </c>
      <c r="O1283" s="17">
        <f>IF($C1283="","",IF($M1283="","",IF($M1283&gt;=$J1283,"Yes","No")))</f>
        <v/>
      </c>
      <c r="P1283" s="17">
        <f>IF($C1283="","",IF($K1283="","",IF(COUNTIFS(nrES_PID,$D1283,nrES_Code,$F1283,nrES_Att,"&gt;"&amp;$K1283)=0,"Yes","No")))</f>
        <v/>
      </c>
      <c r="Q1283" s="17">
        <f>IF($C1283="","",IF($L1283="","",IF(AND($K1283=1,$L1283&lt;$J1283,COUNTIFS(nrES_PID,$D1283,nrES_Code,$F1283,nrES_Att,2)=0),"Yes","No")))</f>
        <v/>
      </c>
      <c r="R1283" s="17">
        <f>IF($C1283="","",IF($L1283="","",IF(AND($K1283=2,$L1283&lt;$J1283,COUNTIFS(nrES_PID,$D1283,nrES_Code,$F1283,nrES_Att,1)&gt;0),"Yes","No")))</f>
        <v/>
      </c>
      <c r="S1283" s="18" t="n"/>
      <c r="T1283" s="19">
        <f>IF($Q1283&lt;&gt;"Yes","",IF($S1283="","(enter date)",_xlfn.LET(_xlpm.dn,IFERROR(_xlfn.XLOOKUP($S1283,nrCDdate,nrCDnum),""),IF(_xlpm.dn="","(not a class day)",IFERROR(_xlfn.XLOOKUP(_xlpm.dn+cfgRetestClassDays,nrCDnum,nrCDdate),"")))))</f>
        <v/>
      </c>
      <c r="U1283" s="17">
        <f>IF($Q1283&lt;&gt;"Yes","",IF(COUNTIFS(nrES_PID,$D1283,nrES_Code,$F1283,nrES_Att,2)&gt;0,"Retested",IF(OR($T1283="",NOT(ISNUMBER($T1283))),"Pending",IF(TODAY()&gt;$T1283,"OVERDUE","Due "&amp;TEXT($T1283,"mm/dd")))))</f>
        <v/>
      </c>
      <c r="V1283" s="16" t="n"/>
      <c r="W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K1284=1,IF(COUNTIFS(nrES_PID,$D1284,nrES_Code,$F1284,nrES_Att,2)&gt;0,"",$L1284),IF(COUNTIFS(nrES_PID,$D1284,nrES_Code,$F1284,nrES_Att,1)=0,$L1284,IF($L1284&gt;=$J1284,cfgRetakeRecordedCap,SUMIFS(nrES_Raw,nrES_PID,$D1284,nrES_Code,$F1284,nrES_Att,1))))))</f>
        <v/>
      </c>
      <c r="N1284" s="17">
        <f>IF($C1284="","",IF($L1284="","",IF($L1284&gt;=$J1284,"Yes","No")))</f>
        <v/>
      </c>
      <c r="O1284" s="17">
        <f>IF($C1284="","",IF($M1284="","",IF($M1284&gt;=$J1284,"Yes","No")))</f>
        <v/>
      </c>
      <c r="P1284" s="17">
        <f>IF($C1284="","",IF($K1284="","",IF(COUNTIFS(nrES_PID,$D1284,nrES_Code,$F1284,nrES_Att,"&gt;"&amp;$K1284)=0,"Yes","No")))</f>
        <v/>
      </c>
      <c r="Q1284" s="17">
        <f>IF($C1284="","",IF($L1284="","",IF(AND($K1284=1,$L1284&lt;$J1284,COUNTIFS(nrES_PID,$D1284,nrES_Code,$F1284,nrES_Att,2)=0),"Yes","No")))</f>
        <v/>
      </c>
      <c r="R1284" s="17">
        <f>IF($C1284="","",IF($L1284="","",IF(AND($K1284=2,$L1284&lt;$J1284,COUNTIFS(nrES_PID,$D1284,nrES_Code,$F1284,nrES_Att,1)&gt;0),"Yes","No")))</f>
        <v/>
      </c>
      <c r="S1284" s="18" t="n"/>
      <c r="T1284" s="19">
        <f>IF($Q1284&lt;&gt;"Yes","",IF($S1284="","(enter date)",_xlfn.LET(_xlpm.dn,IFERROR(_xlfn.XLOOKUP($S1284,nrCDdate,nrCDnum),""),IF(_xlpm.dn="","(not a class day)",IFERROR(_xlfn.XLOOKUP(_xlpm.dn+cfgRetestClassDays,nrCDnum,nrCDdate),"")))))</f>
        <v/>
      </c>
      <c r="U1284" s="17">
        <f>IF($Q1284&lt;&gt;"Yes","",IF(COUNTIFS(nrES_PID,$D1284,nrES_Code,$F1284,nrES_Att,2)&gt;0,"Retested",IF(OR($T1284="",NOT(ISNUMBER($T1284))),"Pending",IF(TODAY()&gt;$T1284,"OVERDUE","Due "&amp;TEXT($T1284,"mm/dd")))))</f>
        <v/>
      </c>
      <c r="V1284" s="16" t="n"/>
      <c r="W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K1285=1,IF(COUNTIFS(nrES_PID,$D1285,nrES_Code,$F1285,nrES_Att,2)&gt;0,"",$L1285),IF(COUNTIFS(nrES_PID,$D1285,nrES_Code,$F1285,nrES_Att,1)=0,$L1285,IF($L1285&gt;=$J1285,cfgRetakeRecordedCap,SUMIFS(nrES_Raw,nrES_PID,$D1285,nrES_Code,$F1285,nrES_Att,1))))))</f>
        <v/>
      </c>
      <c r="N1285" s="17">
        <f>IF($C1285="","",IF($L1285="","",IF($L1285&gt;=$J1285,"Yes","No")))</f>
        <v/>
      </c>
      <c r="O1285" s="17">
        <f>IF($C1285="","",IF($M1285="","",IF($M1285&gt;=$J1285,"Yes","No")))</f>
        <v/>
      </c>
      <c r="P1285" s="17">
        <f>IF($C1285="","",IF($K1285="","",IF(COUNTIFS(nrES_PID,$D1285,nrES_Code,$F1285,nrES_Att,"&gt;"&amp;$K1285)=0,"Yes","No")))</f>
        <v/>
      </c>
      <c r="Q1285" s="17">
        <f>IF($C1285="","",IF($L1285="","",IF(AND($K1285=1,$L1285&lt;$J1285,COUNTIFS(nrES_PID,$D1285,nrES_Code,$F1285,nrES_Att,2)=0),"Yes","No")))</f>
        <v/>
      </c>
      <c r="R1285" s="17">
        <f>IF($C1285="","",IF($L1285="","",IF(AND($K1285=2,$L1285&lt;$J1285,COUNTIFS(nrES_PID,$D1285,nrES_Code,$F1285,nrES_Att,1)&gt;0),"Yes","No")))</f>
        <v/>
      </c>
      <c r="S1285" s="18" t="n"/>
      <c r="T1285" s="19">
        <f>IF($Q1285&lt;&gt;"Yes","",IF($S1285="","(enter date)",_xlfn.LET(_xlpm.dn,IFERROR(_xlfn.XLOOKUP($S1285,nrCDdate,nrCDnum),""),IF(_xlpm.dn="","(not a class day)",IFERROR(_xlfn.XLOOKUP(_xlpm.dn+cfgRetestClassDays,nrCDnum,nrCDdate),"")))))</f>
        <v/>
      </c>
      <c r="U1285" s="17">
        <f>IF($Q1285&lt;&gt;"Yes","",IF(COUNTIFS(nrES_PID,$D1285,nrES_Code,$F1285,nrES_Att,2)&gt;0,"Retested",IF(OR($T1285="",NOT(ISNUMBER($T1285))),"Pending",IF(TODAY()&gt;$T1285,"OVERDUE","Due "&amp;TEXT($T1285,"mm/dd")))))</f>
        <v/>
      </c>
      <c r="V1285" s="16" t="n"/>
      <c r="W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K1286=1,IF(COUNTIFS(nrES_PID,$D1286,nrES_Code,$F1286,nrES_Att,2)&gt;0,"",$L1286),IF(COUNTIFS(nrES_PID,$D1286,nrES_Code,$F1286,nrES_Att,1)=0,$L1286,IF($L1286&gt;=$J1286,cfgRetakeRecordedCap,SUMIFS(nrES_Raw,nrES_PID,$D1286,nrES_Code,$F1286,nrES_Att,1))))))</f>
        <v/>
      </c>
      <c r="N1286" s="17">
        <f>IF($C1286="","",IF($L1286="","",IF($L1286&gt;=$J1286,"Yes","No")))</f>
        <v/>
      </c>
      <c r="O1286" s="17">
        <f>IF($C1286="","",IF($M1286="","",IF($M1286&gt;=$J1286,"Yes","No")))</f>
        <v/>
      </c>
      <c r="P1286" s="17">
        <f>IF($C1286="","",IF($K1286="","",IF(COUNTIFS(nrES_PID,$D1286,nrES_Code,$F1286,nrES_Att,"&gt;"&amp;$K1286)=0,"Yes","No")))</f>
        <v/>
      </c>
      <c r="Q1286" s="17">
        <f>IF($C1286="","",IF($L1286="","",IF(AND($K1286=1,$L1286&lt;$J1286,COUNTIFS(nrES_PID,$D1286,nrES_Code,$F1286,nrES_Att,2)=0),"Yes","No")))</f>
        <v/>
      </c>
      <c r="R1286" s="17">
        <f>IF($C1286="","",IF($L1286="","",IF(AND($K1286=2,$L1286&lt;$J1286,COUNTIFS(nrES_PID,$D1286,nrES_Code,$F1286,nrES_Att,1)&gt;0),"Yes","No")))</f>
        <v/>
      </c>
      <c r="S1286" s="18" t="n"/>
      <c r="T1286" s="19">
        <f>IF($Q1286&lt;&gt;"Yes","",IF($S1286="","(enter date)",_xlfn.LET(_xlpm.dn,IFERROR(_xlfn.XLOOKUP($S1286,nrCDdate,nrCDnum),""),IF(_xlpm.dn="","(not a class day)",IFERROR(_xlfn.XLOOKUP(_xlpm.dn+cfgRetestClassDays,nrCDnum,nrCDdate),"")))))</f>
        <v/>
      </c>
      <c r="U1286" s="17">
        <f>IF($Q1286&lt;&gt;"Yes","",IF(COUNTIFS(nrES_PID,$D1286,nrES_Code,$F1286,nrES_Att,2)&gt;0,"Retested",IF(OR($T1286="",NOT(ISNUMBER($T1286))),"Pending",IF(TODAY()&gt;$T1286,"OVERDUE","Due "&amp;TEXT($T1286,"mm/dd")))))</f>
        <v/>
      </c>
      <c r="V1286" s="16" t="n"/>
      <c r="W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K1287=1,IF(COUNTIFS(nrES_PID,$D1287,nrES_Code,$F1287,nrES_Att,2)&gt;0,"",$L1287),IF(COUNTIFS(nrES_PID,$D1287,nrES_Code,$F1287,nrES_Att,1)=0,$L1287,IF($L1287&gt;=$J1287,cfgRetakeRecordedCap,SUMIFS(nrES_Raw,nrES_PID,$D1287,nrES_Code,$F1287,nrES_Att,1))))))</f>
        <v/>
      </c>
      <c r="N1287" s="17">
        <f>IF($C1287="","",IF($L1287="","",IF($L1287&gt;=$J1287,"Yes","No")))</f>
        <v/>
      </c>
      <c r="O1287" s="17">
        <f>IF($C1287="","",IF($M1287="","",IF($M1287&gt;=$J1287,"Yes","No")))</f>
        <v/>
      </c>
      <c r="P1287" s="17">
        <f>IF($C1287="","",IF($K1287="","",IF(COUNTIFS(nrES_PID,$D1287,nrES_Code,$F1287,nrES_Att,"&gt;"&amp;$K1287)=0,"Yes","No")))</f>
        <v/>
      </c>
      <c r="Q1287" s="17">
        <f>IF($C1287="","",IF($L1287="","",IF(AND($K1287=1,$L1287&lt;$J1287,COUNTIFS(nrES_PID,$D1287,nrES_Code,$F1287,nrES_Att,2)=0),"Yes","No")))</f>
        <v/>
      </c>
      <c r="R1287" s="17">
        <f>IF($C1287="","",IF($L1287="","",IF(AND($K1287=2,$L1287&lt;$J1287,COUNTIFS(nrES_PID,$D1287,nrES_Code,$F1287,nrES_Att,1)&gt;0),"Yes","No")))</f>
        <v/>
      </c>
      <c r="S1287" s="18" t="n"/>
      <c r="T1287" s="19">
        <f>IF($Q1287&lt;&gt;"Yes","",IF($S1287="","(enter date)",_xlfn.LET(_xlpm.dn,IFERROR(_xlfn.XLOOKUP($S1287,nrCDdate,nrCDnum),""),IF(_xlpm.dn="","(not a class day)",IFERROR(_xlfn.XLOOKUP(_xlpm.dn+cfgRetestClassDays,nrCDnum,nrCDdate),"")))))</f>
        <v/>
      </c>
      <c r="U1287" s="17">
        <f>IF($Q1287&lt;&gt;"Yes","",IF(COUNTIFS(nrES_PID,$D1287,nrES_Code,$F1287,nrES_Att,2)&gt;0,"Retested",IF(OR($T1287="",NOT(ISNUMBER($T1287))),"Pending",IF(TODAY()&gt;$T1287,"OVERDUE","Due "&amp;TEXT($T1287,"mm/dd")))))</f>
        <v/>
      </c>
      <c r="V1287" s="16" t="n"/>
      <c r="W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K1288=1,IF(COUNTIFS(nrES_PID,$D1288,nrES_Code,$F1288,nrES_Att,2)&gt;0,"",$L1288),IF(COUNTIFS(nrES_PID,$D1288,nrES_Code,$F1288,nrES_Att,1)=0,$L1288,IF($L1288&gt;=$J1288,cfgRetakeRecordedCap,SUMIFS(nrES_Raw,nrES_PID,$D1288,nrES_Code,$F1288,nrES_Att,1))))))</f>
        <v/>
      </c>
      <c r="N1288" s="17">
        <f>IF($C1288="","",IF($L1288="","",IF($L1288&gt;=$J1288,"Yes","No")))</f>
        <v/>
      </c>
      <c r="O1288" s="17">
        <f>IF($C1288="","",IF($M1288="","",IF($M1288&gt;=$J1288,"Yes","No")))</f>
        <v/>
      </c>
      <c r="P1288" s="17">
        <f>IF($C1288="","",IF($K1288="","",IF(COUNTIFS(nrES_PID,$D1288,nrES_Code,$F1288,nrES_Att,"&gt;"&amp;$K1288)=0,"Yes","No")))</f>
        <v/>
      </c>
      <c r="Q1288" s="17">
        <f>IF($C1288="","",IF($L1288="","",IF(AND($K1288=1,$L1288&lt;$J1288,COUNTIFS(nrES_PID,$D1288,nrES_Code,$F1288,nrES_Att,2)=0),"Yes","No")))</f>
        <v/>
      </c>
      <c r="R1288" s="17">
        <f>IF($C1288="","",IF($L1288="","",IF(AND($K1288=2,$L1288&lt;$J1288,COUNTIFS(nrES_PID,$D1288,nrES_Code,$F1288,nrES_Att,1)&gt;0),"Yes","No")))</f>
        <v/>
      </c>
      <c r="S1288" s="18" t="n"/>
      <c r="T1288" s="19">
        <f>IF($Q1288&lt;&gt;"Yes","",IF($S1288="","(enter date)",_xlfn.LET(_xlpm.dn,IFERROR(_xlfn.XLOOKUP($S1288,nrCDdate,nrCDnum),""),IF(_xlpm.dn="","(not a class day)",IFERROR(_xlfn.XLOOKUP(_xlpm.dn+cfgRetestClassDays,nrCDnum,nrCDdate),"")))))</f>
        <v/>
      </c>
      <c r="U1288" s="17">
        <f>IF($Q1288&lt;&gt;"Yes","",IF(COUNTIFS(nrES_PID,$D1288,nrES_Code,$F1288,nrES_Att,2)&gt;0,"Retested",IF(OR($T1288="",NOT(ISNUMBER($T1288))),"Pending",IF(TODAY()&gt;$T1288,"OVERDUE","Due "&amp;TEXT($T1288,"mm/dd")))))</f>
        <v/>
      </c>
      <c r="V1288" s="16" t="n"/>
      <c r="W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K1289=1,IF(COUNTIFS(nrES_PID,$D1289,nrES_Code,$F1289,nrES_Att,2)&gt;0,"",$L1289),IF(COUNTIFS(nrES_PID,$D1289,nrES_Code,$F1289,nrES_Att,1)=0,$L1289,IF($L1289&gt;=$J1289,cfgRetakeRecordedCap,SUMIFS(nrES_Raw,nrES_PID,$D1289,nrES_Code,$F1289,nrES_Att,1))))))</f>
        <v/>
      </c>
      <c r="N1289" s="17">
        <f>IF($C1289="","",IF($L1289="","",IF($L1289&gt;=$J1289,"Yes","No")))</f>
        <v/>
      </c>
      <c r="O1289" s="17">
        <f>IF($C1289="","",IF($M1289="","",IF($M1289&gt;=$J1289,"Yes","No")))</f>
        <v/>
      </c>
      <c r="P1289" s="17">
        <f>IF($C1289="","",IF($K1289="","",IF(COUNTIFS(nrES_PID,$D1289,nrES_Code,$F1289,nrES_Att,"&gt;"&amp;$K1289)=0,"Yes","No")))</f>
        <v/>
      </c>
      <c r="Q1289" s="17">
        <f>IF($C1289="","",IF($L1289="","",IF(AND($K1289=1,$L1289&lt;$J1289,COUNTIFS(nrES_PID,$D1289,nrES_Code,$F1289,nrES_Att,2)=0),"Yes","No")))</f>
        <v/>
      </c>
      <c r="R1289" s="17">
        <f>IF($C1289="","",IF($L1289="","",IF(AND($K1289=2,$L1289&lt;$J1289,COUNTIFS(nrES_PID,$D1289,nrES_Code,$F1289,nrES_Att,1)&gt;0),"Yes","No")))</f>
        <v/>
      </c>
      <c r="S1289" s="18" t="n"/>
      <c r="T1289" s="19">
        <f>IF($Q1289&lt;&gt;"Yes","",IF($S1289="","(enter date)",_xlfn.LET(_xlpm.dn,IFERROR(_xlfn.XLOOKUP($S1289,nrCDdate,nrCDnum),""),IF(_xlpm.dn="","(not a class day)",IFERROR(_xlfn.XLOOKUP(_xlpm.dn+cfgRetestClassDays,nrCDnum,nrCDdate),"")))))</f>
        <v/>
      </c>
      <c r="U1289" s="17">
        <f>IF($Q1289&lt;&gt;"Yes","",IF(COUNTIFS(nrES_PID,$D1289,nrES_Code,$F1289,nrES_Att,2)&gt;0,"Retested",IF(OR($T1289="",NOT(ISNUMBER($T1289))),"Pending",IF(TODAY()&gt;$T1289,"OVERDUE","Due "&amp;TEXT($T1289,"mm/dd")))))</f>
        <v/>
      </c>
      <c r="V1289" s="16" t="n"/>
      <c r="W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K1290=1,IF(COUNTIFS(nrES_PID,$D1290,nrES_Code,$F1290,nrES_Att,2)&gt;0,"",$L1290),IF(COUNTIFS(nrES_PID,$D1290,nrES_Code,$F1290,nrES_Att,1)=0,$L1290,IF($L1290&gt;=$J1290,cfgRetakeRecordedCap,SUMIFS(nrES_Raw,nrES_PID,$D1290,nrES_Code,$F1290,nrES_Att,1))))))</f>
        <v/>
      </c>
      <c r="N1290" s="17">
        <f>IF($C1290="","",IF($L1290="","",IF($L1290&gt;=$J1290,"Yes","No")))</f>
        <v/>
      </c>
      <c r="O1290" s="17">
        <f>IF($C1290="","",IF($M1290="","",IF($M1290&gt;=$J1290,"Yes","No")))</f>
        <v/>
      </c>
      <c r="P1290" s="17">
        <f>IF($C1290="","",IF($K1290="","",IF(COUNTIFS(nrES_PID,$D1290,nrES_Code,$F1290,nrES_Att,"&gt;"&amp;$K1290)=0,"Yes","No")))</f>
        <v/>
      </c>
      <c r="Q1290" s="17">
        <f>IF($C1290="","",IF($L1290="","",IF(AND($K1290=1,$L1290&lt;$J1290,COUNTIFS(nrES_PID,$D1290,nrES_Code,$F1290,nrES_Att,2)=0),"Yes","No")))</f>
        <v/>
      </c>
      <c r="R1290" s="17">
        <f>IF($C1290="","",IF($L1290="","",IF(AND($K1290=2,$L1290&lt;$J1290,COUNTIFS(nrES_PID,$D1290,nrES_Code,$F1290,nrES_Att,1)&gt;0),"Yes","No")))</f>
        <v/>
      </c>
      <c r="S1290" s="18" t="n"/>
      <c r="T1290" s="19">
        <f>IF($Q1290&lt;&gt;"Yes","",IF($S1290="","(enter date)",_xlfn.LET(_xlpm.dn,IFERROR(_xlfn.XLOOKUP($S1290,nrCDdate,nrCDnum),""),IF(_xlpm.dn="","(not a class day)",IFERROR(_xlfn.XLOOKUP(_xlpm.dn+cfgRetestClassDays,nrCDnum,nrCDdate),"")))))</f>
        <v/>
      </c>
      <c r="U1290" s="17">
        <f>IF($Q1290&lt;&gt;"Yes","",IF(COUNTIFS(nrES_PID,$D1290,nrES_Code,$F1290,nrES_Att,2)&gt;0,"Retested",IF(OR($T1290="",NOT(ISNUMBER($T1290))),"Pending",IF(TODAY()&gt;$T1290,"OVERDUE","Due "&amp;TEXT($T1290,"mm/dd")))))</f>
        <v/>
      </c>
      <c r="V1290" s="16" t="n"/>
      <c r="W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K1291=1,IF(COUNTIFS(nrES_PID,$D1291,nrES_Code,$F1291,nrES_Att,2)&gt;0,"",$L1291),IF(COUNTIFS(nrES_PID,$D1291,nrES_Code,$F1291,nrES_Att,1)=0,$L1291,IF($L1291&gt;=$J1291,cfgRetakeRecordedCap,SUMIFS(nrES_Raw,nrES_PID,$D1291,nrES_Code,$F1291,nrES_Att,1))))))</f>
        <v/>
      </c>
      <c r="N1291" s="17">
        <f>IF($C1291="","",IF($L1291="","",IF($L1291&gt;=$J1291,"Yes","No")))</f>
        <v/>
      </c>
      <c r="O1291" s="17">
        <f>IF($C1291="","",IF($M1291="","",IF($M1291&gt;=$J1291,"Yes","No")))</f>
        <v/>
      </c>
      <c r="P1291" s="17">
        <f>IF($C1291="","",IF($K1291="","",IF(COUNTIFS(nrES_PID,$D1291,nrES_Code,$F1291,nrES_Att,"&gt;"&amp;$K1291)=0,"Yes","No")))</f>
        <v/>
      </c>
      <c r="Q1291" s="17">
        <f>IF($C1291="","",IF($L1291="","",IF(AND($K1291=1,$L1291&lt;$J1291,COUNTIFS(nrES_PID,$D1291,nrES_Code,$F1291,nrES_Att,2)=0),"Yes","No")))</f>
        <v/>
      </c>
      <c r="R1291" s="17">
        <f>IF($C1291="","",IF($L1291="","",IF(AND($K1291=2,$L1291&lt;$J1291,COUNTIFS(nrES_PID,$D1291,nrES_Code,$F1291,nrES_Att,1)&gt;0),"Yes","No")))</f>
        <v/>
      </c>
      <c r="S1291" s="18" t="n"/>
      <c r="T1291" s="19">
        <f>IF($Q1291&lt;&gt;"Yes","",IF($S1291="","(enter date)",_xlfn.LET(_xlpm.dn,IFERROR(_xlfn.XLOOKUP($S1291,nrCDdate,nrCDnum),""),IF(_xlpm.dn="","(not a class day)",IFERROR(_xlfn.XLOOKUP(_xlpm.dn+cfgRetestClassDays,nrCDnum,nrCDdate),"")))))</f>
        <v/>
      </c>
      <c r="U1291" s="17">
        <f>IF($Q1291&lt;&gt;"Yes","",IF(COUNTIFS(nrES_PID,$D1291,nrES_Code,$F1291,nrES_Att,2)&gt;0,"Retested",IF(OR($T1291="",NOT(ISNUMBER($T1291))),"Pending",IF(TODAY()&gt;$T1291,"OVERDUE","Due "&amp;TEXT($T1291,"mm/dd")))))</f>
        <v/>
      </c>
      <c r="V1291" s="16" t="n"/>
      <c r="W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K1292=1,IF(COUNTIFS(nrES_PID,$D1292,nrES_Code,$F1292,nrES_Att,2)&gt;0,"",$L1292),IF(COUNTIFS(nrES_PID,$D1292,nrES_Code,$F1292,nrES_Att,1)=0,$L1292,IF($L1292&gt;=$J1292,cfgRetakeRecordedCap,SUMIFS(nrES_Raw,nrES_PID,$D1292,nrES_Code,$F1292,nrES_Att,1))))))</f>
        <v/>
      </c>
      <c r="N1292" s="17">
        <f>IF($C1292="","",IF($L1292="","",IF($L1292&gt;=$J1292,"Yes","No")))</f>
        <v/>
      </c>
      <c r="O1292" s="17">
        <f>IF($C1292="","",IF($M1292="","",IF($M1292&gt;=$J1292,"Yes","No")))</f>
        <v/>
      </c>
      <c r="P1292" s="17">
        <f>IF($C1292="","",IF($K1292="","",IF(COUNTIFS(nrES_PID,$D1292,nrES_Code,$F1292,nrES_Att,"&gt;"&amp;$K1292)=0,"Yes","No")))</f>
        <v/>
      </c>
      <c r="Q1292" s="17">
        <f>IF($C1292="","",IF($L1292="","",IF(AND($K1292=1,$L1292&lt;$J1292,COUNTIFS(nrES_PID,$D1292,nrES_Code,$F1292,nrES_Att,2)=0),"Yes","No")))</f>
        <v/>
      </c>
      <c r="R1292" s="17">
        <f>IF($C1292="","",IF($L1292="","",IF(AND($K1292=2,$L1292&lt;$J1292,COUNTIFS(nrES_PID,$D1292,nrES_Code,$F1292,nrES_Att,1)&gt;0),"Yes","No")))</f>
        <v/>
      </c>
      <c r="S1292" s="18" t="n"/>
      <c r="T1292" s="19">
        <f>IF($Q1292&lt;&gt;"Yes","",IF($S1292="","(enter date)",_xlfn.LET(_xlpm.dn,IFERROR(_xlfn.XLOOKUP($S1292,nrCDdate,nrCDnum),""),IF(_xlpm.dn="","(not a class day)",IFERROR(_xlfn.XLOOKUP(_xlpm.dn+cfgRetestClassDays,nrCDnum,nrCDdate),"")))))</f>
        <v/>
      </c>
      <c r="U1292" s="17">
        <f>IF($Q1292&lt;&gt;"Yes","",IF(COUNTIFS(nrES_PID,$D1292,nrES_Code,$F1292,nrES_Att,2)&gt;0,"Retested",IF(OR($T1292="",NOT(ISNUMBER($T1292))),"Pending",IF(TODAY()&gt;$T1292,"OVERDUE","Due "&amp;TEXT($T1292,"mm/dd")))))</f>
        <v/>
      </c>
      <c r="V1292" s="16" t="n"/>
      <c r="W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K1293=1,IF(COUNTIFS(nrES_PID,$D1293,nrES_Code,$F1293,nrES_Att,2)&gt;0,"",$L1293),IF(COUNTIFS(nrES_PID,$D1293,nrES_Code,$F1293,nrES_Att,1)=0,$L1293,IF($L1293&gt;=$J1293,cfgRetakeRecordedCap,SUMIFS(nrES_Raw,nrES_PID,$D1293,nrES_Code,$F1293,nrES_Att,1))))))</f>
        <v/>
      </c>
      <c r="N1293" s="17">
        <f>IF($C1293="","",IF($L1293="","",IF($L1293&gt;=$J1293,"Yes","No")))</f>
        <v/>
      </c>
      <c r="O1293" s="17">
        <f>IF($C1293="","",IF($M1293="","",IF($M1293&gt;=$J1293,"Yes","No")))</f>
        <v/>
      </c>
      <c r="P1293" s="17">
        <f>IF($C1293="","",IF($K1293="","",IF(COUNTIFS(nrES_PID,$D1293,nrES_Code,$F1293,nrES_Att,"&gt;"&amp;$K1293)=0,"Yes","No")))</f>
        <v/>
      </c>
      <c r="Q1293" s="17">
        <f>IF($C1293="","",IF($L1293="","",IF(AND($K1293=1,$L1293&lt;$J1293,COUNTIFS(nrES_PID,$D1293,nrES_Code,$F1293,nrES_Att,2)=0),"Yes","No")))</f>
        <v/>
      </c>
      <c r="R1293" s="17">
        <f>IF($C1293="","",IF($L1293="","",IF(AND($K1293=2,$L1293&lt;$J1293,COUNTIFS(nrES_PID,$D1293,nrES_Code,$F1293,nrES_Att,1)&gt;0),"Yes","No")))</f>
        <v/>
      </c>
      <c r="S1293" s="18" t="n"/>
      <c r="T1293" s="19">
        <f>IF($Q1293&lt;&gt;"Yes","",IF($S1293="","(enter date)",_xlfn.LET(_xlpm.dn,IFERROR(_xlfn.XLOOKUP($S1293,nrCDdate,nrCDnum),""),IF(_xlpm.dn="","(not a class day)",IFERROR(_xlfn.XLOOKUP(_xlpm.dn+cfgRetestClassDays,nrCDnum,nrCDdate),"")))))</f>
        <v/>
      </c>
      <c r="U1293" s="17">
        <f>IF($Q1293&lt;&gt;"Yes","",IF(COUNTIFS(nrES_PID,$D1293,nrES_Code,$F1293,nrES_Att,2)&gt;0,"Retested",IF(OR($T1293="",NOT(ISNUMBER($T1293))),"Pending",IF(TODAY()&gt;$T1293,"OVERDUE","Due "&amp;TEXT($T1293,"mm/dd")))))</f>
        <v/>
      </c>
      <c r="V1293" s="16" t="n"/>
      <c r="W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K1294=1,IF(COUNTIFS(nrES_PID,$D1294,nrES_Code,$F1294,nrES_Att,2)&gt;0,"",$L1294),IF(COUNTIFS(nrES_PID,$D1294,nrES_Code,$F1294,nrES_Att,1)=0,$L1294,IF($L1294&gt;=$J1294,cfgRetakeRecordedCap,SUMIFS(nrES_Raw,nrES_PID,$D1294,nrES_Code,$F1294,nrES_Att,1))))))</f>
        <v/>
      </c>
      <c r="N1294" s="17">
        <f>IF($C1294="","",IF($L1294="","",IF($L1294&gt;=$J1294,"Yes","No")))</f>
        <v/>
      </c>
      <c r="O1294" s="17">
        <f>IF($C1294="","",IF($M1294="","",IF($M1294&gt;=$J1294,"Yes","No")))</f>
        <v/>
      </c>
      <c r="P1294" s="17">
        <f>IF($C1294="","",IF($K1294="","",IF(COUNTIFS(nrES_PID,$D1294,nrES_Code,$F1294,nrES_Att,"&gt;"&amp;$K1294)=0,"Yes","No")))</f>
        <v/>
      </c>
      <c r="Q1294" s="17">
        <f>IF($C1294="","",IF($L1294="","",IF(AND($K1294=1,$L1294&lt;$J1294,COUNTIFS(nrES_PID,$D1294,nrES_Code,$F1294,nrES_Att,2)=0),"Yes","No")))</f>
        <v/>
      </c>
      <c r="R1294" s="17">
        <f>IF($C1294="","",IF($L1294="","",IF(AND($K1294=2,$L1294&lt;$J1294,COUNTIFS(nrES_PID,$D1294,nrES_Code,$F1294,nrES_Att,1)&gt;0),"Yes","No")))</f>
        <v/>
      </c>
      <c r="S1294" s="18" t="n"/>
      <c r="T1294" s="19">
        <f>IF($Q1294&lt;&gt;"Yes","",IF($S1294="","(enter date)",_xlfn.LET(_xlpm.dn,IFERROR(_xlfn.XLOOKUP($S1294,nrCDdate,nrCDnum),""),IF(_xlpm.dn="","(not a class day)",IFERROR(_xlfn.XLOOKUP(_xlpm.dn+cfgRetestClassDays,nrCDnum,nrCDdate),"")))))</f>
        <v/>
      </c>
      <c r="U1294" s="17">
        <f>IF($Q1294&lt;&gt;"Yes","",IF(COUNTIFS(nrES_PID,$D1294,nrES_Code,$F1294,nrES_Att,2)&gt;0,"Retested",IF(OR($T1294="",NOT(ISNUMBER($T1294))),"Pending",IF(TODAY()&gt;$T1294,"OVERDUE","Due "&amp;TEXT($T1294,"mm/dd")))))</f>
        <v/>
      </c>
      <c r="V1294" s="16" t="n"/>
      <c r="W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K1295=1,IF(COUNTIFS(nrES_PID,$D1295,nrES_Code,$F1295,nrES_Att,2)&gt;0,"",$L1295),IF(COUNTIFS(nrES_PID,$D1295,nrES_Code,$F1295,nrES_Att,1)=0,$L1295,IF($L1295&gt;=$J1295,cfgRetakeRecordedCap,SUMIFS(nrES_Raw,nrES_PID,$D1295,nrES_Code,$F1295,nrES_Att,1))))))</f>
        <v/>
      </c>
      <c r="N1295" s="17">
        <f>IF($C1295="","",IF($L1295="","",IF($L1295&gt;=$J1295,"Yes","No")))</f>
        <v/>
      </c>
      <c r="O1295" s="17">
        <f>IF($C1295="","",IF($M1295="","",IF($M1295&gt;=$J1295,"Yes","No")))</f>
        <v/>
      </c>
      <c r="P1295" s="17">
        <f>IF($C1295="","",IF($K1295="","",IF(COUNTIFS(nrES_PID,$D1295,nrES_Code,$F1295,nrES_Att,"&gt;"&amp;$K1295)=0,"Yes","No")))</f>
        <v/>
      </c>
      <c r="Q1295" s="17">
        <f>IF($C1295="","",IF($L1295="","",IF(AND($K1295=1,$L1295&lt;$J1295,COUNTIFS(nrES_PID,$D1295,nrES_Code,$F1295,nrES_Att,2)=0),"Yes","No")))</f>
        <v/>
      </c>
      <c r="R1295" s="17">
        <f>IF($C1295="","",IF($L1295="","",IF(AND($K1295=2,$L1295&lt;$J1295,COUNTIFS(nrES_PID,$D1295,nrES_Code,$F1295,nrES_Att,1)&gt;0),"Yes","No")))</f>
        <v/>
      </c>
      <c r="S1295" s="18" t="n"/>
      <c r="T1295" s="19">
        <f>IF($Q1295&lt;&gt;"Yes","",IF($S1295="","(enter date)",_xlfn.LET(_xlpm.dn,IFERROR(_xlfn.XLOOKUP($S1295,nrCDdate,nrCDnum),""),IF(_xlpm.dn="","(not a class day)",IFERROR(_xlfn.XLOOKUP(_xlpm.dn+cfgRetestClassDays,nrCDnum,nrCDdate),"")))))</f>
        <v/>
      </c>
      <c r="U1295" s="17">
        <f>IF($Q1295&lt;&gt;"Yes","",IF(COUNTIFS(nrES_PID,$D1295,nrES_Code,$F1295,nrES_Att,2)&gt;0,"Retested",IF(OR($T1295="",NOT(ISNUMBER($T1295))),"Pending",IF(TODAY()&gt;$T1295,"OVERDUE","Due "&amp;TEXT($T1295,"mm/dd")))))</f>
        <v/>
      </c>
      <c r="V1295" s="16" t="n"/>
      <c r="W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K1296=1,IF(COUNTIFS(nrES_PID,$D1296,nrES_Code,$F1296,nrES_Att,2)&gt;0,"",$L1296),IF(COUNTIFS(nrES_PID,$D1296,nrES_Code,$F1296,nrES_Att,1)=0,$L1296,IF($L1296&gt;=$J1296,cfgRetakeRecordedCap,SUMIFS(nrES_Raw,nrES_PID,$D1296,nrES_Code,$F1296,nrES_Att,1))))))</f>
        <v/>
      </c>
      <c r="N1296" s="17">
        <f>IF($C1296="","",IF($L1296="","",IF($L1296&gt;=$J1296,"Yes","No")))</f>
        <v/>
      </c>
      <c r="O1296" s="17">
        <f>IF($C1296="","",IF($M1296="","",IF($M1296&gt;=$J1296,"Yes","No")))</f>
        <v/>
      </c>
      <c r="P1296" s="17">
        <f>IF($C1296="","",IF($K1296="","",IF(COUNTIFS(nrES_PID,$D1296,nrES_Code,$F1296,nrES_Att,"&gt;"&amp;$K1296)=0,"Yes","No")))</f>
        <v/>
      </c>
      <c r="Q1296" s="17">
        <f>IF($C1296="","",IF($L1296="","",IF(AND($K1296=1,$L1296&lt;$J1296,COUNTIFS(nrES_PID,$D1296,nrES_Code,$F1296,nrES_Att,2)=0),"Yes","No")))</f>
        <v/>
      </c>
      <c r="R1296" s="17">
        <f>IF($C1296="","",IF($L1296="","",IF(AND($K1296=2,$L1296&lt;$J1296,COUNTIFS(nrES_PID,$D1296,nrES_Code,$F1296,nrES_Att,1)&gt;0),"Yes","No")))</f>
        <v/>
      </c>
      <c r="S1296" s="18" t="n"/>
      <c r="T1296" s="19">
        <f>IF($Q1296&lt;&gt;"Yes","",IF($S1296="","(enter date)",_xlfn.LET(_xlpm.dn,IFERROR(_xlfn.XLOOKUP($S1296,nrCDdate,nrCDnum),""),IF(_xlpm.dn="","(not a class day)",IFERROR(_xlfn.XLOOKUP(_xlpm.dn+cfgRetestClassDays,nrCDnum,nrCDdate),"")))))</f>
        <v/>
      </c>
      <c r="U1296" s="17">
        <f>IF($Q1296&lt;&gt;"Yes","",IF(COUNTIFS(nrES_PID,$D1296,nrES_Code,$F1296,nrES_Att,2)&gt;0,"Retested",IF(OR($T1296="",NOT(ISNUMBER($T1296))),"Pending",IF(TODAY()&gt;$T1296,"OVERDUE","Due "&amp;TEXT($T1296,"mm/dd")))))</f>
        <v/>
      </c>
      <c r="V1296" s="16" t="n"/>
      <c r="W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K1297=1,IF(COUNTIFS(nrES_PID,$D1297,nrES_Code,$F1297,nrES_Att,2)&gt;0,"",$L1297),IF(COUNTIFS(nrES_PID,$D1297,nrES_Code,$F1297,nrES_Att,1)=0,$L1297,IF($L1297&gt;=$J1297,cfgRetakeRecordedCap,SUMIFS(nrES_Raw,nrES_PID,$D1297,nrES_Code,$F1297,nrES_Att,1))))))</f>
        <v/>
      </c>
      <c r="N1297" s="17">
        <f>IF($C1297="","",IF($L1297="","",IF($L1297&gt;=$J1297,"Yes","No")))</f>
        <v/>
      </c>
      <c r="O1297" s="17">
        <f>IF($C1297="","",IF($M1297="","",IF($M1297&gt;=$J1297,"Yes","No")))</f>
        <v/>
      </c>
      <c r="P1297" s="17">
        <f>IF($C1297="","",IF($K1297="","",IF(COUNTIFS(nrES_PID,$D1297,nrES_Code,$F1297,nrES_Att,"&gt;"&amp;$K1297)=0,"Yes","No")))</f>
        <v/>
      </c>
      <c r="Q1297" s="17">
        <f>IF($C1297="","",IF($L1297="","",IF(AND($K1297=1,$L1297&lt;$J1297,COUNTIFS(nrES_PID,$D1297,nrES_Code,$F1297,nrES_Att,2)=0),"Yes","No")))</f>
        <v/>
      </c>
      <c r="R1297" s="17">
        <f>IF($C1297="","",IF($L1297="","",IF(AND($K1297=2,$L1297&lt;$J1297,COUNTIFS(nrES_PID,$D1297,nrES_Code,$F1297,nrES_Att,1)&gt;0),"Yes","No")))</f>
        <v/>
      </c>
      <c r="S1297" s="18" t="n"/>
      <c r="T1297" s="19">
        <f>IF($Q1297&lt;&gt;"Yes","",IF($S1297="","(enter date)",_xlfn.LET(_xlpm.dn,IFERROR(_xlfn.XLOOKUP($S1297,nrCDdate,nrCDnum),""),IF(_xlpm.dn="","(not a class day)",IFERROR(_xlfn.XLOOKUP(_xlpm.dn+cfgRetestClassDays,nrCDnum,nrCDdate),"")))))</f>
        <v/>
      </c>
      <c r="U1297" s="17">
        <f>IF($Q1297&lt;&gt;"Yes","",IF(COUNTIFS(nrES_PID,$D1297,nrES_Code,$F1297,nrES_Att,2)&gt;0,"Retested",IF(OR($T1297="",NOT(ISNUMBER($T1297))),"Pending",IF(TODAY()&gt;$T1297,"OVERDUE","Due "&amp;TEXT($T1297,"mm/dd")))))</f>
        <v/>
      </c>
      <c r="V1297" s="16" t="n"/>
      <c r="W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K1298=1,IF(COUNTIFS(nrES_PID,$D1298,nrES_Code,$F1298,nrES_Att,2)&gt;0,"",$L1298),IF(COUNTIFS(nrES_PID,$D1298,nrES_Code,$F1298,nrES_Att,1)=0,$L1298,IF($L1298&gt;=$J1298,cfgRetakeRecordedCap,SUMIFS(nrES_Raw,nrES_PID,$D1298,nrES_Code,$F1298,nrES_Att,1))))))</f>
        <v/>
      </c>
      <c r="N1298" s="17">
        <f>IF($C1298="","",IF($L1298="","",IF($L1298&gt;=$J1298,"Yes","No")))</f>
        <v/>
      </c>
      <c r="O1298" s="17">
        <f>IF($C1298="","",IF($M1298="","",IF($M1298&gt;=$J1298,"Yes","No")))</f>
        <v/>
      </c>
      <c r="P1298" s="17">
        <f>IF($C1298="","",IF($K1298="","",IF(COUNTIFS(nrES_PID,$D1298,nrES_Code,$F1298,nrES_Att,"&gt;"&amp;$K1298)=0,"Yes","No")))</f>
        <v/>
      </c>
      <c r="Q1298" s="17">
        <f>IF($C1298="","",IF($L1298="","",IF(AND($K1298=1,$L1298&lt;$J1298,COUNTIFS(nrES_PID,$D1298,nrES_Code,$F1298,nrES_Att,2)=0),"Yes","No")))</f>
        <v/>
      </c>
      <c r="R1298" s="17">
        <f>IF($C1298="","",IF($L1298="","",IF(AND($K1298=2,$L1298&lt;$J1298,COUNTIFS(nrES_PID,$D1298,nrES_Code,$F1298,nrES_Att,1)&gt;0),"Yes","No")))</f>
        <v/>
      </c>
      <c r="S1298" s="18" t="n"/>
      <c r="T1298" s="19">
        <f>IF($Q1298&lt;&gt;"Yes","",IF($S1298="","(enter date)",_xlfn.LET(_xlpm.dn,IFERROR(_xlfn.XLOOKUP($S1298,nrCDdate,nrCDnum),""),IF(_xlpm.dn="","(not a class day)",IFERROR(_xlfn.XLOOKUP(_xlpm.dn+cfgRetestClassDays,nrCDnum,nrCDdate),"")))))</f>
        <v/>
      </c>
      <c r="U1298" s="17">
        <f>IF($Q1298&lt;&gt;"Yes","",IF(COUNTIFS(nrES_PID,$D1298,nrES_Code,$F1298,nrES_Att,2)&gt;0,"Retested",IF(OR($T1298="",NOT(ISNUMBER($T1298))),"Pending",IF(TODAY()&gt;$T1298,"OVERDUE","Due "&amp;TEXT($T1298,"mm/dd")))))</f>
        <v/>
      </c>
      <c r="V1298" s="16" t="n"/>
      <c r="W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K1299=1,IF(COUNTIFS(nrES_PID,$D1299,nrES_Code,$F1299,nrES_Att,2)&gt;0,"",$L1299),IF(COUNTIFS(nrES_PID,$D1299,nrES_Code,$F1299,nrES_Att,1)=0,$L1299,IF($L1299&gt;=$J1299,cfgRetakeRecordedCap,SUMIFS(nrES_Raw,nrES_PID,$D1299,nrES_Code,$F1299,nrES_Att,1))))))</f>
        <v/>
      </c>
      <c r="N1299" s="17">
        <f>IF($C1299="","",IF($L1299="","",IF($L1299&gt;=$J1299,"Yes","No")))</f>
        <v/>
      </c>
      <c r="O1299" s="17">
        <f>IF($C1299="","",IF($M1299="","",IF($M1299&gt;=$J1299,"Yes","No")))</f>
        <v/>
      </c>
      <c r="P1299" s="17">
        <f>IF($C1299="","",IF($K1299="","",IF(COUNTIFS(nrES_PID,$D1299,nrES_Code,$F1299,nrES_Att,"&gt;"&amp;$K1299)=0,"Yes","No")))</f>
        <v/>
      </c>
      <c r="Q1299" s="17">
        <f>IF($C1299="","",IF($L1299="","",IF(AND($K1299=1,$L1299&lt;$J1299,COUNTIFS(nrES_PID,$D1299,nrES_Code,$F1299,nrES_Att,2)=0),"Yes","No")))</f>
        <v/>
      </c>
      <c r="R1299" s="17">
        <f>IF($C1299="","",IF($L1299="","",IF(AND($K1299=2,$L1299&lt;$J1299,COUNTIFS(nrES_PID,$D1299,nrES_Code,$F1299,nrES_Att,1)&gt;0),"Yes","No")))</f>
        <v/>
      </c>
      <c r="S1299" s="18" t="n"/>
      <c r="T1299" s="19">
        <f>IF($Q1299&lt;&gt;"Yes","",IF($S1299="","(enter date)",_xlfn.LET(_xlpm.dn,IFERROR(_xlfn.XLOOKUP($S1299,nrCDdate,nrCDnum),""),IF(_xlpm.dn="","(not a class day)",IFERROR(_xlfn.XLOOKUP(_xlpm.dn+cfgRetestClassDays,nrCDnum,nrCDdate),"")))))</f>
        <v/>
      </c>
      <c r="U1299" s="17">
        <f>IF($Q1299&lt;&gt;"Yes","",IF(COUNTIFS(nrES_PID,$D1299,nrES_Code,$F1299,nrES_Att,2)&gt;0,"Retested",IF(OR($T1299="",NOT(ISNUMBER($T1299))),"Pending",IF(TODAY()&gt;$T1299,"OVERDUE","Due "&amp;TEXT($T1299,"mm/dd")))))</f>
        <v/>
      </c>
      <c r="V1299" s="16" t="n"/>
      <c r="W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K1300=1,IF(COUNTIFS(nrES_PID,$D1300,nrES_Code,$F1300,nrES_Att,2)&gt;0,"",$L1300),IF(COUNTIFS(nrES_PID,$D1300,nrES_Code,$F1300,nrES_Att,1)=0,$L1300,IF($L1300&gt;=$J1300,cfgRetakeRecordedCap,SUMIFS(nrES_Raw,nrES_PID,$D1300,nrES_Code,$F1300,nrES_Att,1))))))</f>
        <v/>
      </c>
      <c r="N1300" s="17">
        <f>IF($C1300="","",IF($L1300="","",IF($L1300&gt;=$J1300,"Yes","No")))</f>
        <v/>
      </c>
      <c r="O1300" s="17">
        <f>IF($C1300="","",IF($M1300="","",IF($M1300&gt;=$J1300,"Yes","No")))</f>
        <v/>
      </c>
      <c r="P1300" s="17">
        <f>IF($C1300="","",IF($K1300="","",IF(COUNTIFS(nrES_PID,$D1300,nrES_Code,$F1300,nrES_Att,"&gt;"&amp;$K1300)=0,"Yes","No")))</f>
        <v/>
      </c>
      <c r="Q1300" s="17">
        <f>IF($C1300="","",IF($L1300="","",IF(AND($K1300=1,$L1300&lt;$J1300,COUNTIFS(nrES_PID,$D1300,nrES_Code,$F1300,nrES_Att,2)=0),"Yes","No")))</f>
        <v/>
      </c>
      <c r="R1300" s="17">
        <f>IF($C1300="","",IF($L1300="","",IF(AND($K1300=2,$L1300&lt;$J1300,COUNTIFS(nrES_PID,$D1300,nrES_Code,$F1300,nrES_Att,1)&gt;0),"Yes","No")))</f>
        <v/>
      </c>
      <c r="S1300" s="18" t="n"/>
      <c r="T1300" s="19">
        <f>IF($Q1300&lt;&gt;"Yes","",IF($S1300="","(enter date)",_xlfn.LET(_xlpm.dn,IFERROR(_xlfn.XLOOKUP($S1300,nrCDdate,nrCDnum),""),IF(_xlpm.dn="","(not a class day)",IFERROR(_xlfn.XLOOKUP(_xlpm.dn+cfgRetestClassDays,nrCDnum,nrCDdate),"")))))</f>
        <v/>
      </c>
      <c r="U1300" s="17">
        <f>IF($Q1300&lt;&gt;"Yes","",IF(COUNTIFS(nrES_PID,$D1300,nrES_Code,$F1300,nrES_Att,2)&gt;0,"Retested",IF(OR($T1300="",NOT(ISNUMBER($T1300))),"Pending",IF(TODAY()&gt;$T1300,"OVERDUE","Due "&amp;TEXT($T1300,"mm/dd")))))</f>
        <v/>
      </c>
      <c r="V1300" s="16" t="n"/>
      <c r="W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K1301=1,IF(COUNTIFS(nrES_PID,$D1301,nrES_Code,$F1301,nrES_Att,2)&gt;0,"",$L1301),IF(COUNTIFS(nrES_PID,$D1301,nrES_Code,$F1301,nrES_Att,1)=0,$L1301,IF($L1301&gt;=$J1301,cfgRetakeRecordedCap,SUMIFS(nrES_Raw,nrES_PID,$D1301,nrES_Code,$F1301,nrES_Att,1))))))</f>
        <v/>
      </c>
      <c r="N1301" s="17">
        <f>IF($C1301="","",IF($L1301="","",IF($L1301&gt;=$J1301,"Yes","No")))</f>
        <v/>
      </c>
      <c r="O1301" s="17">
        <f>IF($C1301="","",IF($M1301="","",IF($M1301&gt;=$J1301,"Yes","No")))</f>
        <v/>
      </c>
      <c r="P1301" s="17">
        <f>IF($C1301="","",IF($K1301="","",IF(COUNTIFS(nrES_PID,$D1301,nrES_Code,$F1301,nrES_Att,"&gt;"&amp;$K1301)=0,"Yes","No")))</f>
        <v/>
      </c>
      <c r="Q1301" s="17">
        <f>IF($C1301="","",IF($L1301="","",IF(AND($K1301=1,$L1301&lt;$J1301,COUNTIFS(nrES_PID,$D1301,nrES_Code,$F1301,nrES_Att,2)=0),"Yes","No")))</f>
        <v/>
      </c>
      <c r="R1301" s="17">
        <f>IF($C1301="","",IF($L1301="","",IF(AND($K1301=2,$L1301&lt;$J1301,COUNTIFS(nrES_PID,$D1301,nrES_Code,$F1301,nrES_Att,1)&gt;0),"Yes","No")))</f>
        <v/>
      </c>
      <c r="S1301" s="18" t="n"/>
      <c r="T1301" s="19">
        <f>IF($Q1301&lt;&gt;"Yes","",IF($S1301="","(enter date)",_xlfn.LET(_xlpm.dn,IFERROR(_xlfn.XLOOKUP($S1301,nrCDdate,nrCDnum),""),IF(_xlpm.dn="","(not a class day)",IFERROR(_xlfn.XLOOKUP(_xlpm.dn+cfgRetestClassDays,nrCDnum,nrCDdate),"")))))</f>
        <v/>
      </c>
      <c r="U1301" s="17">
        <f>IF($Q1301&lt;&gt;"Yes","",IF(COUNTIFS(nrES_PID,$D1301,nrES_Code,$F1301,nrES_Att,2)&gt;0,"Retested",IF(OR($T1301="",NOT(ISNUMBER($T1301))),"Pending",IF(TODAY()&gt;$T1301,"OVERDUE","Due "&amp;TEXT($T1301,"mm/dd")))))</f>
        <v/>
      </c>
      <c r="V1301" s="16" t="n"/>
      <c r="W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K1302=1,IF(COUNTIFS(nrES_PID,$D1302,nrES_Code,$F1302,nrES_Att,2)&gt;0,"",$L1302),IF(COUNTIFS(nrES_PID,$D1302,nrES_Code,$F1302,nrES_Att,1)=0,$L1302,IF($L1302&gt;=$J1302,cfgRetakeRecordedCap,SUMIFS(nrES_Raw,nrES_PID,$D1302,nrES_Code,$F1302,nrES_Att,1))))))</f>
        <v/>
      </c>
      <c r="N1302" s="17">
        <f>IF($C1302="","",IF($L1302="","",IF($L1302&gt;=$J1302,"Yes","No")))</f>
        <v/>
      </c>
      <c r="O1302" s="17">
        <f>IF($C1302="","",IF($M1302="","",IF($M1302&gt;=$J1302,"Yes","No")))</f>
        <v/>
      </c>
      <c r="P1302" s="17">
        <f>IF($C1302="","",IF($K1302="","",IF(COUNTIFS(nrES_PID,$D1302,nrES_Code,$F1302,nrES_Att,"&gt;"&amp;$K1302)=0,"Yes","No")))</f>
        <v/>
      </c>
      <c r="Q1302" s="17">
        <f>IF($C1302="","",IF($L1302="","",IF(AND($K1302=1,$L1302&lt;$J1302,COUNTIFS(nrES_PID,$D1302,nrES_Code,$F1302,nrES_Att,2)=0),"Yes","No")))</f>
        <v/>
      </c>
      <c r="R1302" s="17">
        <f>IF($C1302="","",IF($L1302="","",IF(AND($K1302=2,$L1302&lt;$J1302,COUNTIFS(nrES_PID,$D1302,nrES_Code,$F1302,nrES_Att,1)&gt;0),"Yes","No")))</f>
        <v/>
      </c>
      <c r="S1302" s="18" t="n"/>
      <c r="T1302" s="19">
        <f>IF($Q1302&lt;&gt;"Yes","",IF($S1302="","(enter date)",_xlfn.LET(_xlpm.dn,IFERROR(_xlfn.XLOOKUP($S1302,nrCDdate,nrCDnum),""),IF(_xlpm.dn="","(not a class day)",IFERROR(_xlfn.XLOOKUP(_xlpm.dn+cfgRetestClassDays,nrCDnum,nrCDdate),"")))))</f>
        <v/>
      </c>
      <c r="U1302" s="17">
        <f>IF($Q1302&lt;&gt;"Yes","",IF(COUNTIFS(nrES_PID,$D1302,nrES_Code,$F1302,nrES_Att,2)&gt;0,"Retested",IF(OR($T1302="",NOT(ISNUMBER($T1302))),"Pending",IF(TODAY()&gt;$T1302,"OVERDUE","Due "&amp;TEXT($T1302,"mm/dd")))))</f>
        <v/>
      </c>
      <c r="V1302" s="16" t="n"/>
      <c r="W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K1303=1,IF(COUNTIFS(nrES_PID,$D1303,nrES_Code,$F1303,nrES_Att,2)&gt;0,"",$L1303),IF(COUNTIFS(nrES_PID,$D1303,nrES_Code,$F1303,nrES_Att,1)=0,$L1303,IF($L1303&gt;=$J1303,cfgRetakeRecordedCap,SUMIFS(nrES_Raw,nrES_PID,$D1303,nrES_Code,$F1303,nrES_Att,1))))))</f>
        <v/>
      </c>
      <c r="N1303" s="17">
        <f>IF($C1303="","",IF($L1303="","",IF($L1303&gt;=$J1303,"Yes","No")))</f>
        <v/>
      </c>
      <c r="O1303" s="17">
        <f>IF($C1303="","",IF($M1303="","",IF($M1303&gt;=$J1303,"Yes","No")))</f>
        <v/>
      </c>
      <c r="P1303" s="17">
        <f>IF($C1303="","",IF($K1303="","",IF(COUNTIFS(nrES_PID,$D1303,nrES_Code,$F1303,nrES_Att,"&gt;"&amp;$K1303)=0,"Yes","No")))</f>
        <v/>
      </c>
      <c r="Q1303" s="17">
        <f>IF($C1303="","",IF($L1303="","",IF(AND($K1303=1,$L1303&lt;$J1303,COUNTIFS(nrES_PID,$D1303,nrES_Code,$F1303,nrES_Att,2)=0),"Yes","No")))</f>
        <v/>
      </c>
      <c r="R1303" s="17">
        <f>IF($C1303="","",IF($L1303="","",IF(AND($K1303=2,$L1303&lt;$J1303,COUNTIFS(nrES_PID,$D1303,nrES_Code,$F1303,nrES_Att,1)&gt;0),"Yes","No")))</f>
        <v/>
      </c>
      <c r="S1303" s="18" t="n"/>
      <c r="T1303" s="19">
        <f>IF($Q1303&lt;&gt;"Yes","",IF($S1303="","(enter date)",_xlfn.LET(_xlpm.dn,IFERROR(_xlfn.XLOOKUP($S1303,nrCDdate,nrCDnum),""),IF(_xlpm.dn="","(not a class day)",IFERROR(_xlfn.XLOOKUP(_xlpm.dn+cfgRetestClassDays,nrCDnum,nrCDdate),"")))))</f>
        <v/>
      </c>
      <c r="U1303" s="17">
        <f>IF($Q1303&lt;&gt;"Yes","",IF(COUNTIFS(nrES_PID,$D1303,nrES_Code,$F1303,nrES_Att,2)&gt;0,"Retested",IF(OR($T1303="",NOT(ISNUMBER($T1303))),"Pending",IF(TODAY()&gt;$T1303,"OVERDUE","Due "&amp;TEXT($T1303,"mm/dd")))))</f>
        <v/>
      </c>
      <c r="V1303" s="16" t="n"/>
      <c r="W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K1304=1,IF(COUNTIFS(nrES_PID,$D1304,nrES_Code,$F1304,nrES_Att,2)&gt;0,"",$L1304),IF(COUNTIFS(nrES_PID,$D1304,nrES_Code,$F1304,nrES_Att,1)=0,$L1304,IF($L1304&gt;=$J1304,cfgRetakeRecordedCap,SUMIFS(nrES_Raw,nrES_PID,$D1304,nrES_Code,$F1304,nrES_Att,1))))))</f>
        <v/>
      </c>
      <c r="N1304" s="17">
        <f>IF($C1304="","",IF($L1304="","",IF($L1304&gt;=$J1304,"Yes","No")))</f>
        <v/>
      </c>
      <c r="O1304" s="17">
        <f>IF($C1304="","",IF($M1304="","",IF($M1304&gt;=$J1304,"Yes","No")))</f>
        <v/>
      </c>
      <c r="P1304" s="17">
        <f>IF($C1304="","",IF($K1304="","",IF(COUNTIFS(nrES_PID,$D1304,nrES_Code,$F1304,nrES_Att,"&gt;"&amp;$K1304)=0,"Yes","No")))</f>
        <v/>
      </c>
      <c r="Q1304" s="17">
        <f>IF($C1304="","",IF($L1304="","",IF(AND($K1304=1,$L1304&lt;$J1304,COUNTIFS(nrES_PID,$D1304,nrES_Code,$F1304,nrES_Att,2)=0),"Yes","No")))</f>
        <v/>
      </c>
      <c r="R1304" s="17">
        <f>IF($C1304="","",IF($L1304="","",IF(AND($K1304=2,$L1304&lt;$J1304,COUNTIFS(nrES_PID,$D1304,nrES_Code,$F1304,nrES_Att,1)&gt;0),"Yes","No")))</f>
        <v/>
      </c>
      <c r="S1304" s="18" t="n"/>
      <c r="T1304" s="19">
        <f>IF($Q1304&lt;&gt;"Yes","",IF($S1304="","(enter date)",_xlfn.LET(_xlpm.dn,IFERROR(_xlfn.XLOOKUP($S1304,nrCDdate,nrCDnum),""),IF(_xlpm.dn="","(not a class day)",IFERROR(_xlfn.XLOOKUP(_xlpm.dn+cfgRetestClassDays,nrCDnum,nrCDdate),"")))))</f>
        <v/>
      </c>
      <c r="U1304" s="17">
        <f>IF($Q1304&lt;&gt;"Yes","",IF(COUNTIFS(nrES_PID,$D1304,nrES_Code,$F1304,nrES_Att,2)&gt;0,"Retested",IF(OR($T1304="",NOT(ISNUMBER($T1304))),"Pending",IF(TODAY()&gt;$T1304,"OVERDUE","Due "&amp;TEXT($T1304,"mm/dd")))))</f>
        <v/>
      </c>
      <c r="V1304" s="16" t="n"/>
      <c r="W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K1305=1,IF(COUNTIFS(nrES_PID,$D1305,nrES_Code,$F1305,nrES_Att,2)&gt;0,"",$L1305),IF(COUNTIFS(nrES_PID,$D1305,nrES_Code,$F1305,nrES_Att,1)=0,$L1305,IF($L1305&gt;=$J1305,cfgRetakeRecordedCap,SUMIFS(nrES_Raw,nrES_PID,$D1305,nrES_Code,$F1305,nrES_Att,1))))))</f>
        <v/>
      </c>
      <c r="N1305" s="17">
        <f>IF($C1305="","",IF($L1305="","",IF($L1305&gt;=$J1305,"Yes","No")))</f>
        <v/>
      </c>
      <c r="O1305" s="17">
        <f>IF($C1305="","",IF($M1305="","",IF($M1305&gt;=$J1305,"Yes","No")))</f>
        <v/>
      </c>
      <c r="P1305" s="17">
        <f>IF($C1305="","",IF($K1305="","",IF(COUNTIFS(nrES_PID,$D1305,nrES_Code,$F1305,nrES_Att,"&gt;"&amp;$K1305)=0,"Yes","No")))</f>
        <v/>
      </c>
      <c r="Q1305" s="17">
        <f>IF($C1305="","",IF($L1305="","",IF(AND($K1305=1,$L1305&lt;$J1305,COUNTIFS(nrES_PID,$D1305,nrES_Code,$F1305,nrES_Att,2)=0),"Yes","No")))</f>
        <v/>
      </c>
      <c r="R1305" s="17">
        <f>IF($C1305="","",IF($L1305="","",IF(AND($K1305=2,$L1305&lt;$J1305,COUNTIFS(nrES_PID,$D1305,nrES_Code,$F1305,nrES_Att,1)&gt;0),"Yes","No")))</f>
        <v/>
      </c>
      <c r="S1305" s="18" t="n"/>
      <c r="T1305" s="19">
        <f>IF($Q1305&lt;&gt;"Yes","",IF($S1305="","(enter date)",_xlfn.LET(_xlpm.dn,IFERROR(_xlfn.XLOOKUP($S1305,nrCDdate,nrCDnum),""),IF(_xlpm.dn="","(not a class day)",IFERROR(_xlfn.XLOOKUP(_xlpm.dn+cfgRetestClassDays,nrCDnum,nrCDdate),"")))))</f>
        <v/>
      </c>
      <c r="U1305" s="17">
        <f>IF($Q1305&lt;&gt;"Yes","",IF(COUNTIFS(nrES_PID,$D1305,nrES_Code,$F1305,nrES_Att,2)&gt;0,"Retested",IF(OR($T1305="",NOT(ISNUMBER($T1305))),"Pending",IF(TODAY()&gt;$T1305,"OVERDUE","Due "&amp;TEXT($T1305,"mm/dd")))))</f>
        <v/>
      </c>
      <c r="V1305" s="16" t="n"/>
      <c r="W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K1306=1,IF(COUNTIFS(nrES_PID,$D1306,nrES_Code,$F1306,nrES_Att,2)&gt;0,"",$L1306),IF(COUNTIFS(nrES_PID,$D1306,nrES_Code,$F1306,nrES_Att,1)=0,$L1306,IF($L1306&gt;=$J1306,cfgRetakeRecordedCap,SUMIFS(nrES_Raw,nrES_PID,$D1306,nrES_Code,$F1306,nrES_Att,1))))))</f>
        <v/>
      </c>
      <c r="N1306" s="17">
        <f>IF($C1306="","",IF($L1306="","",IF($L1306&gt;=$J1306,"Yes","No")))</f>
        <v/>
      </c>
      <c r="O1306" s="17">
        <f>IF($C1306="","",IF($M1306="","",IF($M1306&gt;=$J1306,"Yes","No")))</f>
        <v/>
      </c>
      <c r="P1306" s="17">
        <f>IF($C1306="","",IF($K1306="","",IF(COUNTIFS(nrES_PID,$D1306,nrES_Code,$F1306,nrES_Att,"&gt;"&amp;$K1306)=0,"Yes","No")))</f>
        <v/>
      </c>
      <c r="Q1306" s="17">
        <f>IF($C1306="","",IF($L1306="","",IF(AND($K1306=1,$L1306&lt;$J1306,COUNTIFS(nrES_PID,$D1306,nrES_Code,$F1306,nrES_Att,2)=0),"Yes","No")))</f>
        <v/>
      </c>
      <c r="R1306" s="17">
        <f>IF($C1306="","",IF($L1306="","",IF(AND($K1306=2,$L1306&lt;$J1306,COUNTIFS(nrES_PID,$D1306,nrES_Code,$F1306,nrES_Att,1)&gt;0),"Yes","No")))</f>
        <v/>
      </c>
      <c r="S1306" s="18" t="n"/>
      <c r="T1306" s="19">
        <f>IF($Q1306&lt;&gt;"Yes","",IF($S1306="","(enter date)",_xlfn.LET(_xlpm.dn,IFERROR(_xlfn.XLOOKUP($S1306,nrCDdate,nrCDnum),""),IF(_xlpm.dn="","(not a class day)",IFERROR(_xlfn.XLOOKUP(_xlpm.dn+cfgRetestClassDays,nrCDnum,nrCDdate),"")))))</f>
        <v/>
      </c>
      <c r="U1306" s="17">
        <f>IF($Q1306&lt;&gt;"Yes","",IF(COUNTIFS(nrES_PID,$D1306,nrES_Code,$F1306,nrES_Att,2)&gt;0,"Retested",IF(OR($T1306="",NOT(ISNUMBER($T1306))),"Pending",IF(TODAY()&gt;$T1306,"OVERDUE","Due "&amp;TEXT($T1306,"mm/dd")))))</f>
        <v/>
      </c>
      <c r="V1306" s="16" t="n"/>
      <c r="W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K1307=1,IF(COUNTIFS(nrES_PID,$D1307,nrES_Code,$F1307,nrES_Att,2)&gt;0,"",$L1307),IF(COUNTIFS(nrES_PID,$D1307,nrES_Code,$F1307,nrES_Att,1)=0,$L1307,IF($L1307&gt;=$J1307,cfgRetakeRecordedCap,SUMIFS(nrES_Raw,nrES_PID,$D1307,nrES_Code,$F1307,nrES_Att,1))))))</f>
        <v/>
      </c>
      <c r="N1307" s="17">
        <f>IF($C1307="","",IF($L1307="","",IF($L1307&gt;=$J1307,"Yes","No")))</f>
        <v/>
      </c>
      <c r="O1307" s="17">
        <f>IF($C1307="","",IF($M1307="","",IF($M1307&gt;=$J1307,"Yes","No")))</f>
        <v/>
      </c>
      <c r="P1307" s="17">
        <f>IF($C1307="","",IF($K1307="","",IF(COUNTIFS(nrES_PID,$D1307,nrES_Code,$F1307,nrES_Att,"&gt;"&amp;$K1307)=0,"Yes","No")))</f>
        <v/>
      </c>
      <c r="Q1307" s="17">
        <f>IF($C1307="","",IF($L1307="","",IF(AND($K1307=1,$L1307&lt;$J1307,COUNTIFS(nrES_PID,$D1307,nrES_Code,$F1307,nrES_Att,2)=0),"Yes","No")))</f>
        <v/>
      </c>
      <c r="R1307" s="17">
        <f>IF($C1307="","",IF($L1307="","",IF(AND($K1307=2,$L1307&lt;$J1307,COUNTIFS(nrES_PID,$D1307,nrES_Code,$F1307,nrES_Att,1)&gt;0),"Yes","No")))</f>
        <v/>
      </c>
      <c r="S1307" s="18" t="n"/>
      <c r="T1307" s="19">
        <f>IF($Q1307&lt;&gt;"Yes","",IF($S1307="","(enter date)",_xlfn.LET(_xlpm.dn,IFERROR(_xlfn.XLOOKUP($S1307,nrCDdate,nrCDnum),""),IF(_xlpm.dn="","(not a class day)",IFERROR(_xlfn.XLOOKUP(_xlpm.dn+cfgRetestClassDays,nrCDnum,nrCDdate),"")))))</f>
        <v/>
      </c>
      <c r="U1307" s="17">
        <f>IF($Q1307&lt;&gt;"Yes","",IF(COUNTIFS(nrES_PID,$D1307,nrES_Code,$F1307,nrES_Att,2)&gt;0,"Retested",IF(OR($T1307="",NOT(ISNUMBER($T1307))),"Pending",IF(TODAY()&gt;$T1307,"OVERDUE","Due "&amp;TEXT($T1307,"mm/dd")))))</f>
        <v/>
      </c>
      <c r="V1307" s="16" t="n"/>
      <c r="W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K1308=1,IF(COUNTIFS(nrES_PID,$D1308,nrES_Code,$F1308,nrES_Att,2)&gt;0,"",$L1308),IF(COUNTIFS(nrES_PID,$D1308,nrES_Code,$F1308,nrES_Att,1)=0,$L1308,IF($L1308&gt;=$J1308,cfgRetakeRecordedCap,SUMIFS(nrES_Raw,nrES_PID,$D1308,nrES_Code,$F1308,nrES_Att,1))))))</f>
        <v/>
      </c>
      <c r="N1308" s="17">
        <f>IF($C1308="","",IF($L1308="","",IF($L1308&gt;=$J1308,"Yes","No")))</f>
        <v/>
      </c>
      <c r="O1308" s="17">
        <f>IF($C1308="","",IF($M1308="","",IF($M1308&gt;=$J1308,"Yes","No")))</f>
        <v/>
      </c>
      <c r="P1308" s="17">
        <f>IF($C1308="","",IF($K1308="","",IF(COUNTIFS(nrES_PID,$D1308,nrES_Code,$F1308,nrES_Att,"&gt;"&amp;$K1308)=0,"Yes","No")))</f>
        <v/>
      </c>
      <c r="Q1308" s="17">
        <f>IF($C1308="","",IF($L1308="","",IF(AND($K1308=1,$L1308&lt;$J1308,COUNTIFS(nrES_PID,$D1308,nrES_Code,$F1308,nrES_Att,2)=0),"Yes","No")))</f>
        <v/>
      </c>
      <c r="R1308" s="17">
        <f>IF($C1308="","",IF($L1308="","",IF(AND($K1308=2,$L1308&lt;$J1308,COUNTIFS(nrES_PID,$D1308,nrES_Code,$F1308,nrES_Att,1)&gt;0),"Yes","No")))</f>
        <v/>
      </c>
      <c r="S1308" s="18" t="n"/>
      <c r="T1308" s="19">
        <f>IF($Q1308&lt;&gt;"Yes","",IF($S1308="","(enter date)",_xlfn.LET(_xlpm.dn,IFERROR(_xlfn.XLOOKUP($S1308,nrCDdate,nrCDnum),""),IF(_xlpm.dn="","(not a class day)",IFERROR(_xlfn.XLOOKUP(_xlpm.dn+cfgRetestClassDays,nrCDnum,nrCDdate),"")))))</f>
        <v/>
      </c>
      <c r="U1308" s="17">
        <f>IF($Q1308&lt;&gt;"Yes","",IF(COUNTIFS(nrES_PID,$D1308,nrES_Code,$F1308,nrES_Att,2)&gt;0,"Retested",IF(OR($T1308="",NOT(ISNUMBER($T1308))),"Pending",IF(TODAY()&gt;$T1308,"OVERDUE","Due "&amp;TEXT($T1308,"mm/dd")))))</f>
        <v/>
      </c>
      <c r="V1308" s="16" t="n"/>
      <c r="W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K1309=1,IF(COUNTIFS(nrES_PID,$D1309,nrES_Code,$F1309,nrES_Att,2)&gt;0,"",$L1309),IF(COUNTIFS(nrES_PID,$D1309,nrES_Code,$F1309,nrES_Att,1)=0,$L1309,IF($L1309&gt;=$J1309,cfgRetakeRecordedCap,SUMIFS(nrES_Raw,nrES_PID,$D1309,nrES_Code,$F1309,nrES_Att,1))))))</f>
        <v/>
      </c>
      <c r="N1309" s="17">
        <f>IF($C1309="","",IF($L1309="","",IF($L1309&gt;=$J1309,"Yes","No")))</f>
        <v/>
      </c>
      <c r="O1309" s="17">
        <f>IF($C1309="","",IF($M1309="","",IF($M1309&gt;=$J1309,"Yes","No")))</f>
        <v/>
      </c>
      <c r="P1309" s="17">
        <f>IF($C1309="","",IF($K1309="","",IF(COUNTIFS(nrES_PID,$D1309,nrES_Code,$F1309,nrES_Att,"&gt;"&amp;$K1309)=0,"Yes","No")))</f>
        <v/>
      </c>
      <c r="Q1309" s="17">
        <f>IF($C1309="","",IF($L1309="","",IF(AND($K1309=1,$L1309&lt;$J1309,COUNTIFS(nrES_PID,$D1309,nrES_Code,$F1309,nrES_Att,2)=0),"Yes","No")))</f>
        <v/>
      </c>
      <c r="R1309" s="17">
        <f>IF($C1309="","",IF($L1309="","",IF(AND($K1309=2,$L1309&lt;$J1309,COUNTIFS(nrES_PID,$D1309,nrES_Code,$F1309,nrES_Att,1)&gt;0),"Yes","No")))</f>
        <v/>
      </c>
      <c r="S1309" s="18" t="n"/>
      <c r="T1309" s="19">
        <f>IF($Q1309&lt;&gt;"Yes","",IF($S1309="","(enter date)",_xlfn.LET(_xlpm.dn,IFERROR(_xlfn.XLOOKUP($S1309,nrCDdate,nrCDnum),""),IF(_xlpm.dn="","(not a class day)",IFERROR(_xlfn.XLOOKUP(_xlpm.dn+cfgRetestClassDays,nrCDnum,nrCDdate),"")))))</f>
        <v/>
      </c>
      <c r="U1309" s="17">
        <f>IF($Q1309&lt;&gt;"Yes","",IF(COUNTIFS(nrES_PID,$D1309,nrES_Code,$F1309,nrES_Att,2)&gt;0,"Retested",IF(OR($T1309="",NOT(ISNUMBER($T1309))),"Pending",IF(TODAY()&gt;$T1309,"OVERDUE","Due "&amp;TEXT($T1309,"mm/dd")))))</f>
        <v/>
      </c>
      <c r="V1309" s="16" t="n"/>
      <c r="W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K1310=1,IF(COUNTIFS(nrES_PID,$D1310,nrES_Code,$F1310,nrES_Att,2)&gt;0,"",$L1310),IF(COUNTIFS(nrES_PID,$D1310,nrES_Code,$F1310,nrES_Att,1)=0,$L1310,IF($L1310&gt;=$J1310,cfgRetakeRecordedCap,SUMIFS(nrES_Raw,nrES_PID,$D1310,nrES_Code,$F1310,nrES_Att,1))))))</f>
        <v/>
      </c>
      <c r="N1310" s="17">
        <f>IF($C1310="","",IF($L1310="","",IF($L1310&gt;=$J1310,"Yes","No")))</f>
        <v/>
      </c>
      <c r="O1310" s="17">
        <f>IF($C1310="","",IF($M1310="","",IF($M1310&gt;=$J1310,"Yes","No")))</f>
        <v/>
      </c>
      <c r="P1310" s="17">
        <f>IF($C1310="","",IF($K1310="","",IF(COUNTIFS(nrES_PID,$D1310,nrES_Code,$F1310,nrES_Att,"&gt;"&amp;$K1310)=0,"Yes","No")))</f>
        <v/>
      </c>
      <c r="Q1310" s="17">
        <f>IF($C1310="","",IF($L1310="","",IF(AND($K1310=1,$L1310&lt;$J1310,COUNTIFS(nrES_PID,$D1310,nrES_Code,$F1310,nrES_Att,2)=0),"Yes","No")))</f>
        <v/>
      </c>
      <c r="R1310" s="17">
        <f>IF($C1310="","",IF($L1310="","",IF(AND($K1310=2,$L1310&lt;$J1310,COUNTIFS(nrES_PID,$D1310,nrES_Code,$F1310,nrES_Att,1)&gt;0),"Yes","No")))</f>
        <v/>
      </c>
      <c r="S1310" s="18" t="n"/>
      <c r="T1310" s="19">
        <f>IF($Q1310&lt;&gt;"Yes","",IF($S1310="","(enter date)",_xlfn.LET(_xlpm.dn,IFERROR(_xlfn.XLOOKUP($S1310,nrCDdate,nrCDnum),""),IF(_xlpm.dn="","(not a class day)",IFERROR(_xlfn.XLOOKUP(_xlpm.dn+cfgRetestClassDays,nrCDnum,nrCDdate),"")))))</f>
        <v/>
      </c>
      <c r="U1310" s="17">
        <f>IF($Q1310&lt;&gt;"Yes","",IF(COUNTIFS(nrES_PID,$D1310,nrES_Code,$F1310,nrES_Att,2)&gt;0,"Retested",IF(OR($T1310="",NOT(ISNUMBER($T1310))),"Pending",IF(TODAY()&gt;$T1310,"OVERDUE","Due "&amp;TEXT($T1310,"mm/dd")))))</f>
        <v/>
      </c>
      <c r="V1310" s="16" t="n"/>
      <c r="W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K1311=1,IF(COUNTIFS(nrES_PID,$D1311,nrES_Code,$F1311,nrES_Att,2)&gt;0,"",$L1311),IF(COUNTIFS(nrES_PID,$D1311,nrES_Code,$F1311,nrES_Att,1)=0,$L1311,IF($L1311&gt;=$J1311,cfgRetakeRecordedCap,SUMIFS(nrES_Raw,nrES_PID,$D1311,nrES_Code,$F1311,nrES_Att,1))))))</f>
        <v/>
      </c>
      <c r="N1311" s="17">
        <f>IF($C1311="","",IF($L1311="","",IF($L1311&gt;=$J1311,"Yes","No")))</f>
        <v/>
      </c>
      <c r="O1311" s="17">
        <f>IF($C1311="","",IF($M1311="","",IF($M1311&gt;=$J1311,"Yes","No")))</f>
        <v/>
      </c>
      <c r="P1311" s="17">
        <f>IF($C1311="","",IF($K1311="","",IF(COUNTIFS(nrES_PID,$D1311,nrES_Code,$F1311,nrES_Att,"&gt;"&amp;$K1311)=0,"Yes","No")))</f>
        <v/>
      </c>
      <c r="Q1311" s="17">
        <f>IF($C1311="","",IF($L1311="","",IF(AND($K1311=1,$L1311&lt;$J1311,COUNTIFS(nrES_PID,$D1311,nrES_Code,$F1311,nrES_Att,2)=0),"Yes","No")))</f>
        <v/>
      </c>
      <c r="R1311" s="17">
        <f>IF($C1311="","",IF($L1311="","",IF(AND($K1311=2,$L1311&lt;$J1311,COUNTIFS(nrES_PID,$D1311,nrES_Code,$F1311,nrES_Att,1)&gt;0),"Yes","No")))</f>
        <v/>
      </c>
      <c r="S1311" s="18" t="n"/>
      <c r="T1311" s="19">
        <f>IF($Q1311&lt;&gt;"Yes","",IF($S1311="","(enter date)",_xlfn.LET(_xlpm.dn,IFERROR(_xlfn.XLOOKUP($S1311,nrCDdate,nrCDnum),""),IF(_xlpm.dn="","(not a class day)",IFERROR(_xlfn.XLOOKUP(_xlpm.dn+cfgRetestClassDays,nrCDnum,nrCDdate),"")))))</f>
        <v/>
      </c>
      <c r="U1311" s="17">
        <f>IF($Q1311&lt;&gt;"Yes","",IF(COUNTIFS(nrES_PID,$D1311,nrES_Code,$F1311,nrES_Att,2)&gt;0,"Retested",IF(OR($T1311="",NOT(ISNUMBER($T1311))),"Pending",IF(TODAY()&gt;$T1311,"OVERDUE","Due "&amp;TEXT($T1311,"mm/dd")))))</f>
        <v/>
      </c>
      <c r="V1311" s="16" t="n"/>
      <c r="W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K1312=1,IF(COUNTIFS(nrES_PID,$D1312,nrES_Code,$F1312,nrES_Att,2)&gt;0,"",$L1312),IF(COUNTIFS(nrES_PID,$D1312,nrES_Code,$F1312,nrES_Att,1)=0,$L1312,IF($L1312&gt;=$J1312,cfgRetakeRecordedCap,SUMIFS(nrES_Raw,nrES_PID,$D1312,nrES_Code,$F1312,nrES_Att,1))))))</f>
        <v/>
      </c>
      <c r="N1312" s="17">
        <f>IF($C1312="","",IF($L1312="","",IF($L1312&gt;=$J1312,"Yes","No")))</f>
        <v/>
      </c>
      <c r="O1312" s="17">
        <f>IF($C1312="","",IF($M1312="","",IF($M1312&gt;=$J1312,"Yes","No")))</f>
        <v/>
      </c>
      <c r="P1312" s="17">
        <f>IF($C1312="","",IF($K1312="","",IF(COUNTIFS(nrES_PID,$D1312,nrES_Code,$F1312,nrES_Att,"&gt;"&amp;$K1312)=0,"Yes","No")))</f>
        <v/>
      </c>
      <c r="Q1312" s="17">
        <f>IF($C1312="","",IF($L1312="","",IF(AND($K1312=1,$L1312&lt;$J1312,COUNTIFS(nrES_PID,$D1312,nrES_Code,$F1312,nrES_Att,2)=0),"Yes","No")))</f>
        <v/>
      </c>
      <c r="R1312" s="17">
        <f>IF($C1312="","",IF($L1312="","",IF(AND($K1312=2,$L1312&lt;$J1312,COUNTIFS(nrES_PID,$D1312,nrES_Code,$F1312,nrES_Att,1)&gt;0),"Yes","No")))</f>
        <v/>
      </c>
      <c r="S1312" s="18" t="n"/>
      <c r="T1312" s="19">
        <f>IF($Q1312&lt;&gt;"Yes","",IF($S1312="","(enter date)",_xlfn.LET(_xlpm.dn,IFERROR(_xlfn.XLOOKUP($S1312,nrCDdate,nrCDnum),""),IF(_xlpm.dn="","(not a class day)",IFERROR(_xlfn.XLOOKUP(_xlpm.dn+cfgRetestClassDays,nrCDnum,nrCDdate),"")))))</f>
        <v/>
      </c>
      <c r="U1312" s="17">
        <f>IF($Q1312&lt;&gt;"Yes","",IF(COUNTIFS(nrES_PID,$D1312,nrES_Code,$F1312,nrES_Att,2)&gt;0,"Retested",IF(OR($T1312="",NOT(ISNUMBER($T1312))),"Pending",IF(TODAY()&gt;$T1312,"OVERDUE","Due "&amp;TEXT($T1312,"mm/dd")))))</f>
        <v/>
      </c>
      <c r="V1312" s="16" t="n"/>
      <c r="W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K1313=1,IF(COUNTIFS(nrES_PID,$D1313,nrES_Code,$F1313,nrES_Att,2)&gt;0,"",$L1313),IF(COUNTIFS(nrES_PID,$D1313,nrES_Code,$F1313,nrES_Att,1)=0,$L1313,IF($L1313&gt;=$J1313,cfgRetakeRecordedCap,SUMIFS(nrES_Raw,nrES_PID,$D1313,nrES_Code,$F1313,nrES_Att,1))))))</f>
        <v/>
      </c>
      <c r="N1313" s="17">
        <f>IF($C1313="","",IF($L1313="","",IF($L1313&gt;=$J1313,"Yes","No")))</f>
        <v/>
      </c>
      <c r="O1313" s="17">
        <f>IF($C1313="","",IF($M1313="","",IF($M1313&gt;=$J1313,"Yes","No")))</f>
        <v/>
      </c>
      <c r="P1313" s="17">
        <f>IF($C1313="","",IF($K1313="","",IF(COUNTIFS(nrES_PID,$D1313,nrES_Code,$F1313,nrES_Att,"&gt;"&amp;$K1313)=0,"Yes","No")))</f>
        <v/>
      </c>
      <c r="Q1313" s="17">
        <f>IF($C1313="","",IF($L1313="","",IF(AND($K1313=1,$L1313&lt;$J1313,COUNTIFS(nrES_PID,$D1313,nrES_Code,$F1313,nrES_Att,2)=0),"Yes","No")))</f>
        <v/>
      </c>
      <c r="R1313" s="17">
        <f>IF($C1313="","",IF($L1313="","",IF(AND($K1313=2,$L1313&lt;$J1313,COUNTIFS(nrES_PID,$D1313,nrES_Code,$F1313,nrES_Att,1)&gt;0),"Yes","No")))</f>
        <v/>
      </c>
      <c r="S1313" s="18" t="n"/>
      <c r="T1313" s="19">
        <f>IF($Q1313&lt;&gt;"Yes","",IF($S1313="","(enter date)",_xlfn.LET(_xlpm.dn,IFERROR(_xlfn.XLOOKUP($S1313,nrCDdate,nrCDnum),""),IF(_xlpm.dn="","(not a class day)",IFERROR(_xlfn.XLOOKUP(_xlpm.dn+cfgRetestClassDays,nrCDnum,nrCDdate),"")))))</f>
        <v/>
      </c>
      <c r="U1313" s="17">
        <f>IF($Q1313&lt;&gt;"Yes","",IF(COUNTIFS(nrES_PID,$D1313,nrES_Code,$F1313,nrES_Att,2)&gt;0,"Retested",IF(OR($T1313="",NOT(ISNUMBER($T1313))),"Pending",IF(TODAY()&gt;$T1313,"OVERDUE","Due "&amp;TEXT($T1313,"mm/dd")))))</f>
        <v/>
      </c>
      <c r="V1313" s="16" t="n"/>
      <c r="W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K1314=1,IF(COUNTIFS(nrES_PID,$D1314,nrES_Code,$F1314,nrES_Att,2)&gt;0,"",$L1314),IF(COUNTIFS(nrES_PID,$D1314,nrES_Code,$F1314,nrES_Att,1)=0,$L1314,IF($L1314&gt;=$J1314,cfgRetakeRecordedCap,SUMIFS(nrES_Raw,nrES_PID,$D1314,nrES_Code,$F1314,nrES_Att,1))))))</f>
        <v/>
      </c>
      <c r="N1314" s="17">
        <f>IF($C1314="","",IF($L1314="","",IF($L1314&gt;=$J1314,"Yes","No")))</f>
        <v/>
      </c>
      <c r="O1314" s="17">
        <f>IF($C1314="","",IF($M1314="","",IF($M1314&gt;=$J1314,"Yes","No")))</f>
        <v/>
      </c>
      <c r="P1314" s="17">
        <f>IF($C1314="","",IF($K1314="","",IF(COUNTIFS(nrES_PID,$D1314,nrES_Code,$F1314,nrES_Att,"&gt;"&amp;$K1314)=0,"Yes","No")))</f>
        <v/>
      </c>
      <c r="Q1314" s="17">
        <f>IF($C1314="","",IF($L1314="","",IF(AND($K1314=1,$L1314&lt;$J1314,COUNTIFS(nrES_PID,$D1314,nrES_Code,$F1314,nrES_Att,2)=0),"Yes","No")))</f>
        <v/>
      </c>
      <c r="R1314" s="17">
        <f>IF($C1314="","",IF($L1314="","",IF(AND($K1314=2,$L1314&lt;$J1314,COUNTIFS(nrES_PID,$D1314,nrES_Code,$F1314,nrES_Att,1)&gt;0),"Yes","No")))</f>
        <v/>
      </c>
      <c r="S1314" s="18" t="n"/>
      <c r="T1314" s="19">
        <f>IF($Q1314&lt;&gt;"Yes","",IF($S1314="","(enter date)",_xlfn.LET(_xlpm.dn,IFERROR(_xlfn.XLOOKUP($S1314,nrCDdate,nrCDnum),""),IF(_xlpm.dn="","(not a class day)",IFERROR(_xlfn.XLOOKUP(_xlpm.dn+cfgRetestClassDays,nrCDnum,nrCDdate),"")))))</f>
        <v/>
      </c>
      <c r="U1314" s="17">
        <f>IF($Q1314&lt;&gt;"Yes","",IF(COUNTIFS(nrES_PID,$D1314,nrES_Code,$F1314,nrES_Att,2)&gt;0,"Retested",IF(OR($T1314="",NOT(ISNUMBER($T1314))),"Pending",IF(TODAY()&gt;$T1314,"OVERDUE","Due "&amp;TEXT($T1314,"mm/dd")))))</f>
        <v/>
      </c>
      <c r="V1314" s="16" t="n"/>
      <c r="W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K1315=1,IF(COUNTIFS(nrES_PID,$D1315,nrES_Code,$F1315,nrES_Att,2)&gt;0,"",$L1315),IF(COUNTIFS(nrES_PID,$D1315,nrES_Code,$F1315,nrES_Att,1)=0,$L1315,IF($L1315&gt;=$J1315,cfgRetakeRecordedCap,SUMIFS(nrES_Raw,nrES_PID,$D1315,nrES_Code,$F1315,nrES_Att,1))))))</f>
        <v/>
      </c>
      <c r="N1315" s="17">
        <f>IF($C1315="","",IF($L1315="","",IF($L1315&gt;=$J1315,"Yes","No")))</f>
        <v/>
      </c>
      <c r="O1315" s="17">
        <f>IF($C1315="","",IF($M1315="","",IF($M1315&gt;=$J1315,"Yes","No")))</f>
        <v/>
      </c>
      <c r="P1315" s="17">
        <f>IF($C1315="","",IF($K1315="","",IF(COUNTIFS(nrES_PID,$D1315,nrES_Code,$F1315,nrES_Att,"&gt;"&amp;$K1315)=0,"Yes","No")))</f>
        <v/>
      </c>
      <c r="Q1315" s="17">
        <f>IF($C1315="","",IF($L1315="","",IF(AND($K1315=1,$L1315&lt;$J1315,COUNTIFS(nrES_PID,$D1315,nrES_Code,$F1315,nrES_Att,2)=0),"Yes","No")))</f>
        <v/>
      </c>
      <c r="R1315" s="17">
        <f>IF($C1315="","",IF($L1315="","",IF(AND($K1315=2,$L1315&lt;$J1315,COUNTIFS(nrES_PID,$D1315,nrES_Code,$F1315,nrES_Att,1)&gt;0),"Yes","No")))</f>
        <v/>
      </c>
      <c r="S1315" s="18" t="n"/>
      <c r="T1315" s="19">
        <f>IF($Q1315&lt;&gt;"Yes","",IF($S1315="","(enter date)",_xlfn.LET(_xlpm.dn,IFERROR(_xlfn.XLOOKUP($S1315,nrCDdate,nrCDnum),""),IF(_xlpm.dn="","(not a class day)",IFERROR(_xlfn.XLOOKUP(_xlpm.dn+cfgRetestClassDays,nrCDnum,nrCDdate),"")))))</f>
        <v/>
      </c>
      <c r="U1315" s="17">
        <f>IF($Q1315&lt;&gt;"Yes","",IF(COUNTIFS(nrES_PID,$D1315,nrES_Code,$F1315,nrES_Att,2)&gt;0,"Retested",IF(OR($T1315="",NOT(ISNUMBER($T1315))),"Pending",IF(TODAY()&gt;$T1315,"OVERDUE","Due "&amp;TEXT($T1315,"mm/dd")))))</f>
        <v/>
      </c>
      <c r="V1315" s="16" t="n"/>
      <c r="W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K1316=1,IF(COUNTIFS(nrES_PID,$D1316,nrES_Code,$F1316,nrES_Att,2)&gt;0,"",$L1316),IF(COUNTIFS(nrES_PID,$D1316,nrES_Code,$F1316,nrES_Att,1)=0,$L1316,IF($L1316&gt;=$J1316,cfgRetakeRecordedCap,SUMIFS(nrES_Raw,nrES_PID,$D1316,nrES_Code,$F1316,nrES_Att,1))))))</f>
        <v/>
      </c>
      <c r="N1316" s="17">
        <f>IF($C1316="","",IF($L1316="","",IF($L1316&gt;=$J1316,"Yes","No")))</f>
        <v/>
      </c>
      <c r="O1316" s="17">
        <f>IF($C1316="","",IF($M1316="","",IF($M1316&gt;=$J1316,"Yes","No")))</f>
        <v/>
      </c>
      <c r="P1316" s="17">
        <f>IF($C1316="","",IF($K1316="","",IF(COUNTIFS(nrES_PID,$D1316,nrES_Code,$F1316,nrES_Att,"&gt;"&amp;$K1316)=0,"Yes","No")))</f>
        <v/>
      </c>
      <c r="Q1316" s="17">
        <f>IF($C1316="","",IF($L1316="","",IF(AND($K1316=1,$L1316&lt;$J1316,COUNTIFS(nrES_PID,$D1316,nrES_Code,$F1316,nrES_Att,2)=0),"Yes","No")))</f>
        <v/>
      </c>
      <c r="R1316" s="17">
        <f>IF($C1316="","",IF($L1316="","",IF(AND($K1316=2,$L1316&lt;$J1316,COUNTIFS(nrES_PID,$D1316,nrES_Code,$F1316,nrES_Att,1)&gt;0),"Yes","No")))</f>
        <v/>
      </c>
      <c r="S1316" s="18" t="n"/>
      <c r="T1316" s="19">
        <f>IF($Q1316&lt;&gt;"Yes","",IF($S1316="","(enter date)",_xlfn.LET(_xlpm.dn,IFERROR(_xlfn.XLOOKUP($S1316,nrCDdate,nrCDnum),""),IF(_xlpm.dn="","(not a class day)",IFERROR(_xlfn.XLOOKUP(_xlpm.dn+cfgRetestClassDays,nrCDnum,nrCDdate),"")))))</f>
        <v/>
      </c>
      <c r="U1316" s="17">
        <f>IF($Q1316&lt;&gt;"Yes","",IF(COUNTIFS(nrES_PID,$D1316,nrES_Code,$F1316,nrES_Att,2)&gt;0,"Retested",IF(OR($T1316="",NOT(ISNUMBER($T1316))),"Pending",IF(TODAY()&gt;$T1316,"OVERDUE","Due "&amp;TEXT($T1316,"mm/dd")))))</f>
        <v/>
      </c>
      <c r="V1316" s="16" t="n"/>
      <c r="W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K1317=1,IF(COUNTIFS(nrES_PID,$D1317,nrES_Code,$F1317,nrES_Att,2)&gt;0,"",$L1317),IF(COUNTIFS(nrES_PID,$D1317,nrES_Code,$F1317,nrES_Att,1)=0,$L1317,IF($L1317&gt;=$J1317,cfgRetakeRecordedCap,SUMIFS(nrES_Raw,nrES_PID,$D1317,nrES_Code,$F1317,nrES_Att,1))))))</f>
        <v/>
      </c>
      <c r="N1317" s="17">
        <f>IF($C1317="","",IF($L1317="","",IF($L1317&gt;=$J1317,"Yes","No")))</f>
        <v/>
      </c>
      <c r="O1317" s="17">
        <f>IF($C1317="","",IF($M1317="","",IF($M1317&gt;=$J1317,"Yes","No")))</f>
        <v/>
      </c>
      <c r="P1317" s="17">
        <f>IF($C1317="","",IF($K1317="","",IF(COUNTIFS(nrES_PID,$D1317,nrES_Code,$F1317,nrES_Att,"&gt;"&amp;$K1317)=0,"Yes","No")))</f>
        <v/>
      </c>
      <c r="Q1317" s="17">
        <f>IF($C1317="","",IF($L1317="","",IF(AND($K1317=1,$L1317&lt;$J1317,COUNTIFS(nrES_PID,$D1317,nrES_Code,$F1317,nrES_Att,2)=0),"Yes","No")))</f>
        <v/>
      </c>
      <c r="R1317" s="17">
        <f>IF($C1317="","",IF($L1317="","",IF(AND($K1317=2,$L1317&lt;$J1317,COUNTIFS(nrES_PID,$D1317,nrES_Code,$F1317,nrES_Att,1)&gt;0),"Yes","No")))</f>
        <v/>
      </c>
      <c r="S1317" s="18" t="n"/>
      <c r="T1317" s="19">
        <f>IF($Q1317&lt;&gt;"Yes","",IF($S1317="","(enter date)",_xlfn.LET(_xlpm.dn,IFERROR(_xlfn.XLOOKUP($S1317,nrCDdate,nrCDnum),""),IF(_xlpm.dn="","(not a class day)",IFERROR(_xlfn.XLOOKUP(_xlpm.dn+cfgRetestClassDays,nrCDnum,nrCDdate),"")))))</f>
        <v/>
      </c>
      <c r="U1317" s="17">
        <f>IF($Q1317&lt;&gt;"Yes","",IF(COUNTIFS(nrES_PID,$D1317,nrES_Code,$F1317,nrES_Att,2)&gt;0,"Retested",IF(OR($T1317="",NOT(ISNUMBER($T1317))),"Pending",IF(TODAY()&gt;$T1317,"OVERDUE","Due "&amp;TEXT($T1317,"mm/dd")))))</f>
        <v/>
      </c>
      <c r="V1317" s="16" t="n"/>
      <c r="W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K1318=1,IF(COUNTIFS(nrES_PID,$D1318,nrES_Code,$F1318,nrES_Att,2)&gt;0,"",$L1318),IF(COUNTIFS(nrES_PID,$D1318,nrES_Code,$F1318,nrES_Att,1)=0,$L1318,IF($L1318&gt;=$J1318,cfgRetakeRecordedCap,SUMIFS(nrES_Raw,nrES_PID,$D1318,nrES_Code,$F1318,nrES_Att,1))))))</f>
        <v/>
      </c>
      <c r="N1318" s="17">
        <f>IF($C1318="","",IF($L1318="","",IF($L1318&gt;=$J1318,"Yes","No")))</f>
        <v/>
      </c>
      <c r="O1318" s="17">
        <f>IF($C1318="","",IF($M1318="","",IF($M1318&gt;=$J1318,"Yes","No")))</f>
        <v/>
      </c>
      <c r="P1318" s="17">
        <f>IF($C1318="","",IF($K1318="","",IF(COUNTIFS(nrES_PID,$D1318,nrES_Code,$F1318,nrES_Att,"&gt;"&amp;$K1318)=0,"Yes","No")))</f>
        <v/>
      </c>
      <c r="Q1318" s="17">
        <f>IF($C1318="","",IF($L1318="","",IF(AND($K1318=1,$L1318&lt;$J1318,COUNTIFS(nrES_PID,$D1318,nrES_Code,$F1318,nrES_Att,2)=0),"Yes","No")))</f>
        <v/>
      </c>
      <c r="R1318" s="17">
        <f>IF($C1318="","",IF($L1318="","",IF(AND($K1318=2,$L1318&lt;$J1318,COUNTIFS(nrES_PID,$D1318,nrES_Code,$F1318,nrES_Att,1)&gt;0),"Yes","No")))</f>
        <v/>
      </c>
      <c r="S1318" s="18" t="n"/>
      <c r="T1318" s="19">
        <f>IF($Q1318&lt;&gt;"Yes","",IF($S1318="","(enter date)",_xlfn.LET(_xlpm.dn,IFERROR(_xlfn.XLOOKUP($S1318,nrCDdate,nrCDnum),""),IF(_xlpm.dn="","(not a class day)",IFERROR(_xlfn.XLOOKUP(_xlpm.dn+cfgRetestClassDays,nrCDnum,nrCDdate),"")))))</f>
        <v/>
      </c>
      <c r="U1318" s="17">
        <f>IF($Q1318&lt;&gt;"Yes","",IF(COUNTIFS(nrES_PID,$D1318,nrES_Code,$F1318,nrES_Att,2)&gt;0,"Retested",IF(OR($T1318="",NOT(ISNUMBER($T1318))),"Pending",IF(TODAY()&gt;$T1318,"OVERDUE","Due "&amp;TEXT($T1318,"mm/dd")))))</f>
        <v/>
      </c>
      <c r="V1318" s="16" t="n"/>
      <c r="W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K1319=1,IF(COUNTIFS(nrES_PID,$D1319,nrES_Code,$F1319,nrES_Att,2)&gt;0,"",$L1319),IF(COUNTIFS(nrES_PID,$D1319,nrES_Code,$F1319,nrES_Att,1)=0,$L1319,IF($L1319&gt;=$J1319,cfgRetakeRecordedCap,SUMIFS(nrES_Raw,nrES_PID,$D1319,nrES_Code,$F1319,nrES_Att,1))))))</f>
        <v/>
      </c>
      <c r="N1319" s="17">
        <f>IF($C1319="","",IF($L1319="","",IF($L1319&gt;=$J1319,"Yes","No")))</f>
        <v/>
      </c>
      <c r="O1319" s="17">
        <f>IF($C1319="","",IF($M1319="","",IF($M1319&gt;=$J1319,"Yes","No")))</f>
        <v/>
      </c>
      <c r="P1319" s="17">
        <f>IF($C1319="","",IF($K1319="","",IF(COUNTIFS(nrES_PID,$D1319,nrES_Code,$F1319,nrES_Att,"&gt;"&amp;$K1319)=0,"Yes","No")))</f>
        <v/>
      </c>
      <c r="Q1319" s="17">
        <f>IF($C1319="","",IF($L1319="","",IF(AND($K1319=1,$L1319&lt;$J1319,COUNTIFS(nrES_PID,$D1319,nrES_Code,$F1319,nrES_Att,2)=0),"Yes","No")))</f>
        <v/>
      </c>
      <c r="R1319" s="17">
        <f>IF($C1319="","",IF($L1319="","",IF(AND($K1319=2,$L1319&lt;$J1319,COUNTIFS(nrES_PID,$D1319,nrES_Code,$F1319,nrES_Att,1)&gt;0),"Yes","No")))</f>
        <v/>
      </c>
      <c r="S1319" s="18" t="n"/>
      <c r="T1319" s="19">
        <f>IF($Q1319&lt;&gt;"Yes","",IF($S1319="","(enter date)",_xlfn.LET(_xlpm.dn,IFERROR(_xlfn.XLOOKUP($S1319,nrCDdate,nrCDnum),""),IF(_xlpm.dn="","(not a class day)",IFERROR(_xlfn.XLOOKUP(_xlpm.dn+cfgRetestClassDays,nrCDnum,nrCDdate),"")))))</f>
        <v/>
      </c>
      <c r="U1319" s="17">
        <f>IF($Q1319&lt;&gt;"Yes","",IF(COUNTIFS(nrES_PID,$D1319,nrES_Code,$F1319,nrES_Att,2)&gt;0,"Retested",IF(OR($T1319="",NOT(ISNUMBER($T1319))),"Pending",IF(TODAY()&gt;$T1319,"OVERDUE","Due "&amp;TEXT($T1319,"mm/dd")))))</f>
        <v/>
      </c>
      <c r="V1319" s="16" t="n"/>
      <c r="W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K1320=1,IF(COUNTIFS(nrES_PID,$D1320,nrES_Code,$F1320,nrES_Att,2)&gt;0,"",$L1320),IF(COUNTIFS(nrES_PID,$D1320,nrES_Code,$F1320,nrES_Att,1)=0,$L1320,IF($L1320&gt;=$J1320,cfgRetakeRecordedCap,SUMIFS(nrES_Raw,nrES_PID,$D1320,nrES_Code,$F1320,nrES_Att,1))))))</f>
        <v/>
      </c>
      <c r="N1320" s="17">
        <f>IF($C1320="","",IF($L1320="","",IF($L1320&gt;=$J1320,"Yes","No")))</f>
        <v/>
      </c>
      <c r="O1320" s="17">
        <f>IF($C1320="","",IF($M1320="","",IF($M1320&gt;=$J1320,"Yes","No")))</f>
        <v/>
      </c>
      <c r="P1320" s="17">
        <f>IF($C1320="","",IF($K1320="","",IF(COUNTIFS(nrES_PID,$D1320,nrES_Code,$F1320,nrES_Att,"&gt;"&amp;$K1320)=0,"Yes","No")))</f>
        <v/>
      </c>
      <c r="Q1320" s="17">
        <f>IF($C1320="","",IF($L1320="","",IF(AND($K1320=1,$L1320&lt;$J1320,COUNTIFS(nrES_PID,$D1320,nrES_Code,$F1320,nrES_Att,2)=0),"Yes","No")))</f>
        <v/>
      </c>
      <c r="R1320" s="17">
        <f>IF($C1320="","",IF($L1320="","",IF(AND($K1320=2,$L1320&lt;$J1320,COUNTIFS(nrES_PID,$D1320,nrES_Code,$F1320,nrES_Att,1)&gt;0),"Yes","No")))</f>
        <v/>
      </c>
      <c r="S1320" s="18" t="n"/>
      <c r="T1320" s="19">
        <f>IF($Q1320&lt;&gt;"Yes","",IF($S1320="","(enter date)",_xlfn.LET(_xlpm.dn,IFERROR(_xlfn.XLOOKUP($S1320,nrCDdate,nrCDnum),""),IF(_xlpm.dn="","(not a class day)",IFERROR(_xlfn.XLOOKUP(_xlpm.dn+cfgRetestClassDays,nrCDnum,nrCDdate),"")))))</f>
        <v/>
      </c>
      <c r="U1320" s="17">
        <f>IF($Q1320&lt;&gt;"Yes","",IF(COUNTIFS(nrES_PID,$D1320,nrES_Code,$F1320,nrES_Att,2)&gt;0,"Retested",IF(OR($T1320="",NOT(ISNUMBER($T1320))),"Pending",IF(TODAY()&gt;$T1320,"OVERDUE","Due "&amp;TEXT($T1320,"mm/dd")))))</f>
        <v/>
      </c>
      <c r="V1320" s="16" t="n"/>
      <c r="W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K1321=1,IF(COUNTIFS(nrES_PID,$D1321,nrES_Code,$F1321,nrES_Att,2)&gt;0,"",$L1321),IF(COUNTIFS(nrES_PID,$D1321,nrES_Code,$F1321,nrES_Att,1)=0,$L1321,IF($L1321&gt;=$J1321,cfgRetakeRecordedCap,SUMIFS(nrES_Raw,nrES_PID,$D1321,nrES_Code,$F1321,nrES_Att,1))))))</f>
        <v/>
      </c>
      <c r="N1321" s="17">
        <f>IF($C1321="","",IF($L1321="","",IF($L1321&gt;=$J1321,"Yes","No")))</f>
        <v/>
      </c>
      <c r="O1321" s="17">
        <f>IF($C1321="","",IF($M1321="","",IF($M1321&gt;=$J1321,"Yes","No")))</f>
        <v/>
      </c>
      <c r="P1321" s="17">
        <f>IF($C1321="","",IF($K1321="","",IF(COUNTIFS(nrES_PID,$D1321,nrES_Code,$F1321,nrES_Att,"&gt;"&amp;$K1321)=0,"Yes","No")))</f>
        <v/>
      </c>
      <c r="Q1321" s="17">
        <f>IF($C1321="","",IF($L1321="","",IF(AND($K1321=1,$L1321&lt;$J1321,COUNTIFS(nrES_PID,$D1321,nrES_Code,$F1321,nrES_Att,2)=0),"Yes","No")))</f>
        <v/>
      </c>
      <c r="R1321" s="17">
        <f>IF($C1321="","",IF($L1321="","",IF(AND($K1321=2,$L1321&lt;$J1321,COUNTIFS(nrES_PID,$D1321,nrES_Code,$F1321,nrES_Att,1)&gt;0),"Yes","No")))</f>
        <v/>
      </c>
      <c r="S1321" s="18" t="n"/>
      <c r="T1321" s="19">
        <f>IF($Q1321&lt;&gt;"Yes","",IF($S1321="","(enter date)",_xlfn.LET(_xlpm.dn,IFERROR(_xlfn.XLOOKUP($S1321,nrCDdate,nrCDnum),""),IF(_xlpm.dn="","(not a class day)",IFERROR(_xlfn.XLOOKUP(_xlpm.dn+cfgRetestClassDays,nrCDnum,nrCDdate),"")))))</f>
        <v/>
      </c>
      <c r="U1321" s="17">
        <f>IF($Q1321&lt;&gt;"Yes","",IF(COUNTIFS(nrES_PID,$D1321,nrES_Code,$F1321,nrES_Att,2)&gt;0,"Retested",IF(OR($T1321="",NOT(ISNUMBER($T1321))),"Pending",IF(TODAY()&gt;$T1321,"OVERDUE","Due "&amp;TEXT($T1321,"mm/dd")))))</f>
        <v/>
      </c>
      <c r="V1321" s="16" t="n"/>
      <c r="W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K1322=1,IF(COUNTIFS(nrES_PID,$D1322,nrES_Code,$F1322,nrES_Att,2)&gt;0,"",$L1322),IF(COUNTIFS(nrES_PID,$D1322,nrES_Code,$F1322,nrES_Att,1)=0,$L1322,IF($L1322&gt;=$J1322,cfgRetakeRecordedCap,SUMIFS(nrES_Raw,nrES_PID,$D1322,nrES_Code,$F1322,nrES_Att,1))))))</f>
        <v/>
      </c>
      <c r="N1322" s="17">
        <f>IF($C1322="","",IF($L1322="","",IF($L1322&gt;=$J1322,"Yes","No")))</f>
        <v/>
      </c>
      <c r="O1322" s="17">
        <f>IF($C1322="","",IF($M1322="","",IF($M1322&gt;=$J1322,"Yes","No")))</f>
        <v/>
      </c>
      <c r="P1322" s="17">
        <f>IF($C1322="","",IF($K1322="","",IF(COUNTIFS(nrES_PID,$D1322,nrES_Code,$F1322,nrES_Att,"&gt;"&amp;$K1322)=0,"Yes","No")))</f>
        <v/>
      </c>
      <c r="Q1322" s="17">
        <f>IF($C1322="","",IF($L1322="","",IF(AND($K1322=1,$L1322&lt;$J1322,COUNTIFS(nrES_PID,$D1322,nrES_Code,$F1322,nrES_Att,2)=0),"Yes","No")))</f>
        <v/>
      </c>
      <c r="R1322" s="17">
        <f>IF($C1322="","",IF($L1322="","",IF(AND($K1322=2,$L1322&lt;$J1322,COUNTIFS(nrES_PID,$D1322,nrES_Code,$F1322,nrES_Att,1)&gt;0),"Yes","No")))</f>
        <v/>
      </c>
      <c r="S1322" s="18" t="n"/>
      <c r="T1322" s="19">
        <f>IF($Q1322&lt;&gt;"Yes","",IF($S1322="","(enter date)",_xlfn.LET(_xlpm.dn,IFERROR(_xlfn.XLOOKUP($S1322,nrCDdate,nrCDnum),""),IF(_xlpm.dn="","(not a class day)",IFERROR(_xlfn.XLOOKUP(_xlpm.dn+cfgRetestClassDays,nrCDnum,nrCDdate),"")))))</f>
        <v/>
      </c>
      <c r="U1322" s="17">
        <f>IF($Q1322&lt;&gt;"Yes","",IF(COUNTIFS(nrES_PID,$D1322,nrES_Code,$F1322,nrES_Att,2)&gt;0,"Retested",IF(OR($T1322="",NOT(ISNUMBER($T1322))),"Pending",IF(TODAY()&gt;$T1322,"OVERDUE","Due "&amp;TEXT($T1322,"mm/dd")))))</f>
        <v/>
      </c>
      <c r="V1322" s="16" t="n"/>
      <c r="W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K1323=1,IF(COUNTIFS(nrES_PID,$D1323,nrES_Code,$F1323,nrES_Att,2)&gt;0,"",$L1323),IF(COUNTIFS(nrES_PID,$D1323,nrES_Code,$F1323,nrES_Att,1)=0,$L1323,IF($L1323&gt;=$J1323,cfgRetakeRecordedCap,SUMIFS(nrES_Raw,nrES_PID,$D1323,nrES_Code,$F1323,nrES_Att,1))))))</f>
        <v/>
      </c>
      <c r="N1323" s="17">
        <f>IF($C1323="","",IF($L1323="","",IF($L1323&gt;=$J1323,"Yes","No")))</f>
        <v/>
      </c>
      <c r="O1323" s="17">
        <f>IF($C1323="","",IF($M1323="","",IF($M1323&gt;=$J1323,"Yes","No")))</f>
        <v/>
      </c>
      <c r="P1323" s="17">
        <f>IF($C1323="","",IF($K1323="","",IF(COUNTIFS(nrES_PID,$D1323,nrES_Code,$F1323,nrES_Att,"&gt;"&amp;$K1323)=0,"Yes","No")))</f>
        <v/>
      </c>
      <c r="Q1323" s="17">
        <f>IF($C1323="","",IF($L1323="","",IF(AND($K1323=1,$L1323&lt;$J1323,COUNTIFS(nrES_PID,$D1323,nrES_Code,$F1323,nrES_Att,2)=0),"Yes","No")))</f>
        <v/>
      </c>
      <c r="R1323" s="17">
        <f>IF($C1323="","",IF($L1323="","",IF(AND($K1323=2,$L1323&lt;$J1323,COUNTIFS(nrES_PID,$D1323,nrES_Code,$F1323,nrES_Att,1)&gt;0),"Yes","No")))</f>
        <v/>
      </c>
      <c r="S1323" s="18" t="n"/>
      <c r="T1323" s="19">
        <f>IF($Q1323&lt;&gt;"Yes","",IF($S1323="","(enter date)",_xlfn.LET(_xlpm.dn,IFERROR(_xlfn.XLOOKUP($S1323,nrCDdate,nrCDnum),""),IF(_xlpm.dn="","(not a class day)",IFERROR(_xlfn.XLOOKUP(_xlpm.dn+cfgRetestClassDays,nrCDnum,nrCDdate),"")))))</f>
        <v/>
      </c>
      <c r="U1323" s="17">
        <f>IF($Q1323&lt;&gt;"Yes","",IF(COUNTIFS(nrES_PID,$D1323,nrES_Code,$F1323,nrES_Att,2)&gt;0,"Retested",IF(OR($T1323="",NOT(ISNUMBER($T1323))),"Pending",IF(TODAY()&gt;$T1323,"OVERDUE","Due "&amp;TEXT($T1323,"mm/dd")))))</f>
        <v/>
      </c>
      <c r="V1323" s="16" t="n"/>
      <c r="W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K1324=1,IF(COUNTIFS(nrES_PID,$D1324,nrES_Code,$F1324,nrES_Att,2)&gt;0,"",$L1324),IF(COUNTIFS(nrES_PID,$D1324,nrES_Code,$F1324,nrES_Att,1)=0,$L1324,IF($L1324&gt;=$J1324,cfgRetakeRecordedCap,SUMIFS(nrES_Raw,nrES_PID,$D1324,nrES_Code,$F1324,nrES_Att,1))))))</f>
        <v/>
      </c>
      <c r="N1324" s="17">
        <f>IF($C1324="","",IF($L1324="","",IF($L1324&gt;=$J1324,"Yes","No")))</f>
        <v/>
      </c>
      <c r="O1324" s="17">
        <f>IF($C1324="","",IF($M1324="","",IF($M1324&gt;=$J1324,"Yes","No")))</f>
        <v/>
      </c>
      <c r="P1324" s="17">
        <f>IF($C1324="","",IF($K1324="","",IF(COUNTIFS(nrES_PID,$D1324,nrES_Code,$F1324,nrES_Att,"&gt;"&amp;$K1324)=0,"Yes","No")))</f>
        <v/>
      </c>
      <c r="Q1324" s="17">
        <f>IF($C1324="","",IF($L1324="","",IF(AND($K1324=1,$L1324&lt;$J1324,COUNTIFS(nrES_PID,$D1324,nrES_Code,$F1324,nrES_Att,2)=0),"Yes","No")))</f>
        <v/>
      </c>
      <c r="R1324" s="17">
        <f>IF($C1324="","",IF($L1324="","",IF(AND($K1324=2,$L1324&lt;$J1324,COUNTIFS(nrES_PID,$D1324,nrES_Code,$F1324,nrES_Att,1)&gt;0),"Yes","No")))</f>
        <v/>
      </c>
      <c r="S1324" s="18" t="n"/>
      <c r="T1324" s="19">
        <f>IF($Q1324&lt;&gt;"Yes","",IF($S1324="","(enter date)",_xlfn.LET(_xlpm.dn,IFERROR(_xlfn.XLOOKUP($S1324,nrCDdate,nrCDnum),""),IF(_xlpm.dn="","(not a class day)",IFERROR(_xlfn.XLOOKUP(_xlpm.dn+cfgRetestClassDays,nrCDnum,nrCDdate),"")))))</f>
        <v/>
      </c>
      <c r="U1324" s="17">
        <f>IF($Q1324&lt;&gt;"Yes","",IF(COUNTIFS(nrES_PID,$D1324,nrES_Code,$F1324,nrES_Att,2)&gt;0,"Retested",IF(OR($T1324="",NOT(ISNUMBER($T1324))),"Pending",IF(TODAY()&gt;$T1324,"OVERDUE","Due "&amp;TEXT($T1324,"mm/dd")))))</f>
        <v/>
      </c>
      <c r="V1324" s="16" t="n"/>
      <c r="W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K1325=1,IF(COUNTIFS(nrES_PID,$D1325,nrES_Code,$F1325,nrES_Att,2)&gt;0,"",$L1325),IF(COUNTIFS(nrES_PID,$D1325,nrES_Code,$F1325,nrES_Att,1)=0,$L1325,IF($L1325&gt;=$J1325,cfgRetakeRecordedCap,SUMIFS(nrES_Raw,nrES_PID,$D1325,nrES_Code,$F1325,nrES_Att,1))))))</f>
        <v/>
      </c>
      <c r="N1325" s="17">
        <f>IF($C1325="","",IF($L1325="","",IF($L1325&gt;=$J1325,"Yes","No")))</f>
        <v/>
      </c>
      <c r="O1325" s="17">
        <f>IF($C1325="","",IF($M1325="","",IF($M1325&gt;=$J1325,"Yes","No")))</f>
        <v/>
      </c>
      <c r="P1325" s="17">
        <f>IF($C1325="","",IF($K1325="","",IF(COUNTIFS(nrES_PID,$D1325,nrES_Code,$F1325,nrES_Att,"&gt;"&amp;$K1325)=0,"Yes","No")))</f>
        <v/>
      </c>
      <c r="Q1325" s="17">
        <f>IF($C1325="","",IF($L1325="","",IF(AND($K1325=1,$L1325&lt;$J1325,COUNTIFS(nrES_PID,$D1325,nrES_Code,$F1325,nrES_Att,2)=0),"Yes","No")))</f>
        <v/>
      </c>
      <c r="R1325" s="17">
        <f>IF($C1325="","",IF($L1325="","",IF(AND($K1325=2,$L1325&lt;$J1325,COUNTIFS(nrES_PID,$D1325,nrES_Code,$F1325,nrES_Att,1)&gt;0),"Yes","No")))</f>
        <v/>
      </c>
      <c r="S1325" s="18" t="n"/>
      <c r="T1325" s="19">
        <f>IF($Q1325&lt;&gt;"Yes","",IF($S1325="","(enter date)",_xlfn.LET(_xlpm.dn,IFERROR(_xlfn.XLOOKUP($S1325,nrCDdate,nrCDnum),""),IF(_xlpm.dn="","(not a class day)",IFERROR(_xlfn.XLOOKUP(_xlpm.dn+cfgRetestClassDays,nrCDnum,nrCDdate),"")))))</f>
        <v/>
      </c>
      <c r="U1325" s="17">
        <f>IF($Q1325&lt;&gt;"Yes","",IF(COUNTIFS(nrES_PID,$D1325,nrES_Code,$F1325,nrES_Att,2)&gt;0,"Retested",IF(OR($T1325="",NOT(ISNUMBER($T1325))),"Pending",IF(TODAY()&gt;$T1325,"OVERDUE","Due "&amp;TEXT($T1325,"mm/dd")))))</f>
        <v/>
      </c>
      <c r="V1325" s="16" t="n"/>
      <c r="W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K1326=1,IF(COUNTIFS(nrES_PID,$D1326,nrES_Code,$F1326,nrES_Att,2)&gt;0,"",$L1326),IF(COUNTIFS(nrES_PID,$D1326,nrES_Code,$F1326,nrES_Att,1)=0,$L1326,IF($L1326&gt;=$J1326,cfgRetakeRecordedCap,SUMIFS(nrES_Raw,nrES_PID,$D1326,nrES_Code,$F1326,nrES_Att,1))))))</f>
        <v/>
      </c>
      <c r="N1326" s="17">
        <f>IF($C1326="","",IF($L1326="","",IF($L1326&gt;=$J1326,"Yes","No")))</f>
        <v/>
      </c>
      <c r="O1326" s="17">
        <f>IF($C1326="","",IF($M1326="","",IF($M1326&gt;=$J1326,"Yes","No")))</f>
        <v/>
      </c>
      <c r="P1326" s="17">
        <f>IF($C1326="","",IF($K1326="","",IF(COUNTIFS(nrES_PID,$D1326,nrES_Code,$F1326,nrES_Att,"&gt;"&amp;$K1326)=0,"Yes","No")))</f>
        <v/>
      </c>
      <c r="Q1326" s="17">
        <f>IF($C1326="","",IF($L1326="","",IF(AND($K1326=1,$L1326&lt;$J1326,COUNTIFS(nrES_PID,$D1326,nrES_Code,$F1326,nrES_Att,2)=0),"Yes","No")))</f>
        <v/>
      </c>
      <c r="R1326" s="17">
        <f>IF($C1326="","",IF($L1326="","",IF(AND($K1326=2,$L1326&lt;$J1326,COUNTIFS(nrES_PID,$D1326,nrES_Code,$F1326,nrES_Att,1)&gt;0),"Yes","No")))</f>
        <v/>
      </c>
      <c r="S1326" s="18" t="n"/>
      <c r="T1326" s="19">
        <f>IF($Q1326&lt;&gt;"Yes","",IF($S1326="","(enter date)",_xlfn.LET(_xlpm.dn,IFERROR(_xlfn.XLOOKUP($S1326,nrCDdate,nrCDnum),""),IF(_xlpm.dn="","(not a class day)",IFERROR(_xlfn.XLOOKUP(_xlpm.dn+cfgRetestClassDays,nrCDnum,nrCDdate),"")))))</f>
        <v/>
      </c>
      <c r="U1326" s="17">
        <f>IF($Q1326&lt;&gt;"Yes","",IF(COUNTIFS(nrES_PID,$D1326,nrES_Code,$F1326,nrES_Att,2)&gt;0,"Retested",IF(OR($T1326="",NOT(ISNUMBER($T1326))),"Pending",IF(TODAY()&gt;$T1326,"OVERDUE","Due "&amp;TEXT($T1326,"mm/dd")))))</f>
        <v/>
      </c>
      <c r="V1326" s="16" t="n"/>
      <c r="W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K1327=1,IF(COUNTIFS(nrES_PID,$D1327,nrES_Code,$F1327,nrES_Att,2)&gt;0,"",$L1327),IF(COUNTIFS(nrES_PID,$D1327,nrES_Code,$F1327,nrES_Att,1)=0,$L1327,IF($L1327&gt;=$J1327,cfgRetakeRecordedCap,SUMIFS(nrES_Raw,nrES_PID,$D1327,nrES_Code,$F1327,nrES_Att,1))))))</f>
        <v/>
      </c>
      <c r="N1327" s="17">
        <f>IF($C1327="","",IF($L1327="","",IF($L1327&gt;=$J1327,"Yes","No")))</f>
        <v/>
      </c>
      <c r="O1327" s="17">
        <f>IF($C1327="","",IF($M1327="","",IF($M1327&gt;=$J1327,"Yes","No")))</f>
        <v/>
      </c>
      <c r="P1327" s="17">
        <f>IF($C1327="","",IF($K1327="","",IF(COUNTIFS(nrES_PID,$D1327,nrES_Code,$F1327,nrES_Att,"&gt;"&amp;$K1327)=0,"Yes","No")))</f>
        <v/>
      </c>
      <c r="Q1327" s="17">
        <f>IF($C1327="","",IF($L1327="","",IF(AND($K1327=1,$L1327&lt;$J1327,COUNTIFS(nrES_PID,$D1327,nrES_Code,$F1327,nrES_Att,2)=0),"Yes","No")))</f>
        <v/>
      </c>
      <c r="R1327" s="17">
        <f>IF($C1327="","",IF($L1327="","",IF(AND($K1327=2,$L1327&lt;$J1327,COUNTIFS(nrES_PID,$D1327,nrES_Code,$F1327,nrES_Att,1)&gt;0),"Yes","No")))</f>
        <v/>
      </c>
      <c r="S1327" s="18" t="n"/>
      <c r="T1327" s="19">
        <f>IF($Q1327&lt;&gt;"Yes","",IF($S1327="","(enter date)",_xlfn.LET(_xlpm.dn,IFERROR(_xlfn.XLOOKUP($S1327,nrCDdate,nrCDnum),""),IF(_xlpm.dn="","(not a class day)",IFERROR(_xlfn.XLOOKUP(_xlpm.dn+cfgRetestClassDays,nrCDnum,nrCDdate),"")))))</f>
        <v/>
      </c>
      <c r="U1327" s="17">
        <f>IF($Q1327&lt;&gt;"Yes","",IF(COUNTIFS(nrES_PID,$D1327,nrES_Code,$F1327,nrES_Att,2)&gt;0,"Retested",IF(OR($T1327="",NOT(ISNUMBER($T1327))),"Pending",IF(TODAY()&gt;$T1327,"OVERDUE","Due "&amp;TEXT($T1327,"mm/dd")))))</f>
        <v/>
      </c>
      <c r="V1327" s="16" t="n"/>
      <c r="W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K1328=1,IF(COUNTIFS(nrES_PID,$D1328,nrES_Code,$F1328,nrES_Att,2)&gt;0,"",$L1328),IF(COUNTIFS(nrES_PID,$D1328,nrES_Code,$F1328,nrES_Att,1)=0,$L1328,IF($L1328&gt;=$J1328,cfgRetakeRecordedCap,SUMIFS(nrES_Raw,nrES_PID,$D1328,nrES_Code,$F1328,nrES_Att,1))))))</f>
        <v/>
      </c>
      <c r="N1328" s="17">
        <f>IF($C1328="","",IF($L1328="","",IF($L1328&gt;=$J1328,"Yes","No")))</f>
        <v/>
      </c>
      <c r="O1328" s="17">
        <f>IF($C1328="","",IF($M1328="","",IF($M1328&gt;=$J1328,"Yes","No")))</f>
        <v/>
      </c>
      <c r="P1328" s="17">
        <f>IF($C1328="","",IF($K1328="","",IF(COUNTIFS(nrES_PID,$D1328,nrES_Code,$F1328,nrES_Att,"&gt;"&amp;$K1328)=0,"Yes","No")))</f>
        <v/>
      </c>
      <c r="Q1328" s="17">
        <f>IF($C1328="","",IF($L1328="","",IF(AND($K1328=1,$L1328&lt;$J1328,COUNTIFS(nrES_PID,$D1328,nrES_Code,$F1328,nrES_Att,2)=0),"Yes","No")))</f>
        <v/>
      </c>
      <c r="R1328" s="17">
        <f>IF($C1328="","",IF($L1328="","",IF(AND($K1328=2,$L1328&lt;$J1328,COUNTIFS(nrES_PID,$D1328,nrES_Code,$F1328,nrES_Att,1)&gt;0),"Yes","No")))</f>
        <v/>
      </c>
      <c r="S1328" s="18" t="n"/>
      <c r="T1328" s="19">
        <f>IF($Q1328&lt;&gt;"Yes","",IF($S1328="","(enter date)",_xlfn.LET(_xlpm.dn,IFERROR(_xlfn.XLOOKUP($S1328,nrCDdate,nrCDnum),""),IF(_xlpm.dn="","(not a class day)",IFERROR(_xlfn.XLOOKUP(_xlpm.dn+cfgRetestClassDays,nrCDnum,nrCDdate),"")))))</f>
        <v/>
      </c>
      <c r="U1328" s="17">
        <f>IF($Q1328&lt;&gt;"Yes","",IF(COUNTIFS(nrES_PID,$D1328,nrES_Code,$F1328,nrES_Att,2)&gt;0,"Retested",IF(OR($T1328="",NOT(ISNUMBER($T1328))),"Pending",IF(TODAY()&gt;$T1328,"OVERDUE","Due "&amp;TEXT($T1328,"mm/dd")))))</f>
        <v/>
      </c>
      <c r="V1328" s="16" t="n"/>
      <c r="W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K1329=1,IF(COUNTIFS(nrES_PID,$D1329,nrES_Code,$F1329,nrES_Att,2)&gt;0,"",$L1329),IF(COUNTIFS(nrES_PID,$D1329,nrES_Code,$F1329,nrES_Att,1)=0,$L1329,IF($L1329&gt;=$J1329,cfgRetakeRecordedCap,SUMIFS(nrES_Raw,nrES_PID,$D1329,nrES_Code,$F1329,nrES_Att,1))))))</f>
        <v/>
      </c>
      <c r="N1329" s="17">
        <f>IF($C1329="","",IF($L1329="","",IF($L1329&gt;=$J1329,"Yes","No")))</f>
        <v/>
      </c>
      <c r="O1329" s="17">
        <f>IF($C1329="","",IF($M1329="","",IF($M1329&gt;=$J1329,"Yes","No")))</f>
        <v/>
      </c>
      <c r="P1329" s="17">
        <f>IF($C1329="","",IF($K1329="","",IF(COUNTIFS(nrES_PID,$D1329,nrES_Code,$F1329,nrES_Att,"&gt;"&amp;$K1329)=0,"Yes","No")))</f>
        <v/>
      </c>
      <c r="Q1329" s="17">
        <f>IF($C1329="","",IF($L1329="","",IF(AND($K1329=1,$L1329&lt;$J1329,COUNTIFS(nrES_PID,$D1329,nrES_Code,$F1329,nrES_Att,2)=0),"Yes","No")))</f>
        <v/>
      </c>
      <c r="R1329" s="17">
        <f>IF($C1329="","",IF($L1329="","",IF(AND($K1329=2,$L1329&lt;$J1329,COUNTIFS(nrES_PID,$D1329,nrES_Code,$F1329,nrES_Att,1)&gt;0),"Yes","No")))</f>
        <v/>
      </c>
      <c r="S1329" s="18" t="n"/>
      <c r="T1329" s="19">
        <f>IF($Q1329&lt;&gt;"Yes","",IF($S1329="","(enter date)",_xlfn.LET(_xlpm.dn,IFERROR(_xlfn.XLOOKUP($S1329,nrCDdate,nrCDnum),""),IF(_xlpm.dn="","(not a class day)",IFERROR(_xlfn.XLOOKUP(_xlpm.dn+cfgRetestClassDays,nrCDnum,nrCDdate),"")))))</f>
        <v/>
      </c>
      <c r="U1329" s="17">
        <f>IF($Q1329&lt;&gt;"Yes","",IF(COUNTIFS(nrES_PID,$D1329,nrES_Code,$F1329,nrES_Att,2)&gt;0,"Retested",IF(OR($T1329="",NOT(ISNUMBER($T1329))),"Pending",IF(TODAY()&gt;$T1329,"OVERDUE","Due "&amp;TEXT($T1329,"mm/dd")))))</f>
        <v/>
      </c>
      <c r="V1329" s="16" t="n"/>
      <c r="W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K1330=1,IF(COUNTIFS(nrES_PID,$D1330,nrES_Code,$F1330,nrES_Att,2)&gt;0,"",$L1330),IF(COUNTIFS(nrES_PID,$D1330,nrES_Code,$F1330,nrES_Att,1)=0,$L1330,IF($L1330&gt;=$J1330,cfgRetakeRecordedCap,SUMIFS(nrES_Raw,nrES_PID,$D1330,nrES_Code,$F1330,nrES_Att,1))))))</f>
        <v/>
      </c>
      <c r="N1330" s="17">
        <f>IF($C1330="","",IF($L1330="","",IF($L1330&gt;=$J1330,"Yes","No")))</f>
        <v/>
      </c>
      <c r="O1330" s="17">
        <f>IF($C1330="","",IF($M1330="","",IF($M1330&gt;=$J1330,"Yes","No")))</f>
        <v/>
      </c>
      <c r="P1330" s="17">
        <f>IF($C1330="","",IF($K1330="","",IF(COUNTIFS(nrES_PID,$D1330,nrES_Code,$F1330,nrES_Att,"&gt;"&amp;$K1330)=0,"Yes","No")))</f>
        <v/>
      </c>
      <c r="Q1330" s="17">
        <f>IF($C1330="","",IF($L1330="","",IF(AND($K1330=1,$L1330&lt;$J1330,COUNTIFS(nrES_PID,$D1330,nrES_Code,$F1330,nrES_Att,2)=0),"Yes","No")))</f>
        <v/>
      </c>
      <c r="R1330" s="17">
        <f>IF($C1330="","",IF($L1330="","",IF(AND($K1330=2,$L1330&lt;$J1330,COUNTIFS(nrES_PID,$D1330,nrES_Code,$F1330,nrES_Att,1)&gt;0),"Yes","No")))</f>
        <v/>
      </c>
      <c r="S1330" s="18" t="n"/>
      <c r="T1330" s="19">
        <f>IF($Q1330&lt;&gt;"Yes","",IF($S1330="","(enter date)",_xlfn.LET(_xlpm.dn,IFERROR(_xlfn.XLOOKUP($S1330,nrCDdate,nrCDnum),""),IF(_xlpm.dn="","(not a class day)",IFERROR(_xlfn.XLOOKUP(_xlpm.dn+cfgRetestClassDays,nrCDnum,nrCDdate),"")))))</f>
        <v/>
      </c>
      <c r="U1330" s="17">
        <f>IF($Q1330&lt;&gt;"Yes","",IF(COUNTIFS(nrES_PID,$D1330,nrES_Code,$F1330,nrES_Att,2)&gt;0,"Retested",IF(OR($T1330="",NOT(ISNUMBER($T1330))),"Pending",IF(TODAY()&gt;$T1330,"OVERDUE","Due "&amp;TEXT($T1330,"mm/dd")))))</f>
        <v/>
      </c>
      <c r="V1330" s="16" t="n"/>
      <c r="W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K1331=1,IF(COUNTIFS(nrES_PID,$D1331,nrES_Code,$F1331,nrES_Att,2)&gt;0,"",$L1331),IF(COUNTIFS(nrES_PID,$D1331,nrES_Code,$F1331,nrES_Att,1)=0,$L1331,IF($L1331&gt;=$J1331,cfgRetakeRecordedCap,SUMIFS(nrES_Raw,nrES_PID,$D1331,nrES_Code,$F1331,nrES_Att,1))))))</f>
        <v/>
      </c>
      <c r="N1331" s="17">
        <f>IF($C1331="","",IF($L1331="","",IF($L1331&gt;=$J1331,"Yes","No")))</f>
        <v/>
      </c>
      <c r="O1331" s="17">
        <f>IF($C1331="","",IF($M1331="","",IF($M1331&gt;=$J1331,"Yes","No")))</f>
        <v/>
      </c>
      <c r="P1331" s="17">
        <f>IF($C1331="","",IF($K1331="","",IF(COUNTIFS(nrES_PID,$D1331,nrES_Code,$F1331,nrES_Att,"&gt;"&amp;$K1331)=0,"Yes","No")))</f>
        <v/>
      </c>
      <c r="Q1331" s="17">
        <f>IF($C1331="","",IF($L1331="","",IF(AND($K1331=1,$L1331&lt;$J1331,COUNTIFS(nrES_PID,$D1331,nrES_Code,$F1331,nrES_Att,2)=0),"Yes","No")))</f>
        <v/>
      </c>
      <c r="R1331" s="17">
        <f>IF($C1331="","",IF($L1331="","",IF(AND($K1331=2,$L1331&lt;$J1331,COUNTIFS(nrES_PID,$D1331,nrES_Code,$F1331,nrES_Att,1)&gt;0),"Yes","No")))</f>
        <v/>
      </c>
      <c r="S1331" s="18" t="n"/>
      <c r="T1331" s="19">
        <f>IF($Q1331&lt;&gt;"Yes","",IF($S1331="","(enter date)",_xlfn.LET(_xlpm.dn,IFERROR(_xlfn.XLOOKUP($S1331,nrCDdate,nrCDnum),""),IF(_xlpm.dn="","(not a class day)",IFERROR(_xlfn.XLOOKUP(_xlpm.dn+cfgRetestClassDays,nrCDnum,nrCDdate),"")))))</f>
        <v/>
      </c>
      <c r="U1331" s="17">
        <f>IF($Q1331&lt;&gt;"Yes","",IF(COUNTIFS(nrES_PID,$D1331,nrES_Code,$F1331,nrES_Att,2)&gt;0,"Retested",IF(OR($T1331="",NOT(ISNUMBER($T1331))),"Pending",IF(TODAY()&gt;$T1331,"OVERDUE","Due "&amp;TEXT($T1331,"mm/dd")))))</f>
        <v/>
      </c>
      <c r="V1331" s="16" t="n"/>
      <c r="W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K1332=1,IF(COUNTIFS(nrES_PID,$D1332,nrES_Code,$F1332,nrES_Att,2)&gt;0,"",$L1332),IF(COUNTIFS(nrES_PID,$D1332,nrES_Code,$F1332,nrES_Att,1)=0,$L1332,IF($L1332&gt;=$J1332,cfgRetakeRecordedCap,SUMIFS(nrES_Raw,nrES_PID,$D1332,nrES_Code,$F1332,nrES_Att,1))))))</f>
        <v/>
      </c>
      <c r="N1332" s="17">
        <f>IF($C1332="","",IF($L1332="","",IF($L1332&gt;=$J1332,"Yes","No")))</f>
        <v/>
      </c>
      <c r="O1332" s="17">
        <f>IF($C1332="","",IF($M1332="","",IF($M1332&gt;=$J1332,"Yes","No")))</f>
        <v/>
      </c>
      <c r="P1332" s="17">
        <f>IF($C1332="","",IF($K1332="","",IF(COUNTIFS(nrES_PID,$D1332,nrES_Code,$F1332,nrES_Att,"&gt;"&amp;$K1332)=0,"Yes","No")))</f>
        <v/>
      </c>
      <c r="Q1332" s="17">
        <f>IF($C1332="","",IF($L1332="","",IF(AND($K1332=1,$L1332&lt;$J1332,COUNTIFS(nrES_PID,$D1332,nrES_Code,$F1332,nrES_Att,2)=0),"Yes","No")))</f>
        <v/>
      </c>
      <c r="R1332" s="17">
        <f>IF($C1332="","",IF($L1332="","",IF(AND($K1332=2,$L1332&lt;$J1332,COUNTIFS(nrES_PID,$D1332,nrES_Code,$F1332,nrES_Att,1)&gt;0),"Yes","No")))</f>
        <v/>
      </c>
      <c r="S1332" s="18" t="n"/>
      <c r="T1332" s="19">
        <f>IF($Q1332&lt;&gt;"Yes","",IF($S1332="","(enter date)",_xlfn.LET(_xlpm.dn,IFERROR(_xlfn.XLOOKUP($S1332,nrCDdate,nrCDnum),""),IF(_xlpm.dn="","(not a class day)",IFERROR(_xlfn.XLOOKUP(_xlpm.dn+cfgRetestClassDays,nrCDnum,nrCDdate),"")))))</f>
        <v/>
      </c>
      <c r="U1332" s="17">
        <f>IF($Q1332&lt;&gt;"Yes","",IF(COUNTIFS(nrES_PID,$D1332,nrES_Code,$F1332,nrES_Att,2)&gt;0,"Retested",IF(OR($T1332="",NOT(ISNUMBER($T1332))),"Pending",IF(TODAY()&gt;$T1332,"OVERDUE","Due "&amp;TEXT($T1332,"mm/dd")))))</f>
        <v/>
      </c>
      <c r="V1332" s="16" t="n"/>
      <c r="W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K1333=1,IF(COUNTIFS(nrES_PID,$D1333,nrES_Code,$F1333,nrES_Att,2)&gt;0,"",$L1333),IF(COUNTIFS(nrES_PID,$D1333,nrES_Code,$F1333,nrES_Att,1)=0,$L1333,IF($L1333&gt;=$J1333,cfgRetakeRecordedCap,SUMIFS(nrES_Raw,nrES_PID,$D1333,nrES_Code,$F1333,nrES_Att,1))))))</f>
        <v/>
      </c>
      <c r="N1333" s="17">
        <f>IF($C1333="","",IF($L1333="","",IF($L1333&gt;=$J1333,"Yes","No")))</f>
        <v/>
      </c>
      <c r="O1333" s="17">
        <f>IF($C1333="","",IF($M1333="","",IF($M1333&gt;=$J1333,"Yes","No")))</f>
        <v/>
      </c>
      <c r="P1333" s="17">
        <f>IF($C1333="","",IF($K1333="","",IF(COUNTIFS(nrES_PID,$D1333,nrES_Code,$F1333,nrES_Att,"&gt;"&amp;$K1333)=0,"Yes","No")))</f>
        <v/>
      </c>
      <c r="Q1333" s="17">
        <f>IF($C1333="","",IF($L1333="","",IF(AND($K1333=1,$L1333&lt;$J1333,COUNTIFS(nrES_PID,$D1333,nrES_Code,$F1333,nrES_Att,2)=0),"Yes","No")))</f>
        <v/>
      </c>
      <c r="R1333" s="17">
        <f>IF($C1333="","",IF($L1333="","",IF(AND($K1333=2,$L1333&lt;$J1333,COUNTIFS(nrES_PID,$D1333,nrES_Code,$F1333,nrES_Att,1)&gt;0),"Yes","No")))</f>
        <v/>
      </c>
      <c r="S1333" s="18" t="n"/>
      <c r="T1333" s="19">
        <f>IF($Q1333&lt;&gt;"Yes","",IF($S1333="","(enter date)",_xlfn.LET(_xlpm.dn,IFERROR(_xlfn.XLOOKUP($S1333,nrCDdate,nrCDnum),""),IF(_xlpm.dn="","(not a class day)",IFERROR(_xlfn.XLOOKUP(_xlpm.dn+cfgRetestClassDays,nrCDnum,nrCDdate),"")))))</f>
        <v/>
      </c>
      <c r="U1333" s="17">
        <f>IF($Q1333&lt;&gt;"Yes","",IF(COUNTIFS(nrES_PID,$D1333,nrES_Code,$F1333,nrES_Att,2)&gt;0,"Retested",IF(OR($T1333="",NOT(ISNUMBER($T1333))),"Pending",IF(TODAY()&gt;$T1333,"OVERDUE","Due "&amp;TEXT($T1333,"mm/dd")))))</f>
        <v/>
      </c>
      <c r="V1333" s="16" t="n"/>
      <c r="W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K1334=1,IF(COUNTIFS(nrES_PID,$D1334,nrES_Code,$F1334,nrES_Att,2)&gt;0,"",$L1334),IF(COUNTIFS(nrES_PID,$D1334,nrES_Code,$F1334,nrES_Att,1)=0,$L1334,IF($L1334&gt;=$J1334,cfgRetakeRecordedCap,SUMIFS(nrES_Raw,nrES_PID,$D1334,nrES_Code,$F1334,nrES_Att,1))))))</f>
        <v/>
      </c>
      <c r="N1334" s="17">
        <f>IF($C1334="","",IF($L1334="","",IF($L1334&gt;=$J1334,"Yes","No")))</f>
        <v/>
      </c>
      <c r="O1334" s="17">
        <f>IF($C1334="","",IF($M1334="","",IF($M1334&gt;=$J1334,"Yes","No")))</f>
        <v/>
      </c>
      <c r="P1334" s="17">
        <f>IF($C1334="","",IF($K1334="","",IF(COUNTIFS(nrES_PID,$D1334,nrES_Code,$F1334,nrES_Att,"&gt;"&amp;$K1334)=0,"Yes","No")))</f>
        <v/>
      </c>
      <c r="Q1334" s="17">
        <f>IF($C1334="","",IF($L1334="","",IF(AND($K1334=1,$L1334&lt;$J1334,COUNTIFS(nrES_PID,$D1334,nrES_Code,$F1334,nrES_Att,2)=0),"Yes","No")))</f>
        <v/>
      </c>
      <c r="R1334" s="17">
        <f>IF($C1334="","",IF($L1334="","",IF(AND($K1334=2,$L1334&lt;$J1334,COUNTIFS(nrES_PID,$D1334,nrES_Code,$F1334,nrES_Att,1)&gt;0),"Yes","No")))</f>
        <v/>
      </c>
      <c r="S1334" s="18" t="n"/>
      <c r="T1334" s="19">
        <f>IF($Q1334&lt;&gt;"Yes","",IF($S1334="","(enter date)",_xlfn.LET(_xlpm.dn,IFERROR(_xlfn.XLOOKUP($S1334,nrCDdate,nrCDnum),""),IF(_xlpm.dn="","(not a class day)",IFERROR(_xlfn.XLOOKUP(_xlpm.dn+cfgRetestClassDays,nrCDnum,nrCDdate),"")))))</f>
        <v/>
      </c>
      <c r="U1334" s="17">
        <f>IF($Q1334&lt;&gt;"Yes","",IF(COUNTIFS(nrES_PID,$D1334,nrES_Code,$F1334,nrES_Att,2)&gt;0,"Retested",IF(OR($T1334="",NOT(ISNUMBER($T1334))),"Pending",IF(TODAY()&gt;$T1334,"OVERDUE","Due "&amp;TEXT($T1334,"mm/dd")))))</f>
        <v/>
      </c>
      <c r="V1334" s="16" t="n"/>
      <c r="W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K1335=1,IF(COUNTIFS(nrES_PID,$D1335,nrES_Code,$F1335,nrES_Att,2)&gt;0,"",$L1335),IF(COUNTIFS(nrES_PID,$D1335,nrES_Code,$F1335,nrES_Att,1)=0,$L1335,IF($L1335&gt;=$J1335,cfgRetakeRecordedCap,SUMIFS(nrES_Raw,nrES_PID,$D1335,nrES_Code,$F1335,nrES_Att,1))))))</f>
        <v/>
      </c>
      <c r="N1335" s="17">
        <f>IF($C1335="","",IF($L1335="","",IF($L1335&gt;=$J1335,"Yes","No")))</f>
        <v/>
      </c>
      <c r="O1335" s="17">
        <f>IF($C1335="","",IF($M1335="","",IF($M1335&gt;=$J1335,"Yes","No")))</f>
        <v/>
      </c>
      <c r="P1335" s="17">
        <f>IF($C1335="","",IF($K1335="","",IF(COUNTIFS(nrES_PID,$D1335,nrES_Code,$F1335,nrES_Att,"&gt;"&amp;$K1335)=0,"Yes","No")))</f>
        <v/>
      </c>
      <c r="Q1335" s="17">
        <f>IF($C1335="","",IF($L1335="","",IF(AND($K1335=1,$L1335&lt;$J1335,COUNTIFS(nrES_PID,$D1335,nrES_Code,$F1335,nrES_Att,2)=0),"Yes","No")))</f>
        <v/>
      </c>
      <c r="R1335" s="17">
        <f>IF($C1335="","",IF($L1335="","",IF(AND($K1335=2,$L1335&lt;$J1335,COUNTIFS(nrES_PID,$D1335,nrES_Code,$F1335,nrES_Att,1)&gt;0),"Yes","No")))</f>
        <v/>
      </c>
      <c r="S1335" s="18" t="n"/>
      <c r="T1335" s="19">
        <f>IF($Q1335&lt;&gt;"Yes","",IF($S1335="","(enter date)",_xlfn.LET(_xlpm.dn,IFERROR(_xlfn.XLOOKUP($S1335,nrCDdate,nrCDnum),""),IF(_xlpm.dn="","(not a class day)",IFERROR(_xlfn.XLOOKUP(_xlpm.dn+cfgRetestClassDays,nrCDnum,nrCDdate),"")))))</f>
        <v/>
      </c>
      <c r="U1335" s="17">
        <f>IF($Q1335&lt;&gt;"Yes","",IF(COUNTIFS(nrES_PID,$D1335,nrES_Code,$F1335,nrES_Att,2)&gt;0,"Retested",IF(OR($T1335="",NOT(ISNUMBER($T1335))),"Pending",IF(TODAY()&gt;$T1335,"OVERDUE","Due "&amp;TEXT($T1335,"mm/dd")))))</f>
        <v/>
      </c>
      <c r="V1335" s="16" t="n"/>
      <c r="W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K1336=1,IF(COUNTIFS(nrES_PID,$D1336,nrES_Code,$F1336,nrES_Att,2)&gt;0,"",$L1336),IF(COUNTIFS(nrES_PID,$D1336,nrES_Code,$F1336,nrES_Att,1)=0,$L1336,IF($L1336&gt;=$J1336,cfgRetakeRecordedCap,SUMIFS(nrES_Raw,nrES_PID,$D1336,nrES_Code,$F1336,nrES_Att,1))))))</f>
        <v/>
      </c>
      <c r="N1336" s="17">
        <f>IF($C1336="","",IF($L1336="","",IF($L1336&gt;=$J1336,"Yes","No")))</f>
        <v/>
      </c>
      <c r="O1336" s="17">
        <f>IF($C1336="","",IF($M1336="","",IF($M1336&gt;=$J1336,"Yes","No")))</f>
        <v/>
      </c>
      <c r="P1336" s="17">
        <f>IF($C1336="","",IF($K1336="","",IF(COUNTIFS(nrES_PID,$D1336,nrES_Code,$F1336,nrES_Att,"&gt;"&amp;$K1336)=0,"Yes","No")))</f>
        <v/>
      </c>
      <c r="Q1336" s="17">
        <f>IF($C1336="","",IF($L1336="","",IF(AND($K1336=1,$L1336&lt;$J1336,COUNTIFS(nrES_PID,$D1336,nrES_Code,$F1336,nrES_Att,2)=0),"Yes","No")))</f>
        <v/>
      </c>
      <c r="R1336" s="17">
        <f>IF($C1336="","",IF($L1336="","",IF(AND($K1336=2,$L1336&lt;$J1336,COUNTIFS(nrES_PID,$D1336,nrES_Code,$F1336,nrES_Att,1)&gt;0),"Yes","No")))</f>
        <v/>
      </c>
      <c r="S1336" s="18" t="n"/>
      <c r="T1336" s="19">
        <f>IF($Q1336&lt;&gt;"Yes","",IF($S1336="","(enter date)",_xlfn.LET(_xlpm.dn,IFERROR(_xlfn.XLOOKUP($S1336,nrCDdate,nrCDnum),""),IF(_xlpm.dn="","(not a class day)",IFERROR(_xlfn.XLOOKUP(_xlpm.dn+cfgRetestClassDays,nrCDnum,nrCDdate),"")))))</f>
        <v/>
      </c>
      <c r="U1336" s="17">
        <f>IF($Q1336&lt;&gt;"Yes","",IF(COUNTIFS(nrES_PID,$D1336,nrES_Code,$F1336,nrES_Att,2)&gt;0,"Retested",IF(OR($T1336="",NOT(ISNUMBER($T1336))),"Pending",IF(TODAY()&gt;$T1336,"OVERDUE","Due "&amp;TEXT($T1336,"mm/dd")))))</f>
        <v/>
      </c>
      <c r="V1336" s="16" t="n"/>
      <c r="W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K1337=1,IF(COUNTIFS(nrES_PID,$D1337,nrES_Code,$F1337,nrES_Att,2)&gt;0,"",$L1337),IF(COUNTIFS(nrES_PID,$D1337,nrES_Code,$F1337,nrES_Att,1)=0,$L1337,IF($L1337&gt;=$J1337,cfgRetakeRecordedCap,SUMIFS(nrES_Raw,nrES_PID,$D1337,nrES_Code,$F1337,nrES_Att,1))))))</f>
        <v/>
      </c>
      <c r="N1337" s="17">
        <f>IF($C1337="","",IF($L1337="","",IF($L1337&gt;=$J1337,"Yes","No")))</f>
        <v/>
      </c>
      <c r="O1337" s="17">
        <f>IF($C1337="","",IF($M1337="","",IF($M1337&gt;=$J1337,"Yes","No")))</f>
        <v/>
      </c>
      <c r="P1337" s="17">
        <f>IF($C1337="","",IF($K1337="","",IF(COUNTIFS(nrES_PID,$D1337,nrES_Code,$F1337,nrES_Att,"&gt;"&amp;$K1337)=0,"Yes","No")))</f>
        <v/>
      </c>
      <c r="Q1337" s="17">
        <f>IF($C1337="","",IF($L1337="","",IF(AND($K1337=1,$L1337&lt;$J1337,COUNTIFS(nrES_PID,$D1337,nrES_Code,$F1337,nrES_Att,2)=0),"Yes","No")))</f>
        <v/>
      </c>
      <c r="R1337" s="17">
        <f>IF($C1337="","",IF($L1337="","",IF(AND($K1337=2,$L1337&lt;$J1337,COUNTIFS(nrES_PID,$D1337,nrES_Code,$F1337,nrES_Att,1)&gt;0),"Yes","No")))</f>
        <v/>
      </c>
      <c r="S1337" s="18" t="n"/>
      <c r="T1337" s="19">
        <f>IF($Q1337&lt;&gt;"Yes","",IF($S1337="","(enter date)",_xlfn.LET(_xlpm.dn,IFERROR(_xlfn.XLOOKUP($S1337,nrCDdate,nrCDnum),""),IF(_xlpm.dn="","(not a class day)",IFERROR(_xlfn.XLOOKUP(_xlpm.dn+cfgRetestClassDays,nrCDnum,nrCDdate),"")))))</f>
        <v/>
      </c>
      <c r="U1337" s="17">
        <f>IF($Q1337&lt;&gt;"Yes","",IF(COUNTIFS(nrES_PID,$D1337,nrES_Code,$F1337,nrES_Att,2)&gt;0,"Retested",IF(OR($T1337="",NOT(ISNUMBER($T1337))),"Pending",IF(TODAY()&gt;$T1337,"OVERDUE","Due "&amp;TEXT($T1337,"mm/dd")))))</f>
        <v/>
      </c>
      <c r="V1337" s="16" t="n"/>
      <c r="W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K1338=1,IF(COUNTIFS(nrES_PID,$D1338,nrES_Code,$F1338,nrES_Att,2)&gt;0,"",$L1338),IF(COUNTIFS(nrES_PID,$D1338,nrES_Code,$F1338,nrES_Att,1)=0,$L1338,IF($L1338&gt;=$J1338,cfgRetakeRecordedCap,SUMIFS(nrES_Raw,nrES_PID,$D1338,nrES_Code,$F1338,nrES_Att,1))))))</f>
        <v/>
      </c>
      <c r="N1338" s="17">
        <f>IF($C1338="","",IF($L1338="","",IF($L1338&gt;=$J1338,"Yes","No")))</f>
        <v/>
      </c>
      <c r="O1338" s="17">
        <f>IF($C1338="","",IF($M1338="","",IF($M1338&gt;=$J1338,"Yes","No")))</f>
        <v/>
      </c>
      <c r="P1338" s="17">
        <f>IF($C1338="","",IF($K1338="","",IF(COUNTIFS(nrES_PID,$D1338,nrES_Code,$F1338,nrES_Att,"&gt;"&amp;$K1338)=0,"Yes","No")))</f>
        <v/>
      </c>
      <c r="Q1338" s="17">
        <f>IF($C1338="","",IF($L1338="","",IF(AND($K1338=1,$L1338&lt;$J1338,COUNTIFS(nrES_PID,$D1338,nrES_Code,$F1338,nrES_Att,2)=0),"Yes","No")))</f>
        <v/>
      </c>
      <c r="R1338" s="17">
        <f>IF($C1338="","",IF($L1338="","",IF(AND($K1338=2,$L1338&lt;$J1338,COUNTIFS(nrES_PID,$D1338,nrES_Code,$F1338,nrES_Att,1)&gt;0),"Yes","No")))</f>
        <v/>
      </c>
      <c r="S1338" s="18" t="n"/>
      <c r="T1338" s="19">
        <f>IF($Q1338&lt;&gt;"Yes","",IF($S1338="","(enter date)",_xlfn.LET(_xlpm.dn,IFERROR(_xlfn.XLOOKUP($S1338,nrCDdate,nrCDnum),""),IF(_xlpm.dn="","(not a class day)",IFERROR(_xlfn.XLOOKUP(_xlpm.dn+cfgRetestClassDays,nrCDnum,nrCDdate),"")))))</f>
        <v/>
      </c>
      <c r="U1338" s="17">
        <f>IF($Q1338&lt;&gt;"Yes","",IF(COUNTIFS(nrES_PID,$D1338,nrES_Code,$F1338,nrES_Att,2)&gt;0,"Retested",IF(OR($T1338="",NOT(ISNUMBER($T1338))),"Pending",IF(TODAY()&gt;$T1338,"OVERDUE","Due "&amp;TEXT($T1338,"mm/dd")))))</f>
        <v/>
      </c>
      <c r="V1338" s="16" t="n"/>
      <c r="W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K1339=1,IF(COUNTIFS(nrES_PID,$D1339,nrES_Code,$F1339,nrES_Att,2)&gt;0,"",$L1339),IF(COUNTIFS(nrES_PID,$D1339,nrES_Code,$F1339,nrES_Att,1)=0,$L1339,IF($L1339&gt;=$J1339,cfgRetakeRecordedCap,SUMIFS(nrES_Raw,nrES_PID,$D1339,nrES_Code,$F1339,nrES_Att,1))))))</f>
        <v/>
      </c>
      <c r="N1339" s="17">
        <f>IF($C1339="","",IF($L1339="","",IF($L1339&gt;=$J1339,"Yes","No")))</f>
        <v/>
      </c>
      <c r="O1339" s="17">
        <f>IF($C1339="","",IF($M1339="","",IF($M1339&gt;=$J1339,"Yes","No")))</f>
        <v/>
      </c>
      <c r="P1339" s="17">
        <f>IF($C1339="","",IF($K1339="","",IF(COUNTIFS(nrES_PID,$D1339,nrES_Code,$F1339,nrES_Att,"&gt;"&amp;$K1339)=0,"Yes","No")))</f>
        <v/>
      </c>
      <c r="Q1339" s="17">
        <f>IF($C1339="","",IF($L1339="","",IF(AND($K1339=1,$L1339&lt;$J1339,COUNTIFS(nrES_PID,$D1339,nrES_Code,$F1339,nrES_Att,2)=0),"Yes","No")))</f>
        <v/>
      </c>
      <c r="R1339" s="17">
        <f>IF($C1339="","",IF($L1339="","",IF(AND($K1339=2,$L1339&lt;$J1339,COUNTIFS(nrES_PID,$D1339,nrES_Code,$F1339,nrES_Att,1)&gt;0),"Yes","No")))</f>
        <v/>
      </c>
      <c r="S1339" s="18" t="n"/>
      <c r="T1339" s="19">
        <f>IF($Q1339&lt;&gt;"Yes","",IF($S1339="","(enter date)",_xlfn.LET(_xlpm.dn,IFERROR(_xlfn.XLOOKUP($S1339,nrCDdate,nrCDnum),""),IF(_xlpm.dn="","(not a class day)",IFERROR(_xlfn.XLOOKUP(_xlpm.dn+cfgRetestClassDays,nrCDnum,nrCDdate),"")))))</f>
        <v/>
      </c>
      <c r="U1339" s="17">
        <f>IF($Q1339&lt;&gt;"Yes","",IF(COUNTIFS(nrES_PID,$D1339,nrES_Code,$F1339,nrES_Att,2)&gt;0,"Retested",IF(OR($T1339="",NOT(ISNUMBER($T1339))),"Pending",IF(TODAY()&gt;$T1339,"OVERDUE","Due "&amp;TEXT($T1339,"mm/dd")))))</f>
        <v/>
      </c>
      <c r="V1339" s="16" t="n"/>
      <c r="W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K1340=1,IF(COUNTIFS(nrES_PID,$D1340,nrES_Code,$F1340,nrES_Att,2)&gt;0,"",$L1340),IF(COUNTIFS(nrES_PID,$D1340,nrES_Code,$F1340,nrES_Att,1)=0,$L1340,IF($L1340&gt;=$J1340,cfgRetakeRecordedCap,SUMIFS(nrES_Raw,nrES_PID,$D1340,nrES_Code,$F1340,nrES_Att,1))))))</f>
        <v/>
      </c>
      <c r="N1340" s="17">
        <f>IF($C1340="","",IF($L1340="","",IF($L1340&gt;=$J1340,"Yes","No")))</f>
        <v/>
      </c>
      <c r="O1340" s="17">
        <f>IF($C1340="","",IF($M1340="","",IF($M1340&gt;=$J1340,"Yes","No")))</f>
        <v/>
      </c>
      <c r="P1340" s="17">
        <f>IF($C1340="","",IF($K1340="","",IF(COUNTIFS(nrES_PID,$D1340,nrES_Code,$F1340,nrES_Att,"&gt;"&amp;$K1340)=0,"Yes","No")))</f>
        <v/>
      </c>
      <c r="Q1340" s="17">
        <f>IF($C1340="","",IF($L1340="","",IF(AND($K1340=1,$L1340&lt;$J1340,COUNTIFS(nrES_PID,$D1340,nrES_Code,$F1340,nrES_Att,2)=0),"Yes","No")))</f>
        <v/>
      </c>
      <c r="R1340" s="17">
        <f>IF($C1340="","",IF($L1340="","",IF(AND($K1340=2,$L1340&lt;$J1340,COUNTIFS(nrES_PID,$D1340,nrES_Code,$F1340,nrES_Att,1)&gt;0),"Yes","No")))</f>
        <v/>
      </c>
      <c r="S1340" s="18" t="n"/>
      <c r="T1340" s="19">
        <f>IF($Q1340&lt;&gt;"Yes","",IF($S1340="","(enter date)",_xlfn.LET(_xlpm.dn,IFERROR(_xlfn.XLOOKUP($S1340,nrCDdate,nrCDnum),""),IF(_xlpm.dn="","(not a class day)",IFERROR(_xlfn.XLOOKUP(_xlpm.dn+cfgRetestClassDays,nrCDnum,nrCDdate),"")))))</f>
        <v/>
      </c>
      <c r="U1340" s="17">
        <f>IF($Q1340&lt;&gt;"Yes","",IF(COUNTIFS(nrES_PID,$D1340,nrES_Code,$F1340,nrES_Att,2)&gt;0,"Retested",IF(OR($T1340="",NOT(ISNUMBER($T1340))),"Pending",IF(TODAY()&gt;$T1340,"OVERDUE","Due "&amp;TEXT($T1340,"mm/dd")))))</f>
        <v/>
      </c>
      <c r="V1340" s="16" t="n"/>
      <c r="W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K1341=1,IF(COUNTIFS(nrES_PID,$D1341,nrES_Code,$F1341,nrES_Att,2)&gt;0,"",$L1341),IF(COUNTIFS(nrES_PID,$D1341,nrES_Code,$F1341,nrES_Att,1)=0,$L1341,IF($L1341&gt;=$J1341,cfgRetakeRecordedCap,SUMIFS(nrES_Raw,nrES_PID,$D1341,nrES_Code,$F1341,nrES_Att,1))))))</f>
        <v/>
      </c>
      <c r="N1341" s="17">
        <f>IF($C1341="","",IF($L1341="","",IF($L1341&gt;=$J1341,"Yes","No")))</f>
        <v/>
      </c>
      <c r="O1341" s="17">
        <f>IF($C1341="","",IF($M1341="","",IF($M1341&gt;=$J1341,"Yes","No")))</f>
        <v/>
      </c>
      <c r="P1341" s="17">
        <f>IF($C1341="","",IF($K1341="","",IF(COUNTIFS(nrES_PID,$D1341,nrES_Code,$F1341,nrES_Att,"&gt;"&amp;$K1341)=0,"Yes","No")))</f>
        <v/>
      </c>
      <c r="Q1341" s="17">
        <f>IF($C1341="","",IF($L1341="","",IF(AND($K1341=1,$L1341&lt;$J1341,COUNTIFS(nrES_PID,$D1341,nrES_Code,$F1341,nrES_Att,2)=0),"Yes","No")))</f>
        <v/>
      </c>
      <c r="R1341" s="17">
        <f>IF($C1341="","",IF($L1341="","",IF(AND($K1341=2,$L1341&lt;$J1341,COUNTIFS(nrES_PID,$D1341,nrES_Code,$F1341,nrES_Att,1)&gt;0),"Yes","No")))</f>
        <v/>
      </c>
      <c r="S1341" s="18" t="n"/>
      <c r="T1341" s="19">
        <f>IF($Q1341&lt;&gt;"Yes","",IF($S1341="","(enter date)",_xlfn.LET(_xlpm.dn,IFERROR(_xlfn.XLOOKUP($S1341,nrCDdate,nrCDnum),""),IF(_xlpm.dn="","(not a class day)",IFERROR(_xlfn.XLOOKUP(_xlpm.dn+cfgRetestClassDays,nrCDnum,nrCDdate),"")))))</f>
        <v/>
      </c>
      <c r="U1341" s="17">
        <f>IF($Q1341&lt;&gt;"Yes","",IF(COUNTIFS(nrES_PID,$D1341,nrES_Code,$F1341,nrES_Att,2)&gt;0,"Retested",IF(OR($T1341="",NOT(ISNUMBER($T1341))),"Pending",IF(TODAY()&gt;$T1341,"OVERDUE","Due "&amp;TEXT($T1341,"mm/dd")))))</f>
        <v/>
      </c>
      <c r="V1341" s="16" t="n"/>
      <c r="W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K1342=1,IF(COUNTIFS(nrES_PID,$D1342,nrES_Code,$F1342,nrES_Att,2)&gt;0,"",$L1342),IF(COUNTIFS(nrES_PID,$D1342,nrES_Code,$F1342,nrES_Att,1)=0,$L1342,IF($L1342&gt;=$J1342,cfgRetakeRecordedCap,SUMIFS(nrES_Raw,nrES_PID,$D1342,nrES_Code,$F1342,nrES_Att,1))))))</f>
        <v/>
      </c>
      <c r="N1342" s="17">
        <f>IF($C1342="","",IF($L1342="","",IF($L1342&gt;=$J1342,"Yes","No")))</f>
        <v/>
      </c>
      <c r="O1342" s="17">
        <f>IF($C1342="","",IF($M1342="","",IF($M1342&gt;=$J1342,"Yes","No")))</f>
        <v/>
      </c>
      <c r="P1342" s="17">
        <f>IF($C1342="","",IF($K1342="","",IF(COUNTIFS(nrES_PID,$D1342,nrES_Code,$F1342,nrES_Att,"&gt;"&amp;$K1342)=0,"Yes","No")))</f>
        <v/>
      </c>
      <c r="Q1342" s="17">
        <f>IF($C1342="","",IF($L1342="","",IF(AND($K1342=1,$L1342&lt;$J1342,COUNTIFS(nrES_PID,$D1342,nrES_Code,$F1342,nrES_Att,2)=0),"Yes","No")))</f>
        <v/>
      </c>
      <c r="R1342" s="17">
        <f>IF($C1342="","",IF($L1342="","",IF(AND($K1342=2,$L1342&lt;$J1342,COUNTIFS(nrES_PID,$D1342,nrES_Code,$F1342,nrES_Att,1)&gt;0),"Yes","No")))</f>
        <v/>
      </c>
      <c r="S1342" s="18" t="n"/>
      <c r="T1342" s="19">
        <f>IF($Q1342&lt;&gt;"Yes","",IF($S1342="","(enter date)",_xlfn.LET(_xlpm.dn,IFERROR(_xlfn.XLOOKUP($S1342,nrCDdate,nrCDnum),""),IF(_xlpm.dn="","(not a class day)",IFERROR(_xlfn.XLOOKUP(_xlpm.dn+cfgRetestClassDays,nrCDnum,nrCDdate),"")))))</f>
        <v/>
      </c>
      <c r="U1342" s="17">
        <f>IF($Q1342&lt;&gt;"Yes","",IF(COUNTIFS(nrES_PID,$D1342,nrES_Code,$F1342,nrES_Att,2)&gt;0,"Retested",IF(OR($T1342="",NOT(ISNUMBER($T1342))),"Pending",IF(TODAY()&gt;$T1342,"OVERDUE","Due "&amp;TEXT($T1342,"mm/dd")))))</f>
        <v/>
      </c>
      <c r="V1342" s="16" t="n"/>
      <c r="W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K1343=1,IF(COUNTIFS(nrES_PID,$D1343,nrES_Code,$F1343,nrES_Att,2)&gt;0,"",$L1343),IF(COUNTIFS(nrES_PID,$D1343,nrES_Code,$F1343,nrES_Att,1)=0,$L1343,IF($L1343&gt;=$J1343,cfgRetakeRecordedCap,SUMIFS(nrES_Raw,nrES_PID,$D1343,nrES_Code,$F1343,nrES_Att,1))))))</f>
        <v/>
      </c>
      <c r="N1343" s="17">
        <f>IF($C1343="","",IF($L1343="","",IF($L1343&gt;=$J1343,"Yes","No")))</f>
        <v/>
      </c>
      <c r="O1343" s="17">
        <f>IF($C1343="","",IF($M1343="","",IF($M1343&gt;=$J1343,"Yes","No")))</f>
        <v/>
      </c>
      <c r="P1343" s="17">
        <f>IF($C1343="","",IF($K1343="","",IF(COUNTIFS(nrES_PID,$D1343,nrES_Code,$F1343,nrES_Att,"&gt;"&amp;$K1343)=0,"Yes","No")))</f>
        <v/>
      </c>
      <c r="Q1343" s="17">
        <f>IF($C1343="","",IF($L1343="","",IF(AND($K1343=1,$L1343&lt;$J1343,COUNTIFS(nrES_PID,$D1343,nrES_Code,$F1343,nrES_Att,2)=0),"Yes","No")))</f>
        <v/>
      </c>
      <c r="R1343" s="17">
        <f>IF($C1343="","",IF($L1343="","",IF(AND($K1343=2,$L1343&lt;$J1343,COUNTIFS(nrES_PID,$D1343,nrES_Code,$F1343,nrES_Att,1)&gt;0),"Yes","No")))</f>
        <v/>
      </c>
      <c r="S1343" s="18" t="n"/>
      <c r="T1343" s="19">
        <f>IF($Q1343&lt;&gt;"Yes","",IF($S1343="","(enter date)",_xlfn.LET(_xlpm.dn,IFERROR(_xlfn.XLOOKUP($S1343,nrCDdate,nrCDnum),""),IF(_xlpm.dn="","(not a class day)",IFERROR(_xlfn.XLOOKUP(_xlpm.dn+cfgRetestClassDays,nrCDnum,nrCDdate),"")))))</f>
        <v/>
      </c>
      <c r="U1343" s="17">
        <f>IF($Q1343&lt;&gt;"Yes","",IF(COUNTIFS(nrES_PID,$D1343,nrES_Code,$F1343,nrES_Att,2)&gt;0,"Retested",IF(OR($T1343="",NOT(ISNUMBER($T1343))),"Pending",IF(TODAY()&gt;$T1343,"OVERDUE","Due "&amp;TEXT($T1343,"mm/dd")))))</f>
        <v/>
      </c>
      <c r="V1343" s="16" t="n"/>
      <c r="W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K1344=1,IF(COUNTIFS(nrES_PID,$D1344,nrES_Code,$F1344,nrES_Att,2)&gt;0,"",$L1344),IF(COUNTIFS(nrES_PID,$D1344,nrES_Code,$F1344,nrES_Att,1)=0,$L1344,IF($L1344&gt;=$J1344,cfgRetakeRecordedCap,SUMIFS(nrES_Raw,nrES_PID,$D1344,nrES_Code,$F1344,nrES_Att,1))))))</f>
        <v/>
      </c>
      <c r="N1344" s="17">
        <f>IF($C1344="","",IF($L1344="","",IF($L1344&gt;=$J1344,"Yes","No")))</f>
        <v/>
      </c>
      <c r="O1344" s="17">
        <f>IF($C1344="","",IF($M1344="","",IF($M1344&gt;=$J1344,"Yes","No")))</f>
        <v/>
      </c>
      <c r="P1344" s="17">
        <f>IF($C1344="","",IF($K1344="","",IF(COUNTIFS(nrES_PID,$D1344,nrES_Code,$F1344,nrES_Att,"&gt;"&amp;$K1344)=0,"Yes","No")))</f>
        <v/>
      </c>
      <c r="Q1344" s="17">
        <f>IF($C1344="","",IF($L1344="","",IF(AND($K1344=1,$L1344&lt;$J1344,COUNTIFS(nrES_PID,$D1344,nrES_Code,$F1344,nrES_Att,2)=0),"Yes","No")))</f>
        <v/>
      </c>
      <c r="R1344" s="17">
        <f>IF($C1344="","",IF($L1344="","",IF(AND($K1344=2,$L1344&lt;$J1344,COUNTIFS(nrES_PID,$D1344,nrES_Code,$F1344,nrES_Att,1)&gt;0),"Yes","No")))</f>
        <v/>
      </c>
      <c r="S1344" s="18" t="n"/>
      <c r="T1344" s="19">
        <f>IF($Q1344&lt;&gt;"Yes","",IF($S1344="","(enter date)",_xlfn.LET(_xlpm.dn,IFERROR(_xlfn.XLOOKUP($S1344,nrCDdate,nrCDnum),""),IF(_xlpm.dn="","(not a class day)",IFERROR(_xlfn.XLOOKUP(_xlpm.dn+cfgRetestClassDays,nrCDnum,nrCDdate),"")))))</f>
        <v/>
      </c>
      <c r="U1344" s="17">
        <f>IF($Q1344&lt;&gt;"Yes","",IF(COUNTIFS(nrES_PID,$D1344,nrES_Code,$F1344,nrES_Att,2)&gt;0,"Retested",IF(OR($T1344="",NOT(ISNUMBER($T1344))),"Pending",IF(TODAY()&gt;$T1344,"OVERDUE","Due "&amp;TEXT($T1344,"mm/dd")))))</f>
        <v/>
      </c>
      <c r="V1344" s="16" t="n"/>
      <c r="W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K1345=1,IF(COUNTIFS(nrES_PID,$D1345,nrES_Code,$F1345,nrES_Att,2)&gt;0,"",$L1345),IF(COUNTIFS(nrES_PID,$D1345,nrES_Code,$F1345,nrES_Att,1)=0,$L1345,IF($L1345&gt;=$J1345,cfgRetakeRecordedCap,SUMIFS(nrES_Raw,nrES_PID,$D1345,nrES_Code,$F1345,nrES_Att,1))))))</f>
        <v/>
      </c>
      <c r="N1345" s="17">
        <f>IF($C1345="","",IF($L1345="","",IF($L1345&gt;=$J1345,"Yes","No")))</f>
        <v/>
      </c>
      <c r="O1345" s="17">
        <f>IF($C1345="","",IF($M1345="","",IF($M1345&gt;=$J1345,"Yes","No")))</f>
        <v/>
      </c>
      <c r="P1345" s="17">
        <f>IF($C1345="","",IF($K1345="","",IF(COUNTIFS(nrES_PID,$D1345,nrES_Code,$F1345,nrES_Att,"&gt;"&amp;$K1345)=0,"Yes","No")))</f>
        <v/>
      </c>
      <c r="Q1345" s="17">
        <f>IF($C1345="","",IF($L1345="","",IF(AND($K1345=1,$L1345&lt;$J1345,COUNTIFS(nrES_PID,$D1345,nrES_Code,$F1345,nrES_Att,2)=0),"Yes","No")))</f>
        <v/>
      </c>
      <c r="R1345" s="17">
        <f>IF($C1345="","",IF($L1345="","",IF(AND($K1345=2,$L1345&lt;$J1345,COUNTIFS(nrES_PID,$D1345,nrES_Code,$F1345,nrES_Att,1)&gt;0),"Yes","No")))</f>
        <v/>
      </c>
      <c r="S1345" s="18" t="n"/>
      <c r="T1345" s="19">
        <f>IF($Q1345&lt;&gt;"Yes","",IF($S1345="","(enter date)",_xlfn.LET(_xlpm.dn,IFERROR(_xlfn.XLOOKUP($S1345,nrCDdate,nrCDnum),""),IF(_xlpm.dn="","(not a class day)",IFERROR(_xlfn.XLOOKUP(_xlpm.dn+cfgRetestClassDays,nrCDnum,nrCDdate),"")))))</f>
        <v/>
      </c>
      <c r="U1345" s="17">
        <f>IF($Q1345&lt;&gt;"Yes","",IF(COUNTIFS(nrES_PID,$D1345,nrES_Code,$F1345,nrES_Att,2)&gt;0,"Retested",IF(OR($T1345="",NOT(ISNUMBER($T1345))),"Pending",IF(TODAY()&gt;$T1345,"OVERDUE","Due "&amp;TEXT($T1345,"mm/dd")))))</f>
        <v/>
      </c>
      <c r="V1345" s="16" t="n"/>
      <c r="W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K1346=1,IF(COUNTIFS(nrES_PID,$D1346,nrES_Code,$F1346,nrES_Att,2)&gt;0,"",$L1346),IF(COUNTIFS(nrES_PID,$D1346,nrES_Code,$F1346,nrES_Att,1)=0,$L1346,IF($L1346&gt;=$J1346,cfgRetakeRecordedCap,SUMIFS(nrES_Raw,nrES_PID,$D1346,nrES_Code,$F1346,nrES_Att,1))))))</f>
        <v/>
      </c>
      <c r="N1346" s="17">
        <f>IF($C1346="","",IF($L1346="","",IF($L1346&gt;=$J1346,"Yes","No")))</f>
        <v/>
      </c>
      <c r="O1346" s="17">
        <f>IF($C1346="","",IF($M1346="","",IF($M1346&gt;=$J1346,"Yes","No")))</f>
        <v/>
      </c>
      <c r="P1346" s="17">
        <f>IF($C1346="","",IF($K1346="","",IF(COUNTIFS(nrES_PID,$D1346,nrES_Code,$F1346,nrES_Att,"&gt;"&amp;$K1346)=0,"Yes","No")))</f>
        <v/>
      </c>
      <c r="Q1346" s="17">
        <f>IF($C1346="","",IF($L1346="","",IF(AND($K1346=1,$L1346&lt;$J1346,COUNTIFS(nrES_PID,$D1346,nrES_Code,$F1346,nrES_Att,2)=0),"Yes","No")))</f>
        <v/>
      </c>
      <c r="R1346" s="17">
        <f>IF($C1346="","",IF($L1346="","",IF(AND($K1346=2,$L1346&lt;$J1346,COUNTIFS(nrES_PID,$D1346,nrES_Code,$F1346,nrES_Att,1)&gt;0),"Yes","No")))</f>
        <v/>
      </c>
      <c r="S1346" s="18" t="n"/>
      <c r="T1346" s="19">
        <f>IF($Q1346&lt;&gt;"Yes","",IF($S1346="","(enter date)",_xlfn.LET(_xlpm.dn,IFERROR(_xlfn.XLOOKUP($S1346,nrCDdate,nrCDnum),""),IF(_xlpm.dn="","(not a class day)",IFERROR(_xlfn.XLOOKUP(_xlpm.dn+cfgRetestClassDays,nrCDnum,nrCDdate),"")))))</f>
        <v/>
      </c>
      <c r="U1346" s="17">
        <f>IF($Q1346&lt;&gt;"Yes","",IF(COUNTIFS(nrES_PID,$D1346,nrES_Code,$F1346,nrES_Att,2)&gt;0,"Retested",IF(OR($T1346="",NOT(ISNUMBER($T1346))),"Pending",IF(TODAY()&gt;$T1346,"OVERDUE","Due "&amp;TEXT($T1346,"mm/dd")))))</f>
        <v/>
      </c>
      <c r="V1346" s="16" t="n"/>
      <c r="W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K1347=1,IF(COUNTIFS(nrES_PID,$D1347,nrES_Code,$F1347,nrES_Att,2)&gt;0,"",$L1347),IF(COUNTIFS(nrES_PID,$D1347,nrES_Code,$F1347,nrES_Att,1)=0,$L1347,IF($L1347&gt;=$J1347,cfgRetakeRecordedCap,SUMIFS(nrES_Raw,nrES_PID,$D1347,nrES_Code,$F1347,nrES_Att,1))))))</f>
        <v/>
      </c>
      <c r="N1347" s="17">
        <f>IF($C1347="","",IF($L1347="","",IF($L1347&gt;=$J1347,"Yes","No")))</f>
        <v/>
      </c>
      <c r="O1347" s="17">
        <f>IF($C1347="","",IF($M1347="","",IF($M1347&gt;=$J1347,"Yes","No")))</f>
        <v/>
      </c>
      <c r="P1347" s="17">
        <f>IF($C1347="","",IF($K1347="","",IF(COUNTIFS(nrES_PID,$D1347,nrES_Code,$F1347,nrES_Att,"&gt;"&amp;$K1347)=0,"Yes","No")))</f>
        <v/>
      </c>
      <c r="Q1347" s="17">
        <f>IF($C1347="","",IF($L1347="","",IF(AND($K1347=1,$L1347&lt;$J1347,COUNTIFS(nrES_PID,$D1347,nrES_Code,$F1347,nrES_Att,2)=0),"Yes","No")))</f>
        <v/>
      </c>
      <c r="R1347" s="17">
        <f>IF($C1347="","",IF($L1347="","",IF(AND($K1347=2,$L1347&lt;$J1347,COUNTIFS(nrES_PID,$D1347,nrES_Code,$F1347,nrES_Att,1)&gt;0),"Yes","No")))</f>
        <v/>
      </c>
      <c r="S1347" s="18" t="n"/>
      <c r="T1347" s="19">
        <f>IF($Q1347&lt;&gt;"Yes","",IF($S1347="","(enter date)",_xlfn.LET(_xlpm.dn,IFERROR(_xlfn.XLOOKUP($S1347,nrCDdate,nrCDnum),""),IF(_xlpm.dn="","(not a class day)",IFERROR(_xlfn.XLOOKUP(_xlpm.dn+cfgRetestClassDays,nrCDnum,nrCDdate),"")))))</f>
        <v/>
      </c>
      <c r="U1347" s="17">
        <f>IF($Q1347&lt;&gt;"Yes","",IF(COUNTIFS(nrES_PID,$D1347,nrES_Code,$F1347,nrES_Att,2)&gt;0,"Retested",IF(OR($T1347="",NOT(ISNUMBER($T1347))),"Pending",IF(TODAY()&gt;$T1347,"OVERDUE","Due "&amp;TEXT($T1347,"mm/dd")))))</f>
        <v/>
      </c>
      <c r="V1347" s="16" t="n"/>
      <c r="W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K1348=1,IF(COUNTIFS(nrES_PID,$D1348,nrES_Code,$F1348,nrES_Att,2)&gt;0,"",$L1348),IF(COUNTIFS(nrES_PID,$D1348,nrES_Code,$F1348,nrES_Att,1)=0,$L1348,IF($L1348&gt;=$J1348,cfgRetakeRecordedCap,SUMIFS(nrES_Raw,nrES_PID,$D1348,nrES_Code,$F1348,nrES_Att,1))))))</f>
        <v/>
      </c>
      <c r="N1348" s="17">
        <f>IF($C1348="","",IF($L1348="","",IF($L1348&gt;=$J1348,"Yes","No")))</f>
        <v/>
      </c>
      <c r="O1348" s="17">
        <f>IF($C1348="","",IF($M1348="","",IF($M1348&gt;=$J1348,"Yes","No")))</f>
        <v/>
      </c>
      <c r="P1348" s="17">
        <f>IF($C1348="","",IF($K1348="","",IF(COUNTIFS(nrES_PID,$D1348,nrES_Code,$F1348,nrES_Att,"&gt;"&amp;$K1348)=0,"Yes","No")))</f>
        <v/>
      </c>
      <c r="Q1348" s="17">
        <f>IF($C1348="","",IF($L1348="","",IF(AND($K1348=1,$L1348&lt;$J1348,COUNTIFS(nrES_PID,$D1348,nrES_Code,$F1348,nrES_Att,2)=0),"Yes","No")))</f>
        <v/>
      </c>
      <c r="R1348" s="17">
        <f>IF($C1348="","",IF($L1348="","",IF(AND($K1348=2,$L1348&lt;$J1348,COUNTIFS(nrES_PID,$D1348,nrES_Code,$F1348,nrES_Att,1)&gt;0),"Yes","No")))</f>
        <v/>
      </c>
      <c r="S1348" s="18" t="n"/>
      <c r="T1348" s="19">
        <f>IF($Q1348&lt;&gt;"Yes","",IF($S1348="","(enter date)",_xlfn.LET(_xlpm.dn,IFERROR(_xlfn.XLOOKUP($S1348,nrCDdate,nrCDnum),""),IF(_xlpm.dn="","(not a class day)",IFERROR(_xlfn.XLOOKUP(_xlpm.dn+cfgRetestClassDays,nrCDnum,nrCDdate),"")))))</f>
        <v/>
      </c>
      <c r="U1348" s="17">
        <f>IF($Q1348&lt;&gt;"Yes","",IF(COUNTIFS(nrES_PID,$D1348,nrES_Code,$F1348,nrES_Att,2)&gt;0,"Retested",IF(OR($T1348="",NOT(ISNUMBER($T1348))),"Pending",IF(TODAY()&gt;$T1348,"OVERDUE","Due "&amp;TEXT($T1348,"mm/dd")))))</f>
        <v/>
      </c>
      <c r="V1348" s="16" t="n"/>
      <c r="W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K1349=1,IF(COUNTIFS(nrES_PID,$D1349,nrES_Code,$F1349,nrES_Att,2)&gt;0,"",$L1349),IF(COUNTIFS(nrES_PID,$D1349,nrES_Code,$F1349,nrES_Att,1)=0,$L1349,IF($L1349&gt;=$J1349,cfgRetakeRecordedCap,SUMIFS(nrES_Raw,nrES_PID,$D1349,nrES_Code,$F1349,nrES_Att,1))))))</f>
        <v/>
      </c>
      <c r="N1349" s="17">
        <f>IF($C1349="","",IF($L1349="","",IF($L1349&gt;=$J1349,"Yes","No")))</f>
        <v/>
      </c>
      <c r="O1349" s="17">
        <f>IF($C1349="","",IF($M1349="","",IF($M1349&gt;=$J1349,"Yes","No")))</f>
        <v/>
      </c>
      <c r="P1349" s="17">
        <f>IF($C1349="","",IF($K1349="","",IF(COUNTIFS(nrES_PID,$D1349,nrES_Code,$F1349,nrES_Att,"&gt;"&amp;$K1349)=0,"Yes","No")))</f>
        <v/>
      </c>
      <c r="Q1349" s="17">
        <f>IF($C1349="","",IF($L1349="","",IF(AND($K1349=1,$L1349&lt;$J1349,COUNTIFS(nrES_PID,$D1349,nrES_Code,$F1349,nrES_Att,2)=0),"Yes","No")))</f>
        <v/>
      </c>
      <c r="R1349" s="17">
        <f>IF($C1349="","",IF($L1349="","",IF(AND($K1349=2,$L1349&lt;$J1349,COUNTIFS(nrES_PID,$D1349,nrES_Code,$F1349,nrES_Att,1)&gt;0),"Yes","No")))</f>
        <v/>
      </c>
      <c r="S1349" s="18" t="n"/>
      <c r="T1349" s="19">
        <f>IF($Q1349&lt;&gt;"Yes","",IF($S1349="","(enter date)",_xlfn.LET(_xlpm.dn,IFERROR(_xlfn.XLOOKUP($S1349,nrCDdate,nrCDnum),""),IF(_xlpm.dn="","(not a class day)",IFERROR(_xlfn.XLOOKUP(_xlpm.dn+cfgRetestClassDays,nrCDnum,nrCDdate),"")))))</f>
        <v/>
      </c>
      <c r="U1349" s="17">
        <f>IF($Q1349&lt;&gt;"Yes","",IF(COUNTIFS(nrES_PID,$D1349,nrES_Code,$F1349,nrES_Att,2)&gt;0,"Retested",IF(OR($T1349="",NOT(ISNUMBER($T1349))),"Pending",IF(TODAY()&gt;$T1349,"OVERDUE","Due "&amp;TEXT($T1349,"mm/dd")))))</f>
        <v/>
      </c>
      <c r="V1349" s="16" t="n"/>
      <c r="W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K1350=1,IF(COUNTIFS(nrES_PID,$D1350,nrES_Code,$F1350,nrES_Att,2)&gt;0,"",$L1350),IF(COUNTIFS(nrES_PID,$D1350,nrES_Code,$F1350,nrES_Att,1)=0,$L1350,IF($L1350&gt;=$J1350,cfgRetakeRecordedCap,SUMIFS(nrES_Raw,nrES_PID,$D1350,nrES_Code,$F1350,nrES_Att,1))))))</f>
        <v/>
      </c>
      <c r="N1350" s="17">
        <f>IF($C1350="","",IF($L1350="","",IF($L1350&gt;=$J1350,"Yes","No")))</f>
        <v/>
      </c>
      <c r="O1350" s="17">
        <f>IF($C1350="","",IF($M1350="","",IF($M1350&gt;=$J1350,"Yes","No")))</f>
        <v/>
      </c>
      <c r="P1350" s="17">
        <f>IF($C1350="","",IF($K1350="","",IF(COUNTIFS(nrES_PID,$D1350,nrES_Code,$F1350,nrES_Att,"&gt;"&amp;$K1350)=0,"Yes","No")))</f>
        <v/>
      </c>
      <c r="Q1350" s="17">
        <f>IF($C1350="","",IF($L1350="","",IF(AND($K1350=1,$L1350&lt;$J1350,COUNTIFS(nrES_PID,$D1350,nrES_Code,$F1350,nrES_Att,2)=0),"Yes","No")))</f>
        <v/>
      </c>
      <c r="R1350" s="17">
        <f>IF($C1350="","",IF($L1350="","",IF(AND($K1350=2,$L1350&lt;$J1350,COUNTIFS(nrES_PID,$D1350,nrES_Code,$F1350,nrES_Att,1)&gt;0),"Yes","No")))</f>
        <v/>
      </c>
      <c r="S1350" s="18" t="n"/>
      <c r="T1350" s="19">
        <f>IF($Q1350&lt;&gt;"Yes","",IF($S1350="","(enter date)",_xlfn.LET(_xlpm.dn,IFERROR(_xlfn.XLOOKUP($S1350,nrCDdate,nrCDnum),""),IF(_xlpm.dn="","(not a class day)",IFERROR(_xlfn.XLOOKUP(_xlpm.dn+cfgRetestClassDays,nrCDnum,nrCDdate),"")))))</f>
        <v/>
      </c>
      <c r="U1350" s="17">
        <f>IF($Q1350&lt;&gt;"Yes","",IF(COUNTIFS(nrES_PID,$D1350,nrES_Code,$F1350,nrES_Att,2)&gt;0,"Retested",IF(OR($T1350="",NOT(ISNUMBER($T1350))),"Pending",IF(TODAY()&gt;$T1350,"OVERDUE","Due "&amp;TEXT($T1350,"mm/dd")))))</f>
        <v/>
      </c>
      <c r="V1350" s="16" t="n"/>
      <c r="W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K1351=1,IF(COUNTIFS(nrES_PID,$D1351,nrES_Code,$F1351,nrES_Att,2)&gt;0,"",$L1351),IF(COUNTIFS(nrES_PID,$D1351,nrES_Code,$F1351,nrES_Att,1)=0,$L1351,IF($L1351&gt;=$J1351,cfgRetakeRecordedCap,SUMIFS(nrES_Raw,nrES_PID,$D1351,nrES_Code,$F1351,nrES_Att,1))))))</f>
        <v/>
      </c>
      <c r="N1351" s="17">
        <f>IF($C1351="","",IF($L1351="","",IF($L1351&gt;=$J1351,"Yes","No")))</f>
        <v/>
      </c>
      <c r="O1351" s="17">
        <f>IF($C1351="","",IF($M1351="","",IF($M1351&gt;=$J1351,"Yes","No")))</f>
        <v/>
      </c>
      <c r="P1351" s="17">
        <f>IF($C1351="","",IF($K1351="","",IF(COUNTIFS(nrES_PID,$D1351,nrES_Code,$F1351,nrES_Att,"&gt;"&amp;$K1351)=0,"Yes","No")))</f>
        <v/>
      </c>
      <c r="Q1351" s="17">
        <f>IF($C1351="","",IF($L1351="","",IF(AND($K1351=1,$L1351&lt;$J1351,COUNTIFS(nrES_PID,$D1351,nrES_Code,$F1351,nrES_Att,2)=0),"Yes","No")))</f>
        <v/>
      </c>
      <c r="R1351" s="17">
        <f>IF($C1351="","",IF($L1351="","",IF(AND($K1351=2,$L1351&lt;$J1351,COUNTIFS(nrES_PID,$D1351,nrES_Code,$F1351,nrES_Att,1)&gt;0),"Yes","No")))</f>
        <v/>
      </c>
      <c r="S1351" s="18" t="n"/>
      <c r="T1351" s="19">
        <f>IF($Q1351&lt;&gt;"Yes","",IF($S1351="","(enter date)",_xlfn.LET(_xlpm.dn,IFERROR(_xlfn.XLOOKUP($S1351,nrCDdate,nrCDnum),""),IF(_xlpm.dn="","(not a class day)",IFERROR(_xlfn.XLOOKUP(_xlpm.dn+cfgRetestClassDays,nrCDnum,nrCDdate),"")))))</f>
        <v/>
      </c>
      <c r="U1351" s="17">
        <f>IF($Q1351&lt;&gt;"Yes","",IF(COUNTIFS(nrES_PID,$D1351,nrES_Code,$F1351,nrES_Att,2)&gt;0,"Retested",IF(OR($T1351="",NOT(ISNUMBER($T1351))),"Pending",IF(TODAY()&gt;$T1351,"OVERDUE","Due "&amp;TEXT($T1351,"mm/dd")))))</f>
        <v/>
      </c>
      <c r="V1351" s="16" t="n"/>
      <c r="W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K1352=1,IF(COUNTIFS(nrES_PID,$D1352,nrES_Code,$F1352,nrES_Att,2)&gt;0,"",$L1352),IF(COUNTIFS(nrES_PID,$D1352,nrES_Code,$F1352,nrES_Att,1)=0,$L1352,IF($L1352&gt;=$J1352,cfgRetakeRecordedCap,SUMIFS(nrES_Raw,nrES_PID,$D1352,nrES_Code,$F1352,nrES_Att,1))))))</f>
        <v/>
      </c>
      <c r="N1352" s="17">
        <f>IF($C1352="","",IF($L1352="","",IF($L1352&gt;=$J1352,"Yes","No")))</f>
        <v/>
      </c>
      <c r="O1352" s="17">
        <f>IF($C1352="","",IF($M1352="","",IF($M1352&gt;=$J1352,"Yes","No")))</f>
        <v/>
      </c>
      <c r="P1352" s="17">
        <f>IF($C1352="","",IF($K1352="","",IF(COUNTIFS(nrES_PID,$D1352,nrES_Code,$F1352,nrES_Att,"&gt;"&amp;$K1352)=0,"Yes","No")))</f>
        <v/>
      </c>
      <c r="Q1352" s="17">
        <f>IF($C1352="","",IF($L1352="","",IF(AND($K1352=1,$L1352&lt;$J1352,COUNTIFS(nrES_PID,$D1352,nrES_Code,$F1352,nrES_Att,2)=0),"Yes","No")))</f>
        <v/>
      </c>
      <c r="R1352" s="17">
        <f>IF($C1352="","",IF($L1352="","",IF(AND($K1352=2,$L1352&lt;$J1352,COUNTIFS(nrES_PID,$D1352,nrES_Code,$F1352,nrES_Att,1)&gt;0),"Yes","No")))</f>
        <v/>
      </c>
      <c r="S1352" s="18" t="n"/>
      <c r="T1352" s="19">
        <f>IF($Q1352&lt;&gt;"Yes","",IF($S1352="","(enter date)",_xlfn.LET(_xlpm.dn,IFERROR(_xlfn.XLOOKUP($S1352,nrCDdate,nrCDnum),""),IF(_xlpm.dn="","(not a class day)",IFERROR(_xlfn.XLOOKUP(_xlpm.dn+cfgRetestClassDays,nrCDnum,nrCDdate),"")))))</f>
        <v/>
      </c>
      <c r="U1352" s="17">
        <f>IF($Q1352&lt;&gt;"Yes","",IF(COUNTIFS(nrES_PID,$D1352,nrES_Code,$F1352,nrES_Att,2)&gt;0,"Retested",IF(OR($T1352="",NOT(ISNUMBER($T1352))),"Pending",IF(TODAY()&gt;$T1352,"OVERDUE","Due "&amp;TEXT($T1352,"mm/dd")))))</f>
        <v/>
      </c>
      <c r="V1352" s="16" t="n"/>
      <c r="W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K1353=1,IF(COUNTIFS(nrES_PID,$D1353,nrES_Code,$F1353,nrES_Att,2)&gt;0,"",$L1353),IF(COUNTIFS(nrES_PID,$D1353,nrES_Code,$F1353,nrES_Att,1)=0,$L1353,IF($L1353&gt;=$J1353,cfgRetakeRecordedCap,SUMIFS(nrES_Raw,nrES_PID,$D1353,nrES_Code,$F1353,nrES_Att,1))))))</f>
        <v/>
      </c>
      <c r="N1353" s="17">
        <f>IF($C1353="","",IF($L1353="","",IF($L1353&gt;=$J1353,"Yes","No")))</f>
        <v/>
      </c>
      <c r="O1353" s="17">
        <f>IF($C1353="","",IF($M1353="","",IF($M1353&gt;=$J1353,"Yes","No")))</f>
        <v/>
      </c>
      <c r="P1353" s="17">
        <f>IF($C1353="","",IF($K1353="","",IF(COUNTIFS(nrES_PID,$D1353,nrES_Code,$F1353,nrES_Att,"&gt;"&amp;$K1353)=0,"Yes","No")))</f>
        <v/>
      </c>
      <c r="Q1353" s="17">
        <f>IF($C1353="","",IF($L1353="","",IF(AND($K1353=1,$L1353&lt;$J1353,COUNTIFS(nrES_PID,$D1353,nrES_Code,$F1353,nrES_Att,2)=0),"Yes","No")))</f>
        <v/>
      </c>
      <c r="R1353" s="17">
        <f>IF($C1353="","",IF($L1353="","",IF(AND($K1353=2,$L1353&lt;$J1353,COUNTIFS(nrES_PID,$D1353,nrES_Code,$F1353,nrES_Att,1)&gt;0),"Yes","No")))</f>
        <v/>
      </c>
      <c r="S1353" s="18" t="n"/>
      <c r="T1353" s="19">
        <f>IF($Q1353&lt;&gt;"Yes","",IF($S1353="","(enter date)",_xlfn.LET(_xlpm.dn,IFERROR(_xlfn.XLOOKUP($S1353,nrCDdate,nrCDnum),""),IF(_xlpm.dn="","(not a class day)",IFERROR(_xlfn.XLOOKUP(_xlpm.dn+cfgRetestClassDays,nrCDnum,nrCDdate),"")))))</f>
        <v/>
      </c>
      <c r="U1353" s="17">
        <f>IF($Q1353&lt;&gt;"Yes","",IF(COUNTIFS(nrES_PID,$D1353,nrES_Code,$F1353,nrES_Att,2)&gt;0,"Retested",IF(OR($T1353="",NOT(ISNUMBER($T1353))),"Pending",IF(TODAY()&gt;$T1353,"OVERDUE","Due "&amp;TEXT($T1353,"mm/dd")))))</f>
        <v/>
      </c>
      <c r="V1353" s="16" t="n"/>
      <c r="W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K1354=1,IF(COUNTIFS(nrES_PID,$D1354,nrES_Code,$F1354,nrES_Att,2)&gt;0,"",$L1354),IF(COUNTIFS(nrES_PID,$D1354,nrES_Code,$F1354,nrES_Att,1)=0,$L1354,IF($L1354&gt;=$J1354,cfgRetakeRecordedCap,SUMIFS(nrES_Raw,nrES_PID,$D1354,nrES_Code,$F1354,nrES_Att,1))))))</f>
        <v/>
      </c>
      <c r="N1354" s="17">
        <f>IF($C1354="","",IF($L1354="","",IF($L1354&gt;=$J1354,"Yes","No")))</f>
        <v/>
      </c>
      <c r="O1354" s="17">
        <f>IF($C1354="","",IF($M1354="","",IF($M1354&gt;=$J1354,"Yes","No")))</f>
        <v/>
      </c>
      <c r="P1354" s="17">
        <f>IF($C1354="","",IF($K1354="","",IF(COUNTIFS(nrES_PID,$D1354,nrES_Code,$F1354,nrES_Att,"&gt;"&amp;$K1354)=0,"Yes","No")))</f>
        <v/>
      </c>
      <c r="Q1354" s="17">
        <f>IF($C1354="","",IF($L1354="","",IF(AND($K1354=1,$L1354&lt;$J1354,COUNTIFS(nrES_PID,$D1354,nrES_Code,$F1354,nrES_Att,2)=0),"Yes","No")))</f>
        <v/>
      </c>
      <c r="R1354" s="17">
        <f>IF($C1354="","",IF($L1354="","",IF(AND($K1354=2,$L1354&lt;$J1354,COUNTIFS(nrES_PID,$D1354,nrES_Code,$F1354,nrES_Att,1)&gt;0),"Yes","No")))</f>
        <v/>
      </c>
      <c r="S1354" s="18" t="n"/>
      <c r="T1354" s="19">
        <f>IF($Q1354&lt;&gt;"Yes","",IF($S1354="","(enter date)",_xlfn.LET(_xlpm.dn,IFERROR(_xlfn.XLOOKUP($S1354,nrCDdate,nrCDnum),""),IF(_xlpm.dn="","(not a class day)",IFERROR(_xlfn.XLOOKUP(_xlpm.dn+cfgRetestClassDays,nrCDnum,nrCDdate),"")))))</f>
        <v/>
      </c>
      <c r="U1354" s="17">
        <f>IF($Q1354&lt;&gt;"Yes","",IF(COUNTIFS(nrES_PID,$D1354,nrES_Code,$F1354,nrES_Att,2)&gt;0,"Retested",IF(OR($T1354="",NOT(ISNUMBER($T1354))),"Pending",IF(TODAY()&gt;$T1354,"OVERDUE","Due "&amp;TEXT($T1354,"mm/dd")))))</f>
        <v/>
      </c>
      <c r="V1354" s="16" t="n"/>
      <c r="W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K1355=1,IF(COUNTIFS(nrES_PID,$D1355,nrES_Code,$F1355,nrES_Att,2)&gt;0,"",$L1355),IF(COUNTIFS(nrES_PID,$D1355,nrES_Code,$F1355,nrES_Att,1)=0,$L1355,IF($L1355&gt;=$J1355,cfgRetakeRecordedCap,SUMIFS(nrES_Raw,nrES_PID,$D1355,nrES_Code,$F1355,nrES_Att,1))))))</f>
        <v/>
      </c>
      <c r="N1355" s="17">
        <f>IF($C1355="","",IF($L1355="","",IF($L1355&gt;=$J1355,"Yes","No")))</f>
        <v/>
      </c>
      <c r="O1355" s="17">
        <f>IF($C1355="","",IF($M1355="","",IF($M1355&gt;=$J1355,"Yes","No")))</f>
        <v/>
      </c>
      <c r="P1355" s="17">
        <f>IF($C1355="","",IF($K1355="","",IF(COUNTIFS(nrES_PID,$D1355,nrES_Code,$F1355,nrES_Att,"&gt;"&amp;$K1355)=0,"Yes","No")))</f>
        <v/>
      </c>
      <c r="Q1355" s="17">
        <f>IF($C1355="","",IF($L1355="","",IF(AND($K1355=1,$L1355&lt;$J1355,COUNTIFS(nrES_PID,$D1355,nrES_Code,$F1355,nrES_Att,2)=0),"Yes","No")))</f>
        <v/>
      </c>
      <c r="R1355" s="17">
        <f>IF($C1355="","",IF($L1355="","",IF(AND($K1355=2,$L1355&lt;$J1355,COUNTIFS(nrES_PID,$D1355,nrES_Code,$F1355,nrES_Att,1)&gt;0),"Yes","No")))</f>
        <v/>
      </c>
      <c r="S1355" s="18" t="n"/>
      <c r="T1355" s="19">
        <f>IF($Q1355&lt;&gt;"Yes","",IF($S1355="","(enter date)",_xlfn.LET(_xlpm.dn,IFERROR(_xlfn.XLOOKUP($S1355,nrCDdate,nrCDnum),""),IF(_xlpm.dn="","(not a class day)",IFERROR(_xlfn.XLOOKUP(_xlpm.dn+cfgRetestClassDays,nrCDnum,nrCDdate),"")))))</f>
        <v/>
      </c>
      <c r="U1355" s="17">
        <f>IF($Q1355&lt;&gt;"Yes","",IF(COUNTIFS(nrES_PID,$D1355,nrES_Code,$F1355,nrES_Att,2)&gt;0,"Retested",IF(OR($T1355="",NOT(ISNUMBER($T1355))),"Pending",IF(TODAY()&gt;$T1355,"OVERDUE","Due "&amp;TEXT($T1355,"mm/dd")))))</f>
        <v/>
      </c>
      <c r="V1355" s="16" t="n"/>
      <c r="W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K1356=1,IF(COUNTIFS(nrES_PID,$D1356,nrES_Code,$F1356,nrES_Att,2)&gt;0,"",$L1356),IF(COUNTIFS(nrES_PID,$D1356,nrES_Code,$F1356,nrES_Att,1)=0,$L1356,IF($L1356&gt;=$J1356,cfgRetakeRecordedCap,SUMIFS(nrES_Raw,nrES_PID,$D1356,nrES_Code,$F1356,nrES_Att,1))))))</f>
        <v/>
      </c>
      <c r="N1356" s="17">
        <f>IF($C1356="","",IF($L1356="","",IF($L1356&gt;=$J1356,"Yes","No")))</f>
        <v/>
      </c>
      <c r="O1356" s="17">
        <f>IF($C1356="","",IF($M1356="","",IF($M1356&gt;=$J1356,"Yes","No")))</f>
        <v/>
      </c>
      <c r="P1356" s="17">
        <f>IF($C1356="","",IF($K1356="","",IF(COUNTIFS(nrES_PID,$D1356,nrES_Code,$F1356,nrES_Att,"&gt;"&amp;$K1356)=0,"Yes","No")))</f>
        <v/>
      </c>
      <c r="Q1356" s="17">
        <f>IF($C1356="","",IF($L1356="","",IF(AND($K1356=1,$L1356&lt;$J1356,COUNTIFS(nrES_PID,$D1356,nrES_Code,$F1356,nrES_Att,2)=0),"Yes","No")))</f>
        <v/>
      </c>
      <c r="R1356" s="17">
        <f>IF($C1356="","",IF($L1356="","",IF(AND($K1356=2,$L1356&lt;$J1356,COUNTIFS(nrES_PID,$D1356,nrES_Code,$F1356,nrES_Att,1)&gt;0),"Yes","No")))</f>
        <v/>
      </c>
      <c r="S1356" s="18" t="n"/>
      <c r="T1356" s="19">
        <f>IF($Q1356&lt;&gt;"Yes","",IF($S1356="","(enter date)",_xlfn.LET(_xlpm.dn,IFERROR(_xlfn.XLOOKUP($S1356,nrCDdate,nrCDnum),""),IF(_xlpm.dn="","(not a class day)",IFERROR(_xlfn.XLOOKUP(_xlpm.dn+cfgRetestClassDays,nrCDnum,nrCDdate),"")))))</f>
        <v/>
      </c>
      <c r="U1356" s="17">
        <f>IF($Q1356&lt;&gt;"Yes","",IF(COUNTIFS(nrES_PID,$D1356,nrES_Code,$F1356,nrES_Att,2)&gt;0,"Retested",IF(OR($T1356="",NOT(ISNUMBER($T1356))),"Pending",IF(TODAY()&gt;$T1356,"OVERDUE","Due "&amp;TEXT($T1356,"mm/dd")))))</f>
        <v/>
      </c>
      <c r="V1356" s="16" t="n"/>
      <c r="W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K1357=1,IF(COUNTIFS(nrES_PID,$D1357,nrES_Code,$F1357,nrES_Att,2)&gt;0,"",$L1357),IF(COUNTIFS(nrES_PID,$D1357,nrES_Code,$F1357,nrES_Att,1)=0,$L1357,IF($L1357&gt;=$J1357,cfgRetakeRecordedCap,SUMIFS(nrES_Raw,nrES_PID,$D1357,nrES_Code,$F1357,nrES_Att,1))))))</f>
        <v/>
      </c>
      <c r="N1357" s="17">
        <f>IF($C1357="","",IF($L1357="","",IF($L1357&gt;=$J1357,"Yes","No")))</f>
        <v/>
      </c>
      <c r="O1357" s="17">
        <f>IF($C1357="","",IF($M1357="","",IF($M1357&gt;=$J1357,"Yes","No")))</f>
        <v/>
      </c>
      <c r="P1357" s="17">
        <f>IF($C1357="","",IF($K1357="","",IF(COUNTIFS(nrES_PID,$D1357,nrES_Code,$F1357,nrES_Att,"&gt;"&amp;$K1357)=0,"Yes","No")))</f>
        <v/>
      </c>
      <c r="Q1357" s="17">
        <f>IF($C1357="","",IF($L1357="","",IF(AND($K1357=1,$L1357&lt;$J1357,COUNTIFS(nrES_PID,$D1357,nrES_Code,$F1357,nrES_Att,2)=0),"Yes","No")))</f>
        <v/>
      </c>
      <c r="R1357" s="17">
        <f>IF($C1357="","",IF($L1357="","",IF(AND($K1357=2,$L1357&lt;$J1357,COUNTIFS(nrES_PID,$D1357,nrES_Code,$F1357,nrES_Att,1)&gt;0),"Yes","No")))</f>
        <v/>
      </c>
      <c r="S1357" s="18" t="n"/>
      <c r="T1357" s="19">
        <f>IF($Q1357&lt;&gt;"Yes","",IF($S1357="","(enter date)",_xlfn.LET(_xlpm.dn,IFERROR(_xlfn.XLOOKUP($S1357,nrCDdate,nrCDnum),""),IF(_xlpm.dn="","(not a class day)",IFERROR(_xlfn.XLOOKUP(_xlpm.dn+cfgRetestClassDays,nrCDnum,nrCDdate),"")))))</f>
        <v/>
      </c>
      <c r="U1357" s="17">
        <f>IF($Q1357&lt;&gt;"Yes","",IF(COUNTIFS(nrES_PID,$D1357,nrES_Code,$F1357,nrES_Att,2)&gt;0,"Retested",IF(OR($T1357="",NOT(ISNUMBER($T1357))),"Pending",IF(TODAY()&gt;$T1357,"OVERDUE","Due "&amp;TEXT($T1357,"mm/dd")))))</f>
        <v/>
      </c>
      <c r="V1357" s="16" t="n"/>
      <c r="W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K1358=1,IF(COUNTIFS(nrES_PID,$D1358,nrES_Code,$F1358,nrES_Att,2)&gt;0,"",$L1358),IF(COUNTIFS(nrES_PID,$D1358,nrES_Code,$F1358,nrES_Att,1)=0,$L1358,IF($L1358&gt;=$J1358,cfgRetakeRecordedCap,SUMIFS(nrES_Raw,nrES_PID,$D1358,nrES_Code,$F1358,nrES_Att,1))))))</f>
        <v/>
      </c>
      <c r="N1358" s="17">
        <f>IF($C1358="","",IF($L1358="","",IF($L1358&gt;=$J1358,"Yes","No")))</f>
        <v/>
      </c>
      <c r="O1358" s="17">
        <f>IF($C1358="","",IF($M1358="","",IF($M1358&gt;=$J1358,"Yes","No")))</f>
        <v/>
      </c>
      <c r="P1358" s="17">
        <f>IF($C1358="","",IF($K1358="","",IF(COUNTIFS(nrES_PID,$D1358,nrES_Code,$F1358,nrES_Att,"&gt;"&amp;$K1358)=0,"Yes","No")))</f>
        <v/>
      </c>
      <c r="Q1358" s="17">
        <f>IF($C1358="","",IF($L1358="","",IF(AND($K1358=1,$L1358&lt;$J1358,COUNTIFS(nrES_PID,$D1358,nrES_Code,$F1358,nrES_Att,2)=0),"Yes","No")))</f>
        <v/>
      </c>
      <c r="R1358" s="17">
        <f>IF($C1358="","",IF($L1358="","",IF(AND($K1358=2,$L1358&lt;$J1358,COUNTIFS(nrES_PID,$D1358,nrES_Code,$F1358,nrES_Att,1)&gt;0),"Yes","No")))</f>
        <v/>
      </c>
      <c r="S1358" s="18" t="n"/>
      <c r="T1358" s="19">
        <f>IF($Q1358&lt;&gt;"Yes","",IF($S1358="","(enter date)",_xlfn.LET(_xlpm.dn,IFERROR(_xlfn.XLOOKUP($S1358,nrCDdate,nrCDnum),""),IF(_xlpm.dn="","(not a class day)",IFERROR(_xlfn.XLOOKUP(_xlpm.dn+cfgRetestClassDays,nrCDnum,nrCDdate),"")))))</f>
        <v/>
      </c>
      <c r="U1358" s="17">
        <f>IF($Q1358&lt;&gt;"Yes","",IF(COUNTIFS(nrES_PID,$D1358,nrES_Code,$F1358,nrES_Att,2)&gt;0,"Retested",IF(OR($T1358="",NOT(ISNUMBER($T1358))),"Pending",IF(TODAY()&gt;$T1358,"OVERDUE","Due "&amp;TEXT($T1358,"mm/dd")))))</f>
        <v/>
      </c>
      <c r="V1358" s="16" t="n"/>
      <c r="W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K1359=1,IF(COUNTIFS(nrES_PID,$D1359,nrES_Code,$F1359,nrES_Att,2)&gt;0,"",$L1359),IF(COUNTIFS(nrES_PID,$D1359,nrES_Code,$F1359,nrES_Att,1)=0,$L1359,IF($L1359&gt;=$J1359,cfgRetakeRecordedCap,SUMIFS(nrES_Raw,nrES_PID,$D1359,nrES_Code,$F1359,nrES_Att,1))))))</f>
        <v/>
      </c>
      <c r="N1359" s="17">
        <f>IF($C1359="","",IF($L1359="","",IF($L1359&gt;=$J1359,"Yes","No")))</f>
        <v/>
      </c>
      <c r="O1359" s="17">
        <f>IF($C1359="","",IF($M1359="","",IF($M1359&gt;=$J1359,"Yes","No")))</f>
        <v/>
      </c>
      <c r="P1359" s="17">
        <f>IF($C1359="","",IF($K1359="","",IF(COUNTIFS(nrES_PID,$D1359,nrES_Code,$F1359,nrES_Att,"&gt;"&amp;$K1359)=0,"Yes","No")))</f>
        <v/>
      </c>
      <c r="Q1359" s="17">
        <f>IF($C1359="","",IF($L1359="","",IF(AND($K1359=1,$L1359&lt;$J1359,COUNTIFS(nrES_PID,$D1359,nrES_Code,$F1359,nrES_Att,2)=0),"Yes","No")))</f>
        <v/>
      </c>
      <c r="R1359" s="17">
        <f>IF($C1359="","",IF($L1359="","",IF(AND($K1359=2,$L1359&lt;$J1359,COUNTIFS(nrES_PID,$D1359,nrES_Code,$F1359,nrES_Att,1)&gt;0),"Yes","No")))</f>
        <v/>
      </c>
      <c r="S1359" s="18" t="n"/>
      <c r="T1359" s="19">
        <f>IF($Q1359&lt;&gt;"Yes","",IF($S1359="","(enter date)",_xlfn.LET(_xlpm.dn,IFERROR(_xlfn.XLOOKUP($S1359,nrCDdate,nrCDnum),""),IF(_xlpm.dn="","(not a class day)",IFERROR(_xlfn.XLOOKUP(_xlpm.dn+cfgRetestClassDays,nrCDnum,nrCDdate),"")))))</f>
        <v/>
      </c>
      <c r="U1359" s="17">
        <f>IF($Q1359&lt;&gt;"Yes","",IF(COUNTIFS(nrES_PID,$D1359,nrES_Code,$F1359,nrES_Att,2)&gt;0,"Retested",IF(OR($T1359="",NOT(ISNUMBER($T1359))),"Pending",IF(TODAY()&gt;$T1359,"OVERDUE","Due "&amp;TEXT($T1359,"mm/dd")))))</f>
        <v/>
      </c>
      <c r="V1359" s="16" t="n"/>
      <c r="W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K1360=1,IF(COUNTIFS(nrES_PID,$D1360,nrES_Code,$F1360,nrES_Att,2)&gt;0,"",$L1360),IF(COUNTIFS(nrES_PID,$D1360,nrES_Code,$F1360,nrES_Att,1)=0,$L1360,IF($L1360&gt;=$J1360,cfgRetakeRecordedCap,SUMIFS(nrES_Raw,nrES_PID,$D1360,nrES_Code,$F1360,nrES_Att,1))))))</f>
        <v/>
      </c>
      <c r="N1360" s="17">
        <f>IF($C1360="","",IF($L1360="","",IF($L1360&gt;=$J1360,"Yes","No")))</f>
        <v/>
      </c>
      <c r="O1360" s="17">
        <f>IF($C1360="","",IF($M1360="","",IF($M1360&gt;=$J1360,"Yes","No")))</f>
        <v/>
      </c>
      <c r="P1360" s="17">
        <f>IF($C1360="","",IF($K1360="","",IF(COUNTIFS(nrES_PID,$D1360,nrES_Code,$F1360,nrES_Att,"&gt;"&amp;$K1360)=0,"Yes","No")))</f>
        <v/>
      </c>
      <c r="Q1360" s="17">
        <f>IF($C1360="","",IF($L1360="","",IF(AND($K1360=1,$L1360&lt;$J1360,COUNTIFS(nrES_PID,$D1360,nrES_Code,$F1360,nrES_Att,2)=0),"Yes","No")))</f>
        <v/>
      </c>
      <c r="R1360" s="17">
        <f>IF($C1360="","",IF($L1360="","",IF(AND($K1360=2,$L1360&lt;$J1360,COUNTIFS(nrES_PID,$D1360,nrES_Code,$F1360,nrES_Att,1)&gt;0),"Yes","No")))</f>
        <v/>
      </c>
      <c r="S1360" s="18" t="n"/>
      <c r="T1360" s="19">
        <f>IF($Q1360&lt;&gt;"Yes","",IF($S1360="","(enter date)",_xlfn.LET(_xlpm.dn,IFERROR(_xlfn.XLOOKUP($S1360,nrCDdate,nrCDnum),""),IF(_xlpm.dn="","(not a class day)",IFERROR(_xlfn.XLOOKUP(_xlpm.dn+cfgRetestClassDays,nrCDnum,nrCDdate),"")))))</f>
        <v/>
      </c>
      <c r="U1360" s="17">
        <f>IF($Q1360&lt;&gt;"Yes","",IF(COUNTIFS(nrES_PID,$D1360,nrES_Code,$F1360,nrES_Att,2)&gt;0,"Retested",IF(OR($T1360="",NOT(ISNUMBER($T1360))),"Pending",IF(TODAY()&gt;$T1360,"OVERDUE","Due "&amp;TEXT($T1360,"mm/dd")))))</f>
        <v/>
      </c>
      <c r="V1360" s="16" t="n"/>
      <c r="W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K1361=1,IF(COUNTIFS(nrES_PID,$D1361,nrES_Code,$F1361,nrES_Att,2)&gt;0,"",$L1361),IF(COUNTIFS(nrES_PID,$D1361,nrES_Code,$F1361,nrES_Att,1)=0,$L1361,IF($L1361&gt;=$J1361,cfgRetakeRecordedCap,SUMIFS(nrES_Raw,nrES_PID,$D1361,nrES_Code,$F1361,nrES_Att,1))))))</f>
        <v/>
      </c>
      <c r="N1361" s="17">
        <f>IF($C1361="","",IF($L1361="","",IF($L1361&gt;=$J1361,"Yes","No")))</f>
        <v/>
      </c>
      <c r="O1361" s="17">
        <f>IF($C1361="","",IF($M1361="","",IF($M1361&gt;=$J1361,"Yes","No")))</f>
        <v/>
      </c>
      <c r="P1361" s="17">
        <f>IF($C1361="","",IF($K1361="","",IF(COUNTIFS(nrES_PID,$D1361,nrES_Code,$F1361,nrES_Att,"&gt;"&amp;$K1361)=0,"Yes","No")))</f>
        <v/>
      </c>
      <c r="Q1361" s="17">
        <f>IF($C1361="","",IF($L1361="","",IF(AND($K1361=1,$L1361&lt;$J1361,COUNTIFS(nrES_PID,$D1361,nrES_Code,$F1361,nrES_Att,2)=0),"Yes","No")))</f>
        <v/>
      </c>
      <c r="R1361" s="17">
        <f>IF($C1361="","",IF($L1361="","",IF(AND($K1361=2,$L1361&lt;$J1361,COUNTIFS(nrES_PID,$D1361,nrES_Code,$F1361,nrES_Att,1)&gt;0),"Yes","No")))</f>
        <v/>
      </c>
      <c r="S1361" s="18" t="n"/>
      <c r="T1361" s="19">
        <f>IF($Q1361&lt;&gt;"Yes","",IF($S1361="","(enter date)",_xlfn.LET(_xlpm.dn,IFERROR(_xlfn.XLOOKUP($S1361,nrCDdate,nrCDnum),""),IF(_xlpm.dn="","(not a class day)",IFERROR(_xlfn.XLOOKUP(_xlpm.dn+cfgRetestClassDays,nrCDnum,nrCDdate),"")))))</f>
        <v/>
      </c>
      <c r="U1361" s="17">
        <f>IF($Q1361&lt;&gt;"Yes","",IF(COUNTIFS(nrES_PID,$D1361,nrES_Code,$F1361,nrES_Att,2)&gt;0,"Retested",IF(OR($T1361="",NOT(ISNUMBER($T1361))),"Pending",IF(TODAY()&gt;$T1361,"OVERDUE","Due "&amp;TEXT($T1361,"mm/dd")))))</f>
        <v/>
      </c>
      <c r="V1361" s="16" t="n"/>
      <c r="W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K1362=1,IF(COUNTIFS(nrES_PID,$D1362,nrES_Code,$F1362,nrES_Att,2)&gt;0,"",$L1362),IF(COUNTIFS(nrES_PID,$D1362,nrES_Code,$F1362,nrES_Att,1)=0,$L1362,IF($L1362&gt;=$J1362,cfgRetakeRecordedCap,SUMIFS(nrES_Raw,nrES_PID,$D1362,nrES_Code,$F1362,nrES_Att,1))))))</f>
        <v/>
      </c>
      <c r="N1362" s="17">
        <f>IF($C1362="","",IF($L1362="","",IF($L1362&gt;=$J1362,"Yes","No")))</f>
        <v/>
      </c>
      <c r="O1362" s="17">
        <f>IF($C1362="","",IF($M1362="","",IF($M1362&gt;=$J1362,"Yes","No")))</f>
        <v/>
      </c>
      <c r="P1362" s="17">
        <f>IF($C1362="","",IF($K1362="","",IF(COUNTIFS(nrES_PID,$D1362,nrES_Code,$F1362,nrES_Att,"&gt;"&amp;$K1362)=0,"Yes","No")))</f>
        <v/>
      </c>
      <c r="Q1362" s="17">
        <f>IF($C1362="","",IF($L1362="","",IF(AND($K1362=1,$L1362&lt;$J1362,COUNTIFS(nrES_PID,$D1362,nrES_Code,$F1362,nrES_Att,2)=0),"Yes","No")))</f>
        <v/>
      </c>
      <c r="R1362" s="17">
        <f>IF($C1362="","",IF($L1362="","",IF(AND($K1362=2,$L1362&lt;$J1362,COUNTIFS(nrES_PID,$D1362,nrES_Code,$F1362,nrES_Att,1)&gt;0),"Yes","No")))</f>
        <v/>
      </c>
      <c r="S1362" s="18" t="n"/>
      <c r="T1362" s="19">
        <f>IF($Q1362&lt;&gt;"Yes","",IF($S1362="","(enter date)",_xlfn.LET(_xlpm.dn,IFERROR(_xlfn.XLOOKUP($S1362,nrCDdate,nrCDnum),""),IF(_xlpm.dn="","(not a class day)",IFERROR(_xlfn.XLOOKUP(_xlpm.dn+cfgRetestClassDays,nrCDnum,nrCDdate),"")))))</f>
        <v/>
      </c>
      <c r="U1362" s="17">
        <f>IF($Q1362&lt;&gt;"Yes","",IF(COUNTIFS(nrES_PID,$D1362,nrES_Code,$F1362,nrES_Att,2)&gt;0,"Retested",IF(OR($T1362="",NOT(ISNUMBER($T1362))),"Pending",IF(TODAY()&gt;$T1362,"OVERDUE","Due "&amp;TEXT($T1362,"mm/dd")))))</f>
        <v/>
      </c>
      <c r="V1362" s="16" t="n"/>
      <c r="W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K1363=1,IF(COUNTIFS(nrES_PID,$D1363,nrES_Code,$F1363,nrES_Att,2)&gt;0,"",$L1363),IF(COUNTIFS(nrES_PID,$D1363,nrES_Code,$F1363,nrES_Att,1)=0,$L1363,IF($L1363&gt;=$J1363,cfgRetakeRecordedCap,SUMIFS(nrES_Raw,nrES_PID,$D1363,nrES_Code,$F1363,nrES_Att,1))))))</f>
        <v/>
      </c>
      <c r="N1363" s="17">
        <f>IF($C1363="","",IF($L1363="","",IF($L1363&gt;=$J1363,"Yes","No")))</f>
        <v/>
      </c>
      <c r="O1363" s="17">
        <f>IF($C1363="","",IF($M1363="","",IF($M1363&gt;=$J1363,"Yes","No")))</f>
        <v/>
      </c>
      <c r="P1363" s="17">
        <f>IF($C1363="","",IF($K1363="","",IF(COUNTIFS(nrES_PID,$D1363,nrES_Code,$F1363,nrES_Att,"&gt;"&amp;$K1363)=0,"Yes","No")))</f>
        <v/>
      </c>
      <c r="Q1363" s="17">
        <f>IF($C1363="","",IF($L1363="","",IF(AND($K1363=1,$L1363&lt;$J1363,COUNTIFS(nrES_PID,$D1363,nrES_Code,$F1363,nrES_Att,2)=0),"Yes","No")))</f>
        <v/>
      </c>
      <c r="R1363" s="17">
        <f>IF($C1363="","",IF($L1363="","",IF(AND($K1363=2,$L1363&lt;$J1363,COUNTIFS(nrES_PID,$D1363,nrES_Code,$F1363,nrES_Att,1)&gt;0),"Yes","No")))</f>
        <v/>
      </c>
      <c r="S1363" s="18" t="n"/>
      <c r="T1363" s="19">
        <f>IF($Q1363&lt;&gt;"Yes","",IF($S1363="","(enter date)",_xlfn.LET(_xlpm.dn,IFERROR(_xlfn.XLOOKUP($S1363,nrCDdate,nrCDnum),""),IF(_xlpm.dn="","(not a class day)",IFERROR(_xlfn.XLOOKUP(_xlpm.dn+cfgRetestClassDays,nrCDnum,nrCDdate),"")))))</f>
        <v/>
      </c>
      <c r="U1363" s="17">
        <f>IF($Q1363&lt;&gt;"Yes","",IF(COUNTIFS(nrES_PID,$D1363,nrES_Code,$F1363,nrES_Att,2)&gt;0,"Retested",IF(OR($T1363="",NOT(ISNUMBER($T1363))),"Pending",IF(TODAY()&gt;$T1363,"OVERDUE","Due "&amp;TEXT($T1363,"mm/dd")))))</f>
        <v/>
      </c>
      <c r="V1363" s="16" t="n"/>
      <c r="W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K1364=1,IF(COUNTIFS(nrES_PID,$D1364,nrES_Code,$F1364,nrES_Att,2)&gt;0,"",$L1364),IF(COUNTIFS(nrES_PID,$D1364,nrES_Code,$F1364,nrES_Att,1)=0,$L1364,IF($L1364&gt;=$J1364,cfgRetakeRecordedCap,SUMIFS(nrES_Raw,nrES_PID,$D1364,nrES_Code,$F1364,nrES_Att,1))))))</f>
        <v/>
      </c>
      <c r="N1364" s="17">
        <f>IF($C1364="","",IF($L1364="","",IF($L1364&gt;=$J1364,"Yes","No")))</f>
        <v/>
      </c>
      <c r="O1364" s="17">
        <f>IF($C1364="","",IF($M1364="","",IF($M1364&gt;=$J1364,"Yes","No")))</f>
        <v/>
      </c>
      <c r="P1364" s="17">
        <f>IF($C1364="","",IF($K1364="","",IF(COUNTIFS(nrES_PID,$D1364,nrES_Code,$F1364,nrES_Att,"&gt;"&amp;$K1364)=0,"Yes","No")))</f>
        <v/>
      </c>
      <c r="Q1364" s="17">
        <f>IF($C1364="","",IF($L1364="","",IF(AND($K1364=1,$L1364&lt;$J1364,COUNTIFS(nrES_PID,$D1364,nrES_Code,$F1364,nrES_Att,2)=0),"Yes","No")))</f>
        <v/>
      </c>
      <c r="R1364" s="17">
        <f>IF($C1364="","",IF($L1364="","",IF(AND($K1364=2,$L1364&lt;$J1364,COUNTIFS(nrES_PID,$D1364,nrES_Code,$F1364,nrES_Att,1)&gt;0),"Yes","No")))</f>
        <v/>
      </c>
      <c r="S1364" s="18" t="n"/>
      <c r="T1364" s="19">
        <f>IF($Q1364&lt;&gt;"Yes","",IF($S1364="","(enter date)",_xlfn.LET(_xlpm.dn,IFERROR(_xlfn.XLOOKUP($S1364,nrCDdate,nrCDnum),""),IF(_xlpm.dn="","(not a class day)",IFERROR(_xlfn.XLOOKUP(_xlpm.dn+cfgRetestClassDays,nrCDnum,nrCDdate),"")))))</f>
        <v/>
      </c>
      <c r="U1364" s="17">
        <f>IF($Q1364&lt;&gt;"Yes","",IF(COUNTIFS(nrES_PID,$D1364,nrES_Code,$F1364,nrES_Att,2)&gt;0,"Retested",IF(OR($T1364="",NOT(ISNUMBER($T1364))),"Pending",IF(TODAY()&gt;$T1364,"OVERDUE","Due "&amp;TEXT($T1364,"mm/dd")))))</f>
        <v/>
      </c>
      <c r="V1364" s="16" t="n"/>
      <c r="W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K1365=1,IF(COUNTIFS(nrES_PID,$D1365,nrES_Code,$F1365,nrES_Att,2)&gt;0,"",$L1365),IF(COUNTIFS(nrES_PID,$D1365,nrES_Code,$F1365,nrES_Att,1)=0,$L1365,IF($L1365&gt;=$J1365,cfgRetakeRecordedCap,SUMIFS(nrES_Raw,nrES_PID,$D1365,nrES_Code,$F1365,nrES_Att,1))))))</f>
        <v/>
      </c>
      <c r="N1365" s="17">
        <f>IF($C1365="","",IF($L1365="","",IF($L1365&gt;=$J1365,"Yes","No")))</f>
        <v/>
      </c>
      <c r="O1365" s="17">
        <f>IF($C1365="","",IF($M1365="","",IF($M1365&gt;=$J1365,"Yes","No")))</f>
        <v/>
      </c>
      <c r="P1365" s="17">
        <f>IF($C1365="","",IF($K1365="","",IF(COUNTIFS(nrES_PID,$D1365,nrES_Code,$F1365,nrES_Att,"&gt;"&amp;$K1365)=0,"Yes","No")))</f>
        <v/>
      </c>
      <c r="Q1365" s="17">
        <f>IF($C1365="","",IF($L1365="","",IF(AND($K1365=1,$L1365&lt;$J1365,COUNTIFS(nrES_PID,$D1365,nrES_Code,$F1365,nrES_Att,2)=0),"Yes","No")))</f>
        <v/>
      </c>
      <c r="R1365" s="17">
        <f>IF($C1365="","",IF($L1365="","",IF(AND($K1365=2,$L1365&lt;$J1365,COUNTIFS(nrES_PID,$D1365,nrES_Code,$F1365,nrES_Att,1)&gt;0),"Yes","No")))</f>
        <v/>
      </c>
      <c r="S1365" s="18" t="n"/>
      <c r="T1365" s="19">
        <f>IF($Q1365&lt;&gt;"Yes","",IF($S1365="","(enter date)",_xlfn.LET(_xlpm.dn,IFERROR(_xlfn.XLOOKUP($S1365,nrCDdate,nrCDnum),""),IF(_xlpm.dn="","(not a class day)",IFERROR(_xlfn.XLOOKUP(_xlpm.dn+cfgRetestClassDays,nrCDnum,nrCDdate),"")))))</f>
        <v/>
      </c>
      <c r="U1365" s="17">
        <f>IF($Q1365&lt;&gt;"Yes","",IF(COUNTIFS(nrES_PID,$D1365,nrES_Code,$F1365,nrES_Att,2)&gt;0,"Retested",IF(OR($T1365="",NOT(ISNUMBER($T1365))),"Pending",IF(TODAY()&gt;$T1365,"OVERDUE","Due "&amp;TEXT($T1365,"mm/dd")))))</f>
        <v/>
      </c>
      <c r="V1365" s="16" t="n"/>
      <c r="W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K1366=1,IF(COUNTIFS(nrES_PID,$D1366,nrES_Code,$F1366,nrES_Att,2)&gt;0,"",$L1366),IF(COUNTIFS(nrES_PID,$D1366,nrES_Code,$F1366,nrES_Att,1)=0,$L1366,IF($L1366&gt;=$J1366,cfgRetakeRecordedCap,SUMIFS(nrES_Raw,nrES_PID,$D1366,nrES_Code,$F1366,nrES_Att,1))))))</f>
        <v/>
      </c>
      <c r="N1366" s="17">
        <f>IF($C1366="","",IF($L1366="","",IF($L1366&gt;=$J1366,"Yes","No")))</f>
        <v/>
      </c>
      <c r="O1366" s="17">
        <f>IF($C1366="","",IF($M1366="","",IF($M1366&gt;=$J1366,"Yes","No")))</f>
        <v/>
      </c>
      <c r="P1366" s="17">
        <f>IF($C1366="","",IF($K1366="","",IF(COUNTIFS(nrES_PID,$D1366,nrES_Code,$F1366,nrES_Att,"&gt;"&amp;$K1366)=0,"Yes","No")))</f>
        <v/>
      </c>
      <c r="Q1366" s="17">
        <f>IF($C1366="","",IF($L1366="","",IF(AND($K1366=1,$L1366&lt;$J1366,COUNTIFS(nrES_PID,$D1366,nrES_Code,$F1366,nrES_Att,2)=0),"Yes","No")))</f>
        <v/>
      </c>
      <c r="R1366" s="17">
        <f>IF($C1366="","",IF($L1366="","",IF(AND($K1366=2,$L1366&lt;$J1366,COUNTIFS(nrES_PID,$D1366,nrES_Code,$F1366,nrES_Att,1)&gt;0),"Yes","No")))</f>
        <v/>
      </c>
      <c r="S1366" s="18" t="n"/>
      <c r="T1366" s="19">
        <f>IF($Q1366&lt;&gt;"Yes","",IF($S1366="","(enter date)",_xlfn.LET(_xlpm.dn,IFERROR(_xlfn.XLOOKUP($S1366,nrCDdate,nrCDnum),""),IF(_xlpm.dn="","(not a class day)",IFERROR(_xlfn.XLOOKUP(_xlpm.dn+cfgRetestClassDays,nrCDnum,nrCDdate),"")))))</f>
        <v/>
      </c>
      <c r="U1366" s="17">
        <f>IF($Q1366&lt;&gt;"Yes","",IF(COUNTIFS(nrES_PID,$D1366,nrES_Code,$F1366,nrES_Att,2)&gt;0,"Retested",IF(OR($T1366="",NOT(ISNUMBER($T1366))),"Pending",IF(TODAY()&gt;$T1366,"OVERDUE","Due "&amp;TEXT($T1366,"mm/dd")))))</f>
        <v/>
      </c>
      <c r="V1366" s="16" t="n"/>
      <c r="W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K1367=1,IF(COUNTIFS(nrES_PID,$D1367,nrES_Code,$F1367,nrES_Att,2)&gt;0,"",$L1367),IF(COUNTIFS(nrES_PID,$D1367,nrES_Code,$F1367,nrES_Att,1)=0,$L1367,IF($L1367&gt;=$J1367,cfgRetakeRecordedCap,SUMIFS(nrES_Raw,nrES_PID,$D1367,nrES_Code,$F1367,nrES_Att,1))))))</f>
        <v/>
      </c>
      <c r="N1367" s="17">
        <f>IF($C1367="","",IF($L1367="","",IF($L1367&gt;=$J1367,"Yes","No")))</f>
        <v/>
      </c>
      <c r="O1367" s="17">
        <f>IF($C1367="","",IF($M1367="","",IF($M1367&gt;=$J1367,"Yes","No")))</f>
        <v/>
      </c>
      <c r="P1367" s="17">
        <f>IF($C1367="","",IF($K1367="","",IF(COUNTIFS(nrES_PID,$D1367,nrES_Code,$F1367,nrES_Att,"&gt;"&amp;$K1367)=0,"Yes","No")))</f>
        <v/>
      </c>
      <c r="Q1367" s="17">
        <f>IF($C1367="","",IF($L1367="","",IF(AND($K1367=1,$L1367&lt;$J1367,COUNTIFS(nrES_PID,$D1367,nrES_Code,$F1367,nrES_Att,2)=0),"Yes","No")))</f>
        <v/>
      </c>
      <c r="R1367" s="17">
        <f>IF($C1367="","",IF($L1367="","",IF(AND($K1367=2,$L1367&lt;$J1367,COUNTIFS(nrES_PID,$D1367,nrES_Code,$F1367,nrES_Att,1)&gt;0),"Yes","No")))</f>
        <v/>
      </c>
      <c r="S1367" s="18" t="n"/>
      <c r="T1367" s="19">
        <f>IF($Q1367&lt;&gt;"Yes","",IF($S1367="","(enter date)",_xlfn.LET(_xlpm.dn,IFERROR(_xlfn.XLOOKUP($S1367,nrCDdate,nrCDnum),""),IF(_xlpm.dn="","(not a class day)",IFERROR(_xlfn.XLOOKUP(_xlpm.dn+cfgRetestClassDays,nrCDnum,nrCDdate),"")))))</f>
        <v/>
      </c>
      <c r="U1367" s="17">
        <f>IF($Q1367&lt;&gt;"Yes","",IF(COUNTIFS(nrES_PID,$D1367,nrES_Code,$F1367,nrES_Att,2)&gt;0,"Retested",IF(OR($T1367="",NOT(ISNUMBER($T1367))),"Pending",IF(TODAY()&gt;$T1367,"OVERDUE","Due "&amp;TEXT($T1367,"mm/dd")))))</f>
        <v/>
      </c>
      <c r="V1367" s="16" t="n"/>
      <c r="W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K1368=1,IF(COUNTIFS(nrES_PID,$D1368,nrES_Code,$F1368,nrES_Att,2)&gt;0,"",$L1368),IF(COUNTIFS(nrES_PID,$D1368,nrES_Code,$F1368,nrES_Att,1)=0,$L1368,IF($L1368&gt;=$J1368,cfgRetakeRecordedCap,SUMIFS(nrES_Raw,nrES_PID,$D1368,nrES_Code,$F1368,nrES_Att,1))))))</f>
        <v/>
      </c>
      <c r="N1368" s="17">
        <f>IF($C1368="","",IF($L1368="","",IF($L1368&gt;=$J1368,"Yes","No")))</f>
        <v/>
      </c>
      <c r="O1368" s="17">
        <f>IF($C1368="","",IF($M1368="","",IF($M1368&gt;=$J1368,"Yes","No")))</f>
        <v/>
      </c>
      <c r="P1368" s="17">
        <f>IF($C1368="","",IF($K1368="","",IF(COUNTIFS(nrES_PID,$D1368,nrES_Code,$F1368,nrES_Att,"&gt;"&amp;$K1368)=0,"Yes","No")))</f>
        <v/>
      </c>
      <c r="Q1368" s="17">
        <f>IF($C1368="","",IF($L1368="","",IF(AND($K1368=1,$L1368&lt;$J1368,COUNTIFS(nrES_PID,$D1368,nrES_Code,$F1368,nrES_Att,2)=0),"Yes","No")))</f>
        <v/>
      </c>
      <c r="R1368" s="17">
        <f>IF($C1368="","",IF($L1368="","",IF(AND($K1368=2,$L1368&lt;$J1368,COUNTIFS(nrES_PID,$D1368,nrES_Code,$F1368,nrES_Att,1)&gt;0),"Yes","No")))</f>
        <v/>
      </c>
      <c r="S1368" s="18" t="n"/>
      <c r="T1368" s="19">
        <f>IF($Q1368&lt;&gt;"Yes","",IF($S1368="","(enter date)",_xlfn.LET(_xlpm.dn,IFERROR(_xlfn.XLOOKUP($S1368,nrCDdate,nrCDnum),""),IF(_xlpm.dn="","(not a class day)",IFERROR(_xlfn.XLOOKUP(_xlpm.dn+cfgRetestClassDays,nrCDnum,nrCDdate),"")))))</f>
        <v/>
      </c>
      <c r="U1368" s="17">
        <f>IF($Q1368&lt;&gt;"Yes","",IF(COUNTIFS(nrES_PID,$D1368,nrES_Code,$F1368,nrES_Att,2)&gt;0,"Retested",IF(OR($T1368="",NOT(ISNUMBER($T1368))),"Pending",IF(TODAY()&gt;$T1368,"OVERDUE","Due "&amp;TEXT($T1368,"mm/dd")))))</f>
        <v/>
      </c>
      <c r="V1368" s="16" t="n"/>
      <c r="W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K1369=1,IF(COUNTIFS(nrES_PID,$D1369,nrES_Code,$F1369,nrES_Att,2)&gt;0,"",$L1369),IF(COUNTIFS(nrES_PID,$D1369,nrES_Code,$F1369,nrES_Att,1)=0,$L1369,IF($L1369&gt;=$J1369,cfgRetakeRecordedCap,SUMIFS(nrES_Raw,nrES_PID,$D1369,nrES_Code,$F1369,nrES_Att,1))))))</f>
        <v/>
      </c>
      <c r="N1369" s="17">
        <f>IF($C1369="","",IF($L1369="","",IF($L1369&gt;=$J1369,"Yes","No")))</f>
        <v/>
      </c>
      <c r="O1369" s="17">
        <f>IF($C1369="","",IF($M1369="","",IF($M1369&gt;=$J1369,"Yes","No")))</f>
        <v/>
      </c>
      <c r="P1369" s="17">
        <f>IF($C1369="","",IF($K1369="","",IF(COUNTIFS(nrES_PID,$D1369,nrES_Code,$F1369,nrES_Att,"&gt;"&amp;$K1369)=0,"Yes","No")))</f>
        <v/>
      </c>
      <c r="Q1369" s="17">
        <f>IF($C1369="","",IF($L1369="","",IF(AND($K1369=1,$L1369&lt;$J1369,COUNTIFS(nrES_PID,$D1369,nrES_Code,$F1369,nrES_Att,2)=0),"Yes","No")))</f>
        <v/>
      </c>
      <c r="R1369" s="17">
        <f>IF($C1369="","",IF($L1369="","",IF(AND($K1369=2,$L1369&lt;$J1369,COUNTIFS(nrES_PID,$D1369,nrES_Code,$F1369,nrES_Att,1)&gt;0),"Yes","No")))</f>
        <v/>
      </c>
      <c r="S1369" s="18" t="n"/>
      <c r="T1369" s="19">
        <f>IF($Q1369&lt;&gt;"Yes","",IF($S1369="","(enter date)",_xlfn.LET(_xlpm.dn,IFERROR(_xlfn.XLOOKUP($S1369,nrCDdate,nrCDnum),""),IF(_xlpm.dn="","(not a class day)",IFERROR(_xlfn.XLOOKUP(_xlpm.dn+cfgRetestClassDays,nrCDnum,nrCDdate),"")))))</f>
        <v/>
      </c>
      <c r="U1369" s="17">
        <f>IF($Q1369&lt;&gt;"Yes","",IF(COUNTIFS(nrES_PID,$D1369,nrES_Code,$F1369,nrES_Att,2)&gt;0,"Retested",IF(OR($T1369="",NOT(ISNUMBER($T1369))),"Pending",IF(TODAY()&gt;$T1369,"OVERDUE","Due "&amp;TEXT($T1369,"mm/dd")))))</f>
        <v/>
      </c>
      <c r="V1369" s="16" t="n"/>
      <c r="W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K1370=1,IF(COUNTIFS(nrES_PID,$D1370,nrES_Code,$F1370,nrES_Att,2)&gt;0,"",$L1370),IF(COUNTIFS(nrES_PID,$D1370,nrES_Code,$F1370,nrES_Att,1)=0,$L1370,IF($L1370&gt;=$J1370,cfgRetakeRecordedCap,SUMIFS(nrES_Raw,nrES_PID,$D1370,nrES_Code,$F1370,nrES_Att,1))))))</f>
        <v/>
      </c>
      <c r="N1370" s="17">
        <f>IF($C1370="","",IF($L1370="","",IF($L1370&gt;=$J1370,"Yes","No")))</f>
        <v/>
      </c>
      <c r="O1370" s="17">
        <f>IF($C1370="","",IF($M1370="","",IF($M1370&gt;=$J1370,"Yes","No")))</f>
        <v/>
      </c>
      <c r="P1370" s="17">
        <f>IF($C1370="","",IF($K1370="","",IF(COUNTIFS(nrES_PID,$D1370,nrES_Code,$F1370,nrES_Att,"&gt;"&amp;$K1370)=0,"Yes","No")))</f>
        <v/>
      </c>
      <c r="Q1370" s="17">
        <f>IF($C1370="","",IF($L1370="","",IF(AND($K1370=1,$L1370&lt;$J1370,COUNTIFS(nrES_PID,$D1370,nrES_Code,$F1370,nrES_Att,2)=0),"Yes","No")))</f>
        <v/>
      </c>
      <c r="R1370" s="17">
        <f>IF($C1370="","",IF($L1370="","",IF(AND($K1370=2,$L1370&lt;$J1370,COUNTIFS(nrES_PID,$D1370,nrES_Code,$F1370,nrES_Att,1)&gt;0),"Yes","No")))</f>
        <v/>
      </c>
      <c r="S1370" s="18" t="n"/>
      <c r="T1370" s="19">
        <f>IF($Q1370&lt;&gt;"Yes","",IF($S1370="","(enter date)",_xlfn.LET(_xlpm.dn,IFERROR(_xlfn.XLOOKUP($S1370,nrCDdate,nrCDnum),""),IF(_xlpm.dn="","(not a class day)",IFERROR(_xlfn.XLOOKUP(_xlpm.dn+cfgRetestClassDays,nrCDnum,nrCDdate),"")))))</f>
        <v/>
      </c>
      <c r="U1370" s="17">
        <f>IF($Q1370&lt;&gt;"Yes","",IF(COUNTIFS(nrES_PID,$D1370,nrES_Code,$F1370,nrES_Att,2)&gt;0,"Retested",IF(OR($T1370="",NOT(ISNUMBER($T1370))),"Pending",IF(TODAY()&gt;$T1370,"OVERDUE","Due "&amp;TEXT($T1370,"mm/dd")))))</f>
        <v/>
      </c>
      <c r="V1370" s="16" t="n"/>
      <c r="W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K1371=1,IF(COUNTIFS(nrES_PID,$D1371,nrES_Code,$F1371,nrES_Att,2)&gt;0,"",$L1371),IF(COUNTIFS(nrES_PID,$D1371,nrES_Code,$F1371,nrES_Att,1)=0,$L1371,IF($L1371&gt;=$J1371,cfgRetakeRecordedCap,SUMIFS(nrES_Raw,nrES_PID,$D1371,nrES_Code,$F1371,nrES_Att,1))))))</f>
        <v/>
      </c>
      <c r="N1371" s="17">
        <f>IF($C1371="","",IF($L1371="","",IF($L1371&gt;=$J1371,"Yes","No")))</f>
        <v/>
      </c>
      <c r="O1371" s="17">
        <f>IF($C1371="","",IF($M1371="","",IF($M1371&gt;=$J1371,"Yes","No")))</f>
        <v/>
      </c>
      <c r="P1371" s="17">
        <f>IF($C1371="","",IF($K1371="","",IF(COUNTIFS(nrES_PID,$D1371,nrES_Code,$F1371,nrES_Att,"&gt;"&amp;$K1371)=0,"Yes","No")))</f>
        <v/>
      </c>
      <c r="Q1371" s="17">
        <f>IF($C1371="","",IF($L1371="","",IF(AND($K1371=1,$L1371&lt;$J1371,COUNTIFS(nrES_PID,$D1371,nrES_Code,$F1371,nrES_Att,2)=0),"Yes","No")))</f>
        <v/>
      </c>
      <c r="R1371" s="17">
        <f>IF($C1371="","",IF($L1371="","",IF(AND($K1371=2,$L1371&lt;$J1371,COUNTIFS(nrES_PID,$D1371,nrES_Code,$F1371,nrES_Att,1)&gt;0),"Yes","No")))</f>
        <v/>
      </c>
      <c r="S1371" s="18" t="n"/>
      <c r="T1371" s="19">
        <f>IF($Q1371&lt;&gt;"Yes","",IF($S1371="","(enter date)",_xlfn.LET(_xlpm.dn,IFERROR(_xlfn.XLOOKUP($S1371,nrCDdate,nrCDnum),""),IF(_xlpm.dn="","(not a class day)",IFERROR(_xlfn.XLOOKUP(_xlpm.dn+cfgRetestClassDays,nrCDnum,nrCDdate),"")))))</f>
        <v/>
      </c>
      <c r="U1371" s="17">
        <f>IF($Q1371&lt;&gt;"Yes","",IF(COUNTIFS(nrES_PID,$D1371,nrES_Code,$F1371,nrES_Att,2)&gt;0,"Retested",IF(OR($T1371="",NOT(ISNUMBER($T1371))),"Pending",IF(TODAY()&gt;$T1371,"OVERDUE","Due "&amp;TEXT($T1371,"mm/dd")))))</f>
        <v/>
      </c>
      <c r="V1371" s="16" t="n"/>
      <c r="W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K1372=1,IF(COUNTIFS(nrES_PID,$D1372,nrES_Code,$F1372,nrES_Att,2)&gt;0,"",$L1372),IF(COUNTIFS(nrES_PID,$D1372,nrES_Code,$F1372,nrES_Att,1)=0,$L1372,IF($L1372&gt;=$J1372,cfgRetakeRecordedCap,SUMIFS(nrES_Raw,nrES_PID,$D1372,nrES_Code,$F1372,nrES_Att,1))))))</f>
        <v/>
      </c>
      <c r="N1372" s="17">
        <f>IF($C1372="","",IF($L1372="","",IF($L1372&gt;=$J1372,"Yes","No")))</f>
        <v/>
      </c>
      <c r="O1372" s="17">
        <f>IF($C1372="","",IF($M1372="","",IF($M1372&gt;=$J1372,"Yes","No")))</f>
        <v/>
      </c>
      <c r="P1372" s="17">
        <f>IF($C1372="","",IF($K1372="","",IF(COUNTIFS(nrES_PID,$D1372,nrES_Code,$F1372,nrES_Att,"&gt;"&amp;$K1372)=0,"Yes","No")))</f>
        <v/>
      </c>
      <c r="Q1372" s="17">
        <f>IF($C1372="","",IF($L1372="","",IF(AND($K1372=1,$L1372&lt;$J1372,COUNTIFS(nrES_PID,$D1372,nrES_Code,$F1372,nrES_Att,2)=0),"Yes","No")))</f>
        <v/>
      </c>
      <c r="R1372" s="17">
        <f>IF($C1372="","",IF($L1372="","",IF(AND($K1372=2,$L1372&lt;$J1372,COUNTIFS(nrES_PID,$D1372,nrES_Code,$F1372,nrES_Att,1)&gt;0),"Yes","No")))</f>
        <v/>
      </c>
      <c r="S1372" s="18" t="n"/>
      <c r="T1372" s="19">
        <f>IF($Q1372&lt;&gt;"Yes","",IF($S1372="","(enter date)",_xlfn.LET(_xlpm.dn,IFERROR(_xlfn.XLOOKUP($S1372,nrCDdate,nrCDnum),""),IF(_xlpm.dn="","(not a class day)",IFERROR(_xlfn.XLOOKUP(_xlpm.dn+cfgRetestClassDays,nrCDnum,nrCDdate),"")))))</f>
        <v/>
      </c>
      <c r="U1372" s="17">
        <f>IF($Q1372&lt;&gt;"Yes","",IF(COUNTIFS(nrES_PID,$D1372,nrES_Code,$F1372,nrES_Att,2)&gt;0,"Retested",IF(OR($T1372="",NOT(ISNUMBER($T1372))),"Pending",IF(TODAY()&gt;$T1372,"OVERDUE","Due "&amp;TEXT($T1372,"mm/dd")))))</f>
        <v/>
      </c>
      <c r="V1372" s="16" t="n"/>
      <c r="W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K1373=1,IF(COUNTIFS(nrES_PID,$D1373,nrES_Code,$F1373,nrES_Att,2)&gt;0,"",$L1373),IF(COUNTIFS(nrES_PID,$D1373,nrES_Code,$F1373,nrES_Att,1)=0,$L1373,IF($L1373&gt;=$J1373,cfgRetakeRecordedCap,SUMIFS(nrES_Raw,nrES_PID,$D1373,nrES_Code,$F1373,nrES_Att,1))))))</f>
        <v/>
      </c>
      <c r="N1373" s="17">
        <f>IF($C1373="","",IF($L1373="","",IF($L1373&gt;=$J1373,"Yes","No")))</f>
        <v/>
      </c>
      <c r="O1373" s="17">
        <f>IF($C1373="","",IF($M1373="","",IF($M1373&gt;=$J1373,"Yes","No")))</f>
        <v/>
      </c>
      <c r="P1373" s="17">
        <f>IF($C1373="","",IF($K1373="","",IF(COUNTIFS(nrES_PID,$D1373,nrES_Code,$F1373,nrES_Att,"&gt;"&amp;$K1373)=0,"Yes","No")))</f>
        <v/>
      </c>
      <c r="Q1373" s="17">
        <f>IF($C1373="","",IF($L1373="","",IF(AND($K1373=1,$L1373&lt;$J1373,COUNTIFS(nrES_PID,$D1373,nrES_Code,$F1373,nrES_Att,2)=0),"Yes","No")))</f>
        <v/>
      </c>
      <c r="R1373" s="17">
        <f>IF($C1373="","",IF($L1373="","",IF(AND($K1373=2,$L1373&lt;$J1373,COUNTIFS(nrES_PID,$D1373,nrES_Code,$F1373,nrES_Att,1)&gt;0),"Yes","No")))</f>
        <v/>
      </c>
      <c r="S1373" s="18" t="n"/>
      <c r="T1373" s="19">
        <f>IF($Q1373&lt;&gt;"Yes","",IF($S1373="","(enter date)",_xlfn.LET(_xlpm.dn,IFERROR(_xlfn.XLOOKUP($S1373,nrCDdate,nrCDnum),""),IF(_xlpm.dn="","(not a class day)",IFERROR(_xlfn.XLOOKUP(_xlpm.dn+cfgRetestClassDays,nrCDnum,nrCDdate),"")))))</f>
        <v/>
      </c>
      <c r="U1373" s="17">
        <f>IF($Q1373&lt;&gt;"Yes","",IF(COUNTIFS(nrES_PID,$D1373,nrES_Code,$F1373,nrES_Att,2)&gt;0,"Retested",IF(OR($T1373="",NOT(ISNUMBER($T1373))),"Pending",IF(TODAY()&gt;$T1373,"OVERDUE","Due "&amp;TEXT($T1373,"mm/dd")))))</f>
        <v/>
      </c>
      <c r="V1373" s="16" t="n"/>
      <c r="W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K1374=1,IF(COUNTIFS(nrES_PID,$D1374,nrES_Code,$F1374,nrES_Att,2)&gt;0,"",$L1374),IF(COUNTIFS(nrES_PID,$D1374,nrES_Code,$F1374,nrES_Att,1)=0,$L1374,IF($L1374&gt;=$J1374,cfgRetakeRecordedCap,SUMIFS(nrES_Raw,nrES_PID,$D1374,nrES_Code,$F1374,nrES_Att,1))))))</f>
        <v/>
      </c>
      <c r="N1374" s="17">
        <f>IF($C1374="","",IF($L1374="","",IF($L1374&gt;=$J1374,"Yes","No")))</f>
        <v/>
      </c>
      <c r="O1374" s="17">
        <f>IF($C1374="","",IF($M1374="","",IF($M1374&gt;=$J1374,"Yes","No")))</f>
        <v/>
      </c>
      <c r="P1374" s="17">
        <f>IF($C1374="","",IF($K1374="","",IF(COUNTIFS(nrES_PID,$D1374,nrES_Code,$F1374,nrES_Att,"&gt;"&amp;$K1374)=0,"Yes","No")))</f>
        <v/>
      </c>
      <c r="Q1374" s="17">
        <f>IF($C1374="","",IF($L1374="","",IF(AND($K1374=1,$L1374&lt;$J1374,COUNTIFS(nrES_PID,$D1374,nrES_Code,$F1374,nrES_Att,2)=0),"Yes","No")))</f>
        <v/>
      </c>
      <c r="R1374" s="17">
        <f>IF($C1374="","",IF($L1374="","",IF(AND($K1374=2,$L1374&lt;$J1374,COUNTIFS(nrES_PID,$D1374,nrES_Code,$F1374,nrES_Att,1)&gt;0),"Yes","No")))</f>
        <v/>
      </c>
      <c r="S1374" s="18" t="n"/>
      <c r="T1374" s="19">
        <f>IF($Q1374&lt;&gt;"Yes","",IF($S1374="","(enter date)",_xlfn.LET(_xlpm.dn,IFERROR(_xlfn.XLOOKUP($S1374,nrCDdate,nrCDnum),""),IF(_xlpm.dn="","(not a class day)",IFERROR(_xlfn.XLOOKUP(_xlpm.dn+cfgRetestClassDays,nrCDnum,nrCDdate),"")))))</f>
        <v/>
      </c>
      <c r="U1374" s="17">
        <f>IF($Q1374&lt;&gt;"Yes","",IF(COUNTIFS(nrES_PID,$D1374,nrES_Code,$F1374,nrES_Att,2)&gt;0,"Retested",IF(OR($T1374="",NOT(ISNUMBER($T1374))),"Pending",IF(TODAY()&gt;$T1374,"OVERDUE","Due "&amp;TEXT($T1374,"mm/dd")))))</f>
        <v/>
      </c>
      <c r="V1374" s="16" t="n"/>
      <c r="W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K1375=1,IF(COUNTIFS(nrES_PID,$D1375,nrES_Code,$F1375,nrES_Att,2)&gt;0,"",$L1375),IF(COUNTIFS(nrES_PID,$D1375,nrES_Code,$F1375,nrES_Att,1)=0,$L1375,IF($L1375&gt;=$J1375,cfgRetakeRecordedCap,SUMIFS(nrES_Raw,nrES_PID,$D1375,nrES_Code,$F1375,nrES_Att,1))))))</f>
        <v/>
      </c>
      <c r="N1375" s="17">
        <f>IF($C1375="","",IF($L1375="","",IF($L1375&gt;=$J1375,"Yes","No")))</f>
        <v/>
      </c>
      <c r="O1375" s="17">
        <f>IF($C1375="","",IF($M1375="","",IF($M1375&gt;=$J1375,"Yes","No")))</f>
        <v/>
      </c>
      <c r="P1375" s="17">
        <f>IF($C1375="","",IF($K1375="","",IF(COUNTIFS(nrES_PID,$D1375,nrES_Code,$F1375,nrES_Att,"&gt;"&amp;$K1375)=0,"Yes","No")))</f>
        <v/>
      </c>
      <c r="Q1375" s="17">
        <f>IF($C1375="","",IF($L1375="","",IF(AND($K1375=1,$L1375&lt;$J1375,COUNTIFS(nrES_PID,$D1375,nrES_Code,$F1375,nrES_Att,2)=0),"Yes","No")))</f>
        <v/>
      </c>
      <c r="R1375" s="17">
        <f>IF($C1375="","",IF($L1375="","",IF(AND($K1375=2,$L1375&lt;$J1375,COUNTIFS(nrES_PID,$D1375,nrES_Code,$F1375,nrES_Att,1)&gt;0),"Yes","No")))</f>
        <v/>
      </c>
      <c r="S1375" s="18" t="n"/>
      <c r="T1375" s="19">
        <f>IF($Q1375&lt;&gt;"Yes","",IF($S1375="","(enter date)",_xlfn.LET(_xlpm.dn,IFERROR(_xlfn.XLOOKUP($S1375,nrCDdate,nrCDnum),""),IF(_xlpm.dn="","(not a class day)",IFERROR(_xlfn.XLOOKUP(_xlpm.dn+cfgRetestClassDays,nrCDnum,nrCDdate),"")))))</f>
        <v/>
      </c>
      <c r="U1375" s="17">
        <f>IF($Q1375&lt;&gt;"Yes","",IF(COUNTIFS(nrES_PID,$D1375,nrES_Code,$F1375,nrES_Att,2)&gt;0,"Retested",IF(OR($T1375="",NOT(ISNUMBER($T1375))),"Pending",IF(TODAY()&gt;$T1375,"OVERDUE","Due "&amp;TEXT($T1375,"mm/dd")))))</f>
        <v/>
      </c>
      <c r="V1375" s="16" t="n"/>
      <c r="W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K1376=1,IF(COUNTIFS(nrES_PID,$D1376,nrES_Code,$F1376,nrES_Att,2)&gt;0,"",$L1376),IF(COUNTIFS(nrES_PID,$D1376,nrES_Code,$F1376,nrES_Att,1)=0,$L1376,IF($L1376&gt;=$J1376,cfgRetakeRecordedCap,SUMIFS(nrES_Raw,nrES_PID,$D1376,nrES_Code,$F1376,nrES_Att,1))))))</f>
        <v/>
      </c>
      <c r="N1376" s="17">
        <f>IF($C1376="","",IF($L1376="","",IF($L1376&gt;=$J1376,"Yes","No")))</f>
        <v/>
      </c>
      <c r="O1376" s="17">
        <f>IF($C1376="","",IF($M1376="","",IF($M1376&gt;=$J1376,"Yes","No")))</f>
        <v/>
      </c>
      <c r="P1376" s="17">
        <f>IF($C1376="","",IF($K1376="","",IF(COUNTIFS(nrES_PID,$D1376,nrES_Code,$F1376,nrES_Att,"&gt;"&amp;$K1376)=0,"Yes","No")))</f>
        <v/>
      </c>
      <c r="Q1376" s="17">
        <f>IF($C1376="","",IF($L1376="","",IF(AND($K1376=1,$L1376&lt;$J1376,COUNTIFS(nrES_PID,$D1376,nrES_Code,$F1376,nrES_Att,2)=0),"Yes","No")))</f>
        <v/>
      </c>
      <c r="R1376" s="17">
        <f>IF($C1376="","",IF($L1376="","",IF(AND($K1376=2,$L1376&lt;$J1376,COUNTIFS(nrES_PID,$D1376,nrES_Code,$F1376,nrES_Att,1)&gt;0),"Yes","No")))</f>
        <v/>
      </c>
      <c r="S1376" s="18" t="n"/>
      <c r="T1376" s="19">
        <f>IF($Q1376&lt;&gt;"Yes","",IF($S1376="","(enter date)",_xlfn.LET(_xlpm.dn,IFERROR(_xlfn.XLOOKUP($S1376,nrCDdate,nrCDnum),""),IF(_xlpm.dn="","(not a class day)",IFERROR(_xlfn.XLOOKUP(_xlpm.dn+cfgRetestClassDays,nrCDnum,nrCDdate),"")))))</f>
        <v/>
      </c>
      <c r="U1376" s="17">
        <f>IF($Q1376&lt;&gt;"Yes","",IF(COUNTIFS(nrES_PID,$D1376,nrES_Code,$F1376,nrES_Att,2)&gt;0,"Retested",IF(OR($T1376="",NOT(ISNUMBER($T1376))),"Pending",IF(TODAY()&gt;$T1376,"OVERDUE","Due "&amp;TEXT($T1376,"mm/dd")))))</f>
        <v/>
      </c>
      <c r="V1376" s="16" t="n"/>
      <c r="W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K1377=1,IF(COUNTIFS(nrES_PID,$D1377,nrES_Code,$F1377,nrES_Att,2)&gt;0,"",$L1377),IF(COUNTIFS(nrES_PID,$D1377,nrES_Code,$F1377,nrES_Att,1)=0,$L1377,IF($L1377&gt;=$J1377,cfgRetakeRecordedCap,SUMIFS(nrES_Raw,nrES_PID,$D1377,nrES_Code,$F1377,nrES_Att,1))))))</f>
        <v/>
      </c>
      <c r="N1377" s="17">
        <f>IF($C1377="","",IF($L1377="","",IF($L1377&gt;=$J1377,"Yes","No")))</f>
        <v/>
      </c>
      <c r="O1377" s="17">
        <f>IF($C1377="","",IF($M1377="","",IF($M1377&gt;=$J1377,"Yes","No")))</f>
        <v/>
      </c>
      <c r="P1377" s="17">
        <f>IF($C1377="","",IF($K1377="","",IF(COUNTIFS(nrES_PID,$D1377,nrES_Code,$F1377,nrES_Att,"&gt;"&amp;$K1377)=0,"Yes","No")))</f>
        <v/>
      </c>
      <c r="Q1377" s="17">
        <f>IF($C1377="","",IF($L1377="","",IF(AND($K1377=1,$L1377&lt;$J1377,COUNTIFS(nrES_PID,$D1377,nrES_Code,$F1377,nrES_Att,2)=0),"Yes","No")))</f>
        <v/>
      </c>
      <c r="R1377" s="17">
        <f>IF($C1377="","",IF($L1377="","",IF(AND($K1377=2,$L1377&lt;$J1377,COUNTIFS(nrES_PID,$D1377,nrES_Code,$F1377,nrES_Att,1)&gt;0),"Yes","No")))</f>
        <v/>
      </c>
      <c r="S1377" s="18" t="n"/>
      <c r="T1377" s="19">
        <f>IF($Q1377&lt;&gt;"Yes","",IF($S1377="","(enter date)",_xlfn.LET(_xlpm.dn,IFERROR(_xlfn.XLOOKUP($S1377,nrCDdate,nrCDnum),""),IF(_xlpm.dn="","(not a class day)",IFERROR(_xlfn.XLOOKUP(_xlpm.dn+cfgRetestClassDays,nrCDnum,nrCDdate),"")))))</f>
        <v/>
      </c>
      <c r="U1377" s="17">
        <f>IF($Q1377&lt;&gt;"Yes","",IF(COUNTIFS(nrES_PID,$D1377,nrES_Code,$F1377,nrES_Att,2)&gt;0,"Retested",IF(OR($T1377="",NOT(ISNUMBER($T1377))),"Pending",IF(TODAY()&gt;$T1377,"OVERDUE","Due "&amp;TEXT($T1377,"mm/dd")))))</f>
        <v/>
      </c>
      <c r="V1377" s="16" t="n"/>
      <c r="W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K1378=1,IF(COUNTIFS(nrES_PID,$D1378,nrES_Code,$F1378,nrES_Att,2)&gt;0,"",$L1378),IF(COUNTIFS(nrES_PID,$D1378,nrES_Code,$F1378,nrES_Att,1)=0,$L1378,IF($L1378&gt;=$J1378,cfgRetakeRecordedCap,SUMIFS(nrES_Raw,nrES_PID,$D1378,nrES_Code,$F1378,nrES_Att,1))))))</f>
        <v/>
      </c>
      <c r="N1378" s="17">
        <f>IF($C1378="","",IF($L1378="","",IF($L1378&gt;=$J1378,"Yes","No")))</f>
        <v/>
      </c>
      <c r="O1378" s="17">
        <f>IF($C1378="","",IF($M1378="","",IF($M1378&gt;=$J1378,"Yes","No")))</f>
        <v/>
      </c>
      <c r="P1378" s="17">
        <f>IF($C1378="","",IF($K1378="","",IF(COUNTIFS(nrES_PID,$D1378,nrES_Code,$F1378,nrES_Att,"&gt;"&amp;$K1378)=0,"Yes","No")))</f>
        <v/>
      </c>
      <c r="Q1378" s="17">
        <f>IF($C1378="","",IF($L1378="","",IF(AND($K1378=1,$L1378&lt;$J1378,COUNTIFS(nrES_PID,$D1378,nrES_Code,$F1378,nrES_Att,2)=0),"Yes","No")))</f>
        <v/>
      </c>
      <c r="R1378" s="17">
        <f>IF($C1378="","",IF($L1378="","",IF(AND($K1378=2,$L1378&lt;$J1378,COUNTIFS(nrES_PID,$D1378,nrES_Code,$F1378,nrES_Att,1)&gt;0),"Yes","No")))</f>
        <v/>
      </c>
      <c r="S1378" s="18" t="n"/>
      <c r="T1378" s="19">
        <f>IF($Q1378&lt;&gt;"Yes","",IF($S1378="","(enter date)",_xlfn.LET(_xlpm.dn,IFERROR(_xlfn.XLOOKUP($S1378,nrCDdate,nrCDnum),""),IF(_xlpm.dn="","(not a class day)",IFERROR(_xlfn.XLOOKUP(_xlpm.dn+cfgRetestClassDays,nrCDnum,nrCDdate),"")))))</f>
        <v/>
      </c>
      <c r="U1378" s="17">
        <f>IF($Q1378&lt;&gt;"Yes","",IF(COUNTIFS(nrES_PID,$D1378,nrES_Code,$F1378,nrES_Att,2)&gt;0,"Retested",IF(OR($T1378="",NOT(ISNUMBER($T1378))),"Pending",IF(TODAY()&gt;$T1378,"OVERDUE","Due "&amp;TEXT($T1378,"mm/dd")))))</f>
        <v/>
      </c>
      <c r="V1378" s="16" t="n"/>
      <c r="W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K1379=1,IF(COUNTIFS(nrES_PID,$D1379,nrES_Code,$F1379,nrES_Att,2)&gt;0,"",$L1379),IF(COUNTIFS(nrES_PID,$D1379,nrES_Code,$F1379,nrES_Att,1)=0,$L1379,IF($L1379&gt;=$J1379,cfgRetakeRecordedCap,SUMIFS(nrES_Raw,nrES_PID,$D1379,nrES_Code,$F1379,nrES_Att,1))))))</f>
        <v/>
      </c>
      <c r="N1379" s="17">
        <f>IF($C1379="","",IF($L1379="","",IF($L1379&gt;=$J1379,"Yes","No")))</f>
        <v/>
      </c>
      <c r="O1379" s="17">
        <f>IF($C1379="","",IF($M1379="","",IF($M1379&gt;=$J1379,"Yes","No")))</f>
        <v/>
      </c>
      <c r="P1379" s="17">
        <f>IF($C1379="","",IF($K1379="","",IF(COUNTIFS(nrES_PID,$D1379,nrES_Code,$F1379,nrES_Att,"&gt;"&amp;$K1379)=0,"Yes","No")))</f>
        <v/>
      </c>
      <c r="Q1379" s="17">
        <f>IF($C1379="","",IF($L1379="","",IF(AND($K1379=1,$L1379&lt;$J1379,COUNTIFS(nrES_PID,$D1379,nrES_Code,$F1379,nrES_Att,2)=0),"Yes","No")))</f>
        <v/>
      </c>
      <c r="R1379" s="17">
        <f>IF($C1379="","",IF($L1379="","",IF(AND($K1379=2,$L1379&lt;$J1379,COUNTIFS(nrES_PID,$D1379,nrES_Code,$F1379,nrES_Att,1)&gt;0),"Yes","No")))</f>
        <v/>
      </c>
      <c r="S1379" s="18" t="n"/>
      <c r="T1379" s="19">
        <f>IF($Q1379&lt;&gt;"Yes","",IF($S1379="","(enter date)",_xlfn.LET(_xlpm.dn,IFERROR(_xlfn.XLOOKUP($S1379,nrCDdate,nrCDnum),""),IF(_xlpm.dn="","(not a class day)",IFERROR(_xlfn.XLOOKUP(_xlpm.dn+cfgRetestClassDays,nrCDnum,nrCDdate),"")))))</f>
        <v/>
      </c>
      <c r="U1379" s="17">
        <f>IF($Q1379&lt;&gt;"Yes","",IF(COUNTIFS(nrES_PID,$D1379,nrES_Code,$F1379,nrES_Att,2)&gt;0,"Retested",IF(OR($T1379="",NOT(ISNUMBER($T1379))),"Pending",IF(TODAY()&gt;$T1379,"OVERDUE","Due "&amp;TEXT($T1379,"mm/dd")))))</f>
        <v/>
      </c>
      <c r="V1379" s="16" t="n"/>
      <c r="W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K1380=1,IF(COUNTIFS(nrES_PID,$D1380,nrES_Code,$F1380,nrES_Att,2)&gt;0,"",$L1380),IF(COUNTIFS(nrES_PID,$D1380,nrES_Code,$F1380,nrES_Att,1)=0,$L1380,IF($L1380&gt;=$J1380,cfgRetakeRecordedCap,SUMIFS(nrES_Raw,nrES_PID,$D1380,nrES_Code,$F1380,nrES_Att,1))))))</f>
        <v/>
      </c>
      <c r="N1380" s="17">
        <f>IF($C1380="","",IF($L1380="","",IF($L1380&gt;=$J1380,"Yes","No")))</f>
        <v/>
      </c>
      <c r="O1380" s="17">
        <f>IF($C1380="","",IF($M1380="","",IF($M1380&gt;=$J1380,"Yes","No")))</f>
        <v/>
      </c>
      <c r="P1380" s="17">
        <f>IF($C1380="","",IF($K1380="","",IF(COUNTIFS(nrES_PID,$D1380,nrES_Code,$F1380,nrES_Att,"&gt;"&amp;$K1380)=0,"Yes","No")))</f>
        <v/>
      </c>
      <c r="Q1380" s="17">
        <f>IF($C1380="","",IF($L1380="","",IF(AND($K1380=1,$L1380&lt;$J1380,COUNTIFS(nrES_PID,$D1380,nrES_Code,$F1380,nrES_Att,2)=0),"Yes","No")))</f>
        <v/>
      </c>
      <c r="R1380" s="17">
        <f>IF($C1380="","",IF($L1380="","",IF(AND($K1380=2,$L1380&lt;$J1380,COUNTIFS(nrES_PID,$D1380,nrES_Code,$F1380,nrES_Att,1)&gt;0),"Yes","No")))</f>
        <v/>
      </c>
      <c r="S1380" s="18" t="n"/>
      <c r="T1380" s="19">
        <f>IF($Q1380&lt;&gt;"Yes","",IF($S1380="","(enter date)",_xlfn.LET(_xlpm.dn,IFERROR(_xlfn.XLOOKUP($S1380,nrCDdate,nrCDnum),""),IF(_xlpm.dn="","(not a class day)",IFERROR(_xlfn.XLOOKUP(_xlpm.dn+cfgRetestClassDays,nrCDnum,nrCDdate),"")))))</f>
        <v/>
      </c>
      <c r="U1380" s="17">
        <f>IF($Q1380&lt;&gt;"Yes","",IF(COUNTIFS(nrES_PID,$D1380,nrES_Code,$F1380,nrES_Att,2)&gt;0,"Retested",IF(OR($T1380="",NOT(ISNUMBER($T1380))),"Pending",IF(TODAY()&gt;$T1380,"OVERDUE","Due "&amp;TEXT($T1380,"mm/dd")))))</f>
        <v/>
      </c>
      <c r="V1380" s="16" t="n"/>
      <c r="W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K1381=1,IF(COUNTIFS(nrES_PID,$D1381,nrES_Code,$F1381,nrES_Att,2)&gt;0,"",$L1381),IF(COUNTIFS(nrES_PID,$D1381,nrES_Code,$F1381,nrES_Att,1)=0,$L1381,IF($L1381&gt;=$J1381,cfgRetakeRecordedCap,SUMIFS(nrES_Raw,nrES_PID,$D1381,nrES_Code,$F1381,nrES_Att,1))))))</f>
        <v/>
      </c>
      <c r="N1381" s="17">
        <f>IF($C1381="","",IF($L1381="","",IF($L1381&gt;=$J1381,"Yes","No")))</f>
        <v/>
      </c>
      <c r="O1381" s="17">
        <f>IF($C1381="","",IF($M1381="","",IF($M1381&gt;=$J1381,"Yes","No")))</f>
        <v/>
      </c>
      <c r="P1381" s="17">
        <f>IF($C1381="","",IF($K1381="","",IF(COUNTIFS(nrES_PID,$D1381,nrES_Code,$F1381,nrES_Att,"&gt;"&amp;$K1381)=0,"Yes","No")))</f>
        <v/>
      </c>
      <c r="Q1381" s="17">
        <f>IF($C1381="","",IF($L1381="","",IF(AND($K1381=1,$L1381&lt;$J1381,COUNTIFS(nrES_PID,$D1381,nrES_Code,$F1381,nrES_Att,2)=0),"Yes","No")))</f>
        <v/>
      </c>
      <c r="R1381" s="17">
        <f>IF($C1381="","",IF($L1381="","",IF(AND($K1381=2,$L1381&lt;$J1381,COUNTIFS(nrES_PID,$D1381,nrES_Code,$F1381,nrES_Att,1)&gt;0),"Yes","No")))</f>
        <v/>
      </c>
      <c r="S1381" s="18" t="n"/>
      <c r="T1381" s="19">
        <f>IF($Q1381&lt;&gt;"Yes","",IF($S1381="","(enter date)",_xlfn.LET(_xlpm.dn,IFERROR(_xlfn.XLOOKUP($S1381,nrCDdate,nrCDnum),""),IF(_xlpm.dn="","(not a class day)",IFERROR(_xlfn.XLOOKUP(_xlpm.dn+cfgRetestClassDays,nrCDnum,nrCDdate),"")))))</f>
        <v/>
      </c>
      <c r="U1381" s="17">
        <f>IF($Q1381&lt;&gt;"Yes","",IF(COUNTIFS(nrES_PID,$D1381,nrES_Code,$F1381,nrES_Att,2)&gt;0,"Retested",IF(OR($T1381="",NOT(ISNUMBER($T1381))),"Pending",IF(TODAY()&gt;$T1381,"OVERDUE","Due "&amp;TEXT($T1381,"mm/dd")))))</f>
        <v/>
      </c>
      <c r="V1381" s="16" t="n"/>
      <c r="W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K1382=1,IF(COUNTIFS(nrES_PID,$D1382,nrES_Code,$F1382,nrES_Att,2)&gt;0,"",$L1382),IF(COUNTIFS(nrES_PID,$D1382,nrES_Code,$F1382,nrES_Att,1)=0,$L1382,IF($L1382&gt;=$J1382,cfgRetakeRecordedCap,SUMIFS(nrES_Raw,nrES_PID,$D1382,nrES_Code,$F1382,nrES_Att,1))))))</f>
        <v/>
      </c>
      <c r="N1382" s="17">
        <f>IF($C1382="","",IF($L1382="","",IF($L1382&gt;=$J1382,"Yes","No")))</f>
        <v/>
      </c>
      <c r="O1382" s="17">
        <f>IF($C1382="","",IF($M1382="","",IF($M1382&gt;=$J1382,"Yes","No")))</f>
        <v/>
      </c>
      <c r="P1382" s="17">
        <f>IF($C1382="","",IF($K1382="","",IF(COUNTIFS(nrES_PID,$D1382,nrES_Code,$F1382,nrES_Att,"&gt;"&amp;$K1382)=0,"Yes","No")))</f>
        <v/>
      </c>
      <c r="Q1382" s="17">
        <f>IF($C1382="","",IF($L1382="","",IF(AND($K1382=1,$L1382&lt;$J1382,COUNTIFS(nrES_PID,$D1382,nrES_Code,$F1382,nrES_Att,2)=0),"Yes","No")))</f>
        <v/>
      </c>
      <c r="R1382" s="17">
        <f>IF($C1382="","",IF($L1382="","",IF(AND($K1382=2,$L1382&lt;$J1382,COUNTIFS(nrES_PID,$D1382,nrES_Code,$F1382,nrES_Att,1)&gt;0),"Yes","No")))</f>
        <v/>
      </c>
      <c r="S1382" s="18" t="n"/>
      <c r="T1382" s="19">
        <f>IF($Q1382&lt;&gt;"Yes","",IF($S1382="","(enter date)",_xlfn.LET(_xlpm.dn,IFERROR(_xlfn.XLOOKUP($S1382,nrCDdate,nrCDnum),""),IF(_xlpm.dn="","(not a class day)",IFERROR(_xlfn.XLOOKUP(_xlpm.dn+cfgRetestClassDays,nrCDnum,nrCDdate),"")))))</f>
        <v/>
      </c>
      <c r="U1382" s="17">
        <f>IF($Q1382&lt;&gt;"Yes","",IF(COUNTIFS(nrES_PID,$D1382,nrES_Code,$F1382,nrES_Att,2)&gt;0,"Retested",IF(OR($T1382="",NOT(ISNUMBER($T1382))),"Pending",IF(TODAY()&gt;$T1382,"OVERDUE","Due "&amp;TEXT($T1382,"mm/dd")))))</f>
        <v/>
      </c>
      <c r="V1382" s="16" t="n"/>
      <c r="W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K1383=1,IF(COUNTIFS(nrES_PID,$D1383,nrES_Code,$F1383,nrES_Att,2)&gt;0,"",$L1383),IF(COUNTIFS(nrES_PID,$D1383,nrES_Code,$F1383,nrES_Att,1)=0,$L1383,IF($L1383&gt;=$J1383,cfgRetakeRecordedCap,SUMIFS(nrES_Raw,nrES_PID,$D1383,nrES_Code,$F1383,nrES_Att,1))))))</f>
        <v/>
      </c>
      <c r="N1383" s="17">
        <f>IF($C1383="","",IF($L1383="","",IF($L1383&gt;=$J1383,"Yes","No")))</f>
        <v/>
      </c>
      <c r="O1383" s="17">
        <f>IF($C1383="","",IF($M1383="","",IF($M1383&gt;=$J1383,"Yes","No")))</f>
        <v/>
      </c>
      <c r="P1383" s="17">
        <f>IF($C1383="","",IF($K1383="","",IF(COUNTIFS(nrES_PID,$D1383,nrES_Code,$F1383,nrES_Att,"&gt;"&amp;$K1383)=0,"Yes","No")))</f>
        <v/>
      </c>
      <c r="Q1383" s="17">
        <f>IF($C1383="","",IF($L1383="","",IF(AND($K1383=1,$L1383&lt;$J1383,COUNTIFS(nrES_PID,$D1383,nrES_Code,$F1383,nrES_Att,2)=0),"Yes","No")))</f>
        <v/>
      </c>
      <c r="R1383" s="17">
        <f>IF($C1383="","",IF($L1383="","",IF(AND($K1383=2,$L1383&lt;$J1383,COUNTIFS(nrES_PID,$D1383,nrES_Code,$F1383,nrES_Att,1)&gt;0),"Yes","No")))</f>
        <v/>
      </c>
      <c r="S1383" s="18" t="n"/>
      <c r="T1383" s="19">
        <f>IF($Q1383&lt;&gt;"Yes","",IF($S1383="","(enter date)",_xlfn.LET(_xlpm.dn,IFERROR(_xlfn.XLOOKUP($S1383,nrCDdate,nrCDnum),""),IF(_xlpm.dn="","(not a class day)",IFERROR(_xlfn.XLOOKUP(_xlpm.dn+cfgRetestClassDays,nrCDnum,nrCDdate),"")))))</f>
        <v/>
      </c>
      <c r="U1383" s="17">
        <f>IF($Q1383&lt;&gt;"Yes","",IF(COUNTIFS(nrES_PID,$D1383,nrES_Code,$F1383,nrES_Att,2)&gt;0,"Retested",IF(OR($T1383="",NOT(ISNUMBER($T1383))),"Pending",IF(TODAY()&gt;$T1383,"OVERDUE","Due "&amp;TEXT($T1383,"mm/dd")))))</f>
        <v/>
      </c>
      <c r="V1383" s="16" t="n"/>
      <c r="W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K1384=1,IF(COUNTIFS(nrES_PID,$D1384,nrES_Code,$F1384,nrES_Att,2)&gt;0,"",$L1384),IF(COUNTIFS(nrES_PID,$D1384,nrES_Code,$F1384,nrES_Att,1)=0,$L1384,IF($L1384&gt;=$J1384,cfgRetakeRecordedCap,SUMIFS(nrES_Raw,nrES_PID,$D1384,nrES_Code,$F1384,nrES_Att,1))))))</f>
        <v/>
      </c>
      <c r="N1384" s="17">
        <f>IF($C1384="","",IF($L1384="","",IF($L1384&gt;=$J1384,"Yes","No")))</f>
        <v/>
      </c>
      <c r="O1384" s="17">
        <f>IF($C1384="","",IF($M1384="","",IF($M1384&gt;=$J1384,"Yes","No")))</f>
        <v/>
      </c>
      <c r="P1384" s="17">
        <f>IF($C1384="","",IF($K1384="","",IF(COUNTIFS(nrES_PID,$D1384,nrES_Code,$F1384,nrES_Att,"&gt;"&amp;$K1384)=0,"Yes","No")))</f>
        <v/>
      </c>
      <c r="Q1384" s="17">
        <f>IF($C1384="","",IF($L1384="","",IF(AND($K1384=1,$L1384&lt;$J1384,COUNTIFS(nrES_PID,$D1384,nrES_Code,$F1384,nrES_Att,2)=0),"Yes","No")))</f>
        <v/>
      </c>
      <c r="R1384" s="17">
        <f>IF($C1384="","",IF($L1384="","",IF(AND($K1384=2,$L1384&lt;$J1384,COUNTIFS(nrES_PID,$D1384,nrES_Code,$F1384,nrES_Att,1)&gt;0),"Yes","No")))</f>
        <v/>
      </c>
      <c r="S1384" s="18" t="n"/>
      <c r="T1384" s="19">
        <f>IF($Q1384&lt;&gt;"Yes","",IF($S1384="","(enter date)",_xlfn.LET(_xlpm.dn,IFERROR(_xlfn.XLOOKUP($S1384,nrCDdate,nrCDnum),""),IF(_xlpm.dn="","(not a class day)",IFERROR(_xlfn.XLOOKUP(_xlpm.dn+cfgRetestClassDays,nrCDnum,nrCDdate),"")))))</f>
        <v/>
      </c>
      <c r="U1384" s="17">
        <f>IF($Q1384&lt;&gt;"Yes","",IF(COUNTIFS(nrES_PID,$D1384,nrES_Code,$F1384,nrES_Att,2)&gt;0,"Retested",IF(OR($T1384="",NOT(ISNUMBER($T1384))),"Pending",IF(TODAY()&gt;$T1384,"OVERDUE","Due "&amp;TEXT($T1384,"mm/dd")))))</f>
        <v/>
      </c>
      <c r="V1384" s="16" t="n"/>
      <c r="W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K1385=1,IF(COUNTIFS(nrES_PID,$D1385,nrES_Code,$F1385,nrES_Att,2)&gt;0,"",$L1385),IF(COUNTIFS(nrES_PID,$D1385,nrES_Code,$F1385,nrES_Att,1)=0,$L1385,IF($L1385&gt;=$J1385,cfgRetakeRecordedCap,SUMIFS(nrES_Raw,nrES_PID,$D1385,nrES_Code,$F1385,nrES_Att,1))))))</f>
        <v/>
      </c>
      <c r="N1385" s="17">
        <f>IF($C1385="","",IF($L1385="","",IF($L1385&gt;=$J1385,"Yes","No")))</f>
        <v/>
      </c>
      <c r="O1385" s="17">
        <f>IF($C1385="","",IF($M1385="","",IF($M1385&gt;=$J1385,"Yes","No")))</f>
        <v/>
      </c>
      <c r="P1385" s="17">
        <f>IF($C1385="","",IF($K1385="","",IF(COUNTIFS(nrES_PID,$D1385,nrES_Code,$F1385,nrES_Att,"&gt;"&amp;$K1385)=0,"Yes","No")))</f>
        <v/>
      </c>
      <c r="Q1385" s="17">
        <f>IF($C1385="","",IF($L1385="","",IF(AND($K1385=1,$L1385&lt;$J1385,COUNTIFS(nrES_PID,$D1385,nrES_Code,$F1385,nrES_Att,2)=0),"Yes","No")))</f>
        <v/>
      </c>
      <c r="R1385" s="17">
        <f>IF($C1385="","",IF($L1385="","",IF(AND($K1385=2,$L1385&lt;$J1385,COUNTIFS(nrES_PID,$D1385,nrES_Code,$F1385,nrES_Att,1)&gt;0),"Yes","No")))</f>
        <v/>
      </c>
      <c r="S1385" s="18" t="n"/>
      <c r="T1385" s="19">
        <f>IF($Q1385&lt;&gt;"Yes","",IF($S1385="","(enter date)",_xlfn.LET(_xlpm.dn,IFERROR(_xlfn.XLOOKUP($S1385,nrCDdate,nrCDnum),""),IF(_xlpm.dn="","(not a class day)",IFERROR(_xlfn.XLOOKUP(_xlpm.dn+cfgRetestClassDays,nrCDnum,nrCDdate),"")))))</f>
        <v/>
      </c>
      <c r="U1385" s="17">
        <f>IF($Q1385&lt;&gt;"Yes","",IF(COUNTIFS(nrES_PID,$D1385,nrES_Code,$F1385,nrES_Att,2)&gt;0,"Retested",IF(OR($T1385="",NOT(ISNUMBER($T1385))),"Pending",IF(TODAY()&gt;$T1385,"OVERDUE","Due "&amp;TEXT($T1385,"mm/dd")))))</f>
        <v/>
      </c>
      <c r="V1385" s="16" t="n"/>
      <c r="W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K1386=1,IF(COUNTIFS(nrES_PID,$D1386,nrES_Code,$F1386,nrES_Att,2)&gt;0,"",$L1386),IF(COUNTIFS(nrES_PID,$D1386,nrES_Code,$F1386,nrES_Att,1)=0,$L1386,IF($L1386&gt;=$J1386,cfgRetakeRecordedCap,SUMIFS(nrES_Raw,nrES_PID,$D1386,nrES_Code,$F1386,nrES_Att,1))))))</f>
        <v/>
      </c>
      <c r="N1386" s="17">
        <f>IF($C1386="","",IF($L1386="","",IF($L1386&gt;=$J1386,"Yes","No")))</f>
        <v/>
      </c>
      <c r="O1386" s="17">
        <f>IF($C1386="","",IF($M1386="","",IF($M1386&gt;=$J1386,"Yes","No")))</f>
        <v/>
      </c>
      <c r="P1386" s="17">
        <f>IF($C1386="","",IF($K1386="","",IF(COUNTIFS(nrES_PID,$D1386,nrES_Code,$F1386,nrES_Att,"&gt;"&amp;$K1386)=0,"Yes","No")))</f>
        <v/>
      </c>
      <c r="Q1386" s="17">
        <f>IF($C1386="","",IF($L1386="","",IF(AND($K1386=1,$L1386&lt;$J1386,COUNTIFS(nrES_PID,$D1386,nrES_Code,$F1386,nrES_Att,2)=0),"Yes","No")))</f>
        <v/>
      </c>
      <c r="R1386" s="17">
        <f>IF($C1386="","",IF($L1386="","",IF(AND($K1386=2,$L1386&lt;$J1386,COUNTIFS(nrES_PID,$D1386,nrES_Code,$F1386,nrES_Att,1)&gt;0),"Yes","No")))</f>
        <v/>
      </c>
      <c r="S1386" s="18" t="n"/>
      <c r="T1386" s="19">
        <f>IF($Q1386&lt;&gt;"Yes","",IF($S1386="","(enter date)",_xlfn.LET(_xlpm.dn,IFERROR(_xlfn.XLOOKUP($S1386,nrCDdate,nrCDnum),""),IF(_xlpm.dn="","(not a class day)",IFERROR(_xlfn.XLOOKUP(_xlpm.dn+cfgRetestClassDays,nrCDnum,nrCDdate),"")))))</f>
        <v/>
      </c>
      <c r="U1386" s="17">
        <f>IF($Q1386&lt;&gt;"Yes","",IF(COUNTIFS(nrES_PID,$D1386,nrES_Code,$F1386,nrES_Att,2)&gt;0,"Retested",IF(OR($T1386="",NOT(ISNUMBER($T1386))),"Pending",IF(TODAY()&gt;$T1386,"OVERDUE","Due "&amp;TEXT($T1386,"mm/dd")))))</f>
        <v/>
      </c>
      <c r="V1386" s="16" t="n"/>
      <c r="W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K1387=1,IF(COUNTIFS(nrES_PID,$D1387,nrES_Code,$F1387,nrES_Att,2)&gt;0,"",$L1387),IF(COUNTIFS(nrES_PID,$D1387,nrES_Code,$F1387,nrES_Att,1)=0,$L1387,IF($L1387&gt;=$J1387,cfgRetakeRecordedCap,SUMIFS(nrES_Raw,nrES_PID,$D1387,nrES_Code,$F1387,nrES_Att,1))))))</f>
        <v/>
      </c>
      <c r="N1387" s="17">
        <f>IF($C1387="","",IF($L1387="","",IF($L1387&gt;=$J1387,"Yes","No")))</f>
        <v/>
      </c>
      <c r="O1387" s="17">
        <f>IF($C1387="","",IF($M1387="","",IF($M1387&gt;=$J1387,"Yes","No")))</f>
        <v/>
      </c>
      <c r="P1387" s="17">
        <f>IF($C1387="","",IF($K1387="","",IF(COUNTIFS(nrES_PID,$D1387,nrES_Code,$F1387,nrES_Att,"&gt;"&amp;$K1387)=0,"Yes","No")))</f>
        <v/>
      </c>
      <c r="Q1387" s="17">
        <f>IF($C1387="","",IF($L1387="","",IF(AND($K1387=1,$L1387&lt;$J1387,COUNTIFS(nrES_PID,$D1387,nrES_Code,$F1387,nrES_Att,2)=0),"Yes","No")))</f>
        <v/>
      </c>
      <c r="R1387" s="17">
        <f>IF($C1387="","",IF($L1387="","",IF(AND($K1387=2,$L1387&lt;$J1387,COUNTIFS(nrES_PID,$D1387,nrES_Code,$F1387,nrES_Att,1)&gt;0),"Yes","No")))</f>
        <v/>
      </c>
      <c r="S1387" s="18" t="n"/>
      <c r="T1387" s="19">
        <f>IF($Q1387&lt;&gt;"Yes","",IF($S1387="","(enter date)",_xlfn.LET(_xlpm.dn,IFERROR(_xlfn.XLOOKUP($S1387,nrCDdate,nrCDnum),""),IF(_xlpm.dn="","(not a class day)",IFERROR(_xlfn.XLOOKUP(_xlpm.dn+cfgRetestClassDays,nrCDnum,nrCDdate),"")))))</f>
        <v/>
      </c>
      <c r="U1387" s="17">
        <f>IF($Q1387&lt;&gt;"Yes","",IF(COUNTIFS(nrES_PID,$D1387,nrES_Code,$F1387,nrES_Att,2)&gt;0,"Retested",IF(OR($T1387="",NOT(ISNUMBER($T1387))),"Pending",IF(TODAY()&gt;$T1387,"OVERDUE","Due "&amp;TEXT($T1387,"mm/dd")))))</f>
        <v/>
      </c>
      <c r="V1387" s="16" t="n"/>
      <c r="W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K1388=1,IF(COUNTIFS(nrES_PID,$D1388,nrES_Code,$F1388,nrES_Att,2)&gt;0,"",$L1388),IF(COUNTIFS(nrES_PID,$D1388,nrES_Code,$F1388,nrES_Att,1)=0,$L1388,IF($L1388&gt;=$J1388,cfgRetakeRecordedCap,SUMIFS(nrES_Raw,nrES_PID,$D1388,nrES_Code,$F1388,nrES_Att,1))))))</f>
        <v/>
      </c>
      <c r="N1388" s="17">
        <f>IF($C1388="","",IF($L1388="","",IF($L1388&gt;=$J1388,"Yes","No")))</f>
        <v/>
      </c>
      <c r="O1388" s="17">
        <f>IF($C1388="","",IF($M1388="","",IF($M1388&gt;=$J1388,"Yes","No")))</f>
        <v/>
      </c>
      <c r="P1388" s="17">
        <f>IF($C1388="","",IF($K1388="","",IF(COUNTIFS(nrES_PID,$D1388,nrES_Code,$F1388,nrES_Att,"&gt;"&amp;$K1388)=0,"Yes","No")))</f>
        <v/>
      </c>
      <c r="Q1388" s="17">
        <f>IF($C1388="","",IF($L1388="","",IF(AND($K1388=1,$L1388&lt;$J1388,COUNTIFS(nrES_PID,$D1388,nrES_Code,$F1388,nrES_Att,2)=0),"Yes","No")))</f>
        <v/>
      </c>
      <c r="R1388" s="17">
        <f>IF($C1388="","",IF($L1388="","",IF(AND($K1388=2,$L1388&lt;$J1388,COUNTIFS(nrES_PID,$D1388,nrES_Code,$F1388,nrES_Att,1)&gt;0),"Yes","No")))</f>
        <v/>
      </c>
      <c r="S1388" s="18" t="n"/>
      <c r="T1388" s="19">
        <f>IF($Q1388&lt;&gt;"Yes","",IF($S1388="","(enter date)",_xlfn.LET(_xlpm.dn,IFERROR(_xlfn.XLOOKUP($S1388,nrCDdate,nrCDnum),""),IF(_xlpm.dn="","(not a class day)",IFERROR(_xlfn.XLOOKUP(_xlpm.dn+cfgRetestClassDays,nrCDnum,nrCDdate),"")))))</f>
        <v/>
      </c>
      <c r="U1388" s="17">
        <f>IF($Q1388&lt;&gt;"Yes","",IF(COUNTIFS(nrES_PID,$D1388,nrES_Code,$F1388,nrES_Att,2)&gt;0,"Retested",IF(OR($T1388="",NOT(ISNUMBER($T1388))),"Pending",IF(TODAY()&gt;$T1388,"OVERDUE","Due "&amp;TEXT($T1388,"mm/dd")))))</f>
        <v/>
      </c>
      <c r="V1388" s="16" t="n"/>
      <c r="W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K1389=1,IF(COUNTIFS(nrES_PID,$D1389,nrES_Code,$F1389,nrES_Att,2)&gt;0,"",$L1389),IF(COUNTIFS(nrES_PID,$D1389,nrES_Code,$F1389,nrES_Att,1)=0,$L1389,IF($L1389&gt;=$J1389,cfgRetakeRecordedCap,SUMIFS(nrES_Raw,nrES_PID,$D1389,nrES_Code,$F1389,nrES_Att,1))))))</f>
        <v/>
      </c>
      <c r="N1389" s="17">
        <f>IF($C1389="","",IF($L1389="","",IF($L1389&gt;=$J1389,"Yes","No")))</f>
        <v/>
      </c>
      <c r="O1389" s="17">
        <f>IF($C1389="","",IF($M1389="","",IF($M1389&gt;=$J1389,"Yes","No")))</f>
        <v/>
      </c>
      <c r="P1389" s="17">
        <f>IF($C1389="","",IF($K1389="","",IF(COUNTIFS(nrES_PID,$D1389,nrES_Code,$F1389,nrES_Att,"&gt;"&amp;$K1389)=0,"Yes","No")))</f>
        <v/>
      </c>
      <c r="Q1389" s="17">
        <f>IF($C1389="","",IF($L1389="","",IF(AND($K1389=1,$L1389&lt;$J1389,COUNTIFS(nrES_PID,$D1389,nrES_Code,$F1389,nrES_Att,2)=0),"Yes","No")))</f>
        <v/>
      </c>
      <c r="R1389" s="17">
        <f>IF($C1389="","",IF($L1389="","",IF(AND($K1389=2,$L1389&lt;$J1389,COUNTIFS(nrES_PID,$D1389,nrES_Code,$F1389,nrES_Att,1)&gt;0),"Yes","No")))</f>
        <v/>
      </c>
      <c r="S1389" s="18" t="n"/>
      <c r="T1389" s="19">
        <f>IF($Q1389&lt;&gt;"Yes","",IF($S1389="","(enter date)",_xlfn.LET(_xlpm.dn,IFERROR(_xlfn.XLOOKUP($S1389,nrCDdate,nrCDnum),""),IF(_xlpm.dn="","(not a class day)",IFERROR(_xlfn.XLOOKUP(_xlpm.dn+cfgRetestClassDays,nrCDnum,nrCDdate),"")))))</f>
        <v/>
      </c>
      <c r="U1389" s="17">
        <f>IF($Q1389&lt;&gt;"Yes","",IF(COUNTIFS(nrES_PID,$D1389,nrES_Code,$F1389,nrES_Att,2)&gt;0,"Retested",IF(OR($T1389="",NOT(ISNUMBER($T1389))),"Pending",IF(TODAY()&gt;$T1389,"OVERDUE","Due "&amp;TEXT($T1389,"mm/dd")))))</f>
        <v/>
      </c>
      <c r="V1389" s="16" t="n"/>
      <c r="W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K1390=1,IF(COUNTIFS(nrES_PID,$D1390,nrES_Code,$F1390,nrES_Att,2)&gt;0,"",$L1390),IF(COUNTIFS(nrES_PID,$D1390,nrES_Code,$F1390,nrES_Att,1)=0,$L1390,IF($L1390&gt;=$J1390,cfgRetakeRecordedCap,SUMIFS(nrES_Raw,nrES_PID,$D1390,nrES_Code,$F1390,nrES_Att,1))))))</f>
        <v/>
      </c>
      <c r="N1390" s="17">
        <f>IF($C1390="","",IF($L1390="","",IF($L1390&gt;=$J1390,"Yes","No")))</f>
        <v/>
      </c>
      <c r="O1390" s="17">
        <f>IF($C1390="","",IF($M1390="","",IF($M1390&gt;=$J1390,"Yes","No")))</f>
        <v/>
      </c>
      <c r="P1390" s="17">
        <f>IF($C1390="","",IF($K1390="","",IF(COUNTIFS(nrES_PID,$D1390,nrES_Code,$F1390,nrES_Att,"&gt;"&amp;$K1390)=0,"Yes","No")))</f>
        <v/>
      </c>
      <c r="Q1390" s="17">
        <f>IF($C1390="","",IF($L1390="","",IF(AND($K1390=1,$L1390&lt;$J1390,COUNTIFS(nrES_PID,$D1390,nrES_Code,$F1390,nrES_Att,2)=0),"Yes","No")))</f>
        <v/>
      </c>
      <c r="R1390" s="17">
        <f>IF($C1390="","",IF($L1390="","",IF(AND($K1390=2,$L1390&lt;$J1390,COUNTIFS(nrES_PID,$D1390,nrES_Code,$F1390,nrES_Att,1)&gt;0),"Yes","No")))</f>
        <v/>
      </c>
      <c r="S1390" s="18" t="n"/>
      <c r="T1390" s="19">
        <f>IF($Q1390&lt;&gt;"Yes","",IF($S1390="","(enter date)",_xlfn.LET(_xlpm.dn,IFERROR(_xlfn.XLOOKUP($S1390,nrCDdate,nrCDnum),""),IF(_xlpm.dn="","(not a class day)",IFERROR(_xlfn.XLOOKUP(_xlpm.dn+cfgRetestClassDays,nrCDnum,nrCDdate),"")))))</f>
        <v/>
      </c>
      <c r="U1390" s="17">
        <f>IF($Q1390&lt;&gt;"Yes","",IF(COUNTIFS(nrES_PID,$D1390,nrES_Code,$F1390,nrES_Att,2)&gt;0,"Retested",IF(OR($T1390="",NOT(ISNUMBER($T1390))),"Pending",IF(TODAY()&gt;$T1390,"OVERDUE","Due "&amp;TEXT($T1390,"mm/dd")))))</f>
        <v/>
      </c>
      <c r="V1390" s="16" t="n"/>
      <c r="W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K1391=1,IF(COUNTIFS(nrES_PID,$D1391,nrES_Code,$F1391,nrES_Att,2)&gt;0,"",$L1391),IF(COUNTIFS(nrES_PID,$D1391,nrES_Code,$F1391,nrES_Att,1)=0,$L1391,IF($L1391&gt;=$J1391,cfgRetakeRecordedCap,SUMIFS(nrES_Raw,nrES_PID,$D1391,nrES_Code,$F1391,nrES_Att,1))))))</f>
        <v/>
      </c>
      <c r="N1391" s="17">
        <f>IF($C1391="","",IF($L1391="","",IF($L1391&gt;=$J1391,"Yes","No")))</f>
        <v/>
      </c>
      <c r="O1391" s="17">
        <f>IF($C1391="","",IF($M1391="","",IF($M1391&gt;=$J1391,"Yes","No")))</f>
        <v/>
      </c>
      <c r="P1391" s="17">
        <f>IF($C1391="","",IF($K1391="","",IF(COUNTIFS(nrES_PID,$D1391,nrES_Code,$F1391,nrES_Att,"&gt;"&amp;$K1391)=0,"Yes","No")))</f>
        <v/>
      </c>
      <c r="Q1391" s="17">
        <f>IF($C1391="","",IF($L1391="","",IF(AND($K1391=1,$L1391&lt;$J1391,COUNTIFS(nrES_PID,$D1391,nrES_Code,$F1391,nrES_Att,2)=0),"Yes","No")))</f>
        <v/>
      </c>
      <c r="R1391" s="17">
        <f>IF($C1391="","",IF($L1391="","",IF(AND($K1391=2,$L1391&lt;$J1391,COUNTIFS(nrES_PID,$D1391,nrES_Code,$F1391,nrES_Att,1)&gt;0),"Yes","No")))</f>
        <v/>
      </c>
      <c r="S1391" s="18" t="n"/>
      <c r="T1391" s="19">
        <f>IF($Q1391&lt;&gt;"Yes","",IF($S1391="","(enter date)",_xlfn.LET(_xlpm.dn,IFERROR(_xlfn.XLOOKUP($S1391,nrCDdate,nrCDnum),""),IF(_xlpm.dn="","(not a class day)",IFERROR(_xlfn.XLOOKUP(_xlpm.dn+cfgRetestClassDays,nrCDnum,nrCDdate),"")))))</f>
        <v/>
      </c>
      <c r="U1391" s="17">
        <f>IF($Q1391&lt;&gt;"Yes","",IF(COUNTIFS(nrES_PID,$D1391,nrES_Code,$F1391,nrES_Att,2)&gt;0,"Retested",IF(OR($T1391="",NOT(ISNUMBER($T1391))),"Pending",IF(TODAY()&gt;$T1391,"OVERDUE","Due "&amp;TEXT($T1391,"mm/dd")))))</f>
        <v/>
      </c>
      <c r="V1391" s="16" t="n"/>
      <c r="W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K1392=1,IF(COUNTIFS(nrES_PID,$D1392,nrES_Code,$F1392,nrES_Att,2)&gt;0,"",$L1392),IF(COUNTIFS(nrES_PID,$D1392,nrES_Code,$F1392,nrES_Att,1)=0,$L1392,IF($L1392&gt;=$J1392,cfgRetakeRecordedCap,SUMIFS(nrES_Raw,nrES_PID,$D1392,nrES_Code,$F1392,nrES_Att,1))))))</f>
        <v/>
      </c>
      <c r="N1392" s="17">
        <f>IF($C1392="","",IF($L1392="","",IF($L1392&gt;=$J1392,"Yes","No")))</f>
        <v/>
      </c>
      <c r="O1392" s="17">
        <f>IF($C1392="","",IF($M1392="","",IF($M1392&gt;=$J1392,"Yes","No")))</f>
        <v/>
      </c>
      <c r="P1392" s="17">
        <f>IF($C1392="","",IF($K1392="","",IF(COUNTIFS(nrES_PID,$D1392,nrES_Code,$F1392,nrES_Att,"&gt;"&amp;$K1392)=0,"Yes","No")))</f>
        <v/>
      </c>
      <c r="Q1392" s="17">
        <f>IF($C1392="","",IF($L1392="","",IF(AND($K1392=1,$L1392&lt;$J1392,COUNTIFS(nrES_PID,$D1392,nrES_Code,$F1392,nrES_Att,2)=0),"Yes","No")))</f>
        <v/>
      </c>
      <c r="R1392" s="17">
        <f>IF($C1392="","",IF($L1392="","",IF(AND($K1392=2,$L1392&lt;$J1392,COUNTIFS(nrES_PID,$D1392,nrES_Code,$F1392,nrES_Att,1)&gt;0),"Yes","No")))</f>
        <v/>
      </c>
      <c r="S1392" s="18" t="n"/>
      <c r="T1392" s="19">
        <f>IF($Q1392&lt;&gt;"Yes","",IF($S1392="","(enter date)",_xlfn.LET(_xlpm.dn,IFERROR(_xlfn.XLOOKUP($S1392,nrCDdate,nrCDnum),""),IF(_xlpm.dn="","(not a class day)",IFERROR(_xlfn.XLOOKUP(_xlpm.dn+cfgRetestClassDays,nrCDnum,nrCDdate),"")))))</f>
        <v/>
      </c>
      <c r="U1392" s="17">
        <f>IF($Q1392&lt;&gt;"Yes","",IF(COUNTIFS(nrES_PID,$D1392,nrES_Code,$F1392,nrES_Att,2)&gt;0,"Retested",IF(OR($T1392="",NOT(ISNUMBER($T1392))),"Pending",IF(TODAY()&gt;$T1392,"OVERDUE","Due "&amp;TEXT($T1392,"mm/dd")))))</f>
        <v/>
      </c>
      <c r="V1392" s="16" t="n"/>
      <c r="W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K1393=1,IF(COUNTIFS(nrES_PID,$D1393,nrES_Code,$F1393,nrES_Att,2)&gt;0,"",$L1393),IF(COUNTIFS(nrES_PID,$D1393,nrES_Code,$F1393,nrES_Att,1)=0,$L1393,IF($L1393&gt;=$J1393,cfgRetakeRecordedCap,SUMIFS(nrES_Raw,nrES_PID,$D1393,nrES_Code,$F1393,nrES_Att,1))))))</f>
        <v/>
      </c>
      <c r="N1393" s="17">
        <f>IF($C1393="","",IF($L1393="","",IF($L1393&gt;=$J1393,"Yes","No")))</f>
        <v/>
      </c>
      <c r="O1393" s="17">
        <f>IF($C1393="","",IF($M1393="","",IF($M1393&gt;=$J1393,"Yes","No")))</f>
        <v/>
      </c>
      <c r="P1393" s="17">
        <f>IF($C1393="","",IF($K1393="","",IF(COUNTIFS(nrES_PID,$D1393,nrES_Code,$F1393,nrES_Att,"&gt;"&amp;$K1393)=0,"Yes","No")))</f>
        <v/>
      </c>
      <c r="Q1393" s="17">
        <f>IF($C1393="","",IF($L1393="","",IF(AND($K1393=1,$L1393&lt;$J1393,COUNTIFS(nrES_PID,$D1393,nrES_Code,$F1393,nrES_Att,2)=0),"Yes","No")))</f>
        <v/>
      </c>
      <c r="R1393" s="17">
        <f>IF($C1393="","",IF($L1393="","",IF(AND($K1393=2,$L1393&lt;$J1393,COUNTIFS(nrES_PID,$D1393,nrES_Code,$F1393,nrES_Att,1)&gt;0),"Yes","No")))</f>
        <v/>
      </c>
      <c r="S1393" s="18" t="n"/>
      <c r="T1393" s="19">
        <f>IF($Q1393&lt;&gt;"Yes","",IF($S1393="","(enter date)",_xlfn.LET(_xlpm.dn,IFERROR(_xlfn.XLOOKUP($S1393,nrCDdate,nrCDnum),""),IF(_xlpm.dn="","(not a class day)",IFERROR(_xlfn.XLOOKUP(_xlpm.dn+cfgRetestClassDays,nrCDnum,nrCDdate),"")))))</f>
        <v/>
      </c>
      <c r="U1393" s="17">
        <f>IF($Q1393&lt;&gt;"Yes","",IF(COUNTIFS(nrES_PID,$D1393,nrES_Code,$F1393,nrES_Att,2)&gt;0,"Retested",IF(OR($T1393="",NOT(ISNUMBER($T1393))),"Pending",IF(TODAY()&gt;$T1393,"OVERDUE","Due "&amp;TEXT($T1393,"mm/dd")))))</f>
        <v/>
      </c>
      <c r="V1393" s="16" t="n"/>
      <c r="W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K1394=1,IF(COUNTIFS(nrES_PID,$D1394,nrES_Code,$F1394,nrES_Att,2)&gt;0,"",$L1394),IF(COUNTIFS(nrES_PID,$D1394,nrES_Code,$F1394,nrES_Att,1)=0,$L1394,IF($L1394&gt;=$J1394,cfgRetakeRecordedCap,SUMIFS(nrES_Raw,nrES_PID,$D1394,nrES_Code,$F1394,nrES_Att,1))))))</f>
        <v/>
      </c>
      <c r="N1394" s="17">
        <f>IF($C1394="","",IF($L1394="","",IF($L1394&gt;=$J1394,"Yes","No")))</f>
        <v/>
      </c>
      <c r="O1394" s="17">
        <f>IF($C1394="","",IF($M1394="","",IF($M1394&gt;=$J1394,"Yes","No")))</f>
        <v/>
      </c>
      <c r="P1394" s="17">
        <f>IF($C1394="","",IF($K1394="","",IF(COUNTIFS(nrES_PID,$D1394,nrES_Code,$F1394,nrES_Att,"&gt;"&amp;$K1394)=0,"Yes","No")))</f>
        <v/>
      </c>
      <c r="Q1394" s="17">
        <f>IF($C1394="","",IF($L1394="","",IF(AND($K1394=1,$L1394&lt;$J1394,COUNTIFS(nrES_PID,$D1394,nrES_Code,$F1394,nrES_Att,2)=0),"Yes","No")))</f>
        <v/>
      </c>
      <c r="R1394" s="17">
        <f>IF($C1394="","",IF($L1394="","",IF(AND($K1394=2,$L1394&lt;$J1394,COUNTIFS(nrES_PID,$D1394,nrES_Code,$F1394,nrES_Att,1)&gt;0),"Yes","No")))</f>
        <v/>
      </c>
      <c r="S1394" s="18" t="n"/>
      <c r="T1394" s="19">
        <f>IF($Q1394&lt;&gt;"Yes","",IF($S1394="","(enter date)",_xlfn.LET(_xlpm.dn,IFERROR(_xlfn.XLOOKUP($S1394,nrCDdate,nrCDnum),""),IF(_xlpm.dn="","(not a class day)",IFERROR(_xlfn.XLOOKUP(_xlpm.dn+cfgRetestClassDays,nrCDnum,nrCDdate),"")))))</f>
        <v/>
      </c>
      <c r="U1394" s="17">
        <f>IF($Q1394&lt;&gt;"Yes","",IF(COUNTIFS(nrES_PID,$D1394,nrES_Code,$F1394,nrES_Att,2)&gt;0,"Retested",IF(OR($T1394="",NOT(ISNUMBER($T1394))),"Pending",IF(TODAY()&gt;$T1394,"OVERDUE","Due "&amp;TEXT($T1394,"mm/dd")))))</f>
        <v/>
      </c>
      <c r="V1394" s="16" t="n"/>
      <c r="W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K1395=1,IF(COUNTIFS(nrES_PID,$D1395,nrES_Code,$F1395,nrES_Att,2)&gt;0,"",$L1395),IF(COUNTIFS(nrES_PID,$D1395,nrES_Code,$F1395,nrES_Att,1)=0,$L1395,IF($L1395&gt;=$J1395,cfgRetakeRecordedCap,SUMIFS(nrES_Raw,nrES_PID,$D1395,nrES_Code,$F1395,nrES_Att,1))))))</f>
        <v/>
      </c>
      <c r="N1395" s="17">
        <f>IF($C1395="","",IF($L1395="","",IF($L1395&gt;=$J1395,"Yes","No")))</f>
        <v/>
      </c>
      <c r="O1395" s="17">
        <f>IF($C1395="","",IF($M1395="","",IF($M1395&gt;=$J1395,"Yes","No")))</f>
        <v/>
      </c>
      <c r="P1395" s="17">
        <f>IF($C1395="","",IF($K1395="","",IF(COUNTIFS(nrES_PID,$D1395,nrES_Code,$F1395,nrES_Att,"&gt;"&amp;$K1395)=0,"Yes","No")))</f>
        <v/>
      </c>
      <c r="Q1395" s="17">
        <f>IF($C1395="","",IF($L1395="","",IF(AND($K1395=1,$L1395&lt;$J1395,COUNTIFS(nrES_PID,$D1395,nrES_Code,$F1395,nrES_Att,2)=0),"Yes","No")))</f>
        <v/>
      </c>
      <c r="R1395" s="17">
        <f>IF($C1395="","",IF($L1395="","",IF(AND($K1395=2,$L1395&lt;$J1395,COUNTIFS(nrES_PID,$D1395,nrES_Code,$F1395,nrES_Att,1)&gt;0),"Yes","No")))</f>
        <v/>
      </c>
      <c r="S1395" s="18" t="n"/>
      <c r="T1395" s="19">
        <f>IF($Q1395&lt;&gt;"Yes","",IF($S1395="","(enter date)",_xlfn.LET(_xlpm.dn,IFERROR(_xlfn.XLOOKUP($S1395,nrCDdate,nrCDnum),""),IF(_xlpm.dn="","(not a class day)",IFERROR(_xlfn.XLOOKUP(_xlpm.dn+cfgRetestClassDays,nrCDnum,nrCDdate),"")))))</f>
        <v/>
      </c>
      <c r="U1395" s="17">
        <f>IF($Q1395&lt;&gt;"Yes","",IF(COUNTIFS(nrES_PID,$D1395,nrES_Code,$F1395,nrES_Att,2)&gt;0,"Retested",IF(OR($T1395="",NOT(ISNUMBER($T1395))),"Pending",IF(TODAY()&gt;$T1395,"OVERDUE","Due "&amp;TEXT($T1395,"mm/dd")))))</f>
        <v/>
      </c>
      <c r="V1395" s="16" t="n"/>
      <c r="W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K1396=1,IF(COUNTIFS(nrES_PID,$D1396,nrES_Code,$F1396,nrES_Att,2)&gt;0,"",$L1396),IF(COUNTIFS(nrES_PID,$D1396,nrES_Code,$F1396,nrES_Att,1)=0,$L1396,IF($L1396&gt;=$J1396,cfgRetakeRecordedCap,SUMIFS(nrES_Raw,nrES_PID,$D1396,nrES_Code,$F1396,nrES_Att,1))))))</f>
        <v/>
      </c>
      <c r="N1396" s="17">
        <f>IF($C1396="","",IF($L1396="","",IF($L1396&gt;=$J1396,"Yes","No")))</f>
        <v/>
      </c>
      <c r="O1396" s="17">
        <f>IF($C1396="","",IF($M1396="","",IF($M1396&gt;=$J1396,"Yes","No")))</f>
        <v/>
      </c>
      <c r="P1396" s="17">
        <f>IF($C1396="","",IF($K1396="","",IF(COUNTIFS(nrES_PID,$D1396,nrES_Code,$F1396,nrES_Att,"&gt;"&amp;$K1396)=0,"Yes","No")))</f>
        <v/>
      </c>
      <c r="Q1396" s="17">
        <f>IF($C1396="","",IF($L1396="","",IF(AND($K1396=1,$L1396&lt;$J1396,COUNTIFS(nrES_PID,$D1396,nrES_Code,$F1396,nrES_Att,2)=0),"Yes","No")))</f>
        <v/>
      </c>
      <c r="R1396" s="17">
        <f>IF($C1396="","",IF($L1396="","",IF(AND($K1396=2,$L1396&lt;$J1396,COUNTIFS(nrES_PID,$D1396,nrES_Code,$F1396,nrES_Att,1)&gt;0),"Yes","No")))</f>
        <v/>
      </c>
      <c r="S1396" s="18" t="n"/>
      <c r="T1396" s="19">
        <f>IF($Q1396&lt;&gt;"Yes","",IF($S1396="","(enter date)",_xlfn.LET(_xlpm.dn,IFERROR(_xlfn.XLOOKUP($S1396,nrCDdate,nrCDnum),""),IF(_xlpm.dn="","(not a class day)",IFERROR(_xlfn.XLOOKUP(_xlpm.dn+cfgRetestClassDays,nrCDnum,nrCDdate),"")))))</f>
        <v/>
      </c>
      <c r="U1396" s="17">
        <f>IF($Q1396&lt;&gt;"Yes","",IF(COUNTIFS(nrES_PID,$D1396,nrES_Code,$F1396,nrES_Att,2)&gt;0,"Retested",IF(OR($T1396="",NOT(ISNUMBER($T1396))),"Pending",IF(TODAY()&gt;$T1396,"OVERDUE","Due "&amp;TEXT($T1396,"mm/dd")))))</f>
        <v/>
      </c>
      <c r="V1396" s="16" t="n"/>
      <c r="W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K1397=1,IF(COUNTIFS(nrES_PID,$D1397,nrES_Code,$F1397,nrES_Att,2)&gt;0,"",$L1397),IF(COUNTIFS(nrES_PID,$D1397,nrES_Code,$F1397,nrES_Att,1)=0,$L1397,IF($L1397&gt;=$J1397,cfgRetakeRecordedCap,SUMIFS(nrES_Raw,nrES_PID,$D1397,nrES_Code,$F1397,nrES_Att,1))))))</f>
        <v/>
      </c>
      <c r="N1397" s="17">
        <f>IF($C1397="","",IF($L1397="","",IF($L1397&gt;=$J1397,"Yes","No")))</f>
        <v/>
      </c>
      <c r="O1397" s="17">
        <f>IF($C1397="","",IF($M1397="","",IF($M1397&gt;=$J1397,"Yes","No")))</f>
        <v/>
      </c>
      <c r="P1397" s="17">
        <f>IF($C1397="","",IF($K1397="","",IF(COUNTIFS(nrES_PID,$D1397,nrES_Code,$F1397,nrES_Att,"&gt;"&amp;$K1397)=0,"Yes","No")))</f>
        <v/>
      </c>
      <c r="Q1397" s="17">
        <f>IF($C1397="","",IF($L1397="","",IF(AND($K1397=1,$L1397&lt;$J1397,COUNTIFS(nrES_PID,$D1397,nrES_Code,$F1397,nrES_Att,2)=0),"Yes","No")))</f>
        <v/>
      </c>
      <c r="R1397" s="17">
        <f>IF($C1397="","",IF($L1397="","",IF(AND($K1397=2,$L1397&lt;$J1397,COUNTIFS(nrES_PID,$D1397,nrES_Code,$F1397,nrES_Att,1)&gt;0),"Yes","No")))</f>
        <v/>
      </c>
      <c r="S1397" s="18" t="n"/>
      <c r="T1397" s="19">
        <f>IF($Q1397&lt;&gt;"Yes","",IF($S1397="","(enter date)",_xlfn.LET(_xlpm.dn,IFERROR(_xlfn.XLOOKUP($S1397,nrCDdate,nrCDnum),""),IF(_xlpm.dn="","(not a class day)",IFERROR(_xlfn.XLOOKUP(_xlpm.dn+cfgRetestClassDays,nrCDnum,nrCDdate),"")))))</f>
        <v/>
      </c>
      <c r="U1397" s="17">
        <f>IF($Q1397&lt;&gt;"Yes","",IF(COUNTIFS(nrES_PID,$D1397,nrES_Code,$F1397,nrES_Att,2)&gt;0,"Retested",IF(OR($T1397="",NOT(ISNUMBER($T1397))),"Pending",IF(TODAY()&gt;$T1397,"OVERDUE","Due "&amp;TEXT($T1397,"mm/dd")))))</f>
        <v/>
      </c>
      <c r="V1397" s="16" t="n"/>
      <c r="W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K1398=1,IF(COUNTIFS(nrES_PID,$D1398,nrES_Code,$F1398,nrES_Att,2)&gt;0,"",$L1398),IF(COUNTIFS(nrES_PID,$D1398,nrES_Code,$F1398,nrES_Att,1)=0,$L1398,IF($L1398&gt;=$J1398,cfgRetakeRecordedCap,SUMIFS(nrES_Raw,nrES_PID,$D1398,nrES_Code,$F1398,nrES_Att,1))))))</f>
        <v/>
      </c>
      <c r="N1398" s="17">
        <f>IF($C1398="","",IF($L1398="","",IF($L1398&gt;=$J1398,"Yes","No")))</f>
        <v/>
      </c>
      <c r="O1398" s="17">
        <f>IF($C1398="","",IF($M1398="","",IF($M1398&gt;=$J1398,"Yes","No")))</f>
        <v/>
      </c>
      <c r="P1398" s="17">
        <f>IF($C1398="","",IF($K1398="","",IF(COUNTIFS(nrES_PID,$D1398,nrES_Code,$F1398,nrES_Att,"&gt;"&amp;$K1398)=0,"Yes","No")))</f>
        <v/>
      </c>
      <c r="Q1398" s="17">
        <f>IF($C1398="","",IF($L1398="","",IF(AND($K1398=1,$L1398&lt;$J1398,COUNTIFS(nrES_PID,$D1398,nrES_Code,$F1398,nrES_Att,2)=0),"Yes","No")))</f>
        <v/>
      </c>
      <c r="R1398" s="17">
        <f>IF($C1398="","",IF($L1398="","",IF(AND($K1398=2,$L1398&lt;$J1398,COUNTIFS(nrES_PID,$D1398,nrES_Code,$F1398,nrES_Att,1)&gt;0),"Yes","No")))</f>
        <v/>
      </c>
      <c r="S1398" s="18" t="n"/>
      <c r="T1398" s="19">
        <f>IF($Q1398&lt;&gt;"Yes","",IF($S1398="","(enter date)",_xlfn.LET(_xlpm.dn,IFERROR(_xlfn.XLOOKUP($S1398,nrCDdate,nrCDnum),""),IF(_xlpm.dn="","(not a class day)",IFERROR(_xlfn.XLOOKUP(_xlpm.dn+cfgRetestClassDays,nrCDnum,nrCDdate),"")))))</f>
        <v/>
      </c>
      <c r="U1398" s="17">
        <f>IF($Q1398&lt;&gt;"Yes","",IF(COUNTIFS(nrES_PID,$D1398,nrES_Code,$F1398,nrES_Att,2)&gt;0,"Retested",IF(OR($T1398="",NOT(ISNUMBER($T1398))),"Pending",IF(TODAY()&gt;$T1398,"OVERDUE","Due "&amp;TEXT($T1398,"mm/dd")))))</f>
        <v/>
      </c>
      <c r="V1398" s="16" t="n"/>
      <c r="W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K1399=1,IF(COUNTIFS(nrES_PID,$D1399,nrES_Code,$F1399,nrES_Att,2)&gt;0,"",$L1399),IF(COUNTIFS(nrES_PID,$D1399,nrES_Code,$F1399,nrES_Att,1)=0,$L1399,IF($L1399&gt;=$J1399,cfgRetakeRecordedCap,SUMIFS(nrES_Raw,nrES_PID,$D1399,nrES_Code,$F1399,nrES_Att,1))))))</f>
        <v/>
      </c>
      <c r="N1399" s="17">
        <f>IF($C1399="","",IF($L1399="","",IF($L1399&gt;=$J1399,"Yes","No")))</f>
        <v/>
      </c>
      <c r="O1399" s="17">
        <f>IF($C1399="","",IF($M1399="","",IF($M1399&gt;=$J1399,"Yes","No")))</f>
        <v/>
      </c>
      <c r="P1399" s="17">
        <f>IF($C1399="","",IF($K1399="","",IF(COUNTIFS(nrES_PID,$D1399,nrES_Code,$F1399,nrES_Att,"&gt;"&amp;$K1399)=0,"Yes","No")))</f>
        <v/>
      </c>
      <c r="Q1399" s="17">
        <f>IF($C1399="","",IF($L1399="","",IF(AND($K1399=1,$L1399&lt;$J1399,COUNTIFS(nrES_PID,$D1399,nrES_Code,$F1399,nrES_Att,2)=0),"Yes","No")))</f>
        <v/>
      </c>
      <c r="R1399" s="17">
        <f>IF($C1399="","",IF($L1399="","",IF(AND($K1399=2,$L1399&lt;$J1399,COUNTIFS(nrES_PID,$D1399,nrES_Code,$F1399,nrES_Att,1)&gt;0),"Yes","No")))</f>
        <v/>
      </c>
      <c r="S1399" s="18" t="n"/>
      <c r="T1399" s="19">
        <f>IF($Q1399&lt;&gt;"Yes","",IF($S1399="","(enter date)",_xlfn.LET(_xlpm.dn,IFERROR(_xlfn.XLOOKUP($S1399,nrCDdate,nrCDnum),""),IF(_xlpm.dn="","(not a class day)",IFERROR(_xlfn.XLOOKUP(_xlpm.dn+cfgRetestClassDays,nrCDnum,nrCDdate),"")))))</f>
        <v/>
      </c>
      <c r="U1399" s="17">
        <f>IF($Q1399&lt;&gt;"Yes","",IF(COUNTIFS(nrES_PID,$D1399,nrES_Code,$F1399,nrES_Att,2)&gt;0,"Retested",IF(OR($T1399="",NOT(ISNUMBER($T1399))),"Pending",IF(TODAY()&gt;$T1399,"OVERDUE","Due "&amp;TEXT($T1399,"mm/dd")))))</f>
        <v/>
      </c>
      <c r="V1399" s="16" t="n"/>
      <c r="W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K1400=1,IF(COUNTIFS(nrES_PID,$D1400,nrES_Code,$F1400,nrES_Att,2)&gt;0,"",$L1400),IF(COUNTIFS(nrES_PID,$D1400,nrES_Code,$F1400,nrES_Att,1)=0,$L1400,IF($L1400&gt;=$J1400,cfgRetakeRecordedCap,SUMIFS(nrES_Raw,nrES_PID,$D1400,nrES_Code,$F1400,nrES_Att,1))))))</f>
        <v/>
      </c>
      <c r="N1400" s="17">
        <f>IF($C1400="","",IF($L1400="","",IF($L1400&gt;=$J1400,"Yes","No")))</f>
        <v/>
      </c>
      <c r="O1400" s="17">
        <f>IF($C1400="","",IF($M1400="","",IF($M1400&gt;=$J1400,"Yes","No")))</f>
        <v/>
      </c>
      <c r="P1400" s="17">
        <f>IF($C1400="","",IF($K1400="","",IF(COUNTIFS(nrES_PID,$D1400,nrES_Code,$F1400,nrES_Att,"&gt;"&amp;$K1400)=0,"Yes","No")))</f>
        <v/>
      </c>
      <c r="Q1400" s="17">
        <f>IF($C1400="","",IF($L1400="","",IF(AND($K1400=1,$L1400&lt;$J1400,COUNTIFS(nrES_PID,$D1400,nrES_Code,$F1400,nrES_Att,2)=0),"Yes","No")))</f>
        <v/>
      </c>
      <c r="R1400" s="17">
        <f>IF($C1400="","",IF($L1400="","",IF(AND($K1400=2,$L1400&lt;$J1400,COUNTIFS(nrES_PID,$D1400,nrES_Code,$F1400,nrES_Att,1)&gt;0),"Yes","No")))</f>
        <v/>
      </c>
      <c r="S1400" s="18" t="n"/>
      <c r="T1400" s="19">
        <f>IF($Q1400&lt;&gt;"Yes","",IF($S1400="","(enter date)",_xlfn.LET(_xlpm.dn,IFERROR(_xlfn.XLOOKUP($S1400,nrCDdate,nrCDnum),""),IF(_xlpm.dn="","(not a class day)",IFERROR(_xlfn.XLOOKUP(_xlpm.dn+cfgRetestClassDays,nrCDnum,nrCDdate),"")))))</f>
        <v/>
      </c>
      <c r="U1400" s="17">
        <f>IF($Q1400&lt;&gt;"Yes","",IF(COUNTIFS(nrES_PID,$D1400,nrES_Code,$F1400,nrES_Att,2)&gt;0,"Retested",IF(OR($T1400="",NOT(ISNUMBER($T1400))),"Pending",IF(TODAY()&gt;$T1400,"OVERDUE","Due "&amp;TEXT($T1400,"mm/dd")))))</f>
        <v/>
      </c>
      <c r="V1400" s="16" t="n"/>
      <c r="W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K1401=1,IF(COUNTIFS(nrES_PID,$D1401,nrES_Code,$F1401,nrES_Att,2)&gt;0,"",$L1401),IF(COUNTIFS(nrES_PID,$D1401,nrES_Code,$F1401,nrES_Att,1)=0,$L1401,IF($L1401&gt;=$J1401,cfgRetakeRecordedCap,SUMIFS(nrES_Raw,nrES_PID,$D1401,nrES_Code,$F1401,nrES_Att,1))))))</f>
        <v/>
      </c>
      <c r="N1401" s="17">
        <f>IF($C1401="","",IF($L1401="","",IF($L1401&gt;=$J1401,"Yes","No")))</f>
        <v/>
      </c>
      <c r="O1401" s="17">
        <f>IF($C1401="","",IF($M1401="","",IF($M1401&gt;=$J1401,"Yes","No")))</f>
        <v/>
      </c>
      <c r="P1401" s="17">
        <f>IF($C1401="","",IF($K1401="","",IF(COUNTIFS(nrES_PID,$D1401,nrES_Code,$F1401,nrES_Att,"&gt;"&amp;$K1401)=0,"Yes","No")))</f>
        <v/>
      </c>
      <c r="Q1401" s="17">
        <f>IF($C1401="","",IF($L1401="","",IF(AND($K1401=1,$L1401&lt;$J1401,COUNTIFS(nrES_PID,$D1401,nrES_Code,$F1401,nrES_Att,2)=0),"Yes","No")))</f>
        <v/>
      </c>
      <c r="R1401" s="17">
        <f>IF($C1401="","",IF($L1401="","",IF(AND($K1401=2,$L1401&lt;$J1401,COUNTIFS(nrES_PID,$D1401,nrES_Code,$F1401,nrES_Att,1)&gt;0),"Yes","No")))</f>
        <v/>
      </c>
      <c r="S1401" s="18" t="n"/>
      <c r="T1401" s="19">
        <f>IF($Q1401&lt;&gt;"Yes","",IF($S1401="","(enter date)",_xlfn.LET(_xlpm.dn,IFERROR(_xlfn.XLOOKUP($S1401,nrCDdate,nrCDnum),""),IF(_xlpm.dn="","(not a class day)",IFERROR(_xlfn.XLOOKUP(_xlpm.dn+cfgRetestClassDays,nrCDnum,nrCDdate),"")))))</f>
        <v/>
      </c>
      <c r="U1401" s="17">
        <f>IF($Q1401&lt;&gt;"Yes","",IF(COUNTIFS(nrES_PID,$D1401,nrES_Code,$F1401,nrES_Att,2)&gt;0,"Retested",IF(OR($T1401="",NOT(ISNUMBER($T1401))),"Pending",IF(TODAY()&gt;$T1401,"OVERDUE","Due "&amp;TEXT($T1401,"mm/dd")))))</f>
        <v/>
      </c>
      <c r="V1401" s="16" t="n"/>
      <c r="W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K1402=1,IF(COUNTIFS(nrES_PID,$D1402,nrES_Code,$F1402,nrES_Att,2)&gt;0,"",$L1402),IF(COUNTIFS(nrES_PID,$D1402,nrES_Code,$F1402,nrES_Att,1)=0,$L1402,IF($L1402&gt;=$J1402,cfgRetakeRecordedCap,SUMIFS(nrES_Raw,nrES_PID,$D1402,nrES_Code,$F1402,nrES_Att,1))))))</f>
        <v/>
      </c>
      <c r="N1402" s="17">
        <f>IF($C1402="","",IF($L1402="","",IF($L1402&gt;=$J1402,"Yes","No")))</f>
        <v/>
      </c>
      <c r="O1402" s="17">
        <f>IF($C1402="","",IF($M1402="","",IF($M1402&gt;=$J1402,"Yes","No")))</f>
        <v/>
      </c>
      <c r="P1402" s="17">
        <f>IF($C1402="","",IF($K1402="","",IF(COUNTIFS(nrES_PID,$D1402,nrES_Code,$F1402,nrES_Att,"&gt;"&amp;$K1402)=0,"Yes","No")))</f>
        <v/>
      </c>
      <c r="Q1402" s="17">
        <f>IF($C1402="","",IF($L1402="","",IF(AND($K1402=1,$L1402&lt;$J1402,COUNTIFS(nrES_PID,$D1402,nrES_Code,$F1402,nrES_Att,2)=0),"Yes","No")))</f>
        <v/>
      </c>
      <c r="R1402" s="17">
        <f>IF($C1402="","",IF($L1402="","",IF(AND($K1402=2,$L1402&lt;$J1402,COUNTIFS(nrES_PID,$D1402,nrES_Code,$F1402,nrES_Att,1)&gt;0),"Yes","No")))</f>
        <v/>
      </c>
      <c r="S1402" s="18" t="n"/>
      <c r="T1402" s="19">
        <f>IF($Q1402&lt;&gt;"Yes","",IF($S1402="","(enter date)",_xlfn.LET(_xlpm.dn,IFERROR(_xlfn.XLOOKUP($S1402,nrCDdate,nrCDnum),""),IF(_xlpm.dn="","(not a class day)",IFERROR(_xlfn.XLOOKUP(_xlpm.dn+cfgRetestClassDays,nrCDnum,nrCDdate),"")))))</f>
        <v/>
      </c>
      <c r="U1402" s="17">
        <f>IF($Q1402&lt;&gt;"Yes","",IF(COUNTIFS(nrES_PID,$D1402,nrES_Code,$F1402,nrES_Att,2)&gt;0,"Retested",IF(OR($T1402="",NOT(ISNUMBER($T1402))),"Pending",IF(TODAY()&gt;$T1402,"OVERDUE","Due "&amp;TEXT($T1402,"mm/dd")))))</f>
        <v/>
      </c>
      <c r="V1402" s="16" t="n"/>
      <c r="W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K1403=1,IF(COUNTIFS(nrES_PID,$D1403,nrES_Code,$F1403,nrES_Att,2)&gt;0,"",$L1403),IF(COUNTIFS(nrES_PID,$D1403,nrES_Code,$F1403,nrES_Att,1)=0,$L1403,IF($L1403&gt;=$J1403,cfgRetakeRecordedCap,SUMIFS(nrES_Raw,nrES_PID,$D1403,nrES_Code,$F1403,nrES_Att,1))))))</f>
        <v/>
      </c>
      <c r="N1403" s="17">
        <f>IF($C1403="","",IF($L1403="","",IF($L1403&gt;=$J1403,"Yes","No")))</f>
        <v/>
      </c>
      <c r="O1403" s="17">
        <f>IF($C1403="","",IF($M1403="","",IF($M1403&gt;=$J1403,"Yes","No")))</f>
        <v/>
      </c>
      <c r="P1403" s="17">
        <f>IF($C1403="","",IF($K1403="","",IF(COUNTIFS(nrES_PID,$D1403,nrES_Code,$F1403,nrES_Att,"&gt;"&amp;$K1403)=0,"Yes","No")))</f>
        <v/>
      </c>
      <c r="Q1403" s="17">
        <f>IF($C1403="","",IF($L1403="","",IF(AND($K1403=1,$L1403&lt;$J1403,COUNTIFS(nrES_PID,$D1403,nrES_Code,$F1403,nrES_Att,2)=0),"Yes","No")))</f>
        <v/>
      </c>
      <c r="R1403" s="17">
        <f>IF($C1403="","",IF($L1403="","",IF(AND($K1403=2,$L1403&lt;$J1403,COUNTIFS(nrES_PID,$D1403,nrES_Code,$F1403,nrES_Att,1)&gt;0),"Yes","No")))</f>
        <v/>
      </c>
      <c r="S1403" s="18" t="n"/>
      <c r="T1403" s="19">
        <f>IF($Q1403&lt;&gt;"Yes","",IF($S1403="","(enter date)",_xlfn.LET(_xlpm.dn,IFERROR(_xlfn.XLOOKUP($S1403,nrCDdate,nrCDnum),""),IF(_xlpm.dn="","(not a class day)",IFERROR(_xlfn.XLOOKUP(_xlpm.dn+cfgRetestClassDays,nrCDnum,nrCDdate),"")))))</f>
        <v/>
      </c>
      <c r="U1403" s="17">
        <f>IF($Q1403&lt;&gt;"Yes","",IF(COUNTIFS(nrES_PID,$D1403,nrES_Code,$F1403,nrES_Att,2)&gt;0,"Retested",IF(OR($T1403="",NOT(ISNUMBER($T1403))),"Pending",IF(TODAY()&gt;$T1403,"OVERDUE","Due "&amp;TEXT($T1403,"mm/dd")))))</f>
        <v/>
      </c>
      <c r="V1403" s="16" t="n"/>
      <c r="W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K1404=1,IF(COUNTIFS(nrES_PID,$D1404,nrES_Code,$F1404,nrES_Att,2)&gt;0,"",$L1404),IF(COUNTIFS(nrES_PID,$D1404,nrES_Code,$F1404,nrES_Att,1)=0,$L1404,IF($L1404&gt;=$J1404,cfgRetakeRecordedCap,SUMIFS(nrES_Raw,nrES_PID,$D1404,nrES_Code,$F1404,nrES_Att,1))))))</f>
        <v/>
      </c>
      <c r="N1404" s="17">
        <f>IF($C1404="","",IF($L1404="","",IF($L1404&gt;=$J1404,"Yes","No")))</f>
        <v/>
      </c>
      <c r="O1404" s="17">
        <f>IF($C1404="","",IF($M1404="","",IF($M1404&gt;=$J1404,"Yes","No")))</f>
        <v/>
      </c>
      <c r="P1404" s="17">
        <f>IF($C1404="","",IF($K1404="","",IF(COUNTIFS(nrES_PID,$D1404,nrES_Code,$F1404,nrES_Att,"&gt;"&amp;$K1404)=0,"Yes","No")))</f>
        <v/>
      </c>
      <c r="Q1404" s="17">
        <f>IF($C1404="","",IF($L1404="","",IF(AND($K1404=1,$L1404&lt;$J1404,COUNTIFS(nrES_PID,$D1404,nrES_Code,$F1404,nrES_Att,2)=0),"Yes","No")))</f>
        <v/>
      </c>
      <c r="R1404" s="17">
        <f>IF($C1404="","",IF($L1404="","",IF(AND($K1404=2,$L1404&lt;$J1404,COUNTIFS(nrES_PID,$D1404,nrES_Code,$F1404,nrES_Att,1)&gt;0),"Yes","No")))</f>
        <v/>
      </c>
      <c r="S1404" s="18" t="n"/>
      <c r="T1404" s="19">
        <f>IF($Q1404&lt;&gt;"Yes","",IF($S1404="","(enter date)",_xlfn.LET(_xlpm.dn,IFERROR(_xlfn.XLOOKUP($S1404,nrCDdate,nrCDnum),""),IF(_xlpm.dn="","(not a class day)",IFERROR(_xlfn.XLOOKUP(_xlpm.dn+cfgRetestClassDays,nrCDnum,nrCDdate),"")))))</f>
        <v/>
      </c>
      <c r="U1404" s="17">
        <f>IF($Q1404&lt;&gt;"Yes","",IF(COUNTIFS(nrES_PID,$D1404,nrES_Code,$F1404,nrES_Att,2)&gt;0,"Retested",IF(OR($T1404="",NOT(ISNUMBER($T1404))),"Pending",IF(TODAY()&gt;$T1404,"OVERDUE","Due "&amp;TEXT($T1404,"mm/dd")))))</f>
        <v/>
      </c>
      <c r="V1404" s="16" t="n"/>
      <c r="W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K1405=1,IF(COUNTIFS(nrES_PID,$D1405,nrES_Code,$F1405,nrES_Att,2)&gt;0,"",$L1405),IF(COUNTIFS(nrES_PID,$D1405,nrES_Code,$F1405,nrES_Att,1)=0,$L1405,IF($L1405&gt;=$J1405,cfgRetakeRecordedCap,SUMIFS(nrES_Raw,nrES_PID,$D1405,nrES_Code,$F1405,nrES_Att,1))))))</f>
        <v/>
      </c>
      <c r="N1405" s="17">
        <f>IF($C1405="","",IF($L1405="","",IF($L1405&gt;=$J1405,"Yes","No")))</f>
        <v/>
      </c>
      <c r="O1405" s="17">
        <f>IF($C1405="","",IF($M1405="","",IF($M1405&gt;=$J1405,"Yes","No")))</f>
        <v/>
      </c>
      <c r="P1405" s="17">
        <f>IF($C1405="","",IF($K1405="","",IF(COUNTIFS(nrES_PID,$D1405,nrES_Code,$F1405,nrES_Att,"&gt;"&amp;$K1405)=0,"Yes","No")))</f>
        <v/>
      </c>
      <c r="Q1405" s="17">
        <f>IF($C1405="","",IF($L1405="","",IF(AND($K1405=1,$L1405&lt;$J1405,COUNTIFS(nrES_PID,$D1405,nrES_Code,$F1405,nrES_Att,2)=0),"Yes","No")))</f>
        <v/>
      </c>
      <c r="R1405" s="17">
        <f>IF($C1405="","",IF($L1405="","",IF(AND($K1405=2,$L1405&lt;$J1405,COUNTIFS(nrES_PID,$D1405,nrES_Code,$F1405,nrES_Att,1)&gt;0),"Yes","No")))</f>
        <v/>
      </c>
      <c r="S1405" s="18" t="n"/>
      <c r="T1405" s="19">
        <f>IF($Q1405&lt;&gt;"Yes","",IF($S1405="","(enter date)",_xlfn.LET(_xlpm.dn,IFERROR(_xlfn.XLOOKUP($S1405,nrCDdate,nrCDnum),""),IF(_xlpm.dn="","(not a class day)",IFERROR(_xlfn.XLOOKUP(_xlpm.dn+cfgRetestClassDays,nrCDnum,nrCDdate),"")))))</f>
        <v/>
      </c>
      <c r="U1405" s="17">
        <f>IF($Q1405&lt;&gt;"Yes","",IF(COUNTIFS(nrES_PID,$D1405,nrES_Code,$F1405,nrES_Att,2)&gt;0,"Retested",IF(OR($T1405="",NOT(ISNUMBER($T1405))),"Pending",IF(TODAY()&gt;$T1405,"OVERDUE","Due "&amp;TEXT($T1405,"mm/dd")))))</f>
        <v/>
      </c>
      <c r="V1405" s="16" t="n"/>
      <c r="W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K1406=1,IF(COUNTIFS(nrES_PID,$D1406,nrES_Code,$F1406,nrES_Att,2)&gt;0,"",$L1406),IF(COUNTIFS(nrES_PID,$D1406,nrES_Code,$F1406,nrES_Att,1)=0,$L1406,IF($L1406&gt;=$J1406,cfgRetakeRecordedCap,SUMIFS(nrES_Raw,nrES_PID,$D1406,nrES_Code,$F1406,nrES_Att,1))))))</f>
        <v/>
      </c>
      <c r="N1406" s="17">
        <f>IF($C1406="","",IF($L1406="","",IF($L1406&gt;=$J1406,"Yes","No")))</f>
        <v/>
      </c>
      <c r="O1406" s="17">
        <f>IF($C1406="","",IF($M1406="","",IF($M1406&gt;=$J1406,"Yes","No")))</f>
        <v/>
      </c>
      <c r="P1406" s="17">
        <f>IF($C1406="","",IF($K1406="","",IF(COUNTIFS(nrES_PID,$D1406,nrES_Code,$F1406,nrES_Att,"&gt;"&amp;$K1406)=0,"Yes","No")))</f>
        <v/>
      </c>
      <c r="Q1406" s="17">
        <f>IF($C1406="","",IF($L1406="","",IF(AND($K1406=1,$L1406&lt;$J1406,COUNTIFS(nrES_PID,$D1406,nrES_Code,$F1406,nrES_Att,2)=0),"Yes","No")))</f>
        <v/>
      </c>
      <c r="R1406" s="17">
        <f>IF($C1406="","",IF($L1406="","",IF(AND($K1406=2,$L1406&lt;$J1406,COUNTIFS(nrES_PID,$D1406,nrES_Code,$F1406,nrES_Att,1)&gt;0),"Yes","No")))</f>
        <v/>
      </c>
      <c r="S1406" s="18" t="n"/>
      <c r="T1406" s="19">
        <f>IF($Q1406&lt;&gt;"Yes","",IF($S1406="","(enter date)",_xlfn.LET(_xlpm.dn,IFERROR(_xlfn.XLOOKUP($S1406,nrCDdate,nrCDnum),""),IF(_xlpm.dn="","(not a class day)",IFERROR(_xlfn.XLOOKUP(_xlpm.dn+cfgRetestClassDays,nrCDnum,nrCDdate),"")))))</f>
        <v/>
      </c>
      <c r="U1406" s="17">
        <f>IF($Q1406&lt;&gt;"Yes","",IF(COUNTIFS(nrES_PID,$D1406,nrES_Code,$F1406,nrES_Att,2)&gt;0,"Retested",IF(OR($T1406="",NOT(ISNUMBER($T1406))),"Pending",IF(TODAY()&gt;$T1406,"OVERDUE","Due "&amp;TEXT($T1406,"mm/dd")))))</f>
        <v/>
      </c>
      <c r="V1406" s="16" t="n"/>
      <c r="W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K1407=1,IF(COUNTIFS(nrES_PID,$D1407,nrES_Code,$F1407,nrES_Att,2)&gt;0,"",$L1407),IF(COUNTIFS(nrES_PID,$D1407,nrES_Code,$F1407,nrES_Att,1)=0,$L1407,IF($L1407&gt;=$J1407,cfgRetakeRecordedCap,SUMIFS(nrES_Raw,nrES_PID,$D1407,nrES_Code,$F1407,nrES_Att,1))))))</f>
        <v/>
      </c>
      <c r="N1407" s="17">
        <f>IF($C1407="","",IF($L1407="","",IF($L1407&gt;=$J1407,"Yes","No")))</f>
        <v/>
      </c>
      <c r="O1407" s="17">
        <f>IF($C1407="","",IF($M1407="","",IF($M1407&gt;=$J1407,"Yes","No")))</f>
        <v/>
      </c>
      <c r="P1407" s="17">
        <f>IF($C1407="","",IF($K1407="","",IF(COUNTIFS(nrES_PID,$D1407,nrES_Code,$F1407,nrES_Att,"&gt;"&amp;$K1407)=0,"Yes","No")))</f>
        <v/>
      </c>
      <c r="Q1407" s="17">
        <f>IF($C1407="","",IF($L1407="","",IF(AND($K1407=1,$L1407&lt;$J1407,COUNTIFS(nrES_PID,$D1407,nrES_Code,$F1407,nrES_Att,2)=0),"Yes","No")))</f>
        <v/>
      </c>
      <c r="R1407" s="17">
        <f>IF($C1407="","",IF($L1407="","",IF(AND($K1407=2,$L1407&lt;$J1407,COUNTIFS(nrES_PID,$D1407,nrES_Code,$F1407,nrES_Att,1)&gt;0),"Yes","No")))</f>
        <v/>
      </c>
      <c r="S1407" s="18" t="n"/>
      <c r="T1407" s="19">
        <f>IF($Q1407&lt;&gt;"Yes","",IF($S1407="","(enter date)",_xlfn.LET(_xlpm.dn,IFERROR(_xlfn.XLOOKUP($S1407,nrCDdate,nrCDnum),""),IF(_xlpm.dn="","(not a class day)",IFERROR(_xlfn.XLOOKUP(_xlpm.dn+cfgRetestClassDays,nrCDnum,nrCDdate),"")))))</f>
        <v/>
      </c>
      <c r="U1407" s="17">
        <f>IF($Q1407&lt;&gt;"Yes","",IF(COUNTIFS(nrES_PID,$D1407,nrES_Code,$F1407,nrES_Att,2)&gt;0,"Retested",IF(OR($T1407="",NOT(ISNUMBER($T1407))),"Pending",IF(TODAY()&gt;$T1407,"OVERDUE","Due "&amp;TEXT($T1407,"mm/dd")))))</f>
        <v/>
      </c>
      <c r="V1407" s="16" t="n"/>
      <c r="W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K1408=1,IF(COUNTIFS(nrES_PID,$D1408,nrES_Code,$F1408,nrES_Att,2)&gt;0,"",$L1408),IF(COUNTIFS(nrES_PID,$D1408,nrES_Code,$F1408,nrES_Att,1)=0,$L1408,IF($L1408&gt;=$J1408,cfgRetakeRecordedCap,SUMIFS(nrES_Raw,nrES_PID,$D1408,nrES_Code,$F1408,nrES_Att,1))))))</f>
        <v/>
      </c>
      <c r="N1408" s="17">
        <f>IF($C1408="","",IF($L1408="","",IF($L1408&gt;=$J1408,"Yes","No")))</f>
        <v/>
      </c>
      <c r="O1408" s="17">
        <f>IF($C1408="","",IF($M1408="","",IF($M1408&gt;=$J1408,"Yes","No")))</f>
        <v/>
      </c>
      <c r="P1408" s="17">
        <f>IF($C1408="","",IF($K1408="","",IF(COUNTIFS(nrES_PID,$D1408,nrES_Code,$F1408,nrES_Att,"&gt;"&amp;$K1408)=0,"Yes","No")))</f>
        <v/>
      </c>
      <c r="Q1408" s="17">
        <f>IF($C1408="","",IF($L1408="","",IF(AND($K1408=1,$L1408&lt;$J1408,COUNTIFS(nrES_PID,$D1408,nrES_Code,$F1408,nrES_Att,2)=0),"Yes","No")))</f>
        <v/>
      </c>
      <c r="R1408" s="17">
        <f>IF($C1408="","",IF($L1408="","",IF(AND($K1408=2,$L1408&lt;$J1408,COUNTIFS(nrES_PID,$D1408,nrES_Code,$F1408,nrES_Att,1)&gt;0),"Yes","No")))</f>
        <v/>
      </c>
      <c r="S1408" s="18" t="n"/>
      <c r="T1408" s="19">
        <f>IF($Q1408&lt;&gt;"Yes","",IF($S1408="","(enter date)",_xlfn.LET(_xlpm.dn,IFERROR(_xlfn.XLOOKUP($S1408,nrCDdate,nrCDnum),""),IF(_xlpm.dn="","(not a class day)",IFERROR(_xlfn.XLOOKUP(_xlpm.dn+cfgRetestClassDays,nrCDnum,nrCDdate),"")))))</f>
        <v/>
      </c>
      <c r="U1408" s="17">
        <f>IF($Q1408&lt;&gt;"Yes","",IF(COUNTIFS(nrES_PID,$D1408,nrES_Code,$F1408,nrES_Att,2)&gt;0,"Retested",IF(OR($T1408="",NOT(ISNUMBER($T1408))),"Pending",IF(TODAY()&gt;$T1408,"OVERDUE","Due "&amp;TEXT($T1408,"mm/dd")))))</f>
        <v/>
      </c>
      <c r="V1408" s="16" t="n"/>
      <c r="W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K1409=1,IF(COUNTIFS(nrES_PID,$D1409,nrES_Code,$F1409,nrES_Att,2)&gt;0,"",$L1409),IF(COUNTIFS(nrES_PID,$D1409,nrES_Code,$F1409,nrES_Att,1)=0,$L1409,IF($L1409&gt;=$J1409,cfgRetakeRecordedCap,SUMIFS(nrES_Raw,nrES_PID,$D1409,nrES_Code,$F1409,nrES_Att,1))))))</f>
        <v/>
      </c>
      <c r="N1409" s="17">
        <f>IF($C1409="","",IF($L1409="","",IF($L1409&gt;=$J1409,"Yes","No")))</f>
        <v/>
      </c>
      <c r="O1409" s="17">
        <f>IF($C1409="","",IF($M1409="","",IF($M1409&gt;=$J1409,"Yes","No")))</f>
        <v/>
      </c>
      <c r="P1409" s="17">
        <f>IF($C1409="","",IF($K1409="","",IF(COUNTIFS(nrES_PID,$D1409,nrES_Code,$F1409,nrES_Att,"&gt;"&amp;$K1409)=0,"Yes","No")))</f>
        <v/>
      </c>
      <c r="Q1409" s="17">
        <f>IF($C1409="","",IF($L1409="","",IF(AND($K1409=1,$L1409&lt;$J1409,COUNTIFS(nrES_PID,$D1409,nrES_Code,$F1409,nrES_Att,2)=0),"Yes","No")))</f>
        <v/>
      </c>
      <c r="R1409" s="17">
        <f>IF($C1409="","",IF($L1409="","",IF(AND($K1409=2,$L1409&lt;$J1409,COUNTIFS(nrES_PID,$D1409,nrES_Code,$F1409,nrES_Att,1)&gt;0),"Yes","No")))</f>
        <v/>
      </c>
      <c r="S1409" s="18" t="n"/>
      <c r="T1409" s="19">
        <f>IF($Q1409&lt;&gt;"Yes","",IF($S1409="","(enter date)",_xlfn.LET(_xlpm.dn,IFERROR(_xlfn.XLOOKUP($S1409,nrCDdate,nrCDnum),""),IF(_xlpm.dn="","(not a class day)",IFERROR(_xlfn.XLOOKUP(_xlpm.dn+cfgRetestClassDays,nrCDnum,nrCDdate),"")))))</f>
        <v/>
      </c>
      <c r="U1409" s="17">
        <f>IF($Q1409&lt;&gt;"Yes","",IF(COUNTIFS(nrES_PID,$D1409,nrES_Code,$F1409,nrES_Att,2)&gt;0,"Retested",IF(OR($T1409="",NOT(ISNUMBER($T1409))),"Pending",IF(TODAY()&gt;$T1409,"OVERDUE","Due "&amp;TEXT($T1409,"mm/dd")))))</f>
        <v/>
      </c>
      <c r="V1409" s="16" t="n"/>
      <c r="W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K1410=1,IF(COUNTIFS(nrES_PID,$D1410,nrES_Code,$F1410,nrES_Att,2)&gt;0,"",$L1410),IF(COUNTIFS(nrES_PID,$D1410,nrES_Code,$F1410,nrES_Att,1)=0,$L1410,IF($L1410&gt;=$J1410,cfgRetakeRecordedCap,SUMIFS(nrES_Raw,nrES_PID,$D1410,nrES_Code,$F1410,nrES_Att,1))))))</f>
        <v/>
      </c>
      <c r="N1410" s="17">
        <f>IF($C1410="","",IF($L1410="","",IF($L1410&gt;=$J1410,"Yes","No")))</f>
        <v/>
      </c>
      <c r="O1410" s="17">
        <f>IF($C1410="","",IF($M1410="","",IF($M1410&gt;=$J1410,"Yes","No")))</f>
        <v/>
      </c>
      <c r="P1410" s="17">
        <f>IF($C1410="","",IF($K1410="","",IF(COUNTIFS(nrES_PID,$D1410,nrES_Code,$F1410,nrES_Att,"&gt;"&amp;$K1410)=0,"Yes","No")))</f>
        <v/>
      </c>
      <c r="Q1410" s="17">
        <f>IF($C1410="","",IF($L1410="","",IF(AND($K1410=1,$L1410&lt;$J1410,COUNTIFS(nrES_PID,$D1410,nrES_Code,$F1410,nrES_Att,2)=0),"Yes","No")))</f>
        <v/>
      </c>
      <c r="R1410" s="17">
        <f>IF($C1410="","",IF($L1410="","",IF(AND($K1410=2,$L1410&lt;$J1410,COUNTIFS(nrES_PID,$D1410,nrES_Code,$F1410,nrES_Att,1)&gt;0),"Yes","No")))</f>
        <v/>
      </c>
      <c r="S1410" s="18" t="n"/>
      <c r="T1410" s="19">
        <f>IF($Q1410&lt;&gt;"Yes","",IF($S1410="","(enter date)",_xlfn.LET(_xlpm.dn,IFERROR(_xlfn.XLOOKUP($S1410,nrCDdate,nrCDnum),""),IF(_xlpm.dn="","(not a class day)",IFERROR(_xlfn.XLOOKUP(_xlpm.dn+cfgRetestClassDays,nrCDnum,nrCDdate),"")))))</f>
        <v/>
      </c>
      <c r="U1410" s="17">
        <f>IF($Q1410&lt;&gt;"Yes","",IF(COUNTIFS(nrES_PID,$D1410,nrES_Code,$F1410,nrES_Att,2)&gt;0,"Retested",IF(OR($T1410="",NOT(ISNUMBER($T1410))),"Pending",IF(TODAY()&gt;$T1410,"OVERDUE","Due "&amp;TEXT($T1410,"mm/dd")))))</f>
        <v/>
      </c>
      <c r="V1410" s="16" t="n"/>
      <c r="W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K1411=1,IF(COUNTIFS(nrES_PID,$D1411,nrES_Code,$F1411,nrES_Att,2)&gt;0,"",$L1411),IF(COUNTIFS(nrES_PID,$D1411,nrES_Code,$F1411,nrES_Att,1)=0,$L1411,IF($L1411&gt;=$J1411,cfgRetakeRecordedCap,SUMIFS(nrES_Raw,nrES_PID,$D1411,nrES_Code,$F1411,nrES_Att,1))))))</f>
        <v/>
      </c>
      <c r="N1411" s="17">
        <f>IF($C1411="","",IF($L1411="","",IF($L1411&gt;=$J1411,"Yes","No")))</f>
        <v/>
      </c>
      <c r="O1411" s="17">
        <f>IF($C1411="","",IF($M1411="","",IF($M1411&gt;=$J1411,"Yes","No")))</f>
        <v/>
      </c>
      <c r="P1411" s="17">
        <f>IF($C1411="","",IF($K1411="","",IF(COUNTIFS(nrES_PID,$D1411,nrES_Code,$F1411,nrES_Att,"&gt;"&amp;$K1411)=0,"Yes","No")))</f>
        <v/>
      </c>
      <c r="Q1411" s="17">
        <f>IF($C1411="","",IF($L1411="","",IF(AND($K1411=1,$L1411&lt;$J1411,COUNTIFS(nrES_PID,$D1411,nrES_Code,$F1411,nrES_Att,2)=0),"Yes","No")))</f>
        <v/>
      </c>
      <c r="R1411" s="17">
        <f>IF($C1411="","",IF($L1411="","",IF(AND($K1411=2,$L1411&lt;$J1411,COUNTIFS(nrES_PID,$D1411,nrES_Code,$F1411,nrES_Att,1)&gt;0),"Yes","No")))</f>
        <v/>
      </c>
      <c r="S1411" s="18" t="n"/>
      <c r="T1411" s="19">
        <f>IF($Q1411&lt;&gt;"Yes","",IF($S1411="","(enter date)",_xlfn.LET(_xlpm.dn,IFERROR(_xlfn.XLOOKUP($S1411,nrCDdate,nrCDnum),""),IF(_xlpm.dn="","(not a class day)",IFERROR(_xlfn.XLOOKUP(_xlpm.dn+cfgRetestClassDays,nrCDnum,nrCDdate),"")))))</f>
        <v/>
      </c>
      <c r="U1411" s="17">
        <f>IF($Q1411&lt;&gt;"Yes","",IF(COUNTIFS(nrES_PID,$D1411,nrES_Code,$F1411,nrES_Att,2)&gt;0,"Retested",IF(OR($T1411="",NOT(ISNUMBER($T1411))),"Pending",IF(TODAY()&gt;$T1411,"OVERDUE","Due "&amp;TEXT($T1411,"mm/dd")))))</f>
        <v/>
      </c>
      <c r="V1411" s="16" t="n"/>
      <c r="W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K1412=1,IF(COUNTIFS(nrES_PID,$D1412,nrES_Code,$F1412,nrES_Att,2)&gt;0,"",$L1412),IF(COUNTIFS(nrES_PID,$D1412,nrES_Code,$F1412,nrES_Att,1)=0,$L1412,IF($L1412&gt;=$J1412,cfgRetakeRecordedCap,SUMIFS(nrES_Raw,nrES_PID,$D1412,nrES_Code,$F1412,nrES_Att,1))))))</f>
        <v/>
      </c>
      <c r="N1412" s="17">
        <f>IF($C1412="","",IF($L1412="","",IF($L1412&gt;=$J1412,"Yes","No")))</f>
        <v/>
      </c>
      <c r="O1412" s="17">
        <f>IF($C1412="","",IF($M1412="","",IF($M1412&gt;=$J1412,"Yes","No")))</f>
        <v/>
      </c>
      <c r="P1412" s="17">
        <f>IF($C1412="","",IF($K1412="","",IF(COUNTIFS(nrES_PID,$D1412,nrES_Code,$F1412,nrES_Att,"&gt;"&amp;$K1412)=0,"Yes","No")))</f>
        <v/>
      </c>
      <c r="Q1412" s="17">
        <f>IF($C1412="","",IF($L1412="","",IF(AND($K1412=1,$L1412&lt;$J1412,COUNTIFS(nrES_PID,$D1412,nrES_Code,$F1412,nrES_Att,2)=0),"Yes","No")))</f>
        <v/>
      </c>
      <c r="R1412" s="17">
        <f>IF($C1412="","",IF($L1412="","",IF(AND($K1412=2,$L1412&lt;$J1412,COUNTIFS(nrES_PID,$D1412,nrES_Code,$F1412,nrES_Att,1)&gt;0),"Yes","No")))</f>
        <v/>
      </c>
      <c r="S1412" s="18" t="n"/>
      <c r="T1412" s="19">
        <f>IF($Q1412&lt;&gt;"Yes","",IF($S1412="","(enter date)",_xlfn.LET(_xlpm.dn,IFERROR(_xlfn.XLOOKUP($S1412,nrCDdate,nrCDnum),""),IF(_xlpm.dn="","(not a class day)",IFERROR(_xlfn.XLOOKUP(_xlpm.dn+cfgRetestClassDays,nrCDnum,nrCDdate),"")))))</f>
        <v/>
      </c>
      <c r="U1412" s="17">
        <f>IF($Q1412&lt;&gt;"Yes","",IF(COUNTIFS(nrES_PID,$D1412,nrES_Code,$F1412,nrES_Att,2)&gt;0,"Retested",IF(OR($T1412="",NOT(ISNUMBER($T1412))),"Pending",IF(TODAY()&gt;$T1412,"OVERDUE","Due "&amp;TEXT($T1412,"mm/dd")))))</f>
        <v/>
      </c>
      <c r="V1412" s="16" t="n"/>
      <c r="W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K1413=1,IF(COUNTIFS(nrES_PID,$D1413,nrES_Code,$F1413,nrES_Att,2)&gt;0,"",$L1413),IF(COUNTIFS(nrES_PID,$D1413,nrES_Code,$F1413,nrES_Att,1)=0,$L1413,IF($L1413&gt;=$J1413,cfgRetakeRecordedCap,SUMIFS(nrES_Raw,nrES_PID,$D1413,nrES_Code,$F1413,nrES_Att,1))))))</f>
        <v/>
      </c>
      <c r="N1413" s="17">
        <f>IF($C1413="","",IF($L1413="","",IF($L1413&gt;=$J1413,"Yes","No")))</f>
        <v/>
      </c>
      <c r="O1413" s="17">
        <f>IF($C1413="","",IF($M1413="","",IF($M1413&gt;=$J1413,"Yes","No")))</f>
        <v/>
      </c>
      <c r="P1413" s="17">
        <f>IF($C1413="","",IF($K1413="","",IF(COUNTIFS(nrES_PID,$D1413,nrES_Code,$F1413,nrES_Att,"&gt;"&amp;$K1413)=0,"Yes","No")))</f>
        <v/>
      </c>
      <c r="Q1413" s="17">
        <f>IF($C1413="","",IF($L1413="","",IF(AND($K1413=1,$L1413&lt;$J1413,COUNTIFS(nrES_PID,$D1413,nrES_Code,$F1413,nrES_Att,2)=0),"Yes","No")))</f>
        <v/>
      </c>
      <c r="R1413" s="17">
        <f>IF($C1413="","",IF($L1413="","",IF(AND($K1413=2,$L1413&lt;$J1413,COUNTIFS(nrES_PID,$D1413,nrES_Code,$F1413,nrES_Att,1)&gt;0),"Yes","No")))</f>
        <v/>
      </c>
      <c r="S1413" s="18" t="n"/>
      <c r="T1413" s="19">
        <f>IF($Q1413&lt;&gt;"Yes","",IF($S1413="","(enter date)",_xlfn.LET(_xlpm.dn,IFERROR(_xlfn.XLOOKUP($S1413,nrCDdate,nrCDnum),""),IF(_xlpm.dn="","(not a class day)",IFERROR(_xlfn.XLOOKUP(_xlpm.dn+cfgRetestClassDays,nrCDnum,nrCDdate),"")))))</f>
        <v/>
      </c>
      <c r="U1413" s="17">
        <f>IF($Q1413&lt;&gt;"Yes","",IF(COUNTIFS(nrES_PID,$D1413,nrES_Code,$F1413,nrES_Att,2)&gt;0,"Retested",IF(OR($T1413="",NOT(ISNUMBER($T1413))),"Pending",IF(TODAY()&gt;$T1413,"OVERDUE","Due "&amp;TEXT($T1413,"mm/dd")))))</f>
        <v/>
      </c>
      <c r="V1413" s="16" t="n"/>
      <c r="W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K1414=1,IF(COUNTIFS(nrES_PID,$D1414,nrES_Code,$F1414,nrES_Att,2)&gt;0,"",$L1414),IF(COUNTIFS(nrES_PID,$D1414,nrES_Code,$F1414,nrES_Att,1)=0,$L1414,IF($L1414&gt;=$J1414,cfgRetakeRecordedCap,SUMIFS(nrES_Raw,nrES_PID,$D1414,nrES_Code,$F1414,nrES_Att,1))))))</f>
        <v/>
      </c>
      <c r="N1414" s="17">
        <f>IF($C1414="","",IF($L1414="","",IF($L1414&gt;=$J1414,"Yes","No")))</f>
        <v/>
      </c>
      <c r="O1414" s="17">
        <f>IF($C1414="","",IF($M1414="","",IF($M1414&gt;=$J1414,"Yes","No")))</f>
        <v/>
      </c>
      <c r="P1414" s="17">
        <f>IF($C1414="","",IF($K1414="","",IF(COUNTIFS(nrES_PID,$D1414,nrES_Code,$F1414,nrES_Att,"&gt;"&amp;$K1414)=0,"Yes","No")))</f>
        <v/>
      </c>
      <c r="Q1414" s="17">
        <f>IF($C1414="","",IF($L1414="","",IF(AND($K1414=1,$L1414&lt;$J1414,COUNTIFS(nrES_PID,$D1414,nrES_Code,$F1414,nrES_Att,2)=0),"Yes","No")))</f>
        <v/>
      </c>
      <c r="R1414" s="17">
        <f>IF($C1414="","",IF($L1414="","",IF(AND($K1414=2,$L1414&lt;$J1414,COUNTIFS(nrES_PID,$D1414,nrES_Code,$F1414,nrES_Att,1)&gt;0),"Yes","No")))</f>
        <v/>
      </c>
      <c r="S1414" s="18" t="n"/>
      <c r="T1414" s="19">
        <f>IF($Q1414&lt;&gt;"Yes","",IF($S1414="","(enter date)",_xlfn.LET(_xlpm.dn,IFERROR(_xlfn.XLOOKUP($S1414,nrCDdate,nrCDnum),""),IF(_xlpm.dn="","(not a class day)",IFERROR(_xlfn.XLOOKUP(_xlpm.dn+cfgRetestClassDays,nrCDnum,nrCDdate),"")))))</f>
        <v/>
      </c>
      <c r="U1414" s="17">
        <f>IF($Q1414&lt;&gt;"Yes","",IF(COUNTIFS(nrES_PID,$D1414,nrES_Code,$F1414,nrES_Att,2)&gt;0,"Retested",IF(OR($T1414="",NOT(ISNUMBER($T1414))),"Pending",IF(TODAY()&gt;$T1414,"OVERDUE","Due "&amp;TEXT($T1414,"mm/dd")))))</f>
        <v/>
      </c>
      <c r="V1414" s="16" t="n"/>
      <c r="W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K1415=1,IF(COUNTIFS(nrES_PID,$D1415,nrES_Code,$F1415,nrES_Att,2)&gt;0,"",$L1415),IF(COUNTIFS(nrES_PID,$D1415,nrES_Code,$F1415,nrES_Att,1)=0,$L1415,IF($L1415&gt;=$J1415,cfgRetakeRecordedCap,SUMIFS(nrES_Raw,nrES_PID,$D1415,nrES_Code,$F1415,nrES_Att,1))))))</f>
        <v/>
      </c>
      <c r="N1415" s="17">
        <f>IF($C1415="","",IF($L1415="","",IF($L1415&gt;=$J1415,"Yes","No")))</f>
        <v/>
      </c>
      <c r="O1415" s="17">
        <f>IF($C1415="","",IF($M1415="","",IF($M1415&gt;=$J1415,"Yes","No")))</f>
        <v/>
      </c>
      <c r="P1415" s="17">
        <f>IF($C1415="","",IF($K1415="","",IF(COUNTIFS(nrES_PID,$D1415,nrES_Code,$F1415,nrES_Att,"&gt;"&amp;$K1415)=0,"Yes","No")))</f>
        <v/>
      </c>
      <c r="Q1415" s="17">
        <f>IF($C1415="","",IF($L1415="","",IF(AND($K1415=1,$L1415&lt;$J1415,COUNTIFS(nrES_PID,$D1415,nrES_Code,$F1415,nrES_Att,2)=0),"Yes","No")))</f>
        <v/>
      </c>
      <c r="R1415" s="17">
        <f>IF($C1415="","",IF($L1415="","",IF(AND($K1415=2,$L1415&lt;$J1415,COUNTIFS(nrES_PID,$D1415,nrES_Code,$F1415,nrES_Att,1)&gt;0),"Yes","No")))</f>
        <v/>
      </c>
      <c r="S1415" s="18" t="n"/>
      <c r="T1415" s="19">
        <f>IF($Q1415&lt;&gt;"Yes","",IF($S1415="","(enter date)",_xlfn.LET(_xlpm.dn,IFERROR(_xlfn.XLOOKUP($S1415,nrCDdate,nrCDnum),""),IF(_xlpm.dn="","(not a class day)",IFERROR(_xlfn.XLOOKUP(_xlpm.dn+cfgRetestClassDays,nrCDnum,nrCDdate),"")))))</f>
        <v/>
      </c>
      <c r="U1415" s="17">
        <f>IF($Q1415&lt;&gt;"Yes","",IF(COUNTIFS(nrES_PID,$D1415,nrES_Code,$F1415,nrES_Att,2)&gt;0,"Retested",IF(OR($T1415="",NOT(ISNUMBER($T1415))),"Pending",IF(TODAY()&gt;$T1415,"OVERDUE","Due "&amp;TEXT($T1415,"mm/dd")))))</f>
        <v/>
      </c>
      <c r="V1415" s="16" t="n"/>
      <c r="W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K1416=1,IF(COUNTIFS(nrES_PID,$D1416,nrES_Code,$F1416,nrES_Att,2)&gt;0,"",$L1416),IF(COUNTIFS(nrES_PID,$D1416,nrES_Code,$F1416,nrES_Att,1)=0,$L1416,IF($L1416&gt;=$J1416,cfgRetakeRecordedCap,SUMIFS(nrES_Raw,nrES_PID,$D1416,nrES_Code,$F1416,nrES_Att,1))))))</f>
        <v/>
      </c>
      <c r="N1416" s="17">
        <f>IF($C1416="","",IF($L1416="","",IF($L1416&gt;=$J1416,"Yes","No")))</f>
        <v/>
      </c>
      <c r="O1416" s="17">
        <f>IF($C1416="","",IF($M1416="","",IF($M1416&gt;=$J1416,"Yes","No")))</f>
        <v/>
      </c>
      <c r="P1416" s="17">
        <f>IF($C1416="","",IF($K1416="","",IF(COUNTIFS(nrES_PID,$D1416,nrES_Code,$F1416,nrES_Att,"&gt;"&amp;$K1416)=0,"Yes","No")))</f>
        <v/>
      </c>
      <c r="Q1416" s="17">
        <f>IF($C1416="","",IF($L1416="","",IF(AND($K1416=1,$L1416&lt;$J1416,COUNTIFS(nrES_PID,$D1416,nrES_Code,$F1416,nrES_Att,2)=0),"Yes","No")))</f>
        <v/>
      </c>
      <c r="R1416" s="17">
        <f>IF($C1416="","",IF($L1416="","",IF(AND($K1416=2,$L1416&lt;$J1416,COUNTIFS(nrES_PID,$D1416,nrES_Code,$F1416,nrES_Att,1)&gt;0),"Yes","No")))</f>
        <v/>
      </c>
      <c r="S1416" s="18" t="n"/>
      <c r="T1416" s="19">
        <f>IF($Q1416&lt;&gt;"Yes","",IF($S1416="","(enter date)",_xlfn.LET(_xlpm.dn,IFERROR(_xlfn.XLOOKUP($S1416,nrCDdate,nrCDnum),""),IF(_xlpm.dn="","(not a class day)",IFERROR(_xlfn.XLOOKUP(_xlpm.dn+cfgRetestClassDays,nrCDnum,nrCDdate),"")))))</f>
        <v/>
      </c>
      <c r="U1416" s="17">
        <f>IF($Q1416&lt;&gt;"Yes","",IF(COUNTIFS(nrES_PID,$D1416,nrES_Code,$F1416,nrES_Att,2)&gt;0,"Retested",IF(OR($T1416="",NOT(ISNUMBER($T1416))),"Pending",IF(TODAY()&gt;$T1416,"OVERDUE","Due "&amp;TEXT($T1416,"mm/dd")))))</f>
        <v/>
      </c>
      <c r="V1416" s="16" t="n"/>
      <c r="W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K1417=1,IF(COUNTIFS(nrES_PID,$D1417,nrES_Code,$F1417,nrES_Att,2)&gt;0,"",$L1417),IF(COUNTIFS(nrES_PID,$D1417,nrES_Code,$F1417,nrES_Att,1)=0,$L1417,IF($L1417&gt;=$J1417,cfgRetakeRecordedCap,SUMIFS(nrES_Raw,nrES_PID,$D1417,nrES_Code,$F1417,nrES_Att,1))))))</f>
        <v/>
      </c>
      <c r="N1417" s="17">
        <f>IF($C1417="","",IF($L1417="","",IF($L1417&gt;=$J1417,"Yes","No")))</f>
        <v/>
      </c>
      <c r="O1417" s="17">
        <f>IF($C1417="","",IF($M1417="","",IF($M1417&gt;=$J1417,"Yes","No")))</f>
        <v/>
      </c>
      <c r="P1417" s="17">
        <f>IF($C1417="","",IF($K1417="","",IF(COUNTIFS(nrES_PID,$D1417,nrES_Code,$F1417,nrES_Att,"&gt;"&amp;$K1417)=0,"Yes","No")))</f>
        <v/>
      </c>
      <c r="Q1417" s="17">
        <f>IF($C1417="","",IF($L1417="","",IF(AND($K1417=1,$L1417&lt;$J1417,COUNTIFS(nrES_PID,$D1417,nrES_Code,$F1417,nrES_Att,2)=0),"Yes","No")))</f>
        <v/>
      </c>
      <c r="R1417" s="17">
        <f>IF($C1417="","",IF($L1417="","",IF(AND($K1417=2,$L1417&lt;$J1417,COUNTIFS(nrES_PID,$D1417,nrES_Code,$F1417,nrES_Att,1)&gt;0),"Yes","No")))</f>
        <v/>
      </c>
      <c r="S1417" s="18" t="n"/>
      <c r="T1417" s="19">
        <f>IF($Q1417&lt;&gt;"Yes","",IF($S1417="","(enter date)",_xlfn.LET(_xlpm.dn,IFERROR(_xlfn.XLOOKUP($S1417,nrCDdate,nrCDnum),""),IF(_xlpm.dn="","(not a class day)",IFERROR(_xlfn.XLOOKUP(_xlpm.dn+cfgRetestClassDays,nrCDnum,nrCDdate),"")))))</f>
        <v/>
      </c>
      <c r="U1417" s="17">
        <f>IF($Q1417&lt;&gt;"Yes","",IF(COUNTIFS(nrES_PID,$D1417,nrES_Code,$F1417,nrES_Att,2)&gt;0,"Retested",IF(OR($T1417="",NOT(ISNUMBER($T1417))),"Pending",IF(TODAY()&gt;$T1417,"OVERDUE","Due "&amp;TEXT($T1417,"mm/dd")))))</f>
        <v/>
      </c>
      <c r="V1417" s="16" t="n"/>
      <c r="W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K1418=1,IF(COUNTIFS(nrES_PID,$D1418,nrES_Code,$F1418,nrES_Att,2)&gt;0,"",$L1418),IF(COUNTIFS(nrES_PID,$D1418,nrES_Code,$F1418,nrES_Att,1)=0,$L1418,IF($L1418&gt;=$J1418,cfgRetakeRecordedCap,SUMIFS(nrES_Raw,nrES_PID,$D1418,nrES_Code,$F1418,nrES_Att,1))))))</f>
        <v/>
      </c>
      <c r="N1418" s="17">
        <f>IF($C1418="","",IF($L1418="","",IF($L1418&gt;=$J1418,"Yes","No")))</f>
        <v/>
      </c>
      <c r="O1418" s="17">
        <f>IF($C1418="","",IF($M1418="","",IF($M1418&gt;=$J1418,"Yes","No")))</f>
        <v/>
      </c>
      <c r="P1418" s="17">
        <f>IF($C1418="","",IF($K1418="","",IF(COUNTIFS(nrES_PID,$D1418,nrES_Code,$F1418,nrES_Att,"&gt;"&amp;$K1418)=0,"Yes","No")))</f>
        <v/>
      </c>
      <c r="Q1418" s="17">
        <f>IF($C1418="","",IF($L1418="","",IF(AND($K1418=1,$L1418&lt;$J1418,COUNTIFS(nrES_PID,$D1418,nrES_Code,$F1418,nrES_Att,2)=0),"Yes","No")))</f>
        <v/>
      </c>
      <c r="R1418" s="17">
        <f>IF($C1418="","",IF($L1418="","",IF(AND($K1418=2,$L1418&lt;$J1418,COUNTIFS(nrES_PID,$D1418,nrES_Code,$F1418,nrES_Att,1)&gt;0),"Yes","No")))</f>
        <v/>
      </c>
      <c r="S1418" s="18" t="n"/>
      <c r="T1418" s="19">
        <f>IF($Q1418&lt;&gt;"Yes","",IF($S1418="","(enter date)",_xlfn.LET(_xlpm.dn,IFERROR(_xlfn.XLOOKUP($S1418,nrCDdate,nrCDnum),""),IF(_xlpm.dn="","(not a class day)",IFERROR(_xlfn.XLOOKUP(_xlpm.dn+cfgRetestClassDays,nrCDnum,nrCDdate),"")))))</f>
        <v/>
      </c>
      <c r="U1418" s="17">
        <f>IF($Q1418&lt;&gt;"Yes","",IF(COUNTIFS(nrES_PID,$D1418,nrES_Code,$F1418,nrES_Att,2)&gt;0,"Retested",IF(OR($T1418="",NOT(ISNUMBER($T1418))),"Pending",IF(TODAY()&gt;$T1418,"OVERDUE","Due "&amp;TEXT($T1418,"mm/dd")))))</f>
        <v/>
      </c>
      <c r="V1418" s="16" t="n"/>
      <c r="W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K1419=1,IF(COUNTIFS(nrES_PID,$D1419,nrES_Code,$F1419,nrES_Att,2)&gt;0,"",$L1419),IF(COUNTIFS(nrES_PID,$D1419,nrES_Code,$F1419,nrES_Att,1)=0,$L1419,IF($L1419&gt;=$J1419,cfgRetakeRecordedCap,SUMIFS(nrES_Raw,nrES_PID,$D1419,nrES_Code,$F1419,nrES_Att,1))))))</f>
        <v/>
      </c>
      <c r="N1419" s="17">
        <f>IF($C1419="","",IF($L1419="","",IF($L1419&gt;=$J1419,"Yes","No")))</f>
        <v/>
      </c>
      <c r="O1419" s="17">
        <f>IF($C1419="","",IF($M1419="","",IF($M1419&gt;=$J1419,"Yes","No")))</f>
        <v/>
      </c>
      <c r="P1419" s="17">
        <f>IF($C1419="","",IF($K1419="","",IF(COUNTIFS(nrES_PID,$D1419,nrES_Code,$F1419,nrES_Att,"&gt;"&amp;$K1419)=0,"Yes","No")))</f>
        <v/>
      </c>
      <c r="Q1419" s="17">
        <f>IF($C1419="","",IF($L1419="","",IF(AND($K1419=1,$L1419&lt;$J1419,COUNTIFS(nrES_PID,$D1419,nrES_Code,$F1419,nrES_Att,2)=0),"Yes","No")))</f>
        <v/>
      </c>
      <c r="R1419" s="17">
        <f>IF($C1419="","",IF($L1419="","",IF(AND($K1419=2,$L1419&lt;$J1419,COUNTIFS(nrES_PID,$D1419,nrES_Code,$F1419,nrES_Att,1)&gt;0),"Yes","No")))</f>
        <v/>
      </c>
      <c r="S1419" s="18" t="n"/>
      <c r="T1419" s="19">
        <f>IF($Q1419&lt;&gt;"Yes","",IF($S1419="","(enter date)",_xlfn.LET(_xlpm.dn,IFERROR(_xlfn.XLOOKUP($S1419,nrCDdate,nrCDnum),""),IF(_xlpm.dn="","(not a class day)",IFERROR(_xlfn.XLOOKUP(_xlpm.dn+cfgRetestClassDays,nrCDnum,nrCDdate),"")))))</f>
        <v/>
      </c>
      <c r="U1419" s="17">
        <f>IF($Q1419&lt;&gt;"Yes","",IF(COUNTIFS(nrES_PID,$D1419,nrES_Code,$F1419,nrES_Att,2)&gt;0,"Retested",IF(OR($T1419="",NOT(ISNUMBER($T1419))),"Pending",IF(TODAY()&gt;$T1419,"OVERDUE","Due "&amp;TEXT($T1419,"mm/dd")))))</f>
        <v/>
      </c>
      <c r="V1419" s="16" t="n"/>
      <c r="W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K1420=1,IF(COUNTIFS(nrES_PID,$D1420,nrES_Code,$F1420,nrES_Att,2)&gt;0,"",$L1420),IF(COUNTIFS(nrES_PID,$D1420,nrES_Code,$F1420,nrES_Att,1)=0,$L1420,IF($L1420&gt;=$J1420,cfgRetakeRecordedCap,SUMIFS(nrES_Raw,nrES_PID,$D1420,nrES_Code,$F1420,nrES_Att,1))))))</f>
        <v/>
      </c>
      <c r="N1420" s="17">
        <f>IF($C1420="","",IF($L1420="","",IF($L1420&gt;=$J1420,"Yes","No")))</f>
        <v/>
      </c>
      <c r="O1420" s="17">
        <f>IF($C1420="","",IF($M1420="","",IF($M1420&gt;=$J1420,"Yes","No")))</f>
        <v/>
      </c>
      <c r="P1420" s="17">
        <f>IF($C1420="","",IF($K1420="","",IF(COUNTIFS(nrES_PID,$D1420,nrES_Code,$F1420,nrES_Att,"&gt;"&amp;$K1420)=0,"Yes","No")))</f>
        <v/>
      </c>
      <c r="Q1420" s="17">
        <f>IF($C1420="","",IF($L1420="","",IF(AND($K1420=1,$L1420&lt;$J1420,COUNTIFS(nrES_PID,$D1420,nrES_Code,$F1420,nrES_Att,2)=0),"Yes","No")))</f>
        <v/>
      </c>
      <c r="R1420" s="17">
        <f>IF($C1420="","",IF($L1420="","",IF(AND($K1420=2,$L1420&lt;$J1420,COUNTIFS(nrES_PID,$D1420,nrES_Code,$F1420,nrES_Att,1)&gt;0),"Yes","No")))</f>
        <v/>
      </c>
      <c r="S1420" s="18" t="n"/>
      <c r="T1420" s="19">
        <f>IF($Q1420&lt;&gt;"Yes","",IF($S1420="","(enter date)",_xlfn.LET(_xlpm.dn,IFERROR(_xlfn.XLOOKUP($S1420,nrCDdate,nrCDnum),""),IF(_xlpm.dn="","(not a class day)",IFERROR(_xlfn.XLOOKUP(_xlpm.dn+cfgRetestClassDays,nrCDnum,nrCDdate),"")))))</f>
        <v/>
      </c>
      <c r="U1420" s="17">
        <f>IF($Q1420&lt;&gt;"Yes","",IF(COUNTIFS(nrES_PID,$D1420,nrES_Code,$F1420,nrES_Att,2)&gt;0,"Retested",IF(OR($T1420="",NOT(ISNUMBER($T1420))),"Pending",IF(TODAY()&gt;$T1420,"OVERDUE","Due "&amp;TEXT($T1420,"mm/dd")))))</f>
        <v/>
      </c>
      <c r="V1420" s="16" t="n"/>
      <c r="W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K1421=1,IF(COUNTIFS(nrES_PID,$D1421,nrES_Code,$F1421,nrES_Att,2)&gt;0,"",$L1421),IF(COUNTIFS(nrES_PID,$D1421,nrES_Code,$F1421,nrES_Att,1)=0,$L1421,IF($L1421&gt;=$J1421,cfgRetakeRecordedCap,SUMIFS(nrES_Raw,nrES_PID,$D1421,nrES_Code,$F1421,nrES_Att,1))))))</f>
        <v/>
      </c>
      <c r="N1421" s="17">
        <f>IF($C1421="","",IF($L1421="","",IF($L1421&gt;=$J1421,"Yes","No")))</f>
        <v/>
      </c>
      <c r="O1421" s="17">
        <f>IF($C1421="","",IF($M1421="","",IF($M1421&gt;=$J1421,"Yes","No")))</f>
        <v/>
      </c>
      <c r="P1421" s="17">
        <f>IF($C1421="","",IF($K1421="","",IF(COUNTIFS(nrES_PID,$D1421,nrES_Code,$F1421,nrES_Att,"&gt;"&amp;$K1421)=0,"Yes","No")))</f>
        <v/>
      </c>
      <c r="Q1421" s="17">
        <f>IF($C1421="","",IF($L1421="","",IF(AND($K1421=1,$L1421&lt;$J1421,COUNTIFS(nrES_PID,$D1421,nrES_Code,$F1421,nrES_Att,2)=0),"Yes","No")))</f>
        <v/>
      </c>
      <c r="R1421" s="17">
        <f>IF($C1421="","",IF($L1421="","",IF(AND($K1421=2,$L1421&lt;$J1421,COUNTIFS(nrES_PID,$D1421,nrES_Code,$F1421,nrES_Att,1)&gt;0),"Yes","No")))</f>
        <v/>
      </c>
      <c r="S1421" s="18" t="n"/>
      <c r="T1421" s="19">
        <f>IF($Q1421&lt;&gt;"Yes","",IF($S1421="","(enter date)",_xlfn.LET(_xlpm.dn,IFERROR(_xlfn.XLOOKUP($S1421,nrCDdate,nrCDnum),""),IF(_xlpm.dn="","(not a class day)",IFERROR(_xlfn.XLOOKUP(_xlpm.dn+cfgRetestClassDays,nrCDnum,nrCDdate),"")))))</f>
        <v/>
      </c>
      <c r="U1421" s="17">
        <f>IF($Q1421&lt;&gt;"Yes","",IF(COUNTIFS(nrES_PID,$D1421,nrES_Code,$F1421,nrES_Att,2)&gt;0,"Retested",IF(OR($T1421="",NOT(ISNUMBER($T1421))),"Pending",IF(TODAY()&gt;$T1421,"OVERDUE","Due "&amp;TEXT($T1421,"mm/dd")))))</f>
        <v/>
      </c>
      <c r="V1421" s="16" t="n"/>
      <c r="W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K1422=1,IF(COUNTIFS(nrES_PID,$D1422,nrES_Code,$F1422,nrES_Att,2)&gt;0,"",$L1422),IF(COUNTIFS(nrES_PID,$D1422,nrES_Code,$F1422,nrES_Att,1)=0,$L1422,IF($L1422&gt;=$J1422,cfgRetakeRecordedCap,SUMIFS(nrES_Raw,nrES_PID,$D1422,nrES_Code,$F1422,nrES_Att,1))))))</f>
        <v/>
      </c>
      <c r="N1422" s="17">
        <f>IF($C1422="","",IF($L1422="","",IF($L1422&gt;=$J1422,"Yes","No")))</f>
        <v/>
      </c>
      <c r="O1422" s="17">
        <f>IF($C1422="","",IF($M1422="","",IF($M1422&gt;=$J1422,"Yes","No")))</f>
        <v/>
      </c>
      <c r="P1422" s="17">
        <f>IF($C1422="","",IF($K1422="","",IF(COUNTIFS(nrES_PID,$D1422,nrES_Code,$F1422,nrES_Att,"&gt;"&amp;$K1422)=0,"Yes","No")))</f>
        <v/>
      </c>
      <c r="Q1422" s="17">
        <f>IF($C1422="","",IF($L1422="","",IF(AND($K1422=1,$L1422&lt;$J1422,COUNTIFS(nrES_PID,$D1422,nrES_Code,$F1422,nrES_Att,2)=0),"Yes","No")))</f>
        <v/>
      </c>
      <c r="R1422" s="17">
        <f>IF($C1422="","",IF($L1422="","",IF(AND($K1422=2,$L1422&lt;$J1422,COUNTIFS(nrES_PID,$D1422,nrES_Code,$F1422,nrES_Att,1)&gt;0),"Yes","No")))</f>
        <v/>
      </c>
      <c r="S1422" s="18" t="n"/>
      <c r="T1422" s="19">
        <f>IF($Q1422&lt;&gt;"Yes","",IF($S1422="","(enter date)",_xlfn.LET(_xlpm.dn,IFERROR(_xlfn.XLOOKUP($S1422,nrCDdate,nrCDnum),""),IF(_xlpm.dn="","(not a class day)",IFERROR(_xlfn.XLOOKUP(_xlpm.dn+cfgRetestClassDays,nrCDnum,nrCDdate),"")))))</f>
        <v/>
      </c>
      <c r="U1422" s="17">
        <f>IF($Q1422&lt;&gt;"Yes","",IF(COUNTIFS(nrES_PID,$D1422,nrES_Code,$F1422,nrES_Att,2)&gt;0,"Retested",IF(OR($T1422="",NOT(ISNUMBER($T1422))),"Pending",IF(TODAY()&gt;$T1422,"OVERDUE","Due "&amp;TEXT($T1422,"mm/dd")))))</f>
        <v/>
      </c>
      <c r="V1422" s="16" t="n"/>
      <c r="W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K1423=1,IF(COUNTIFS(nrES_PID,$D1423,nrES_Code,$F1423,nrES_Att,2)&gt;0,"",$L1423),IF(COUNTIFS(nrES_PID,$D1423,nrES_Code,$F1423,nrES_Att,1)=0,$L1423,IF($L1423&gt;=$J1423,cfgRetakeRecordedCap,SUMIFS(nrES_Raw,nrES_PID,$D1423,nrES_Code,$F1423,nrES_Att,1))))))</f>
        <v/>
      </c>
      <c r="N1423" s="17">
        <f>IF($C1423="","",IF($L1423="","",IF($L1423&gt;=$J1423,"Yes","No")))</f>
        <v/>
      </c>
      <c r="O1423" s="17">
        <f>IF($C1423="","",IF($M1423="","",IF($M1423&gt;=$J1423,"Yes","No")))</f>
        <v/>
      </c>
      <c r="P1423" s="17">
        <f>IF($C1423="","",IF($K1423="","",IF(COUNTIFS(nrES_PID,$D1423,nrES_Code,$F1423,nrES_Att,"&gt;"&amp;$K1423)=0,"Yes","No")))</f>
        <v/>
      </c>
      <c r="Q1423" s="17">
        <f>IF($C1423="","",IF($L1423="","",IF(AND($K1423=1,$L1423&lt;$J1423,COUNTIFS(nrES_PID,$D1423,nrES_Code,$F1423,nrES_Att,2)=0),"Yes","No")))</f>
        <v/>
      </c>
      <c r="R1423" s="17">
        <f>IF($C1423="","",IF($L1423="","",IF(AND($K1423=2,$L1423&lt;$J1423,COUNTIFS(nrES_PID,$D1423,nrES_Code,$F1423,nrES_Att,1)&gt;0),"Yes","No")))</f>
        <v/>
      </c>
      <c r="S1423" s="18" t="n"/>
      <c r="T1423" s="19">
        <f>IF($Q1423&lt;&gt;"Yes","",IF($S1423="","(enter date)",_xlfn.LET(_xlpm.dn,IFERROR(_xlfn.XLOOKUP($S1423,nrCDdate,nrCDnum),""),IF(_xlpm.dn="","(not a class day)",IFERROR(_xlfn.XLOOKUP(_xlpm.dn+cfgRetestClassDays,nrCDnum,nrCDdate),"")))))</f>
        <v/>
      </c>
      <c r="U1423" s="17">
        <f>IF($Q1423&lt;&gt;"Yes","",IF(COUNTIFS(nrES_PID,$D1423,nrES_Code,$F1423,nrES_Att,2)&gt;0,"Retested",IF(OR($T1423="",NOT(ISNUMBER($T1423))),"Pending",IF(TODAY()&gt;$T1423,"OVERDUE","Due "&amp;TEXT($T1423,"mm/dd")))))</f>
        <v/>
      </c>
      <c r="V1423" s="16" t="n"/>
      <c r="W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K1424=1,IF(COUNTIFS(nrES_PID,$D1424,nrES_Code,$F1424,nrES_Att,2)&gt;0,"",$L1424),IF(COUNTIFS(nrES_PID,$D1424,nrES_Code,$F1424,nrES_Att,1)=0,$L1424,IF($L1424&gt;=$J1424,cfgRetakeRecordedCap,SUMIFS(nrES_Raw,nrES_PID,$D1424,nrES_Code,$F1424,nrES_Att,1))))))</f>
        <v/>
      </c>
      <c r="N1424" s="17">
        <f>IF($C1424="","",IF($L1424="","",IF($L1424&gt;=$J1424,"Yes","No")))</f>
        <v/>
      </c>
      <c r="O1424" s="17">
        <f>IF($C1424="","",IF($M1424="","",IF($M1424&gt;=$J1424,"Yes","No")))</f>
        <v/>
      </c>
      <c r="P1424" s="17">
        <f>IF($C1424="","",IF($K1424="","",IF(COUNTIFS(nrES_PID,$D1424,nrES_Code,$F1424,nrES_Att,"&gt;"&amp;$K1424)=0,"Yes","No")))</f>
        <v/>
      </c>
      <c r="Q1424" s="17">
        <f>IF($C1424="","",IF($L1424="","",IF(AND($K1424=1,$L1424&lt;$J1424,COUNTIFS(nrES_PID,$D1424,nrES_Code,$F1424,nrES_Att,2)=0),"Yes","No")))</f>
        <v/>
      </c>
      <c r="R1424" s="17">
        <f>IF($C1424="","",IF($L1424="","",IF(AND($K1424=2,$L1424&lt;$J1424,COUNTIFS(nrES_PID,$D1424,nrES_Code,$F1424,nrES_Att,1)&gt;0),"Yes","No")))</f>
        <v/>
      </c>
      <c r="S1424" s="18" t="n"/>
      <c r="T1424" s="19">
        <f>IF($Q1424&lt;&gt;"Yes","",IF($S1424="","(enter date)",_xlfn.LET(_xlpm.dn,IFERROR(_xlfn.XLOOKUP($S1424,nrCDdate,nrCDnum),""),IF(_xlpm.dn="","(not a class day)",IFERROR(_xlfn.XLOOKUP(_xlpm.dn+cfgRetestClassDays,nrCDnum,nrCDdate),"")))))</f>
        <v/>
      </c>
      <c r="U1424" s="17">
        <f>IF($Q1424&lt;&gt;"Yes","",IF(COUNTIFS(nrES_PID,$D1424,nrES_Code,$F1424,nrES_Att,2)&gt;0,"Retested",IF(OR($T1424="",NOT(ISNUMBER($T1424))),"Pending",IF(TODAY()&gt;$T1424,"OVERDUE","Due "&amp;TEXT($T1424,"mm/dd")))))</f>
        <v/>
      </c>
      <c r="V1424" s="16" t="n"/>
      <c r="W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K1425=1,IF(COUNTIFS(nrES_PID,$D1425,nrES_Code,$F1425,nrES_Att,2)&gt;0,"",$L1425),IF(COUNTIFS(nrES_PID,$D1425,nrES_Code,$F1425,nrES_Att,1)=0,$L1425,IF($L1425&gt;=$J1425,cfgRetakeRecordedCap,SUMIFS(nrES_Raw,nrES_PID,$D1425,nrES_Code,$F1425,nrES_Att,1))))))</f>
        <v/>
      </c>
      <c r="N1425" s="17">
        <f>IF($C1425="","",IF($L1425="","",IF($L1425&gt;=$J1425,"Yes","No")))</f>
        <v/>
      </c>
      <c r="O1425" s="17">
        <f>IF($C1425="","",IF($M1425="","",IF($M1425&gt;=$J1425,"Yes","No")))</f>
        <v/>
      </c>
      <c r="P1425" s="17">
        <f>IF($C1425="","",IF($K1425="","",IF(COUNTIFS(nrES_PID,$D1425,nrES_Code,$F1425,nrES_Att,"&gt;"&amp;$K1425)=0,"Yes","No")))</f>
        <v/>
      </c>
      <c r="Q1425" s="17">
        <f>IF($C1425="","",IF($L1425="","",IF(AND($K1425=1,$L1425&lt;$J1425,COUNTIFS(nrES_PID,$D1425,nrES_Code,$F1425,nrES_Att,2)=0),"Yes","No")))</f>
        <v/>
      </c>
      <c r="R1425" s="17">
        <f>IF($C1425="","",IF($L1425="","",IF(AND($K1425=2,$L1425&lt;$J1425,COUNTIFS(nrES_PID,$D1425,nrES_Code,$F1425,nrES_Att,1)&gt;0),"Yes","No")))</f>
        <v/>
      </c>
      <c r="S1425" s="18" t="n"/>
      <c r="T1425" s="19">
        <f>IF($Q1425&lt;&gt;"Yes","",IF($S1425="","(enter date)",_xlfn.LET(_xlpm.dn,IFERROR(_xlfn.XLOOKUP($S1425,nrCDdate,nrCDnum),""),IF(_xlpm.dn="","(not a class day)",IFERROR(_xlfn.XLOOKUP(_xlpm.dn+cfgRetestClassDays,nrCDnum,nrCDdate),"")))))</f>
        <v/>
      </c>
      <c r="U1425" s="17">
        <f>IF($Q1425&lt;&gt;"Yes","",IF(COUNTIFS(nrES_PID,$D1425,nrES_Code,$F1425,nrES_Att,2)&gt;0,"Retested",IF(OR($T1425="",NOT(ISNUMBER($T1425))),"Pending",IF(TODAY()&gt;$T1425,"OVERDUE","Due "&amp;TEXT($T1425,"mm/dd")))))</f>
        <v/>
      </c>
      <c r="V1425" s="16" t="n"/>
      <c r="W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K1426=1,IF(COUNTIFS(nrES_PID,$D1426,nrES_Code,$F1426,nrES_Att,2)&gt;0,"",$L1426),IF(COUNTIFS(nrES_PID,$D1426,nrES_Code,$F1426,nrES_Att,1)=0,$L1426,IF($L1426&gt;=$J1426,cfgRetakeRecordedCap,SUMIFS(nrES_Raw,nrES_PID,$D1426,nrES_Code,$F1426,nrES_Att,1))))))</f>
        <v/>
      </c>
      <c r="N1426" s="17">
        <f>IF($C1426="","",IF($L1426="","",IF($L1426&gt;=$J1426,"Yes","No")))</f>
        <v/>
      </c>
      <c r="O1426" s="17">
        <f>IF($C1426="","",IF($M1426="","",IF($M1426&gt;=$J1426,"Yes","No")))</f>
        <v/>
      </c>
      <c r="P1426" s="17">
        <f>IF($C1426="","",IF($K1426="","",IF(COUNTIFS(nrES_PID,$D1426,nrES_Code,$F1426,nrES_Att,"&gt;"&amp;$K1426)=0,"Yes","No")))</f>
        <v/>
      </c>
      <c r="Q1426" s="17">
        <f>IF($C1426="","",IF($L1426="","",IF(AND($K1426=1,$L1426&lt;$J1426,COUNTIFS(nrES_PID,$D1426,nrES_Code,$F1426,nrES_Att,2)=0),"Yes","No")))</f>
        <v/>
      </c>
      <c r="R1426" s="17">
        <f>IF($C1426="","",IF($L1426="","",IF(AND($K1426=2,$L1426&lt;$J1426,COUNTIFS(nrES_PID,$D1426,nrES_Code,$F1426,nrES_Att,1)&gt;0),"Yes","No")))</f>
        <v/>
      </c>
      <c r="S1426" s="18" t="n"/>
      <c r="T1426" s="19">
        <f>IF($Q1426&lt;&gt;"Yes","",IF($S1426="","(enter date)",_xlfn.LET(_xlpm.dn,IFERROR(_xlfn.XLOOKUP($S1426,nrCDdate,nrCDnum),""),IF(_xlpm.dn="","(not a class day)",IFERROR(_xlfn.XLOOKUP(_xlpm.dn+cfgRetestClassDays,nrCDnum,nrCDdate),"")))))</f>
        <v/>
      </c>
      <c r="U1426" s="17">
        <f>IF($Q1426&lt;&gt;"Yes","",IF(COUNTIFS(nrES_PID,$D1426,nrES_Code,$F1426,nrES_Att,2)&gt;0,"Retested",IF(OR($T1426="",NOT(ISNUMBER($T1426))),"Pending",IF(TODAY()&gt;$T1426,"OVERDUE","Due "&amp;TEXT($T1426,"mm/dd")))))</f>
        <v/>
      </c>
      <c r="V1426" s="16" t="n"/>
      <c r="W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K1427=1,IF(COUNTIFS(nrES_PID,$D1427,nrES_Code,$F1427,nrES_Att,2)&gt;0,"",$L1427),IF(COUNTIFS(nrES_PID,$D1427,nrES_Code,$F1427,nrES_Att,1)=0,$L1427,IF($L1427&gt;=$J1427,cfgRetakeRecordedCap,SUMIFS(nrES_Raw,nrES_PID,$D1427,nrES_Code,$F1427,nrES_Att,1))))))</f>
        <v/>
      </c>
      <c r="N1427" s="17">
        <f>IF($C1427="","",IF($L1427="","",IF($L1427&gt;=$J1427,"Yes","No")))</f>
        <v/>
      </c>
      <c r="O1427" s="17">
        <f>IF($C1427="","",IF($M1427="","",IF($M1427&gt;=$J1427,"Yes","No")))</f>
        <v/>
      </c>
      <c r="P1427" s="17">
        <f>IF($C1427="","",IF($K1427="","",IF(COUNTIFS(nrES_PID,$D1427,nrES_Code,$F1427,nrES_Att,"&gt;"&amp;$K1427)=0,"Yes","No")))</f>
        <v/>
      </c>
      <c r="Q1427" s="17">
        <f>IF($C1427="","",IF($L1427="","",IF(AND($K1427=1,$L1427&lt;$J1427,COUNTIFS(nrES_PID,$D1427,nrES_Code,$F1427,nrES_Att,2)=0),"Yes","No")))</f>
        <v/>
      </c>
      <c r="R1427" s="17">
        <f>IF($C1427="","",IF($L1427="","",IF(AND($K1427=2,$L1427&lt;$J1427,COUNTIFS(nrES_PID,$D1427,nrES_Code,$F1427,nrES_Att,1)&gt;0),"Yes","No")))</f>
        <v/>
      </c>
      <c r="S1427" s="18" t="n"/>
      <c r="T1427" s="19">
        <f>IF($Q1427&lt;&gt;"Yes","",IF($S1427="","(enter date)",_xlfn.LET(_xlpm.dn,IFERROR(_xlfn.XLOOKUP($S1427,nrCDdate,nrCDnum),""),IF(_xlpm.dn="","(not a class day)",IFERROR(_xlfn.XLOOKUP(_xlpm.dn+cfgRetestClassDays,nrCDnum,nrCDdate),"")))))</f>
        <v/>
      </c>
      <c r="U1427" s="17">
        <f>IF($Q1427&lt;&gt;"Yes","",IF(COUNTIFS(nrES_PID,$D1427,nrES_Code,$F1427,nrES_Att,2)&gt;0,"Retested",IF(OR($T1427="",NOT(ISNUMBER($T1427))),"Pending",IF(TODAY()&gt;$T1427,"OVERDUE","Due "&amp;TEXT($T1427,"mm/dd")))))</f>
        <v/>
      </c>
      <c r="V1427" s="16" t="n"/>
      <c r="W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K1428=1,IF(COUNTIFS(nrES_PID,$D1428,nrES_Code,$F1428,nrES_Att,2)&gt;0,"",$L1428),IF(COUNTIFS(nrES_PID,$D1428,nrES_Code,$F1428,nrES_Att,1)=0,$L1428,IF($L1428&gt;=$J1428,cfgRetakeRecordedCap,SUMIFS(nrES_Raw,nrES_PID,$D1428,nrES_Code,$F1428,nrES_Att,1))))))</f>
        <v/>
      </c>
      <c r="N1428" s="17">
        <f>IF($C1428="","",IF($L1428="","",IF($L1428&gt;=$J1428,"Yes","No")))</f>
        <v/>
      </c>
      <c r="O1428" s="17">
        <f>IF($C1428="","",IF($M1428="","",IF($M1428&gt;=$J1428,"Yes","No")))</f>
        <v/>
      </c>
      <c r="P1428" s="17">
        <f>IF($C1428="","",IF($K1428="","",IF(COUNTIFS(nrES_PID,$D1428,nrES_Code,$F1428,nrES_Att,"&gt;"&amp;$K1428)=0,"Yes","No")))</f>
        <v/>
      </c>
      <c r="Q1428" s="17">
        <f>IF($C1428="","",IF($L1428="","",IF(AND($K1428=1,$L1428&lt;$J1428,COUNTIFS(nrES_PID,$D1428,nrES_Code,$F1428,nrES_Att,2)=0),"Yes","No")))</f>
        <v/>
      </c>
      <c r="R1428" s="17">
        <f>IF($C1428="","",IF($L1428="","",IF(AND($K1428=2,$L1428&lt;$J1428,COUNTIFS(nrES_PID,$D1428,nrES_Code,$F1428,nrES_Att,1)&gt;0),"Yes","No")))</f>
        <v/>
      </c>
      <c r="S1428" s="18" t="n"/>
      <c r="T1428" s="19">
        <f>IF($Q1428&lt;&gt;"Yes","",IF($S1428="","(enter date)",_xlfn.LET(_xlpm.dn,IFERROR(_xlfn.XLOOKUP($S1428,nrCDdate,nrCDnum),""),IF(_xlpm.dn="","(not a class day)",IFERROR(_xlfn.XLOOKUP(_xlpm.dn+cfgRetestClassDays,nrCDnum,nrCDdate),"")))))</f>
        <v/>
      </c>
      <c r="U1428" s="17">
        <f>IF($Q1428&lt;&gt;"Yes","",IF(COUNTIFS(nrES_PID,$D1428,nrES_Code,$F1428,nrES_Att,2)&gt;0,"Retested",IF(OR($T1428="",NOT(ISNUMBER($T1428))),"Pending",IF(TODAY()&gt;$T1428,"OVERDUE","Due "&amp;TEXT($T1428,"mm/dd")))))</f>
        <v/>
      </c>
      <c r="V1428" s="16" t="n"/>
      <c r="W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K1429=1,IF(COUNTIFS(nrES_PID,$D1429,nrES_Code,$F1429,nrES_Att,2)&gt;0,"",$L1429),IF(COUNTIFS(nrES_PID,$D1429,nrES_Code,$F1429,nrES_Att,1)=0,$L1429,IF($L1429&gt;=$J1429,cfgRetakeRecordedCap,SUMIFS(nrES_Raw,nrES_PID,$D1429,nrES_Code,$F1429,nrES_Att,1))))))</f>
        <v/>
      </c>
      <c r="N1429" s="17">
        <f>IF($C1429="","",IF($L1429="","",IF($L1429&gt;=$J1429,"Yes","No")))</f>
        <v/>
      </c>
      <c r="O1429" s="17">
        <f>IF($C1429="","",IF($M1429="","",IF($M1429&gt;=$J1429,"Yes","No")))</f>
        <v/>
      </c>
      <c r="P1429" s="17">
        <f>IF($C1429="","",IF($K1429="","",IF(COUNTIFS(nrES_PID,$D1429,nrES_Code,$F1429,nrES_Att,"&gt;"&amp;$K1429)=0,"Yes","No")))</f>
        <v/>
      </c>
      <c r="Q1429" s="17">
        <f>IF($C1429="","",IF($L1429="","",IF(AND($K1429=1,$L1429&lt;$J1429,COUNTIFS(nrES_PID,$D1429,nrES_Code,$F1429,nrES_Att,2)=0),"Yes","No")))</f>
        <v/>
      </c>
      <c r="R1429" s="17">
        <f>IF($C1429="","",IF($L1429="","",IF(AND($K1429=2,$L1429&lt;$J1429,COUNTIFS(nrES_PID,$D1429,nrES_Code,$F1429,nrES_Att,1)&gt;0),"Yes","No")))</f>
        <v/>
      </c>
      <c r="S1429" s="18" t="n"/>
      <c r="T1429" s="19">
        <f>IF($Q1429&lt;&gt;"Yes","",IF($S1429="","(enter date)",_xlfn.LET(_xlpm.dn,IFERROR(_xlfn.XLOOKUP($S1429,nrCDdate,nrCDnum),""),IF(_xlpm.dn="","(not a class day)",IFERROR(_xlfn.XLOOKUP(_xlpm.dn+cfgRetestClassDays,nrCDnum,nrCDdate),"")))))</f>
        <v/>
      </c>
      <c r="U1429" s="17">
        <f>IF($Q1429&lt;&gt;"Yes","",IF(COUNTIFS(nrES_PID,$D1429,nrES_Code,$F1429,nrES_Att,2)&gt;0,"Retested",IF(OR($T1429="",NOT(ISNUMBER($T1429))),"Pending",IF(TODAY()&gt;$T1429,"OVERDUE","Due "&amp;TEXT($T1429,"mm/dd")))))</f>
        <v/>
      </c>
      <c r="V1429" s="16" t="n"/>
      <c r="W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K1430=1,IF(COUNTIFS(nrES_PID,$D1430,nrES_Code,$F1430,nrES_Att,2)&gt;0,"",$L1430),IF(COUNTIFS(nrES_PID,$D1430,nrES_Code,$F1430,nrES_Att,1)=0,$L1430,IF($L1430&gt;=$J1430,cfgRetakeRecordedCap,SUMIFS(nrES_Raw,nrES_PID,$D1430,nrES_Code,$F1430,nrES_Att,1))))))</f>
        <v/>
      </c>
      <c r="N1430" s="17">
        <f>IF($C1430="","",IF($L1430="","",IF($L1430&gt;=$J1430,"Yes","No")))</f>
        <v/>
      </c>
      <c r="O1430" s="17">
        <f>IF($C1430="","",IF($M1430="","",IF($M1430&gt;=$J1430,"Yes","No")))</f>
        <v/>
      </c>
      <c r="P1430" s="17">
        <f>IF($C1430="","",IF($K1430="","",IF(COUNTIFS(nrES_PID,$D1430,nrES_Code,$F1430,nrES_Att,"&gt;"&amp;$K1430)=0,"Yes","No")))</f>
        <v/>
      </c>
      <c r="Q1430" s="17">
        <f>IF($C1430="","",IF($L1430="","",IF(AND($K1430=1,$L1430&lt;$J1430,COUNTIFS(nrES_PID,$D1430,nrES_Code,$F1430,nrES_Att,2)=0),"Yes","No")))</f>
        <v/>
      </c>
      <c r="R1430" s="17">
        <f>IF($C1430="","",IF($L1430="","",IF(AND($K1430=2,$L1430&lt;$J1430,COUNTIFS(nrES_PID,$D1430,nrES_Code,$F1430,nrES_Att,1)&gt;0),"Yes","No")))</f>
        <v/>
      </c>
      <c r="S1430" s="18" t="n"/>
      <c r="T1430" s="19">
        <f>IF($Q1430&lt;&gt;"Yes","",IF($S1430="","(enter date)",_xlfn.LET(_xlpm.dn,IFERROR(_xlfn.XLOOKUP($S1430,nrCDdate,nrCDnum),""),IF(_xlpm.dn="","(not a class day)",IFERROR(_xlfn.XLOOKUP(_xlpm.dn+cfgRetestClassDays,nrCDnum,nrCDdate),"")))))</f>
        <v/>
      </c>
      <c r="U1430" s="17">
        <f>IF($Q1430&lt;&gt;"Yes","",IF(COUNTIFS(nrES_PID,$D1430,nrES_Code,$F1430,nrES_Att,2)&gt;0,"Retested",IF(OR($T1430="",NOT(ISNUMBER($T1430))),"Pending",IF(TODAY()&gt;$T1430,"OVERDUE","Due "&amp;TEXT($T1430,"mm/dd")))))</f>
        <v/>
      </c>
      <c r="V1430" s="16" t="n"/>
      <c r="W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K1431=1,IF(COUNTIFS(nrES_PID,$D1431,nrES_Code,$F1431,nrES_Att,2)&gt;0,"",$L1431),IF(COUNTIFS(nrES_PID,$D1431,nrES_Code,$F1431,nrES_Att,1)=0,$L1431,IF($L1431&gt;=$J1431,cfgRetakeRecordedCap,SUMIFS(nrES_Raw,nrES_PID,$D1431,nrES_Code,$F1431,nrES_Att,1))))))</f>
        <v/>
      </c>
      <c r="N1431" s="17">
        <f>IF($C1431="","",IF($L1431="","",IF($L1431&gt;=$J1431,"Yes","No")))</f>
        <v/>
      </c>
      <c r="O1431" s="17">
        <f>IF($C1431="","",IF($M1431="","",IF($M1431&gt;=$J1431,"Yes","No")))</f>
        <v/>
      </c>
      <c r="P1431" s="17">
        <f>IF($C1431="","",IF($K1431="","",IF(COUNTIFS(nrES_PID,$D1431,nrES_Code,$F1431,nrES_Att,"&gt;"&amp;$K1431)=0,"Yes","No")))</f>
        <v/>
      </c>
      <c r="Q1431" s="17">
        <f>IF($C1431="","",IF($L1431="","",IF(AND($K1431=1,$L1431&lt;$J1431,COUNTIFS(nrES_PID,$D1431,nrES_Code,$F1431,nrES_Att,2)=0),"Yes","No")))</f>
        <v/>
      </c>
      <c r="R1431" s="17">
        <f>IF($C1431="","",IF($L1431="","",IF(AND($K1431=2,$L1431&lt;$J1431,COUNTIFS(nrES_PID,$D1431,nrES_Code,$F1431,nrES_Att,1)&gt;0),"Yes","No")))</f>
        <v/>
      </c>
      <c r="S1431" s="18" t="n"/>
      <c r="T1431" s="19">
        <f>IF($Q1431&lt;&gt;"Yes","",IF($S1431="","(enter date)",_xlfn.LET(_xlpm.dn,IFERROR(_xlfn.XLOOKUP($S1431,nrCDdate,nrCDnum),""),IF(_xlpm.dn="","(not a class day)",IFERROR(_xlfn.XLOOKUP(_xlpm.dn+cfgRetestClassDays,nrCDnum,nrCDdate),"")))))</f>
        <v/>
      </c>
      <c r="U1431" s="17">
        <f>IF($Q1431&lt;&gt;"Yes","",IF(COUNTIFS(nrES_PID,$D1431,nrES_Code,$F1431,nrES_Att,2)&gt;0,"Retested",IF(OR($T1431="",NOT(ISNUMBER($T1431))),"Pending",IF(TODAY()&gt;$T1431,"OVERDUE","Due "&amp;TEXT($T1431,"mm/dd")))))</f>
        <v/>
      </c>
      <c r="V1431" s="16" t="n"/>
      <c r="W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K1432=1,IF(COUNTIFS(nrES_PID,$D1432,nrES_Code,$F1432,nrES_Att,2)&gt;0,"",$L1432),IF(COUNTIFS(nrES_PID,$D1432,nrES_Code,$F1432,nrES_Att,1)=0,$L1432,IF($L1432&gt;=$J1432,cfgRetakeRecordedCap,SUMIFS(nrES_Raw,nrES_PID,$D1432,nrES_Code,$F1432,nrES_Att,1))))))</f>
        <v/>
      </c>
      <c r="N1432" s="17">
        <f>IF($C1432="","",IF($L1432="","",IF($L1432&gt;=$J1432,"Yes","No")))</f>
        <v/>
      </c>
      <c r="O1432" s="17">
        <f>IF($C1432="","",IF($M1432="","",IF($M1432&gt;=$J1432,"Yes","No")))</f>
        <v/>
      </c>
      <c r="P1432" s="17">
        <f>IF($C1432="","",IF($K1432="","",IF(COUNTIFS(nrES_PID,$D1432,nrES_Code,$F1432,nrES_Att,"&gt;"&amp;$K1432)=0,"Yes","No")))</f>
        <v/>
      </c>
      <c r="Q1432" s="17">
        <f>IF($C1432="","",IF($L1432="","",IF(AND($K1432=1,$L1432&lt;$J1432,COUNTIFS(nrES_PID,$D1432,nrES_Code,$F1432,nrES_Att,2)=0),"Yes","No")))</f>
        <v/>
      </c>
      <c r="R1432" s="17">
        <f>IF($C1432="","",IF($L1432="","",IF(AND($K1432=2,$L1432&lt;$J1432,COUNTIFS(nrES_PID,$D1432,nrES_Code,$F1432,nrES_Att,1)&gt;0),"Yes","No")))</f>
        <v/>
      </c>
      <c r="S1432" s="18" t="n"/>
      <c r="T1432" s="19">
        <f>IF($Q1432&lt;&gt;"Yes","",IF($S1432="","(enter date)",_xlfn.LET(_xlpm.dn,IFERROR(_xlfn.XLOOKUP($S1432,nrCDdate,nrCDnum),""),IF(_xlpm.dn="","(not a class day)",IFERROR(_xlfn.XLOOKUP(_xlpm.dn+cfgRetestClassDays,nrCDnum,nrCDdate),"")))))</f>
        <v/>
      </c>
      <c r="U1432" s="17">
        <f>IF($Q1432&lt;&gt;"Yes","",IF(COUNTIFS(nrES_PID,$D1432,nrES_Code,$F1432,nrES_Att,2)&gt;0,"Retested",IF(OR($T1432="",NOT(ISNUMBER($T1432))),"Pending",IF(TODAY()&gt;$T1432,"OVERDUE","Due "&amp;TEXT($T1432,"mm/dd")))))</f>
        <v/>
      </c>
      <c r="V1432" s="16" t="n"/>
      <c r="W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K1433=1,IF(COUNTIFS(nrES_PID,$D1433,nrES_Code,$F1433,nrES_Att,2)&gt;0,"",$L1433),IF(COUNTIFS(nrES_PID,$D1433,nrES_Code,$F1433,nrES_Att,1)=0,$L1433,IF($L1433&gt;=$J1433,cfgRetakeRecordedCap,SUMIFS(nrES_Raw,nrES_PID,$D1433,nrES_Code,$F1433,nrES_Att,1))))))</f>
        <v/>
      </c>
      <c r="N1433" s="17">
        <f>IF($C1433="","",IF($L1433="","",IF($L1433&gt;=$J1433,"Yes","No")))</f>
        <v/>
      </c>
      <c r="O1433" s="17">
        <f>IF($C1433="","",IF($M1433="","",IF($M1433&gt;=$J1433,"Yes","No")))</f>
        <v/>
      </c>
      <c r="P1433" s="17">
        <f>IF($C1433="","",IF($K1433="","",IF(COUNTIFS(nrES_PID,$D1433,nrES_Code,$F1433,nrES_Att,"&gt;"&amp;$K1433)=0,"Yes","No")))</f>
        <v/>
      </c>
      <c r="Q1433" s="17">
        <f>IF($C1433="","",IF($L1433="","",IF(AND($K1433=1,$L1433&lt;$J1433,COUNTIFS(nrES_PID,$D1433,nrES_Code,$F1433,nrES_Att,2)=0),"Yes","No")))</f>
        <v/>
      </c>
      <c r="R1433" s="17">
        <f>IF($C1433="","",IF($L1433="","",IF(AND($K1433=2,$L1433&lt;$J1433,COUNTIFS(nrES_PID,$D1433,nrES_Code,$F1433,nrES_Att,1)&gt;0),"Yes","No")))</f>
        <v/>
      </c>
      <c r="S1433" s="18" t="n"/>
      <c r="T1433" s="19">
        <f>IF($Q1433&lt;&gt;"Yes","",IF($S1433="","(enter date)",_xlfn.LET(_xlpm.dn,IFERROR(_xlfn.XLOOKUP($S1433,nrCDdate,nrCDnum),""),IF(_xlpm.dn="","(not a class day)",IFERROR(_xlfn.XLOOKUP(_xlpm.dn+cfgRetestClassDays,nrCDnum,nrCDdate),"")))))</f>
        <v/>
      </c>
      <c r="U1433" s="17">
        <f>IF($Q1433&lt;&gt;"Yes","",IF(COUNTIFS(nrES_PID,$D1433,nrES_Code,$F1433,nrES_Att,2)&gt;0,"Retested",IF(OR($T1433="",NOT(ISNUMBER($T1433))),"Pending",IF(TODAY()&gt;$T1433,"OVERDUE","Due "&amp;TEXT($T1433,"mm/dd")))))</f>
        <v/>
      </c>
      <c r="V1433" s="16" t="n"/>
      <c r="W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K1434=1,IF(COUNTIFS(nrES_PID,$D1434,nrES_Code,$F1434,nrES_Att,2)&gt;0,"",$L1434),IF(COUNTIFS(nrES_PID,$D1434,nrES_Code,$F1434,nrES_Att,1)=0,$L1434,IF($L1434&gt;=$J1434,cfgRetakeRecordedCap,SUMIFS(nrES_Raw,nrES_PID,$D1434,nrES_Code,$F1434,nrES_Att,1))))))</f>
        <v/>
      </c>
      <c r="N1434" s="17">
        <f>IF($C1434="","",IF($L1434="","",IF($L1434&gt;=$J1434,"Yes","No")))</f>
        <v/>
      </c>
      <c r="O1434" s="17">
        <f>IF($C1434="","",IF($M1434="","",IF($M1434&gt;=$J1434,"Yes","No")))</f>
        <v/>
      </c>
      <c r="P1434" s="17">
        <f>IF($C1434="","",IF($K1434="","",IF(COUNTIFS(nrES_PID,$D1434,nrES_Code,$F1434,nrES_Att,"&gt;"&amp;$K1434)=0,"Yes","No")))</f>
        <v/>
      </c>
      <c r="Q1434" s="17">
        <f>IF($C1434="","",IF($L1434="","",IF(AND($K1434=1,$L1434&lt;$J1434,COUNTIFS(nrES_PID,$D1434,nrES_Code,$F1434,nrES_Att,2)=0),"Yes","No")))</f>
        <v/>
      </c>
      <c r="R1434" s="17">
        <f>IF($C1434="","",IF($L1434="","",IF(AND($K1434=2,$L1434&lt;$J1434,COUNTIFS(nrES_PID,$D1434,nrES_Code,$F1434,nrES_Att,1)&gt;0),"Yes","No")))</f>
        <v/>
      </c>
      <c r="S1434" s="18" t="n"/>
      <c r="T1434" s="19">
        <f>IF($Q1434&lt;&gt;"Yes","",IF($S1434="","(enter date)",_xlfn.LET(_xlpm.dn,IFERROR(_xlfn.XLOOKUP($S1434,nrCDdate,nrCDnum),""),IF(_xlpm.dn="","(not a class day)",IFERROR(_xlfn.XLOOKUP(_xlpm.dn+cfgRetestClassDays,nrCDnum,nrCDdate),"")))))</f>
        <v/>
      </c>
      <c r="U1434" s="17">
        <f>IF($Q1434&lt;&gt;"Yes","",IF(COUNTIFS(nrES_PID,$D1434,nrES_Code,$F1434,nrES_Att,2)&gt;0,"Retested",IF(OR($T1434="",NOT(ISNUMBER($T1434))),"Pending",IF(TODAY()&gt;$T1434,"OVERDUE","Due "&amp;TEXT($T1434,"mm/dd")))))</f>
        <v/>
      </c>
      <c r="V1434" s="16" t="n"/>
      <c r="W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K1435=1,IF(COUNTIFS(nrES_PID,$D1435,nrES_Code,$F1435,nrES_Att,2)&gt;0,"",$L1435),IF(COUNTIFS(nrES_PID,$D1435,nrES_Code,$F1435,nrES_Att,1)=0,$L1435,IF($L1435&gt;=$J1435,cfgRetakeRecordedCap,SUMIFS(nrES_Raw,nrES_PID,$D1435,nrES_Code,$F1435,nrES_Att,1))))))</f>
        <v/>
      </c>
      <c r="N1435" s="17">
        <f>IF($C1435="","",IF($L1435="","",IF($L1435&gt;=$J1435,"Yes","No")))</f>
        <v/>
      </c>
      <c r="O1435" s="17">
        <f>IF($C1435="","",IF($M1435="","",IF($M1435&gt;=$J1435,"Yes","No")))</f>
        <v/>
      </c>
      <c r="P1435" s="17">
        <f>IF($C1435="","",IF($K1435="","",IF(COUNTIFS(nrES_PID,$D1435,nrES_Code,$F1435,nrES_Att,"&gt;"&amp;$K1435)=0,"Yes","No")))</f>
        <v/>
      </c>
      <c r="Q1435" s="17">
        <f>IF($C1435="","",IF($L1435="","",IF(AND($K1435=1,$L1435&lt;$J1435,COUNTIFS(nrES_PID,$D1435,nrES_Code,$F1435,nrES_Att,2)=0),"Yes","No")))</f>
        <v/>
      </c>
      <c r="R1435" s="17">
        <f>IF($C1435="","",IF($L1435="","",IF(AND($K1435=2,$L1435&lt;$J1435,COUNTIFS(nrES_PID,$D1435,nrES_Code,$F1435,nrES_Att,1)&gt;0),"Yes","No")))</f>
        <v/>
      </c>
      <c r="S1435" s="18" t="n"/>
      <c r="T1435" s="19">
        <f>IF($Q1435&lt;&gt;"Yes","",IF($S1435="","(enter date)",_xlfn.LET(_xlpm.dn,IFERROR(_xlfn.XLOOKUP($S1435,nrCDdate,nrCDnum),""),IF(_xlpm.dn="","(not a class day)",IFERROR(_xlfn.XLOOKUP(_xlpm.dn+cfgRetestClassDays,nrCDnum,nrCDdate),"")))))</f>
        <v/>
      </c>
      <c r="U1435" s="17">
        <f>IF($Q1435&lt;&gt;"Yes","",IF(COUNTIFS(nrES_PID,$D1435,nrES_Code,$F1435,nrES_Att,2)&gt;0,"Retested",IF(OR($T1435="",NOT(ISNUMBER($T1435))),"Pending",IF(TODAY()&gt;$T1435,"OVERDUE","Due "&amp;TEXT($T1435,"mm/dd")))))</f>
        <v/>
      </c>
      <c r="V1435" s="16" t="n"/>
      <c r="W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K1436=1,IF(COUNTIFS(nrES_PID,$D1436,nrES_Code,$F1436,nrES_Att,2)&gt;0,"",$L1436),IF(COUNTIFS(nrES_PID,$D1436,nrES_Code,$F1436,nrES_Att,1)=0,$L1436,IF($L1436&gt;=$J1436,cfgRetakeRecordedCap,SUMIFS(nrES_Raw,nrES_PID,$D1436,nrES_Code,$F1436,nrES_Att,1))))))</f>
        <v/>
      </c>
      <c r="N1436" s="17">
        <f>IF($C1436="","",IF($L1436="","",IF($L1436&gt;=$J1436,"Yes","No")))</f>
        <v/>
      </c>
      <c r="O1436" s="17">
        <f>IF($C1436="","",IF($M1436="","",IF($M1436&gt;=$J1436,"Yes","No")))</f>
        <v/>
      </c>
      <c r="P1436" s="17">
        <f>IF($C1436="","",IF($K1436="","",IF(COUNTIFS(nrES_PID,$D1436,nrES_Code,$F1436,nrES_Att,"&gt;"&amp;$K1436)=0,"Yes","No")))</f>
        <v/>
      </c>
      <c r="Q1436" s="17">
        <f>IF($C1436="","",IF($L1436="","",IF(AND($K1436=1,$L1436&lt;$J1436,COUNTIFS(nrES_PID,$D1436,nrES_Code,$F1436,nrES_Att,2)=0),"Yes","No")))</f>
        <v/>
      </c>
      <c r="R1436" s="17">
        <f>IF($C1436="","",IF($L1436="","",IF(AND($K1436=2,$L1436&lt;$J1436,COUNTIFS(nrES_PID,$D1436,nrES_Code,$F1436,nrES_Att,1)&gt;0),"Yes","No")))</f>
        <v/>
      </c>
      <c r="S1436" s="18" t="n"/>
      <c r="T1436" s="19">
        <f>IF($Q1436&lt;&gt;"Yes","",IF($S1436="","(enter date)",_xlfn.LET(_xlpm.dn,IFERROR(_xlfn.XLOOKUP($S1436,nrCDdate,nrCDnum),""),IF(_xlpm.dn="","(not a class day)",IFERROR(_xlfn.XLOOKUP(_xlpm.dn+cfgRetestClassDays,nrCDnum,nrCDdate),"")))))</f>
        <v/>
      </c>
      <c r="U1436" s="17">
        <f>IF($Q1436&lt;&gt;"Yes","",IF(COUNTIFS(nrES_PID,$D1436,nrES_Code,$F1436,nrES_Att,2)&gt;0,"Retested",IF(OR($T1436="",NOT(ISNUMBER($T1436))),"Pending",IF(TODAY()&gt;$T1436,"OVERDUE","Due "&amp;TEXT($T1436,"mm/dd")))))</f>
        <v/>
      </c>
      <c r="V1436" s="16" t="n"/>
      <c r="W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K1437=1,IF(COUNTIFS(nrES_PID,$D1437,nrES_Code,$F1437,nrES_Att,2)&gt;0,"",$L1437),IF(COUNTIFS(nrES_PID,$D1437,nrES_Code,$F1437,nrES_Att,1)=0,$L1437,IF($L1437&gt;=$J1437,cfgRetakeRecordedCap,SUMIFS(nrES_Raw,nrES_PID,$D1437,nrES_Code,$F1437,nrES_Att,1))))))</f>
        <v/>
      </c>
      <c r="N1437" s="17">
        <f>IF($C1437="","",IF($L1437="","",IF($L1437&gt;=$J1437,"Yes","No")))</f>
        <v/>
      </c>
      <c r="O1437" s="17">
        <f>IF($C1437="","",IF($M1437="","",IF($M1437&gt;=$J1437,"Yes","No")))</f>
        <v/>
      </c>
      <c r="P1437" s="17">
        <f>IF($C1437="","",IF($K1437="","",IF(COUNTIFS(nrES_PID,$D1437,nrES_Code,$F1437,nrES_Att,"&gt;"&amp;$K1437)=0,"Yes","No")))</f>
        <v/>
      </c>
      <c r="Q1437" s="17">
        <f>IF($C1437="","",IF($L1437="","",IF(AND($K1437=1,$L1437&lt;$J1437,COUNTIFS(nrES_PID,$D1437,nrES_Code,$F1437,nrES_Att,2)=0),"Yes","No")))</f>
        <v/>
      </c>
      <c r="R1437" s="17">
        <f>IF($C1437="","",IF($L1437="","",IF(AND($K1437=2,$L1437&lt;$J1437,COUNTIFS(nrES_PID,$D1437,nrES_Code,$F1437,nrES_Att,1)&gt;0),"Yes","No")))</f>
        <v/>
      </c>
      <c r="S1437" s="18" t="n"/>
      <c r="T1437" s="19">
        <f>IF($Q1437&lt;&gt;"Yes","",IF($S1437="","(enter date)",_xlfn.LET(_xlpm.dn,IFERROR(_xlfn.XLOOKUP($S1437,nrCDdate,nrCDnum),""),IF(_xlpm.dn="","(not a class day)",IFERROR(_xlfn.XLOOKUP(_xlpm.dn+cfgRetestClassDays,nrCDnum,nrCDdate),"")))))</f>
        <v/>
      </c>
      <c r="U1437" s="17">
        <f>IF($Q1437&lt;&gt;"Yes","",IF(COUNTIFS(nrES_PID,$D1437,nrES_Code,$F1437,nrES_Att,2)&gt;0,"Retested",IF(OR($T1437="",NOT(ISNUMBER($T1437))),"Pending",IF(TODAY()&gt;$T1437,"OVERDUE","Due "&amp;TEXT($T1437,"mm/dd")))))</f>
        <v/>
      </c>
      <c r="V1437" s="16" t="n"/>
      <c r="W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K1438=1,IF(COUNTIFS(nrES_PID,$D1438,nrES_Code,$F1438,nrES_Att,2)&gt;0,"",$L1438),IF(COUNTIFS(nrES_PID,$D1438,nrES_Code,$F1438,nrES_Att,1)=0,$L1438,IF($L1438&gt;=$J1438,cfgRetakeRecordedCap,SUMIFS(nrES_Raw,nrES_PID,$D1438,nrES_Code,$F1438,nrES_Att,1))))))</f>
        <v/>
      </c>
      <c r="N1438" s="17">
        <f>IF($C1438="","",IF($L1438="","",IF($L1438&gt;=$J1438,"Yes","No")))</f>
        <v/>
      </c>
      <c r="O1438" s="17">
        <f>IF($C1438="","",IF($M1438="","",IF($M1438&gt;=$J1438,"Yes","No")))</f>
        <v/>
      </c>
      <c r="P1438" s="17">
        <f>IF($C1438="","",IF($K1438="","",IF(COUNTIFS(nrES_PID,$D1438,nrES_Code,$F1438,nrES_Att,"&gt;"&amp;$K1438)=0,"Yes","No")))</f>
        <v/>
      </c>
      <c r="Q1438" s="17">
        <f>IF($C1438="","",IF($L1438="","",IF(AND($K1438=1,$L1438&lt;$J1438,COUNTIFS(nrES_PID,$D1438,nrES_Code,$F1438,nrES_Att,2)=0),"Yes","No")))</f>
        <v/>
      </c>
      <c r="R1438" s="17">
        <f>IF($C1438="","",IF($L1438="","",IF(AND($K1438=2,$L1438&lt;$J1438,COUNTIFS(nrES_PID,$D1438,nrES_Code,$F1438,nrES_Att,1)&gt;0),"Yes","No")))</f>
        <v/>
      </c>
      <c r="S1438" s="18" t="n"/>
      <c r="T1438" s="19">
        <f>IF($Q1438&lt;&gt;"Yes","",IF($S1438="","(enter date)",_xlfn.LET(_xlpm.dn,IFERROR(_xlfn.XLOOKUP($S1438,nrCDdate,nrCDnum),""),IF(_xlpm.dn="","(not a class day)",IFERROR(_xlfn.XLOOKUP(_xlpm.dn+cfgRetestClassDays,nrCDnum,nrCDdate),"")))))</f>
        <v/>
      </c>
      <c r="U1438" s="17">
        <f>IF($Q1438&lt;&gt;"Yes","",IF(COUNTIFS(nrES_PID,$D1438,nrES_Code,$F1438,nrES_Att,2)&gt;0,"Retested",IF(OR($T1438="",NOT(ISNUMBER($T1438))),"Pending",IF(TODAY()&gt;$T1438,"OVERDUE","Due "&amp;TEXT($T1438,"mm/dd")))))</f>
        <v/>
      </c>
      <c r="V1438" s="16" t="n"/>
      <c r="W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K1439=1,IF(COUNTIFS(nrES_PID,$D1439,nrES_Code,$F1439,nrES_Att,2)&gt;0,"",$L1439),IF(COUNTIFS(nrES_PID,$D1439,nrES_Code,$F1439,nrES_Att,1)=0,$L1439,IF($L1439&gt;=$J1439,cfgRetakeRecordedCap,SUMIFS(nrES_Raw,nrES_PID,$D1439,nrES_Code,$F1439,nrES_Att,1))))))</f>
        <v/>
      </c>
      <c r="N1439" s="17">
        <f>IF($C1439="","",IF($L1439="","",IF($L1439&gt;=$J1439,"Yes","No")))</f>
        <v/>
      </c>
      <c r="O1439" s="17">
        <f>IF($C1439="","",IF($M1439="","",IF($M1439&gt;=$J1439,"Yes","No")))</f>
        <v/>
      </c>
      <c r="P1439" s="17">
        <f>IF($C1439="","",IF($K1439="","",IF(COUNTIFS(nrES_PID,$D1439,nrES_Code,$F1439,nrES_Att,"&gt;"&amp;$K1439)=0,"Yes","No")))</f>
        <v/>
      </c>
      <c r="Q1439" s="17">
        <f>IF($C1439="","",IF($L1439="","",IF(AND($K1439=1,$L1439&lt;$J1439,COUNTIFS(nrES_PID,$D1439,nrES_Code,$F1439,nrES_Att,2)=0),"Yes","No")))</f>
        <v/>
      </c>
      <c r="R1439" s="17">
        <f>IF($C1439="","",IF($L1439="","",IF(AND($K1439=2,$L1439&lt;$J1439,COUNTIFS(nrES_PID,$D1439,nrES_Code,$F1439,nrES_Att,1)&gt;0),"Yes","No")))</f>
        <v/>
      </c>
      <c r="S1439" s="18" t="n"/>
      <c r="T1439" s="19">
        <f>IF($Q1439&lt;&gt;"Yes","",IF($S1439="","(enter date)",_xlfn.LET(_xlpm.dn,IFERROR(_xlfn.XLOOKUP($S1439,nrCDdate,nrCDnum),""),IF(_xlpm.dn="","(not a class day)",IFERROR(_xlfn.XLOOKUP(_xlpm.dn+cfgRetestClassDays,nrCDnum,nrCDdate),"")))))</f>
        <v/>
      </c>
      <c r="U1439" s="17">
        <f>IF($Q1439&lt;&gt;"Yes","",IF(COUNTIFS(nrES_PID,$D1439,nrES_Code,$F1439,nrES_Att,2)&gt;0,"Retested",IF(OR($T1439="",NOT(ISNUMBER($T1439))),"Pending",IF(TODAY()&gt;$T1439,"OVERDUE","Due "&amp;TEXT($T1439,"mm/dd")))))</f>
        <v/>
      </c>
      <c r="V1439" s="16" t="n"/>
      <c r="W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K1440=1,IF(COUNTIFS(nrES_PID,$D1440,nrES_Code,$F1440,nrES_Att,2)&gt;0,"",$L1440),IF(COUNTIFS(nrES_PID,$D1440,nrES_Code,$F1440,nrES_Att,1)=0,$L1440,IF($L1440&gt;=$J1440,cfgRetakeRecordedCap,SUMIFS(nrES_Raw,nrES_PID,$D1440,nrES_Code,$F1440,nrES_Att,1))))))</f>
        <v/>
      </c>
      <c r="N1440" s="17">
        <f>IF($C1440="","",IF($L1440="","",IF($L1440&gt;=$J1440,"Yes","No")))</f>
        <v/>
      </c>
      <c r="O1440" s="17">
        <f>IF($C1440="","",IF($M1440="","",IF($M1440&gt;=$J1440,"Yes","No")))</f>
        <v/>
      </c>
      <c r="P1440" s="17">
        <f>IF($C1440="","",IF($K1440="","",IF(COUNTIFS(nrES_PID,$D1440,nrES_Code,$F1440,nrES_Att,"&gt;"&amp;$K1440)=0,"Yes","No")))</f>
        <v/>
      </c>
      <c r="Q1440" s="17">
        <f>IF($C1440="","",IF($L1440="","",IF(AND($K1440=1,$L1440&lt;$J1440,COUNTIFS(nrES_PID,$D1440,nrES_Code,$F1440,nrES_Att,2)=0),"Yes","No")))</f>
        <v/>
      </c>
      <c r="R1440" s="17">
        <f>IF($C1440="","",IF($L1440="","",IF(AND($K1440=2,$L1440&lt;$J1440,COUNTIFS(nrES_PID,$D1440,nrES_Code,$F1440,nrES_Att,1)&gt;0),"Yes","No")))</f>
        <v/>
      </c>
      <c r="S1440" s="18" t="n"/>
      <c r="T1440" s="19">
        <f>IF($Q1440&lt;&gt;"Yes","",IF($S1440="","(enter date)",_xlfn.LET(_xlpm.dn,IFERROR(_xlfn.XLOOKUP($S1440,nrCDdate,nrCDnum),""),IF(_xlpm.dn="","(not a class day)",IFERROR(_xlfn.XLOOKUP(_xlpm.dn+cfgRetestClassDays,nrCDnum,nrCDdate),"")))))</f>
        <v/>
      </c>
      <c r="U1440" s="17">
        <f>IF($Q1440&lt;&gt;"Yes","",IF(COUNTIFS(nrES_PID,$D1440,nrES_Code,$F1440,nrES_Att,2)&gt;0,"Retested",IF(OR($T1440="",NOT(ISNUMBER($T1440))),"Pending",IF(TODAY()&gt;$T1440,"OVERDUE","Due "&amp;TEXT($T1440,"mm/dd")))))</f>
        <v/>
      </c>
      <c r="V1440" s="16" t="n"/>
      <c r="W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K1441=1,IF(COUNTIFS(nrES_PID,$D1441,nrES_Code,$F1441,nrES_Att,2)&gt;0,"",$L1441),IF(COUNTIFS(nrES_PID,$D1441,nrES_Code,$F1441,nrES_Att,1)=0,$L1441,IF($L1441&gt;=$J1441,cfgRetakeRecordedCap,SUMIFS(nrES_Raw,nrES_PID,$D1441,nrES_Code,$F1441,nrES_Att,1))))))</f>
        <v/>
      </c>
      <c r="N1441" s="17">
        <f>IF($C1441="","",IF($L1441="","",IF($L1441&gt;=$J1441,"Yes","No")))</f>
        <v/>
      </c>
      <c r="O1441" s="17">
        <f>IF($C1441="","",IF($M1441="","",IF($M1441&gt;=$J1441,"Yes","No")))</f>
        <v/>
      </c>
      <c r="P1441" s="17">
        <f>IF($C1441="","",IF($K1441="","",IF(COUNTIFS(nrES_PID,$D1441,nrES_Code,$F1441,nrES_Att,"&gt;"&amp;$K1441)=0,"Yes","No")))</f>
        <v/>
      </c>
      <c r="Q1441" s="17">
        <f>IF($C1441="","",IF($L1441="","",IF(AND($K1441=1,$L1441&lt;$J1441,COUNTIFS(nrES_PID,$D1441,nrES_Code,$F1441,nrES_Att,2)=0),"Yes","No")))</f>
        <v/>
      </c>
      <c r="R1441" s="17">
        <f>IF($C1441="","",IF($L1441="","",IF(AND($K1441=2,$L1441&lt;$J1441,COUNTIFS(nrES_PID,$D1441,nrES_Code,$F1441,nrES_Att,1)&gt;0),"Yes","No")))</f>
        <v/>
      </c>
      <c r="S1441" s="18" t="n"/>
      <c r="T1441" s="19">
        <f>IF($Q1441&lt;&gt;"Yes","",IF($S1441="","(enter date)",_xlfn.LET(_xlpm.dn,IFERROR(_xlfn.XLOOKUP($S1441,nrCDdate,nrCDnum),""),IF(_xlpm.dn="","(not a class day)",IFERROR(_xlfn.XLOOKUP(_xlpm.dn+cfgRetestClassDays,nrCDnum,nrCDdate),"")))))</f>
        <v/>
      </c>
      <c r="U1441" s="17">
        <f>IF($Q1441&lt;&gt;"Yes","",IF(COUNTIFS(nrES_PID,$D1441,nrES_Code,$F1441,nrES_Att,2)&gt;0,"Retested",IF(OR($T1441="",NOT(ISNUMBER($T1441))),"Pending",IF(TODAY()&gt;$T1441,"OVERDUE","Due "&amp;TEXT($T1441,"mm/dd")))))</f>
        <v/>
      </c>
      <c r="V1441" s="16" t="n"/>
      <c r="W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K1442=1,IF(COUNTIFS(nrES_PID,$D1442,nrES_Code,$F1442,nrES_Att,2)&gt;0,"",$L1442),IF(COUNTIFS(nrES_PID,$D1442,nrES_Code,$F1442,nrES_Att,1)=0,$L1442,IF($L1442&gt;=$J1442,cfgRetakeRecordedCap,SUMIFS(nrES_Raw,nrES_PID,$D1442,nrES_Code,$F1442,nrES_Att,1))))))</f>
        <v/>
      </c>
      <c r="N1442" s="17">
        <f>IF($C1442="","",IF($L1442="","",IF($L1442&gt;=$J1442,"Yes","No")))</f>
        <v/>
      </c>
      <c r="O1442" s="17">
        <f>IF($C1442="","",IF($M1442="","",IF($M1442&gt;=$J1442,"Yes","No")))</f>
        <v/>
      </c>
      <c r="P1442" s="17">
        <f>IF($C1442="","",IF($K1442="","",IF(COUNTIFS(nrES_PID,$D1442,nrES_Code,$F1442,nrES_Att,"&gt;"&amp;$K1442)=0,"Yes","No")))</f>
        <v/>
      </c>
      <c r="Q1442" s="17">
        <f>IF($C1442="","",IF($L1442="","",IF(AND($K1442=1,$L1442&lt;$J1442,COUNTIFS(nrES_PID,$D1442,nrES_Code,$F1442,nrES_Att,2)=0),"Yes","No")))</f>
        <v/>
      </c>
      <c r="R1442" s="17">
        <f>IF($C1442="","",IF($L1442="","",IF(AND($K1442=2,$L1442&lt;$J1442,COUNTIFS(nrES_PID,$D1442,nrES_Code,$F1442,nrES_Att,1)&gt;0),"Yes","No")))</f>
        <v/>
      </c>
      <c r="S1442" s="18" t="n"/>
      <c r="T1442" s="19">
        <f>IF($Q1442&lt;&gt;"Yes","",IF($S1442="","(enter date)",_xlfn.LET(_xlpm.dn,IFERROR(_xlfn.XLOOKUP($S1442,nrCDdate,nrCDnum),""),IF(_xlpm.dn="","(not a class day)",IFERROR(_xlfn.XLOOKUP(_xlpm.dn+cfgRetestClassDays,nrCDnum,nrCDdate),"")))))</f>
        <v/>
      </c>
      <c r="U1442" s="17">
        <f>IF($Q1442&lt;&gt;"Yes","",IF(COUNTIFS(nrES_PID,$D1442,nrES_Code,$F1442,nrES_Att,2)&gt;0,"Retested",IF(OR($T1442="",NOT(ISNUMBER($T1442))),"Pending",IF(TODAY()&gt;$T1442,"OVERDUE","Due "&amp;TEXT($T1442,"mm/dd")))))</f>
        <v/>
      </c>
      <c r="V1442" s="16" t="n"/>
      <c r="W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K1443=1,IF(COUNTIFS(nrES_PID,$D1443,nrES_Code,$F1443,nrES_Att,2)&gt;0,"",$L1443),IF(COUNTIFS(nrES_PID,$D1443,nrES_Code,$F1443,nrES_Att,1)=0,$L1443,IF($L1443&gt;=$J1443,cfgRetakeRecordedCap,SUMIFS(nrES_Raw,nrES_PID,$D1443,nrES_Code,$F1443,nrES_Att,1))))))</f>
        <v/>
      </c>
      <c r="N1443" s="17">
        <f>IF($C1443="","",IF($L1443="","",IF($L1443&gt;=$J1443,"Yes","No")))</f>
        <v/>
      </c>
      <c r="O1443" s="17">
        <f>IF($C1443="","",IF($M1443="","",IF($M1443&gt;=$J1443,"Yes","No")))</f>
        <v/>
      </c>
      <c r="P1443" s="17">
        <f>IF($C1443="","",IF($K1443="","",IF(COUNTIFS(nrES_PID,$D1443,nrES_Code,$F1443,nrES_Att,"&gt;"&amp;$K1443)=0,"Yes","No")))</f>
        <v/>
      </c>
      <c r="Q1443" s="17">
        <f>IF($C1443="","",IF($L1443="","",IF(AND($K1443=1,$L1443&lt;$J1443,COUNTIFS(nrES_PID,$D1443,nrES_Code,$F1443,nrES_Att,2)=0),"Yes","No")))</f>
        <v/>
      </c>
      <c r="R1443" s="17">
        <f>IF($C1443="","",IF($L1443="","",IF(AND($K1443=2,$L1443&lt;$J1443,COUNTIFS(nrES_PID,$D1443,nrES_Code,$F1443,nrES_Att,1)&gt;0),"Yes","No")))</f>
        <v/>
      </c>
      <c r="S1443" s="18" t="n"/>
      <c r="T1443" s="19">
        <f>IF($Q1443&lt;&gt;"Yes","",IF($S1443="","(enter date)",_xlfn.LET(_xlpm.dn,IFERROR(_xlfn.XLOOKUP($S1443,nrCDdate,nrCDnum),""),IF(_xlpm.dn="","(not a class day)",IFERROR(_xlfn.XLOOKUP(_xlpm.dn+cfgRetestClassDays,nrCDnum,nrCDdate),"")))))</f>
        <v/>
      </c>
      <c r="U1443" s="17">
        <f>IF($Q1443&lt;&gt;"Yes","",IF(COUNTIFS(nrES_PID,$D1443,nrES_Code,$F1443,nrES_Att,2)&gt;0,"Retested",IF(OR($T1443="",NOT(ISNUMBER($T1443))),"Pending",IF(TODAY()&gt;$T1443,"OVERDUE","Due "&amp;TEXT($T1443,"mm/dd")))))</f>
        <v/>
      </c>
      <c r="V1443" s="16" t="n"/>
      <c r="W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K1444=1,IF(COUNTIFS(nrES_PID,$D1444,nrES_Code,$F1444,nrES_Att,2)&gt;0,"",$L1444),IF(COUNTIFS(nrES_PID,$D1444,nrES_Code,$F1444,nrES_Att,1)=0,$L1444,IF($L1444&gt;=$J1444,cfgRetakeRecordedCap,SUMIFS(nrES_Raw,nrES_PID,$D1444,nrES_Code,$F1444,nrES_Att,1))))))</f>
        <v/>
      </c>
      <c r="N1444" s="17">
        <f>IF($C1444="","",IF($L1444="","",IF($L1444&gt;=$J1444,"Yes","No")))</f>
        <v/>
      </c>
      <c r="O1444" s="17">
        <f>IF($C1444="","",IF($M1444="","",IF($M1444&gt;=$J1444,"Yes","No")))</f>
        <v/>
      </c>
      <c r="P1444" s="17">
        <f>IF($C1444="","",IF($K1444="","",IF(COUNTIFS(nrES_PID,$D1444,nrES_Code,$F1444,nrES_Att,"&gt;"&amp;$K1444)=0,"Yes","No")))</f>
        <v/>
      </c>
      <c r="Q1444" s="17">
        <f>IF($C1444="","",IF($L1444="","",IF(AND($K1444=1,$L1444&lt;$J1444,COUNTIFS(nrES_PID,$D1444,nrES_Code,$F1444,nrES_Att,2)=0),"Yes","No")))</f>
        <v/>
      </c>
      <c r="R1444" s="17">
        <f>IF($C1444="","",IF($L1444="","",IF(AND($K1444=2,$L1444&lt;$J1444,COUNTIFS(nrES_PID,$D1444,nrES_Code,$F1444,nrES_Att,1)&gt;0),"Yes","No")))</f>
        <v/>
      </c>
      <c r="S1444" s="18" t="n"/>
      <c r="T1444" s="19">
        <f>IF($Q1444&lt;&gt;"Yes","",IF($S1444="","(enter date)",_xlfn.LET(_xlpm.dn,IFERROR(_xlfn.XLOOKUP($S1444,nrCDdate,nrCDnum),""),IF(_xlpm.dn="","(not a class day)",IFERROR(_xlfn.XLOOKUP(_xlpm.dn+cfgRetestClassDays,nrCDnum,nrCDdate),"")))))</f>
        <v/>
      </c>
      <c r="U1444" s="17">
        <f>IF($Q1444&lt;&gt;"Yes","",IF(COUNTIFS(nrES_PID,$D1444,nrES_Code,$F1444,nrES_Att,2)&gt;0,"Retested",IF(OR($T1444="",NOT(ISNUMBER($T1444))),"Pending",IF(TODAY()&gt;$T1444,"OVERDUE","Due "&amp;TEXT($T1444,"mm/dd")))))</f>
        <v/>
      </c>
      <c r="V1444" s="16" t="n"/>
      <c r="W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K1445=1,IF(COUNTIFS(nrES_PID,$D1445,nrES_Code,$F1445,nrES_Att,2)&gt;0,"",$L1445),IF(COUNTIFS(nrES_PID,$D1445,nrES_Code,$F1445,nrES_Att,1)=0,$L1445,IF($L1445&gt;=$J1445,cfgRetakeRecordedCap,SUMIFS(nrES_Raw,nrES_PID,$D1445,nrES_Code,$F1445,nrES_Att,1))))))</f>
        <v/>
      </c>
      <c r="N1445" s="17">
        <f>IF($C1445="","",IF($L1445="","",IF($L1445&gt;=$J1445,"Yes","No")))</f>
        <v/>
      </c>
      <c r="O1445" s="17">
        <f>IF($C1445="","",IF($M1445="","",IF($M1445&gt;=$J1445,"Yes","No")))</f>
        <v/>
      </c>
      <c r="P1445" s="17">
        <f>IF($C1445="","",IF($K1445="","",IF(COUNTIFS(nrES_PID,$D1445,nrES_Code,$F1445,nrES_Att,"&gt;"&amp;$K1445)=0,"Yes","No")))</f>
        <v/>
      </c>
      <c r="Q1445" s="17">
        <f>IF($C1445="","",IF($L1445="","",IF(AND($K1445=1,$L1445&lt;$J1445,COUNTIFS(nrES_PID,$D1445,nrES_Code,$F1445,nrES_Att,2)=0),"Yes","No")))</f>
        <v/>
      </c>
      <c r="R1445" s="17">
        <f>IF($C1445="","",IF($L1445="","",IF(AND($K1445=2,$L1445&lt;$J1445,COUNTIFS(nrES_PID,$D1445,nrES_Code,$F1445,nrES_Att,1)&gt;0),"Yes","No")))</f>
        <v/>
      </c>
      <c r="S1445" s="18" t="n"/>
      <c r="T1445" s="19">
        <f>IF($Q1445&lt;&gt;"Yes","",IF($S1445="","(enter date)",_xlfn.LET(_xlpm.dn,IFERROR(_xlfn.XLOOKUP($S1445,nrCDdate,nrCDnum),""),IF(_xlpm.dn="","(not a class day)",IFERROR(_xlfn.XLOOKUP(_xlpm.dn+cfgRetestClassDays,nrCDnum,nrCDdate),"")))))</f>
        <v/>
      </c>
      <c r="U1445" s="17">
        <f>IF($Q1445&lt;&gt;"Yes","",IF(COUNTIFS(nrES_PID,$D1445,nrES_Code,$F1445,nrES_Att,2)&gt;0,"Retested",IF(OR($T1445="",NOT(ISNUMBER($T1445))),"Pending",IF(TODAY()&gt;$T1445,"OVERDUE","Due "&amp;TEXT($T1445,"mm/dd")))))</f>
        <v/>
      </c>
      <c r="V1445" s="16" t="n"/>
      <c r="W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K1446=1,IF(COUNTIFS(nrES_PID,$D1446,nrES_Code,$F1446,nrES_Att,2)&gt;0,"",$L1446),IF(COUNTIFS(nrES_PID,$D1446,nrES_Code,$F1446,nrES_Att,1)=0,$L1446,IF($L1446&gt;=$J1446,cfgRetakeRecordedCap,SUMIFS(nrES_Raw,nrES_PID,$D1446,nrES_Code,$F1446,nrES_Att,1))))))</f>
        <v/>
      </c>
      <c r="N1446" s="17">
        <f>IF($C1446="","",IF($L1446="","",IF($L1446&gt;=$J1446,"Yes","No")))</f>
        <v/>
      </c>
      <c r="O1446" s="17">
        <f>IF($C1446="","",IF($M1446="","",IF($M1446&gt;=$J1446,"Yes","No")))</f>
        <v/>
      </c>
      <c r="P1446" s="17">
        <f>IF($C1446="","",IF($K1446="","",IF(COUNTIFS(nrES_PID,$D1446,nrES_Code,$F1446,nrES_Att,"&gt;"&amp;$K1446)=0,"Yes","No")))</f>
        <v/>
      </c>
      <c r="Q1446" s="17">
        <f>IF($C1446="","",IF($L1446="","",IF(AND($K1446=1,$L1446&lt;$J1446,COUNTIFS(nrES_PID,$D1446,nrES_Code,$F1446,nrES_Att,2)=0),"Yes","No")))</f>
        <v/>
      </c>
      <c r="R1446" s="17">
        <f>IF($C1446="","",IF($L1446="","",IF(AND($K1446=2,$L1446&lt;$J1446,COUNTIFS(nrES_PID,$D1446,nrES_Code,$F1446,nrES_Att,1)&gt;0),"Yes","No")))</f>
        <v/>
      </c>
      <c r="S1446" s="18" t="n"/>
      <c r="T1446" s="19">
        <f>IF($Q1446&lt;&gt;"Yes","",IF($S1446="","(enter date)",_xlfn.LET(_xlpm.dn,IFERROR(_xlfn.XLOOKUP($S1446,nrCDdate,nrCDnum),""),IF(_xlpm.dn="","(not a class day)",IFERROR(_xlfn.XLOOKUP(_xlpm.dn+cfgRetestClassDays,nrCDnum,nrCDdate),"")))))</f>
        <v/>
      </c>
      <c r="U1446" s="17">
        <f>IF($Q1446&lt;&gt;"Yes","",IF(COUNTIFS(nrES_PID,$D1446,nrES_Code,$F1446,nrES_Att,2)&gt;0,"Retested",IF(OR($T1446="",NOT(ISNUMBER($T1446))),"Pending",IF(TODAY()&gt;$T1446,"OVERDUE","Due "&amp;TEXT($T1446,"mm/dd")))))</f>
        <v/>
      </c>
      <c r="V1446" s="16" t="n"/>
      <c r="W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K1447=1,IF(COUNTIFS(nrES_PID,$D1447,nrES_Code,$F1447,nrES_Att,2)&gt;0,"",$L1447),IF(COUNTIFS(nrES_PID,$D1447,nrES_Code,$F1447,nrES_Att,1)=0,$L1447,IF($L1447&gt;=$J1447,cfgRetakeRecordedCap,SUMIFS(nrES_Raw,nrES_PID,$D1447,nrES_Code,$F1447,nrES_Att,1))))))</f>
        <v/>
      </c>
      <c r="N1447" s="17">
        <f>IF($C1447="","",IF($L1447="","",IF($L1447&gt;=$J1447,"Yes","No")))</f>
        <v/>
      </c>
      <c r="O1447" s="17">
        <f>IF($C1447="","",IF($M1447="","",IF($M1447&gt;=$J1447,"Yes","No")))</f>
        <v/>
      </c>
      <c r="P1447" s="17">
        <f>IF($C1447="","",IF($K1447="","",IF(COUNTIFS(nrES_PID,$D1447,nrES_Code,$F1447,nrES_Att,"&gt;"&amp;$K1447)=0,"Yes","No")))</f>
        <v/>
      </c>
      <c r="Q1447" s="17">
        <f>IF($C1447="","",IF($L1447="","",IF(AND($K1447=1,$L1447&lt;$J1447,COUNTIFS(nrES_PID,$D1447,nrES_Code,$F1447,nrES_Att,2)=0),"Yes","No")))</f>
        <v/>
      </c>
      <c r="R1447" s="17">
        <f>IF($C1447="","",IF($L1447="","",IF(AND($K1447=2,$L1447&lt;$J1447,COUNTIFS(nrES_PID,$D1447,nrES_Code,$F1447,nrES_Att,1)&gt;0),"Yes","No")))</f>
        <v/>
      </c>
      <c r="S1447" s="18" t="n"/>
      <c r="T1447" s="19">
        <f>IF($Q1447&lt;&gt;"Yes","",IF($S1447="","(enter date)",_xlfn.LET(_xlpm.dn,IFERROR(_xlfn.XLOOKUP($S1447,nrCDdate,nrCDnum),""),IF(_xlpm.dn="","(not a class day)",IFERROR(_xlfn.XLOOKUP(_xlpm.dn+cfgRetestClassDays,nrCDnum,nrCDdate),"")))))</f>
        <v/>
      </c>
      <c r="U1447" s="17">
        <f>IF($Q1447&lt;&gt;"Yes","",IF(COUNTIFS(nrES_PID,$D1447,nrES_Code,$F1447,nrES_Att,2)&gt;0,"Retested",IF(OR($T1447="",NOT(ISNUMBER($T1447))),"Pending",IF(TODAY()&gt;$T1447,"OVERDUE","Due "&amp;TEXT($T1447,"mm/dd")))))</f>
        <v/>
      </c>
      <c r="V1447" s="16" t="n"/>
      <c r="W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K1448=1,IF(COUNTIFS(nrES_PID,$D1448,nrES_Code,$F1448,nrES_Att,2)&gt;0,"",$L1448),IF(COUNTIFS(nrES_PID,$D1448,nrES_Code,$F1448,nrES_Att,1)=0,$L1448,IF($L1448&gt;=$J1448,cfgRetakeRecordedCap,SUMIFS(nrES_Raw,nrES_PID,$D1448,nrES_Code,$F1448,nrES_Att,1))))))</f>
        <v/>
      </c>
      <c r="N1448" s="17">
        <f>IF($C1448="","",IF($L1448="","",IF($L1448&gt;=$J1448,"Yes","No")))</f>
        <v/>
      </c>
      <c r="O1448" s="17">
        <f>IF($C1448="","",IF($M1448="","",IF($M1448&gt;=$J1448,"Yes","No")))</f>
        <v/>
      </c>
      <c r="P1448" s="17">
        <f>IF($C1448="","",IF($K1448="","",IF(COUNTIFS(nrES_PID,$D1448,nrES_Code,$F1448,nrES_Att,"&gt;"&amp;$K1448)=0,"Yes","No")))</f>
        <v/>
      </c>
      <c r="Q1448" s="17">
        <f>IF($C1448="","",IF($L1448="","",IF(AND($K1448=1,$L1448&lt;$J1448,COUNTIFS(nrES_PID,$D1448,nrES_Code,$F1448,nrES_Att,2)=0),"Yes","No")))</f>
        <v/>
      </c>
      <c r="R1448" s="17">
        <f>IF($C1448="","",IF($L1448="","",IF(AND($K1448=2,$L1448&lt;$J1448,COUNTIFS(nrES_PID,$D1448,nrES_Code,$F1448,nrES_Att,1)&gt;0),"Yes","No")))</f>
        <v/>
      </c>
      <c r="S1448" s="18" t="n"/>
      <c r="T1448" s="19">
        <f>IF($Q1448&lt;&gt;"Yes","",IF($S1448="","(enter date)",_xlfn.LET(_xlpm.dn,IFERROR(_xlfn.XLOOKUP($S1448,nrCDdate,nrCDnum),""),IF(_xlpm.dn="","(not a class day)",IFERROR(_xlfn.XLOOKUP(_xlpm.dn+cfgRetestClassDays,nrCDnum,nrCDdate),"")))))</f>
        <v/>
      </c>
      <c r="U1448" s="17">
        <f>IF($Q1448&lt;&gt;"Yes","",IF(COUNTIFS(nrES_PID,$D1448,nrES_Code,$F1448,nrES_Att,2)&gt;0,"Retested",IF(OR($T1448="",NOT(ISNUMBER($T1448))),"Pending",IF(TODAY()&gt;$T1448,"OVERDUE","Due "&amp;TEXT($T1448,"mm/dd")))))</f>
        <v/>
      </c>
      <c r="V1448" s="16" t="n"/>
      <c r="W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K1449=1,IF(COUNTIFS(nrES_PID,$D1449,nrES_Code,$F1449,nrES_Att,2)&gt;0,"",$L1449),IF(COUNTIFS(nrES_PID,$D1449,nrES_Code,$F1449,nrES_Att,1)=0,$L1449,IF($L1449&gt;=$J1449,cfgRetakeRecordedCap,SUMIFS(nrES_Raw,nrES_PID,$D1449,nrES_Code,$F1449,nrES_Att,1))))))</f>
        <v/>
      </c>
      <c r="N1449" s="17">
        <f>IF($C1449="","",IF($L1449="","",IF($L1449&gt;=$J1449,"Yes","No")))</f>
        <v/>
      </c>
      <c r="O1449" s="17">
        <f>IF($C1449="","",IF($M1449="","",IF($M1449&gt;=$J1449,"Yes","No")))</f>
        <v/>
      </c>
      <c r="P1449" s="17">
        <f>IF($C1449="","",IF($K1449="","",IF(COUNTIFS(nrES_PID,$D1449,nrES_Code,$F1449,nrES_Att,"&gt;"&amp;$K1449)=0,"Yes","No")))</f>
        <v/>
      </c>
      <c r="Q1449" s="17">
        <f>IF($C1449="","",IF($L1449="","",IF(AND($K1449=1,$L1449&lt;$J1449,COUNTIFS(nrES_PID,$D1449,nrES_Code,$F1449,nrES_Att,2)=0),"Yes","No")))</f>
        <v/>
      </c>
      <c r="R1449" s="17">
        <f>IF($C1449="","",IF($L1449="","",IF(AND($K1449=2,$L1449&lt;$J1449,COUNTIFS(nrES_PID,$D1449,nrES_Code,$F1449,nrES_Att,1)&gt;0),"Yes","No")))</f>
        <v/>
      </c>
      <c r="S1449" s="18" t="n"/>
      <c r="T1449" s="19">
        <f>IF($Q1449&lt;&gt;"Yes","",IF($S1449="","(enter date)",_xlfn.LET(_xlpm.dn,IFERROR(_xlfn.XLOOKUP($S1449,nrCDdate,nrCDnum),""),IF(_xlpm.dn="","(not a class day)",IFERROR(_xlfn.XLOOKUP(_xlpm.dn+cfgRetestClassDays,nrCDnum,nrCDdate),"")))))</f>
        <v/>
      </c>
      <c r="U1449" s="17">
        <f>IF($Q1449&lt;&gt;"Yes","",IF(COUNTIFS(nrES_PID,$D1449,nrES_Code,$F1449,nrES_Att,2)&gt;0,"Retested",IF(OR($T1449="",NOT(ISNUMBER($T1449))),"Pending",IF(TODAY()&gt;$T1449,"OVERDUE","Due "&amp;TEXT($T1449,"mm/dd")))))</f>
        <v/>
      </c>
      <c r="V1449" s="16" t="n"/>
      <c r="W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K1450=1,IF(COUNTIFS(nrES_PID,$D1450,nrES_Code,$F1450,nrES_Att,2)&gt;0,"",$L1450),IF(COUNTIFS(nrES_PID,$D1450,nrES_Code,$F1450,nrES_Att,1)=0,$L1450,IF($L1450&gt;=$J1450,cfgRetakeRecordedCap,SUMIFS(nrES_Raw,nrES_PID,$D1450,nrES_Code,$F1450,nrES_Att,1))))))</f>
        <v/>
      </c>
      <c r="N1450" s="17">
        <f>IF($C1450="","",IF($L1450="","",IF($L1450&gt;=$J1450,"Yes","No")))</f>
        <v/>
      </c>
      <c r="O1450" s="17">
        <f>IF($C1450="","",IF($M1450="","",IF($M1450&gt;=$J1450,"Yes","No")))</f>
        <v/>
      </c>
      <c r="P1450" s="17">
        <f>IF($C1450="","",IF($K1450="","",IF(COUNTIFS(nrES_PID,$D1450,nrES_Code,$F1450,nrES_Att,"&gt;"&amp;$K1450)=0,"Yes","No")))</f>
        <v/>
      </c>
      <c r="Q1450" s="17">
        <f>IF($C1450="","",IF($L1450="","",IF(AND($K1450=1,$L1450&lt;$J1450,COUNTIFS(nrES_PID,$D1450,nrES_Code,$F1450,nrES_Att,2)=0),"Yes","No")))</f>
        <v/>
      </c>
      <c r="R1450" s="17">
        <f>IF($C1450="","",IF($L1450="","",IF(AND($K1450=2,$L1450&lt;$J1450,COUNTIFS(nrES_PID,$D1450,nrES_Code,$F1450,nrES_Att,1)&gt;0),"Yes","No")))</f>
        <v/>
      </c>
      <c r="S1450" s="18" t="n"/>
      <c r="T1450" s="19">
        <f>IF($Q1450&lt;&gt;"Yes","",IF($S1450="","(enter date)",_xlfn.LET(_xlpm.dn,IFERROR(_xlfn.XLOOKUP($S1450,nrCDdate,nrCDnum),""),IF(_xlpm.dn="","(not a class day)",IFERROR(_xlfn.XLOOKUP(_xlpm.dn+cfgRetestClassDays,nrCDnum,nrCDdate),"")))))</f>
        <v/>
      </c>
      <c r="U1450" s="17">
        <f>IF($Q1450&lt;&gt;"Yes","",IF(COUNTIFS(nrES_PID,$D1450,nrES_Code,$F1450,nrES_Att,2)&gt;0,"Retested",IF(OR($T1450="",NOT(ISNUMBER($T1450))),"Pending",IF(TODAY()&gt;$T1450,"OVERDUE","Due "&amp;TEXT($T1450,"mm/dd")))))</f>
        <v/>
      </c>
      <c r="V1450" s="16" t="n"/>
      <c r="W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K1451=1,IF(COUNTIFS(nrES_PID,$D1451,nrES_Code,$F1451,nrES_Att,2)&gt;0,"",$L1451),IF(COUNTIFS(nrES_PID,$D1451,nrES_Code,$F1451,nrES_Att,1)=0,$L1451,IF($L1451&gt;=$J1451,cfgRetakeRecordedCap,SUMIFS(nrES_Raw,nrES_PID,$D1451,nrES_Code,$F1451,nrES_Att,1))))))</f>
        <v/>
      </c>
      <c r="N1451" s="17">
        <f>IF($C1451="","",IF($L1451="","",IF($L1451&gt;=$J1451,"Yes","No")))</f>
        <v/>
      </c>
      <c r="O1451" s="17">
        <f>IF($C1451="","",IF($M1451="","",IF($M1451&gt;=$J1451,"Yes","No")))</f>
        <v/>
      </c>
      <c r="P1451" s="17">
        <f>IF($C1451="","",IF($K1451="","",IF(COUNTIFS(nrES_PID,$D1451,nrES_Code,$F1451,nrES_Att,"&gt;"&amp;$K1451)=0,"Yes","No")))</f>
        <v/>
      </c>
      <c r="Q1451" s="17">
        <f>IF($C1451="","",IF($L1451="","",IF(AND($K1451=1,$L1451&lt;$J1451,COUNTIFS(nrES_PID,$D1451,nrES_Code,$F1451,nrES_Att,2)=0),"Yes","No")))</f>
        <v/>
      </c>
      <c r="R1451" s="17">
        <f>IF($C1451="","",IF($L1451="","",IF(AND($K1451=2,$L1451&lt;$J1451,COUNTIFS(nrES_PID,$D1451,nrES_Code,$F1451,nrES_Att,1)&gt;0),"Yes","No")))</f>
        <v/>
      </c>
      <c r="S1451" s="18" t="n"/>
      <c r="T1451" s="19">
        <f>IF($Q1451&lt;&gt;"Yes","",IF($S1451="","(enter date)",_xlfn.LET(_xlpm.dn,IFERROR(_xlfn.XLOOKUP($S1451,nrCDdate,nrCDnum),""),IF(_xlpm.dn="","(not a class day)",IFERROR(_xlfn.XLOOKUP(_xlpm.dn+cfgRetestClassDays,nrCDnum,nrCDdate),"")))))</f>
        <v/>
      </c>
      <c r="U1451" s="17">
        <f>IF($Q1451&lt;&gt;"Yes","",IF(COUNTIFS(nrES_PID,$D1451,nrES_Code,$F1451,nrES_Att,2)&gt;0,"Retested",IF(OR($T1451="",NOT(ISNUMBER($T1451))),"Pending",IF(TODAY()&gt;$T1451,"OVERDUE","Due "&amp;TEXT($T1451,"mm/dd")))))</f>
        <v/>
      </c>
      <c r="V1451" s="16" t="n"/>
      <c r="W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K1452=1,IF(COUNTIFS(nrES_PID,$D1452,nrES_Code,$F1452,nrES_Att,2)&gt;0,"",$L1452),IF(COUNTIFS(nrES_PID,$D1452,nrES_Code,$F1452,nrES_Att,1)=0,$L1452,IF($L1452&gt;=$J1452,cfgRetakeRecordedCap,SUMIFS(nrES_Raw,nrES_PID,$D1452,nrES_Code,$F1452,nrES_Att,1))))))</f>
        <v/>
      </c>
      <c r="N1452" s="17">
        <f>IF($C1452="","",IF($L1452="","",IF($L1452&gt;=$J1452,"Yes","No")))</f>
        <v/>
      </c>
      <c r="O1452" s="17">
        <f>IF($C1452="","",IF($M1452="","",IF($M1452&gt;=$J1452,"Yes","No")))</f>
        <v/>
      </c>
      <c r="P1452" s="17">
        <f>IF($C1452="","",IF($K1452="","",IF(COUNTIFS(nrES_PID,$D1452,nrES_Code,$F1452,nrES_Att,"&gt;"&amp;$K1452)=0,"Yes","No")))</f>
        <v/>
      </c>
      <c r="Q1452" s="17">
        <f>IF($C1452="","",IF($L1452="","",IF(AND($K1452=1,$L1452&lt;$J1452,COUNTIFS(nrES_PID,$D1452,nrES_Code,$F1452,nrES_Att,2)=0),"Yes","No")))</f>
        <v/>
      </c>
      <c r="R1452" s="17">
        <f>IF($C1452="","",IF($L1452="","",IF(AND($K1452=2,$L1452&lt;$J1452,COUNTIFS(nrES_PID,$D1452,nrES_Code,$F1452,nrES_Att,1)&gt;0),"Yes","No")))</f>
        <v/>
      </c>
      <c r="S1452" s="18" t="n"/>
      <c r="T1452" s="19">
        <f>IF($Q1452&lt;&gt;"Yes","",IF($S1452="","(enter date)",_xlfn.LET(_xlpm.dn,IFERROR(_xlfn.XLOOKUP($S1452,nrCDdate,nrCDnum),""),IF(_xlpm.dn="","(not a class day)",IFERROR(_xlfn.XLOOKUP(_xlpm.dn+cfgRetestClassDays,nrCDnum,nrCDdate),"")))))</f>
        <v/>
      </c>
      <c r="U1452" s="17">
        <f>IF($Q1452&lt;&gt;"Yes","",IF(COUNTIFS(nrES_PID,$D1452,nrES_Code,$F1452,nrES_Att,2)&gt;0,"Retested",IF(OR($T1452="",NOT(ISNUMBER($T1452))),"Pending",IF(TODAY()&gt;$T1452,"OVERDUE","Due "&amp;TEXT($T1452,"mm/dd")))))</f>
        <v/>
      </c>
      <c r="V1452" s="16" t="n"/>
      <c r="W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K1453=1,IF(COUNTIFS(nrES_PID,$D1453,nrES_Code,$F1453,nrES_Att,2)&gt;0,"",$L1453),IF(COUNTIFS(nrES_PID,$D1453,nrES_Code,$F1453,nrES_Att,1)=0,$L1453,IF($L1453&gt;=$J1453,cfgRetakeRecordedCap,SUMIFS(nrES_Raw,nrES_PID,$D1453,nrES_Code,$F1453,nrES_Att,1))))))</f>
        <v/>
      </c>
      <c r="N1453" s="17">
        <f>IF($C1453="","",IF($L1453="","",IF($L1453&gt;=$J1453,"Yes","No")))</f>
        <v/>
      </c>
      <c r="O1453" s="17">
        <f>IF($C1453="","",IF($M1453="","",IF($M1453&gt;=$J1453,"Yes","No")))</f>
        <v/>
      </c>
      <c r="P1453" s="17">
        <f>IF($C1453="","",IF($K1453="","",IF(COUNTIFS(nrES_PID,$D1453,nrES_Code,$F1453,nrES_Att,"&gt;"&amp;$K1453)=0,"Yes","No")))</f>
        <v/>
      </c>
      <c r="Q1453" s="17">
        <f>IF($C1453="","",IF($L1453="","",IF(AND($K1453=1,$L1453&lt;$J1453,COUNTIFS(nrES_PID,$D1453,nrES_Code,$F1453,nrES_Att,2)=0),"Yes","No")))</f>
        <v/>
      </c>
      <c r="R1453" s="17">
        <f>IF($C1453="","",IF($L1453="","",IF(AND($K1453=2,$L1453&lt;$J1453,COUNTIFS(nrES_PID,$D1453,nrES_Code,$F1453,nrES_Att,1)&gt;0),"Yes","No")))</f>
        <v/>
      </c>
      <c r="S1453" s="18" t="n"/>
      <c r="T1453" s="19">
        <f>IF($Q1453&lt;&gt;"Yes","",IF($S1453="","(enter date)",_xlfn.LET(_xlpm.dn,IFERROR(_xlfn.XLOOKUP($S1453,nrCDdate,nrCDnum),""),IF(_xlpm.dn="","(not a class day)",IFERROR(_xlfn.XLOOKUP(_xlpm.dn+cfgRetestClassDays,nrCDnum,nrCDdate),"")))))</f>
        <v/>
      </c>
      <c r="U1453" s="17">
        <f>IF($Q1453&lt;&gt;"Yes","",IF(COUNTIFS(nrES_PID,$D1453,nrES_Code,$F1453,nrES_Att,2)&gt;0,"Retested",IF(OR($T1453="",NOT(ISNUMBER($T1453))),"Pending",IF(TODAY()&gt;$T1453,"OVERDUE","Due "&amp;TEXT($T1453,"mm/dd")))))</f>
        <v/>
      </c>
      <c r="V1453" s="16" t="n"/>
      <c r="W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K1454=1,IF(COUNTIFS(nrES_PID,$D1454,nrES_Code,$F1454,nrES_Att,2)&gt;0,"",$L1454),IF(COUNTIFS(nrES_PID,$D1454,nrES_Code,$F1454,nrES_Att,1)=0,$L1454,IF($L1454&gt;=$J1454,cfgRetakeRecordedCap,SUMIFS(nrES_Raw,nrES_PID,$D1454,nrES_Code,$F1454,nrES_Att,1))))))</f>
        <v/>
      </c>
      <c r="N1454" s="17">
        <f>IF($C1454="","",IF($L1454="","",IF($L1454&gt;=$J1454,"Yes","No")))</f>
        <v/>
      </c>
      <c r="O1454" s="17">
        <f>IF($C1454="","",IF($M1454="","",IF($M1454&gt;=$J1454,"Yes","No")))</f>
        <v/>
      </c>
      <c r="P1454" s="17">
        <f>IF($C1454="","",IF($K1454="","",IF(COUNTIFS(nrES_PID,$D1454,nrES_Code,$F1454,nrES_Att,"&gt;"&amp;$K1454)=0,"Yes","No")))</f>
        <v/>
      </c>
      <c r="Q1454" s="17">
        <f>IF($C1454="","",IF($L1454="","",IF(AND($K1454=1,$L1454&lt;$J1454,COUNTIFS(nrES_PID,$D1454,nrES_Code,$F1454,nrES_Att,2)=0),"Yes","No")))</f>
        <v/>
      </c>
      <c r="R1454" s="17">
        <f>IF($C1454="","",IF($L1454="","",IF(AND($K1454=2,$L1454&lt;$J1454,COUNTIFS(nrES_PID,$D1454,nrES_Code,$F1454,nrES_Att,1)&gt;0),"Yes","No")))</f>
        <v/>
      </c>
      <c r="S1454" s="18" t="n"/>
      <c r="T1454" s="19">
        <f>IF($Q1454&lt;&gt;"Yes","",IF($S1454="","(enter date)",_xlfn.LET(_xlpm.dn,IFERROR(_xlfn.XLOOKUP($S1454,nrCDdate,nrCDnum),""),IF(_xlpm.dn="","(not a class day)",IFERROR(_xlfn.XLOOKUP(_xlpm.dn+cfgRetestClassDays,nrCDnum,nrCDdate),"")))))</f>
        <v/>
      </c>
      <c r="U1454" s="17">
        <f>IF($Q1454&lt;&gt;"Yes","",IF(COUNTIFS(nrES_PID,$D1454,nrES_Code,$F1454,nrES_Att,2)&gt;0,"Retested",IF(OR($T1454="",NOT(ISNUMBER($T1454))),"Pending",IF(TODAY()&gt;$T1454,"OVERDUE","Due "&amp;TEXT($T1454,"mm/dd")))))</f>
        <v/>
      </c>
      <c r="V1454" s="16" t="n"/>
      <c r="W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K1455=1,IF(COUNTIFS(nrES_PID,$D1455,nrES_Code,$F1455,nrES_Att,2)&gt;0,"",$L1455),IF(COUNTIFS(nrES_PID,$D1455,nrES_Code,$F1455,nrES_Att,1)=0,$L1455,IF($L1455&gt;=$J1455,cfgRetakeRecordedCap,SUMIFS(nrES_Raw,nrES_PID,$D1455,nrES_Code,$F1455,nrES_Att,1))))))</f>
        <v/>
      </c>
      <c r="N1455" s="17">
        <f>IF($C1455="","",IF($L1455="","",IF($L1455&gt;=$J1455,"Yes","No")))</f>
        <v/>
      </c>
      <c r="O1455" s="17">
        <f>IF($C1455="","",IF($M1455="","",IF($M1455&gt;=$J1455,"Yes","No")))</f>
        <v/>
      </c>
      <c r="P1455" s="17">
        <f>IF($C1455="","",IF($K1455="","",IF(COUNTIFS(nrES_PID,$D1455,nrES_Code,$F1455,nrES_Att,"&gt;"&amp;$K1455)=0,"Yes","No")))</f>
        <v/>
      </c>
      <c r="Q1455" s="17">
        <f>IF($C1455="","",IF($L1455="","",IF(AND($K1455=1,$L1455&lt;$J1455,COUNTIFS(nrES_PID,$D1455,nrES_Code,$F1455,nrES_Att,2)=0),"Yes","No")))</f>
        <v/>
      </c>
      <c r="R1455" s="17">
        <f>IF($C1455="","",IF($L1455="","",IF(AND($K1455=2,$L1455&lt;$J1455,COUNTIFS(nrES_PID,$D1455,nrES_Code,$F1455,nrES_Att,1)&gt;0),"Yes","No")))</f>
        <v/>
      </c>
      <c r="S1455" s="18" t="n"/>
      <c r="T1455" s="19">
        <f>IF($Q1455&lt;&gt;"Yes","",IF($S1455="","(enter date)",_xlfn.LET(_xlpm.dn,IFERROR(_xlfn.XLOOKUP($S1455,nrCDdate,nrCDnum),""),IF(_xlpm.dn="","(not a class day)",IFERROR(_xlfn.XLOOKUP(_xlpm.dn+cfgRetestClassDays,nrCDnum,nrCDdate),"")))))</f>
        <v/>
      </c>
      <c r="U1455" s="17">
        <f>IF($Q1455&lt;&gt;"Yes","",IF(COUNTIFS(nrES_PID,$D1455,nrES_Code,$F1455,nrES_Att,2)&gt;0,"Retested",IF(OR($T1455="",NOT(ISNUMBER($T1455))),"Pending",IF(TODAY()&gt;$T1455,"OVERDUE","Due "&amp;TEXT($T1455,"mm/dd")))))</f>
        <v/>
      </c>
      <c r="V1455" s="16" t="n"/>
      <c r="W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K1456=1,IF(COUNTIFS(nrES_PID,$D1456,nrES_Code,$F1456,nrES_Att,2)&gt;0,"",$L1456),IF(COUNTIFS(nrES_PID,$D1456,nrES_Code,$F1456,nrES_Att,1)=0,$L1456,IF($L1456&gt;=$J1456,cfgRetakeRecordedCap,SUMIFS(nrES_Raw,nrES_PID,$D1456,nrES_Code,$F1456,nrES_Att,1))))))</f>
        <v/>
      </c>
      <c r="N1456" s="17">
        <f>IF($C1456="","",IF($L1456="","",IF($L1456&gt;=$J1456,"Yes","No")))</f>
        <v/>
      </c>
      <c r="O1456" s="17">
        <f>IF($C1456="","",IF($M1456="","",IF($M1456&gt;=$J1456,"Yes","No")))</f>
        <v/>
      </c>
      <c r="P1456" s="17">
        <f>IF($C1456="","",IF($K1456="","",IF(COUNTIFS(nrES_PID,$D1456,nrES_Code,$F1456,nrES_Att,"&gt;"&amp;$K1456)=0,"Yes","No")))</f>
        <v/>
      </c>
      <c r="Q1456" s="17">
        <f>IF($C1456="","",IF($L1456="","",IF(AND($K1456=1,$L1456&lt;$J1456,COUNTIFS(nrES_PID,$D1456,nrES_Code,$F1456,nrES_Att,2)=0),"Yes","No")))</f>
        <v/>
      </c>
      <c r="R1456" s="17">
        <f>IF($C1456="","",IF($L1456="","",IF(AND($K1456=2,$L1456&lt;$J1456,COUNTIFS(nrES_PID,$D1456,nrES_Code,$F1456,nrES_Att,1)&gt;0),"Yes","No")))</f>
        <v/>
      </c>
      <c r="S1456" s="18" t="n"/>
      <c r="T1456" s="19">
        <f>IF($Q1456&lt;&gt;"Yes","",IF($S1456="","(enter date)",_xlfn.LET(_xlpm.dn,IFERROR(_xlfn.XLOOKUP($S1456,nrCDdate,nrCDnum),""),IF(_xlpm.dn="","(not a class day)",IFERROR(_xlfn.XLOOKUP(_xlpm.dn+cfgRetestClassDays,nrCDnum,nrCDdate),"")))))</f>
        <v/>
      </c>
      <c r="U1456" s="17">
        <f>IF($Q1456&lt;&gt;"Yes","",IF(COUNTIFS(nrES_PID,$D1456,nrES_Code,$F1456,nrES_Att,2)&gt;0,"Retested",IF(OR($T1456="",NOT(ISNUMBER($T1456))),"Pending",IF(TODAY()&gt;$T1456,"OVERDUE","Due "&amp;TEXT($T1456,"mm/dd")))))</f>
        <v/>
      </c>
      <c r="V1456" s="16" t="n"/>
      <c r="W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K1457=1,IF(COUNTIFS(nrES_PID,$D1457,nrES_Code,$F1457,nrES_Att,2)&gt;0,"",$L1457),IF(COUNTIFS(nrES_PID,$D1457,nrES_Code,$F1457,nrES_Att,1)=0,$L1457,IF($L1457&gt;=$J1457,cfgRetakeRecordedCap,SUMIFS(nrES_Raw,nrES_PID,$D1457,nrES_Code,$F1457,nrES_Att,1))))))</f>
        <v/>
      </c>
      <c r="N1457" s="17">
        <f>IF($C1457="","",IF($L1457="","",IF($L1457&gt;=$J1457,"Yes","No")))</f>
        <v/>
      </c>
      <c r="O1457" s="17">
        <f>IF($C1457="","",IF($M1457="","",IF($M1457&gt;=$J1457,"Yes","No")))</f>
        <v/>
      </c>
      <c r="P1457" s="17">
        <f>IF($C1457="","",IF($K1457="","",IF(COUNTIFS(nrES_PID,$D1457,nrES_Code,$F1457,nrES_Att,"&gt;"&amp;$K1457)=0,"Yes","No")))</f>
        <v/>
      </c>
      <c r="Q1457" s="17">
        <f>IF($C1457="","",IF($L1457="","",IF(AND($K1457=1,$L1457&lt;$J1457,COUNTIFS(nrES_PID,$D1457,nrES_Code,$F1457,nrES_Att,2)=0),"Yes","No")))</f>
        <v/>
      </c>
      <c r="R1457" s="17">
        <f>IF($C1457="","",IF($L1457="","",IF(AND($K1457=2,$L1457&lt;$J1457,COUNTIFS(nrES_PID,$D1457,nrES_Code,$F1457,nrES_Att,1)&gt;0),"Yes","No")))</f>
        <v/>
      </c>
      <c r="S1457" s="18" t="n"/>
      <c r="T1457" s="19">
        <f>IF($Q1457&lt;&gt;"Yes","",IF($S1457="","(enter date)",_xlfn.LET(_xlpm.dn,IFERROR(_xlfn.XLOOKUP($S1457,nrCDdate,nrCDnum),""),IF(_xlpm.dn="","(not a class day)",IFERROR(_xlfn.XLOOKUP(_xlpm.dn+cfgRetestClassDays,nrCDnum,nrCDdate),"")))))</f>
        <v/>
      </c>
      <c r="U1457" s="17">
        <f>IF($Q1457&lt;&gt;"Yes","",IF(COUNTIFS(nrES_PID,$D1457,nrES_Code,$F1457,nrES_Att,2)&gt;0,"Retested",IF(OR($T1457="",NOT(ISNUMBER($T1457))),"Pending",IF(TODAY()&gt;$T1457,"OVERDUE","Due "&amp;TEXT($T1457,"mm/dd")))))</f>
        <v/>
      </c>
      <c r="V1457" s="16" t="n"/>
      <c r="W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K1458=1,IF(COUNTIFS(nrES_PID,$D1458,nrES_Code,$F1458,nrES_Att,2)&gt;0,"",$L1458),IF(COUNTIFS(nrES_PID,$D1458,nrES_Code,$F1458,nrES_Att,1)=0,$L1458,IF($L1458&gt;=$J1458,cfgRetakeRecordedCap,SUMIFS(nrES_Raw,nrES_PID,$D1458,nrES_Code,$F1458,nrES_Att,1))))))</f>
        <v/>
      </c>
      <c r="N1458" s="17">
        <f>IF($C1458="","",IF($L1458="","",IF($L1458&gt;=$J1458,"Yes","No")))</f>
        <v/>
      </c>
      <c r="O1458" s="17">
        <f>IF($C1458="","",IF($M1458="","",IF($M1458&gt;=$J1458,"Yes","No")))</f>
        <v/>
      </c>
      <c r="P1458" s="17">
        <f>IF($C1458="","",IF($K1458="","",IF(COUNTIFS(nrES_PID,$D1458,nrES_Code,$F1458,nrES_Att,"&gt;"&amp;$K1458)=0,"Yes","No")))</f>
        <v/>
      </c>
      <c r="Q1458" s="17">
        <f>IF($C1458="","",IF($L1458="","",IF(AND($K1458=1,$L1458&lt;$J1458,COUNTIFS(nrES_PID,$D1458,nrES_Code,$F1458,nrES_Att,2)=0),"Yes","No")))</f>
        <v/>
      </c>
      <c r="R1458" s="17">
        <f>IF($C1458="","",IF($L1458="","",IF(AND($K1458=2,$L1458&lt;$J1458,COUNTIFS(nrES_PID,$D1458,nrES_Code,$F1458,nrES_Att,1)&gt;0),"Yes","No")))</f>
        <v/>
      </c>
      <c r="S1458" s="18" t="n"/>
      <c r="T1458" s="19">
        <f>IF($Q1458&lt;&gt;"Yes","",IF($S1458="","(enter date)",_xlfn.LET(_xlpm.dn,IFERROR(_xlfn.XLOOKUP($S1458,nrCDdate,nrCDnum),""),IF(_xlpm.dn="","(not a class day)",IFERROR(_xlfn.XLOOKUP(_xlpm.dn+cfgRetestClassDays,nrCDnum,nrCDdate),"")))))</f>
        <v/>
      </c>
      <c r="U1458" s="17">
        <f>IF($Q1458&lt;&gt;"Yes","",IF(COUNTIFS(nrES_PID,$D1458,nrES_Code,$F1458,nrES_Att,2)&gt;0,"Retested",IF(OR($T1458="",NOT(ISNUMBER($T1458))),"Pending",IF(TODAY()&gt;$T1458,"OVERDUE","Due "&amp;TEXT($T1458,"mm/dd")))))</f>
        <v/>
      </c>
      <c r="V1458" s="16" t="n"/>
      <c r="W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K1459=1,IF(COUNTIFS(nrES_PID,$D1459,nrES_Code,$F1459,nrES_Att,2)&gt;0,"",$L1459),IF(COUNTIFS(nrES_PID,$D1459,nrES_Code,$F1459,nrES_Att,1)=0,$L1459,IF($L1459&gt;=$J1459,cfgRetakeRecordedCap,SUMIFS(nrES_Raw,nrES_PID,$D1459,nrES_Code,$F1459,nrES_Att,1))))))</f>
        <v/>
      </c>
      <c r="N1459" s="17">
        <f>IF($C1459="","",IF($L1459="","",IF($L1459&gt;=$J1459,"Yes","No")))</f>
        <v/>
      </c>
      <c r="O1459" s="17">
        <f>IF($C1459="","",IF($M1459="","",IF($M1459&gt;=$J1459,"Yes","No")))</f>
        <v/>
      </c>
      <c r="P1459" s="17">
        <f>IF($C1459="","",IF($K1459="","",IF(COUNTIFS(nrES_PID,$D1459,nrES_Code,$F1459,nrES_Att,"&gt;"&amp;$K1459)=0,"Yes","No")))</f>
        <v/>
      </c>
      <c r="Q1459" s="17">
        <f>IF($C1459="","",IF($L1459="","",IF(AND($K1459=1,$L1459&lt;$J1459,COUNTIFS(nrES_PID,$D1459,nrES_Code,$F1459,nrES_Att,2)=0),"Yes","No")))</f>
        <v/>
      </c>
      <c r="R1459" s="17">
        <f>IF($C1459="","",IF($L1459="","",IF(AND($K1459=2,$L1459&lt;$J1459,COUNTIFS(nrES_PID,$D1459,nrES_Code,$F1459,nrES_Att,1)&gt;0),"Yes","No")))</f>
        <v/>
      </c>
      <c r="S1459" s="18" t="n"/>
      <c r="T1459" s="19">
        <f>IF($Q1459&lt;&gt;"Yes","",IF($S1459="","(enter date)",_xlfn.LET(_xlpm.dn,IFERROR(_xlfn.XLOOKUP($S1459,nrCDdate,nrCDnum),""),IF(_xlpm.dn="","(not a class day)",IFERROR(_xlfn.XLOOKUP(_xlpm.dn+cfgRetestClassDays,nrCDnum,nrCDdate),"")))))</f>
        <v/>
      </c>
      <c r="U1459" s="17">
        <f>IF($Q1459&lt;&gt;"Yes","",IF(COUNTIFS(nrES_PID,$D1459,nrES_Code,$F1459,nrES_Att,2)&gt;0,"Retested",IF(OR($T1459="",NOT(ISNUMBER($T1459))),"Pending",IF(TODAY()&gt;$T1459,"OVERDUE","Due "&amp;TEXT($T1459,"mm/dd")))))</f>
        <v/>
      </c>
      <c r="V1459" s="16" t="n"/>
      <c r="W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K1460=1,IF(COUNTIFS(nrES_PID,$D1460,nrES_Code,$F1460,nrES_Att,2)&gt;0,"",$L1460),IF(COUNTIFS(nrES_PID,$D1460,nrES_Code,$F1460,nrES_Att,1)=0,$L1460,IF($L1460&gt;=$J1460,cfgRetakeRecordedCap,SUMIFS(nrES_Raw,nrES_PID,$D1460,nrES_Code,$F1460,nrES_Att,1))))))</f>
        <v/>
      </c>
      <c r="N1460" s="17">
        <f>IF($C1460="","",IF($L1460="","",IF($L1460&gt;=$J1460,"Yes","No")))</f>
        <v/>
      </c>
      <c r="O1460" s="17">
        <f>IF($C1460="","",IF($M1460="","",IF($M1460&gt;=$J1460,"Yes","No")))</f>
        <v/>
      </c>
      <c r="P1460" s="17">
        <f>IF($C1460="","",IF($K1460="","",IF(COUNTIFS(nrES_PID,$D1460,nrES_Code,$F1460,nrES_Att,"&gt;"&amp;$K1460)=0,"Yes","No")))</f>
        <v/>
      </c>
      <c r="Q1460" s="17">
        <f>IF($C1460="","",IF($L1460="","",IF(AND($K1460=1,$L1460&lt;$J1460,COUNTIFS(nrES_PID,$D1460,nrES_Code,$F1460,nrES_Att,2)=0),"Yes","No")))</f>
        <v/>
      </c>
      <c r="R1460" s="17">
        <f>IF($C1460="","",IF($L1460="","",IF(AND($K1460=2,$L1460&lt;$J1460,COUNTIFS(nrES_PID,$D1460,nrES_Code,$F1460,nrES_Att,1)&gt;0),"Yes","No")))</f>
        <v/>
      </c>
      <c r="S1460" s="18" t="n"/>
      <c r="T1460" s="19">
        <f>IF($Q1460&lt;&gt;"Yes","",IF($S1460="","(enter date)",_xlfn.LET(_xlpm.dn,IFERROR(_xlfn.XLOOKUP($S1460,nrCDdate,nrCDnum),""),IF(_xlpm.dn="","(not a class day)",IFERROR(_xlfn.XLOOKUP(_xlpm.dn+cfgRetestClassDays,nrCDnum,nrCDdate),"")))))</f>
        <v/>
      </c>
      <c r="U1460" s="17">
        <f>IF($Q1460&lt;&gt;"Yes","",IF(COUNTIFS(nrES_PID,$D1460,nrES_Code,$F1460,nrES_Att,2)&gt;0,"Retested",IF(OR($T1460="",NOT(ISNUMBER($T1460))),"Pending",IF(TODAY()&gt;$T1460,"OVERDUE","Due "&amp;TEXT($T1460,"mm/dd")))))</f>
        <v/>
      </c>
      <c r="V1460" s="16" t="n"/>
      <c r="W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K1461=1,IF(COUNTIFS(nrES_PID,$D1461,nrES_Code,$F1461,nrES_Att,2)&gt;0,"",$L1461),IF(COUNTIFS(nrES_PID,$D1461,nrES_Code,$F1461,nrES_Att,1)=0,$L1461,IF($L1461&gt;=$J1461,cfgRetakeRecordedCap,SUMIFS(nrES_Raw,nrES_PID,$D1461,nrES_Code,$F1461,nrES_Att,1))))))</f>
        <v/>
      </c>
      <c r="N1461" s="17">
        <f>IF($C1461="","",IF($L1461="","",IF($L1461&gt;=$J1461,"Yes","No")))</f>
        <v/>
      </c>
      <c r="O1461" s="17">
        <f>IF($C1461="","",IF($M1461="","",IF($M1461&gt;=$J1461,"Yes","No")))</f>
        <v/>
      </c>
      <c r="P1461" s="17">
        <f>IF($C1461="","",IF($K1461="","",IF(COUNTIFS(nrES_PID,$D1461,nrES_Code,$F1461,nrES_Att,"&gt;"&amp;$K1461)=0,"Yes","No")))</f>
        <v/>
      </c>
      <c r="Q1461" s="17">
        <f>IF($C1461="","",IF($L1461="","",IF(AND($K1461=1,$L1461&lt;$J1461,COUNTIFS(nrES_PID,$D1461,nrES_Code,$F1461,nrES_Att,2)=0),"Yes","No")))</f>
        <v/>
      </c>
      <c r="R1461" s="17">
        <f>IF($C1461="","",IF($L1461="","",IF(AND($K1461=2,$L1461&lt;$J1461,COUNTIFS(nrES_PID,$D1461,nrES_Code,$F1461,nrES_Att,1)&gt;0),"Yes","No")))</f>
        <v/>
      </c>
      <c r="S1461" s="18" t="n"/>
      <c r="T1461" s="19">
        <f>IF($Q1461&lt;&gt;"Yes","",IF($S1461="","(enter date)",_xlfn.LET(_xlpm.dn,IFERROR(_xlfn.XLOOKUP($S1461,nrCDdate,nrCDnum),""),IF(_xlpm.dn="","(not a class day)",IFERROR(_xlfn.XLOOKUP(_xlpm.dn+cfgRetestClassDays,nrCDnum,nrCDdate),"")))))</f>
        <v/>
      </c>
      <c r="U1461" s="17">
        <f>IF($Q1461&lt;&gt;"Yes","",IF(COUNTIFS(nrES_PID,$D1461,nrES_Code,$F1461,nrES_Att,2)&gt;0,"Retested",IF(OR($T1461="",NOT(ISNUMBER($T1461))),"Pending",IF(TODAY()&gt;$T1461,"OVERDUE","Due "&amp;TEXT($T1461,"mm/dd")))))</f>
        <v/>
      </c>
      <c r="V1461" s="16" t="n"/>
      <c r="W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K1462=1,IF(COUNTIFS(nrES_PID,$D1462,nrES_Code,$F1462,nrES_Att,2)&gt;0,"",$L1462),IF(COUNTIFS(nrES_PID,$D1462,nrES_Code,$F1462,nrES_Att,1)=0,$L1462,IF($L1462&gt;=$J1462,cfgRetakeRecordedCap,SUMIFS(nrES_Raw,nrES_PID,$D1462,nrES_Code,$F1462,nrES_Att,1))))))</f>
        <v/>
      </c>
      <c r="N1462" s="17">
        <f>IF($C1462="","",IF($L1462="","",IF($L1462&gt;=$J1462,"Yes","No")))</f>
        <v/>
      </c>
      <c r="O1462" s="17">
        <f>IF($C1462="","",IF($M1462="","",IF($M1462&gt;=$J1462,"Yes","No")))</f>
        <v/>
      </c>
      <c r="P1462" s="17">
        <f>IF($C1462="","",IF($K1462="","",IF(COUNTIFS(nrES_PID,$D1462,nrES_Code,$F1462,nrES_Att,"&gt;"&amp;$K1462)=0,"Yes","No")))</f>
        <v/>
      </c>
      <c r="Q1462" s="17">
        <f>IF($C1462="","",IF($L1462="","",IF(AND($K1462=1,$L1462&lt;$J1462,COUNTIFS(nrES_PID,$D1462,nrES_Code,$F1462,nrES_Att,2)=0),"Yes","No")))</f>
        <v/>
      </c>
      <c r="R1462" s="17">
        <f>IF($C1462="","",IF($L1462="","",IF(AND($K1462=2,$L1462&lt;$J1462,COUNTIFS(nrES_PID,$D1462,nrES_Code,$F1462,nrES_Att,1)&gt;0),"Yes","No")))</f>
        <v/>
      </c>
      <c r="S1462" s="18" t="n"/>
      <c r="T1462" s="19">
        <f>IF($Q1462&lt;&gt;"Yes","",IF($S1462="","(enter date)",_xlfn.LET(_xlpm.dn,IFERROR(_xlfn.XLOOKUP($S1462,nrCDdate,nrCDnum),""),IF(_xlpm.dn="","(not a class day)",IFERROR(_xlfn.XLOOKUP(_xlpm.dn+cfgRetestClassDays,nrCDnum,nrCDdate),"")))))</f>
        <v/>
      </c>
      <c r="U1462" s="17">
        <f>IF($Q1462&lt;&gt;"Yes","",IF(COUNTIFS(nrES_PID,$D1462,nrES_Code,$F1462,nrES_Att,2)&gt;0,"Retested",IF(OR($T1462="",NOT(ISNUMBER($T1462))),"Pending",IF(TODAY()&gt;$T1462,"OVERDUE","Due "&amp;TEXT($T1462,"mm/dd")))))</f>
        <v/>
      </c>
      <c r="V1462" s="16" t="n"/>
      <c r="W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K1463=1,IF(COUNTIFS(nrES_PID,$D1463,nrES_Code,$F1463,nrES_Att,2)&gt;0,"",$L1463),IF(COUNTIFS(nrES_PID,$D1463,nrES_Code,$F1463,nrES_Att,1)=0,$L1463,IF($L1463&gt;=$J1463,cfgRetakeRecordedCap,SUMIFS(nrES_Raw,nrES_PID,$D1463,nrES_Code,$F1463,nrES_Att,1))))))</f>
        <v/>
      </c>
      <c r="N1463" s="17">
        <f>IF($C1463="","",IF($L1463="","",IF($L1463&gt;=$J1463,"Yes","No")))</f>
        <v/>
      </c>
      <c r="O1463" s="17">
        <f>IF($C1463="","",IF($M1463="","",IF($M1463&gt;=$J1463,"Yes","No")))</f>
        <v/>
      </c>
      <c r="P1463" s="17">
        <f>IF($C1463="","",IF($K1463="","",IF(COUNTIFS(nrES_PID,$D1463,nrES_Code,$F1463,nrES_Att,"&gt;"&amp;$K1463)=0,"Yes","No")))</f>
        <v/>
      </c>
      <c r="Q1463" s="17">
        <f>IF($C1463="","",IF($L1463="","",IF(AND($K1463=1,$L1463&lt;$J1463,COUNTIFS(nrES_PID,$D1463,nrES_Code,$F1463,nrES_Att,2)=0),"Yes","No")))</f>
        <v/>
      </c>
      <c r="R1463" s="17">
        <f>IF($C1463="","",IF($L1463="","",IF(AND($K1463=2,$L1463&lt;$J1463,COUNTIFS(nrES_PID,$D1463,nrES_Code,$F1463,nrES_Att,1)&gt;0),"Yes","No")))</f>
        <v/>
      </c>
      <c r="S1463" s="18" t="n"/>
      <c r="T1463" s="19">
        <f>IF($Q1463&lt;&gt;"Yes","",IF($S1463="","(enter date)",_xlfn.LET(_xlpm.dn,IFERROR(_xlfn.XLOOKUP($S1463,nrCDdate,nrCDnum),""),IF(_xlpm.dn="","(not a class day)",IFERROR(_xlfn.XLOOKUP(_xlpm.dn+cfgRetestClassDays,nrCDnum,nrCDdate),"")))))</f>
        <v/>
      </c>
      <c r="U1463" s="17">
        <f>IF($Q1463&lt;&gt;"Yes","",IF(COUNTIFS(nrES_PID,$D1463,nrES_Code,$F1463,nrES_Att,2)&gt;0,"Retested",IF(OR($T1463="",NOT(ISNUMBER($T1463))),"Pending",IF(TODAY()&gt;$T1463,"OVERDUE","Due "&amp;TEXT($T1463,"mm/dd")))))</f>
        <v/>
      </c>
      <c r="V1463" s="16" t="n"/>
      <c r="W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K1464=1,IF(COUNTIFS(nrES_PID,$D1464,nrES_Code,$F1464,nrES_Att,2)&gt;0,"",$L1464),IF(COUNTIFS(nrES_PID,$D1464,nrES_Code,$F1464,nrES_Att,1)=0,$L1464,IF($L1464&gt;=$J1464,cfgRetakeRecordedCap,SUMIFS(nrES_Raw,nrES_PID,$D1464,nrES_Code,$F1464,nrES_Att,1))))))</f>
        <v/>
      </c>
      <c r="N1464" s="17">
        <f>IF($C1464="","",IF($L1464="","",IF($L1464&gt;=$J1464,"Yes","No")))</f>
        <v/>
      </c>
      <c r="O1464" s="17">
        <f>IF($C1464="","",IF($M1464="","",IF($M1464&gt;=$J1464,"Yes","No")))</f>
        <v/>
      </c>
      <c r="P1464" s="17">
        <f>IF($C1464="","",IF($K1464="","",IF(COUNTIFS(nrES_PID,$D1464,nrES_Code,$F1464,nrES_Att,"&gt;"&amp;$K1464)=0,"Yes","No")))</f>
        <v/>
      </c>
      <c r="Q1464" s="17">
        <f>IF($C1464="","",IF($L1464="","",IF(AND($K1464=1,$L1464&lt;$J1464,COUNTIFS(nrES_PID,$D1464,nrES_Code,$F1464,nrES_Att,2)=0),"Yes","No")))</f>
        <v/>
      </c>
      <c r="R1464" s="17">
        <f>IF($C1464="","",IF($L1464="","",IF(AND($K1464=2,$L1464&lt;$J1464,COUNTIFS(nrES_PID,$D1464,nrES_Code,$F1464,nrES_Att,1)&gt;0),"Yes","No")))</f>
        <v/>
      </c>
      <c r="S1464" s="18" t="n"/>
      <c r="T1464" s="19">
        <f>IF($Q1464&lt;&gt;"Yes","",IF($S1464="","(enter date)",_xlfn.LET(_xlpm.dn,IFERROR(_xlfn.XLOOKUP($S1464,nrCDdate,nrCDnum),""),IF(_xlpm.dn="","(not a class day)",IFERROR(_xlfn.XLOOKUP(_xlpm.dn+cfgRetestClassDays,nrCDnum,nrCDdate),"")))))</f>
        <v/>
      </c>
      <c r="U1464" s="17">
        <f>IF($Q1464&lt;&gt;"Yes","",IF(COUNTIFS(nrES_PID,$D1464,nrES_Code,$F1464,nrES_Att,2)&gt;0,"Retested",IF(OR($T1464="",NOT(ISNUMBER($T1464))),"Pending",IF(TODAY()&gt;$T1464,"OVERDUE","Due "&amp;TEXT($T1464,"mm/dd")))))</f>
        <v/>
      </c>
      <c r="V1464" s="16" t="n"/>
      <c r="W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K1465=1,IF(COUNTIFS(nrES_PID,$D1465,nrES_Code,$F1465,nrES_Att,2)&gt;0,"",$L1465),IF(COUNTIFS(nrES_PID,$D1465,nrES_Code,$F1465,nrES_Att,1)=0,$L1465,IF($L1465&gt;=$J1465,cfgRetakeRecordedCap,SUMIFS(nrES_Raw,nrES_PID,$D1465,nrES_Code,$F1465,nrES_Att,1))))))</f>
        <v/>
      </c>
      <c r="N1465" s="17">
        <f>IF($C1465="","",IF($L1465="","",IF($L1465&gt;=$J1465,"Yes","No")))</f>
        <v/>
      </c>
      <c r="O1465" s="17">
        <f>IF($C1465="","",IF($M1465="","",IF($M1465&gt;=$J1465,"Yes","No")))</f>
        <v/>
      </c>
      <c r="P1465" s="17">
        <f>IF($C1465="","",IF($K1465="","",IF(COUNTIFS(nrES_PID,$D1465,nrES_Code,$F1465,nrES_Att,"&gt;"&amp;$K1465)=0,"Yes","No")))</f>
        <v/>
      </c>
      <c r="Q1465" s="17">
        <f>IF($C1465="","",IF($L1465="","",IF(AND($K1465=1,$L1465&lt;$J1465,COUNTIFS(nrES_PID,$D1465,nrES_Code,$F1465,nrES_Att,2)=0),"Yes","No")))</f>
        <v/>
      </c>
      <c r="R1465" s="17">
        <f>IF($C1465="","",IF($L1465="","",IF(AND($K1465=2,$L1465&lt;$J1465,COUNTIFS(nrES_PID,$D1465,nrES_Code,$F1465,nrES_Att,1)&gt;0),"Yes","No")))</f>
        <v/>
      </c>
      <c r="S1465" s="18" t="n"/>
      <c r="T1465" s="19">
        <f>IF($Q1465&lt;&gt;"Yes","",IF($S1465="","(enter date)",_xlfn.LET(_xlpm.dn,IFERROR(_xlfn.XLOOKUP($S1465,nrCDdate,nrCDnum),""),IF(_xlpm.dn="","(not a class day)",IFERROR(_xlfn.XLOOKUP(_xlpm.dn+cfgRetestClassDays,nrCDnum,nrCDdate),"")))))</f>
        <v/>
      </c>
      <c r="U1465" s="17">
        <f>IF($Q1465&lt;&gt;"Yes","",IF(COUNTIFS(nrES_PID,$D1465,nrES_Code,$F1465,nrES_Att,2)&gt;0,"Retested",IF(OR($T1465="",NOT(ISNUMBER($T1465))),"Pending",IF(TODAY()&gt;$T1465,"OVERDUE","Due "&amp;TEXT($T1465,"mm/dd")))))</f>
        <v/>
      </c>
      <c r="V1465" s="16" t="n"/>
      <c r="W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K1466=1,IF(COUNTIFS(nrES_PID,$D1466,nrES_Code,$F1466,nrES_Att,2)&gt;0,"",$L1466),IF(COUNTIFS(nrES_PID,$D1466,nrES_Code,$F1466,nrES_Att,1)=0,$L1466,IF($L1466&gt;=$J1466,cfgRetakeRecordedCap,SUMIFS(nrES_Raw,nrES_PID,$D1466,nrES_Code,$F1466,nrES_Att,1))))))</f>
        <v/>
      </c>
      <c r="N1466" s="17">
        <f>IF($C1466="","",IF($L1466="","",IF($L1466&gt;=$J1466,"Yes","No")))</f>
        <v/>
      </c>
      <c r="O1466" s="17">
        <f>IF($C1466="","",IF($M1466="","",IF($M1466&gt;=$J1466,"Yes","No")))</f>
        <v/>
      </c>
      <c r="P1466" s="17">
        <f>IF($C1466="","",IF($K1466="","",IF(COUNTIFS(nrES_PID,$D1466,nrES_Code,$F1466,nrES_Att,"&gt;"&amp;$K1466)=0,"Yes","No")))</f>
        <v/>
      </c>
      <c r="Q1466" s="17">
        <f>IF($C1466="","",IF($L1466="","",IF(AND($K1466=1,$L1466&lt;$J1466,COUNTIFS(nrES_PID,$D1466,nrES_Code,$F1466,nrES_Att,2)=0),"Yes","No")))</f>
        <v/>
      </c>
      <c r="R1466" s="17">
        <f>IF($C1466="","",IF($L1466="","",IF(AND($K1466=2,$L1466&lt;$J1466,COUNTIFS(nrES_PID,$D1466,nrES_Code,$F1466,nrES_Att,1)&gt;0),"Yes","No")))</f>
        <v/>
      </c>
      <c r="S1466" s="18" t="n"/>
      <c r="T1466" s="19">
        <f>IF($Q1466&lt;&gt;"Yes","",IF($S1466="","(enter date)",_xlfn.LET(_xlpm.dn,IFERROR(_xlfn.XLOOKUP($S1466,nrCDdate,nrCDnum),""),IF(_xlpm.dn="","(not a class day)",IFERROR(_xlfn.XLOOKUP(_xlpm.dn+cfgRetestClassDays,nrCDnum,nrCDdate),"")))))</f>
        <v/>
      </c>
      <c r="U1466" s="17">
        <f>IF($Q1466&lt;&gt;"Yes","",IF(COUNTIFS(nrES_PID,$D1466,nrES_Code,$F1466,nrES_Att,2)&gt;0,"Retested",IF(OR($T1466="",NOT(ISNUMBER($T1466))),"Pending",IF(TODAY()&gt;$T1466,"OVERDUE","Due "&amp;TEXT($T1466,"mm/dd")))))</f>
        <v/>
      </c>
      <c r="V1466" s="16" t="n"/>
      <c r="W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K1467=1,IF(COUNTIFS(nrES_PID,$D1467,nrES_Code,$F1467,nrES_Att,2)&gt;0,"",$L1467),IF(COUNTIFS(nrES_PID,$D1467,nrES_Code,$F1467,nrES_Att,1)=0,$L1467,IF($L1467&gt;=$J1467,cfgRetakeRecordedCap,SUMIFS(nrES_Raw,nrES_PID,$D1467,nrES_Code,$F1467,nrES_Att,1))))))</f>
        <v/>
      </c>
      <c r="N1467" s="17">
        <f>IF($C1467="","",IF($L1467="","",IF($L1467&gt;=$J1467,"Yes","No")))</f>
        <v/>
      </c>
      <c r="O1467" s="17">
        <f>IF($C1467="","",IF($M1467="","",IF($M1467&gt;=$J1467,"Yes","No")))</f>
        <v/>
      </c>
      <c r="P1467" s="17">
        <f>IF($C1467="","",IF($K1467="","",IF(COUNTIFS(nrES_PID,$D1467,nrES_Code,$F1467,nrES_Att,"&gt;"&amp;$K1467)=0,"Yes","No")))</f>
        <v/>
      </c>
      <c r="Q1467" s="17">
        <f>IF($C1467="","",IF($L1467="","",IF(AND($K1467=1,$L1467&lt;$J1467,COUNTIFS(nrES_PID,$D1467,nrES_Code,$F1467,nrES_Att,2)=0),"Yes","No")))</f>
        <v/>
      </c>
      <c r="R1467" s="17">
        <f>IF($C1467="","",IF($L1467="","",IF(AND($K1467=2,$L1467&lt;$J1467,COUNTIFS(nrES_PID,$D1467,nrES_Code,$F1467,nrES_Att,1)&gt;0),"Yes","No")))</f>
        <v/>
      </c>
      <c r="S1467" s="18" t="n"/>
      <c r="T1467" s="19">
        <f>IF($Q1467&lt;&gt;"Yes","",IF($S1467="","(enter date)",_xlfn.LET(_xlpm.dn,IFERROR(_xlfn.XLOOKUP($S1467,nrCDdate,nrCDnum),""),IF(_xlpm.dn="","(not a class day)",IFERROR(_xlfn.XLOOKUP(_xlpm.dn+cfgRetestClassDays,nrCDnum,nrCDdate),"")))))</f>
        <v/>
      </c>
      <c r="U1467" s="17">
        <f>IF($Q1467&lt;&gt;"Yes","",IF(COUNTIFS(nrES_PID,$D1467,nrES_Code,$F1467,nrES_Att,2)&gt;0,"Retested",IF(OR($T1467="",NOT(ISNUMBER($T1467))),"Pending",IF(TODAY()&gt;$T1467,"OVERDUE","Due "&amp;TEXT($T1467,"mm/dd")))))</f>
        <v/>
      </c>
      <c r="V1467" s="16" t="n"/>
      <c r="W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K1468=1,IF(COUNTIFS(nrES_PID,$D1468,nrES_Code,$F1468,nrES_Att,2)&gt;0,"",$L1468),IF(COUNTIFS(nrES_PID,$D1468,nrES_Code,$F1468,nrES_Att,1)=0,$L1468,IF($L1468&gt;=$J1468,cfgRetakeRecordedCap,SUMIFS(nrES_Raw,nrES_PID,$D1468,nrES_Code,$F1468,nrES_Att,1))))))</f>
        <v/>
      </c>
      <c r="N1468" s="17">
        <f>IF($C1468="","",IF($L1468="","",IF($L1468&gt;=$J1468,"Yes","No")))</f>
        <v/>
      </c>
      <c r="O1468" s="17">
        <f>IF($C1468="","",IF($M1468="","",IF($M1468&gt;=$J1468,"Yes","No")))</f>
        <v/>
      </c>
      <c r="P1468" s="17">
        <f>IF($C1468="","",IF($K1468="","",IF(COUNTIFS(nrES_PID,$D1468,nrES_Code,$F1468,nrES_Att,"&gt;"&amp;$K1468)=0,"Yes","No")))</f>
        <v/>
      </c>
      <c r="Q1468" s="17">
        <f>IF($C1468="","",IF($L1468="","",IF(AND($K1468=1,$L1468&lt;$J1468,COUNTIFS(nrES_PID,$D1468,nrES_Code,$F1468,nrES_Att,2)=0),"Yes","No")))</f>
        <v/>
      </c>
      <c r="R1468" s="17">
        <f>IF($C1468="","",IF($L1468="","",IF(AND($K1468=2,$L1468&lt;$J1468,COUNTIFS(nrES_PID,$D1468,nrES_Code,$F1468,nrES_Att,1)&gt;0),"Yes","No")))</f>
        <v/>
      </c>
      <c r="S1468" s="18" t="n"/>
      <c r="T1468" s="19">
        <f>IF($Q1468&lt;&gt;"Yes","",IF($S1468="","(enter date)",_xlfn.LET(_xlpm.dn,IFERROR(_xlfn.XLOOKUP($S1468,nrCDdate,nrCDnum),""),IF(_xlpm.dn="","(not a class day)",IFERROR(_xlfn.XLOOKUP(_xlpm.dn+cfgRetestClassDays,nrCDnum,nrCDdate),"")))))</f>
        <v/>
      </c>
      <c r="U1468" s="17">
        <f>IF($Q1468&lt;&gt;"Yes","",IF(COUNTIFS(nrES_PID,$D1468,nrES_Code,$F1468,nrES_Att,2)&gt;0,"Retested",IF(OR($T1468="",NOT(ISNUMBER($T1468))),"Pending",IF(TODAY()&gt;$T1468,"OVERDUE","Due "&amp;TEXT($T1468,"mm/dd")))))</f>
        <v/>
      </c>
      <c r="V1468" s="16" t="n"/>
      <c r="W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K1469=1,IF(COUNTIFS(nrES_PID,$D1469,nrES_Code,$F1469,nrES_Att,2)&gt;0,"",$L1469),IF(COUNTIFS(nrES_PID,$D1469,nrES_Code,$F1469,nrES_Att,1)=0,$L1469,IF($L1469&gt;=$J1469,cfgRetakeRecordedCap,SUMIFS(nrES_Raw,nrES_PID,$D1469,nrES_Code,$F1469,nrES_Att,1))))))</f>
        <v/>
      </c>
      <c r="N1469" s="17">
        <f>IF($C1469="","",IF($L1469="","",IF($L1469&gt;=$J1469,"Yes","No")))</f>
        <v/>
      </c>
      <c r="O1469" s="17">
        <f>IF($C1469="","",IF($M1469="","",IF($M1469&gt;=$J1469,"Yes","No")))</f>
        <v/>
      </c>
      <c r="P1469" s="17">
        <f>IF($C1469="","",IF($K1469="","",IF(COUNTIFS(nrES_PID,$D1469,nrES_Code,$F1469,nrES_Att,"&gt;"&amp;$K1469)=0,"Yes","No")))</f>
        <v/>
      </c>
      <c r="Q1469" s="17">
        <f>IF($C1469="","",IF($L1469="","",IF(AND($K1469=1,$L1469&lt;$J1469,COUNTIFS(nrES_PID,$D1469,nrES_Code,$F1469,nrES_Att,2)=0),"Yes","No")))</f>
        <v/>
      </c>
      <c r="R1469" s="17">
        <f>IF($C1469="","",IF($L1469="","",IF(AND($K1469=2,$L1469&lt;$J1469,COUNTIFS(nrES_PID,$D1469,nrES_Code,$F1469,nrES_Att,1)&gt;0),"Yes","No")))</f>
        <v/>
      </c>
      <c r="S1469" s="18" t="n"/>
      <c r="T1469" s="19">
        <f>IF($Q1469&lt;&gt;"Yes","",IF($S1469="","(enter date)",_xlfn.LET(_xlpm.dn,IFERROR(_xlfn.XLOOKUP($S1469,nrCDdate,nrCDnum),""),IF(_xlpm.dn="","(not a class day)",IFERROR(_xlfn.XLOOKUP(_xlpm.dn+cfgRetestClassDays,nrCDnum,nrCDdate),"")))))</f>
        <v/>
      </c>
      <c r="U1469" s="17">
        <f>IF($Q1469&lt;&gt;"Yes","",IF(COUNTIFS(nrES_PID,$D1469,nrES_Code,$F1469,nrES_Att,2)&gt;0,"Retested",IF(OR($T1469="",NOT(ISNUMBER($T1469))),"Pending",IF(TODAY()&gt;$T1469,"OVERDUE","Due "&amp;TEXT($T1469,"mm/dd")))))</f>
        <v/>
      </c>
      <c r="V1469" s="16" t="n"/>
      <c r="W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K1470=1,IF(COUNTIFS(nrES_PID,$D1470,nrES_Code,$F1470,nrES_Att,2)&gt;0,"",$L1470),IF(COUNTIFS(nrES_PID,$D1470,nrES_Code,$F1470,nrES_Att,1)=0,$L1470,IF($L1470&gt;=$J1470,cfgRetakeRecordedCap,SUMIFS(nrES_Raw,nrES_PID,$D1470,nrES_Code,$F1470,nrES_Att,1))))))</f>
        <v/>
      </c>
      <c r="N1470" s="17">
        <f>IF($C1470="","",IF($L1470="","",IF($L1470&gt;=$J1470,"Yes","No")))</f>
        <v/>
      </c>
      <c r="O1470" s="17">
        <f>IF($C1470="","",IF($M1470="","",IF($M1470&gt;=$J1470,"Yes","No")))</f>
        <v/>
      </c>
      <c r="P1470" s="17">
        <f>IF($C1470="","",IF($K1470="","",IF(COUNTIFS(nrES_PID,$D1470,nrES_Code,$F1470,nrES_Att,"&gt;"&amp;$K1470)=0,"Yes","No")))</f>
        <v/>
      </c>
      <c r="Q1470" s="17">
        <f>IF($C1470="","",IF($L1470="","",IF(AND($K1470=1,$L1470&lt;$J1470,COUNTIFS(nrES_PID,$D1470,nrES_Code,$F1470,nrES_Att,2)=0),"Yes","No")))</f>
        <v/>
      </c>
      <c r="R1470" s="17">
        <f>IF($C1470="","",IF($L1470="","",IF(AND($K1470=2,$L1470&lt;$J1470,COUNTIFS(nrES_PID,$D1470,nrES_Code,$F1470,nrES_Att,1)&gt;0),"Yes","No")))</f>
        <v/>
      </c>
      <c r="S1470" s="18" t="n"/>
      <c r="T1470" s="19">
        <f>IF($Q1470&lt;&gt;"Yes","",IF($S1470="","(enter date)",_xlfn.LET(_xlpm.dn,IFERROR(_xlfn.XLOOKUP($S1470,nrCDdate,nrCDnum),""),IF(_xlpm.dn="","(not a class day)",IFERROR(_xlfn.XLOOKUP(_xlpm.dn+cfgRetestClassDays,nrCDnum,nrCDdate),"")))))</f>
        <v/>
      </c>
      <c r="U1470" s="17">
        <f>IF($Q1470&lt;&gt;"Yes","",IF(COUNTIFS(nrES_PID,$D1470,nrES_Code,$F1470,nrES_Att,2)&gt;0,"Retested",IF(OR($T1470="",NOT(ISNUMBER($T1470))),"Pending",IF(TODAY()&gt;$T1470,"OVERDUE","Due "&amp;TEXT($T1470,"mm/dd")))))</f>
        <v/>
      </c>
      <c r="V1470" s="16" t="n"/>
      <c r="W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K1471=1,IF(COUNTIFS(nrES_PID,$D1471,nrES_Code,$F1471,nrES_Att,2)&gt;0,"",$L1471),IF(COUNTIFS(nrES_PID,$D1471,nrES_Code,$F1471,nrES_Att,1)=0,$L1471,IF($L1471&gt;=$J1471,cfgRetakeRecordedCap,SUMIFS(nrES_Raw,nrES_PID,$D1471,nrES_Code,$F1471,nrES_Att,1))))))</f>
        <v/>
      </c>
      <c r="N1471" s="17">
        <f>IF($C1471="","",IF($L1471="","",IF($L1471&gt;=$J1471,"Yes","No")))</f>
        <v/>
      </c>
      <c r="O1471" s="17">
        <f>IF($C1471="","",IF($M1471="","",IF($M1471&gt;=$J1471,"Yes","No")))</f>
        <v/>
      </c>
      <c r="P1471" s="17">
        <f>IF($C1471="","",IF($K1471="","",IF(COUNTIFS(nrES_PID,$D1471,nrES_Code,$F1471,nrES_Att,"&gt;"&amp;$K1471)=0,"Yes","No")))</f>
        <v/>
      </c>
      <c r="Q1471" s="17">
        <f>IF($C1471="","",IF($L1471="","",IF(AND($K1471=1,$L1471&lt;$J1471,COUNTIFS(nrES_PID,$D1471,nrES_Code,$F1471,nrES_Att,2)=0),"Yes","No")))</f>
        <v/>
      </c>
      <c r="R1471" s="17">
        <f>IF($C1471="","",IF($L1471="","",IF(AND($K1471=2,$L1471&lt;$J1471,COUNTIFS(nrES_PID,$D1471,nrES_Code,$F1471,nrES_Att,1)&gt;0),"Yes","No")))</f>
        <v/>
      </c>
      <c r="S1471" s="18" t="n"/>
      <c r="T1471" s="19">
        <f>IF($Q1471&lt;&gt;"Yes","",IF($S1471="","(enter date)",_xlfn.LET(_xlpm.dn,IFERROR(_xlfn.XLOOKUP($S1471,nrCDdate,nrCDnum),""),IF(_xlpm.dn="","(not a class day)",IFERROR(_xlfn.XLOOKUP(_xlpm.dn+cfgRetestClassDays,nrCDnum,nrCDdate),"")))))</f>
        <v/>
      </c>
      <c r="U1471" s="17">
        <f>IF($Q1471&lt;&gt;"Yes","",IF(COUNTIFS(nrES_PID,$D1471,nrES_Code,$F1471,nrES_Att,2)&gt;0,"Retested",IF(OR($T1471="",NOT(ISNUMBER($T1471))),"Pending",IF(TODAY()&gt;$T1471,"OVERDUE","Due "&amp;TEXT($T1471,"mm/dd")))))</f>
        <v/>
      </c>
      <c r="V1471" s="16" t="n"/>
      <c r="W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K1472=1,IF(COUNTIFS(nrES_PID,$D1472,nrES_Code,$F1472,nrES_Att,2)&gt;0,"",$L1472),IF(COUNTIFS(nrES_PID,$D1472,nrES_Code,$F1472,nrES_Att,1)=0,$L1472,IF($L1472&gt;=$J1472,cfgRetakeRecordedCap,SUMIFS(nrES_Raw,nrES_PID,$D1472,nrES_Code,$F1472,nrES_Att,1))))))</f>
        <v/>
      </c>
      <c r="N1472" s="17">
        <f>IF($C1472="","",IF($L1472="","",IF($L1472&gt;=$J1472,"Yes","No")))</f>
        <v/>
      </c>
      <c r="O1472" s="17">
        <f>IF($C1472="","",IF($M1472="","",IF($M1472&gt;=$J1472,"Yes","No")))</f>
        <v/>
      </c>
      <c r="P1472" s="17">
        <f>IF($C1472="","",IF($K1472="","",IF(COUNTIFS(nrES_PID,$D1472,nrES_Code,$F1472,nrES_Att,"&gt;"&amp;$K1472)=0,"Yes","No")))</f>
        <v/>
      </c>
      <c r="Q1472" s="17">
        <f>IF($C1472="","",IF($L1472="","",IF(AND($K1472=1,$L1472&lt;$J1472,COUNTIFS(nrES_PID,$D1472,nrES_Code,$F1472,nrES_Att,2)=0),"Yes","No")))</f>
        <v/>
      </c>
      <c r="R1472" s="17">
        <f>IF($C1472="","",IF($L1472="","",IF(AND($K1472=2,$L1472&lt;$J1472,COUNTIFS(nrES_PID,$D1472,nrES_Code,$F1472,nrES_Att,1)&gt;0),"Yes","No")))</f>
        <v/>
      </c>
      <c r="S1472" s="18" t="n"/>
      <c r="T1472" s="19">
        <f>IF($Q1472&lt;&gt;"Yes","",IF($S1472="","(enter date)",_xlfn.LET(_xlpm.dn,IFERROR(_xlfn.XLOOKUP($S1472,nrCDdate,nrCDnum),""),IF(_xlpm.dn="","(not a class day)",IFERROR(_xlfn.XLOOKUP(_xlpm.dn+cfgRetestClassDays,nrCDnum,nrCDdate),"")))))</f>
        <v/>
      </c>
      <c r="U1472" s="17">
        <f>IF($Q1472&lt;&gt;"Yes","",IF(COUNTIFS(nrES_PID,$D1472,nrES_Code,$F1472,nrES_Att,2)&gt;0,"Retested",IF(OR($T1472="",NOT(ISNUMBER($T1472))),"Pending",IF(TODAY()&gt;$T1472,"OVERDUE","Due "&amp;TEXT($T1472,"mm/dd")))))</f>
        <v/>
      </c>
      <c r="V1472" s="16" t="n"/>
      <c r="W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K1473=1,IF(COUNTIFS(nrES_PID,$D1473,nrES_Code,$F1473,nrES_Att,2)&gt;0,"",$L1473),IF(COUNTIFS(nrES_PID,$D1473,nrES_Code,$F1473,nrES_Att,1)=0,$L1473,IF($L1473&gt;=$J1473,cfgRetakeRecordedCap,SUMIFS(nrES_Raw,nrES_PID,$D1473,nrES_Code,$F1473,nrES_Att,1))))))</f>
        <v/>
      </c>
      <c r="N1473" s="17">
        <f>IF($C1473="","",IF($L1473="","",IF($L1473&gt;=$J1473,"Yes","No")))</f>
        <v/>
      </c>
      <c r="O1473" s="17">
        <f>IF($C1473="","",IF($M1473="","",IF($M1473&gt;=$J1473,"Yes","No")))</f>
        <v/>
      </c>
      <c r="P1473" s="17">
        <f>IF($C1473="","",IF($K1473="","",IF(COUNTIFS(nrES_PID,$D1473,nrES_Code,$F1473,nrES_Att,"&gt;"&amp;$K1473)=0,"Yes","No")))</f>
        <v/>
      </c>
      <c r="Q1473" s="17">
        <f>IF($C1473="","",IF($L1473="","",IF(AND($K1473=1,$L1473&lt;$J1473,COUNTIFS(nrES_PID,$D1473,nrES_Code,$F1473,nrES_Att,2)=0),"Yes","No")))</f>
        <v/>
      </c>
      <c r="R1473" s="17">
        <f>IF($C1473="","",IF($L1473="","",IF(AND($K1473=2,$L1473&lt;$J1473,COUNTIFS(nrES_PID,$D1473,nrES_Code,$F1473,nrES_Att,1)&gt;0),"Yes","No")))</f>
        <v/>
      </c>
      <c r="S1473" s="18" t="n"/>
      <c r="T1473" s="19">
        <f>IF($Q1473&lt;&gt;"Yes","",IF($S1473="","(enter date)",_xlfn.LET(_xlpm.dn,IFERROR(_xlfn.XLOOKUP($S1473,nrCDdate,nrCDnum),""),IF(_xlpm.dn="","(not a class day)",IFERROR(_xlfn.XLOOKUP(_xlpm.dn+cfgRetestClassDays,nrCDnum,nrCDdate),"")))))</f>
        <v/>
      </c>
      <c r="U1473" s="17">
        <f>IF($Q1473&lt;&gt;"Yes","",IF(COUNTIFS(nrES_PID,$D1473,nrES_Code,$F1473,nrES_Att,2)&gt;0,"Retested",IF(OR($T1473="",NOT(ISNUMBER($T1473))),"Pending",IF(TODAY()&gt;$T1473,"OVERDUE","Due "&amp;TEXT($T1473,"mm/dd")))))</f>
        <v/>
      </c>
      <c r="V1473" s="16" t="n"/>
      <c r="W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K1474=1,IF(COUNTIFS(nrES_PID,$D1474,nrES_Code,$F1474,nrES_Att,2)&gt;0,"",$L1474),IF(COUNTIFS(nrES_PID,$D1474,nrES_Code,$F1474,nrES_Att,1)=0,$L1474,IF($L1474&gt;=$J1474,cfgRetakeRecordedCap,SUMIFS(nrES_Raw,nrES_PID,$D1474,nrES_Code,$F1474,nrES_Att,1))))))</f>
        <v/>
      </c>
      <c r="N1474" s="17">
        <f>IF($C1474="","",IF($L1474="","",IF($L1474&gt;=$J1474,"Yes","No")))</f>
        <v/>
      </c>
      <c r="O1474" s="17">
        <f>IF($C1474="","",IF($M1474="","",IF($M1474&gt;=$J1474,"Yes","No")))</f>
        <v/>
      </c>
      <c r="P1474" s="17">
        <f>IF($C1474="","",IF($K1474="","",IF(COUNTIFS(nrES_PID,$D1474,nrES_Code,$F1474,nrES_Att,"&gt;"&amp;$K1474)=0,"Yes","No")))</f>
        <v/>
      </c>
      <c r="Q1474" s="17">
        <f>IF($C1474="","",IF($L1474="","",IF(AND($K1474=1,$L1474&lt;$J1474,COUNTIFS(nrES_PID,$D1474,nrES_Code,$F1474,nrES_Att,2)=0),"Yes","No")))</f>
        <v/>
      </c>
      <c r="R1474" s="17">
        <f>IF($C1474="","",IF($L1474="","",IF(AND($K1474=2,$L1474&lt;$J1474,COUNTIFS(nrES_PID,$D1474,nrES_Code,$F1474,nrES_Att,1)&gt;0),"Yes","No")))</f>
        <v/>
      </c>
      <c r="S1474" s="18" t="n"/>
      <c r="T1474" s="19">
        <f>IF($Q1474&lt;&gt;"Yes","",IF($S1474="","(enter date)",_xlfn.LET(_xlpm.dn,IFERROR(_xlfn.XLOOKUP($S1474,nrCDdate,nrCDnum),""),IF(_xlpm.dn="","(not a class day)",IFERROR(_xlfn.XLOOKUP(_xlpm.dn+cfgRetestClassDays,nrCDnum,nrCDdate),"")))))</f>
        <v/>
      </c>
      <c r="U1474" s="17">
        <f>IF($Q1474&lt;&gt;"Yes","",IF(COUNTIFS(nrES_PID,$D1474,nrES_Code,$F1474,nrES_Att,2)&gt;0,"Retested",IF(OR($T1474="",NOT(ISNUMBER($T1474))),"Pending",IF(TODAY()&gt;$T1474,"OVERDUE","Due "&amp;TEXT($T1474,"mm/dd")))))</f>
        <v/>
      </c>
      <c r="V1474" s="16" t="n"/>
      <c r="W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K1475=1,IF(COUNTIFS(nrES_PID,$D1475,nrES_Code,$F1475,nrES_Att,2)&gt;0,"",$L1475),IF(COUNTIFS(nrES_PID,$D1475,nrES_Code,$F1475,nrES_Att,1)=0,$L1475,IF($L1475&gt;=$J1475,cfgRetakeRecordedCap,SUMIFS(nrES_Raw,nrES_PID,$D1475,nrES_Code,$F1475,nrES_Att,1))))))</f>
        <v/>
      </c>
      <c r="N1475" s="17">
        <f>IF($C1475="","",IF($L1475="","",IF($L1475&gt;=$J1475,"Yes","No")))</f>
        <v/>
      </c>
      <c r="O1475" s="17">
        <f>IF($C1475="","",IF($M1475="","",IF($M1475&gt;=$J1475,"Yes","No")))</f>
        <v/>
      </c>
      <c r="P1475" s="17">
        <f>IF($C1475="","",IF($K1475="","",IF(COUNTIFS(nrES_PID,$D1475,nrES_Code,$F1475,nrES_Att,"&gt;"&amp;$K1475)=0,"Yes","No")))</f>
        <v/>
      </c>
      <c r="Q1475" s="17">
        <f>IF($C1475="","",IF($L1475="","",IF(AND($K1475=1,$L1475&lt;$J1475,COUNTIFS(nrES_PID,$D1475,nrES_Code,$F1475,nrES_Att,2)=0),"Yes","No")))</f>
        <v/>
      </c>
      <c r="R1475" s="17">
        <f>IF($C1475="","",IF($L1475="","",IF(AND($K1475=2,$L1475&lt;$J1475,COUNTIFS(nrES_PID,$D1475,nrES_Code,$F1475,nrES_Att,1)&gt;0),"Yes","No")))</f>
        <v/>
      </c>
      <c r="S1475" s="18" t="n"/>
      <c r="T1475" s="19">
        <f>IF($Q1475&lt;&gt;"Yes","",IF($S1475="","(enter date)",_xlfn.LET(_xlpm.dn,IFERROR(_xlfn.XLOOKUP($S1475,nrCDdate,nrCDnum),""),IF(_xlpm.dn="","(not a class day)",IFERROR(_xlfn.XLOOKUP(_xlpm.dn+cfgRetestClassDays,nrCDnum,nrCDdate),"")))))</f>
        <v/>
      </c>
      <c r="U1475" s="17">
        <f>IF($Q1475&lt;&gt;"Yes","",IF(COUNTIFS(nrES_PID,$D1475,nrES_Code,$F1475,nrES_Att,2)&gt;0,"Retested",IF(OR($T1475="",NOT(ISNUMBER($T1475))),"Pending",IF(TODAY()&gt;$T1475,"OVERDUE","Due "&amp;TEXT($T1475,"mm/dd")))))</f>
        <v/>
      </c>
      <c r="V1475" s="16" t="n"/>
      <c r="W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K1476=1,IF(COUNTIFS(nrES_PID,$D1476,nrES_Code,$F1476,nrES_Att,2)&gt;0,"",$L1476),IF(COUNTIFS(nrES_PID,$D1476,nrES_Code,$F1476,nrES_Att,1)=0,$L1476,IF($L1476&gt;=$J1476,cfgRetakeRecordedCap,SUMIFS(nrES_Raw,nrES_PID,$D1476,nrES_Code,$F1476,nrES_Att,1))))))</f>
        <v/>
      </c>
      <c r="N1476" s="17">
        <f>IF($C1476="","",IF($L1476="","",IF($L1476&gt;=$J1476,"Yes","No")))</f>
        <v/>
      </c>
      <c r="O1476" s="17">
        <f>IF($C1476="","",IF($M1476="","",IF($M1476&gt;=$J1476,"Yes","No")))</f>
        <v/>
      </c>
      <c r="P1476" s="17">
        <f>IF($C1476="","",IF($K1476="","",IF(COUNTIFS(nrES_PID,$D1476,nrES_Code,$F1476,nrES_Att,"&gt;"&amp;$K1476)=0,"Yes","No")))</f>
        <v/>
      </c>
      <c r="Q1476" s="17">
        <f>IF($C1476="","",IF($L1476="","",IF(AND($K1476=1,$L1476&lt;$J1476,COUNTIFS(nrES_PID,$D1476,nrES_Code,$F1476,nrES_Att,2)=0),"Yes","No")))</f>
        <v/>
      </c>
      <c r="R1476" s="17">
        <f>IF($C1476="","",IF($L1476="","",IF(AND($K1476=2,$L1476&lt;$J1476,COUNTIFS(nrES_PID,$D1476,nrES_Code,$F1476,nrES_Att,1)&gt;0),"Yes","No")))</f>
        <v/>
      </c>
      <c r="S1476" s="18" t="n"/>
      <c r="T1476" s="19">
        <f>IF($Q1476&lt;&gt;"Yes","",IF($S1476="","(enter date)",_xlfn.LET(_xlpm.dn,IFERROR(_xlfn.XLOOKUP($S1476,nrCDdate,nrCDnum),""),IF(_xlpm.dn="","(not a class day)",IFERROR(_xlfn.XLOOKUP(_xlpm.dn+cfgRetestClassDays,nrCDnum,nrCDdate),"")))))</f>
        <v/>
      </c>
      <c r="U1476" s="17">
        <f>IF($Q1476&lt;&gt;"Yes","",IF(COUNTIFS(nrES_PID,$D1476,nrES_Code,$F1476,nrES_Att,2)&gt;0,"Retested",IF(OR($T1476="",NOT(ISNUMBER($T1476))),"Pending",IF(TODAY()&gt;$T1476,"OVERDUE","Due "&amp;TEXT($T1476,"mm/dd")))))</f>
        <v/>
      </c>
      <c r="V1476" s="16" t="n"/>
      <c r="W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K1477=1,IF(COUNTIFS(nrES_PID,$D1477,nrES_Code,$F1477,nrES_Att,2)&gt;0,"",$L1477),IF(COUNTIFS(nrES_PID,$D1477,nrES_Code,$F1477,nrES_Att,1)=0,$L1477,IF($L1477&gt;=$J1477,cfgRetakeRecordedCap,SUMIFS(nrES_Raw,nrES_PID,$D1477,nrES_Code,$F1477,nrES_Att,1))))))</f>
        <v/>
      </c>
      <c r="N1477" s="17">
        <f>IF($C1477="","",IF($L1477="","",IF($L1477&gt;=$J1477,"Yes","No")))</f>
        <v/>
      </c>
      <c r="O1477" s="17">
        <f>IF($C1477="","",IF($M1477="","",IF($M1477&gt;=$J1477,"Yes","No")))</f>
        <v/>
      </c>
      <c r="P1477" s="17">
        <f>IF($C1477="","",IF($K1477="","",IF(COUNTIFS(nrES_PID,$D1477,nrES_Code,$F1477,nrES_Att,"&gt;"&amp;$K1477)=0,"Yes","No")))</f>
        <v/>
      </c>
      <c r="Q1477" s="17">
        <f>IF($C1477="","",IF($L1477="","",IF(AND($K1477=1,$L1477&lt;$J1477,COUNTIFS(nrES_PID,$D1477,nrES_Code,$F1477,nrES_Att,2)=0),"Yes","No")))</f>
        <v/>
      </c>
      <c r="R1477" s="17">
        <f>IF($C1477="","",IF($L1477="","",IF(AND($K1477=2,$L1477&lt;$J1477,COUNTIFS(nrES_PID,$D1477,nrES_Code,$F1477,nrES_Att,1)&gt;0),"Yes","No")))</f>
        <v/>
      </c>
      <c r="S1477" s="18" t="n"/>
      <c r="T1477" s="19">
        <f>IF($Q1477&lt;&gt;"Yes","",IF($S1477="","(enter date)",_xlfn.LET(_xlpm.dn,IFERROR(_xlfn.XLOOKUP($S1477,nrCDdate,nrCDnum),""),IF(_xlpm.dn="","(not a class day)",IFERROR(_xlfn.XLOOKUP(_xlpm.dn+cfgRetestClassDays,nrCDnum,nrCDdate),"")))))</f>
        <v/>
      </c>
      <c r="U1477" s="17">
        <f>IF($Q1477&lt;&gt;"Yes","",IF(COUNTIFS(nrES_PID,$D1477,nrES_Code,$F1477,nrES_Att,2)&gt;0,"Retested",IF(OR($T1477="",NOT(ISNUMBER($T1477))),"Pending",IF(TODAY()&gt;$T1477,"OVERDUE","Due "&amp;TEXT($T1477,"mm/dd")))))</f>
        <v/>
      </c>
      <c r="V1477" s="16" t="n"/>
      <c r="W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K1478=1,IF(COUNTIFS(nrES_PID,$D1478,nrES_Code,$F1478,nrES_Att,2)&gt;0,"",$L1478),IF(COUNTIFS(nrES_PID,$D1478,nrES_Code,$F1478,nrES_Att,1)=0,$L1478,IF($L1478&gt;=$J1478,cfgRetakeRecordedCap,SUMIFS(nrES_Raw,nrES_PID,$D1478,nrES_Code,$F1478,nrES_Att,1))))))</f>
        <v/>
      </c>
      <c r="N1478" s="17">
        <f>IF($C1478="","",IF($L1478="","",IF($L1478&gt;=$J1478,"Yes","No")))</f>
        <v/>
      </c>
      <c r="O1478" s="17">
        <f>IF($C1478="","",IF($M1478="","",IF($M1478&gt;=$J1478,"Yes","No")))</f>
        <v/>
      </c>
      <c r="P1478" s="17">
        <f>IF($C1478="","",IF($K1478="","",IF(COUNTIFS(nrES_PID,$D1478,nrES_Code,$F1478,nrES_Att,"&gt;"&amp;$K1478)=0,"Yes","No")))</f>
        <v/>
      </c>
      <c r="Q1478" s="17">
        <f>IF($C1478="","",IF($L1478="","",IF(AND($K1478=1,$L1478&lt;$J1478,COUNTIFS(nrES_PID,$D1478,nrES_Code,$F1478,nrES_Att,2)=0),"Yes","No")))</f>
        <v/>
      </c>
      <c r="R1478" s="17">
        <f>IF($C1478="","",IF($L1478="","",IF(AND($K1478=2,$L1478&lt;$J1478,COUNTIFS(nrES_PID,$D1478,nrES_Code,$F1478,nrES_Att,1)&gt;0),"Yes","No")))</f>
        <v/>
      </c>
      <c r="S1478" s="18" t="n"/>
      <c r="T1478" s="19">
        <f>IF($Q1478&lt;&gt;"Yes","",IF($S1478="","(enter date)",_xlfn.LET(_xlpm.dn,IFERROR(_xlfn.XLOOKUP($S1478,nrCDdate,nrCDnum),""),IF(_xlpm.dn="","(not a class day)",IFERROR(_xlfn.XLOOKUP(_xlpm.dn+cfgRetestClassDays,nrCDnum,nrCDdate),"")))))</f>
        <v/>
      </c>
      <c r="U1478" s="17">
        <f>IF($Q1478&lt;&gt;"Yes","",IF(COUNTIFS(nrES_PID,$D1478,nrES_Code,$F1478,nrES_Att,2)&gt;0,"Retested",IF(OR($T1478="",NOT(ISNUMBER($T1478))),"Pending",IF(TODAY()&gt;$T1478,"OVERDUE","Due "&amp;TEXT($T1478,"mm/dd")))))</f>
        <v/>
      </c>
      <c r="V1478" s="16" t="n"/>
      <c r="W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K1479=1,IF(COUNTIFS(nrES_PID,$D1479,nrES_Code,$F1479,nrES_Att,2)&gt;0,"",$L1479),IF(COUNTIFS(nrES_PID,$D1479,nrES_Code,$F1479,nrES_Att,1)=0,$L1479,IF($L1479&gt;=$J1479,cfgRetakeRecordedCap,SUMIFS(nrES_Raw,nrES_PID,$D1479,nrES_Code,$F1479,nrES_Att,1))))))</f>
        <v/>
      </c>
      <c r="N1479" s="17">
        <f>IF($C1479="","",IF($L1479="","",IF($L1479&gt;=$J1479,"Yes","No")))</f>
        <v/>
      </c>
      <c r="O1479" s="17">
        <f>IF($C1479="","",IF($M1479="","",IF($M1479&gt;=$J1479,"Yes","No")))</f>
        <v/>
      </c>
      <c r="P1479" s="17">
        <f>IF($C1479="","",IF($K1479="","",IF(COUNTIFS(nrES_PID,$D1479,nrES_Code,$F1479,nrES_Att,"&gt;"&amp;$K1479)=0,"Yes","No")))</f>
        <v/>
      </c>
      <c r="Q1479" s="17">
        <f>IF($C1479="","",IF($L1479="","",IF(AND($K1479=1,$L1479&lt;$J1479,COUNTIFS(nrES_PID,$D1479,nrES_Code,$F1479,nrES_Att,2)=0),"Yes","No")))</f>
        <v/>
      </c>
      <c r="R1479" s="17">
        <f>IF($C1479="","",IF($L1479="","",IF(AND($K1479=2,$L1479&lt;$J1479,COUNTIFS(nrES_PID,$D1479,nrES_Code,$F1479,nrES_Att,1)&gt;0),"Yes","No")))</f>
        <v/>
      </c>
      <c r="S1479" s="18" t="n"/>
      <c r="T1479" s="19">
        <f>IF($Q1479&lt;&gt;"Yes","",IF($S1479="","(enter date)",_xlfn.LET(_xlpm.dn,IFERROR(_xlfn.XLOOKUP($S1479,nrCDdate,nrCDnum),""),IF(_xlpm.dn="","(not a class day)",IFERROR(_xlfn.XLOOKUP(_xlpm.dn+cfgRetestClassDays,nrCDnum,nrCDdate),"")))))</f>
        <v/>
      </c>
      <c r="U1479" s="17">
        <f>IF($Q1479&lt;&gt;"Yes","",IF(COUNTIFS(nrES_PID,$D1479,nrES_Code,$F1479,nrES_Att,2)&gt;0,"Retested",IF(OR($T1479="",NOT(ISNUMBER($T1479))),"Pending",IF(TODAY()&gt;$T1479,"OVERDUE","Due "&amp;TEXT($T1479,"mm/dd")))))</f>
        <v/>
      </c>
      <c r="V1479" s="16" t="n"/>
      <c r="W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K1480=1,IF(COUNTIFS(nrES_PID,$D1480,nrES_Code,$F1480,nrES_Att,2)&gt;0,"",$L1480),IF(COUNTIFS(nrES_PID,$D1480,nrES_Code,$F1480,nrES_Att,1)=0,$L1480,IF($L1480&gt;=$J1480,cfgRetakeRecordedCap,SUMIFS(nrES_Raw,nrES_PID,$D1480,nrES_Code,$F1480,nrES_Att,1))))))</f>
        <v/>
      </c>
      <c r="N1480" s="17">
        <f>IF($C1480="","",IF($L1480="","",IF($L1480&gt;=$J1480,"Yes","No")))</f>
        <v/>
      </c>
      <c r="O1480" s="17">
        <f>IF($C1480="","",IF($M1480="","",IF($M1480&gt;=$J1480,"Yes","No")))</f>
        <v/>
      </c>
      <c r="P1480" s="17">
        <f>IF($C1480="","",IF($K1480="","",IF(COUNTIFS(nrES_PID,$D1480,nrES_Code,$F1480,nrES_Att,"&gt;"&amp;$K1480)=0,"Yes","No")))</f>
        <v/>
      </c>
      <c r="Q1480" s="17">
        <f>IF($C1480="","",IF($L1480="","",IF(AND($K1480=1,$L1480&lt;$J1480,COUNTIFS(nrES_PID,$D1480,nrES_Code,$F1480,nrES_Att,2)=0),"Yes","No")))</f>
        <v/>
      </c>
      <c r="R1480" s="17">
        <f>IF($C1480="","",IF($L1480="","",IF(AND($K1480=2,$L1480&lt;$J1480,COUNTIFS(nrES_PID,$D1480,nrES_Code,$F1480,nrES_Att,1)&gt;0),"Yes","No")))</f>
        <v/>
      </c>
      <c r="S1480" s="18" t="n"/>
      <c r="T1480" s="19">
        <f>IF($Q1480&lt;&gt;"Yes","",IF($S1480="","(enter date)",_xlfn.LET(_xlpm.dn,IFERROR(_xlfn.XLOOKUP($S1480,nrCDdate,nrCDnum),""),IF(_xlpm.dn="","(not a class day)",IFERROR(_xlfn.XLOOKUP(_xlpm.dn+cfgRetestClassDays,nrCDnum,nrCDdate),"")))))</f>
        <v/>
      </c>
      <c r="U1480" s="17">
        <f>IF($Q1480&lt;&gt;"Yes","",IF(COUNTIFS(nrES_PID,$D1480,nrES_Code,$F1480,nrES_Att,2)&gt;0,"Retested",IF(OR($T1480="",NOT(ISNUMBER($T1480))),"Pending",IF(TODAY()&gt;$T1480,"OVERDUE","Due "&amp;TEXT($T1480,"mm/dd")))))</f>
        <v/>
      </c>
      <c r="V1480" s="16" t="n"/>
      <c r="W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K1481=1,IF(COUNTIFS(nrES_PID,$D1481,nrES_Code,$F1481,nrES_Att,2)&gt;0,"",$L1481),IF(COUNTIFS(nrES_PID,$D1481,nrES_Code,$F1481,nrES_Att,1)=0,$L1481,IF($L1481&gt;=$J1481,cfgRetakeRecordedCap,SUMIFS(nrES_Raw,nrES_PID,$D1481,nrES_Code,$F1481,nrES_Att,1))))))</f>
        <v/>
      </c>
      <c r="N1481" s="17">
        <f>IF($C1481="","",IF($L1481="","",IF($L1481&gt;=$J1481,"Yes","No")))</f>
        <v/>
      </c>
      <c r="O1481" s="17">
        <f>IF($C1481="","",IF($M1481="","",IF($M1481&gt;=$J1481,"Yes","No")))</f>
        <v/>
      </c>
      <c r="P1481" s="17">
        <f>IF($C1481="","",IF($K1481="","",IF(COUNTIFS(nrES_PID,$D1481,nrES_Code,$F1481,nrES_Att,"&gt;"&amp;$K1481)=0,"Yes","No")))</f>
        <v/>
      </c>
      <c r="Q1481" s="17">
        <f>IF($C1481="","",IF($L1481="","",IF(AND($K1481=1,$L1481&lt;$J1481,COUNTIFS(nrES_PID,$D1481,nrES_Code,$F1481,nrES_Att,2)=0),"Yes","No")))</f>
        <v/>
      </c>
      <c r="R1481" s="17">
        <f>IF($C1481="","",IF($L1481="","",IF(AND($K1481=2,$L1481&lt;$J1481,COUNTIFS(nrES_PID,$D1481,nrES_Code,$F1481,nrES_Att,1)&gt;0),"Yes","No")))</f>
        <v/>
      </c>
      <c r="S1481" s="18" t="n"/>
      <c r="T1481" s="19">
        <f>IF($Q1481&lt;&gt;"Yes","",IF($S1481="","(enter date)",_xlfn.LET(_xlpm.dn,IFERROR(_xlfn.XLOOKUP($S1481,nrCDdate,nrCDnum),""),IF(_xlpm.dn="","(not a class day)",IFERROR(_xlfn.XLOOKUP(_xlpm.dn+cfgRetestClassDays,nrCDnum,nrCDdate),"")))))</f>
        <v/>
      </c>
      <c r="U1481" s="17">
        <f>IF($Q1481&lt;&gt;"Yes","",IF(COUNTIFS(nrES_PID,$D1481,nrES_Code,$F1481,nrES_Att,2)&gt;0,"Retested",IF(OR($T1481="",NOT(ISNUMBER($T1481))),"Pending",IF(TODAY()&gt;$T1481,"OVERDUE","Due "&amp;TEXT($T1481,"mm/dd")))))</f>
        <v/>
      </c>
      <c r="V1481" s="16" t="n"/>
      <c r="W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K1482=1,IF(COUNTIFS(nrES_PID,$D1482,nrES_Code,$F1482,nrES_Att,2)&gt;0,"",$L1482),IF(COUNTIFS(nrES_PID,$D1482,nrES_Code,$F1482,nrES_Att,1)=0,$L1482,IF($L1482&gt;=$J1482,cfgRetakeRecordedCap,SUMIFS(nrES_Raw,nrES_PID,$D1482,nrES_Code,$F1482,nrES_Att,1))))))</f>
        <v/>
      </c>
      <c r="N1482" s="17">
        <f>IF($C1482="","",IF($L1482="","",IF($L1482&gt;=$J1482,"Yes","No")))</f>
        <v/>
      </c>
      <c r="O1482" s="17">
        <f>IF($C1482="","",IF($M1482="","",IF($M1482&gt;=$J1482,"Yes","No")))</f>
        <v/>
      </c>
      <c r="P1482" s="17">
        <f>IF($C1482="","",IF($K1482="","",IF(COUNTIFS(nrES_PID,$D1482,nrES_Code,$F1482,nrES_Att,"&gt;"&amp;$K1482)=0,"Yes","No")))</f>
        <v/>
      </c>
      <c r="Q1482" s="17">
        <f>IF($C1482="","",IF($L1482="","",IF(AND($K1482=1,$L1482&lt;$J1482,COUNTIFS(nrES_PID,$D1482,nrES_Code,$F1482,nrES_Att,2)=0),"Yes","No")))</f>
        <v/>
      </c>
      <c r="R1482" s="17">
        <f>IF($C1482="","",IF($L1482="","",IF(AND($K1482=2,$L1482&lt;$J1482,COUNTIFS(nrES_PID,$D1482,nrES_Code,$F1482,nrES_Att,1)&gt;0),"Yes","No")))</f>
        <v/>
      </c>
      <c r="S1482" s="18" t="n"/>
      <c r="T1482" s="19">
        <f>IF($Q1482&lt;&gt;"Yes","",IF($S1482="","(enter date)",_xlfn.LET(_xlpm.dn,IFERROR(_xlfn.XLOOKUP($S1482,nrCDdate,nrCDnum),""),IF(_xlpm.dn="","(not a class day)",IFERROR(_xlfn.XLOOKUP(_xlpm.dn+cfgRetestClassDays,nrCDnum,nrCDdate),"")))))</f>
        <v/>
      </c>
      <c r="U1482" s="17">
        <f>IF($Q1482&lt;&gt;"Yes","",IF(COUNTIFS(nrES_PID,$D1482,nrES_Code,$F1482,nrES_Att,2)&gt;0,"Retested",IF(OR($T1482="",NOT(ISNUMBER($T1482))),"Pending",IF(TODAY()&gt;$T1482,"OVERDUE","Due "&amp;TEXT($T1482,"mm/dd")))))</f>
        <v/>
      </c>
      <c r="V1482" s="16" t="n"/>
      <c r="W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K1483=1,IF(COUNTIFS(nrES_PID,$D1483,nrES_Code,$F1483,nrES_Att,2)&gt;0,"",$L1483),IF(COUNTIFS(nrES_PID,$D1483,nrES_Code,$F1483,nrES_Att,1)=0,$L1483,IF($L1483&gt;=$J1483,cfgRetakeRecordedCap,SUMIFS(nrES_Raw,nrES_PID,$D1483,nrES_Code,$F1483,nrES_Att,1))))))</f>
        <v/>
      </c>
      <c r="N1483" s="17">
        <f>IF($C1483="","",IF($L1483="","",IF($L1483&gt;=$J1483,"Yes","No")))</f>
        <v/>
      </c>
      <c r="O1483" s="17">
        <f>IF($C1483="","",IF($M1483="","",IF($M1483&gt;=$J1483,"Yes","No")))</f>
        <v/>
      </c>
      <c r="P1483" s="17">
        <f>IF($C1483="","",IF($K1483="","",IF(COUNTIFS(nrES_PID,$D1483,nrES_Code,$F1483,nrES_Att,"&gt;"&amp;$K1483)=0,"Yes","No")))</f>
        <v/>
      </c>
      <c r="Q1483" s="17">
        <f>IF($C1483="","",IF($L1483="","",IF(AND($K1483=1,$L1483&lt;$J1483,COUNTIFS(nrES_PID,$D1483,nrES_Code,$F1483,nrES_Att,2)=0),"Yes","No")))</f>
        <v/>
      </c>
      <c r="R1483" s="17">
        <f>IF($C1483="","",IF($L1483="","",IF(AND($K1483=2,$L1483&lt;$J1483,COUNTIFS(nrES_PID,$D1483,nrES_Code,$F1483,nrES_Att,1)&gt;0),"Yes","No")))</f>
        <v/>
      </c>
      <c r="S1483" s="18" t="n"/>
      <c r="T1483" s="19">
        <f>IF($Q1483&lt;&gt;"Yes","",IF($S1483="","(enter date)",_xlfn.LET(_xlpm.dn,IFERROR(_xlfn.XLOOKUP($S1483,nrCDdate,nrCDnum),""),IF(_xlpm.dn="","(not a class day)",IFERROR(_xlfn.XLOOKUP(_xlpm.dn+cfgRetestClassDays,nrCDnum,nrCDdate),"")))))</f>
        <v/>
      </c>
      <c r="U1483" s="17">
        <f>IF($Q1483&lt;&gt;"Yes","",IF(COUNTIFS(nrES_PID,$D1483,nrES_Code,$F1483,nrES_Att,2)&gt;0,"Retested",IF(OR($T1483="",NOT(ISNUMBER($T1483))),"Pending",IF(TODAY()&gt;$T1483,"OVERDUE","Due "&amp;TEXT($T1483,"mm/dd")))))</f>
        <v/>
      </c>
      <c r="V1483" s="16" t="n"/>
      <c r="W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K1484=1,IF(COUNTIFS(nrES_PID,$D1484,nrES_Code,$F1484,nrES_Att,2)&gt;0,"",$L1484),IF(COUNTIFS(nrES_PID,$D1484,nrES_Code,$F1484,nrES_Att,1)=0,$L1484,IF($L1484&gt;=$J1484,cfgRetakeRecordedCap,SUMIFS(nrES_Raw,nrES_PID,$D1484,nrES_Code,$F1484,nrES_Att,1))))))</f>
        <v/>
      </c>
      <c r="N1484" s="17">
        <f>IF($C1484="","",IF($L1484="","",IF($L1484&gt;=$J1484,"Yes","No")))</f>
        <v/>
      </c>
      <c r="O1484" s="17">
        <f>IF($C1484="","",IF($M1484="","",IF($M1484&gt;=$J1484,"Yes","No")))</f>
        <v/>
      </c>
      <c r="P1484" s="17">
        <f>IF($C1484="","",IF($K1484="","",IF(COUNTIFS(nrES_PID,$D1484,nrES_Code,$F1484,nrES_Att,"&gt;"&amp;$K1484)=0,"Yes","No")))</f>
        <v/>
      </c>
      <c r="Q1484" s="17">
        <f>IF($C1484="","",IF($L1484="","",IF(AND($K1484=1,$L1484&lt;$J1484,COUNTIFS(nrES_PID,$D1484,nrES_Code,$F1484,nrES_Att,2)=0),"Yes","No")))</f>
        <v/>
      </c>
      <c r="R1484" s="17">
        <f>IF($C1484="","",IF($L1484="","",IF(AND($K1484=2,$L1484&lt;$J1484,COUNTIFS(nrES_PID,$D1484,nrES_Code,$F1484,nrES_Att,1)&gt;0),"Yes","No")))</f>
        <v/>
      </c>
      <c r="S1484" s="18" t="n"/>
      <c r="T1484" s="19">
        <f>IF($Q1484&lt;&gt;"Yes","",IF($S1484="","(enter date)",_xlfn.LET(_xlpm.dn,IFERROR(_xlfn.XLOOKUP($S1484,nrCDdate,nrCDnum),""),IF(_xlpm.dn="","(not a class day)",IFERROR(_xlfn.XLOOKUP(_xlpm.dn+cfgRetestClassDays,nrCDnum,nrCDdate),"")))))</f>
        <v/>
      </c>
      <c r="U1484" s="17">
        <f>IF($Q1484&lt;&gt;"Yes","",IF(COUNTIFS(nrES_PID,$D1484,nrES_Code,$F1484,nrES_Att,2)&gt;0,"Retested",IF(OR($T1484="",NOT(ISNUMBER($T1484))),"Pending",IF(TODAY()&gt;$T1484,"OVERDUE","Due "&amp;TEXT($T1484,"mm/dd")))))</f>
        <v/>
      </c>
      <c r="V1484" s="16" t="n"/>
      <c r="W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K1485=1,IF(COUNTIFS(nrES_PID,$D1485,nrES_Code,$F1485,nrES_Att,2)&gt;0,"",$L1485),IF(COUNTIFS(nrES_PID,$D1485,nrES_Code,$F1485,nrES_Att,1)=0,$L1485,IF($L1485&gt;=$J1485,cfgRetakeRecordedCap,SUMIFS(nrES_Raw,nrES_PID,$D1485,nrES_Code,$F1485,nrES_Att,1))))))</f>
        <v/>
      </c>
      <c r="N1485" s="17">
        <f>IF($C1485="","",IF($L1485="","",IF($L1485&gt;=$J1485,"Yes","No")))</f>
        <v/>
      </c>
      <c r="O1485" s="17">
        <f>IF($C1485="","",IF($M1485="","",IF($M1485&gt;=$J1485,"Yes","No")))</f>
        <v/>
      </c>
      <c r="P1485" s="17">
        <f>IF($C1485="","",IF($K1485="","",IF(COUNTIFS(nrES_PID,$D1485,nrES_Code,$F1485,nrES_Att,"&gt;"&amp;$K1485)=0,"Yes","No")))</f>
        <v/>
      </c>
      <c r="Q1485" s="17">
        <f>IF($C1485="","",IF($L1485="","",IF(AND($K1485=1,$L1485&lt;$J1485,COUNTIFS(nrES_PID,$D1485,nrES_Code,$F1485,nrES_Att,2)=0),"Yes","No")))</f>
        <v/>
      </c>
      <c r="R1485" s="17">
        <f>IF($C1485="","",IF($L1485="","",IF(AND($K1485=2,$L1485&lt;$J1485,COUNTIFS(nrES_PID,$D1485,nrES_Code,$F1485,nrES_Att,1)&gt;0),"Yes","No")))</f>
        <v/>
      </c>
      <c r="S1485" s="18" t="n"/>
      <c r="T1485" s="19">
        <f>IF($Q1485&lt;&gt;"Yes","",IF($S1485="","(enter date)",_xlfn.LET(_xlpm.dn,IFERROR(_xlfn.XLOOKUP($S1485,nrCDdate,nrCDnum),""),IF(_xlpm.dn="","(not a class day)",IFERROR(_xlfn.XLOOKUP(_xlpm.dn+cfgRetestClassDays,nrCDnum,nrCDdate),"")))))</f>
        <v/>
      </c>
      <c r="U1485" s="17">
        <f>IF($Q1485&lt;&gt;"Yes","",IF(COUNTIFS(nrES_PID,$D1485,nrES_Code,$F1485,nrES_Att,2)&gt;0,"Retested",IF(OR($T1485="",NOT(ISNUMBER($T1485))),"Pending",IF(TODAY()&gt;$T1485,"OVERDUE","Due "&amp;TEXT($T1485,"mm/dd")))))</f>
        <v/>
      </c>
      <c r="V1485" s="16" t="n"/>
      <c r="W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K1486=1,IF(COUNTIFS(nrES_PID,$D1486,nrES_Code,$F1486,nrES_Att,2)&gt;0,"",$L1486),IF(COUNTIFS(nrES_PID,$D1486,nrES_Code,$F1486,nrES_Att,1)=0,$L1486,IF($L1486&gt;=$J1486,cfgRetakeRecordedCap,SUMIFS(nrES_Raw,nrES_PID,$D1486,nrES_Code,$F1486,nrES_Att,1))))))</f>
        <v/>
      </c>
      <c r="N1486" s="17">
        <f>IF($C1486="","",IF($L1486="","",IF($L1486&gt;=$J1486,"Yes","No")))</f>
        <v/>
      </c>
      <c r="O1486" s="17">
        <f>IF($C1486="","",IF($M1486="","",IF($M1486&gt;=$J1486,"Yes","No")))</f>
        <v/>
      </c>
      <c r="P1486" s="17">
        <f>IF($C1486="","",IF($K1486="","",IF(COUNTIFS(nrES_PID,$D1486,nrES_Code,$F1486,nrES_Att,"&gt;"&amp;$K1486)=0,"Yes","No")))</f>
        <v/>
      </c>
      <c r="Q1486" s="17">
        <f>IF($C1486="","",IF($L1486="","",IF(AND($K1486=1,$L1486&lt;$J1486,COUNTIFS(nrES_PID,$D1486,nrES_Code,$F1486,nrES_Att,2)=0),"Yes","No")))</f>
        <v/>
      </c>
      <c r="R1486" s="17">
        <f>IF($C1486="","",IF($L1486="","",IF(AND($K1486=2,$L1486&lt;$J1486,COUNTIFS(nrES_PID,$D1486,nrES_Code,$F1486,nrES_Att,1)&gt;0),"Yes","No")))</f>
        <v/>
      </c>
      <c r="S1486" s="18" t="n"/>
      <c r="T1486" s="19">
        <f>IF($Q1486&lt;&gt;"Yes","",IF($S1486="","(enter date)",_xlfn.LET(_xlpm.dn,IFERROR(_xlfn.XLOOKUP($S1486,nrCDdate,nrCDnum),""),IF(_xlpm.dn="","(not a class day)",IFERROR(_xlfn.XLOOKUP(_xlpm.dn+cfgRetestClassDays,nrCDnum,nrCDdate),"")))))</f>
        <v/>
      </c>
      <c r="U1486" s="17">
        <f>IF($Q1486&lt;&gt;"Yes","",IF(COUNTIFS(nrES_PID,$D1486,nrES_Code,$F1486,nrES_Att,2)&gt;0,"Retested",IF(OR($T1486="",NOT(ISNUMBER($T1486))),"Pending",IF(TODAY()&gt;$T1486,"OVERDUE","Due "&amp;TEXT($T1486,"mm/dd")))))</f>
        <v/>
      </c>
      <c r="V1486" s="16" t="n"/>
      <c r="W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K1487=1,IF(COUNTIFS(nrES_PID,$D1487,nrES_Code,$F1487,nrES_Att,2)&gt;0,"",$L1487),IF(COUNTIFS(nrES_PID,$D1487,nrES_Code,$F1487,nrES_Att,1)=0,$L1487,IF($L1487&gt;=$J1487,cfgRetakeRecordedCap,SUMIFS(nrES_Raw,nrES_PID,$D1487,nrES_Code,$F1487,nrES_Att,1))))))</f>
        <v/>
      </c>
      <c r="N1487" s="17">
        <f>IF($C1487="","",IF($L1487="","",IF($L1487&gt;=$J1487,"Yes","No")))</f>
        <v/>
      </c>
      <c r="O1487" s="17">
        <f>IF($C1487="","",IF($M1487="","",IF($M1487&gt;=$J1487,"Yes","No")))</f>
        <v/>
      </c>
      <c r="P1487" s="17">
        <f>IF($C1487="","",IF($K1487="","",IF(COUNTIFS(nrES_PID,$D1487,nrES_Code,$F1487,nrES_Att,"&gt;"&amp;$K1487)=0,"Yes","No")))</f>
        <v/>
      </c>
      <c r="Q1487" s="17">
        <f>IF($C1487="","",IF($L1487="","",IF(AND($K1487=1,$L1487&lt;$J1487,COUNTIFS(nrES_PID,$D1487,nrES_Code,$F1487,nrES_Att,2)=0),"Yes","No")))</f>
        <v/>
      </c>
      <c r="R1487" s="17">
        <f>IF($C1487="","",IF($L1487="","",IF(AND($K1487=2,$L1487&lt;$J1487,COUNTIFS(nrES_PID,$D1487,nrES_Code,$F1487,nrES_Att,1)&gt;0),"Yes","No")))</f>
        <v/>
      </c>
      <c r="S1487" s="18" t="n"/>
      <c r="T1487" s="19">
        <f>IF($Q1487&lt;&gt;"Yes","",IF($S1487="","(enter date)",_xlfn.LET(_xlpm.dn,IFERROR(_xlfn.XLOOKUP($S1487,nrCDdate,nrCDnum),""),IF(_xlpm.dn="","(not a class day)",IFERROR(_xlfn.XLOOKUP(_xlpm.dn+cfgRetestClassDays,nrCDnum,nrCDdate),"")))))</f>
        <v/>
      </c>
      <c r="U1487" s="17">
        <f>IF($Q1487&lt;&gt;"Yes","",IF(COUNTIFS(nrES_PID,$D1487,nrES_Code,$F1487,nrES_Att,2)&gt;0,"Retested",IF(OR($T1487="",NOT(ISNUMBER($T1487))),"Pending",IF(TODAY()&gt;$T1487,"OVERDUE","Due "&amp;TEXT($T1487,"mm/dd")))))</f>
        <v/>
      </c>
      <c r="V1487" s="16" t="n"/>
      <c r="W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K1488=1,IF(COUNTIFS(nrES_PID,$D1488,nrES_Code,$F1488,nrES_Att,2)&gt;0,"",$L1488),IF(COUNTIFS(nrES_PID,$D1488,nrES_Code,$F1488,nrES_Att,1)=0,$L1488,IF($L1488&gt;=$J1488,cfgRetakeRecordedCap,SUMIFS(nrES_Raw,nrES_PID,$D1488,nrES_Code,$F1488,nrES_Att,1))))))</f>
        <v/>
      </c>
      <c r="N1488" s="17">
        <f>IF($C1488="","",IF($L1488="","",IF($L1488&gt;=$J1488,"Yes","No")))</f>
        <v/>
      </c>
      <c r="O1488" s="17">
        <f>IF($C1488="","",IF($M1488="","",IF($M1488&gt;=$J1488,"Yes","No")))</f>
        <v/>
      </c>
      <c r="P1488" s="17">
        <f>IF($C1488="","",IF($K1488="","",IF(COUNTIFS(nrES_PID,$D1488,nrES_Code,$F1488,nrES_Att,"&gt;"&amp;$K1488)=0,"Yes","No")))</f>
        <v/>
      </c>
      <c r="Q1488" s="17">
        <f>IF($C1488="","",IF($L1488="","",IF(AND($K1488=1,$L1488&lt;$J1488,COUNTIFS(nrES_PID,$D1488,nrES_Code,$F1488,nrES_Att,2)=0),"Yes","No")))</f>
        <v/>
      </c>
      <c r="R1488" s="17">
        <f>IF($C1488="","",IF($L1488="","",IF(AND($K1488=2,$L1488&lt;$J1488,COUNTIFS(nrES_PID,$D1488,nrES_Code,$F1488,nrES_Att,1)&gt;0),"Yes","No")))</f>
        <v/>
      </c>
      <c r="S1488" s="18" t="n"/>
      <c r="T1488" s="19">
        <f>IF($Q1488&lt;&gt;"Yes","",IF($S1488="","(enter date)",_xlfn.LET(_xlpm.dn,IFERROR(_xlfn.XLOOKUP($S1488,nrCDdate,nrCDnum),""),IF(_xlpm.dn="","(not a class day)",IFERROR(_xlfn.XLOOKUP(_xlpm.dn+cfgRetestClassDays,nrCDnum,nrCDdate),"")))))</f>
        <v/>
      </c>
      <c r="U1488" s="17">
        <f>IF($Q1488&lt;&gt;"Yes","",IF(COUNTIFS(nrES_PID,$D1488,nrES_Code,$F1488,nrES_Att,2)&gt;0,"Retested",IF(OR($T1488="",NOT(ISNUMBER($T1488))),"Pending",IF(TODAY()&gt;$T1488,"OVERDUE","Due "&amp;TEXT($T1488,"mm/dd")))))</f>
        <v/>
      </c>
      <c r="V1488" s="16" t="n"/>
      <c r="W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K1489=1,IF(COUNTIFS(nrES_PID,$D1489,nrES_Code,$F1489,nrES_Att,2)&gt;0,"",$L1489),IF(COUNTIFS(nrES_PID,$D1489,nrES_Code,$F1489,nrES_Att,1)=0,$L1489,IF($L1489&gt;=$J1489,cfgRetakeRecordedCap,SUMIFS(nrES_Raw,nrES_PID,$D1489,nrES_Code,$F1489,nrES_Att,1))))))</f>
        <v/>
      </c>
      <c r="N1489" s="17">
        <f>IF($C1489="","",IF($L1489="","",IF($L1489&gt;=$J1489,"Yes","No")))</f>
        <v/>
      </c>
      <c r="O1489" s="17">
        <f>IF($C1489="","",IF($M1489="","",IF($M1489&gt;=$J1489,"Yes","No")))</f>
        <v/>
      </c>
      <c r="P1489" s="17">
        <f>IF($C1489="","",IF($K1489="","",IF(COUNTIFS(nrES_PID,$D1489,nrES_Code,$F1489,nrES_Att,"&gt;"&amp;$K1489)=0,"Yes","No")))</f>
        <v/>
      </c>
      <c r="Q1489" s="17">
        <f>IF($C1489="","",IF($L1489="","",IF(AND($K1489=1,$L1489&lt;$J1489,COUNTIFS(nrES_PID,$D1489,nrES_Code,$F1489,nrES_Att,2)=0),"Yes","No")))</f>
        <v/>
      </c>
      <c r="R1489" s="17">
        <f>IF($C1489="","",IF($L1489="","",IF(AND($K1489=2,$L1489&lt;$J1489,COUNTIFS(nrES_PID,$D1489,nrES_Code,$F1489,nrES_Att,1)&gt;0),"Yes","No")))</f>
        <v/>
      </c>
      <c r="S1489" s="18" t="n"/>
      <c r="T1489" s="19">
        <f>IF($Q1489&lt;&gt;"Yes","",IF($S1489="","(enter date)",_xlfn.LET(_xlpm.dn,IFERROR(_xlfn.XLOOKUP($S1489,nrCDdate,nrCDnum),""),IF(_xlpm.dn="","(not a class day)",IFERROR(_xlfn.XLOOKUP(_xlpm.dn+cfgRetestClassDays,nrCDnum,nrCDdate),"")))))</f>
        <v/>
      </c>
      <c r="U1489" s="17">
        <f>IF($Q1489&lt;&gt;"Yes","",IF(COUNTIFS(nrES_PID,$D1489,nrES_Code,$F1489,nrES_Att,2)&gt;0,"Retested",IF(OR($T1489="",NOT(ISNUMBER($T1489))),"Pending",IF(TODAY()&gt;$T1489,"OVERDUE","Due "&amp;TEXT($T1489,"mm/dd")))))</f>
        <v/>
      </c>
      <c r="V1489" s="16" t="n"/>
      <c r="W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K1490=1,IF(COUNTIFS(nrES_PID,$D1490,nrES_Code,$F1490,nrES_Att,2)&gt;0,"",$L1490),IF(COUNTIFS(nrES_PID,$D1490,nrES_Code,$F1490,nrES_Att,1)=0,$L1490,IF($L1490&gt;=$J1490,cfgRetakeRecordedCap,SUMIFS(nrES_Raw,nrES_PID,$D1490,nrES_Code,$F1490,nrES_Att,1))))))</f>
        <v/>
      </c>
      <c r="N1490" s="17">
        <f>IF($C1490="","",IF($L1490="","",IF($L1490&gt;=$J1490,"Yes","No")))</f>
        <v/>
      </c>
      <c r="O1490" s="17">
        <f>IF($C1490="","",IF($M1490="","",IF($M1490&gt;=$J1490,"Yes","No")))</f>
        <v/>
      </c>
      <c r="P1490" s="17">
        <f>IF($C1490="","",IF($K1490="","",IF(COUNTIFS(nrES_PID,$D1490,nrES_Code,$F1490,nrES_Att,"&gt;"&amp;$K1490)=0,"Yes","No")))</f>
        <v/>
      </c>
      <c r="Q1490" s="17">
        <f>IF($C1490="","",IF($L1490="","",IF(AND($K1490=1,$L1490&lt;$J1490,COUNTIFS(nrES_PID,$D1490,nrES_Code,$F1490,nrES_Att,2)=0),"Yes","No")))</f>
        <v/>
      </c>
      <c r="R1490" s="17">
        <f>IF($C1490="","",IF($L1490="","",IF(AND($K1490=2,$L1490&lt;$J1490,COUNTIFS(nrES_PID,$D1490,nrES_Code,$F1490,nrES_Att,1)&gt;0),"Yes","No")))</f>
        <v/>
      </c>
      <c r="S1490" s="18" t="n"/>
      <c r="T1490" s="19">
        <f>IF($Q1490&lt;&gt;"Yes","",IF($S1490="","(enter date)",_xlfn.LET(_xlpm.dn,IFERROR(_xlfn.XLOOKUP($S1490,nrCDdate,nrCDnum),""),IF(_xlpm.dn="","(not a class day)",IFERROR(_xlfn.XLOOKUP(_xlpm.dn+cfgRetestClassDays,nrCDnum,nrCDdate),"")))))</f>
        <v/>
      </c>
      <c r="U1490" s="17">
        <f>IF($Q1490&lt;&gt;"Yes","",IF(COUNTIFS(nrES_PID,$D1490,nrES_Code,$F1490,nrES_Att,2)&gt;0,"Retested",IF(OR($T1490="",NOT(ISNUMBER($T1490))),"Pending",IF(TODAY()&gt;$T1490,"OVERDUE","Due "&amp;TEXT($T1490,"mm/dd")))))</f>
        <v/>
      </c>
      <c r="V1490" s="16" t="n"/>
      <c r="W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K1491=1,IF(COUNTIFS(nrES_PID,$D1491,nrES_Code,$F1491,nrES_Att,2)&gt;0,"",$L1491),IF(COUNTIFS(nrES_PID,$D1491,nrES_Code,$F1491,nrES_Att,1)=0,$L1491,IF($L1491&gt;=$J1491,cfgRetakeRecordedCap,SUMIFS(nrES_Raw,nrES_PID,$D1491,nrES_Code,$F1491,nrES_Att,1))))))</f>
        <v/>
      </c>
      <c r="N1491" s="17">
        <f>IF($C1491="","",IF($L1491="","",IF($L1491&gt;=$J1491,"Yes","No")))</f>
        <v/>
      </c>
      <c r="O1491" s="17">
        <f>IF($C1491="","",IF($M1491="","",IF($M1491&gt;=$J1491,"Yes","No")))</f>
        <v/>
      </c>
      <c r="P1491" s="17">
        <f>IF($C1491="","",IF($K1491="","",IF(COUNTIFS(nrES_PID,$D1491,nrES_Code,$F1491,nrES_Att,"&gt;"&amp;$K1491)=0,"Yes","No")))</f>
        <v/>
      </c>
      <c r="Q1491" s="17">
        <f>IF($C1491="","",IF($L1491="","",IF(AND($K1491=1,$L1491&lt;$J1491,COUNTIFS(nrES_PID,$D1491,nrES_Code,$F1491,nrES_Att,2)=0),"Yes","No")))</f>
        <v/>
      </c>
      <c r="R1491" s="17">
        <f>IF($C1491="","",IF($L1491="","",IF(AND($K1491=2,$L1491&lt;$J1491,COUNTIFS(nrES_PID,$D1491,nrES_Code,$F1491,nrES_Att,1)&gt;0),"Yes","No")))</f>
        <v/>
      </c>
      <c r="S1491" s="18" t="n"/>
      <c r="T1491" s="19">
        <f>IF($Q1491&lt;&gt;"Yes","",IF($S1491="","(enter date)",_xlfn.LET(_xlpm.dn,IFERROR(_xlfn.XLOOKUP($S1491,nrCDdate,nrCDnum),""),IF(_xlpm.dn="","(not a class day)",IFERROR(_xlfn.XLOOKUP(_xlpm.dn+cfgRetestClassDays,nrCDnum,nrCDdate),"")))))</f>
        <v/>
      </c>
      <c r="U1491" s="17">
        <f>IF($Q1491&lt;&gt;"Yes","",IF(COUNTIFS(nrES_PID,$D1491,nrES_Code,$F1491,nrES_Att,2)&gt;0,"Retested",IF(OR($T1491="",NOT(ISNUMBER($T1491))),"Pending",IF(TODAY()&gt;$T1491,"OVERDUE","Due "&amp;TEXT($T1491,"mm/dd")))))</f>
        <v/>
      </c>
      <c r="V1491" s="16" t="n"/>
      <c r="W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K1492=1,IF(COUNTIFS(nrES_PID,$D1492,nrES_Code,$F1492,nrES_Att,2)&gt;0,"",$L1492),IF(COUNTIFS(nrES_PID,$D1492,nrES_Code,$F1492,nrES_Att,1)=0,$L1492,IF($L1492&gt;=$J1492,cfgRetakeRecordedCap,SUMIFS(nrES_Raw,nrES_PID,$D1492,nrES_Code,$F1492,nrES_Att,1))))))</f>
        <v/>
      </c>
      <c r="N1492" s="17">
        <f>IF($C1492="","",IF($L1492="","",IF($L1492&gt;=$J1492,"Yes","No")))</f>
        <v/>
      </c>
      <c r="O1492" s="17">
        <f>IF($C1492="","",IF($M1492="","",IF($M1492&gt;=$J1492,"Yes","No")))</f>
        <v/>
      </c>
      <c r="P1492" s="17">
        <f>IF($C1492="","",IF($K1492="","",IF(COUNTIFS(nrES_PID,$D1492,nrES_Code,$F1492,nrES_Att,"&gt;"&amp;$K1492)=0,"Yes","No")))</f>
        <v/>
      </c>
      <c r="Q1492" s="17">
        <f>IF($C1492="","",IF($L1492="","",IF(AND($K1492=1,$L1492&lt;$J1492,COUNTIFS(nrES_PID,$D1492,nrES_Code,$F1492,nrES_Att,2)=0),"Yes","No")))</f>
        <v/>
      </c>
      <c r="R1492" s="17">
        <f>IF($C1492="","",IF($L1492="","",IF(AND($K1492=2,$L1492&lt;$J1492,COUNTIFS(nrES_PID,$D1492,nrES_Code,$F1492,nrES_Att,1)&gt;0),"Yes","No")))</f>
        <v/>
      </c>
      <c r="S1492" s="18" t="n"/>
      <c r="T1492" s="19">
        <f>IF($Q1492&lt;&gt;"Yes","",IF($S1492="","(enter date)",_xlfn.LET(_xlpm.dn,IFERROR(_xlfn.XLOOKUP($S1492,nrCDdate,nrCDnum),""),IF(_xlpm.dn="","(not a class day)",IFERROR(_xlfn.XLOOKUP(_xlpm.dn+cfgRetestClassDays,nrCDnum,nrCDdate),"")))))</f>
        <v/>
      </c>
      <c r="U1492" s="17">
        <f>IF($Q1492&lt;&gt;"Yes","",IF(COUNTIFS(nrES_PID,$D1492,nrES_Code,$F1492,nrES_Att,2)&gt;0,"Retested",IF(OR($T1492="",NOT(ISNUMBER($T1492))),"Pending",IF(TODAY()&gt;$T1492,"OVERDUE","Due "&amp;TEXT($T1492,"mm/dd")))))</f>
        <v/>
      </c>
      <c r="V1492" s="16" t="n"/>
      <c r="W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K1493=1,IF(COUNTIFS(nrES_PID,$D1493,nrES_Code,$F1493,nrES_Att,2)&gt;0,"",$L1493),IF(COUNTIFS(nrES_PID,$D1493,nrES_Code,$F1493,nrES_Att,1)=0,$L1493,IF($L1493&gt;=$J1493,cfgRetakeRecordedCap,SUMIFS(nrES_Raw,nrES_PID,$D1493,nrES_Code,$F1493,nrES_Att,1))))))</f>
        <v/>
      </c>
      <c r="N1493" s="17">
        <f>IF($C1493="","",IF($L1493="","",IF($L1493&gt;=$J1493,"Yes","No")))</f>
        <v/>
      </c>
      <c r="O1493" s="17">
        <f>IF($C1493="","",IF($M1493="","",IF($M1493&gt;=$J1493,"Yes","No")))</f>
        <v/>
      </c>
      <c r="P1493" s="17">
        <f>IF($C1493="","",IF($K1493="","",IF(COUNTIFS(nrES_PID,$D1493,nrES_Code,$F1493,nrES_Att,"&gt;"&amp;$K1493)=0,"Yes","No")))</f>
        <v/>
      </c>
      <c r="Q1493" s="17">
        <f>IF($C1493="","",IF($L1493="","",IF(AND($K1493=1,$L1493&lt;$J1493,COUNTIFS(nrES_PID,$D1493,nrES_Code,$F1493,nrES_Att,2)=0),"Yes","No")))</f>
        <v/>
      </c>
      <c r="R1493" s="17">
        <f>IF($C1493="","",IF($L1493="","",IF(AND($K1493=2,$L1493&lt;$J1493,COUNTIFS(nrES_PID,$D1493,nrES_Code,$F1493,nrES_Att,1)&gt;0),"Yes","No")))</f>
        <v/>
      </c>
      <c r="S1493" s="18" t="n"/>
      <c r="T1493" s="19">
        <f>IF($Q1493&lt;&gt;"Yes","",IF($S1493="","(enter date)",_xlfn.LET(_xlpm.dn,IFERROR(_xlfn.XLOOKUP($S1493,nrCDdate,nrCDnum),""),IF(_xlpm.dn="","(not a class day)",IFERROR(_xlfn.XLOOKUP(_xlpm.dn+cfgRetestClassDays,nrCDnum,nrCDdate),"")))))</f>
        <v/>
      </c>
      <c r="U1493" s="17">
        <f>IF($Q1493&lt;&gt;"Yes","",IF(COUNTIFS(nrES_PID,$D1493,nrES_Code,$F1493,nrES_Att,2)&gt;0,"Retested",IF(OR($T1493="",NOT(ISNUMBER($T1493))),"Pending",IF(TODAY()&gt;$T1493,"OVERDUE","Due "&amp;TEXT($T1493,"mm/dd")))))</f>
        <v/>
      </c>
      <c r="V1493" s="16" t="n"/>
      <c r="W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K1494=1,IF(COUNTIFS(nrES_PID,$D1494,nrES_Code,$F1494,nrES_Att,2)&gt;0,"",$L1494),IF(COUNTIFS(nrES_PID,$D1494,nrES_Code,$F1494,nrES_Att,1)=0,$L1494,IF($L1494&gt;=$J1494,cfgRetakeRecordedCap,SUMIFS(nrES_Raw,nrES_PID,$D1494,nrES_Code,$F1494,nrES_Att,1))))))</f>
        <v/>
      </c>
      <c r="N1494" s="17">
        <f>IF($C1494="","",IF($L1494="","",IF($L1494&gt;=$J1494,"Yes","No")))</f>
        <v/>
      </c>
      <c r="O1494" s="17">
        <f>IF($C1494="","",IF($M1494="","",IF($M1494&gt;=$J1494,"Yes","No")))</f>
        <v/>
      </c>
      <c r="P1494" s="17">
        <f>IF($C1494="","",IF($K1494="","",IF(COUNTIFS(nrES_PID,$D1494,nrES_Code,$F1494,nrES_Att,"&gt;"&amp;$K1494)=0,"Yes","No")))</f>
        <v/>
      </c>
      <c r="Q1494" s="17">
        <f>IF($C1494="","",IF($L1494="","",IF(AND($K1494=1,$L1494&lt;$J1494,COUNTIFS(nrES_PID,$D1494,nrES_Code,$F1494,nrES_Att,2)=0),"Yes","No")))</f>
        <v/>
      </c>
      <c r="R1494" s="17">
        <f>IF($C1494="","",IF($L1494="","",IF(AND($K1494=2,$L1494&lt;$J1494,COUNTIFS(nrES_PID,$D1494,nrES_Code,$F1494,nrES_Att,1)&gt;0),"Yes","No")))</f>
        <v/>
      </c>
      <c r="S1494" s="18" t="n"/>
      <c r="T1494" s="19">
        <f>IF($Q1494&lt;&gt;"Yes","",IF($S1494="","(enter date)",_xlfn.LET(_xlpm.dn,IFERROR(_xlfn.XLOOKUP($S1494,nrCDdate,nrCDnum),""),IF(_xlpm.dn="","(not a class day)",IFERROR(_xlfn.XLOOKUP(_xlpm.dn+cfgRetestClassDays,nrCDnum,nrCDdate),"")))))</f>
        <v/>
      </c>
      <c r="U1494" s="17">
        <f>IF($Q1494&lt;&gt;"Yes","",IF(COUNTIFS(nrES_PID,$D1494,nrES_Code,$F1494,nrES_Att,2)&gt;0,"Retested",IF(OR($T1494="",NOT(ISNUMBER($T1494))),"Pending",IF(TODAY()&gt;$T1494,"OVERDUE","Due "&amp;TEXT($T1494,"mm/dd")))))</f>
        <v/>
      </c>
      <c r="V1494" s="16" t="n"/>
      <c r="W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K1495=1,IF(COUNTIFS(nrES_PID,$D1495,nrES_Code,$F1495,nrES_Att,2)&gt;0,"",$L1495),IF(COUNTIFS(nrES_PID,$D1495,nrES_Code,$F1495,nrES_Att,1)=0,$L1495,IF($L1495&gt;=$J1495,cfgRetakeRecordedCap,SUMIFS(nrES_Raw,nrES_PID,$D1495,nrES_Code,$F1495,nrES_Att,1))))))</f>
        <v/>
      </c>
      <c r="N1495" s="17">
        <f>IF($C1495="","",IF($L1495="","",IF($L1495&gt;=$J1495,"Yes","No")))</f>
        <v/>
      </c>
      <c r="O1495" s="17">
        <f>IF($C1495="","",IF($M1495="","",IF($M1495&gt;=$J1495,"Yes","No")))</f>
        <v/>
      </c>
      <c r="P1495" s="17">
        <f>IF($C1495="","",IF($K1495="","",IF(COUNTIFS(nrES_PID,$D1495,nrES_Code,$F1495,nrES_Att,"&gt;"&amp;$K1495)=0,"Yes","No")))</f>
        <v/>
      </c>
      <c r="Q1495" s="17">
        <f>IF($C1495="","",IF($L1495="","",IF(AND($K1495=1,$L1495&lt;$J1495,COUNTIFS(nrES_PID,$D1495,nrES_Code,$F1495,nrES_Att,2)=0),"Yes","No")))</f>
        <v/>
      </c>
      <c r="R1495" s="17">
        <f>IF($C1495="","",IF($L1495="","",IF(AND($K1495=2,$L1495&lt;$J1495,COUNTIFS(nrES_PID,$D1495,nrES_Code,$F1495,nrES_Att,1)&gt;0),"Yes","No")))</f>
        <v/>
      </c>
      <c r="S1495" s="18" t="n"/>
      <c r="T1495" s="19">
        <f>IF($Q1495&lt;&gt;"Yes","",IF($S1495="","(enter date)",_xlfn.LET(_xlpm.dn,IFERROR(_xlfn.XLOOKUP($S1495,nrCDdate,nrCDnum),""),IF(_xlpm.dn="","(not a class day)",IFERROR(_xlfn.XLOOKUP(_xlpm.dn+cfgRetestClassDays,nrCDnum,nrCDdate),"")))))</f>
        <v/>
      </c>
      <c r="U1495" s="17">
        <f>IF($Q1495&lt;&gt;"Yes","",IF(COUNTIFS(nrES_PID,$D1495,nrES_Code,$F1495,nrES_Att,2)&gt;0,"Retested",IF(OR($T1495="",NOT(ISNUMBER($T1495))),"Pending",IF(TODAY()&gt;$T1495,"OVERDUE","Due "&amp;TEXT($T1495,"mm/dd")))))</f>
        <v/>
      </c>
      <c r="V1495" s="16" t="n"/>
      <c r="W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K1496=1,IF(COUNTIFS(nrES_PID,$D1496,nrES_Code,$F1496,nrES_Att,2)&gt;0,"",$L1496),IF(COUNTIFS(nrES_PID,$D1496,nrES_Code,$F1496,nrES_Att,1)=0,$L1496,IF($L1496&gt;=$J1496,cfgRetakeRecordedCap,SUMIFS(nrES_Raw,nrES_PID,$D1496,nrES_Code,$F1496,nrES_Att,1))))))</f>
        <v/>
      </c>
      <c r="N1496" s="17">
        <f>IF($C1496="","",IF($L1496="","",IF($L1496&gt;=$J1496,"Yes","No")))</f>
        <v/>
      </c>
      <c r="O1496" s="17">
        <f>IF($C1496="","",IF($M1496="","",IF($M1496&gt;=$J1496,"Yes","No")))</f>
        <v/>
      </c>
      <c r="P1496" s="17">
        <f>IF($C1496="","",IF($K1496="","",IF(COUNTIFS(nrES_PID,$D1496,nrES_Code,$F1496,nrES_Att,"&gt;"&amp;$K1496)=0,"Yes","No")))</f>
        <v/>
      </c>
      <c r="Q1496" s="17">
        <f>IF($C1496="","",IF($L1496="","",IF(AND($K1496=1,$L1496&lt;$J1496,COUNTIFS(nrES_PID,$D1496,nrES_Code,$F1496,nrES_Att,2)=0),"Yes","No")))</f>
        <v/>
      </c>
      <c r="R1496" s="17">
        <f>IF($C1496="","",IF($L1496="","",IF(AND($K1496=2,$L1496&lt;$J1496,COUNTIFS(nrES_PID,$D1496,nrES_Code,$F1496,nrES_Att,1)&gt;0),"Yes","No")))</f>
        <v/>
      </c>
      <c r="S1496" s="18" t="n"/>
      <c r="T1496" s="19">
        <f>IF($Q1496&lt;&gt;"Yes","",IF($S1496="","(enter date)",_xlfn.LET(_xlpm.dn,IFERROR(_xlfn.XLOOKUP($S1496,nrCDdate,nrCDnum),""),IF(_xlpm.dn="","(not a class day)",IFERROR(_xlfn.XLOOKUP(_xlpm.dn+cfgRetestClassDays,nrCDnum,nrCDdate),"")))))</f>
        <v/>
      </c>
      <c r="U1496" s="17">
        <f>IF($Q1496&lt;&gt;"Yes","",IF(COUNTIFS(nrES_PID,$D1496,nrES_Code,$F1496,nrES_Att,2)&gt;0,"Retested",IF(OR($T1496="",NOT(ISNUMBER($T1496))),"Pending",IF(TODAY()&gt;$T1496,"OVERDUE","Due "&amp;TEXT($T1496,"mm/dd")))))</f>
        <v/>
      </c>
      <c r="V1496" s="16" t="n"/>
      <c r="W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K1497=1,IF(COUNTIFS(nrES_PID,$D1497,nrES_Code,$F1497,nrES_Att,2)&gt;0,"",$L1497),IF(COUNTIFS(nrES_PID,$D1497,nrES_Code,$F1497,nrES_Att,1)=0,$L1497,IF($L1497&gt;=$J1497,cfgRetakeRecordedCap,SUMIFS(nrES_Raw,nrES_PID,$D1497,nrES_Code,$F1497,nrES_Att,1))))))</f>
        <v/>
      </c>
      <c r="N1497" s="17">
        <f>IF($C1497="","",IF($L1497="","",IF($L1497&gt;=$J1497,"Yes","No")))</f>
        <v/>
      </c>
      <c r="O1497" s="17">
        <f>IF($C1497="","",IF($M1497="","",IF($M1497&gt;=$J1497,"Yes","No")))</f>
        <v/>
      </c>
      <c r="P1497" s="17">
        <f>IF($C1497="","",IF($K1497="","",IF(COUNTIFS(nrES_PID,$D1497,nrES_Code,$F1497,nrES_Att,"&gt;"&amp;$K1497)=0,"Yes","No")))</f>
        <v/>
      </c>
      <c r="Q1497" s="17">
        <f>IF($C1497="","",IF($L1497="","",IF(AND($K1497=1,$L1497&lt;$J1497,COUNTIFS(nrES_PID,$D1497,nrES_Code,$F1497,nrES_Att,2)=0),"Yes","No")))</f>
        <v/>
      </c>
      <c r="R1497" s="17">
        <f>IF($C1497="","",IF($L1497="","",IF(AND($K1497=2,$L1497&lt;$J1497,COUNTIFS(nrES_PID,$D1497,nrES_Code,$F1497,nrES_Att,1)&gt;0),"Yes","No")))</f>
        <v/>
      </c>
      <c r="S1497" s="18" t="n"/>
      <c r="T1497" s="19">
        <f>IF($Q1497&lt;&gt;"Yes","",IF($S1497="","(enter date)",_xlfn.LET(_xlpm.dn,IFERROR(_xlfn.XLOOKUP($S1497,nrCDdate,nrCDnum),""),IF(_xlpm.dn="","(not a class day)",IFERROR(_xlfn.XLOOKUP(_xlpm.dn+cfgRetestClassDays,nrCDnum,nrCDdate),"")))))</f>
        <v/>
      </c>
      <c r="U1497" s="17">
        <f>IF($Q1497&lt;&gt;"Yes","",IF(COUNTIFS(nrES_PID,$D1497,nrES_Code,$F1497,nrES_Att,2)&gt;0,"Retested",IF(OR($T1497="",NOT(ISNUMBER($T1497))),"Pending",IF(TODAY()&gt;$T1497,"OVERDUE","Due "&amp;TEXT($T1497,"mm/dd")))))</f>
        <v/>
      </c>
      <c r="V1497" s="16" t="n"/>
      <c r="W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K1498=1,IF(COUNTIFS(nrES_PID,$D1498,nrES_Code,$F1498,nrES_Att,2)&gt;0,"",$L1498),IF(COUNTIFS(nrES_PID,$D1498,nrES_Code,$F1498,nrES_Att,1)=0,$L1498,IF($L1498&gt;=$J1498,cfgRetakeRecordedCap,SUMIFS(nrES_Raw,nrES_PID,$D1498,nrES_Code,$F1498,nrES_Att,1))))))</f>
        <v/>
      </c>
      <c r="N1498" s="17">
        <f>IF($C1498="","",IF($L1498="","",IF($L1498&gt;=$J1498,"Yes","No")))</f>
        <v/>
      </c>
      <c r="O1498" s="17">
        <f>IF($C1498="","",IF($M1498="","",IF($M1498&gt;=$J1498,"Yes","No")))</f>
        <v/>
      </c>
      <c r="P1498" s="17">
        <f>IF($C1498="","",IF($K1498="","",IF(COUNTIFS(nrES_PID,$D1498,nrES_Code,$F1498,nrES_Att,"&gt;"&amp;$K1498)=0,"Yes","No")))</f>
        <v/>
      </c>
      <c r="Q1498" s="17">
        <f>IF($C1498="","",IF($L1498="","",IF(AND($K1498=1,$L1498&lt;$J1498,COUNTIFS(nrES_PID,$D1498,nrES_Code,$F1498,nrES_Att,2)=0),"Yes","No")))</f>
        <v/>
      </c>
      <c r="R1498" s="17">
        <f>IF($C1498="","",IF($L1498="","",IF(AND($K1498=2,$L1498&lt;$J1498,COUNTIFS(nrES_PID,$D1498,nrES_Code,$F1498,nrES_Att,1)&gt;0),"Yes","No")))</f>
        <v/>
      </c>
      <c r="S1498" s="18" t="n"/>
      <c r="T1498" s="19">
        <f>IF($Q1498&lt;&gt;"Yes","",IF($S1498="","(enter date)",_xlfn.LET(_xlpm.dn,IFERROR(_xlfn.XLOOKUP($S1498,nrCDdate,nrCDnum),""),IF(_xlpm.dn="","(not a class day)",IFERROR(_xlfn.XLOOKUP(_xlpm.dn+cfgRetestClassDays,nrCDnum,nrCDdate),"")))))</f>
        <v/>
      </c>
      <c r="U1498" s="17">
        <f>IF($Q1498&lt;&gt;"Yes","",IF(COUNTIFS(nrES_PID,$D1498,nrES_Code,$F1498,nrES_Att,2)&gt;0,"Retested",IF(OR($T1498="",NOT(ISNUMBER($T1498))),"Pending",IF(TODAY()&gt;$T1498,"OVERDUE","Due "&amp;TEXT($T1498,"mm/dd")))))</f>
        <v/>
      </c>
      <c r="V1498" s="16" t="n"/>
      <c r="W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K1499=1,IF(COUNTIFS(nrES_PID,$D1499,nrES_Code,$F1499,nrES_Att,2)&gt;0,"",$L1499),IF(COUNTIFS(nrES_PID,$D1499,nrES_Code,$F1499,nrES_Att,1)=0,$L1499,IF($L1499&gt;=$J1499,cfgRetakeRecordedCap,SUMIFS(nrES_Raw,nrES_PID,$D1499,nrES_Code,$F1499,nrES_Att,1))))))</f>
        <v/>
      </c>
      <c r="N1499" s="17">
        <f>IF($C1499="","",IF($L1499="","",IF($L1499&gt;=$J1499,"Yes","No")))</f>
        <v/>
      </c>
      <c r="O1499" s="17">
        <f>IF($C1499="","",IF($M1499="","",IF($M1499&gt;=$J1499,"Yes","No")))</f>
        <v/>
      </c>
      <c r="P1499" s="17">
        <f>IF($C1499="","",IF($K1499="","",IF(COUNTIFS(nrES_PID,$D1499,nrES_Code,$F1499,nrES_Att,"&gt;"&amp;$K1499)=0,"Yes","No")))</f>
        <v/>
      </c>
      <c r="Q1499" s="17">
        <f>IF($C1499="","",IF($L1499="","",IF(AND($K1499=1,$L1499&lt;$J1499,COUNTIFS(nrES_PID,$D1499,nrES_Code,$F1499,nrES_Att,2)=0),"Yes","No")))</f>
        <v/>
      </c>
      <c r="R1499" s="17">
        <f>IF($C1499="","",IF($L1499="","",IF(AND($K1499=2,$L1499&lt;$J1499,COUNTIFS(nrES_PID,$D1499,nrES_Code,$F1499,nrES_Att,1)&gt;0),"Yes","No")))</f>
        <v/>
      </c>
      <c r="S1499" s="18" t="n"/>
      <c r="T1499" s="19">
        <f>IF($Q1499&lt;&gt;"Yes","",IF($S1499="","(enter date)",_xlfn.LET(_xlpm.dn,IFERROR(_xlfn.XLOOKUP($S1499,nrCDdate,nrCDnum),""),IF(_xlpm.dn="","(not a class day)",IFERROR(_xlfn.XLOOKUP(_xlpm.dn+cfgRetestClassDays,nrCDnum,nrCDdate),"")))))</f>
        <v/>
      </c>
      <c r="U1499" s="17">
        <f>IF($Q1499&lt;&gt;"Yes","",IF(COUNTIFS(nrES_PID,$D1499,nrES_Code,$F1499,nrES_Att,2)&gt;0,"Retested",IF(OR($T1499="",NOT(ISNUMBER($T1499))),"Pending",IF(TODAY()&gt;$T1499,"OVERDUE","Due "&amp;TEXT($T1499,"mm/dd")))))</f>
        <v/>
      </c>
      <c r="V1499" s="16" t="n"/>
      <c r="W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K1500=1,IF(COUNTIFS(nrES_PID,$D1500,nrES_Code,$F1500,nrES_Att,2)&gt;0,"",$L1500),IF(COUNTIFS(nrES_PID,$D1500,nrES_Code,$F1500,nrES_Att,1)=0,$L1500,IF($L1500&gt;=$J1500,cfgRetakeRecordedCap,SUMIFS(nrES_Raw,nrES_PID,$D1500,nrES_Code,$F1500,nrES_Att,1))))))</f>
        <v/>
      </c>
      <c r="N1500" s="17">
        <f>IF($C1500="","",IF($L1500="","",IF($L1500&gt;=$J1500,"Yes","No")))</f>
        <v/>
      </c>
      <c r="O1500" s="17">
        <f>IF($C1500="","",IF($M1500="","",IF($M1500&gt;=$J1500,"Yes","No")))</f>
        <v/>
      </c>
      <c r="P1500" s="17">
        <f>IF($C1500="","",IF($K1500="","",IF(COUNTIFS(nrES_PID,$D1500,nrES_Code,$F1500,nrES_Att,"&gt;"&amp;$K1500)=0,"Yes","No")))</f>
        <v/>
      </c>
      <c r="Q1500" s="17">
        <f>IF($C1500="","",IF($L1500="","",IF(AND($K1500=1,$L1500&lt;$J1500,COUNTIFS(nrES_PID,$D1500,nrES_Code,$F1500,nrES_Att,2)=0),"Yes","No")))</f>
        <v/>
      </c>
      <c r="R1500" s="17">
        <f>IF($C1500="","",IF($L1500="","",IF(AND($K1500=2,$L1500&lt;$J1500,COUNTIFS(nrES_PID,$D1500,nrES_Code,$F1500,nrES_Att,1)&gt;0),"Yes","No")))</f>
        <v/>
      </c>
      <c r="S1500" s="18" t="n"/>
      <c r="T1500" s="19">
        <f>IF($Q1500&lt;&gt;"Yes","",IF($S1500="","(enter date)",_xlfn.LET(_xlpm.dn,IFERROR(_xlfn.XLOOKUP($S1500,nrCDdate,nrCDnum),""),IF(_xlpm.dn="","(not a class day)",IFERROR(_xlfn.XLOOKUP(_xlpm.dn+cfgRetestClassDays,nrCDnum,nrCDdate),"")))))</f>
        <v/>
      </c>
      <c r="U1500" s="17">
        <f>IF($Q1500&lt;&gt;"Yes","",IF(COUNTIFS(nrES_PID,$D1500,nrES_Code,$F1500,nrES_Att,2)&gt;0,"Retested",IF(OR($T1500="",NOT(ISNUMBER($T1500))),"Pending",IF(TODAY()&gt;$T1500,"OVERDUE","Due "&amp;TEXT($T1500,"mm/dd")))))</f>
        <v/>
      </c>
      <c r="V1500" s="16" t="n"/>
      <c r="W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K1501=1,IF(COUNTIFS(nrES_PID,$D1501,nrES_Code,$F1501,nrES_Att,2)&gt;0,"",$L1501),IF(COUNTIFS(nrES_PID,$D1501,nrES_Code,$F1501,nrES_Att,1)=0,$L1501,IF($L1501&gt;=$J1501,cfgRetakeRecordedCap,SUMIFS(nrES_Raw,nrES_PID,$D1501,nrES_Code,$F1501,nrES_Att,1))))))</f>
        <v/>
      </c>
      <c r="N1501" s="17">
        <f>IF($C1501="","",IF($L1501="","",IF($L1501&gt;=$J1501,"Yes","No")))</f>
        <v/>
      </c>
      <c r="O1501" s="17">
        <f>IF($C1501="","",IF($M1501="","",IF($M1501&gt;=$J1501,"Yes","No")))</f>
        <v/>
      </c>
      <c r="P1501" s="17">
        <f>IF($C1501="","",IF($K1501="","",IF(COUNTIFS(nrES_PID,$D1501,nrES_Code,$F1501,nrES_Att,"&gt;"&amp;$K1501)=0,"Yes","No")))</f>
        <v/>
      </c>
      <c r="Q1501" s="17">
        <f>IF($C1501="","",IF($L1501="","",IF(AND($K1501=1,$L1501&lt;$J1501,COUNTIFS(nrES_PID,$D1501,nrES_Code,$F1501,nrES_Att,2)=0),"Yes","No")))</f>
        <v/>
      </c>
      <c r="R1501" s="17">
        <f>IF($C1501="","",IF($L1501="","",IF(AND($K1501=2,$L1501&lt;$J1501,COUNTIFS(nrES_PID,$D1501,nrES_Code,$F1501,nrES_Att,1)&gt;0),"Yes","No")))</f>
        <v/>
      </c>
      <c r="S1501" s="18" t="n"/>
      <c r="T1501" s="19">
        <f>IF($Q1501&lt;&gt;"Yes","",IF($S1501="","(enter date)",_xlfn.LET(_xlpm.dn,IFERROR(_xlfn.XLOOKUP($S1501,nrCDdate,nrCDnum),""),IF(_xlpm.dn="","(not a class day)",IFERROR(_xlfn.XLOOKUP(_xlpm.dn+cfgRetestClassDays,nrCDnum,nrCDdate),"")))))</f>
        <v/>
      </c>
      <c r="U1501" s="17">
        <f>IF($Q1501&lt;&gt;"Yes","",IF(COUNTIFS(nrES_PID,$D1501,nrES_Code,$F1501,nrES_Att,2)&gt;0,"Retested",IF(OR($T1501="",NOT(ISNUMBER($T1501))),"Pending",IF(TODAY()&gt;$T1501,"OVERDUE","Due "&amp;TEXT($T1501,"mm/dd")))))</f>
        <v/>
      </c>
      <c r="V1501" s="16" t="n"/>
      <c r="W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K1502=1,IF(COUNTIFS(nrES_PID,$D1502,nrES_Code,$F1502,nrES_Att,2)&gt;0,"",$L1502),IF(COUNTIFS(nrES_PID,$D1502,nrES_Code,$F1502,nrES_Att,1)=0,$L1502,IF($L1502&gt;=$J1502,cfgRetakeRecordedCap,SUMIFS(nrES_Raw,nrES_PID,$D1502,nrES_Code,$F1502,nrES_Att,1))))))</f>
        <v/>
      </c>
      <c r="N1502" s="17">
        <f>IF($C1502="","",IF($L1502="","",IF($L1502&gt;=$J1502,"Yes","No")))</f>
        <v/>
      </c>
      <c r="O1502" s="17">
        <f>IF($C1502="","",IF($M1502="","",IF($M1502&gt;=$J1502,"Yes","No")))</f>
        <v/>
      </c>
      <c r="P1502" s="17">
        <f>IF($C1502="","",IF($K1502="","",IF(COUNTIFS(nrES_PID,$D1502,nrES_Code,$F1502,nrES_Att,"&gt;"&amp;$K1502)=0,"Yes","No")))</f>
        <v/>
      </c>
      <c r="Q1502" s="17">
        <f>IF($C1502="","",IF($L1502="","",IF(AND($K1502=1,$L1502&lt;$J1502,COUNTIFS(nrES_PID,$D1502,nrES_Code,$F1502,nrES_Att,2)=0),"Yes","No")))</f>
        <v/>
      </c>
      <c r="R1502" s="17">
        <f>IF($C1502="","",IF($L1502="","",IF(AND($K1502=2,$L1502&lt;$J1502,COUNTIFS(nrES_PID,$D1502,nrES_Code,$F1502,nrES_Att,1)&gt;0),"Yes","No")))</f>
        <v/>
      </c>
      <c r="S1502" s="18" t="n"/>
      <c r="T1502" s="19">
        <f>IF($Q1502&lt;&gt;"Yes","",IF($S1502="","(enter date)",_xlfn.LET(_xlpm.dn,IFERROR(_xlfn.XLOOKUP($S1502,nrCDdate,nrCDnum),""),IF(_xlpm.dn="","(not a class day)",IFERROR(_xlfn.XLOOKUP(_xlpm.dn+cfgRetestClassDays,nrCDnum,nrCDdate),"")))))</f>
        <v/>
      </c>
      <c r="U1502" s="17">
        <f>IF($Q1502&lt;&gt;"Yes","",IF(COUNTIFS(nrES_PID,$D1502,nrES_Code,$F1502,nrES_Att,2)&gt;0,"Retested",IF(OR($T1502="",NOT(ISNUMBER($T1502))),"Pending",IF(TODAY()&gt;$T1502,"OVERDUE","Due "&amp;TEXT($T1502,"mm/dd")))))</f>
        <v/>
      </c>
      <c r="V1502" s="16" t="n"/>
      <c r="W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K1503=1,IF(COUNTIFS(nrES_PID,$D1503,nrES_Code,$F1503,nrES_Att,2)&gt;0,"",$L1503),IF(COUNTIFS(nrES_PID,$D1503,nrES_Code,$F1503,nrES_Att,1)=0,$L1503,IF($L1503&gt;=$J1503,cfgRetakeRecordedCap,SUMIFS(nrES_Raw,nrES_PID,$D1503,nrES_Code,$F1503,nrES_Att,1))))))</f>
        <v/>
      </c>
      <c r="N1503" s="17">
        <f>IF($C1503="","",IF($L1503="","",IF($L1503&gt;=$J1503,"Yes","No")))</f>
        <v/>
      </c>
      <c r="O1503" s="17">
        <f>IF($C1503="","",IF($M1503="","",IF($M1503&gt;=$J1503,"Yes","No")))</f>
        <v/>
      </c>
      <c r="P1503" s="17">
        <f>IF($C1503="","",IF($K1503="","",IF(COUNTIFS(nrES_PID,$D1503,nrES_Code,$F1503,nrES_Att,"&gt;"&amp;$K1503)=0,"Yes","No")))</f>
        <v/>
      </c>
      <c r="Q1503" s="17">
        <f>IF($C1503="","",IF($L1503="","",IF(AND($K1503=1,$L1503&lt;$J1503,COUNTIFS(nrES_PID,$D1503,nrES_Code,$F1503,nrES_Att,2)=0),"Yes","No")))</f>
        <v/>
      </c>
      <c r="R1503" s="17">
        <f>IF($C1503="","",IF($L1503="","",IF(AND($K1503=2,$L1503&lt;$J1503,COUNTIFS(nrES_PID,$D1503,nrES_Code,$F1503,nrES_Att,1)&gt;0),"Yes","No")))</f>
        <v/>
      </c>
      <c r="S1503" s="18" t="n"/>
      <c r="T1503" s="19">
        <f>IF($Q1503&lt;&gt;"Yes","",IF($S1503="","(enter date)",_xlfn.LET(_xlpm.dn,IFERROR(_xlfn.XLOOKUP($S1503,nrCDdate,nrCDnum),""),IF(_xlpm.dn="","(not a class day)",IFERROR(_xlfn.XLOOKUP(_xlpm.dn+cfgRetestClassDays,nrCDnum,nrCDdate),"")))))</f>
        <v/>
      </c>
      <c r="U1503" s="17">
        <f>IF($Q1503&lt;&gt;"Yes","",IF(COUNTIFS(nrES_PID,$D1503,nrES_Code,$F1503,nrES_Att,2)&gt;0,"Retested",IF(OR($T1503="",NOT(ISNUMBER($T1503))),"Pending",IF(TODAY()&gt;$T1503,"OVERDUE","Due "&amp;TEXT($T1503,"mm/dd")))))</f>
        <v/>
      </c>
      <c r="V1503" s="16" t="n"/>
      <c r="W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K1504=1,IF(COUNTIFS(nrES_PID,$D1504,nrES_Code,$F1504,nrES_Att,2)&gt;0,"",$L1504),IF(COUNTIFS(nrES_PID,$D1504,nrES_Code,$F1504,nrES_Att,1)=0,$L1504,IF($L1504&gt;=$J1504,cfgRetakeRecordedCap,SUMIFS(nrES_Raw,nrES_PID,$D1504,nrES_Code,$F1504,nrES_Att,1))))))</f>
        <v/>
      </c>
      <c r="N1504" s="17">
        <f>IF($C1504="","",IF($L1504="","",IF($L1504&gt;=$J1504,"Yes","No")))</f>
        <v/>
      </c>
      <c r="O1504" s="17">
        <f>IF($C1504="","",IF($M1504="","",IF($M1504&gt;=$J1504,"Yes","No")))</f>
        <v/>
      </c>
      <c r="P1504" s="17">
        <f>IF($C1504="","",IF($K1504="","",IF(COUNTIFS(nrES_PID,$D1504,nrES_Code,$F1504,nrES_Att,"&gt;"&amp;$K1504)=0,"Yes","No")))</f>
        <v/>
      </c>
      <c r="Q1504" s="17">
        <f>IF($C1504="","",IF($L1504="","",IF(AND($K1504=1,$L1504&lt;$J1504,COUNTIFS(nrES_PID,$D1504,nrES_Code,$F1504,nrES_Att,2)=0),"Yes","No")))</f>
        <v/>
      </c>
      <c r="R1504" s="17">
        <f>IF($C1504="","",IF($L1504="","",IF(AND($K1504=2,$L1504&lt;$J1504,COUNTIFS(nrES_PID,$D1504,nrES_Code,$F1504,nrES_Att,1)&gt;0),"Yes","No")))</f>
        <v/>
      </c>
      <c r="S1504" s="18" t="n"/>
      <c r="T1504" s="19">
        <f>IF($Q1504&lt;&gt;"Yes","",IF($S1504="","(enter date)",_xlfn.LET(_xlpm.dn,IFERROR(_xlfn.XLOOKUP($S1504,nrCDdate,nrCDnum),""),IF(_xlpm.dn="","(not a class day)",IFERROR(_xlfn.XLOOKUP(_xlpm.dn+cfgRetestClassDays,nrCDnum,nrCDdate),"")))))</f>
        <v/>
      </c>
      <c r="U1504" s="17">
        <f>IF($Q1504&lt;&gt;"Yes","",IF(COUNTIFS(nrES_PID,$D1504,nrES_Code,$F1504,nrES_Att,2)&gt;0,"Retested",IF(OR($T1504="",NOT(ISNUMBER($T1504))),"Pending",IF(TODAY()&gt;$T1504,"OVERDUE","Due "&amp;TEXT($T1504,"mm/dd")))))</f>
        <v/>
      </c>
      <c r="V1504" s="16" t="n"/>
      <c r="W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K1505=1,IF(COUNTIFS(nrES_PID,$D1505,nrES_Code,$F1505,nrES_Att,2)&gt;0,"",$L1505),IF(COUNTIFS(nrES_PID,$D1505,nrES_Code,$F1505,nrES_Att,1)=0,$L1505,IF($L1505&gt;=$J1505,cfgRetakeRecordedCap,SUMIFS(nrES_Raw,nrES_PID,$D1505,nrES_Code,$F1505,nrES_Att,1))))))</f>
        <v/>
      </c>
      <c r="N1505" s="17">
        <f>IF($C1505="","",IF($L1505="","",IF($L1505&gt;=$J1505,"Yes","No")))</f>
        <v/>
      </c>
      <c r="O1505" s="17">
        <f>IF($C1505="","",IF($M1505="","",IF($M1505&gt;=$J1505,"Yes","No")))</f>
        <v/>
      </c>
      <c r="P1505" s="17">
        <f>IF($C1505="","",IF($K1505="","",IF(COUNTIFS(nrES_PID,$D1505,nrES_Code,$F1505,nrES_Att,"&gt;"&amp;$K1505)=0,"Yes","No")))</f>
        <v/>
      </c>
      <c r="Q1505" s="17">
        <f>IF($C1505="","",IF($L1505="","",IF(AND($K1505=1,$L1505&lt;$J1505,COUNTIFS(nrES_PID,$D1505,nrES_Code,$F1505,nrES_Att,2)=0),"Yes","No")))</f>
        <v/>
      </c>
      <c r="R1505" s="17">
        <f>IF($C1505="","",IF($L1505="","",IF(AND($K1505=2,$L1505&lt;$J1505,COUNTIFS(nrES_PID,$D1505,nrES_Code,$F1505,nrES_Att,1)&gt;0),"Yes","No")))</f>
        <v/>
      </c>
      <c r="S1505" s="18" t="n"/>
      <c r="T1505" s="19">
        <f>IF($Q1505&lt;&gt;"Yes","",IF($S1505="","(enter date)",_xlfn.LET(_xlpm.dn,IFERROR(_xlfn.XLOOKUP($S1505,nrCDdate,nrCDnum),""),IF(_xlpm.dn="","(not a class day)",IFERROR(_xlfn.XLOOKUP(_xlpm.dn+cfgRetestClassDays,nrCDnum,nrCDdate),"")))))</f>
        <v/>
      </c>
      <c r="U1505" s="17">
        <f>IF($Q1505&lt;&gt;"Yes","",IF(COUNTIFS(nrES_PID,$D1505,nrES_Code,$F1505,nrES_Att,2)&gt;0,"Retested",IF(OR($T1505="",NOT(ISNUMBER($T1505))),"Pending",IF(TODAY()&gt;$T1505,"OVERDUE","Due "&amp;TEXT($T1505,"mm/dd")))))</f>
        <v/>
      </c>
      <c r="V1505" s="16" t="n"/>
      <c r="W1505" s="16" t="n"/>
    </row>
  </sheetData>
  <autoFilter ref="B5:W5"/>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S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IF(OR($B6="",N($I6)=0),"",SUMIFS(nrMK_Min,nrMK_Link,$B6,nrMK_Credit,"Yes"))</f>
        <v/>
      </c>
      <c r="Q6" s="17">
        <f>IF(OR($B6="",N($J6)=0),"",SUMIFS(nrMK_Sess,nrMK_Link,$B6,nrMK_Credit,"Yes"))</f>
        <v/>
      </c>
      <c r="R6" s="17">
        <f>IF(OR($B6="",$N6&lt;&gt;"Yes"),"",IF(N($I6)&gt;0,N($I6)-N($P6),IF(N($J6)&gt;0,N($J6)-N($Q6),"")))</f>
        <v/>
      </c>
      <c r="S6" s="17">
        <f>IF(OR($B6="",$R6=""),"",IF($R6&lt;=0,"CLEARED "&amp;IFERROR(TEXT(_xlfn.MAXIFS(nrMK_Date,nrMK_Link,$B6,nrMK_Credit,"Yes"),"mm/dd"),""),"OPEN"))</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IF(OR($B7="",N($I7)=0),"",SUMIFS(nrMK_Min,nrMK_Link,$B7,nrMK_Credit,"Yes"))</f>
        <v/>
      </c>
      <c r="Q7" s="17">
        <f>IF(OR($B7="",N($J7)=0),"",SUMIFS(nrMK_Sess,nrMK_Link,$B7,nrMK_Credit,"Yes"))</f>
        <v/>
      </c>
      <c r="R7" s="17">
        <f>IF(OR($B7="",$N7&lt;&gt;"Yes"),"",IF(N($I7)&gt;0,N($I7)-N($P7),IF(N($J7)&gt;0,N($J7)-N($Q7),"")))</f>
        <v/>
      </c>
      <c r="S7" s="17">
        <f>IF(OR($B7="",$R7=""),"",IF($R7&lt;=0,"CLEARED "&amp;IFERROR(TEXT(_xlfn.MAXIFS(nrMK_Date,nrMK_Link,$B7,nrMK_Credit,"Yes"),"mm/dd"),""),"OPEN"))</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IF(OR($B8="",N($I8)=0),"",SUMIFS(nrMK_Min,nrMK_Link,$B8,nrMK_Credit,"Yes"))</f>
        <v/>
      </c>
      <c r="Q8" s="17">
        <f>IF(OR($B8="",N($J8)=0),"",SUMIFS(nrMK_Sess,nrMK_Link,$B8,nrMK_Credit,"Yes"))</f>
        <v/>
      </c>
      <c r="R8" s="17">
        <f>IF(OR($B8="",$N8&lt;&gt;"Yes"),"",IF(N($I8)&gt;0,N($I8)-N($P8),IF(N($J8)&gt;0,N($J8)-N($Q8),"")))</f>
        <v/>
      </c>
      <c r="S8" s="17">
        <f>IF(OR($B8="",$R8=""),"",IF($R8&lt;=0,"CLEARED "&amp;IFERROR(TEXT(_xlfn.MAXIFS(nrMK_Date,nrMK_Link,$B8,nrMK_Credit,"Yes"),"mm/dd"),""),"OPEN"))</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IF(OR($B9="",N($I9)=0),"",SUMIFS(nrMK_Min,nrMK_Link,$B9,nrMK_Credit,"Yes"))</f>
        <v/>
      </c>
      <c r="Q9" s="17">
        <f>IF(OR($B9="",N($J9)=0),"",SUMIFS(nrMK_Sess,nrMK_Link,$B9,nrMK_Credit,"Yes"))</f>
        <v/>
      </c>
      <c r="R9" s="17">
        <f>IF(OR($B9="",$N9&lt;&gt;"Yes"),"",IF(N($I9)&gt;0,N($I9)-N($P9),IF(N($J9)&gt;0,N($J9)-N($Q9),"")))</f>
        <v/>
      </c>
      <c r="S9" s="17">
        <f>IF(OR($B9="",$R9=""),"",IF($R9&lt;=0,"CLEARED "&amp;IFERROR(TEXT(_xlfn.MAXIFS(nrMK_Date,nrMK_Link,$B9,nrMK_Credit,"Yes"),"mm/dd"),""),"OPEN"))</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IF(OR($B10="",N($I10)=0),"",SUMIFS(nrMK_Min,nrMK_Link,$B10,nrMK_Credit,"Yes"))</f>
        <v/>
      </c>
      <c r="Q10" s="17">
        <f>IF(OR($B10="",N($J10)=0),"",SUMIFS(nrMK_Sess,nrMK_Link,$B10,nrMK_Credit,"Yes"))</f>
        <v/>
      </c>
      <c r="R10" s="17">
        <f>IF(OR($B10="",$N10&lt;&gt;"Yes"),"",IF(N($I10)&gt;0,N($I10)-N($P10),IF(N($J10)&gt;0,N($J10)-N($Q10),"")))</f>
        <v/>
      </c>
      <c r="S10" s="17">
        <f>IF(OR($B10="",$R10=""),"",IF($R10&lt;=0,"CLEARED "&amp;IFERROR(TEXT(_xlfn.MAXIFS(nrMK_Date,nrMK_Link,$B10,nrMK_Credit,"Yes"),"mm/dd"),""),"OPEN"))</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IF(OR($B11="",N($I11)=0),"",SUMIFS(nrMK_Min,nrMK_Link,$B11,nrMK_Credit,"Yes"))</f>
        <v/>
      </c>
      <c r="Q11" s="17">
        <f>IF(OR($B11="",N($J11)=0),"",SUMIFS(nrMK_Sess,nrMK_Link,$B11,nrMK_Credit,"Yes"))</f>
        <v/>
      </c>
      <c r="R11" s="17">
        <f>IF(OR($B11="",$N11&lt;&gt;"Yes"),"",IF(N($I11)&gt;0,N($I11)-N($P11),IF(N($J11)&gt;0,N($J11)-N($Q11),"")))</f>
        <v/>
      </c>
      <c r="S11" s="17">
        <f>IF(OR($B11="",$R11=""),"",IF($R11&lt;=0,"CLEARED "&amp;IFERROR(TEXT(_xlfn.MAXIFS(nrMK_Date,nrMK_Link,$B11,nrMK_Credit,"Yes"),"mm/dd"),""),"OPEN"))</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IF(OR($B12="",N($I12)=0),"",SUMIFS(nrMK_Min,nrMK_Link,$B12,nrMK_Credit,"Yes"))</f>
        <v/>
      </c>
      <c r="Q12" s="17">
        <f>IF(OR($B12="",N($J12)=0),"",SUMIFS(nrMK_Sess,nrMK_Link,$B12,nrMK_Credit,"Yes"))</f>
        <v/>
      </c>
      <c r="R12" s="17">
        <f>IF(OR($B12="",$N12&lt;&gt;"Yes"),"",IF(N($I12)&gt;0,N($I12)-N($P12),IF(N($J12)&gt;0,N($J12)-N($Q12),"")))</f>
        <v/>
      </c>
      <c r="S12" s="17">
        <f>IF(OR($B12="",$R12=""),"",IF($R12&lt;=0,"CLEARED "&amp;IFERROR(TEXT(_xlfn.MAXIFS(nrMK_Date,nrMK_Link,$B12,nrMK_Credit,"Yes"),"mm/dd"),""),"OPEN"))</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IF(OR($B13="",N($I13)=0),"",SUMIFS(nrMK_Min,nrMK_Link,$B13,nrMK_Credit,"Yes"))</f>
        <v/>
      </c>
      <c r="Q13" s="17">
        <f>IF(OR($B13="",N($J13)=0),"",SUMIFS(nrMK_Sess,nrMK_Link,$B13,nrMK_Credit,"Yes"))</f>
        <v/>
      </c>
      <c r="R13" s="17">
        <f>IF(OR($B13="",$N13&lt;&gt;"Yes"),"",IF(N($I13)&gt;0,N($I13)-N($P13),IF(N($J13)&gt;0,N($J13)-N($Q13),"")))</f>
        <v/>
      </c>
      <c r="S13" s="17">
        <f>IF(OR($B13="",$R13=""),"",IF($R13&lt;=0,"CLEARED "&amp;IFERROR(TEXT(_xlfn.MAXIFS(nrMK_Date,nrMK_Link,$B13,nrMK_Credit,"Yes"),"mm/dd"),""),"OPEN"))</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IF(OR($B14="",N($I14)=0),"",SUMIFS(nrMK_Min,nrMK_Link,$B14,nrMK_Credit,"Yes"))</f>
        <v/>
      </c>
      <c r="Q14" s="17">
        <f>IF(OR($B14="",N($J14)=0),"",SUMIFS(nrMK_Sess,nrMK_Link,$B14,nrMK_Credit,"Yes"))</f>
        <v/>
      </c>
      <c r="R14" s="17">
        <f>IF(OR($B14="",$N14&lt;&gt;"Yes"),"",IF(N($I14)&gt;0,N($I14)-N($P14),IF(N($J14)&gt;0,N($J14)-N($Q14),"")))</f>
        <v/>
      </c>
      <c r="S14" s="17">
        <f>IF(OR($B14="",$R14=""),"",IF($R14&lt;=0,"CLEARED "&amp;IFERROR(TEXT(_xlfn.MAXIFS(nrMK_Date,nrMK_Link,$B14,nrMK_Credit,"Yes"),"mm/dd"),""),"OPEN"))</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IF(OR($B15="",N($I15)=0),"",SUMIFS(nrMK_Min,nrMK_Link,$B15,nrMK_Credit,"Yes"))</f>
        <v/>
      </c>
      <c r="Q15" s="17">
        <f>IF(OR($B15="",N($J15)=0),"",SUMIFS(nrMK_Sess,nrMK_Link,$B15,nrMK_Credit,"Yes"))</f>
        <v/>
      </c>
      <c r="R15" s="17">
        <f>IF(OR($B15="",$N15&lt;&gt;"Yes"),"",IF(N($I15)&gt;0,N($I15)-N($P15),IF(N($J15)&gt;0,N($J15)-N($Q15),"")))</f>
        <v/>
      </c>
      <c r="S15" s="17">
        <f>IF(OR($B15="",$R15=""),"",IF($R15&lt;=0,"CLEARED "&amp;IFERROR(TEXT(_xlfn.MAXIFS(nrMK_Date,nrMK_Link,$B15,nrMK_Credit,"Yes"),"mm/dd"),""),"OPEN"))</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IF(OR($B16="",N($I16)=0),"",SUMIFS(nrMK_Min,nrMK_Link,$B16,nrMK_Credit,"Yes"))</f>
        <v/>
      </c>
      <c r="Q16" s="17">
        <f>IF(OR($B16="",N($J16)=0),"",SUMIFS(nrMK_Sess,nrMK_Link,$B16,nrMK_Credit,"Yes"))</f>
        <v/>
      </c>
      <c r="R16" s="17">
        <f>IF(OR($B16="",$N16&lt;&gt;"Yes"),"",IF(N($I16)&gt;0,N($I16)-N($P16),IF(N($J16)&gt;0,N($J16)-N($Q16),"")))</f>
        <v/>
      </c>
      <c r="S16" s="17">
        <f>IF(OR($B16="",$R16=""),"",IF($R16&lt;=0,"CLEARED "&amp;IFERROR(TEXT(_xlfn.MAXIFS(nrMK_Date,nrMK_Link,$B16,nrMK_Credit,"Yes"),"mm/dd"),""),"OPEN"))</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IF(OR($B17="",N($I17)=0),"",SUMIFS(nrMK_Min,nrMK_Link,$B17,nrMK_Credit,"Yes"))</f>
        <v/>
      </c>
      <c r="Q17" s="17">
        <f>IF(OR($B17="",N($J17)=0),"",SUMIFS(nrMK_Sess,nrMK_Link,$B17,nrMK_Credit,"Yes"))</f>
        <v/>
      </c>
      <c r="R17" s="17">
        <f>IF(OR($B17="",$N17&lt;&gt;"Yes"),"",IF(N($I17)&gt;0,N($I17)-N($P17),IF(N($J17)&gt;0,N($J17)-N($Q17),"")))</f>
        <v/>
      </c>
      <c r="S17" s="17">
        <f>IF(OR($B17="",$R17=""),"",IF($R17&lt;=0,"CLEARED "&amp;IFERROR(TEXT(_xlfn.MAXIFS(nrMK_Date,nrMK_Link,$B17,nrMK_Credit,"Yes"),"mm/dd"),""),"OPEN"))</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IF(OR($B18="",N($I18)=0),"",SUMIFS(nrMK_Min,nrMK_Link,$B18,nrMK_Credit,"Yes"))</f>
        <v/>
      </c>
      <c r="Q18" s="17">
        <f>IF(OR($B18="",N($J18)=0),"",SUMIFS(nrMK_Sess,nrMK_Link,$B18,nrMK_Credit,"Yes"))</f>
        <v/>
      </c>
      <c r="R18" s="17">
        <f>IF(OR($B18="",$N18&lt;&gt;"Yes"),"",IF(N($I18)&gt;0,N($I18)-N($P18),IF(N($J18)&gt;0,N($J18)-N($Q18),"")))</f>
        <v/>
      </c>
      <c r="S18" s="17">
        <f>IF(OR($B18="",$R18=""),"",IF($R18&lt;=0,"CLEARED "&amp;IFERROR(TEXT(_xlfn.MAXIFS(nrMK_Date,nrMK_Link,$B18,nrMK_Credit,"Yes"),"mm/dd"),""),"OPEN"))</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IF(OR($B19="",N($I19)=0),"",SUMIFS(nrMK_Min,nrMK_Link,$B19,nrMK_Credit,"Yes"))</f>
        <v/>
      </c>
      <c r="Q19" s="17">
        <f>IF(OR($B19="",N($J19)=0),"",SUMIFS(nrMK_Sess,nrMK_Link,$B19,nrMK_Credit,"Yes"))</f>
        <v/>
      </c>
      <c r="R19" s="17">
        <f>IF(OR($B19="",$N19&lt;&gt;"Yes"),"",IF(N($I19)&gt;0,N($I19)-N($P19),IF(N($J19)&gt;0,N($J19)-N($Q19),"")))</f>
        <v/>
      </c>
      <c r="S19" s="17">
        <f>IF(OR($B19="",$R19=""),"",IF($R19&lt;=0,"CLEARED "&amp;IFERROR(TEXT(_xlfn.MAXIFS(nrMK_Date,nrMK_Link,$B19,nrMK_Credit,"Yes"),"mm/dd"),""),"OPEN"))</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IF(OR($B20="",N($I20)=0),"",SUMIFS(nrMK_Min,nrMK_Link,$B20,nrMK_Credit,"Yes"))</f>
        <v/>
      </c>
      <c r="Q20" s="17">
        <f>IF(OR($B20="",N($J20)=0),"",SUMIFS(nrMK_Sess,nrMK_Link,$B20,nrMK_Credit,"Yes"))</f>
        <v/>
      </c>
      <c r="R20" s="17">
        <f>IF(OR($B20="",$N20&lt;&gt;"Yes"),"",IF(N($I20)&gt;0,N($I20)-N($P20),IF(N($J20)&gt;0,N($J20)-N($Q20),"")))</f>
        <v/>
      </c>
      <c r="S20" s="17">
        <f>IF(OR($B20="",$R20=""),"",IF($R20&lt;=0,"CLEARED "&amp;IFERROR(TEXT(_xlfn.MAXIFS(nrMK_Date,nrMK_Link,$B20,nrMK_Credit,"Yes"),"mm/dd"),""),"OPEN"))</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IF(OR($B21="",N($I21)=0),"",SUMIFS(nrMK_Min,nrMK_Link,$B21,nrMK_Credit,"Yes"))</f>
        <v/>
      </c>
      <c r="Q21" s="17">
        <f>IF(OR($B21="",N($J21)=0),"",SUMIFS(nrMK_Sess,nrMK_Link,$B21,nrMK_Credit,"Yes"))</f>
        <v/>
      </c>
      <c r="R21" s="17">
        <f>IF(OR($B21="",$N21&lt;&gt;"Yes"),"",IF(N($I21)&gt;0,N($I21)-N($P21),IF(N($J21)&gt;0,N($J21)-N($Q21),"")))</f>
        <v/>
      </c>
      <c r="S21" s="17">
        <f>IF(OR($B21="",$R21=""),"",IF($R21&lt;=0,"CLEARED "&amp;IFERROR(TEXT(_xlfn.MAXIFS(nrMK_Date,nrMK_Link,$B21,nrMK_Credit,"Yes"),"mm/dd"),""),"OPEN"))</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IF(OR($B22="",N($I22)=0),"",SUMIFS(nrMK_Min,nrMK_Link,$B22,nrMK_Credit,"Yes"))</f>
        <v/>
      </c>
      <c r="Q22" s="17">
        <f>IF(OR($B22="",N($J22)=0),"",SUMIFS(nrMK_Sess,nrMK_Link,$B22,nrMK_Credit,"Yes"))</f>
        <v/>
      </c>
      <c r="R22" s="17">
        <f>IF(OR($B22="",$N22&lt;&gt;"Yes"),"",IF(N($I22)&gt;0,N($I22)-N($P22),IF(N($J22)&gt;0,N($J22)-N($Q22),"")))</f>
        <v/>
      </c>
      <c r="S22" s="17">
        <f>IF(OR($B22="",$R22=""),"",IF($R22&lt;=0,"CLEARED "&amp;IFERROR(TEXT(_xlfn.MAXIFS(nrMK_Date,nrMK_Link,$B22,nrMK_Credit,"Yes"),"mm/dd"),""),"OPEN"))</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IF(OR($B23="",N($I23)=0),"",SUMIFS(nrMK_Min,nrMK_Link,$B23,nrMK_Credit,"Yes"))</f>
        <v/>
      </c>
      <c r="Q23" s="17">
        <f>IF(OR($B23="",N($J23)=0),"",SUMIFS(nrMK_Sess,nrMK_Link,$B23,nrMK_Credit,"Yes"))</f>
        <v/>
      </c>
      <c r="R23" s="17">
        <f>IF(OR($B23="",$N23&lt;&gt;"Yes"),"",IF(N($I23)&gt;0,N($I23)-N($P23),IF(N($J23)&gt;0,N($J23)-N($Q23),"")))</f>
        <v/>
      </c>
      <c r="S23" s="17">
        <f>IF(OR($B23="",$R23=""),"",IF($R23&lt;=0,"CLEARED "&amp;IFERROR(TEXT(_xlfn.MAXIFS(nrMK_Date,nrMK_Link,$B23,nrMK_Credit,"Yes"),"mm/dd"),""),"OPEN"))</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IF(OR($B24="",N($I24)=0),"",SUMIFS(nrMK_Min,nrMK_Link,$B24,nrMK_Credit,"Yes"))</f>
        <v/>
      </c>
      <c r="Q24" s="17">
        <f>IF(OR($B24="",N($J24)=0),"",SUMIFS(nrMK_Sess,nrMK_Link,$B24,nrMK_Credit,"Yes"))</f>
        <v/>
      </c>
      <c r="R24" s="17">
        <f>IF(OR($B24="",$N24&lt;&gt;"Yes"),"",IF(N($I24)&gt;0,N($I24)-N($P24),IF(N($J24)&gt;0,N($J24)-N($Q24),"")))</f>
        <v/>
      </c>
      <c r="S24" s="17">
        <f>IF(OR($B24="",$R24=""),"",IF($R24&lt;=0,"CLEARED "&amp;IFERROR(TEXT(_xlfn.MAXIFS(nrMK_Date,nrMK_Link,$B24,nrMK_Credit,"Yes"),"mm/dd"),""),"OPEN"))</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IF(OR($B25="",N($I25)=0),"",SUMIFS(nrMK_Min,nrMK_Link,$B25,nrMK_Credit,"Yes"))</f>
        <v/>
      </c>
      <c r="Q25" s="17">
        <f>IF(OR($B25="",N($J25)=0),"",SUMIFS(nrMK_Sess,nrMK_Link,$B25,nrMK_Credit,"Yes"))</f>
        <v/>
      </c>
      <c r="R25" s="17">
        <f>IF(OR($B25="",$N25&lt;&gt;"Yes"),"",IF(N($I25)&gt;0,N($I25)-N($P25),IF(N($J25)&gt;0,N($J25)-N($Q25),"")))</f>
        <v/>
      </c>
      <c r="S25" s="17">
        <f>IF(OR($B25="",$R25=""),"",IF($R25&lt;=0,"CLEARED "&amp;IFERROR(TEXT(_xlfn.MAXIFS(nrMK_Date,nrMK_Link,$B25,nrMK_Credit,"Yes"),"mm/dd"),""),"OPEN"))</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IF(OR($B26="",N($I26)=0),"",SUMIFS(nrMK_Min,nrMK_Link,$B26,nrMK_Credit,"Yes"))</f>
        <v/>
      </c>
      <c r="Q26" s="17">
        <f>IF(OR($B26="",N($J26)=0),"",SUMIFS(nrMK_Sess,nrMK_Link,$B26,nrMK_Credit,"Yes"))</f>
        <v/>
      </c>
      <c r="R26" s="17">
        <f>IF(OR($B26="",$N26&lt;&gt;"Yes"),"",IF(N($I26)&gt;0,N($I26)-N($P26),IF(N($J26)&gt;0,N($J26)-N($Q26),"")))</f>
        <v/>
      </c>
      <c r="S26" s="17">
        <f>IF(OR($B26="",$R26=""),"",IF($R26&lt;=0,"CLEARED "&amp;IFERROR(TEXT(_xlfn.MAXIFS(nrMK_Date,nrMK_Link,$B26,nrMK_Credit,"Yes"),"mm/dd"),""),"OPEN"))</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IF(OR($B27="",N($I27)=0),"",SUMIFS(nrMK_Min,nrMK_Link,$B27,nrMK_Credit,"Yes"))</f>
        <v/>
      </c>
      <c r="Q27" s="17">
        <f>IF(OR($B27="",N($J27)=0),"",SUMIFS(nrMK_Sess,nrMK_Link,$B27,nrMK_Credit,"Yes"))</f>
        <v/>
      </c>
      <c r="R27" s="17">
        <f>IF(OR($B27="",$N27&lt;&gt;"Yes"),"",IF(N($I27)&gt;0,N($I27)-N($P27),IF(N($J27)&gt;0,N($J27)-N($Q27),"")))</f>
        <v/>
      </c>
      <c r="S27" s="17">
        <f>IF(OR($B27="",$R27=""),"",IF($R27&lt;=0,"CLEARED "&amp;IFERROR(TEXT(_xlfn.MAXIFS(nrMK_Date,nrMK_Link,$B27,nrMK_Credit,"Yes"),"mm/dd"),""),"OPEN"))</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IF(OR($B28="",N($I28)=0),"",SUMIFS(nrMK_Min,nrMK_Link,$B28,nrMK_Credit,"Yes"))</f>
        <v/>
      </c>
      <c r="Q28" s="17">
        <f>IF(OR($B28="",N($J28)=0),"",SUMIFS(nrMK_Sess,nrMK_Link,$B28,nrMK_Credit,"Yes"))</f>
        <v/>
      </c>
      <c r="R28" s="17">
        <f>IF(OR($B28="",$N28&lt;&gt;"Yes"),"",IF(N($I28)&gt;0,N($I28)-N($P28),IF(N($J28)&gt;0,N($J28)-N($Q28),"")))</f>
        <v/>
      </c>
      <c r="S28" s="17">
        <f>IF(OR($B28="",$R28=""),"",IF($R28&lt;=0,"CLEARED "&amp;IFERROR(TEXT(_xlfn.MAXIFS(nrMK_Date,nrMK_Link,$B28,nrMK_Credit,"Yes"),"mm/dd"),""),"OPEN"))</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IF(OR($B29="",N($I29)=0),"",SUMIFS(nrMK_Min,nrMK_Link,$B29,nrMK_Credit,"Yes"))</f>
        <v/>
      </c>
      <c r="Q29" s="17">
        <f>IF(OR($B29="",N($J29)=0),"",SUMIFS(nrMK_Sess,nrMK_Link,$B29,nrMK_Credit,"Yes"))</f>
        <v/>
      </c>
      <c r="R29" s="17">
        <f>IF(OR($B29="",$N29&lt;&gt;"Yes"),"",IF(N($I29)&gt;0,N($I29)-N($P29),IF(N($J29)&gt;0,N($J29)-N($Q29),"")))</f>
        <v/>
      </c>
      <c r="S29" s="17">
        <f>IF(OR($B29="",$R29=""),"",IF($R29&lt;=0,"CLEARED "&amp;IFERROR(TEXT(_xlfn.MAXIFS(nrMK_Date,nrMK_Link,$B29,nrMK_Credit,"Yes"),"mm/dd"),""),"OPEN"))</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IF(OR($B30="",N($I30)=0),"",SUMIFS(nrMK_Min,nrMK_Link,$B30,nrMK_Credit,"Yes"))</f>
        <v/>
      </c>
      <c r="Q30" s="17">
        <f>IF(OR($B30="",N($J30)=0),"",SUMIFS(nrMK_Sess,nrMK_Link,$B30,nrMK_Credit,"Yes"))</f>
        <v/>
      </c>
      <c r="R30" s="17">
        <f>IF(OR($B30="",$N30&lt;&gt;"Yes"),"",IF(N($I30)&gt;0,N($I30)-N($P30),IF(N($J30)&gt;0,N($J30)-N($Q30),"")))</f>
        <v/>
      </c>
      <c r="S30" s="17">
        <f>IF(OR($B30="",$R30=""),"",IF($R30&lt;=0,"CLEARED "&amp;IFERROR(TEXT(_xlfn.MAXIFS(nrMK_Date,nrMK_Link,$B30,nrMK_Credit,"Yes"),"mm/dd"),""),"OPEN"))</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IF(OR($B31="",N($I31)=0),"",SUMIFS(nrMK_Min,nrMK_Link,$B31,nrMK_Credit,"Yes"))</f>
        <v/>
      </c>
      <c r="Q31" s="17">
        <f>IF(OR($B31="",N($J31)=0),"",SUMIFS(nrMK_Sess,nrMK_Link,$B31,nrMK_Credit,"Yes"))</f>
        <v/>
      </c>
      <c r="R31" s="17">
        <f>IF(OR($B31="",$N31&lt;&gt;"Yes"),"",IF(N($I31)&gt;0,N($I31)-N($P31),IF(N($J31)&gt;0,N($J31)-N($Q31),"")))</f>
        <v/>
      </c>
      <c r="S31" s="17">
        <f>IF(OR($B31="",$R31=""),"",IF($R31&lt;=0,"CLEARED "&amp;IFERROR(TEXT(_xlfn.MAXIFS(nrMK_Date,nrMK_Link,$B31,nrMK_Credit,"Yes"),"mm/dd"),""),"OPEN"))</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IF(OR($B32="",N($I32)=0),"",SUMIFS(nrMK_Min,nrMK_Link,$B32,nrMK_Credit,"Yes"))</f>
        <v/>
      </c>
      <c r="Q32" s="17">
        <f>IF(OR($B32="",N($J32)=0),"",SUMIFS(nrMK_Sess,nrMK_Link,$B32,nrMK_Credit,"Yes"))</f>
        <v/>
      </c>
      <c r="R32" s="17">
        <f>IF(OR($B32="",$N32&lt;&gt;"Yes"),"",IF(N($I32)&gt;0,N($I32)-N($P32),IF(N($J32)&gt;0,N($J32)-N($Q32),"")))</f>
        <v/>
      </c>
      <c r="S32" s="17">
        <f>IF(OR($B32="",$R32=""),"",IF($R32&lt;=0,"CLEARED "&amp;IFERROR(TEXT(_xlfn.MAXIFS(nrMK_Date,nrMK_Link,$B32,nrMK_Credit,"Yes"),"mm/dd"),""),"OPEN"))</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IF(OR($B33="",N($I33)=0),"",SUMIFS(nrMK_Min,nrMK_Link,$B33,nrMK_Credit,"Yes"))</f>
        <v/>
      </c>
      <c r="Q33" s="17">
        <f>IF(OR($B33="",N($J33)=0),"",SUMIFS(nrMK_Sess,nrMK_Link,$B33,nrMK_Credit,"Yes"))</f>
        <v/>
      </c>
      <c r="R33" s="17">
        <f>IF(OR($B33="",$N33&lt;&gt;"Yes"),"",IF(N($I33)&gt;0,N($I33)-N($P33),IF(N($J33)&gt;0,N($J33)-N($Q33),"")))</f>
        <v/>
      </c>
      <c r="S33" s="17">
        <f>IF(OR($B33="",$R33=""),"",IF($R33&lt;=0,"CLEARED "&amp;IFERROR(TEXT(_xlfn.MAXIFS(nrMK_Date,nrMK_Link,$B33,nrMK_Credit,"Yes"),"mm/dd"),""),"OPEN"))</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IF(OR($B34="",N($I34)=0),"",SUMIFS(nrMK_Min,nrMK_Link,$B34,nrMK_Credit,"Yes"))</f>
        <v/>
      </c>
      <c r="Q34" s="17">
        <f>IF(OR($B34="",N($J34)=0),"",SUMIFS(nrMK_Sess,nrMK_Link,$B34,nrMK_Credit,"Yes"))</f>
        <v/>
      </c>
      <c r="R34" s="17">
        <f>IF(OR($B34="",$N34&lt;&gt;"Yes"),"",IF(N($I34)&gt;0,N($I34)-N($P34),IF(N($J34)&gt;0,N($J34)-N($Q34),"")))</f>
        <v/>
      </c>
      <c r="S34" s="17">
        <f>IF(OR($B34="",$R34=""),"",IF($R34&lt;=0,"CLEARED "&amp;IFERROR(TEXT(_xlfn.MAXIFS(nrMK_Date,nrMK_Link,$B34,nrMK_Credit,"Yes"),"mm/dd"),""),"OPEN"))</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IF(OR($B35="",N($I35)=0),"",SUMIFS(nrMK_Min,nrMK_Link,$B35,nrMK_Credit,"Yes"))</f>
        <v/>
      </c>
      <c r="Q35" s="17">
        <f>IF(OR($B35="",N($J35)=0),"",SUMIFS(nrMK_Sess,nrMK_Link,$B35,nrMK_Credit,"Yes"))</f>
        <v/>
      </c>
      <c r="R35" s="17">
        <f>IF(OR($B35="",$N35&lt;&gt;"Yes"),"",IF(N($I35)&gt;0,N($I35)-N($P35),IF(N($J35)&gt;0,N($J35)-N($Q35),"")))</f>
        <v/>
      </c>
      <c r="S35" s="17">
        <f>IF(OR($B35="",$R35=""),"",IF($R35&lt;=0,"CLEARED "&amp;IFERROR(TEXT(_xlfn.MAXIFS(nrMK_Date,nrMK_Link,$B35,nrMK_Credit,"Yes"),"mm/dd"),""),"OPEN"))</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IF(OR($B36="",N($I36)=0),"",SUMIFS(nrMK_Min,nrMK_Link,$B36,nrMK_Credit,"Yes"))</f>
        <v/>
      </c>
      <c r="Q36" s="17">
        <f>IF(OR($B36="",N($J36)=0),"",SUMIFS(nrMK_Sess,nrMK_Link,$B36,nrMK_Credit,"Yes"))</f>
        <v/>
      </c>
      <c r="R36" s="17">
        <f>IF(OR($B36="",$N36&lt;&gt;"Yes"),"",IF(N($I36)&gt;0,N($I36)-N($P36),IF(N($J36)&gt;0,N($J36)-N($Q36),"")))</f>
        <v/>
      </c>
      <c r="S36" s="17">
        <f>IF(OR($B36="",$R36=""),"",IF($R36&lt;=0,"CLEARED "&amp;IFERROR(TEXT(_xlfn.MAXIFS(nrMK_Date,nrMK_Link,$B36,nrMK_Credit,"Yes"),"mm/dd"),""),"OPEN"))</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IF(OR($B37="",N($I37)=0),"",SUMIFS(nrMK_Min,nrMK_Link,$B37,nrMK_Credit,"Yes"))</f>
        <v/>
      </c>
      <c r="Q37" s="17">
        <f>IF(OR($B37="",N($J37)=0),"",SUMIFS(nrMK_Sess,nrMK_Link,$B37,nrMK_Credit,"Yes"))</f>
        <v/>
      </c>
      <c r="R37" s="17">
        <f>IF(OR($B37="",$N37&lt;&gt;"Yes"),"",IF(N($I37)&gt;0,N($I37)-N($P37),IF(N($J37)&gt;0,N($J37)-N($Q37),"")))</f>
        <v/>
      </c>
      <c r="S37" s="17">
        <f>IF(OR($B37="",$R37=""),"",IF($R37&lt;=0,"CLEARED "&amp;IFERROR(TEXT(_xlfn.MAXIFS(nrMK_Date,nrMK_Link,$B37,nrMK_Credit,"Yes"),"mm/dd"),""),"OPEN"))</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IF(OR($B38="",N($I38)=0),"",SUMIFS(nrMK_Min,nrMK_Link,$B38,nrMK_Credit,"Yes"))</f>
        <v/>
      </c>
      <c r="Q38" s="17">
        <f>IF(OR($B38="",N($J38)=0),"",SUMIFS(nrMK_Sess,nrMK_Link,$B38,nrMK_Credit,"Yes"))</f>
        <v/>
      </c>
      <c r="R38" s="17">
        <f>IF(OR($B38="",$N38&lt;&gt;"Yes"),"",IF(N($I38)&gt;0,N($I38)-N($P38),IF(N($J38)&gt;0,N($J38)-N($Q38),"")))</f>
        <v/>
      </c>
      <c r="S38" s="17">
        <f>IF(OR($B38="",$R38=""),"",IF($R38&lt;=0,"CLEARED "&amp;IFERROR(TEXT(_xlfn.MAXIFS(nrMK_Date,nrMK_Link,$B38,nrMK_Credit,"Yes"),"mm/dd"),""),"OPEN"))</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IF(OR($B39="",N($I39)=0),"",SUMIFS(nrMK_Min,nrMK_Link,$B39,nrMK_Credit,"Yes"))</f>
        <v/>
      </c>
      <c r="Q39" s="17">
        <f>IF(OR($B39="",N($J39)=0),"",SUMIFS(nrMK_Sess,nrMK_Link,$B39,nrMK_Credit,"Yes"))</f>
        <v/>
      </c>
      <c r="R39" s="17">
        <f>IF(OR($B39="",$N39&lt;&gt;"Yes"),"",IF(N($I39)&gt;0,N($I39)-N($P39),IF(N($J39)&gt;0,N($J39)-N($Q39),"")))</f>
        <v/>
      </c>
      <c r="S39" s="17">
        <f>IF(OR($B39="",$R39=""),"",IF($R39&lt;=0,"CLEARED "&amp;IFERROR(TEXT(_xlfn.MAXIFS(nrMK_Date,nrMK_Link,$B39,nrMK_Credit,"Yes"),"mm/dd"),""),"OPEN"))</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IF(OR($B40="",N($I40)=0),"",SUMIFS(nrMK_Min,nrMK_Link,$B40,nrMK_Credit,"Yes"))</f>
        <v/>
      </c>
      <c r="Q40" s="17">
        <f>IF(OR($B40="",N($J40)=0),"",SUMIFS(nrMK_Sess,nrMK_Link,$B40,nrMK_Credit,"Yes"))</f>
        <v/>
      </c>
      <c r="R40" s="17">
        <f>IF(OR($B40="",$N40&lt;&gt;"Yes"),"",IF(N($I40)&gt;0,N($I40)-N($P40),IF(N($J40)&gt;0,N($J40)-N($Q40),"")))</f>
        <v/>
      </c>
      <c r="S40" s="17">
        <f>IF(OR($B40="",$R40=""),"",IF($R40&lt;=0,"CLEARED "&amp;IFERROR(TEXT(_xlfn.MAXIFS(nrMK_Date,nrMK_Link,$B40,nrMK_Credit,"Yes"),"mm/dd"),""),"OPEN"))</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IF(OR($B41="",N($I41)=0),"",SUMIFS(nrMK_Min,nrMK_Link,$B41,nrMK_Credit,"Yes"))</f>
        <v/>
      </c>
      <c r="Q41" s="17">
        <f>IF(OR($B41="",N($J41)=0),"",SUMIFS(nrMK_Sess,nrMK_Link,$B41,nrMK_Credit,"Yes"))</f>
        <v/>
      </c>
      <c r="R41" s="17">
        <f>IF(OR($B41="",$N41&lt;&gt;"Yes"),"",IF(N($I41)&gt;0,N($I41)-N($P41),IF(N($J41)&gt;0,N($J41)-N($Q41),"")))</f>
        <v/>
      </c>
      <c r="S41" s="17">
        <f>IF(OR($B41="",$R41=""),"",IF($R41&lt;=0,"CLEARED "&amp;IFERROR(TEXT(_xlfn.MAXIFS(nrMK_Date,nrMK_Link,$B41,nrMK_Credit,"Yes"),"mm/dd"),""),"OPEN"))</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IF(OR($B42="",N($I42)=0),"",SUMIFS(nrMK_Min,nrMK_Link,$B42,nrMK_Credit,"Yes"))</f>
        <v/>
      </c>
      <c r="Q42" s="17">
        <f>IF(OR($B42="",N($J42)=0),"",SUMIFS(nrMK_Sess,nrMK_Link,$B42,nrMK_Credit,"Yes"))</f>
        <v/>
      </c>
      <c r="R42" s="17">
        <f>IF(OR($B42="",$N42&lt;&gt;"Yes"),"",IF(N($I42)&gt;0,N($I42)-N($P42),IF(N($J42)&gt;0,N($J42)-N($Q42),"")))</f>
        <v/>
      </c>
      <c r="S42" s="17">
        <f>IF(OR($B42="",$R42=""),"",IF($R42&lt;=0,"CLEARED "&amp;IFERROR(TEXT(_xlfn.MAXIFS(nrMK_Date,nrMK_Link,$B42,nrMK_Credit,"Yes"),"mm/dd"),""),"OPEN"))</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IF(OR($B43="",N($I43)=0),"",SUMIFS(nrMK_Min,nrMK_Link,$B43,nrMK_Credit,"Yes"))</f>
        <v/>
      </c>
      <c r="Q43" s="17">
        <f>IF(OR($B43="",N($J43)=0),"",SUMIFS(nrMK_Sess,nrMK_Link,$B43,nrMK_Credit,"Yes"))</f>
        <v/>
      </c>
      <c r="R43" s="17">
        <f>IF(OR($B43="",$N43&lt;&gt;"Yes"),"",IF(N($I43)&gt;0,N($I43)-N($P43),IF(N($J43)&gt;0,N($J43)-N($Q43),"")))</f>
        <v/>
      </c>
      <c r="S43" s="17">
        <f>IF(OR($B43="",$R43=""),"",IF($R43&lt;=0,"CLEARED "&amp;IFERROR(TEXT(_xlfn.MAXIFS(nrMK_Date,nrMK_Link,$B43,nrMK_Credit,"Yes"),"mm/dd"),""),"OPEN"))</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IF(OR($B44="",N($I44)=0),"",SUMIFS(nrMK_Min,nrMK_Link,$B44,nrMK_Credit,"Yes"))</f>
        <v/>
      </c>
      <c r="Q44" s="17">
        <f>IF(OR($B44="",N($J44)=0),"",SUMIFS(nrMK_Sess,nrMK_Link,$B44,nrMK_Credit,"Yes"))</f>
        <v/>
      </c>
      <c r="R44" s="17">
        <f>IF(OR($B44="",$N44&lt;&gt;"Yes"),"",IF(N($I44)&gt;0,N($I44)-N($P44),IF(N($J44)&gt;0,N($J44)-N($Q44),"")))</f>
        <v/>
      </c>
      <c r="S44" s="17">
        <f>IF(OR($B44="",$R44=""),"",IF($R44&lt;=0,"CLEARED "&amp;IFERROR(TEXT(_xlfn.MAXIFS(nrMK_Date,nrMK_Link,$B44,nrMK_Credit,"Yes"),"mm/dd"),""),"OPEN"))</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IF(OR($B45="",N($I45)=0),"",SUMIFS(nrMK_Min,nrMK_Link,$B45,nrMK_Credit,"Yes"))</f>
        <v/>
      </c>
      <c r="Q45" s="17">
        <f>IF(OR($B45="",N($J45)=0),"",SUMIFS(nrMK_Sess,nrMK_Link,$B45,nrMK_Credit,"Yes"))</f>
        <v/>
      </c>
      <c r="R45" s="17">
        <f>IF(OR($B45="",$N45&lt;&gt;"Yes"),"",IF(N($I45)&gt;0,N($I45)-N($P45),IF(N($J45)&gt;0,N($J45)-N($Q45),"")))</f>
        <v/>
      </c>
      <c r="S45" s="17">
        <f>IF(OR($B45="",$R45=""),"",IF($R45&lt;=0,"CLEARED "&amp;IFERROR(TEXT(_xlfn.MAXIFS(nrMK_Date,nrMK_Link,$B45,nrMK_Credit,"Yes"),"mm/dd"),""),"OPEN"))</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IF(OR($B46="",N($I46)=0),"",SUMIFS(nrMK_Min,nrMK_Link,$B46,nrMK_Credit,"Yes"))</f>
        <v/>
      </c>
      <c r="Q46" s="17">
        <f>IF(OR($B46="",N($J46)=0),"",SUMIFS(nrMK_Sess,nrMK_Link,$B46,nrMK_Credit,"Yes"))</f>
        <v/>
      </c>
      <c r="R46" s="17">
        <f>IF(OR($B46="",$N46&lt;&gt;"Yes"),"",IF(N($I46)&gt;0,N($I46)-N($P46),IF(N($J46)&gt;0,N($J46)-N($Q46),"")))</f>
        <v/>
      </c>
      <c r="S46" s="17">
        <f>IF(OR($B46="",$R46=""),"",IF($R46&lt;=0,"CLEARED "&amp;IFERROR(TEXT(_xlfn.MAXIFS(nrMK_Date,nrMK_Link,$B46,nrMK_Credit,"Yes"),"mm/dd"),""),"OPEN"))</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IF(OR($B47="",N($I47)=0),"",SUMIFS(nrMK_Min,nrMK_Link,$B47,nrMK_Credit,"Yes"))</f>
        <v/>
      </c>
      <c r="Q47" s="17">
        <f>IF(OR($B47="",N($J47)=0),"",SUMIFS(nrMK_Sess,nrMK_Link,$B47,nrMK_Credit,"Yes"))</f>
        <v/>
      </c>
      <c r="R47" s="17">
        <f>IF(OR($B47="",$N47&lt;&gt;"Yes"),"",IF(N($I47)&gt;0,N($I47)-N($P47),IF(N($J47)&gt;0,N($J47)-N($Q47),"")))</f>
        <v/>
      </c>
      <c r="S47" s="17">
        <f>IF(OR($B47="",$R47=""),"",IF($R47&lt;=0,"CLEARED "&amp;IFERROR(TEXT(_xlfn.MAXIFS(nrMK_Date,nrMK_Link,$B47,nrMK_Credit,"Yes"),"mm/dd"),""),"OPEN"))</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IF(OR($B48="",N($I48)=0),"",SUMIFS(nrMK_Min,nrMK_Link,$B48,nrMK_Credit,"Yes"))</f>
        <v/>
      </c>
      <c r="Q48" s="17">
        <f>IF(OR($B48="",N($J48)=0),"",SUMIFS(nrMK_Sess,nrMK_Link,$B48,nrMK_Credit,"Yes"))</f>
        <v/>
      </c>
      <c r="R48" s="17">
        <f>IF(OR($B48="",$N48&lt;&gt;"Yes"),"",IF(N($I48)&gt;0,N($I48)-N($P48),IF(N($J48)&gt;0,N($J48)-N($Q48),"")))</f>
        <v/>
      </c>
      <c r="S48" s="17">
        <f>IF(OR($B48="",$R48=""),"",IF($R48&lt;=0,"CLEARED "&amp;IFERROR(TEXT(_xlfn.MAXIFS(nrMK_Date,nrMK_Link,$B48,nrMK_Credit,"Yes"),"mm/dd"),""),"OPEN"))</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IF(OR($B49="",N($I49)=0),"",SUMIFS(nrMK_Min,nrMK_Link,$B49,nrMK_Credit,"Yes"))</f>
        <v/>
      </c>
      <c r="Q49" s="17">
        <f>IF(OR($B49="",N($J49)=0),"",SUMIFS(nrMK_Sess,nrMK_Link,$B49,nrMK_Credit,"Yes"))</f>
        <v/>
      </c>
      <c r="R49" s="17">
        <f>IF(OR($B49="",$N49&lt;&gt;"Yes"),"",IF(N($I49)&gt;0,N($I49)-N($P49),IF(N($J49)&gt;0,N($J49)-N($Q49),"")))</f>
        <v/>
      </c>
      <c r="S49" s="17">
        <f>IF(OR($B49="",$R49=""),"",IF($R49&lt;=0,"CLEARED "&amp;IFERROR(TEXT(_xlfn.MAXIFS(nrMK_Date,nrMK_Link,$B49,nrMK_Credit,"Yes"),"mm/dd"),""),"OPEN"))</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IF(OR($B50="",N($I50)=0),"",SUMIFS(nrMK_Min,nrMK_Link,$B50,nrMK_Credit,"Yes"))</f>
        <v/>
      </c>
      <c r="Q50" s="17">
        <f>IF(OR($B50="",N($J50)=0),"",SUMIFS(nrMK_Sess,nrMK_Link,$B50,nrMK_Credit,"Yes"))</f>
        <v/>
      </c>
      <c r="R50" s="17">
        <f>IF(OR($B50="",$N50&lt;&gt;"Yes"),"",IF(N($I50)&gt;0,N($I50)-N($P50),IF(N($J50)&gt;0,N($J50)-N($Q50),"")))</f>
        <v/>
      </c>
      <c r="S50" s="17">
        <f>IF(OR($B50="",$R50=""),"",IF($R50&lt;=0,"CLEARED "&amp;IFERROR(TEXT(_xlfn.MAXIFS(nrMK_Date,nrMK_Link,$B50,nrMK_Credit,"Yes"),"mm/dd"),""),"OPEN"))</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IF(OR($B51="",N($I51)=0),"",SUMIFS(nrMK_Min,nrMK_Link,$B51,nrMK_Credit,"Yes"))</f>
        <v/>
      </c>
      <c r="Q51" s="17">
        <f>IF(OR($B51="",N($J51)=0),"",SUMIFS(nrMK_Sess,nrMK_Link,$B51,nrMK_Credit,"Yes"))</f>
        <v/>
      </c>
      <c r="R51" s="17">
        <f>IF(OR($B51="",$N51&lt;&gt;"Yes"),"",IF(N($I51)&gt;0,N($I51)-N($P51),IF(N($J51)&gt;0,N($J51)-N($Q51),"")))</f>
        <v/>
      </c>
      <c r="S51" s="17">
        <f>IF(OR($B51="",$R51=""),"",IF($R51&lt;=0,"CLEARED "&amp;IFERROR(TEXT(_xlfn.MAXIFS(nrMK_Date,nrMK_Link,$B51,nrMK_Credit,"Yes"),"mm/dd"),""),"OPEN"))</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IF(OR($B52="",N($I52)=0),"",SUMIFS(nrMK_Min,nrMK_Link,$B52,nrMK_Credit,"Yes"))</f>
        <v/>
      </c>
      <c r="Q52" s="17">
        <f>IF(OR($B52="",N($J52)=0),"",SUMIFS(nrMK_Sess,nrMK_Link,$B52,nrMK_Credit,"Yes"))</f>
        <v/>
      </c>
      <c r="R52" s="17">
        <f>IF(OR($B52="",$N52&lt;&gt;"Yes"),"",IF(N($I52)&gt;0,N($I52)-N($P52),IF(N($J52)&gt;0,N($J52)-N($Q52),"")))</f>
        <v/>
      </c>
      <c r="S52" s="17">
        <f>IF(OR($B52="",$R52=""),"",IF($R52&lt;=0,"CLEARED "&amp;IFERROR(TEXT(_xlfn.MAXIFS(nrMK_Date,nrMK_Link,$B52,nrMK_Credit,"Yes"),"mm/dd"),""),"OPEN"))</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IF(OR($B53="",N($I53)=0),"",SUMIFS(nrMK_Min,nrMK_Link,$B53,nrMK_Credit,"Yes"))</f>
        <v/>
      </c>
      <c r="Q53" s="17">
        <f>IF(OR($B53="",N($J53)=0),"",SUMIFS(nrMK_Sess,nrMK_Link,$B53,nrMK_Credit,"Yes"))</f>
        <v/>
      </c>
      <c r="R53" s="17">
        <f>IF(OR($B53="",$N53&lt;&gt;"Yes"),"",IF(N($I53)&gt;0,N($I53)-N($P53),IF(N($J53)&gt;0,N($J53)-N($Q53),"")))</f>
        <v/>
      </c>
      <c r="S53" s="17">
        <f>IF(OR($B53="",$R53=""),"",IF($R53&lt;=0,"CLEARED "&amp;IFERROR(TEXT(_xlfn.MAXIFS(nrMK_Date,nrMK_Link,$B53,nrMK_Credit,"Yes"),"mm/dd"),""),"OPEN"))</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IF(OR($B54="",N($I54)=0),"",SUMIFS(nrMK_Min,nrMK_Link,$B54,nrMK_Credit,"Yes"))</f>
        <v/>
      </c>
      <c r="Q54" s="17">
        <f>IF(OR($B54="",N($J54)=0),"",SUMIFS(nrMK_Sess,nrMK_Link,$B54,nrMK_Credit,"Yes"))</f>
        <v/>
      </c>
      <c r="R54" s="17">
        <f>IF(OR($B54="",$N54&lt;&gt;"Yes"),"",IF(N($I54)&gt;0,N($I54)-N($P54),IF(N($J54)&gt;0,N($J54)-N($Q54),"")))</f>
        <v/>
      </c>
      <c r="S54" s="17">
        <f>IF(OR($B54="",$R54=""),"",IF($R54&lt;=0,"CLEARED "&amp;IFERROR(TEXT(_xlfn.MAXIFS(nrMK_Date,nrMK_Link,$B54,nrMK_Credit,"Yes"),"mm/dd"),""),"OPEN"))</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IF(OR($B55="",N($I55)=0),"",SUMIFS(nrMK_Min,nrMK_Link,$B55,nrMK_Credit,"Yes"))</f>
        <v/>
      </c>
      <c r="Q55" s="17">
        <f>IF(OR($B55="",N($J55)=0),"",SUMIFS(nrMK_Sess,nrMK_Link,$B55,nrMK_Credit,"Yes"))</f>
        <v/>
      </c>
      <c r="R55" s="17">
        <f>IF(OR($B55="",$N55&lt;&gt;"Yes"),"",IF(N($I55)&gt;0,N($I55)-N($P55),IF(N($J55)&gt;0,N($J55)-N($Q55),"")))</f>
        <v/>
      </c>
      <c r="S55" s="17">
        <f>IF(OR($B55="",$R55=""),"",IF($R55&lt;=0,"CLEARED "&amp;IFERROR(TEXT(_xlfn.MAXIFS(nrMK_Date,nrMK_Link,$B55,nrMK_Credit,"Yes"),"mm/dd"),""),"OPEN"))</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IF(OR($B56="",N($I56)=0),"",SUMIFS(nrMK_Min,nrMK_Link,$B56,nrMK_Credit,"Yes"))</f>
        <v/>
      </c>
      <c r="Q56" s="17">
        <f>IF(OR($B56="",N($J56)=0),"",SUMIFS(nrMK_Sess,nrMK_Link,$B56,nrMK_Credit,"Yes"))</f>
        <v/>
      </c>
      <c r="R56" s="17">
        <f>IF(OR($B56="",$N56&lt;&gt;"Yes"),"",IF(N($I56)&gt;0,N($I56)-N($P56),IF(N($J56)&gt;0,N($J56)-N($Q56),"")))</f>
        <v/>
      </c>
      <c r="S56" s="17">
        <f>IF(OR($B56="",$R56=""),"",IF($R56&lt;=0,"CLEARED "&amp;IFERROR(TEXT(_xlfn.MAXIFS(nrMK_Date,nrMK_Link,$B56,nrMK_Credit,"Yes"),"mm/dd"),""),"OPEN"))</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IF(OR($B57="",N($I57)=0),"",SUMIFS(nrMK_Min,nrMK_Link,$B57,nrMK_Credit,"Yes"))</f>
        <v/>
      </c>
      <c r="Q57" s="17">
        <f>IF(OR($B57="",N($J57)=0),"",SUMIFS(nrMK_Sess,nrMK_Link,$B57,nrMK_Credit,"Yes"))</f>
        <v/>
      </c>
      <c r="R57" s="17">
        <f>IF(OR($B57="",$N57&lt;&gt;"Yes"),"",IF(N($I57)&gt;0,N($I57)-N($P57),IF(N($J57)&gt;0,N($J57)-N($Q57),"")))</f>
        <v/>
      </c>
      <c r="S57" s="17">
        <f>IF(OR($B57="",$R57=""),"",IF($R57&lt;=0,"CLEARED "&amp;IFERROR(TEXT(_xlfn.MAXIFS(nrMK_Date,nrMK_Link,$B57,nrMK_Credit,"Yes"),"mm/dd"),""),"OPEN"))</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IF(OR($B58="",N($I58)=0),"",SUMIFS(nrMK_Min,nrMK_Link,$B58,nrMK_Credit,"Yes"))</f>
        <v/>
      </c>
      <c r="Q58" s="17">
        <f>IF(OR($B58="",N($J58)=0),"",SUMIFS(nrMK_Sess,nrMK_Link,$B58,nrMK_Credit,"Yes"))</f>
        <v/>
      </c>
      <c r="R58" s="17">
        <f>IF(OR($B58="",$N58&lt;&gt;"Yes"),"",IF(N($I58)&gt;0,N($I58)-N($P58),IF(N($J58)&gt;0,N($J58)-N($Q58),"")))</f>
        <v/>
      </c>
      <c r="S58" s="17">
        <f>IF(OR($B58="",$R58=""),"",IF($R58&lt;=0,"CLEARED "&amp;IFERROR(TEXT(_xlfn.MAXIFS(nrMK_Date,nrMK_Link,$B58,nrMK_Credit,"Yes"),"mm/dd"),""),"OPEN"))</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IF(OR($B59="",N($I59)=0),"",SUMIFS(nrMK_Min,nrMK_Link,$B59,nrMK_Credit,"Yes"))</f>
        <v/>
      </c>
      <c r="Q59" s="17">
        <f>IF(OR($B59="",N($J59)=0),"",SUMIFS(nrMK_Sess,nrMK_Link,$B59,nrMK_Credit,"Yes"))</f>
        <v/>
      </c>
      <c r="R59" s="17">
        <f>IF(OR($B59="",$N59&lt;&gt;"Yes"),"",IF(N($I59)&gt;0,N($I59)-N($P59),IF(N($J59)&gt;0,N($J59)-N($Q59),"")))</f>
        <v/>
      </c>
      <c r="S59" s="17">
        <f>IF(OR($B59="",$R59=""),"",IF($R59&lt;=0,"CLEARED "&amp;IFERROR(TEXT(_xlfn.MAXIFS(nrMK_Date,nrMK_Link,$B59,nrMK_Credit,"Yes"),"mm/dd"),""),"OPEN"))</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IF(OR($B60="",N($I60)=0),"",SUMIFS(nrMK_Min,nrMK_Link,$B60,nrMK_Credit,"Yes"))</f>
        <v/>
      </c>
      <c r="Q60" s="17">
        <f>IF(OR($B60="",N($J60)=0),"",SUMIFS(nrMK_Sess,nrMK_Link,$B60,nrMK_Credit,"Yes"))</f>
        <v/>
      </c>
      <c r="R60" s="17">
        <f>IF(OR($B60="",$N60&lt;&gt;"Yes"),"",IF(N($I60)&gt;0,N($I60)-N($P60),IF(N($J60)&gt;0,N($J60)-N($Q60),"")))</f>
        <v/>
      </c>
      <c r="S60" s="17">
        <f>IF(OR($B60="",$R60=""),"",IF($R60&lt;=0,"CLEARED "&amp;IFERROR(TEXT(_xlfn.MAXIFS(nrMK_Date,nrMK_Link,$B60,nrMK_Credit,"Yes"),"mm/dd"),""),"OPEN"))</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IF(OR($B61="",N($I61)=0),"",SUMIFS(nrMK_Min,nrMK_Link,$B61,nrMK_Credit,"Yes"))</f>
        <v/>
      </c>
      <c r="Q61" s="17">
        <f>IF(OR($B61="",N($J61)=0),"",SUMIFS(nrMK_Sess,nrMK_Link,$B61,nrMK_Credit,"Yes"))</f>
        <v/>
      </c>
      <c r="R61" s="17">
        <f>IF(OR($B61="",$N61&lt;&gt;"Yes"),"",IF(N($I61)&gt;0,N($I61)-N($P61),IF(N($J61)&gt;0,N($J61)-N($Q61),"")))</f>
        <v/>
      </c>
      <c r="S61" s="17">
        <f>IF(OR($B61="",$R61=""),"",IF($R61&lt;=0,"CLEARED "&amp;IFERROR(TEXT(_xlfn.MAXIFS(nrMK_Date,nrMK_Link,$B61,nrMK_Credit,"Yes"),"mm/dd"),""),"OPEN"))</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IF(OR($B62="",N($I62)=0),"",SUMIFS(nrMK_Min,nrMK_Link,$B62,nrMK_Credit,"Yes"))</f>
        <v/>
      </c>
      <c r="Q62" s="17">
        <f>IF(OR($B62="",N($J62)=0),"",SUMIFS(nrMK_Sess,nrMK_Link,$B62,nrMK_Credit,"Yes"))</f>
        <v/>
      </c>
      <c r="R62" s="17">
        <f>IF(OR($B62="",$N62&lt;&gt;"Yes"),"",IF(N($I62)&gt;0,N($I62)-N($P62),IF(N($J62)&gt;0,N($J62)-N($Q62),"")))</f>
        <v/>
      </c>
      <c r="S62" s="17">
        <f>IF(OR($B62="",$R62=""),"",IF($R62&lt;=0,"CLEARED "&amp;IFERROR(TEXT(_xlfn.MAXIFS(nrMK_Date,nrMK_Link,$B62,nrMK_Credit,"Yes"),"mm/dd"),""),"OPEN"))</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IF(OR($B63="",N($I63)=0),"",SUMIFS(nrMK_Min,nrMK_Link,$B63,nrMK_Credit,"Yes"))</f>
        <v/>
      </c>
      <c r="Q63" s="17">
        <f>IF(OR($B63="",N($J63)=0),"",SUMIFS(nrMK_Sess,nrMK_Link,$B63,nrMK_Credit,"Yes"))</f>
        <v/>
      </c>
      <c r="R63" s="17">
        <f>IF(OR($B63="",$N63&lt;&gt;"Yes"),"",IF(N($I63)&gt;0,N($I63)-N($P63),IF(N($J63)&gt;0,N($J63)-N($Q63),"")))</f>
        <v/>
      </c>
      <c r="S63" s="17">
        <f>IF(OR($B63="",$R63=""),"",IF($R63&lt;=0,"CLEARED "&amp;IFERROR(TEXT(_xlfn.MAXIFS(nrMK_Date,nrMK_Link,$B63,nrMK_Credit,"Yes"),"mm/dd"),""),"OPEN"))</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IF(OR($B64="",N($I64)=0),"",SUMIFS(nrMK_Min,nrMK_Link,$B64,nrMK_Credit,"Yes"))</f>
        <v/>
      </c>
      <c r="Q64" s="17">
        <f>IF(OR($B64="",N($J64)=0),"",SUMIFS(nrMK_Sess,nrMK_Link,$B64,nrMK_Credit,"Yes"))</f>
        <v/>
      </c>
      <c r="R64" s="17">
        <f>IF(OR($B64="",$N64&lt;&gt;"Yes"),"",IF(N($I64)&gt;0,N($I64)-N($P64),IF(N($J64)&gt;0,N($J64)-N($Q64),"")))</f>
        <v/>
      </c>
      <c r="S64" s="17">
        <f>IF(OR($B64="",$R64=""),"",IF($R64&lt;=0,"CLEARED "&amp;IFERROR(TEXT(_xlfn.MAXIFS(nrMK_Date,nrMK_Link,$B64,nrMK_Credit,"Yes"),"mm/dd"),""),"OPEN"))</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IF(OR($B65="",N($I65)=0),"",SUMIFS(nrMK_Min,nrMK_Link,$B65,nrMK_Credit,"Yes"))</f>
        <v/>
      </c>
      <c r="Q65" s="17">
        <f>IF(OR($B65="",N($J65)=0),"",SUMIFS(nrMK_Sess,nrMK_Link,$B65,nrMK_Credit,"Yes"))</f>
        <v/>
      </c>
      <c r="R65" s="17">
        <f>IF(OR($B65="",$N65&lt;&gt;"Yes"),"",IF(N($I65)&gt;0,N($I65)-N($P65),IF(N($J65)&gt;0,N($J65)-N($Q65),"")))</f>
        <v/>
      </c>
      <c r="S65" s="17">
        <f>IF(OR($B65="",$R65=""),"",IF($R65&lt;=0,"CLEARED "&amp;IFERROR(TEXT(_xlfn.MAXIFS(nrMK_Date,nrMK_Link,$B65,nrMK_Credit,"Yes"),"mm/dd"),""),"OPEN"))</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IF(OR($B66="",N($I66)=0),"",SUMIFS(nrMK_Min,nrMK_Link,$B66,nrMK_Credit,"Yes"))</f>
        <v/>
      </c>
      <c r="Q66" s="17">
        <f>IF(OR($B66="",N($J66)=0),"",SUMIFS(nrMK_Sess,nrMK_Link,$B66,nrMK_Credit,"Yes"))</f>
        <v/>
      </c>
      <c r="R66" s="17">
        <f>IF(OR($B66="",$N66&lt;&gt;"Yes"),"",IF(N($I66)&gt;0,N($I66)-N($P66),IF(N($J66)&gt;0,N($J66)-N($Q66),"")))</f>
        <v/>
      </c>
      <c r="S66" s="17">
        <f>IF(OR($B66="",$R66=""),"",IF($R66&lt;=0,"CLEARED "&amp;IFERROR(TEXT(_xlfn.MAXIFS(nrMK_Date,nrMK_Link,$B66,nrMK_Credit,"Yes"),"mm/dd"),""),"OPEN"))</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IF(OR($B67="",N($I67)=0),"",SUMIFS(nrMK_Min,nrMK_Link,$B67,nrMK_Credit,"Yes"))</f>
        <v/>
      </c>
      <c r="Q67" s="17">
        <f>IF(OR($B67="",N($J67)=0),"",SUMIFS(nrMK_Sess,nrMK_Link,$B67,nrMK_Credit,"Yes"))</f>
        <v/>
      </c>
      <c r="R67" s="17">
        <f>IF(OR($B67="",$N67&lt;&gt;"Yes"),"",IF(N($I67)&gt;0,N($I67)-N($P67),IF(N($J67)&gt;0,N($J67)-N($Q67),"")))</f>
        <v/>
      </c>
      <c r="S67" s="17">
        <f>IF(OR($B67="",$R67=""),"",IF($R67&lt;=0,"CLEARED "&amp;IFERROR(TEXT(_xlfn.MAXIFS(nrMK_Date,nrMK_Link,$B67,nrMK_Credit,"Yes"),"mm/dd"),""),"OPEN"))</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IF(OR($B68="",N($I68)=0),"",SUMIFS(nrMK_Min,nrMK_Link,$B68,nrMK_Credit,"Yes"))</f>
        <v/>
      </c>
      <c r="Q68" s="17">
        <f>IF(OR($B68="",N($J68)=0),"",SUMIFS(nrMK_Sess,nrMK_Link,$B68,nrMK_Credit,"Yes"))</f>
        <v/>
      </c>
      <c r="R68" s="17">
        <f>IF(OR($B68="",$N68&lt;&gt;"Yes"),"",IF(N($I68)&gt;0,N($I68)-N($P68),IF(N($J68)&gt;0,N($J68)-N($Q68),"")))</f>
        <v/>
      </c>
      <c r="S68" s="17">
        <f>IF(OR($B68="",$R68=""),"",IF($R68&lt;=0,"CLEARED "&amp;IFERROR(TEXT(_xlfn.MAXIFS(nrMK_Date,nrMK_Link,$B68,nrMK_Credit,"Yes"),"mm/dd"),""),"OPEN"))</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IF(OR($B69="",N($I69)=0),"",SUMIFS(nrMK_Min,nrMK_Link,$B69,nrMK_Credit,"Yes"))</f>
        <v/>
      </c>
      <c r="Q69" s="17">
        <f>IF(OR($B69="",N($J69)=0),"",SUMIFS(nrMK_Sess,nrMK_Link,$B69,nrMK_Credit,"Yes"))</f>
        <v/>
      </c>
      <c r="R69" s="17">
        <f>IF(OR($B69="",$N69&lt;&gt;"Yes"),"",IF(N($I69)&gt;0,N($I69)-N($P69),IF(N($J69)&gt;0,N($J69)-N($Q69),"")))</f>
        <v/>
      </c>
      <c r="S69" s="17">
        <f>IF(OR($B69="",$R69=""),"",IF($R69&lt;=0,"CLEARED "&amp;IFERROR(TEXT(_xlfn.MAXIFS(nrMK_Date,nrMK_Link,$B69,nrMK_Credit,"Yes"),"mm/dd"),""),"OPEN"))</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IF(OR($B70="",N($I70)=0),"",SUMIFS(nrMK_Min,nrMK_Link,$B70,nrMK_Credit,"Yes"))</f>
        <v/>
      </c>
      <c r="Q70" s="17">
        <f>IF(OR($B70="",N($J70)=0),"",SUMIFS(nrMK_Sess,nrMK_Link,$B70,nrMK_Credit,"Yes"))</f>
        <v/>
      </c>
      <c r="R70" s="17">
        <f>IF(OR($B70="",$N70&lt;&gt;"Yes"),"",IF(N($I70)&gt;0,N($I70)-N($P70),IF(N($J70)&gt;0,N($J70)-N($Q70),"")))</f>
        <v/>
      </c>
      <c r="S70" s="17">
        <f>IF(OR($B70="",$R70=""),"",IF($R70&lt;=0,"CLEARED "&amp;IFERROR(TEXT(_xlfn.MAXIFS(nrMK_Date,nrMK_Link,$B70,nrMK_Credit,"Yes"),"mm/dd"),""),"OPEN"))</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IF(OR($B71="",N($I71)=0),"",SUMIFS(nrMK_Min,nrMK_Link,$B71,nrMK_Credit,"Yes"))</f>
        <v/>
      </c>
      <c r="Q71" s="17">
        <f>IF(OR($B71="",N($J71)=0),"",SUMIFS(nrMK_Sess,nrMK_Link,$B71,nrMK_Credit,"Yes"))</f>
        <v/>
      </c>
      <c r="R71" s="17">
        <f>IF(OR($B71="",$N71&lt;&gt;"Yes"),"",IF(N($I71)&gt;0,N($I71)-N($P71),IF(N($J71)&gt;0,N($J71)-N($Q71),"")))</f>
        <v/>
      </c>
      <c r="S71" s="17">
        <f>IF(OR($B71="",$R71=""),"",IF($R71&lt;=0,"CLEARED "&amp;IFERROR(TEXT(_xlfn.MAXIFS(nrMK_Date,nrMK_Link,$B71,nrMK_Credit,"Yes"),"mm/dd"),""),"OPEN"))</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IF(OR($B72="",N($I72)=0),"",SUMIFS(nrMK_Min,nrMK_Link,$B72,nrMK_Credit,"Yes"))</f>
        <v/>
      </c>
      <c r="Q72" s="17">
        <f>IF(OR($B72="",N($J72)=0),"",SUMIFS(nrMK_Sess,nrMK_Link,$B72,nrMK_Credit,"Yes"))</f>
        <v/>
      </c>
      <c r="R72" s="17">
        <f>IF(OR($B72="",$N72&lt;&gt;"Yes"),"",IF(N($I72)&gt;0,N($I72)-N($P72),IF(N($J72)&gt;0,N($J72)-N($Q72),"")))</f>
        <v/>
      </c>
      <c r="S72" s="17">
        <f>IF(OR($B72="",$R72=""),"",IF($R72&lt;=0,"CLEARED "&amp;IFERROR(TEXT(_xlfn.MAXIFS(nrMK_Date,nrMK_Link,$B72,nrMK_Credit,"Yes"),"mm/dd"),""),"OPEN"))</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IF(OR($B73="",N($I73)=0),"",SUMIFS(nrMK_Min,nrMK_Link,$B73,nrMK_Credit,"Yes"))</f>
        <v/>
      </c>
      <c r="Q73" s="17">
        <f>IF(OR($B73="",N($J73)=0),"",SUMIFS(nrMK_Sess,nrMK_Link,$B73,nrMK_Credit,"Yes"))</f>
        <v/>
      </c>
      <c r="R73" s="17">
        <f>IF(OR($B73="",$N73&lt;&gt;"Yes"),"",IF(N($I73)&gt;0,N($I73)-N($P73),IF(N($J73)&gt;0,N($J73)-N($Q73),"")))</f>
        <v/>
      </c>
      <c r="S73" s="17">
        <f>IF(OR($B73="",$R73=""),"",IF($R73&lt;=0,"CLEARED "&amp;IFERROR(TEXT(_xlfn.MAXIFS(nrMK_Date,nrMK_Link,$B73,nrMK_Credit,"Yes"),"mm/dd"),""),"OPEN"))</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IF(OR($B74="",N($I74)=0),"",SUMIFS(nrMK_Min,nrMK_Link,$B74,nrMK_Credit,"Yes"))</f>
        <v/>
      </c>
      <c r="Q74" s="17">
        <f>IF(OR($B74="",N($J74)=0),"",SUMIFS(nrMK_Sess,nrMK_Link,$B74,nrMK_Credit,"Yes"))</f>
        <v/>
      </c>
      <c r="R74" s="17">
        <f>IF(OR($B74="",$N74&lt;&gt;"Yes"),"",IF(N($I74)&gt;0,N($I74)-N($P74),IF(N($J74)&gt;0,N($J74)-N($Q74),"")))</f>
        <v/>
      </c>
      <c r="S74" s="17">
        <f>IF(OR($B74="",$R74=""),"",IF($R74&lt;=0,"CLEARED "&amp;IFERROR(TEXT(_xlfn.MAXIFS(nrMK_Date,nrMK_Link,$B74,nrMK_Credit,"Yes"),"mm/dd"),""),"OPEN"))</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IF(OR($B75="",N($I75)=0),"",SUMIFS(nrMK_Min,nrMK_Link,$B75,nrMK_Credit,"Yes"))</f>
        <v/>
      </c>
      <c r="Q75" s="17">
        <f>IF(OR($B75="",N($J75)=0),"",SUMIFS(nrMK_Sess,nrMK_Link,$B75,nrMK_Credit,"Yes"))</f>
        <v/>
      </c>
      <c r="R75" s="17">
        <f>IF(OR($B75="",$N75&lt;&gt;"Yes"),"",IF(N($I75)&gt;0,N($I75)-N($P75),IF(N($J75)&gt;0,N($J75)-N($Q75),"")))</f>
        <v/>
      </c>
      <c r="S75" s="17">
        <f>IF(OR($B75="",$R75=""),"",IF($R75&lt;=0,"CLEARED "&amp;IFERROR(TEXT(_xlfn.MAXIFS(nrMK_Date,nrMK_Link,$B75,nrMK_Credit,"Yes"),"mm/dd"),""),"OPEN"))</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IF(OR($B76="",N($I76)=0),"",SUMIFS(nrMK_Min,nrMK_Link,$B76,nrMK_Credit,"Yes"))</f>
        <v/>
      </c>
      <c r="Q76" s="17">
        <f>IF(OR($B76="",N($J76)=0),"",SUMIFS(nrMK_Sess,nrMK_Link,$B76,nrMK_Credit,"Yes"))</f>
        <v/>
      </c>
      <c r="R76" s="17">
        <f>IF(OR($B76="",$N76&lt;&gt;"Yes"),"",IF(N($I76)&gt;0,N($I76)-N($P76),IF(N($J76)&gt;0,N($J76)-N($Q76),"")))</f>
        <v/>
      </c>
      <c r="S76" s="17">
        <f>IF(OR($B76="",$R76=""),"",IF($R76&lt;=0,"CLEARED "&amp;IFERROR(TEXT(_xlfn.MAXIFS(nrMK_Date,nrMK_Link,$B76,nrMK_Credit,"Yes"),"mm/dd"),""),"OPEN"))</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IF(OR($B77="",N($I77)=0),"",SUMIFS(nrMK_Min,nrMK_Link,$B77,nrMK_Credit,"Yes"))</f>
        <v/>
      </c>
      <c r="Q77" s="17">
        <f>IF(OR($B77="",N($J77)=0),"",SUMIFS(nrMK_Sess,nrMK_Link,$B77,nrMK_Credit,"Yes"))</f>
        <v/>
      </c>
      <c r="R77" s="17">
        <f>IF(OR($B77="",$N77&lt;&gt;"Yes"),"",IF(N($I77)&gt;0,N($I77)-N($P77),IF(N($J77)&gt;0,N($J77)-N($Q77),"")))</f>
        <v/>
      </c>
      <c r="S77" s="17">
        <f>IF(OR($B77="",$R77=""),"",IF($R77&lt;=0,"CLEARED "&amp;IFERROR(TEXT(_xlfn.MAXIFS(nrMK_Date,nrMK_Link,$B77,nrMK_Credit,"Yes"),"mm/dd"),""),"OPEN"))</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IF(OR($B78="",N($I78)=0),"",SUMIFS(nrMK_Min,nrMK_Link,$B78,nrMK_Credit,"Yes"))</f>
        <v/>
      </c>
      <c r="Q78" s="17">
        <f>IF(OR($B78="",N($J78)=0),"",SUMIFS(nrMK_Sess,nrMK_Link,$B78,nrMK_Credit,"Yes"))</f>
        <v/>
      </c>
      <c r="R78" s="17">
        <f>IF(OR($B78="",$N78&lt;&gt;"Yes"),"",IF(N($I78)&gt;0,N($I78)-N($P78),IF(N($J78)&gt;0,N($J78)-N($Q78),"")))</f>
        <v/>
      </c>
      <c r="S78" s="17">
        <f>IF(OR($B78="",$R78=""),"",IF($R78&lt;=0,"CLEARED "&amp;IFERROR(TEXT(_xlfn.MAXIFS(nrMK_Date,nrMK_Link,$B78,nrMK_Credit,"Yes"),"mm/dd"),""),"OPEN"))</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IF(OR($B79="",N($I79)=0),"",SUMIFS(nrMK_Min,nrMK_Link,$B79,nrMK_Credit,"Yes"))</f>
        <v/>
      </c>
      <c r="Q79" s="17">
        <f>IF(OR($B79="",N($J79)=0),"",SUMIFS(nrMK_Sess,nrMK_Link,$B79,nrMK_Credit,"Yes"))</f>
        <v/>
      </c>
      <c r="R79" s="17">
        <f>IF(OR($B79="",$N79&lt;&gt;"Yes"),"",IF(N($I79)&gt;0,N($I79)-N($P79),IF(N($J79)&gt;0,N($J79)-N($Q79),"")))</f>
        <v/>
      </c>
      <c r="S79" s="17">
        <f>IF(OR($B79="",$R79=""),"",IF($R79&lt;=0,"CLEARED "&amp;IFERROR(TEXT(_xlfn.MAXIFS(nrMK_Date,nrMK_Link,$B79,nrMK_Credit,"Yes"),"mm/dd"),""),"OPEN"))</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IF(OR($B80="",N($I80)=0),"",SUMIFS(nrMK_Min,nrMK_Link,$B80,nrMK_Credit,"Yes"))</f>
        <v/>
      </c>
      <c r="Q80" s="17">
        <f>IF(OR($B80="",N($J80)=0),"",SUMIFS(nrMK_Sess,nrMK_Link,$B80,nrMK_Credit,"Yes"))</f>
        <v/>
      </c>
      <c r="R80" s="17">
        <f>IF(OR($B80="",$N80&lt;&gt;"Yes"),"",IF(N($I80)&gt;0,N($I80)-N($P80),IF(N($J80)&gt;0,N($J80)-N($Q80),"")))</f>
        <v/>
      </c>
      <c r="S80" s="17">
        <f>IF(OR($B80="",$R80=""),"",IF($R80&lt;=0,"CLEARED "&amp;IFERROR(TEXT(_xlfn.MAXIFS(nrMK_Date,nrMK_Link,$B80,nrMK_Credit,"Yes"),"mm/dd"),""),"OPEN"))</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IF(OR($B81="",N($I81)=0),"",SUMIFS(nrMK_Min,nrMK_Link,$B81,nrMK_Credit,"Yes"))</f>
        <v/>
      </c>
      <c r="Q81" s="17">
        <f>IF(OR($B81="",N($J81)=0),"",SUMIFS(nrMK_Sess,nrMK_Link,$B81,nrMK_Credit,"Yes"))</f>
        <v/>
      </c>
      <c r="R81" s="17">
        <f>IF(OR($B81="",$N81&lt;&gt;"Yes"),"",IF(N($I81)&gt;0,N($I81)-N($P81),IF(N($J81)&gt;0,N($J81)-N($Q81),"")))</f>
        <v/>
      </c>
      <c r="S81" s="17">
        <f>IF(OR($B81="",$R81=""),"",IF($R81&lt;=0,"CLEARED "&amp;IFERROR(TEXT(_xlfn.MAXIFS(nrMK_Date,nrMK_Link,$B81,nrMK_Credit,"Yes"),"mm/dd"),""),"OPEN"))</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IF(OR($B82="",N($I82)=0),"",SUMIFS(nrMK_Min,nrMK_Link,$B82,nrMK_Credit,"Yes"))</f>
        <v/>
      </c>
      <c r="Q82" s="17">
        <f>IF(OR($B82="",N($J82)=0),"",SUMIFS(nrMK_Sess,nrMK_Link,$B82,nrMK_Credit,"Yes"))</f>
        <v/>
      </c>
      <c r="R82" s="17">
        <f>IF(OR($B82="",$N82&lt;&gt;"Yes"),"",IF(N($I82)&gt;0,N($I82)-N($P82),IF(N($J82)&gt;0,N($J82)-N($Q82),"")))</f>
        <v/>
      </c>
      <c r="S82" s="17">
        <f>IF(OR($B82="",$R82=""),"",IF($R82&lt;=0,"CLEARED "&amp;IFERROR(TEXT(_xlfn.MAXIFS(nrMK_Date,nrMK_Link,$B82,nrMK_Credit,"Yes"),"mm/dd"),""),"OPEN"))</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IF(OR($B83="",N($I83)=0),"",SUMIFS(nrMK_Min,nrMK_Link,$B83,nrMK_Credit,"Yes"))</f>
        <v/>
      </c>
      <c r="Q83" s="17">
        <f>IF(OR($B83="",N($J83)=0),"",SUMIFS(nrMK_Sess,nrMK_Link,$B83,nrMK_Credit,"Yes"))</f>
        <v/>
      </c>
      <c r="R83" s="17">
        <f>IF(OR($B83="",$N83&lt;&gt;"Yes"),"",IF(N($I83)&gt;0,N($I83)-N($P83),IF(N($J83)&gt;0,N($J83)-N($Q83),"")))</f>
        <v/>
      </c>
      <c r="S83" s="17">
        <f>IF(OR($B83="",$R83=""),"",IF($R83&lt;=0,"CLEARED "&amp;IFERROR(TEXT(_xlfn.MAXIFS(nrMK_Date,nrMK_Link,$B83,nrMK_Credit,"Yes"),"mm/dd"),""),"OPEN"))</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IF(OR($B84="",N($I84)=0),"",SUMIFS(nrMK_Min,nrMK_Link,$B84,nrMK_Credit,"Yes"))</f>
        <v/>
      </c>
      <c r="Q84" s="17">
        <f>IF(OR($B84="",N($J84)=0),"",SUMIFS(nrMK_Sess,nrMK_Link,$B84,nrMK_Credit,"Yes"))</f>
        <v/>
      </c>
      <c r="R84" s="17">
        <f>IF(OR($B84="",$N84&lt;&gt;"Yes"),"",IF(N($I84)&gt;0,N($I84)-N($P84),IF(N($J84)&gt;0,N($J84)-N($Q84),"")))</f>
        <v/>
      </c>
      <c r="S84" s="17">
        <f>IF(OR($B84="",$R84=""),"",IF($R84&lt;=0,"CLEARED "&amp;IFERROR(TEXT(_xlfn.MAXIFS(nrMK_Date,nrMK_Link,$B84,nrMK_Credit,"Yes"),"mm/dd"),""),"OPEN"))</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IF(OR($B85="",N($I85)=0),"",SUMIFS(nrMK_Min,nrMK_Link,$B85,nrMK_Credit,"Yes"))</f>
        <v/>
      </c>
      <c r="Q85" s="17">
        <f>IF(OR($B85="",N($J85)=0),"",SUMIFS(nrMK_Sess,nrMK_Link,$B85,nrMK_Credit,"Yes"))</f>
        <v/>
      </c>
      <c r="R85" s="17">
        <f>IF(OR($B85="",$N85&lt;&gt;"Yes"),"",IF(N($I85)&gt;0,N($I85)-N($P85),IF(N($J85)&gt;0,N($J85)-N($Q85),"")))</f>
        <v/>
      </c>
      <c r="S85" s="17">
        <f>IF(OR($B85="",$R85=""),"",IF($R85&lt;=0,"CLEARED "&amp;IFERROR(TEXT(_xlfn.MAXIFS(nrMK_Date,nrMK_Link,$B85,nrMK_Credit,"Yes"),"mm/dd"),""),"OPEN"))</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IF(OR($B86="",N($I86)=0),"",SUMIFS(nrMK_Min,nrMK_Link,$B86,nrMK_Credit,"Yes"))</f>
        <v/>
      </c>
      <c r="Q86" s="17">
        <f>IF(OR($B86="",N($J86)=0),"",SUMIFS(nrMK_Sess,nrMK_Link,$B86,nrMK_Credit,"Yes"))</f>
        <v/>
      </c>
      <c r="R86" s="17">
        <f>IF(OR($B86="",$N86&lt;&gt;"Yes"),"",IF(N($I86)&gt;0,N($I86)-N($P86),IF(N($J86)&gt;0,N($J86)-N($Q86),"")))</f>
        <v/>
      </c>
      <c r="S86" s="17">
        <f>IF(OR($B86="",$R86=""),"",IF($R86&lt;=0,"CLEARED "&amp;IFERROR(TEXT(_xlfn.MAXIFS(nrMK_Date,nrMK_Link,$B86,nrMK_Credit,"Yes"),"mm/dd"),""),"OPEN"))</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IF(OR($B87="",N($I87)=0),"",SUMIFS(nrMK_Min,nrMK_Link,$B87,nrMK_Credit,"Yes"))</f>
        <v/>
      </c>
      <c r="Q87" s="17">
        <f>IF(OR($B87="",N($J87)=0),"",SUMIFS(nrMK_Sess,nrMK_Link,$B87,nrMK_Credit,"Yes"))</f>
        <v/>
      </c>
      <c r="R87" s="17">
        <f>IF(OR($B87="",$N87&lt;&gt;"Yes"),"",IF(N($I87)&gt;0,N($I87)-N($P87),IF(N($J87)&gt;0,N($J87)-N($Q87),"")))</f>
        <v/>
      </c>
      <c r="S87" s="17">
        <f>IF(OR($B87="",$R87=""),"",IF($R87&lt;=0,"CLEARED "&amp;IFERROR(TEXT(_xlfn.MAXIFS(nrMK_Date,nrMK_Link,$B87,nrMK_Credit,"Yes"),"mm/dd"),""),"OPEN"))</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IF(OR($B88="",N($I88)=0),"",SUMIFS(nrMK_Min,nrMK_Link,$B88,nrMK_Credit,"Yes"))</f>
        <v/>
      </c>
      <c r="Q88" s="17">
        <f>IF(OR($B88="",N($J88)=0),"",SUMIFS(nrMK_Sess,nrMK_Link,$B88,nrMK_Credit,"Yes"))</f>
        <v/>
      </c>
      <c r="R88" s="17">
        <f>IF(OR($B88="",$N88&lt;&gt;"Yes"),"",IF(N($I88)&gt;0,N($I88)-N($P88),IF(N($J88)&gt;0,N($J88)-N($Q88),"")))</f>
        <v/>
      </c>
      <c r="S88" s="17">
        <f>IF(OR($B88="",$R88=""),"",IF($R88&lt;=0,"CLEARED "&amp;IFERROR(TEXT(_xlfn.MAXIFS(nrMK_Date,nrMK_Link,$B88,nrMK_Credit,"Yes"),"mm/dd"),""),"OPEN"))</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IF(OR($B89="",N($I89)=0),"",SUMIFS(nrMK_Min,nrMK_Link,$B89,nrMK_Credit,"Yes"))</f>
        <v/>
      </c>
      <c r="Q89" s="17">
        <f>IF(OR($B89="",N($J89)=0),"",SUMIFS(nrMK_Sess,nrMK_Link,$B89,nrMK_Credit,"Yes"))</f>
        <v/>
      </c>
      <c r="R89" s="17">
        <f>IF(OR($B89="",$N89&lt;&gt;"Yes"),"",IF(N($I89)&gt;0,N($I89)-N($P89),IF(N($J89)&gt;0,N($J89)-N($Q89),"")))</f>
        <v/>
      </c>
      <c r="S89" s="17">
        <f>IF(OR($B89="",$R89=""),"",IF($R89&lt;=0,"CLEARED "&amp;IFERROR(TEXT(_xlfn.MAXIFS(nrMK_Date,nrMK_Link,$B89,nrMK_Credit,"Yes"),"mm/dd"),""),"OPEN"))</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IF(OR($B90="",N($I90)=0),"",SUMIFS(nrMK_Min,nrMK_Link,$B90,nrMK_Credit,"Yes"))</f>
        <v/>
      </c>
      <c r="Q90" s="17">
        <f>IF(OR($B90="",N($J90)=0),"",SUMIFS(nrMK_Sess,nrMK_Link,$B90,nrMK_Credit,"Yes"))</f>
        <v/>
      </c>
      <c r="R90" s="17">
        <f>IF(OR($B90="",$N90&lt;&gt;"Yes"),"",IF(N($I90)&gt;0,N($I90)-N($P90),IF(N($J90)&gt;0,N($J90)-N($Q90),"")))</f>
        <v/>
      </c>
      <c r="S90" s="17">
        <f>IF(OR($B90="",$R90=""),"",IF($R90&lt;=0,"CLEARED "&amp;IFERROR(TEXT(_xlfn.MAXIFS(nrMK_Date,nrMK_Link,$B90,nrMK_Credit,"Yes"),"mm/dd"),""),"OPEN"))</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IF(OR($B91="",N($I91)=0),"",SUMIFS(nrMK_Min,nrMK_Link,$B91,nrMK_Credit,"Yes"))</f>
        <v/>
      </c>
      <c r="Q91" s="17">
        <f>IF(OR($B91="",N($J91)=0),"",SUMIFS(nrMK_Sess,nrMK_Link,$B91,nrMK_Credit,"Yes"))</f>
        <v/>
      </c>
      <c r="R91" s="17">
        <f>IF(OR($B91="",$N91&lt;&gt;"Yes"),"",IF(N($I91)&gt;0,N($I91)-N($P91),IF(N($J91)&gt;0,N($J91)-N($Q91),"")))</f>
        <v/>
      </c>
      <c r="S91" s="17">
        <f>IF(OR($B91="",$R91=""),"",IF($R91&lt;=0,"CLEARED "&amp;IFERROR(TEXT(_xlfn.MAXIFS(nrMK_Date,nrMK_Link,$B91,nrMK_Credit,"Yes"),"mm/dd"),""),"OPEN"))</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IF(OR($B92="",N($I92)=0),"",SUMIFS(nrMK_Min,nrMK_Link,$B92,nrMK_Credit,"Yes"))</f>
        <v/>
      </c>
      <c r="Q92" s="17">
        <f>IF(OR($B92="",N($J92)=0),"",SUMIFS(nrMK_Sess,nrMK_Link,$B92,nrMK_Credit,"Yes"))</f>
        <v/>
      </c>
      <c r="R92" s="17">
        <f>IF(OR($B92="",$N92&lt;&gt;"Yes"),"",IF(N($I92)&gt;0,N($I92)-N($P92),IF(N($J92)&gt;0,N($J92)-N($Q92),"")))</f>
        <v/>
      </c>
      <c r="S92" s="17">
        <f>IF(OR($B92="",$R92=""),"",IF($R92&lt;=0,"CLEARED "&amp;IFERROR(TEXT(_xlfn.MAXIFS(nrMK_Date,nrMK_Link,$B92,nrMK_Credit,"Yes"),"mm/dd"),""),"OPEN"))</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IF(OR($B93="",N($I93)=0),"",SUMIFS(nrMK_Min,nrMK_Link,$B93,nrMK_Credit,"Yes"))</f>
        <v/>
      </c>
      <c r="Q93" s="17">
        <f>IF(OR($B93="",N($J93)=0),"",SUMIFS(nrMK_Sess,nrMK_Link,$B93,nrMK_Credit,"Yes"))</f>
        <v/>
      </c>
      <c r="R93" s="17">
        <f>IF(OR($B93="",$N93&lt;&gt;"Yes"),"",IF(N($I93)&gt;0,N($I93)-N($P93),IF(N($J93)&gt;0,N($J93)-N($Q93),"")))</f>
        <v/>
      </c>
      <c r="S93" s="17">
        <f>IF(OR($B93="",$R93=""),"",IF($R93&lt;=0,"CLEARED "&amp;IFERROR(TEXT(_xlfn.MAXIFS(nrMK_Date,nrMK_Link,$B93,nrMK_Credit,"Yes"),"mm/dd"),""),"OPEN"))</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IF(OR($B94="",N($I94)=0),"",SUMIFS(nrMK_Min,nrMK_Link,$B94,nrMK_Credit,"Yes"))</f>
        <v/>
      </c>
      <c r="Q94" s="17">
        <f>IF(OR($B94="",N($J94)=0),"",SUMIFS(nrMK_Sess,nrMK_Link,$B94,nrMK_Credit,"Yes"))</f>
        <v/>
      </c>
      <c r="R94" s="17">
        <f>IF(OR($B94="",$N94&lt;&gt;"Yes"),"",IF(N($I94)&gt;0,N($I94)-N($P94),IF(N($J94)&gt;0,N($J94)-N($Q94),"")))</f>
        <v/>
      </c>
      <c r="S94" s="17">
        <f>IF(OR($B94="",$R94=""),"",IF($R94&lt;=0,"CLEARED "&amp;IFERROR(TEXT(_xlfn.MAXIFS(nrMK_Date,nrMK_Link,$B94,nrMK_Credit,"Yes"),"mm/dd"),""),"OPEN"))</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IF(OR($B95="",N($I95)=0),"",SUMIFS(nrMK_Min,nrMK_Link,$B95,nrMK_Credit,"Yes"))</f>
        <v/>
      </c>
      <c r="Q95" s="17">
        <f>IF(OR($B95="",N($J95)=0),"",SUMIFS(nrMK_Sess,nrMK_Link,$B95,nrMK_Credit,"Yes"))</f>
        <v/>
      </c>
      <c r="R95" s="17">
        <f>IF(OR($B95="",$N95&lt;&gt;"Yes"),"",IF(N($I95)&gt;0,N($I95)-N($P95),IF(N($J95)&gt;0,N($J95)-N($Q95),"")))</f>
        <v/>
      </c>
      <c r="S95" s="17">
        <f>IF(OR($B95="",$R95=""),"",IF($R95&lt;=0,"CLEARED "&amp;IFERROR(TEXT(_xlfn.MAXIFS(nrMK_Date,nrMK_Link,$B95,nrMK_Credit,"Yes"),"mm/dd"),""),"OPEN"))</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IF(OR($B96="",N($I96)=0),"",SUMIFS(nrMK_Min,nrMK_Link,$B96,nrMK_Credit,"Yes"))</f>
        <v/>
      </c>
      <c r="Q96" s="17">
        <f>IF(OR($B96="",N($J96)=0),"",SUMIFS(nrMK_Sess,nrMK_Link,$B96,nrMK_Credit,"Yes"))</f>
        <v/>
      </c>
      <c r="R96" s="17">
        <f>IF(OR($B96="",$N96&lt;&gt;"Yes"),"",IF(N($I96)&gt;0,N($I96)-N($P96),IF(N($J96)&gt;0,N($J96)-N($Q96),"")))</f>
        <v/>
      </c>
      <c r="S96" s="17">
        <f>IF(OR($B96="",$R96=""),"",IF($R96&lt;=0,"CLEARED "&amp;IFERROR(TEXT(_xlfn.MAXIFS(nrMK_Date,nrMK_Link,$B96,nrMK_Credit,"Yes"),"mm/dd"),""),"OPEN"))</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IF(OR($B97="",N($I97)=0),"",SUMIFS(nrMK_Min,nrMK_Link,$B97,nrMK_Credit,"Yes"))</f>
        <v/>
      </c>
      <c r="Q97" s="17">
        <f>IF(OR($B97="",N($J97)=0),"",SUMIFS(nrMK_Sess,nrMK_Link,$B97,nrMK_Credit,"Yes"))</f>
        <v/>
      </c>
      <c r="R97" s="17">
        <f>IF(OR($B97="",$N97&lt;&gt;"Yes"),"",IF(N($I97)&gt;0,N($I97)-N($P97),IF(N($J97)&gt;0,N($J97)-N($Q97),"")))</f>
        <v/>
      </c>
      <c r="S97" s="17">
        <f>IF(OR($B97="",$R97=""),"",IF($R97&lt;=0,"CLEARED "&amp;IFERROR(TEXT(_xlfn.MAXIFS(nrMK_Date,nrMK_Link,$B97,nrMK_Credit,"Yes"),"mm/dd"),""),"OPEN"))</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IF(OR($B98="",N($I98)=0),"",SUMIFS(nrMK_Min,nrMK_Link,$B98,nrMK_Credit,"Yes"))</f>
        <v/>
      </c>
      <c r="Q98" s="17">
        <f>IF(OR($B98="",N($J98)=0),"",SUMIFS(nrMK_Sess,nrMK_Link,$B98,nrMK_Credit,"Yes"))</f>
        <v/>
      </c>
      <c r="R98" s="17">
        <f>IF(OR($B98="",$N98&lt;&gt;"Yes"),"",IF(N($I98)&gt;0,N($I98)-N($P98),IF(N($J98)&gt;0,N($J98)-N($Q98),"")))</f>
        <v/>
      </c>
      <c r="S98" s="17">
        <f>IF(OR($B98="",$R98=""),"",IF($R98&lt;=0,"CLEARED "&amp;IFERROR(TEXT(_xlfn.MAXIFS(nrMK_Date,nrMK_Link,$B98,nrMK_Credit,"Yes"),"mm/dd"),""),"OPEN"))</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IF(OR($B99="",N($I99)=0),"",SUMIFS(nrMK_Min,nrMK_Link,$B99,nrMK_Credit,"Yes"))</f>
        <v/>
      </c>
      <c r="Q99" s="17">
        <f>IF(OR($B99="",N($J99)=0),"",SUMIFS(nrMK_Sess,nrMK_Link,$B99,nrMK_Credit,"Yes"))</f>
        <v/>
      </c>
      <c r="R99" s="17">
        <f>IF(OR($B99="",$N99&lt;&gt;"Yes"),"",IF(N($I99)&gt;0,N($I99)-N($P99),IF(N($J99)&gt;0,N($J99)-N($Q99),"")))</f>
        <v/>
      </c>
      <c r="S99" s="17">
        <f>IF(OR($B99="",$R99=""),"",IF($R99&lt;=0,"CLEARED "&amp;IFERROR(TEXT(_xlfn.MAXIFS(nrMK_Date,nrMK_Link,$B99,nrMK_Credit,"Yes"),"mm/dd"),""),"OPEN"))</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IF(OR($B100="",N($I100)=0),"",SUMIFS(nrMK_Min,nrMK_Link,$B100,nrMK_Credit,"Yes"))</f>
        <v/>
      </c>
      <c r="Q100" s="17">
        <f>IF(OR($B100="",N($J100)=0),"",SUMIFS(nrMK_Sess,nrMK_Link,$B100,nrMK_Credit,"Yes"))</f>
        <v/>
      </c>
      <c r="R100" s="17">
        <f>IF(OR($B100="",$N100&lt;&gt;"Yes"),"",IF(N($I100)&gt;0,N($I100)-N($P100),IF(N($J100)&gt;0,N($J100)-N($Q100),"")))</f>
        <v/>
      </c>
      <c r="S100" s="17">
        <f>IF(OR($B100="",$R100=""),"",IF($R100&lt;=0,"CLEARED "&amp;IFERROR(TEXT(_xlfn.MAXIFS(nrMK_Date,nrMK_Link,$B100,nrMK_Credit,"Yes"),"mm/dd"),""),"OPEN"))</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IF(OR($B101="",N($I101)=0),"",SUMIFS(nrMK_Min,nrMK_Link,$B101,nrMK_Credit,"Yes"))</f>
        <v/>
      </c>
      <c r="Q101" s="17">
        <f>IF(OR($B101="",N($J101)=0),"",SUMIFS(nrMK_Sess,nrMK_Link,$B101,nrMK_Credit,"Yes"))</f>
        <v/>
      </c>
      <c r="R101" s="17">
        <f>IF(OR($B101="",$N101&lt;&gt;"Yes"),"",IF(N($I101)&gt;0,N($I101)-N($P101),IF(N($J101)&gt;0,N($J101)-N($Q101),"")))</f>
        <v/>
      </c>
      <c r="S101" s="17">
        <f>IF(OR($B101="",$R101=""),"",IF($R101&lt;=0,"CLEARED "&amp;IFERROR(TEXT(_xlfn.MAXIFS(nrMK_Date,nrMK_Link,$B101,nrMK_Credit,"Yes"),"mm/dd"),""),"OPEN"))</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IF(OR($B102="",N($I102)=0),"",SUMIFS(nrMK_Min,nrMK_Link,$B102,nrMK_Credit,"Yes"))</f>
        <v/>
      </c>
      <c r="Q102" s="17">
        <f>IF(OR($B102="",N($J102)=0),"",SUMIFS(nrMK_Sess,nrMK_Link,$B102,nrMK_Credit,"Yes"))</f>
        <v/>
      </c>
      <c r="R102" s="17">
        <f>IF(OR($B102="",$N102&lt;&gt;"Yes"),"",IF(N($I102)&gt;0,N($I102)-N($P102),IF(N($J102)&gt;0,N($J102)-N($Q102),"")))</f>
        <v/>
      </c>
      <c r="S102" s="17">
        <f>IF(OR($B102="",$R102=""),"",IF($R102&lt;=0,"CLEARED "&amp;IFERROR(TEXT(_xlfn.MAXIFS(nrMK_Date,nrMK_Link,$B102,nrMK_Credit,"Yes"),"mm/dd"),""),"OPEN"))</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IF(OR($B103="",N($I103)=0),"",SUMIFS(nrMK_Min,nrMK_Link,$B103,nrMK_Credit,"Yes"))</f>
        <v/>
      </c>
      <c r="Q103" s="17">
        <f>IF(OR($B103="",N($J103)=0),"",SUMIFS(nrMK_Sess,nrMK_Link,$B103,nrMK_Credit,"Yes"))</f>
        <v/>
      </c>
      <c r="R103" s="17">
        <f>IF(OR($B103="",$N103&lt;&gt;"Yes"),"",IF(N($I103)&gt;0,N($I103)-N($P103),IF(N($J103)&gt;0,N($J103)-N($Q103),"")))</f>
        <v/>
      </c>
      <c r="S103" s="17">
        <f>IF(OR($B103="",$R103=""),"",IF($R103&lt;=0,"CLEARED "&amp;IFERROR(TEXT(_xlfn.MAXIFS(nrMK_Date,nrMK_Link,$B103,nrMK_Credit,"Yes"),"mm/dd"),""),"OPEN"))</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IF(OR($B104="",N($I104)=0),"",SUMIFS(nrMK_Min,nrMK_Link,$B104,nrMK_Credit,"Yes"))</f>
        <v/>
      </c>
      <c r="Q104" s="17">
        <f>IF(OR($B104="",N($J104)=0),"",SUMIFS(nrMK_Sess,nrMK_Link,$B104,nrMK_Credit,"Yes"))</f>
        <v/>
      </c>
      <c r="R104" s="17">
        <f>IF(OR($B104="",$N104&lt;&gt;"Yes"),"",IF(N($I104)&gt;0,N($I104)-N($P104),IF(N($J104)&gt;0,N($J104)-N($Q104),"")))</f>
        <v/>
      </c>
      <c r="S104" s="17">
        <f>IF(OR($B104="",$R104=""),"",IF($R104&lt;=0,"CLEARED "&amp;IFERROR(TEXT(_xlfn.MAXIFS(nrMK_Date,nrMK_Link,$B104,nrMK_Credit,"Yes"),"mm/dd"),""),"OPEN"))</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IF(OR($B105="",N($I105)=0),"",SUMIFS(nrMK_Min,nrMK_Link,$B105,nrMK_Credit,"Yes"))</f>
        <v/>
      </c>
      <c r="Q105" s="17">
        <f>IF(OR($B105="",N($J105)=0),"",SUMIFS(nrMK_Sess,nrMK_Link,$B105,nrMK_Credit,"Yes"))</f>
        <v/>
      </c>
      <c r="R105" s="17">
        <f>IF(OR($B105="",$N105&lt;&gt;"Yes"),"",IF(N($I105)&gt;0,N($I105)-N($P105),IF(N($J105)&gt;0,N($J105)-N($Q105),"")))</f>
        <v/>
      </c>
      <c r="S105" s="17">
        <f>IF(OR($B105="",$R105=""),"",IF($R105&lt;=0,"CLEARED "&amp;IFERROR(TEXT(_xlfn.MAXIFS(nrMK_Date,nrMK_Link,$B105,nrMK_Credit,"Yes"),"mm/dd"),""),"OPEN"))</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IF(OR($B106="",N($I106)=0),"",SUMIFS(nrMK_Min,nrMK_Link,$B106,nrMK_Credit,"Yes"))</f>
        <v/>
      </c>
      <c r="Q106" s="17">
        <f>IF(OR($B106="",N($J106)=0),"",SUMIFS(nrMK_Sess,nrMK_Link,$B106,nrMK_Credit,"Yes"))</f>
        <v/>
      </c>
      <c r="R106" s="17">
        <f>IF(OR($B106="",$N106&lt;&gt;"Yes"),"",IF(N($I106)&gt;0,N($I106)-N($P106),IF(N($J106)&gt;0,N($J106)-N($Q106),"")))</f>
        <v/>
      </c>
      <c r="S106" s="17">
        <f>IF(OR($B106="",$R106=""),"",IF($R106&lt;=0,"CLEARED "&amp;IFERROR(TEXT(_xlfn.MAXIFS(nrMK_Date,nrMK_Link,$B106,nrMK_Credit,"Yes"),"mm/dd"),""),"OPEN"))</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IF(OR($B107="",N($I107)=0),"",SUMIFS(nrMK_Min,nrMK_Link,$B107,nrMK_Credit,"Yes"))</f>
        <v/>
      </c>
      <c r="Q107" s="17">
        <f>IF(OR($B107="",N($J107)=0),"",SUMIFS(nrMK_Sess,nrMK_Link,$B107,nrMK_Credit,"Yes"))</f>
        <v/>
      </c>
      <c r="R107" s="17">
        <f>IF(OR($B107="",$N107&lt;&gt;"Yes"),"",IF(N($I107)&gt;0,N($I107)-N($P107),IF(N($J107)&gt;0,N($J107)-N($Q107),"")))</f>
        <v/>
      </c>
      <c r="S107" s="17">
        <f>IF(OR($B107="",$R107=""),"",IF($R107&lt;=0,"CLEARED "&amp;IFERROR(TEXT(_xlfn.MAXIFS(nrMK_Date,nrMK_Link,$B107,nrMK_Credit,"Yes"),"mm/dd"),""),"OPEN"))</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IF(OR($B108="",N($I108)=0),"",SUMIFS(nrMK_Min,nrMK_Link,$B108,nrMK_Credit,"Yes"))</f>
        <v/>
      </c>
      <c r="Q108" s="17">
        <f>IF(OR($B108="",N($J108)=0),"",SUMIFS(nrMK_Sess,nrMK_Link,$B108,nrMK_Credit,"Yes"))</f>
        <v/>
      </c>
      <c r="R108" s="17">
        <f>IF(OR($B108="",$N108&lt;&gt;"Yes"),"",IF(N($I108)&gt;0,N($I108)-N($P108),IF(N($J108)&gt;0,N($J108)-N($Q108),"")))</f>
        <v/>
      </c>
      <c r="S108" s="17">
        <f>IF(OR($B108="",$R108=""),"",IF($R108&lt;=0,"CLEARED "&amp;IFERROR(TEXT(_xlfn.MAXIFS(nrMK_Date,nrMK_Link,$B108,nrMK_Credit,"Yes"),"mm/dd"),""),"OPEN"))</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IF(OR($B109="",N($I109)=0),"",SUMIFS(nrMK_Min,nrMK_Link,$B109,nrMK_Credit,"Yes"))</f>
        <v/>
      </c>
      <c r="Q109" s="17">
        <f>IF(OR($B109="",N($J109)=0),"",SUMIFS(nrMK_Sess,nrMK_Link,$B109,nrMK_Credit,"Yes"))</f>
        <v/>
      </c>
      <c r="R109" s="17">
        <f>IF(OR($B109="",$N109&lt;&gt;"Yes"),"",IF(N($I109)&gt;0,N($I109)-N($P109),IF(N($J109)&gt;0,N($J109)-N($Q109),"")))</f>
        <v/>
      </c>
      <c r="S109" s="17">
        <f>IF(OR($B109="",$R109=""),"",IF($R109&lt;=0,"CLEARED "&amp;IFERROR(TEXT(_xlfn.MAXIFS(nrMK_Date,nrMK_Link,$B109,nrMK_Credit,"Yes"),"mm/dd"),""),"OPEN"))</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IF(OR($B110="",N($I110)=0),"",SUMIFS(nrMK_Min,nrMK_Link,$B110,nrMK_Credit,"Yes"))</f>
        <v/>
      </c>
      <c r="Q110" s="17">
        <f>IF(OR($B110="",N($J110)=0),"",SUMIFS(nrMK_Sess,nrMK_Link,$B110,nrMK_Credit,"Yes"))</f>
        <v/>
      </c>
      <c r="R110" s="17">
        <f>IF(OR($B110="",$N110&lt;&gt;"Yes"),"",IF(N($I110)&gt;0,N($I110)-N($P110),IF(N($J110)&gt;0,N($J110)-N($Q110),"")))</f>
        <v/>
      </c>
      <c r="S110" s="17">
        <f>IF(OR($B110="",$R110=""),"",IF($R110&lt;=0,"CLEARED "&amp;IFERROR(TEXT(_xlfn.MAXIFS(nrMK_Date,nrMK_Link,$B110,nrMK_Credit,"Yes"),"mm/dd"),""),"OPEN"))</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IF(OR($B111="",N($I111)=0),"",SUMIFS(nrMK_Min,nrMK_Link,$B111,nrMK_Credit,"Yes"))</f>
        <v/>
      </c>
      <c r="Q111" s="17">
        <f>IF(OR($B111="",N($J111)=0),"",SUMIFS(nrMK_Sess,nrMK_Link,$B111,nrMK_Credit,"Yes"))</f>
        <v/>
      </c>
      <c r="R111" s="17">
        <f>IF(OR($B111="",$N111&lt;&gt;"Yes"),"",IF(N($I111)&gt;0,N($I111)-N($P111),IF(N($J111)&gt;0,N($J111)-N($Q111),"")))</f>
        <v/>
      </c>
      <c r="S111" s="17">
        <f>IF(OR($B111="",$R111=""),"",IF($R111&lt;=0,"CLEARED "&amp;IFERROR(TEXT(_xlfn.MAXIFS(nrMK_Date,nrMK_Link,$B111,nrMK_Credit,"Yes"),"mm/dd"),""),"OPEN"))</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IF(OR($B112="",N($I112)=0),"",SUMIFS(nrMK_Min,nrMK_Link,$B112,nrMK_Credit,"Yes"))</f>
        <v/>
      </c>
      <c r="Q112" s="17">
        <f>IF(OR($B112="",N($J112)=0),"",SUMIFS(nrMK_Sess,nrMK_Link,$B112,nrMK_Credit,"Yes"))</f>
        <v/>
      </c>
      <c r="R112" s="17">
        <f>IF(OR($B112="",$N112&lt;&gt;"Yes"),"",IF(N($I112)&gt;0,N($I112)-N($P112),IF(N($J112)&gt;0,N($J112)-N($Q112),"")))</f>
        <v/>
      </c>
      <c r="S112" s="17">
        <f>IF(OR($B112="",$R112=""),"",IF($R112&lt;=0,"CLEARED "&amp;IFERROR(TEXT(_xlfn.MAXIFS(nrMK_Date,nrMK_Link,$B112,nrMK_Credit,"Yes"),"mm/dd"),""),"OPEN"))</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IF(OR($B113="",N($I113)=0),"",SUMIFS(nrMK_Min,nrMK_Link,$B113,nrMK_Credit,"Yes"))</f>
        <v/>
      </c>
      <c r="Q113" s="17">
        <f>IF(OR($B113="",N($J113)=0),"",SUMIFS(nrMK_Sess,nrMK_Link,$B113,nrMK_Credit,"Yes"))</f>
        <v/>
      </c>
      <c r="R113" s="17">
        <f>IF(OR($B113="",$N113&lt;&gt;"Yes"),"",IF(N($I113)&gt;0,N($I113)-N($P113),IF(N($J113)&gt;0,N($J113)-N($Q113),"")))</f>
        <v/>
      </c>
      <c r="S113" s="17">
        <f>IF(OR($B113="",$R113=""),"",IF($R113&lt;=0,"CLEARED "&amp;IFERROR(TEXT(_xlfn.MAXIFS(nrMK_Date,nrMK_Link,$B113,nrMK_Credit,"Yes"),"mm/dd"),""),"OPEN"))</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IF(OR($B114="",N($I114)=0),"",SUMIFS(nrMK_Min,nrMK_Link,$B114,nrMK_Credit,"Yes"))</f>
        <v/>
      </c>
      <c r="Q114" s="17">
        <f>IF(OR($B114="",N($J114)=0),"",SUMIFS(nrMK_Sess,nrMK_Link,$B114,nrMK_Credit,"Yes"))</f>
        <v/>
      </c>
      <c r="R114" s="17">
        <f>IF(OR($B114="",$N114&lt;&gt;"Yes"),"",IF(N($I114)&gt;0,N($I114)-N($P114),IF(N($J114)&gt;0,N($J114)-N($Q114),"")))</f>
        <v/>
      </c>
      <c r="S114" s="17">
        <f>IF(OR($B114="",$R114=""),"",IF($R114&lt;=0,"CLEARED "&amp;IFERROR(TEXT(_xlfn.MAXIFS(nrMK_Date,nrMK_Link,$B114,nrMK_Credit,"Yes"),"mm/dd"),""),"OPEN"))</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IF(OR($B115="",N($I115)=0),"",SUMIFS(nrMK_Min,nrMK_Link,$B115,nrMK_Credit,"Yes"))</f>
        <v/>
      </c>
      <c r="Q115" s="17">
        <f>IF(OR($B115="",N($J115)=0),"",SUMIFS(nrMK_Sess,nrMK_Link,$B115,nrMK_Credit,"Yes"))</f>
        <v/>
      </c>
      <c r="R115" s="17">
        <f>IF(OR($B115="",$N115&lt;&gt;"Yes"),"",IF(N($I115)&gt;0,N($I115)-N($P115),IF(N($J115)&gt;0,N($J115)-N($Q115),"")))</f>
        <v/>
      </c>
      <c r="S115" s="17">
        <f>IF(OR($B115="",$R115=""),"",IF($R115&lt;=0,"CLEARED "&amp;IFERROR(TEXT(_xlfn.MAXIFS(nrMK_Date,nrMK_Link,$B115,nrMK_Credit,"Yes"),"mm/dd"),""),"OPEN"))</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IF(OR($B116="",N($I116)=0),"",SUMIFS(nrMK_Min,nrMK_Link,$B116,nrMK_Credit,"Yes"))</f>
        <v/>
      </c>
      <c r="Q116" s="17">
        <f>IF(OR($B116="",N($J116)=0),"",SUMIFS(nrMK_Sess,nrMK_Link,$B116,nrMK_Credit,"Yes"))</f>
        <v/>
      </c>
      <c r="R116" s="17">
        <f>IF(OR($B116="",$N116&lt;&gt;"Yes"),"",IF(N($I116)&gt;0,N($I116)-N($P116),IF(N($J116)&gt;0,N($J116)-N($Q116),"")))</f>
        <v/>
      </c>
      <c r="S116" s="17">
        <f>IF(OR($B116="",$R116=""),"",IF($R116&lt;=0,"CLEARED "&amp;IFERROR(TEXT(_xlfn.MAXIFS(nrMK_Date,nrMK_Link,$B116,nrMK_Credit,"Yes"),"mm/dd"),""),"OPEN"))</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IF(OR($B117="",N($I117)=0),"",SUMIFS(nrMK_Min,nrMK_Link,$B117,nrMK_Credit,"Yes"))</f>
        <v/>
      </c>
      <c r="Q117" s="17">
        <f>IF(OR($B117="",N($J117)=0),"",SUMIFS(nrMK_Sess,nrMK_Link,$B117,nrMK_Credit,"Yes"))</f>
        <v/>
      </c>
      <c r="R117" s="17">
        <f>IF(OR($B117="",$N117&lt;&gt;"Yes"),"",IF(N($I117)&gt;0,N($I117)-N($P117),IF(N($J117)&gt;0,N($J117)-N($Q117),"")))</f>
        <v/>
      </c>
      <c r="S117" s="17">
        <f>IF(OR($B117="",$R117=""),"",IF($R117&lt;=0,"CLEARED "&amp;IFERROR(TEXT(_xlfn.MAXIFS(nrMK_Date,nrMK_Link,$B117,nrMK_Credit,"Yes"),"mm/dd"),""),"OPEN"))</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IF(OR($B118="",N($I118)=0),"",SUMIFS(nrMK_Min,nrMK_Link,$B118,nrMK_Credit,"Yes"))</f>
        <v/>
      </c>
      <c r="Q118" s="17">
        <f>IF(OR($B118="",N($J118)=0),"",SUMIFS(nrMK_Sess,nrMK_Link,$B118,nrMK_Credit,"Yes"))</f>
        <v/>
      </c>
      <c r="R118" s="17">
        <f>IF(OR($B118="",$N118&lt;&gt;"Yes"),"",IF(N($I118)&gt;0,N($I118)-N($P118),IF(N($J118)&gt;0,N($J118)-N($Q118),"")))</f>
        <v/>
      </c>
      <c r="S118" s="17">
        <f>IF(OR($B118="",$R118=""),"",IF($R118&lt;=0,"CLEARED "&amp;IFERROR(TEXT(_xlfn.MAXIFS(nrMK_Date,nrMK_Link,$B118,nrMK_Credit,"Yes"),"mm/dd"),""),"OPEN"))</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IF(OR($B119="",N($I119)=0),"",SUMIFS(nrMK_Min,nrMK_Link,$B119,nrMK_Credit,"Yes"))</f>
        <v/>
      </c>
      <c r="Q119" s="17">
        <f>IF(OR($B119="",N($J119)=0),"",SUMIFS(nrMK_Sess,nrMK_Link,$B119,nrMK_Credit,"Yes"))</f>
        <v/>
      </c>
      <c r="R119" s="17">
        <f>IF(OR($B119="",$N119&lt;&gt;"Yes"),"",IF(N($I119)&gt;0,N($I119)-N($P119),IF(N($J119)&gt;0,N($J119)-N($Q119),"")))</f>
        <v/>
      </c>
      <c r="S119" s="17">
        <f>IF(OR($B119="",$R119=""),"",IF($R119&lt;=0,"CLEARED "&amp;IFERROR(TEXT(_xlfn.MAXIFS(nrMK_Date,nrMK_Link,$B119,nrMK_Credit,"Yes"),"mm/dd"),""),"OPEN"))</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IF(OR($B120="",N($I120)=0),"",SUMIFS(nrMK_Min,nrMK_Link,$B120,nrMK_Credit,"Yes"))</f>
        <v/>
      </c>
      <c r="Q120" s="17">
        <f>IF(OR($B120="",N($J120)=0),"",SUMIFS(nrMK_Sess,nrMK_Link,$B120,nrMK_Credit,"Yes"))</f>
        <v/>
      </c>
      <c r="R120" s="17">
        <f>IF(OR($B120="",$N120&lt;&gt;"Yes"),"",IF(N($I120)&gt;0,N($I120)-N($P120),IF(N($J120)&gt;0,N($J120)-N($Q120),"")))</f>
        <v/>
      </c>
      <c r="S120" s="17">
        <f>IF(OR($B120="",$R120=""),"",IF($R120&lt;=0,"CLEARED "&amp;IFERROR(TEXT(_xlfn.MAXIFS(nrMK_Date,nrMK_Link,$B120,nrMK_Credit,"Yes"),"mm/dd"),""),"OPEN"))</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IF(OR($B121="",N($I121)=0),"",SUMIFS(nrMK_Min,nrMK_Link,$B121,nrMK_Credit,"Yes"))</f>
        <v/>
      </c>
      <c r="Q121" s="17">
        <f>IF(OR($B121="",N($J121)=0),"",SUMIFS(nrMK_Sess,nrMK_Link,$B121,nrMK_Credit,"Yes"))</f>
        <v/>
      </c>
      <c r="R121" s="17">
        <f>IF(OR($B121="",$N121&lt;&gt;"Yes"),"",IF(N($I121)&gt;0,N($I121)-N($P121),IF(N($J121)&gt;0,N($J121)-N($Q121),"")))</f>
        <v/>
      </c>
      <c r="S121" s="17">
        <f>IF(OR($B121="",$R121=""),"",IF($R121&lt;=0,"CLEARED "&amp;IFERROR(TEXT(_xlfn.MAXIFS(nrMK_Date,nrMK_Link,$B121,nrMK_Credit,"Yes"),"mm/dd"),""),"OPEN"))</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IF(OR($B122="",N($I122)=0),"",SUMIFS(nrMK_Min,nrMK_Link,$B122,nrMK_Credit,"Yes"))</f>
        <v/>
      </c>
      <c r="Q122" s="17">
        <f>IF(OR($B122="",N($J122)=0),"",SUMIFS(nrMK_Sess,nrMK_Link,$B122,nrMK_Credit,"Yes"))</f>
        <v/>
      </c>
      <c r="R122" s="17">
        <f>IF(OR($B122="",$N122&lt;&gt;"Yes"),"",IF(N($I122)&gt;0,N($I122)-N($P122),IF(N($J122)&gt;0,N($J122)-N($Q122),"")))</f>
        <v/>
      </c>
      <c r="S122" s="17">
        <f>IF(OR($B122="",$R122=""),"",IF($R122&lt;=0,"CLEARED "&amp;IFERROR(TEXT(_xlfn.MAXIFS(nrMK_Date,nrMK_Link,$B122,nrMK_Credit,"Yes"),"mm/dd"),""),"OPEN"))</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IF(OR($B123="",N($I123)=0),"",SUMIFS(nrMK_Min,nrMK_Link,$B123,nrMK_Credit,"Yes"))</f>
        <v/>
      </c>
      <c r="Q123" s="17">
        <f>IF(OR($B123="",N($J123)=0),"",SUMIFS(nrMK_Sess,nrMK_Link,$B123,nrMK_Credit,"Yes"))</f>
        <v/>
      </c>
      <c r="R123" s="17">
        <f>IF(OR($B123="",$N123&lt;&gt;"Yes"),"",IF(N($I123)&gt;0,N($I123)-N($P123),IF(N($J123)&gt;0,N($J123)-N($Q123),"")))</f>
        <v/>
      </c>
      <c r="S123" s="17">
        <f>IF(OR($B123="",$R123=""),"",IF($R123&lt;=0,"CLEARED "&amp;IFERROR(TEXT(_xlfn.MAXIFS(nrMK_Date,nrMK_Link,$B123,nrMK_Credit,"Yes"),"mm/dd"),""),"OPEN"))</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IF(OR($B124="",N($I124)=0),"",SUMIFS(nrMK_Min,nrMK_Link,$B124,nrMK_Credit,"Yes"))</f>
        <v/>
      </c>
      <c r="Q124" s="17">
        <f>IF(OR($B124="",N($J124)=0),"",SUMIFS(nrMK_Sess,nrMK_Link,$B124,nrMK_Credit,"Yes"))</f>
        <v/>
      </c>
      <c r="R124" s="17">
        <f>IF(OR($B124="",$N124&lt;&gt;"Yes"),"",IF(N($I124)&gt;0,N($I124)-N($P124),IF(N($J124)&gt;0,N($J124)-N($Q124),"")))</f>
        <v/>
      </c>
      <c r="S124" s="17">
        <f>IF(OR($B124="",$R124=""),"",IF($R124&lt;=0,"CLEARED "&amp;IFERROR(TEXT(_xlfn.MAXIFS(nrMK_Date,nrMK_Link,$B124,nrMK_Credit,"Yes"),"mm/dd"),""),"OPEN"))</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IF(OR($B125="",N($I125)=0),"",SUMIFS(nrMK_Min,nrMK_Link,$B125,nrMK_Credit,"Yes"))</f>
        <v/>
      </c>
      <c r="Q125" s="17">
        <f>IF(OR($B125="",N($J125)=0),"",SUMIFS(nrMK_Sess,nrMK_Link,$B125,nrMK_Credit,"Yes"))</f>
        <v/>
      </c>
      <c r="R125" s="17">
        <f>IF(OR($B125="",$N125&lt;&gt;"Yes"),"",IF(N($I125)&gt;0,N($I125)-N($P125),IF(N($J125)&gt;0,N($J125)-N($Q125),"")))</f>
        <v/>
      </c>
      <c r="S125" s="17">
        <f>IF(OR($B125="",$R125=""),"",IF($R125&lt;=0,"CLEARED "&amp;IFERROR(TEXT(_xlfn.MAXIFS(nrMK_Date,nrMK_Link,$B125,nrMK_Credit,"Yes"),"mm/dd"),""),"OPEN"))</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IF(OR($B126="",N($I126)=0),"",SUMIFS(nrMK_Min,nrMK_Link,$B126,nrMK_Credit,"Yes"))</f>
        <v/>
      </c>
      <c r="Q126" s="17">
        <f>IF(OR($B126="",N($J126)=0),"",SUMIFS(nrMK_Sess,nrMK_Link,$B126,nrMK_Credit,"Yes"))</f>
        <v/>
      </c>
      <c r="R126" s="17">
        <f>IF(OR($B126="",$N126&lt;&gt;"Yes"),"",IF(N($I126)&gt;0,N($I126)-N($P126),IF(N($J126)&gt;0,N($J126)-N($Q126),"")))</f>
        <v/>
      </c>
      <c r="S126" s="17">
        <f>IF(OR($B126="",$R126=""),"",IF($R126&lt;=0,"CLEARED "&amp;IFERROR(TEXT(_xlfn.MAXIFS(nrMK_Date,nrMK_Link,$B126,nrMK_Credit,"Yes"),"mm/dd"),""),"OPEN"))</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IF(OR($B127="",N($I127)=0),"",SUMIFS(nrMK_Min,nrMK_Link,$B127,nrMK_Credit,"Yes"))</f>
        <v/>
      </c>
      <c r="Q127" s="17">
        <f>IF(OR($B127="",N($J127)=0),"",SUMIFS(nrMK_Sess,nrMK_Link,$B127,nrMK_Credit,"Yes"))</f>
        <v/>
      </c>
      <c r="R127" s="17">
        <f>IF(OR($B127="",$N127&lt;&gt;"Yes"),"",IF(N($I127)&gt;0,N($I127)-N($P127),IF(N($J127)&gt;0,N($J127)-N($Q127),"")))</f>
        <v/>
      </c>
      <c r="S127" s="17">
        <f>IF(OR($B127="",$R127=""),"",IF($R127&lt;=0,"CLEARED "&amp;IFERROR(TEXT(_xlfn.MAXIFS(nrMK_Date,nrMK_Link,$B127,nrMK_Credit,"Yes"),"mm/dd"),""),"OPEN"))</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IF(OR($B128="",N($I128)=0),"",SUMIFS(nrMK_Min,nrMK_Link,$B128,nrMK_Credit,"Yes"))</f>
        <v/>
      </c>
      <c r="Q128" s="17">
        <f>IF(OR($B128="",N($J128)=0),"",SUMIFS(nrMK_Sess,nrMK_Link,$B128,nrMK_Credit,"Yes"))</f>
        <v/>
      </c>
      <c r="R128" s="17">
        <f>IF(OR($B128="",$N128&lt;&gt;"Yes"),"",IF(N($I128)&gt;0,N($I128)-N($P128),IF(N($J128)&gt;0,N($J128)-N($Q128),"")))</f>
        <v/>
      </c>
      <c r="S128" s="17">
        <f>IF(OR($B128="",$R128=""),"",IF($R128&lt;=0,"CLEARED "&amp;IFERROR(TEXT(_xlfn.MAXIFS(nrMK_Date,nrMK_Link,$B128,nrMK_Credit,"Yes"),"mm/dd"),""),"OPEN"))</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IF(OR($B129="",N($I129)=0),"",SUMIFS(nrMK_Min,nrMK_Link,$B129,nrMK_Credit,"Yes"))</f>
        <v/>
      </c>
      <c r="Q129" s="17">
        <f>IF(OR($B129="",N($J129)=0),"",SUMIFS(nrMK_Sess,nrMK_Link,$B129,nrMK_Credit,"Yes"))</f>
        <v/>
      </c>
      <c r="R129" s="17">
        <f>IF(OR($B129="",$N129&lt;&gt;"Yes"),"",IF(N($I129)&gt;0,N($I129)-N($P129),IF(N($J129)&gt;0,N($J129)-N($Q129),"")))</f>
        <v/>
      </c>
      <c r="S129" s="17">
        <f>IF(OR($B129="",$R129=""),"",IF($R129&lt;=0,"CLEARED "&amp;IFERROR(TEXT(_xlfn.MAXIFS(nrMK_Date,nrMK_Link,$B129,nrMK_Credit,"Yes"),"mm/dd"),""),"OPEN"))</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IF(OR($B130="",N($I130)=0),"",SUMIFS(nrMK_Min,nrMK_Link,$B130,nrMK_Credit,"Yes"))</f>
        <v/>
      </c>
      <c r="Q130" s="17">
        <f>IF(OR($B130="",N($J130)=0),"",SUMIFS(nrMK_Sess,nrMK_Link,$B130,nrMK_Credit,"Yes"))</f>
        <v/>
      </c>
      <c r="R130" s="17">
        <f>IF(OR($B130="",$N130&lt;&gt;"Yes"),"",IF(N($I130)&gt;0,N($I130)-N($P130),IF(N($J130)&gt;0,N($J130)-N($Q130),"")))</f>
        <v/>
      </c>
      <c r="S130" s="17">
        <f>IF(OR($B130="",$R130=""),"",IF($R130&lt;=0,"CLEARED "&amp;IFERROR(TEXT(_xlfn.MAXIFS(nrMK_Date,nrMK_Link,$B130,nrMK_Credit,"Yes"),"mm/dd"),""),"OPEN"))</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IF(OR($B131="",N($I131)=0),"",SUMIFS(nrMK_Min,nrMK_Link,$B131,nrMK_Credit,"Yes"))</f>
        <v/>
      </c>
      <c r="Q131" s="17">
        <f>IF(OR($B131="",N($J131)=0),"",SUMIFS(nrMK_Sess,nrMK_Link,$B131,nrMK_Credit,"Yes"))</f>
        <v/>
      </c>
      <c r="R131" s="17">
        <f>IF(OR($B131="",$N131&lt;&gt;"Yes"),"",IF(N($I131)&gt;0,N($I131)-N($P131),IF(N($J131)&gt;0,N($J131)-N($Q131),"")))</f>
        <v/>
      </c>
      <c r="S131" s="17">
        <f>IF(OR($B131="",$R131=""),"",IF($R131&lt;=0,"CLEARED "&amp;IFERROR(TEXT(_xlfn.MAXIFS(nrMK_Date,nrMK_Link,$B131,nrMK_Credit,"Yes"),"mm/dd"),""),"OPEN"))</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IF(OR($B132="",N($I132)=0),"",SUMIFS(nrMK_Min,nrMK_Link,$B132,nrMK_Credit,"Yes"))</f>
        <v/>
      </c>
      <c r="Q132" s="17">
        <f>IF(OR($B132="",N($J132)=0),"",SUMIFS(nrMK_Sess,nrMK_Link,$B132,nrMK_Credit,"Yes"))</f>
        <v/>
      </c>
      <c r="R132" s="17">
        <f>IF(OR($B132="",$N132&lt;&gt;"Yes"),"",IF(N($I132)&gt;0,N($I132)-N($P132),IF(N($J132)&gt;0,N($J132)-N($Q132),"")))</f>
        <v/>
      </c>
      <c r="S132" s="17">
        <f>IF(OR($B132="",$R132=""),"",IF($R132&lt;=0,"CLEARED "&amp;IFERROR(TEXT(_xlfn.MAXIFS(nrMK_Date,nrMK_Link,$B132,nrMK_Credit,"Yes"),"mm/dd"),""),"OPEN"))</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IF(OR($B133="",N($I133)=0),"",SUMIFS(nrMK_Min,nrMK_Link,$B133,nrMK_Credit,"Yes"))</f>
        <v/>
      </c>
      <c r="Q133" s="17">
        <f>IF(OR($B133="",N($J133)=0),"",SUMIFS(nrMK_Sess,nrMK_Link,$B133,nrMK_Credit,"Yes"))</f>
        <v/>
      </c>
      <c r="R133" s="17">
        <f>IF(OR($B133="",$N133&lt;&gt;"Yes"),"",IF(N($I133)&gt;0,N($I133)-N($P133),IF(N($J133)&gt;0,N($J133)-N($Q133),"")))</f>
        <v/>
      </c>
      <c r="S133" s="17">
        <f>IF(OR($B133="",$R133=""),"",IF($R133&lt;=0,"CLEARED "&amp;IFERROR(TEXT(_xlfn.MAXIFS(nrMK_Date,nrMK_Link,$B133,nrMK_Credit,"Yes"),"mm/dd"),""),"OPEN"))</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IF(OR($B134="",N($I134)=0),"",SUMIFS(nrMK_Min,nrMK_Link,$B134,nrMK_Credit,"Yes"))</f>
        <v/>
      </c>
      <c r="Q134" s="17">
        <f>IF(OR($B134="",N($J134)=0),"",SUMIFS(nrMK_Sess,nrMK_Link,$B134,nrMK_Credit,"Yes"))</f>
        <v/>
      </c>
      <c r="R134" s="17">
        <f>IF(OR($B134="",$N134&lt;&gt;"Yes"),"",IF(N($I134)&gt;0,N($I134)-N($P134),IF(N($J134)&gt;0,N($J134)-N($Q134),"")))</f>
        <v/>
      </c>
      <c r="S134" s="17">
        <f>IF(OR($B134="",$R134=""),"",IF($R134&lt;=0,"CLEARED "&amp;IFERROR(TEXT(_xlfn.MAXIFS(nrMK_Date,nrMK_Link,$B134,nrMK_Credit,"Yes"),"mm/dd"),""),"OPEN"))</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IF(OR($B135="",N($I135)=0),"",SUMIFS(nrMK_Min,nrMK_Link,$B135,nrMK_Credit,"Yes"))</f>
        <v/>
      </c>
      <c r="Q135" s="17">
        <f>IF(OR($B135="",N($J135)=0),"",SUMIFS(nrMK_Sess,nrMK_Link,$B135,nrMK_Credit,"Yes"))</f>
        <v/>
      </c>
      <c r="R135" s="17">
        <f>IF(OR($B135="",$N135&lt;&gt;"Yes"),"",IF(N($I135)&gt;0,N($I135)-N($P135),IF(N($J135)&gt;0,N($J135)-N($Q135),"")))</f>
        <v/>
      </c>
      <c r="S135" s="17">
        <f>IF(OR($B135="",$R135=""),"",IF($R135&lt;=0,"CLEARED "&amp;IFERROR(TEXT(_xlfn.MAXIFS(nrMK_Date,nrMK_Link,$B135,nrMK_Credit,"Yes"),"mm/dd"),""),"OPEN"))</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IF(OR($B136="",N($I136)=0),"",SUMIFS(nrMK_Min,nrMK_Link,$B136,nrMK_Credit,"Yes"))</f>
        <v/>
      </c>
      <c r="Q136" s="17">
        <f>IF(OR($B136="",N($J136)=0),"",SUMIFS(nrMK_Sess,nrMK_Link,$B136,nrMK_Credit,"Yes"))</f>
        <v/>
      </c>
      <c r="R136" s="17">
        <f>IF(OR($B136="",$N136&lt;&gt;"Yes"),"",IF(N($I136)&gt;0,N($I136)-N($P136),IF(N($J136)&gt;0,N($J136)-N($Q136),"")))</f>
        <v/>
      </c>
      <c r="S136" s="17">
        <f>IF(OR($B136="",$R136=""),"",IF($R136&lt;=0,"CLEARED "&amp;IFERROR(TEXT(_xlfn.MAXIFS(nrMK_Date,nrMK_Link,$B136,nrMK_Credit,"Yes"),"mm/dd"),""),"OPEN"))</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IF(OR($B137="",N($I137)=0),"",SUMIFS(nrMK_Min,nrMK_Link,$B137,nrMK_Credit,"Yes"))</f>
        <v/>
      </c>
      <c r="Q137" s="17">
        <f>IF(OR($B137="",N($J137)=0),"",SUMIFS(nrMK_Sess,nrMK_Link,$B137,nrMK_Credit,"Yes"))</f>
        <v/>
      </c>
      <c r="R137" s="17">
        <f>IF(OR($B137="",$N137&lt;&gt;"Yes"),"",IF(N($I137)&gt;0,N($I137)-N($P137),IF(N($J137)&gt;0,N($J137)-N($Q137),"")))</f>
        <v/>
      </c>
      <c r="S137" s="17">
        <f>IF(OR($B137="",$R137=""),"",IF($R137&lt;=0,"CLEARED "&amp;IFERROR(TEXT(_xlfn.MAXIFS(nrMK_Date,nrMK_Link,$B137,nrMK_Credit,"Yes"),"mm/dd"),""),"OPEN"))</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IF(OR($B138="",N($I138)=0),"",SUMIFS(nrMK_Min,nrMK_Link,$B138,nrMK_Credit,"Yes"))</f>
        <v/>
      </c>
      <c r="Q138" s="17">
        <f>IF(OR($B138="",N($J138)=0),"",SUMIFS(nrMK_Sess,nrMK_Link,$B138,nrMK_Credit,"Yes"))</f>
        <v/>
      </c>
      <c r="R138" s="17">
        <f>IF(OR($B138="",$N138&lt;&gt;"Yes"),"",IF(N($I138)&gt;0,N($I138)-N($P138),IF(N($J138)&gt;0,N($J138)-N($Q138),"")))</f>
        <v/>
      </c>
      <c r="S138" s="17">
        <f>IF(OR($B138="",$R138=""),"",IF($R138&lt;=0,"CLEARED "&amp;IFERROR(TEXT(_xlfn.MAXIFS(nrMK_Date,nrMK_Link,$B138,nrMK_Credit,"Yes"),"mm/dd"),""),"OPEN"))</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IF(OR($B139="",N($I139)=0),"",SUMIFS(nrMK_Min,nrMK_Link,$B139,nrMK_Credit,"Yes"))</f>
        <v/>
      </c>
      <c r="Q139" s="17">
        <f>IF(OR($B139="",N($J139)=0),"",SUMIFS(nrMK_Sess,nrMK_Link,$B139,nrMK_Credit,"Yes"))</f>
        <v/>
      </c>
      <c r="R139" s="17">
        <f>IF(OR($B139="",$N139&lt;&gt;"Yes"),"",IF(N($I139)&gt;0,N($I139)-N($P139),IF(N($J139)&gt;0,N($J139)-N($Q139),"")))</f>
        <v/>
      </c>
      <c r="S139" s="17">
        <f>IF(OR($B139="",$R139=""),"",IF($R139&lt;=0,"CLEARED "&amp;IFERROR(TEXT(_xlfn.MAXIFS(nrMK_Date,nrMK_Link,$B139,nrMK_Credit,"Yes"),"mm/dd"),""),"OPEN"))</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IF(OR($B140="",N($I140)=0),"",SUMIFS(nrMK_Min,nrMK_Link,$B140,nrMK_Credit,"Yes"))</f>
        <v/>
      </c>
      <c r="Q140" s="17">
        <f>IF(OR($B140="",N($J140)=0),"",SUMIFS(nrMK_Sess,nrMK_Link,$B140,nrMK_Credit,"Yes"))</f>
        <v/>
      </c>
      <c r="R140" s="17">
        <f>IF(OR($B140="",$N140&lt;&gt;"Yes"),"",IF(N($I140)&gt;0,N($I140)-N($P140),IF(N($J140)&gt;0,N($J140)-N($Q140),"")))</f>
        <v/>
      </c>
      <c r="S140" s="17">
        <f>IF(OR($B140="",$R140=""),"",IF($R140&lt;=0,"CLEARED "&amp;IFERROR(TEXT(_xlfn.MAXIFS(nrMK_Date,nrMK_Link,$B140,nrMK_Credit,"Yes"),"mm/dd"),""),"OPEN"))</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IF(OR($B141="",N($I141)=0),"",SUMIFS(nrMK_Min,nrMK_Link,$B141,nrMK_Credit,"Yes"))</f>
        <v/>
      </c>
      <c r="Q141" s="17">
        <f>IF(OR($B141="",N($J141)=0),"",SUMIFS(nrMK_Sess,nrMK_Link,$B141,nrMK_Credit,"Yes"))</f>
        <v/>
      </c>
      <c r="R141" s="17">
        <f>IF(OR($B141="",$N141&lt;&gt;"Yes"),"",IF(N($I141)&gt;0,N($I141)-N($P141),IF(N($J141)&gt;0,N($J141)-N($Q141),"")))</f>
        <v/>
      </c>
      <c r="S141" s="17">
        <f>IF(OR($B141="",$R141=""),"",IF($R141&lt;=0,"CLEARED "&amp;IFERROR(TEXT(_xlfn.MAXIFS(nrMK_Date,nrMK_Link,$B141,nrMK_Credit,"Yes"),"mm/dd"),""),"OPEN"))</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IF(OR($B142="",N($I142)=0),"",SUMIFS(nrMK_Min,nrMK_Link,$B142,nrMK_Credit,"Yes"))</f>
        <v/>
      </c>
      <c r="Q142" s="17">
        <f>IF(OR($B142="",N($J142)=0),"",SUMIFS(nrMK_Sess,nrMK_Link,$B142,nrMK_Credit,"Yes"))</f>
        <v/>
      </c>
      <c r="R142" s="17">
        <f>IF(OR($B142="",$N142&lt;&gt;"Yes"),"",IF(N($I142)&gt;0,N($I142)-N($P142),IF(N($J142)&gt;0,N($J142)-N($Q142),"")))</f>
        <v/>
      </c>
      <c r="S142" s="17">
        <f>IF(OR($B142="",$R142=""),"",IF($R142&lt;=0,"CLEARED "&amp;IFERROR(TEXT(_xlfn.MAXIFS(nrMK_Date,nrMK_Link,$B142,nrMK_Credit,"Yes"),"mm/dd"),""),"OPEN"))</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IF(OR($B143="",N($I143)=0),"",SUMIFS(nrMK_Min,nrMK_Link,$B143,nrMK_Credit,"Yes"))</f>
        <v/>
      </c>
      <c r="Q143" s="17">
        <f>IF(OR($B143="",N($J143)=0),"",SUMIFS(nrMK_Sess,nrMK_Link,$B143,nrMK_Credit,"Yes"))</f>
        <v/>
      </c>
      <c r="R143" s="17">
        <f>IF(OR($B143="",$N143&lt;&gt;"Yes"),"",IF(N($I143)&gt;0,N($I143)-N($P143),IF(N($J143)&gt;0,N($J143)-N($Q143),"")))</f>
        <v/>
      </c>
      <c r="S143" s="17">
        <f>IF(OR($B143="",$R143=""),"",IF($R143&lt;=0,"CLEARED "&amp;IFERROR(TEXT(_xlfn.MAXIFS(nrMK_Date,nrMK_Link,$B143,nrMK_Credit,"Yes"),"mm/dd"),""),"OPEN"))</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IF(OR($B144="",N($I144)=0),"",SUMIFS(nrMK_Min,nrMK_Link,$B144,nrMK_Credit,"Yes"))</f>
        <v/>
      </c>
      <c r="Q144" s="17">
        <f>IF(OR($B144="",N($J144)=0),"",SUMIFS(nrMK_Sess,nrMK_Link,$B144,nrMK_Credit,"Yes"))</f>
        <v/>
      </c>
      <c r="R144" s="17">
        <f>IF(OR($B144="",$N144&lt;&gt;"Yes"),"",IF(N($I144)&gt;0,N($I144)-N($P144),IF(N($J144)&gt;0,N($J144)-N($Q144),"")))</f>
        <v/>
      </c>
      <c r="S144" s="17">
        <f>IF(OR($B144="",$R144=""),"",IF($R144&lt;=0,"CLEARED "&amp;IFERROR(TEXT(_xlfn.MAXIFS(nrMK_Date,nrMK_Link,$B144,nrMK_Credit,"Yes"),"mm/dd"),""),"OPEN"))</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IF(OR($B145="",N($I145)=0),"",SUMIFS(nrMK_Min,nrMK_Link,$B145,nrMK_Credit,"Yes"))</f>
        <v/>
      </c>
      <c r="Q145" s="17">
        <f>IF(OR($B145="",N($J145)=0),"",SUMIFS(nrMK_Sess,nrMK_Link,$B145,nrMK_Credit,"Yes"))</f>
        <v/>
      </c>
      <c r="R145" s="17">
        <f>IF(OR($B145="",$N145&lt;&gt;"Yes"),"",IF(N($I145)&gt;0,N($I145)-N($P145),IF(N($J145)&gt;0,N($J145)-N($Q145),"")))</f>
        <v/>
      </c>
      <c r="S145" s="17">
        <f>IF(OR($B145="",$R145=""),"",IF($R145&lt;=0,"CLEARED "&amp;IFERROR(TEXT(_xlfn.MAXIFS(nrMK_Date,nrMK_Link,$B145,nrMK_Credit,"Yes"),"mm/dd"),""),"OPEN"))</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IF(OR($B146="",N($I146)=0),"",SUMIFS(nrMK_Min,nrMK_Link,$B146,nrMK_Credit,"Yes"))</f>
        <v/>
      </c>
      <c r="Q146" s="17">
        <f>IF(OR($B146="",N($J146)=0),"",SUMIFS(nrMK_Sess,nrMK_Link,$B146,nrMK_Credit,"Yes"))</f>
        <v/>
      </c>
      <c r="R146" s="17">
        <f>IF(OR($B146="",$N146&lt;&gt;"Yes"),"",IF(N($I146)&gt;0,N($I146)-N($P146),IF(N($J146)&gt;0,N($J146)-N($Q146),"")))</f>
        <v/>
      </c>
      <c r="S146" s="17">
        <f>IF(OR($B146="",$R146=""),"",IF($R146&lt;=0,"CLEARED "&amp;IFERROR(TEXT(_xlfn.MAXIFS(nrMK_Date,nrMK_Link,$B146,nrMK_Credit,"Yes"),"mm/dd"),""),"OPEN"))</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IF(OR($B147="",N($I147)=0),"",SUMIFS(nrMK_Min,nrMK_Link,$B147,nrMK_Credit,"Yes"))</f>
        <v/>
      </c>
      <c r="Q147" s="17">
        <f>IF(OR($B147="",N($J147)=0),"",SUMIFS(nrMK_Sess,nrMK_Link,$B147,nrMK_Credit,"Yes"))</f>
        <v/>
      </c>
      <c r="R147" s="17">
        <f>IF(OR($B147="",$N147&lt;&gt;"Yes"),"",IF(N($I147)&gt;0,N($I147)-N($P147),IF(N($J147)&gt;0,N($J147)-N($Q147),"")))</f>
        <v/>
      </c>
      <c r="S147" s="17">
        <f>IF(OR($B147="",$R147=""),"",IF($R147&lt;=0,"CLEARED "&amp;IFERROR(TEXT(_xlfn.MAXIFS(nrMK_Date,nrMK_Link,$B147,nrMK_Credit,"Yes"),"mm/dd"),""),"OPEN"))</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IF(OR($B148="",N($I148)=0),"",SUMIFS(nrMK_Min,nrMK_Link,$B148,nrMK_Credit,"Yes"))</f>
        <v/>
      </c>
      <c r="Q148" s="17">
        <f>IF(OR($B148="",N($J148)=0),"",SUMIFS(nrMK_Sess,nrMK_Link,$B148,nrMK_Credit,"Yes"))</f>
        <v/>
      </c>
      <c r="R148" s="17">
        <f>IF(OR($B148="",$N148&lt;&gt;"Yes"),"",IF(N($I148)&gt;0,N($I148)-N($P148),IF(N($J148)&gt;0,N($J148)-N($Q148),"")))</f>
        <v/>
      </c>
      <c r="S148" s="17">
        <f>IF(OR($B148="",$R148=""),"",IF($R148&lt;=0,"CLEARED "&amp;IFERROR(TEXT(_xlfn.MAXIFS(nrMK_Date,nrMK_Link,$B148,nrMK_Credit,"Yes"),"mm/dd"),""),"OPEN"))</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IF(OR($B149="",N($I149)=0),"",SUMIFS(nrMK_Min,nrMK_Link,$B149,nrMK_Credit,"Yes"))</f>
        <v/>
      </c>
      <c r="Q149" s="17">
        <f>IF(OR($B149="",N($J149)=0),"",SUMIFS(nrMK_Sess,nrMK_Link,$B149,nrMK_Credit,"Yes"))</f>
        <v/>
      </c>
      <c r="R149" s="17">
        <f>IF(OR($B149="",$N149&lt;&gt;"Yes"),"",IF(N($I149)&gt;0,N($I149)-N($P149),IF(N($J149)&gt;0,N($J149)-N($Q149),"")))</f>
        <v/>
      </c>
      <c r="S149" s="17">
        <f>IF(OR($B149="",$R149=""),"",IF($R149&lt;=0,"CLEARED "&amp;IFERROR(TEXT(_xlfn.MAXIFS(nrMK_Date,nrMK_Link,$B149,nrMK_Credit,"Yes"),"mm/dd"),""),"OPEN"))</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IF(OR($B150="",N($I150)=0),"",SUMIFS(nrMK_Min,nrMK_Link,$B150,nrMK_Credit,"Yes"))</f>
        <v/>
      </c>
      <c r="Q150" s="17">
        <f>IF(OR($B150="",N($J150)=0),"",SUMIFS(nrMK_Sess,nrMK_Link,$B150,nrMK_Credit,"Yes"))</f>
        <v/>
      </c>
      <c r="R150" s="17">
        <f>IF(OR($B150="",$N150&lt;&gt;"Yes"),"",IF(N($I150)&gt;0,N($I150)-N($P150),IF(N($J150)&gt;0,N($J150)-N($Q150),"")))</f>
        <v/>
      </c>
      <c r="S150" s="17">
        <f>IF(OR($B150="",$R150=""),"",IF($R150&lt;=0,"CLEARED "&amp;IFERROR(TEXT(_xlfn.MAXIFS(nrMK_Date,nrMK_Link,$B150,nrMK_Credit,"Yes"),"mm/dd"),""),"OPEN"))</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IF(OR($B151="",N($I151)=0),"",SUMIFS(nrMK_Min,nrMK_Link,$B151,nrMK_Credit,"Yes"))</f>
        <v/>
      </c>
      <c r="Q151" s="17">
        <f>IF(OR($B151="",N($J151)=0),"",SUMIFS(nrMK_Sess,nrMK_Link,$B151,nrMK_Credit,"Yes"))</f>
        <v/>
      </c>
      <c r="R151" s="17">
        <f>IF(OR($B151="",$N151&lt;&gt;"Yes"),"",IF(N($I151)&gt;0,N($I151)-N($P151),IF(N($J151)&gt;0,N($J151)-N($Q151),"")))</f>
        <v/>
      </c>
      <c r="S151" s="17">
        <f>IF(OR($B151="",$R151=""),"",IF($R151&lt;=0,"CLEARED "&amp;IFERROR(TEXT(_xlfn.MAXIFS(nrMK_Date,nrMK_Link,$B151,nrMK_Credit,"Yes"),"mm/dd"),""),"OPEN"))</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IF(OR($B152="",N($I152)=0),"",SUMIFS(nrMK_Min,nrMK_Link,$B152,nrMK_Credit,"Yes"))</f>
        <v/>
      </c>
      <c r="Q152" s="17">
        <f>IF(OR($B152="",N($J152)=0),"",SUMIFS(nrMK_Sess,nrMK_Link,$B152,nrMK_Credit,"Yes"))</f>
        <v/>
      </c>
      <c r="R152" s="17">
        <f>IF(OR($B152="",$N152&lt;&gt;"Yes"),"",IF(N($I152)&gt;0,N($I152)-N($P152),IF(N($J152)&gt;0,N($J152)-N($Q152),"")))</f>
        <v/>
      </c>
      <c r="S152" s="17">
        <f>IF(OR($B152="",$R152=""),"",IF($R152&lt;=0,"CLEARED "&amp;IFERROR(TEXT(_xlfn.MAXIFS(nrMK_Date,nrMK_Link,$B152,nrMK_Credit,"Yes"),"mm/dd"),""),"OPEN"))</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IF(OR($B153="",N($I153)=0),"",SUMIFS(nrMK_Min,nrMK_Link,$B153,nrMK_Credit,"Yes"))</f>
        <v/>
      </c>
      <c r="Q153" s="17">
        <f>IF(OR($B153="",N($J153)=0),"",SUMIFS(nrMK_Sess,nrMK_Link,$B153,nrMK_Credit,"Yes"))</f>
        <v/>
      </c>
      <c r="R153" s="17">
        <f>IF(OR($B153="",$N153&lt;&gt;"Yes"),"",IF(N($I153)&gt;0,N($I153)-N($P153),IF(N($J153)&gt;0,N($J153)-N($Q153),"")))</f>
        <v/>
      </c>
      <c r="S153" s="17">
        <f>IF(OR($B153="",$R153=""),"",IF($R153&lt;=0,"CLEARED "&amp;IFERROR(TEXT(_xlfn.MAXIFS(nrMK_Date,nrMK_Link,$B153,nrMK_Credit,"Yes"),"mm/dd"),""),"OPEN"))</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IF(OR($B154="",N($I154)=0),"",SUMIFS(nrMK_Min,nrMK_Link,$B154,nrMK_Credit,"Yes"))</f>
        <v/>
      </c>
      <c r="Q154" s="17">
        <f>IF(OR($B154="",N($J154)=0),"",SUMIFS(nrMK_Sess,nrMK_Link,$B154,nrMK_Credit,"Yes"))</f>
        <v/>
      </c>
      <c r="R154" s="17">
        <f>IF(OR($B154="",$N154&lt;&gt;"Yes"),"",IF(N($I154)&gt;0,N($I154)-N($P154),IF(N($J154)&gt;0,N($J154)-N($Q154),"")))</f>
        <v/>
      </c>
      <c r="S154" s="17">
        <f>IF(OR($B154="",$R154=""),"",IF($R154&lt;=0,"CLEARED "&amp;IFERROR(TEXT(_xlfn.MAXIFS(nrMK_Date,nrMK_Link,$B154,nrMK_Credit,"Yes"),"mm/dd"),""),"OPEN"))</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IF(OR($B155="",N($I155)=0),"",SUMIFS(nrMK_Min,nrMK_Link,$B155,nrMK_Credit,"Yes"))</f>
        <v/>
      </c>
      <c r="Q155" s="17">
        <f>IF(OR($B155="",N($J155)=0),"",SUMIFS(nrMK_Sess,nrMK_Link,$B155,nrMK_Credit,"Yes"))</f>
        <v/>
      </c>
      <c r="R155" s="17">
        <f>IF(OR($B155="",$N155&lt;&gt;"Yes"),"",IF(N($I155)&gt;0,N($I155)-N($P155),IF(N($J155)&gt;0,N($J155)-N($Q155),"")))</f>
        <v/>
      </c>
      <c r="S155" s="17">
        <f>IF(OR($B155="",$R155=""),"",IF($R155&lt;=0,"CLEARED "&amp;IFERROR(TEXT(_xlfn.MAXIFS(nrMK_Date,nrMK_Link,$B155,nrMK_Credit,"Yes"),"mm/dd"),""),"OPEN"))</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IF(OR($B156="",N($I156)=0),"",SUMIFS(nrMK_Min,nrMK_Link,$B156,nrMK_Credit,"Yes"))</f>
        <v/>
      </c>
      <c r="Q156" s="17">
        <f>IF(OR($B156="",N($J156)=0),"",SUMIFS(nrMK_Sess,nrMK_Link,$B156,nrMK_Credit,"Yes"))</f>
        <v/>
      </c>
      <c r="R156" s="17">
        <f>IF(OR($B156="",$N156&lt;&gt;"Yes"),"",IF(N($I156)&gt;0,N($I156)-N($P156),IF(N($J156)&gt;0,N($J156)-N($Q156),"")))</f>
        <v/>
      </c>
      <c r="S156" s="17">
        <f>IF(OR($B156="",$R156=""),"",IF($R156&lt;=0,"CLEARED "&amp;IFERROR(TEXT(_xlfn.MAXIFS(nrMK_Date,nrMK_Link,$B156,nrMK_Credit,"Yes"),"mm/dd"),""),"OPEN"))</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IF(OR($B157="",N($I157)=0),"",SUMIFS(nrMK_Min,nrMK_Link,$B157,nrMK_Credit,"Yes"))</f>
        <v/>
      </c>
      <c r="Q157" s="17">
        <f>IF(OR($B157="",N($J157)=0),"",SUMIFS(nrMK_Sess,nrMK_Link,$B157,nrMK_Credit,"Yes"))</f>
        <v/>
      </c>
      <c r="R157" s="17">
        <f>IF(OR($B157="",$N157&lt;&gt;"Yes"),"",IF(N($I157)&gt;0,N($I157)-N($P157),IF(N($J157)&gt;0,N($J157)-N($Q157),"")))</f>
        <v/>
      </c>
      <c r="S157" s="17">
        <f>IF(OR($B157="",$R157=""),"",IF($R157&lt;=0,"CLEARED "&amp;IFERROR(TEXT(_xlfn.MAXIFS(nrMK_Date,nrMK_Link,$B157,nrMK_Credit,"Yes"),"mm/dd"),""),"OPEN"))</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IF(OR($B158="",N($I158)=0),"",SUMIFS(nrMK_Min,nrMK_Link,$B158,nrMK_Credit,"Yes"))</f>
        <v/>
      </c>
      <c r="Q158" s="17">
        <f>IF(OR($B158="",N($J158)=0),"",SUMIFS(nrMK_Sess,nrMK_Link,$B158,nrMK_Credit,"Yes"))</f>
        <v/>
      </c>
      <c r="R158" s="17">
        <f>IF(OR($B158="",$N158&lt;&gt;"Yes"),"",IF(N($I158)&gt;0,N($I158)-N($P158),IF(N($J158)&gt;0,N($J158)-N($Q158),"")))</f>
        <v/>
      </c>
      <c r="S158" s="17">
        <f>IF(OR($B158="",$R158=""),"",IF($R158&lt;=0,"CLEARED "&amp;IFERROR(TEXT(_xlfn.MAXIFS(nrMK_Date,nrMK_Link,$B158,nrMK_Credit,"Yes"),"mm/dd"),""),"OPEN"))</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IF(OR($B159="",N($I159)=0),"",SUMIFS(nrMK_Min,nrMK_Link,$B159,nrMK_Credit,"Yes"))</f>
        <v/>
      </c>
      <c r="Q159" s="17">
        <f>IF(OR($B159="",N($J159)=0),"",SUMIFS(nrMK_Sess,nrMK_Link,$B159,nrMK_Credit,"Yes"))</f>
        <v/>
      </c>
      <c r="R159" s="17">
        <f>IF(OR($B159="",$N159&lt;&gt;"Yes"),"",IF(N($I159)&gt;0,N($I159)-N($P159),IF(N($J159)&gt;0,N($J159)-N($Q159),"")))</f>
        <v/>
      </c>
      <c r="S159" s="17">
        <f>IF(OR($B159="",$R159=""),"",IF($R159&lt;=0,"CLEARED "&amp;IFERROR(TEXT(_xlfn.MAXIFS(nrMK_Date,nrMK_Link,$B159,nrMK_Credit,"Yes"),"mm/dd"),""),"OPEN"))</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IF(OR($B160="",N($I160)=0),"",SUMIFS(nrMK_Min,nrMK_Link,$B160,nrMK_Credit,"Yes"))</f>
        <v/>
      </c>
      <c r="Q160" s="17">
        <f>IF(OR($B160="",N($J160)=0),"",SUMIFS(nrMK_Sess,nrMK_Link,$B160,nrMK_Credit,"Yes"))</f>
        <v/>
      </c>
      <c r="R160" s="17">
        <f>IF(OR($B160="",$N160&lt;&gt;"Yes"),"",IF(N($I160)&gt;0,N($I160)-N($P160),IF(N($J160)&gt;0,N($J160)-N($Q160),"")))</f>
        <v/>
      </c>
      <c r="S160" s="17">
        <f>IF(OR($B160="",$R160=""),"",IF($R160&lt;=0,"CLEARED "&amp;IFERROR(TEXT(_xlfn.MAXIFS(nrMK_Date,nrMK_Link,$B160,nrMK_Credit,"Yes"),"mm/dd"),""),"OPEN"))</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IF(OR($B161="",N($I161)=0),"",SUMIFS(nrMK_Min,nrMK_Link,$B161,nrMK_Credit,"Yes"))</f>
        <v/>
      </c>
      <c r="Q161" s="17">
        <f>IF(OR($B161="",N($J161)=0),"",SUMIFS(nrMK_Sess,nrMK_Link,$B161,nrMK_Credit,"Yes"))</f>
        <v/>
      </c>
      <c r="R161" s="17">
        <f>IF(OR($B161="",$N161&lt;&gt;"Yes"),"",IF(N($I161)&gt;0,N($I161)-N($P161),IF(N($J161)&gt;0,N($J161)-N($Q161),"")))</f>
        <v/>
      </c>
      <c r="S161" s="17">
        <f>IF(OR($B161="",$R161=""),"",IF($R161&lt;=0,"CLEARED "&amp;IFERROR(TEXT(_xlfn.MAXIFS(nrMK_Date,nrMK_Link,$B161,nrMK_Credit,"Yes"),"mm/dd"),""),"OPEN"))</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IF(OR($B162="",N($I162)=0),"",SUMIFS(nrMK_Min,nrMK_Link,$B162,nrMK_Credit,"Yes"))</f>
        <v/>
      </c>
      <c r="Q162" s="17">
        <f>IF(OR($B162="",N($J162)=0),"",SUMIFS(nrMK_Sess,nrMK_Link,$B162,nrMK_Credit,"Yes"))</f>
        <v/>
      </c>
      <c r="R162" s="17">
        <f>IF(OR($B162="",$N162&lt;&gt;"Yes"),"",IF(N($I162)&gt;0,N($I162)-N($P162),IF(N($J162)&gt;0,N($J162)-N($Q162),"")))</f>
        <v/>
      </c>
      <c r="S162" s="17">
        <f>IF(OR($B162="",$R162=""),"",IF($R162&lt;=0,"CLEARED "&amp;IFERROR(TEXT(_xlfn.MAXIFS(nrMK_Date,nrMK_Link,$B162,nrMK_Credit,"Yes"),"mm/dd"),""),"OPEN"))</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IF(OR($B163="",N($I163)=0),"",SUMIFS(nrMK_Min,nrMK_Link,$B163,nrMK_Credit,"Yes"))</f>
        <v/>
      </c>
      <c r="Q163" s="17">
        <f>IF(OR($B163="",N($J163)=0),"",SUMIFS(nrMK_Sess,nrMK_Link,$B163,nrMK_Credit,"Yes"))</f>
        <v/>
      </c>
      <c r="R163" s="17">
        <f>IF(OR($B163="",$N163&lt;&gt;"Yes"),"",IF(N($I163)&gt;0,N($I163)-N($P163),IF(N($J163)&gt;0,N($J163)-N($Q163),"")))</f>
        <v/>
      </c>
      <c r="S163" s="17">
        <f>IF(OR($B163="",$R163=""),"",IF($R163&lt;=0,"CLEARED "&amp;IFERROR(TEXT(_xlfn.MAXIFS(nrMK_Date,nrMK_Link,$B163,nrMK_Credit,"Yes"),"mm/dd"),""),"OPEN"))</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IF(OR($B164="",N($I164)=0),"",SUMIFS(nrMK_Min,nrMK_Link,$B164,nrMK_Credit,"Yes"))</f>
        <v/>
      </c>
      <c r="Q164" s="17">
        <f>IF(OR($B164="",N($J164)=0),"",SUMIFS(nrMK_Sess,nrMK_Link,$B164,nrMK_Credit,"Yes"))</f>
        <v/>
      </c>
      <c r="R164" s="17">
        <f>IF(OR($B164="",$N164&lt;&gt;"Yes"),"",IF(N($I164)&gt;0,N($I164)-N($P164),IF(N($J164)&gt;0,N($J164)-N($Q164),"")))</f>
        <v/>
      </c>
      <c r="S164" s="17">
        <f>IF(OR($B164="",$R164=""),"",IF($R164&lt;=0,"CLEARED "&amp;IFERROR(TEXT(_xlfn.MAXIFS(nrMK_Date,nrMK_Link,$B164,nrMK_Credit,"Yes"),"mm/dd"),""),"OPEN"))</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IF(OR($B165="",N($I165)=0),"",SUMIFS(nrMK_Min,nrMK_Link,$B165,nrMK_Credit,"Yes"))</f>
        <v/>
      </c>
      <c r="Q165" s="17">
        <f>IF(OR($B165="",N($J165)=0),"",SUMIFS(nrMK_Sess,nrMK_Link,$B165,nrMK_Credit,"Yes"))</f>
        <v/>
      </c>
      <c r="R165" s="17">
        <f>IF(OR($B165="",$N165&lt;&gt;"Yes"),"",IF(N($I165)&gt;0,N($I165)-N($P165),IF(N($J165)&gt;0,N($J165)-N($Q165),"")))</f>
        <v/>
      </c>
      <c r="S165" s="17">
        <f>IF(OR($B165="",$R165=""),"",IF($R165&lt;=0,"CLEARED "&amp;IFERROR(TEXT(_xlfn.MAXIFS(nrMK_Date,nrMK_Link,$B165,nrMK_Credit,"Yes"),"mm/dd"),""),"OPEN"))</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IF(OR($B166="",N($I166)=0),"",SUMIFS(nrMK_Min,nrMK_Link,$B166,nrMK_Credit,"Yes"))</f>
        <v/>
      </c>
      <c r="Q166" s="17">
        <f>IF(OR($B166="",N($J166)=0),"",SUMIFS(nrMK_Sess,nrMK_Link,$B166,nrMK_Credit,"Yes"))</f>
        <v/>
      </c>
      <c r="R166" s="17">
        <f>IF(OR($B166="",$N166&lt;&gt;"Yes"),"",IF(N($I166)&gt;0,N($I166)-N($P166),IF(N($J166)&gt;0,N($J166)-N($Q166),"")))</f>
        <v/>
      </c>
      <c r="S166" s="17">
        <f>IF(OR($B166="",$R166=""),"",IF($R166&lt;=0,"CLEARED "&amp;IFERROR(TEXT(_xlfn.MAXIFS(nrMK_Date,nrMK_Link,$B166,nrMK_Credit,"Yes"),"mm/dd"),""),"OPEN"))</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IF(OR($B167="",N($I167)=0),"",SUMIFS(nrMK_Min,nrMK_Link,$B167,nrMK_Credit,"Yes"))</f>
        <v/>
      </c>
      <c r="Q167" s="17">
        <f>IF(OR($B167="",N($J167)=0),"",SUMIFS(nrMK_Sess,nrMK_Link,$B167,nrMK_Credit,"Yes"))</f>
        <v/>
      </c>
      <c r="R167" s="17">
        <f>IF(OR($B167="",$N167&lt;&gt;"Yes"),"",IF(N($I167)&gt;0,N($I167)-N($P167),IF(N($J167)&gt;0,N($J167)-N($Q167),"")))</f>
        <v/>
      </c>
      <c r="S167" s="17">
        <f>IF(OR($B167="",$R167=""),"",IF($R167&lt;=0,"CLEARED "&amp;IFERROR(TEXT(_xlfn.MAXIFS(nrMK_Date,nrMK_Link,$B167,nrMK_Credit,"Yes"),"mm/dd"),""),"OPEN"))</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IF(OR($B168="",N($I168)=0),"",SUMIFS(nrMK_Min,nrMK_Link,$B168,nrMK_Credit,"Yes"))</f>
        <v/>
      </c>
      <c r="Q168" s="17">
        <f>IF(OR($B168="",N($J168)=0),"",SUMIFS(nrMK_Sess,nrMK_Link,$B168,nrMK_Credit,"Yes"))</f>
        <v/>
      </c>
      <c r="R168" s="17">
        <f>IF(OR($B168="",$N168&lt;&gt;"Yes"),"",IF(N($I168)&gt;0,N($I168)-N($P168),IF(N($J168)&gt;0,N($J168)-N($Q168),"")))</f>
        <v/>
      </c>
      <c r="S168" s="17">
        <f>IF(OR($B168="",$R168=""),"",IF($R168&lt;=0,"CLEARED "&amp;IFERROR(TEXT(_xlfn.MAXIFS(nrMK_Date,nrMK_Link,$B168,nrMK_Credit,"Yes"),"mm/dd"),""),"OPEN"))</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IF(OR($B169="",N($I169)=0),"",SUMIFS(nrMK_Min,nrMK_Link,$B169,nrMK_Credit,"Yes"))</f>
        <v/>
      </c>
      <c r="Q169" s="17">
        <f>IF(OR($B169="",N($J169)=0),"",SUMIFS(nrMK_Sess,nrMK_Link,$B169,nrMK_Credit,"Yes"))</f>
        <v/>
      </c>
      <c r="R169" s="17">
        <f>IF(OR($B169="",$N169&lt;&gt;"Yes"),"",IF(N($I169)&gt;0,N($I169)-N($P169),IF(N($J169)&gt;0,N($J169)-N($Q169),"")))</f>
        <v/>
      </c>
      <c r="S169" s="17">
        <f>IF(OR($B169="",$R169=""),"",IF($R169&lt;=0,"CLEARED "&amp;IFERROR(TEXT(_xlfn.MAXIFS(nrMK_Date,nrMK_Link,$B169,nrMK_Credit,"Yes"),"mm/dd"),""),"OPEN"))</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IF(OR($B170="",N($I170)=0),"",SUMIFS(nrMK_Min,nrMK_Link,$B170,nrMK_Credit,"Yes"))</f>
        <v/>
      </c>
      <c r="Q170" s="17">
        <f>IF(OR($B170="",N($J170)=0),"",SUMIFS(nrMK_Sess,nrMK_Link,$B170,nrMK_Credit,"Yes"))</f>
        <v/>
      </c>
      <c r="R170" s="17">
        <f>IF(OR($B170="",$N170&lt;&gt;"Yes"),"",IF(N($I170)&gt;0,N($I170)-N($P170),IF(N($J170)&gt;0,N($J170)-N($Q170),"")))</f>
        <v/>
      </c>
      <c r="S170" s="17">
        <f>IF(OR($B170="",$R170=""),"",IF($R170&lt;=0,"CLEARED "&amp;IFERROR(TEXT(_xlfn.MAXIFS(nrMK_Date,nrMK_Link,$B170,nrMK_Credit,"Yes"),"mm/dd"),""),"OPEN"))</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IF(OR($B171="",N($I171)=0),"",SUMIFS(nrMK_Min,nrMK_Link,$B171,nrMK_Credit,"Yes"))</f>
        <v/>
      </c>
      <c r="Q171" s="17">
        <f>IF(OR($B171="",N($J171)=0),"",SUMIFS(nrMK_Sess,nrMK_Link,$B171,nrMK_Credit,"Yes"))</f>
        <v/>
      </c>
      <c r="R171" s="17">
        <f>IF(OR($B171="",$N171&lt;&gt;"Yes"),"",IF(N($I171)&gt;0,N($I171)-N($P171),IF(N($J171)&gt;0,N($J171)-N($Q171),"")))</f>
        <v/>
      </c>
      <c r="S171" s="17">
        <f>IF(OR($B171="",$R171=""),"",IF($R171&lt;=0,"CLEARED "&amp;IFERROR(TEXT(_xlfn.MAXIFS(nrMK_Date,nrMK_Link,$B171,nrMK_Credit,"Yes"),"mm/dd"),""),"OPEN"))</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IF(OR($B172="",N($I172)=0),"",SUMIFS(nrMK_Min,nrMK_Link,$B172,nrMK_Credit,"Yes"))</f>
        <v/>
      </c>
      <c r="Q172" s="17">
        <f>IF(OR($B172="",N($J172)=0),"",SUMIFS(nrMK_Sess,nrMK_Link,$B172,nrMK_Credit,"Yes"))</f>
        <v/>
      </c>
      <c r="R172" s="17">
        <f>IF(OR($B172="",$N172&lt;&gt;"Yes"),"",IF(N($I172)&gt;0,N($I172)-N($P172),IF(N($J172)&gt;0,N($J172)-N($Q172),"")))</f>
        <v/>
      </c>
      <c r="S172" s="17">
        <f>IF(OR($B172="",$R172=""),"",IF($R172&lt;=0,"CLEARED "&amp;IFERROR(TEXT(_xlfn.MAXIFS(nrMK_Date,nrMK_Link,$B172,nrMK_Credit,"Yes"),"mm/dd"),""),"OPEN"))</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IF(OR($B173="",N($I173)=0),"",SUMIFS(nrMK_Min,nrMK_Link,$B173,nrMK_Credit,"Yes"))</f>
        <v/>
      </c>
      <c r="Q173" s="17">
        <f>IF(OR($B173="",N($J173)=0),"",SUMIFS(nrMK_Sess,nrMK_Link,$B173,nrMK_Credit,"Yes"))</f>
        <v/>
      </c>
      <c r="R173" s="17">
        <f>IF(OR($B173="",$N173&lt;&gt;"Yes"),"",IF(N($I173)&gt;0,N($I173)-N($P173),IF(N($J173)&gt;0,N($J173)-N($Q173),"")))</f>
        <v/>
      </c>
      <c r="S173" s="17">
        <f>IF(OR($B173="",$R173=""),"",IF($R173&lt;=0,"CLEARED "&amp;IFERROR(TEXT(_xlfn.MAXIFS(nrMK_Date,nrMK_Link,$B173,nrMK_Credit,"Yes"),"mm/dd"),""),"OPEN"))</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IF(OR($B174="",N($I174)=0),"",SUMIFS(nrMK_Min,nrMK_Link,$B174,nrMK_Credit,"Yes"))</f>
        <v/>
      </c>
      <c r="Q174" s="17">
        <f>IF(OR($B174="",N($J174)=0),"",SUMIFS(nrMK_Sess,nrMK_Link,$B174,nrMK_Credit,"Yes"))</f>
        <v/>
      </c>
      <c r="R174" s="17">
        <f>IF(OR($B174="",$N174&lt;&gt;"Yes"),"",IF(N($I174)&gt;0,N($I174)-N($P174),IF(N($J174)&gt;0,N($J174)-N($Q174),"")))</f>
        <v/>
      </c>
      <c r="S174" s="17">
        <f>IF(OR($B174="",$R174=""),"",IF($R174&lt;=0,"CLEARED "&amp;IFERROR(TEXT(_xlfn.MAXIFS(nrMK_Date,nrMK_Link,$B174,nrMK_Credit,"Yes"),"mm/dd"),""),"OPEN"))</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IF(OR($B175="",N($I175)=0),"",SUMIFS(nrMK_Min,nrMK_Link,$B175,nrMK_Credit,"Yes"))</f>
        <v/>
      </c>
      <c r="Q175" s="17">
        <f>IF(OR($B175="",N($J175)=0),"",SUMIFS(nrMK_Sess,nrMK_Link,$B175,nrMK_Credit,"Yes"))</f>
        <v/>
      </c>
      <c r="R175" s="17">
        <f>IF(OR($B175="",$N175&lt;&gt;"Yes"),"",IF(N($I175)&gt;0,N($I175)-N($P175),IF(N($J175)&gt;0,N($J175)-N($Q175),"")))</f>
        <v/>
      </c>
      <c r="S175" s="17">
        <f>IF(OR($B175="",$R175=""),"",IF($R175&lt;=0,"CLEARED "&amp;IFERROR(TEXT(_xlfn.MAXIFS(nrMK_Date,nrMK_Link,$B175,nrMK_Credit,"Yes"),"mm/dd"),""),"OPEN"))</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IF(OR($B176="",N($I176)=0),"",SUMIFS(nrMK_Min,nrMK_Link,$B176,nrMK_Credit,"Yes"))</f>
        <v/>
      </c>
      <c r="Q176" s="17">
        <f>IF(OR($B176="",N($J176)=0),"",SUMIFS(nrMK_Sess,nrMK_Link,$B176,nrMK_Credit,"Yes"))</f>
        <v/>
      </c>
      <c r="R176" s="17">
        <f>IF(OR($B176="",$N176&lt;&gt;"Yes"),"",IF(N($I176)&gt;0,N($I176)-N($P176),IF(N($J176)&gt;0,N($J176)-N($Q176),"")))</f>
        <v/>
      </c>
      <c r="S176" s="17">
        <f>IF(OR($B176="",$R176=""),"",IF($R176&lt;=0,"CLEARED "&amp;IFERROR(TEXT(_xlfn.MAXIFS(nrMK_Date,nrMK_Link,$B176,nrMK_Credit,"Yes"),"mm/dd"),""),"OPEN"))</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IF(OR($B177="",N($I177)=0),"",SUMIFS(nrMK_Min,nrMK_Link,$B177,nrMK_Credit,"Yes"))</f>
        <v/>
      </c>
      <c r="Q177" s="17">
        <f>IF(OR($B177="",N($J177)=0),"",SUMIFS(nrMK_Sess,nrMK_Link,$B177,nrMK_Credit,"Yes"))</f>
        <v/>
      </c>
      <c r="R177" s="17">
        <f>IF(OR($B177="",$N177&lt;&gt;"Yes"),"",IF(N($I177)&gt;0,N($I177)-N($P177),IF(N($J177)&gt;0,N($J177)-N($Q177),"")))</f>
        <v/>
      </c>
      <c r="S177" s="17">
        <f>IF(OR($B177="",$R177=""),"",IF($R177&lt;=0,"CLEARED "&amp;IFERROR(TEXT(_xlfn.MAXIFS(nrMK_Date,nrMK_Link,$B177,nrMK_Credit,"Yes"),"mm/dd"),""),"OPEN"))</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IF(OR($B178="",N($I178)=0),"",SUMIFS(nrMK_Min,nrMK_Link,$B178,nrMK_Credit,"Yes"))</f>
        <v/>
      </c>
      <c r="Q178" s="17">
        <f>IF(OR($B178="",N($J178)=0),"",SUMIFS(nrMK_Sess,nrMK_Link,$B178,nrMK_Credit,"Yes"))</f>
        <v/>
      </c>
      <c r="R178" s="17">
        <f>IF(OR($B178="",$N178&lt;&gt;"Yes"),"",IF(N($I178)&gt;0,N($I178)-N($P178),IF(N($J178)&gt;0,N($J178)-N($Q178),"")))</f>
        <v/>
      </c>
      <c r="S178" s="17">
        <f>IF(OR($B178="",$R178=""),"",IF($R178&lt;=0,"CLEARED "&amp;IFERROR(TEXT(_xlfn.MAXIFS(nrMK_Date,nrMK_Link,$B178,nrMK_Credit,"Yes"),"mm/dd"),""),"OPEN"))</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IF(OR($B179="",N($I179)=0),"",SUMIFS(nrMK_Min,nrMK_Link,$B179,nrMK_Credit,"Yes"))</f>
        <v/>
      </c>
      <c r="Q179" s="17">
        <f>IF(OR($B179="",N($J179)=0),"",SUMIFS(nrMK_Sess,nrMK_Link,$B179,nrMK_Credit,"Yes"))</f>
        <v/>
      </c>
      <c r="R179" s="17">
        <f>IF(OR($B179="",$N179&lt;&gt;"Yes"),"",IF(N($I179)&gt;0,N($I179)-N($P179),IF(N($J179)&gt;0,N($J179)-N($Q179),"")))</f>
        <v/>
      </c>
      <c r="S179" s="17">
        <f>IF(OR($B179="",$R179=""),"",IF($R179&lt;=0,"CLEARED "&amp;IFERROR(TEXT(_xlfn.MAXIFS(nrMK_Date,nrMK_Link,$B179,nrMK_Credit,"Yes"),"mm/dd"),""),"OPEN"))</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IF(OR($B180="",N($I180)=0),"",SUMIFS(nrMK_Min,nrMK_Link,$B180,nrMK_Credit,"Yes"))</f>
        <v/>
      </c>
      <c r="Q180" s="17">
        <f>IF(OR($B180="",N($J180)=0),"",SUMIFS(nrMK_Sess,nrMK_Link,$B180,nrMK_Credit,"Yes"))</f>
        <v/>
      </c>
      <c r="R180" s="17">
        <f>IF(OR($B180="",$N180&lt;&gt;"Yes"),"",IF(N($I180)&gt;0,N($I180)-N($P180),IF(N($J180)&gt;0,N($J180)-N($Q180),"")))</f>
        <v/>
      </c>
      <c r="S180" s="17">
        <f>IF(OR($B180="",$R180=""),"",IF($R180&lt;=0,"CLEARED "&amp;IFERROR(TEXT(_xlfn.MAXIFS(nrMK_Date,nrMK_Link,$B180,nrMK_Credit,"Yes"),"mm/dd"),""),"OPEN"))</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IF(OR($B181="",N($I181)=0),"",SUMIFS(nrMK_Min,nrMK_Link,$B181,nrMK_Credit,"Yes"))</f>
        <v/>
      </c>
      <c r="Q181" s="17">
        <f>IF(OR($B181="",N($J181)=0),"",SUMIFS(nrMK_Sess,nrMK_Link,$B181,nrMK_Credit,"Yes"))</f>
        <v/>
      </c>
      <c r="R181" s="17">
        <f>IF(OR($B181="",$N181&lt;&gt;"Yes"),"",IF(N($I181)&gt;0,N($I181)-N($P181),IF(N($J181)&gt;0,N($J181)-N($Q181),"")))</f>
        <v/>
      </c>
      <c r="S181" s="17">
        <f>IF(OR($B181="",$R181=""),"",IF($R181&lt;=0,"CLEARED "&amp;IFERROR(TEXT(_xlfn.MAXIFS(nrMK_Date,nrMK_Link,$B181,nrMK_Credit,"Yes"),"mm/dd"),""),"OPEN"))</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IF(OR($B182="",N($I182)=0),"",SUMIFS(nrMK_Min,nrMK_Link,$B182,nrMK_Credit,"Yes"))</f>
        <v/>
      </c>
      <c r="Q182" s="17">
        <f>IF(OR($B182="",N($J182)=0),"",SUMIFS(nrMK_Sess,nrMK_Link,$B182,nrMK_Credit,"Yes"))</f>
        <v/>
      </c>
      <c r="R182" s="17">
        <f>IF(OR($B182="",$N182&lt;&gt;"Yes"),"",IF(N($I182)&gt;0,N($I182)-N($P182),IF(N($J182)&gt;0,N($J182)-N($Q182),"")))</f>
        <v/>
      </c>
      <c r="S182" s="17">
        <f>IF(OR($B182="",$R182=""),"",IF($R182&lt;=0,"CLEARED "&amp;IFERROR(TEXT(_xlfn.MAXIFS(nrMK_Date,nrMK_Link,$B182,nrMK_Credit,"Yes"),"mm/dd"),""),"OPEN"))</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IF(OR($B183="",N($I183)=0),"",SUMIFS(nrMK_Min,nrMK_Link,$B183,nrMK_Credit,"Yes"))</f>
        <v/>
      </c>
      <c r="Q183" s="17">
        <f>IF(OR($B183="",N($J183)=0),"",SUMIFS(nrMK_Sess,nrMK_Link,$B183,nrMK_Credit,"Yes"))</f>
        <v/>
      </c>
      <c r="R183" s="17">
        <f>IF(OR($B183="",$N183&lt;&gt;"Yes"),"",IF(N($I183)&gt;0,N($I183)-N($P183),IF(N($J183)&gt;0,N($J183)-N($Q183),"")))</f>
        <v/>
      </c>
      <c r="S183" s="17">
        <f>IF(OR($B183="",$R183=""),"",IF($R183&lt;=0,"CLEARED "&amp;IFERROR(TEXT(_xlfn.MAXIFS(nrMK_Date,nrMK_Link,$B183,nrMK_Credit,"Yes"),"mm/dd"),""),"OPEN"))</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IF(OR($B184="",N($I184)=0),"",SUMIFS(nrMK_Min,nrMK_Link,$B184,nrMK_Credit,"Yes"))</f>
        <v/>
      </c>
      <c r="Q184" s="17">
        <f>IF(OR($B184="",N($J184)=0),"",SUMIFS(nrMK_Sess,nrMK_Link,$B184,nrMK_Credit,"Yes"))</f>
        <v/>
      </c>
      <c r="R184" s="17">
        <f>IF(OR($B184="",$N184&lt;&gt;"Yes"),"",IF(N($I184)&gt;0,N($I184)-N($P184),IF(N($J184)&gt;0,N($J184)-N($Q184),"")))</f>
        <v/>
      </c>
      <c r="S184" s="17">
        <f>IF(OR($B184="",$R184=""),"",IF($R184&lt;=0,"CLEARED "&amp;IFERROR(TEXT(_xlfn.MAXIFS(nrMK_Date,nrMK_Link,$B184,nrMK_Credit,"Yes"),"mm/dd"),""),"OPEN"))</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IF(OR($B185="",N($I185)=0),"",SUMIFS(nrMK_Min,nrMK_Link,$B185,nrMK_Credit,"Yes"))</f>
        <v/>
      </c>
      <c r="Q185" s="17">
        <f>IF(OR($B185="",N($J185)=0),"",SUMIFS(nrMK_Sess,nrMK_Link,$B185,nrMK_Credit,"Yes"))</f>
        <v/>
      </c>
      <c r="R185" s="17">
        <f>IF(OR($B185="",$N185&lt;&gt;"Yes"),"",IF(N($I185)&gt;0,N($I185)-N($P185),IF(N($J185)&gt;0,N($J185)-N($Q185),"")))</f>
        <v/>
      </c>
      <c r="S185" s="17">
        <f>IF(OR($B185="",$R185=""),"",IF($R185&lt;=0,"CLEARED "&amp;IFERROR(TEXT(_xlfn.MAXIFS(nrMK_Date,nrMK_Link,$B185,nrMK_Credit,"Yes"),"mm/dd"),""),"OPEN"))</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IF(OR($B186="",N($I186)=0),"",SUMIFS(nrMK_Min,nrMK_Link,$B186,nrMK_Credit,"Yes"))</f>
        <v/>
      </c>
      <c r="Q186" s="17">
        <f>IF(OR($B186="",N($J186)=0),"",SUMIFS(nrMK_Sess,nrMK_Link,$B186,nrMK_Credit,"Yes"))</f>
        <v/>
      </c>
      <c r="R186" s="17">
        <f>IF(OR($B186="",$N186&lt;&gt;"Yes"),"",IF(N($I186)&gt;0,N($I186)-N($P186),IF(N($J186)&gt;0,N($J186)-N($Q186),"")))</f>
        <v/>
      </c>
      <c r="S186" s="17">
        <f>IF(OR($B186="",$R186=""),"",IF($R186&lt;=0,"CLEARED "&amp;IFERROR(TEXT(_xlfn.MAXIFS(nrMK_Date,nrMK_Link,$B186,nrMK_Credit,"Yes"),"mm/dd"),""),"OPEN"))</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IF(OR($B187="",N($I187)=0),"",SUMIFS(nrMK_Min,nrMK_Link,$B187,nrMK_Credit,"Yes"))</f>
        <v/>
      </c>
      <c r="Q187" s="17">
        <f>IF(OR($B187="",N($J187)=0),"",SUMIFS(nrMK_Sess,nrMK_Link,$B187,nrMK_Credit,"Yes"))</f>
        <v/>
      </c>
      <c r="R187" s="17">
        <f>IF(OR($B187="",$N187&lt;&gt;"Yes"),"",IF(N($I187)&gt;0,N($I187)-N($P187),IF(N($J187)&gt;0,N($J187)-N($Q187),"")))</f>
        <v/>
      </c>
      <c r="S187" s="17">
        <f>IF(OR($B187="",$R187=""),"",IF($R187&lt;=0,"CLEARED "&amp;IFERROR(TEXT(_xlfn.MAXIFS(nrMK_Date,nrMK_Link,$B187,nrMK_Credit,"Yes"),"mm/dd"),""),"OPEN"))</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IF(OR($B188="",N($I188)=0),"",SUMIFS(nrMK_Min,nrMK_Link,$B188,nrMK_Credit,"Yes"))</f>
        <v/>
      </c>
      <c r="Q188" s="17">
        <f>IF(OR($B188="",N($J188)=0),"",SUMIFS(nrMK_Sess,nrMK_Link,$B188,nrMK_Credit,"Yes"))</f>
        <v/>
      </c>
      <c r="R188" s="17">
        <f>IF(OR($B188="",$N188&lt;&gt;"Yes"),"",IF(N($I188)&gt;0,N($I188)-N($P188),IF(N($J188)&gt;0,N($J188)-N($Q188),"")))</f>
        <v/>
      </c>
      <c r="S188" s="17">
        <f>IF(OR($B188="",$R188=""),"",IF($R188&lt;=0,"CLEARED "&amp;IFERROR(TEXT(_xlfn.MAXIFS(nrMK_Date,nrMK_Link,$B188,nrMK_Credit,"Yes"),"mm/dd"),""),"OPEN"))</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IF(OR($B189="",N($I189)=0),"",SUMIFS(nrMK_Min,nrMK_Link,$B189,nrMK_Credit,"Yes"))</f>
        <v/>
      </c>
      <c r="Q189" s="17">
        <f>IF(OR($B189="",N($J189)=0),"",SUMIFS(nrMK_Sess,nrMK_Link,$B189,nrMK_Credit,"Yes"))</f>
        <v/>
      </c>
      <c r="R189" s="17">
        <f>IF(OR($B189="",$N189&lt;&gt;"Yes"),"",IF(N($I189)&gt;0,N($I189)-N($P189),IF(N($J189)&gt;0,N($J189)-N($Q189),"")))</f>
        <v/>
      </c>
      <c r="S189" s="17">
        <f>IF(OR($B189="",$R189=""),"",IF($R189&lt;=0,"CLEARED "&amp;IFERROR(TEXT(_xlfn.MAXIFS(nrMK_Date,nrMK_Link,$B189,nrMK_Credit,"Yes"),"mm/dd"),""),"OPEN"))</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IF(OR($B190="",N($I190)=0),"",SUMIFS(nrMK_Min,nrMK_Link,$B190,nrMK_Credit,"Yes"))</f>
        <v/>
      </c>
      <c r="Q190" s="17">
        <f>IF(OR($B190="",N($J190)=0),"",SUMIFS(nrMK_Sess,nrMK_Link,$B190,nrMK_Credit,"Yes"))</f>
        <v/>
      </c>
      <c r="R190" s="17">
        <f>IF(OR($B190="",$N190&lt;&gt;"Yes"),"",IF(N($I190)&gt;0,N($I190)-N($P190),IF(N($J190)&gt;0,N($J190)-N($Q190),"")))</f>
        <v/>
      </c>
      <c r="S190" s="17">
        <f>IF(OR($B190="",$R190=""),"",IF($R190&lt;=0,"CLEARED "&amp;IFERROR(TEXT(_xlfn.MAXIFS(nrMK_Date,nrMK_Link,$B190,nrMK_Credit,"Yes"),"mm/dd"),""),"OPEN"))</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IF(OR($B191="",N($I191)=0),"",SUMIFS(nrMK_Min,nrMK_Link,$B191,nrMK_Credit,"Yes"))</f>
        <v/>
      </c>
      <c r="Q191" s="17">
        <f>IF(OR($B191="",N($J191)=0),"",SUMIFS(nrMK_Sess,nrMK_Link,$B191,nrMK_Credit,"Yes"))</f>
        <v/>
      </c>
      <c r="R191" s="17">
        <f>IF(OR($B191="",$N191&lt;&gt;"Yes"),"",IF(N($I191)&gt;0,N($I191)-N($P191),IF(N($J191)&gt;0,N($J191)-N($Q191),"")))</f>
        <v/>
      </c>
      <c r="S191" s="17">
        <f>IF(OR($B191="",$R191=""),"",IF($R191&lt;=0,"CLEARED "&amp;IFERROR(TEXT(_xlfn.MAXIFS(nrMK_Date,nrMK_Link,$B191,nrMK_Credit,"Yes"),"mm/dd"),""),"OPEN"))</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IF(OR($B192="",N($I192)=0),"",SUMIFS(nrMK_Min,nrMK_Link,$B192,nrMK_Credit,"Yes"))</f>
        <v/>
      </c>
      <c r="Q192" s="17">
        <f>IF(OR($B192="",N($J192)=0),"",SUMIFS(nrMK_Sess,nrMK_Link,$B192,nrMK_Credit,"Yes"))</f>
        <v/>
      </c>
      <c r="R192" s="17">
        <f>IF(OR($B192="",$N192&lt;&gt;"Yes"),"",IF(N($I192)&gt;0,N($I192)-N($P192),IF(N($J192)&gt;0,N($J192)-N($Q192),"")))</f>
        <v/>
      </c>
      <c r="S192" s="17">
        <f>IF(OR($B192="",$R192=""),"",IF($R192&lt;=0,"CLEARED "&amp;IFERROR(TEXT(_xlfn.MAXIFS(nrMK_Date,nrMK_Link,$B192,nrMK_Credit,"Yes"),"mm/dd"),""),"OPEN"))</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IF(OR($B193="",N($I193)=0),"",SUMIFS(nrMK_Min,nrMK_Link,$B193,nrMK_Credit,"Yes"))</f>
        <v/>
      </c>
      <c r="Q193" s="17">
        <f>IF(OR($B193="",N($J193)=0),"",SUMIFS(nrMK_Sess,nrMK_Link,$B193,nrMK_Credit,"Yes"))</f>
        <v/>
      </c>
      <c r="R193" s="17">
        <f>IF(OR($B193="",$N193&lt;&gt;"Yes"),"",IF(N($I193)&gt;0,N($I193)-N($P193),IF(N($J193)&gt;0,N($J193)-N($Q193),"")))</f>
        <v/>
      </c>
      <c r="S193" s="17">
        <f>IF(OR($B193="",$R193=""),"",IF($R193&lt;=0,"CLEARED "&amp;IFERROR(TEXT(_xlfn.MAXIFS(nrMK_Date,nrMK_Link,$B193,nrMK_Credit,"Yes"),"mm/dd"),""),"OPEN"))</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IF(OR($B194="",N($I194)=0),"",SUMIFS(nrMK_Min,nrMK_Link,$B194,nrMK_Credit,"Yes"))</f>
        <v/>
      </c>
      <c r="Q194" s="17">
        <f>IF(OR($B194="",N($J194)=0),"",SUMIFS(nrMK_Sess,nrMK_Link,$B194,nrMK_Credit,"Yes"))</f>
        <v/>
      </c>
      <c r="R194" s="17">
        <f>IF(OR($B194="",$N194&lt;&gt;"Yes"),"",IF(N($I194)&gt;0,N($I194)-N($P194),IF(N($J194)&gt;0,N($J194)-N($Q194),"")))</f>
        <v/>
      </c>
      <c r="S194" s="17">
        <f>IF(OR($B194="",$R194=""),"",IF($R194&lt;=0,"CLEARED "&amp;IFERROR(TEXT(_xlfn.MAXIFS(nrMK_Date,nrMK_Link,$B194,nrMK_Credit,"Yes"),"mm/dd"),""),"OPEN"))</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IF(OR($B195="",N($I195)=0),"",SUMIFS(nrMK_Min,nrMK_Link,$B195,nrMK_Credit,"Yes"))</f>
        <v/>
      </c>
      <c r="Q195" s="17">
        <f>IF(OR($B195="",N($J195)=0),"",SUMIFS(nrMK_Sess,nrMK_Link,$B195,nrMK_Credit,"Yes"))</f>
        <v/>
      </c>
      <c r="R195" s="17">
        <f>IF(OR($B195="",$N195&lt;&gt;"Yes"),"",IF(N($I195)&gt;0,N($I195)-N($P195),IF(N($J195)&gt;0,N($J195)-N($Q195),"")))</f>
        <v/>
      </c>
      <c r="S195" s="17">
        <f>IF(OR($B195="",$R195=""),"",IF($R195&lt;=0,"CLEARED "&amp;IFERROR(TEXT(_xlfn.MAXIFS(nrMK_Date,nrMK_Link,$B195,nrMK_Credit,"Yes"),"mm/dd"),""),"OPEN"))</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IF(OR($B196="",N($I196)=0),"",SUMIFS(nrMK_Min,nrMK_Link,$B196,nrMK_Credit,"Yes"))</f>
        <v/>
      </c>
      <c r="Q196" s="17">
        <f>IF(OR($B196="",N($J196)=0),"",SUMIFS(nrMK_Sess,nrMK_Link,$B196,nrMK_Credit,"Yes"))</f>
        <v/>
      </c>
      <c r="R196" s="17">
        <f>IF(OR($B196="",$N196&lt;&gt;"Yes"),"",IF(N($I196)&gt;0,N($I196)-N($P196),IF(N($J196)&gt;0,N($J196)-N($Q196),"")))</f>
        <v/>
      </c>
      <c r="S196" s="17">
        <f>IF(OR($B196="",$R196=""),"",IF($R196&lt;=0,"CLEARED "&amp;IFERROR(TEXT(_xlfn.MAXIFS(nrMK_Date,nrMK_Link,$B196,nrMK_Credit,"Yes"),"mm/dd"),""),"OPEN"))</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IF(OR($B197="",N($I197)=0),"",SUMIFS(nrMK_Min,nrMK_Link,$B197,nrMK_Credit,"Yes"))</f>
        <v/>
      </c>
      <c r="Q197" s="17">
        <f>IF(OR($B197="",N($J197)=0),"",SUMIFS(nrMK_Sess,nrMK_Link,$B197,nrMK_Credit,"Yes"))</f>
        <v/>
      </c>
      <c r="R197" s="17">
        <f>IF(OR($B197="",$N197&lt;&gt;"Yes"),"",IF(N($I197)&gt;0,N($I197)-N($P197),IF(N($J197)&gt;0,N($J197)-N($Q197),"")))</f>
        <v/>
      </c>
      <c r="S197" s="17">
        <f>IF(OR($B197="",$R197=""),"",IF($R197&lt;=0,"CLEARED "&amp;IFERROR(TEXT(_xlfn.MAXIFS(nrMK_Date,nrMK_Link,$B197,nrMK_Credit,"Yes"),"mm/dd"),""),"OPEN"))</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IF(OR($B198="",N($I198)=0),"",SUMIFS(nrMK_Min,nrMK_Link,$B198,nrMK_Credit,"Yes"))</f>
        <v/>
      </c>
      <c r="Q198" s="17">
        <f>IF(OR($B198="",N($J198)=0),"",SUMIFS(nrMK_Sess,nrMK_Link,$B198,nrMK_Credit,"Yes"))</f>
        <v/>
      </c>
      <c r="R198" s="17">
        <f>IF(OR($B198="",$N198&lt;&gt;"Yes"),"",IF(N($I198)&gt;0,N($I198)-N($P198),IF(N($J198)&gt;0,N($J198)-N($Q198),"")))</f>
        <v/>
      </c>
      <c r="S198" s="17">
        <f>IF(OR($B198="",$R198=""),"",IF($R198&lt;=0,"CLEARED "&amp;IFERROR(TEXT(_xlfn.MAXIFS(nrMK_Date,nrMK_Link,$B198,nrMK_Credit,"Yes"),"mm/dd"),""),"OPEN"))</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IF(OR($B199="",N($I199)=0),"",SUMIFS(nrMK_Min,nrMK_Link,$B199,nrMK_Credit,"Yes"))</f>
        <v/>
      </c>
      <c r="Q199" s="17">
        <f>IF(OR($B199="",N($J199)=0),"",SUMIFS(nrMK_Sess,nrMK_Link,$B199,nrMK_Credit,"Yes"))</f>
        <v/>
      </c>
      <c r="R199" s="17">
        <f>IF(OR($B199="",$N199&lt;&gt;"Yes"),"",IF(N($I199)&gt;0,N($I199)-N($P199),IF(N($J199)&gt;0,N($J199)-N($Q199),"")))</f>
        <v/>
      </c>
      <c r="S199" s="17">
        <f>IF(OR($B199="",$R199=""),"",IF($R199&lt;=0,"CLEARED "&amp;IFERROR(TEXT(_xlfn.MAXIFS(nrMK_Date,nrMK_Link,$B199,nrMK_Credit,"Yes"),"mm/dd"),""),"OPEN"))</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IF(OR($B200="",N($I200)=0),"",SUMIFS(nrMK_Min,nrMK_Link,$B200,nrMK_Credit,"Yes"))</f>
        <v/>
      </c>
      <c r="Q200" s="17">
        <f>IF(OR($B200="",N($J200)=0),"",SUMIFS(nrMK_Sess,nrMK_Link,$B200,nrMK_Credit,"Yes"))</f>
        <v/>
      </c>
      <c r="R200" s="17">
        <f>IF(OR($B200="",$N200&lt;&gt;"Yes"),"",IF(N($I200)&gt;0,N($I200)-N($P200),IF(N($J200)&gt;0,N($J200)-N($Q200),"")))</f>
        <v/>
      </c>
      <c r="S200" s="17">
        <f>IF(OR($B200="",$R200=""),"",IF($R200&lt;=0,"CLEARED "&amp;IFERROR(TEXT(_xlfn.MAXIFS(nrMK_Date,nrMK_Link,$B200,nrMK_Credit,"Yes"),"mm/dd"),""),"OPEN"))</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IF(OR($B201="",N($I201)=0),"",SUMIFS(nrMK_Min,nrMK_Link,$B201,nrMK_Credit,"Yes"))</f>
        <v/>
      </c>
      <c r="Q201" s="17">
        <f>IF(OR($B201="",N($J201)=0),"",SUMIFS(nrMK_Sess,nrMK_Link,$B201,nrMK_Credit,"Yes"))</f>
        <v/>
      </c>
      <c r="R201" s="17">
        <f>IF(OR($B201="",$N201&lt;&gt;"Yes"),"",IF(N($I201)&gt;0,N($I201)-N($P201),IF(N($J201)&gt;0,N($J201)-N($Q201),"")))</f>
        <v/>
      </c>
      <c r="S201" s="17">
        <f>IF(OR($B201="",$R201=""),"",IF($R201&lt;=0,"CLEARED "&amp;IFERROR(TEXT(_xlfn.MAXIFS(nrMK_Date,nrMK_Link,$B201,nrMK_Credit,"Yes"),"mm/dd"),""),"OPEN"))</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IF(OR($B202="",N($I202)=0),"",SUMIFS(nrMK_Min,nrMK_Link,$B202,nrMK_Credit,"Yes"))</f>
        <v/>
      </c>
      <c r="Q202" s="17">
        <f>IF(OR($B202="",N($J202)=0),"",SUMIFS(nrMK_Sess,nrMK_Link,$B202,nrMK_Credit,"Yes"))</f>
        <v/>
      </c>
      <c r="R202" s="17">
        <f>IF(OR($B202="",$N202&lt;&gt;"Yes"),"",IF(N($I202)&gt;0,N($I202)-N($P202),IF(N($J202)&gt;0,N($J202)-N($Q202),"")))</f>
        <v/>
      </c>
      <c r="S202" s="17">
        <f>IF(OR($B202="",$R202=""),"",IF($R202&lt;=0,"CLEARED "&amp;IFERROR(TEXT(_xlfn.MAXIFS(nrMK_Date,nrMK_Link,$B202,nrMK_Credit,"Yes"),"mm/dd"),""),"OPEN"))</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IF(OR($B203="",N($I203)=0),"",SUMIFS(nrMK_Min,nrMK_Link,$B203,nrMK_Credit,"Yes"))</f>
        <v/>
      </c>
      <c r="Q203" s="17">
        <f>IF(OR($B203="",N($J203)=0),"",SUMIFS(nrMK_Sess,nrMK_Link,$B203,nrMK_Credit,"Yes"))</f>
        <v/>
      </c>
      <c r="R203" s="17">
        <f>IF(OR($B203="",$N203&lt;&gt;"Yes"),"",IF(N($I203)&gt;0,N($I203)-N($P203),IF(N($J203)&gt;0,N($J203)-N($Q203),"")))</f>
        <v/>
      </c>
      <c r="S203" s="17">
        <f>IF(OR($B203="",$R203=""),"",IF($R203&lt;=0,"CLEARED "&amp;IFERROR(TEXT(_xlfn.MAXIFS(nrMK_Date,nrMK_Link,$B203,nrMK_Credit,"Yes"),"mm/dd"),""),"OPEN"))</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IF(OR($B204="",N($I204)=0),"",SUMIFS(nrMK_Min,nrMK_Link,$B204,nrMK_Credit,"Yes"))</f>
        <v/>
      </c>
      <c r="Q204" s="17">
        <f>IF(OR($B204="",N($J204)=0),"",SUMIFS(nrMK_Sess,nrMK_Link,$B204,nrMK_Credit,"Yes"))</f>
        <v/>
      </c>
      <c r="R204" s="17">
        <f>IF(OR($B204="",$N204&lt;&gt;"Yes"),"",IF(N($I204)&gt;0,N($I204)-N($P204),IF(N($J204)&gt;0,N($J204)-N($Q204),"")))</f>
        <v/>
      </c>
      <c r="S204" s="17">
        <f>IF(OR($B204="",$R204=""),"",IF($R204&lt;=0,"CLEARED "&amp;IFERROR(TEXT(_xlfn.MAXIFS(nrMK_Date,nrMK_Link,$B204,nrMK_Credit,"Yes"),"mm/dd"),""),"OPEN"))</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IF(OR($B205="",N($I205)=0),"",SUMIFS(nrMK_Min,nrMK_Link,$B205,nrMK_Credit,"Yes"))</f>
        <v/>
      </c>
      <c r="Q205" s="17">
        <f>IF(OR($B205="",N($J205)=0),"",SUMIFS(nrMK_Sess,nrMK_Link,$B205,nrMK_Credit,"Yes"))</f>
        <v/>
      </c>
      <c r="R205" s="17">
        <f>IF(OR($B205="",$N205&lt;&gt;"Yes"),"",IF(N($I205)&gt;0,N($I205)-N($P205),IF(N($J205)&gt;0,N($J205)-N($Q205),"")))</f>
        <v/>
      </c>
      <c r="S205" s="17">
        <f>IF(OR($B205="",$R205=""),"",IF($R205&lt;=0,"CLEARED "&amp;IFERROR(TEXT(_xlfn.MAXIFS(nrMK_Date,nrMK_Link,$B205,nrMK_Credit,"Yes"),"mm/dd"),""),"OPEN"))</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IF(OR($B206="",N($I206)=0),"",SUMIFS(nrMK_Min,nrMK_Link,$B206,nrMK_Credit,"Yes"))</f>
        <v/>
      </c>
      <c r="Q206" s="17">
        <f>IF(OR($B206="",N($J206)=0),"",SUMIFS(nrMK_Sess,nrMK_Link,$B206,nrMK_Credit,"Yes"))</f>
        <v/>
      </c>
      <c r="R206" s="17">
        <f>IF(OR($B206="",$N206&lt;&gt;"Yes"),"",IF(N($I206)&gt;0,N($I206)-N($P206),IF(N($J206)&gt;0,N($J206)-N($Q206),"")))</f>
        <v/>
      </c>
      <c r="S206" s="17">
        <f>IF(OR($B206="",$R206=""),"",IF($R206&lt;=0,"CLEARED "&amp;IFERROR(TEXT(_xlfn.MAXIFS(nrMK_Date,nrMK_Link,$B206,nrMK_Credit,"Yes"),"mm/dd"),""),"OPEN"))</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IF(OR($B207="",N($I207)=0),"",SUMIFS(nrMK_Min,nrMK_Link,$B207,nrMK_Credit,"Yes"))</f>
        <v/>
      </c>
      <c r="Q207" s="17">
        <f>IF(OR($B207="",N($J207)=0),"",SUMIFS(nrMK_Sess,nrMK_Link,$B207,nrMK_Credit,"Yes"))</f>
        <v/>
      </c>
      <c r="R207" s="17">
        <f>IF(OR($B207="",$N207&lt;&gt;"Yes"),"",IF(N($I207)&gt;0,N($I207)-N($P207),IF(N($J207)&gt;0,N($J207)-N($Q207),"")))</f>
        <v/>
      </c>
      <c r="S207" s="17">
        <f>IF(OR($B207="",$R207=""),"",IF($R207&lt;=0,"CLEARED "&amp;IFERROR(TEXT(_xlfn.MAXIFS(nrMK_Date,nrMK_Link,$B207,nrMK_Credit,"Yes"),"mm/dd"),""),"OPEN"))</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IF(OR($B208="",N($I208)=0),"",SUMIFS(nrMK_Min,nrMK_Link,$B208,nrMK_Credit,"Yes"))</f>
        <v/>
      </c>
      <c r="Q208" s="17">
        <f>IF(OR($B208="",N($J208)=0),"",SUMIFS(nrMK_Sess,nrMK_Link,$B208,nrMK_Credit,"Yes"))</f>
        <v/>
      </c>
      <c r="R208" s="17">
        <f>IF(OR($B208="",$N208&lt;&gt;"Yes"),"",IF(N($I208)&gt;0,N($I208)-N($P208),IF(N($J208)&gt;0,N($J208)-N($Q208),"")))</f>
        <v/>
      </c>
      <c r="S208" s="17">
        <f>IF(OR($B208="",$R208=""),"",IF($R208&lt;=0,"CLEARED "&amp;IFERROR(TEXT(_xlfn.MAXIFS(nrMK_Date,nrMK_Link,$B208,nrMK_Credit,"Yes"),"mm/dd"),""),"OPEN"))</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IF(OR($B209="",N($I209)=0),"",SUMIFS(nrMK_Min,nrMK_Link,$B209,nrMK_Credit,"Yes"))</f>
        <v/>
      </c>
      <c r="Q209" s="17">
        <f>IF(OR($B209="",N($J209)=0),"",SUMIFS(nrMK_Sess,nrMK_Link,$B209,nrMK_Credit,"Yes"))</f>
        <v/>
      </c>
      <c r="R209" s="17">
        <f>IF(OR($B209="",$N209&lt;&gt;"Yes"),"",IF(N($I209)&gt;0,N($I209)-N($P209),IF(N($J209)&gt;0,N($J209)-N($Q209),"")))</f>
        <v/>
      </c>
      <c r="S209" s="17">
        <f>IF(OR($B209="",$R209=""),"",IF($R209&lt;=0,"CLEARED "&amp;IFERROR(TEXT(_xlfn.MAXIFS(nrMK_Date,nrMK_Link,$B209,nrMK_Credit,"Yes"),"mm/dd"),""),"OPEN"))</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IF(OR($B210="",N($I210)=0),"",SUMIFS(nrMK_Min,nrMK_Link,$B210,nrMK_Credit,"Yes"))</f>
        <v/>
      </c>
      <c r="Q210" s="17">
        <f>IF(OR($B210="",N($J210)=0),"",SUMIFS(nrMK_Sess,nrMK_Link,$B210,nrMK_Credit,"Yes"))</f>
        <v/>
      </c>
      <c r="R210" s="17">
        <f>IF(OR($B210="",$N210&lt;&gt;"Yes"),"",IF(N($I210)&gt;0,N($I210)-N($P210),IF(N($J210)&gt;0,N($J210)-N($Q210),"")))</f>
        <v/>
      </c>
      <c r="S210" s="17">
        <f>IF(OR($B210="",$R210=""),"",IF($R210&lt;=0,"CLEARED "&amp;IFERROR(TEXT(_xlfn.MAXIFS(nrMK_Date,nrMK_Link,$B210,nrMK_Credit,"Yes"),"mm/dd"),""),"OPEN"))</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IF(OR($B211="",N($I211)=0),"",SUMIFS(nrMK_Min,nrMK_Link,$B211,nrMK_Credit,"Yes"))</f>
        <v/>
      </c>
      <c r="Q211" s="17">
        <f>IF(OR($B211="",N($J211)=0),"",SUMIFS(nrMK_Sess,nrMK_Link,$B211,nrMK_Credit,"Yes"))</f>
        <v/>
      </c>
      <c r="R211" s="17">
        <f>IF(OR($B211="",$N211&lt;&gt;"Yes"),"",IF(N($I211)&gt;0,N($I211)-N($P211),IF(N($J211)&gt;0,N($J211)-N($Q211),"")))</f>
        <v/>
      </c>
      <c r="S211" s="17">
        <f>IF(OR($B211="",$R211=""),"",IF($R211&lt;=0,"CLEARED "&amp;IFERROR(TEXT(_xlfn.MAXIFS(nrMK_Date,nrMK_Link,$B211,nrMK_Credit,"Yes"),"mm/dd"),""),"OPEN"))</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IF(OR($B212="",N($I212)=0),"",SUMIFS(nrMK_Min,nrMK_Link,$B212,nrMK_Credit,"Yes"))</f>
        <v/>
      </c>
      <c r="Q212" s="17">
        <f>IF(OR($B212="",N($J212)=0),"",SUMIFS(nrMK_Sess,nrMK_Link,$B212,nrMK_Credit,"Yes"))</f>
        <v/>
      </c>
      <c r="R212" s="17">
        <f>IF(OR($B212="",$N212&lt;&gt;"Yes"),"",IF(N($I212)&gt;0,N($I212)-N($P212),IF(N($J212)&gt;0,N($J212)-N($Q212),"")))</f>
        <v/>
      </c>
      <c r="S212" s="17">
        <f>IF(OR($B212="",$R212=""),"",IF($R212&lt;=0,"CLEARED "&amp;IFERROR(TEXT(_xlfn.MAXIFS(nrMK_Date,nrMK_Link,$B212,nrMK_Credit,"Yes"),"mm/dd"),""),"OPEN"))</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IF(OR($B213="",N($I213)=0),"",SUMIFS(nrMK_Min,nrMK_Link,$B213,nrMK_Credit,"Yes"))</f>
        <v/>
      </c>
      <c r="Q213" s="17">
        <f>IF(OR($B213="",N($J213)=0),"",SUMIFS(nrMK_Sess,nrMK_Link,$B213,nrMK_Credit,"Yes"))</f>
        <v/>
      </c>
      <c r="R213" s="17">
        <f>IF(OR($B213="",$N213&lt;&gt;"Yes"),"",IF(N($I213)&gt;0,N($I213)-N($P213),IF(N($J213)&gt;0,N($J213)-N($Q213),"")))</f>
        <v/>
      </c>
      <c r="S213" s="17">
        <f>IF(OR($B213="",$R213=""),"",IF($R213&lt;=0,"CLEARED "&amp;IFERROR(TEXT(_xlfn.MAXIFS(nrMK_Date,nrMK_Link,$B213,nrMK_Credit,"Yes"),"mm/dd"),""),"OPEN"))</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IF(OR($B214="",N($I214)=0),"",SUMIFS(nrMK_Min,nrMK_Link,$B214,nrMK_Credit,"Yes"))</f>
        <v/>
      </c>
      <c r="Q214" s="17">
        <f>IF(OR($B214="",N($J214)=0),"",SUMIFS(nrMK_Sess,nrMK_Link,$B214,nrMK_Credit,"Yes"))</f>
        <v/>
      </c>
      <c r="R214" s="17">
        <f>IF(OR($B214="",$N214&lt;&gt;"Yes"),"",IF(N($I214)&gt;0,N($I214)-N($P214),IF(N($J214)&gt;0,N($J214)-N($Q214),"")))</f>
        <v/>
      </c>
      <c r="S214" s="17">
        <f>IF(OR($B214="",$R214=""),"",IF($R214&lt;=0,"CLEARED "&amp;IFERROR(TEXT(_xlfn.MAXIFS(nrMK_Date,nrMK_Link,$B214,nrMK_Credit,"Yes"),"mm/dd"),""),"OPEN"))</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IF(OR($B215="",N($I215)=0),"",SUMIFS(nrMK_Min,nrMK_Link,$B215,nrMK_Credit,"Yes"))</f>
        <v/>
      </c>
      <c r="Q215" s="17">
        <f>IF(OR($B215="",N($J215)=0),"",SUMIFS(nrMK_Sess,nrMK_Link,$B215,nrMK_Credit,"Yes"))</f>
        <v/>
      </c>
      <c r="R215" s="17">
        <f>IF(OR($B215="",$N215&lt;&gt;"Yes"),"",IF(N($I215)&gt;0,N($I215)-N($P215),IF(N($J215)&gt;0,N($J215)-N($Q215),"")))</f>
        <v/>
      </c>
      <c r="S215" s="17">
        <f>IF(OR($B215="",$R215=""),"",IF($R215&lt;=0,"CLEARED "&amp;IFERROR(TEXT(_xlfn.MAXIFS(nrMK_Date,nrMK_Link,$B215,nrMK_Credit,"Yes"),"mm/dd"),""),"OPEN"))</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IF(OR($B216="",N($I216)=0),"",SUMIFS(nrMK_Min,nrMK_Link,$B216,nrMK_Credit,"Yes"))</f>
        <v/>
      </c>
      <c r="Q216" s="17">
        <f>IF(OR($B216="",N($J216)=0),"",SUMIFS(nrMK_Sess,nrMK_Link,$B216,nrMK_Credit,"Yes"))</f>
        <v/>
      </c>
      <c r="R216" s="17">
        <f>IF(OR($B216="",$N216&lt;&gt;"Yes"),"",IF(N($I216)&gt;0,N($I216)-N($P216),IF(N($J216)&gt;0,N($J216)-N($Q216),"")))</f>
        <v/>
      </c>
      <c r="S216" s="17">
        <f>IF(OR($B216="",$R216=""),"",IF($R216&lt;=0,"CLEARED "&amp;IFERROR(TEXT(_xlfn.MAXIFS(nrMK_Date,nrMK_Link,$B216,nrMK_Credit,"Yes"),"mm/dd"),""),"OPEN"))</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IF(OR($B217="",N($I217)=0),"",SUMIFS(nrMK_Min,nrMK_Link,$B217,nrMK_Credit,"Yes"))</f>
        <v/>
      </c>
      <c r="Q217" s="17">
        <f>IF(OR($B217="",N($J217)=0),"",SUMIFS(nrMK_Sess,nrMK_Link,$B217,nrMK_Credit,"Yes"))</f>
        <v/>
      </c>
      <c r="R217" s="17">
        <f>IF(OR($B217="",$N217&lt;&gt;"Yes"),"",IF(N($I217)&gt;0,N($I217)-N($P217),IF(N($J217)&gt;0,N($J217)-N($Q217),"")))</f>
        <v/>
      </c>
      <c r="S217" s="17">
        <f>IF(OR($B217="",$R217=""),"",IF($R217&lt;=0,"CLEARED "&amp;IFERROR(TEXT(_xlfn.MAXIFS(nrMK_Date,nrMK_Link,$B217,nrMK_Credit,"Yes"),"mm/dd"),""),"OPEN"))</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IF(OR($B218="",N($I218)=0),"",SUMIFS(nrMK_Min,nrMK_Link,$B218,nrMK_Credit,"Yes"))</f>
        <v/>
      </c>
      <c r="Q218" s="17">
        <f>IF(OR($B218="",N($J218)=0),"",SUMIFS(nrMK_Sess,nrMK_Link,$B218,nrMK_Credit,"Yes"))</f>
        <v/>
      </c>
      <c r="R218" s="17">
        <f>IF(OR($B218="",$N218&lt;&gt;"Yes"),"",IF(N($I218)&gt;0,N($I218)-N($P218),IF(N($J218)&gt;0,N($J218)-N($Q218),"")))</f>
        <v/>
      </c>
      <c r="S218" s="17">
        <f>IF(OR($B218="",$R218=""),"",IF($R218&lt;=0,"CLEARED "&amp;IFERROR(TEXT(_xlfn.MAXIFS(nrMK_Date,nrMK_Link,$B218,nrMK_Credit,"Yes"),"mm/dd"),""),"OPEN"))</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IF(OR($B219="",N($I219)=0),"",SUMIFS(nrMK_Min,nrMK_Link,$B219,nrMK_Credit,"Yes"))</f>
        <v/>
      </c>
      <c r="Q219" s="17">
        <f>IF(OR($B219="",N($J219)=0),"",SUMIFS(nrMK_Sess,nrMK_Link,$B219,nrMK_Credit,"Yes"))</f>
        <v/>
      </c>
      <c r="R219" s="17">
        <f>IF(OR($B219="",$N219&lt;&gt;"Yes"),"",IF(N($I219)&gt;0,N($I219)-N($P219),IF(N($J219)&gt;0,N($J219)-N($Q219),"")))</f>
        <v/>
      </c>
      <c r="S219" s="17">
        <f>IF(OR($B219="",$R219=""),"",IF($R219&lt;=0,"CLEARED "&amp;IFERROR(TEXT(_xlfn.MAXIFS(nrMK_Date,nrMK_Link,$B219,nrMK_Credit,"Yes"),"mm/dd"),""),"OPEN"))</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IF(OR($B220="",N($I220)=0),"",SUMIFS(nrMK_Min,nrMK_Link,$B220,nrMK_Credit,"Yes"))</f>
        <v/>
      </c>
      <c r="Q220" s="17">
        <f>IF(OR($B220="",N($J220)=0),"",SUMIFS(nrMK_Sess,nrMK_Link,$B220,nrMK_Credit,"Yes"))</f>
        <v/>
      </c>
      <c r="R220" s="17">
        <f>IF(OR($B220="",$N220&lt;&gt;"Yes"),"",IF(N($I220)&gt;0,N($I220)-N($P220),IF(N($J220)&gt;0,N($J220)-N($Q220),"")))</f>
        <v/>
      </c>
      <c r="S220" s="17">
        <f>IF(OR($B220="",$R220=""),"",IF($R220&lt;=0,"CLEARED "&amp;IFERROR(TEXT(_xlfn.MAXIFS(nrMK_Date,nrMK_Link,$B220,nrMK_Credit,"Yes"),"mm/dd"),""),"OPEN"))</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IF(OR($B221="",N($I221)=0),"",SUMIFS(nrMK_Min,nrMK_Link,$B221,nrMK_Credit,"Yes"))</f>
        <v/>
      </c>
      <c r="Q221" s="17">
        <f>IF(OR($B221="",N($J221)=0),"",SUMIFS(nrMK_Sess,nrMK_Link,$B221,nrMK_Credit,"Yes"))</f>
        <v/>
      </c>
      <c r="R221" s="17">
        <f>IF(OR($B221="",$N221&lt;&gt;"Yes"),"",IF(N($I221)&gt;0,N($I221)-N($P221),IF(N($J221)&gt;0,N($J221)-N($Q221),"")))</f>
        <v/>
      </c>
      <c r="S221" s="17">
        <f>IF(OR($B221="",$R221=""),"",IF($R221&lt;=0,"CLEARED "&amp;IFERROR(TEXT(_xlfn.MAXIFS(nrMK_Date,nrMK_Link,$B221,nrMK_Credit,"Yes"),"mm/dd"),""),"OPEN"))</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IF(OR($B222="",N($I222)=0),"",SUMIFS(nrMK_Min,nrMK_Link,$B222,nrMK_Credit,"Yes"))</f>
        <v/>
      </c>
      <c r="Q222" s="17">
        <f>IF(OR($B222="",N($J222)=0),"",SUMIFS(nrMK_Sess,nrMK_Link,$B222,nrMK_Credit,"Yes"))</f>
        <v/>
      </c>
      <c r="R222" s="17">
        <f>IF(OR($B222="",$N222&lt;&gt;"Yes"),"",IF(N($I222)&gt;0,N($I222)-N($P222),IF(N($J222)&gt;0,N($J222)-N($Q222),"")))</f>
        <v/>
      </c>
      <c r="S222" s="17">
        <f>IF(OR($B222="",$R222=""),"",IF($R222&lt;=0,"CLEARED "&amp;IFERROR(TEXT(_xlfn.MAXIFS(nrMK_Date,nrMK_Link,$B222,nrMK_Credit,"Yes"),"mm/dd"),""),"OPEN"))</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IF(OR($B223="",N($I223)=0),"",SUMIFS(nrMK_Min,nrMK_Link,$B223,nrMK_Credit,"Yes"))</f>
        <v/>
      </c>
      <c r="Q223" s="17">
        <f>IF(OR($B223="",N($J223)=0),"",SUMIFS(nrMK_Sess,nrMK_Link,$B223,nrMK_Credit,"Yes"))</f>
        <v/>
      </c>
      <c r="R223" s="17">
        <f>IF(OR($B223="",$N223&lt;&gt;"Yes"),"",IF(N($I223)&gt;0,N($I223)-N($P223),IF(N($J223)&gt;0,N($J223)-N($Q223),"")))</f>
        <v/>
      </c>
      <c r="S223" s="17">
        <f>IF(OR($B223="",$R223=""),"",IF($R223&lt;=0,"CLEARED "&amp;IFERROR(TEXT(_xlfn.MAXIFS(nrMK_Date,nrMK_Link,$B223,nrMK_Credit,"Yes"),"mm/dd"),""),"OPEN"))</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IF(OR($B224="",N($I224)=0),"",SUMIFS(nrMK_Min,nrMK_Link,$B224,nrMK_Credit,"Yes"))</f>
        <v/>
      </c>
      <c r="Q224" s="17">
        <f>IF(OR($B224="",N($J224)=0),"",SUMIFS(nrMK_Sess,nrMK_Link,$B224,nrMK_Credit,"Yes"))</f>
        <v/>
      </c>
      <c r="R224" s="17">
        <f>IF(OR($B224="",$N224&lt;&gt;"Yes"),"",IF(N($I224)&gt;0,N($I224)-N($P224),IF(N($J224)&gt;0,N($J224)-N($Q224),"")))</f>
        <v/>
      </c>
      <c r="S224" s="17">
        <f>IF(OR($B224="",$R224=""),"",IF($R224&lt;=0,"CLEARED "&amp;IFERROR(TEXT(_xlfn.MAXIFS(nrMK_Date,nrMK_Link,$B224,nrMK_Credit,"Yes"),"mm/dd"),""),"OPEN"))</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IF(OR($B225="",N($I225)=0),"",SUMIFS(nrMK_Min,nrMK_Link,$B225,nrMK_Credit,"Yes"))</f>
        <v/>
      </c>
      <c r="Q225" s="17">
        <f>IF(OR($B225="",N($J225)=0),"",SUMIFS(nrMK_Sess,nrMK_Link,$B225,nrMK_Credit,"Yes"))</f>
        <v/>
      </c>
      <c r="R225" s="17">
        <f>IF(OR($B225="",$N225&lt;&gt;"Yes"),"",IF(N($I225)&gt;0,N($I225)-N($P225),IF(N($J225)&gt;0,N($J225)-N($Q225),"")))</f>
        <v/>
      </c>
      <c r="S225" s="17">
        <f>IF(OR($B225="",$R225=""),"",IF($R225&lt;=0,"CLEARED "&amp;IFERROR(TEXT(_xlfn.MAXIFS(nrMK_Date,nrMK_Link,$B225,nrMK_Credit,"Yes"),"mm/dd"),""),"OPEN"))</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IF(OR($B226="",N($I226)=0),"",SUMIFS(nrMK_Min,nrMK_Link,$B226,nrMK_Credit,"Yes"))</f>
        <v/>
      </c>
      <c r="Q226" s="17">
        <f>IF(OR($B226="",N($J226)=0),"",SUMIFS(nrMK_Sess,nrMK_Link,$B226,nrMK_Credit,"Yes"))</f>
        <v/>
      </c>
      <c r="R226" s="17">
        <f>IF(OR($B226="",$N226&lt;&gt;"Yes"),"",IF(N($I226)&gt;0,N($I226)-N($P226),IF(N($J226)&gt;0,N($J226)-N($Q226),"")))</f>
        <v/>
      </c>
      <c r="S226" s="17">
        <f>IF(OR($B226="",$R226=""),"",IF($R226&lt;=0,"CLEARED "&amp;IFERROR(TEXT(_xlfn.MAXIFS(nrMK_Date,nrMK_Link,$B226,nrMK_Credit,"Yes"),"mm/dd"),""),"OPEN"))</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IF(OR($B227="",N($I227)=0),"",SUMIFS(nrMK_Min,nrMK_Link,$B227,nrMK_Credit,"Yes"))</f>
        <v/>
      </c>
      <c r="Q227" s="17">
        <f>IF(OR($B227="",N($J227)=0),"",SUMIFS(nrMK_Sess,nrMK_Link,$B227,nrMK_Credit,"Yes"))</f>
        <v/>
      </c>
      <c r="R227" s="17">
        <f>IF(OR($B227="",$N227&lt;&gt;"Yes"),"",IF(N($I227)&gt;0,N($I227)-N($P227),IF(N($J227)&gt;0,N($J227)-N($Q227),"")))</f>
        <v/>
      </c>
      <c r="S227" s="17">
        <f>IF(OR($B227="",$R227=""),"",IF($R227&lt;=0,"CLEARED "&amp;IFERROR(TEXT(_xlfn.MAXIFS(nrMK_Date,nrMK_Link,$B227,nrMK_Credit,"Yes"),"mm/dd"),""),"OPEN"))</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IF(OR($B228="",N($I228)=0),"",SUMIFS(nrMK_Min,nrMK_Link,$B228,nrMK_Credit,"Yes"))</f>
        <v/>
      </c>
      <c r="Q228" s="17">
        <f>IF(OR($B228="",N($J228)=0),"",SUMIFS(nrMK_Sess,nrMK_Link,$B228,nrMK_Credit,"Yes"))</f>
        <v/>
      </c>
      <c r="R228" s="17">
        <f>IF(OR($B228="",$N228&lt;&gt;"Yes"),"",IF(N($I228)&gt;0,N($I228)-N($P228),IF(N($J228)&gt;0,N($J228)-N($Q228),"")))</f>
        <v/>
      </c>
      <c r="S228" s="17">
        <f>IF(OR($B228="",$R228=""),"",IF($R228&lt;=0,"CLEARED "&amp;IFERROR(TEXT(_xlfn.MAXIFS(nrMK_Date,nrMK_Link,$B228,nrMK_Credit,"Yes"),"mm/dd"),""),"OPEN"))</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IF(OR($B229="",N($I229)=0),"",SUMIFS(nrMK_Min,nrMK_Link,$B229,nrMK_Credit,"Yes"))</f>
        <v/>
      </c>
      <c r="Q229" s="17">
        <f>IF(OR($B229="",N($J229)=0),"",SUMIFS(nrMK_Sess,nrMK_Link,$B229,nrMK_Credit,"Yes"))</f>
        <v/>
      </c>
      <c r="R229" s="17">
        <f>IF(OR($B229="",$N229&lt;&gt;"Yes"),"",IF(N($I229)&gt;0,N($I229)-N($P229),IF(N($J229)&gt;0,N($J229)-N($Q229),"")))</f>
        <v/>
      </c>
      <c r="S229" s="17">
        <f>IF(OR($B229="",$R229=""),"",IF($R229&lt;=0,"CLEARED "&amp;IFERROR(TEXT(_xlfn.MAXIFS(nrMK_Date,nrMK_Link,$B229,nrMK_Credit,"Yes"),"mm/dd"),""),"OPEN"))</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IF(OR($B230="",N($I230)=0),"",SUMIFS(nrMK_Min,nrMK_Link,$B230,nrMK_Credit,"Yes"))</f>
        <v/>
      </c>
      <c r="Q230" s="17">
        <f>IF(OR($B230="",N($J230)=0),"",SUMIFS(nrMK_Sess,nrMK_Link,$B230,nrMK_Credit,"Yes"))</f>
        <v/>
      </c>
      <c r="R230" s="17">
        <f>IF(OR($B230="",$N230&lt;&gt;"Yes"),"",IF(N($I230)&gt;0,N($I230)-N($P230),IF(N($J230)&gt;0,N($J230)-N($Q230),"")))</f>
        <v/>
      </c>
      <c r="S230" s="17">
        <f>IF(OR($B230="",$R230=""),"",IF($R230&lt;=0,"CLEARED "&amp;IFERROR(TEXT(_xlfn.MAXIFS(nrMK_Date,nrMK_Link,$B230,nrMK_Credit,"Yes"),"mm/dd"),""),"OPEN"))</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IF(OR($B231="",N($I231)=0),"",SUMIFS(nrMK_Min,nrMK_Link,$B231,nrMK_Credit,"Yes"))</f>
        <v/>
      </c>
      <c r="Q231" s="17">
        <f>IF(OR($B231="",N($J231)=0),"",SUMIFS(nrMK_Sess,nrMK_Link,$B231,nrMK_Credit,"Yes"))</f>
        <v/>
      </c>
      <c r="R231" s="17">
        <f>IF(OR($B231="",$N231&lt;&gt;"Yes"),"",IF(N($I231)&gt;0,N($I231)-N($P231),IF(N($J231)&gt;0,N($J231)-N($Q231),"")))</f>
        <v/>
      </c>
      <c r="S231" s="17">
        <f>IF(OR($B231="",$R231=""),"",IF($R231&lt;=0,"CLEARED "&amp;IFERROR(TEXT(_xlfn.MAXIFS(nrMK_Date,nrMK_Link,$B231,nrMK_Credit,"Yes"),"mm/dd"),""),"OPEN"))</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IF(OR($B232="",N($I232)=0),"",SUMIFS(nrMK_Min,nrMK_Link,$B232,nrMK_Credit,"Yes"))</f>
        <v/>
      </c>
      <c r="Q232" s="17">
        <f>IF(OR($B232="",N($J232)=0),"",SUMIFS(nrMK_Sess,nrMK_Link,$B232,nrMK_Credit,"Yes"))</f>
        <v/>
      </c>
      <c r="R232" s="17">
        <f>IF(OR($B232="",$N232&lt;&gt;"Yes"),"",IF(N($I232)&gt;0,N($I232)-N($P232),IF(N($J232)&gt;0,N($J232)-N($Q232),"")))</f>
        <v/>
      </c>
      <c r="S232" s="17">
        <f>IF(OR($B232="",$R232=""),"",IF($R232&lt;=0,"CLEARED "&amp;IFERROR(TEXT(_xlfn.MAXIFS(nrMK_Date,nrMK_Link,$B232,nrMK_Credit,"Yes"),"mm/dd"),""),"OPEN"))</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IF(OR($B233="",N($I233)=0),"",SUMIFS(nrMK_Min,nrMK_Link,$B233,nrMK_Credit,"Yes"))</f>
        <v/>
      </c>
      <c r="Q233" s="17">
        <f>IF(OR($B233="",N($J233)=0),"",SUMIFS(nrMK_Sess,nrMK_Link,$B233,nrMK_Credit,"Yes"))</f>
        <v/>
      </c>
      <c r="R233" s="17">
        <f>IF(OR($B233="",$N233&lt;&gt;"Yes"),"",IF(N($I233)&gt;0,N($I233)-N($P233),IF(N($J233)&gt;0,N($J233)-N($Q233),"")))</f>
        <v/>
      </c>
      <c r="S233" s="17">
        <f>IF(OR($B233="",$R233=""),"",IF($R233&lt;=0,"CLEARED "&amp;IFERROR(TEXT(_xlfn.MAXIFS(nrMK_Date,nrMK_Link,$B233,nrMK_Credit,"Yes"),"mm/dd"),""),"OPEN"))</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IF(OR($B234="",N($I234)=0),"",SUMIFS(nrMK_Min,nrMK_Link,$B234,nrMK_Credit,"Yes"))</f>
        <v/>
      </c>
      <c r="Q234" s="17">
        <f>IF(OR($B234="",N($J234)=0),"",SUMIFS(nrMK_Sess,nrMK_Link,$B234,nrMK_Credit,"Yes"))</f>
        <v/>
      </c>
      <c r="R234" s="17">
        <f>IF(OR($B234="",$N234&lt;&gt;"Yes"),"",IF(N($I234)&gt;0,N($I234)-N($P234),IF(N($J234)&gt;0,N($J234)-N($Q234),"")))</f>
        <v/>
      </c>
      <c r="S234" s="17">
        <f>IF(OR($B234="",$R234=""),"",IF($R234&lt;=0,"CLEARED "&amp;IFERROR(TEXT(_xlfn.MAXIFS(nrMK_Date,nrMK_Link,$B234,nrMK_Credit,"Yes"),"mm/dd"),""),"OPEN"))</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IF(OR($B235="",N($I235)=0),"",SUMIFS(nrMK_Min,nrMK_Link,$B235,nrMK_Credit,"Yes"))</f>
        <v/>
      </c>
      <c r="Q235" s="17">
        <f>IF(OR($B235="",N($J235)=0),"",SUMIFS(nrMK_Sess,nrMK_Link,$B235,nrMK_Credit,"Yes"))</f>
        <v/>
      </c>
      <c r="R235" s="17">
        <f>IF(OR($B235="",$N235&lt;&gt;"Yes"),"",IF(N($I235)&gt;0,N($I235)-N($P235),IF(N($J235)&gt;0,N($J235)-N($Q235),"")))</f>
        <v/>
      </c>
      <c r="S235" s="17">
        <f>IF(OR($B235="",$R235=""),"",IF($R235&lt;=0,"CLEARED "&amp;IFERROR(TEXT(_xlfn.MAXIFS(nrMK_Date,nrMK_Link,$B235,nrMK_Credit,"Yes"),"mm/dd"),""),"OPEN"))</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IF(OR($B236="",N($I236)=0),"",SUMIFS(nrMK_Min,nrMK_Link,$B236,nrMK_Credit,"Yes"))</f>
        <v/>
      </c>
      <c r="Q236" s="17">
        <f>IF(OR($B236="",N($J236)=0),"",SUMIFS(nrMK_Sess,nrMK_Link,$B236,nrMK_Credit,"Yes"))</f>
        <v/>
      </c>
      <c r="R236" s="17">
        <f>IF(OR($B236="",$N236&lt;&gt;"Yes"),"",IF(N($I236)&gt;0,N($I236)-N($P236),IF(N($J236)&gt;0,N($J236)-N($Q236),"")))</f>
        <v/>
      </c>
      <c r="S236" s="17">
        <f>IF(OR($B236="",$R236=""),"",IF($R236&lt;=0,"CLEARED "&amp;IFERROR(TEXT(_xlfn.MAXIFS(nrMK_Date,nrMK_Link,$B236,nrMK_Credit,"Yes"),"mm/dd"),""),"OPEN"))</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IF(OR($B237="",N($I237)=0),"",SUMIFS(nrMK_Min,nrMK_Link,$B237,nrMK_Credit,"Yes"))</f>
        <v/>
      </c>
      <c r="Q237" s="17">
        <f>IF(OR($B237="",N($J237)=0),"",SUMIFS(nrMK_Sess,nrMK_Link,$B237,nrMK_Credit,"Yes"))</f>
        <v/>
      </c>
      <c r="R237" s="17">
        <f>IF(OR($B237="",$N237&lt;&gt;"Yes"),"",IF(N($I237)&gt;0,N($I237)-N($P237),IF(N($J237)&gt;0,N($J237)-N($Q237),"")))</f>
        <v/>
      </c>
      <c r="S237" s="17">
        <f>IF(OR($B237="",$R237=""),"",IF($R237&lt;=0,"CLEARED "&amp;IFERROR(TEXT(_xlfn.MAXIFS(nrMK_Date,nrMK_Link,$B237,nrMK_Credit,"Yes"),"mm/dd"),""),"OPEN"))</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IF(OR($B238="",N($I238)=0),"",SUMIFS(nrMK_Min,nrMK_Link,$B238,nrMK_Credit,"Yes"))</f>
        <v/>
      </c>
      <c r="Q238" s="17">
        <f>IF(OR($B238="",N($J238)=0),"",SUMIFS(nrMK_Sess,nrMK_Link,$B238,nrMK_Credit,"Yes"))</f>
        <v/>
      </c>
      <c r="R238" s="17">
        <f>IF(OR($B238="",$N238&lt;&gt;"Yes"),"",IF(N($I238)&gt;0,N($I238)-N($P238),IF(N($J238)&gt;0,N($J238)-N($Q238),"")))</f>
        <v/>
      </c>
      <c r="S238" s="17">
        <f>IF(OR($B238="",$R238=""),"",IF($R238&lt;=0,"CLEARED "&amp;IFERROR(TEXT(_xlfn.MAXIFS(nrMK_Date,nrMK_Link,$B238,nrMK_Credit,"Yes"),"mm/dd"),""),"OPEN"))</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IF(OR($B239="",N($I239)=0),"",SUMIFS(nrMK_Min,nrMK_Link,$B239,nrMK_Credit,"Yes"))</f>
        <v/>
      </c>
      <c r="Q239" s="17">
        <f>IF(OR($B239="",N($J239)=0),"",SUMIFS(nrMK_Sess,nrMK_Link,$B239,nrMK_Credit,"Yes"))</f>
        <v/>
      </c>
      <c r="R239" s="17">
        <f>IF(OR($B239="",$N239&lt;&gt;"Yes"),"",IF(N($I239)&gt;0,N($I239)-N($P239),IF(N($J239)&gt;0,N($J239)-N($Q239),"")))</f>
        <v/>
      </c>
      <c r="S239" s="17">
        <f>IF(OR($B239="",$R239=""),"",IF($R239&lt;=0,"CLEARED "&amp;IFERROR(TEXT(_xlfn.MAXIFS(nrMK_Date,nrMK_Link,$B239,nrMK_Credit,"Yes"),"mm/dd"),""),"OPEN"))</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IF(OR($B240="",N($I240)=0),"",SUMIFS(nrMK_Min,nrMK_Link,$B240,nrMK_Credit,"Yes"))</f>
        <v/>
      </c>
      <c r="Q240" s="17">
        <f>IF(OR($B240="",N($J240)=0),"",SUMIFS(nrMK_Sess,nrMK_Link,$B240,nrMK_Credit,"Yes"))</f>
        <v/>
      </c>
      <c r="R240" s="17">
        <f>IF(OR($B240="",$N240&lt;&gt;"Yes"),"",IF(N($I240)&gt;0,N($I240)-N($P240),IF(N($J240)&gt;0,N($J240)-N($Q240),"")))</f>
        <v/>
      </c>
      <c r="S240" s="17">
        <f>IF(OR($B240="",$R240=""),"",IF($R240&lt;=0,"CLEARED "&amp;IFERROR(TEXT(_xlfn.MAXIFS(nrMK_Date,nrMK_Link,$B240,nrMK_Credit,"Yes"),"mm/dd"),""),"OPEN"))</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IF(OR($B241="",N($I241)=0),"",SUMIFS(nrMK_Min,nrMK_Link,$B241,nrMK_Credit,"Yes"))</f>
        <v/>
      </c>
      <c r="Q241" s="17">
        <f>IF(OR($B241="",N($J241)=0),"",SUMIFS(nrMK_Sess,nrMK_Link,$B241,nrMK_Credit,"Yes"))</f>
        <v/>
      </c>
      <c r="R241" s="17">
        <f>IF(OR($B241="",$N241&lt;&gt;"Yes"),"",IF(N($I241)&gt;0,N($I241)-N($P241),IF(N($J241)&gt;0,N($J241)-N($Q241),"")))</f>
        <v/>
      </c>
      <c r="S241" s="17">
        <f>IF(OR($B241="",$R241=""),"",IF($R241&lt;=0,"CLEARED "&amp;IFERROR(TEXT(_xlfn.MAXIFS(nrMK_Date,nrMK_Link,$B241,nrMK_Credit,"Yes"),"mm/dd"),""),"OPEN"))</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IF(OR($B242="",N($I242)=0),"",SUMIFS(nrMK_Min,nrMK_Link,$B242,nrMK_Credit,"Yes"))</f>
        <v/>
      </c>
      <c r="Q242" s="17">
        <f>IF(OR($B242="",N($J242)=0),"",SUMIFS(nrMK_Sess,nrMK_Link,$B242,nrMK_Credit,"Yes"))</f>
        <v/>
      </c>
      <c r="R242" s="17">
        <f>IF(OR($B242="",$N242&lt;&gt;"Yes"),"",IF(N($I242)&gt;0,N($I242)-N($P242),IF(N($J242)&gt;0,N($J242)-N($Q242),"")))</f>
        <v/>
      </c>
      <c r="S242" s="17">
        <f>IF(OR($B242="",$R242=""),"",IF($R242&lt;=0,"CLEARED "&amp;IFERROR(TEXT(_xlfn.MAXIFS(nrMK_Date,nrMK_Link,$B242,nrMK_Credit,"Yes"),"mm/dd"),""),"OPEN"))</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IF(OR($B243="",N($I243)=0),"",SUMIFS(nrMK_Min,nrMK_Link,$B243,nrMK_Credit,"Yes"))</f>
        <v/>
      </c>
      <c r="Q243" s="17">
        <f>IF(OR($B243="",N($J243)=0),"",SUMIFS(nrMK_Sess,nrMK_Link,$B243,nrMK_Credit,"Yes"))</f>
        <v/>
      </c>
      <c r="R243" s="17">
        <f>IF(OR($B243="",$N243&lt;&gt;"Yes"),"",IF(N($I243)&gt;0,N($I243)-N($P243),IF(N($J243)&gt;0,N($J243)-N($Q243),"")))</f>
        <v/>
      </c>
      <c r="S243" s="17">
        <f>IF(OR($B243="",$R243=""),"",IF($R243&lt;=0,"CLEARED "&amp;IFERROR(TEXT(_xlfn.MAXIFS(nrMK_Date,nrMK_Link,$B243,nrMK_Credit,"Yes"),"mm/dd"),""),"OPEN"))</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IF(OR($B244="",N($I244)=0),"",SUMIFS(nrMK_Min,nrMK_Link,$B244,nrMK_Credit,"Yes"))</f>
        <v/>
      </c>
      <c r="Q244" s="17">
        <f>IF(OR($B244="",N($J244)=0),"",SUMIFS(nrMK_Sess,nrMK_Link,$B244,nrMK_Credit,"Yes"))</f>
        <v/>
      </c>
      <c r="R244" s="17">
        <f>IF(OR($B244="",$N244&lt;&gt;"Yes"),"",IF(N($I244)&gt;0,N($I244)-N($P244),IF(N($J244)&gt;0,N($J244)-N($Q244),"")))</f>
        <v/>
      </c>
      <c r="S244" s="17">
        <f>IF(OR($B244="",$R244=""),"",IF($R244&lt;=0,"CLEARED "&amp;IFERROR(TEXT(_xlfn.MAXIFS(nrMK_Date,nrMK_Link,$B244,nrMK_Credit,"Yes"),"mm/dd"),""),"OPEN"))</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IF(OR($B245="",N($I245)=0),"",SUMIFS(nrMK_Min,nrMK_Link,$B245,nrMK_Credit,"Yes"))</f>
        <v/>
      </c>
      <c r="Q245" s="17">
        <f>IF(OR($B245="",N($J245)=0),"",SUMIFS(nrMK_Sess,nrMK_Link,$B245,nrMK_Credit,"Yes"))</f>
        <v/>
      </c>
      <c r="R245" s="17">
        <f>IF(OR($B245="",$N245&lt;&gt;"Yes"),"",IF(N($I245)&gt;0,N($I245)-N($P245),IF(N($J245)&gt;0,N($J245)-N($Q245),"")))</f>
        <v/>
      </c>
      <c r="S245" s="17">
        <f>IF(OR($B245="",$R245=""),"",IF($R245&lt;=0,"CLEARED "&amp;IFERROR(TEXT(_xlfn.MAXIFS(nrMK_Date,nrMK_Link,$B245,nrMK_Credit,"Yes"),"mm/dd"),""),"OPEN"))</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IF(OR($B246="",N($I246)=0),"",SUMIFS(nrMK_Min,nrMK_Link,$B246,nrMK_Credit,"Yes"))</f>
        <v/>
      </c>
      <c r="Q246" s="17">
        <f>IF(OR($B246="",N($J246)=0),"",SUMIFS(nrMK_Sess,nrMK_Link,$B246,nrMK_Credit,"Yes"))</f>
        <v/>
      </c>
      <c r="R246" s="17">
        <f>IF(OR($B246="",$N246&lt;&gt;"Yes"),"",IF(N($I246)&gt;0,N($I246)-N($P246),IF(N($J246)&gt;0,N($J246)-N($Q246),"")))</f>
        <v/>
      </c>
      <c r="S246" s="17">
        <f>IF(OR($B246="",$R246=""),"",IF($R246&lt;=0,"CLEARED "&amp;IFERROR(TEXT(_xlfn.MAXIFS(nrMK_Date,nrMK_Link,$B246,nrMK_Credit,"Yes"),"mm/dd"),""),"OPEN"))</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IF(OR($B247="",N($I247)=0),"",SUMIFS(nrMK_Min,nrMK_Link,$B247,nrMK_Credit,"Yes"))</f>
        <v/>
      </c>
      <c r="Q247" s="17">
        <f>IF(OR($B247="",N($J247)=0),"",SUMIFS(nrMK_Sess,nrMK_Link,$B247,nrMK_Credit,"Yes"))</f>
        <v/>
      </c>
      <c r="R247" s="17">
        <f>IF(OR($B247="",$N247&lt;&gt;"Yes"),"",IF(N($I247)&gt;0,N($I247)-N($P247),IF(N($J247)&gt;0,N($J247)-N($Q247),"")))</f>
        <v/>
      </c>
      <c r="S247" s="17">
        <f>IF(OR($B247="",$R247=""),"",IF($R247&lt;=0,"CLEARED "&amp;IFERROR(TEXT(_xlfn.MAXIFS(nrMK_Date,nrMK_Link,$B247,nrMK_Credit,"Yes"),"mm/dd"),""),"OPEN"))</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IF(OR($B248="",N($I248)=0),"",SUMIFS(nrMK_Min,nrMK_Link,$B248,nrMK_Credit,"Yes"))</f>
        <v/>
      </c>
      <c r="Q248" s="17">
        <f>IF(OR($B248="",N($J248)=0),"",SUMIFS(nrMK_Sess,nrMK_Link,$B248,nrMK_Credit,"Yes"))</f>
        <v/>
      </c>
      <c r="R248" s="17">
        <f>IF(OR($B248="",$N248&lt;&gt;"Yes"),"",IF(N($I248)&gt;0,N($I248)-N($P248),IF(N($J248)&gt;0,N($J248)-N($Q248),"")))</f>
        <v/>
      </c>
      <c r="S248" s="17">
        <f>IF(OR($B248="",$R248=""),"",IF($R248&lt;=0,"CLEARED "&amp;IFERROR(TEXT(_xlfn.MAXIFS(nrMK_Date,nrMK_Link,$B248,nrMK_Credit,"Yes"),"mm/dd"),""),"OPEN"))</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IF(OR($B249="",N($I249)=0),"",SUMIFS(nrMK_Min,nrMK_Link,$B249,nrMK_Credit,"Yes"))</f>
        <v/>
      </c>
      <c r="Q249" s="17">
        <f>IF(OR($B249="",N($J249)=0),"",SUMIFS(nrMK_Sess,nrMK_Link,$B249,nrMK_Credit,"Yes"))</f>
        <v/>
      </c>
      <c r="R249" s="17">
        <f>IF(OR($B249="",$N249&lt;&gt;"Yes"),"",IF(N($I249)&gt;0,N($I249)-N($P249),IF(N($J249)&gt;0,N($J249)-N($Q249),"")))</f>
        <v/>
      </c>
      <c r="S249" s="17">
        <f>IF(OR($B249="",$R249=""),"",IF($R249&lt;=0,"CLEARED "&amp;IFERROR(TEXT(_xlfn.MAXIFS(nrMK_Date,nrMK_Link,$B249,nrMK_Credit,"Yes"),"mm/dd"),""),"OPEN"))</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IF(OR($B250="",N($I250)=0),"",SUMIFS(nrMK_Min,nrMK_Link,$B250,nrMK_Credit,"Yes"))</f>
        <v/>
      </c>
      <c r="Q250" s="17">
        <f>IF(OR($B250="",N($J250)=0),"",SUMIFS(nrMK_Sess,nrMK_Link,$B250,nrMK_Credit,"Yes"))</f>
        <v/>
      </c>
      <c r="R250" s="17">
        <f>IF(OR($B250="",$N250&lt;&gt;"Yes"),"",IF(N($I250)&gt;0,N($I250)-N($P250),IF(N($J250)&gt;0,N($J250)-N($Q250),"")))</f>
        <v/>
      </c>
      <c r="S250" s="17">
        <f>IF(OR($B250="",$R250=""),"",IF($R250&lt;=0,"CLEARED "&amp;IFERROR(TEXT(_xlfn.MAXIFS(nrMK_Date,nrMK_Link,$B250,nrMK_Credit,"Yes"),"mm/dd"),""),"OPEN"))</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IF(OR($B251="",N($I251)=0),"",SUMIFS(nrMK_Min,nrMK_Link,$B251,nrMK_Credit,"Yes"))</f>
        <v/>
      </c>
      <c r="Q251" s="17">
        <f>IF(OR($B251="",N($J251)=0),"",SUMIFS(nrMK_Sess,nrMK_Link,$B251,nrMK_Credit,"Yes"))</f>
        <v/>
      </c>
      <c r="R251" s="17">
        <f>IF(OR($B251="",$N251&lt;&gt;"Yes"),"",IF(N($I251)&gt;0,N($I251)-N($P251),IF(N($J251)&gt;0,N($J251)-N($Q251),"")))</f>
        <v/>
      </c>
      <c r="S251" s="17">
        <f>IF(OR($B251="",$R251=""),"",IF($R251&lt;=0,"CLEARED "&amp;IFERROR(TEXT(_xlfn.MAXIFS(nrMK_Date,nrMK_Link,$B251,nrMK_Credit,"Yes"),"mm/dd"),""),"OPEN"))</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IF(OR($B252="",N($I252)=0),"",SUMIFS(nrMK_Min,nrMK_Link,$B252,nrMK_Credit,"Yes"))</f>
        <v/>
      </c>
      <c r="Q252" s="17">
        <f>IF(OR($B252="",N($J252)=0),"",SUMIFS(nrMK_Sess,nrMK_Link,$B252,nrMK_Credit,"Yes"))</f>
        <v/>
      </c>
      <c r="R252" s="17">
        <f>IF(OR($B252="",$N252&lt;&gt;"Yes"),"",IF(N($I252)&gt;0,N($I252)-N($P252),IF(N($J252)&gt;0,N($J252)-N($Q252),"")))</f>
        <v/>
      </c>
      <c r="S252" s="17">
        <f>IF(OR($B252="",$R252=""),"",IF($R252&lt;=0,"CLEARED "&amp;IFERROR(TEXT(_xlfn.MAXIFS(nrMK_Date,nrMK_Link,$B252,nrMK_Credit,"Yes"),"mm/dd"),""),"OPEN"))</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IF(OR($B253="",N($I253)=0),"",SUMIFS(nrMK_Min,nrMK_Link,$B253,nrMK_Credit,"Yes"))</f>
        <v/>
      </c>
      <c r="Q253" s="17">
        <f>IF(OR($B253="",N($J253)=0),"",SUMIFS(nrMK_Sess,nrMK_Link,$B253,nrMK_Credit,"Yes"))</f>
        <v/>
      </c>
      <c r="R253" s="17">
        <f>IF(OR($B253="",$N253&lt;&gt;"Yes"),"",IF(N($I253)&gt;0,N($I253)-N($P253),IF(N($J253)&gt;0,N($J253)-N($Q253),"")))</f>
        <v/>
      </c>
      <c r="S253" s="17">
        <f>IF(OR($B253="",$R253=""),"",IF($R253&lt;=0,"CLEARED "&amp;IFERROR(TEXT(_xlfn.MAXIFS(nrMK_Date,nrMK_Link,$B253,nrMK_Credit,"Yes"),"mm/dd"),""),"OPEN"))</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IF(OR($B254="",N($I254)=0),"",SUMIFS(nrMK_Min,nrMK_Link,$B254,nrMK_Credit,"Yes"))</f>
        <v/>
      </c>
      <c r="Q254" s="17">
        <f>IF(OR($B254="",N($J254)=0),"",SUMIFS(nrMK_Sess,nrMK_Link,$B254,nrMK_Credit,"Yes"))</f>
        <v/>
      </c>
      <c r="R254" s="17">
        <f>IF(OR($B254="",$N254&lt;&gt;"Yes"),"",IF(N($I254)&gt;0,N($I254)-N($P254),IF(N($J254)&gt;0,N($J254)-N($Q254),"")))</f>
        <v/>
      </c>
      <c r="S254" s="17">
        <f>IF(OR($B254="",$R254=""),"",IF($R254&lt;=0,"CLEARED "&amp;IFERROR(TEXT(_xlfn.MAXIFS(nrMK_Date,nrMK_Link,$B254,nrMK_Credit,"Yes"),"mm/dd"),""),"OPEN"))</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IF(OR($B255="",N($I255)=0),"",SUMIFS(nrMK_Min,nrMK_Link,$B255,nrMK_Credit,"Yes"))</f>
        <v/>
      </c>
      <c r="Q255" s="17">
        <f>IF(OR($B255="",N($J255)=0),"",SUMIFS(nrMK_Sess,nrMK_Link,$B255,nrMK_Credit,"Yes"))</f>
        <v/>
      </c>
      <c r="R255" s="17">
        <f>IF(OR($B255="",$N255&lt;&gt;"Yes"),"",IF(N($I255)&gt;0,N($I255)-N($P255),IF(N($J255)&gt;0,N($J255)-N($Q255),"")))</f>
        <v/>
      </c>
      <c r="S255" s="17">
        <f>IF(OR($B255="",$R255=""),"",IF($R255&lt;=0,"CLEARED "&amp;IFERROR(TEXT(_xlfn.MAXIFS(nrMK_Date,nrMK_Link,$B255,nrMK_Credit,"Yes"),"mm/dd"),""),"OPEN"))</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IF(OR($B256="",N($I256)=0),"",SUMIFS(nrMK_Min,nrMK_Link,$B256,nrMK_Credit,"Yes"))</f>
        <v/>
      </c>
      <c r="Q256" s="17">
        <f>IF(OR($B256="",N($J256)=0),"",SUMIFS(nrMK_Sess,nrMK_Link,$B256,nrMK_Credit,"Yes"))</f>
        <v/>
      </c>
      <c r="R256" s="17">
        <f>IF(OR($B256="",$N256&lt;&gt;"Yes"),"",IF(N($I256)&gt;0,N($I256)-N($P256),IF(N($J256)&gt;0,N($J256)-N($Q256),"")))</f>
        <v/>
      </c>
      <c r="S256" s="17">
        <f>IF(OR($B256="",$R256=""),"",IF($R256&lt;=0,"CLEARED "&amp;IFERROR(TEXT(_xlfn.MAXIFS(nrMK_Date,nrMK_Link,$B256,nrMK_Credit,"Yes"),"mm/dd"),""),"OPEN"))</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IF(OR($B257="",N($I257)=0),"",SUMIFS(nrMK_Min,nrMK_Link,$B257,nrMK_Credit,"Yes"))</f>
        <v/>
      </c>
      <c r="Q257" s="17">
        <f>IF(OR($B257="",N($J257)=0),"",SUMIFS(nrMK_Sess,nrMK_Link,$B257,nrMK_Credit,"Yes"))</f>
        <v/>
      </c>
      <c r="R257" s="17">
        <f>IF(OR($B257="",$N257&lt;&gt;"Yes"),"",IF(N($I257)&gt;0,N($I257)-N($P257),IF(N($J257)&gt;0,N($J257)-N($Q257),"")))</f>
        <v/>
      </c>
      <c r="S257" s="17">
        <f>IF(OR($B257="",$R257=""),"",IF($R257&lt;=0,"CLEARED "&amp;IFERROR(TEXT(_xlfn.MAXIFS(nrMK_Date,nrMK_Link,$B257,nrMK_Credit,"Yes"),"mm/dd"),""),"OPEN"))</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IF(OR($B258="",N($I258)=0),"",SUMIFS(nrMK_Min,nrMK_Link,$B258,nrMK_Credit,"Yes"))</f>
        <v/>
      </c>
      <c r="Q258" s="17">
        <f>IF(OR($B258="",N($J258)=0),"",SUMIFS(nrMK_Sess,nrMK_Link,$B258,nrMK_Credit,"Yes"))</f>
        <v/>
      </c>
      <c r="R258" s="17">
        <f>IF(OR($B258="",$N258&lt;&gt;"Yes"),"",IF(N($I258)&gt;0,N($I258)-N($P258),IF(N($J258)&gt;0,N($J258)-N($Q258),"")))</f>
        <v/>
      </c>
      <c r="S258" s="17">
        <f>IF(OR($B258="",$R258=""),"",IF($R258&lt;=0,"CLEARED "&amp;IFERROR(TEXT(_xlfn.MAXIFS(nrMK_Date,nrMK_Link,$B258,nrMK_Credit,"Yes"),"mm/dd"),""),"OPEN"))</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IF(OR($B259="",N($I259)=0),"",SUMIFS(nrMK_Min,nrMK_Link,$B259,nrMK_Credit,"Yes"))</f>
        <v/>
      </c>
      <c r="Q259" s="17">
        <f>IF(OR($B259="",N($J259)=0),"",SUMIFS(nrMK_Sess,nrMK_Link,$B259,nrMK_Credit,"Yes"))</f>
        <v/>
      </c>
      <c r="R259" s="17">
        <f>IF(OR($B259="",$N259&lt;&gt;"Yes"),"",IF(N($I259)&gt;0,N($I259)-N($P259),IF(N($J259)&gt;0,N($J259)-N($Q259),"")))</f>
        <v/>
      </c>
      <c r="S259" s="17">
        <f>IF(OR($B259="",$R259=""),"",IF($R259&lt;=0,"CLEARED "&amp;IFERROR(TEXT(_xlfn.MAXIFS(nrMK_Date,nrMK_Link,$B259,nrMK_Credit,"Yes"),"mm/dd"),""),"OPEN"))</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IF(OR($B260="",N($I260)=0),"",SUMIFS(nrMK_Min,nrMK_Link,$B260,nrMK_Credit,"Yes"))</f>
        <v/>
      </c>
      <c r="Q260" s="17">
        <f>IF(OR($B260="",N($J260)=0),"",SUMIFS(nrMK_Sess,nrMK_Link,$B260,nrMK_Credit,"Yes"))</f>
        <v/>
      </c>
      <c r="R260" s="17">
        <f>IF(OR($B260="",$N260&lt;&gt;"Yes"),"",IF(N($I260)&gt;0,N($I260)-N($P260),IF(N($J260)&gt;0,N($J260)-N($Q260),"")))</f>
        <v/>
      </c>
      <c r="S260" s="17">
        <f>IF(OR($B260="",$R260=""),"",IF($R260&lt;=0,"CLEARED "&amp;IFERROR(TEXT(_xlfn.MAXIFS(nrMK_Date,nrMK_Link,$B260,nrMK_Credit,"Yes"),"mm/dd"),""),"OPEN"))</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IF(OR($B261="",N($I261)=0),"",SUMIFS(nrMK_Min,nrMK_Link,$B261,nrMK_Credit,"Yes"))</f>
        <v/>
      </c>
      <c r="Q261" s="17">
        <f>IF(OR($B261="",N($J261)=0),"",SUMIFS(nrMK_Sess,nrMK_Link,$B261,nrMK_Credit,"Yes"))</f>
        <v/>
      </c>
      <c r="R261" s="17">
        <f>IF(OR($B261="",$N261&lt;&gt;"Yes"),"",IF(N($I261)&gt;0,N($I261)-N($P261),IF(N($J261)&gt;0,N($J261)-N($Q261),"")))</f>
        <v/>
      </c>
      <c r="S261" s="17">
        <f>IF(OR($B261="",$R261=""),"",IF($R261&lt;=0,"CLEARED "&amp;IFERROR(TEXT(_xlfn.MAXIFS(nrMK_Date,nrMK_Link,$B261,nrMK_Credit,"Yes"),"mm/dd"),""),"OPEN"))</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IF(OR($B262="",N($I262)=0),"",SUMIFS(nrMK_Min,nrMK_Link,$B262,nrMK_Credit,"Yes"))</f>
        <v/>
      </c>
      <c r="Q262" s="17">
        <f>IF(OR($B262="",N($J262)=0),"",SUMIFS(nrMK_Sess,nrMK_Link,$B262,nrMK_Credit,"Yes"))</f>
        <v/>
      </c>
      <c r="R262" s="17">
        <f>IF(OR($B262="",$N262&lt;&gt;"Yes"),"",IF(N($I262)&gt;0,N($I262)-N($P262),IF(N($J262)&gt;0,N($J262)-N($Q262),"")))</f>
        <v/>
      </c>
      <c r="S262" s="17">
        <f>IF(OR($B262="",$R262=""),"",IF($R262&lt;=0,"CLEARED "&amp;IFERROR(TEXT(_xlfn.MAXIFS(nrMK_Date,nrMK_Link,$B262,nrMK_Credit,"Yes"),"mm/dd"),""),"OPEN"))</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IF(OR($B263="",N($I263)=0),"",SUMIFS(nrMK_Min,nrMK_Link,$B263,nrMK_Credit,"Yes"))</f>
        <v/>
      </c>
      <c r="Q263" s="17">
        <f>IF(OR($B263="",N($J263)=0),"",SUMIFS(nrMK_Sess,nrMK_Link,$B263,nrMK_Credit,"Yes"))</f>
        <v/>
      </c>
      <c r="R263" s="17">
        <f>IF(OR($B263="",$N263&lt;&gt;"Yes"),"",IF(N($I263)&gt;0,N($I263)-N($P263),IF(N($J263)&gt;0,N($J263)-N($Q263),"")))</f>
        <v/>
      </c>
      <c r="S263" s="17">
        <f>IF(OR($B263="",$R263=""),"",IF($R263&lt;=0,"CLEARED "&amp;IFERROR(TEXT(_xlfn.MAXIFS(nrMK_Date,nrMK_Link,$B263,nrMK_Credit,"Yes"),"mm/dd"),""),"OPEN"))</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IF(OR($B264="",N($I264)=0),"",SUMIFS(nrMK_Min,nrMK_Link,$B264,nrMK_Credit,"Yes"))</f>
        <v/>
      </c>
      <c r="Q264" s="17">
        <f>IF(OR($B264="",N($J264)=0),"",SUMIFS(nrMK_Sess,nrMK_Link,$B264,nrMK_Credit,"Yes"))</f>
        <v/>
      </c>
      <c r="R264" s="17">
        <f>IF(OR($B264="",$N264&lt;&gt;"Yes"),"",IF(N($I264)&gt;0,N($I264)-N($P264),IF(N($J264)&gt;0,N($J264)-N($Q264),"")))</f>
        <v/>
      </c>
      <c r="S264" s="17">
        <f>IF(OR($B264="",$R264=""),"",IF($R264&lt;=0,"CLEARED "&amp;IFERROR(TEXT(_xlfn.MAXIFS(nrMK_Date,nrMK_Link,$B264,nrMK_Credit,"Yes"),"mm/dd"),""),"OPEN"))</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IF(OR($B265="",N($I265)=0),"",SUMIFS(nrMK_Min,nrMK_Link,$B265,nrMK_Credit,"Yes"))</f>
        <v/>
      </c>
      <c r="Q265" s="17">
        <f>IF(OR($B265="",N($J265)=0),"",SUMIFS(nrMK_Sess,nrMK_Link,$B265,nrMK_Credit,"Yes"))</f>
        <v/>
      </c>
      <c r="R265" s="17">
        <f>IF(OR($B265="",$N265&lt;&gt;"Yes"),"",IF(N($I265)&gt;0,N($I265)-N($P265),IF(N($J265)&gt;0,N($J265)-N($Q265),"")))</f>
        <v/>
      </c>
      <c r="S265" s="17">
        <f>IF(OR($B265="",$R265=""),"",IF($R265&lt;=0,"CLEARED "&amp;IFERROR(TEXT(_xlfn.MAXIFS(nrMK_Date,nrMK_Link,$B265,nrMK_Credit,"Yes"),"mm/dd"),""),"OPEN"))</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IF(OR($B266="",N($I266)=0),"",SUMIFS(nrMK_Min,nrMK_Link,$B266,nrMK_Credit,"Yes"))</f>
        <v/>
      </c>
      <c r="Q266" s="17">
        <f>IF(OR($B266="",N($J266)=0),"",SUMIFS(nrMK_Sess,nrMK_Link,$B266,nrMK_Credit,"Yes"))</f>
        <v/>
      </c>
      <c r="R266" s="17">
        <f>IF(OR($B266="",$N266&lt;&gt;"Yes"),"",IF(N($I266)&gt;0,N($I266)-N($P266),IF(N($J266)&gt;0,N($J266)-N($Q266),"")))</f>
        <v/>
      </c>
      <c r="S266" s="17">
        <f>IF(OR($B266="",$R266=""),"",IF($R266&lt;=0,"CLEARED "&amp;IFERROR(TEXT(_xlfn.MAXIFS(nrMK_Date,nrMK_Link,$B266,nrMK_Credit,"Yes"),"mm/dd"),""),"OPEN"))</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IF(OR($B267="",N($I267)=0),"",SUMIFS(nrMK_Min,nrMK_Link,$B267,nrMK_Credit,"Yes"))</f>
        <v/>
      </c>
      <c r="Q267" s="17">
        <f>IF(OR($B267="",N($J267)=0),"",SUMIFS(nrMK_Sess,nrMK_Link,$B267,nrMK_Credit,"Yes"))</f>
        <v/>
      </c>
      <c r="R267" s="17">
        <f>IF(OR($B267="",$N267&lt;&gt;"Yes"),"",IF(N($I267)&gt;0,N($I267)-N($P267),IF(N($J267)&gt;0,N($J267)-N($Q267),"")))</f>
        <v/>
      </c>
      <c r="S267" s="17">
        <f>IF(OR($B267="",$R267=""),"",IF($R267&lt;=0,"CLEARED "&amp;IFERROR(TEXT(_xlfn.MAXIFS(nrMK_Date,nrMK_Link,$B267,nrMK_Credit,"Yes"),"mm/dd"),""),"OPEN"))</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IF(OR($B268="",N($I268)=0),"",SUMIFS(nrMK_Min,nrMK_Link,$B268,nrMK_Credit,"Yes"))</f>
        <v/>
      </c>
      <c r="Q268" s="17">
        <f>IF(OR($B268="",N($J268)=0),"",SUMIFS(nrMK_Sess,nrMK_Link,$B268,nrMK_Credit,"Yes"))</f>
        <v/>
      </c>
      <c r="R268" s="17">
        <f>IF(OR($B268="",$N268&lt;&gt;"Yes"),"",IF(N($I268)&gt;0,N($I268)-N($P268),IF(N($J268)&gt;0,N($J268)-N($Q268),"")))</f>
        <v/>
      </c>
      <c r="S268" s="17">
        <f>IF(OR($B268="",$R268=""),"",IF($R268&lt;=0,"CLEARED "&amp;IFERROR(TEXT(_xlfn.MAXIFS(nrMK_Date,nrMK_Link,$B268,nrMK_Credit,"Yes"),"mm/dd"),""),"OPEN"))</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IF(OR($B269="",N($I269)=0),"",SUMIFS(nrMK_Min,nrMK_Link,$B269,nrMK_Credit,"Yes"))</f>
        <v/>
      </c>
      <c r="Q269" s="17">
        <f>IF(OR($B269="",N($J269)=0),"",SUMIFS(nrMK_Sess,nrMK_Link,$B269,nrMK_Credit,"Yes"))</f>
        <v/>
      </c>
      <c r="R269" s="17">
        <f>IF(OR($B269="",$N269&lt;&gt;"Yes"),"",IF(N($I269)&gt;0,N($I269)-N($P269),IF(N($J269)&gt;0,N($J269)-N($Q269),"")))</f>
        <v/>
      </c>
      <c r="S269" s="17">
        <f>IF(OR($B269="",$R269=""),"",IF($R269&lt;=0,"CLEARED "&amp;IFERROR(TEXT(_xlfn.MAXIFS(nrMK_Date,nrMK_Link,$B269,nrMK_Credit,"Yes"),"mm/dd"),""),"OPEN"))</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IF(OR($B270="",N($I270)=0),"",SUMIFS(nrMK_Min,nrMK_Link,$B270,nrMK_Credit,"Yes"))</f>
        <v/>
      </c>
      <c r="Q270" s="17">
        <f>IF(OR($B270="",N($J270)=0),"",SUMIFS(nrMK_Sess,nrMK_Link,$B270,nrMK_Credit,"Yes"))</f>
        <v/>
      </c>
      <c r="R270" s="17">
        <f>IF(OR($B270="",$N270&lt;&gt;"Yes"),"",IF(N($I270)&gt;0,N($I270)-N($P270),IF(N($J270)&gt;0,N($J270)-N($Q270),"")))</f>
        <v/>
      </c>
      <c r="S270" s="17">
        <f>IF(OR($B270="",$R270=""),"",IF($R270&lt;=0,"CLEARED "&amp;IFERROR(TEXT(_xlfn.MAXIFS(nrMK_Date,nrMK_Link,$B270,nrMK_Credit,"Yes"),"mm/dd"),""),"OPEN"))</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IF(OR($B271="",N($I271)=0),"",SUMIFS(nrMK_Min,nrMK_Link,$B271,nrMK_Credit,"Yes"))</f>
        <v/>
      </c>
      <c r="Q271" s="17">
        <f>IF(OR($B271="",N($J271)=0),"",SUMIFS(nrMK_Sess,nrMK_Link,$B271,nrMK_Credit,"Yes"))</f>
        <v/>
      </c>
      <c r="R271" s="17">
        <f>IF(OR($B271="",$N271&lt;&gt;"Yes"),"",IF(N($I271)&gt;0,N($I271)-N($P271),IF(N($J271)&gt;0,N($J271)-N($Q271),"")))</f>
        <v/>
      </c>
      <c r="S271" s="17">
        <f>IF(OR($B271="",$R271=""),"",IF($R271&lt;=0,"CLEARED "&amp;IFERROR(TEXT(_xlfn.MAXIFS(nrMK_Date,nrMK_Link,$B271,nrMK_Credit,"Yes"),"mm/dd"),""),"OPEN"))</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IF(OR($B272="",N($I272)=0),"",SUMIFS(nrMK_Min,nrMK_Link,$B272,nrMK_Credit,"Yes"))</f>
        <v/>
      </c>
      <c r="Q272" s="17">
        <f>IF(OR($B272="",N($J272)=0),"",SUMIFS(nrMK_Sess,nrMK_Link,$B272,nrMK_Credit,"Yes"))</f>
        <v/>
      </c>
      <c r="R272" s="17">
        <f>IF(OR($B272="",$N272&lt;&gt;"Yes"),"",IF(N($I272)&gt;0,N($I272)-N($P272),IF(N($J272)&gt;0,N($J272)-N($Q272),"")))</f>
        <v/>
      </c>
      <c r="S272" s="17">
        <f>IF(OR($B272="",$R272=""),"",IF($R272&lt;=0,"CLEARED "&amp;IFERROR(TEXT(_xlfn.MAXIFS(nrMK_Date,nrMK_Link,$B272,nrMK_Credit,"Yes"),"mm/dd"),""),"OPEN"))</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IF(OR($B273="",N($I273)=0),"",SUMIFS(nrMK_Min,nrMK_Link,$B273,nrMK_Credit,"Yes"))</f>
        <v/>
      </c>
      <c r="Q273" s="17">
        <f>IF(OR($B273="",N($J273)=0),"",SUMIFS(nrMK_Sess,nrMK_Link,$B273,nrMK_Credit,"Yes"))</f>
        <v/>
      </c>
      <c r="R273" s="17">
        <f>IF(OR($B273="",$N273&lt;&gt;"Yes"),"",IF(N($I273)&gt;0,N($I273)-N($P273),IF(N($J273)&gt;0,N($J273)-N($Q273),"")))</f>
        <v/>
      </c>
      <c r="S273" s="17">
        <f>IF(OR($B273="",$R273=""),"",IF($R273&lt;=0,"CLEARED "&amp;IFERROR(TEXT(_xlfn.MAXIFS(nrMK_Date,nrMK_Link,$B273,nrMK_Credit,"Yes"),"mm/dd"),""),"OPEN"))</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IF(OR($B274="",N($I274)=0),"",SUMIFS(nrMK_Min,nrMK_Link,$B274,nrMK_Credit,"Yes"))</f>
        <v/>
      </c>
      <c r="Q274" s="17">
        <f>IF(OR($B274="",N($J274)=0),"",SUMIFS(nrMK_Sess,nrMK_Link,$B274,nrMK_Credit,"Yes"))</f>
        <v/>
      </c>
      <c r="R274" s="17">
        <f>IF(OR($B274="",$N274&lt;&gt;"Yes"),"",IF(N($I274)&gt;0,N($I274)-N($P274),IF(N($J274)&gt;0,N($J274)-N($Q274),"")))</f>
        <v/>
      </c>
      <c r="S274" s="17">
        <f>IF(OR($B274="",$R274=""),"",IF($R274&lt;=0,"CLEARED "&amp;IFERROR(TEXT(_xlfn.MAXIFS(nrMK_Date,nrMK_Link,$B274,nrMK_Credit,"Yes"),"mm/dd"),""),"OPEN"))</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IF(OR($B275="",N($I275)=0),"",SUMIFS(nrMK_Min,nrMK_Link,$B275,nrMK_Credit,"Yes"))</f>
        <v/>
      </c>
      <c r="Q275" s="17">
        <f>IF(OR($B275="",N($J275)=0),"",SUMIFS(nrMK_Sess,nrMK_Link,$B275,nrMK_Credit,"Yes"))</f>
        <v/>
      </c>
      <c r="R275" s="17">
        <f>IF(OR($B275="",$N275&lt;&gt;"Yes"),"",IF(N($I275)&gt;0,N($I275)-N($P275),IF(N($J275)&gt;0,N($J275)-N($Q275),"")))</f>
        <v/>
      </c>
      <c r="S275" s="17">
        <f>IF(OR($B275="",$R275=""),"",IF($R275&lt;=0,"CLEARED "&amp;IFERROR(TEXT(_xlfn.MAXIFS(nrMK_Date,nrMK_Link,$B275,nrMK_Credit,"Yes"),"mm/dd"),""),"OPEN"))</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IF(OR($B276="",N($I276)=0),"",SUMIFS(nrMK_Min,nrMK_Link,$B276,nrMK_Credit,"Yes"))</f>
        <v/>
      </c>
      <c r="Q276" s="17">
        <f>IF(OR($B276="",N($J276)=0),"",SUMIFS(nrMK_Sess,nrMK_Link,$B276,nrMK_Credit,"Yes"))</f>
        <v/>
      </c>
      <c r="R276" s="17">
        <f>IF(OR($B276="",$N276&lt;&gt;"Yes"),"",IF(N($I276)&gt;0,N($I276)-N($P276),IF(N($J276)&gt;0,N($J276)-N($Q276),"")))</f>
        <v/>
      </c>
      <c r="S276" s="17">
        <f>IF(OR($B276="",$R276=""),"",IF($R276&lt;=0,"CLEARED "&amp;IFERROR(TEXT(_xlfn.MAXIFS(nrMK_Date,nrMK_Link,$B276,nrMK_Credit,"Yes"),"mm/dd"),""),"OPEN"))</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IF(OR($B277="",N($I277)=0),"",SUMIFS(nrMK_Min,nrMK_Link,$B277,nrMK_Credit,"Yes"))</f>
        <v/>
      </c>
      <c r="Q277" s="17">
        <f>IF(OR($B277="",N($J277)=0),"",SUMIFS(nrMK_Sess,nrMK_Link,$B277,nrMK_Credit,"Yes"))</f>
        <v/>
      </c>
      <c r="R277" s="17">
        <f>IF(OR($B277="",$N277&lt;&gt;"Yes"),"",IF(N($I277)&gt;0,N($I277)-N($P277),IF(N($J277)&gt;0,N($J277)-N($Q277),"")))</f>
        <v/>
      </c>
      <c r="S277" s="17">
        <f>IF(OR($B277="",$R277=""),"",IF($R277&lt;=0,"CLEARED "&amp;IFERROR(TEXT(_xlfn.MAXIFS(nrMK_Date,nrMK_Link,$B277,nrMK_Credit,"Yes"),"mm/dd"),""),"OPEN"))</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IF(OR($B278="",N($I278)=0),"",SUMIFS(nrMK_Min,nrMK_Link,$B278,nrMK_Credit,"Yes"))</f>
        <v/>
      </c>
      <c r="Q278" s="17">
        <f>IF(OR($B278="",N($J278)=0),"",SUMIFS(nrMK_Sess,nrMK_Link,$B278,nrMK_Credit,"Yes"))</f>
        <v/>
      </c>
      <c r="R278" s="17">
        <f>IF(OR($B278="",$N278&lt;&gt;"Yes"),"",IF(N($I278)&gt;0,N($I278)-N($P278),IF(N($J278)&gt;0,N($J278)-N($Q278),"")))</f>
        <v/>
      </c>
      <c r="S278" s="17">
        <f>IF(OR($B278="",$R278=""),"",IF($R278&lt;=0,"CLEARED "&amp;IFERROR(TEXT(_xlfn.MAXIFS(nrMK_Date,nrMK_Link,$B278,nrMK_Credit,"Yes"),"mm/dd"),""),"OPEN"))</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IF(OR($B279="",N($I279)=0),"",SUMIFS(nrMK_Min,nrMK_Link,$B279,nrMK_Credit,"Yes"))</f>
        <v/>
      </c>
      <c r="Q279" s="17">
        <f>IF(OR($B279="",N($J279)=0),"",SUMIFS(nrMK_Sess,nrMK_Link,$B279,nrMK_Credit,"Yes"))</f>
        <v/>
      </c>
      <c r="R279" s="17">
        <f>IF(OR($B279="",$N279&lt;&gt;"Yes"),"",IF(N($I279)&gt;0,N($I279)-N($P279),IF(N($J279)&gt;0,N($J279)-N($Q279),"")))</f>
        <v/>
      </c>
      <c r="S279" s="17">
        <f>IF(OR($B279="",$R279=""),"",IF($R279&lt;=0,"CLEARED "&amp;IFERROR(TEXT(_xlfn.MAXIFS(nrMK_Date,nrMK_Link,$B279,nrMK_Credit,"Yes"),"mm/dd"),""),"OPEN"))</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IF(OR($B280="",N($I280)=0),"",SUMIFS(nrMK_Min,nrMK_Link,$B280,nrMK_Credit,"Yes"))</f>
        <v/>
      </c>
      <c r="Q280" s="17">
        <f>IF(OR($B280="",N($J280)=0),"",SUMIFS(nrMK_Sess,nrMK_Link,$B280,nrMK_Credit,"Yes"))</f>
        <v/>
      </c>
      <c r="R280" s="17">
        <f>IF(OR($B280="",$N280&lt;&gt;"Yes"),"",IF(N($I280)&gt;0,N($I280)-N($P280),IF(N($J280)&gt;0,N($J280)-N($Q280),"")))</f>
        <v/>
      </c>
      <c r="S280" s="17">
        <f>IF(OR($B280="",$R280=""),"",IF($R280&lt;=0,"CLEARED "&amp;IFERROR(TEXT(_xlfn.MAXIFS(nrMK_Date,nrMK_Link,$B280,nrMK_Credit,"Yes"),"mm/dd"),""),"OPEN"))</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IF(OR($B281="",N($I281)=0),"",SUMIFS(nrMK_Min,nrMK_Link,$B281,nrMK_Credit,"Yes"))</f>
        <v/>
      </c>
      <c r="Q281" s="17">
        <f>IF(OR($B281="",N($J281)=0),"",SUMIFS(nrMK_Sess,nrMK_Link,$B281,nrMK_Credit,"Yes"))</f>
        <v/>
      </c>
      <c r="R281" s="17">
        <f>IF(OR($B281="",$N281&lt;&gt;"Yes"),"",IF(N($I281)&gt;0,N($I281)-N($P281),IF(N($J281)&gt;0,N($J281)-N($Q281),"")))</f>
        <v/>
      </c>
      <c r="S281" s="17">
        <f>IF(OR($B281="",$R281=""),"",IF($R281&lt;=0,"CLEARED "&amp;IFERROR(TEXT(_xlfn.MAXIFS(nrMK_Date,nrMK_Link,$B281,nrMK_Credit,"Yes"),"mm/dd"),""),"OPEN"))</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IF(OR($B282="",N($I282)=0),"",SUMIFS(nrMK_Min,nrMK_Link,$B282,nrMK_Credit,"Yes"))</f>
        <v/>
      </c>
      <c r="Q282" s="17">
        <f>IF(OR($B282="",N($J282)=0),"",SUMIFS(nrMK_Sess,nrMK_Link,$B282,nrMK_Credit,"Yes"))</f>
        <v/>
      </c>
      <c r="R282" s="17">
        <f>IF(OR($B282="",$N282&lt;&gt;"Yes"),"",IF(N($I282)&gt;0,N($I282)-N($P282),IF(N($J282)&gt;0,N($J282)-N($Q282),"")))</f>
        <v/>
      </c>
      <c r="S282" s="17">
        <f>IF(OR($B282="",$R282=""),"",IF($R282&lt;=0,"CLEARED "&amp;IFERROR(TEXT(_xlfn.MAXIFS(nrMK_Date,nrMK_Link,$B282,nrMK_Credit,"Yes"),"mm/dd"),""),"OPEN"))</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IF(OR($B283="",N($I283)=0),"",SUMIFS(nrMK_Min,nrMK_Link,$B283,nrMK_Credit,"Yes"))</f>
        <v/>
      </c>
      <c r="Q283" s="17">
        <f>IF(OR($B283="",N($J283)=0),"",SUMIFS(nrMK_Sess,nrMK_Link,$B283,nrMK_Credit,"Yes"))</f>
        <v/>
      </c>
      <c r="R283" s="17">
        <f>IF(OR($B283="",$N283&lt;&gt;"Yes"),"",IF(N($I283)&gt;0,N($I283)-N($P283),IF(N($J283)&gt;0,N($J283)-N($Q283),"")))</f>
        <v/>
      </c>
      <c r="S283" s="17">
        <f>IF(OR($B283="",$R283=""),"",IF($R283&lt;=0,"CLEARED "&amp;IFERROR(TEXT(_xlfn.MAXIFS(nrMK_Date,nrMK_Link,$B283,nrMK_Credit,"Yes"),"mm/dd"),""),"OPEN"))</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IF(OR($B284="",N($I284)=0),"",SUMIFS(nrMK_Min,nrMK_Link,$B284,nrMK_Credit,"Yes"))</f>
        <v/>
      </c>
      <c r="Q284" s="17">
        <f>IF(OR($B284="",N($J284)=0),"",SUMIFS(nrMK_Sess,nrMK_Link,$B284,nrMK_Credit,"Yes"))</f>
        <v/>
      </c>
      <c r="R284" s="17">
        <f>IF(OR($B284="",$N284&lt;&gt;"Yes"),"",IF(N($I284)&gt;0,N($I284)-N($P284),IF(N($J284)&gt;0,N($J284)-N($Q284),"")))</f>
        <v/>
      </c>
      <c r="S284" s="17">
        <f>IF(OR($B284="",$R284=""),"",IF($R284&lt;=0,"CLEARED "&amp;IFERROR(TEXT(_xlfn.MAXIFS(nrMK_Date,nrMK_Link,$B284,nrMK_Credit,"Yes"),"mm/dd"),""),"OPEN"))</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IF(OR($B285="",N($I285)=0),"",SUMIFS(nrMK_Min,nrMK_Link,$B285,nrMK_Credit,"Yes"))</f>
        <v/>
      </c>
      <c r="Q285" s="17">
        <f>IF(OR($B285="",N($J285)=0),"",SUMIFS(nrMK_Sess,nrMK_Link,$B285,nrMK_Credit,"Yes"))</f>
        <v/>
      </c>
      <c r="R285" s="17">
        <f>IF(OR($B285="",$N285&lt;&gt;"Yes"),"",IF(N($I285)&gt;0,N($I285)-N($P285),IF(N($J285)&gt;0,N($J285)-N($Q285),"")))</f>
        <v/>
      </c>
      <c r="S285" s="17">
        <f>IF(OR($B285="",$R285=""),"",IF($R285&lt;=0,"CLEARED "&amp;IFERROR(TEXT(_xlfn.MAXIFS(nrMK_Date,nrMK_Link,$B285,nrMK_Credit,"Yes"),"mm/dd"),""),"OPEN"))</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IF(OR($B286="",N($I286)=0),"",SUMIFS(nrMK_Min,nrMK_Link,$B286,nrMK_Credit,"Yes"))</f>
        <v/>
      </c>
      <c r="Q286" s="17">
        <f>IF(OR($B286="",N($J286)=0),"",SUMIFS(nrMK_Sess,nrMK_Link,$B286,nrMK_Credit,"Yes"))</f>
        <v/>
      </c>
      <c r="R286" s="17">
        <f>IF(OR($B286="",$N286&lt;&gt;"Yes"),"",IF(N($I286)&gt;0,N($I286)-N($P286),IF(N($J286)&gt;0,N($J286)-N($Q286),"")))</f>
        <v/>
      </c>
      <c r="S286" s="17">
        <f>IF(OR($B286="",$R286=""),"",IF($R286&lt;=0,"CLEARED "&amp;IFERROR(TEXT(_xlfn.MAXIFS(nrMK_Date,nrMK_Link,$B286,nrMK_Credit,"Yes"),"mm/dd"),""),"OPEN"))</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IF(OR($B287="",N($I287)=0),"",SUMIFS(nrMK_Min,nrMK_Link,$B287,nrMK_Credit,"Yes"))</f>
        <v/>
      </c>
      <c r="Q287" s="17">
        <f>IF(OR($B287="",N($J287)=0),"",SUMIFS(nrMK_Sess,nrMK_Link,$B287,nrMK_Credit,"Yes"))</f>
        <v/>
      </c>
      <c r="R287" s="17">
        <f>IF(OR($B287="",$N287&lt;&gt;"Yes"),"",IF(N($I287)&gt;0,N($I287)-N($P287),IF(N($J287)&gt;0,N($J287)-N($Q287),"")))</f>
        <v/>
      </c>
      <c r="S287" s="17">
        <f>IF(OR($B287="",$R287=""),"",IF($R287&lt;=0,"CLEARED "&amp;IFERROR(TEXT(_xlfn.MAXIFS(nrMK_Date,nrMK_Link,$B287,nrMK_Credit,"Yes"),"mm/dd"),""),"OPEN"))</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IF(OR($B288="",N($I288)=0),"",SUMIFS(nrMK_Min,nrMK_Link,$B288,nrMK_Credit,"Yes"))</f>
        <v/>
      </c>
      <c r="Q288" s="17">
        <f>IF(OR($B288="",N($J288)=0),"",SUMIFS(nrMK_Sess,nrMK_Link,$B288,nrMK_Credit,"Yes"))</f>
        <v/>
      </c>
      <c r="R288" s="17">
        <f>IF(OR($B288="",$N288&lt;&gt;"Yes"),"",IF(N($I288)&gt;0,N($I288)-N($P288),IF(N($J288)&gt;0,N($J288)-N($Q288),"")))</f>
        <v/>
      </c>
      <c r="S288" s="17">
        <f>IF(OR($B288="",$R288=""),"",IF($R288&lt;=0,"CLEARED "&amp;IFERROR(TEXT(_xlfn.MAXIFS(nrMK_Date,nrMK_Link,$B288,nrMK_Credit,"Yes"),"mm/dd"),""),"OPEN"))</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IF(OR($B289="",N($I289)=0),"",SUMIFS(nrMK_Min,nrMK_Link,$B289,nrMK_Credit,"Yes"))</f>
        <v/>
      </c>
      <c r="Q289" s="17">
        <f>IF(OR($B289="",N($J289)=0),"",SUMIFS(nrMK_Sess,nrMK_Link,$B289,nrMK_Credit,"Yes"))</f>
        <v/>
      </c>
      <c r="R289" s="17">
        <f>IF(OR($B289="",$N289&lt;&gt;"Yes"),"",IF(N($I289)&gt;0,N($I289)-N($P289),IF(N($J289)&gt;0,N($J289)-N($Q289),"")))</f>
        <v/>
      </c>
      <c r="S289" s="17">
        <f>IF(OR($B289="",$R289=""),"",IF($R289&lt;=0,"CLEARED "&amp;IFERROR(TEXT(_xlfn.MAXIFS(nrMK_Date,nrMK_Link,$B289,nrMK_Credit,"Yes"),"mm/dd"),""),"OPEN"))</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IF(OR($B290="",N($I290)=0),"",SUMIFS(nrMK_Min,nrMK_Link,$B290,nrMK_Credit,"Yes"))</f>
        <v/>
      </c>
      <c r="Q290" s="17">
        <f>IF(OR($B290="",N($J290)=0),"",SUMIFS(nrMK_Sess,nrMK_Link,$B290,nrMK_Credit,"Yes"))</f>
        <v/>
      </c>
      <c r="R290" s="17">
        <f>IF(OR($B290="",$N290&lt;&gt;"Yes"),"",IF(N($I290)&gt;0,N($I290)-N($P290),IF(N($J290)&gt;0,N($J290)-N($Q290),"")))</f>
        <v/>
      </c>
      <c r="S290" s="17">
        <f>IF(OR($B290="",$R290=""),"",IF($R290&lt;=0,"CLEARED "&amp;IFERROR(TEXT(_xlfn.MAXIFS(nrMK_Date,nrMK_Link,$B290,nrMK_Credit,"Yes"),"mm/dd"),""),"OPEN"))</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IF(OR($B291="",N($I291)=0),"",SUMIFS(nrMK_Min,nrMK_Link,$B291,nrMK_Credit,"Yes"))</f>
        <v/>
      </c>
      <c r="Q291" s="17">
        <f>IF(OR($B291="",N($J291)=0),"",SUMIFS(nrMK_Sess,nrMK_Link,$B291,nrMK_Credit,"Yes"))</f>
        <v/>
      </c>
      <c r="R291" s="17">
        <f>IF(OR($B291="",$N291&lt;&gt;"Yes"),"",IF(N($I291)&gt;0,N($I291)-N($P291),IF(N($J291)&gt;0,N($J291)-N($Q291),"")))</f>
        <v/>
      </c>
      <c r="S291" s="17">
        <f>IF(OR($B291="",$R291=""),"",IF($R291&lt;=0,"CLEARED "&amp;IFERROR(TEXT(_xlfn.MAXIFS(nrMK_Date,nrMK_Link,$B291,nrMK_Credit,"Yes"),"mm/dd"),""),"OPEN"))</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IF(OR($B292="",N($I292)=0),"",SUMIFS(nrMK_Min,nrMK_Link,$B292,nrMK_Credit,"Yes"))</f>
        <v/>
      </c>
      <c r="Q292" s="17">
        <f>IF(OR($B292="",N($J292)=0),"",SUMIFS(nrMK_Sess,nrMK_Link,$B292,nrMK_Credit,"Yes"))</f>
        <v/>
      </c>
      <c r="R292" s="17">
        <f>IF(OR($B292="",$N292&lt;&gt;"Yes"),"",IF(N($I292)&gt;0,N($I292)-N($P292),IF(N($J292)&gt;0,N($J292)-N($Q292),"")))</f>
        <v/>
      </c>
      <c r="S292" s="17">
        <f>IF(OR($B292="",$R292=""),"",IF($R292&lt;=0,"CLEARED "&amp;IFERROR(TEXT(_xlfn.MAXIFS(nrMK_Date,nrMK_Link,$B292,nrMK_Credit,"Yes"),"mm/dd"),""),"OPEN"))</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IF(OR($B293="",N($I293)=0),"",SUMIFS(nrMK_Min,nrMK_Link,$B293,nrMK_Credit,"Yes"))</f>
        <v/>
      </c>
      <c r="Q293" s="17">
        <f>IF(OR($B293="",N($J293)=0),"",SUMIFS(nrMK_Sess,nrMK_Link,$B293,nrMK_Credit,"Yes"))</f>
        <v/>
      </c>
      <c r="R293" s="17">
        <f>IF(OR($B293="",$N293&lt;&gt;"Yes"),"",IF(N($I293)&gt;0,N($I293)-N($P293),IF(N($J293)&gt;0,N($J293)-N($Q293),"")))</f>
        <v/>
      </c>
      <c r="S293" s="17">
        <f>IF(OR($B293="",$R293=""),"",IF($R293&lt;=0,"CLEARED "&amp;IFERROR(TEXT(_xlfn.MAXIFS(nrMK_Date,nrMK_Link,$B293,nrMK_Credit,"Yes"),"mm/dd"),""),"OPEN"))</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IF(OR($B294="",N($I294)=0),"",SUMIFS(nrMK_Min,nrMK_Link,$B294,nrMK_Credit,"Yes"))</f>
        <v/>
      </c>
      <c r="Q294" s="17">
        <f>IF(OR($B294="",N($J294)=0),"",SUMIFS(nrMK_Sess,nrMK_Link,$B294,nrMK_Credit,"Yes"))</f>
        <v/>
      </c>
      <c r="R294" s="17">
        <f>IF(OR($B294="",$N294&lt;&gt;"Yes"),"",IF(N($I294)&gt;0,N($I294)-N($P294),IF(N($J294)&gt;0,N($J294)-N($Q294),"")))</f>
        <v/>
      </c>
      <c r="S294" s="17">
        <f>IF(OR($B294="",$R294=""),"",IF($R294&lt;=0,"CLEARED "&amp;IFERROR(TEXT(_xlfn.MAXIFS(nrMK_Date,nrMK_Link,$B294,nrMK_Credit,"Yes"),"mm/dd"),""),"OPEN"))</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IF(OR($B295="",N($I295)=0),"",SUMIFS(nrMK_Min,nrMK_Link,$B295,nrMK_Credit,"Yes"))</f>
        <v/>
      </c>
      <c r="Q295" s="17">
        <f>IF(OR($B295="",N($J295)=0),"",SUMIFS(nrMK_Sess,nrMK_Link,$B295,nrMK_Credit,"Yes"))</f>
        <v/>
      </c>
      <c r="R295" s="17">
        <f>IF(OR($B295="",$N295&lt;&gt;"Yes"),"",IF(N($I295)&gt;0,N($I295)-N($P295),IF(N($J295)&gt;0,N($J295)-N($Q295),"")))</f>
        <v/>
      </c>
      <c r="S295" s="17">
        <f>IF(OR($B295="",$R295=""),"",IF($R295&lt;=0,"CLEARED "&amp;IFERROR(TEXT(_xlfn.MAXIFS(nrMK_Date,nrMK_Link,$B295,nrMK_Credit,"Yes"),"mm/dd"),""),"OPEN"))</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IF(OR($B296="",N($I296)=0),"",SUMIFS(nrMK_Min,nrMK_Link,$B296,nrMK_Credit,"Yes"))</f>
        <v/>
      </c>
      <c r="Q296" s="17">
        <f>IF(OR($B296="",N($J296)=0),"",SUMIFS(nrMK_Sess,nrMK_Link,$B296,nrMK_Credit,"Yes"))</f>
        <v/>
      </c>
      <c r="R296" s="17">
        <f>IF(OR($B296="",$N296&lt;&gt;"Yes"),"",IF(N($I296)&gt;0,N($I296)-N($P296),IF(N($J296)&gt;0,N($J296)-N($Q296),"")))</f>
        <v/>
      </c>
      <c r="S296" s="17">
        <f>IF(OR($B296="",$R296=""),"",IF($R296&lt;=0,"CLEARED "&amp;IFERROR(TEXT(_xlfn.MAXIFS(nrMK_Date,nrMK_Link,$B296,nrMK_Credit,"Yes"),"mm/dd"),""),"OPEN"))</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IF(OR($B297="",N($I297)=0),"",SUMIFS(nrMK_Min,nrMK_Link,$B297,nrMK_Credit,"Yes"))</f>
        <v/>
      </c>
      <c r="Q297" s="17">
        <f>IF(OR($B297="",N($J297)=0),"",SUMIFS(nrMK_Sess,nrMK_Link,$B297,nrMK_Credit,"Yes"))</f>
        <v/>
      </c>
      <c r="R297" s="17">
        <f>IF(OR($B297="",$N297&lt;&gt;"Yes"),"",IF(N($I297)&gt;0,N($I297)-N($P297),IF(N($J297)&gt;0,N($J297)-N($Q297),"")))</f>
        <v/>
      </c>
      <c r="S297" s="17">
        <f>IF(OR($B297="",$R297=""),"",IF($R297&lt;=0,"CLEARED "&amp;IFERROR(TEXT(_xlfn.MAXIFS(nrMK_Date,nrMK_Link,$B297,nrMK_Credit,"Yes"),"mm/dd"),""),"OPEN"))</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IF(OR($B298="",N($I298)=0),"",SUMIFS(nrMK_Min,nrMK_Link,$B298,nrMK_Credit,"Yes"))</f>
        <v/>
      </c>
      <c r="Q298" s="17">
        <f>IF(OR($B298="",N($J298)=0),"",SUMIFS(nrMK_Sess,nrMK_Link,$B298,nrMK_Credit,"Yes"))</f>
        <v/>
      </c>
      <c r="R298" s="17">
        <f>IF(OR($B298="",$N298&lt;&gt;"Yes"),"",IF(N($I298)&gt;0,N($I298)-N($P298),IF(N($J298)&gt;0,N($J298)-N($Q298),"")))</f>
        <v/>
      </c>
      <c r="S298" s="17">
        <f>IF(OR($B298="",$R298=""),"",IF($R298&lt;=0,"CLEARED "&amp;IFERROR(TEXT(_xlfn.MAXIFS(nrMK_Date,nrMK_Link,$B298,nrMK_Credit,"Yes"),"mm/dd"),""),"OPEN"))</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IF(OR($B299="",N($I299)=0),"",SUMIFS(nrMK_Min,nrMK_Link,$B299,nrMK_Credit,"Yes"))</f>
        <v/>
      </c>
      <c r="Q299" s="17">
        <f>IF(OR($B299="",N($J299)=0),"",SUMIFS(nrMK_Sess,nrMK_Link,$B299,nrMK_Credit,"Yes"))</f>
        <v/>
      </c>
      <c r="R299" s="17">
        <f>IF(OR($B299="",$N299&lt;&gt;"Yes"),"",IF(N($I299)&gt;0,N($I299)-N($P299),IF(N($J299)&gt;0,N($J299)-N($Q299),"")))</f>
        <v/>
      </c>
      <c r="S299" s="17">
        <f>IF(OR($B299="",$R299=""),"",IF($R299&lt;=0,"CLEARED "&amp;IFERROR(TEXT(_xlfn.MAXIFS(nrMK_Date,nrMK_Link,$B299,nrMK_Credit,"Yes"),"mm/dd"),""),"OPEN"))</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IF(OR($B300="",N($I300)=0),"",SUMIFS(nrMK_Min,nrMK_Link,$B300,nrMK_Credit,"Yes"))</f>
        <v/>
      </c>
      <c r="Q300" s="17">
        <f>IF(OR($B300="",N($J300)=0),"",SUMIFS(nrMK_Sess,nrMK_Link,$B300,nrMK_Credit,"Yes"))</f>
        <v/>
      </c>
      <c r="R300" s="17">
        <f>IF(OR($B300="",$N300&lt;&gt;"Yes"),"",IF(N($I300)&gt;0,N($I300)-N($P300),IF(N($J300)&gt;0,N($J300)-N($Q300),"")))</f>
        <v/>
      </c>
      <c r="S300" s="17">
        <f>IF(OR($B300="",$R300=""),"",IF($R300&lt;=0,"CLEARED "&amp;IFERROR(TEXT(_xlfn.MAXIFS(nrMK_Date,nrMK_Link,$B300,nrMK_Credit,"Yes"),"mm/dd"),""),"OPEN"))</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IF(OR($B301="",N($I301)=0),"",SUMIFS(nrMK_Min,nrMK_Link,$B301,nrMK_Credit,"Yes"))</f>
        <v/>
      </c>
      <c r="Q301" s="17">
        <f>IF(OR($B301="",N($J301)=0),"",SUMIFS(nrMK_Sess,nrMK_Link,$B301,nrMK_Credit,"Yes"))</f>
        <v/>
      </c>
      <c r="R301" s="17">
        <f>IF(OR($B301="",$N301&lt;&gt;"Yes"),"",IF(N($I301)&gt;0,N($I301)-N($P301),IF(N($J301)&gt;0,N($J301)-N($Q301),"")))</f>
        <v/>
      </c>
      <c r="S301" s="17">
        <f>IF(OR($B301="",$R301=""),"",IF($R301&lt;=0,"CLEARED "&amp;IFERROR(TEXT(_xlfn.MAXIFS(nrMK_Date,nrMK_Link,$B301,nrMK_Credit,"Yes"),"mm/dd"),""),"OPEN"))</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IF(OR($B302="",N($I302)=0),"",SUMIFS(nrMK_Min,nrMK_Link,$B302,nrMK_Credit,"Yes"))</f>
        <v/>
      </c>
      <c r="Q302" s="17">
        <f>IF(OR($B302="",N($J302)=0),"",SUMIFS(nrMK_Sess,nrMK_Link,$B302,nrMK_Credit,"Yes"))</f>
        <v/>
      </c>
      <c r="R302" s="17">
        <f>IF(OR($B302="",$N302&lt;&gt;"Yes"),"",IF(N($I302)&gt;0,N($I302)-N($P302),IF(N($J302)&gt;0,N($J302)-N($Q302),"")))</f>
        <v/>
      </c>
      <c r="S302" s="17">
        <f>IF(OR($B302="",$R302=""),"",IF($R302&lt;=0,"CLEARED "&amp;IFERROR(TEXT(_xlfn.MAXIFS(nrMK_Date,nrMK_Link,$B302,nrMK_Credit,"Yes"),"mm/dd"),""),"OPEN"))</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IF(OR($B303="",N($I303)=0),"",SUMIFS(nrMK_Min,nrMK_Link,$B303,nrMK_Credit,"Yes"))</f>
        <v/>
      </c>
      <c r="Q303" s="17">
        <f>IF(OR($B303="",N($J303)=0),"",SUMIFS(nrMK_Sess,nrMK_Link,$B303,nrMK_Credit,"Yes"))</f>
        <v/>
      </c>
      <c r="R303" s="17">
        <f>IF(OR($B303="",$N303&lt;&gt;"Yes"),"",IF(N($I303)&gt;0,N($I303)-N($P303),IF(N($J303)&gt;0,N($J303)-N($Q303),"")))</f>
        <v/>
      </c>
      <c r="S303" s="17">
        <f>IF(OR($B303="",$R303=""),"",IF($R303&lt;=0,"CLEARED "&amp;IFERROR(TEXT(_xlfn.MAXIFS(nrMK_Date,nrMK_Link,$B303,nrMK_Credit,"Yes"),"mm/dd"),""),"OPEN"))</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IF(OR($B304="",N($I304)=0),"",SUMIFS(nrMK_Min,nrMK_Link,$B304,nrMK_Credit,"Yes"))</f>
        <v/>
      </c>
      <c r="Q304" s="17">
        <f>IF(OR($B304="",N($J304)=0),"",SUMIFS(nrMK_Sess,nrMK_Link,$B304,nrMK_Credit,"Yes"))</f>
        <v/>
      </c>
      <c r="R304" s="17">
        <f>IF(OR($B304="",$N304&lt;&gt;"Yes"),"",IF(N($I304)&gt;0,N($I304)-N($P304),IF(N($J304)&gt;0,N($J304)-N($Q304),"")))</f>
        <v/>
      </c>
      <c r="S304" s="17">
        <f>IF(OR($B304="",$R304=""),"",IF($R304&lt;=0,"CLEARED "&amp;IFERROR(TEXT(_xlfn.MAXIFS(nrMK_Date,nrMK_Link,$B304,nrMK_Credit,"Yes"),"mm/dd"),""),"OPEN"))</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IF(OR($B305="",N($I305)=0),"",SUMIFS(nrMK_Min,nrMK_Link,$B305,nrMK_Credit,"Yes"))</f>
        <v/>
      </c>
      <c r="Q305" s="17">
        <f>IF(OR($B305="",N($J305)=0),"",SUMIFS(nrMK_Sess,nrMK_Link,$B305,nrMK_Credit,"Yes"))</f>
        <v/>
      </c>
      <c r="R305" s="17">
        <f>IF(OR($B305="",$N305&lt;&gt;"Yes"),"",IF(N($I305)&gt;0,N($I305)-N($P305),IF(N($J305)&gt;0,N($J305)-N($Q305),"")))</f>
        <v/>
      </c>
      <c r="S305" s="17">
        <f>IF(OR($B305="",$R305=""),"",IF($R305&lt;=0,"CLEARED "&amp;IFERROR(TEXT(_xlfn.MAXIFS(nrMK_Date,nrMK_Link,$B305,nrMK_Credit,"Yes"),"mm/dd"),""),"OPEN"))</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IF(OR($B306="",N($I306)=0),"",SUMIFS(nrMK_Min,nrMK_Link,$B306,nrMK_Credit,"Yes"))</f>
        <v/>
      </c>
      <c r="Q306" s="17">
        <f>IF(OR($B306="",N($J306)=0),"",SUMIFS(nrMK_Sess,nrMK_Link,$B306,nrMK_Credit,"Yes"))</f>
        <v/>
      </c>
      <c r="R306" s="17">
        <f>IF(OR($B306="",$N306&lt;&gt;"Yes"),"",IF(N($I306)&gt;0,N($I306)-N($P306),IF(N($J306)&gt;0,N($J306)-N($Q306),"")))</f>
        <v/>
      </c>
      <c r="S306" s="17">
        <f>IF(OR($B306="",$R306=""),"",IF($R306&lt;=0,"CLEARED "&amp;IFERROR(TEXT(_xlfn.MAXIFS(nrMK_Date,nrMK_Link,$B306,nrMK_Credit,"Yes"),"mm/dd"),""),"OPEN"))</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IF(OR($B307="",N($I307)=0),"",SUMIFS(nrMK_Min,nrMK_Link,$B307,nrMK_Credit,"Yes"))</f>
        <v/>
      </c>
      <c r="Q307" s="17">
        <f>IF(OR($B307="",N($J307)=0),"",SUMIFS(nrMK_Sess,nrMK_Link,$B307,nrMK_Credit,"Yes"))</f>
        <v/>
      </c>
      <c r="R307" s="17">
        <f>IF(OR($B307="",$N307&lt;&gt;"Yes"),"",IF(N($I307)&gt;0,N($I307)-N($P307),IF(N($J307)&gt;0,N($J307)-N($Q307),"")))</f>
        <v/>
      </c>
      <c r="S307" s="17">
        <f>IF(OR($B307="",$R307=""),"",IF($R307&lt;=0,"CLEARED "&amp;IFERROR(TEXT(_xlfn.MAXIFS(nrMK_Date,nrMK_Link,$B307,nrMK_Credit,"Yes"),"mm/dd"),""),"OPEN"))</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IF(OR($B308="",N($I308)=0),"",SUMIFS(nrMK_Min,nrMK_Link,$B308,nrMK_Credit,"Yes"))</f>
        <v/>
      </c>
      <c r="Q308" s="17">
        <f>IF(OR($B308="",N($J308)=0),"",SUMIFS(nrMK_Sess,nrMK_Link,$B308,nrMK_Credit,"Yes"))</f>
        <v/>
      </c>
      <c r="R308" s="17">
        <f>IF(OR($B308="",$N308&lt;&gt;"Yes"),"",IF(N($I308)&gt;0,N($I308)-N($P308),IF(N($J308)&gt;0,N($J308)-N($Q308),"")))</f>
        <v/>
      </c>
      <c r="S308" s="17">
        <f>IF(OR($B308="",$R308=""),"",IF($R308&lt;=0,"CLEARED "&amp;IFERROR(TEXT(_xlfn.MAXIFS(nrMK_Date,nrMK_Link,$B308,nrMK_Credit,"Yes"),"mm/dd"),""),"OPEN"))</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IF(OR($B309="",N($I309)=0),"",SUMIFS(nrMK_Min,nrMK_Link,$B309,nrMK_Credit,"Yes"))</f>
        <v/>
      </c>
      <c r="Q309" s="17">
        <f>IF(OR($B309="",N($J309)=0),"",SUMIFS(nrMK_Sess,nrMK_Link,$B309,nrMK_Credit,"Yes"))</f>
        <v/>
      </c>
      <c r="R309" s="17">
        <f>IF(OR($B309="",$N309&lt;&gt;"Yes"),"",IF(N($I309)&gt;0,N($I309)-N($P309),IF(N($J309)&gt;0,N($J309)-N($Q309),"")))</f>
        <v/>
      </c>
      <c r="S309" s="17">
        <f>IF(OR($B309="",$R309=""),"",IF($R309&lt;=0,"CLEARED "&amp;IFERROR(TEXT(_xlfn.MAXIFS(nrMK_Date,nrMK_Link,$B309,nrMK_Credit,"Yes"),"mm/dd"),""),"OPEN"))</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IF(OR($B310="",N($I310)=0),"",SUMIFS(nrMK_Min,nrMK_Link,$B310,nrMK_Credit,"Yes"))</f>
        <v/>
      </c>
      <c r="Q310" s="17">
        <f>IF(OR($B310="",N($J310)=0),"",SUMIFS(nrMK_Sess,nrMK_Link,$B310,nrMK_Credit,"Yes"))</f>
        <v/>
      </c>
      <c r="R310" s="17">
        <f>IF(OR($B310="",$N310&lt;&gt;"Yes"),"",IF(N($I310)&gt;0,N($I310)-N($P310),IF(N($J310)&gt;0,N($J310)-N($Q310),"")))</f>
        <v/>
      </c>
      <c r="S310" s="17">
        <f>IF(OR($B310="",$R310=""),"",IF($R310&lt;=0,"CLEARED "&amp;IFERROR(TEXT(_xlfn.MAXIFS(nrMK_Date,nrMK_Link,$B310,nrMK_Credit,"Yes"),"mm/dd"),""),"OPEN"))</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IF(OR($B311="",N($I311)=0),"",SUMIFS(nrMK_Min,nrMK_Link,$B311,nrMK_Credit,"Yes"))</f>
        <v/>
      </c>
      <c r="Q311" s="17">
        <f>IF(OR($B311="",N($J311)=0),"",SUMIFS(nrMK_Sess,nrMK_Link,$B311,nrMK_Credit,"Yes"))</f>
        <v/>
      </c>
      <c r="R311" s="17">
        <f>IF(OR($B311="",$N311&lt;&gt;"Yes"),"",IF(N($I311)&gt;0,N($I311)-N($P311),IF(N($J311)&gt;0,N($J311)-N($Q311),"")))</f>
        <v/>
      </c>
      <c r="S311" s="17">
        <f>IF(OR($B311="",$R311=""),"",IF($R311&lt;=0,"CLEARED "&amp;IFERROR(TEXT(_xlfn.MAXIFS(nrMK_Date,nrMK_Link,$B311,nrMK_Credit,"Yes"),"mm/dd"),""),"OPEN"))</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IF(OR($B312="",N($I312)=0),"",SUMIFS(nrMK_Min,nrMK_Link,$B312,nrMK_Credit,"Yes"))</f>
        <v/>
      </c>
      <c r="Q312" s="17">
        <f>IF(OR($B312="",N($J312)=0),"",SUMIFS(nrMK_Sess,nrMK_Link,$B312,nrMK_Credit,"Yes"))</f>
        <v/>
      </c>
      <c r="R312" s="17">
        <f>IF(OR($B312="",$N312&lt;&gt;"Yes"),"",IF(N($I312)&gt;0,N($I312)-N($P312),IF(N($J312)&gt;0,N($J312)-N($Q312),"")))</f>
        <v/>
      </c>
      <c r="S312" s="17">
        <f>IF(OR($B312="",$R312=""),"",IF($R312&lt;=0,"CLEARED "&amp;IFERROR(TEXT(_xlfn.MAXIFS(nrMK_Date,nrMK_Link,$B312,nrMK_Credit,"Yes"),"mm/dd"),""),"OPEN"))</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IF(OR($B313="",N($I313)=0),"",SUMIFS(nrMK_Min,nrMK_Link,$B313,nrMK_Credit,"Yes"))</f>
        <v/>
      </c>
      <c r="Q313" s="17">
        <f>IF(OR($B313="",N($J313)=0),"",SUMIFS(nrMK_Sess,nrMK_Link,$B313,nrMK_Credit,"Yes"))</f>
        <v/>
      </c>
      <c r="R313" s="17">
        <f>IF(OR($B313="",$N313&lt;&gt;"Yes"),"",IF(N($I313)&gt;0,N($I313)-N($P313),IF(N($J313)&gt;0,N($J313)-N($Q313),"")))</f>
        <v/>
      </c>
      <c r="S313" s="17">
        <f>IF(OR($B313="",$R313=""),"",IF($R313&lt;=0,"CLEARED "&amp;IFERROR(TEXT(_xlfn.MAXIFS(nrMK_Date,nrMK_Link,$B313,nrMK_Credit,"Yes"),"mm/dd"),""),"OPEN"))</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IF(OR($B314="",N($I314)=0),"",SUMIFS(nrMK_Min,nrMK_Link,$B314,nrMK_Credit,"Yes"))</f>
        <v/>
      </c>
      <c r="Q314" s="17">
        <f>IF(OR($B314="",N($J314)=0),"",SUMIFS(nrMK_Sess,nrMK_Link,$B314,nrMK_Credit,"Yes"))</f>
        <v/>
      </c>
      <c r="R314" s="17">
        <f>IF(OR($B314="",$N314&lt;&gt;"Yes"),"",IF(N($I314)&gt;0,N($I314)-N($P314),IF(N($J314)&gt;0,N($J314)-N($Q314),"")))</f>
        <v/>
      </c>
      <c r="S314" s="17">
        <f>IF(OR($B314="",$R314=""),"",IF($R314&lt;=0,"CLEARED "&amp;IFERROR(TEXT(_xlfn.MAXIFS(nrMK_Date,nrMK_Link,$B314,nrMK_Credit,"Yes"),"mm/dd"),""),"OPEN"))</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IF(OR($B315="",N($I315)=0),"",SUMIFS(nrMK_Min,nrMK_Link,$B315,nrMK_Credit,"Yes"))</f>
        <v/>
      </c>
      <c r="Q315" s="17">
        <f>IF(OR($B315="",N($J315)=0),"",SUMIFS(nrMK_Sess,nrMK_Link,$B315,nrMK_Credit,"Yes"))</f>
        <v/>
      </c>
      <c r="R315" s="17">
        <f>IF(OR($B315="",$N315&lt;&gt;"Yes"),"",IF(N($I315)&gt;0,N($I315)-N($P315),IF(N($J315)&gt;0,N($J315)-N($Q315),"")))</f>
        <v/>
      </c>
      <c r="S315" s="17">
        <f>IF(OR($B315="",$R315=""),"",IF($R315&lt;=0,"CLEARED "&amp;IFERROR(TEXT(_xlfn.MAXIFS(nrMK_Date,nrMK_Link,$B315,nrMK_Credit,"Yes"),"mm/dd"),""),"OPEN"))</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IF(OR($B316="",N($I316)=0),"",SUMIFS(nrMK_Min,nrMK_Link,$B316,nrMK_Credit,"Yes"))</f>
        <v/>
      </c>
      <c r="Q316" s="17">
        <f>IF(OR($B316="",N($J316)=0),"",SUMIFS(nrMK_Sess,nrMK_Link,$B316,nrMK_Credit,"Yes"))</f>
        <v/>
      </c>
      <c r="R316" s="17">
        <f>IF(OR($B316="",$N316&lt;&gt;"Yes"),"",IF(N($I316)&gt;0,N($I316)-N($P316),IF(N($J316)&gt;0,N($J316)-N($Q316),"")))</f>
        <v/>
      </c>
      <c r="S316" s="17">
        <f>IF(OR($B316="",$R316=""),"",IF($R316&lt;=0,"CLEARED "&amp;IFERROR(TEXT(_xlfn.MAXIFS(nrMK_Date,nrMK_Link,$B316,nrMK_Credit,"Yes"),"mm/dd"),""),"OPEN"))</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IF(OR($B317="",N($I317)=0),"",SUMIFS(nrMK_Min,nrMK_Link,$B317,nrMK_Credit,"Yes"))</f>
        <v/>
      </c>
      <c r="Q317" s="17">
        <f>IF(OR($B317="",N($J317)=0),"",SUMIFS(nrMK_Sess,nrMK_Link,$B317,nrMK_Credit,"Yes"))</f>
        <v/>
      </c>
      <c r="R317" s="17">
        <f>IF(OR($B317="",$N317&lt;&gt;"Yes"),"",IF(N($I317)&gt;0,N($I317)-N($P317),IF(N($J317)&gt;0,N($J317)-N($Q317),"")))</f>
        <v/>
      </c>
      <c r="S317" s="17">
        <f>IF(OR($B317="",$R317=""),"",IF($R317&lt;=0,"CLEARED "&amp;IFERROR(TEXT(_xlfn.MAXIFS(nrMK_Date,nrMK_Link,$B317,nrMK_Credit,"Yes"),"mm/dd"),""),"OPEN"))</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IF(OR($B318="",N($I318)=0),"",SUMIFS(nrMK_Min,nrMK_Link,$B318,nrMK_Credit,"Yes"))</f>
        <v/>
      </c>
      <c r="Q318" s="17">
        <f>IF(OR($B318="",N($J318)=0),"",SUMIFS(nrMK_Sess,nrMK_Link,$B318,nrMK_Credit,"Yes"))</f>
        <v/>
      </c>
      <c r="R318" s="17">
        <f>IF(OR($B318="",$N318&lt;&gt;"Yes"),"",IF(N($I318)&gt;0,N($I318)-N($P318),IF(N($J318)&gt;0,N($J318)-N($Q318),"")))</f>
        <v/>
      </c>
      <c r="S318" s="17">
        <f>IF(OR($B318="",$R318=""),"",IF($R318&lt;=0,"CLEARED "&amp;IFERROR(TEXT(_xlfn.MAXIFS(nrMK_Date,nrMK_Link,$B318,nrMK_Credit,"Yes"),"mm/dd"),""),"OPEN"))</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IF(OR($B319="",N($I319)=0),"",SUMIFS(nrMK_Min,nrMK_Link,$B319,nrMK_Credit,"Yes"))</f>
        <v/>
      </c>
      <c r="Q319" s="17">
        <f>IF(OR($B319="",N($J319)=0),"",SUMIFS(nrMK_Sess,nrMK_Link,$B319,nrMK_Credit,"Yes"))</f>
        <v/>
      </c>
      <c r="R319" s="17">
        <f>IF(OR($B319="",$N319&lt;&gt;"Yes"),"",IF(N($I319)&gt;0,N($I319)-N($P319),IF(N($J319)&gt;0,N($J319)-N($Q319),"")))</f>
        <v/>
      </c>
      <c r="S319" s="17">
        <f>IF(OR($B319="",$R319=""),"",IF($R319&lt;=0,"CLEARED "&amp;IFERROR(TEXT(_xlfn.MAXIFS(nrMK_Date,nrMK_Link,$B319,nrMK_Credit,"Yes"),"mm/dd"),""),"OPEN"))</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IF(OR($B320="",N($I320)=0),"",SUMIFS(nrMK_Min,nrMK_Link,$B320,nrMK_Credit,"Yes"))</f>
        <v/>
      </c>
      <c r="Q320" s="17">
        <f>IF(OR($B320="",N($J320)=0),"",SUMIFS(nrMK_Sess,nrMK_Link,$B320,nrMK_Credit,"Yes"))</f>
        <v/>
      </c>
      <c r="R320" s="17">
        <f>IF(OR($B320="",$N320&lt;&gt;"Yes"),"",IF(N($I320)&gt;0,N($I320)-N($P320),IF(N($J320)&gt;0,N($J320)-N($Q320),"")))</f>
        <v/>
      </c>
      <c r="S320" s="17">
        <f>IF(OR($B320="",$R320=""),"",IF($R320&lt;=0,"CLEARED "&amp;IFERROR(TEXT(_xlfn.MAXIFS(nrMK_Date,nrMK_Link,$B320,nrMK_Credit,"Yes"),"mm/dd"),""),"OPEN"))</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IF(OR($B321="",N($I321)=0),"",SUMIFS(nrMK_Min,nrMK_Link,$B321,nrMK_Credit,"Yes"))</f>
        <v/>
      </c>
      <c r="Q321" s="17">
        <f>IF(OR($B321="",N($J321)=0),"",SUMIFS(nrMK_Sess,nrMK_Link,$B321,nrMK_Credit,"Yes"))</f>
        <v/>
      </c>
      <c r="R321" s="17">
        <f>IF(OR($B321="",$N321&lt;&gt;"Yes"),"",IF(N($I321)&gt;0,N($I321)-N($P321),IF(N($J321)&gt;0,N($J321)-N($Q321),"")))</f>
        <v/>
      </c>
      <c r="S321" s="17">
        <f>IF(OR($B321="",$R321=""),"",IF($R321&lt;=0,"CLEARED "&amp;IFERROR(TEXT(_xlfn.MAXIFS(nrMK_Date,nrMK_Link,$B321,nrMK_Credit,"Yes"),"mm/dd"),""),"OPEN"))</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IF(OR($B322="",N($I322)=0),"",SUMIFS(nrMK_Min,nrMK_Link,$B322,nrMK_Credit,"Yes"))</f>
        <v/>
      </c>
      <c r="Q322" s="17">
        <f>IF(OR($B322="",N($J322)=0),"",SUMIFS(nrMK_Sess,nrMK_Link,$B322,nrMK_Credit,"Yes"))</f>
        <v/>
      </c>
      <c r="R322" s="17">
        <f>IF(OR($B322="",$N322&lt;&gt;"Yes"),"",IF(N($I322)&gt;0,N($I322)-N($P322),IF(N($J322)&gt;0,N($J322)-N($Q322),"")))</f>
        <v/>
      </c>
      <c r="S322" s="17">
        <f>IF(OR($B322="",$R322=""),"",IF($R322&lt;=0,"CLEARED "&amp;IFERROR(TEXT(_xlfn.MAXIFS(nrMK_Date,nrMK_Link,$B322,nrMK_Credit,"Yes"),"mm/dd"),""),"OPEN"))</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IF(OR($B323="",N($I323)=0),"",SUMIFS(nrMK_Min,nrMK_Link,$B323,nrMK_Credit,"Yes"))</f>
        <v/>
      </c>
      <c r="Q323" s="17">
        <f>IF(OR($B323="",N($J323)=0),"",SUMIFS(nrMK_Sess,nrMK_Link,$B323,nrMK_Credit,"Yes"))</f>
        <v/>
      </c>
      <c r="R323" s="17">
        <f>IF(OR($B323="",$N323&lt;&gt;"Yes"),"",IF(N($I323)&gt;0,N($I323)-N($P323),IF(N($J323)&gt;0,N($J323)-N($Q323),"")))</f>
        <v/>
      </c>
      <c r="S323" s="17">
        <f>IF(OR($B323="",$R323=""),"",IF($R323&lt;=0,"CLEARED "&amp;IFERROR(TEXT(_xlfn.MAXIFS(nrMK_Date,nrMK_Link,$B323,nrMK_Credit,"Yes"),"mm/dd"),""),"OPEN"))</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IF(OR($B324="",N($I324)=0),"",SUMIFS(nrMK_Min,nrMK_Link,$B324,nrMK_Credit,"Yes"))</f>
        <v/>
      </c>
      <c r="Q324" s="17">
        <f>IF(OR($B324="",N($J324)=0),"",SUMIFS(nrMK_Sess,nrMK_Link,$B324,nrMK_Credit,"Yes"))</f>
        <v/>
      </c>
      <c r="R324" s="17">
        <f>IF(OR($B324="",$N324&lt;&gt;"Yes"),"",IF(N($I324)&gt;0,N($I324)-N($P324),IF(N($J324)&gt;0,N($J324)-N($Q324),"")))</f>
        <v/>
      </c>
      <c r="S324" s="17">
        <f>IF(OR($B324="",$R324=""),"",IF($R324&lt;=0,"CLEARED "&amp;IFERROR(TEXT(_xlfn.MAXIFS(nrMK_Date,nrMK_Link,$B324,nrMK_Credit,"Yes"),"mm/dd"),""),"OPEN"))</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IF(OR($B325="",N($I325)=0),"",SUMIFS(nrMK_Min,nrMK_Link,$B325,nrMK_Credit,"Yes"))</f>
        <v/>
      </c>
      <c r="Q325" s="17">
        <f>IF(OR($B325="",N($J325)=0),"",SUMIFS(nrMK_Sess,nrMK_Link,$B325,nrMK_Credit,"Yes"))</f>
        <v/>
      </c>
      <c r="R325" s="17">
        <f>IF(OR($B325="",$N325&lt;&gt;"Yes"),"",IF(N($I325)&gt;0,N($I325)-N($P325),IF(N($J325)&gt;0,N($J325)-N($Q325),"")))</f>
        <v/>
      </c>
      <c r="S325" s="17">
        <f>IF(OR($B325="",$R325=""),"",IF($R325&lt;=0,"CLEARED "&amp;IFERROR(TEXT(_xlfn.MAXIFS(nrMK_Date,nrMK_Link,$B325,nrMK_Credit,"Yes"),"mm/dd"),""),"OPEN"))</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IF(OR($B326="",N($I326)=0),"",SUMIFS(nrMK_Min,nrMK_Link,$B326,nrMK_Credit,"Yes"))</f>
        <v/>
      </c>
      <c r="Q326" s="17">
        <f>IF(OR($B326="",N($J326)=0),"",SUMIFS(nrMK_Sess,nrMK_Link,$B326,nrMK_Credit,"Yes"))</f>
        <v/>
      </c>
      <c r="R326" s="17">
        <f>IF(OR($B326="",$N326&lt;&gt;"Yes"),"",IF(N($I326)&gt;0,N($I326)-N($P326),IF(N($J326)&gt;0,N($J326)-N($Q326),"")))</f>
        <v/>
      </c>
      <c r="S326" s="17">
        <f>IF(OR($B326="",$R326=""),"",IF($R326&lt;=0,"CLEARED "&amp;IFERROR(TEXT(_xlfn.MAXIFS(nrMK_Date,nrMK_Link,$B326,nrMK_Credit,"Yes"),"mm/dd"),""),"OPEN"))</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IF(OR($B327="",N($I327)=0),"",SUMIFS(nrMK_Min,nrMK_Link,$B327,nrMK_Credit,"Yes"))</f>
        <v/>
      </c>
      <c r="Q327" s="17">
        <f>IF(OR($B327="",N($J327)=0),"",SUMIFS(nrMK_Sess,nrMK_Link,$B327,nrMK_Credit,"Yes"))</f>
        <v/>
      </c>
      <c r="R327" s="17">
        <f>IF(OR($B327="",$N327&lt;&gt;"Yes"),"",IF(N($I327)&gt;0,N($I327)-N($P327),IF(N($J327)&gt;0,N($J327)-N($Q327),"")))</f>
        <v/>
      </c>
      <c r="S327" s="17">
        <f>IF(OR($B327="",$R327=""),"",IF($R327&lt;=0,"CLEARED "&amp;IFERROR(TEXT(_xlfn.MAXIFS(nrMK_Date,nrMK_Link,$B327,nrMK_Credit,"Yes"),"mm/dd"),""),"OPEN"))</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IF(OR($B328="",N($I328)=0),"",SUMIFS(nrMK_Min,nrMK_Link,$B328,nrMK_Credit,"Yes"))</f>
        <v/>
      </c>
      <c r="Q328" s="17">
        <f>IF(OR($B328="",N($J328)=0),"",SUMIFS(nrMK_Sess,nrMK_Link,$B328,nrMK_Credit,"Yes"))</f>
        <v/>
      </c>
      <c r="R328" s="17">
        <f>IF(OR($B328="",$N328&lt;&gt;"Yes"),"",IF(N($I328)&gt;0,N($I328)-N($P328),IF(N($J328)&gt;0,N($J328)-N($Q328),"")))</f>
        <v/>
      </c>
      <c r="S328" s="17">
        <f>IF(OR($B328="",$R328=""),"",IF($R328&lt;=0,"CLEARED "&amp;IFERROR(TEXT(_xlfn.MAXIFS(nrMK_Date,nrMK_Link,$B328,nrMK_Credit,"Yes"),"mm/dd"),""),"OPEN"))</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IF(OR($B329="",N($I329)=0),"",SUMIFS(nrMK_Min,nrMK_Link,$B329,nrMK_Credit,"Yes"))</f>
        <v/>
      </c>
      <c r="Q329" s="17">
        <f>IF(OR($B329="",N($J329)=0),"",SUMIFS(nrMK_Sess,nrMK_Link,$B329,nrMK_Credit,"Yes"))</f>
        <v/>
      </c>
      <c r="R329" s="17">
        <f>IF(OR($B329="",$N329&lt;&gt;"Yes"),"",IF(N($I329)&gt;0,N($I329)-N($P329),IF(N($J329)&gt;0,N($J329)-N($Q329),"")))</f>
        <v/>
      </c>
      <c r="S329" s="17">
        <f>IF(OR($B329="",$R329=""),"",IF($R329&lt;=0,"CLEARED "&amp;IFERROR(TEXT(_xlfn.MAXIFS(nrMK_Date,nrMK_Link,$B329,nrMK_Credit,"Yes"),"mm/dd"),""),"OPEN"))</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IF(OR($B330="",N($I330)=0),"",SUMIFS(nrMK_Min,nrMK_Link,$B330,nrMK_Credit,"Yes"))</f>
        <v/>
      </c>
      <c r="Q330" s="17">
        <f>IF(OR($B330="",N($J330)=0),"",SUMIFS(nrMK_Sess,nrMK_Link,$B330,nrMK_Credit,"Yes"))</f>
        <v/>
      </c>
      <c r="R330" s="17">
        <f>IF(OR($B330="",$N330&lt;&gt;"Yes"),"",IF(N($I330)&gt;0,N($I330)-N($P330),IF(N($J330)&gt;0,N($J330)-N($Q330),"")))</f>
        <v/>
      </c>
      <c r="S330" s="17">
        <f>IF(OR($B330="",$R330=""),"",IF($R330&lt;=0,"CLEARED "&amp;IFERROR(TEXT(_xlfn.MAXIFS(nrMK_Date,nrMK_Link,$B330,nrMK_Credit,"Yes"),"mm/dd"),""),"OPEN"))</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IF(OR($B331="",N($I331)=0),"",SUMIFS(nrMK_Min,nrMK_Link,$B331,nrMK_Credit,"Yes"))</f>
        <v/>
      </c>
      <c r="Q331" s="17">
        <f>IF(OR($B331="",N($J331)=0),"",SUMIFS(nrMK_Sess,nrMK_Link,$B331,nrMK_Credit,"Yes"))</f>
        <v/>
      </c>
      <c r="R331" s="17">
        <f>IF(OR($B331="",$N331&lt;&gt;"Yes"),"",IF(N($I331)&gt;0,N($I331)-N($P331),IF(N($J331)&gt;0,N($J331)-N($Q331),"")))</f>
        <v/>
      </c>
      <c r="S331" s="17">
        <f>IF(OR($B331="",$R331=""),"",IF($R331&lt;=0,"CLEARED "&amp;IFERROR(TEXT(_xlfn.MAXIFS(nrMK_Date,nrMK_Link,$B331,nrMK_Credit,"Yes"),"mm/dd"),""),"OPEN"))</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IF(OR($B332="",N($I332)=0),"",SUMIFS(nrMK_Min,nrMK_Link,$B332,nrMK_Credit,"Yes"))</f>
        <v/>
      </c>
      <c r="Q332" s="17">
        <f>IF(OR($B332="",N($J332)=0),"",SUMIFS(nrMK_Sess,nrMK_Link,$B332,nrMK_Credit,"Yes"))</f>
        <v/>
      </c>
      <c r="R332" s="17">
        <f>IF(OR($B332="",$N332&lt;&gt;"Yes"),"",IF(N($I332)&gt;0,N($I332)-N($P332),IF(N($J332)&gt;0,N($J332)-N($Q332),"")))</f>
        <v/>
      </c>
      <c r="S332" s="17">
        <f>IF(OR($B332="",$R332=""),"",IF($R332&lt;=0,"CLEARED "&amp;IFERROR(TEXT(_xlfn.MAXIFS(nrMK_Date,nrMK_Link,$B332,nrMK_Credit,"Yes"),"mm/dd"),""),"OPEN"))</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IF(OR($B333="",N($I333)=0),"",SUMIFS(nrMK_Min,nrMK_Link,$B333,nrMK_Credit,"Yes"))</f>
        <v/>
      </c>
      <c r="Q333" s="17">
        <f>IF(OR($B333="",N($J333)=0),"",SUMIFS(nrMK_Sess,nrMK_Link,$B333,nrMK_Credit,"Yes"))</f>
        <v/>
      </c>
      <c r="R333" s="17">
        <f>IF(OR($B333="",$N333&lt;&gt;"Yes"),"",IF(N($I333)&gt;0,N($I333)-N($P333),IF(N($J333)&gt;0,N($J333)-N($Q333),"")))</f>
        <v/>
      </c>
      <c r="S333" s="17">
        <f>IF(OR($B333="",$R333=""),"",IF($R333&lt;=0,"CLEARED "&amp;IFERROR(TEXT(_xlfn.MAXIFS(nrMK_Date,nrMK_Link,$B333,nrMK_Credit,"Yes"),"mm/dd"),""),"OPEN"))</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IF(OR($B334="",N($I334)=0),"",SUMIFS(nrMK_Min,nrMK_Link,$B334,nrMK_Credit,"Yes"))</f>
        <v/>
      </c>
      <c r="Q334" s="17">
        <f>IF(OR($B334="",N($J334)=0),"",SUMIFS(nrMK_Sess,nrMK_Link,$B334,nrMK_Credit,"Yes"))</f>
        <v/>
      </c>
      <c r="R334" s="17">
        <f>IF(OR($B334="",$N334&lt;&gt;"Yes"),"",IF(N($I334)&gt;0,N($I334)-N($P334),IF(N($J334)&gt;0,N($J334)-N($Q334),"")))</f>
        <v/>
      </c>
      <c r="S334" s="17">
        <f>IF(OR($B334="",$R334=""),"",IF($R334&lt;=0,"CLEARED "&amp;IFERROR(TEXT(_xlfn.MAXIFS(nrMK_Date,nrMK_Link,$B334,nrMK_Credit,"Yes"),"mm/dd"),""),"OPEN"))</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IF(OR($B335="",N($I335)=0),"",SUMIFS(nrMK_Min,nrMK_Link,$B335,nrMK_Credit,"Yes"))</f>
        <v/>
      </c>
      <c r="Q335" s="17">
        <f>IF(OR($B335="",N($J335)=0),"",SUMIFS(nrMK_Sess,nrMK_Link,$B335,nrMK_Credit,"Yes"))</f>
        <v/>
      </c>
      <c r="R335" s="17">
        <f>IF(OR($B335="",$N335&lt;&gt;"Yes"),"",IF(N($I335)&gt;0,N($I335)-N($P335),IF(N($J335)&gt;0,N($J335)-N($Q335),"")))</f>
        <v/>
      </c>
      <c r="S335" s="17">
        <f>IF(OR($B335="",$R335=""),"",IF($R335&lt;=0,"CLEARED "&amp;IFERROR(TEXT(_xlfn.MAXIFS(nrMK_Date,nrMK_Link,$B335,nrMK_Credit,"Yes"),"mm/dd"),""),"OPEN"))</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IF(OR($B336="",N($I336)=0),"",SUMIFS(nrMK_Min,nrMK_Link,$B336,nrMK_Credit,"Yes"))</f>
        <v/>
      </c>
      <c r="Q336" s="17">
        <f>IF(OR($B336="",N($J336)=0),"",SUMIFS(nrMK_Sess,nrMK_Link,$B336,nrMK_Credit,"Yes"))</f>
        <v/>
      </c>
      <c r="R336" s="17">
        <f>IF(OR($B336="",$N336&lt;&gt;"Yes"),"",IF(N($I336)&gt;0,N($I336)-N($P336),IF(N($J336)&gt;0,N($J336)-N($Q336),"")))</f>
        <v/>
      </c>
      <c r="S336" s="17">
        <f>IF(OR($B336="",$R336=""),"",IF($R336&lt;=0,"CLEARED "&amp;IFERROR(TEXT(_xlfn.MAXIFS(nrMK_Date,nrMK_Link,$B336,nrMK_Credit,"Yes"),"mm/dd"),""),"OPEN"))</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IF(OR($B337="",N($I337)=0),"",SUMIFS(nrMK_Min,nrMK_Link,$B337,nrMK_Credit,"Yes"))</f>
        <v/>
      </c>
      <c r="Q337" s="17">
        <f>IF(OR($B337="",N($J337)=0),"",SUMIFS(nrMK_Sess,nrMK_Link,$B337,nrMK_Credit,"Yes"))</f>
        <v/>
      </c>
      <c r="R337" s="17">
        <f>IF(OR($B337="",$N337&lt;&gt;"Yes"),"",IF(N($I337)&gt;0,N($I337)-N($P337),IF(N($J337)&gt;0,N($J337)-N($Q337),"")))</f>
        <v/>
      </c>
      <c r="S337" s="17">
        <f>IF(OR($B337="",$R337=""),"",IF($R337&lt;=0,"CLEARED "&amp;IFERROR(TEXT(_xlfn.MAXIFS(nrMK_Date,nrMK_Link,$B337,nrMK_Credit,"Yes"),"mm/dd"),""),"OPEN"))</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IF(OR($B338="",N($I338)=0),"",SUMIFS(nrMK_Min,nrMK_Link,$B338,nrMK_Credit,"Yes"))</f>
        <v/>
      </c>
      <c r="Q338" s="17">
        <f>IF(OR($B338="",N($J338)=0),"",SUMIFS(nrMK_Sess,nrMK_Link,$B338,nrMK_Credit,"Yes"))</f>
        <v/>
      </c>
      <c r="R338" s="17">
        <f>IF(OR($B338="",$N338&lt;&gt;"Yes"),"",IF(N($I338)&gt;0,N($I338)-N($P338),IF(N($J338)&gt;0,N($J338)-N($Q338),"")))</f>
        <v/>
      </c>
      <c r="S338" s="17">
        <f>IF(OR($B338="",$R338=""),"",IF($R338&lt;=0,"CLEARED "&amp;IFERROR(TEXT(_xlfn.MAXIFS(nrMK_Date,nrMK_Link,$B338,nrMK_Credit,"Yes"),"mm/dd"),""),"OPEN"))</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IF(OR($B339="",N($I339)=0),"",SUMIFS(nrMK_Min,nrMK_Link,$B339,nrMK_Credit,"Yes"))</f>
        <v/>
      </c>
      <c r="Q339" s="17">
        <f>IF(OR($B339="",N($J339)=0),"",SUMIFS(nrMK_Sess,nrMK_Link,$B339,nrMK_Credit,"Yes"))</f>
        <v/>
      </c>
      <c r="R339" s="17">
        <f>IF(OR($B339="",$N339&lt;&gt;"Yes"),"",IF(N($I339)&gt;0,N($I339)-N($P339),IF(N($J339)&gt;0,N($J339)-N($Q339),"")))</f>
        <v/>
      </c>
      <c r="S339" s="17">
        <f>IF(OR($B339="",$R339=""),"",IF($R339&lt;=0,"CLEARED "&amp;IFERROR(TEXT(_xlfn.MAXIFS(nrMK_Date,nrMK_Link,$B339,nrMK_Credit,"Yes"),"mm/dd"),""),"OPEN"))</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IF(OR($B340="",N($I340)=0),"",SUMIFS(nrMK_Min,nrMK_Link,$B340,nrMK_Credit,"Yes"))</f>
        <v/>
      </c>
      <c r="Q340" s="17">
        <f>IF(OR($B340="",N($J340)=0),"",SUMIFS(nrMK_Sess,nrMK_Link,$B340,nrMK_Credit,"Yes"))</f>
        <v/>
      </c>
      <c r="R340" s="17">
        <f>IF(OR($B340="",$N340&lt;&gt;"Yes"),"",IF(N($I340)&gt;0,N($I340)-N($P340),IF(N($J340)&gt;0,N($J340)-N($Q340),"")))</f>
        <v/>
      </c>
      <c r="S340" s="17">
        <f>IF(OR($B340="",$R340=""),"",IF($R340&lt;=0,"CLEARED "&amp;IFERROR(TEXT(_xlfn.MAXIFS(nrMK_Date,nrMK_Link,$B340,nrMK_Credit,"Yes"),"mm/dd"),""),"OPEN"))</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IF(OR($B341="",N($I341)=0),"",SUMIFS(nrMK_Min,nrMK_Link,$B341,nrMK_Credit,"Yes"))</f>
        <v/>
      </c>
      <c r="Q341" s="17">
        <f>IF(OR($B341="",N($J341)=0),"",SUMIFS(nrMK_Sess,nrMK_Link,$B341,nrMK_Credit,"Yes"))</f>
        <v/>
      </c>
      <c r="R341" s="17">
        <f>IF(OR($B341="",$N341&lt;&gt;"Yes"),"",IF(N($I341)&gt;0,N($I341)-N($P341),IF(N($J341)&gt;0,N($J341)-N($Q341),"")))</f>
        <v/>
      </c>
      <c r="S341" s="17">
        <f>IF(OR($B341="",$R341=""),"",IF($R341&lt;=0,"CLEARED "&amp;IFERROR(TEXT(_xlfn.MAXIFS(nrMK_Date,nrMK_Link,$B341,nrMK_Credit,"Yes"),"mm/dd"),""),"OPEN"))</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IF(OR($B342="",N($I342)=0),"",SUMIFS(nrMK_Min,nrMK_Link,$B342,nrMK_Credit,"Yes"))</f>
        <v/>
      </c>
      <c r="Q342" s="17">
        <f>IF(OR($B342="",N($J342)=0),"",SUMIFS(nrMK_Sess,nrMK_Link,$B342,nrMK_Credit,"Yes"))</f>
        <v/>
      </c>
      <c r="R342" s="17">
        <f>IF(OR($B342="",$N342&lt;&gt;"Yes"),"",IF(N($I342)&gt;0,N($I342)-N($P342),IF(N($J342)&gt;0,N($J342)-N($Q342),"")))</f>
        <v/>
      </c>
      <c r="S342" s="17">
        <f>IF(OR($B342="",$R342=""),"",IF($R342&lt;=0,"CLEARED "&amp;IFERROR(TEXT(_xlfn.MAXIFS(nrMK_Date,nrMK_Link,$B342,nrMK_Credit,"Yes"),"mm/dd"),""),"OPEN"))</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IF(OR($B343="",N($I343)=0),"",SUMIFS(nrMK_Min,nrMK_Link,$B343,nrMK_Credit,"Yes"))</f>
        <v/>
      </c>
      <c r="Q343" s="17">
        <f>IF(OR($B343="",N($J343)=0),"",SUMIFS(nrMK_Sess,nrMK_Link,$B343,nrMK_Credit,"Yes"))</f>
        <v/>
      </c>
      <c r="R343" s="17">
        <f>IF(OR($B343="",$N343&lt;&gt;"Yes"),"",IF(N($I343)&gt;0,N($I343)-N($P343),IF(N($J343)&gt;0,N($J343)-N($Q343),"")))</f>
        <v/>
      </c>
      <c r="S343" s="17">
        <f>IF(OR($B343="",$R343=""),"",IF($R343&lt;=0,"CLEARED "&amp;IFERROR(TEXT(_xlfn.MAXIFS(nrMK_Date,nrMK_Link,$B343,nrMK_Credit,"Yes"),"mm/dd"),""),"OPEN"))</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IF(OR($B344="",N($I344)=0),"",SUMIFS(nrMK_Min,nrMK_Link,$B344,nrMK_Credit,"Yes"))</f>
        <v/>
      </c>
      <c r="Q344" s="17">
        <f>IF(OR($B344="",N($J344)=0),"",SUMIFS(nrMK_Sess,nrMK_Link,$B344,nrMK_Credit,"Yes"))</f>
        <v/>
      </c>
      <c r="R344" s="17">
        <f>IF(OR($B344="",$N344&lt;&gt;"Yes"),"",IF(N($I344)&gt;0,N($I344)-N($P344),IF(N($J344)&gt;0,N($J344)-N($Q344),"")))</f>
        <v/>
      </c>
      <c r="S344" s="17">
        <f>IF(OR($B344="",$R344=""),"",IF($R344&lt;=0,"CLEARED "&amp;IFERROR(TEXT(_xlfn.MAXIFS(nrMK_Date,nrMK_Link,$B344,nrMK_Credit,"Yes"),"mm/dd"),""),"OPEN"))</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IF(OR($B345="",N($I345)=0),"",SUMIFS(nrMK_Min,nrMK_Link,$B345,nrMK_Credit,"Yes"))</f>
        <v/>
      </c>
      <c r="Q345" s="17">
        <f>IF(OR($B345="",N($J345)=0),"",SUMIFS(nrMK_Sess,nrMK_Link,$B345,nrMK_Credit,"Yes"))</f>
        <v/>
      </c>
      <c r="R345" s="17">
        <f>IF(OR($B345="",$N345&lt;&gt;"Yes"),"",IF(N($I345)&gt;0,N($I345)-N($P345),IF(N($J345)&gt;0,N($J345)-N($Q345),"")))</f>
        <v/>
      </c>
      <c r="S345" s="17">
        <f>IF(OR($B345="",$R345=""),"",IF($R345&lt;=0,"CLEARED "&amp;IFERROR(TEXT(_xlfn.MAXIFS(nrMK_Date,nrMK_Link,$B345,nrMK_Credit,"Yes"),"mm/dd"),""),"OPEN"))</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IF(OR($B346="",N($I346)=0),"",SUMIFS(nrMK_Min,nrMK_Link,$B346,nrMK_Credit,"Yes"))</f>
        <v/>
      </c>
      <c r="Q346" s="17">
        <f>IF(OR($B346="",N($J346)=0),"",SUMIFS(nrMK_Sess,nrMK_Link,$B346,nrMK_Credit,"Yes"))</f>
        <v/>
      </c>
      <c r="R346" s="17">
        <f>IF(OR($B346="",$N346&lt;&gt;"Yes"),"",IF(N($I346)&gt;0,N($I346)-N($P346),IF(N($J346)&gt;0,N($J346)-N($Q346),"")))</f>
        <v/>
      </c>
      <c r="S346" s="17">
        <f>IF(OR($B346="",$R346=""),"",IF($R346&lt;=0,"CLEARED "&amp;IFERROR(TEXT(_xlfn.MAXIFS(nrMK_Date,nrMK_Link,$B346,nrMK_Credit,"Yes"),"mm/dd"),""),"OPEN"))</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IF(OR($B347="",N($I347)=0),"",SUMIFS(nrMK_Min,nrMK_Link,$B347,nrMK_Credit,"Yes"))</f>
        <v/>
      </c>
      <c r="Q347" s="17">
        <f>IF(OR($B347="",N($J347)=0),"",SUMIFS(nrMK_Sess,nrMK_Link,$B347,nrMK_Credit,"Yes"))</f>
        <v/>
      </c>
      <c r="R347" s="17">
        <f>IF(OR($B347="",$N347&lt;&gt;"Yes"),"",IF(N($I347)&gt;0,N($I347)-N($P347),IF(N($J347)&gt;0,N($J347)-N($Q347),"")))</f>
        <v/>
      </c>
      <c r="S347" s="17">
        <f>IF(OR($B347="",$R347=""),"",IF($R347&lt;=0,"CLEARED "&amp;IFERROR(TEXT(_xlfn.MAXIFS(nrMK_Date,nrMK_Link,$B347,nrMK_Credit,"Yes"),"mm/dd"),""),"OPEN"))</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IF(OR($B348="",N($I348)=0),"",SUMIFS(nrMK_Min,nrMK_Link,$B348,nrMK_Credit,"Yes"))</f>
        <v/>
      </c>
      <c r="Q348" s="17">
        <f>IF(OR($B348="",N($J348)=0),"",SUMIFS(nrMK_Sess,nrMK_Link,$B348,nrMK_Credit,"Yes"))</f>
        <v/>
      </c>
      <c r="R348" s="17">
        <f>IF(OR($B348="",$N348&lt;&gt;"Yes"),"",IF(N($I348)&gt;0,N($I348)-N($P348),IF(N($J348)&gt;0,N($J348)-N($Q348),"")))</f>
        <v/>
      </c>
      <c r="S348" s="17">
        <f>IF(OR($B348="",$R348=""),"",IF($R348&lt;=0,"CLEARED "&amp;IFERROR(TEXT(_xlfn.MAXIFS(nrMK_Date,nrMK_Link,$B348,nrMK_Credit,"Yes"),"mm/dd"),""),"OPEN"))</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IF(OR($B349="",N($I349)=0),"",SUMIFS(nrMK_Min,nrMK_Link,$B349,nrMK_Credit,"Yes"))</f>
        <v/>
      </c>
      <c r="Q349" s="17">
        <f>IF(OR($B349="",N($J349)=0),"",SUMIFS(nrMK_Sess,nrMK_Link,$B349,nrMK_Credit,"Yes"))</f>
        <v/>
      </c>
      <c r="R349" s="17">
        <f>IF(OR($B349="",$N349&lt;&gt;"Yes"),"",IF(N($I349)&gt;0,N($I349)-N($P349),IF(N($J349)&gt;0,N($J349)-N($Q349),"")))</f>
        <v/>
      </c>
      <c r="S349" s="17">
        <f>IF(OR($B349="",$R349=""),"",IF($R349&lt;=0,"CLEARED "&amp;IFERROR(TEXT(_xlfn.MAXIFS(nrMK_Date,nrMK_Link,$B349,nrMK_Credit,"Yes"),"mm/dd"),""),"OPEN"))</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IF(OR($B350="",N($I350)=0),"",SUMIFS(nrMK_Min,nrMK_Link,$B350,nrMK_Credit,"Yes"))</f>
        <v/>
      </c>
      <c r="Q350" s="17">
        <f>IF(OR($B350="",N($J350)=0),"",SUMIFS(nrMK_Sess,nrMK_Link,$B350,nrMK_Credit,"Yes"))</f>
        <v/>
      </c>
      <c r="R350" s="17">
        <f>IF(OR($B350="",$N350&lt;&gt;"Yes"),"",IF(N($I350)&gt;0,N($I350)-N($P350),IF(N($J350)&gt;0,N($J350)-N($Q350),"")))</f>
        <v/>
      </c>
      <c r="S350" s="17">
        <f>IF(OR($B350="",$R350=""),"",IF($R350&lt;=0,"CLEARED "&amp;IFERROR(TEXT(_xlfn.MAXIFS(nrMK_Date,nrMK_Link,$B350,nrMK_Credit,"Yes"),"mm/dd"),""),"OPEN"))</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IF(OR($B351="",N($I351)=0),"",SUMIFS(nrMK_Min,nrMK_Link,$B351,nrMK_Credit,"Yes"))</f>
        <v/>
      </c>
      <c r="Q351" s="17">
        <f>IF(OR($B351="",N($J351)=0),"",SUMIFS(nrMK_Sess,nrMK_Link,$B351,nrMK_Credit,"Yes"))</f>
        <v/>
      </c>
      <c r="R351" s="17">
        <f>IF(OR($B351="",$N351&lt;&gt;"Yes"),"",IF(N($I351)&gt;0,N($I351)-N($P351),IF(N($J351)&gt;0,N($J351)-N($Q351),"")))</f>
        <v/>
      </c>
      <c r="S351" s="17">
        <f>IF(OR($B351="",$R351=""),"",IF($R351&lt;=0,"CLEARED "&amp;IFERROR(TEXT(_xlfn.MAXIFS(nrMK_Date,nrMK_Link,$B351,nrMK_Credit,"Yes"),"mm/dd"),""),"OPEN"))</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IF(OR($B352="",N($I352)=0),"",SUMIFS(nrMK_Min,nrMK_Link,$B352,nrMK_Credit,"Yes"))</f>
        <v/>
      </c>
      <c r="Q352" s="17">
        <f>IF(OR($B352="",N($J352)=0),"",SUMIFS(nrMK_Sess,nrMK_Link,$B352,nrMK_Credit,"Yes"))</f>
        <v/>
      </c>
      <c r="R352" s="17">
        <f>IF(OR($B352="",$N352&lt;&gt;"Yes"),"",IF(N($I352)&gt;0,N($I352)-N($P352),IF(N($J352)&gt;0,N($J352)-N($Q352),"")))</f>
        <v/>
      </c>
      <c r="S352" s="17">
        <f>IF(OR($B352="",$R352=""),"",IF($R352&lt;=0,"CLEARED "&amp;IFERROR(TEXT(_xlfn.MAXIFS(nrMK_Date,nrMK_Link,$B352,nrMK_Credit,"Yes"),"mm/dd"),""),"OPEN"))</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IF(OR($B353="",N($I353)=0),"",SUMIFS(nrMK_Min,nrMK_Link,$B353,nrMK_Credit,"Yes"))</f>
        <v/>
      </c>
      <c r="Q353" s="17">
        <f>IF(OR($B353="",N($J353)=0),"",SUMIFS(nrMK_Sess,nrMK_Link,$B353,nrMK_Credit,"Yes"))</f>
        <v/>
      </c>
      <c r="R353" s="17">
        <f>IF(OR($B353="",$N353&lt;&gt;"Yes"),"",IF(N($I353)&gt;0,N($I353)-N($P353),IF(N($J353)&gt;0,N($J353)-N($Q353),"")))</f>
        <v/>
      </c>
      <c r="S353" s="17">
        <f>IF(OR($B353="",$R353=""),"",IF($R353&lt;=0,"CLEARED "&amp;IFERROR(TEXT(_xlfn.MAXIFS(nrMK_Date,nrMK_Link,$B353,nrMK_Credit,"Yes"),"mm/dd"),""),"OPEN"))</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IF(OR($B354="",N($I354)=0),"",SUMIFS(nrMK_Min,nrMK_Link,$B354,nrMK_Credit,"Yes"))</f>
        <v/>
      </c>
      <c r="Q354" s="17">
        <f>IF(OR($B354="",N($J354)=0),"",SUMIFS(nrMK_Sess,nrMK_Link,$B354,nrMK_Credit,"Yes"))</f>
        <v/>
      </c>
      <c r="R354" s="17">
        <f>IF(OR($B354="",$N354&lt;&gt;"Yes"),"",IF(N($I354)&gt;0,N($I354)-N($P354),IF(N($J354)&gt;0,N($J354)-N($Q354),"")))</f>
        <v/>
      </c>
      <c r="S354" s="17">
        <f>IF(OR($B354="",$R354=""),"",IF($R354&lt;=0,"CLEARED "&amp;IFERROR(TEXT(_xlfn.MAXIFS(nrMK_Date,nrMK_Link,$B354,nrMK_Credit,"Yes"),"mm/dd"),""),"OPEN"))</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IF(OR($B355="",N($I355)=0),"",SUMIFS(nrMK_Min,nrMK_Link,$B355,nrMK_Credit,"Yes"))</f>
        <v/>
      </c>
      <c r="Q355" s="17">
        <f>IF(OR($B355="",N($J355)=0),"",SUMIFS(nrMK_Sess,nrMK_Link,$B355,nrMK_Credit,"Yes"))</f>
        <v/>
      </c>
      <c r="R355" s="17">
        <f>IF(OR($B355="",$N355&lt;&gt;"Yes"),"",IF(N($I355)&gt;0,N($I355)-N($P355),IF(N($J355)&gt;0,N($J355)-N($Q355),"")))</f>
        <v/>
      </c>
      <c r="S355" s="17">
        <f>IF(OR($B355="",$R355=""),"",IF($R355&lt;=0,"CLEARED "&amp;IFERROR(TEXT(_xlfn.MAXIFS(nrMK_Date,nrMK_Link,$B355,nrMK_Credit,"Yes"),"mm/dd"),""),"OPEN"))</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IF(OR($B356="",N($I356)=0),"",SUMIFS(nrMK_Min,nrMK_Link,$B356,nrMK_Credit,"Yes"))</f>
        <v/>
      </c>
      <c r="Q356" s="17">
        <f>IF(OR($B356="",N($J356)=0),"",SUMIFS(nrMK_Sess,nrMK_Link,$B356,nrMK_Credit,"Yes"))</f>
        <v/>
      </c>
      <c r="R356" s="17">
        <f>IF(OR($B356="",$N356&lt;&gt;"Yes"),"",IF(N($I356)&gt;0,N($I356)-N($P356),IF(N($J356)&gt;0,N($J356)-N($Q356),"")))</f>
        <v/>
      </c>
      <c r="S356" s="17">
        <f>IF(OR($B356="",$R356=""),"",IF($R356&lt;=0,"CLEARED "&amp;IFERROR(TEXT(_xlfn.MAXIFS(nrMK_Date,nrMK_Link,$B356,nrMK_Credit,"Yes"),"mm/dd"),""),"OPEN"))</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IF(OR($B357="",N($I357)=0),"",SUMIFS(nrMK_Min,nrMK_Link,$B357,nrMK_Credit,"Yes"))</f>
        <v/>
      </c>
      <c r="Q357" s="17">
        <f>IF(OR($B357="",N($J357)=0),"",SUMIFS(nrMK_Sess,nrMK_Link,$B357,nrMK_Credit,"Yes"))</f>
        <v/>
      </c>
      <c r="R357" s="17">
        <f>IF(OR($B357="",$N357&lt;&gt;"Yes"),"",IF(N($I357)&gt;0,N($I357)-N($P357),IF(N($J357)&gt;0,N($J357)-N($Q357),"")))</f>
        <v/>
      </c>
      <c r="S357" s="17">
        <f>IF(OR($B357="",$R357=""),"",IF($R357&lt;=0,"CLEARED "&amp;IFERROR(TEXT(_xlfn.MAXIFS(nrMK_Date,nrMK_Link,$B357,nrMK_Credit,"Yes"),"mm/dd"),""),"OPEN"))</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IF(OR($B358="",N($I358)=0),"",SUMIFS(nrMK_Min,nrMK_Link,$B358,nrMK_Credit,"Yes"))</f>
        <v/>
      </c>
      <c r="Q358" s="17">
        <f>IF(OR($B358="",N($J358)=0),"",SUMIFS(nrMK_Sess,nrMK_Link,$B358,nrMK_Credit,"Yes"))</f>
        <v/>
      </c>
      <c r="R358" s="17">
        <f>IF(OR($B358="",$N358&lt;&gt;"Yes"),"",IF(N($I358)&gt;0,N($I358)-N($P358),IF(N($J358)&gt;0,N($J358)-N($Q358),"")))</f>
        <v/>
      </c>
      <c r="S358" s="17">
        <f>IF(OR($B358="",$R358=""),"",IF($R358&lt;=0,"CLEARED "&amp;IFERROR(TEXT(_xlfn.MAXIFS(nrMK_Date,nrMK_Link,$B358,nrMK_Credit,"Yes"),"mm/dd"),""),"OPEN"))</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IF(OR($B359="",N($I359)=0),"",SUMIFS(nrMK_Min,nrMK_Link,$B359,nrMK_Credit,"Yes"))</f>
        <v/>
      </c>
      <c r="Q359" s="17">
        <f>IF(OR($B359="",N($J359)=0),"",SUMIFS(nrMK_Sess,nrMK_Link,$B359,nrMK_Credit,"Yes"))</f>
        <v/>
      </c>
      <c r="R359" s="17">
        <f>IF(OR($B359="",$N359&lt;&gt;"Yes"),"",IF(N($I359)&gt;0,N($I359)-N($P359),IF(N($J359)&gt;0,N($J359)-N($Q359),"")))</f>
        <v/>
      </c>
      <c r="S359" s="17">
        <f>IF(OR($B359="",$R359=""),"",IF($R359&lt;=0,"CLEARED "&amp;IFERROR(TEXT(_xlfn.MAXIFS(nrMK_Date,nrMK_Link,$B359,nrMK_Credit,"Yes"),"mm/dd"),""),"OPEN"))</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IF(OR($B360="",N($I360)=0),"",SUMIFS(nrMK_Min,nrMK_Link,$B360,nrMK_Credit,"Yes"))</f>
        <v/>
      </c>
      <c r="Q360" s="17">
        <f>IF(OR($B360="",N($J360)=0),"",SUMIFS(nrMK_Sess,nrMK_Link,$B360,nrMK_Credit,"Yes"))</f>
        <v/>
      </c>
      <c r="R360" s="17">
        <f>IF(OR($B360="",$N360&lt;&gt;"Yes"),"",IF(N($I360)&gt;0,N($I360)-N($P360),IF(N($J360)&gt;0,N($J360)-N($Q360),"")))</f>
        <v/>
      </c>
      <c r="S360" s="17">
        <f>IF(OR($B360="",$R360=""),"",IF($R360&lt;=0,"CLEARED "&amp;IFERROR(TEXT(_xlfn.MAXIFS(nrMK_Date,nrMK_Link,$B360,nrMK_Credit,"Yes"),"mm/dd"),""),"OPEN"))</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IF(OR($B361="",N($I361)=0),"",SUMIFS(nrMK_Min,nrMK_Link,$B361,nrMK_Credit,"Yes"))</f>
        <v/>
      </c>
      <c r="Q361" s="17">
        <f>IF(OR($B361="",N($J361)=0),"",SUMIFS(nrMK_Sess,nrMK_Link,$B361,nrMK_Credit,"Yes"))</f>
        <v/>
      </c>
      <c r="R361" s="17">
        <f>IF(OR($B361="",$N361&lt;&gt;"Yes"),"",IF(N($I361)&gt;0,N($I361)-N($P361),IF(N($J361)&gt;0,N($J361)-N($Q361),"")))</f>
        <v/>
      </c>
      <c r="S361" s="17">
        <f>IF(OR($B361="",$R361=""),"",IF($R361&lt;=0,"CLEARED "&amp;IFERROR(TEXT(_xlfn.MAXIFS(nrMK_Date,nrMK_Link,$B361,nrMK_Credit,"Yes"),"mm/dd"),""),"OPEN"))</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IF(OR($B362="",N($I362)=0),"",SUMIFS(nrMK_Min,nrMK_Link,$B362,nrMK_Credit,"Yes"))</f>
        <v/>
      </c>
      <c r="Q362" s="17">
        <f>IF(OR($B362="",N($J362)=0),"",SUMIFS(nrMK_Sess,nrMK_Link,$B362,nrMK_Credit,"Yes"))</f>
        <v/>
      </c>
      <c r="R362" s="17">
        <f>IF(OR($B362="",$N362&lt;&gt;"Yes"),"",IF(N($I362)&gt;0,N($I362)-N($P362),IF(N($J362)&gt;0,N($J362)-N($Q362),"")))</f>
        <v/>
      </c>
      <c r="S362" s="17">
        <f>IF(OR($B362="",$R362=""),"",IF($R362&lt;=0,"CLEARED "&amp;IFERROR(TEXT(_xlfn.MAXIFS(nrMK_Date,nrMK_Link,$B362,nrMK_Credit,"Yes"),"mm/dd"),""),"OPEN"))</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IF(OR($B363="",N($I363)=0),"",SUMIFS(nrMK_Min,nrMK_Link,$B363,nrMK_Credit,"Yes"))</f>
        <v/>
      </c>
      <c r="Q363" s="17">
        <f>IF(OR($B363="",N($J363)=0),"",SUMIFS(nrMK_Sess,nrMK_Link,$B363,nrMK_Credit,"Yes"))</f>
        <v/>
      </c>
      <c r="R363" s="17">
        <f>IF(OR($B363="",$N363&lt;&gt;"Yes"),"",IF(N($I363)&gt;0,N($I363)-N($P363),IF(N($J363)&gt;0,N($J363)-N($Q363),"")))</f>
        <v/>
      </c>
      <c r="S363" s="17">
        <f>IF(OR($B363="",$R363=""),"",IF($R363&lt;=0,"CLEARED "&amp;IFERROR(TEXT(_xlfn.MAXIFS(nrMK_Date,nrMK_Link,$B363,nrMK_Credit,"Yes"),"mm/dd"),""),"OPEN"))</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IF(OR($B364="",N($I364)=0),"",SUMIFS(nrMK_Min,nrMK_Link,$B364,nrMK_Credit,"Yes"))</f>
        <v/>
      </c>
      <c r="Q364" s="17">
        <f>IF(OR($B364="",N($J364)=0),"",SUMIFS(nrMK_Sess,nrMK_Link,$B364,nrMK_Credit,"Yes"))</f>
        <v/>
      </c>
      <c r="R364" s="17">
        <f>IF(OR($B364="",$N364&lt;&gt;"Yes"),"",IF(N($I364)&gt;0,N($I364)-N($P364),IF(N($J364)&gt;0,N($J364)-N($Q364),"")))</f>
        <v/>
      </c>
      <c r="S364" s="17">
        <f>IF(OR($B364="",$R364=""),"",IF($R364&lt;=0,"CLEARED "&amp;IFERROR(TEXT(_xlfn.MAXIFS(nrMK_Date,nrMK_Link,$B364,nrMK_Credit,"Yes"),"mm/dd"),""),"OPEN"))</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IF(OR($B365="",N($I365)=0),"",SUMIFS(nrMK_Min,nrMK_Link,$B365,nrMK_Credit,"Yes"))</f>
        <v/>
      </c>
      <c r="Q365" s="17">
        <f>IF(OR($B365="",N($J365)=0),"",SUMIFS(nrMK_Sess,nrMK_Link,$B365,nrMK_Credit,"Yes"))</f>
        <v/>
      </c>
      <c r="R365" s="17">
        <f>IF(OR($B365="",$N365&lt;&gt;"Yes"),"",IF(N($I365)&gt;0,N($I365)-N($P365),IF(N($J365)&gt;0,N($J365)-N($Q365),"")))</f>
        <v/>
      </c>
      <c r="S365" s="17">
        <f>IF(OR($B365="",$R365=""),"",IF($R365&lt;=0,"CLEARED "&amp;IFERROR(TEXT(_xlfn.MAXIFS(nrMK_Date,nrMK_Link,$B365,nrMK_Credit,"Yes"),"mm/dd"),""),"OPEN"))</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IF(OR($B366="",N($I366)=0),"",SUMIFS(nrMK_Min,nrMK_Link,$B366,nrMK_Credit,"Yes"))</f>
        <v/>
      </c>
      <c r="Q366" s="17">
        <f>IF(OR($B366="",N($J366)=0),"",SUMIFS(nrMK_Sess,nrMK_Link,$B366,nrMK_Credit,"Yes"))</f>
        <v/>
      </c>
      <c r="R366" s="17">
        <f>IF(OR($B366="",$N366&lt;&gt;"Yes"),"",IF(N($I366)&gt;0,N($I366)-N($P366),IF(N($J366)&gt;0,N($J366)-N($Q366),"")))</f>
        <v/>
      </c>
      <c r="S366" s="17">
        <f>IF(OR($B366="",$R366=""),"",IF($R366&lt;=0,"CLEARED "&amp;IFERROR(TEXT(_xlfn.MAXIFS(nrMK_Date,nrMK_Link,$B366,nrMK_Credit,"Yes"),"mm/dd"),""),"OPEN"))</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IF(OR($B367="",N($I367)=0),"",SUMIFS(nrMK_Min,nrMK_Link,$B367,nrMK_Credit,"Yes"))</f>
        <v/>
      </c>
      <c r="Q367" s="17">
        <f>IF(OR($B367="",N($J367)=0),"",SUMIFS(nrMK_Sess,nrMK_Link,$B367,nrMK_Credit,"Yes"))</f>
        <v/>
      </c>
      <c r="R367" s="17">
        <f>IF(OR($B367="",$N367&lt;&gt;"Yes"),"",IF(N($I367)&gt;0,N($I367)-N($P367),IF(N($J367)&gt;0,N($J367)-N($Q367),"")))</f>
        <v/>
      </c>
      <c r="S367" s="17">
        <f>IF(OR($B367="",$R367=""),"",IF($R367&lt;=0,"CLEARED "&amp;IFERROR(TEXT(_xlfn.MAXIFS(nrMK_Date,nrMK_Link,$B367,nrMK_Credit,"Yes"),"mm/dd"),""),"OPEN"))</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IF(OR($B368="",N($I368)=0),"",SUMIFS(nrMK_Min,nrMK_Link,$B368,nrMK_Credit,"Yes"))</f>
        <v/>
      </c>
      <c r="Q368" s="17">
        <f>IF(OR($B368="",N($J368)=0),"",SUMIFS(nrMK_Sess,nrMK_Link,$B368,nrMK_Credit,"Yes"))</f>
        <v/>
      </c>
      <c r="R368" s="17">
        <f>IF(OR($B368="",$N368&lt;&gt;"Yes"),"",IF(N($I368)&gt;0,N($I368)-N($P368),IF(N($J368)&gt;0,N($J368)-N($Q368),"")))</f>
        <v/>
      </c>
      <c r="S368" s="17">
        <f>IF(OR($B368="",$R368=""),"",IF($R368&lt;=0,"CLEARED "&amp;IFERROR(TEXT(_xlfn.MAXIFS(nrMK_Date,nrMK_Link,$B368,nrMK_Credit,"Yes"),"mm/dd"),""),"OPEN"))</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IF(OR($B369="",N($I369)=0),"",SUMIFS(nrMK_Min,nrMK_Link,$B369,nrMK_Credit,"Yes"))</f>
        <v/>
      </c>
      <c r="Q369" s="17">
        <f>IF(OR($B369="",N($J369)=0),"",SUMIFS(nrMK_Sess,nrMK_Link,$B369,nrMK_Credit,"Yes"))</f>
        <v/>
      </c>
      <c r="R369" s="17">
        <f>IF(OR($B369="",$N369&lt;&gt;"Yes"),"",IF(N($I369)&gt;0,N($I369)-N($P369),IF(N($J369)&gt;0,N($J369)-N($Q369),"")))</f>
        <v/>
      </c>
      <c r="S369" s="17">
        <f>IF(OR($B369="",$R369=""),"",IF($R369&lt;=0,"CLEARED "&amp;IFERROR(TEXT(_xlfn.MAXIFS(nrMK_Date,nrMK_Link,$B369,nrMK_Credit,"Yes"),"mm/dd"),""),"OPEN"))</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IF(OR($B370="",N($I370)=0),"",SUMIFS(nrMK_Min,nrMK_Link,$B370,nrMK_Credit,"Yes"))</f>
        <v/>
      </c>
      <c r="Q370" s="17">
        <f>IF(OR($B370="",N($J370)=0),"",SUMIFS(nrMK_Sess,nrMK_Link,$B370,nrMK_Credit,"Yes"))</f>
        <v/>
      </c>
      <c r="R370" s="17">
        <f>IF(OR($B370="",$N370&lt;&gt;"Yes"),"",IF(N($I370)&gt;0,N($I370)-N($P370),IF(N($J370)&gt;0,N($J370)-N($Q370),"")))</f>
        <v/>
      </c>
      <c r="S370" s="17">
        <f>IF(OR($B370="",$R370=""),"",IF($R370&lt;=0,"CLEARED "&amp;IFERROR(TEXT(_xlfn.MAXIFS(nrMK_Date,nrMK_Link,$B370,nrMK_Credit,"Yes"),"mm/dd"),""),"OPEN"))</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IF(OR($B371="",N($I371)=0),"",SUMIFS(nrMK_Min,nrMK_Link,$B371,nrMK_Credit,"Yes"))</f>
        <v/>
      </c>
      <c r="Q371" s="17">
        <f>IF(OR($B371="",N($J371)=0),"",SUMIFS(nrMK_Sess,nrMK_Link,$B371,nrMK_Credit,"Yes"))</f>
        <v/>
      </c>
      <c r="R371" s="17">
        <f>IF(OR($B371="",$N371&lt;&gt;"Yes"),"",IF(N($I371)&gt;0,N($I371)-N($P371),IF(N($J371)&gt;0,N($J371)-N($Q371),"")))</f>
        <v/>
      </c>
      <c r="S371" s="17">
        <f>IF(OR($B371="",$R371=""),"",IF($R371&lt;=0,"CLEARED "&amp;IFERROR(TEXT(_xlfn.MAXIFS(nrMK_Date,nrMK_Link,$B371,nrMK_Credit,"Yes"),"mm/dd"),""),"OPEN"))</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IF(OR($B372="",N($I372)=0),"",SUMIFS(nrMK_Min,nrMK_Link,$B372,nrMK_Credit,"Yes"))</f>
        <v/>
      </c>
      <c r="Q372" s="17">
        <f>IF(OR($B372="",N($J372)=0),"",SUMIFS(nrMK_Sess,nrMK_Link,$B372,nrMK_Credit,"Yes"))</f>
        <v/>
      </c>
      <c r="R372" s="17">
        <f>IF(OR($B372="",$N372&lt;&gt;"Yes"),"",IF(N($I372)&gt;0,N($I372)-N($P372),IF(N($J372)&gt;0,N($J372)-N($Q372),"")))</f>
        <v/>
      </c>
      <c r="S372" s="17">
        <f>IF(OR($B372="",$R372=""),"",IF($R372&lt;=0,"CLEARED "&amp;IFERROR(TEXT(_xlfn.MAXIFS(nrMK_Date,nrMK_Link,$B372,nrMK_Credit,"Yes"),"mm/dd"),""),"OPEN"))</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IF(OR($B373="",N($I373)=0),"",SUMIFS(nrMK_Min,nrMK_Link,$B373,nrMK_Credit,"Yes"))</f>
        <v/>
      </c>
      <c r="Q373" s="17">
        <f>IF(OR($B373="",N($J373)=0),"",SUMIFS(nrMK_Sess,nrMK_Link,$B373,nrMK_Credit,"Yes"))</f>
        <v/>
      </c>
      <c r="R373" s="17">
        <f>IF(OR($B373="",$N373&lt;&gt;"Yes"),"",IF(N($I373)&gt;0,N($I373)-N($P373),IF(N($J373)&gt;0,N($J373)-N($Q373),"")))</f>
        <v/>
      </c>
      <c r="S373" s="17">
        <f>IF(OR($B373="",$R373=""),"",IF($R373&lt;=0,"CLEARED "&amp;IFERROR(TEXT(_xlfn.MAXIFS(nrMK_Date,nrMK_Link,$B373,nrMK_Credit,"Yes"),"mm/dd"),""),"OPEN"))</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IF(OR($B374="",N($I374)=0),"",SUMIFS(nrMK_Min,nrMK_Link,$B374,nrMK_Credit,"Yes"))</f>
        <v/>
      </c>
      <c r="Q374" s="17">
        <f>IF(OR($B374="",N($J374)=0),"",SUMIFS(nrMK_Sess,nrMK_Link,$B374,nrMK_Credit,"Yes"))</f>
        <v/>
      </c>
      <c r="R374" s="17">
        <f>IF(OR($B374="",$N374&lt;&gt;"Yes"),"",IF(N($I374)&gt;0,N($I374)-N($P374),IF(N($J374)&gt;0,N($J374)-N($Q374),"")))</f>
        <v/>
      </c>
      <c r="S374" s="17">
        <f>IF(OR($B374="",$R374=""),"",IF($R374&lt;=0,"CLEARED "&amp;IFERROR(TEXT(_xlfn.MAXIFS(nrMK_Date,nrMK_Link,$B374,nrMK_Credit,"Yes"),"mm/dd"),""),"OPEN"))</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IF(OR($B375="",N($I375)=0),"",SUMIFS(nrMK_Min,nrMK_Link,$B375,nrMK_Credit,"Yes"))</f>
        <v/>
      </c>
      <c r="Q375" s="17">
        <f>IF(OR($B375="",N($J375)=0),"",SUMIFS(nrMK_Sess,nrMK_Link,$B375,nrMK_Credit,"Yes"))</f>
        <v/>
      </c>
      <c r="R375" s="17">
        <f>IF(OR($B375="",$N375&lt;&gt;"Yes"),"",IF(N($I375)&gt;0,N($I375)-N($P375),IF(N($J375)&gt;0,N($J375)-N($Q375),"")))</f>
        <v/>
      </c>
      <c r="S375" s="17">
        <f>IF(OR($B375="",$R375=""),"",IF($R375&lt;=0,"CLEARED "&amp;IFERROR(TEXT(_xlfn.MAXIFS(nrMK_Date,nrMK_Link,$B375,nrMK_Credit,"Yes"),"mm/dd"),""),"OPEN"))</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IF(OR($B376="",N($I376)=0),"",SUMIFS(nrMK_Min,nrMK_Link,$B376,nrMK_Credit,"Yes"))</f>
        <v/>
      </c>
      <c r="Q376" s="17">
        <f>IF(OR($B376="",N($J376)=0),"",SUMIFS(nrMK_Sess,nrMK_Link,$B376,nrMK_Credit,"Yes"))</f>
        <v/>
      </c>
      <c r="R376" s="17">
        <f>IF(OR($B376="",$N376&lt;&gt;"Yes"),"",IF(N($I376)&gt;0,N($I376)-N($P376),IF(N($J376)&gt;0,N($J376)-N($Q376),"")))</f>
        <v/>
      </c>
      <c r="S376" s="17">
        <f>IF(OR($B376="",$R376=""),"",IF($R376&lt;=0,"CLEARED "&amp;IFERROR(TEXT(_xlfn.MAXIFS(nrMK_Date,nrMK_Link,$B376,nrMK_Credit,"Yes"),"mm/dd"),""),"OPEN"))</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IF(OR($B377="",N($I377)=0),"",SUMIFS(nrMK_Min,nrMK_Link,$B377,nrMK_Credit,"Yes"))</f>
        <v/>
      </c>
      <c r="Q377" s="17">
        <f>IF(OR($B377="",N($J377)=0),"",SUMIFS(nrMK_Sess,nrMK_Link,$B377,nrMK_Credit,"Yes"))</f>
        <v/>
      </c>
      <c r="R377" s="17">
        <f>IF(OR($B377="",$N377&lt;&gt;"Yes"),"",IF(N($I377)&gt;0,N($I377)-N($P377),IF(N($J377)&gt;0,N($J377)-N($Q377),"")))</f>
        <v/>
      </c>
      <c r="S377" s="17">
        <f>IF(OR($B377="",$R377=""),"",IF($R377&lt;=0,"CLEARED "&amp;IFERROR(TEXT(_xlfn.MAXIFS(nrMK_Date,nrMK_Link,$B377,nrMK_Credit,"Yes"),"mm/dd"),""),"OPEN"))</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IF(OR($B378="",N($I378)=0),"",SUMIFS(nrMK_Min,nrMK_Link,$B378,nrMK_Credit,"Yes"))</f>
        <v/>
      </c>
      <c r="Q378" s="17">
        <f>IF(OR($B378="",N($J378)=0),"",SUMIFS(nrMK_Sess,nrMK_Link,$B378,nrMK_Credit,"Yes"))</f>
        <v/>
      </c>
      <c r="R378" s="17">
        <f>IF(OR($B378="",$N378&lt;&gt;"Yes"),"",IF(N($I378)&gt;0,N($I378)-N($P378),IF(N($J378)&gt;0,N($J378)-N($Q378),"")))</f>
        <v/>
      </c>
      <c r="S378" s="17">
        <f>IF(OR($B378="",$R378=""),"",IF($R378&lt;=0,"CLEARED "&amp;IFERROR(TEXT(_xlfn.MAXIFS(nrMK_Date,nrMK_Link,$B378,nrMK_Credit,"Yes"),"mm/dd"),""),"OPEN"))</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IF(OR($B379="",N($I379)=0),"",SUMIFS(nrMK_Min,nrMK_Link,$B379,nrMK_Credit,"Yes"))</f>
        <v/>
      </c>
      <c r="Q379" s="17">
        <f>IF(OR($B379="",N($J379)=0),"",SUMIFS(nrMK_Sess,nrMK_Link,$B379,nrMK_Credit,"Yes"))</f>
        <v/>
      </c>
      <c r="R379" s="17">
        <f>IF(OR($B379="",$N379&lt;&gt;"Yes"),"",IF(N($I379)&gt;0,N($I379)-N($P379),IF(N($J379)&gt;0,N($J379)-N($Q379),"")))</f>
        <v/>
      </c>
      <c r="S379" s="17">
        <f>IF(OR($B379="",$R379=""),"",IF($R379&lt;=0,"CLEARED "&amp;IFERROR(TEXT(_xlfn.MAXIFS(nrMK_Date,nrMK_Link,$B379,nrMK_Credit,"Yes"),"mm/dd"),""),"OPEN"))</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IF(OR($B380="",N($I380)=0),"",SUMIFS(nrMK_Min,nrMK_Link,$B380,nrMK_Credit,"Yes"))</f>
        <v/>
      </c>
      <c r="Q380" s="17">
        <f>IF(OR($B380="",N($J380)=0),"",SUMIFS(nrMK_Sess,nrMK_Link,$B380,nrMK_Credit,"Yes"))</f>
        <v/>
      </c>
      <c r="R380" s="17">
        <f>IF(OR($B380="",$N380&lt;&gt;"Yes"),"",IF(N($I380)&gt;0,N($I380)-N($P380),IF(N($J380)&gt;0,N($J380)-N($Q380),"")))</f>
        <v/>
      </c>
      <c r="S380" s="17">
        <f>IF(OR($B380="",$R380=""),"",IF($R380&lt;=0,"CLEARED "&amp;IFERROR(TEXT(_xlfn.MAXIFS(nrMK_Date,nrMK_Link,$B380,nrMK_Credit,"Yes"),"mm/dd"),""),"OPEN"))</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IF(OR($B381="",N($I381)=0),"",SUMIFS(nrMK_Min,nrMK_Link,$B381,nrMK_Credit,"Yes"))</f>
        <v/>
      </c>
      <c r="Q381" s="17">
        <f>IF(OR($B381="",N($J381)=0),"",SUMIFS(nrMK_Sess,nrMK_Link,$B381,nrMK_Credit,"Yes"))</f>
        <v/>
      </c>
      <c r="R381" s="17">
        <f>IF(OR($B381="",$N381&lt;&gt;"Yes"),"",IF(N($I381)&gt;0,N($I381)-N($P381),IF(N($J381)&gt;0,N($J381)-N($Q381),"")))</f>
        <v/>
      </c>
      <c r="S381" s="17">
        <f>IF(OR($B381="",$R381=""),"",IF($R381&lt;=0,"CLEARED "&amp;IFERROR(TEXT(_xlfn.MAXIFS(nrMK_Date,nrMK_Link,$B381,nrMK_Credit,"Yes"),"mm/dd"),""),"OPEN"))</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IF(OR($B382="",N($I382)=0),"",SUMIFS(nrMK_Min,nrMK_Link,$B382,nrMK_Credit,"Yes"))</f>
        <v/>
      </c>
      <c r="Q382" s="17">
        <f>IF(OR($B382="",N($J382)=0),"",SUMIFS(nrMK_Sess,nrMK_Link,$B382,nrMK_Credit,"Yes"))</f>
        <v/>
      </c>
      <c r="R382" s="17">
        <f>IF(OR($B382="",$N382&lt;&gt;"Yes"),"",IF(N($I382)&gt;0,N($I382)-N($P382),IF(N($J382)&gt;0,N($J382)-N($Q382),"")))</f>
        <v/>
      </c>
      <c r="S382" s="17">
        <f>IF(OR($B382="",$R382=""),"",IF($R382&lt;=0,"CLEARED "&amp;IFERROR(TEXT(_xlfn.MAXIFS(nrMK_Date,nrMK_Link,$B382,nrMK_Credit,"Yes"),"mm/dd"),""),"OPEN"))</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IF(OR($B383="",N($I383)=0),"",SUMIFS(nrMK_Min,nrMK_Link,$B383,nrMK_Credit,"Yes"))</f>
        <v/>
      </c>
      <c r="Q383" s="17">
        <f>IF(OR($B383="",N($J383)=0),"",SUMIFS(nrMK_Sess,nrMK_Link,$B383,nrMK_Credit,"Yes"))</f>
        <v/>
      </c>
      <c r="R383" s="17">
        <f>IF(OR($B383="",$N383&lt;&gt;"Yes"),"",IF(N($I383)&gt;0,N($I383)-N($P383),IF(N($J383)&gt;0,N($J383)-N($Q383),"")))</f>
        <v/>
      </c>
      <c r="S383" s="17">
        <f>IF(OR($B383="",$R383=""),"",IF($R383&lt;=0,"CLEARED "&amp;IFERROR(TEXT(_xlfn.MAXIFS(nrMK_Date,nrMK_Link,$B383,nrMK_Credit,"Yes"),"mm/dd"),""),"OPEN"))</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IF(OR($B384="",N($I384)=0),"",SUMIFS(nrMK_Min,nrMK_Link,$B384,nrMK_Credit,"Yes"))</f>
        <v/>
      </c>
      <c r="Q384" s="17">
        <f>IF(OR($B384="",N($J384)=0),"",SUMIFS(nrMK_Sess,nrMK_Link,$B384,nrMK_Credit,"Yes"))</f>
        <v/>
      </c>
      <c r="R384" s="17">
        <f>IF(OR($B384="",$N384&lt;&gt;"Yes"),"",IF(N($I384)&gt;0,N($I384)-N($P384),IF(N($J384)&gt;0,N($J384)-N($Q384),"")))</f>
        <v/>
      </c>
      <c r="S384" s="17">
        <f>IF(OR($B384="",$R384=""),"",IF($R384&lt;=0,"CLEARED "&amp;IFERROR(TEXT(_xlfn.MAXIFS(nrMK_Date,nrMK_Link,$B384,nrMK_Credit,"Yes"),"mm/dd"),""),"OPEN"))</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IF(OR($B385="",N($I385)=0),"",SUMIFS(nrMK_Min,nrMK_Link,$B385,nrMK_Credit,"Yes"))</f>
        <v/>
      </c>
      <c r="Q385" s="17">
        <f>IF(OR($B385="",N($J385)=0),"",SUMIFS(nrMK_Sess,nrMK_Link,$B385,nrMK_Credit,"Yes"))</f>
        <v/>
      </c>
      <c r="R385" s="17">
        <f>IF(OR($B385="",$N385&lt;&gt;"Yes"),"",IF(N($I385)&gt;0,N($I385)-N($P385),IF(N($J385)&gt;0,N($J385)-N($Q385),"")))</f>
        <v/>
      </c>
      <c r="S385" s="17">
        <f>IF(OR($B385="",$R385=""),"",IF($R385&lt;=0,"CLEARED "&amp;IFERROR(TEXT(_xlfn.MAXIFS(nrMK_Date,nrMK_Link,$B385,nrMK_Credit,"Yes"),"mm/dd"),""),"OPEN"))</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IF(OR($B386="",N($I386)=0),"",SUMIFS(nrMK_Min,nrMK_Link,$B386,nrMK_Credit,"Yes"))</f>
        <v/>
      </c>
      <c r="Q386" s="17">
        <f>IF(OR($B386="",N($J386)=0),"",SUMIFS(nrMK_Sess,nrMK_Link,$B386,nrMK_Credit,"Yes"))</f>
        <v/>
      </c>
      <c r="R386" s="17">
        <f>IF(OR($B386="",$N386&lt;&gt;"Yes"),"",IF(N($I386)&gt;0,N($I386)-N($P386),IF(N($J386)&gt;0,N($J386)-N($Q386),"")))</f>
        <v/>
      </c>
      <c r="S386" s="17">
        <f>IF(OR($B386="",$R386=""),"",IF($R386&lt;=0,"CLEARED "&amp;IFERROR(TEXT(_xlfn.MAXIFS(nrMK_Date,nrMK_Link,$B386,nrMK_Credit,"Yes"),"mm/dd"),""),"OPEN"))</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IF(OR($B387="",N($I387)=0),"",SUMIFS(nrMK_Min,nrMK_Link,$B387,nrMK_Credit,"Yes"))</f>
        <v/>
      </c>
      <c r="Q387" s="17">
        <f>IF(OR($B387="",N($J387)=0),"",SUMIFS(nrMK_Sess,nrMK_Link,$B387,nrMK_Credit,"Yes"))</f>
        <v/>
      </c>
      <c r="R387" s="17">
        <f>IF(OR($B387="",$N387&lt;&gt;"Yes"),"",IF(N($I387)&gt;0,N($I387)-N($P387),IF(N($J387)&gt;0,N($J387)-N($Q387),"")))</f>
        <v/>
      </c>
      <c r="S387" s="17">
        <f>IF(OR($B387="",$R387=""),"",IF($R387&lt;=0,"CLEARED "&amp;IFERROR(TEXT(_xlfn.MAXIFS(nrMK_Date,nrMK_Link,$B387,nrMK_Credit,"Yes"),"mm/dd"),""),"OPEN"))</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IF(OR($B388="",N($I388)=0),"",SUMIFS(nrMK_Min,nrMK_Link,$B388,nrMK_Credit,"Yes"))</f>
        <v/>
      </c>
      <c r="Q388" s="17">
        <f>IF(OR($B388="",N($J388)=0),"",SUMIFS(nrMK_Sess,nrMK_Link,$B388,nrMK_Credit,"Yes"))</f>
        <v/>
      </c>
      <c r="R388" s="17">
        <f>IF(OR($B388="",$N388&lt;&gt;"Yes"),"",IF(N($I388)&gt;0,N($I388)-N($P388),IF(N($J388)&gt;0,N($J388)-N($Q388),"")))</f>
        <v/>
      </c>
      <c r="S388" s="17">
        <f>IF(OR($B388="",$R388=""),"",IF($R388&lt;=0,"CLEARED "&amp;IFERROR(TEXT(_xlfn.MAXIFS(nrMK_Date,nrMK_Link,$B388,nrMK_Credit,"Yes"),"mm/dd"),""),"OPEN"))</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IF(OR($B389="",N($I389)=0),"",SUMIFS(nrMK_Min,nrMK_Link,$B389,nrMK_Credit,"Yes"))</f>
        <v/>
      </c>
      <c r="Q389" s="17">
        <f>IF(OR($B389="",N($J389)=0),"",SUMIFS(nrMK_Sess,nrMK_Link,$B389,nrMK_Credit,"Yes"))</f>
        <v/>
      </c>
      <c r="R389" s="17">
        <f>IF(OR($B389="",$N389&lt;&gt;"Yes"),"",IF(N($I389)&gt;0,N($I389)-N($P389),IF(N($J389)&gt;0,N($J389)-N($Q389),"")))</f>
        <v/>
      </c>
      <c r="S389" s="17">
        <f>IF(OR($B389="",$R389=""),"",IF($R389&lt;=0,"CLEARED "&amp;IFERROR(TEXT(_xlfn.MAXIFS(nrMK_Date,nrMK_Link,$B389,nrMK_Credit,"Yes"),"mm/dd"),""),"OPEN"))</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IF(OR($B390="",N($I390)=0),"",SUMIFS(nrMK_Min,nrMK_Link,$B390,nrMK_Credit,"Yes"))</f>
        <v/>
      </c>
      <c r="Q390" s="17">
        <f>IF(OR($B390="",N($J390)=0),"",SUMIFS(nrMK_Sess,nrMK_Link,$B390,nrMK_Credit,"Yes"))</f>
        <v/>
      </c>
      <c r="R390" s="17">
        <f>IF(OR($B390="",$N390&lt;&gt;"Yes"),"",IF(N($I390)&gt;0,N($I390)-N($P390),IF(N($J390)&gt;0,N($J390)-N($Q390),"")))</f>
        <v/>
      </c>
      <c r="S390" s="17">
        <f>IF(OR($B390="",$R390=""),"",IF($R390&lt;=0,"CLEARED "&amp;IFERROR(TEXT(_xlfn.MAXIFS(nrMK_Date,nrMK_Link,$B390,nrMK_Credit,"Yes"),"mm/dd"),""),"OPEN"))</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IF(OR($B391="",N($I391)=0),"",SUMIFS(nrMK_Min,nrMK_Link,$B391,nrMK_Credit,"Yes"))</f>
        <v/>
      </c>
      <c r="Q391" s="17">
        <f>IF(OR($B391="",N($J391)=0),"",SUMIFS(nrMK_Sess,nrMK_Link,$B391,nrMK_Credit,"Yes"))</f>
        <v/>
      </c>
      <c r="R391" s="17">
        <f>IF(OR($B391="",$N391&lt;&gt;"Yes"),"",IF(N($I391)&gt;0,N($I391)-N($P391),IF(N($J391)&gt;0,N($J391)-N($Q391),"")))</f>
        <v/>
      </c>
      <c r="S391" s="17">
        <f>IF(OR($B391="",$R391=""),"",IF($R391&lt;=0,"CLEARED "&amp;IFERROR(TEXT(_xlfn.MAXIFS(nrMK_Date,nrMK_Link,$B391,nrMK_Credit,"Yes"),"mm/dd"),""),"OPEN"))</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IF(OR($B392="",N($I392)=0),"",SUMIFS(nrMK_Min,nrMK_Link,$B392,nrMK_Credit,"Yes"))</f>
        <v/>
      </c>
      <c r="Q392" s="17">
        <f>IF(OR($B392="",N($J392)=0),"",SUMIFS(nrMK_Sess,nrMK_Link,$B392,nrMK_Credit,"Yes"))</f>
        <v/>
      </c>
      <c r="R392" s="17">
        <f>IF(OR($B392="",$N392&lt;&gt;"Yes"),"",IF(N($I392)&gt;0,N($I392)-N($P392),IF(N($J392)&gt;0,N($J392)-N($Q392),"")))</f>
        <v/>
      </c>
      <c r="S392" s="17">
        <f>IF(OR($B392="",$R392=""),"",IF($R392&lt;=0,"CLEARED "&amp;IFERROR(TEXT(_xlfn.MAXIFS(nrMK_Date,nrMK_Link,$B392,nrMK_Credit,"Yes"),"mm/dd"),""),"OPEN"))</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IF(OR($B393="",N($I393)=0),"",SUMIFS(nrMK_Min,nrMK_Link,$B393,nrMK_Credit,"Yes"))</f>
        <v/>
      </c>
      <c r="Q393" s="17">
        <f>IF(OR($B393="",N($J393)=0),"",SUMIFS(nrMK_Sess,nrMK_Link,$B393,nrMK_Credit,"Yes"))</f>
        <v/>
      </c>
      <c r="R393" s="17">
        <f>IF(OR($B393="",$N393&lt;&gt;"Yes"),"",IF(N($I393)&gt;0,N($I393)-N($P393),IF(N($J393)&gt;0,N($J393)-N($Q393),"")))</f>
        <v/>
      </c>
      <c r="S393" s="17">
        <f>IF(OR($B393="",$R393=""),"",IF($R393&lt;=0,"CLEARED "&amp;IFERROR(TEXT(_xlfn.MAXIFS(nrMK_Date,nrMK_Link,$B393,nrMK_Credit,"Yes"),"mm/dd"),""),"OPEN"))</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IF(OR($B394="",N($I394)=0),"",SUMIFS(nrMK_Min,nrMK_Link,$B394,nrMK_Credit,"Yes"))</f>
        <v/>
      </c>
      <c r="Q394" s="17">
        <f>IF(OR($B394="",N($J394)=0),"",SUMIFS(nrMK_Sess,nrMK_Link,$B394,nrMK_Credit,"Yes"))</f>
        <v/>
      </c>
      <c r="R394" s="17">
        <f>IF(OR($B394="",$N394&lt;&gt;"Yes"),"",IF(N($I394)&gt;0,N($I394)-N($P394),IF(N($J394)&gt;0,N($J394)-N($Q394),"")))</f>
        <v/>
      </c>
      <c r="S394" s="17">
        <f>IF(OR($B394="",$R394=""),"",IF($R394&lt;=0,"CLEARED "&amp;IFERROR(TEXT(_xlfn.MAXIFS(nrMK_Date,nrMK_Link,$B394,nrMK_Credit,"Yes"),"mm/dd"),""),"OPEN"))</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IF(OR($B395="",N($I395)=0),"",SUMIFS(nrMK_Min,nrMK_Link,$B395,nrMK_Credit,"Yes"))</f>
        <v/>
      </c>
      <c r="Q395" s="17">
        <f>IF(OR($B395="",N($J395)=0),"",SUMIFS(nrMK_Sess,nrMK_Link,$B395,nrMK_Credit,"Yes"))</f>
        <v/>
      </c>
      <c r="R395" s="17">
        <f>IF(OR($B395="",$N395&lt;&gt;"Yes"),"",IF(N($I395)&gt;0,N($I395)-N($P395),IF(N($J395)&gt;0,N($J395)-N($Q395),"")))</f>
        <v/>
      </c>
      <c r="S395" s="17">
        <f>IF(OR($B395="",$R395=""),"",IF($R395&lt;=0,"CLEARED "&amp;IFERROR(TEXT(_xlfn.MAXIFS(nrMK_Date,nrMK_Link,$B395,nrMK_Credit,"Yes"),"mm/dd"),""),"OPEN"))</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IF(OR($B396="",N($I396)=0),"",SUMIFS(nrMK_Min,nrMK_Link,$B396,nrMK_Credit,"Yes"))</f>
        <v/>
      </c>
      <c r="Q396" s="17">
        <f>IF(OR($B396="",N($J396)=0),"",SUMIFS(nrMK_Sess,nrMK_Link,$B396,nrMK_Credit,"Yes"))</f>
        <v/>
      </c>
      <c r="R396" s="17">
        <f>IF(OR($B396="",$N396&lt;&gt;"Yes"),"",IF(N($I396)&gt;0,N($I396)-N($P396),IF(N($J396)&gt;0,N($J396)-N($Q396),"")))</f>
        <v/>
      </c>
      <c r="S396" s="17">
        <f>IF(OR($B396="",$R396=""),"",IF($R396&lt;=0,"CLEARED "&amp;IFERROR(TEXT(_xlfn.MAXIFS(nrMK_Date,nrMK_Link,$B396,nrMK_Credit,"Yes"),"mm/dd"),""),"OPEN"))</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IF(OR($B397="",N($I397)=0),"",SUMIFS(nrMK_Min,nrMK_Link,$B397,nrMK_Credit,"Yes"))</f>
        <v/>
      </c>
      <c r="Q397" s="17">
        <f>IF(OR($B397="",N($J397)=0),"",SUMIFS(nrMK_Sess,nrMK_Link,$B397,nrMK_Credit,"Yes"))</f>
        <v/>
      </c>
      <c r="R397" s="17">
        <f>IF(OR($B397="",$N397&lt;&gt;"Yes"),"",IF(N($I397)&gt;0,N($I397)-N($P397),IF(N($J397)&gt;0,N($J397)-N($Q397),"")))</f>
        <v/>
      </c>
      <c r="S397" s="17">
        <f>IF(OR($B397="",$R397=""),"",IF($R397&lt;=0,"CLEARED "&amp;IFERROR(TEXT(_xlfn.MAXIFS(nrMK_Date,nrMK_Link,$B397,nrMK_Credit,"Yes"),"mm/dd"),""),"OPEN"))</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IF(OR($B398="",N($I398)=0),"",SUMIFS(nrMK_Min,nrMK_Link,$B398,nrMK_Credit,"Yes"))</f>
        <v/>
      </c>
      <c r="Q398" s="17">
        <f>IF(OR($B398="",N($J398)=0),"",SUMIFS(nrMK_Sess,nrMK_Link,$B398,nrMK_Credit,"Yes"))</f>
        <v/>
      </c>
      <c r="R398" s="17">
        <f>IF(OR($B398="",$N398&lt;&gt;"Yes"),"",IF(N($I398)&gt;0,N($I398)-N($P398),IF(N($J398)&gt;0,N($J398)-N($Q398),"")))</f>
        <v/>
      </c>
      <c r="S398" s="17">
        <f>IF(OR($B398="",$R398=""),"",IF($R398&lt;=0,"CLEARED "&amp;IFERROR(TEXT(_xlfn.MAXIFS(nrMK_Date,nrMK_Link,$B398,nrMK_Credit,"Yes"),"mm/dd"),""),"OPEN"))</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IF(OR($B399="",N($I399)=0),"",SUMIFS(nrMK_Min,nrMK_Link,$B399,nrMK_Credit,"Yes"))</f>
        <v/>
      </c>
      <c r="Q399" s="17">
        <f>IF(OR($B399="",N($J399)=0),"",SUMIFS(nrMK_Sess,nrMK_Link,$B399,nrMK_Credit,"Yes"))</f>
        <v/>
      </c>
      <c r="R399" s="17">
        <f>IF(OR($B399="",$N399&lt;&gt;"Yes"),"",IF(N($I399)&gt;0,N($I399)-N($P399),IF(N($J399)&gt;0,N($J399)-N($Q399),"")))</f>
        <v/>
      </c>
      <c r="S399" s="17">
        <f>IF(OR($B399="",$R399=""),"",IF($R399&lt;=0,"CLEARED "&amp;IFERROR(TEXT(_xlfn.MAXIFS(nrMK_Date,nrMK_Link,$B399,nrMK_Credit,"Yes"),"mm/dd"),""),"OPEN"))</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IF(OR($B400="",N($I400)=0),"",SUMIFS(nrMK_Min,nrMK_Link,$B400,nrMK_Credit,"Yes"))</f>
        <v/>
      </c>
      <c r="Q400" s="17">
        <f>IF(OR($B400="",N($J400)=0),"",SUMIFS(nrMK_Sess,nrMK_Link,$B400,nrMK_Credit,"Yes"))</f>
        <v/>
      </c>
      <c r="R400" s="17">
        <f>IF(OR($B400="",$N400&lt;&gt;"Yes"),"",IF(N($I400)&gt;0,N($I400)-N($P400),IF(N($J400)&gt;0,N($J400)-N($Q400),"")))</f>
        <v/>
      </c>
      <c r="S400" s="17">
        <f>IF(OR($B400="",$R400=""),"",IF($R400&lt;=0,"CLEARED "&amp;IFERROR(TEXT(_xlfn.MAXIFS(nrMK_Date,nrMK_Link,$B400,nrMK_Credit,"Yes"),"mm/dd"),""),"OPEN"))</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IF(OR($B401="",N($I401)=0),"",SUMIFS(nrMK_Min,nrMK_Link,$B401,nrMK_Credit,"Yes"))</f>
        <v/>
      </c>
      <c r="Q401" s="17">
        <f>IF(OR($B401="",N($J401)=0),"",SUMIFS(nrMK_Sess,nrMK_Link,$B401,nrMK_Credit,"Yes"))</f>
        <v/>
      </c>
      <c r="R401" s="17">
        <f>IF(OR($B401="",$N401&lt;&gt;"Yes"),"",IF(N($I401)&gt;0,N($I401)-N($P401),IF(N($J401)&gt;0,N($J401)-N($Q401),"")))</f>
        <v/>
      </c>
      <c r="S401" s="17">
        <f>IF(OR($B401="",$R401=""),"",IF($R401&lt;=0,"CLEARED "&amp;IFERROR(TEXT(_xlfn.MAXIFS(nrMK_Date,nrMK_Link,$B401,nrMK_Credit,"Yes"),"mm/dd"),""),"OPEN"))</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IF(OR($B402="",N($I402)=0),"",SUMIFS(nrMK_Min,nrMK_Link,$B402,nrMK_Credit,"Yes"))</f>
        <v/>
      </c>
      <c r="Q402" s="17">
        <f>IF(OR($B402="",N($J402)=0),"",SUMIFS(nrMK_Sess,nrMK_Link,$B402,nrMK_Credit,"Yes"))</f>
        <v/>
      </c>
      <c r="R402" s="17">
        <f>IF(OR($B402="",$N402&lt;&gt;"Yes"),"",IF(N($I402)&gt;0,N($I402)-N($P402),IF(N($J402)&gt;0,N($J402)-N($Q402),"")))</f>
        <v/>
      </c>
      <c r="S402" s="17">
        <f>IF(OR($B402="",$R402=""),"",IF($R402&lt;=0,"CLEARED "&amp;IFERROR(TEXT(_xlfn.MAXIFS(nrMK_Date,nrMK_Link,$B402,nrMK_Credit,"Yes"),"mm/dd"),""),"OPEN"))</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IF(OR($B403="",N($I403)=0),"",SUMIFS(nrMK_Min,nrMK_Link,$B403,nrMK_Credit,"Yes"))</f>
        <v/>
      </c>
      <c r="Q403" s="17">
        <f>IF(OR($B403="",N($J403)=0),"",SUMIFS(nrMK_Sess,nrMK_Link,$B403,nrMK_Credit,"Yes"))</f>
        <v/>
      </c>
      <c r="R403" s="17">
        <f>IF(OR($B403="",$N403&lt;&gt;"Yes"),"",IF(N($I403)&gt;0,N($I403)-N($P403),IF(N($J403)&gt;0,N($J403)-N($Q403),"")))</f>
        <v/>
      </c>
      <c r="S403" s="17">
        <f>IF(OR($B403="",$R403=""),"",IF($R403&lt;=0,"CLEARED "&amp;IFERROR(TEXT(_xlfn.MAXIFS(nrMK_Date,nrMK_Link,$B403,nrMK_Credit,"Yes"),"mm/dd"),""),"OPEN"))</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IF(OR($B404="",N($I404)=0),"",SUMIFS(nrMK_Min,nrMK_Link,$B404,nrMK_Credit,"Yes"))</f>
        <v/>
      </c>
      <c r="Q404" s="17">
        <f>IF(OR($B404="",N($J404)=0),"",SUMIFS(nrMK_Sess,nrMK_Link,$B404,nrMK_Credit,"Yes"))</f>
        <v/>
      </c>
      <c r="R404" s="17">
        <f>IF(OR($B404="",$N404&lt;&gt;"Yes"),"",IF(N($I404)&gt;0,N($I404)-N($P404),IF(N($J404)&gt;0,N($J404)-N($Q404),"")))</f>
        <v/>
      </c>
      <c r="S404" s="17">
        <f>IF(OR($B404="",$R404=""),"",IF($R404&lt;=0,"CLEARED "&amp;IFERROR(TEXT(_xlfn.MAXIFS(nrMK_Date,nrMK_Link,$B404,nrMK_Credit,"Yes"),"mm/dd"),""),"OPEN"))</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IF(OR($B405="",N($I405)=0),"",SUMIFS(nrMK_Min,nrMK_Link,$B405,nrMK_Credit,"Yes"))</f>
        <v/>
      </c>
      <c r="Q405" s="17">
        <f>IF(OR($B405="",N($J405)=0),"",SUMIFS(nrMK_Sess,nrMK_Link,$B405,nrMK_Credit,"Yes"))</f>
        <v/>
      </c>
      <c r="R405" s="17">
        <f>IF(OR($B405="",$N405&lt;&gt;"Yes"),"",IF(N($I405)&gt;0,N($I405)-N($P405),IF(N($J405)&gt;0,N($J405)-N($Q405),"")))</f>
        <v/>
      </c>
      <c r="S405" s="17">
        <f>IF(OR($B405="",$R405=""),"",IF($R405&lt;=0,"CLEARED "&amp;IFERROR(TEXT(_xlfn.MAXIFS(nrMK_Date,nrMK_Link,$B405,nrMK_Credit,"Yes"),"mm/dd"),""),"OPEN"))</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IF(OR($B406="",N($I406)=0),"",SUMIFS(nrMK_Min,nrMK_Link,$B406,nrMK_Credit,"Yes"))</f>
        <v/>
      </c>
      <c r="Q406" s="17">
        <f>IF(OR($B406="",N($J406)=0),"",SUMIFS(nrMK_Sess,nrMK_Link,$B406,nrMK_Credit,"Yes"))</f>
        <v/>
      </c>
      <c r="R406" s="17">
        <f>IF(OR($B406="",$N406&lt;&gt;"Yes"),"",IF(N($I406)&gt;0,N($I406)-N($P406),IF(N($J406)&gt;0,N($J406)-N($Q406),"")))</f>
        <v/>
      </c>
      <c r="S406" s="17">
        <f>IF(OR($B406="",$R406=""),"",IF($R406&lt;=0,"CLEARED "&amp;IFERROR(TEXT(_xlfn.MAXIFS(nrMK_Date,nrMK_Link,$B406,nrMK_Credit,"Yes"),"mm/dd"),""),"OPEN"))</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IF(OR($B407="",N($I407)=0),"",SUMIFS(nrMK_Min,nrMK_Link,$B407,nrMK_Credit,"Yes"))</f>
        <v/>
      </c>
      <c r="Q407" s="17">
        <f>IF(OR($B407="",N($J407)=0),"",SUMIFS(nrMK_Sess,nrMK_Link,$B407,nrMK_Credit,"Yes"))</f>
        <v/>
      </c>
      <c r="R407" s="17">
        <f>IF(OR($B407="",$N407&lt;&gt;"Yes"),"",IF(N($I407)&gt;0,N($I407)-N($P407),IF(N($J407)&gt;0,N($J407)-N($Q407),"")))</f>
        <v/>
      </c>
      <c r="S407" s="17">
        <f>IF(OR($B407="",$R407=""),"",IF($R407&lt;=0,"CLEARED "&amp;IFERROR(TEXT(_xlfn.MAXIFS(nrMK_Date,nrMK_Link,$B407,nrMK_Credit,"Yes"),"mm/dd"),""),"OPEN"))</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IF(OR($B408="",N($I408)=0),"",SUMIFS(nrMK_Min,nrMK_Link,$B408,nrMK_Credit,"Yes"))</f>
        <v/>
      </c>
      <c r="Q408" s="17">
        <f>IF(OR($B408="",N($J408)=0),"",SUMIFS(nrMK_Sess,nrMK_Link,$B408,nrMK_Credit,"Yes"))</f>
        <v/>
      </c>
      <c r="R408" s="17">
        <f>IF(OR($B408="",$N408&lt;&gt;"Yes"),"",IF(N($I408)&gt;0,N($I408)-N($P408),IF(N($J408)&gt;0,N($J408)-N($Q408),"")))</f>
        <v/>
      </c>
      <c r="S408" s="17">
        <f>IF(OR($B408="",$R408=""),"",IF($R408&lt;=0,"CLEARED "&amp;IFERROR(TEXT(_xlfn.MAXIFS(nrMK_Date,nrMK_Link,$B408,nrMK_Credit,"Yes"),"mm/dd"),""),"OPEN"))</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IF(OR($B409="",N($I409)=0),"",SUMIFS(nrMK_Min,nrMK_Link,$B409,nrMK_Credit,"Yes"))</f>
        <v/>
      </c>
      <c r="Q409" s="17">
        <f>IF(OR($B409="",N($J409)=0),"",SUMIFS(nrMK_Sess,nrMK_Link,$B409,nrMK_Credit,"Yes"))</f>
        <v/>
      </c>
      <c r="R409" s="17">
        <f>IF(OR($B409="",$N409&lt;&gt;"Yes"),"",IF(N($I409)&gt;0,N($I409)-N($P409),IF(N($J409)&gt;0,N($J409)-N($Q409),"")))</f>
        <v/>
      </c>
      <c r="S409" s="17">
        <f>IF(OR($B409="",$R409=""),"",IF($R409&lt;=0,"CLEARED "&amp;IFERROR(TEXT(_xlfn.MAXIFS(nrMK_Date,nrMK_Link,$B409,nrMK_Credit,"Yes"),"mm/dd"),""),"OPEN"))</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IF(OR($B410="",N($I410)=0),"",SUMIFS(nrMK_Min,nrMK_Link,$B410,nrMK_Credit,"Yes"))</f>
        <v/>
      </c>
      <c r="Q410" s="17">
        <f>IF(OR($B410="",N($J410)=0),"",SUMIFS(nrMK_Sess,nrMK_Link,$B410,nrMK_Credit,"Yes"))</f>
        <v/>
      </c>
      <c r="R410" s="17">
        <f>IF(OR($B410="",$N410&lt;&gt;"Yes"),"",IF(N($I410)&gt;0,N($I410)-N($P410),IF(N($J410)&gt;0,N($J410)-N($Q410),"")))</f>
        <v/>
      </c>
      <c r="S410" s="17">
        <f>IF(OR($B410="",$R410=""),"",IF($R410&lt;=0,"CLEARED "&amp;IFERROR(TEXT(_xlfn.MAXIFS(nrMK_Date,nrMK_Link,$B410,nrMK_Credit,"Yes"),"mm/dd"),""),"OPEN"))</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IF(OR($B411="",N($I411)=0),"",SUMIFS(nrMK_Min,nrMK_Link,$B411,nrMK_Credit,"Yes"))</f>
        <v/>
      </c>
      <c r="Q411" s="17">
        <f>IF(OR($B411="",N($J411)=0),"",SUMIFS(nrMK_Sess,nrMK_Link,$B411,nrMK_Credit,"Yes"))</f>
        <v/>
      </c>
      <c r="R411" s="17">
        <f>IF(OR($B411="",$N411&lt;&gt;"Yes"),"",IF(N($I411)&gt;0,N($I411)-N($P411),IF(N($J411)&gt;0,N($J411)-N($Q411),"")))</f>
        <v/>
      </c>
      <c r="S411" s="17">
        <f>IF(OR($B411="",$R411=""),"",IF($R411&lt;=0,"CLEARED "&amp;IFERROR(TEXT(_xlfn.MAXIFS(nrMK_Date,nrMK_Link,$B411,nrMK_Credit,"Yes"),"mm/dd"),""),"OPEN"))</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IF(OR($B412="",N($I412)=0),"",SUMIFS(nrMK_Min,nrMK_Link,$B412,nrMK_Credit,"Yes"))</f>
        <v/>
      </c>
      <c r="Q412" s="17">
        <f>IF(OR($B412="",N($J412)=0),"",SUMIFS(nrMK_Sess,nrMK_Link,$B412,nrMK_Credit,"Yes"))</f>
        <v/>
      </c>
      <c r="R412" s="17">
        <f>IF(OR($B412="",$N412&lt;&gt;"Yes"),"",IF(N($I412)&gt;0,N($I412)-N($P412),IF(N($J412)&gt;0,N($J412)-N($Q412),"")))</f>
        <v/>
      </c>
      <c r="S412" s="17">
        <f>IF(OR($B412="",$R412=""),"",IF($R412&lt;=0,"CLEARED "&amp;IFERROR(TEXT(_xlfn.MAXIFS(nrMK_Date,nrMK_Link,$B412,nrMK_Credit,"Yes"),"mm/dd"),""),"OPEN"))</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IF(OR($B413="",N($I413)=0),"",SUMIFS(nrMK_Min,nrMK_Link,$B413,nrMK_Credit,"Yes"))</f>
        <v/>
      </c>
      <c r="Q413" s="17">
        <f>IF(OR($B413="",N($J413)=0),"",SUMIFS(nrMK_Sess,nrMK_Link,$B413,nrMK_Credit,"Yes"))</f>
        <v/>
      </c>
      <c r="R413" s="17">
        <f>IF(OR($B413="",$N413&lt;&gt;"Yes"),"",IF(N($I413)&gt;0,N($I413)-N($P413),IF(N($J413)&gt;0,N($J413)-N($Q413),"")))</f>
        <v/>
      </c>
      <c r="S413" s="17">
        <f>IF(OR($B413="",$R413=""),"",IF($R413&lt;=0,"CLEARED "&amp;IFERROR(TEXT(_xlfn.MAXIFS(nrMK_Date,nrMK_Link,$B413,nrMK_Credit,"Yes"),"mm/dd"),""),"OPEN"))</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IF(OR($B414="",N($I414)=0),"",SUMIFS(nrMK_Min,nrMK_Link,$B414,nrMK_Credit,"Yes"))</f>
        <v/>
      </c>
      <c r="Q414" s="17">
        <f>IF(OR($B414="",N($J414)=0),"",SUMIFS(nrMK_Sess,nrMK_Link,$B414,nrMK_Credit,"Yes"))</f>
        <v/>
      </c>
      <c r="R414" s="17">
        <f>IF(OR($B414="",$N414&lt;&gt;"Yes"),"",IF(N($I414)&gt;0,N($I414)-N($P414),IF(N($J414)&gt;0,N($J414)-N($Q414),"")))</f>
        <v/>
      </c>
      <c r="S414" s="17">
        <f>IF(OR($B414="",$R414=""),"",IF($R414&lt;=0,"CLEARED "&amp;IFERROR(TEXT(_xlfn.MAXIFS(nrMK_Date,nrMK_Link,$B414,nrMK_Credit,"Yes"),"mm/dd"),""),"OPEN"))</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IF(OR($B415="",N($I415)=0),"",SUMIFS(nrMK_Min,nrMK_Link,$B415,nrMK_Credit,"Yes"))</f>
        <v/>
      </c>
      <c r="Q415" s="17">
        <f>IF(OR($B415="",N($J415)=0),"",SUMIFS(nrMK_Sess,nrMK_Link,$B415,nrMK_Credit,"Yes"))</f>
        <v/>
      </c>
      <c r="R415" s="17">
        <f>IF(OR($B415="",$N415&lt;&gt;"Yes"),"",IF(N($I415)&gt;0,N($I415)-N($P415),IF(N($J415)&gt;0,N($J415)-N($Q415),"")))</f>
        <v/>
      </c>
      <c r="S415" s="17">
        <f>IF(OR($B415="",$R415=""),"",IF($R415&lt;=0,"CLEARED "&amp;IFERROR(TEXT(_xlfn.MAXIFS(nrMK_Date,nrMK_Link,$B415,nrMK_Credit,"Yes"),"mm/dd"),""),"OPEN"))</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IF(OR($B416="",N($I416)=0),"",SUMIFS(nrMK_Min,nrMK_Link,$B416,nrMK_Credit,"Yes"))</f>
        <v/>
      </c>
      <c r="Q416" s="17">
        <f>IF(OR($B416="",N($J416)=0),"",SUMIFS(nrMK_Sess,nrMK_Link,$B416,nrMK_Credit,"Yes"))</f>
        <v/>
      </c>
      <c r="R416" s="17">
        <f>IF(OR($B416="",$N416&lt;&gt;"Yes"),"",IF(N($I416)&gt;0,N($I416)-N($P416),IF(N($J416)&gt;0,N($J416)-N($Q416),"")))</f>
        <v/>
      </c>
      <c r="S416" s="17">
        <f>IF(OR($B416="",$R416=""),"",IF($R416&lt;=0,"CLEARED "&amp;IFERROR(TEXT(_xlfn.MAXIFS(nrMK_Date,nrMK_Link,$B416,nrMK_Credit,"Yes"),"mm/dd"),""),"OPEN"))</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IF(OR($B417="",N($I417)=0),"",SUMIFS(nrMK_Min,nrMK_Link,$B417,nrMK_Credit,"Yes"))</f>
        <v/>
      </c>
      <c r="Q417" s="17">
        <f>IF(OR($B417="",N($J417)=0),"",SUMIFS(nrMK_Sess,nrMK_Link,$B417,nrMK_Credit,"Yes"))</f>
        <v/>
      </c>
      <c r="R417" s="17">
        <f>IF(OR($B417="",$N417&lt;&gt;"Yes"),"",IF(N($I417)&gt;0,N($I417)-N($P417),IF(N($J417)&gt;0,N($J417)-N($Q417),"")))</f>
        <v/>
      </c>
      <c r="S417" s="17">
        <f>IF(OR($B417="",$R417=""),"",IF($R417&lt;=0,"CLEARED "&amp;IFERROR(TEXT(_xlfn.MAXIFS(nrMK_Date,nrMK_Link,$B417,nrMK_Credit,"Yes"),"mm/dd"),""),"OPEN"))</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IF(OR($B418="",N($I418)=0),"",SUMIFS(nrMK_Min,nrMK_Link,$B418,nrMK_Credit,"Yes"))</f>
        <v/>
      </c>
      <c r="Q418" s="17">
        <f>IF(OR($B418="",N($J418)=0),"",SUMIFS(nrMK_Sess,nrMK_Link,$B418,nrMK_Credit,"Yes"))</f>
        <v/>
      </c>
      <c r="R418" s="17">
        <f>IF(OR($B418="",$N418&lt;&gt;"Yes"),"",IF(N($I418)&gt;0,N($I418)-N($P418),IF(N($J418)&gt;0,N($J418)-N($Q418),"")))</f>
        <v/>
      </c>
      <c r="S418" s="17">
        <f>IF(OR($B418="",$R418=""),"",IF($R418&lt;=0,"CLEARED "&amp;IFERROR(TEXT(_xlfn.MAXIFS(nrMK_Date,nrMK_Link,$B418,nrMK_Credit,"Yes"),"mm/dd"),""),"OPEN"))</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IF(OR($B419="",N($I419)=0),"",SUMIFS(nrMK_Min,nrMK_Link,$B419,nrMK_Credit,"Yes"))</f>
        <v/>
      </c>
      <c r="Q419" s="17">
        <f>IF(OR($B419="",N($J419)=0),"",SUMIFS(nrMK_Sess,nrMK_Link,$B419,nrMK_Credit,"Yes"))</f>
        <v/>
      </c>
      <c r="R419" s="17">
        <f>IF(OR($B419="",$N419&lt;&gt;"Yes"),"",IF(N($I419)&gt;0,N($I419)-N($P419),IF(N($J419)&gt;0,N($J419)-N($Q419),"")))</f>
        <v/>
      </c>
      <c r="S419" s="17">
        <f>IF(OR($B419="",$R419=""),"",IF($R419&lt;=0,"CLEARED "&amp;IFERROR(TEXT(_xlfn.MAXIFS(nrMK_Date,nrMK_Link,$B419,nrMK_Credit,"Yes"),"mm/dd"),""),"OPEN"))</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IF(OR($B420="",N($I420)=0),"",SUMIFS(nrMK_Min,nrMK_Link,$B420,nrMK_Credit,"Yes"))</f>
        <v/>
      </c>
      <c r="Q420" s="17">
        <f>IF(OR($B420="",N($J420)=0),"",SUMIFS(nrMK_Sess,nrMK_Link,$B420,nrMK_Credit,"Yes"))</f>
        <v/>
      </c>
      <c r="R420" s="17">
        <f>IF(OR($B420="",$N420&lt;&gt;"Yes"),"",IF(N($I420)&gt;0,N($I420)-N($P420),IF(N($J420)&gt;0,N($J420)-N($Q420),"")))</f>
        <v/>
      </c>
      <c r="S420" s="17">
        <f>IF(OR($B420="",$R420=""),"",IF($R420&lt;=0,"CLEARED "&amp;IFERROR(TEXT(_xlfn.MAXIFS(nrMK_Date,nrMK_Link,$B420,nrMK_Credit,"Yes"),"mm/dd"),""),"OPEN"))</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IF(OR($B421="",N($I421)=0),"",SUMIFS(nrMK_Min,nrMK_Link,$B421,nrMK_Credit,"Yes"))</f>
        <v/>
      </c>
      <c r="Q421" s="17">
        <f>IF(OR($B421="",N($J421)=0),"",SUMIFS(nrMK_Sess,nrMK_Link,$B421,nrMK_Credit,"Yes"))</f>
        <v/>
      </c>
      <c r="R421" s="17">
        <f>IF(OR($B421="",$N421&lt;&gt;"Yes"),"",IF(N($I421)&gt;0,N($I421)-N($P421),IF(N($J421)&gt;0,N($J421)-N($Q421),"")))</f>
        <v/>
      </c>
      <c r="S421" s="17">
        <f>IF(OR($B421="",$R421=""),"",IF($R421&lt;=0,"CLEARED "&amp;IFERROR(TEXT(_xlfn.MAXIFS(nrMK_Date,nrMK_Link,$B421,nrMK_Credit,"Yes"),"mm/dd"),""),"OPEN"))</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IF(OR($B422="",N($I422)=0),"",SUMIFS(nrMK_Min,nrMK_Link,$B422,nrMK_Credit,"Yes"))</f>
        <v/>
      </c>
      <c r="Q422" s="17">
        <f>IF(OR($B422="",N($J422)=0),"",SUMIFS(nrMK_Sess,nrMK_Link,$B422,nrMK_Credit,"Yes"))</f>
        <v/>
      </c>
      <c r="R422" s="17">
        <f>IF(OR($B422="",$N422&lt;&gt;"Yes"),"",IF(N($I422)&gt;0,N($I422)-N($P422),IF(N($J422)&gt;0,N($J422)-N($Q422),"")))</f>
        <v/>
      </c>
      <c r="S422" s="17">
        <f>IF(OR($B422="",$R422=""),"",IF($R422&lt;=0,"CLEARED "&amp;IFERROR(TEXT(_xlfn.MAXIFS(nrMK_Date,nrMK_Link,$B422,nrMK_Credit,"Yes"),"mm/dd"),""),"OPEN"))</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IF(OR($B423="",N($I423)=0),"",SUMIFS(nrMK_Min,nrMK_Link,$B423,nrMK_Credit,"Yes"))</f>
        <v/>
      </c>
      <c r="Q423" s="17">
        <f>IF(OR($B423="",N($J423)=0),"",SUMIFS(nrMK_Sess,nrMK_Link,$B423,nrMK_Credit,"Yes"))</f>
        <v/>
      </c>
      <c r="R423" s="17">
        <f>IF(OR($B423="",$N423&lt;&gt;"Yes"),"",IF(N($I423)&gt;0,N($I423)-N($P423),IF(N($J423)&gt;0,N($J423)-N($Q423),"")))</f>
        <v/>
      </c>
      <c r="S423" s="17">
        <f>IF(OR($B423="",$R423=""),"",IF($R423&lt;=0,"CLEARED "&amp;IFERROR(TEXT(_xlfn.MAXIFS(nrMK_Date,nrMK_Link,$B423,nrMK_Credit,"Yes"),"mm/dd"),""),"OPEN"))</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IF(OR($B424="",N($I424)=0),"",SUMIFS(nrMK_Min,nrMK_Link,$B424,nrMK_Credit,"Yes"))</f>
        <v/>
      </c>
      <c r="Q424" s="17">
        <f>IF(OR($B424="",N($J424)=0),"",SUMIFS(nrMK_Sess,nrMK_Link,$B424,nrMK_Credit,"Yes"))</f>
        <v/>
      </c>
      <c r="R424" s="17">
        <f>IF(OR($B424="",$N424&lt;&gt;"Yes"),"",IF(N($I424)&gt;0,N($I424)-N($P424),IF(N($J424)&gt;0,N($J424)-N($Q424),"")))</f>
        <v/>
      </c>
      <c r="S424" s="17">
        <f>IF(OR($B424="",$R424=""),"",IF($R424&lt;=0,"CLEARED "&amp;IFERROR(TEXT(_xlfn.MAXIFS(nrMK_Date,nrMK_Link,$B424,nrMK_Credit,"Yes"),"mm/dd"),""),"OPEN"))</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IF(OR($B425="",N($I425)=0),"",SUMIFS(nrMK_Min,nrMK_Link,$B425,nrMK_Credit,"Yes"))</f>
        <v/>
      </c>
      <c r="Q425" s="17">
        <f>IF(OR($B425="",N($J425)=0),"",SUMIFS(nrMK_Sess,nrMK_Link,$B425,nrMK_Credit,"Yes"))</f>
        <v/>
      </c>
      <c r="R425" s="17">
        <f>IF(OR($B425="",$N425&lt;&gt;"Yes"),"",IF(N($I425)&gt;0,N($I425)-N($P425),IF(N($J425)&gt;0,N($J425)-N($Q425),"")))</f>
        <v/>
      </c>
      <c r="S425" s="17">
        <f>IF(OR($B425="",$R425=""),"",IF($R425&lt;=0,"CLEARED "&amp;IFERROR(TEXT(_xlfn.MAXIFS(nrMK_Date,nrMK_Link,$B425,nrMK_Credit,"Yes"),"mm/dd"),""),"OPEN"))</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IF(OR($B426="",N($I426)=0),"",SUMIFS(nrMK_Min,nrMK_Link,$B426,nrMK_Credit,"Yes"))</f>
        <v/>
      </c>
      <c r="Q426" s="17">
        <f>IF(OR($B426="",N($J426)=0),"",SUMIFS(nrMK_Sess,nrMK_Link,$B426,nrMK_Credit,"Yes"))</f>
        <v/>
      </c>
      <c r="R426" s="17">
        <f>IF(OR($B426="",$N426&lt;&gt;"Yes"),"",IF(N($I426)&gt;0,N($I426)-N($P426),IF(N($J426)&gt;0,N($J426)-N($Q426),"")))</f>
        <v/>
      </c>
      <c r="S426" s="17">
        <f>IF(OR($B426="",$R426=""),"",IF($R426&lt;=0,"CLEARED "&amp;IFERROR(TEXT(_xlfn.MAXIFS(nrMK_Date,nrMK_Link,$B426,nrMK_Credit,"Yes"),"mm/dd"),""),"OPEN"))</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IF(OR($B427="",N($I427)=0),"",SUMIFS(nrMK_Min,nrMK_Link,$B427,nrMK_Credit,"Yes"))</f>
        <v/>
      </c>
      <c r="Q427" s="17">
        <f>IF(OR($B427="",N($J427)=0),"",SUMIFS(nrMK_Sess,nrMK_Link,$B427,nrMK_Credit,"Yes"))</f>
        <v/>
      </c>
      <c r="R427" s="17">
        <f>IF(OR($B427="",$N427&lt;&gt;"Yes"),"",IF(N($I427)&gt;0,N($I427)-N($P427),IF(N($J427)&gt;0,N($J427)-N($Q427),"")))</f>
        <v/>
      </c>
      <c r="S427" s="17">
        <f>IF(OR($B427="",$R427=""),"",IF($R427&lt;=0,"CLEARED "&amp;IFERROR(TEXT(_xlfn.MAXIFS(nrMK_Date,nrMK_Link,$B427,nrMK_Credit,"Yes"),"mm/dd"),""),"OPEN"))</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IF(OR($B428="",N($I428)=0),"",SUMIFS(nrMK_Min,nrMK_Link,$B428,nrMK_Credit,"Yes"))</f>
        <v/>
      </c>
      <c r="Q428" s="17">
        <f>IF(OR($B428="",N($J428)=0),"",SUMIFS(nrMK_Sess,nrMK_Link,$B428,nrMK_Credit,"Yes"))</f>
        <v/>
      </c>
      <c r="R428" s="17">
        <f>IF(OR($B428="",$N428&lt;&gt;"Yes"),"",IF(N($I428)&gt;0,N($I428)-N($P428),IF(N($J428)&gt;0,N($J428)-N($Q428),"")))</f>
        <v/>
      </c>
      <c r="S428" s="17">
        <f>IF(OR($B428="",$R428=""),"",IF($R428&lt;=0,"CLEARED "&amp;IFERROR(TEXT(_xlfn.MAXIFS(nrMK_Date,nrMK_Link,$B428,nrMK_Credit,"Yes"),"mm/dd"),""),"OPEN"))</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IF(OR($B429="",N($I429)=0),"",SUMIFS(nrMK_Min,nrMK_Link,$B429,nrMK_Credit,"Yes"))</f>
        <v/>
      </c>
      <c r="Q429" s="17">
        <f>IF(OR($B429="",N($J429)=0),"",SUMIFS(nrMK_Sess,nrMK_Link,$B429,nrMK_Credit,"Yes"))</f>
        <v/>
      </c>
      <c r="R429" s="17">
        <f>IF(OR($B429="",$N429&lt;&gt;"Yes"),"",IF(N($I429)&gt;0,N($I429)-N($P429),IF(N($J429)&gt;0,N($J429)-N($Q429),"")))</f>
        <v/>
      </c>
      <c r="S429" s="17">
        <f>IF(OR($B429="",$R429=""),"",IF($R429&lt;=0,"CLEARED "&amp;IFERROR(TEXT(_xlfn.MAXIFS(nrMK_Date,nrMK_Link,$B429,nrMK_Credit,"Yes"),"mm/dd"),""),"OPEN"))</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IF(OR($B430="",N($I430)=0),"",SUMIFS(nrMK_Min,nrMK_Link,$B430,nrMK_Credit,"Yes"))</f>
        <v/>
      </c>
      <c r="Q430" s="17">
        <f>IF(OR($B430="",N($J430)=0),"",SUMIFS(nrMK_Sess,nrMK_Link,$B430,nrMK_Credit,"Yes"))</f>
        <v/>
      </c>
      <c r="R430" s="17">
        <f>IF(OR($B430="",$N430&lt;&gt;"Yes"),"",IF(N($I430)&gt;0,N($I430)-N($P430),IF(N($J430)&gt;0,N($J430)-N($Q430),"")))</f>
        <v/>
      </c>
      <c r="S430" s="17">
        <f>IF(OR($B430="",$R430=""),"",IF($R430&lt;=0,"CLEARED "&amp;IFERROR(TEXT(_xlfn.MAXIFS(nrMK_Date,nrMK_Link,$B430,nrMK_Credit,"Yes"),"mm/dd"),""),"OPEN"))</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IF(OR($B431="",N($I431)=0),"",SUMIFS(nrMK_Min,nrMK_Link,$B431,nrMK_Credit,"Yes"))</f>
        <v/>
      </c>
      <c r="Q431" s="17">
        <f>IF(OR($B431="",N($J431)=0),"",SUMIFS(nrMK_Sess,nrMK_Link,$B431,nrMK_Credit,"Yes"))</f>
        <v/>
      </c>
      <c r="R431" s="17">
        <f>IF(OR($B431="",$N431&lt;&gt;"Yes"),"",IF(N($I431)&gt;0,N($I431)-N($P431),IF(N($J431)&gt;0,N($J431)-N($Q431),"")))</f>
        <v/>
      </c>
      <c r="S431" s="17">
        <f>IF(OR($B431="",$R431=""),"",IF($R431&lt;=0,"CLEARED "&amp;IFERROR(TEXT(_xlfn.MAXIFS(nrMK_Date,nrMK_Link,$B431,nrMK_Credit,"Yes"),"mm/dd"),""),"OPEN"))</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IF(OR($B432="",N($I432)=0),"",SUMIFS(nrMK_Min,nrMK_Link,$B432,nrMK_Credit,"Yes"))</f>
        <v/>
      </c>
      <c r="Q432" s="17">
        <f>IF(OR($B432="",N($J432)=0),"",SUMIFS(nrMK_Sess,nrMK_Link,$B432,nrMK_Credit,"Yes"))</f>
        <v/>
      </c>
      <c r="R432" s="17">
        <f>IF(OR($B432="",$N432&lt;&gt;"Yes"),"",IF(N($I432)&gt;0,N($I432)-N($P432),IF(N($J432)&gt;0,N($J432)-N($Q432),"")))</f>
        <v/>
      </c>
      <c r="S432" s="17">
        <f>IF(OR($B432="",$R432=""),"",IF($R432&lt;=0,"CLEARED "&amp;IFERROR(TEXT(_xlfn.MAXIFS(nrMK_Date,nrMK_Link,$B432,nrMK_Credit,"Yes"),"mm/dd"),""),"OPEN"))</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IF(OR($B433="",N($I433)=0),"",SUMIFS(nrMK_Min,nrMK_Link,$B433,nrMK_Credit,"Yes"))</f>
        <v/>
      </c>
      <c r="Q433" s="17">
        <f>IF(OR($B433="",N($J433)=0),"",SUMIFS(nrMK_Sess,nrMK_Link,$B433,nrMK_Credit,"Yes"))</f>
        <v/>
      </c>
      <c r="R433" s="17">
        <f>IF(OR($B433="",$N433&lt;&gt;"Yes"),"",IF(N($I433)&gt;0,N($I433)-N($P433),IF(N($J433)&gt;0,N($J433)-N($Q433),"")))</f>
        <v/>
      </c>
      <c r="S433" s="17">
        <f>IF(OR($B433="",$R433=""),"",IF($R433&lt;=0,"CLEARED "&amp;IFERROR(TEXT(_xlfn.MAXIFS(nrMK_Date,nrMK_Link,$B433,nrMK_Credit,"Yes"),"mm/dd"),""),"OPEN"))</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IF(OR($B434="",N($I434)=0),"",SUMIFS(nrMK_Min,nrMK_Link,$B434,nrMK_Credit,"Yes"))</f>
        <v/>
      </c>
      <c r="Q434" s="17">
        <f>IF(OR($B434="",N($J434)=0),"",SUMIFS(nrMK_Sess,nrMK_Link,$B434,nrMK_Credit,"Yes"))</f>
        <v/>
      </c>
      <c r="R434" s="17">
        <f>IF(OR($B434="",$N434&lt;&gt;"Yes"),"",IF(N($I434)&gt;0,N($I434)-N($P434),IF(N($J434)&gt;0,N($J434)-N($Q434),"")))</f>
        <v/>
      </c>
      <c r="S434" s="17">
        <f>IF(OR($B434="",$R434=""),"",IF($R434&lt;=0,"CLEARED "&amp;IFERROR(TEXT(_xlfn.MAXIFS(nrMK_Date,nrMK_Link,$B434,nrMK_Credit,"Yes"),"mm/dd"),""),"OPEN"))</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IF(OR($B435="",N($I435)=0),"",SUMIFS(nrMK_Min,nrMK_Link,$B435,nrMK_Credit,"Yes"))</f>
        <v/>
      </c>
      <c r="Q435" s="17">
        <f>IF(OR($B435="",N($J435)=0),"",SUMIFS(nrMK_Sess,nrMK_Link,$B435,nrMK_Credit,"Yes"))</f>
        <v/>
      </c>
      <c r="R435" s="17">
        <f>IF(OR($B435="",$N435&lt;&gt;"Yes"),"",IF(N($I435)&gt;0,N($I435)-N($P435),IF(N($J435)&gt;0,N($J435)-N($Q435),"")))</f>
        <v/>
      </c>
      <c r="S435" s="17">
        <f>IF(OR($B435="",$R435=""),"",IF($R435&lt;=0,"CLEARED "&amp;IFERROR(TEXT(_xlfn.MAXIFS(nrMK_Date,nrMK_Link,$B435,nrMK_Credit,"Yes"),"mm/dd"),""),"OPEN"))</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IF(OR($B436="",N($I436)=0),"",SUMIFS(nrMK_Min,nrMK_Link,$B436,nrMK_Credit,"Yes"))</f>
        <v/>
      </c>
      <c r="Q436" s="17">
        <f>IF(OR($B436="",N($J436)=0),"",SUMIFS(nrMK_Sess,nrMK_Link,$B436,nrMK_Credit,"Yes"))</f>
        <v/>
      </c>
      <c r="R436" s="17">
        <f>IF(OR($B436="",$N436&lt;&gt;"Yes"),"",IF(N($I436)&gt;0,N($I436)-N($P436),IF(N($J436)&gt;0,N($J436)-N($Q436),"")))</f>
        <v/>
      </c>
      <c r="S436" s="17">
        <f>IF(OR($B436="",$R436=""),"",IF($R436&lt;=0,"CLEARED "&amp;IFERROR(TEXT(_xlfn.MAXIFS(nrMK_Date,nrMK_Link,$B436,nrMK_Credit,"Yes"),"mm/dd"),""),"OPEN"))</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IF(OR($B437="",N($I437)=0),"",SUMIFS(nrMK_Min,nrMK_Link,$B437,nrMK_Credit,"Yes"))</f>
        <v/>
      </c>
      <c r="Q437" s="17">
        <f>IF(OR($B437="",N($J437)=0),"",SUMIFS(nrMK_Sess,nrMK_Link,$B437,nrMK_Credit,"Yes"))</f>
        <v/>
      </c>
      <c r="R437" s="17">
        <f>IF(OR($B437="",$N437&lt;&gt;"Yes"),"",IF(N($I437)&gt;0,N($I437)-N($P437),IF(N($J437)&gt;0,N($J437)-N($Q437),"")))</f>
        <v/>
      </c>
      <c r="S437" s="17">
        <f>IF(OR($B437="",$R437=""),"",IF($R437&lt;=0,"CLEARED "&amp;IFERROR(TEXT(_xlfn.MAXIFS(nrMK_Date,nrMK_Link,$B437,nrMK_Credit,"Yes"),"mm/dd"),""),"OPEN"))</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IF(OR($B438="",N($I438)=0),"",SUMIFS(nrMK_Min,nrMK_Link,$B438,nrMK_Credit,"Yes"))</f>
        <v/>
      </c>
      <c r="Q438" s="17">
        <f>IF(OR($B438="",N($J438)=0),"",SUMIFS(nrMK_Sess,nrMK_Link,$B438,nrMK_Credit,"Yes"))</f>
        <v/>
      </c>
      <c r="R438" s="17">
        <f>IF(OR($B438="",$N438&lt;&gt;"Yes"),"",IF(N($I438)&gt;0,N($I438)-N($P438),IF(N($J438)&gt;0,N($J438)-N($Q438),"")))</f>
        <v/>
      </c>
      <c r="S438" s="17">
        <f>IF(OR($B438="",$R438=""),"",IF($R438&lt;=0,"CLEARED "&amp;IFERROR(TEXT(_xlfn.MAXIFS(nrMK_Date,nrMK_Link,$B438,nrMK_Credit,"Yes"),"mm/dd"),""),"OPEN"))</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IF(OR($B439="",N($I439)=0),"",SUMIFS(nrMK_Min,nrMK_Link,$B439,nrMK_Credit,"Yes"))</f>
        <v/>
      </c>
      <c r="Q439" s="17">
        <f>IF(OR($B439="",N($J439)=0),"",SUMIFS(nrMK_Sess,nrMK_Link,$B439,nrMK_Credit,"Yes"))</f>
        <v/>
      </c>
      <c r="R439" s="17">
        <f>IF(OR($B439="",$N439&lt;&gt;"Yes"),"",IF(N($I439)&gt;0,N($I439)-N($P439),IF(N($J439)&gt;0,N($J439)-N($Q439),"")))</f>
        <v/>
      </c>
      <c r="S439" s="17">
        <f>IF(OR($B439="",$R439=""),"",IF($R439&lt;=0,"CLEARED "&amp;IFERROR(TEXT(_xlfn.MAXIFS(nrMK_Date,nrMK_Link,$B439,nrMK_Credit,"Yes"),"mm/dd"),""),"OPEN"))</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IF(OR($B440="",N($I440)=0),"",SUMIFS(nrMK_Min,nrMK_Link,$B440,nrMK_Credit,"Yes"))</f>
        <v/>
      </c>
      <c r="Q440" s="17">
        <f>IF(OR($B440="",N($J440)=0),"",SUMIFS(nrMK_Sess,nrMK_Link,$B440,nrMK_Credit,"Yes"))</f>
        <v/>
      </c>
      <c r="R440" s="17">
        <f>IF(OR($B440="",$N440&lt;&gt;"Yes"),"",IF(N($I440)&gt;0,N($I440)-N($P440),IF(N($J440)&gt;0,N($J440)-N($Q440),"")))</f>
        <v/>
      </c>
      <c r="S440" s="17">
        <f>IF(OR($B440="",$R440=""),"",IF($R440&lt;=0,"CLEARED "&amp;IFERROR(TEXT(_xlfn.MAXIFS(nrMK_Date,nrMK_Link,$B440,nrMK_Credit,"Yes"),"mm/dd"),""),"OPEN"))</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IF(OR($B441="",N($I441)=0),"",SUMIFS(nrMK_Min,nrMK_Link,$B441,nrMK_Credit,"Yes"))</f>
        <v/>
      </c>
      <c r="Q441" s="17">
        <f>IF(OR($B441="",N($J441)=0),"",SUMIFS(nrMK_Sess,nrMK_Link,$B441,nrMK_Credit,"Yes"))</f>
        <v/>
      </c>
      <c r="R441" s="17">
        <f>IF(OR($B441="",$N441&lt;&gt;"Yes"),"",IF(N($I441)&gt;0,N($I441)-N($P441),IF(N($J441)&gt;0,N($J441)-N($Q441),"")))</f>
        <v/>
      </c>
      <c r="S441" s="17">
        <f>IF(OR($B441="",$R441=""),"",IF($R441&lt;=0,"CLEARED "&amp;IFERROR(TEXT(_xlfn.MAXIFS(nrMK_Date,nrMK_Link,$B441,nrMK_Credit,"Yes"),"mm/dd"),""),"OPEN"))</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IF(OR($B442="",N($I442)=0),"",SUMIFS(nrMK_Min,nrMK_Link,$B442,nrMK_Credit,"Yes"))</f>
        <v/>
      </c>
      <c r="Q442" s="17">
        <f>IF(OR($B442="",N($J442)=0),"",SUMIFS(nrMK_Sess,nrMK_Link,$B442,nrMK_Credit,"Yes"))</f>
        <v/>
      </c>
      <c r="R442" s="17">
        <f>IF(OR($B442="",$N442&lt;&gt;"Yes"),"",IF(N($I442)&gt;0,N($I442)-N($P442),IF(N($J442)&gt;0,N($J442)-N($Q442),"")))</f>
        <v/>
      </c>
      <c r="S442" s="17">
        <f>IF(OR($B442="",$R442=""),"",IF($R442&lt;=0,"CLEARED "&amp;IFERROR(TEXT(_xlfn.MAXIFS(nrMK_Date,nrMK_Link,$B442,nrMK_Credit,"Yes"),"mm/dd"),""),"OPEN"))</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IF(OR($B443="",N($I443)=0),"",SUMIFS(nrMK_Min,nrMK_Link,$B443,nrMK_Credit,"Yes"))</f>
        <v/>
      </c>
      <c r="Q443" s="17">
        <f>IF(OR($B443="",N($J443)=0),"",SUMIFS(nrMK_Sess,nrMK_Link,$B443,nrMK_Credit,"Yes"))</f>
        <v/>
      </c>
      <c r="R443" s="17">
        <f>IF(OR($B443="",$N443&lt;&gt;"Yes"),"",IF(N($I443)&gt;0,N($I443)-N($P443),IF(N($J443)&gt;0,N($J443)-N($Q443),"")))</f>
        <v/>
      </c>
      <c r="S443" s="17">
        <f>IF(OR($B443="",$R443=""),"",IF($R443&lt;=0,"CLEARED "&amp;IFERROR(TEXT(_xlfn.MAXIFS(nrMK_Date,nrMK_Link,$B443,nrMK_Credit,"Yes"),"mm/dd"),""),"OPEN"))</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IF(OR($B444="",N($I444)=0),"",SUMIFS(nrMK_Min,nrMK_Link,$B444,nrMK_Credit,"Yes"))</f>
        <v/>
      </c>
      <c r="Q444" s="17">
        <f>IF(OR($B444="",N($J444)=0),"",SUMIFS(nrMK_Sess,nrMK_Link,$B444,nrMK_Credit,"Yes"))</f>
        <v/>
      </c>
      <c r="R444" s="17">
        <f>IF(OR($B444="",$N444&lt;&gt;"Yes"),"",IF(N($I444)&gt;0,N($I444)-N($P444),IF(N($J444)&gt;0,N($J444)-N($Q444),"")))</f>
        <v/>
      </c>
      <c r="S444" s="17">
        <f>IF(OR($B444="",$R444=""),"",IF($R444&lt;=0,"CLEARED "&amp;IFERROR(TEXT(_xlfn.MAXIFS(nrMK_Date,nrMK_Link,$B444,nrMK_Credit,"Yes"),"mm/dd"),""),"OPEN"))</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IF(OR($B445="",N($I445)=0),"",SUMIFS(nrMK_Min,nrMK_Link,$B445,nrMK_Credit,"Yes"))</f>
        <v/>
      </c>
      <c r="Q445" s="17">
        <f>IF(OR($B445="",N($J445)=0),"",SUMIFS(nrMK_Sess,nrMK_Link,$B445,nrMK_Credit,"Yes"))</f>
        <v/>
      </c>
      <c r="R445" s="17">
        <f>IF(OR($B445="",$N445&lt;&gt;"Yes"),"",IF(N($I445)&gt;0,N($I445)-N($P445),IF(N($J445)&gt;0,N($J445)-N($Q445),"")))</f>
        <v/>
      </c>
      <c r="S445" s="17">
        <f>IF(OR($B445="",$R445=""),"",IF($R445&lt;=0,"CLEARED "&amp;IFERROR(TEXT(_xlfn.MAXIFS(nrMK_Date,nrMK_Link,$B445,nrMK_Credit,"Yes"),"mm/dd"),""),"OPEN"))</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IF(OR($B446="",N($I446)=0),"",SUMIFS(nrMK_Min,nrMK_Link,$B446,nrMK_Credit,"Yes"))</f>
        <v/>
      </c>
      <c r="Q446" s="17">
        <f>IF(OR($B446="",N($J446)=0),"",SUMIFS(nrMK_Sess,nrMK_Link,$B446,nrMK_Credit,"Yes"))</f>
        <v/>
      </c>
      <c r="R446" s="17">
        <f>IF(OR($B446="",$N446&lt;&gt;"Yes"),"",IF(N($I446)&gt;0,N($I446)-N($P446),IF(N($J446)&gt;0,N($J446)-N($Q446),"")))</f>
        <v/>
      </c>
      <c r="S446" s="17">
        <f>IF(OR($B446="",$R446=""),"",IF($R446&lt;=0,"CLEARED "&amp;IFERROR(TEXT(_xlfn.MAXIFS(nrMK_Date,nrMK_Link,$B446,nrMK_Credit,"Yes"),"mm/dd"),""),"OPEN"))</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IF(OR($B447="",N($I447)=0),"",SUMIFS(nrMK_Min,nrMK_Link,$B447,nrMK_Credit,"Yes"))</f>
        <v/>
      </c>
      <c r="Q447" s="17">
        <f>IF(OR($B447="",N($J447)=0),"",SUMIFS(nrMK_Sess,nrMK_Link,$B447,nrMK_Credit,"Yes"))</f>
        <v/>
      </c>
      <c r="R447" s="17">
        <f>IF(OR($B447="",$N447&lt;&gt;"Yes"),"",IF(N($I447)&gt;0,N($I447)-N($P447),IF(N($J447)&gt;0,N($J447)-N($Q447),"")))</f>
        <v/>
      </c>
      <c r="S447" s="17">
        <f>IF(OR($B447="",$R447=""),"",IF($R447&lt;=0,"CLEARED "&amp;IFERROR(TEXT(_xlfn.MAXIFS(nrMK_Date,nrMK_Link,$B447,nrMK_Credit,"Yes"),"mm/dd"),""),"OPEN"))</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IF(OR($B448="",N($I448)=0),"",SUMIFS(nrMK_Min,nrMK_Link,$B448,nrMK_Credit,"Yes"))</f>
        <v/>
      </c>
      <c r="Q448" s="17">
        <f>IF(OR($B448="",N($J448)=0),"",SUMIFS(nrMK_Sess,nrMK_Link,$B448,nrMK_Credit,"Yes"))</f>
        <v/>
      </c>
      <c r="R448" s="17">
        <f>IF(OR($B448="",$N448&lt;&gt;"Yes"),"",IF(N($I448)&gt;0,N($I448)-N($P448),IF(N($J448)&gt;0,N($J448)-N($Q448),"")))</f>
        <v/>
      </c>
      <c r="S448" s="17">
        <f>IF(OR($B448="",$R448=""),"",IF($R448&lt;=0,"CLEARED "&amp;IFERROR(TEXT(_xlfn.MAXIFS(nrMK_Date,nrMK_Link,$B448,nrMK_Credit,"Yes"),"mm/dd"),""),"OPEN"))</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IF(OR($B449="",N($I449)=0),"",SUMIFS(nrMK_Min,nrMK_Link,$B449,nrMK_Credit,"Yes"))</f>
        <v/>
      </c>
      <c r="Q449" s="17">
        <f>IF(OR($B449="",N($J449)=0),"",SUMIFS(nrMK_Sess,nrMK_Link,$B449,nrMK_Credit,"Yes"))</f>
        <v/>
      </c>
      <c r="R449" s="17">
        <f>IF(OR($B449="",$N449&lt;&gt;"Yes"),"",IF(N($I449)&gt;0,N($I449)-N($P449),IF(N($J449)&gt;0,N($J449)-N($Q449),"")))</f>
        <v/>
      </c>
      <c r="S449" s="17">
        <f>IF(OR($B449="",$R449=""),"",IF($R449&lt;=0,"CLEARED "&amp;IFERROR(TEXT(_xlfn.MAXIFS(nrMK_Date,nrMK_Link,$B449,nrMK_Credit,"Yes"),"mm/dd"),""),"OPEN"))</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IF(OR($B450="",N($I450)=0),"",SUMIFS(nrMK_Min,nrMK_Link,$B450,nrMK_Credit,"Yes"))</f>
        <v/>
      </c>
      <c r="Q450" s="17">
        <f>IF(OR($B450="",N($J450)=0),"",SUMIFS(nrMK_Sess,nrMK_Link,$B450,nrMK_Credit,"Yes"))</f>
        <v/>
      </c>
      <c r="R450" s="17">
        <f>IF(OR($B450="",$N450&lt;&gt;"Yes"),"",IF(N($I450)&gt;0,N($I450)-N($P450),IF(N($J450)&gt;0,N($J450)-N($Q450),"")))</f>
        <v/>
      </c>
      <c r="S450" s="17">
        <f>IF(OR($B450="",$R450=""),"",IF($R450&lt;=0,"CLEARED "&amp;IFERROR(TEXT(_xlfn.MAXIFS(nrMK_Date,nrMK_Link,$B450,nrMK_Credit,"Yes"),"mm/dd"),""),"OPEN"))</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IF(OR($B451="",N($I451)=0),"",SUMIFS(nrMK_Min,nrMK_Link,$B451,nrMK_Credit,"Yes"))</f>
        <v/>
      </c>
      <c r="Q451" s="17">
        <f>IF(OR($B451="",N($J451)=0),"",SUMIFS(nrMK_Sess,nrMK_Link,$B451,nrMK_Credit,"Yes"))</f>
        <v/>
      </c>
      <c r="R451" s="17">
        <f>IF(OR($B451="",$N451&lt;&gt;"Yes"),"",IF(N($I451)&gt;0,N($I451)-N($P451),IF(N($J451)&gt;0,N($J451)-N($Q451),"")))</f>
        <v/>
      </c>
      <c r="S451" s="17">
        <f>IF(OR($B451="",$R451=""),"",IF($R451&lt;=0,"CLEARED "&amp;IFERROR(TEXT(_xlfn.MAXIFS(nrMK_Date,nrMK_Link,$B451,nrMK_Credit,"Yes"),"mm/dd"),""),"OPEN"))</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IF(OR($B452="",N($I452)=0),"",SUMIFS(nrMK_Min,nrMK_Link,$B452,nrMK_Credit,"Yes"))</f>
        <v/>
      </c>
      <c r="Q452" s="17">
        <f>IF(OR($B452="",N($J452)=0),"",SUMIFS(nrMK_Sess,nrMK_Link,$B452,nrMK_Credit,"Yes"))</f>
        <v/>
      </c>
      <c r="R452" s="17">
        <f>IF(OR($B452="",$N452&lt;&gt;"Yes"),"",IF(N($I452)&gt;0,N($I452)-N($P452),IF(N($J452)&gt;0,N($J452)-N($Q452),"")))</f>
        <v/>
      </c>
      <c r="S452" s="17">
        <f>IF(OR($B452="",$R452=""),"",IF($R452&lt;=0,"CLEARED "&amp;IFERROR(TEXT(_xlfn.MAXIFS(nrMK_Date,nrMK_Link,$B452,nrMK_Credit,"Yes"),"mm/dd"),""),"OPEN"))</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IF(OR($B453="",N($I453)=0),"",SUMIFS(nrMK_Min,nrMK_Link,$B453,nrMK_Credit,"Yes"))</f>
        <v/>
      </c>
      <c r="Q453" s="17">
        <f>IF(OR($B453="",N($J453)=0),"",SUMIFS(nrMK_Sess,nrMK_Link,$B453,nrMK_Credit,"Yes"))</f>
        <v/>
      </c>
      <c r="R453" s="17">
        <f>IF(OR($B453="",$N453&lt;&gt;"Yes"),"",IF(N($I453)&gt;0,N($I453)-N($P453),IF(N($J453)&gt;0,N($J453)-N($Q453),"")))</f>
        <v/>
      </c>
      <c r="S453" s="17">
        <f>IF(OR($B453="",$R453=""),"",IF($R453&lt;=0,"CLEARED "&amp;IFERROR(TEXT(_xlfn.MAXIFS(nrMK_Date,nrMK_Link,$B453,nrMK_Credit,"Yes"),"mm/dd"),""),"OPEN"))</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IF(OR($B454="",N($I454)=0),"",SUMIFS(nrMK_Min,nrMK_Link,$B454,nrMK_Credit,"Yes"))</f>
        <v/>
      </c>
      <c r="Q454" s="17">
        <f>IF(OR($B454="",N($J454)=0),"",SUMIFS(nrMK_Sess,nrMK_Link,$B454,nrMK_Credit,"Yes"))</f>
        <v/>
      </c>
      <c r="R454" s="17">
        <f>IF(OR($B454="",$N454&lt;&gt;"Yes"),"",IF(N($I454)&gt;0,N($I454)-N($P454),IF(N($J454)&gt;0,N($J454)-N($Q454),"")))</f>
        <v/>
      </c>
      <c r="S454" s="17">
        <f>IF(OR($B454="",$R454=""),"",IF($R454&lt;=0,"CLEARED "&amp;IFERROR(TEXT(_xlfn.MAXIFS(nrMK_Date,nrMK_Link,$B454,nrMK_Credit,"Yes"),"mm/dd"),""),"OPEN"))</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IF(OR($B455="",N($I455)=0),"",SUMIFS(nrMK_Min,nrMK_Link,$B455,nrMK_Credit,"Yes"))</f>
        <v/>
      </c>
      <c r="Q455" s="17">
        <f>IF(OR($B455="",N($J455)=0),"",SUMIFS(nrMK_Sess,nrMK_Link,$B455,nrMK_Credit,"Yes"))</f>
        <v/>
      </c>
      <c r="R455" s="17">
        <f>IF(OR($B455="",$N455&lt;&gt;"Yes"),"",IF(N($I455)&gt;0,N($I455)-N($P455),IF(N($J455)&gt;0,N($J455)-N($Q455),"")))</f>
        <v/>
      </c>
      <c r="S455" s="17">
        <f>IF(OR($B455="",$R455=""),"",IF($R455&lt;=0,"CLEARED "&amp;IFERROR(TEXT(_xlfn.MAXIFS(nrMK_Date,nrMK_Link,$B455,nrMK_Credit,"Yes"),"mm/dd"),""),"OPEN"))</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IF(OR($B456="",N($I456)=0),"",SUMIFS(nrMK_Min,nrMK_Link,$B456,nrMK_Credit,"Yes"))</f>
        <v/>
      </c>
      <c r="Q456" s="17">
        <f>IF(OR($B456="",N($J456)=0),"",SUMIFS(nrMK_Sess,nrMK_Link,$B456,nrMK_Credit,"Yes"))</f>
        <v/>
      </c>
      <c r="R456" s="17">
        <f>IF(OR($B456="",$N456&lt;&gt;"Yes"),"",IF(N($I456)&gt;0,N($I456)-N($P456),IF(N($J456)&gt;0,N($J456)-N($Q456),"")))</f>
        <v/>
      </c>
      <c r="S456" s="17">
        <f>IF(OR($B456="",$R456=""),"",IF($R456&lt;=0,"CLEARED "&amp;IFERROR(TEXT(_xlfn.MAXIFS(nrMK_Date,nrMK_Link,$B456,nrMK_Credit,"Yes"),"mm/dd"),""),"OPEN"))</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IF(OR($B457="",N($I457)=0),"",SUMIFS(nrMK_Min,nrMK_Link,$B457,nrMK_Credit,"Yes"))</f>
        <v/>
      </c>
      <c r="Q457" s="17">
        <f>IF(OR($B457="",N($J457)=0),"",SUMIFS(nrMK_Sess,nrMK_Link,$B457,nrMK_Credit,"Yes"))</f>
        <v/>
      </c>
      <c r="R457" s="17">
        <f>IF(OR($B457="",$N457&lt;&gt;"Yes"),"",IF(N($I457)&gt;0,N($I457)-N($P457),IF(N($J457)&gt;0,N($J457)-N($Q457),"")))</f>
        <v/>
      </c>
      <c r="S457" s="17">
        <f>IF(OR($B457="",$R457=""),"",IF($R457&lt;=0,"CLEARED "&amp;IFERROR(TEXT(_xlfn.MAXIFS(nrMK_Date,nrMK_Link,$B457,nrMK_Credit,"Yes"),"mm/dd"),""),"OPEN"))</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IF(OR($B458="",N($I458)=0),"",SUMIFS(nrMK_Min,nrMK_Link,$B458,nrMK_Credit,"Yes"))</f>
        <v/>
      </c>
      <c r="Q458" s="17">
        <f>IF(OR($B458="",N($J458)=0),"",SUMIFS(nrMK_Sess,nrMK_Link,$B458,nrMK_Credit,"Yes"))</f>
        <v/>
      </c>
      <c r="R458" s="17">
        <f>IF(OR($B458="",$N458&lt;&gt;"Yes"),"",IF(N($I458)&gt;0,N($I458)-N($P458),IF(N($J458)&gt;0,N($J458)-N($Q458),"")))</f>
        <v/>
      </c>
      <c r="S458" s="17">
        <f>IF(OR($B458="",$R458=""),"",IF($R458&lt;=0,"CLEARED "&amp;IFERROR(TEXT(_xlfn.MAXIFS(nrMK_Date,nrMK_Link,$B458,nrMK_Credit,"Yes"),"mm/dd"),""),"OPEN"))</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IF(OR($B459="",N($I459)=0),"",SUMIFS(nrMK_Min,nrMK_Link,$B459,nrMK_Credit,"Yes"))</f>
        <v/>
      </c>
      <c r="Q459" s="17">
        <f>IF(OR($B459="",N($J459)=0),"",SUMIFS(nrMK_Sess,nrMK_Link,$B459,nrMK_Credit,"Yes"))</f>
        <v/>
      </c>
      <c r="R459" s="17">
        <f>IF(OR($B459="",$N459&lt;&gt;"Yes"),"",IF(N($I459)&gt;0,N($I459)-N($P459),IF(N($J459)&gt;0,N($J459)-N($Q459),"")))</f>
        <v/>
      </c>
      <c r="S459" s="17">
        <f>IF(OR($B459="",$R459=""),"",IF($R459&lt;=0,"CLEARED "&amp;IFERROR(TEXT(_xlfn.MAXIFS(nrMK_Date,nrMK_Link,$B459,nrMK_Credit,"Yes"),"mm/dd"),""),"OPEN"))</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IF(OR($B460="",N($I460)=0),"",SUMIFS(nrMK_Min,nrMK_Link,$B460,nrMK_Credit,"Yes"))</f>
        <v/>
      </c>
      <c r="Q460" s="17">
        <f>IF(OR($B460="",N($J460)=0),"",SUMIFS(nrMK_Sess,nrMK_Link,$B460,nrMK_Credit,"Yes"))</f>
        <v/>
      </c>
      <c r="R460" s="17">
        <f>IF(OR($B460="",$N460&lt;&gt;"Yes"),"",IF(N($I460)&gt;0,N($I460)-N($P460),IF(N($J460)&gt;0,N($J460)-N($Q460),"")))</f>
        <v/>
      </c>
      <c r="S460" s="17">
        <f>IF(OR($B460="",$R460=""),"",IF($R460&lt;=0,"CLEARED "&amp;IFERROR(TEXT(_xlfn.MAXIFS(nrMK_Date,nrMK_Link,$B460,nrMK_Credit,"Yes"),"mm/dd"),""),"OPEN"))</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IF(OR($B461="",N($I461)=0),"",SUMIFS(nrMK_Min,nrMK_Link,$B461,nrMK_Credit,"Yes"))</f>
        <v/>
      </c>
      <c r="Q461" s="17">
        <f>IF(OR($B461="",N($J461)=0),"",SUMIFS(nrMK_Sess,nrMK_Link,$B461,nrMK_Credit,"Yes"))</f>
        <v/>
      </c>
      <c r="R461" s="17">
        <f>IF(OR($B461="",$N461&lt;&gt;"Yes"),"",IF(N($I461)&gt;0,N($I461)-N($P461),IF(N($J461)&gt;0,N($J461)-N($Q461),"")))</f>
        <v/>
      </c>
      <c r="S461" s="17">
        <f>IF(OR($B461="",$R461=""),"",IF($R461&lt;=0,"CLEARED "&amp;IFERROR(TEXT(_xlfn.MAXIFS(nrMK_Date,nrMK_Link,$B461,nrMK_Credit,"Yes"),"mm/dd"),""),"OPEN"))</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IF(OR($B462="",N($I462)=0),"",SUMIFS(nrMK_Min,nrMK_Link,$B462,nrMK_Credit,"Yes"))</f>
        <v/>
      </c>
      <c r="Q462" s="17">
        <f>IF(OR($B462="",N($J462)=0),"",SUMIFS(nrMK_Sess,nrMK_Link,$B462,nrMK_Credit,"Yes"))</f>
        <v/>
      </c>
      <c r="R462" s="17">
        <f>IF(OR($B462="",$N462&lt;&gt;"Yes"),"",IF(N($I462)&gt;0,N($I462)-N($P462),IF(N($J462)&gt;0,N($J462)-N($Q462),"")))</f>
        <v/>
      </c>
      <c r="S462" s="17">
        <f>IF(OR($B462="",$R462=""),"",IF($R462&lt;=0,"CLEARED "&amp;IFERROR(TEXT(_xlfn.MAXIFS(nrMK_Date,nrMK_Link,$B462,nrMK_Credit,"Yes"),"mm/dd"),""),"OPEN"))</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IF(OR($B463="",N($I463)=0),"",SUMIFS(nrMK_Min,nrMK_Link,$B463,nrMK_Credit,"Yes"))</f>
        <v/>
      </c>
      <c r="Q463" s="17">
        <f>IF(OR($B463="",N($J463)=0),"",SUMIFS(nrMK_Sess,nrMK_Link,$B463,nrMK_Credit,"Yes"))</f>
        <v/>
      </c>
      <c r="R463" s="17">
        <f>IF(OR($B463="",$N463&lt;&gt;"Yes"),"",IF(N($I463)&gt;0,N($I463)-N($P463),IF(N($J463)&gt;0,N($J463)-N($Q463),"")))</f>
        <v/>
      </c>
      <c r="S463" s="17">
        <f>IF(OR($B463="",$R463=""),"",IF($R463&lt;=0,"CLEARED "&amp;IFERROR(TEXT(_xlfn.MAXIFS(nrMK_Date,nrMK_Link,$B463,nrMK_Credit,"Yes"),"mm/dd"),""),"OPEN"))</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IF(OR($B464="",N($I464)=0),"",SUMIFS(nrMK_Min,nrMK_Link,$B464,nrMK_Credit,"Yes"))</f>
        <v/>
      </c>
      <c r="Q464" s="17">
        <f>IF(OR($B464="",N($J464)=0),"",SUMIFS(nrMK_Sess,nrMK_Link,$B464,nrMK_Credit,"Yes"))</f>
        <v/>
      </c>
      <c r="R464" s="17">
        <f>IF(OR($B464="",$N464&lt;&gt;"Yes"),"",IF(N($I464)&gt;0,N($I464)-N($P464),IF(N($J464)&gt;0,N($J464)-N($Q464),"")))</f>
        <v/>
      </c>
      <c r="S464" s="17">
        <f>IF(OR($B464="",$R464=""),"",IF($R464&lt;=0,"CLEARED "&amp;IFERROR(TEXT(_xlfn.MAXIFS(nrMK_Date,nrMK_Link,$B464,nrMK_Credit,"Yes"),"mm/dd"),""),"OPEN"))</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IF(OR($B465="",N($I465)=0),"",SUMIFS(nrMK_Min,nrMK_Link,$B465,nrMK_Credit,"Yes"))</f>
        <v/>
      </c>
      <c r="Q465" s="17">
        <f>IF(OR($B465="",N($J465)=0),"",SUMIFS(nrMK_Sess,nrMK_Link,$B465,nrMK_Credit,"Yes"))</f>
        <v/>
      </c>
      <c r="R465" s="17">
        <f>IF(OR($B465="",$N465&lt;&gt;"Yes"),"",IF(N($I465)&gt;0,N($I465)-N($P465),IF(N($J465)&gt;0,N($J465)-N($Q465),"")))</f>
        <v/>
      </c>
      <c r="S465" s="17">
        <f>IF(OR($B465="",$R465=""),"",IF($R465&lt;=0,"CLEARED "&amp;IFERROR(TEXT(_xlfn.MAXIFS(nrMK_Date,nrMK_Link,$B465,nrMK_Credit,"Yes"),"mm/dd"),""),"OPEN"))</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IF(OR($B466="",N($I466)=0),"",SUMIFS(nrMK_Min,nrMK_Link,$B466,nrMK_Credit,"Yes"))</f>
        <v/>
      </c>
      <c r="Q466" s="17">
        <f>IF(OR($B466="",N($J466)=0),"",SUMIFS(nrMK_Sess,nrMK_Link,$B466,nrMK_Credit,"Yes"))</f>
        <v/>
      </c>
      <c r="R466" s="17">
        <f>IF(OR($B466="",$N466&lt;&gt;"Yes"),"",IF(N($I466)&gt;0,N($I466)-N($P466),IF(N($J466)&gt;0,N($J466)-N($Q466),"")))</f>
        <v/>
      </c>
      <c r="S466" s="17">
        <f>IF(OR($B466="",$R466=""),"",IF($R466&lt;=0,"CLEARED "&amp;IFERROR(TEXT(_xlfn.MAXIFS(nrMK_Date,nrMK_Link,$B466,nrMK_Credit,"Yes"),"mm/dd"),""),"OPEN"))</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IF(OR($B467="",N($I467)=0),"",SUMIFS(nrMK_Min,nrMK_Link,$B467,nrMK_Credit,"Yes"))</f>
        <v/>
      </c>
      <c r="Q467" s="17">
        <f>IF(OR($B467="",N($J467)=0),"",SUMIFS(nrMK_Sess,nrMK_Link,$B467,nrMK_Credit,"Yes"))</f>
        <v/>
      </c>
      <c r="R467" s="17">
        <f>IF(OR($B467="",$N467&lt;&gt;"Yes"),"",IF(N($I467)&gt;0,N($I467)-N($P467),IF(N($J467)&gt;0,N($J467)-N($Q467),"")))</f>
        <v/>
      </c>
      <c r="S467" s="17">
        <f>IF(OR($B467="",$R467=""),"",IF($R467&lt;=0,"CLEARED "&amp;IFERROR(TEXT(_xlfn.MAXIFS(nrMK_Date,nrMK_Link,$B467,nrMK_Credit,"Yes"),"mm/dd"),""),"OPEN"))</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IF(OR($B468="",N($I468)=0),"",SUMIFS(nrMK_Min,nrMK_Link,$B468,nrMK_Credit,"Yes"))</f>
        <v/>
      </c>
      <c r="Q468" s="17">
        <f>IF(OR($B468="",N($J468)=0),"",SUMIFS(nrMK_Sess,nrMK_Link,$B468,nrMK_Credit,"Yes"))</f>
        <v/>
      </c>
      <c r="R468" s="17">
        <f>IF(OR($B468="",$N468&lt;&gt;"Yes"),"",IF(N($I468)&gt;0,N($I468)-N($P468),IF(N($J468)&gt;0,N($J468)-N($Q468),"")))</f>
        <v/>
      </c>
      <c r="S468" s="17">
        <f>IF(OR($B468="",$R468=""),"",IF($R468&lt;=0,"CLEARED "&amp;IFERROR(TEXT(_xlfn.MAXIFS(nrMK_Date,nrMK_Link,$B468,nrMK_Credit,"Yes"),"mm/dd"),""),"OPEN"))</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IF(OR($B469="",N($I469)=0),"",SUMIFS(nrMK_Min,nrMK_Link,$B469,nrMK_Credit,"Yes"))</f>
        <v/>
      </c>
      <c r="Q469" s="17">
        <f>IF(OR($B469="",N($J469)=0),"",SUMIFS(nrMK_Sess,nrMK_Link,$B469,nrMK_Credit,"Yes"))</f>
        <v/>
      </c>
      <c r="R469" s="17">
        <f>IF(OR($B469="",$N469&lt;&gt;"Yes"),"",IF(N($I469)&gt;0,N($I469)-N($P469),IF(N($J469)&gt;0,N($J469)-N($Q469),"")))</f>
        <v/>
      </c>
      <c r="S469" s="17">
        <f>IF(OR($B469="",$R469=""),"",IF($R469&lt;=0,"CLEARED "&amp;IFERROR(TEXT(_xlfn.MAXIFS(nrMK_Date,nrMK_Link,$B469,nrMK_Credit,"Yes"),"mm/dd"),""),"OPEN"))</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IF(OR($B470="",N($I470)=0),"",SUMIFS(nrMK_Min,nrMK_Link,$B470,nrMK_Credit,"Yes"))</f>
        <v/>
      </c>
      <c r="Q470" s="17">
        <f>IF(OR($B470="",N($J470)=0),"",SUMIFS(nrMK_Sess,nrMK_Link,$B470,nrMK_Credit,"Yes"))</f>
        <v/>
      </c>
      <c r="R470" s="17">
        <f>IF(OR($B470="",$N470&lt;&gt;"Yes"),"",IF(N($I470)&gt;0,N($I470)-N($P470),IF(N($J470)&gt;0,N($J470)-N($Q470),"")))</f>
        <v/>
      </c>
      <c r="S470" s="17">
        <f>IF(OR($B470="",$R470=""),"",IF($R470&lt;=0,"CLEARED "&amp;IFERROR(TEXT(_xlfn.MAXIFS(nrMK_Date,nrMK_Link,$B470,nrMK_Credit,"Yes"),"mm/dd"),""),"OPEN"))</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IF(OR($B471="",N($I471)=0),"",SUMIFS(nrMK_Min,nrMK_Link,$B471,nrMK_Credit,"Yes"))</f>
        <v/>
      </c>
      <c r="Q471" s="17">
        <f>IF(OR($B471="",N($J471)=0),"",SUMIFS(nrMK_Sess,nrMK_Link,$B471,nrMK_Credit,"Yes"))</f>
        <v/>
      </c>
      <c r="R471" s="17">
        <f>IF(OR($B471="",$N471&lt;&gt;"Yes"),"",IF(N($I471)&gt;0,N($I471)-N($P471),IF(N($J471)&gt;0,N($J471)-N($Q471),"")))</f>
        <v/>
      </c>
      <c r="S471" s="17">
        <f>IF(OR($B471="",$R471=""),"",IF($R471&lt;=0,"CLEARED "&amp;IFERROR(TEXT(_xlfn.MAXIFS(nrMK_Date,nrMK_Link,$B471,nrMK_Credit,"Yes"),"mm/dd"),""),"OPEN"))</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IF(OR($B472="",N($I472)=0),"",SUMIFS(nrMK_Min,nrMK_Link,$B472,nrMK_Credit,"Yes"))</f>
        <v/>
      </c>
      <c r="Q472" s="17">
        <f>IF(OR($B472="",N($J472)=0),"",SUMIFS(nrMK_Sess,nrMK_Link,$B472,nrMK_Credit,"Yes"))</f>
        <v/>
      </c>
      <c r="R472" s="17">
        <f>IF(OR($B472="",$N472&lt;&gt;"Yes"),"",IF(N($I472)&gt;0,N($I472)-N($P472),IF(N($J472)&gt;0,N($J472)-N($Q472),"")))</f>
        <v/>
      </c>
      <c r="S472" s="17">
        <f>IF(OR($B472="",$R472=""),"",IF($R472&lt;=0,"CLEARED "&amp;IFERROR(TEXT(_xlfn.MAXIFS(nrMK_Date,nrMK_Link,$B472,nrMK_Credit,"Yes"),"mm/dd"),""),"OPEN"))</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IF(OR($B473="",N($I473)=0),"",SUMIFS(nrMK_Min,nrMK_Link,$B473,nrMK_Credit,"Yes"))</f>
        <v/>
      </c>
      <c r="Q473" s="17">
        <f>IF(OR($B473="",N($J473)=0),"",SUMIFS(nrMK_Sess,nrMK_Link,$B473,nrMK_Credit,"Yes"))</f>
        <v/>
      </c>
      <c r="R473" s="17">
        <f>IF(OR($B473="",$N473&lt;&gt;"Yes"),"",IF(N($I473)&gt;0,N($I473)-N($P473),IF(N($J473)&gt;0,N($J473)-N($Q473),"")))</f>
        <v/>
      </c>
      <c r="S473" s="17">
        <f>IF(OR($B473="",$R473=""),"",IF($R473&lt;=0,"CLEARED "&amp;IFERROR(TEXT(_xlfn.MAXIFS(nrMK_Date,nrMK_Link,$B473,nrMK_Credit,"Yes"),"mm/dd"),""),"OPEN"))</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IF(OR($B474="",N($I474)=0),"",SUMIFS(nrMK_Min,nrMK_Link,$B474,nrMK_Credit,"Yes"))</f>
        <v/>
      </c>
      <c r="Q474" s="17">
        <f>IF(OR($B474="",N($J474)=0),"",SUMIFS(nrMK_Sess,nrMK_Link,$B474,nrMK_Credit,"Yes"))</f>
        <v/>
      </c>
      <c r="R474" s="17">
        <f>IF(OR($B474="",$N474&lt;&gt;"Yes"),"",IF(N($I474)&gt;0,N($I474)-N($P474),IF(N($J474)&gt;0,N($J474)-N($Q474),"")))</f>
        <v/>
      </c>
      <c r="S474" s="17">
        <f>IF(OR($B474="",$R474=""),"",IF($R474&lt;=0,"CLEARED "&amp;IFERROR(TEXT(_xlfn.MAXIFS(nrMK_Date,nrMK_Link,$B474,nrMK_Credit,"Yes"),"mm/dd"),""),"OPEN"))</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IF(OR($B475="",N($I475)=0),"",SUMIFS(nrMK_Min,nrMK_Link,$B475,nrMK_Credit,"Yes"))</f>
        <v/>
      </c>
      <c r="Q475" s="17">
        <f>IF(OR($B475="",N($J475)=0),"",SUMIFS(nrMK_Sess,nrMK_Link,$B475,nrMK_Credit,"Yes"))</f>
        <v/>
      </c>
      <c r="R475" s="17">
        <f>IF(OR($B475="",$N475&lt;&gt;"Yes"),"",IF(N($I475)&gt;0,N($I475)-N($P475),IF(N($J475)&gt;0,N($J475)-N($Q475),"")))</f>
        <v/>
      </c>
      <c r="S475" s="17">
        <f>IF(OR($B475="",$R475=""),"",IF($R475&lt;=0,"CLEARED "&amp;IFERROR(TEXT(_xlfn.MAXIFS(nrMK_Date,nrMK_Link,$B475,nrMK_Credit,"Yes"),"mm/dd"),""),"OPEN"))</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IF(OR($B476="",N($I476)=0),"",SUMIFS(nrMK_Min,nrMK_Link,$B476,nrMK_Credit,"Yes"))</f>
        <v/>
      </c>
      <c r="Q476" s="17">
        <f>IF(OR($B476="",N($J476)=0),"",SUMIFS(nrMK_Sess,nrMK_Link,$B476,nrMK_Credit,"Yes"))</f>
        <v/>
      </c>
      <c r="R476" s="17">
        <f>IF(OR($B476="",$N476&lt;&gt;"Yes"),"",IF(N($I476)&gt;0,N($I476)-N($P476),IF(N($J476)&gt;0,N($J476)-N($Q476),"")))</f>
        <v/>
      </c>
      <c r="S476" s="17">
        <f>IF(OR($B476="",$R476=""),"",IF($R476&lt;=0,"CLEARED "&amp;IFERROR(TEXT(_xlfn.MAXIFS(nrMK_Date,nrMK_Link,$B476,nrMK_Credit,"Yes"),"mm/dd"),""),"OPEN"))</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IF(OR($B477="",N($I477)=0),"",SUMIFS(nrMK_Min,nrMK_Link,$B477,nrMK_Credit,"Yes"))</f>
        <v/>
      </c>
      <c r="Q477" s="17">
        <f>IF(OR($B477="",N($J477)=0),"",SUMIFS(nrMK_Sess,nrMK_Link,$B477,nrMK_Credit,"Yes"))</f>
        <v/>
      </c>
      <c r="R477" s="17">
        <f>IF(OR($B477="",$N477&lt;&gt;"Yes"),"",IF(N($I477)&gt;0,N($I477)-N($P477),IF(N($J477)&gt;0,N($J477)-N($Q477),"")))</f>
        <v/>
      </c>
      <c r="S477" s="17">
        <f>IF(OR($B477="",$R477=""),"",IF($R477&lt;=0,"CLEARED "&amp;IFERROR(TEXT(_xlfn.MAXIFS(nrMK_Date,nrMK_Link,$B477,nrMK_Credit,"Yes"),"mm/dd"),""),"OPEN"))</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IF(OR($B478="",N($I478)=0),"",SUMIFS(nrMK_Min,nrMK_Link,$B478,nrMK_Credit,"Yes"))</f>
        <v/>
      </c>
      <c r="Q478" s="17">
        <f>IF(OR($B478="",N($J478)=0),"",SUMIFS(nrMK_Sess,nrMK_Link,$B478,nrMK_Credit,"Yes"))</f>
        <v/>
      </c>
      <c r="R478" s="17">
        <f>IF(OR($B478="",$N478&lt;&gt;"Yes"),"",IF(N($I478)&gt;0,N($I478)-N($P478),IF(N($J478)&gt;0,N($J478)-N($Q478),"")))</f>
        <v/>
      </c>
      <c r="S478" s="17">
        <f>IF(OR($B478="",$R478=""),"",IF($R478&lt;=0,"CLEARED "&amp;IFERROR(TEXT(_xlfn.MAXIFS(nrMK_Date,nrMK_Link,$B478,nrMK_Credit,"Yes"),"mm/dd"),""),"OPEN"))</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IF(OR($B479="",N($I479)=0),"",SUMIFS(nrMK_Min,nrMK_Link,$B479,nrMK_Credit,"Yes"))</f>
        <v/>
      </c>
      <c r="Q479" s="17">
        <f>IF(OR($B479="",N($J479)=0),"",SUMIFS(nrMK_Sess,nrMK_Link,$B479,nrMK_Credit,"Yes"))</f>
        <v/>
      </c>
      <c r="R479" s="17">
        <f>IF(OR($B479="",$N479&lt;&gt;"Yes"),"",IF(N($I479)&gt;0,N($I479)-N($P479),IF(N($J479)&gt;0,N($J479)-N($Q479),"")))</f>
        <v/>
      </c>
      <c r="S479" s="17">
        <f>IF(OR($B479="",$R479=""),"",IF($R479&lt;=0,"CLEARED "&amp;IFERROR(TEXT(_xlfn.MAXIFS(nrMK_Date,nrMK_Link,$B479,nrMK_Credit,"Yes"),"mm/dd"),""),"OPEN"))</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IF(OR($B480="",N($I480)=0),"",SUMIFS(nrMK_Min,nrMK_Link,$B480,nrMK_Credit,"Yes"))</f>
        <v/>
      </c>
      <c r="Q480" s="17">
        <f>IF(OR($B480="",N($J480)=0),"",SUMIFS(nrMK_Sess,nrMK_Link,$B480,nrMK_Credit,"Yes"))</f>
        <v/>
      </c>
      <c r="R480" s="17">
        <f>IF(OR($B480="",$N480&lt;&gt;"Yes"),"",IF(N($I480)&gt;0,N($I480)-N($P480),IF(N($J480)&gt;0,N($J480)-N($Q480),"")))</f>
        <v/>
      </c>
      <c r="S480" s="17">
        <f>IF(OR($B480="",$R480=""),"",IF($R480&lt;=0,"CLEARED "&amp;IFERROR(TEXT(_xlfn.MAXIFS(nrMK_Date,nrMK_Link,$B480,nrMK_Credit,"Yes"),"mm/dd"),""),"OPEN"))</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IF(OR($B481="",N($I481)=0),"",SUMIFS(nrMK_Min,nrMK_Link,$B481,nrMK_Credit,"Yes"))</f>
        <v/>
      </c>
      <c r="Q481" s="17">
        <f>IF(OR($B481="",N($J481)=0),"",SUMIFS(nrMK_Sess,nrMK_Link,$B481,nrMK_Credit,"Yes"))</f>
        <v/>
      </c>
      <c r="R481" s="17">
        <f>IF(OR($B481="",$N481&lt;&gt;"Yes"),"",IF(N($I481)&gt;0,N($I481)-N($P481),IF(N($J481)&gt;0,N($J481)-N($Q481),"")))</f>
        <v/>
      </c>
      <c r="S481" s="17">
        <f>IF(OR($B481="",$R481=""),"",IF($R481&lt;=0,"CLEARED "&amp;IFERROR(TEXT(_xlfn.MAXIFS(nrMK_Date,nrMK_Link,$B481,nrMK_Credit,"Yes"),"mm/dd"),""),"OPEN"))</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IF(OR($B482="",N($I482)=0),"",SUMIFS(nrMK_Min,nrMK_Link,$B482,nrMK_Credit,"Yes"))</f>
        <v/>
      </c>
      <c r="Q482" s="17">
        <f>IF(OR($B482="",N($J482)=0),"",SUMIFS(nrMK_Sess,nrMK_Link,$B482,nrMK_Credit,"Yes"))</f>
        <v/>
      </c>
      <c r="R482" s="17">
        <f>IF(OR($B482="",$N482&lt;&gt;"Yes"),"",IF(N($I482)&gt;0,N($I482)-N($P482),IF(N($J482)&gt;0,N($J482)-N($Q482),"")))</f>
        <v/>
      </c>
      <c r="S482" s="17">
        <f>IF(OR($B482="",$R482=""),"",IF($R482&lt;=0,"CLEARED "&amp;IFERROR(TEXT(_xlfn.MAXIFS(nrMK_Date,nrMK_Link,$B482,nrMK_Credit,"Yes"),"mm/dd"),""),"OPEN"))</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IF(OR($B483="",N($I483)=0),"",SUMIFS(nrMK_Min,nrMK_Link,$B483,nrMK_Credit,"Yes"))</f>
        <v/>
      </c>
      <c r="Q483" s="17">
        <f>IF(OR($B483="",N($J483)=0),"",SUMIFS(nrMK_Sess,nrMK_Link,$B483,nrMK_Credit,"Yes"))</f>
        <v/>
      </c>
      <c r="R483" s="17">
        <f>IF(OR($B483="",$N483&lt;&gt;"Yes"),"",IF(N($I483)&gt;0,N($I483)-N($P483),IF(N($J483)&gt;0,N($J483)-N($Q483),"")))</f>
        <v/>
      </c>
      <c r="S483" s="17">
        <f>IF(OR($B483="",$R483=""),"",IF($R483&lt;=0,"CLEARED "&amp;IFERROR(TEXT(_xlfn.MAXIFS(nrMK_Date,nrMK_Link,$B483,nrMK_Credit,"Yes"),"mm/dd"),""),"OPEN"))</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IF(OR($B484="",N($I484)=0),"",SUMIFS(nrMK_Min,nrMK_Link,$B484,nrMK_Credit,"Yes"))</f>
        <v/>
      </c>
      <c r="Q484" s="17">
        <f>IF(OR($B484="",N($J484)=0),"",SUMIFS(nrMK_Sess,nrMK_Link,$B484,nrMK_Credit,"Yes"))</f>
        <v/>
      </c>
      <c r="R484" s="17">
        <f>IF(OR($B484="",$N484&lt;&gt;"Yes"),"",IF(N($I484)&gt;0,N($I484)-N($P484),IF(N($J484)&gt;0,N($J484)-N($Q484),"")))</f>
        <v/>
      </c>
      <c r="S484" s="17">
        <f>IF(OR($B484="",$R484=""),"",IF($R484&lt;=0,"CLEARED "&amp;IFERROR(TEXT(_xlfn.MAXIFS(nrMK_Date,nrMK_Link,$B484,nrMK_Credit,"Yes"),"mm/dd"),""),"OPEN"))</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IF(OR($B485="",N($I485)=0),"",SUMIFS(nrMK_Min,nrMK_Link,$B485,nrMK_Credit,"Yes"))</f>
        <v/>
      </c>
      <c r="Q485" s="17">
        <f>IF(OR($B485="",N($J485)=0),"",SUMIFS(nrMK_Sess,nrMK_Link,$B485,nrMK_Credit,"Yes"))</f>
        <v/>
      </c>
      <c r="R485" s="17">
        <f>IF(OR($B485="",$N485&lt;&gt;"Yes"),"",IF(N($I485)&gt;0,N($I485)-N($P485),IF(N($J485)&gt;0,N($J485)-N($Q485),"")))</f>
        <v/>
      </c>
      <c r="S485" s="17">
        <f>IF(OR($B485="",$R485=""),"",IF($R485&lt;=0,"CLEARED "&amp;IFERROR(TEXT(_xlfn.MAXIFS(nrMK_Date,nrMK_Link,$B485,nrMK_Credit,"Yes"),"mm/dd"),""),"OPEN"))</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IF(OR($B486="",N($I486)=0),"",SUMIFS(nrMK_Min,nrMK_Link,$B486,nrMK_Credit,"Yes"))</f>
        <v/>
      </c>
      <c r="Q486" s="17">
        <f>IF(OR($B486="",N($J486)=0),"",SUMIFS(nrMK_Sess,nrMK_Link,$B486,nrMK_Credit,"Yes"))</f>
        <v/>
      </c>
      <c r="R486" s="17">
        <f>IF(OR($B486="",$N486&lt;&gt;"Yes"),"",IF(N($I486)&gt;0,N($I486)-N($P486),IF(N($J486)&gt;0,N($J486)-N($Q486),"")))</f>
        <v/>
      </c>
      <c r="S486" s="17">
        <f>IF(OR($B486="",$R486=""),"",IF($R486&lt;=0,"CLEARED "&amp;IFERROR(TEXT(_xlfn.MAXIFS(nrMK_Date,nrMK_Link,$B486,nrMK_Credit,"Yes"),"mm/dd"),""),"OPEN"))</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IF(OR($B487="",N($I487)=0),"",SUMIFS(nrMK_Min,nrMK_Link,$B487,nrMK_Credit,"Yes"))</f>
        <v/>
      </c>
      <c r="Q487" s="17">
        <f>IF(OR($B487="",N($J487)=0),"",SUMIFS(nrMK_Sess,nrMK_Link,$B487,nrMK_Credit,"Yes"))</f>
        <v/>
      </c>
      <c r="R487" s="17">
        <f>IF(OR($B487="",$N487&lt;&gt;"Yes"),"",IF(N($I487)&gt;0,N($I487)-N($P487),IF(N($J487)&gt;0,N($J487)-N($Q487),"")))</f>
        <v/>
      </c>
      <c r="S487" s="17">
        <f>IF(OR($B487="",$R487=""),"",IF($R487&lt;=0,"CLEARED "&amp;IFERROR(TEXT(_xlfn.MAXIFS(nrMK_Date,nrMK_Link,$B487,nrMK_Credit,"Yes"),"mm/dd"),""),"OPEN"))</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IF(OR($B488="",N($I488)=0),"",SUMIFS(nrMK_Min,nrMK_Link,$B488,nrMK_Credit,"Yes"))</f>
        <v/>
      </c>
      <c r="Q488" s="17">
        <f>IF(OR($B488="",N($J488)=0),"",SUMIFS(nrMK_Sess,nrMK_Link,$B488,nrMK_Credit,"Yes"))</f>
        <v/>
      </c>
      <c r="R488" s="17">
        <f>IF(OR($B488="",$N488&lt;&gt;"Yes"),"",IF(N($I488)&gt;0,N($I488)-N($P488),IF(N($J488)&gt;0,N($J488)-N($Q488),"")))</f>
        <v/>
      </c>
      <c r="S488" s="17">
        <f>IF(OR($B488="",$R488=""),"",IF($R488&lt;=0,"CLEARED "&amp;IFERROR(TEXT(_xlfn.MAXIFS(nrMK_Date,nrMK_Link,$B488,nrMK_Credit,"Yes"),"mm/dd"),""),"OPEN"))</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IF(OR($B489="",N($I489)=0),"",SUMIFS(nrMK_Min,nrMK_Link,$B489,nrMK_Credit,"Yes"))</f>
        <v/>
      </c>
      <c r="Q489" s="17">
        <f>IF(OR($B489="",N($J489)=0),"",SUMIFS(nrMK_Sess,nrMK_Link,$B489,nrMK_Credit,"Yes"))</f>
        <v/>
      </c>
      <c r="R489" s="17">
        <f>IF(OR($B489="",$N489&lt;&gt;"Yes"),"",IF(N($I489)&gt;0,N($I489)-N($P489),IF(N($J489)&gt;0,N($J489)-N($Q489),"")))</f>
        <v/>
      </c>
      <c r="S489" s="17">
        <f>IF(OR($B489="",$R489=""),"",IF($R489&lt;=0,"CLEARED "&amp;IFERROR(TEXT(_xlfn.MAXIFS(nrMK_Date,nrMK_Link,$B489,nrMK_Credit,"Yes"),"mm/dd"),""),"OPEN"))</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IF(OR($B490="",N($I490)=0),"",SUMIFS(nrMK_Min,nrMK_Link,$B490,nrMK_Credit,"Yes"))</f>
        <v/>
      </c>
      <c r="Q490" s="17">
        <f>IF(OR($B490="",N($J490)=0),"",SUMIFS(nrMK_Sess,nrMK_Link,$B490,nrMK_Credit,"Yes"))</f>
        <v/>
      </c>
      <c r="R490" s="17">
        <f>IF(OR($B490="",$N490&lt;&gt;"Yes"),"",IF(N($I490)&gt;0,N($I490)-N($P490),IF(N($J490)&gt;0,N($J490)-N($Q490),"")))</f>
        <v/>
      </c>
      <c r="S490" s="17">
        <f>IF(OR($B490="",$R490=""),"",IF($R490&lt;=0,"CLEARED "&amp;IFERROR(TEXT(_xlfn.MAXIFS(nrMK_Date,nrMK_Link,$B490,nrMK_Credit,"Yes"),"mm/dd"),""),"OPEN"))</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IF(OR($B491="",N($I491)=0),"",SUMIFS(nrMK_Min,nrMK_Link,$B491,nrMK_Credit,"Yes"))</f>
        <v/>
      </c>
      <c r="Q491" s="17">
        <f>IF(OR($B491="",N($J491)=0),"",SUMIFS(nrMK_Sess,nrMK_Link,$B491,nrMK_Credit,"Yes"))</f>
        <v/>
      </c>
      <c r="R491" s="17">
        <f>IF(OR($B491="",$N491&lt;&gt;"Yes"),"",IF(N($I491)&gt;0,N($I491)-N($P491),IF(N($J491)&gt;0,N($J491)-N($Q491),"")))</f>
        <v/>
      </c>
      <c r="S491" s="17">
        <f>IF(OR($B491="",$R491=""),"",IF($R491&lt;=0,"CLEARED "&amp;IFERROR(TEXT(_xlfn.MAXIFS(nrMK_Date,nrMK_Link,$B491,nrMK_Credit,"Yes"),"mm/dd"),""),"OPEN"))</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IF(OR($B492="",N($I492)=0),"",SUMIFS(nrMK_Min,nrMK_Link,$B492,nrMK_Credit,"Yes"))</f>
        <v/>
      </c>
      <c r="Q492" s="17">
        <f>IF(OR($B492="",N($J492)=0),"",SUMIFS(nrMK_Sess,nrMK_Link,$B492,nrMK_Credit,"Yes"))</f>
        <v/>
      </c>
      <c r="R492" s="17">
        <f>IF(OR($B492="",$N492&lt;&gt;"Yes"),"",IF(N($I492)&gt;0,N($I492)-N($P492),IF(N($J492)&gt;0,N($J492)-N($Q492),"")))</f>
        <v/>
      </c>
      <c r="S492" s="17">
        <f>IF(OR($B492="",$R492=""),"",IF($R492&lt;=0,"CLEARED "&amp;IFERROR(TEXT(_xlfn.MAXIFS(nrMK_Date,nrMK_Link,$B492,nrMK_Credit,"Yes"),"mm/dd"),""),"OPEN"))</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IF(OR($B493="",N($I493)=0),"",SUMIFS(nrMK_Min,nrMK_Link,$B493,nrMK_Credit,"Yes"))</f>
        <v/>
      </c>
      <c r="Q493" s="17">
        <f>IF(OR($B493="",N($J493)=0),"",SUMIFS(nrMK_Sess,nrMK_Link,$B493,nrMK_Credit,"Yes"))</f>
        <v/>
      </c>
      <c r="R493" s="17">
        <f>IF(OR($B493="",$N493&lt;&gt;"Yes"),"",IF(N($I493)&gt;0,N($I493)-N($P493),IF(N($J493)&gt;0,N($J493)-N($Q493),"")))</f>
        <v/>
      </c>
      <c r="S493" s="17">
        <f>IF(OR($B493="",$R493=""),"",IF($R493&lt;=0,"CLEARED "&amp;IFERROR(TEXT(_xlfn.MAXIFS(nrMK_Date,nrMK_Link,$B493,nrMK_Credit,"Yes"),"mm/dd"),""),"OPEN"))</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IF(OR($B494="",N($I494)=0),"",SUMIFS(nrMK_Min,nrMK_Link,$B494,nrMK_Credit,"Yes"))</f>
        <v/>
      </c>
      <c r="Q494" s="17">
        <f>IF(OR($B494="",N($J494)=0),"",SUMIFS(nrMK_Sess,nrMK_Link,$B494,nrMK_Credit,"Yes"))</f>
        <v/>
      </c>
      <c r="R494" s="17">
        <f>IF(OR($B494="",$N494&lt;&gt;"Yes"),"",IF(N($I494)&gt;0,N($I494)-N($P494),IF(N($J494)&gt;0,N($J494)-N($Q494),"")))</f>
        <v/>
      </c>
      <c r="S494" s="17">
        <f>IF(OR($B494="",$R494=""),"",IF($R494&lt;=0,"CLEARED "&amp;IFERROR(TEXT(_xlfn.MAXIFS(nrMK_Date,nrMK_Link,$B494,nrMK_Credit,"Yes"),"mm/dd"),""),"OPEN"))</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IF(OR($B495="",N($I495)=0),"",SUMIFS(nrMK_Min,nrMK_Link,$B495,nrMK_Credit,"Yes"))</f>
        <v/>
      </c>
      <c r="Q495" s="17">
        <f>IF(OR($B495="",N($J495)=0),"",SUMIFS(nrMK_Sess,nrMK_Link,$B495,nrMK_Credit,"Yes"))</f>
        <v/>
      </c>
      <c r="R495" s="17">
        <f>IF(OR($B495="",$N495&lt;&gt;"Yes"),"",IF(N($I495)&gt;0,N($I495)-N($P495),IF(N($J495)&gt;0,N($J495)-N($Q495),"")))</f>
        <v/>
      </c>
      <c r="S495" s="17">
        <f>IF(OR($B495="",$R495=""),"",IF($R495&lt;=0,"CLEARED "&amp;IFERROR(TEXT(_xlfn.MAXIFS(nrMK_Date,nrMK_Link,$B495,nrMK_Credit,"Yes"),"mm/dd"),""),"OPEN"))</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IF(OR($B496="",N($I496)=0),"",SUMIFS(nrMK_Min,nrMK_Link,$B496,nrMK_Credit,"Yes"))</f>
        <v/>
      </c>
      <c r="Q496" s="17">
        <f>IF(OR($B496="",N($J496)=0),"",SUMIFS(nrMK_Sess,nrMK_Link,$B496,nrMK_Credit,"Yes"))</f>
        <v/>
      </c>
      <c r="R496" s="17">
        <f>IF(OR($B496="",$N496&lt;&gt;"Yes"),"",IF(N($I496)&gt;0,N($I496)-N($P496),IF(N($J496)&gt;0,N($J496)-N($Q496),"")))</f>
        <v/>
      </c>
      <c r="S496" s="17">
        <f>IF(OR($B496="",$R496=""),"",IF($R496&lt;=0,"CLEARED "&amp;IFERROR(TEXT(_xlfn.MAXIFS(nrMK_Date,nrMK_Link,$B496,nrMK_Credit,"Yes"),"mm/dd"),""),"OPEN"))</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IF(OR($B497="",N($I497)=0),"",SUMIFS(nrMK_Min,nrMK_Link,$B497,nrMK_Credit,"Yes"))</f>
        <v/>
      </c>
      <c r="Q497" s="17">
        <f>IF(OR($B497="",N($J497)=0),"",SUMIFS(nrMK_Sess,nrMK_Link,$B497,nrMK_Credit,"Yes"))</f>
        <v/>
      </c>
      <c r="R497" s="17">
        <f>IF(OR($B497="",$N497&lt;&gt;"Yes"),"",IF(N($I497)&gt;0,N($I497)-N($P497),IF(N($J497)&gt;0,N($J497)-N($Q497),"")))</f>
        <v/>
      </c>
      <c r="S497" s="17">
        <f>IF(OR($B497="",$R497=""),"",IF($R497&lt;=0,"CLEARED "&amp;IFERROR(TEXT(_xlfn.MAXIFS(nrMK_Date,nrMK_Link,$B497,nrMK_Credit,"Yes"),"mm/dd"),""),"OPEN"))</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IF(OR($B498="",N($I498)=0),"",SUMIFS(nrMK_Min,nrMK_Link,$B498,nrMK_Credit,"Yes"))</f>
        <v/>
      </c>
      <c r="Q498" s="17">
        <f>IF(OR($B498="",N($J498)=0),"",SUMIFS(nrMK_Sess,nrMK_Link,$B498,nrMK_Credit,"Yes"))</f>
        <v/>
      </c>
      <c r="R498" s="17">
        <f>IF(OR($B498="",$N498&lt;&gt;"Yes"),"",IF(N($I498)&gt;0,N($I498)-N($P498),IF(N($J498)&gt;0,N($J498)-N($Q498),"")))</f>
        <v/>
      </c>
      <c r="S498" s="17">
        <f>IF(OR($B498="",$R498=""),"",IF($R498&lt;=0,"CLEARED "&amp;IFERROR(TEXT(_xlfn.MAXIFS(nrMK_Date,nrMK_Link,$B498,nrMK_Credit,"Yes"),"mm/dd"),""),"OPEN"))</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IF(OR($B499="",N($I499)=0),"",SUMIFS(nrMK_Min,nrMK_Link,$B499,nrMK_Credit,"Yes"))</f>
        <v/>
      </c>
      <c r="Q499" s="17">
        <f>IF(OR($B499="",N($J499)=0),"",SUMIFS(nrMK_Sess,nrMK_Link,$B499,nrMK_Credit,"Yes"))</f>
        <v/>
      </c>
      <c r="R499" s="17">
        <f>IF(OR($B499="",$N499&lt;&gt;"Yes"),"",IF(N($I499)&gt;0,N($I499)-N($P499),IF(N($J499)&gt;0,N($J499)-N($Q499),"")))</f>
        <v/>
      </c>
      <c r="S499" s="17">
        <f>IF(OR($B499="",$R499=""),"",IF($R499&lt;=0,"CLEARED "&amp;IFERROR(TEXT(_xlfn.MAXIFS(nrMK_Date,nrMK_Link,$B499,nrMK_Credit,"Yes"),"mm/dd"),""),"OPEN"))</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IF(OR($B500="",N($I500)=0),"",SUMIFS(nrMK_Min,nrMK_Link,$B500,nrMK_Credit,"Yes"))</f>
        <v/>
      </c>
      <c r="Q500" s="17">
        <f>IF(OR($B500="",N($J500)=0),"",SUMIFS(nrMK_Sess,nrMK_Link,$B500,nrMK_Credit,"Yes"))</f>
        <v/>
      </c>
      <c r="R500" s="17">
        <f>IF(OR($B500="",$N500&lt;&gt;"Yes"),"",IF(N($I500)&gt;0,N($I500)-N($P500),IF(N($J500)&gt;0,N($J500)-N($Q500),"")))</f>
        <v/>
      </c>
      <c r="S500" s="17">
        <f>IF(OR($B500="",$R500=""),"",IF($R500&lt;=0,"CLEARED "&amp;IFERROR(TEXT(_xlfn.MAXIFS(nrMK_Date,nrMK_Link,$B500,nrMK_Credit,"Yes"),"mm/dd"),""),"OPEN"))</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IF(OR($B501="",N($I501)=0),"",SUMIFS(nrMK_Min,nrMK_Link,$B501,nrMK_Credit,"Yes"))</f>
        <v/>
      </c>
      <c r="Q501" s="17">
        <f>IF(OR($B501="",N($J501)=0),"",SUMIFS(nrMK_Sess,nrMK_Link,$B501,nrMK_Credit,"Yes"))</f>
        <v/>
      </c>
      <c r="R501" s="17">
        <f>IF(OR($B501="",$N501&lt;&gt;"Yes"),"",IF(N($I501)&gt;0,N($I501)-N($P501),IF(N($J501)&gt;0,N($J501)-N($Q501),"")))</f>
        <v/>
      </c>
      <c r="S501" s="17">
        <f>IF(OR($B501="",$R501=""),"",IF($R501&lt;=0,"CLEARED "&amp;IFERROR(TEXT(_xlfn.MAXIFS(nrMK_Date,nrMK_Link,$B501,nrMK_Credit,"Yes"),"mm/dd"),""),"OPEN"))</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IF(OR($B502="",N($I502)=0),"",SUMIFS(nrMK_Min,nrMK_Link,$B502,nrMK_Credit,"Yes"))</f>
        <v/>
      </c>
      <c r="Q502" s="17">
        <f>IF(OR($B502="",N($J502)=0),"",SUMIFS(nrMK_Sess,nrMK_Link,$B502,nrMK_Credit,"Yes"))</f>
        <v/>
      </c>
      <c r="R502" s="17">
        <f>IF(OR($B502="",$N502&lt;&gt;"Yes"),"",IF(N($I502)&gt;0,N($I502)-N($P502),IF(N($J502)&gt;0,N($J502)-N($Q502),"")))</f>
        <v/>
      </c>
      <c r="S502" s="17">
        <f>IF(OR($B502="",$R502=""),"",IF($R502&lt;=0,"CLEARED "&amp;IFERROR(TEXT(_xlfn.MAXIFS(nrMK_Date,nrMK_Link,$B502,nrMK_Credit,"Yes"),"mm/dd"),""),"OPEN"))</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IF(OR($B503="",N($I503)=0),"",SUMIFS(nrMK_Min,nrMK_Link,$B503,nrMK_Credit,"Yes"))</f>
        <v/>
      </c>
      <c r="Q503" s="17">
        <f>IF(OR($B503="",N($J503)=0),"",SUMIFS(nrMK_Sess,nrMK_Link,$B503,nrMK_Credit,"Yes"))</f>
        <v/>
      </c>
      <c r="R503" s="17">
        <f>IF(OR($B503="",$N503&lt;&gt;"Yes"),"",IF(N($I503)&gt;0,N($I503)-N($P503),IF(N($J503)&gt;0,N($J503)-N($Q503),"")))</f>
        <v/>
      </c>
      <c r="S503" s="17">
        <f>IF(OR($B503="",$R503=""),"",IF($R503&lt;=0,"CLEARED "&amp;IFERROR(TEXT(_xlfn.MAXIFS(nrMK_Date,nrMK_Link,$B503,nrMK_Credit,"Yes"),"mm/dd"),""),"OPEN"))</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IF(OR($B504="",N($I504)=0),"",SUMIFS(nrMK_Min,nrMK_Link,$B504,nrMK_Credit,"Yes"))</f>
        <v/>
      </c>
      <c r="Q504" s="17">
        <f>IF(OR($B504="",N($J504)=0),"",SUMIFS(nrMK_Sess,nrMK_Link,$B504,nrMK_Credit,"Yes"))</f>
        <v/>
      </c>
      <c r="R504" s="17">
        <f>IF(OR($B504="",$N504&lt;&gt;"Yes"),"",IF(N($I504)&gt;0,N($I504)-N($P504),IF(N($J504)&gt;0,N($J504)-N($Q504),"")))</f>
        <v/>
      </c>
      <c r="S504" s="17">
        <f>IF(OR($B504="",$R504=""),"",IF($R504&lt;=0,"CLEARED "&amp;IFERROR(TEXT(_xlfn.MAXIFS(nrMK_Date,nrMK_Link,$B504,nrMK_Credit,"Yes"),"mm/dd"),""),"OPEN"))</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IF(OR($B505="",N($I505)=0),"",SUMIFS(nrMK_Min,nrMK_Link,$B505,nrMK_Credit,"Yes"))</f>
        <v/>
      </c>
      <c r="Q505" s="17">
        <f>IF(OR($B505="",N($J505)=0),"",SUMIFS(nrMK_Sess,nrMK_Link,$B505,nrMK_Credit,"Yes"))</f>
        <v/>
      </c>
      <c r="R505" s="17">
        <f>IF(OR($B505="",$N505&lt;&gt;"Yes"),"",IF(N($I505)&gt;0,N($I505)-N($P505),IF(N($J505)&gt;0,N($J505)-N($Q505),"")))</f>
        <v/>
      </c>
      <c r="S505" s="17">
        <f>IF(OR($B505="",$R505=""),"",IF($R505&lt;=0,"CLEARED "&amp;IFERROR(TEXT(_xlfn.MAXIFS(nrMK_Date,nrMK_Link,$B505,nrMK_Credit,"Yes"),"mm/dd"),""),"OPEN"))</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IF(OR($B506="",N($I506)=0),"",SUMIFS(nrMK_Min,nrMK_Link,$B506,nrMK_Credit,"Yes"))</f>
        <v/>
      </c>
      <c r="Q506" s="17">
        <f>IF(OR($B506="",N($J506)=0),"",SUMIFS(nrMK_Sess,nrMK_Link,$B506,nrMK_Credit,"Yes"))</f>
        <v/>
      </c>
      <c r="R506" s="17">
        <f>IF(OR($B506="",$N506&lt;&gt;"Yes"),"",IF(N($I506)&gt;0,N($I506)-N($P506),IF(N($J506)&gt;0,N($J506)-N($Q506),"")))</f>
        <v/>
      </c>
      <c r="S506" s="17">
        <f>IF(OR($B506="",$R506=""),"",IF($R506&lt;=0,"CLEARED "&amp;IFERROR(TEXT(_xlfn.MAXIFS(nrMK_Date,nrMK_Link,$B506,nrMK_Credit,"Yes"),"mm/dd"),""),"OPEN"))</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IF(OR($B507="",N($I507)=0),"",SUMIFS(nrMK_Min,nrMK_Link,$B507,nrMK_Credit,"Yes"))</f>
        <v/>
      </c>
      <c r="Q507" s="17">
        <f>IF(OR($B507="",N($J507)=0),"",SUMIFS(nrMK_Sess,nrMK_Link,$B507,nrMK_Credit,"Yes"))</f>
        <v/>
      </c>
      <c r="R507" s="17">
        <f>IF(OR($B507="",$N507&lt;&gt;"Yes"),"",IF(N($I507)&gt;0,N($I507)-N($P507),IF(N($J507)&gt;0,N($J507)-N($Q507),"")))</f>
        <v/>
      </c>
      <c r="S507" s="17">
        <f>IF(OR($B507="",$R507=""),"",IF($R507&lt;=0,"CLEARED "&amp;IFERROR(TEXT(_xlfn.MAXIFS(nrMK_Date,nrMK_Link,$B507,nrMK_Credit,"Yes"),"mm/dd"),""),"OPEN"))</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IF(OR($B508="",N($I508)=0),"",SUMIFS(nrMK_Min,nrMK_Link,$B508,nrMK_Credit,"Yes"))</f>
        <v/>
      </c>
      <c r="Q508" s="17">
        <f>IF(OR($B508="",N($J508)=0),"",SUMIFS(nrMK_Sess,nrMK_Link,$B508,nrMK_Credit,"Yes"))</f>
        <v/>
      </c>
      <c r="R508" s="17">
        <f>IF(OR($B508="",$N508&lt;&gt;"Yes"),"",IF(N($I508)&gt;0,N($I508)-N($P508),IF(N($J508)&gt;0,N($J508)-N($Q508),"")))</f>
        <v/>
      </c>
      <c r="S508" s="17">
        <f>IF(OR($B508="",$R508=""),"",IF($R508&lt;=0,"CLEARED "&amp;IFERROR(TEXT(_xlfn.MAXIFS(nrMK_Date,nrMK_Link,$B508,nrMK_Credit,"Yes"),"mm/dd"),""),"OPEN"))</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IF(OR($B509="",N($I509)=0),"",SUMIFS(nrMK_Min,nrMK_Link,$B509,nrMK_Credit,"Yes"))</f>
        <v/>
      </c>
      <c r="Q509" s="17">
        <f>IF(OR($B509="",N($J509)=0),"",SUMIFS(nrMK_Sess,nrMK_Link,$B509,nrMK_Credit,"Yes"))</f>
        <v/>
      </c>
      <c r="R509" s="17">
        <f>IF(OR($B509="",$N509&lt;&gt;"Yes"),"",IF(N($I509)&gt;0,N($I509)-N($P509),IF(N($J509)&gt;0,N($J509)-N($Q509),"")))</f>
        <v/>
      </c>
      <c r="S509" s="17">
        <f>IF(OR($B509="",$R509=""),"",IF($R509&lt;=0,"CLEARED "&amp;IFERROR(TEXT(_xlfn.MAXIFS(nrMK_Date,nrMK_Link,$B509,nrMK_Credit,"Yes"),"mm/dd"),""),"OPEN"))</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IF(OR($B510="",N($I510)=0),"",SUMIFS(nrMK_Min,nrMK_Link,$B510,nrMK_Credit,"Yes"))</f>
        <v/>
      </c>
      <c r="Q510" s="17">
        <f>IF(OR($B510="",N($J510)=0),"",SUMIFS(nrMK_Sess,nrMK_Link,$B510,nrMK_Credit,"Yes"))</f>
        <v/>
      </c>
      <c r="R510" s="17">
        <f>IF(OR($B510="",$N510&lt;&gt;"Yes"),"",IF(N($I510)&gt;0,N($I510)-N($P510),IF(N($J510)&gt;0,N($J510)-N($Q510),"")))</f>
        <v/>
      </c>
      <c r="S510" s="17">
        <f>IF(OR($B510="",$R510=""),"",IF($R510&lt;=0,"CLEARED "&amp;IFERROR(TEXT(_xlfn.MAXIFS(nrMK_Date,nrMK_Link,$B510,nrMK_Credit,"Yes"),"mm/dd"),""),"OPEN"))</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IF(OR($B511="",N($I511)=0),"",SUMIFS(nrMK_Min,nrMK_Link,$B511,nrMK_Credit,"Yes"))</f>
        <v/>
      </c>
      <c r="Q511" s="17">
        <f>IF(OR($B511="",N($J511)=0),"",SUMIFS(nrMK_Sess,nrMK_Link,$B511,nrMK_Credit,"Yes"))</f>
        <v/>
      </c>
      <c r="R511" s="17">
        <f>IF(OR($B511="",$N511&lt;&gt;"Yes"),"",IF(N($I511)&gt;0,N($I511)-N($P511),IF(N($J511)&gt;0,N($J511)-N($Q511),"")))</f>
        <v/>
      </c>
      <c r="S511" s="17">
        <f>IF(OR($B511="",$R511=""),"",IF($R511&lt;=0,"CLEARED "&amp;IFERROR(TEXT(_xlfn.MAXIFS(nrMK_Date,nrMK_Link,$B511,nrMK_Credit,"Yes"),"mm/dd"),""),"OPEN"))</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IF(OR($B512="",N($I512)=0),"",SUMIFS(nrMK_Min,nrMK_Link,$B512,nrMK_Credit,"Yes"))</f>
        <v/>
      </c>
      <c r="Q512" s="17">
        <f>IF(OR($B512="",N($J512)=0),"",SUMIFS(nrMK_Sess,nrMK_Link,$B512,nrMK_Credit,"Yes"))</f>
        <v/>
      </c>
      <c r="R512" s="17">
        <f>IF(OR($B512="",$N512&lt;&gt;"Yes"),"",IF(N($I512)&gt;0,N($I512)-N($P512),IF(N($J512)&gt;0,N($J512)-N($Q512),"")))</f>
        <v/>
      </c>
      <c r="S512" s="17">
        <f>IF(OR($B512="",$R512=""),"",IF($R512&lt;=0,"CLEARED "&amp;IFERROR(TEXT(_xlfn.MAXIFS(nrMK_Date,nrMK_Link,$B512,nrMK_Credit,"Yes"),"mm/dd"),""),"OPEN"))</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IF(OR($B513="",N($I513)=0),"",SUMIFS(nrMK_Min,nrMK_Link,$B513,nrMK_Credit,"Yes"))</f>
        <v/>
      </c>
      <c r="Q513" s="17">
        <f>IF(OR($B513="",N($J513)=0),"",SUMIFS(nrMK_Sess,nrMK_Link,$B513,nrMK_Credit,"Yes"))</f>
        <v/>
      </c>
      <c r="R513" s="17">
        <f>IF(OR($B513="",$N513&lt;&gt;"Yes"),"",IF(N($I513)&gt;0,N($I513)-N($P513),IF(N($J513)&gt;0,N($J513)-N($Q513),"")))</f>
        <v/>
      </c>
      <c r="S513" s="17">
        <f>IF(OR($B513="",$R513=""),"",IF($R513&lt;=0,"CLEARED "&amp;IFERROR(TEXT(_xlfn.MAXIFS(nrMK_Date,nrMK_Link,$B513,nrMK_Credit,"Yes"),"mm/dd"),""),"OPEN"))</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IF(OR($B514="",N($I514)=0),"",SUMIFS(nrMK_Min,nrMK_Link,$B514,nrMK_Credit,"Yes"))</f>
        <v/>
      </c>
      <c r="Q514" s="17">
        <f>IF(OR($B514="",N($J514)=0),"",SUMIFS(nrMK_Sess,nrMK_Link,$B514,nrMK_Credit,"Yes"))</f>
        <v/>
      </c>
      <c r="R514" s="17">
        <f>IF(OR($B514="",$N514&lt;&gt;"Yes"),"",IF(N($I514)&gt;0,N($I514)-N($P514),IF(N($J514)&gt;0,N($J514)-N($Q514),"")))</f>
        <v/>
      </c>
      <c r="S514" s="17">
        <f>IF(OR($B514="",$R514=""),"",IF($R514&lt;=0,"CLEARED "&amp;IFERROR(TEXT(_xlfn.MAXIFS(nrMK_Date,nrMK_Link,$B514,nrMK_Credit,"Yes"),"mm/dd"),""),"OPEN"))</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IF(OR($B515="",N($I515)=0),"",SUMIFS(nrMK_Min,nrMK_Link,$B515,nrMK_Credit,"Yes"))</f>
        <v/>
      </c>
      <c r="Q515" s="17">
        <f>IF(OR($B515="",N($J515)=0),"",SUMIFS(nrMK_Sess,nrMK_Link,$B515,nrMK_Credit,"Yes"))</f>
        <v/>
      </c>
      <c r="R515" s="17">
        <f>IF(OR($B515="",$N515&lt;&gt;"Yes"),"",IF(N($I515)&gt;0,N($I515)-N($P515),IF(N($J515)&gt;0,N($J515)-N($Q515),"")))</f>
        <v/>
      </c>
      <c r="S515" s="17">
        <f>IF(OR($B515="",$R515=""),"",IF($R515&lt;=0,"CLEARED "&amp;IFERROR(TEXT(_xlfn.MAXIFS(nrMK_Date,nrMK_Link,$B515,nrMK_Credit,"Yes"),"mm/dd"),""),"OPEN"))</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IF(OR($B516="",N($I516)=0),"",SUMIFS(nrMK_Min,nrMK_Link,$B516,nrMK_Credit,"Yes"))</f>
        <v/>
      </c>
      <c r="Q516" s="17">
        <f>IF(OR($B516="",N($J516)=0),"",SUMIFS(nrMK_Sess,nrMK_Link,$B516,nrMK_Credit,"Yes"))</f>
        <v/>
      </c>
      <c r="R516" s="17">
        <f>IF(OR($B516="",$N516&lt;&gt;"Yes"),"",IF(N($I516)&gt;0,N($I516)-N($P516),IF(N($J516)&gt;0,N($J516)-N($Q516),"")))</f>
        <v/>
      </c>
      <c r="S516" s="17">
        <f>IF(OR($B516="",$R516=""),"",IF($R516&lt;=0,"CLEARED "&amp;IFERROR(TEXT(_xlfn.MAXIFS(nrMK_Date,nrMK_Link,$B516,nrMK_Credit,"Yes"),"mm/dd"),""),"OPEN"))</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IF(OR($B517="",N($I517)=0),"",SUMIFS(nrMK_Min,nrMK_Link,$B517,nrMK_Credit,"Yes"))</f>
        <v/>
      </c>
      <c r="Q517" s="17">
        <f>IF(OR($B517="",N($J517)=0),"",SUMIFS(nrMK_Sess,nrMK_Link,$B517,nrMK_Credit,"Yes"))</f>
        <v/>
      </c>
      <c r="R517" s="17">
        <f>IF(OR($B517="",$N517&lt;&gt;"Yes"),"",IF(N($I517)&gt;0,N($I517)-N($P517),IF(N($J517)&gt;0,N($J517)-N($Q517),"")))</f>
        <v/>
      </c>
      <c r="S517" s="17">
        <f>IF(OR($B517="",$R517=""),"",IF($R517&lt;=0,"CLEARED "&amp;IFERROR(TEXT(_xlfn.MAXIFS(nrMK_Date,nrMK_Link,$B517,nrMK_Credit,"Yes"),"mm/dd"),""),"OPEN"))</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IF(OR($B518="",N($I518)=0),"",SUMIFS(nrMK_Min,nrMK_Link,$B518,nrMK_Credit,"Yes"))</f>
        <v/>
      </c>
      <c r="Q518" s="17">
        <f>IF(OR($B518="",N($J518)=0),"",SUMIFS(nrMK_Sess,nrMK_Link,$B518,nrMK_Credit,"Yes"))</f>
        <v/>
      </c>
      <c r="R518" s="17">
        <f>IF(OR($B518="",$N518&lt;&gt;"Yes"),"",IF(N($I518)&gt;0,N($I518)-N($P518),IF(N($J518)&gt;0,N($J518)-N($Q518),"")))</f>
        <v/>
      </c>
      <c r="S518" s="17">
        <f>IF(OR($B518="",$R518=""),"",IF($R518&lt;=0,"CLEARED "&amp;IFERROR(TEXT(_xlfn.MAXIFS(nrMK_Date,nrMK_Link,$B518,nrMK_Credit,"Yes"),"mm/dd"),""),"OPEN"))</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IF(OR($B519="",N($I519)=0),"",SUMIFS(nrMK_Min,nrMK_Link,$B519,nrMK_Credit,"Yes"))</f>
        <v/>
      </c>
      <c r="Q519" s="17">
        <f>IF(OR($B519="",N($J519)=0),"",SUMIFS(nrMK_Sess,nrMK_Link,$B519,nrMK_Credit,"Yes"))</f>
        <v/>
      </c>
      <c r="R519" s="17">
        <f>IF(OR($B519="",$N519&lt;&gt;"Yes"),"",IF(N($I519)&gt;0,N($I519)-N($P519),IF(N($J519)&gt;0,N($J519)-N($Q519),"")))</f>
        <v/>
      </c>
      <c r="S519" s="17">
        <f>IF(OR($B519="",$R519=""),"",IF($R519&lt;=0,"CLEARED "&amp;IFERROR(TEXT(_xlfn.MAXIFS(nrMK_Date,nrMK_Link,$B519,nrMK_Credit,"Yes"),"mm/dd"),""),"OPEN"))</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IF(OR($B520="",N($I520)=0),"",SUMIFS(nrMK_Min,nrMK_Link,$B520,nrMK_Credit,"Yes"))</f>
        <v/>
      </c>
      <c r="Q520" s="17">
        <f>IF(OR($B520="",N($J520)=0),"",SUMIFS(nrMK_Sess,nrMK_Link,$B520,nrMK_Credit,"Yes"))</f>
        <v/>
      </c>
      <c r="R520" s="17">
        <f>IF(OR($B520="",$N520&lt;&gt;"Yes"),"",IF(N($I520)&gt;0,N($I520)-N($P520),IF(N($J520)&gt;0,N($J520)-N($Q520),"")))</f>
        <v/>
      </c>
      <c r="S520" s="17">
        <f>IF(OR($B520="",$R520=""),"",IF($R520&lt;=0,"CLEARED "&amp;IFERROR(TEXT(_xlfn.MAXIFS(nrMK_Date,nrMK_Link,$B520,nrMK_Credit,"Yes"),"mm/dd"),""),"OPEN"))</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IF(OR($B521="",N($I521)=0),"",SUMIFS(nrMK_Min,nrMK_Link,$B521,nrMK_Credit,"Yes"))</f>
        <v/>
      </c>
      <c r="Q521" s="17">
        <f>IF(OR($B521="",N($J521)=0),"",SUMIFS(nrMK_Sess,nrMK_Link,$B521,nrMK_Credit,"Yes"))</f>
        <v/>
      </c>
      <c r="R521" s="17">
        <f>IF(OR($B521="",$N521&lt;&gt;"Yes"),"",IF(N($I521)&gt;0,N($I521)-N($P521),IF(N($J521)&gt;0,N($J521)-N($Q521),"")))</f>
        <v/>
      </c>
      <c r="S521" s="17">
        <f>IF(OR($B521="",$R521=""),"",IF($R521&lt;=0,"CLEARED "&amp;IFERROR(TEXT(_xlfn.MAXIFS(nrMK_Date,nrMK_Link,$B521,nrMK_Credit,"Yes"),"mm/dd"),""),"OPEN"))</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IF(OR($B522="",N($I522)=0),"",SUMIFS(nrMK_Min,nrMK_Link,$B522,nrMK_Credit,"Yes"))</f>
        <v/>
      </c>
      <c r="Q522" s="17">
        <f>IF(OR($B522="",N($J522)=0),"",SUMIFS(nrMK_Sess,nrMK_Link,$B522,nrMK_Credit,"Yes"))</f>
        <v/>
      </c>
      <c r="R522" s="17">
        <f>IF(OR($B522="",$N522&lt;&gt;"Yes"),"",IF(N($I522)&gt;0,N($I522)-N($P522),IF(N($J522)&gt;0,N($J522)-N($Q522),"")))</f>
        <v/>
      </c>
      <c r="S522" s="17">
        <f>IF(OR($B522="",$R522=""),"",IF($R522&lt;=0,"CLEARED "&amp;IFERROR(TEXT(_xlfn.MAXIFS(nrMK_Date,nrMK_Link,$B522,nrMK_Credit,"Yes"),"mm/dd"),""),"OPEN"))</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IF(OR($B523="",N($I523)=0),"",SUMIFS(nrMK_Min,nrMK_Link,$B523,nrMK_Credit,"Yes"))</f>
        <v/>
      </c>
      <c r="Q523" s="17">
        <f>IF(OR($B523="",N($J523)=0),"",SUMIFS(nrMK_Sess,nrMK_Link,$B523,nrMK_Credit,"Yes"))</f>
        <v/>
      </c>
      <c r="R523" s="17">
        <f>IF(OR($B523="",$N523&lt;&gt;"Yes"),"",IF(N($I523)&gt;0,N($I523)-N($P523),IF(N($J523)&gt;0,N($J523)-N($Q523),"")))</f>
        <v/>
      </c>
      <c r="S523" s="17">
        <f>IF(OR($B523="",$R523=""),"",IF($R523&lt;=0,"CLEARED "&amp;IFERROR(TEXT(_xlfn.MAXIFS(nrMK_Date,nrMK_Link,$B523,nrMK_Credit,"Yes"),"mm/dd"),""),"OPEN"))</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IF(OR($B524="",N($I524)=0),"",SUMIFS(nrMK_Min,nrMK_Link,$B524,nrMK_Credit,"Yes"))</f>
        <v/>
      </c>
      <c r="Q524" s="17">
        <f>IF(OR($B524="",N($J524)=0),"",SUMIFS(nrMK_Sess,nrMK_Link,$B524,nrMK_Credit,"Yes"))</f>
        <v/>
      </c>
      <c r="R524" s="17">
        <f>IF(OR($B524="",$N524&lt;&gt;"Yes"),"",IF(N($I524)&gt;0,N($I524)-N($P524),IF(N($J524)&gt;0,N($J524)-N($Q524),"")))</f>
        <v/>
      </c>
      <c r="S524" s="17">
        <f>IF(OR($B524="",$R524=""),"",IF($R524&lt;=0,"CLEARED "&amp;IFERROR(TEXT(_xlfn.MAXIFS(nrMK_Date,nrMK_Link,$B524,nrMK_Credit,"Yes"),"mm/dd"),""),"OPEN"))</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IF(OR($B525="",N($I525)=0),"",SUMIFS(nrMK_Min,nrMK_Link,$B525,nrMK_Credit,"Yes"))</f>
        <v/>
      </c>
      <c r="Q525" s="17">
        <f>IF(OR($B525="",N($J525)=0),"",SUMIFS(nrMK_Sess,nrMK_Link,$B525,nrMK_Credit,"Yes"))</f>
        <v/>
      </c>
      <c r="R525" s="17">
        <f>IF(OR($B525="",$N525&lt;&gt;"Yes"),"",IF(N($I525)&gt;0,N($I525)-N($P525),IF(N($J525)&gt;0,N($J525)-N($Q525),"")))</f>
        <v/>
      </c>
      <c r="S525" s="17">
        <f>IF(OR($B525="",$R525=""),"",IF($R525&lt;=0,"CLEARED "&amp;IFERROR(TEXT(_xlfn.MAXIFS(nrMK_Date,nrMK_Link,$B525,nrMK_Credit,"Yes"),"mm/dd"),""),"OPEN"))</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IF(OR($B526="",N($I526)=0),"",SUMIFS(nrMK_Min,nrMK_Link,$B526,nrMK_Credit,"Yes"))</f>
        <v/>
      </c>
      <c r="Q526" s="17">
        <f>IF(OR($B526="",N($J526)=0),"",SUMIFS(nrMK_Sess,nrMK_Link,$B526,nrMK_Credit,"Yes"))</f>
        <v/>
      </c>
      <c r="R526" s="17">
        <f>IF(OR($B526="",$N526&lt;&gt;"Yes"),"",IF(N($I526)&gt;0,N($I526)-N($P526),IF(N($J526)&gt;0,N($J526)-N($Q526),"")))</f>
        <v/>
      </c>
      <c r="S526" s="17">
        <f>IF(OR($B526="",$R526=""),"",IF($R526&lt;=0,"CLEARED "&amp;IFERROR(TEXT(_xlfn.MAXIFS(nrMK_Date,nrMK_Link,$B526,nrMK_Credit,"Yes"),"mm/dd"),""),"OPEN"))</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IF(OR($B527="",N($I527)=0),"",SUMIFS(nrMK_Min,nrMK_Link,$B527,nrMK_Credit,"Yes"))</f>
        <v/>
      </c>
      <c r="Q527" s="17">
        <f>IF(OR($B527="",N($J527)=0),"",SUMIFS(nrMK_Sess,nrMK_Link,$B527,nrMK_Credit,"Yes"))</f>
        <v/>
      </c>
      <c r="R527" s="17">
        <f>IF(OR($B527="",$N527&lt;&gt;"Yes"),"",IF(N($I527)&gt;0,N($I527)-N($P527),IF(N($J527)&gt;0,N($J527)-N($Q527),"")))</f>
        <v/>
      </c>
      <c r="S527" s="17">
        <f>IF(OR($B527="",$R527=""),"",IF($R527&lt;=0,"CLEARED "&amp;IFERROR(TEXT(_xlfn.MAXIFS(nrMK_Date,nrMK_Link,$B527,nrMK_Credit,"Yes"),"mm/dd"),""),"OPEN"))</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IF(OR($B528="",N($I528)=0),"",SUMIFS(nrMK_Min,nrMK_Link,$B528,nrMK_Credit,"Yes"))</f>
        <v/>
      </c>
      <c r="Q528" s="17">
        <f>IF(OR($B528="",N($J528)=0),"",SUMIFS(nrMK_Sess,nrMK_Link,$B528,nrMK_Credit,"Yes"))</f>
        <v/>
      </c>
      <c r="R528" s="17">
        <f>IF(OR($B528="",$N528&lt;&gt;"Yes"),"",IF(N($I528)&gt;0,N($I528)-N($P528),IF(N($J528)&gt;0,N($J528)-N($Q528),"")))</f>
        <v/>
      </c>
      <c r="S528" s="17">
        <f>IF(OR($B528="",$R528=""),"",IF($R528&lt;=0,"CLEARED "&amp;IFERROR(TEXT(_xlfn.MAXIFS(nrMK_Date,nrMK_Link,$B528,nrMK_Credit,"Yes"),"mm/dd"),""),"OPEN"))</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IF(OR($B529="",N($I529)=0),"",SUMIFS(nrMK_Min,nrMK_Link,$B529,nrMK_Credit,"Yes"))</f>
        <v/>
      </c>
      <c r="Q529" s="17">
        <f>IF(OR($B529="",N($J529)=0),"",SUMIFS(nrMK_Sess,nrMK_Link,$B529,nrMK_Credit,"Yes"))</f>
        <v/>
      </c>
      <c r="R529" s="17">
        <f>IF(OR($B529="",$N529&lt;&gt;"Yes"),"",IF(N($I529)&gt;0,N($I529)-N($P529),IF(N($J529)&gt;0,N($J529)-N($Q529),"")))</f>
        <v/>
      </c>
      <c r="S529" s="17">
        <f>IF(OR($B529="",$R529=""),"",IF($R529&lt;=0,"CLEARED "&amp;IFERROR(TEXT(_xlfn.MAXIFS(nrMK_Date,nrMK_Link,$B529,nrMK_Credit,"Yes"),"mm/dd"),""),"OPEN"))</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IF(OR($B530="",N($I530)=0),"",SUMIFS(nrMK_Min,nrMK_Link,$B530,nrMK_Credit,"Yes"))</f>
        <v/>
      </c>
      <c r="Q530" s="17">
        <f>IF(OR($B530="",N($J530)=0),"",SUMIFS(nrMK_Sess,nrMK_Link,$B530,nrMK_Credit,"Yes"))</f>
        <v/>
      </c>
      <c r="R530" s="17">
        <f>IF(OR($B530="",$N530&lt;&gt;"Yes"),"",IF(N($I530)&gt;0,N($I530)-N($P530),IF(N($J530)&gt;0,N($J530)-N($Q530),"")))</f>
        <v/>
      </c>
      <c r="S530" s="17">
        <f>IF(OR($B530="",$R530=""),"",IF($R530&lt;=0,"CLEARED "&amp;IFERROR(TEXT(_xlfn.MAXIFS(nrMK_Date,nrMK_Link,$B530,nrMK_Credit,"Yes"),"mm/dd"),""),"OPEN"))</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IF(OR($B531="",N($I531)=0),"",SUMIFS(nrMK_Min,nrMK_Link,$B531,nrMK_Credit,"Yes"))</f>
        <v/>
      </c>
      <c r="Q531" s="17">
        <f>IF(OR($B531="",N($J531)=0),"",SUMIFS(nrMK_Sess,nrMK_Link,$B531,nrMK_Credit,"Yes"))</f>
        <v/>
      </c>
      <c r="R531" s="17">
        <f>IF(OR($B531="",$N531&lt;&gt;"Yes"),"",IF(N($I531)&gt;0,N($I531)-N($P531),IF(N($J531)&gt;0,N($J531)-N($Q531),"")))</f>
        <v/>
      </c>
      <c r="S531" s="17">
        <f>IF(OR($B531="",$R531=""),"",IF($R531&lt;=0,"CLEARED "&amp;IFERROR(TEXT(_xlfn.MAXIFS(nrMK_Date,nrMK_Link,$B531,nrMK_Credit,"Yes"),"mm/dd"),""),"OPEN"))</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IF(OR($B532="",N($I532)=0),"",SUMIFS(nrMK_Min,nrMK_Link,$B532,nrMK_Credit,"Yes"))</f>
        <v/>
      </c>
      <c r="Q532" s="17">
        <f>IF(OR($B532="",N($J532)=0),"",SUMIFS(nrMK_Sess,nrMK_Link,$B532,nrMK_Credit,"Yes"))</f>
        <v/>
      </c>
      <c r="R532" s="17">
        <f>IF(OR($B532="",$N532&lt;&gt;"Yes"),"",IF(N($I532)&gt;0,N($I532)-N($P532),IF(N($J532)&gt;0,N($J532)-N($Q532),"")))</f>
        <v/>
      </c>
      <c r="S532" s="17">
        <f>IF(OR($B532="",$R532=""),"",IF($R532&lt;=0,"CLEARED "&amp;IFERROR(TEXT(_xlfn.MAXIFS(nrMK_Date,nrMK_Link,$B532,nrMK_Credit,"Yes"),"mm/dd"),""),"OPEN"))</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IF(OR($B533="",N($I533)=0),"",SUMIFS(nrMK_Min,nrMK_Link,$B533,nrMK_Credit,"Yes"))</f>
        <v/>
      </c>
      <c r="Q533" s="17">
        <f>IF(OR($B533="",N($J533)=0),"",SUMIFS(nrMK_Sess,nrMK_Link,$B533,nrMK_Credit,"Yes"))</f>
        <v/>
      </c>
      <c r="R533" s="17">
        <f>IF(OR($B533="",$N533&lt;&gt;"Yes"),"",IF(N($I533)&gt;0,N($I533)-N($P533),IF(N($J533)&gt;0,N($J533)-N($Q533),"")))</f>
        <v/>
      </c>
      <c r="S533" s="17">
        <f>IF(OR($B533="",$R533=""),"",IF($R533&lt;=0,"CLEARED "&amp;IFERROR(TEXT(_xlfn.MAXIFS(nrMK_Date,nrMK_Link,$B533,nrMK_Credit,"Yes"),"mm/dd"),""),"OPEN"))</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IF(OR($B534="",N($I534)=0),"",SUMIFS(nrMK_Min,nrMK_Link,$B534,nrMK_Credit,"Yes"))</f>
        <v/>
      </c>
      <c r="Q534" s="17">
        <f>IF(OR($B534="",N($J534)=0),"",SUMIFS(nrMK_Sess,nrMK_Link,$B534,nrMK_Credit,"Yes"))</f>
        <v/>
      </c>
      <c r="R534" s="17">
        <f>IF(OR($B534="",$N534&lt;&gt;"Yes"),"",IF(N($I534)&gt;0,N($I534)-N($P534),IF(N($J534)&gt;0,N($J534)-N($Q534),"")))</f>
        <v/>
      </c>
      <c r="S534" s="17">
        <f>IF(OR($B534="",$R534=""),"",IF($R534&lt;=0,"CLEARED "&amp;IFERROR(TEXT(_xlfn.MAXIFS(nrMK_Date,nrMK_Link,$B534,nrMK_Credit,"Yes"),"mm/dd"),""),"OPEN"))</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IF(OR($B535="",N($I535)=0),"",SUMIFS(nrMK_Min,nrMK_Link,$B535,nrMK_Credit,"Yes"))</f>
        <v/>
      </c>
      <c r="Q535" s="17">
        <f>IF(OR($B535="",N($J535)=0),"",SUMIFS(nrMK_Sess,nrMK_Link,$B535,nrMK_Credit,"Yes"))</f>
        <v/>
      </c>
      <c r="R535" s="17">
        <f>IF(OR($B535="",$N535&lt;&gt;"Yes"),"",IF(N($I535)&gt;0,N($I535)-N($P535),IF(N($J535)&gt;0,N($J535)-N($Q535),"")))</f>
        <v/>
      </c>
      <c r="S535" s="17">
        <f>IF(OR($B535="",$R535=""),"",IF($R535&lt;=0,"CLEARED "&amp;IFERROR(TEXT(_xlfn.MAXIFS(nrMK_Date,nrMK_Link,$B535,nrMK_Credit,"Yes"),"mm/dd"),""),"OPEN"))</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IF(OR($B536="",N($I536)=0),"",SUMIFS(nrMK_Min,nrMK_Link,$B536,nrMK_Credit,"Yes"))</f>
        <v/>
      </c>
      <c r="Q536" s="17">
        <f>IF(OR($B536="",N($J536)=0),"",SUMIFS(nrMK_Sess,nrMK_Link,$B536,nrMK_Credit,"Yes"))</f>
        <v/>
      </c>
      <c r="R536" s="17">
        <f>IF(OR($B536="",$N536&lt;&gt;"Yes"),"",IF(N($I536)&gt;0,N($I536)-N($P536),IF(N($J536)&gt;0,N($J536)-N($Q536),"")))</f>
        <v/>
      </c>
      <c r="S536" s="17">
        <f>IF(OR($B536="",$R536=""),"",IF($R536&lt;=0,"CLEARED "&amp;IFERROR(TEXT(_xlfn.MAXIFS(nrMK_Date,nrMK_Link,$B536,nrMK_Credit,"Yes"),"mm/dd"),""),"OPEN"))</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IF(OR($B537="",N($I537)=0),"",SUMIFS(nrMK_Min,nrMK_Link,$B537,nrMK_Credit,"Yes"))</f>
        <v/>
      </c>
      <c r="Q537" s="17">
        <f>IF(OR($B537="",N($J537)=0),"",SUMIFS(nrMK_Sess,nrMK_Link,$B537,nrMK_Credit,"Yes"))</f>
        <v/>
      </c>
      <c r="R537" s="17">
        <f>IF(OR($B537="",$N537&lt;&gt;"Yes"),"",IF(N($I537)&gt;0,N($I537)-N($P537),IF(N($J537)&gt;0,N($J537)-N($Q537),"")))</f>
        <v/>
      </c>
      <c r="S537" s="17">
        <f>IF(OR($B537="",$R537=""),"",IF($R537&lt;=0,"CLEARED "&amp;IFERROR(TEXT(_xlfn.MAXIFS(nrMK_Date,nrMK_Link,$B537,nrMK_Credit,"Yes"),"mm/dd"),""),"OPEN"))</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IF(OR($B538="",N($I538)=0),"",SUMIFS(nrMK_Min,nrMK_Link,$B538,nrMK_Credit,"Yes"))</f>
        <v/>
      </c>
      <c r="Q538" s="17">
        <f>IF(OR($B538="",N($J538)=0),"",SUMIFS(nrMK_Sess,nrMK_Link,$B538,nrMK_Credit,"Yes"))</f>
        <v/>
      </c>
      <c r="R538" s="17">
        <f>IF(OR($B538="",$N538&lt;&gt;"Yes"),"",IF(N($I538)&gt;0,N($I538)-N($P538),IF(N($J538)&gt;0,N($J538)-N($Q538),"")))</f>
        <v/>
      </c>
      <c r="S538" s="17">
        <f>IF(OR($B538="",$R538=""),"",IF($R538&lt;=0,"CLEARED "&amp;IFERROR(TEXT(_xlfn.MAXIFS(nrMK_Date,nrMK_Link,$B538,nrMK_Credit,"Yes"),"mm/dd"),""),"OPEN"))</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IF(OR($B539="",N($I539)=0),"",SUMIFS(nrMK_Min,nrMK_Link,$B539,nrMK_Credit,"Yes"))</f>
        <v/>
      </c>
      <c r="Q539" s="17">
        <f>IF(OR($B539="",N($J539)=0),"",SUMIFS(nrMK_Sess,nrMK_Link,$B539,nrMK_Credit,"Yes"))</f>
        <v/>
      </c>
      <c r="R539" s="17">
        <f>IF(OR($B539="",$N539&lt;&gt;"Yes"),"",IF(N($I539)&gt;0,N($I539)-N($P539),IF(N($J539)&gt;0,N($J539)-N($Q539),"")))</f>
        <v/>
      </c>
      <c r="S539" s="17">
        <f>IF(OR($B539="",$R539=""),"",IF($R539&lt;=0,"CLEARED "&amp;IFERROR(TEXT(_xlfn.MAXIFS(nrMK_Date,nrMK_Link,$B539,nrMK_Credit,"Yes"),"mm/dd"),""),"OPEN"))</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IF(OR($B540="",N($I540)=0),"",SUMIFS(nrMK_Min,nrMK_Link,$B540,nrMK_Credit,"Yes"))</f>
        <v/>
      </c>
      <c r="Q540" s="17">
        <f>IF(OR($B540="",N($J540)=0),"",SUMIFS(nrMK_Sess,nrMK_Link,$B540,nrMK_Credit,"Yes"))</f>
        <v/>
      </c>
      <c r="R540" s="17">
        <f>IF(OR($B540="",$N540&lt;&gt;"Yes"),"",IF(N($I540)&gt;0,N($I540)-N($P540),IF(N($J540)&gt;0,N($J540)-N($Q540),"")))</f>
        <v/>
      </c>
      <c r="S540" s="17">
        <f>IF(OR($B540="",$R540=""),"",IF($R540&lt;=0,"CLEARED "&amp;IFERROR(TEXT(_xlfn.MAXIFS(nrMK_Date,nrMK_Link,$B540,nrMK_Credit,"Yes"),"mm/dd"),""),"OPEN"))</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IF(OR($B541="",N($I541)=0),"",SUMIFS(nrMK_Min,nrMK_Link,$B541,nrMK_Credit,"Yes"))</f>
        <v/>
      </c>
      <c r="Q541" s="17">
        <f>IF(OR($B541="",N($J541)=0),"",SUMIFS(nrMK_Sess,nrMK_Link,$B541,nrMK_Credit,"Yes"))</f>
        <v/>
      </c>
      <c r="R541" s="17">
        <f>IF(OR($B541="",$N541&lt;&gt;"Yes"),"",IF(N($I541)&gt;0,N($I541)-N($P541),IF(N($J541)&gt;0,N($J541)-N($Q541),"")))</f>
        <v/>
      </c>
      <c r="S541" s="17">
        <f>IF(OR($B541="",$R541=""),"",IF($R541&lt;=0,"CLEARED "&amp;IFERROR(TEXT(_xlfn.MAXIFS(nrMK_Date,nrMK_Link,$B541,nrMK_Credit,"Yes"),"mm/dd"),""),"OPEN"))</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IF(OR($B542="",N($I542)=0),"",SUMIFS(nrMK_Min,nrMK_Link,$B542,nrMK_Credit,"Yes"))</f>
        <v/>
      </c>
      <c r="Q542" s="17">
        <f>IF(OR($B542="",N($J542)=0),"",SUMIFS(nrMK_Sess,nrMK_Link,$B542,nrMK_Credit,"Yes"))</f>
        <v/>
      </c>
      <c r="R542" s="17">
        <f>IF(OR($B542="",$N542&lt;&gt;"Yes"),"",IF(N($I542)&gt;0,N($I542)-N($P542),IF(N($J542)&gt;0,N($J542)-N($Q542),"")))</f>
        <v/>
      </c>
      <c r="S542" s="17">
        <f>IF(OR($B542="",$R542=""),"",IF($R542&lt;=0,"CLEARED "&amp;IFERROR(TEXT(_xlfn.MAXIFS(nrMK_Date,nrMK_Link,$B542,nrMK_Credit,"Yes"),"mm/dd"),""),"OPEN"))</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IF(OR($B543="",N($I543)=0),"",SUMIFS(nrMK_Min,nrMK_Link,$B543,nrMK_Credit,"Yes"))</f>
        <v/>
      </c>
      <c r="Q543" s="17">
        <f>IF(OR($B543="",N($J543)=0),"",SUMIFS(nrMK_Sess,nrMK_Link,$B543,nrMK_Credit,"Yes"))</f>
        <v/>
      </c>
      <c r="R543" s="17">
        <f>IF(OR($B543="",$N543&lt;&gt;"Yes"),"",IF(N($I543)&gt;0,N($I543)-N($P543),IF(N($J543)&gt;0,N($J543)-N($Q543),"")))</f>
        <v/>
      </c>
      <c r="S543" s="17">
        <f>IF(OR($B543="",$R543=""),"",IF($R543&lt;=0,"CLEARED "&amp;IFERROR(TEXT(_xlfn.MAXIFS(nrMK_Date,nrMK_Link,$B543,nrMK_Credit,"Yes"),"mm/dd"),""),"OPEN"))</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IF(OR($B544="",N($I544)=0),"",SUMIFS(nrMK_Min,nrMK_Link,$B544,nrMK_Credit,"Yes"))</f>
        <v/>
      </c>
      <c r="Q544" s="17">
        <f>IF(OR($B544="",N($J544)=0),"",SUMIFS(nrMK_Sess,nrMK_Link,$B544,nrMK_Credit,"Yes"))</f>
        <v/>
      </c>
      <c r="R544" s="17">
        <f>IF(OR($B544="",$N544&lt;&gt;"Yes"),"",IF(N($I544)&gt;0,N($I544)-N($P544),IF(N($J544)&gt;0,N($J544)-N($Q544),"")))</f>
        <v/>
      </c>
      <c r="S544" s="17">
        <f>IF(OR($B544="",$R544=""),"",IF($R544&lt;=0,"CLEARED "&amp;IFERROR(TEXT(_xlfn.MAXIFS(nrMK_Date,nrMK_Link,$B544,nrMK_Credit,"Yes"),"mm/dd"),""),"OPEN"))</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IF(OR($B545="",N($I545)=0),"",SUMIFS(nrMK_Min,nrMK_Link,$B545,nrMK_Credit,"Yes"))</f>
        <v/>
      </c>
      <c r="Q545" s="17">
        <f>IF(OR($B545="",N($J545)=0),"",SUMIFS(nrMK_Sess,nrMK_Link,$B545,nrMK_Credit,"Yes"))</f>
        <v/>
      </c>
      <c r="R545" s="17">
        <f>IF(OR($B545="",$N545&lt;&gt;"Yes"),"",IF(N($I545)&gt;0,N($I545)-N($P545),IF(N($J545)&gt;0,N($J545)-N($Q545),"")))</f>
        <v/>
      </c>
      <c r="S545" s="17">
        <f>IF(OR($B545="",$R545=""),"",IF($R545&lt;=0,"CLEARED "&amp;IFERROR(TEXT(_xlfn.MAXIFS(nrMK_Date,nrMK_Link,$B545,nrMK_Credit,"Yes"),"mm/dd"),""),"OPEN"))</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IF(OR($B546="",N($I546)=0),"",SUMIFS(nrMK_Min,nrMK_Link,$B546,nrMK_Credit,"Yes"))</f>
        <v/>
      </c>
      <c r="Q546" s="17">
        <f>IF(OR($B546="",N($J546)=0),"",SUMIFS(nrMK_Sess,nrMK_Link,$B546,nrMK_Credit,"Yes"))</f>
        <v/>
      </c>
      <c r="R546" s="17">
        <f>IF(OR($B546="",$N546&lt;&gt;"Yes"),"",IF(N($I546)&gt;0,N($I546)-N($P546),IF(N($J546)&gt;0,N($J546)-N($Q546),"")))</f>
        <v/>
      </c>
      <c r="S546" s="17">
        <f>IF(OR($B546="",$R546=""),"",IF($R546&lt;=0,"CLEARED "&amp;IFERROR(TEXT(_xlfn.MAXIFS(nrMK_Date,nrMK_Link,$B546,nrMK_Credit,"Yes"),"mm/dd"),""),"OPEN"))</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IF(OR($B547="",N($I547)=0),"",SUMIFS(nrMK_Min,nrMK_Link,$B547,nrMK_Credit,"Yes"))</f>
        <v/>
      </c>
      <c r="Q547" s="17">
        <f>IF(OR($B547="",N($J547)=0),"",SUMIFS(nrMK_Sess,nrMK_Link,$B547,nrMK_Credit,"Yes"))</f>
        <v/>
      </c>
      <c r="R547" s="17">
        <f>IF(OR($B547="",$N547&lt;&gt;"Yes"),"",IF(N($I547)&gt;0,N($I547)-N($P547),IF(N($J547)&gt;0,N($J547)-N($Q547),"")))</f>
        <v/>
      </c>
      <c r="S547" s="17">
        <f>IF(OR($B547="",$R547=""),"",IF($R547&lt;=0,"CLEARED "&amp;IFERROR(TEXT(_xlfn.MAXIFS(nrMK_Date,nrMK_Link,$B547,nrMK_Credit,"Yes"),"mm/dd"),""),"OPEN"))</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IF(OR($B548="",N($I548)=0),"",SUMIFS(nrMK_Min,nrMK_Link,$B548,nrMK_Credit,"Yes"))</f>
        <v/>
      </c>
      <c r="Q548" s="17">
        <f>IF(OR($B548="",N($J548)=0),"",SUMIFS(nrMK_Sess,nrMK_Link,$B548,nrMK_Credit,"Yes"))</f>
        <v/>
      </c>
      <c r="R548" s="17">
        <f>IF(OR($B548="",$N548&lt;&gt;"Yes"),"",IF(N($I548)&gt;0,N($I548)-N($P548),IF(N($J548)&gt;0,N($J548)-N($Q548),"")))</f>
        <v/>
      </c>
      <c r="S548" s="17">
        <f>IF(OR($B548="",$R548=""),"",IF($R548&lt;=0,"CLEARED "&amp;IFERROR(TEXT(_xlfn.MAXIFS(nrMK_Date,nrMK_Link,$B548,nrMK_Credit,"Yes"),"mm/dd"),""),"OPEN"))</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IF(OR($B549="",N($I549)=0),"",SUMIFS(nrMK_Min,nrMK_Link,$B549,nrMK_Credit,"Yes"))</f>
        <v/>
      </c>
      <c r="Q549" s="17">
        <f>IF(OR($B549="",N($J549)=0),"",SUMIFS(nrMK_Sess,nrMK_Link,$B549,nrMK_Credit,"Yes"))</f>
        <v/>
      </c>
      <c r="R549" s="17">
        <f>IF(OR($B549="",$N549&lt;&gt;"Yes"),"",IF(N($I549)&gt;0,N($I549)-N($P549),IF(N($J549)&gt;0,N($J549)-N($Q549),"")))</f>
        <v/>
      </c>
      <c r="S549" s="17">
        <f>IF(OR($B549="",$R549=""),"",IF($R549&lt;=0,"CLEARED "&amp;IFERROR(TEXT(_xlfn.MAXIFS(nrMK_Date,nrMK_Link,$B549,nrMK_Credit,"Yes"),"mm/dd"),""),"OPEN"))</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IF(OR($B550="",N($I550)=0),"",SUMIFS(nrMK_Min,nrMK_Link,$B550,nrMK_Credit,"Yes"))</f>
        <v/>
      </c>
      <c r="Q550" s="17">
        <f>IF(OR($B550="",N($J550)=0),"",SUMIFS(nrMK_Sess,nrMK_Link,$B550,nrMK_Credit,"Yes"))</f>
        <v/>
      </c>
      <c r="R550" s="17">
        <f>IF(OR($B550="",$N550&lt;&gt;"Yes"),"",IF(N($I550)&gt;0,N($I550)-N($P550),IF(N($J550)&gt;0,N($J550)-N($Q550),"")))</f>
        <v/>
      </c>
      <c r="S550" s="17">
        <f>IF(OR($B550="",$R550=""),"",IF($R550&lt;=0,"CLEARED "&amp;IFERROR(TEXT(_xlfn.MAXIFS(nrMK_Date,nrMK_Link,$B550,nrMK_Credit,"Yes"),"mm/dd"),""),"OPEN"))</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IF(OR($B551="",N($I551)=0),"",SUMIFS(nrMK_Min,nrMK_Link,$B551,nrMK_Credit,"Yes"))</f>
        <v/>
      </c>
      <c r="Q551" s="17">
        <f>IF(OR($B551="",N($J551)=0),"",SUMIFS(nrMK_Sess,nrMK_Link,$B551,nrMK_Credit,"Yes"))</f>
        <v/>
      </c>
      <c r="R551" s="17">
        <f>IF(OR($B551="",$N551&lt;&gt;"Yes"),"",IF(N($I551)&gt;0,N($I551)-N($P551),IF(N($J551)&gt;0,N($J551)-N($Q551),"")))</f>
        <v/>
      </c>
      <c r="S551" s="17">
        <f>IF(OR($B551="",$R551=""),"",IF($R551&lt;=0,"CLEARED "&amp;IFERROR(TEXT(_xlfn.MAXIFS(nrMK_Date,nrMK_Link,$B551,nrMK_Credit,"Yes"),"mm/dd"),""),"OPEN"))</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IF(OR($B552="",N($I552)=0),"",SUMIFS(nrMK_Min,nrMK_Link,$B552,nrMK_Credit,"Yes"))</f>
        <v/>
      </c>
      <c r="Q552" s="17">
        <f>IF(OR($B552="",N($J552)=0),"",SUMIFS(nrMK_Sess,nrMK_Link,$B552,nrMK_Credit,"Yes"))</f>
        <v/>
      </c>
      <c r="R552" s="17">
        <f>IF(OR($B552="",$N552&lt;&gt;"Yes"),"",IF(N($I552)&gt;0,N($I552)-N($P552),IF(N($J552)&gt;0,N($J552)-N($Q552),"")))</f>
        <v/>
      </c>
      <c r="S552" s="17">
        <f>IF(OR($B552="",$R552=""),"",IF($R552&lt;=0,"CLEARED "&amp;IFERROR(TEXT(_xlfn.MAXIFS(nrMK_Date,nrMK_Link,$B552,nrMK_Credit,"Yes"),"mm/dd"),""),"OPEN"))</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IF(OR($B553="",N($I553)=0),"",SUMIFS(nrMK_Min,nrMK_Link,$B553,nrMK_Credit,"Yes"))</f>
        <v/>
      </c>
      <c r="Q553" s="17">
        <f>IF(OR($B553="",N($J553)=0),"",SUMIFS(nrMK_Sess,nrMK_Link,$B553,nrMK_Credit,"Yes"))</f>
        <v/>
      </c>
      <c r="R553" s="17">
        <f>IF(OR($B553="",$N553&lt;&gt;"Yes"),"",IF(N($I553)&gt;0,N($I553)-N($P553),IF(N($J553)&gt;0,N($J553)-N($Q553),"")))</f>
        <v/>
      </c>
      <c r="S553" s="17">
        <f>IF(OR($B553="",$R553=""),"",IF($R553&lt;=0,"CLEARED "&amp;IFERROR(TEXT(_xlfn.MAXIFS(nrMK_Date,nrMK_Link,$B553,nrMK_Credit,"Yes"),"mm/dd"),""),"OPEN"))</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IF(OR($B554="",N($I554)=0),"",SUMIFS(nrMK_Min,nrMK_Link,$B554,nrMK_Credit,"Yes"))</f>
        <v/>
      </c>
      <c r="Q554" s="17">
        <f>IF(OR($B554="",N($J554)=0),"",SUMIFS(nrMK_Sess,nrMK_Link,$B554,nrMK_Credit,"Yes"))</f>
        <v/>
      </c>
      <c r="R554" s="17">
        <f>IF(OR($B554="",$N554&lt;&gt;"Yes"),"",IF(N($I554)&gt;0,N($I554)-N($P554),IF(N($J554)&gt;0,N($J554)-N($Q554),"")))</f>
        <v/>
      </c>
      <c r="S554" s="17">
        <f>IF(OR($B554="",$R554=""),"",IF($R554&lt;=0,"CLEARED "&amp;IFERROR(TEXT(_xlfn.MAXIFS(nrMK_Date,nrMK_Link,$B554,nrMK_Credit,"Yes"),"mm/dd"),""),"OPEN"))</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IF(OR($B555="",N($I555)=0),"",SUMIFS(nrMK_Min,nrMK_Link,$B555,nrMK_Credit,"Yes"))</f>
        <v/>
      </c>
      <c r="Q555" s="17">
        <f>IF(OR($B555="",N($J555)=0),"",SUMIFS(nrMK_Sess,nrMK_Link,$B555,nrMK_Credit,"Yes"))</f>
        <v/>
      </c>
      <c r="R555" s="17">
        <f>IF(OR($B555="",$N555&lt;&gt;"Yes"),"",IF(N($I555)&gt;0,N($I555)-N($P555),IF(N($J555)&gt;0,N($J555)-N($Q555),"")))</f>
        <v/>
      </c>
      <c r="S555" s="17">
        <f>IF(OR($B555="",$R555=""),"",IF($R555&lt;=0,"CLEARED "&amp;IFERROR(TEXT(_xlfn.MAXIFS(nrMK_Date,nrMK_Link,$B555,nrMK_Credit,"Yes"),"mm/dd"),""),"OPEN"))</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IF(OR($B556="",N($I556)=0),"",SUMIFS(nrMK_Min,nrMK_Link,$B556,nrMK_Credit,"Yes"))</f>
        <v/>
      </c>
      <c r="Q556" s="17">
        <f>IF(OR($B556="",N($J556)=0),"",SUMIFS(nrMK_Sess,nrMK_Link,$B556,nrMK_Credit,"Yes"))</f>
        <v/>
      </c>
      <c r="R556" s="17">
        <f>IF(OR($B556="",$N556&lt;&gt;"Yes"),"",IF(N($I556)&gt;0,N($I556)-N($P556),IF(N($J556)&gt;0,N($J556)-N($Q556),"")))</f>
        <v/>
      </c>
      <c r="S556" s="17">
        <f>IF(OR($B556="",$R556=""),"",IF($R556&lt;=0,"CLEARED "&amp;IFERROR(TEXT(_xlfn.MAXIFS(nrMK_Date,nrMK_Link,$B556,nrMK_Credit,"Yes"),"mm/dd"),""),"OPEN"))</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IF(OR($B557="",N($I557)=0),"",SUMIFS(nrMK_Min,nrMK_Link,$B557,nrMK_Credit,"Yes"))</f>
        <v/>
      </c>
      <c r="Q557" s="17">
        <f>IF(OR($B557="",N($J557)=0),"",SUMIFS(nrMK_Sess,nrMK_Link,$B557,nrMK_Credit,"Yes"))</f>
        <v/>
      </c>
      <c r="R557" s="17">
        <f>IF(OR($B557="",$N557&lt;&gt;"Yes"),"",IF(N($I557)&gt;0,N($I557)-N($P557),IF(N($J557)&gt;0,N($J557)-N($Q557),"")))</f>
        <v/>
      </c>
      <c r="S557" s="17">
        <f>IF(OR($B557="",$R557=""),"",IF($R557&lt;=0,"CLEARED "&amp;IFERROR(TEXT(_xlfn.MAXIFS(nrMK_Date,nrMK_Link,$B557,nrMK_Credit,"Yes"),"mm/dd"),""),"OPEN"))</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IF(OR($B558="",N($I558)=0),"",SUMIFS(nrMK_Min,nrMK_Link,$B558,nrMK_Credit,"Yes"))</f>
        <v/>
      </c>
      <c r="Q558" s="17">
        <f>IF(OR($B558="",N($J558)=0),"",SUMIFS(nrMK_Sess,nrMK_Link,$B558,nrMK_Credit,"Yes"))</f>
        <v/>
      </c>
      <c r="R558" s="17">
        <f>IF(OR($B558="",$N558&lt;&gt;"Yes"),"",IF(N($I558)&gt;0,N($I558)-N($P558),IF(N($J558)&gt;0,N($J558)-N($Q558),"")))</f>
        <v/>
      </c>
      <c r="S558" s="17">
        <f>IF(OR($B558="",$R558=""),"",IF($R558&lt;=0,"CLEARED "&amp;IFERROR(TEXT(_xlfn.MAXIFS(nrMK_Date,nrMK_Link,$B558,nrMK_Credit,"Yes"),"mm/dd"),""),"OPEN"))</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IF(OR($B559="",N($I559)=0),"",SUMIFS(nrMK_Min,nrMK_Link,$B559,nrMK_Credit,"Yes"))</f>
        <v/>
      </c>
      <c r="Q559" s="17">
        <f>IF(OR($B559="",N($J559)=0),"",SUMIFS(nrMK_Sess,nrMK_Link,$B559,nrMK_Credit,"Yes"))</f>
        <v/>
      </c>
      <c r="R559" s="17">
        <f>IF(OR($B559="",$N559&lt;&gt;"Yes"),"",IF(N($I559)&gt;0,N($I559)-N($P559),IF(N($J559)&gt;0,N($J559)-N($Q559),"")))</f>
        <v/>
      </c>
      <c r="S559" s="17">
        <f>IF(OR($B559="",$R559=""),"",IF($R559&lt;=0,"CLEARED "&amp;IFERROR(TEXT(_xlfn.MAXIFS(nrMK_Date,nrMK_Link,$B559,nrMK_Credit,"Yes"),"mm/dd"),""),"OPEN"))</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IF(OR($B560="",N($I560)=0),"",SUMIFS(nrMK_Min,nrMK_Link,$B560,nrMK_Credit,"Yes"))</f>
        <v/>
      </c>
      <c r="Q560" s="17">
        <f>IF(OR($B560="",N($J560)=0),"",SUMIFS(nrMK_Sess,nrMK_Link,$B560,nrMK_Credit,"Yes"))</f>
        <v/>
      </c>
      <c r="R560" s="17">
        <f>IF(OR($B560="",$N560&lt;&gt;"Yes"),"",IF(N($I560)&gt;0,N($I560)-N($P560),IF(N($J560)&gt;0,N($J560)-N($Q560),"")))</f>
        <v/>
      </c>
      <c r="S560" s="17">
        <f>IF(OR($B560="",$R560=""),"",IF($R560&lt;=0,"CLEARED "&amp;IFERROR(TEXT(_xlfn.MAXIFS(nrMK_Date,nrMK_Link,$B560,nrMK_Credit,"Yes"),"mm/dd"),""),"OPEN"))</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IF(OR($B561="",N($I561)=0),"",SUMIFS(nrMK_Min,nrMK_Link,$B561,nrMK_Credit,"Yes"))</f>
        <v/>
      </c>
      <c r="Q561" s="17">
        <f>IF(OR($B561="",N($J561)=0),"",SUMIFS(nrMK_Sess,nrMK_Link,$B561,nrMK_Credit,"Yes"))</f>
        <v/>
      </c>
      <c r="R561" s="17">
        <f>IF(OR($B561="",$N561&lt;&gt;"Yes"),"",IF(N($I561)&gt;0,N($I561)-N($P561),IF(N($J561)&gt;0,N($J561)-N($Q561),"")))</f>
        <v/>
      </c>
      <c r="S561" s="17">
        <f>IF(OR($B561="",$R561=""),"",IF($R561&lt;=0,"CLEARED "&amp;IFERROR(TEXT(_xlfn.MAXIFS(nrMK_Date,nrMK_Link,$B561,nrMK_Credit,"Yes"),"mm/dd"),""),"OPEN"))</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IF(OR($B562="",N($I562)=0),"",SUMIFS(nrMK_Min,nrMK_Link,$B562,nrMK_Credit,"Yes"))</f>
        <v/>
      </c>
      <c r="Q562" s="17">
        <f>IF(OR($B562="",N($J562)=0),"",SUMIFS(nrMK_Sess,nrMK_Link,$B562,nrMK_Credit,"Yes"))</f>
        <v/>
      </c>
      <c r="R562" s="17">
        <f>IF(OR($B562="",$N562&lt;&gt;"Yes"),"",IF(N($I562)&gt;0,N($I562)-N($P562),IF(N($J562)&gt;0,N($J562)-N($Q562),"")))</f>
        <v/>
      </c>
      <c r="S562" s="17">
        <f>IF(OR($B562="",$R562=""),"",IF($R562&lt;=0,"CLEARED "&amp;IFERROR(TEXT(_xlfn.MAXIFS(nrMK_Date,nrMK_Link,$B562,nrMK_Credit,"Yes"),"mm/dd"),""),"OPEN"))</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IF(OR($B563="",N($I563)=0),"",SUMIFS(nrMK_Min,nrMK_Link,$B563,nrMK_Credit,"Yes"))</f>
        <v/>
      </c>
      <c r="Q563" s="17">
        <f>IF(OR($B563="",N($J563)=0),"",SUMIFS(nrMK_Sess,nrMK_Link,$B563,nrMK_Credit,"Yes"))</f>
        <v/>
      </c>
      <c r="R563" s="17">
        <f>IF(OR($B563="",$N563&lt;&gt;"Yes"),"",IF(N($I563)&gt;0,N($I563)-N($P563),IF(N($J563)&gt;0,N($J563)-N($Q563),"")))</f>
        <v/>
      </c>
      <c r="S563" s="17">
        <f>IF(OR($B563="",$R563=""),"",IF($R563&lt;=0,"CLEARED "&amp;IFERROR(TEXT(_xlfn.MAXIFS(nrMK_Date,nrMK_Link,$B563,nrMK_Credit,"Yes"),"mm/dd"),""),"OPEN"))</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IF(OR($B564="",N($I564)=0),"",SUMIFS(nrMK_Min,nrMK_Link,$B564,nrMK_Credit,"Yes"))</f>
        <v/>
      </c>
      <c r="Q564" s="17">
        <f>IF(OR($B564="",N($J564)=0),"",SUMIFS(nrMK_Sess,nrMK_Link,$B564,nrMK_Credit,"Yes"))</f>
        <v/>
      </c>
      <c r="R564" s="17">
        <f>IF(OR($B564="",$N564&lt;&gt;"Yes"),"",IF(N($I564)&gt;0,N($I564)-N($P564),IF(N($J564)&gt;0,N($J564)-N($Q564),"")))</f>
        <v/>
      </c>
      <c r="S564" s="17">
        <f>IF(OR($B564="",$R564=""),"",IF($R564&lt;=0,"CLEARED "&amp;IFERROR(TEXT(_xlfn.MAXIFS(nrMK_Date,nrMK_Link,$B564,nrMK_Credit,"Yes"),"mm/dd"),""),"OPEN"))</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IF(OR($B565="",N($I565)=0),"",SUMIFS(nrMK_Min,nrMK_Link,$B565,nrMK_Credit,"Yes"))</f>
        <v/>
      </c>
      <c r="Q565" s="17">
        <f>IF(OR($B565="",N($J565)=0),"",SUMIFS(nrMK_Sess,nrMK_Link,$B565,nrMK_Credit,"Yes"))</f>
        <v/>
      </c>
      <c r="R565" s="17">
        <f>IF(OR($B565="",$N565&lt;&gt;"Yes"),"",IF(N($I565)&gt;0,N($I565)-N($P565),IF(N($J565)&gt;0,N($J565)-N($Q565),"")))</f>
        <v/>
      </c>
      <c r="S565" s="17">
        <f>IF(OR($B565="",$R565=""),"",IF($R565&lt;=0,"CLEARED "&amp;IFERROR(TEXT(_xlfn.MAXIFS(nrMK_Date,nrMK_Link,$B565,nrMK_Credit,"Yes"),"mm/dd"),""),"OPEN"))</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IF(OR($B566="",N($I566)=0),"",SUMIFS(nrMK_Min,nrMK_Link,$B566,nrMK_Credit,"Yes"))</f>
        <v/>
      </c>
      <c r="Q566" s="17">
        <f>IF(OR($B566="",N($J566)=0),"",SUMIFS(nrMK_Sess,nrMK_Link,$B566,nrMK_Credit,"Yes"))</f>
        <v/>
      </c>
      <c r="R566" s="17">
        <f>IF(OR($B566="",$N566&lt;&gt;"Yes"),"",IF(N($I566)&gt;0,N($I566)-N($P566),IF(N($J566)&gt;0,N($J566)-N($Q566),"")))</f>
        <v/>
      </c>
      <c r="S566" s="17">
        <f>IF(OR($B566="",$R566=""),"",IF($R566&lt;=0,"CLEARED "&amp;IFERROR(TEXT(_xlfn.MAXIFS(nrMK_Date,nrMK_Link,$B566,nrMK_Credit,"Yes"),"mm/dd"),""),"OPEN"))</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IF(OR($B567="",N($I567)=0),"",SUMIFS(nrMK_Min,nrMK_Link,$B567,nrMK_Credit,"Yes"))</f>
        <v/>
      </c>
      <c r="Q567" s="17">
        <f>IF(OR($B567="",N($J567)=0),"",SUMIFS(nrMK_Sess,nrMK_Link,$B567,nrMK_Credit,"Yes"))</f>
        <v/>
      </c>
      <c r="R567" s="17">
        <f>IF(OR($B567="",$N567&lt;&gt;"Yes"),"",IF(N($I567)&gt;0,N($I567)-N($P567),IF(N($J567)&gt;0,N($J567)-N($Q567),"")))</f>
        <v/>
      </c>
      <c r="S567" s="17">
        <f>IF(OR($B567="",$R567=""),"",IF($R567&lt;=0,"CLEARED "&amp;IFERROR(TEXT(_xlfn.MAXIFS(nrMK_Date,nrMK_Link,$B567,nrMK_Credit,"Yes"),"mm/dd"),""),"OPEN"))</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IF(OR($B568="",N($I568)=0),"",SUMIFS(nrMK_Min,nrMK_Link,$B568,nrMK_Credit,"Yes"))</f>
        <v/>
      </c>
      <c r="Q568" s="17">
        <f>IF(OR($B568="",N($J568)=0),"",SUMIFS(nrMK_Sess,nrMK_Link,$B568,nrMK_Credit,"Yes"))</f>
        <v/>
      </c>
      <c r="R568" s="17">
        <f>IF(OR($B568="",$N568&lt;&gt;"Yes"),"",IF(N($I568)&gt;0,N($I568)-N($P568),IF(N($J568)&gt;0,N($J568)-N($Q568),"")))</f>
        <v/>
      </c>
      <c r="S568" s="17">
        <f>IF(OR($B568="",$R568=""),"",IF($R568&lt;=0,"CLEARED "&amp;IFERROR(TEXT(_xlfn.MAXIFS(nrMK_Date,nrMK_Link,$B568,nrMK_Credit,"Yes"),"mm/dd"),""),"OPEN"))</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IF(OR($B569="",N($I569)=0),"",SUMIFS(nrMK_Min,nrMK_Link,$B569,nrMK_Credit,"Yes"))</f>
        <v/>
      </c>
      <c r="Q569" s="17">
        <f>IF(OR($B569="",N($J569)=0),"",SUMIFS(nrMK_Sess,nrMK_Link,$B569,nrMK_Credit,"Yes"))</f>
        <v/>
      </c>
      <c r="R569" s="17">
        <f>IF(OR($B569="",$N569&lt;&gt;"Yes"),"",IF(N($I569)&gt;0,N($I569)-N($P569),IF(N($J569)&gt;0,N($J569)-N($Q569),"")))</f>
        <v/>
      </c>
      <c r="S569" s="17">
        <f>IF(OR($B569="",$R569=""),"",IF($R569&lt;=0,"CLEARED "&amp;IFERROR(TEXT(_xlfn.MAXIFS(nrMK_Date,nrMK_Link,$B569,nrMK_Credit,"Yes"),"mm/dd"),""),"OPEN"))</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IF(OR($B570="",N($I570)=0),"",SUMIFS(nrMK_Min,nrMK_Link,$B570,nrMK_Credit,"Yes"))</f>
        <v/>
      </c>
      <c r="Q570" s="17">
        <f>IF(OR($B570="",N($J570)=0),"",SUMIFS(nrMK_Sess,nrMK_Link,$B570,nrMK_Credit,"Yes"))</f>
        <v/>
      </c>
      <c r="R570" s="17">
        <f>IF(OR($B570="",$N570&lt;&gt;"Yes"),"",IF(N($I570)&gt;0,N($I570)-N($P570),IF(N($J570)&gt;0,N($J570)-N($Q570),"")))</f>
        <v/>
      </c>
      <c r="S570" s="17">
        <f>IF(OR($B570="",$R570=""),"",IF($R570&lt;=0,"CLEARED "&amp;IFERROR(TEXT(_xlfn.MAXIFS(nrMK_Date,nrMK_Link,$B570,nrMK_Credit,"Yes"),"mm/dd"),""),"OPEN"))</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IF(OR($B571="",N($I571)=0),"",SUMIFS(nrMK_Min,nrMK_Link,$B571,nrMK_Credit,"Yes"))</f>
        <v/>
      </c>
      <c r="Q571" s="17">
        <f>IF(OR($B571="",N($J571)=0),"",SUMIFS(nrMK_Sess,nrMK_Link,$B571,nrMK_Credit,"Yes"))</f>
        <v/>
      </c>
      <c r="R571" s="17">
        <f>IF(OR($B571="",$N571&lt;&gt;"Yes"),"",IF(N($I571)&gt;0,N($I571)-N($P571),IF(N($J571)&gt;0,N($J571)-N($Q571),"")))</f>
        <v/>
      </c>
      <c r="S571" s="17">
        <f>IF(OR($B571="",$R571=""),"",IF($R571&lt;=0,"CLEARED "&amp;IFERROR(TEXT(_xlfn.MAXIFS(nrMK_Date,nrMK_Link,$B571,nrMK_Credit,"Yes"),"mm/dd"),""),"OPEN"))</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IF(OR($B572="",N($I572)=0),"",SUMIFS(nrMK_Min,nrMK_Link,$B572,nrMK_Credit,"Yes"))</f>
        <v/>
      </c>
      <c r="Q572" s="17">
        <f>IF(OR($B572="",N($J572)=0),"",SUMIFS(nrMK_Sess,nrMK_Link,$B572,nrMK_Credit,"Yes"))</f>
        <v/>
      </c>
      <c r="R572" s="17">
        <f>IF(OR($B572="",$N572&lt;&gt;"Yes"),"",IF(N($I572)&gt;0,N($I572)-N($P572),IF(N($J572)&gt;0,N($J572)-N($Q572),"")))</f>
        <v/>
      </c>
      <c r="S572" s="17">
        <f>IF(OR($B572="",$R572=""),"",IF($R572&lt;=0,"CLEARED "&amp;IFERROR(TEXT(_xlfn.MAXIFS(nrMK_Date,nrMK_Link,$B572,nrMK_Credit,"Yes"),"mm/dd"),""),"OPEN"))</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IF(OR($B573="",N($I573)=0),"",SUMIFS(nrMK_Min,nrMK_Link,$B573,nrMK_Credit,"Yes"))</f>
        <v/>
      </c>
      <c r="Q573" s="17">
        <f>IF(OR($B573="",N($J573)=0),"",SUMIFS(nrMK_Sess,nrMK_Link,$B573,nrMK_Credit,"Yes"))</f>
        <v/>
      </c>
      <c r="R573" s="17">
        <f>IF(OR($B573="",$N573&lt;&gt;"Yes"),"",IF(N($I573)&gt;0,N($I573)-N($P573),IF(N($J573)&gt;0,N($J573)-N($Q573),"")))</f>
        <v/>
      </c>
      <c r="S573" s="17">
        <f>IF(OR($B573="",$R573=""),"",IF($R573&lt;=0,"CLEARED "&amp;IFERROR(TEXT(_xlfn.MAXIFS(nrMK_Date,nrMK_Link,$B573,nrMK_Credit,"Yes"),"mm/dd"),""),"OPEN"))</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IF(OR($B574="",N($I574)=0),"",SUMIFS(nrMK_Min,nrMK_Link,$B574,nrMK_Credit,"Yes"))</f>
        <v/>
      </c>
      <c r="Q574" s="17">
        <f>IF(OR($B574="",N($J574)=0),"",SUMIFS(nrMK_Sess,nrMK_Link,$B574,nrMK_Credit,"Yes"))</f>
        <v/>
      </c>
      <c r="R574" s="17">
        <f>IF(OR($B574="",$N574&lt;&gt;"Yes"),"",IF(N($I574)&gt;0,N($I574)-N($P574),IF(N($J574)&gt;0,N($J574)-N($Q574),"")))</f>
        <v/>
      </c>
      <c r="S574" s="17">
        <f>IF(OR($B574="",$R574=""),"",IF($R574&lt;=0,"CLEARED "&amp;IFERROR(TEXT(_xlfn.MAXIFS(nrMK_Date,nrMK_Link,$B574,nrMK_Credit,"Yes"),"mm/dd"),""),"OPEN"))</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IF(OR($B575="",N($I575)=0),"",SUMIFS(nrMK_Min,nrMK_Link,$B575,nrMK_Credit,"Yes"))</f>
        <v/>
      </c>
      <c r="Q575" s="17">
        <f>IF(OR($B575="",N($J575)=0),"",SUMIFS(nrMK_Sess,nrMK_Link,$B575,nrMK_Credit,"Yes"))</f>
        <v/>
      </c>
      <c r="R575" s="17">
        <f>IF(OR($B575="",$N575&lt;&gt;"Yes"),"",IF(N($I575)&gt;0,N($I575)-N($P575),IF(N($J575)&gt;0,N($J575)-N($Q575),"")))</f>
        <v/>
      </c>
      <c r="S575" s="17">
        <f>IF(OR($B575="",$R575=""),"",IF($R575&lt;=0,"CLEARED "&amp;IFERROR(TEXT(_xlfn.MAXIFS(nrMK_Date,nrMK_Link,$B575,nrMK_Credit,"Yes"),"mm/dd"),""),"OPEN"))</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IF(OR($B576="",N($I576)=0),"",SUMIFS(nrMK_Min,nrMK_Link,$B576,nrMK_Credit,"Yes"))</f>
        <v/>
      </c>
      <c r="Q576" s="17">
        <f>IF(OR($B576="",N($J576)=0),"",SUMIFS(nrMK_Sess,nrMK_Link,$B576,nrMK_Credit,"Yes"))</f>
        <v/>
      </c>
      <c r="R576" s="17">
        <f>IF(OR($B576="",$N576&lt;&gt;"Yes"),"",IF(N($I576)&gt;0,N($I576)-N($P576),IF(N($J576)&gt;0,N($J576)-N($Q576),"")))</f>
        <v/>
      </c>
      <c r="S576" s="17">
        <f>IF(OR($B576="",$R576=""),"",IF($R576&lt;=0,"CLEARED "&amp;IFERROR(TEXT(_xlfn.MAXIFS(nrMK_Date,nrMK_Link,$B576,nrMK_Credit,"Yes"),"mm/dd"),""),"OPEN"))</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IF(OR($B577="",N($I577)=0),"",SUMIFS(nrMK_Min,nrMK_Link,$B577,nrMK_Credit,"Yes"))</f>
        <v/>
      </c>
      <c r="Q577" s="17">
        <f>IF(OR($B577="",N($J577)=0),"",SUMIFS(nrMK_Sess,nrMK_Link,$B577,nrMK_Credit,"Yes"))</f>
        <v/>
      </c>
      <c r="R577" s="17">
        <f>IF(OR($B577="",$N577&lt;&gt;"Yes"),"",IF(N($I577)&gt;0,N($I577)-N($P577),IF(N($J577)&gt;0,N($J577)-N($Q577),"")))</f>
        <v/>
      </c>
      <c r="S577" s="17">
        <f>IF(OR($B577="",$R577=""),"",IF($R577&lt;=0,"CLEARED "&amp;IFERROR(TEXT(_xlfn.MAXIFS(nrMK_Date,nrMK_Link,$B577,nrMK_Credit,"Yes"),"mm/dd"),""),"OPEN"))</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IF(OR($B578="",N($I578)=0),"",SUMIFS(nrMK_Min,nrMK_Link,$B578,nrMK_Credit,"Yes"))</f>
        <v/>
      </c>
      <c r="Q578" s="17">
        <f>IF(OR($B578="",N($J578)=0),"",SUMIFS(nrMK_Sess,nrMK_Link,$B578,nrMK_Credit,"Yes"))</f>
        <v/>
      </c>
      <c r="R578" s="17">
        <f>IF(OR($B578="",$N578&lt;&gt;"Yes"),"",IF(N($I578)&gt;0,N($I578)-N($P578),IF(N($J578)&gt;0,N($J578)-N($Q578),"")))</f>
        <v/>
      </c>
      <c r="S578" s="17">
        <f>IF(OR($B578="",$R578=""),"",IF($R578&lt;=0,"CLEARED "&amp;IFERROR(TEXT(_xlfn.MAXIFS(nrMK_Date,nrMK_Link,$B578,nrMK_Credit,"Yes"),"mm/dd"),""),"OPEN"))</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IF(OR($B579="",N($I579)=0),"",SUMIFS(nrMK_Min,nrMK_Link,$B579,nrMK_Credit,"Yes"))</f>
        <v/>
      </c>
      <c r="Q579" s="17">
        <f>IF(OR($B579="",N($J579)=0),"",SUMIFS(nrMK_Sess,nrMK_Link,$B579,nrMK_Credit,"Yes"))</f>
        <v/>
      </c>
      <c r="R579" s="17">
        <f>IF(OR($B579="",$N579&lt;&gt;"Yes"),"",IF(N($I579)&gt;0,N($I579)-N($P579),IF(N($J579)&gt;0,N($J579)-N($Q579),"")))</f>
        <v/>
      </c>
      <c r="S579" s="17">
        <f>IF(OR($B579="",$R579=""),"",IF($R579&lt;=0,"CLEARED "&amp;IFERROR(TEXT(_xlfn.MAXIFS(nrMK_Date,nrMK_Link,$B579,nrMK_Credit,"Yes"),"mm/dd"),""),"OPEN"))</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IF(OR($B580="",N($I580)=0),"",SUMIFS(nrMK_Min,nrMK_Link,$B580,nrMK_Credit,"Yes"))</f>
        <v/>
      </c>
      <c r="Q580" s="17">
        <f>IF(OR($B580="",N($J580)=0),"",SUMIFS(nrMK_Sess,nrMK_Link,$B580,nrMK_Credit,"Yes"))</f>
        <v/>
      </c>
      <c r="R580" s="17">
        <f>IF(OR($B580="",$N580&lt;&gt;"Yes"),"",IF(N($I580)&gt;0,N($I580)-N($P580),IF(N($J580)&gt;0,N($J580)-N($Q580),"")))</f>
        <v/>
      </c>
      <c r="S580" s="17">
        <f>IF(OR($B580="",$R580=""),"",IF($R580&lt;=0,"CLEARED "&amp;IFERROR(TEXT(_xlfn.MAXIFS(nrMK_Date,nrMK_Link,$B580,nrMK_Credit,"Yes"),"mm/dd"),""),"OPEN"))</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IF(OR($B581="",N($I581)=0),"",SUMIFS(nrMK_Min,nrMK_Link,$B581,nrMK_Credit,"Yes"))</f>
        <v/>
      </c>
      <c r="Q581" s="17">
        <f>IF(OR($B581="",N($J581)=0),"",SUMIFS(nrMK_Sess,nrMK_Link,$B581,nrMK_Credit,"Yes"))</f>
        <v/>
      </c>
      <c r="R581" s="17">
        <f>IF(OR($B581="",$N581&lt;&gt;"Yes"),"",IF(N($I581)&gt;0,N($I581)-N($P581),IF(N($J581)&gt;0,N($J581)-N($Q581),"")))</f>
        <v/>
      </c>
      <c r="S581" s="17">
        <f>IF(OR($B581="",$R581=""),"",IF($R581&lt;=0,"CLEARED "&amp;IFERROR(TEXT(_xlfn.MAXIFS(nrMK_Date,nrMK_Link,$B581,nrMK_Credit,"Yes"),"mm/dd"),""),"OPEN"))</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IF(OR($B582="",N($I582)=0),"",SUMIFS(nrMK_Min,nrMK_Link,$B582,nrMK_Credit,"Yes"))</f>
        <v/>
      </c>
      <c r="Q582" s="17">
        <f>IF(OR($B582="",N($J582)=0),"",SUMIFS(nrMK_Sess,nrMK_Link,$B582,nrMK_Credit,"Yes"))</f>
        <v/>
      </c>
      <c r="R582" s="17">
        <f>IF(OR($B582="",$N582&lt;&gt;"Yes"),"",IF(N($I582)&gt;0,N($I582)-N($P582),IF(N($J582)&gt;0,N($J582)-N($Q582),"")))</f>
        <v/>
      </c>
      <c r="S582" s="17">
        <f>IF(OR($B582="",$R582=""),"",IF($R582&lt;=0,"CLEARED "&amp;IFERROR(TEXT(_xlfn.MAXIFS(nrMK_Date,nrMK_Link,$B582,nrMK_Credit,"Yes"),"mm/dd"),""),"OPEN"))</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IF(OR($B583="",N($I583)=0),"",SUMIFS(nrMK_Min,nrMK_Link,$B583,nrMK_Credit,"Yes"))</f>
        <v/>
      </c>
      <c r="Q583" s="17">
        <f>IF(OR($B583="",N($J583)=0),"",SUMIFS(nrMK_Sess,nrMK_Link,$B583,nrMK_Credit,"Yes"))</f>
        <v/>
      </c>
      <c r="R583" s="17">
        <f>IF(OR($B583="",$N583&lt;&gt;"Yes"),"",IF(N($I583)&gt;0,N($I583)-N($P583),IF(N($J583)&gt;0,N($J583)-N($Q583),"")))</f>
        <v/>
      </c>
      <c r="S583" s="17">
        <f>IF(OR($B583="",$R583=""),"",IF($R583&lt;=0,"CLEARED "&amp;IFERROR(TEXT(_xlfn.MAXIFS(nrMK_Date,nrMK_Link,$B583,nrMK_Credit,"Yes"),"mm/dd"),""),"OPEN"))</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IF(OR($B584="",N($I584)=0),"",SUMIFS(nrMK_Min,nrMK_Link,$B584,nrMK_Credit,"Yes"))</f>
        <v/>
      </c>
      <c r="Q584" s="17">
        <f>IF(OR($B584="",N($J584)=0),"",SUMIFS(nrMK_Sess,nrMK_Link,$B584,nrMK_Credit,"Yes"))</f>
        <v/>
      </c>
      <c r="R584" s="17">
        <f>IF(OR($B584="",$N584&lt;&gt;"Yes"),"",IF(N($I584)&gt;0,N($I584)-N($P584),IF(N($J584)&gt;0,N($J584)-N($Q584),"")))</f>
        <v/>
      </c>
      <c r="S584" s="17">
        <f>IF(OR($B584="",$R584=""),"",IF($R584&lt;=0,"CLEARED "&amp;IFERROR(TEXT(_xlfn.MAXIFS(nrMK_Date,nrMK_Link,$B584,nrMK_Credit,"Yes"),"mm/dd"),""),"OPEN"))</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IF(OR($B585="",N($I585)=0),"",SUMIFS(nrMK_Min,nrMK_Link,$B585,nrMK_Credit,"Yes"))</f>
        <v/>
      </c>
      <c r="Q585" s="17">
        <f>IF(OR($B585="",N($J585)=0),"",SUMIFS(nrMK_Sess,nrMK_Link,$B585,nrMK_Credit,"Yes"))</f>
        <v/>
      </c>
      <c r="R585" s="17">
        <f>IF(OR($B585="",$N585&lt;&gt;"Yes"),"",IF(N($I585)&gt;0,N($I585)-N($P585),IF(N($J585)&gt;0,N($J585)-N($Q585),"")))</f>
        <v/>
      </c>
      <c r="S585" s="17">
        <f>IF(OR($B585="",$R585=""),"",IF($R585&lt;=0,"CLEARED "&amp;IFERROR(TEXT(_xlfn.MAXIFS(nrMK_Date,nrMK_Link,$B585,nrMK_Credit,"Yes"),"mm/dd"),""),"OPEN"))</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IF(OR($B586="",N($I586)=0),"",SUMIFS(nrMK_Min,nrMK_Link,$B586,nrMK_Credit,"Yes"))</f>
        <v/>
      </c>
      <c r="Q586" s="17">
        <f>IF(OR($B586="",N($J586)=0),"",SUMIFS(nrMK_Sess,nrMK_Link,$B586,nrMK_Credit,"Yes"))</f>
        <v/>
      </c>
      <c r="R586" s="17">
        <f>IF(OR($B586="",$N586&lt;&gt;"Yes"),"",IF(N($I586)&gt;0,N($I586)-N($P586),IF(N($J586)&gt;0,N($J586)-N($Q586),"")))</f>
        <v/>
      </c>
      <c r="S586" s="17">
        <f>IF(OR($B586="",$R586=""),"",IF($R586&lt;=0,"CLEARED "&amp;IFERROR(TEXT(_xlfn.MAXIFS(nrMK_Date,nrMK_Link,$B586,nrMK_Credit,"Yes"),"mm/dd"),""),"OPEN"))</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IF(OR($B587="",N($I587)=0),"",SUMIFS(nrMK_Min,nrMK_Link,$B587,nrMK_Credit,"Yes"))</f>
        <v/>
      </c>
      <c r="Q587" s="17">
        <f>IF(OR($B587="",N($J587)=0),"",SUMIFS(nrMK_Sess,nrMK_Link,$B587,nrMK_Credit,"Yes"))</f>
        <v/>
      </c>
      <c r="R587" s="17">
        <f>IF(OR($B587="",$N587&lt;&gt;"Yes"),"",IF(N($I587)&gt;0,N($I587)-N($P587),IF(N($J587)&gt;0,N($J587)-N($Q587),"")))</f>
        <v/>
      </c>
      <c r="S587" s="17">
        <f>IF(OR($B587="",$R587=""),"",IF($R587&lt;=0,"CLEARED "&amp;IFERROR(TEXT(_xlfn.MAXIFS(nrMK_Date,nrMK_Link,$B587,nrMK_Credit,"Yes"),"mm/dd"),""),"OPEN"))</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IF(OR($B588="",N($I588)=0),"",SUMIFS(nrMK_Min,nrMK_Link,$B588,nrMK_Credit,"Yes"))</f>
        <v/>
      </c>
      <c r="Q588" s="17">
        <f>IF(OR($B588="",N($J588)=0),"",SUMIFS(nrMK_Sess,nrMK_Link,$B588,nrMK_Credit,"Yes"))</f>
        <v/>
      </c>
      <c r="R588" s="17">
        <f>IF(OR($B588="",$N588&lt;&gt;"Yes"),"",IF(N($I588)&gt;0,N($I588)-N($P588),IF(N($J588)&gt;0,N($J588)-N($Q588),"")))</f>
        <v/>
      </c>
      <c r="S588" s="17">
        <f>IF(OR($B588="",$R588=""),"",IF($R588&lt;=0,"CLEARED "&amp;IFERROR(TEXT(_xlfn.MAXIFS(nrMK_Date,nrMK_Link,$B588,nrMK_Credit,"Yes"),"mm/dd"),""),"OPEN"))</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IF(OR($B589="",N($I589)=0),"",SUMIFS(nrMK_Min,nrMK_Link,$B589,nrMK_Credit,"Yes"))</f>
        <v/>
      </c>
      <c r="Q589" s="17">
        <f>IF(OR($B589="",N($J589)=0),"",SUMIFS(nrMK_Sess,nrMK_Link,$B589,nrMK_Credit,"Yes"))</f>
        <v/>
      </c>
      <c r="R589" s="17">
        <f>IF(OR($B589="",$N589&lt;&gt;"Yes"),"",IF(N($I589)&gt;0,N($I589)-N($P589),IF(N($J589)&gt;0,N($J589)-N($Q589),"")))</f>
        <v/>
      </c>
      <c r="S589" s="17">
        <f>IF(OR($B589="",$R589=""),"",IF($R589&lt;=0,"CLEARED "&amp;IFERROR(TEXT(_xlfn.MAXIFS(nrMK_Date,nrMK_Link,$B589,nrMK_Credit,"Yes"),"mm/dd"),""),"OPEN"))</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IF(OR($B590="",N($I590)=0),"",SUMIFS(nrMK_Min,nrMK_Link,$B590,nrMK_Credit,"Yes"))</f>
        <v/>
      </c>
      <c r="Q590" s="17">
        <f>IF(OR($B590="",N($J590)=0),"",SUMIFS(nrMK_Sess,nrMK_Link,$B590,nrMK_Credit,"Yes"))</f>
        <v/>
      </c>
      <c r="R590" s="17">
        <f>IF(OR($B590="",$N590&lt;&gt;"Yes"),"",IF(N($I590)&gt;0,N($I590)-N($P590),IF(N($J590)&gt;0,N($J590)-N($Q590),"")))</f>
        <v/>
      </c>
      <c r="S590" s="17">
        <f>IF(OR($B590="",$R590=""),"",IF($R590&lt;=0,"CLEARED "&amp;IFERROR(TEXT(_xlfn.MAXIFS(nrMK_Date,nrMK_Link,$B590,nrMK_Credit,"Yes"),"mm/dd"),""),"OPEN"))</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IF(OR($B591="",N($I591)=0),"",SUMIFS(nrMK_Min,nrMK_Link,$B591,nrMK_Credit,"Yes"))</f>
        <v/>
      </c>
      <c r="Q591" s="17">
        <f>IF(OR($B591="",N($J591)=0),"",SUMIFS(nrMK_Sess,nrMK_Link,$B591,nrMK_Credit,"Yes"))</f>
        <v/>
      </c>
      <c r="R591" s="17">
        <f>IF(OR($B591="",$N591&lt;&gt;"Yes"),"",IF(N($I591)&gt;0,N($I591)-N($P591),IF(N($J591)&gt;0,N($J591)-N($Q591),"")))</f>
        <v/>
      </c>
      <c r="S591" s="17">
        <f>IF(OR($B591="",$R591=""),"",IF($R591&lt;=0,"CLEARED "&amp;IFERROR(TEXT(_xlfn.MAXIFS(nrMK_Date,nrMK_Link,$B591,nrMK_Credit,"Yes"),"mm/dd"),""),"OPEN"))</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IF(OR($B592="",N($I592)=0),"",SUMIFS(nrMK_Min,nrMK_Link,$B592,nrMK_Credit,"Yes"))</f>
        <v/>
      </c>
      <c r="Q592" s="17">
        <f>IF(OR($B592="",N($J592)=0),"",SUMIFS(nrMK_Sess,nrMK_Link,$B592,nrMK_Credit,"Yes"))</f>
        <v/>
      </c>
      <c r="R592" s="17">
        <f>IF(OR($B592="",$N592&lt;&gt;"Yes"),"",IF(N($I592)&gt;0,N($I592)-N($P592),IF(N($J592)&gt;0,N($J592)-N($Q592),"")))</f>
        <v/>
      </c>
      <c r="S592" s="17">
        <f>IF(OR($B592="",$R592=""),"",IF($R592&lt;=0,"CLEARED "&amp;IFERROR(TEXT(_xlfn.MAXIFS(nrMK_Date,nrMK_Link,$B592,nrMK_Credit,"Yes"),"mm/dd"),""),"OPEN"))</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IF(OR($B593="",N($I593)=0),"",SUMIFS(nrMK_Min,nrMK_Link,$B593,nrMK_Credit,"Yes"))</f>
        <v/>
      </c>
      <c r="Q593" s="17">
        <f>IF(OR($B593="",N($J593)=0),"",SUMIFS(nrMK_Sess,nrMK_Link,$B593,nrMK_Credit,"Yes"))</f>
        <v/>
      </c>
      <c r="R593" s="17">
        <f>IF(OR($B593="",$N593&lt;&gt;"Yes"),"",IF(N($I593)&gt;0,N($I593)-N($P593),IF(N($J593)&gt;0,N($J593)-N($Q593),"")))</f>
        <v/>
      </c>
      <c r="S593" s="17">
        <f>IF(OR($B593="",$R593=""),"",IF($R593&lt;=0,"CLEARED "&amp;IFERROR(TEXT(_xlfn.MAXIFS(nrMK_Date,nrMK_Link,$B593,nrMK_Credit,"Yes"),"mm/dd"),""),"OPEN"))</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IF(OR($B594="",N($I594)=0),"",SUMIFS(nrMK_Min,nrMK_Link,$B594,nrMK_Credit,"Yes"))</f>
        <v/>
      </c>
      <c r="Q594" s="17">
        <f>IF(OR($B594="",N($J594)=0),"",SUMIFS(nrMK_Sess,nrMK_Link,$B594,nrMK_Credit,"Yes"))</f>
        <v/>
      </c>
      <c r="R594" s="17">
        <f>IF(OR($B594="",$N594&lt;&gt;"Yes"),"",IF(N($I594)&gt;0,N($I594)-N($P594),IF(N($J594)&gt;0,N($J594)-N($Q594),"")))</f>
        <v/>
      </c>
      <c r="S594" s="17">
        <f>IF(OR($B594="",$R594=""),"",IF($R594&lt;=0,"CLEARED "&amp;IFERROR(TEXT(_xlfn.MAXIFS(nrMK_Date,nrMK_Link,$B594,nrMK_Credit,"Yes"),"mm/dd"),""),"OPEN"))</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IF(OR($B595="",N($I595)=0),"",SUMIFS(nrMK_Min,nrMK_Link,$B595,nrMK_Credit,"Yes"))</f>
        <v/>
      </c>
      <c r="Q595" s="17">
        <f>IF(OR($B595="",N($J595)=0),"",SUMIFS(nrMK_Sess,nrMK_Link,$B595,nrMK_Credit,"Yes"))</f>
        <v/>
      </c>
      <c r="R595" s="17">
        <f>IF(OR($B595="",$N595&lt;&gt;"Yes"),"",IF(N($I595)&gt;0,N($I595)-N($P595),IF(N($J595)&gt;0,N($J595)-N($Q595),"")))</f>
        <v/>
      </c>
      <c r="S595" s="17">
        <f>IF(OR($B595="",$R595=""),"",IF($R595&lt;=0,"CLEARED "&amp;IFERROR(TEXT(_xlfn.MAXIFS(nrMK_Date,nrMK_Link,$B595,nrMK_Credit,"Yes"),"mm/dd"),""),"OPEN"))</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IF(OR($B596="",N($I596)=0),"",SUMIFS(nrMK_Min,nrMK_Link,$B596,nrMK_Credit,"Yes"))</f>
        <v/>
      </c>
      <c r="Q596" s="17">
        <f>IF(OR($B596="",N($J596)=0),"",SUMIFS(nrMK_Sess,nrMK_Link,$B596,nrMK_Credit,"Yes"))</f>
        <v/>
      </c>
      <c r="R596" s="17">
        <f>IF(OR($B596="",$N596&lt;&gt;"Yes"),"",IF(N($I596)&gt;0,N($I596)-N($P596),IF(N($J596)&gt;0,N($J596)-N($Q596),"")))</f>
        <v/>
      </c>
      <c r="S596" s="17">
        <f>IF(OR($B596="",$R596=""),"",IF($R596&lt;=0,"CLEARED "&amp;IFERROR(TEXT(_xlfn.MAXIFS(nrMK_Date,nrMK_Link,$B596,nrMK_Credit,"Yes"),"mm/dd"),""),"OPEN"))</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IF(OR($B597="",N($I597)=0),"",SUMIFS(nrMK_Min,nrMK_Link,$B597,nrMK_Credit,"Yes"))</f>
        <v/>
      </c>
      <c r="Q597" s="17">
        <f>IF(OR($B597="",N($J597)=0),"",SUMIFS(nrMK_Sess,nrMK_Link,$B597,nrMK_Credit,"Yes"))</f>
        <v/>
      </c>
      <c r="R597" s="17">
        <f>IF(OR($B597="",$N597&lt;&gt;"Yes"),"",IF(N($I597)&gt;0,N($I597)-N($P597),IF(N($J597)&gt;0,N($J597)-N($Q597),"")))</f>
        <v/>
      </c>
      <c r="S597" s="17">
        <f>IF(OR($B597="",$R597=""),"",IF($R597&lt;=0,"CLEARED "&amp;IFERROR(TEXT(_xlfn.MAXIFS(nrMK_Date,nrMK_Link,$B597,nrMK_Credit,"Yes"),"mm/dd"),""),"OPEN"))</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IF(OR($B598="",N($I598)=0),"",SUMIFS(nrMK_Min,nrMK_Link,$B598,nrMK_Credit,"Yes"))</f>
        <v/>
      </c>
      <c r="Q598" s="17">
        <f>IF(OR($B598="",N($J598)=0),"",SUMIFS(nrMK_Sess,nrMK_Link,$B598,nrMK_Credit,"Yes"))</f>
        <v/>
      </c>
      <c r="R598" s="17">
        <f>IF(OR($B598="",$N598&lt;&gt;"Yes"),"",IF(N($I598)&gt;0,N($I598)-N($P598),IF(N($J598)&gt;0,N($J598)-N($Q598),"")))</f>
        <v/>
      </c>
      <c r="S598" s="17">
        <f>IF(OR($B598="",$R598=""),"",IF($R598&lt;=0,"CLEARED "&amp;IFERROR(TEXT(_xlfn.MAXIFS(nrMK_Date,nrMK_Link,$B598,nrMK_Credit,"Yes"),"mm/dd"),""),"OPEN"))</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IF(OR($B599="",N($I599)=0),"",SUMIFS(nrMK_Min,nrMK_Link,$B599,nrMK_Credit,"Yes"))</f>
        <v/>
      </c>
      <c r="Q599" s="17">
        <f>IF(OR($B599="",N($J599)=0),"",SUMIFS(nrMK_Sess,nrMK_Link,$B599,nrMK_Credit,"Yes"))</f>
        <v/>
      </c>
      <c r="R599" s="17">
        <f>IF(OR($B599="",$N599&lt;&gt;"Yes"),"",IF(N($I599)&gt;0,N($I599)-N($P599),IF(N($J599)&gt;0,N($J599)-N($Q599),"")))</f>
        <v/>
      </c>
      <c r="S599" s="17">
        <f>IF(OR($B599="",$R599=""),"",IF($R599&lt;=0,"CLEARED "&amp;IFERROR(TEXT(_xlfn.MAXIFS(nrMK_Date,nrMK_Link,$B599,nrMK_Credit,"Yes"),"mm/dd"),""),"OPEN"))</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IF(OR($B600="",N($I600)=0),"",SUMIFS(nrMK_Min,nrMK_Link,$B600,nrMK_Credit,"Yes"))</f>
        <v/>
      </c>
      <c r="Q600" s="17">
        <f>IF(OR($B600="",N($J600)=0),"",SUMIFS(nrMK_Sess,nrMK_Link,$B600,nrMK_Credit,"Yes"))</f>
        <v/>
      </c>
      <c r="R600" s="17">
        <f>IF(OR($B600="",$N600&lt;&gt;"Yes"),"",IF(N($I600)&gt;0,N($I600)-N($P600),IF(N($J600)&gt;0,N($J600)-N($Q600),"")))</f>
        <v/>
      </c>
      <c r="S600" s="17">
        <f>IF(OR($B600="",$R600=""),"",IF($R600&lt;=0,"CLEARED "&amp;IFERROR(TEXT(_xlfn.MAXIFS(nrMK_Date,nrMK_Link,$B600,nrMK_Credit,"Yes"),"mm/dd"),""),"OPEN"))</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IF(OR($B601="",N($I601)=0),"",SUMIFS(nrMK_Min,nrMK_Link,$B601,nrMK_Credit,"Yes"))</f>
        <v/>
      </c>
      <c r="Q601" s="17">
        <f>IF(OR($B601="",N($J601)=0),"",SUMIFS(nrMK_Sess,nrMK_Link,$B601,nrMK_Credit,"Yes"))</f>
        <v/>
      </c>
      <c r="R601" s="17">
        <f>IF(OR($B601="",$N601&lt;&gt;"Yes"),"",IF(N($I601)&gt;0,N($I601)-N($P601),IF(N($J601)&gt;0,N($J601)-N($Q601),"")))</f>
        <v/>
      </c>
      <c r="S601" s="17">
        <f>IF(OR($B601="",$R601=""),"",IF($R601&lt;=0,"CLEARED "&amp;IFERROR(TEXT(_xlfn.MAXIFS(nrMK_Date,nrMK_Link,$B601,nrMK_Credit,"Yes"),"mm/dd"),""),"OPEN"))</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IF(OR($B602="",N($I602)=0),"",SUMIFS(nrMK_Min,nrMK_Link,$B602,nrMK_Credit,"Yes"))</f>
        <v/>
      </c>
      <c r="Q602" s="17">
        <f>IF(OR($B602="",N($J602)=0),"",SUMIFS(nrMK_Sess,nrMK_Link,$B602,nrMK_Credit,"Yes"))</f>
        <v/>
      </c>
      <c r="R602" s="17">
        <f>IF(OR($B602="",$N602&lt;&gt;"Yes"),"",IF(N($I602)&gt;0,N($I602)-N($P602),IF(N($J602)&gt;0,N($J602)-N($Q602),"")))</f>
        <v/>
      </c>
      <c r="S602" s="17">
        <f>IF(OR($B602="",$R602=""),"",IF($R602&lt;=0,"CLEARED "&amp;IFERROR(TEXT(_xlfn.MAXIFS(nrMK_Date,nrMK_Link,$B602,nrMK_Credit,"Yes"),"mm/dd"),""),"OPEN"))</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IF(OR($B603="",N($I603)=0),"",SUMIFS(nrMK_Min,nrMK_Link,$B603,nrMK_Credit,"Yes"))</f>
        <v/>
      </c>
      <c r="Q603" s="17">
        <f>IF(OR($B603="",N($J603)=0),"",SUMIFS(nrMK_Sess,nrMK_Link,$B603,nrMK_Credit,"Yes"))</f>
        <v/>
      </c>
      <c r="R603" s="17">
        <f>IF(OR($B603="",$N603&lt;&gt;"Yes"),"",IF(N($I603)&gt;0,N($I603)-N($P603),IF(N($J603)&gt;0,N($J603)-N($Q603),"")))</f>
        <v/>
      </c>
      <c r="S603" s="17">
        <f>IF(OR($B603="",$R603=""),"",IF($R603&lt;=0,"CLEARED "&amp;IFERROR(TEXT(_xlfn.MAXIFS(nrMK_Date,nrMK_Link,$B603,nrMK_Credit,"Yes"),"mm/dd"),""),"OPEN"))</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IF(OR($B604="",N($I604)=0),"",SUMIFS(nrMK_Min,nrMK_Link,$B604,nrMK_Credit,"Yes"))</f>
        <v/>
      </c>
      <c r="Q604" s="17">
        <f>IF(OR($B604="",N($J604)=0),"",SUMIFS(nrMK_Sess,nrMK_Link,$B604,nrMK_Credit,"Yes"))</f>
        <v/>
      </c>
      <c r="R604" s="17">
        <f>IF(OR($B604="",$N604&lt;&gt;"Yes"),"",IF(N($I604)&gt;0,N($I604)-N($P604),IF(N($J604)&gt;0,N($J604)-N($Q604),"")))</f>
        <v/>
      </c>
      <c r="S604" s="17">
        <f>IF(OR($B604="",$R604=""),"",IF($R604&lt;=0,"CLEARED "&amp;IFERROR(TEXT(_xlfn.MAXIFS(nrMK_Date,nrMK_Link,$B604,nrMK_Credit,"Yes"),"mm/dd"),""),"OPEN"))</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IF(OR($B605="",N($I605)=0),"",SUMIFS(nrMK_Min,nrMK_Link,$B605,nrMK_Credit,"Yes"))</f>
        <v/>
      </c>
      <c r="Q605" s="17">
        <f>IF(OR($B605="",N($J605)=0),"",SUMIFS(nrMK_Sess,nrMK_Link,$B605,nrMK_Credit,"Yes"))</f>
        <v/>
      </c>
      <c r="R605" s="17">
        <f>IF(OR($B605="",$N605&lt;&gt;"Yes"),"",IF(N($I605)&gt;0,N($I605)-N($P605),IF(N($J605)&gt;0,N($J605)-N($Q605),"")))</f>
        <v/>
      </c>
      <c r="S605" s="17">
        <f>IF(OR($B605="",$R605=""),"",IF($R605&lt;=0,"CLEARED "&amp;IFERROR(TEXT(_xlfn.MAXIFS(nrMK_Date,nrMK_Link,$B605,nrMK_Credit,"Yes"),"mm/dd"),""),"OPEN"))</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IF(OR($B606="",N($I606)=0),"",SUMIFS(nrMK_Min,nrMK_Link,$B606,nrMK_Credit,"Yes"))</f>
        <v/>
      </c>
      <c r="Q606" s="17">
        <f>IF(OR($B606="",N($J606)=0),"",SUMIFS(nrMK_Sess,nrMK_Link,$B606,nrMK_Credit,"Yes"))</f>
        <v/>
      </c>
      <c r="R606" s="17">
        <f>IF(OR($B606="",$N606&lt;&gt;"Yes"),"",IF(N($I606)&gt;0,N($I606)-N($P606),IF(N($J606)&gt;0,N($J606)-N($Q606),"")))</f>
        <v/>
      </c>
      <c r="S606" s="17">
        <f>IF(OR($B606="",$R606=""),"",IF($R606&lt;=0,"CLEARED "&amp;IFERROR(TEXT(_xlfn.MAXIFS(nrMK_Date,nrMK_Link,$B606,nrMK_Credit,"Yes"),"mm/dd"),""),"OPEN"))</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IF(OR($B607="",N($I607)=0),"",SUMIFS(nrMK_Min,nrMK_Link,$B607,nrMK_Credit,"Yes"))</f>
        <v/>
      </c>
      <c r="Q607" s="17">
        <f>IF(OR($B607="",N($J607)=0),"",SUMIFS(nrMK_Sess,nrMK_Link,$B607,nrMK_Credit,"Yes"))</f>
        <v/>
      </c>
      <c r="R607" s="17">
        <f>IF(OR($B607="",$N607&lt;&gt;"Yes"),"",IF(N($I607)&gt;0,N($I607)-N($P607),IF(N($J607)&gt;0,N($J607)-N($Q607),"")))</f>
        <v/>
      </c>
      <c r="S607" s="17">
        <f>IF(OR($B607="",$R607=""),"",IF($R607&lt;=0,"CLEARED "&amp;IFERROR(TEXT(_xlfn.MAXIFS(nrMK_Date,nrMK_Link,$B607,nrMK_Credit,"Yes"),"mm/dd"),""),"OPEN"))</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IF(OR($B608="",N($I608)=0),"",SUMIFS(nrMK_Min,nrMK_Link,$B608,nrMK_Credit,"Yes"))</f>
        <v/>
      </c>
      <c r="Q608" s="17">
        <f>IF(OR($B608="",N($J608)=0),"",SUMIFS(nrMK_Sess,nrMK_Link,$B608,nrMK_Credit,"Yes"))</f>
        <v/>
      </c>
      <c r="R608" s="17">
        <f>IF(OR($B608="",$N608&lt;&gt;"Yes"),"",IF(N($I608)&gt;0,N($I608)-N($P608),IF(N($J608)&gt;0,N($J608)-N($Q608),"")))</f>
        <v/>
      </c>
      <c r="S608" s="17">
        <f>IF(OR($B608="",$R608=""),"",IF($R608&lt;=0,"CLEARED "&amp;IFERROR(TEXT(_xlfn.MAXIFS(nrMK_Date,nrMK_Link,$B608,nrMK_Credit,"Yes"),"mm/dd"),""),"OPEN"))</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IF(OR($B609="",N($I609)=0),"",SUMIFS(nrMK_Min,nrMK_Link,$B609,nrMK_Credit,"Yes"))</f>
        <v/>
      </c>
      <c r="Q609" s="17">
        <f>IF(OR($B609="",N($J609)=0),"",SUMIFS(nrMK_Sess,nrMK_Link,$B609,nrMK_Credit,"Yes"))</f>
        <v/>
      </c>
      <c r="R609" s="17">
        <f>IF(OR($B609="",$N609&lt;&gt;"Yes"),"",IF(N($I609)&gt;0,N($I609)-N($P609),IF(N($J609)&gt;0,N($J609)-N($Q609),"")))</f>
        <v/>
      </c>
      <c r="S609" s="17">
        <f>IF(OR($B609="",$R609=""),"",IF($R609&lt;=0,"CLEARED "&amp;IFERROR(TEXT(_xlfn.MAXIFS(nrMK_Date,nrMK_Link,$B609,nrMK_Credit,"Yes"),"mm/dd"),""),"OPEN"))</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IF(OR($B610="",N($I610)=0),"",SUMIFS(nrMK_Min,nrMK_Link,$B610,nrMK_Credit,"Yes"))</f>
        <v/>
      </c>
      <c r="Q610" s="17">
        <f>IF(OR($B610="",N($J610)=0),"",SUMIFS(nrMK_Sess,nrMK_Link,$B610,nrMK_Credit,"Yes"))</f>
        <v/>
      </c>
      <c r="R610" s="17">
        <f>IF(OR($B610="",$N610&lt;&gt;"Yes"),"",IF(N($I610)&gt;0,N($I610)-N($P610),IF(N($J610)&gt;0,N($J610)-N($Q610),"")))</f>
        <v/>
      </c>
      <c r="S610" s="17">
        <f>IF(OR($B610="",$R610=""),"",IF($R610&lt;=0,"CLEARED "&amp;IFERROR(TEXT(_xlfn.MAXIFS(nrMK_Date,nrMK_Link,$B610,nrMK_Credit,"Yes"),"mm/dd"),""),"OPEN"))</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IF(OR($B611="",N($I611)=0),"",SUMIFS(nrMK_Min,nrMK_Link,$B611,nrMK_Credit,"Yes"))</f>
        <v/>
      </c>
      <c r="Q611" s="17">
        <f>IF(OR($B611="",N($J611)=0),"",SUMIFS(nrMK_Sess,nrMK_Link,$B611,nrMK_Credit,"Yes"))</f>
        <v/>
      </c>
      <c r="R611" s="17">
        <f>IF(OR($B611="",$N611&lt;&gt;"Yes"),"",IF(N($I611)&gt;0,N($I611)-N($P611),IF(N($J611)&gt;0,N($J611)-N($Q611),"")))</f>
        <v/>
      </c>
      <c r="S611" s="17">
        <f>IF(OR($B611="",$R611=""),"",IF($R611&lt;=0,"CLEARED "&amp;IFERROR(TEXT(_xlfn.MAXIFS(nrMK_Date,nrMK_Link,$B611,nrMK_Credit,"Yes"),"mm/dd"),""),"OPEN"))</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IF(OR($B612="",N($I612)=0),"",SUMIFS(nrMK_Min,nrMK_Link,$B612,nrMK_Credit,"Yes"))</f>
        <v/>
      </c>
      <c r="Q612" s="17">
        <f>IF(OR($B612="",N($J612)=0),"",SUMIFS(nrMK_Sess,nrMK_Link,$B612,nrMK_Credit,"Yes"))</f>
        <v/>
      </c>
      <c r="R612" s="17">
        <f>IF(OR($B612="",$N612&lt;&gt;"Yes"),"",IF(N($I612)&gt;0,N($I612)-N($P612),IF(N($J612)&gt;0,N($J612)-N($Q612),"")))</f>
        <v/>
      </c>
      <c r="S612" s="17">
        <f>IF(OR($B612="",$R612=""),"",IF($R612&lt;=0,"CLEARED "&amp;IFERROR(TEXT(_xlfn.MAXIFS(nrMK_Date,nrMK_Link,$B612,nrMK_Credit,"Yes"),"mm/dd"),""),"OPEN"))</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IF(OR($B613="",N($I613)=0),"",SUMIFS(nrMK_Min,nrMK_Link,$B613,nrMK_Credit,"Yes"))</f>
        <v/>
      </c>
      <c r="Q613" s="17">
        <f>IF(OR($B613="",N($J613)=0),"",SUMIFS(nrMK_Sess,nrMK_Link,$B613,nrMK_Credit,"Yes"))</f>
        <v/>
      </c>
      <c r="R613" s="17">
        <f>IF(OR($B613="",$N613&lt;&gt;"Yes"),"",IF(N($I613)&gt;0,N($I613)-N($P613),IF(N($J613)&gt;0,N($J613)-N($Q613),"")))</f>
        <v/>
      </c>
      <c r="S613" s="17">
        <f>IF(OR($B613="",$R613=""),"",IF($R613&lt;=0,"CLEARED "&amp;IFERROR(TEXT(_xlfn.MAXIFS(nrMK_Date,nrMK_Link,$B613,nrMK_Credit,"Yes"),"mm/dd"),""),"OPEN"))</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IF(OR($B614="",N($I614)=0),"",SUMIFS(nrMK_Min,nrMK_Link,$B614,nrMK_Credit,"Yes"))</f>
        <v/>
      </c>
      <c r="Q614" s="17">
        <f>IF(OR($B614="",N($J614)=0),"",SUMIFS(nrMK_Sess,nrMK_Link,$B614,nrMK_Credit,"Yes"))</f>
        <v/>
      </c>
      <c r="R614" s="17">
        <f>IF(OR($B614="",$N614&lt;&gt;"Yes"),"",IF(N($I614)&gt;0,N($I614)-N($P614),IF(N($J614)&gt;0,N($J614)-N($Q614),"")))</f>
        <v/>
      </c>
      <c r="S614" s="17">
        <f>IF(OR($B614="",$R614=""),"",IF($R614&lt;=0,"CLEARED "&amp;IFERROR(TEXT(_xlfn.MAXIFS(nrMK_Date,nrMK_Link,$B614,nrMK_Credit,"Yes"),"mm/dd"),""),"OPEN"))</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IF(OR($B615="",N($I615)=0),"",SUMIFS(nrMK_Min,nrMK_Link,$B615,nrMK_Credit,"Yes"))</f>
        <v/>
      </c>
      <c r="Q615" s="17">
        <f>IF(OR($B615="",N($J615)=0),"",SUMIFS(nrMK_Sess,nrMK_Link,$B615,nrMK_Credit,"Yes"))</f>
        <v/>
      </c>
      <c r="R615" s="17">
        <f>IF(OR($B615="",$N615&lt;&gt;"Yes"),"",IF(N($I615)&gt;0,N($I615)-N($P615),IF(N($J615)&gt;0,N($J615)-N($Q615),"")))</f>
        <v/>
      </c>
      <c r="S615" s="17">
        <f>IF(OR($B615="",$R615=""),"",IF($R615&lt;=0,"CLEARED "&amp;IFERROR(TEXT(_xlfn.MAXIFS(nrMK_Date,nrMK_Link,$B615,nrMK_Credit,"Yes"),"mm/dd"),""),"OPEN"))</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IF(OR($B616="",N($I616)=0),"",SUMIFS(nrMK_Min,nrMK_Link,$B616,nrMK_Credit,"Yes"))</f>
        <v/>
      </c>
      <c r="Q616" s="17">
        <f>IF(OR($B616="",N($J616)=0),"",SUMIFS(nrMK_Sess,nrMK_Link,$B616,nrMK_Credit,"Yes"))</f>
        <v/>
      </c>
      <c r="R616" s="17">
        <f>IF(OR($B616="",$N616&lt;&gt;"Yes"),"",IF(N($I616)&gt;0,N($I616)-N($P616),IF(N($J616)&gt;0,N($J616)-N($Q616),"")))</f>
        <v/>
      </c>
      <c r="S616" s="17">
        <f>IF(OR($B616="",$R616=""),"",IF($R616&lt;=0,"CLEARED "&amp;IFERROR(TEXT(_xlfn.MAXIFS(nrMK_Date,nrMK_Link,$B616,nrMK_Credit,"Yes"),"mm/dd"),""),"OPEN"))</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IF(OR($B617="",N($I617)=0),"",SUMIFS(nrMK_Min,nrMK_Link,$B617,nrMK_Credit,"Yes"))</f>
        <v/>
      </c>
      <c r="Q617" s="17">
        <f>IF(OR($B617="",N($J617)=0),"",SUMIFS(nrMK_Sess,nrMK_Link,$B617,nrMK_Credit,"Yes"))</f>
        <v/>
      </c>
      <c r="R617" s="17">
        <f>IF(OR($B617="",$N617&lt;&gt;"Yes"),"",IF(N($I617)&gt;0,N($I617)-N($P617),IF(N($J617)&gt;0,N($J617)-N($Q617),"")))</f>
        <v/>
      </c>
      <c r="S617" s="17">
        <f>IF(OR($B617="",$R617=""),"",IF($R617&lt;=0,"CLEARED "&amp;IFERROR(TEXT(_xlfn.MAXIFS(nrMK_Date,nrMK_Link,$B617,nrMK_Credit,"Yes"),"mm/dd"),""),"OPEN"))</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IF(OR($B618="",N($I618)=0),"",SUMIFS(nrMK_Min,nrMK_Link,$B618,nrMK_Credit,"Yes"))</f>
        <v/>
      </c>
      <c r="Q618" s="17">
        <f>IF(OR($B618="",N($J618)=0),"",SUMIFS(nrMK_Sess,nrMK_Link,$B618,nrMK_Credit,"Yes"))</f>
        <v/>
      </c>
      <c r="R618" s="17">
        <f>IF(OR($B618="",$N618&lt;&gt;"Yes"),"",IF(N($I618)&gt;0,N($I618)-N($P618),IF(N($J618)&gt;0,N($J618)-N($Q618),"")))</f>
        <v/>
      </c>
      <c r="S618" s="17">
        <f>IF(OR($B618="",$R618=""),"",IF($R618&lt;=0,"CLEARED "&amp;IFERROR(TEXT(_xlfn.MAXIFS(nrMK_Date,nrMK_Link,$B618,nrMK_Credit,"Yes"),"mm/dd"),""),"OPEN"))</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IF(OR($B619="",N($I619)=0),"",SUMIFS(nrMK_Min,nrMK_Link,$B619,nrMK_Credit,"Yes"))</f>
        <v/>
      </c>
      <c r="Q619" s="17">
        <f>IF(OR($B619="",N($J619)=0),"",SUMIFS(nrMK_Sess,nrMK_Link,$B619,nrMK_Credit,"Yes"))</f>
        <v/>
      </c>
      <c r="R619" s="17">
        <f>IF(OR($B619="",$N619&lt;&gt;"Yes"),"",IF(N($I619)&gt;0,N($I619)-N($P619),IF(N($J619)&gt;0,N($J619)-N($Q619),"")))</f>
        <v/>
      </c>
      <c r="S619" s="17">
        <f>IF(OR($B619="",$R619=""),"",IF($R619&lt;=0,"CLEARED "&amp;IFERROR(TEXT(_xlfn.MAXIFS(nrMK_Date,nrMK_Link,$B619,nrMK_Credit,"Yes"),"mm/dd"),""),"OPEN"))</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IF(OR($B620="",N($I620)=0),"",SUMIFS(nrMK_Min,nrMK_Link,$B620,nrMK_Credit,"Yes"))</f>
        <v/>
      </c>
      <c r="Q620" s="17">
        <f>IF(OR($B620="",N($J620)=0),"",SUMIFS(nrMK_Sess,nrMK_Link,$B620,nrMK_Credit,"Yes"))</f>
        <v/>
      </c>
      <c r="R620" s="17">
        <f>IF(OR($B620="",$N620&lt;&gt;"Yes"),"",IF(N($I620)&gt;0,N($I620)-N($P620),IF(N($J620)&gt;0,N($J620)-N($Q620),"")))</f>
        <v/>
      </c>
      <c r="S620" s="17">
        <f>IF(OR($B620="",$R620=""),"",IF($R620&lt;=0,"CLEARED "&amp;IFERROR(TEXT(_xlfn.MAXIFS(nrMK_Date,nrMK_Link,$B620,nrMK_Credit,"Yes"),"mm/dd"),""),"OPEN"))</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IF(OR($B621="",N($I621)=0),"",SUMIFS(nrMK_Min,nrMK_Link,$B621,nrMK_Credit,"Yes"))</f>
        <v/>
      </c>
      <c r="Q621" s="17">
        <f>IF(OR($B621="",N($J621)=0),"",SUMIFS(nrMK_Sess,nrMK_Link,$B621,nrMK_Credit,"Yes"))</f>
        <v/>
      </c>
      <c r="R621" s="17">
        <f>IF(OR($B621="",$N621&lt;&gt;"Yes"),"",IF(N($I621)&gt;0,N($I621)-N($P621),IF(N($J621)&gt;0,N($J621)-N($Q621),"")))</f>
        <v/>
      </c>
      <c r="S621" s="17">
        <f>IF(OR($B621="",$R621=""),"",IF($R621&lt;=0,"CLEARED "&amp;IFERROR(TEXT(_xlfn.MAXIFS(nrMK_Date,nrMK_Link,$B621,nrMK_Credit,"Yes"),"mm/dd"),""),"OPEN"))</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IF(OR($B622="",N($I622)=0),"",SUMIFS(nrMK_Min,nrMK_Link,$B622,nrMK_Credit,"Yes"))</f>
        <v/>
      </c>
      <c r="Q622" s="17">
        <f>IF(OR($B622="",N($J622)=0),"",SUMIFS(nrMK_Sess,nrMK_Link,$B622,nrMK_Credit,"Yes"))</f>
        <v/>
      </c>
      <c r="R622" s="17">
        <f>IF(OR($B622="",$N622&lt;&gt;"Yes"),"",IF(N($I622)&gt;0,N($I622)-N($P622),IF(N($J622)&gt;0,N($J622)-N($Q622),"")))</f>
        <v/>
      </c>
      <c r="S622" s="17">
        <f>IF(OR($B622="",$R622=""),"",IF($R622&lt;=0,"CLEARED "&amp;IFERROR(TEXT(_xlfn.MAXIFS(nrMK_Date,nrMK_Link,$B622,nrMK_Credit,"Yes"),"mm/dd"),""),"OPEN"))</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IF(OR($B623="",N($I623)=0),"",SUMIFS(nrMK_Min,nrMK_Link,$B623,nrMK_Credit,"Yes"))</f>
        <v/>
      </c>
      <c r="Q623" s="17">
        <f>IF(OR($B623="",N($J623)=0),"",SUMIFS(nrMK_Sess,nrMK_Link,$B623,nrMK_Credit,"Yes"))</f>
        <v/>
      </c>
      <c r="R623" s="17">
        <f>IF(OR($B623="",$N623&lt;&gt;"Yes"),"",IF(N($I623)&gt;0,N($I623)-N($P623),IF(N($J623)&gt;0,N($J623)-N($Q623),"")))</f>
        <v/>
      </c>
      <c r="S623" s="17">
        <f>IF(OR($B623="",$R623=""),"",IF($R623&lt;=0,"CLEARED "&amp;IFERROR(TEXT(_xlfn.MAXIFS(nrMK_Date,nrMK_Link,$B623,nrMK_Credit,"Yes"),"mm/dd"),""),"OPEN"))</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IF(OR($B624="",N($I624)=0),"",SUMIFS(nrMK_Min,nrMK_Link,$B624,nrMK_Credit,"Yes"))</f>
        <v/>
      </c>
      <c r="Q624" s="17">
        <f>IF(OR($B624="",N($J624)=0),"",SUMIFS(nrMK_Sess,nrMK_Link,$B624,nrMK_Credit,"Yes"))</f>
        <v/>
      </c>
      <c r="R624" s="17">
        <f>IF(OR($B624="",$N624&lt;&gt;"Yes"),"",IF(N($I624)&gt;0,N($I624)-N($P624),IF(N($J624)&gt;0,N($J624)-N($Q624),"")))</f>
        <v/>
      </c>
      <c r="S624" s="17">
        <f>IF(OR($B624="",$R624=""),"",IF($R624&lt;=0,"CLEARED "&amp;IFERROR(TEXT(_xlfn.MAXIFS(nrMK_Date,nrMK_Link,$B624,nrMK_Credit,"Yes"),"mm/dd"),""),"OPEN"))</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IF(OR($B625="",N($I625)=0),"",SUMIFS(nrMK_Min,nrMK_Link,$B625,nrMK_Credit,"Yes"))</f>
        <v/>
      </c>
      <c r="Q625" s="17">
        <f>IF(OR($B625="",N($J625)=0),"",SUMIFS(nrMK_Sess,nrMK_Link,$B625,nrMK_Credit,"Yes"))</f>
        <v/>
      </c>
      <c r="R625" s="17">
        <f>IF(OR($B625="",$N625&lt;&gt;"Yes"),"",IF(N($I625)&gt;0,N($I625)-N($P625),IF(N($J625)&gt;0,N($J625)-N($Q625),"")))</f>
        <v/>
      </c>
      <c r="S625" s="17">
        <f>IF(OR($B625="",$R625=""),"",IF($R625&lt;=0,"CLEARED "&amp;IFERROR(TEXT(_xlfn.MAXIFS(nrMK_Date,nrMK_Link,$B625,nrMK_Credit,"Yes"),"mm/dd"),""),"OPEN"))</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IF(OR($B626="",N($I626)=0),"",SUMIFS(nrMK_Min,nrMK_Link,$B626,nrMK_Credit,"Yes"))</f>
        <v/>
      </c>
      <c r="Q626" s="17">
        <f>IF(OR($B626="",N($J626)=0),"",SUMIFS(nrMK_Sess,nrMK_Link,$B626,nrMK_Credit,"Yes"))</f>
        <v/>
      </c>
      <c r="R626" s="17">
        <f>IF(OR($B626="",$N626&lt;&gt;"Yes"),"",IF(N($I626)&gt;0,N($I626)-N($P626),IF(N($J626)&gt;0,N($J626)-N($Q626),"")))</f>
        <v/>
      </c>
      <c r="S626" s="17">
        <f>IF(OR($B626="",$R626=""),"",IF($R626&lt;=0,"CLEARED "&amp;IFERROR(TEXT(_xlfn.MAXIFS(nrMK_Date,nrMK_Link,$B626,nrMK_Credit,"Yes"),"mm/dd"),""),"OPEN"))</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IF(OR($B627="",N($I627)=0),"",SUMIFS(nrMK_Min,nrMK_Link,$B627,nrMK_Credit,"Yes"))</f>
        <v/>
      </c>
      <c r="Q627" s="17">
        <f>IF(OR($B627="",N($J627)=0),"",SUMIFS(nrMK_Sess,nrMK_Link,$B627,nrMK_Credit,"Yes"))</f>
        <v/>
      </c>
      <c r="R627" s="17">
        <f>IF(OR($B627="",$N627&lt;&gt;"Yes"),"",IF(N($I627)&gt;0,N($I627)-N($P627),IF(N($J627)&gt;0,N($J627)-N($Q627),"")))</f>
        <v/>
      </c>
      <c r="S627" s="17">
        <f>IF(OR($B627="",$R627=""),"",IF($R627&lt;=0,"CLEARED "&amp;IFERROR(TEXT(_xlfn.MAXIFS(nrMK_Date,nrMK_Link,$B627,nrMK_Credit,"Yes"),"mm/dd"),""),"OPEN"))</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IF(OR($B628="",N($I628)=0),"",SUMIFS(nrMK_Min,nrMK_Link,$B628,nrMK_Credit,"Yes"))</f>
        <v/>
      </c>
      <c r="Q628" s="17">
        <f>IF(OR($B628="",N($J628)=0),"",SUMIFS(nrMK_Sess,nrMK_Link,$B628,nrMK_Credit,"Yes"))</f>
        <v/>
      </c>
      <c r="R628" s="17">
        <f>IF(OR($B628="",$N628&lt;&gt;"Yes"),"",IF(N($I628)&gt;0,N($I628)-N($P628),IF(N($J628)&gt;0,N($J628)-N($Q628),"")))</f>
        <v/>
      </c>
      <c r="S628" s="17">
        <f>IF(OR($B628="",$R628=""),"",IF($R628&lt;=0,"CLEARED "&amp;IFERROR(TEXT(_xlfn.MAXIFS(nrMK_Date,nrMK_Link,$B628,nrMK_Credit,"Yes"),"mm/dd"),""),"OPEN"))</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IF(OR($B629="",N($I629)=0),"",SUMIFS(nrMK_Min,nrMK_Link,$B629,nrMK_Credit,"Yes"))</f>
        <v/>
      </c>
      <c r="Q629" s="17">
        <f>IF(OR($B629="",N($J629)=0),"",SUMIFS(nrMK_Sess,nrMK_Link,$B629,nrMK_Credit,"Yes"))</f>
        <v/>
      </c>
      <c r="R629" s="17">
        <f>IF(OR($B629="",$N629&lt;&gt;"Yes"),"",IF(N($I629)&gt;0,N($I629)-N($P629),IF(N($J629)&gt;0,N($J629)-N($Q629),"")))</f>
        <v/>
      </c>
      <c r="S629" s="17">
        <f>IF(OR($B629="",$R629=""),"",IF($R629&lt;=0,"CLEARED "&amp;IFERROR(TEXT(_xlfn.MAXIFS(nrMK_Date,nrMK_Link,$B629,nrMK_Credit,"Yes"),"mm/dd"),""),"OPEN"))</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IF(OR($B630="",N($I630)=0),"",SUMIFS(nrMK_Min,nrMK_Link,$B630,nrMK_Credit,"Yes"))</f>
        <v/>
      </c>
      <c r="Q630" s="17">
        <f>IF(OR($B630="",N($J630)=0),"",SUMIFS(nrMK_Sess,nrMK_Link,$B630,nrMK_Credit,"Yes"))</f>
        <v/>
      </c>
      <c r="R630" s="17">
        <f>IF(OR($B630="",$N630&lt;&gt;"Yes"),"",IF(N($I630)&gt;0,N($I630)-N($P630),IF(N($J630)&gt;0,N($J630)-N($Q630),"")))</f>
        <v/>
      </c>
      <c r="S630" s="17">
        <f>IF(OR($B630="",$R630=""),"",IF($R630&lt;=0,"CLEARED "&amp;IFERROR(TEXT(_xlfn.MAXIFS(nrMK_Date,nrMK_Link,$B630,nrMK_Credit,"Yes"),"mm/dd"),""),"OPEN"))</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IF(OR($B631="",N($I631)=0),"",SUMIFS(nrMK_Min,nrMK_Link,$B631,nrMK_Credit,"Yes"))</f>
        <v/>
      </c>
      <c r="Q631" s="17">
        <f>IF(OR($B631="",N($J631)=0),"",SUMIFS(nrMK_Sess,nrMK_Link,$B631,nrMK_Credit,"Yes"))</f>
        <v/>
      </c>
      <c r="R631" s="17">
        <f>IF(OR($B631="",$N631&lt;&gt;"Yes"),"",IF(N($I631)&gt;0,N($I631)-N($P631),IF(N($J631)&gt;0,N($J631)-N($Q631),"")))</f>
        <v/>
      </c>
      <c r="S631" s="17">
        <f>IF(OR($B631="",$R631=""),"",IF($R631&lt;=0,"CLEARED "&amp;IFERROR(TEXT(_xlfn.MAXIFS(nrMK_Date,nrMK_Link,$B631,nrMK_Credit,"Yes"),"mm/dd"),""),"OPEN"))</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IF(OR($B632="",N($I632)=0),"",SUMIFS(nrMK_Min,nrMK_Link,$B632,nrMK_Credit,"Yes"))</f>
        <v/>
      </c>
      <c r="Q632" s="17">
        <f>IF(OR($B632="",N($J632)=0),"",SUMIFS(nrMK_Sess,nrMK_Link,$B632,nrMK_Credit,"Yes"))</f>
        <v/>
      </c>
      <c r="R632" s="17">
        <f>IF(OR($B632="",$N632&lt;&gt;"Yes"),"",IF(N($I632)&gt;0,N($I632)-N($P632),IF(N($J632)&gt;0,N($J632)-N($Q632),"")))</f>
        <v/>
      </c>
      <c r="S632" s="17">
        <f>IF(OR($B632="",$R632=""),"",IF($R632&lt;=0,"CLEARED "&amp;IFERROR(TEXT(_xlfn.MAXIFS(nrMK_Date,nrMK_Link,$B632,nrMK_Credit,"Yes"),"mm/dd"),""),"OPEN"))</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IF(OR($B633="",N($I633)=0),"",SUMIFS(nrMK_Min,nrMK_Link,$B633,nrMK_Credit,"Yes"))</f>
        <v/>
      </c>
      <c r="Q633" s="17">
        <f>IF(OR($B633="",N($J633)=0),"",SUMIFS(nrMK_Sess,nrMK_Link,$B633,nrMK_Credit,"Yes"))</f>
        <v/>
      </c>
      <c r="R633" s="17">
        <f>IF(OR($B633="",$N633&lt;&gt;"Yes"),"",IF(N($I633)&gt;0,N($I633)-N($P633),IF(N($J633)&gt;0,N($J633)-N($Q633),"")))</f>
        <v/>
      </c>
      <c r="S633" s="17">
        <f>IF(OR($B633="",$R633=""),"",IF($R633&lt;=0,"CLEARED "&amp;IFERROR(TEXT(_xlfn.MAXIFS(nrMK_Date,nrMK_Link,$B633,nrMK_Credit,"Yes"),"mm/dd"),""),"OPEN"))</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IF(OR($B634="",N($I634)=0),"",SUMIFS(nrMK_Min,nrMK_Link,$B634,nrMK_Credit,"Yes"))</f>
        <v/>
      </c>
      <c r="Q634" s="17">
        <f>IF(OR($B634="",N($J634)=0),"",SUMIFS(nrMK_Sess,nrMK_Link,$B634,nrMK_Credit,"Yes"))</f>
        <v/>
      </c>
      <c r="R634" s="17">
        <f>IF(OR($B634="",$N634&lt;&gt;"Yes"),"",IF(N($I634)&gt;0,N($I634)-N($P634),IF(N($J634)&gt;0,N($J634)-N($Q634),"")))</f>
        <v/>
      </c>
      <c r="S634" s="17">
        <f>IF(OR($B634="",$R634=""),"",IF($R634&lt;=0,"CLEARED "&amp;IFERROR(TEXT(_xlfn.MAXIFS(nrMK_Date,nrMK_Link,$B634,nrMK_Credit,"Yes"),"mm/dd"),""),"OPEN"))</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IF(OR($B635="",N($I635)=0),"",SUMIFS(nrMK_Min,nrMK_Link,$B635,nrMK_Credit,"Yes"))</f>
        <v/>
      </c>
      <c r="Q635" s="17">
        <f>IF(OR($B635="",N($J635)=0),"",SUMIFS(nrMK_Sess,nrMK_Link,$B635,nrMK_Credit,"Yes"))</f>
        <v/>
      </c>
      <c r="R635" s="17">
        <f>IF(OR($B635="",$N635&lt;&gt;"Yes"),"",IF(N($I635)&gt;0,N($I635)-N($P635),IF(N($J635)&gt;0,N($J635)-N($Q635),"")))</f>
        <v/>
      </c>
      <c r="S635" s="17">
        <f>IF(OR($B635="",$R635=""),"",IF($R635&lt;=0,"CLEARED "&amp;IFERROR(TEXT(_xlfn.MAXIFS(nrMK_Date,nrMK_Link,$B635,nrMK_Credit,"Yes"),"mm/dd"),""),"OPEN"))</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IF(OR($B636="",N($I636)=0),"",SUMIFS(nrMK_Min,nrMK_Link,$B636,nrMK_Credit,"Yes"))</f>
        <v/>
      </c>
      <c r="Q636" s="17">
        <f>IF(OR($B636="",N($J636)=0),"",SUMIFS(nrMK_Sess,nrMK_Link,$B636,nrMK_Credit,"Yes"))</f>
        <v/>
      </c>
      <c r="R636" s="17">
        <f>IF(OR($B636="",$N636&lt;&gt;"Yes"),"",IF(N($I636)&gt;0,N($I636)-N($P636),IF(N($J636)&gt;0,N($J636)-N($Q636),"")))</f>
        <v/>
      </c>
      <c r="S636" s="17">
        <f>IF(OR($B636="",$R636=""),"",IF($R636&lt;=0,"CLEARED "&amp;IFERROR(TEXT(_xlfn.MAXIFS(nrMK_Date,nrMK_Link,$B636,nrMK_Credit,"Yes"),"mm/dd"),""),"OPEN"))</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IF(OR($B637="",N($I637)=0),"",SUMIFS(nrMK_Min,nrMK_Link,$B637,nrMK_Credit,"Yes"))</f>
        <v/>
      </c>
      <c r="Q637" s="17">
        <f>IF(OR($B637="",N($J637)=0),"",SUMIFS(nrMK_Sess,nrMK_Link,$B637,nrMK_Credit,"Yes"))</f>
        <v/>
      </c>
      <c r="R637" s="17">
        <f>IF(OR($B637="",$N637&lt;&gt;"Yes"),"",IF(N($I637)&gt;0,N($I637)-N($P637),IF(N($J637)&gt;0,N($J637)-N($Q637),"")))</f>
        <v/>
      </c>
      <c r="S637" s="17">
        <f>IF(OR($B637="",$R637=""),"",IF($R637&lt;=0,"CLEARED "&amp;IFERROR(TEXT(_xlfn.MAXIFS(nrMK_Date,nrMK_Link,$B637,nrMK_Credit,"Yes"),"mm/dd"),""),"OPEN"))</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IF(OR($B638="",N($I638)=0),"",SUMIFS(nrMK_Min,nrMK_Link,$B638,nrMK_Credit,"Yes"))</f>
        <v/>
      </c>
      <c r="Q638" s="17">
        <f>IF(OR($B638="",N($J638)=0),"",SUMIFS(nrMK_Sess,nrMK_Link,$B638,nrMK_Credit,"Yes"))</f>
        <v/>
      </c>
      <c r="R638" s="17">
        <f>IF(OR($B638="",$N638&lt;&gt;"Yes"),"",IF(N($I638)&gt;0,N($I638)-N($P638),IF(N($J638)&gt;0,N($J638)-N($Q638),"")))</f>
        <v/>
      </c>
      <c r="S638" s="17">
        <f>IF(OR($B638="",$R638=""),"",IF($R638&lt;=0,"CLEARED "&amp;IFERROR(TEXT(_xlfn.MAXIFS(nrMK_Date,nrMK_Link,$B638,nrMK_Credit,"Yes"),"mm/dd"),""),"OPEN"))</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IF(OR($B639="",N($I639)=0),"",SUMIFS(nrMK_Min,nrMK_Link,$B639,nrMK_Credit,"Yes"))</f>
        <v/>
      </c>
      <c r="Q639" s="17">
        <f>IF(OR($B639="",N($J639)=0),"",SUMIFS(nrMK_Sess,nrMK_Link,$B639,nrMK_Credit,"Yes"))</f>
        <v/>
      </c>
      <c r="R639" s="17">
        <f>IF(OR($B639="",$N639&lt;&gt;"Yes"),"",IF(N($I639)&gt;0,N($I639)-N($P639),IF(N($J639)&gt;0,N($J639)-N($Q639),"")))</f>
        <v/>
      </c>
      <c r="S639" s="17">
        <f>IF(OR($B639="",$R639=""),"",IF($R639&lt;=0,"CLEARED "&amp;IFERROR(TEXT(_xlfn.MAXIFS(nrMK_Date,nrMK_Link,$B639,nrMK_Credit,"Yes"),"mm/dd"),""),"OPEN"))</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IF(OR($B640="",N($I640)=0),"",SUMIFS(nrMK_Min,nrMK_Link,$B640,nrMK_Credit,"Yes"))</f>
        <v/>
      </c>
      <c r="Q640" s="17">
        <f>IF(OR($B640="",N($J640)=0),"",SUMIFS(nrMK_Sess,nrMK_Link,$B640,nrMK_Credit,"Yes"))</f>
        <v/>
      </c>
      <c r="R640" s="17">
        <f>IF(OR($B640="",$N640&lt;&gt;"Yes"),"",IF(N($I640)&gt;0,N($I640)-N($P640),IF(N($J640)&gt;0,N($J640)-N($Q640),"")))</f>
        <v/>
      </c>
      <c r="S640" s="17">
        <f>IF(OR($B640="",$R640=""),"",IF($R640&lt;=0,"CLEARED "&amp;IFERROR(TEXT(_xlfn.MAXIFS(nrMK_Date,nrMK_Link,$B640,nrMK_Credit,"Yes"),"mm/dd"),""),"OPEN"))</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IF(OR($B641="",N($I641)=0),"",SUMIFS(nrMK_Min,nrMK_Link,$B641,nrMK_Credit,"Yes"))</f>
        <v/>
      </c>
      <c r="Q641" s="17">
        <f>IF(OR($B641="",N($J641)=0),"",SUMIFS(nrMK_Sess,nrMK_Link,$B641,nrMK_Credit,"Yes"))</f>
        <v/>
      </c>
      <c r="R641" s="17">
        <f>IF(OR($B641="",$N641&lt;&gt;"Yes"),"",IF(N($I641)&gt;0,N($I641)-N($P641),IF(N($J641)&gt;0,N($J641)-N($Q641),"")))</f>
        <v/>
      </c>
      <c r="S641" s="17">
        <f>IF(OR($B641="",$R641=""),"",IF($R641&lt;=0,"CLEARED "&amp;IFERROR(TEXT(_xlfn.MAXIFS(nrMK_Date,nrMK_Link,$B641,nrMK_Credit,"Yes"),"mm/dd"),""),"OPEN"))</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IF(OR($B642="",N($I642)=0),"",SUMIFS(nrMK_Min,nrMK_Link,$B642,nrMK_Credit,"Yes"))</f>
        <v/>
      </c>
      <c r="Q642" s="17">
        <f>IF(OR($B642="",N($J642)=0),"",SUMIFS(nrMK_Sess,nrMK_Link,$B642,nrMK_Credit,"Yes"))</f>
        <v/>
      </c>
      <c r="R642" s="17">
        <f>IF(OR($B642="",$N642&lt;&gt;"Yes"),"",IF(N($I642)&gt;0,N($I642)-N($P642),IF(N($J642)&gt;0,N($J642)-N($Q642),"")))</f>
        <v/>
      </c>
      <c r="S642" s="17">
        <f>IF(OR($B642="",$R642=""),"",IF($R642&lt;=0,"CLEARED "&amp;IFERROR(TEXT(_xlfn.MAXIFS(nrMK_Date,nrMK_Link,$B642,nrMK_Credit,"Yes"),"mm/dd"),""),"OPEN"))</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IF(OR($B643="",N($I643)=0),"",SUMIFS(nrMK_Min,nrMK_Link,$B643,nrMK_Credit,"Yes"))</f>
        <v/>
      </c>
      <c r="Q643" s="17">
        <f>IF(OR($B643="",N($J643)=0),"",SUMIFS(nrMK_Sess,nrMK_Link,$B643,nrMK_Credit,"Yes"))</f>
        <v/>
      </c>
      <c r="R643" s="17">
        <f>IF(OR($B643="",$N643&lt;&gt;"Yes"),"",IF(N($I643)&gt;0,N($I643)-N($P643),IF(N($J643)&gt;0,N($J643)-N($Q643),"")))</f>
        <v/>
      </c>
      <c r="S643" s="17">
        <f>IF(OR($B643="",$R643=""),"",IF($R643&lt;=0,"CLEARED "&amp;IFERROR(TEXT(_xlfn.MAXIFS(nrMK_Date,nrMK_Link,$B643,nrMK_Credit,"Yes"),"mm/dd"),""),"OPEN"))</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IF(OR($B644="",N($I644)=0),"",SUMIFS(nrMK_Min,nrMK_Link,$B644,nrMK_Credit,"Yes"))</f>
        <v/>
      </c>
      <c r="Q644" s="17">
        <f>IF(OR($B644="",N($J644)=0),"",SUMIFS(nrMK_Sess,nrMK_Link,$B644,nrMK_Credit,"Yes"))</f>
        <v/>
      </c>
      <c r="R644" s="17">
        <f>IF(OR($B644="",$N644&lt;&gt;"Yes"),"",IF(N($I644)&gt;0,N($I644)-N($P644),IF(N($J644)&gt;0,N($J644)-N($Q644),"")))</f>
        <v/>
      </c>
      <c r="S644" s="17">
        <f>IF(OR($B644="",$R644=""),"",IF($R644&lt;=0,"CLEARED "&amp;IFERROR(TEXT(_xlfn.MAXIFS(nrMK_Date,nrMK_Link,$B644,nrMK_Credit,"Yes"),"mm/dd"),""),"OPEN"))</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IF(OR($B645="",N($I645)=0),"",SUMIFS(nrMK_Min,nrMK_Link,$B645,nrMK_Credit,"Yes"))</f>
        <v/>
      </c>
      <c r="Q645" s="17">
        <f>IF(OR($B645="",N($J645)=0),"",SUMIFS(nrMK_Sess,nrMK_Link,$B645,nrMK_Credit,"Yes"))</f>
        <v/>
      </c>
      <c r="R645" s="17">
        <f>IF(OR($B645="",$N645&lt;&gt;"Yes"),"",IF(N($I645)&gt;0,N($I645)-N($P645),IF(N($J645)&gt;0,N($J645)-N($Q645),"")))</f>
        <v/>
      </c>
      <c r="S645" s="17">
        <f>IF(OR($B645="",$R645=""),"",IF($R645&lt;=0,"CLEARED "&amp;IFERROR(TEXT(_xlfn.MAXIFS(nrMK_Date,nrMK_Link,$B645,nrMK_Credit,"Yes"),"mm/dd"),""),"OPEN"))</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IF(OR($B646="",N($I646)=0),"",SUMIFS(nrMK_Min,nrMK_Link,$B646,nrMK_Credit,"Yes"))</f>
        <v/>
      </c>
      <c r="Q646" s="17">
        <f>IF(OR($B646="",N($J646)=0),"",SUMIFS(nrMK_Sess,nrMK_Link,$B646,nrMK_Credit,"Yes"))</f>
        <v/>
      </c>
      <c r="R646" s="17">
        <f>IF(OR($B646="",$N646&lt;&gt;"Yes"),"",IF(N($I646)&gt;0,N($I646)-N($P646),IF(N($J646)&gt;0,N($J646)-N($Q646),"")))</f>
        <v/>
      </c>
      <c r="S646" s="17">
        <f>IF(OR($B646="",$R646=""),"",IF($R646&lt;=0,"CLEARED "&amp;IFERROR(TEXT(_xlfn.MAXIFS(nrMK_Date,nrMK_Link,$B646,nrMK_Credit,"Yes"),"mm/dd"),""),"OPEN"))</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IF(OR($B647="",N($I647)=0),"",SUMIFS(nrMK_Min,nrMK_Link,$B647,nrMK_Credit,"Yes"))</f>
        <v/>
      </c>
      <c r="Q647" s="17">
        <f>IF(OR($B647="",N($J647)=0),"",SUMIFS(nrMK_Sess,nrMK_Link,$B647,nrMK_Credit,"Yes"))</f>
        <v/>
      </c>
      <c r="R647" s="17">
        <f>IF(OR($B647="",$N647&lt;&gt;"Yes"),"",IF(N($I647)&gt;0,N($I647)-N($P647),IF(N($J647)&gt;0,N($J647)-N($Q647),"")))</f>
        <v/>
      </c>
      <c r="S647" s="17">
        <f>IF(OR($B647="",$R647=""),"",IF($R647&lt;=0,"CLEARED "&amp;IFERROR(TEXT(_xlfn.MAXIFS(nrMK_Date,nrMK_Link,$B647,nrMK_Credit,"Yes"),"mm/dd"),""),"OPEN"))</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IF(OR($B648="",N($I648)=0),"",SUMIFS(nrMK_Min,nrMK_Link,$B648,nrMK_Credit,"Yes"))</f>
        <v/>
      </c>
      <c r="Q648" s="17">
        <f>IF(OR($B648="",N($J648)=0),"",SUMIFS(nrMK_Sess,nrMK_Link,$B648,nrMK_Credit,"Yes"))</f>
        <v/>
      </c>
      <c r="R648" s="17">
        <f>IF(OR($B648="",$N648&lt;&gt;"Yes"),"",IF(N($I648)&gt;0,N($I648)-N($P648),IF(N($J648)&gt;0,N($J648)-N($Q648),"")))</f>
        <v/>
      </c>
      <c r="S648" s="17">
        <f>IF(OR($B648="",$R648=""),"",IF($R648&lt;=0,"CLEARED "&amp;IFERROR(TEXT(_xlfn.MAXIFS(nrMK_Date,nrMK_Link,$B648,nrMK_Credit,"Yes"),"mm/dd"),""),"OPEN"))</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IF(OR($B649="",N($I649)=0),"",SUMIFS(nrMK_Min,nrMK_Link,$B649,nrMK_Credit,"Yes"))</f>
        <v/>
      </c>
      <c r="Q649" s="17">
        <f>IF(OR($B649="",N($J649)=0),"",SUMIFS(nrMK_Sess,nrMK_Link,$B649,nrMK_Credit,"Yes"))</f>
        <v/>
      </c>
      <c r="R649" s="17">
        <f>IF(OR($B649="",$N649&lt;&gt;"Yes"),"",IF(N($I649)&gt;0,N($I649)-N($P649),IF(N($J649)&gt;0,N($J649)-N($Q649),"")))</f>
        <v/>
      </c>
      <c r="S649" s="17">
        <f>IF(OR($B649="",$R649=""),"",IF($R649&lt;=0,"CLEARED "&amp;IFERROR(TEXT(_xlfn.MAXIFS(nrMK_Date,nrMK_Link,$B649,nrMK_Credit,"Yes"),"mm/dd"),""),"OPEN"))</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IF(OR($B650="",N($I650)=0),"",SUMIFS(nrMK_Min,nrMK_Link,$B650,nrMK_Credit,"Yes"))</f>
        <v/>
      </c>
      <c r="Q650" s="17">
        <f>IF(OR($B650="",N($J650)=0),"",SUMIFS(nrMK_Sess,nrMK_Link,$B650,nrMK_Credit,"Yes"))</f>
        <v/>
      </c>
      <c r="R650" s="17">
        <f>IF(OR($B650="",$N650&lt;&gt;"Yes"),"",IF(N($I650)&gt;0,N($I650)-N($P650),IF(N($J650)&gt;0,N($J650)-N($Q650),"")))</f>
        <v/>
      </c>
      <c r="S650" s="17">
        <f>IF(OR($B650="",$R650=""),"",IF($R650&lt;=0,"CLEARED "&amp;IFERROR(TEXT(_xlfn.MAXIFS(nrMK_Date,nrMK_Link,$B650,nrMK_Credit,"Yes"),"mm/dd"),""),"OPEN"))</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IF(OR($B651="",N($I651)=0),"",SUMIFS(nrMK_Min,nrMK_Link,$B651,nrMK_Credit,"Yes"))</f>
        <v/>
      </c>
      <c r="Q651" s="17">
        <f>IF(OR($B651="",N($J651)=0),"",SUMIFS(nrMK_Sess,nrMK_Link,$B651,nrMK_Credit,"Yes"))</f>
        <v/>
      </c>
      <c r="R651" s="17">
        <f>IF(OR($B651="",$N651&lt;&gt;"Yes"),"",IF(N($I651)&gt;0,N($I651)-N($P651),IF(N($J651)&gt;0,N($J651)-N($Q651),"")))</f>
        <v/>
      </c>
      <c r="S651" s="17">
        <f>IF(OR($B651="",$R651=""),"",IF($R651&lt;=0,"CLEARED "&amp;IFERROR(TEXT(_xlfn.MAXIFS(nrMK_Date,nrMK_Link,$B651,nrMK_Credit,"Yes"),"mm/dd"),""),"OPEN"))</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IF(OR($B652="",N($I652)=0),"",SUMIFS(nrMK_Min,nrMK_Link,$B652,nrMK_Credit,"Yes"))</f>
        <v/>
      </c>
      <c r="Q652" s="17">
        <f>IF(OR($B652="",N($J652)=0),"",SUMIFS(nrMK_Sess,nrMK_Link,$B652,nrMK_Credit,"Yes"))</f>
        <v/>
      </c>
      <c r="R652" s="17">
        <f>IF(OR($B652="",$N652&lt;&gt;"Yes"),"",IF(N($I652)&gt;0,N($I652)-N($P652),IF(N($J652)&gt;0,N($J652)-N($Q652),"")))</f>
        <v/>
      </c>
      <c r="S652" s="17">
        <f>IF(OR($B652="",$R652=""),"",IF($R652&lt;=0,"CLEARED "&amp;IFERROR(TEXT(_xlfn.MAXIFS(nrMK_Date,nrMK_Link,$B652,nrMK_Credit,"Yes"),"mm/dd"),""),"OPEN"))</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IF(OR($B653="",N($I653)=0),"",SUMIFS(nrMK_Min,nrMK_Link,$B653,nrMK_Credit,"Yes"))</f>
        <v/>
      </c>
      <c r="Q653" s="17">
        <f>IF(OR($B653="",N($J653)=0),"",SUMIFS(nrMK_Sess,nrMK_Link,$B653,nrMK_Credit,"Yes"))</f>
        <v/>
      </c>
      <c r="R653" s="17">
        <f>IF(OR($B653="",$N653&lt;&gt;"Yes"),"",IF(N($I653)&gt;0,N($I653)-N($P653),IF(N($J653)&gt;0,N($J653)-N($Q653),"")))</f>
        <v/>
      </c>
      <c r="S653" s="17">
        <f>IF(OR($B653="",$R653=""),"",IF($R653&lt;=0,"CLEARED "&amp;IFERROR(TEXT(_xlfn.MAXIFS(nrMK_Date,nrMK_Link,$B653,nrMK_Credit,"Yes"),"mm/dd"),""),"OPEN"))</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IF(OR($B654="",N($I654)=0),"",SUMIFS(nrMK_Min,nrMK_Link,$B654,nrMK_Credit,"Yes"))</f>
        <v/>
      </c>
      <c r="Q654" s="17">
        <f>IF(OR($B654="",N($J654)=0),"",SUMIFS(nrMK_Sess,nrMK_Link,$B654,nrMK_Credit,"Yes"))</f>
        <v/>
      </c>
      <c r="R654" s="17">
        <f>IF(OR($B654="",$N654&lt;&gt;"Yes"),"",IF(N($I654)&gt;0,N($I654)-N($P654),IF(N($J654)&gt;0,N($J654)-N($Q654),"")))</f>
        <v/>
      </c>
      <c r="S654" s="17">
        <f>IF(OR($B654="",$R654=""),"",IF($R654&lt;=0,"CLEARED "&amp;IFERROR(TEXT(_xlfn.MAXIFS(nrMK_Date,nrMK_Link,$B654,nrMK_Credit,"Yes"),"mm/dd"),""),"OPEN"))</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IF(OR($B655="",N($I655)=0),"",SUMIFS(nrMK_Min,nrMK_Link,$B655,nrMK_Credit,"Yes"))</f>
        <v/>
      </c>
      <c r="Q655" s="17">
        <f>IF(OR($B655="",N($J655)=0),"",SUMIFS(nrMK_Sess,nrMK_Link,$B655,nrMK_Credit,"Yes"))</f>
        <v/>
      </c>
      <c r="R655" s="17">
        <f>IF(OR($B655="",$N655&lt;&gt;"Yes"),"",IF(N($I655)&gt;0,N($I655)-N($P655),IF(N($J655)&gt;0,N($J655)-N($Q655),"")))</f>
        <v/>
      </c>
      <c r="S655" s="17">
        <f>IF(OR($B655="",$R655=""),"",IF($R655&lt;=0,"CLEARED "&amp;IFERROR(TEXT(_xlfn.MAXIFS(nrMK_Date,nrMK_Link,$B655,nrMK_Credit,"Yes"),"mm/dd"),""),"OPEN"))</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IF(OR($B656="",N($I656)=0),"",SUMIFS(nrMK_Min,nrMK_Link,$B656,nrMK_Credit,"Yes"))</f>
        <v/>
      </c>
      <c r="Q656" s="17">
        <f>IF(OR($B656="",N($J656)=0),"",SUMIFS(nrMK_Sess,nrMK_Link,$B656,nrMK_Credit,"Yes"))</f>
        <v/>
      </c>
      <c r="R656" s="17">
        <f>IF(OR($B656="",$N656&lt;&gt;"Yes"),"",IF(N($I656)&gt;0,N($I656)-N($P656),IF(N($J656)&gt;0,N($J656)-N($Q656),"")))</f>
        <v/>
      </c>
      <c r="S656" s="17">
        <f>IF(OR($B656="",$R656=""),"",IF($R656&lt;=0,"CLEARED "&amp;IFERROR(TEXT(_xlfn.MAXIFS(nrMK_Date,nrMK_Link,$B656,nrMK_Credit,"Yes"),"mm/dd"),""),"OPEN"))</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IF(OR($B657="",N($I657)=0),"",SUMIFS(nrMK_Min,nrMK_Link,$B657,nrMK_Credit,"Yes"))</f>
        <v/>
      </c>
      <c r="Q657" s="17">
        <f>IF(OR($B657="",N($J657)=0),"",SUMIFS(nrMK_Sess,nrMK_Link,$B657,nrMK_Credit,"Yes"))</f>
        <v/>
      </c>
      <c r="R657" s="17">
        <f>IF(OR($B657="",$N657&lt;&gt;"Yes"),"",IF(N($I657)&gt;0,N($I657)-N($P657),IF(N($J657)&gt;0,N($J657)-N($Q657),"")))</f>
        <v/>
      </c>
      <c r="S657" s="17">
        <f>IF(OR($B657="",$R657=""),"",IF($R657&lt;=0,"CLEARED "&amp;IFERROR(TEXT(_xlfn.MAXIFS(nrMK_Date,nrMK_Link,$B657,nrMK_Credit,"Yes"),"mm/dd"),""),"OPEN"))</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IF(OR($B658="",N($I658)=0),"",SUMIFS(nrMK_Min,nrMK_Link,$B658,nrMK_Credit,"Yes"))</f>
        <v/>
      </c>
      <c r="Q658" s="17">
        <f>IF(OR($B658="",N($J658)=0),"",SUMIFS(nrMK_Sess,nrMK_Link,$B658,nrMK_Credit,"Yes"))</f>
        <v/>
      </c>
      <c r="R658" s="17">
        <f>IF(OR($B658="",$N658&lt;&gt;"Yes"),"",IF(N($I658)&gt;0,N($I658)-N($P658),IF(N($J658)&gt;0,N($J658)-N($Q658),"")))</f>
        <v/>
      </c>
      <c r="S658" s="17">
        <f>IF(OR($B658="",$R658=""),"",IF($R658&lt;=0,"CLEARED "&amp;IFERROR(TEXT(_xlfn.MAXIFS(nrMK_Date,nrMK_Link,$B658,nrMK_Credit,"Yes"),"mm/dd"),""),"OPEN"))</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IF(OR($B659="",N($I659)=0),"",SUMIFS(nrMK_Min,nrMK_Link,$B659,nrMK_Credit,"Yes"))</f>
        <v/>
      </c>
      <c r="Q659" s="17">
        <f>IF(OR($B659="",N($J659)=0),"",SUMIFS(nrMK_Sess,nrMK_Link,$B659,nrMK_Credit,"Yes"))</f>
        <v/>
      </c>
      <c r="R659" s="17">
        <f>IF(OR($B659="",$N659&lt;&gt;"Yes"),"",IF(N($I659)&gt;0,N($I659)-N($P659),IF(N($J659)&gt;0,N($J659)-N($Q659),"")))</f>
        <v/>
      </c>
      <c r="S659" s="17">
        <f>IF(OR($B659="",$R659=""),"",IF($R659&lt;=0,"CLEARED "&amp;IFERROR(TEXT(_xlfn.MAXIFS(nrMK_Date,nrMK_Link,$B659,nrMK_Credit,"Yes"),"mm/dd"),""),"OPEN"))</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IF(OR($B660="",N($I660)=0),"",SUMIFS(nrMK_Min,nrMK_Link,$B660,nrMK_Credit,"Yes"))</f>
        <v/>
      </c>
      <c r="Q660" s="17">
        <f>IF(OR($B660="",N($J660)=0),"",SUMIFS(nrMK_Sess,nrMK_Link,$B660,nrMK_Credit,"Yes"))</f>
        <v/>
      </c>
      <c r="R660" s="17">
        <f>IF(OR($B660="",$N660&lt;&gt;"Yes"),"",IF(N($I660)&gt;0,N($I660)-N($P660),IF(N($J660)&gt;0,N($J660)-N($Q660),"")))</f>
        <v/>
      </c>
      <c r="S660" s="17">
        <f>IF(OR($B660="",$R660=""),"",IF($R660&lt;=0,"CLEARED "&amp;IFERROR(TEXT(_xlfn.MAXIFS(nrMK_Date,nrMK_Link,$B660,nrMK_Credit,"Yes"),"mm/dd"),""),"OPEN"))</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IF(OR($B661="",N($I661)=0),"",SUMIFS(nrMK_Min,nrMK_Link,$B661,nrMK_Credit,"Yes"))</f>
        <v/>
      </c>
      <c r="Q661" s="17">
        <f>IF(OR($B661="",N($J661)=0),"",SUMIFS(nrMK_Sess,nrMK_Link,$B661,nrMK_Credit,"Yes"))</f>
        <v/>
      </c>
      <c r="R661" s="17">
        <f>IF(OR($B661="",$N661&lt;&gt;"Yes"),"",IF(N($I661)&gt;0,N($I661)-N($P661),IF(N($J661)&gt;0,N($J661)-N($Q661),"")))</f>
        <v/>
      </c>
      <c r="S661" s="17">
        <f>IF(OR($B661="",$R661=""),"",IF($R661&lt;=0,"CLEARED "&amp;IFERROR(TEXT(_xlfn.MAXIFS(nrMK_Date,nrMK_Link,$B661,nrMK_Credit,"Yes"),"mm/dd"),""),"OPEN"))</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IF(OR($B662="",N($I662)=0),"",SUMIFS(nrMK_Min,nrMK_Link,$B662,nrMK_Credit,"Yes"))</f>
        <v/>
      </c>
      <c r="Q662" s="17">
        <f>IF(OR($B662="",N($J662)=0),"",SUMIFS(nrMK_Sess,nrMK_Link,$B662,nrMK_Credit,"Yes"))</f>
        <v/>
      </c>
      <c r="R662" s="17">
        <f>IF(OR($B662="",$N662&lt;&gt;"Yes"),"",IF(N($I662)&gt;0,N($I662)-N($P662),IF(N($J662)&gt;0,N($J662)-N($Q662),"")))</f>
        <v/>
      </c>
      <c r="S662" s="17">
        <f>IF(OR($B662="",$R662=""),"",IF($R662&lt;=0,"CLEARED "&amp;IFERROR(TEXT(_xlfn.MAXIFS(nrMK_Date,nrMK_Link,$B662,nrMK_Credit,"Yes"),"mm/dd"),""),"OPEN"))</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IF(OR($B663="",N($I663)=0),"",SUMIFS(nrMK_Min,nrMK_Link,$B663,nrMK_Credit,"Yes"))</f>
        <v/>
      </c>
      <c r="Q663" s="17">
        <f>IF(OR($B663="",N($J663)=0),"",SUMIFS(nrMK_Sess,nrMK_Link,$B663,nrMK_Credit,"Yes"))</f>
        <v/>
      </c>
      <c r="R663" s="17">
        <f>IF(OR($B663="",$N663&lt;&gt;"Yes"),"",IF(N($I663)&gt;0,N($I663)-N($P663),IF(N($J663)&gt;0,N($J663)-N($Q663),"")))</f>
        <v/>
      </c>
      <c r="S663" s="17">
        <f>IF(OR($B663="",$R663=""),"",IF($R663&lt;=0,"CLEARED "&amp;IFERROR(TEXT(_xlfn.MAXIFS(nrMK_Date,nrMK_Link,$B663,nrMK_Credit,"Yes"),"mm/dd"),""),"OPEN"))</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IF(OR($B664="",N($I664)=0),"",SUMIFS(nrMK_Min,nrMK_Link,$B664,nrMK_Credit,"Yes"))</f>
        <v/>
      </c>
      <c r="Q664" s="17">
        <f>IF(OR($B664="",N($J664)=0),"",SUMIFS(nrMK_Sess,nrMK_Link,$B664,nrMK_Credit,"Yes"))</f>
        <v/>
      </c>
      <c r="R664" s="17">
        <f>IF(OR($B664="",$N664&lt;&gt;"Yes"),"",IF(N($I664)&gt;0,N($I664)-N($P664),IF(N($J664)&gt;0,N($J664)-N($Q664),"")))</f>
        <v/>
      </c>
      <c r="S664" s="17">
        <f>IF(OR($B664="",$R664=""),"",IF($R664&lt;=0,"CLEARED "&amp;IFERROR(TEXT(_xlfn.MAXIFS(nrMK_Date,nrMK_Link,$B664,nrMK_Credit,"Yes"),"mm/dd"),""),"OPEN"))</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IF(OR($B665="",N($I665)=0),"",SUMIFS(nrMK_Min,nrMK_Link,$B665,nrMK_Credit,"Yes"))</f>
        <v/>
      </c>
      <c r="Q665" s="17">
        <f>IF(OR($B665="",N($J665)=0),"",SUMIFS(nrMK_Sess,nrMK_Link,$B665,nrMK_Credit,"Yes"))</f>
        <v/>
      </c>
      <c r="R665" s="17">
        <f>IF(OR($B665="",$N665&lt;&gt;"Yes"),"",IF(N($I665)&gt;0,N($I665)-N($P665),IF(N($J665)&gt;0,N($J665)-N($Q665),"")))</f>
        <v/>
      </c>
      <c r="S665" s="17">
        <f>IF(OR($B665="",$R665=""),"",IF($R665&lt;=0,"CLEARED "&amp;IFERROR(TEXT(_xlfn.MAXIFS(nrMK_Date,nrMK_Link,$B665,nrMK_Credit,"Yes"),"mm/dd"),""),"OPEN"))</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IF(OR($B666="",N($I666)=0),"",SUMIFS(nrMK_Min,nrMK_Link,$B666,nrMK_Credit,"Yes"))</f>
        <v/>
      </c>
      <c r="Q666" s="17">
        <f>IF(OR($B666="",N($J666)=0),"",SUMIFS(nrMK_Sess,nrMK_Link,$B666,nrMK_Credit,"Yes"))</f>
        <v/>
      </c>
      <c r="R666" s="17">
        <f>IF(OR($B666="",$N666&lt;&gt;"Yes"),"",IF(N($I666)&gt;0,N($I666)-N($P666),IF(N($J666)&gt;0,N($J666)-N($Q666),"")))</f>
        <v/>
      </c>
      <c r="S666" s="17">
        <f>IF(OR($B666="",$R666=""),"",IF($R666&lt;=0,"CLEARED "&amp;IFERROR(TEXT(_xlfn.MAXIFS(nrMK_Date,nrMK_Link,$B666,nrMK_Credit,"Yes"),"mm/dd"),""),"OPEN"))</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IF(OR($B667="",N($I667)=0),"",SUMIFS(nrMK_Min,nrMK_Link,$B667,nrMK_Credit,"Yes"))</f>
        <v/>
      </c>
      <c r="Q667" s="17">
        <f>IF(OR($B667="",N($J667)=0),"",SUMIFS(nrMK_Sess,nrMK_Link,$B667,nrMK_Credit,"Yes"))</f>
        <v/>
      </c>
      <c r="R667" s="17">
        <f>IF(OR($B667="",$N667&lt;&gt;"Yes"),"",IF(N($I667)&gt;0,N($I667)-N($P667),IF(N($J667)&gt;0,N($J667)-N($Q667),"")))</f>
        <v/>
      </c>
      <c r="S667" s="17">
        <f>IF(OR($B667="",$R667=""),"",IF($R667&lt;=0,"CLEARED "&amp;IFERROR(TEXT(_xlfn.MAXIFS(nrMK_Date,nrMK_Link,$B667,nrMK_Credit,"Yes"),"mm/dd"),""),"OPEN"))</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IF(OR($B668="",N($I668)=0),"",SUMIFS(nrMK_Min,nrMK_Link,$B668,nrMK_Credit,"Yes"))</f>
        <v/>
      </c>
      <c r="Q668" s="17">
        <f>IF(OR($B668="",N($J668)=0),"",SUMIFS(nrMK_Sess,nrMK_Link,$B668,nrMK_Credit,"Yes"))</f>
        <v/>
      </c>
      <c r="R668" s="17">
        <f>IF(OR($B668="",$N668&lt;&gt;"Yes"),"",IF(N($I668)&gt;0,N($I668)-N($P668),IF(N($J668)&gt;0,N($J668)-N($Q668),"")))</f>
        <v/>
      </c>
      <c r="S668" s="17">
        <f>IF(OR($B668="",$R668=""),"",IF($R668&lt;=0,"CLEARED "&amp;IFERROR(TEXT(_xlfn.MAXIFS(nrMK_Date,nrMK_Link,$B668,nrMK_Credit,"Yes"),"mm/dd"),""),"OPEN"))</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IF(OR($B669="",N($I669)=0),"",SUMIFS(nrMK_Min,nrMK_Link,$B669,nrMK_Credit,"Yes"))</f>
        <v/>
      </c>
      <c r="Q669" s="17">
        <f>IF(OR($B669="",N($J669)=0),"",SUMIFS(nrMK_Sess,nrMK_Link,$B669,nrMK_Credit,"Yes"))</f>
        <v/>
      </c>
      <c r="R669" s="17">
        <f>IF(OR($B669="",$N669&lt;&gt;"Yes"),"",IF(N($I669)&gt;0,N($I669)-N($P669),IF(N($J669)&gt;0,N($J669)-N($Q669),"")))</f>
        <v/>
      </c>
      <c r="S669" s="17">
        <f>IF(OR($B669="",$R669=""),"",IF($R669&lt;=0,"CLEARED "&amp;IFERROR(TEXT(_xlfn.MAXIFS(nrMK_Date,nrMK_Link,$B669,nrMK_Credit,"Yes"),"mm/dd"),""),"OPEN"))</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IF(OR($B670="",N($I670)=0),"",SUMIFS(nrMK_Min,nrMK_Link,$B670,nrMK_Credit,"Yes"))</f>
        <v/>
      </c>
      <c r="Q670" s="17">
        <f>IF(OR($B670="",N($J670)=0),"",SUMIFS(nrMK_Sess,nrMK_Link,$B670,nrMK_Credit,"Yes"))</f>
        <v/>
      </c>
      <c r="R670" s="17">
        <f>IF(OR($B670="",$N670&lt;&gt;"Yes"),"",IF(N($I670)&gt;0,N($I670)-N($P670),IF(N($J670)&gt;0,N($J670)-N($Q670),"")))</f>
        <v/>
      </c>
      <c r="S670" s="17">
        <f>IF(OR($B670="",$R670=""),"",IF($R670&lt;=0,"CLEARED "&amp;IFERROR(TEXT(_xlfn.MAXIFS(nrMK_Date,nrMK_Link,$B670,nrMK_Credit,"Yes"),"mm/dd"),""),"OPEN"))</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IF(OR($B671="",N($I671)=0),"",SUMIFS(nrMK_Min,nrMK_Link,$B671,nrMK_Credit,"Yes"))</f>
        <v/>
      </c>
      <c r="Q671" s="17">
        <f>IF(OR($B671="",N($J671)=0),"",SUMIFS(nrMK_Sess,nrMK_Link,$B671,nrMK_Credit,"Yes"))</f>
        <v/>
      </c>
      <c r="R671" s="17">
        <f>IF(OR($B671="",$N671&lt;&gt;"Yes"),"",IF(N($I671)&gt;0,N($I671)-N($P671),IF(N($J671)&gt;0,N($J671)-N($Q671),"")))</f>
        <v/>
      </c>
      <c r="S671" s="17">
        <f>IF(OR($B671="",$R671=""),"",IF($R671&lt;=0,"CLEARED "&amp;IFERROR(TEXT(_xlfn.MAXIFS(nrMK_Date,nrMK_Link,$B671,nrMK_Credit,"Yes"),"mm/dd"),""),"OPEN"))</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IF(OR($B672="",N($I672)=0),"",SUMIFS(nrMK_Min,nrMK_Link,$B672,nrMK_Credit,"Yes"))</f>
        <v/>
      </c>
      <c r="Q672" s="17">
        <f>IF(OR($B672="",N($J672)=0),"",SUMIFS(nrMK_Sess,nrMK_Link,$B672,nrMK_Credit,"Yes"))</f>
        <v/>
      </c>
      <c r="R672" s="17">
        <f>IF(OR($B672="",$N672&lt;&gt;"Yes"),"",IF(N($I672)&gt;0,N($I672)-N($P672),IF(N($J672)&gt;0,N($J672)-N($Q672),"")))</f>
        <v/>
      </c>
      <c r="S672" s="17">
        <f>IF(OR($B672="",$R672=""),"",IF($R672&lt;=0,"CLEARED "&amp;IFERROR(TEXT(_xlfn.MAXIFS(nrMK_Date,nrMK_Link,$B672,nrMK_Credit,"Yes"),"mm/dd"),""),"OPEN"))</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IF(OR($B673="",N($I673)=0),"",SUMIFS(nrMK_Min,nrMK_Link,$B673,nrMK_Credit,"Yes"))</f>
        <v/>
      </c>
      <c r="Q673" s="17">
        <f>IF(OR($B673="",N($J673)=0),"",SUMIFS(nrMK_Sess,nrMK_Link,$B673,nrMK_Credit,"Yes"))</f>
        <v/>
      </c>
      <c r="R673" s="17">
        <f>IF(OR($B673="",$N673&lt;&gt;"Yes"),"",IF(N($I673)&gt;0,N($I673)-N($P673),IF(N($J673)&gt;0,N($J673)-N($Q673),"")))</f>
        <v/>
      </c>
      <c r="S673" s="17">
        <f>IF(OR($B673="",$R673=""),"",IF($R673&lt;=0,"CLEARED "&amp;IFERROR(TEXT(_xlfn.MAXIFS(nrMK_Date,nrMK_Link,$B673,nrMK_Credit,"Yes"),"mm/dd"),""),"OPEN"))</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IF(OR($B674="",N($I674)=0),"",SUMIFS(nrMK_Min,nrMK_Link,$B674,nrMK_Credit,"Yes"))</f>
        <v/>
      </c>
      <c r="Q674" s="17">
        <f>IF(OR($B674="",N($J674)=0),"",SUMIFS(nrMK_Sess,nrMK_Link,$B674,nrMK_Credit,"Yes"))</f>
        <v/>
      </c>
      <c r="R674" s="17">
        <f>IF(OR($B674="",$N674&lt;&gt;"Yes"),"",IF(N($I674)&gt;0,N($I674)-N($P674),IF(N($J674)&gt;0,N($J674)-N($Q674),"")))</f>
        <v/>
      </c>
      <c r="S674" s="17">
        <f>IF(OR($B674="",$R674=""),"",IF($R674&lt;=0,"CLEARED "&amp;IFERROR(TEXT(_xlfn.MAXIFS(nrMK_Date,nrMK_Link,$B674,nrMK_Credit,"Yes"),"mm/dd"),""),"OPEN"))</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IF(OR($B675="",N($I675)=0),"",SUMIFS(nrMK_Min,nrMK_Link,$B675,nrMK_Credit,"Yes"))</f>
        <v/>
      </c>
      <c r="Q675" s="17">
        <f>IF(OR($B675="",N($J675)=0),"",SUMIFS(nrMK_Sess,nrMK_Link,$B675,nrMK_Credit,"Yes"))</f>
        <v/>
      </c>
      <c r="R675" s="17">
        <f>IF(OR($B675="",$N675&lt;&gt;"Yes"),"",IF(N($I675)&gt;0,N($I675)-N($P675),IF(N($J675)&gt;0,N($J675)-N($Q675),"")))</f>
        <v/>
      </c>
      <c r="S675" s="17">
        <f>IF(OR($B675="",$R675=""),"",IF($R675&lt;=0,"CLEARED "&amp;IFERROR(TEXT(_xlfn.MAXIFS(nrMK_Date,nrMK_Link,$B675,nrMK_Credit,"Yes"),"mm/dd"),""),"OPEN"))</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IF(OR($B676="",N($I676)=0),"",SUMIFS(nrMK_Min,nrMK_Link,$B676,nrMK_Credit,"Yes"))</f>
        <v/>
      </c>
      <c r="Q676" s="17">
        <f>IF(OR($B676="",N($J676)=0),"",SUMIFS(nrMK_Sess,nrMK_Link,$B676,nrMK_Credit,"Yes"))</f>
        <v/>
      </c>
      <c r="R676" s="17">
        <f>IF(OR($B676="",$N676&lt;&gt;"Yes"),"",IF(N($I676)&gt;0,N($I676)-N($P676),IF(N($J676)&gt;0,N($J676)-N($Q676),"")))</f>
        <v/>
      </c>
      <c r="S676" s="17">
        <f>IF(OR($B676="",$R676=""),"",IF($R676&lt;=0,"CLEARED "&amp;IFERROR(TEXT(_xlfn.MAXIFS(nrMK_Date,nrMK_Link,$B676,nrMK_Credit,"Yes"),"mm/dd"),""),"OPEN"))</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IF(OR($B677="",N($I677)=0),"",SUMIFS(nrMK_Min,nrMK_Link,$B677,nrMK_Credit,"Yes"))</f>
        <v/>
      </c>
      <c r="Q677" s="17">
        <f>IF(OR($B677="",N($J677)=0),"",SUMIFS(nrMK_Sess,nrMK_Link,$B677,nrMK_Credit,"Yes"))</f>
        <v/>
      </c>
      <c r="R677" s="17">
        <f>IF(OR($B677="",$N677&lt;&gt;"Yes"),"",IF(N($I677)&gt;0,N($I677)-N($P677),IF(N($J677)&gt;0,N($J677)-N($Q677),"")))</f>
        <v/>
      </c>
      <c r="S677" s="17">
        <f>IF(OR($B677="",$R677=""),"",IF($R677&lt;=0,"CLEARED "&amp;IFERROR(TEXT(_xlfn.MAXIFS(nrMK_Date,nrMK_Link,$B677,nrMK_Credit,"Yes"),"mm/dd"),""),"OPEN"))</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IF(OR($B678="",N($I678)=0),"",SUMIFS(nrMK_Min,nrMK_Link,$B678,nrMK_Credit,"Yes"))</f>
        <v/>
      </c>
      <c r="Q678" s="17">
        <f>IF(OR($B678="",N($J678)=0),"",SUMIFS(nrMK_Sess,nrMK_Link,$B678,nrMK_Credit,"Yes"))</f>
        <v/>
      </c>
      <c r="R678" s="17">
        <f>IF(OR($B678="",$N678&lt;&gt;"Yes"),"",IF(N($I678)&gt;0,N($I678)-N($P678),IF(N($J678)&gt;0,N($J678)-N($Q678),"")))</f>
        <v/>
      </c>
      <c r="S678" s="17">
        <f>IF(OR($B678="",$R678=""),"",IF($R678&lt;=0,"CLEARED "&amp;IFERROR(TEXT(_xlfn.MAXIFS(nrMK_Date,nrMK_Link,$B678,nrMK_Credit,"Yes"),"mm/dd"),""),"OPEN"))</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IF(OR($B679="",N($I679)=0),"",SUMIFS(nrMK_Min,nrMK_Link,$B679,nrMK_Credit,"Yes"))</f>
        <v/>
      </c>
      <c r="Q679" s="17">
        <f>IF(OR($B679="",N($J679)=0),"",SUMIFS(nrMK_Sess,nrMK_Link,$B679,nrMK_Credit,"Yes"))</f>
        <v/>
      </c>
      <c r="R679" s="17">
        <f>IF(OR($B679="",$N679&lt;&gt;"Yes"),"",IF(N($I679)&gt;0,N($I679)-N($P679),IF(N($J679)&gt;0,N($J679)-N($Q679),"")))</f>
        <v/>
      </c>
      <c r="S679" s="17">
        <f>IF(OR($B679="",$R679=""),"",IF($R679&lt;=0,"CLEARED "&amp;IFERROR(TEXT(_xlfn.MAXIFS(nrMK_Date,nrMK_Link,$B679,nrMK_Credit,"Yes"),"mm/dd"),""),"OPEN"))</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IF(OR($B680="",N($I680)=0),"",SUMIFS(nrMK_Min,nrMK_Link,$B680,nrMK_Credit,"Yes"))</f>
        <v/>
      </c>
      <c r="Q680" s="17">
        <f>IF(OR($B680="",N($J680)=0),"",SUMIFS(nrMK_Sess,nrMK_Link,$B680,nrMK_Credit,"Yes"))</f>
        <v/>
      </c>
      <c r="R680" s="17">
        <f>IF(OR($B680="",$N680&lt;&gt;"Yes"),"",IF(N($I680)&gt;0,N($I680)-N($P680),IF(N($J680)&gt;0,N($J680)-N($Q680),"")))</f>
        <v/>
      </c>
      <c r="S680" s="17">
        <f>IF(OR($B680="",$R680=""),"",IF($R680&lt;=0,"CLEARED "&amp;IFERROR(TEXT(_xlfn.MAXIFS(nrMK_Date,nrMK_Link,$B680,nrMK_Credit,"Yes"),"mm/dd"),""),"OPEN"))</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IF(OR($B681="",N($I681)=0),"",SUMIFS(nrMK_Min,nrMK_Link,$B681,nrMK_Credit,"Yes"))</f>
        <v/>
      </c>
      <c r="Q681" s="17">
        <f>IF(OR($B681="",N($J681)=0),"",SUMIFS(nrMK_Sess,nrMK_Link,$B681,nrMK_Credit,"Yes"))</f>
        <v/>
      </c>
      <c r="R681" s="17">
        <f>IF(OR($B681="",$N681&lt;&gt;"Yes"),"",IF(N($I681)&gt;0,N($I681)-N($P681),IF(N($J681)&gt;0,N($J681)-N($Q681),"")))</f>
        <v/>
      </c>
      <c r="S681" s="17">
        <f>IF(OR($B681="",$R681=""),"",IF($R681&lt;=0,"CLEARED "&amp;IFERROR(TEXT(_xlfn.MAXIFS(nrMK_Date,nrMK_Link,$B681,nrMK_Credit,"Yes"),"mm/dd"),""),"OPEN"))</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IF(OR($B682="",N($I682)=0),"",SUMIFS(nrMK_Min,nrMK_Link,$B682,nrMK_Credit,"Yes"))</f>
        <v/>
      </c>
      <c r="Q682" s="17">
        <f>IF(OR($B682="",N($J682)=0),"",SUMIFS(nrMK_Sess,nrMK_Link,$B682,nrMK_Credit,"Yes"))</f>
        <v/>
      </c>
      <c r="R682" s="17">
        <f>IF(OR($B682="",$N682&lt;&gt;"Yes"),"",IF(N($I682)&gt;0,N($I682)-N($P682),IF(N($J682)&gt;0,N($J682)-N($Q682),"")))</f>
        <v/>
      </c>
      <c r="S682" s="17">
        <f>IF(OR($B682="",$R682=""),"",IF($R682&lt;=0,"CLEARED "&amp;IFERROR(TEXT(_xlfn.MAXIFS(nrMK_Date,nrMK_Link,$B682,nrMK_Credit,"Yes"),"mm/dd"),""),"OPEN"))</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IF(OR($B683="",N($I683)=0),"",SUMIFS(nrMK_Min,nrMK_Link,$B683,nrMK_Credit,"Yes"))</f>
        <v/>
      </c>
      <c r="Q683" s="17">
        <f>IF(OR($B683="",N($J683)=0),"",SUMIFS(nrMK_Sess,nrMK_Link,$B683,nrMK_Credit,"Yes"))</f>
        <v/>
      </c>
      <c r="R683" s="17">
        <f>IF(OR($B683="",$N683&lt;&gt;"Yes"),"",IF(N($I683)&gt;0,N($I683)-N($P683),IF(N($J683)&gt;0,N($J683)-N($Q683),"")))</f>
        <v/>
      </c>
      <c r="S683" s="17">
        <f>IF(OR($B683="",$R683=""),"",IF($R683&lt;=0,"CLEARED "&amp;IFERROR(TEXT(_xlfn.MAXIFS(nrMK_Date,nrMK_Link,$B683,nrMK_Credit,"Yes"),"mm/dd"),""),"OPEN"))</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IF(OR($B684="",N($I684)=0),"",SUMIFS(nrMK_Min,nrMK_Link,$B684,nrMK_Credit,"Yes"))</f>
        <v/>
      </c>
      <c r="Q684" s="17">
        <f>IF(OR($B684="",N($J684)=0),"",SUMIFS(nrMK_Sess,nrMK_Link,$B684,nrMK_Credit,"Yes"))</f>
        <v/>
      </c>
      <c r="R684" s="17">
        <f>IF(OR($B684="",$N684&lt;&gt;"Yes"),"",IF(N($I684)&gt;0,N($I684)-N($P684),IF(N($J684)&gt;0,N($J684)-N($Q684),"")))</f>
        <v/>
      </c>
      <c r="S684" s="17">
        <f>IF(OR($B684="",$R684=""),"",IF($R684&lt;=0,"CLEARED "&amp;IFERROR(TEXT(_xlfn.MAXIFS(nrMK_Date,nrMK_Link,$B684,nrMK_Credit,"Yes"),"mm/dd"),""),"OPEN"))</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IF(OR($B685="",N($I685)=0),"",SUMIFS(nrMK_Min,nrMK_Link,$B685,nrMK_Credit,"Yes"))</f>
        <v/>
      </c>
      <c r="Q685" s="17">
        <f>IF(OR($B685="",N($J685)=0),"",SUMIFS(nrMK_Sess,nrMK_Link,$B685,nrMK_Credit,"Yes"))</f>
        <v/>
      </c>
      <c r="R685" s="17">
        <f>IF(OR($B685="",$N685&lt;&gt;"Yes"),"",IF(N($I685)&gt;0,N($I685)-N($P685),IF(N($J685)&gt;0,N($J685)-N($Q685),"")))</f>
        <v/>
      </c>
      <c r="S685" s="17">
        <f>IF(OR($B685="",$R685=""),"",IF($R685&lt;=0,"CLEARED "&amp;IFERROR(TEXT(_xlfn.MAXIFS(nrMK_Date,nrMK_Link,$B685,nrMK_Credit,"Yes"),"mm/dd"),""),"OPEN"))</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IF(OR($B686="",N($I686)=0),"",SUMIFS(nrMK_Min,nrMK_Link,$B686,nrMK_Credit,"Yes"))</f>
        <v/>
      </c>
      <c r="Q686" s="17">
        <f>IF(OR($B686="",N($J686)=0),"",SUMIFS(nrMK_Sess,nrMK_Link,$B686,nrMK_Credit,"Yes"))</f>
        <v/>
      </c>
      <c r="R686" s="17">
        <f>IF(OR($B686="",$N686&lt;&gt;"Yes"),"",IF(N($I686)&gt;0,N($I686)-N($P686),IF(N($J686)&gt;0,N($J686)-N($Q686),"")))</f>
        <v/>
      </c>
      <c r="S686" s="17">
        <f>IF(OR($B686="",$R686=""),"",IF($R686&lt;=0,"CLEARED "&amp;IFERROR(TEXT(_xlfn.MAXIFS(nrMK_Date,nrMK_Link,$B686,nrMK_Credit,"Yes"),"mm/dd"),""),"OPEN"))</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IF(OR($B687="",N($I687)=0),"",SUMIFS(nrMK_Min,nrMK_Link,$B687,nrMK_Credit,"Yes"))</f>
        <v/>
      </c>
      <c r="Q687" s="17">
        <f>IF(OR($B687="",N($J687)=0),"",SUMIFS(nrMK_Sess,nrMK_Link,$B687,nrMK_Credit,"Yes"))</f>
        <v/>
      </c>
      <c r="R687" s="17">
        <f>IF(OR($B687="",$N687&lt;&gt;"Yes"),"",IF(N($I687)&gt;0,N($I687)-N($P687),IF(N($J687)&gt;0,N($J687)-N($Q687),"")))</f>
        <v/>
      </c>
      <c r="S687" s="17">
        <f>IF(OR($B687="",$R687=""),"",IF($R687&lt;=0,"CLEARED "&amp;IFERROR(TEXT(_xlfn.MAXIFS(nrMK_Date,nrMK_Link,$B687,nrMK_Credit,"Yes"),"mm/dd"),""),"OPEN"))</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IF(OR($B688="",N($I688)=0),"",SUMIFS(nrMK_Min,nrMK_Link,$B688,nrMK_Credit,"Yes"))</f>
        <v/>
      </c>
      <c r="Q688" s="17">
        <f>IF(OR($B688="",N($J688)=0),"",SUMIFS(nrMK_Sess,nrMK_Link,$B688,nrMK_Credit,"Yes"))</f>
        <v/>
      </c>
      <c r="R688" s="17">
        <f>IF(OR($B688="",$N688&lt;&gt;"Yes"),"",IF(N($I688)&gt;0,N($I688)-N($P688),IF(N($J688)&gt;0,N($J688)-N($Q688),"")))</f>
        <v/>
      </c>
      <c r="S688" s="17">
        <f>IF(OR($B688="",$R688=""),"",IF($R688&lt;=0,"CLEARED "&amp;IFERROR(TEXT(_xlfn.MAXIFS(nrMK_Date,nrMK_Link,$B688,nrMK_Credit,"Yes"),"mm/dd"),""),"OPEN"))</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IF(OR($B689="",N($I689)=0),"",SUMIFS(nrMK_Min,nrMK_Link,$B689,nrMK_Credit,"Yes"))</f>
        <v/>
      </c>
      <c r="Q689" s="17">
        <f>IF(OR($B689="",N($J689)=0),"",SUMIFS(nrMK_Sess,nrMK_Link,$B689,nrMK_Credit,"Yes"))</f>
        <v/>
      </c>
      <c r="R689" s="17">
        <f>IF(OR($B689="",$N689&lt;&gt;"Yes"),"",IF(N($I689)&gt;0,N($I689)-N($P689),IF(N($J689)&gt;0,N($J689)-N($Q689),"")))</f>
        <v/>
      </c>
      <c r="S689" s="17">
        <f>IF(OR($B689="",$R689=""),"",IF($R689&lt;=0,"CLEARED "&amp;IFERROR(TEXT(_xlfn.MAXIFS(nrMK_Date,nrMK_Link,$B689,nrMK_Credit,"Yes"),"mm/dd"),""),"OPEN"))</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IF(OR($B690="",N($I690)=0),"",SUMIFS(nrMK_Min,nrMK_Link,$B690,nrMK_Credit,"Yes"))</f>
        <v/>
      </c>
      <c r="Q690" s="17">
        <f>IF(OR($B690="",N($J690)=0),"",SUMIFS(nrMK_Sess,nrMK_Link,$B690,nrMK_Credit,"Yes"))</f>
        <v/>
      </c>
      <c r="R690" s="17">
        <f>IF(OR($B690="",$N690&lt;&gt;"Yes"),"",IF(N($I690)&gt;0,N($I690)-N($P690),IF(N($J690)&gt;0,N($J690)-N($Q690),"")))</f>
        <v/>
      </c>
      <c r="S690" s="17">
        <f>IF(OR($B690="",$R690=""),"",IF($R690&lt;=0,"CLEARED "&amp;IFERROR(TEXT(_xlfn.MAXIFS(nrMK_Date,nrMK_Link,$B690,nrMK_Credit,"Yes"),"mm/dd"),""),"OPEN"))</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IF(OR($B691="",N($I691)=0),"",SUMIFS(nrMK_Min,nrMK_Link,$B691,nrMK_Credit,"Yes"))</f>
        <v/>
      </c>
      <c r="Q691" s="17">
        <f>IF(OR($B691="",N($J691)=0),"",SUMIFS(nrMK_Sess,nrMK_Link,$B691,nrMK_Credit,"Yes"))</f>
        <v/>
      </c>
      <c r="R691" s="17">
        <f>IF(OR($B691="",$N691&lt;&gt;"Yes"),"",IF(N($I691)&gt;0,N($I691)-N($P691),IF(N($J691)&gt;0,N($J691)-N($Q691),"")))</f>
        <v/>
      </c>
      <c r="S691" s="17">
        <f>IF(OR($B691="",$R691=""),"",IF($R691&lt;=0,"CLEARED "&amp;IFERROR(TEXT(_xlfn.MAXIFS(nrMK_Date,nrMK_Link,$B691,nrMK_Credit,"Yes"),"mm/dd"),""),"OPEN"))</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IF(OR($B692="",N($I692)=0),"",SUMIFS(nrMK_Min,nrMK_Link,$B692,nrMK_Credit,"Yes"))</f>
        <v/>
      </c>
      <c r="Q692" s="17">
        <f>IF(OR($B692="",N($J692)=0),"",SUMIFS(nrMK_Sess,nrMK_Link,$B692,nrMK_Credit,"Yes"))</f>
        <v/>
      </c>
      <c r="R692" s="17">
        <f>IF(OR($B692="",$N692&lt;&gt;"Yes"),"",IF(N($I692)&gt;0,N($I692)-N($P692),IF(N($J692)&gt;0,N($J692)-N($Q692),"")))</f>
        <v/>
      </c>
      <c r="S692" s="17">
        <f>IF(OR($B692="",$R692=""),"",IF($R692&lt;=0,"CLEARED "&amp;IFERROR(TEXT(_xlfn.MAXIFS(nrMK_Date,nrMK_Link,$B692,nrMK_Credit,"Yes"),"mm/dd"),""),"OPEN"))</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IF(OR($B693="",N($I693)=0),"",SUMIFS(nrMK_Min,nrMK_Link,$B693,nrMK_Credit,"Yes"))</f>
        <v/>
      </c>
      <c r="Q693" s="17">
        <f>IF(OR($B693="",N($J693)=0),"",SUMIFS(nrMK_Sess,nrMK_Link,$B693,nrMK_Credit,"Yes"))</f>
        <v/>
      </c>
      <c r="R693" s="17">
        <f>IF(OR($B693="",$N693&lt;&gt;"Yes"),"",IF(N($I693)&gt;0,N($I693)-N($P693),IF(N($J693)&gt;0,N($J693)-N($Q693),"")))</f>
        <v/>
      </c>
      <c r="S693" s="17">
        <f>IF(OR($B693="",$R693=""),"",IF($R693&lt;=0,"CLEARED "&amp;IFERROR(TEXT(_xlfn.MAXIFS(nrMK_Date,nrMK_Link,$B693,nrMK_Credit,"Yes"),"mm/dd"),""),"OPEN"))</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IF(OR($B694="",N($I694)=0),"",SUMIFS(nrMK_Min,nrMK_Link,$B694,nrMK_Credit,"Yes"))</f>
        <v/>
      </c>
      <c r="Q694" s="17">
        <f>IF(OR($B694="",N($J694)=0),"",SUMIFS(nrMK_Sess,nrMK_Link,$B694,nrMK_Credit,"Yes"))</f>
        <v/>
      </c>
      <c r="R694" s="17">
        <f>IF(OR($B694="",$N694&lt;&gt;"Yes"),"",IF(N($I694)&gt;0,N($I694)-N($P694),IF(N($J694)&gt;0,N($J694)-N($Q694),"")))</f>
        <v/>
      </c>
      <c r="S694" s="17">
        <f>IF(OR($B694="",$R694=""),"",IF($R694&lt;=0,"CLEARED "&amp;IFERROR(TEXT(_xlfn.MAXIFS(nrMK_Date,nrMK_Link,$B694,nrMK_Credit,"Yes"),"mm/dd"),""),"OPEN"))</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IF(OR($B695="",N($I695)=0),"",SUMIFS(nrMK_Min,nrMK_Link,$B695,nrMK_Credit,"Yes"))</f>
        <v/>
      </c>
      <c r="Q695" s="17">
        <f>IF(OR($B695="",N($J695)=0),"",SUMIFS(nrMK_Sess,nrMK_Link,$B695,nrMK_Credit,"Yes"))</f>
        <v/>
      </c>
      <c r="R695" s="17">
        <f>IF(OR($B695="",$N695&lt;&gt;"Yes"),"",IF(N($I695)&gt;0,N($I695)-N($P695),IF(N($J695)&gt;0,N($J695)-N($Q695),"")))</f>
        <v/>
      </c>
      <c r="S695" s="17">
        <f>IF(OR($B695="",$R695=""),"",IF($R695&lt;=0,"CLEARED "&amp;IFERROR(TEXT(_xlfn.MAXIFS(nrMK_Date,nrMK_Link,$B695,nrMK_Credit,"Yes"),"mm/dd"),""),"OPEN"))</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IF(OR($B696="",N($I696)=0),"",SUMIFS(nrMK_Min,nrMK_Link,$B696,nrMK_Credit,"Yes"))</f>
        <v/>
      </c>
      <c r="Q696" s="17">
        <f>IF(OR($B696="",N($J696)=0),"",SUMIFS(nrMK_Sess,nrMK_Link,$B696,nrMK_Credit,"Yes"))</f>
        <v/>
      </c>
      <c r="R696" s="17">
        <f>IF(OR($B696="",$N696&lt;&gt;"Yes"),"",IF(N($I696)&gt;0,N($I696)-N($P696),IF(N($J696)&gt;0,N($J696)-N($Q696),"")))</f>
        <v/>
      </c>
      <c r="S696" s="17">
        <f>IF(OR($B696="",$R696=""),"",IF($R696&lt;=0,"CLEARED "&amp;IFERROR(TEXT(_xlfn.MAXIFS(nrMK_Date,nrMK_Link,$B696,nrMK_Credit,"Yes"),"mm/dd"),""),"OPEN"))</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IF(OR($B697="",N($I697)=0),"",SUMIFS(nrMK_Min,nrMK_Link,$B697,nrMK_Credit,"Yes"))</f>
        <v/>
      </c>
      <c r="Q697" s="17">
        <f>IF(OR($B697="",N($J697)=0),"",SUMIFS(nrMK_Sess,nrMK_Link,$B697,nrMK_Credit,"Yes"))</f>
        <v/>
      </c>
      <c r="R697" s="17">
        <f>IF(OR($B697="",$N697&lt;&gt;"Yes"),"",IF(N($I697)&gt;0,N($I697)-N($P697),IF(N($J697)&gt;0,N($J697)-N($Q697),"")))</f>
        <v/>
      </c>
      <c r="S697" s="17">
        <f>IF(OR($B697="",$R697=""),"",IF($R697&lt;=0,"CLEARED "&amp;IFERROR(TEXT(_xlfn.MAXIFS(nrMK_Date,nrMK_Link,$B697,nrMK_Credit,"Yes"),"mm/dd"),""),"OPEN"))</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IF(OR($B698="",N($I698)=0),"",SUMIFS(nrMK_Min,nrMK_Link,$B698,nrMK_Credit,"Yes"))</f>
        <v/>
      </c>
      <c r="Q698" s="17">
        <f>IF(OR($B698="",N($J698)=0),"",SUMIFS(nrMK_Sess,nrMK_Link,$B698,nrMK_Credit,"Yes"))</f>
        <v/>
      </c>
      <c r="R698" s="17">
        <f>IF(OR($B698="",$N698&lt;&gt;"Yes"),"",IF(N($I698)&gt;0,N($I698)-N($P698),IF(N($J698)&gt;0,N($J698)-N($Q698),"")))</f>
        <v/>
      </c>
      <c r="S698" s="17">
        <f>IF(OR($B698="",$R698=""),"",IF($R698&lt;=0,"CLEARED "&amp;IFERROR(TEXT(_xlfn.MAXIFS(nrMK_Date,nrMK_Link,$B698,nrMK_Credit,"Yes"),"mm/dd"),""),"OPEN"))</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IF(OR($B699="",N($I699)=0),"",SUMIFS(nrMK_Min,nrMK_Link,$B699,nrMK_Credit,"Yes"))</f>
        <v/>
      </c>
      <c r="Q699" s="17">
        <f>IF(OR($B699="",N($J699)=0),"",SUMIFS(nrMK_Sess,nrMK_Link,$B699,nrMK_Credit,"Yes"))</f>
        <v/>
      </c>
      <c r="R699" s="17">
        <f>IF(OR($B699="",$N699&lt;&gt;"Yes"),"",IF(N($I699)&gt;0,N($I699)-N($P699),IF(N($J699)&gt;0,N($J699)-N($Q699),"")))</f>
        <v/>
      </c>
      <c r="S699" s="17">
        <f>IF(OR($B699="",$R699=""),"",IF($R699&lt;=0,"CLEARED "&amp;IFERROR(TEXT(_xlfn.MAXIFS(nrMK_Date,nrMK_Link,$B699,nrMK_Credit,"Yes"),"mm/dd"),""),"OPEN"))</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IF(OR($B700="",N($I700)=0),"",SUMIFS(nrMK_Min,nrMK_Link,$B700,nrMK_Credit,"Yes"))</f>
        <v/>
      </c>
      <c r="Q700" s="17">
        <f>IF(OR($B700="",N($J700)=0),"",SUMIFS(nrMK_Sess,nrMK_Link,$B700,nrMK_Credit,"Yes"))</f>
        <v/>
      </c>
      <c r="R700" s="17">
        <f>IF(OR($B700="",$N700&lt;&gt;"Yes"),"",IF(N($I700)&gt;0,N($I700)-N($P700),IF(N($J700)&gt;0,N($J700)-N($Q700),"")))</f>
        <v/>
      </c>
      <c r="S700" s="17">
        <f>IF(OR($B700="",$R700=""),"",IF($R700&lt;=0,"CLEARED "&amp;IFERROR(TEXT(_xlfn.MAXIFS(nrMK_Date,nrMK_Link,$B700,nrMK_Credit,"Yes"),"mm/dd"),""),"OPEN"))</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IF(OR($B701="",N($I701)=0),"",SUMIFS(nrMK_Min,nrMK_Link,$B701,nrMK_Credit,"Yes"))</f>
        <v/>
      </c>
      <c r="Q701" s="17">
        <f>IF(OR($B701="",N($J701)=0),"",SUMIFS(nrMK_Sess,nrMK_Link,$B701,nrMK_Credit,"Yes"))</f>
        <v/>
      </c>
      <c r="R701" s="17">
        <f>IF(OR($B701="",$N701&lt;&gt;"Yes"),"",IF(N($I701)&gt;0,N($I701)-N($P701),IF(N($J701)&gt;0,N($J701)-N($Q701),"")))</f>
        <v/>
      </c>
      <c r="S701" s="17">
        <f>IF(OR($B701="",$R701=""),"",IF($R701&lt;=0,"CLEARED "&amp;IFERROR(TEXT(_xlfn.MAXIFS(nrMK_Date,nrMK_Link,$B701,nrMK_Credit,"Yes"),"mm/dd"),""),"OPEN"))</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IF(OR($B702="",N($I702)=0),"",SUMIFS(nrMK_Min,nrMK_Link,$B702,nrMK_Credit,"Yes"))</f>
        <v/>
      </c>
      <c r="Q702" s="17">
        <f>IF(OR($B702="",N($J702)=0),"",SUMIFS(nrMK_Sess,nrMK_Link,$B702,nrMK_Credit,"Yes"))</f>
        <v/>
      </c>
      <c r="R702" s="17">
        <f>IF(OR($B702="",$N702&lt;&gt;"Yes"),"",IF(N($I702)&gt;0,N($I702)-N($P702),IF(N($J702)&gt;0,N($J702)-N($Q702),"")))</f>
        <v/>
      </c>
      <c r="S702" s="17">
        <f>IF(OR($B702="",$R702=""),"",IF($R702&lt;=0,"CLEARED "&amp;IFERROR(TEXT(_xlfn.MAXIFS(nrMK_Date,nrMK_Link,$B702,nrMK_Credit,"Yes"),"mm/dd"),""),"OPEN"))</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IF(OR($B703="",N($I703)=0),"",SUMIFS(nrMK_Min,nrMK_Link,$B703,nrMK_Credit,"Yes"))</f>
        <v/>
      </c>
      <c r="Q703" s="17">
        <f>IF(OR($B703="",N($J703)=0),"",SUMIFS(nrMK_Sess,nrMK_Link,$B703,nrMK_Credit,"Yes"))</f>
        <v/>
      </c>
      <c r="R703" s="17">
        <f>IF(OR($B703="",$N703&lt;&gt;"Yes"),"",IF(N($I703)&gt;0,N($I703)-N($P703),IF(N($J703)&gt;0,N($J703)-N($Q703),"")))</f>
        <v/>
      </c>
      <c r="S703" s="17">
        <f>IF(OR($B703="",$R703=""),"",IF($R703&lt;=0,"CLEARED "&amp;IFERROR(TEXT(_xlfn.MAXIFS(nrMK_Date,nrMK_Link,$B703,nrMK_Credit,"Yes"),"mm/dd"),""),"OPEN"))</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IF(OR($B704="",N($I704)=0),"",SUMIFS(nrMK_Min,nrMK_Link,$B704,nrMK_Credit,"Yes"))</f>
        <v/>
      </c>
      <c r="Q704" s="17">
        <f>IF(OR($B704="",N($J704)=0),"",SUMIFS(nrMK_Sess,nrMK_Link,$B704,nrMK_Credit,"Yes"))</f>
        <v/>
      </c>
      <c r="R704" s="17">
        <f>IF(OR($B704="",$N704&lt;&gt;"Yes"),"",IF(N($I704)&gt;0,N($I704)-N($P704),IF(N($J704)&gt;0,N($J704)-N($Q704),"")))</f>
        <v/>
      </c>
      <c r="S704" s="17">
        <f>IF(OR($B704="",$R704=""),"",IF($R704&lt;=0,"CLEARED "&amp;IFERROR(TEXT(_xlfn.MAXIFS(nrMK_Date,nrMK_Link,$B704,nrMK_Credit,"Yes"),"mm/dd"),""),"OPEN"))</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IF(OR($B705="",N($I705)=0),"",SUMIFS(nrMK_Min,nrMK_Link,$B705,nrMK_Credit,"Yes"))</f>
        <v/>
      </c>
      <c r="Q705" s="17">
        <f>IF(OR($B705="",N($J705)=0),"",SUMIFS(nrMK_Sess,nrMK_Link,$B705,nrMK_Credit,"Yes"))</f>
        <v/>
      </c>
      <c r="R705" s="17">
        <f>IF(OR($B705="",$N705&lt;&gt;"Yes"),"",IF(N($I705)&gt;0,N($I705)-N($P705),IF(N($J705)&gt;0,N($J705)-N($Q705),"")))</f>
        <v/>
      </c>
      <c r="S705" s="17">
        <f>IF(OR($B705="",$R705=""),"",IF($R705&lt;=0,"CLEARED "&amp;IFERROR(TEXT(_xlfn.MAXIFS(nrMK_Date,nrMK_Link,$B705,nrMK_Credit,"Yes"),"mm/dd"),""),"OPEN"))</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IF(OR($B706="",N($I706)=0),"",SUMIFS(nrMK_Min,nrMK_Link,$B706,nrMK_Credit,"Yes"))</f>
        <v/>
      </c>
      <c r="Q706" s="17">
        <f>IF(OR($B706="",N($J706)=0),"",SUMIFS(nrMK_Sess,nrMK_Link,$B706,nrMK_Credit,"Yes"))</f>
        <v/>
      </c>
      <c r="R706" s="17">
        <f>IF(OR($B706="",$N706&lt;&gt;"Yes"),"",IF(N($I706)&gt;0,N($I706)-N($P706),IF(N($J706)&gt;0,N($J706)-N($Q706),"")))</f>
        <v/>
      </c>
      <c r="S706" s="17">
        <f>IF(OR($B706="",$R706=""),"",IF($R706&lt;=0,"CLEARED "&amp;IFERROR(TEXT(_xlfn.MAXIFS(nrMK_Date,nrMK_Link,$B706,nrMK_Credit,"Yes"),"mm/dd"),""),"OPEN"))</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IF(OR($B707="",N($I707)=0),"",SUMIFS(nrMK_Min,nrMK_Link,$B707,nrMK_Credit,"Yes"))</f>
        <v/>
      </c>
      <c r="Q707" s="17">
        <f>IF(OR($B707="",N($J707)=0),"",SUMIFS(nrMK_Sess,nrMK_Link,$B707,nrMK_Credit,"Yes"))</f>
        <v/>
      </c>
      <c r="R707" s="17">
        <f>IF(OR($B707="",$N707&lt;&gt;"Yes"),"",IF(N($I707)&gt;0,N($I707)-N($P707),IF(N($J707)&gt;0,N($J707)-N($Q707),"")))</f>
        <v/>
      </c>
      <c r="S707" s="17">
        <f>IF(OR($B707="",$R707=""),"",IF($R707&lt;=0,"CLEARED "&amp;IFERROR(TEXT(_xlfn.MAXIFS(nrMK_Date,nrMK_Link,$B707,nrMK_Credit,"Yes"),"mm/dd"),""),"OPEN"))</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IF(OR($B708="",N($I708)=0),"",SUMIFS(nrMK_Min,nrMK_Link,$B708,nrMK_Credit,"Yes"))</f>
        <v/>
      </c>
      <c r="Q708" s="17">
        <f>IF(OR($B708="",N($J708)=0),"",SUMIFS(nrMK_Sess,nrMK_Link,$B708,nrMK_Credit,"Yes"))</f>
        <v/>
      </c>
      <c r="R708" s="17">
        <f>IF(OR($B708="",$N708&lt;&gt;"Yes"),"",IF(N($I708)&gt;0,N($I708)-N($P708),IF(N($J708)&gt;0,N($J708)-N($Q708),"")))</f>
        <v/>
      </c>
      <c r="S708" s="17">
        <f>IF(OR($B708="",$R708=""),"",IF($R708&lt;=0,"CLEARED "&amp;IFERROR(TEXT(_xlfn.MAXIFS(nrMK_Date,nrMK_Link,$B708,nrMK_Credit,"Yes"),"mm/dd"),""),"OPEN"))</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IF(OR($B709="",N($I709)=0),"",SUMIFS(nrMK_Min,nrMK_Link,$B709,nrMK_Credit,"Yes"))</f>
        <v/>
      </c>
      <c r="Q709" s="17">
        <f>IF(OR($B709="",N($J709)=0),"",SUMIFS(nrMK_Sess,nrMK_Link,$B709,nrMK_Credit,"Yes"))</f>
        <v/>
      </c>
      <c r="R709" s="17">
        <f>IF(OR($B709="",$N709&lt;&gt;"Yes"),"",IF(N($I709)&gt;0,N($I709)-N($P709),IF(N($J709)&gt;0,N($J709)-N($Q709),"")))</f>
        <v/>
      </c>
      <c r="S709" s="17">
        <f>IF(OR($B709="",$R709=""),"",IF($R709&lt;=0,"CLEARED "&amp;IFERROR(TEXT(_xlfn.MAXIFS(nrMK_Date,nrMK_Link,$B709,nrMK_Credit,"Yes"),"mm/dd"),""),"OPEN"))</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IF(OR($B710="",N($I710)=0),"",SUMIFS(nrMK_Min,nrMK_Link,$B710,nrMK_Credit,"Yes"))</f>
        <v/>
      </c>
      <c r="Q710" s="17">
        <f>IF(OR($B710="",N($J710)=0),"",SUMIFS(nrMK_Sess,nrMK_Link,$B710,nrMK_Credit,"Yes"))</f>
        <v/>
      </c>
      <c r="R710" s="17">
        <f>IF(OR($B710="",$N710&lt;&gt;"Yes"),"",IF(N($I710)&gt;0,N($I710)-N($P710),IF(N($J710)&gt;0,N($J710)-N($Q710),"")))</f>
        <v/>
      </c>
      <c r="S710" s="17">
        <f>IF(OR($B710="",$R710=""),"",IF($R710&lt;=0,"CLEARED "&amp;IFERROR(TEXT(_xlfn.MAXIFS(nrMK_Date,nrMK_Link,$B710,nrMK_Credit,"Yes"),"mm/dd"),""),"OPEN"))</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IF(OR($B711="",N($I711)=0),"",SUMIFS(nrMK_Min,nrMK_Link,$B711,nrMK_Credit,"Yes"))</f>
        <v/>
      </c>
      <c r="Q711" s="17">
        <f>IF(OR($B711="",N($J711)=0),"",SUMIFS(nrMK_Sess,nrMK_Link,$B711,nrMK_Credit,"Yes"))</f>
        <v/>
      </c>
      <c r="R711" s="17">
        <f>IF(OR($B711="",$N711&lt;&gt;"Yes"),"",IF(N($I711)&gt;0,N($I711)-N($P711),IF(N($J711)&gt;0,N($J711)-N($Q711),"")))</f>
        <v/>
      </c>
      <c r="S711" s="17">
        <f>IF(OR($B711="",$R711=""),"",IF($R711&lt;=0,"CLEARED "&amp;IFERROR(TEXT(_xlfn.MAXIFS(nrMK_Date,nrMK_Link,$B711,nrMK_Credit,"Yes"),"mm/dd"),""),"OPEN"))</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IF(OR($B712="",N($I712)=0),"",SUMIFS(nrMK_Min,nrMK_Link,$B712,nrMK_Credit,"Yes"))</f>
        <v/>
      </c>
      <c r="Q712" s="17">
        <f>IF(OR($B712="",N($J712)=0),"",SUMIFS(nrMK_Sess,nrMK_Link,$B712,nrMK_Credit,"Yes"))</f>
        <v/>
      </c>
      <c r="R712" s="17">
        <f>IF(OR($B712="",$N712&lt;&gt;"Yes"),"",IF(N($I712)&gt;0,N($I712)-N($P712),IF(N($J712)&gt;0,N($J712)-N($Q712),"")))</f>
        <v/>
      </c>
      <c r="S712" s="17">
        <f>IF(OR($B712="",$R712=""),"",IF($R712&lt;=0,"CLEARED "&amp;IFERROR(TEXT(_xlfn.MAXIFS(nrMK_Date,nrMK_Link,$B712,nrMK_Credit,"Yes"),"mm/dd"),""),"OPEN"))</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IF(OR($B713="",N($I713)=0),"",SUMIFS(nrMK_Min,nrMK_Link,$B713,nrMK_Credit,"Yes"))</f>
        <v/>
      </c>
      <c r="Q713" s="17">
        <f>IF(OR($B713="",N($J713)=0),"",SUMIFS(nrMK_Sess,nrMK_Link,$B713,nrMK_Credit,"Yes"))</f>
        <v/>
      </c>
      <c r="R713" s="17">
        <f>IF(OR($B713="",$N713&lt;&gt;"Yes"),"",IF(N($I713)&gt;0,N($I713)-N($P713),IF(N($J713)&gt;0,N($J713)-N($Q713),"")))</f>
        <v/>
      </c>
      <c r="S713" s="17">
        <f>IF(OR($B713="",$R713=""),"",IF($R713&lt;=0,"CLEARED "&amp;IFERROR(TEXT(_xlfn.MAXIFS(nrMK_Date,nrMK_Link,$B713,nrMK_Credit,"Yes"),"mm/dd"),""),"OPEN"))</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IF(OR($B714="",N($I714)=0),"",SUMIFS(nrMK_Min,nrMK_Link,$B714,nrMK_Credit,"Yes"))</f>
        <v/>
      </c>
      <c r="Q714" s="17">
        <f>IF(OR($B714="",N($J714)=0),"",SUMIFS(nrMK_Sess,nrMK_Link,$B714,nrMK_Credit,"Yes"))</f>
        <v/>
      </c>
      <c r="R714" s="17">
        <f>IF(OR($B714="",$N714&lt;&gt;"Yes"),"",IF(N($I714)&gt;0,N($I714)-N($P714),IF(N($J714)&gt;0,N($J714)-N($Q714),"")))</f>
        <v/>
      </c>
      <c r="S714" s="17">
        <f>IF(OR($B714="",$R714=""),"",IF($R714&lt;=0,"CLEARED "&amp;IFERROR(TEXT(_xlfn.MAXIFS(nrMK_Date,nrMK_Link,$B714,nrMK_Credit,"Yes"),"mm/dd"),""),"OPEN"))</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IF(OR($B715="",N($I715)=0),"",SUMIFS(nrMK_Min,nrMK_Link,$B715,nrMK_Credit,"Yes"))</f>
        <v/>
      </c>
      <c r="Q715" s="17">
        <f>IF(OR($B715="",N($J715)=0),"",SUMIFS(nrMK_Sess,nrMK_Link,$B715,nrMK_Credit,"Yes"))</f>
        <v/>
      </c>
      <c r="R715" s="17">
        <f>IF(OR($B715="",$N715&lt;&gt;"Yes"),"",IF(N($I715)&gt;0,N($I715)-N($P715),IF(N($J715)&gt;0,N($J715)-N($Q715),"")))</f>
        <v/>
      </c>
      <c r="S715" s="17">
        <f>IF(OR($B715="",$R715=""),"",IF($R715&lt;=0,"CLEARED "&amp;IFERROR(TEXT(_xlfn.MAXIFS(nrMK_Date,nrMK_Link,$B715,nrMK_Credit,"Yes"),"mm/dd"),""),"OPEN"))</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IF(OR($B716="",N($I716)=0),"",SUMIFS(nrMK_Min,nrMK_Link,$B716,nrMK_Credit,"Yes"))</f>
        <v/>
      </c>
      <c r="Q716" s="17">
        <f>IF(OR($B716="",N($J716)=0),"",SUMIFS(nrMK_Sess,nrMK_Link,$B716,nrMK_Credit,"Yes"))</f>
        <v/>
      </c>
      <c r="R716" s="17">
        <f>IF(OR($B716="",$N716&lt;&gt;"Yes"),"",IF(N($I716)&gt;0,N($I716)-N($P716),IF(N($J716)&gt;0,N($J716)-N($Q716),"")))</f>
        <v/>
      </c>
      <c r="S716" s="17">
        <f>IF(OR($B716="",$R716=""),"",IF($R716&lt;=0,"CLEARED "&amp;IFERROR(TEXT(_xlfn.MAXIFS(nrMK_Date,nrMK_Link,$B716,nrMK_Credit,"Yes"),"mm/dd"),""),"OPEN"))</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IF(OR($B717="",N($I717)=0),"",SUMIFS(nrMK_Min,nrMK_Link,$B717,nrMK_Credit,"Yes"))</f>
        <v/>
      </c>
      <c r="Q717" s="17">
        <f>IF(OR($B717="",N($J717)=0),"",SUMIFS(nrMK_Sess,nrMK_Link,$B717,nrMK_Credit,"Yes"))</f>
        <v/>
      </c>
      <c r="R717" s="17">
        <f>IF(OR($B717="",$N717&lt;&gt;"Yes"),"",IF(N($I717)&gt;0,N($I717)-N($P717),IF(N($J717)&gt;0,N($J717)-N($Q717),"")))</f>
        <v/>
      </c>
      <c r="S717" s="17">
        <f>IF(OR($B717="",$R717=""),"",IF($R717&lt;=0,"CLEARED "&amp;IFERROR(TEXT(_xlfn.MAXIFS(nrMK_Date,nrMK_Link,$B717,nrMK_Credit,"Yes"),"mm/dd"),""),"OPEN"))</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IF(OR($B718="",N($I718)=0),"",SUMIFS(nrMK_Min,nrMK_Link,$B718,nrMK_Credit,"Yes"))</f>
        <v/>
      </c>
      <c r="Q718" s="17">
        <f>IF(OR($B718="",N($J718)=0),"",SUMIFS(nrMK_Sess,nrMK_Link,$B718,nrMK_Credit,"Yes"))</f>
        <v/>
      </c>
      <c r="R718" s="17">
        <f>IF(OR($B718="",$N718&lt;&gt;"Yes"),"",IF(N($I718)&gt;0,N($I718)-N($P718),IF(N($J718)&gt;0,N($J718)-N($Q718),"")))</f>
        <v/>
      </c>
      <c r="S718" s="17">
        <f>IF(OR($B718="",$R718=""),"",IF($R718&lt;=0,"CLEARED "&amp;IFERROR(TEXT(_xlfn.MAXIFS(nrMK_Date,nrMK_Link,$B718,nrMK_Credit,"Yes"),"mm/dd"),""),"OPEN"))</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IF(OR($B719="",N($I719)=0),"",SUMIFS(nrMK_Min,nrMK_Link,$B719,nrMK_Credit,"Yes"))</f>
        <v/>
      </c>
      <c r="Q719" s="17">
        <f>IF(OR($B719="",N($J719)=0),"",SUMIFS(nrMK_Sess,nrMK_Link,$B719,nrMK_Credit,"Yes"))</f>
        <v/>
      </c>
      <c r="R719" s="17">
        <f>IF(OR($B719="",$N719&lt;&gt;"Yes"),"",IF(N($I719)&gt;0,N($I719)-N($P719),IF(N($J719)&gt;0,N($J719)-N($Q719),"")))</f>
        <v/>
      </c>
      <c r="S719" s="17">
        <f>IF(OR($B719="",$R719=""),"",IF($R719&lt;=0,"CLEARED "&amp;IFERROR(TEXT(_xlfn.MAXIFS(nrMK_Date,nrMK_Link,$B719,nrMK_Credit,"Yes"),"mm/dd"),""),"OPEN"))</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IF(OR($B720="",N($I720)=0),"",SUMIFS(nrMK_Min,nrMK_Link,$B720,nrMK_Credit,"Yes"))</f>
        <v/>
      </c>
      <c r="Q720" s="17">
        <f>IF(OR($B720="",N($J720)=0),"",SUMIFS(nrMK_Sess,nrMK_Link,$B720,nrMK_Credit,"Yes"))</f>
        <v/>
      </c>
      <c r="R720" s="17">
        <f>IF(OR($B720="",$N720&lt;&gt;"Yes"),"",IF(N($I720)&gt;0,N($I720)-N($P720),IF(N($J720)&gt;0,N($J720)-N($Q720),"")))</f>
        <v/>
      </c>
      <c r="S720" s="17">
        <f>IF(OR($B720="",$R720=""),"",IF($R720&lt;=0,"CLEARED "&amp;IFERROR(TEXT(_xlfn.MAXIFS(nrMK_Date,nrMK_Link,$B720,nrMK_Credit,"Yes"),"mm/dd"),""),"OPEN"))</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IF(OR($B721="",N($I721)=0),"",SUMIFS(nrMK_Min,nrMK_Link,$B721,nrMK_Credit,"Yes"))</f>
        <v/>
      </c>
      <c r="Q721" s="17">
        <f>IF(OR($B721="",N($J721)=0),"",SUMIFS(nrMK_Sess,nrMK_Link,$B721,nrMK_Credit,"Yes"))</f>
        <v/>
      </c>
      <c r="R721" s="17">
        <f>IF(OR($B721="",$N721&lt;&gt;"Yes"),"",IF(N($I721)&gt;0,N($I721)-N($P721),IF(N($J721)&gt;0,N($J721)-N($Q721),"")))</f>
        <v/>
      </c>
      <c r="S721" s="17">
        <f>IF(OR($B721="",$R721=""),"",IF($R721&lt;=0,"CLEARED "&amp;IFERROR(TEXT(_xlfn.MAXIFS(nrMK_Date,nrMK_Link,$B721,nrMK_Credit,"Yes"),"mm/dd"),""),"OPEN"))</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IF(OR($B722="",N($I722)=0),"",SUMIFS(nrMK_Min,nrMK_Link,$B722,nrMK_Credit,"Yes"))</f>
        <v/>
      </c>
      <c r="Q722" s="17">
        <f>IF(OR($B722="",N($J722)=0),"",SUMIFS(nrMK_Sess,nrMK_Link,$B722,nrMK_Credit,"Yes"))</f>
        <v/>
      </c>
      <c r="R722" s="17">
        <f>IF(OR($B722="",$N722&lt;&gt;"Yes"),"",IF(N($I722)&gt;0,N($I722)-N($P722),IF(N($J722)&gt;0,N($J722)-N($Q722),"")))</f>
        <v/>
      </c>
      <c r="S722" s="17">
        <f>IF(OR($B722="",$R722=""),"",IF($R722&lt;=0,"CLEARED "&amp;IFERROR(TEXT(_xlfn.MAXIFS(nrMK_Date,nrMK_Link,$B722,nrMK_Credit,"Yes"),"mm/dd"),""),"OPEN"))</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IF(OR($B723="",N($I723)=0),"",SUMIFS(nrMK_Min,nrMK_Link,$B723,nrMK_Credit,"Yes"))</f>
        <v/>
      </c>
      <c r="Q723" s="17">
        <f>IF(OR($B723="",N($J723)=0),"",SUMIFS(nrMK_Sess,nrMK_Link,$B723,nrMK_Credit,"Yes"))</f>
        <v/>
      </c>
      <c r="R723" s="17">
        <f>IF(OR($B723="",$N723&lt;&gt;"Yes"),"",IF(N($I723)&gt;0,N($I723)-N($P723),IF(N($J723)&gt;0,N($J723)-N($Q723),"")))</f>
        <v/>
      </c>
      <c r="S723" s="17">
        <f>IF(OR($B723="",$R723=""),"",IF($R723&lt;=0,"CLEARED "&amp;IFERROR(TEXT(_xlfn.MAXIFS(nrMK_Date,nrMK_Link,$B723,nrMK_Credit,"Yes"),"mm/dd"),""),"OPEN"))</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IF(OR($B724="",N($I724)=0),"",SUMIFS(nrMK_Min,nrMK_Link,$B724,nrMK_Credit,"Yes"))</f>
        <v/>
      </c>
      <c r="Q724" s="17">
        <f>IF(OR($B724="",N($J724)=0),"",SUMIFS(nrMK_Sess,nrMK_Link,$B724,nrMK_Credit,"Yes"))</f>
        <v/>
      </c>
      <c r="R724" s="17">
        <f>IF(OR($B724="",$N724&lt;&gt;"Yes"),"",IF(N($I724)&gt;0,N($I724)-N($P724),IF(N($J724)&gt;0,N($J724)-N($Q724),"")))</f>
        <v/>
      </c>
      <c r="S724" s="17">
        <f>IF(OR($B724="",$R724=""),"",IF($R724&lt;=0,"CLEARED "&amp;IFERROR(TEXT(_xlfn.MAXIFS(nrMK_Date,nrMK_Link,$B724,nrMK_Credit,"Yes"),"mm/dd"),""),"OPEN"))</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IF(OR($B725="",N($I725)=0),"",SUMIFS(nrMK_Min,nrMK_Link,$B725,nrMK_Credit,"Yes"))</f>
        <v/>
      </c>
      <c r="Q725" s="17">
        <f>IF(OR($B725="",N($J725)=0),"",SUMIFS(nrMK_Sess,nrMK_Link,$B725,nrMK_Credit,"Yes"))</f>
        <v/>
      </c>
      <c r="R725" s="17">
        <f>IF(OR($B725="",$N725&lt;&gt;"Yes"),"",IF(N($I725)&gt;0,N($I725)-N($P725),IF(N($J725)&gt;0,N($J725)-N($Q725),"")))</f>
        <v/>
      </c>
      <c r="S725" s="17">
        <f>IF(OR($B725="",$R725=""),"",IF($R725&lt;=0,"CLEARED "&amp;IFERROR(TEXT(_xlfn.MAXIFS(nrMK_Date,nrMK_Link,$B725,nrMK_Credit,"Yes"),"mm/dd"),""),"OPEN"))</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IF(OR($B726="",N($I726)=0),"",SUMIFS(nrMK_Min,nrMK_Link,$B726,nrMK_Credit,"Yes"))</f>
        <v/>
      </c>
      <c r="Q726" s="17">
        <f>IF(OR($B726="",N($J726)=0),"",SUMIFS(nrMK_Sess,nrMK_Link,$B726,nrMK_Credit,"Yes"))</f>
        <v/>
      </c>
      <c r="R726" s="17">
        <f>IF(OR($B726="",$N726&lt;&gt;"Yes"),"",IF(N($I726)&gt;0,N($I726)-N($P726),IF(N($J726)&gt;0,N($J726)-N($Q726),"")))</f>
        <v/>
      </c>
      <c r="S726" s="17">
        <f>IF(OR($B726="",$R726=""),"",IF($R726&lt;=0,"CLEARED "&amp;IFERROR(TEXT(_xlfn.MAXIFS(nrMK_Date,nrMK_Link,$B726,nrMK_Credit,"Yes"),"mm/dd"),""),"OPEN"))</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IF(OR($B727="",N($I727)=0),"",SUMIFS(nrMK_Min,nrMK_Link,$B727,nrMK_Credit,"Yes"))</f>
        <v/>
      </c>
      <c r="Q727" s="17">
        <f>IF(OR($B727="",N($J727)=0),"",SUMIFS(nrMK_Sess,nrMK_Link,$B727,nrMK_Credit,"Yes"))</f>
        <v/>
      </c>
      <c r="R727" s="17">
        <f>IF(OR($B727="",$N727&lt;&gt;"Yes"),"",IF(N($I727)&gt;0,N($I727)-N($P727),IF(N($J727)&gt;0,N($J727)-N($Q727),"")))</f>
        <v/>
      </c>
      <c r="S727" s="17">
        <f>IF(OR($B727="",$R727=""),"",IF($R727&lt;=0,"CLEARED "&amp;IFERROR(TEXT(_xlfn.MAXIFS(nrMK_Date,nrMK_Link,$B727,nrMK_Credit,"Yes"),"mm/dd"),""),"OPEN"))</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IF(OR($B728="",N($I728)=0),"",SUMIFS(nrMK_Min,nrMK_Link,$B728,nrMK_Credit,"Yes"))</f>
        <v/>
      </c>
      <c r="Q728" s="17">
        <f>IF(OR($B728="",N($J728)=0),"",SUMIFS(nrMK_Sess,nrMK_Link,$B728,nrMK_Credit,"Yes"))</f>
        <v/>
      </c>
      <c r="R728" s="17">
        <f>IF(OR($B728="",$N728&lt;&gt;"Yes"),"",IF(N($I728)&gt;0,N($I728)-N($P728),IF(N($J728)&gt;0,N($J728)-N($Q728),"")))</f>
        <v/>
      </c>
      <c r="S728" s="17">
        <f>IF(OR($B728="",$R728=""),"",IF($R728&lt;=0,"CLEARED "&amp;IFERROR(TEXT(_xlfn.MAXIFS(nrMK_Date,nrMK_Link,$B728,nrMK_Credit,"Yes"),"mm/dd"),""),"OPEN"))</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IF(OR($B729="",N($I729)=0),"",SUMIFS(nrMK_Min,nrMK_Link,$B729,nrMK_Credit,"Yes"))</f>
        <v/>
      </c>
      <c r="Q729" s="17">
        <f>IF(OR($B729="",N($J729)=0),"",SUMIFS(nrMK_Sess,nrMK_Link,$B729,nrMK_Credit,"Yes"))</f>
        <v/>
      </c>
      <c r="R729" s="17">
        <f>IF(OR($B729="",$N729&lt;&gt;"Yes"),"",IF(N($I729)&gt;0,N($I729)-N($P729),IF(N($J729)&gt;0,N($J729)-N($Q729),"")))</f>
        <v/>
      </c>
      <c r="S729" s="17">
        <f>IF(OR($B729="",$R729=""),"",IF($R729&lt;=0,"CLEARED "&amp;IFERROR(TEXT(_xlfn.MAXIFS(nrMK_Date,nrMK_Link,$B729,nrMK_Credit,"Yes"),"mm/dd"),""),"OPEN"))</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IF(OR($B730="",N($I730)=0),"",SUMIFS(nrMK_Min,nrMK_Link,$B730,nrMK_Credit,"Yes"))</f>
        <v/>
      </c>
      <c r="Q730" s="17">
        <f>IF(OR($B730="",N($J730)=0),"",SUMIFS(nrMK_Sess,nrMK_Link,$B730,nrMK_Credit,"Yes"))</f>
        <v/>
      </c>
      <c r="R730" s="17">
        <f>IF(OR($B730="",$N730&lt;&gt;"Yes"),"",IF(N($I730)&gt;0,N($I730)-N($P730),IF(N($J730)&gt;0,N($J730)-N($Q730),"")))</f>
        <v/>
      </c>
      <c r="S730" s="17">
        <f>IF(OR($B730="",$R730=""),"",IF($R730&lt;=0,"CLEARED "&amp;IFERROR(TEXT(_xlfn.MAXIFS(nrMK_Date,nrMK_Link,$B730,nrMK_Credit,"Yes"),"mm/dd"),""),"OPEN"))</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IF(OR($B731="",N($I731)=0),"",SUMIFS(nrMK_Min,nrMK_Link,$B731,nrMK_Credit,"Yes"))</f>
        <v/>
      </c>
      <c r="Q731" s="17">
        <f>IF(OR($B731="",N($J731)=0),"",SUMIFS(nrMK_Sess,nrMK_Link,$B731,nrMK_Credit,"Yes"))</f>
        <v/>
      </c>
      <c r="R731" s="17">
        <f>IF(OR($B731="",$N731&lt;&gt;"Yes"),"",IF(N($I731)&gt;0,N($I731)-N($P731),IF(N($J731)&gt;0,N($J731)-N($Q731),"")))</f>
        <v/>
      </c>
      <c r="S731" s="17">
        <f>IF(OR($B731="",$R731=""),"",IF($R731&lt;=0,"CLEARED "&amp;IFERROR(TEXT(_xlfn.MAXIFS(nrMK_Date,nrMK_Link,$B731,nrMK_Credit,"Yes"),"mm/dd"),""),"OPEN"))</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IF(OR($B732="",N($I732)=0),"",SUMIFS(nrMK_Min,nrMK_Link,$B732,nrMK_Credit,"Yes"))</f>
        <v/>
      </c>
      <c r="Q732" s="17">
        <f>IF(OR($B732="",N($J732)=0),"",SUMIFS(nrMK_Sess,nrMK_Link,$B732,nrMK_Credit,"Yes"))</f>
        <v/>
      </c>
      <c r="R732" s="17">
        <f>IF(OR($B732="",$N732&lt;&gt;"Yes"),"",IF(N($I732)&gt;0,N($I732)-N($P732),IF(N($J732)&gt;0,N($J732)-N($Q732),"")))</f>
        <v/>
      </c>
      <c r="S732" s="17">
        <f>IF(OR($B732="",$R732=""),"",IF($R732&lt;=0,"CLEARED "&amp;IFERROR(TEXT(_xlfn.MAXIFS(nrMK_Date,nrMK_Link,$B732,nrMK_Credit,"Yes"),"mm/dd"),""),"OPEN"))</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IF(OR($B733="",N($I733)=0),"",SUMIFS(nrMK_Min,nrMK_Link,$B733,nrMK_Credit,"Yes"))</f>
        <v/>
      </c>
      <c r="Q733" s="17">
        <f>IF(OR($B733="",N($J733)=0),"",SUMIFS(nrMK_Sess,nrMK_Link,$B733,nrMK_Credit,"Yes"))</f>
        <v/>
      </c>
      <c r="R733" s="17">
        <f>IF(OR($B733="",$N733&lt;&gt;"Yes"),"",IF(N($I733)&gt;0,N($I733)-N($P733),IF(N($J733)&gt;0,N($J733)-N($Q733),"")))</f>
        <v/>
      </c>
      <c r="S733" s="17">
        <f>IF(OR($B733="",$R733=""),"",IF($R733&lt;=0,"CLEARED "&amp;IFERROR(TEXT(_xlfn.MAXIFS(nrMK_Date,nrMK_Link,$B733,nrMK_Credit,"Yes"),"mm/dd"),""),"OPEN"))</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IF(OR($B734="",N($I734)=0),"",SUMIFS(nrMK_Min,nrMK_Link,$B734,nrMK_Credit,"Yes"))</f>
        <v/>
      </c>
      <c r="Q734" s="17">
        <f>IF(OR($B734="",N($J734)=0),"",SUMIFS(nrMK_Sess,nrMK_Link,$B734,nrMK_Credit,"Yes"))</f>
        <v/>
      </c>
      <c r="R734" s="17">
        <f>IF(OR($B734="",$N734&lt;&gt;"Yes"),"",IF(N($I734)&gt;0,N($I734)-N($P734),IF(N($J734)&gt;0,N($J734)-N($Q734),"")))</f>
        <v/>
      </c>
      <c r="S734" s="17">
        <f>IF(OR($B734="",$R734=""),"",IF($R734&lt;=0,"CLEARED "&amp;IFERROR(TEXT(_xlfn.MAXIFS(nrMK_Date,nrMK_Link,$B734,nrMK_Credit,"Yes"),"mm/dd"),""),"OPEN"))</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IF(OR($B735="",N($I735)=0),"",SUMIFS(nrMK_Min,nrMK_Link,$B735,nrMK_Credit,"Yes"))</f>
        <v/>
      </c>
      <c r="Q735" s="17">
        <f>IF(OR($B735="",N($J735)=0),"",SUMIFS(nrMK_Sess,nrMK_Link,$B735,nrMK_Credit,"Yes"))</f>
        <v/>
      </c>
      <c r="R735" s="17">
        <f>IF(OR($B735="",$N735&lt;&gt;"Yes"),"",IF(N($I735)&gt;0,N($I735)-N($P735),IF(N($J735)&gt;0,N($J735)-N($Q735),"")))</f>
        <v/>
      </c>
      <c r="S735" s="17">
        <f>IF(OR($B735="",$R735=""),"",IF($R735&lt;=0,"CLEARED "&amp;IFERROR(TEXT(_xlfn.MAXIFS(nrMK_Date,nrMK_Link,$B735,nrMK_Credit,"Yes"),"mm/dd"),""),"OPEN"))</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IF(OR($B736="",N($I736)=0),"",SUMIFS(nrMK_Min,nrMK_Link,$B736,nrMK_Credit,"Yes"))</f>
        <v/>
      </c>
      <c r="Q736" s="17">
        <f>IF(OR($B736="",N($J736)=0),"",SUMIFS(nrMK_Sess,nrMK_Link,$B736,nrMK_Credit,"Yes"))</f>
        <v/>
      </c>
      <c r="R736" s="17">
        <f>IF(OR($B736="",$N736&lt;&gt;"Yes"),"",IF(N($I736)&gt;0,N($I736)-N($P736),IF(N($J736)&gt;0,N($J736)-N($Q736),"")))</f>
        <v/>
      </c>
      <c r="S736" s="17">
        <f>IF(OR($B736="",$R736=""),"",IF($R736&lt;=0,"CLEARED "&amp;IFERROR(TEXT(_xlfn.MAXIFS(nrMK_Date,nrMK_Link,$B736,nrMK_Credit,"Yes"),"mm/dd"),""),"OPEN"))</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IF(OR($B737="",N($I737)=0),"",SUMIFS(nrMK_Min,nrMK_Link,$B737,nrMK_Credit,"Yes"))</f>
        <v/>
      </c>
      <c r="Q737" s="17">
        <f>IF(OR($B737="",N($J737)=0),"",SUMIFS(nrMK_Sess,nrMK_Link,$B737,nrMK_Credit,"Yes"))</f>
        <v/>
      </c>
      <c r="R737" s="17">
        <f>IF(OR($B737="",$N737&lt;&gt;"Yes"),"",IF(N($I737)&gt;0,N($I737)-N($P737),IF(N($J737)&gt;0,N($J737)-N($Q737),"")))</f>
        <v/>
      </c>
      <c r="S737" s="17">
        <f>IF(OR($B737="",$R737=""),"",IF($R737&lt;=0,"CLEARED "&amp;IFERROR(TEXT(_xlfn.MAXIFS(nrMK_Date,nrMK_Link,$B737,nrMK_Credit,"Yes"),"mm/dd"),""),"OPEN"))</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IF(OR($B738="",N($I738)=0),"",SUMIFS(nrMK_Min,nrMK_Link,$B738,nrMK_Credit,"Yes"))</f>
        <v/>
      </c>
      <c r="Q738" s="17">
        <f>IF(OR($B738="",N($J738)=0),"",SUMIFS(nrMK_Sess,nrMK_Link,$B738,nrMK_Credit,"Yes"))</f>
        <v/>
      </c>
      <c r="R738" s="17">
        <f>IF(OR($B738="",$N738&lt;&gt;"Yes"),"",IF(N($I738)&gt;0,N($I738)-N($P738),IF(N($J738)&gt;0,N($J738)-N($Q738),"")))</f>
        <v/>
      </c>
      <c r="S738" s="17">
        <f>IF(OR($B738="",$R738=""),"",IF($R738&lt;=0,"CLEARED "&amp;IFERROR(TEXT(_xlfn.MAXIFS(nrMK_Date,nrMK_Link,$B738,nrMK_Credit,"Yes"),"mm/dd"),""),"OPEN"))</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IF(OR($B739="",N($I739)=0),"",SUMIFS(nrMK_Min,nrMK_Link,$B739,nrMK_Credit,"Yes"))</f>
        <v/>
      </c>
      <c r="Q739" s="17">
        <f>IF(OR($B739="",N($J739)=0),"",SUMIFS(nrMK_Sess,nrMK_Link,$B739,nrMK_Credit,"Yes"))</f>
        <v/>
      </c>
      <c r="R739" s="17">
        <f>IF(OR($B739="",$N739&lt;&gt;"Yes"),"",IF(N($I739)&gt;0,N($I739)-N($P739),IF(N($J739)&gt;0,N($J739)-N($Q739),"")))</f>
        <v/>
      </c>
      <c r="S739" s="17">
        <f>IF(OR($B739="",$R739=""),"",IF($R739&lt;=0,"CLEARED "&amp;IFERROR(TEXT(_xlfn.MAXIFS(nrMK_Date,nrMK_Link,$B739,nrMK_Credit,"Yes"),"mm/dd"),""),"OPEN"))</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IF(OR($B740="",N($I740)=0),"",SUMIFS(nrMK_Min,nrMK_Link,$B740,nrMK_Credit,"Yes"))</f>
        <v/>
      </c>
      <c r="Q740" s="17">
        <f>IF(OR($B740="",N($J740)=0),"",SUMIFS(nrMK_Sess,nrMK_Link,$B740,nrMK_Credit,"Yes"))</f>
        <v/>
      </c>
      <c r="R740" s="17">
        <f>IF(OR($B740="",$N740&lt;&gt;"Yes"),"",IF(N($I740)&gt;0,N($I740)-N($P740),IF(N($J740)&gt;0,N($J740)-N($Q740),"")))</f>
        <v/>
      </c>
      <c r="S740" s="17">
        <f>IF(OR($B740="",$R740=""),"",IF($R740&lt;=0,"CLEARED "&amp;IFERROR(TEXT(_xlfn.MAXIFS(nrMK_Date,nrMK_Link,$B740,nrMK_Credit,"Yes"),"mm/dd"),""),"OPEN"))</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IF(OR($B741="",N($I741)=0),"",SUMIFS(nrMK_Min,nrMK_Link,$B741,nrMK_Credit,"Yes"))</f>
        <v/>
      </c>
      <c r="Q741" s="17">
        <f>IF(OR($B741="",N($J741)=0),"",SUMIFS(nrMK_Sess,nrMK_Link,$B741,nrMK_Credit,"Yes"))</f>
        <v/>
      </c>
      <c r="R741" s="17">
        <f>IF(OR($B741="",$N741&lt;&gt;"Yes"),"",IF(N($I741)&gt;0,N($I741)-N($P741),IF(N($J741)&gt;0,N($J741)-N($Q741),"")))</f>
        <v/>
      </c>
      <c r="S741" s="17">
        <f>IF(OR($B741="",$R741=""),"",IF($R741&lt;=0,"CLEARED "&amp;IFERROR(TEXT(_xlfn.MAXIFS(nrMK_Date,nrMK_Link,$B741,nrMK_Credit,"Yes"),"mm/dd"),""),"OPEN"))</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IF(OR($B742="",N($I742)=0),"",SUMIFS(nrMK_Min,nrMK_Link,$B742,nrMK_Credit,"Yes"))</f>
        <v/>
      </c>
      <c r="Q742" s="17">
        <f>IF(OR($B742="",N($J742)=0),"",SUMIFS(nrMK_Sess,nrMK_Link,$B742,nrMK_Credit,"Yes"))</f>
        <v/>
      </c>
      <c r="R742" s="17">
        <f>IF(OR($B742="",$N742&lt;&gt;"Yes"),"",IF(N($I742)&gt;0,N($I742)-N($P742),IF(N($J742)&gt;0,N($J742)-N($Q742),"")))</f>
        <v/>
      </c>
      <c r="S742" s="17">
        <f>IF(OR($B742="",$R742=""),"",IF($R742&lt;=0,"CLEARED "&amp;IFERROR(TEXT(_xlfn.MAXIFS(nrMK_Date,nrMK_Link,$B742,nrMK_Credit,"Yes"),"mm/dd"),""),"OPEN"))</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IF(OR($B743="",N($I743)=0),"",SUMIFS(nrMK_Min,nrMK_Link,$B743,nrMK_Credit,"Yes"))</f>
        <v/>
      </c>
      <c r="Q743" s="17">
        <f>IF(OR($B743="",N($J743)=0),"",SUMIFS(nrMK_Sess,nrMK_Link,$B743,nrMK_Credit,"Yes"))</f>
        <v/>
      </c>
      <c r="R743" s="17">
        <f>IF(OR($B743="",$N743&lt;&gt;"Yes"),"",IF(N($I743)&gt;0,N($I743)-N($P743),IF(N($J743)&gt;0,N($J743)-N($Q743),"")))</f>
        <v/>
      </c>
      <c r="S743" s="17">
        <f>IF(OR($B743="",$R743=""),"",IF($R743&lt;=0,"CLEARED "&amp;IFERROR(TEXT(_xlfn.MAXIFS(nrMK_Date,nrMK_Link,$B743,nrMK_Credit,"Yes"),"mm/dd"),""),"OPEN"))</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IF(OR($B744="",N($I744)=0),"",SUMIFS(nrMK_Min,nrMK_Link,$B744,nrMK_Credit,"Yes"))</f>
        <v/>
      </c>
      <c r="Q744" s="17">
        <f>IF(OR($B744="",N($J744)=0),"",SUMIFS(nrMK_Sess,nrMK_Link,$B744,nrMK_Credit,"Yes"))</f>
        <v/>
      </c>
      <c r="R744" s="17">
        <f>IF(OR($B744="",$N744&lt;&gt;"Yes"),"",IF(N($I744)&gt;0,N($I744)-N($P744),IF(N($J744)&gt;0,N($J744)-N($Q744),"")))</f>
        <v/>
      </c>
      <c r="S744" s="17">
        <f>IF(OR($B744="",$R744=""),"",IF($R744&lt;=0,"CLEARED "&amp;IFERROR(TEXT(_xlfn.MAXIFS(nrMK_Date,nrMK_Link,$B744,nrMK_Credit,"Yes"),"mm/dd"),""),"OPEN"))</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IF(OR($B745="",N($I745)=0),"",SUMIFS(nrMK_Min,nrMK_Link,$B745,nrMK_Credit,"Yes"))</f>
        <v/>
      </c>
      <c r="Q745" s="17">
        <f>IF(OR($B745="",N($J745)=0),"",SUMIFS(nrMK_Sess,nrMK_Link,$B745,nrMK_Credit,"Yes"))</f>
        <v/>
      </c>
      <c r="R745" s="17">
        <f>IF(OR($B745="",$N745&lt;&gt;"Yes"),"",IF(N($I745)&gt;0,N($I745)-N($P745),IF(N($J745)&gt;0,N($J745)-N($Q745),"")))</f>
        <v/>
      </c>
      <c r="S745" s="17">
        <f>IF(OR($B745="",$R745=""),"",IF($R745&lt;=0,"CLEARED "&amp;IFERROR(TEXT(_xlfn.MAXIFS(nrMK_Date,nrMK_Link,$B745,nrMK_Credit,"Yes"),"mm/dd"),""),"OPEN"))</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IF(OR($B746="",N($I746)=0),"",SUMIFS(nrMK_Min,nrMK_Link,$B746,nrMK_Credit,"Yes"))</f>
        <v/>
      </c>
      <c r="Q746" s="17">
        <f>IF(OR($B746="",N($J746)=0),"",SUMIFS(nrMK_Sess,nrMK_Link,$B746,nrMK_Credit,"Yes"))</f>
        <v/>
      </c>
      <c r="R746" s="17">
        <f>IF(OR($B746="",$N746&lt;&gt;"Yes"),"",IF(N($I746)&gt;0,N($I746)-N($P746),IF(N($J746)&gt;0,N($J746)-N($Q746),"")))</f>
        <v/>
      </c>
      <c r="S746" s="17">
        <f>IF(OR($B746="",$R746=""),"",IF($R746&lt;=0,"CLEARED "&amp;IFERROR(TEXT(_xlfn.MAXIFS(nrMK_Date,nrMK_Link,$B746,nrMK_Credit,"Yes"),"mm/dd"),""),"OPEN"))</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IF(OR($B747="",N($I747)=0),"",SUMIFS(nrMK_Min,nrMK_Link,$B747,nrMK_Credit,"Yes"))</f>
        <v/>
      </c>
      <c r="Q747" s="17">
        <f>IF(OR($B747="",N($J747)=0),"",SUMIFS(nrMK_Sess,nrMK_Link,$B747,nrMK_Credit,"Yes"))</f>
        <v/>
      </c>
      <c r="R747" s="17">
        <f>IF(OR($B747="",$N747&lt;&gt;"Yes"),"",IF(N($I747)&gt;0,N($I747)-N($P747),IF(N($J747)&gt;0,N($J747)-N($Q747),"")))</f>
        <v/>
      </c>
      <c r="S747" s="17">
        <f>IF(OR($B747="",$R747=""),"",IF($R747&lt;=0,"CLEARED "&amp;IFERROR(TEXT(_xlfn.MAXIFS(nrMK_Date,nrMK_Link,$B747,nrMK_Credit,"Yes"),"mm/dd"),""),"OPEN"))</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IF(OR($B748="",N($I748)=0),"",SUMIFS(nrMK_Min,nrMK_Link,$B748,nrMK_Credit,"Yes"))</f>
        <v/>
      </c>
      <c r="Q748" s="17">
        <f>IF(OR($B748="",N($J748)=0),"",SUMIFS(nrMK_Sess,nrMK_Link,$B748,nrMK_Credit,"Yes"))</f>
        <v/>
      </c>
      <c r="R748" s="17">
        <f>IF(OR($B748="",$N748&lt;&gt;"Yes"),"",IF(N($I748)&gt;0,N($I748)-N($P748),IF(N($J748)&gt;0,N($J748)-N($Q748),"")))</f>
        <v/>
      </c>
      <c r="S748" s="17">
        <f>IF(OR($B748="",$R748=""),"",IF($R748&lt;=0,"CLEARED "&amp;IFERROR(TEXT(_xlfn.MAXIFS(nrMK_Date,nrMK_Link,$B748,nrMK_Credit,"Yes"),"mm/dd"),""),"OPEN"))</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IF(OR($B749="",N($I749)=0),"",SUMIFS(nrMK_Min,nrMK_Link,$B749,nrMK_Credit,"Yes"))</f>
        <v/>
      </c>
      <c r="Q749" s="17">
        <f>IF(OR($B749="",N($J749)=0),"",SUMIFS(nrMK_Sess,nrMK_Link,$B749,nrMK_Credit,"Yes"))</f>
        <v/>
      </c>
      <c r="R749" s="17">
        <f>IF(OR($B749="",$N749&lt;&gt;"Yes"),"",IF(N($I749)&gt;0,N($I749)-N($P749),IF(N($J749)&gt;0,N($J749)-N($Q749),"")))</f>
        <v/>
      </c>
      <c r="S749" s="17">
        <f>IF(OR($B749="",$R749=""),"",IF($R749&lt;=0,"CLEARED "&amp;IFERROR(TEXT(_xlfn.MAXIFS(nrMK_Date,nrMK_Link,$B749,nrMK_Credit,"Yes"),"mm/dd"),""),"OPEN"))</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IF(OR($B750="",N($I750)=0),"",SUMIFS(nrMK_Min,nrMK_Link,$B750,nrMK_Credit,"Yes"))</f>
        <v/>
      </c>
      <c r="Q750" s="17">
        <f>IF(OR($B750="",N($J750)=0),"",SUMIFS(nrMK_Sess,nrMK_Link,$B750,nrMK_Credit,"Yes"))</f>
        <v/>
      </c>
      <c r="R750" s="17">
        <f>IF(OR($B750="",$N750&lt;&gt;"Yes"),"",IF(N($I750)&gt;0,N($I750)-N($P750),IF(N($J750)&gt;0,N($J750)-N($Q750),"")))</f>
        <v/>
      </c>
      <c r="S750" s="17">
        <f>IF(OR($B750="",$R750=""),"",IF($R750&lt;=0,"CLEARED "&amp;IFERROR(TEXT(_xlfn.MAXIFS(nrMK_Date,nrMK_Link,$B750,nrMK_Credit,"Yes"),"mm/dd"),""),"OPEN"))</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IF(OR($B751="",N($I751)=0),"",SUMIFS(nrMK_Min,nrMK_Link,$B751,nrMK_Credit,"Yes"))</f>
        <v/>
      </c>
      <c r="Q751" s="17">
        <f>IF(OR($B751="",N($J751)=0),"",SUMIFS(nrMK_Sess,nrMK_Link,$B751,nrMK_Credit,"Yes"))</f>
        <v/>
      </c>
      <c r="R751" s="17">
        <f>IF(OR($B751="",$N751&lt;&gt;"Yes"),"",IF(N($I751)&gt;0,N($I751)-N($P751),IF(N($J751)&gt;0,N($J751)-N($Q751),"")))</f>
        <v/>
      </c>
      <c r="S751" s="17">
        <f>IF(OR($B751="",$R751=""),"",IF($R751&lt;=0,"CLEARED "&amp;IFERROR(TEXT(_xlfn.MAXIFS(nrMK_Date,nrMK_Link,$B751,nrMK_Credit,"Yes"),"mm/dd"),""),"OPEN"))</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IF(OR($B752="",N($I752)=0),"",SUMIFS(nrMK_Min,nrMK_Link,$B752,nrMK_Credit,"Yes"))</f>
        <v/>
      </c>
      <c r="Q752" s="17">
        <f>IF(OR($B752="",N($J752)=0),"",SUMIFS(nrMK_Sess,nrMK_Link,$B752,nrMK_Credit,"Yes"))</f>
        <v/>
      </c>
      <c r="R752" s="17">
        <f>IF(OR($B752="",$N752&lt;&gt;"Yes"),"",IF(N($I752)&gt;0,N($I752)-N($P752),IF(N($J752)&gt;0,N($J752)-N($Q752),"")))</f>
        <v/>
      </c>
      <c r="S752" s="17">
        <f>IF(OR($B752="",$R752=""),"",IF($R752&lt;=0,"CLEARED "&amp;IFERROR(TEXT(_xlfn.MAXIFS(nrMK_Date,nrMK_Link,$B752,nrMK_Credit,"Yes"),"mm/dd"),""),"OPEN"))</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IF(OR($B753="",N($I753)=0),"",SUMIFS(nrMK_Min,nrMK_Link,$B753,nrMK_Credit,"Yes"))</f>
        <v/>
      </c>
      <c r="Q753" s="17">
        <f>IF(OR($B753="",N($J753)=0),"",SUMIFS(nrMK_Sess,nrMK_Link,$B753,nrMK_Credit,"Yes"))</f>
        <v/>
      </c>
      <c r="R753" s="17">
        <f>IF(OR($B753="",$N753&lt;&gt;"Yes"),"",IF(N($I753)&gt;0,N($I753)-N($P753),IF(N($J753)&gt;0,N($J753)-N($Q753),"")))</f>
        <v/>
      </c>
      <c r="S753" s="17">
        <f>IF(OR($B753="",$R753=""),"",IF($R753&lt;=0,"CLEARED "&amp;IFERROR(TEXT(_xlfn.MAXIFS(nrMK_Date,nrMK_Link,$B753,nrMK_Credit,"Yes"),"mm/dd"),""),"OPEN"))</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IF(OR($B754="",N($I754)=0),"",SUMIFS(nrMK_Min,nrMK_Link,$B754,nrMK_Credit,"Yes"))</f>
        <v/>
      </c>
      <c r="Q754" s="17">
        <f>IF(OR($B754="",N($J754)=0),"",SUMIFS(nrMK_Sess,nrMK_Link,$B754,nrMK_Credit,"Yes"))</f>
        <v/>
      </c>
      <c r="R754" s="17">
        <f>IF(OR($B754="",$N754&lt;&gt;"Yes"),"",IF(N($I754)&gt;0,N($I754)-N($P754),IF(N($J754)&gt;0,N($J754)-N($Q754),"")))</f>
        <v/>
      </c>
      <c r="S754" s="17">
        <f>IF(OR($B754="",$R754=""),"",IF($R754&lt;=0,"CLEARED "&amp;IFERROR(TEXT(_xlfn.MAXIFS(nrMK_Date,nrMK_Link,$B754,nrMK_Credit,"Yes"),"mm/dd"),""),"OPEN"))</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IF(OR($B755="",N($I755)=0),"",SUMIFS(nrMK_Min,nrMK_Link,$B755,nrMK_Credit,"Yes"))</f>
        <v/>
      </c>
      <c r="Q755" s="17">
        <f>IF(OR($B755="",N($J755)=0),"",SUMIFS(nrMK_Sess,nrMK_Link,$B755,nrMK_Credit,"Yes"))</f>
        <v/>
      </c>
      <c r="R755" s="17">
        <f>IF(OR($B755="",$N755&lt;&gt;"Yes"),"",IF(N($I755)&gt;0,N($I755)-N($P755),IF(N($J755)&gt;0,N($J755)-N($Q755),"")))</f>
        <v/>
      </c>
      <c r="S755" s="17">
        <f>IF(OR($B755="",$R755=""),"",IF($R755&lt;=0,"CLEARED "&amp;IFERROR(TEXT(_xlfn.MAXIFS(nrMK_Date,nrMK_Link,$B755,nrMK_Credit,"Yes"),"mm/dd"),""),"OPEN"))</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IF(OR($B756="",N($I756)=0),"",SUMIFS(nrMK_Min,nrMK_Link,$B756,nrMK_Credit,"Yes"))</f>
        <v/>
      </c>
      <c r="Q756" s="17">
        <f>IF(OR($B756="",N($J756)=0),"",SUMIFS(nrMK_Sess,nrMK_Link,$B756,nrMK_Credit,"Yes"))</f>
        <v/>
      </c>
      <c r="R756" s="17">
        <f>IF(OR($B756="",$N756&lt;&gt;"Yes"),"",IF(N($I756)&gt;0,N($I756)-N($P756),IF(N($J756)&gt;0,N($J756)-N($Q756),"")))</f>
        <v/>
      </c>
      <c r="S756" s="17">
        <f>IF(OR($B756="",$R756=""),"",IF($R756&lt;=0,"CLEARED "&amp;IFERROR(TEXT(_xlfn.MAXIFS(nrMK_Date,nrMK_Link,$B756,nrMK_Credit,"Yes"),"mm/dd"),""),"OPEN"))</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IF(OR($B757="",N($I757)=0),"",SUMIFS(nrMK_Min,nrMK_Link,$B757,nrMK_Credit,"Yes"))</f>
        <v/>
      </c>
      <c r="Q757" s="17">
        <f>IF(OR($B757="",N($J757)=0),"",SUMIFS(nrMK_Sess,nrMK_Link,$B757,nrMK_Credit,"Yes"))</f>
        <v/>
      </c>
      <c r="R757" s="17">
        <f>IF(OR($B757="",$N757&lt;&gt;"Yes"),"",IF(N($I757)&gt;0,N($I757)-N($P757),IF(N($J757)&gt;0,N($J757)-N($Q757),"")))</f>
        <v/>
      </c>
      <c r="S757" s="17">
        <f>IF(OR($B757="",$R757=""),"",IF($R757&lt;=0,"CLEARED "&amp;IFERROR(TEXT(_xlfn.MAXIFS(nrMK_Date,nrMK_Link,$B757,nrMK_Credit,"Yes"),"mm/dd"),""),"OPEN"))</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IF(OR($B758="",N($I758)=0),"",SUMIFS(nrMK_Min,nrMK_Link,$B758,nrMK_Credit,"Yes"))</f>
        <v/>
      </c>
      <c r="Q758" s="17">
        <f>IF(OR($B758="",N($J758)=0),"",SUMIFS(nrMK_Sess,nrMK_Link,$B758,nrMK_Credit,"Yes"))</f>
        <v/>
      </c>
      <c r="R758" s="17">
        <f>IF(OR($B758="",$N758&lt;&gt;"Yes"),"",IF(N($I758)&gt;0,N($I758)-N($P758),IF(N($J758)&gt;0,N($J758)-N($Q758),"")))</f>
        <v/>
      </c>
      <c r="S758" s="17">
        <f>IF(OR($B758="",$R758=""),"",IF($R758&lt;=0,"CLEARED "&amp;IFERROR(TEXT(_xlfn.MAXIFS(nrMK_Date,nrMK_Link,$B758,nrMK_Credit,"Yes"),"mm/dd"),""),"OPEN"))</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IF(OR($B759="",N($I759)=0),"",SUMIFS(nrMK_Min,nrMK_Link,$B759,nrMK_Credit,"Yes"))</f>
        <v/>
      </c>
      <c r="Q759" s="17">
        <f>IF(OR($B759="",N($J759)=0),"",SUMIFS(nrMK_Sess,nrMK_Link,$B759,nrMK_Credit,"Yes"))</f>
        <v/>
      </c>
      <c r="R759" s="17">
        <f>IF(OR($B759="",$N759&lt;&gt;"Yes"),"",IF(N($I759)&gt;0,N($I759)-N($P759),IF(N($J759)&gt;0,N($J759)-N($Q759),"")))</f>
        <v/>
      </c>
      <c r="S759" s="17">
        <f>IF(OR($B759="",$R759=""),"",IF($R759&lt;=0,"CLEARED "&amp;IFERROR(TEXT(_xlfn.MAXIFS(nrMK_Date,nrMK_Link,$B759,nrMK_Credit,"Yes"),"mm/dd"),""),"OPEN"))</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IF(OR($B760="",N($I760)=0),"",SUMIFS(nrMK_Min,nrMK_Link,$B760,nrMK_Credit,"Yes"))</f>
        <v/>
      </c>
      <c r="Q760" s="17">
        <f>IF(OR($B760="",N($J760)=0),"",SUMIFS(nrMK_Sess,nrMK_Link,$B760,nrMK_Credit,"Yes"))</f>
        <v/>
      </c>
      <c r="R760" s="17">
        <f>IF(OR($B760="",$N760&lt;&gt;"Yes"),"",IF(N($I760)&gt;0,N($I760)-N($P760),IF(N($J760)&gt;0,N($J760)-N($Q760),"")))</f>
        <v/>
      </c>
      <c r="S760" s="17">
        <f>IF(OR($B760="",$R760=""),"",IF($R760&lt;=0,"CLEARED "&amp;IFERROR(TEXT(_xlfn.MAXIFS(nrMK_Date,nrMK_Link,$B760,nrMK_Credit,"Yes"),"mm/dd"),""),"OPEN"))</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IF(OR($B761="",N($I761)=0),"",SUMIFS(nrMK_Min,nrMK_Link,$B761,nrMK_Credit,"Yes"))</f>
        <v/>
      </c>
      <c r="Q761" s="17">
        <f>IF(OR($B761="",N($J761)=0),"",SUMIFS(nrMK_Sess,nrMK_Link,$B761,nrMK_Credit,"Yes"))</f>
        <v/>
      </c>
      <c r="R761" s="17">
        <f>IF(OR($B761="",$N761&lt;&gt;"Yes"),"",IF(N($I761)&gt;0,N($I761)-N($P761),IF(N($J761)&gt;0,N($J761)-N($Q761),"")))</f>
        <v/>
      </c>
      <c r="S761" s="17">
        <f>IF(OR($B761="",$R761=""),"",IF($R761&lt;=0,"CLEARED "&amp;IFERROR(TEXT(_xlfn.MAXIFS(nrMK_Date,nrMK_Link,$B761,nrMK_Credit,"Yes"),"mm/dd"),""),"OPEN"))</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IF(OR($B762="",N($I762)=0),"",SUMIFS(nrMK_Min,nrMK_Link,$B762,nrMK_Credit,"Yes"))</f>
        <v/>
      </c>
      <c r="Q762" s="17">
        <f>IF(OR($B762="",N($J762)=0),"",SUMIFS(nrMK_Sess,nrMK_Link,$B762,nrMK_Credit,"Yes"))</f>
        <v/>
      </c>
      <c r="R762" s="17">
        <f>IF(OR($B762="",$N762&lt;&gt;"Yes"),"",IF(N($I762)&gt;0,N($I762)-N($P762),IF(N($J762)&gt;0,N($J762)-N($Q762),"")))</f>
        <v/>
      </c>
      <c r="S762" s="17">
        <f>IF(OR($B762="",$R762=""),"",IF($R762&lt;=0,"CLEARED "&amp;IFERROR(TEXT(_xlfn.MAXIFS(nrMK_Date,nrMK_Link,$B762,nrMK_Credit,"Yes"),"mm/dd"),""),"OPEN"))</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IF(OR($B763="",N($I763)=0),"",SUMIFS(nrMK_Min,nrMK_Link,$B763,nrMK_Credit,"Yes"))</f>
        <v/>
      </c>
      <c r="Q763" s="17">
        <f>IF(OR($B763="",N($J763)=0),"",SUMIFS(nrMK_Sess,nrMK_Link,$B763,nrMK_Credit,"Yes"))</f>
        <v/>
      </c>
      <c r="R763" s="17">
        <f>IF(OR($B763="",$N763&lt;&gt;"Yes"),"",IF(N($I763)&gt;0,N($I763)-N($P763),IF(N($J763)&gt;0,N($J763)-N($Q763),"")))</f>
        <v/>
      </c>
      <c r="S763" s="17">
        <f>IF(OR($B763="",$R763=""),"",IF($R763&lt;=0,"CLEARED "&amp;IFERROR(TEXT(_xlfn.MAXIFS(nrMK_Date,nrMK_Link,$B763,nrMK_Credit,"Yes"),"mm/dd"),""),"OPEN"))</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IF(OR($B764="",N($I764)=0),"",SUMIFS(nrMK_Min,nrMK_Link,$B764,nrMK_Credit,"Yes"))</f>
        <v/>
      </c>
      <c r="Q764" s="17">
        <f>IF(OR($B764="",N($J764)=0),"",SUMIFS(nrMK_Sess,nrMK_Link,$B764,nrMK_Credit,"Yes"))</f>
        <v/>
      </c>
      <c r="R764" s="17">
        <f>IF(OR($B764="",$N764&lt;&gt;"Yes"),"",IF(N($I764)&gt;0,N($I764)-N($P764),IF(N($J764)&gt;0,N($J764)-N($Q764),"")))</f>
        <v/>
      </c>
      <c r="S764" s="17">
        <f>IF(OR($B764="",$R764=""),"",IF($R764&lt;=0,"CLEARED "&amp;IFERROR(TEXT(_xlfn.MAXIFS(nrMK_Date,nrMK_Link,$B764,nrMK_Credit,"Yes"),"mm/dd"),""),"OPEN"))</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IF(OR($B765="",N($I765)=0),"",SUMIFS(nrMK_Min,nrMK_Link,$B765,nrMK_Credit,"Yes"))</f>
        <v/>
      </c>
      <c r="Q765" s="17">
        <f>IF(OR($B765="",N($J765)=0),"",SUMIFS(nrMK_Sess,nrMK_Link,$B765,nrMK_Credit,"Yes"))</f>
        <v/>
      </c>
      <c r="R765" s="17">
        <f>IF(OR($B765="",$N765&lt;&gt;"Yes"),"",IF(N($I765)&gt;0,N($I765)-N($P765),IF(N($J765)&gt;0,N($J765)-N($Q765),"")))</f>
        <v/>
      </c>
      <c r="S765" s="17">
        <f>IF(OR($B765="",$R765=""),"",IF($R765&lt;=0,"CLEARED "&amp;IFERROR(TEXT(_xlfn.MAXIFS(nrMK_Date,nrMK_Link,$B765,nrMK_Credit,"Yes"),"mm/dd"),""),"OPEN"))</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IF(OR($B766="",N($I766)=0),"",SUMIFS(nrMK_Min,nrMK_Link,$B766,nrMK_Credit,"Yes"))</f>
        <v/>
      </c>
      <c r="Q766" s="17">
        <f>IF(OR($B766="",N($J766)=0),"",SUMIFS(nrMK_Sess,nrMK_Link,$B766,nrMK_Credit,"Yes"))</f>
        <v/>
      </c>
      <c r="R766" s="17">
        <f>IF(OR($B766="",$N766&lt;&gt;"Yes"),"",IF(N($I766)&gt;0,N($I766)-N($P766),IF(N($J766)&gt;0,N($J766)-N($Q766),"")))</f>
        <v/>
      </c>
      <c r="S766" s="17">
        <f>IF(OR($B766="",$R766=""),"",IF($R766&lt;=0,"CLEARED "&amp;IFERROR(TEXT(_xlfn.MAXIFS(nrMK_Date,nrMK_Link,$B766,nrMK_Credit,"Yes"),"mm/dd"),""),"OPEN"))</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IF(OR($B767="",N($I767)=0),"",SUMIFS(nrMK_Min,nrMK_Link,$B767,nrMK_Credit,"Yes"))</f>
        <v/>
      </c>
      <c r="Q767" s="17">
        <f>IF(OR($B767="",N($J767)=0),"",SUMIFS(nrMK_Sess,nrMK_Link,$B767,nrMK_Credit,"Yes"))</f>
        <v/>
      </c>
      <c r="R767" s="17">
        <f>IF(OR($B767="",$N767&lt;&gt;"Yes"),"",IF(N($I767)&gt;0,N($I767)-N($P767),IF(N($J767)&gt;0,N($J767)-N($Q767),"")))</f>
        <v/>
      </c>
      <c r="S767" s="17">
        <f>IF(OR($B767="",$R767=""),"",IF($R767&lt;=0,"CLEARED "&amp;IFERROR(TEXT(_xlfn.MAXIFS(nrMK_Date,nrMK_Link,$B767,nrMK_Credit,"Yes"),"mm/dd"),""),"OPEN"))</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IF(OR($B768="",N($I768)=0),"",SUMIFS(nrMK_Min,nrMK_Link,$B768,nrMK_Credit,"Yes"))</f>
        <v/>
      </c>
      <c r="Q768" s="17">
        <f>IF(OR($B768="",N($J768)=0),"",SUMIFS(nrMK_Sess,nrMK_Link,$B768,nrMK_Credit,"Yes"))</f>
        <v/>
      </c>
      <c r="R768" s="17">
        <f>IF(OR($B768="",$N768&lt;&gt;"Yes"),"",IF(N($I768)&gt;0,N($I768)-N($P768),IF(N($J768)&gt;0,N($J768)-N($Q768),"")))</f>
        <v/>
      </c>
      <c r="S768" s="17">
        <f>IF(OR($B768="",$R768=""),"",IF($R768&lt;=0,"CLEARED "&amp;IFERROR(TEXT(_xlfn.MAXIFS(nrMK_Date,nrMK_Link,$B768,nrMK_Credit,"Yes"),"mm/dd"),""),"OPEN"))</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IF(OR($B769="",N($I769)=0),"",SUMIFS(nrMK_Min,nrMK_Link,$B769,nrMK_Credit,"Yes"))</f>
        <v/>
      </c>
      <c r="Q769" s="17">
        <f>IF(OR($B769="",N($J769)=0),"",SUMIFS(nrMK_Sess,nrMK_Link,$B769,nrMK_Credit,"Yes"))</f>
        <v/>
      </c>
      <c r="R769" s="17">
        <f>IF(OR($B769="",$N769&lt;&gt;"Yes"),"",IF(N($I769)&gt;0,N($I769)-N($P769),IF(N($J769)&gt;0,N($J769)-N($Q769),"")))</f>
        <v/>
      </c>
      <c r="S769" s="17">
        <f>IF(OR($B769="",$R769=""),"",IF($R769&lt;=0,"CLEARED "&amp;IFERROR(TEXT(_xlfn.MAXIFS(nrMK_Date,nrMK_Link,$B769,nrMK_Credit,"Yes"),"mm/dd"),""),"OPEN"))</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IF(OR($B770="",N($I770)=0),"",SUMIFS(nrMK_Min,nrMK_Link,$B770,nrMK_Credit,"Yes"))</f>
        <v/>
      </c>
      <c r="Q770" s="17">
        <f>IF(OR($B770="",N($J770)=0),"",SUMIFS(nrMK_Sess,nrMK_Link,$B770,nrMK_Credit,"Yes"))</f>
        <v/>
      </c>
      <c r="R770" s="17">
        <f>IF(OR($B770="",$N770&lt;&gt;"Yes"),"",IF(N($I770)&gt;0,N($I770)-N($P770),IF(N($J770)&gt;0,N($J770)-N($Q770),"")))</f>
        <v/>
      </c>
      <c r="S770" s="17">
        <f>IF(OR($B770="",$R770=""),"",IF($R770&lt;=0,"CLEARED "&amp;IFERROR(TEXT(_xlfn.MAXIFS(nrMK_Date,nrMK_Link,$B770,nrMK_Credit,"Yes"),"mm/dd"),""),"OPEN"))</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IF(OR($B771="",N($I771)=0),"",SUMIFS(nrMK_Min,nrMK_Link,$B771,nrMK_Credit,"Yes"))</f>
        <v/>
      </c>
      <c r="Q771" s="17">
        <f>IF(OR($B771="",N($J771)=0),"",SUMIFS(nrMK_Sess,nrMK_Link,$B771,nrMK_Credit,"Yes"))</f>
        <v/>
      </c>
      <c r="R771" s="17">
        <f>IF(OR($B771="",$N771&lt;&gt;"Yes"),"",IF(N($I771)&gt;0,N($I771)-N($P771),IF(N($J771)&gt;0,N($J771)-N($Q771),"")))</f>
        <v/>
      </c>
      <c r="S771" s="17">
        <f>IF(OR($B771="",$R771=""),"",IF($R771&lt;=0,"CLEARED "&amp;IFERROR(TEXT(_xlfn.MAXIFS(nrMK_Date,nrMK_Link,$B771,nrMK_Credit,"Yes"),"mm/dd"),""),"OPEN"))</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IF(OR($B772="",N($I772)=0),"",SUMIFS(nrMK_Min,nrMK_Link,$B772,nrMK_Credit,"Yes"))</f>
        <v/>
      </c>
      <c r="Q772" s="17">
        <f>IF(OR($B772="",N($J772)=0),"",SUMIFS(nrMK_Sess,nrMK_Link,$B772,nrMK_Credit,"Yes"))</f>
        <v/>
      </c>
      <c r="R772" s="17">
        <f>IF(OR($B772="",$N772&lt;&gt;"Yes"),"",IF(N($I772)&gt;0,N($I772)-N($P772),IF(N($J772)&gt;0,N($J772)-N($Q772),"")))</f>
        <v/>
      </c>
      <c r="S772" s="17">
        <f>IF(OR($B772="",$R772=""),"",IF($R772&lt;=0,"CLEARED "&amp;IFERROR(TEXT(_xlfn.MAXIFS(nrMK_Date,nrMK_Link,$B772,nrMK_Credit,"Yes"),"mm/dd"),""),"OPEN"))</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IF(OR($B773="",N($I773)=0),"",SUMIFS(nrMK_Min,nrMK_Link,$B773,nrMK_Credit,"Yes"))</f>
        <v/>
      </c>
      <c r="Q773" s="17">
        <f>IF(OR($B773="",N($J773)=0),"",SUMIFS(nrMK_Sess,nrMK_Link,$B773,nrMK_Credit,"Yes"))</f>
        <v/>
      </c>
      <c r="R773" s="17">
        <f>IF(OR($B773="",$N773&lt;&gt;"Yes"),"",IF(N($I773)&gt;0,N($I773)-N($P773),IF(N($J773)&gt;0,N($J773)-N($Q773),"")))</f>
        <v/>
      </c>
      <c r="S773" s="17">
        <f>IF(OR($B773="",$R773=""),"",IF($R773&lt;=0,"CLEARED "&amp;IFERROR(TEXT(_xlfn.MAXIFS(nrMK_Date,nrMK_Link,$B773,nrMK_Credit,"Yes"),"mm/dd"),""),"OPEN"))</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IF(OR($B774="",N($I774)=0),"",SUMIFS(nrMK_Min,nrMK_Link,$B774,nrMK_Credit,"Yes"))</f>
        <v/>
      </c>
      <c r="Q774" s="17">
        <f>IF(OR($B774="",N($J774)=0),"",SUMIFS(nrMK_Sess,nrMK_Link,$B774,nrMK_Credit,"Yes"))</f>
        <v/>
      </c>
      <c r="R774" s="17">
        <f>IF(OR($B774="",$N774&lt;&gt;"Yes"),"",IF(N($I774)&gt;0,N($I774)-N($P774),IF(N($J774)&gt;0,N($J774)-N($Q774),"")))</f>
        <v/>
      </c>
      <c r="S774" s="17">
        <f>IF(OR($B774="",$R774=""),"",IF($R774&lt;=0,"CLEARED "&amp;IFERROR(TEXT(_xlfn.MAXIFS(nrMK_Date,nrMK_Link,$B774,nrMK_Credit,"Yes"),"mm/dd"),""),"OPEN"))</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IF(OR($B775="",N($I775)=0),"",SUMIFS(nrMK_Min,nrMK_Link,$B775,nrMK_Credit,"Yes"))</f>
        <v/>
      </c>
      <c r="Q775" s="17">
        <f>IF(OR($B775="",N($J775)=0),"",SUMIFS(nrMK_Sess,nrMK_Link,$B775,nrMK_Credit,"Yes"))</f>
        <v/>
      </c>
      <c r="R775" s="17">
        <f>IF(OR($B775="",$N775&lt;&gt;"Yes"),"",IF(N($I775)&gt;0,N($I775)-N($P775),IF(N($J775)&gt;0,N($J775)-N($Q775),"")))</f>
        <v/>
      </c>
      <c r="S775" s="17">
        <f>IF(OR($B775="",$R775=""),"",IF($R775&lt;=0,"CLEARED "&amp;IFERROR(TEXT(_xlfn.MAXIFS(nrMK_Date,nrMK_Link,$B775,nrMK_Credit,"Yes"),"mm/dd"),""),"OPEN"))</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IF(OR($B776="",N($I776)=0),"",SUMIFS(nrMK_Min,nrMK_Link,$B776,nrMK_Credit,"Yes"))</f>
        <v/>
      </c>
      <c r="Q776" s="17">
        <f>IF(OR($B776="",N($J776)=0),"",SUMIFS(nrMK_Sess,nrMK_Link,$B776,nrMK_Credit,"Yes"))</f>
        <v/>
      </c>
      <c r="R776" s="17">
        <f>IF(OR($B776="",$N776&lt;&gt;"Yes"),"",IF(N($I776)&gt;0,N($I776)-N($P776),IF(N($J776)&gt;0,N($J776)-N($Q776),"")))</f>
        <v/>
      </c>
      <c r="S776" s="17">
        <f>IF(OR($B776="",$R776=""),"",IF($R776&lt;=0,"CLEARED "&amp;IFERROR(TEXT(_xlfn.MAXIFS(nrMK_Date,nrMK_Link,$B776,nrMK_Credit,"Yes"),"mm/dd"),""),"OPEN"))</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IF(OR($B777="",N($I777)=0),"",SUMIFS(nrMK_Min,nrMK_Link,$B777,nrMK_Credit,"Yes"))</f>
        <v/>
      </c>
      <c r="Q777" s="17">
        <f>IF(OR($B777="",N($J777)=0),"",SUMIFS(nrMK_Sess,nrMK_Link,$B777,nrMK_Credit,"Yes"))</f>
        <v/>
      </c>
      <c r="R777" s="17">
        <f>IF(OR($B777="",$N777&lt;&gt;"Yes"),"",IF(N($I777)&gt;0,N($I777)-N($P777),IF(N($J777)&gt;0,N($J777)-N($Q777),"")))</f>
        <v/>
      </c>
      <c r="S777" s="17">
        <f>IF(OR($B777="",$R777=""),"",IF($R777&lt;=0,"CLEARED "&amp;IFERROR(TEXT(_xlfn.MAXIFS(nrMK_Date,nrMK_Link,$B777,nrMK_Credit,"Yes"),"mm/dd"),""),"OPEN"))</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IF(OR($B778="",N($I778)=0),"",SUMIFS(nrMK_Min,nrMK_Link,$B778,nrMK_Credit,"Yes"))</f>
        <v/>
      </c>
      <c r="Q778" s="17">
        <f>IF(OR($B778="",N($J778)=0),"",SUMIFS(nrMK_Sess,nrMK_Link,$B778,nrMK_Credit,"Yes"))</f>
        <v/>
      </c>
      <c r="R778" s="17">
        <f>IF(OR($B778="",$N778&lt;&gt;"Yes"),"",IF(N($I778)&gt;0,N($I778)-N($P778),IF(N($J778)&gt;0,N($J778)-N($Q778),"")))</f>
        <v/>
      </c>
      <c r="S778" s="17">
        <f>IF(OR($B778="",$R778=""),"",IF($R778&lt;=0,"CLEARED "&amp;IFERROR(TEXT(_xlfn.MAXIFS(nrMK_Date,nrMK_Link,$B778,nrMK_Credit,"Yes"),"mm/dd"),""),"OPEN"))</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IF(OR($B779="",N($I779)=0),"",SUMIFS(nrMK_Min,nrMK_Link,$B779,nrMK_Credit,"Yes"))</f>
        <v/>
      </c>
      <c r="Q779" s="17">
        <f>IF(OR($B779="",N($J779)=0),"",SUMIFS(nrMK_Sess,nrMK_Link,$B779,nrMK_Credit,"Yes"))</f>
        <v/>
      </c>
      <c r="R779" s="17">
        <f>IF(OR($B779="",$N779&lt;&gt;"Yes"),"",IF(N($I779)&gt;0,N($I779)-N($P779),IF(N($J779)&gt;0,N($J779)-N($Q779),"")))</f>
        <v/>
      </c>
      <c r="S779" s="17">
        <f>IF(OR($B779="",$R779=""),"",IF($R779&lt;=0,"CLEARED "&amp;IFERROR(TEXT(_xlfn.MAXIFS(nrMK_Date,nrMK_Link,$B779,nrMK_Credit,"Yes"),"mm/dd"),""),"OPEN"))</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IF(OR($B780="",N($I780)=0),"",SUMIFS(nrMK_Min,nrMK_Link,$B780,nrMK_Credit,"Yes"))</f>
        <v/>
      </c>
      <c r="Q780" s="17">
        <f>IF(OR($B780="",N($J780)=0),"",SUMIFS(nrMK_Sess,nrMK_Link,$B780,nrMK_Credit,"Yes"))</f>
        <v/>
      </c>
      <c r="R780" s="17">
        <f>IF(OR($B780="",$N780&lt;&gt;"Yes"),"",IF(N($I780)&gt;0,N($I780)-N($P780),IF(N($J780)&gt;0,N($J780)-N($Q780),"")))</f>
        <v/>
      </c>
      <c r="S780" s="17">
        <f>IF(OR($B780="",$R780=""),"",IF($R780&lt;=0,"CLEARED "&amp;IFERROR(TEXT(_xlfn.MAXIFS(nrMK_Date,nrMK_Link,$B780,nrMK_Credit,"Yes"),"mm/dd"),""),"OPEN"))</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IF(OR($B781="",N($I781)=0),"",SUMIFS(nrMK_Min,nrMK_Link,$B781,nrMK_Credit,"Yes"))</f>
        <v/>
      </c>
      <c r="Q781" s="17">
        <f>IF(OR($B781="",N($J781)=0),"",SUMIFS(nrMK_Sess,nrMK_Link,$B781,nrMK_Credit,"Yes"))</f>
        <v/>
      </c>
      <c r="R781" s="17">
        <f>IF(OR($B781="",$N781&lt;&gt;"Yes"),"",IF(N($I781)&gt;0,N($I781)-N($P781),IF(N($J781)&gt;0,N($J781)-N($Q781),"")))</f>
        <v/>
      </c>
      <c r="S781" s="17">
        <f>IF(OR($B781="",$R781=""),"",IF($R781&lt;=0,"CLEARED "&amp;IFERROR(TEXT(_xlfn.MAXIFS(nrMK_Date,nrMK_Link,$B781,nrMK_Credit,"Yes"),"mm/dd"),""),"OPEN"))</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IF(OR($B782="",N($I782)=0),"",SUMIFS(nrMK_Min,nrMK_Link,$B782,nrMK_Credit,"Yes"))</f>
        <v/>
      </c>
      <c r="Q782" s="17">
        <f>IF(OR($B782="",N($J782)=0),"",SUMIFS(nrMK_Sess,nrMK_Link,$B782,nrMK_Credit,"Yes"))</f>
        <v/>
      </c>
      <c r="R782" s="17">
        <f>IF(OR($B782="",$N782&lt;&gt;"Yes"),"",IF(N($I782)&gt;0,N($I782)-N($P782),IF(N($J782)&gt;0,N($J782)-N($Q782),"")))</f>
        <v/>
      </c>
      <c r="S782" s="17">
        <f>IF(OR($B782="",$R782=""),"",IF($R782&lt;=0,"CLEARED "&amp;IFERROR(TEXT(_xlfn.MAXIFS(nrMK_Date,nrMK_Link,$B782,nrMK_Credit,"Yes"),"mm/dd"),""),"OPEN"))</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IF(OR($B783="",N($I783)=0),"",SUMIFS(nrMK_Min,nrMK_Link,$B783,nrMK_Credit,"Yes"))</f>
        <v/>
      </c>
      <c r="Q783" s="17">
        <f>IF(OR($B783="",N($J783)=0),"",SUMIFS(nrMK_Sess,nrMK_Link,$B783,nrMK_Credit,"Yes"))</f>
        <v/>
      </c>
      <c r="R783" s="17">
        <f>IF(OR($B783="",$N783&lt;&gt;"Yes"),"",IF(N($I783)&gt;0,N($I783)-N($P783),IF(N($J783)&gt;0,N($J783)-N($Q783),"")))</f>
        <v/>
      </c>
      <c r="S783" s="17">
        <f>IF(OR($B783="",$R783=""),"",IF($R783&lt;=0,"CLEARED "&amp;IFERROR(TEXT(_xlfn.MAXIFS(nrMK_Date,nrMK_Link,$B783,nrMK_Credit,"Yes"),"mm/dd"),""),"OPEN"))</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IF(OR($B784="",N($I784)=0),"",SUMIFS(nrMK_Min,nrMK_Link,$B784,nrMK_Credit,"Yes"))</f>
        <v/>
      </c>
      <c r="Q784" s="17">
        <f>IF(OR($B784="",N($J784)=0),"",SUMIFS(nrMK_Sess,nrMK_Link,$B784,nrMK_Credit,"Yes"))</f>
        <v/>
      </c>
      <c r="R784" s="17">
        <f>IF(OR($B784="",$N784&lt;&gt;"Yes"),"",IF(N($I784)&gt;0,N($I784)-N($P784),IF(N($J784)&gt;0,N($J784)-N($Q784),"")))</f>
        <v/>
      </c>
      <c r="S784" s="17">
        <f>IF(OR($B784="",$R784=""),"",IF($R784&lt;=0,"CLEARED "&amp;IFERROR(TEXT(_xlfn.MAXIFS(nrMK_Date,nrMK_Link,$B784,nrMK_Credit,"Yes"),"mm/dd"),""),"OPEN"))</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IF(OR($B785="",N($I785)=0),"",SUMIFS(nrMK_Min,nrMK_Link,$B785,nrMK_Credit,"Yes"))</f>
        <v/>
      </c>
      <c r="Q785" s="17">
        <f>IF(OR($B785="",N($J785)=0),"",SUMIFS(nrMK_Sess,nrMK_Link,$B785,nrMK_Credit,"Yes"))</f>
        <v/>
      </c>
      <c r="R785" s="17">
        <f>IF(OR($B785="",$N785&lt;&gt;"Yes"),"",IF(N($I785)&gt;0,N($I785)-N($P785),IF(N($J785)&gt;0,N($J785)-N($Q785),"")))</f>
        <v/>
      </c>
      <c r="S785" s="17">
        <f>IF(OR($B785="",$R785=""),"",IF($R785&lt;=0,"CLEARED "&amp;IFERROR(TEXT(_xlfn.MAXIFS(nrMK_Date,nrMK_Link,$B785,nrMK_Credit,"Yes"),"mm/dd"),""),"OPEN"))</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IF(OR($B786="",N($I786)=0),"",SUMIFS(nrMK_Min,nrMK_Link,$B786,nrMK_Credit,"Yes"))</f>
        <v/>
      </c>
      <c r="Q786" s="17">
        <f>IF(OR($B786="",N($J786)=0),"",SUMIFS(nrMK_Sess,nrMK_Link,$B786,nrMK_Credit,"Yes"))</f>
        <v/>
      </c>
      <c r="R786" s="17">
        <f>IF(OR($B786="",$N786&lt;&gt;"Yes"),"",IF(N($I786)&gt;0,N($I786)-N($P786),IF(N($J786)&gt;0,N($J786)-N($Q786),"")))</f>
        <v/>
      </c>
      <c r="S786" s="17">
        <f>IF(OR($B786="",$R786=""),"",IF($R786&lt;=0,"CLEARED "&amp;IFERROR(TEXT(_xlfn.MAXIFS(nrMK_Date,nrMK_Link,$B786,nrMK_Credit,"Yes"),"mm/dd"),""),"OPEN"))</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IF(OR($B787="",N($I787)=0),"",SUMIFS(nrMK_Min,nrMK_Link,$B787,nrMK_Credit,"Yes"))</f>
        <v/>
      </c>
      <c r="Q787" s="17">
        <f>IF(OR($B787="",N($J787)=0),"",SUMIFS(nrMK_Sess,nrMK_Link,$B787,nrMK_Credit,"Yes"))</f>
        <v/>
      </c>
      <c r="R787" s="17">
        <f>IF(OR($B787="",$N787&lt;&gt;"Yes"),"",IF(N($I787)&gt;0,N($I787)-N($P787),IF(N($J787)&gt;0,N($J787)-N($Q787),"")))</f>
        <v/>
      </c>
      <c r="S787" s="17">
        <f>IF(OR($B787="",$R787=""),"",IF($R787&lt;=0,"CLEARED "&amp;IFERROR(TEXT(_xlfn.MAXIFS(nrMK_Date,nrMK_Link,$B787,nrMK_Credit,"Yes"),"mm/dd"),""),"OPEN"))</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IF(OR($B788="",N($I788)=0),"",SUMIFS(nrMK_Min,nrMK_Link,$B788,nrMK_Credit,"Yes"))</f>
        <v/>
      </c>
      <c r="Q788" s="17">
        <f>IF(OR($B788="",N($J788)=0),"",SUMIFS(nrMK_Sess,nrMK_Link,$B788,nrMK_Credit,"Yes"))</f>
        <v/>
      </c>
      <c r="R788" s="17">
        <f>IF(OR($B788="",$N788&lt;&gt;"Yes"),"",IF(N($I788)&gt;0,N($I788)-N($P788),IF(N($J788)&gt;0,N($J788)-N($Q788),"")))</f>
        <v/>
      </c>
      <c r="S788" s="17">
        <f>IF(OR($B788="",$R788=""),"",IF($R788&lt;=0,"CLEARED "&amp;IFERROR(TEXT(_xlfn.MAXIFS(nrMK_Date,nrMK_Link,$B788,nrMK_Credit,"Yes"),"mm/dd"),""),"OPEN"))</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IF(OR($B789="",N($I789)=0),"",SUMIFS(nrMK_Min,nrMK_Link,$B789,nrMK_Credit,"Yes"))</f>
        <v/>
      </c>
      <c r="Q789" s="17">
        <f>IF(OR($B789="",N($J789)=0),"",SUMIFS(nrMK_Sess,nrMK_Link,$B789,nrMK_Credit,"Yes"))</f>
        <v/>
      </c>
      <c r="R789" s="17">
        <f>IF(OR($B789="",$N789&lt;&gt;"Yes"),"",IF(N($I789)&gt;0,N($I789)-N($P789),IF(N($J789)&gt;0,N($J789)-N($Q789),"")))</f>
        <v/>
      </c>
      <c r="S789" s="17">
        <f>IF(OR($B789="",$R789=""),"",IF($R789&lt;=0,"CLEARED "&amp;IFERROR(TEXT(_xlfn.MAXIFS(nrMK_Date,nrMK_Link,$B789,nrMK_Credit,"Yes"),"mm/dd"),""),"OPEN"))</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IF(OR($B790="",N($I790)=0),"",SUMIFS(nrMK_Min,nrMK_Link,$B790,nrMK_Credit,"Yes"))</f>
        <v/>
      </c>
      <c r="Q790" s="17">
        <f>IF(OR($B790="",N($J790)=0),"",SUMIFS(nrMK_Sess,nrMK_Link,$B790,nrMK_Credit,"Yes"))</f>
        <v/>
      </c>
      <c r="R790" s="17">
        <f>IF(OR($B790="",$N790&lt;&gt;"Yes"),"",IF(N($I790)&gt;0,N($I790)-N($P790),IF(N($J790)&gt;0,N($J790)-N($Q790),"")))</f>
        <v/>
      </c>
      <c r="S790" s="17">
        <f>IF(OR($B790="",$R790=""),"",IF($R790&lt;=0,"CLEARED "&amp;IFERROR(TEXT(_xlfn.MAXIFS(nrMK_Date,nrMK_Link,$B790,nrMK_Credit,"Yes"),"mm/dd"),""),"OPEN"))</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IF(OR($B791="",N($I791)=0),"",SUMIFS(nrMK_Min,nrMK_Link,$B791,nrMK_Credit,"Yes"))</f>
        <v/>
      </c>
      <c r="Q791" s="17">
        <f>IF(OR($B791="",N($J791)=0),"",SUMIFS(nrMK_Sess,nrMK_Link,$B791,nrMK_Credit,"Yes"))</f>
        <v/>
      </c>
      <c r="R791" s="17">
        <f>IF(OR($B791="",$N791&lt;&gt;"Yes"),"",IF(N($I791)&gt;0,N($I791)-N($P791),IF(N($J791)&gt;0,N($J791)-N($Q791),"")))</f>
        <v/>
      </c>
      <c r="S791" s="17">
        <f>IF(OR($B791="",$R791=""),"",IF($R791&lt;=0,"CLEARED "&amp;IFERROR(TEXT(_xlfn.MAXIFS(nrMK_Date,nrMK_Link,$B791,nrMK_Credit,"Yes"),"mm/dd"),""),"OPEN"))</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IF(OR($B792="",N($I792)=0),"",SUMIFS(nrMK_Min,nrMK_Link,$B792,nrMK_Credit,"Yes"))</f>
        <v/>
      </c>
      <c r="Q792" s="17">
        <f>IF(OR($B792="",N($J792)=0),"",SUMIFS(nrMK_Sess,nrMK_Link,$B792,nrMK_Credit,"Yes"))</f>
        <v/>
      </c>
      <c r="R792" s="17">
        <f>IF(OR($B792="",$N792&lt;&gt;"Yes"),"",IF(N($I792)&gt;0,N($I792)-N($P792),IF(N($J792)&gt;0,N($J792)-N($Q792),"")))</f>
        <v/>
      </c>
      <c r="S792" s="17">
        <f>IF(OR($B792="",$R792=""),"",IF($R792&lt;=0,"CLEARED "&amp;IFERROR(TEXT(_xlfn.MAXIFS(nrMK_Date,nrMK_Link,$B792,nrMK_Credit,"Yes"),"mm/dd"),""),"OPEN"))</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IF(OR($B793="",N($I793)=0),"",SUMIFS(nrMK_Min,nrMK_Link,$B793,nrMK_Credit,"Yes"))</f>
        <v/>
      </c>
      <c r="Q793" s="17">
        <f>IF(OR($B793="",N($J793)=0),"",SUMIFS(nrMK_Sess,nrMK_Link,$B793,nrMK_Credit,"Yes"))</f>
        <v/>
      </c>
      <c r="R793" s="17">
        <f>IF(OR($B793="",$N793&lt;&gt;"Yes"),"",IF(N($I793)&gt;0,N($I793)-N($P793),IF(N($J793)&gt;0,N($J793)-N($Q793),"")))</f>
        <v/>
      </c>
      <c r="S793" s="17">
        <f>IF(OR($B793="",$R793=""),"",IF($R793&lt;=0,"CLEARED "&amp;IFERROR(TEXT(_xlfn.MAXIFS(nrMK_Date,nrMK_Link,$B793,nrMK_Credit,"Yes"),"mm/dd"),""),"OPEN"))</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IF(OR($B794="",N($I794)=0),"",SUMIFS(nrMK_Min,nrMK_Link,$B794,nrMK_Credit,"Yes"))</f>
        <v/>
      </c>
      <c r="Q794" s="17">
        <f>IF(OR($B794="",N($J794)=0),"",SUMIFS(nrMK_Sess,nrMK_Link,$B794,nrMK_Credit,"Yes"))</f>
        <v/>
      </c>
      <c r="R794" s="17">
        <f>IF(OR($B794="",$N794&lt;&gt;"Yes"),"",IF(N($I794)&gt;0,N($I794)-N($P794),IF(N($J794)&gt;0,N($J794)-N($Q794),"")))</f>
        <v/>
      </c>
      <c r="S794" s="17">
        <f>IF(OR($B794="",$R794=""),"",IF($R794&lt;=0,"CLEARED "&amp;IFERROR(TEXT(_xlfn.MAXIFS(nrMK_Date,nrMK_Link,$B794,nrMK_Credit,"Yes"),"mm/dd"),""),"OPEN"))</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IF(OR($B795="",N($I795)=0),"",SUMIFS(nrMK_Min,nrMK_Link,$B795,nrMK_Credit,"Yes"))</f>
        <v/>
      </c>
      <c r="Q795" s="17">
        <f>IF(OR($B795="",N($J795)=0),"",SUMIFS(nrMK_Sess,nrMK_Link,$B795,nrMK_Credit,"Yes"))</f>
        <v/>
      </c>
      <c r="R795" s="17">
        <f>IF(OR($B795="",$N795&lt;&gt;"Yes"),"",IF(N($I795)&gt;0,N($I795)-N($P795),IF(N($J795)&gt;0,N($J795)-N($Q795),"")))</f>
        <v/>
      </c>
      <c r="S795" s="17">
        <f>IF(OR($B795="",$R795=""),"",IF($R795&lt;=0,"CLEARED "&amp;IFERROR(TEXT(_xlfn.MAXIFS(nrMK_Date,nrMK_Link,$B795,nrMK_Credit,"Yes"),"mm/dd"),""),"OPEN"))</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IF(OR($B796="",N($I796)=0),"",SUMIFS(nrMK_Min,nrMK_Link,$B796,nrMK_Credit,"Yes"))</f>
        <v/>
      </c>
      <c r="Q796" s="17">
        <f>IF(OR($B796="",N($J796)=0),"",SUMIFS(nrMK_Sess,nrMK_Link,$B796,nrMK_Credit,"Yes"))</f>
        <v/>
      </c>
      <c r="R796" s="17">
        <f>IF(OR($B796="",$N796&lt;&gt;"Yes"),"",IF(N($I796)&gt;0,N($I796)-N($P796),IF(N($J796)&gt;0,N($J796)-N($Q796),"")))</f>
        <v/>
      </c>
      <c r="S796" s="17">
        <f>IF(OR($B796="",$R796=""),"",IF($R796&lt;=0,"CLEARED "&amp;IFERROR(TEXT(_xlfn.MAXIFS(nrMK_Date,nrMK_Link,$B796,nrMK_Credit,"Yes"),"mm/dd"),""),"OPEN"))</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IF(OR($B797="",N($I797)=0),"",SUMIFS(nrMK_Min,nrMK_Link,$B797,nrMK_Credit,"Yes"))</f>
        <v/>
      </c>
      <c r="Q797" s="17">
        <f>IF(OR($B797="",N($J797)=0),"",SUMIFS(nrMK_Sess,nrMK_Link,$B797,nrMK_Credit,"Yes"))</f>
        <v/>
      </c>
      <c r="R797" s="17">
        <f>IF(OR($B797="",$N797&lt;&gt;"Yes"),"",IF(N($I797)&gt;0,N($I797)-N($P797),IF(N($J797)&gt;0,N($J797)-N($Q797),"")))</f>
        <v/>
      </c>
      <c r="S797" s="17">
        <f>IF(OR($B797="",$R797=""),"",IF($R797&lt;=0,"CLEARED "&amp;IFERROR(TEXT(_xlfn.MAXIFS(nrMK_Date,nrMK_Link,$B797,nrMK_Credit,"Yes"),"mm/dd"),""),"OPEN"))</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IF(OR($B798="",N($I798)=0),"",SUMIFS(nrMK_Min,nrMK_Link,$B798,nrMK_Credit,"Yes"))</f>
        <v/>
      </c>
      <c r="Q798" s="17">
        <f>IF(OR($B798="",N($J798)=0),"",SUMIFS(nrMK_Sess,nrMK_Link,$B798,nrMK_Credit,"Yes"))</f>
        <v/>
      </c>
      <c r="R798" s="17">
        <f>IF(OR($B798="",$N798&lt;&gt;"Yes"),"",IF(N($I798)&gt;0,N($I798)-N($P798),IF(N($J798)&gt;0,N($J798)-N($Q798),"")))</f>
        <v/>
      </c>
      <c r="S798" s="17">
        <f>IF(OR($B798="",$R798=""),"",IF($R798&lt;=0,"CLEARED "&amp;IFERROR(TEXT(_xlfn.MAXIFS(nrMK_Date,nrMK_Link,$B798,nrMK_Credit,"Yes"),"mm/dd"),""),"OPEN"))</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IF(OR($B799="",N($I799)=0),"",SUMIFS(nrMK_Min,nrMK_Link,$B799,nrMK_Credit,"Yes"))</f>
        <v/>
      </c>
      <c r="Q799" s="17">
        <f>IF(OR($B799="",N($J799)=0),"",SUMIFS(nrMK_Sess,nrMK_Link,$B799,nrMK_Credit,"Yes"))</f>
        <v/>
      </c>
      <c r="R799" s="17">
        <f>IF(OR($B799="",$N799&lt;&gt;"Yes"),"",IF(N($I799)&gt;0,N($I799)-N($P799),IF(N($J799)&gt;0,N($J799)-N($Q799),"")))</f>
        <v/>
      </c>
      <c r="S799" s="17">
        <f>IF(OR($B799="",$R799=""),"",IF($R799&lt;=0,"CLEARED "&amp;IFERROR(TEXT(_xlfn.MAXIFS(nrMK_Date,nrMK_Link,$B799,nrMK_Credit,"Yes"),"mm/dd"),""),"OPEN"))</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IF(OR($B800="",N($I800)=0),"",SUMIFS(nrMK_Min,nrMK_Link,$B800,nrMK_Credit,"Yes"))</f>
        <v/>
      </c>
      <c r="Q800" s="17">
        <f>IF(OR($B800="",N($J800)=0),"",SUMIFS(nrMK_Sess,nrMK_Link,$B800,nrMK_Credit,"Yes"))</f>
        <v/>
      </c>
      <c r="R800" s="17">
        <f>IF(OR($B800="",$N800&lt;&gt;"Yes"),"",IF(N($I800)&gt;0,N($I800)-N($P800),IF(N($J800)&gt;0,N($J800)-N($Q800),"")))</f>
        <v/>
      </c>
      <c r="S800" s="17">
        <f>IF(OR($B800="",$R800=""),"",IF($R800&lt;=0,"CLEARED "&amp;IFERROR(TEXT(_xlfn.MAXIFS(nrMK_Date,nrMK_Link,$B800,nrMK_Credit,"Yes"),"mm/dd"),""),"OPEN"))</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IF(OR($B801="",N($I801)=0),"",SUMIFS(nrMK_Min,nrMK_Link,$B801,nrMK_Credit,"Yes"))</f>
        <v/>
      </c>
      <c r="Q801" s="17">
        <f>IF(OR($B801="",N($J801)=0),"",SUMIFS(nrMK_Sess,nrMK_Link,$B801,nrMK_Credit,"Yes"))</f>
        <v/>
      </c>
      <c r="R801" s="17">
        <f>IF(OR($B801="",$N801&lt;&gt;"Yes"),"",IF(N($I801)&gt;0,N($I801)-N($P801),IF(N($J801)&gt;0,N($J801)-N($Q801),"")))</f>
        <v/>
      </c>
      <c r="S801" s="17">
        <f>IF(OR($B801="",$R801=""),"",IF($R801&lt;=0,"CLEARED "&amp;IFERROR(TEXT(_xlfn.MAXIFS(nrMK_Date,nrMK_Link,$B801,nrMK_Credit,"Yes"),"mm/dd"),""),"OPEN"))</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IF(OR($B802="",N($I802)=0),"",SUMIFS(nrMK_Min,nrMK_Link,$B802,nrMK_Credit,"Yes"))</f>
        <v/>
      </c>
      <c r="Q802" s="17">
        <f>IF(OR($B802="",N($J802)=0),"",SUMIFS(nrMK_Sess,nrMK_Link,$B802,nrMK_Credit,"Yes"))</f>
        <v/>
      </c>
      <c r="R802" s="17">
        <f>IF(OR($B802="",$N802&lt;&gt;"Yes"),"",IF(N($I802)&gt;0,N($I802)-N($P802),IF(N($J802)&gt;0,N($J802)-N($Q802),"")))</f>
        <v/>
      </c>
      <c r="S802" s="17">
        <f>IF(OR($B802="",$R802=""),"",IF($R802&lt;=0,"CLEARED "&amp;IFERROR(TEXT(_xlfn.MAXIFS(nrMK_Date,nrMK_Link,$B802,nrMK_Credit,"Yes"),"mm/dd"),""),"OPEN"))</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IF(OR($B803="",N($I803)=0),"",SUMIFS(nrMK_Min,nrMK_Link,$B803,nrMK_Credit,"Yes"))</f>
        <v/>
      </c>
      <c r="Q803" s="17">
        <f>IF(OR($B803="",N($J803)=0),"",SUMIFS(nrMK_Sess,nrMK_Link,$B803,nrMK_Credit,"Yes"))</f>
        <v/>
      </c>
      <c r="R803" s="17">
        <f>IF(OR($B803="",$N803&lt;&gt;"Yes"),"",IF(N($I803)&gt;0,N($I803)-N($P803),IF(N($J803)&gt;0,N($J803)-N($Q803),"")))</f>
        <v/>
      </c>
      <c r="S803" s="17">
        <f>IF(OR($B803="",$R803=""),"",IF($R803&lt;=0,"CLEARED "&amp;IFERROR(TEXT(_xlfn.MAXIFS(nrMK_Date,nrMK_Link,$B803,nrMK_Credit,"Yes"),"mm/dd"),""),"OPEN"))</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IF(OR($B804="",N($I804)=0),"",SUMIFS(nrMK_Min,nrMK_Link,$B804,nrMK_Credit,"Yes"))</f>
        <v/>
      </c>
      <c r="Q804" s="17">
        <f>IF(OR($B804="",N($J804)=0),"",SUMIFS(nrMK_Sess,nrMK_Link,$B804,nrMK_Credit,"Yes"))</f>
        <v/>
      </c>
      <c r="R804" s="17">
        <f>IF(OR($B804="",$N804&lt;&gt;"Yes"),"",IF(N($I804)&gt;0,N($I804)-N($P804),IF(N($J804)&gt;0,N($J804)-N($Q804),"")))</f>
        <v/>
      </c>
      <c r="S804" s="17">
        <f>IF(OR($B804="",$R804=""),"",IF($R804&lt;=0,"CLEARED "&amp;IFERROR(TEXT(_xlfn.MAXIFS(nrMK_Date,nrMK_Link,$B804,nrMK_Credit,"Yes"),"mm/dd"),""),"OPEN"))</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IF(OR($B805="",N($I805)=0),"",SUMIFS(nrMK_Min,nrMK_Link,$B805,nrMK_Credit,"Yes"))</f>
        <v/>
      </c>
      <c r="Q805" s="17">
        <f>IF(OR($B805="",N($J805)=0),"",SUMIFS(nrMK_Sess,nrMK_Link,$B805,nrMK_Credit,"Yes"))</f>
        <v/>
      </c>
      <c r="R805" s="17">
        <f>IF(OR($B805="",$N805&lt;&gt;"Yes"),"",IF(N($I805)&gt;0,N($I805)-N($P805),IF(N($J805)&gt;0,N($J805)-N($Q805),"")))</f>
        <v/>
      </c>
      <c r="S805" s="17">
        <f>IF(OR($B805="",$R805=""),"",IF($R805&lt;=0,"CLEARED "&amp;IFERROR(TEXT(_xlfn.MAXIFS(nrMK_Date,nrMK_Link,$B805,nrMK_Credit,"Yes"),"mm/dd"),""),"OPEN"))</f>
        <v/>
      </c>
    </row>
  </sheetData>
  <autoFilter ref="B5:O5"/>
  <conditionalFormatting sqref="S6:S805">
    <cfRule type="expression" priority="1" dxfId="1">
      <formula>$S6="OPEN"</formula>
    </cfRule>
    <cfRule type="expression" priority="2" dxfId="2">
      <formula>LEFT($S6,7)="CLEARED"</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10">
        <f>HYPERLINK("#Dashboard!B5","◄ Dashboard")</f>
        <v/>
      </c>
    </row>
    <row r="2"/>
    <row r="3"/>
    <row r="4">
      <c r="B4" s="11" t="inlineStr">
        <is>
          <t>Makeup is minute-for-minute (policy 400.5). Classroom skills time cannot be made up. Credit applies only when documentation is Received and no Hold. Pick the missed event's ID in Linked Event — the Attendance sheet clears that event automatically when its balance hits zero.</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row>
    <row r="6">
      <c r="B6" s="17">
        <f>IF($D6="","","M"&amp;TEXT(ROW()-5,"000"))</f>
        <v/>
      </c>
      <c r="C6" s="18" t="n"/>
      <c r="D6" s="16" t="n"/>
      <c r="E6" s="17">
        <f>IF($D6="","",IFERROR(INDEX(rngCadetPIDs,MATCH($D6,rngCadetNames,0)),"?"))</f>
        <v/>
      </c>
      <c r="F6" s="16" t="n"/>
      <c r="G6" s="16" t="n"/>
      <c r="H6" s="16" t="n"/>
      <c r="I6" s="16" t="n"/>
      <c r="J6" s="16" t="n"/>
      <c r="K6" s="16" t="n"/>
      <c r="L6" s="17">
        <f>IF($D6="","",IF(AND($J6="Received",$K6&lt;&gt;"Yes"),"Yes","No"))</f>
        <v/>
      </c>
      <c r="M6" s="16" t="n"/>
    </row>
    <row r="7">
      <c r="B7" s="17">
        <f>IF($D7="","","M"&amp;TEXT(ROW()-5,"000"))</f>
        <v/>
      </c>
      <c r="C7" s="18" t="n"/>
      <c r="D7" s="16" t="n"/>
      <c r="E7" s="17">
        <f>IF($D7="","",IFERROR(INDEX(rngCadetPIDs,MATCH($D7,rngCadetNames,0)),"?"))</f>
        <v/>
      </c>
      <c r="F7" s="16" t="n"/>
      <c r="G7" s="16" t="n"/>
      <c r="H7" s="16" t="n"/>
      <c r="I7" s="16" t="n"/>
      <c r="J7" s="16" t="n"/>
      <c r="K7" s="16" t="n"/>
      <c r="L7" s="17">
        <f>IF($D7="","",IF(AND($J7="Received",$K7&lt;&gt;"Yes"),"Yes","No"))</f>
        <v/>
      </c>
      <c r="M7" s="16" t="n"/>
    </row>
    <row r="8">
      <c r="B8" s="17">
        <f>IF($D8="","","M"&amp;TEXT(ROW()-5,"000"))</f>
        <v/>
      </c>
      <c r="C8" s="18" t="n"/>
      <c r="D8" s="16" t="n"/>
      <c r="E8" s="17">
        <f>IF($D8="","",IFERROR(INDEX(rngCadetPIDs,MATCH($D8,rngCadetNames,0)),"?"))</f>
        <v/>
      </c>
      <c r="F8" s="16" t="n"/>
      <c r="G8" s="16" t="n"/>
      <c r="H8" s="16" t="n"/>
      <c r="I8" s="16" t="n"/>
      <c r="J8" s="16" t="n"/>
      <c r="K8" s="16" t="n"/>
      <c r="L8" s="17">
        <f>IF($D8="","",IF(AND($J8="Received",$K8&lt;&gt;"Yes"),"Yes","No"))</f>
        <v/>
      </c>
      <c r="M8" s="16" t="n"/>
    </row>
    <row r="9">
      <c r="B9" s="17">
        <f>IF($D9="","","M"&amp;TEXT(ROW()-5,"000"))</f>
        <v/>
      </c>
      <c r="C9" s="18" t="n"/>
      <c r="D9" s="16" t="n"/>
      <c r="E9" s="17">
        <f>IF($D9="","",IFERROR(INDEX(rngCadetPIDs,MATCH($D9,rngCadetNames,0)),"?"))</f>
        <v/>
      </c>
      <c r="F9" s="16" t="n"/>
      <c r="G9" s="16" t="n"/>
      <c r="H9" s="16" t="n"/>
      <c r="I9" s="16" t="n"/>
      <c r="J9" s="16" t="n"/>
      <c r="K9" s="16" t="n"/>
      <c r="L9" s="17">
        <f>IF($D9="","",IF(AND($J9="Received",$K9&lt;&gt;"Yes"),"Yes","No"))</f>
        <v/>
      </c>
      <c r="M9" s="16" t="n"/>
    </row>
    <row r="10">
      <c r="B10" s="17">
        <f>IF($D10="","","M"&amp;TEXT(ROW()-5,"000"))</f>
        <v/>
      </c>
      <c r="C10" s="18" t="n"/>
      <c r="D10" s="16" t="n"/>
      <c r="E10" s="17">
        <f>IF($D10="","",IFERROR(INDEX(rngCadetPIDs,MATCH($D10,rngCadetNames,0)),"?"))</f>
        <v/>
      </c>
      <c r="F10" s="16" t="n"/>
      <c r="G10" s="16" t="n"/>
      <c r="H10" s="16" t="n"/>
      <c r="I10" s="16" t="n"/>
      <c r="J10" s="16" t="n"/>
      <c r="K10" s="16" t="n"/>
      <c r="L10" s="17">
        <f>IF($D10="","",IF(AND($J10="Received",$K10&lt;&gt;"Yes"),"Yes","No"))</f>
        <v/>
      </c>
      <c r="M10" s="16" t="n"/>
    </row>
    <row r="11">
      <c r="B11" s="17">
        <f>IF($D11="","","M"&amp;TEXT(ROW()-5,"000"))</f>
        <v/>
      </c>
      <c r="C11" s="18" t="n"/>
      <c r="D11" s="16" t="n"/>
      <c r="E11" s="17">
        <f>IF($D11="","",IFERROR(INDEX(rngCadetPIDs,MATCH($D11,rngCadetNames,0)),"?"))</f>
        <v/>
      </c>
      <c r="F11" s="16" t="n"/>
      <c r="G11" s="16" t="n"/>
      <c r="H11" s="16" t="n"/>
      <c r="I11" s="16" t="n"/>
      <c r="J11" s="16" t="n"/>
      <c r="K11" s="16" t="n"/>
      <c r="L11" s="17">
        <f>IF($D11="","",IF(AND($J11="Received",$K11&lt;&gt;"Yes"),"Yes","No"))</f>
        <v/>
      </c>
      <c r="M11" s="16" t="n"/>
    </row>
    <row r="12">
      <c r="B12" s="17">
        <f>IF($D12="","","M"&amp;TEXT(ROW()-5,"000"))</f>
        <v/>
      </c>
      <c r="C12" s="18" t="n"/>
      <c r="D12" s="16" t="n"/>
      <c r="E12" s="17">
        <f>IF($D12="","",IFERROR(INDEX(rngCadetPIDs,MATCH($D12,rngCadetNames,0)),"?"))</f>
        <v/>
      </c>
      <c r="F12" s="16" t="n"/>
      <c r="G12" s="16" t="n"/>
      <c r="H12" s="16" t="n"/>
      <c r="I12" s="16" t="n"/>
      <c r="J12" s="16" t="n"/>
      <c r="K12" s="16" t="n"/>
      <c r="L12" s="17">
        <f>IF($D12="","",IF(AND($J12="Received",$K12&lt;&gt;"Yes"),"Yes","No"))</f>
        <v/>
      </c>
      <c r="M12" s="16" t="n"/>
    </row>
    <row r="13">
      <c r="B13" s="17">
        <f>IF($D13="","","M"&amp;TEXT(ROW()-5,"000"))</f>
        <v/>
      </c>
      <c r="C13" s="18" t="n"/>
      <c r="D13" s="16" t="n"/>
      <c r="E13" s="17">
        <f>IF($D13="","",IFERROR(INDEX(rngCadetPIDs,MATCH($D13,rngCadetNames,0)),"?"))</f>
        <v/>
      </c>
      <c r="F13" s="16" t="n"/>
      <c r="G13" s="16" t="n"/>
      <c r="H13" s="16" t="n"/>
      <c r="I13" s="16" t="n"/>
      <c r="J13" s="16" t="n"/>
      <c r="K13" s="16" t="n"/>
      <c r="L13" s="17">
        <f>IF($D13="","",IF(AND($J13="Received",$K13&lt;&gt;"Yes"),"Yes","No"))</f>
        <v/>
      </c>
      <c r="M13" s="16" t="n"/>
    </row>
    <row r="14">
      <c r="B14" s="17">
        <f>IF($D14="","","M"&amp;TEXT(ROW()-5,"000"))</f>
        <v/>
      </c>
      <c r="C14" s="18" t="n"/>
      <c r="D14" s="16" t="n"/>
      <c r="E14" s="17">
        <f>IF($D14="","",IFERROR(INDEX(rngCadetPIDs,MATCH($D14,rngCadetNames,0)),"?"))</f>
        <v/>
      </c>
      <c r="F14" s="16" t="n"/>
      <c r="G14" s="16" t="n"/>
      <c r="H14" s="16" t="n"/>
      <c r="I14" s="16" t="n"/>
      <c r="J14" s="16" t="n"/>
      <c r="K14" s="16" t="n"/>
      <c r="L14" s="17">
        <f>IF($D14="","",IF(AND($J14="Received",$K14&lt;&gt;"Yes"),"Yes","No"))</f>
        <v/>
      </c>
      <c r="M14" s="16" t="n"/>
    </row>
    <row r="15">
      <c r="B15" s="17">
        <f>IF($D15="","","M"&amp;TEXT(ROW()-5,"000"))</f>
        <v/>
      </c>
      <c r="C15" s="18" t="n"/>
      <c r="D15" s="16" t="n"/>
      <c r="E15" s="17">
        <f>IF($D15="","",IFERROR(INDEX(rngCadetPIDs,MATCH($D15,rngCadetNames,0)),"?"))</f>
        <v/>
      </c>
      <c r="F15" s="16" t="n"/>
      <c r="G15" s="16" t="n"/>
      <c r="H15" s="16" t="n"/>
      <c r="I15" s="16" t="n"/>
      <c r="J15" s="16" t="n"/>
      <c r="K15" s="16" t="n"/>
      <c r="L15" s="17">
        <f>IF($D15="","",IF(AND($J15="Received",$K15&lt;&gt;"Yes"),"Yes","No"))</f>
        <v/>
      </c>
      <c r="M15" s="16" t="n"/>
    </row>
    <row r="16">
      <c r="B16" s="17">
        <f>IF($D16="","","M"&amp;TEXT(ROW()-5,"000"))</f>
        <v/>
      </c>
      <c r="C16" s="18" t="n"/>
      <c r="D16" s="16" t="n"/>
      <c r="E16" s="17">
        <f>IF($D16="","",IFERROR(INDEX(rngCadetPIDs,MATCH($D16,rngCadetNames,0)),"?"))</f>
        <v/>
      </c>
      <c r="F16" s="16" t="n"/>
      <c r="G16" s="16" t="n"/>
      <c r="H16" s="16" t="n"/>
      <c r="I16" s="16" t="n"/>
      <c r="J16" s="16" t="n"/>
      <c r="K16" s="16" t="n"/>
      <c r="L16" s="17">
        <f>IF($D16="","",IF(AND($J16="Received",$K16&lt;&gt;"Yes"),"Yes","No"))</f>
        <v/>
      </c>
      <c r="M16" s="16" t="n"/>
    </row>
    <row r="17">
      <c r="B17" s="17">
        <f>IF($D17="","","M"&amp;TEXT(ROW()-5,"000"))</f>
        <v/>
      </c>
      <c r="C17" s="18" t="n"/>
      <c r="D17" s="16" t="n"/>
      <c r="E17" s="17">
        <f>IF($D17="","",IFERROR(INDEX(rngCadetPIDs,MATCH($D17,rngCadetNames,0)),"?"))</f>
        <v/>
      </c>
      <c r="F17" s="16" t="n"/>
      <c r="G17" s="16" t="n"/>
      <c r="H17" s="16" t="n"/>
      <c r="I17" s="16" t="n"/>
      <c r="J17" s="16" t="n"/>
      <c r="K17" s="16" t="n"/>
      <c r="L17" s="17">
        <f>IF($D17="","",IF(AND($J17="Received",$K17&lt;&gt;"Yes"),"Yes","No"))</f>
        <v/>
      </c>
      <c r="M17" s="16" t="n"/>
    </row>
    <row r="18">
      <c r="B18" s="17">
        <f>IF($D18="","","M"&amp;TEXT(ROW()-5,"000"))</f>
        <v/>
      </c>
      <c r="C18" s="18" t="n"/>
      <c r="D18" s="16" t="n"/>
      <c r="E18" s="17">
        <f>IF($D18="","",IFERROR(INDEX(rngCadetPIDs,MATCH($D18,rngCadetNames,0)),"?"))</f>
        <v/>
      </c>
      <c r="F18" s="16" t="n"/>
      <c r="G18" s="16" t="n"/>
      <c r="H18" s="16" t="n"/>
      <c r="I18" s="16" t="n"/>
      <c r="J18" s="16" t="n"/>
      <c r="K18" s="16" t="n"/>
      <c r="L18" s="17">
        <f>IF($D18="","",IF(AND($J18="Received",$K18&lt;&gt;"Yes"),"Yes","No"))</f>
        <v/>
      </c>
      <c r="M18" s="16" t="n"/>
    </row>
    <row r="19">
      <c r="B19" s="17">
        <f>IF($D19="","","M"&amp;TEXT(ROW()-5,"000"))</f>
        <v/>
      </c>
      <c r="C19" s="18" t="n"/>
      <c r="D19" s="16" t="n"/>
      <c r="E19" s="17">
        <f>IF($D19="","",IFERROR(INDEX(rngCadetPIDs,MATCH($D19,rngCadetNames,0)),"?"))</f>
        <v/>
      </c>
      <c r="F19" s="16" t="n"/>
      <c r="G19" s="16" t="n"/>
      <c r="H19" s="16" t="n"/>
      <c r="I19" s="16" t="n"/>
      <c r="J19" s="16" t="n"/>
      <c r="K19" s="16" t="n"/>
      <c r="L19" s="17">
        <f>IF($D19="","",IF(AND($J19="Received",$K19&lt;&gt;"Yes"),"Yes","No"))</f>
        <v/>
      </c>
      <c r="M19" s="16" t="n"/>
    </row>
    <row r="20">
      <c r="B20" s="17">
        <f>IF($D20="","","M"&amp;TEXT(ROW()-5,"000"))</f>
        <v/>
      </c>
      <c r="C20" s="18" t="n"/>
      <c r="D20" s="16" t="n"/>
      <c r="E20" s="17">
        <f>IF($D20="","",IFERROR(INDEX(rngCadetPIDs,MATCH($D20,rngCadetNames,0)),"?"))</f>
        <v/>
      </c>
      <c r="F20" s="16" t="n"/>
      <c r="G20" s="16" t="n"/>
      <c r="H20" s="16" t="n"/>
      <c r="I20" s="16" t="n"/>
      <c r="J20" s="16" t="n"/>
      <c r="K20" s="16" t="n"/>
      <c r="L20" s="17">
        <f>IF($D20="","",IF(AND($J20="Received",$K20&lt;&gt;"Yes"),"Yes","No"))</f>
        <v/>
      </c>
      <c r="M20" s="16" t="n"/>
    </row>
    <row r="21">
      <c r="B21" s="17">
        <f>IF($D21="","","M"&amp;TEXT(ROW()-5,"000"))</f>
        <v/>
      </c>
      <c r="C21" s="18" t="n"/>
      <c r="D21" s="16" t="n"/>
      <c r="E21" s="17">
        <f>IF($D21="","",IFERROR(INDEX(rngCadetPIDs,MATCH($D21,rngCadetNames,0)),"?"))</f>
        <v/>
      </c>
      <c r="F21" s="16" t="n"/>
      <c r="G21" s="16" t="n"/>
      <c r="H21" s="16" t="n"/>
      <c r="I21" s="16" t="n"/>
      <c r="J21" s="16" t="n"/>
      <c r="K21" s="16" t="n"/>
      <c r="L21" s="17">
        <f>IF($D21="","",IF(AND($J21="Received",$K21&lt;&gt;"Yes"),"Yes","No"))</f>
        <v/>
      </c>
      <c r="M21" s="16" t="n"/>
    </row>
    <row r="22">
      <c r="B22" s="17">
        <f>IF($D22="","","M"&amp;TEXT(ROW()-5,"000"))</f>
        <v/>
      </c>
      <c r="C22" s="18" t="n"/>
      <c r="D22" s="16" t="n"/>
      <c r="E22" s="17">
        <f>IF($D22="","",IFERROR(INDEX(rngCadetPIDs,MATCH($D22,rngCadetNames,0)),"?"))</f>
        <v/>
      </c>
      <c r="F22" s="16" t="n"/>
      <c r="G22" s="16" t="n"/>
      <c r="H22" s="16" t="n"/>
      <c r="I22" s="16" t="n"/>
      <c r="J22" s="16" t="n"/>
      <c r="K22" s="16" t="n"/>
      <c r="L22" s="17">
        <f>IF($D22="","",IF(AND($J22="Received",$K22&lt;&gt;"Yes"),"Yes","No"))</f>
        <v/>
      </c>
      <c r="M22" s="16" t="n"/>
    </row>
    <row r="23">
      <c r="B23" s="17">
        <f>IF($D23="","","M"&amp;TEXT(ROW()-5,"000"))</f>
        <v/>
      </c>
      <c r="C23" s="18" t="n"/>
      <c r="D23" s="16" t="n"/>
      <c r="E23" s="17">
        <f>IF($D23="","",IFERROR(INDEX(rngCadetPIDs,MATCH($D23,rngCadetNames,0)),"?"))</f>
        <v/>
      </c>
      <c r="F23" s="16" t="n"/>
      <c r="G23" s="16" t="n"/>
      <c r="H23" s="16" t="n"/>
      <c r="I23" s="16" t="n"/>
      <c r="J23" s="16" t="n"/>
      <c r="K23" s="16" t="n"/>
      <c r="L23" s="17">
        <f>IF($D23="","",IF(AND($J23="Received",$K23&lt;&gt;"Yes"),"Yes","No"))</f>
        <v/>
      </c>
      <c r="M23" s="16" t="n"/>
    </row>
    <row r="24">
      <c r="B24" s="17">
        <f>IF($D24="","","M"&amp;TEXT(ROW()-5,"000"))</f>
        <v/>
      </c>
      <c r="C24" s="18" t="n"/>
      <c r="D24" s="16" t="n"/>
      <c r="E24" s="17">
        <f>IF($D24="","",IFERROR(INDEX(rngCadetPIDs,MATCH($D24,rngCadetNames,0)),"?"))</f>
        <v/>
      </c>
      <c r="F24" s="16" t="n"/>
      <c r="G24" s="16" t="n"/>
      <c r="H24" s="16" t="n"/>
      <c r="I24" s="16" t="n"/>
      <c r="J24" s="16" t="n"/>
      <c r="K24" s="16" t="n"/>
      <c r="L24" s="17">
        <f>IF($D24="","",IF(AND($J24="Received",$K24&lt;&gt;"Yes"),"Yes","No"))</f>
        <v/>
      </c>
      <c r="M24" s="16" t="n"/>
    </row>
    <row r="25">
      <c r="B25" s="17">
        <f>IF($D25="","","M"&amp;TEXT(ROW()-5,"000"))</f>
        <v/>
      </c>
      <c r="C25" s="18" t="n"/>
      <c r="D25" s="16" t="n"/>
      <c r="E25" s="17">
        <f>IF($D25="","",IFERROR(INDEX(rngCadetPIDs,MATCH($D25,rngCadetNames,0)),"?"))</f>
        <v/>
      </c>
      <c r="F25" s="16" t="n"/>
      <c r="G25" s="16" t="n"/>
      <c r="H25" s="16" t="n"/>
      <c r="I25" s="16" t="n"/>
      <c r="J25" s="16" t="n"/>
      <c r="K25" s="16" t="n"/>
      <c r="L25" s="17">
        <f>IF($D25="","",IF(AND($J25="Received",$K25&lt;&gt;"Yes"),"Yes","No"))</f>
        <v/>
      </c>
      <c r="M25" s="16" t="n"/>
    </row>
    <row r="26">
      <c r="B26" s="17">
        <f>IF($D26="","","M"&amp;TEXT(ROW()-5,"000"))</f>
        <v/>
      </c>
      <c r="C26" s="18" t="n"/>
      <c r="D26" s="16" t="n"/>
      <c r="E26" s="17">
        <f>IF($D26="","",IFERROR(INDEX(rngCadetPIDs,MATCH($D26,rngCadetNames,0)),"?"))</f>
        <v/>
      </c>
      <c r="F26" s="16" t="n"/>
      <c r="G26" s="16" t="n"/>
      <c r="H26" s="16" t="n"/>
      <c r="I26" s="16" t="n"/>
      <c r="J26" s="16" t="n"/>
      <c r="K26" s="16" t="n"/>
      <c r="L26" s="17">
        <f>IF($D26="","",IF(AND($J26="Received",$K26&lt;&gt;"Yes"),"Yes","No"))</f>
        <v/>
      </c>
      <c r="M26" s="16" t="n"/>
    </row>
    <row r="27">
      <c r="B27" s="17">
        <f>IF($D27="","","M"&amp;TEXT(ROW()-5,"000"))</f>
        <v/>
      </c>
      <c r="C27" s="18" t="n"/>
      <c r="D27" s="16" t="n"/>
      <c r="E27" s="17">
        <f>IF($D27="","",IFERROR(INDEX(rngCadetPIDs,MATCH($D27,rngCadetNames,0)),"?"))</f>
        <v/>
      </c>
      <c r="F27" s="16" t="n"/>
      <c r="G27" s="16" t="n"/>
      <c r="H27" s="16" t="n"/>
      <c r="I27" s="16" t="n"/>
      <c r="J27" s="16" t="n"/>
      <c r="K27" s="16" t="n"/>
      <c r="L27" s="17">
        <f>IF($D27="","",IF(AND($J27="Received",$K27&lt;&gt;"Yes"),"Yes","No"))</f>
        <v/>
      </c>
      <c r="M27" s="16" t="n"/>
    </row>
    <row r="28">
      <c r="B28" s="17">
        <f>IF($D28="","","M"&amp;TEXT(ROW()-5,"000"))</f>
        <v/>
      </c>
      <c r="C28" s="18" t="n"/>
      <c r="D28" s="16" t="n"/>
      <c r="E28" s="17">
        <f>IF($D28="","",IFERROR(INDEX(rngCadetPIDs,MATCH($D28,rngCadetNames,0)),"?"))</f>
        <v/>
      </c>
      <c r="F28" s="16" t="n"/>
      <c r="G28" s="16" t="n"/>
      <c r="H28" s="16" t="n"/>
      <c r="I28" s="16" t="n"/>
      <c r="J28" s="16" t="n"/>
      <c r="K28" s="16" t="n"/>
      <c r="L28" s="17">
        <f>IF($D28="","",IF(AND($J28="Received",$K28&lt;&gt;"Yes"),"Yes","No"))</f>
        <v/>
      </c>
      <c r="M28" s="16" t="n"/>
    </row>
    <row r="29">
      <c r="B29" s="17">
        <f>IF($D29="","","M"&amp;TEXT(ROW()-5,"000"))</f>
        <v/>
      </c>
      <c r="C29" s="18" t="n"/>
      <c r="D29" s="16" t="n"/>
      <c r="E29" s="17">
        <f>IF($D29="","",IFERROR(INDEX(rngCadetPIDs,MATCH($D29,rngCadetNames,0)),"?"))</f>
        <v/>
      </c>
      <c r="F29" s="16" t="n"/>
      <c r="G29" s="16" t="n"/>
      <c r="H29" s="16" t="n"/>
      <c r="I29" s="16" t="n"/>
      <c r="J29" s="16" t="n"/>
      <c r="K29" s="16" t="n"/>
      <c r="L29" s="17">
        <f>IF($D29="","",IF(AND($J29="Received",$K29&lt;&gt;"Yes"),"Yes","No"))</f>
        <v/>
      </c>
      <c r="M29" s="16" t="n"/>
    </row>
    <row r="30">
      <c r="B30" s="17">
        <f>IF($D30="","","M"&amp;TEXT(ROW()-5,"000"))</f>
        <v/>
      </c>
      <c r="C30" s="18" t="n"/>
      <c r="D30" s="16" t="n"/>
      <c r="E30" s="17">
        <f>IF($D30="","",IFERROR(INDEX(rngCadetPIDs,MATCH($D30,rngCadetNames,0)),"?"))</f>
        <v/>
      </c>
      <c r="F30" s="16" t="n"/>
      <c r="G30" s="16" t="n"/>
      <c r="H30" s="16" t="n"/>
      <c r="I30" s="16" t="n"/>
      <c r="J30" s="16" t="n"/>
      <c r="K30" s="16" t="n"/>
      <c r="L30" s="17">
        <f>IF($D30="","",IF(AND($J30="Received",$K30&lt;&gt;"Yes"),"Yes","No"))</f>
        <v/>
      </c>
      <c r="M30" s="16" t="n"/>
    </row>
    <row r="31">
      <c r="B31" s="17">
        <f>IF($D31="","","M"&amp;TEXT(ROW()-5,"000"))</f>
        <v/>
      </c>
      <c r="C31" s="18" t="n"/>
      <c r="D31" s="16" t="n"/>
      <c r="E31" s="17">
        <f>IF($D31="","",IFERROR(INDEX(rngCadetPIDs,MATCH($D31,rngCadetNames,0)),"?"))</f>
        <v/>
      </c>
      <c r="F31" s="16" t="n"/>
      <c r="G31" s="16" t="n"/>
      <c r="H31" s="16" t="n"/>
      <c r="I31" s="16" t="n"/>
      <c r="J31" s="16" t="n"/>
      <c r="K31" s="16" t="n"/>
      <c r="L31" s="17">
        <f>IF($D31="","",IF(AND($J31="Received",$K31&lt;&gt;"Yes"),"Yes","No"))</f>
        <v/>
      </c>
      <c r="M31" s="16" t="n"/>
    </row>
    <row r="32">
      <c r="B32" s="17">
        <f>IF($D32="","","M"&amp;TEXT(ROW()-5,"000"))</f>
        <v/>
      </c>
      <c r="C32" s="18" t="n"/>
      <c r="D32" s="16" t="n"/>
      <c r="E32" s="17">
        <f>IF($D32="","",IFERROR(INDEX(rngCadetPIDs,MATCH($D32,rngCadetNames,0)),"?"))</f>
        <v/>
      </c>
      <c r="F32" s="16" t="n"/>
      <c r="G32" s="16" t="n"/>
      <c r="H32" s="16" t="n"/>
      <c r="I32" s="16" t="n"/>
      <c r="J32" s="16" t="n"/>
      <c r="K32" s="16" t="n"/>
      <c r="L32" s="17">
        <f>IF($D32="","",IF(AND($J32="Received",$K32&lt;&gt;"Yes"),"Yes","No"))</f>
        <v/>
      </c>
      <c r="M32" s="16" t="n"/>
    </row>
    <row r="33">
      <c r="B33" s="17">
        <f>IF($D33="","","M"&amp;TEXT(ROW()-5,"000"))</f>
        <v/>
      </c>
      <c r="C33" s="18" t="n"/>
      <c r="D33" s="16" t="n"/>
      <c r="E33" s="17">
        <f>IF($D33="","",IFERROR(INDEX(rngCadetPIDs,MATCH($D33,rngCadetNames,0)),"?"))</f>
        <v/>
      </c>
      <c r="F33" s="16" t="n"/>
      <c r="G33" s="16" t="n"/>
      <c r="H33" s="16" t="n"/>
      <c r="I33" s="16" t="n"/>
      <c r="J33" s="16" t="n"/>
      <c r="K33" s="16" t="n"/>
      <c r="L33" s="17">
        <f>IF($D33="","",IF(AND($J33="Received",$K33&lt;&gt;"Yes"),"Yes","No"))</f>
        <v/>
      </c>
      <c r="M33" s="16" t="n"/>
    </row>
    <row r="34">
      <c r="B34" s="17">
        <f>IF($D34="","","M"&amp;TEXT(ROW()-5,"000"))</f>
        <v/>
      </c>
      <c r="C34" s="18" t="n"/>
      <c r="D34" s="16" t="n"/>
      <c r="E34" s="17">
        <f>IF($D34="","",IFERROR(INDEX(rngCadetPIDs,MATCH($D34,rngCadetNames,0)),"?"))</f>
        <v/>
      </c>
      <c r="F34" s="16" t="n"/>
      <c r="G34" s="16" t="n"/>
      <c r="H34" s="16" t="n"/>
      <c r="I34" s="16" t="n"/>
      <c r="J34" s="16" t="n"/>
      <c r="K34" s="16" t="n"/>
      <c r="L34" s="17">
        <f>IF($D34="","",IF(AND($J34="Received",$K34&lt;&gt;"Yes"),"Yes","No"))</f>
        <v/>
      </c>
      <c r="M34" s="16" t="n"/>
    </row>
    <row r="35">
      <c r="B35" s="17">
        <f>IF($D35="","","M"&amp;TEXT(ROW()-5,"000"))</f>
        <v/>
      </c>
      <c r="C35" s="18" t="n"/>
      <c r="D35" s="16" t="n"/>
      <c r="E35" s="17">
        <f>IF($D35="","",IFERROR(INDEX(rngCadetPIDs,MATCH($D35,rngCadetNames,0)),"?"))</f>
        <v/>
      </c>
      <c r="F35" s="16" t="n"/>
      <c r="G35" s="16" t="n"/>
      <c r="H35" s="16" t="n"/>
      <c r="I35" s="16" t="n"/>
      <c r="J35" s="16" t="n"/>
      <c r="K35" s="16" t="n"/>
      <c r="L35" s="17">
        <f>IF($D35="","",IF(AND($J35="Received",$K35&lt;&gt;"Yes"),"Yes","No"))</f>
        <v/>
      </c>
      <c r="M35" s="16" t="n"/>
    </row>
    <row r="36">
      <c r="B36" s="17">
        <f>IF($D36="","","M"&amp;TEXT(ROW()-5,"000"))</f>
        <v/>
      </c>
      <c r="C36" s="18" t="n"/>
      <c r="D36" s="16" t="n"/>
      <c r="E36" s="17">
        <f>IF($D36="","",IFERROR(INDEX(rngCadetPIDs,MATCH($D36,rngCadetNames,0)),"?"))</f>
        <v/>
      </c>
      <c r="F36" s="16" t="n"/>
      <c r="G36" s="16" t="n"/>
      <c r="H36" s="16" t="n"/>
      <c r="I36" s="16" t="n"/>
      <c r="J36" s="16" t="n"/>
      <c r="K36" s="16" t="n"/>
      <c r="L36" s="17">
        <f>IF($D36="","",IF(AND($J36="Received",$K36&lt;&gt;"Yes"),"Yes","No"))</f>
        <v/>
      </c>
      <c r="M36" s="16" t="n"/>
    </row>
    <row r="37">
      <c r="B37" s="17">
        <f>IF($D37="","","M"&amp;TEXT(ROW()-5,"000"))</f>
        <v/>
      </c>
      <c r="C37" s="18" t="n"/>
      <c r="D37" s="16" t="n"/>
      <c r="E37" s="17">
        <f>IF($D37="","",IFERROR(INDEX(rngCadetPIDs,MATCH($D37,rngCadetNames,0)),"?"))</f>
        <v/>
      </c>
      <c r="F37" s="16" t="n"/>
      <c r="G37" s="16" t="n"/>
      <c r="H37" s="16" t="n"/>
      <c r="I37" s="16" t="n"/>
      <c r="J37" s="16" t="n"/>
      <c r="K37" s="16" t="n"/>
      <c r="L37" s="17">
        <f>IF($D37="","",IF(AND($J37="Received",$K37&lt;&gt;"Yes"),"Yes","No"))</f>
        <v/>
      </c>
      <c r="M37" s="16" t="n"/>
    </row>
    <row r="38">
      <c r="B38" s="17">
        <f>IF($D38="","","M"&amp;TEXT(ROW()-5,"000"))</f>
        <v/>
      </c>
      <c r="C38" s="18" t="n"/>
      <c r="D38" s="16" t="n"/>
      <c r="E38" s="17">
        <f>IF($D38="","",IFERROR(INDEX(rngCadetPIDs,MATCH($D38,rngCadetNames,0)),"?"))</f>
        <v/>
      </c>
      <c r="F38" s="16" t="n"/>
      <c r="G38" s="16" t="n"/>
      <c r="H38" s="16" t="n"/>
      <c r="I38" s="16" t="n"/>
      <c r="J38" s="16" t="n"/>
      <c r="K38" s="16" t="n"/>
      <c r="L38" s="17">
        <f>IF($D38="","",IF(AND($J38="Received",$K38&lt;&gt;"Yes"),"Yes","No"))</f>
        <v/>
      </c>
      <c r="M38" s="16" t="n"/>
    </row>
    <row r="39">
      <c r="B39" s="17">
        <f>IF($D39="","","M"&amp;TEXT(ROW()-5,"000"))</f>
        <v/>
      </c>
      <c r="C39" s="18" t="n"/>
      <c r="D39" s="16" t="n"/>
      <c r="E39" s="17">
        <f>IF($D39="","",IFERROR(INDEX(rngCadetPIDs,MATCH($D39,rngCadetNames,0)),"?"))</f>
        <v/>
      </c>
      <c r="F39" s="16" t="n"/>
      <c r="G39" s="16" t="n"/>
      <c r="H39" s="16" t="n"/>
      <c r="I39" s="16" t="n"/>
      <c r="J39" s="16" t="n"/>
      <c r="K39" s="16" t="n"/>
      <c r="L39" s="17">
        <f>IF($D39="","",IF(AND($J39="Received",$K39&lt;&gt;"Yes"),"Yes","No"))</f>
        <v/>
      </c>
      <c r="M39" s="16" t="n"/>
    </row>
    <row r="40">
      <c r="B40" s="17">
        <f>IF($D40="","","M"&amp;TEXT(ROW()-5,"000"))</f>
        <v/>
      </c>
      <c r="C40" s="18" t="n"/>
      <c r="D40" s="16" t="n"/>
      <c r="E40" s="17">
        <f>IF($D40="","",IFERROR(INDEX(rngCadetPIDs,MATCH($D40,rngCadetNames,0)),"?"))</f>
        <v/>
      </c>
      <c r="F40" s="16" t="n"/>
      <c r="G40" s="16" t="n"/>
      <c r="H40" s="16" t="n"/>
      <c r="I40" s="16" t="n"/>
      <c r="J40" s="16" t="n"/>
      <c r="K40" s="16" t="n"/>
      <c r="L40" s="17">
        <f>IF($D40="","",IF(AND($J40="Received",$K40&lt;&gt;"Yes"),"Yes","No"))</f>
        <v/>
      </c>
      <c r="M40" s="16" t="n"/>
    </row>
    <row r="41">
      <c r="B41" s="17">
        <f>IF($D41="","","M"&amp;TEXT(ROW()-5,"000"))</f>
        <v/>
      </c>
      <c r="C41" s="18" t="n"/>
      <c r="D41" s="16" t="n"/>
      <c r="E41" s="17">
        <f>IF($D41="","",IFERROR(INDEX(rngCadetPIDs,MATCH($D41,rngCadetNames,0)),"?"))</f>
        <v/>
      </c>
      <c r="F41" s="16" t="n"/>
      <c r="G41" s="16" t="n"/>
      <c r="H41" s="16" t="n"/>
      <c r="I41" s="16" t="n"/>
      <c r="J41" s="16" t="n"/>
      <c r="K41" s="16" t="n"/>
      <c r="L41" s="17">
        <f>IF($D41="","",IF(AND($J41="Received",$K41&lt;&gt;"Yes"),"Yes","No"))</f>
        <v/>
      </c>
      <c r="M41" s="16" t="n"/>
    </row>
    <row r="42">
      <c r="B42" s="17">
        <f>IF($D42="","","M"&amp;TEXT(ROW()-5,"000"))</f>
        <v/>
      </c>
      <c r="C42" s="18" t="n"/>
      <c r="D42" s="16" t="n"/>
      <c r="E42" s="17">
        <f>IF($D42="","",IFERROR(INDEX(rngCadetPIDs,MATCH($D42,rngCadetNames,0)),"?"))</f>
        <v/>
      </c>
      <c r="F42" s="16" t="n"/>
      <c r="G42" s="16" t="n"/>
      <c r="H42" s="16" t="n"/>
      <c r="I42" s="16" t="n"/>
      <c r="J42" s="16" t="n"/>
      <c r="K42" s="16" t="n"/>
      <c r="L42" s="17">
        <f>IF($D42="","",IF(AND($J42="Received",$K42&lt;&gt;"Yes"),"Yes","No"))</f>
        <v/>
      </c>
      <c r="M42" s="16" t="n"/>
    </row>
    <row r="43">
      <c r="B43" s="17">
        <f>IF($D43="","","M"&amp;TEXT(ROW()-5,"000"))</f>
        <v/>
      </c>
      <c r="C43" s="18" t="n"/>
      <c r="D43" s="16" t="n"/>
      <c r="E43" s="17">
        <f>IF($D43="","",IFERROR(INDEX(rngCadetPIDs,MATCH($D43,rngCadetNames,0)),"?"))</f>
        <v/>
      </c>
      <c r="F43" s="16" t="n"/>
      <c r="G43" s="16" t="n"/>
      <c r="H43" s="16" t="n"/>
      <c r="I43" s="16" t="n"/>
      <c r="J43" s="16" t="n"/>
      <c r="K43" s="16" t="n"/>
      <c r="L43" s="17">
        <f>IF($D43="","",IF(AND($J43="Received",$K43&lt;&gt;"Yes"),"Yes","No"))</f>
        <v/>
      </c>
      <c r="M43" s="16" t="n"/>
    </row>
    <row r="44">
      <c r="B44" s="17">
        <f>IF($D44="","","M"&amp;TEXT(ROW()-5,"000"))</f>
        <v/>
      </c>
      <c r="C44" s="18" t="n"/>
      <c r="D44" s="16" t="n"/>
      <c r="E44" s="17">
        <f>IF($D44="","",IFERROR(INDEX(rngCadetPIDs,MATCH($D44,rngCadetNames,0)),"?"))</f>
        <v/>
      </c>
      <c r="F44" s="16" t="n"/>
      <c r="G44" s="16" t="n"/>
      <c r="H44" s="16" t="n"/>
      <c r="I44" s="16" t="n"/>
      <c r="J44" s="16" t="n"/>
      <c r="K44" s="16" t="n"/>
      <c r="L44" s="17">
        <f>IF($D44="","",IF(AND($J44="Received",$K44&lt;&gt;"Yes"),"Yes","No"))</f>
        <v/>
      </c>
      <c r="M44" s="16" t="n"/>
    </row>
    <row r="45">
      <c r="B45" s="17">
        <f>IF($D45="","","M"&amp;TEXT(ROW()-5,"000"))</f>
        <v/>
      </c>
      <c r="C45" s="18" t="n"/>
      <c r="D45" s="16" t="n"/>
      <c r="E45" s="17">
        <f>IF($D45="","",IFERROR(INDEX(rngCadetPIDs,MATCH($D45,rngCadetNames,0)),"?"))</f>
        <v/>
      </c>
      <c r="F45" s="16" t="n"/>
      <c r="G45" s="16" t="n"/>
      <c r="H45" s="16" t="n"/>
      <c r="I45" s="16" t="n"/>
      <c r="J45" s="16" t="n"/>
      <c r="K45" s="16" t="n"/>
      <c r="L45" s="17">
        <f>IF($D45="","",IF(AND($J45="Received",$K45&lt;&gt;"Yes"),"Yes","No"))</f>
        <v/>
      </c>
      <c r="M45" s="16" t="n"/>
    </row>
    <row r="46">
      <c r="B46" s="17">
        <f>IF($D46="","","M"&amp;TEXT(ROW()-5,"000"))</f>
        <v/>
      </c>
      <c r="C46" s="18" t="n"/>
      <c r="D46" s="16" t="n"/>
      <c r="E46" s="17">
        <f>IF($D46="","",IFERROR(INDEX(rngCadetPIDs,MATCH($D46,rngCadetNames,0)),"?"))</f>
        <v/>
      </c>
      <c r="F46" s="16" t="n"/>
      <c r="G46" s="16" t="n"/>
      <c r="H46" s="16" t="n"/>
      <c r="I46" s="16" t="n"/>
      <c r="J46" s="16" t="n"/>
      <c r="K46" s="16" t="n"/>
      <c r="L46" s="17">
        <f>IF($D46="","",IF(AND($J46="Received",$K46&lt;&gt;"Yes"),"Yes","No"))</f>
        <v/>
      </c>
      <c r="M46" s="16" t="n"/>
    </row>
    <row r="47">
      <c r="B47" s="17">
        <f>IF($D47="","","M"&amp;TEXT(ROW()-5,"000"))</f>
        <v/>
      </c>
      <c r="C47" s="18" t="n"/>
      <c r="D47" s="16" t="n"/>
      <c r="E47" s="17">
        <f>IF($D47="","",IFERROR(INDEX(rngCadetPIDs,MATCH($D47,rngCadetNames,0)),"?"))</f>
        <v/>
      </c>
      <c r="F47" s="16" t="n"/>
      <c r="G47" s="16" t="n"/>
      <c r="H47" s="16" t="n"/>
      <c r="I47" s="16" t="n"/>
      <c r="J47" s="16" t="n"/>
      <c r="K47" s="16" t="n"/>
      <c r="L47" s="17">
        <f>IF($D47="","",IF(AND($J47="Received",$K47&lt;&gt;"Yes"),"Yes","No"))</f>
        <v/>
      </c>
      <c r="M47" s="16" t="n"/>
    </row>
    <row r="48">
      <c r="B48" s="17">
        <f>IF($D48="","","M"&amp;TEXT(ROW()-5,"000"))</f>
        <v/>
      </c>
      <c r="C48" s="18" t="n"/>
      <c r="D48" s="16" t="n"/>
      <c r="E48" s="17">
        <f>IF($D48="","",IFERROR(INDEX(rngCadetPIDs,MATCH($D48,rngCadetNames,0)),"?"))</f>
        <v/>
      </c>
      <c r="F48" s="16" t="n"/>
      <c r="G48" s="16" t="n"/>
      <c r="H48" s="16" t="n"/>
      <c r="I48" s="16" t="n"/>
      <c r="J48" s="16" t="n"/>
      <c r="K48" s="16" t="n"/>
      <c r="L48" s="17">
        <f>IF($D48="","",IF(AND($J48="Received",$K48&lt;&gt;"Yes"),"Yes","No"))</f>
        <v/>
      </c>
      <c r="M48" s="16" t="n"/>
    </row>
    <row r="49">
      <c r="B49" s="17">
        <f>IF($D49="","","M"&amp;TEXT(ROW()-5,"000"))</f>
        <v/>
      </c>
      <c r="C49" s="18" t="n"/>
      <c r="D49" s="16" t="n"/>
      <c r="E49" s="17">
        <f>IF($D49="","",IFERROR(INDEX(rngCadetPIDs,MATCH($D49,rngCadetNames,0)),"?"))</f>
        <v/>
      </c>
      <c r="F49" s="16" t="n"/>
      <c r="G49" s="16" t="n"/>
      <c r="H49" s="16" t="n"/>
      <c r="I49" s="16" t="n"/>
      <c r="J49" s="16" t="n"/>
      <c r="K49" s="16" t="n"/>
      <c r="L49" s="17">
        <f>IF($D49="","",IF(AND($J49="Received",$K49&lt;&gt;"Yes"),"Yes","No"))</f>
        <v/>
      </c>
      <c r="M49" s="16" t="n"/>
    </row>
    <row r="50">
      <c r="B50" s="17">
        <f>IF($D50="","","M"&amp;TEXT(ROW()-5,"000"))</f>
        <v/>
      </c>
      <c r="C50" s="18" t="n"/>
      <c r="D50" s="16" t="n"/>
      <c r="E50" s="17">
        <f>IF($D50="","",IFERROR(INDEX(rngCadetPIDs,MATCH($D50,rngCadetNames,0)),"?"))</f>
        <v/>
      </c>
      <c r="F50" s="16" t="n"/>
      <c r="G50" s="16" t="n"/>
      <c r="H50" s="16" t="n"/>
      <c r="I50" s="16" t="n"/>
      <c r="J50" s="16" t="n"/>
      <c r="K50" s="16" t="n"/>
      <c r="L50" s="17">
        <f>IF($D50="","",IF(AND($J50="Received",$K50&lt;&gt;"Yes"),"Yes","No"))</f>
        <v/>
      </c>
      <c r="M50" s="16" t="n"/>
    </row>
    <row r="51">
      <c r="B51" s="17">
        <f>IF($D51="","","M"&amp;TEXT(ROW()-5,"000"))</f>
        <v/>
      </c>
      <c r="C51" s="18" t="n"/>
      <c r="D51" s="16" t="n"/>
      <c r="E51" s="17">
        <f>IF($D51="","",IFERROR(INDEX(rngCadetPIDs,MATCH($D51,rngCadetNames,0)),"?"))</f>
        <v/>
      </c>
      <c r="F51" s="16" t="n"/>
      <c r="G51" s="16" t="n"/>
      <c r="H51" s="16" t="n"/>
      <c r="I51" s="16" t="n"/>
      <c r="J51" s="16" t="n"/>
      <c r="K51" s="16" t="n"/>
      <c r="L51" s="17">
        <f>IF($D51="","",IF(AND($J51="Received",$K51&lt;&gt;"Yes"),"Yes","No"))</f>
        <v/>
      </c>
      <c r="M51" s="16" t="n"/>
    </row>
    <row r="52">
      <c r="B52" s="17">
        <f>IF($D52="","","M"&amp;TEXT(ROW()-5,"000"))</f>
        <v/>
      </c>
      <c r="C52" s="18" t="n"/>
      <c r="D52" s="16" t="n"/>
      <c r="E52" s="17">
        <f>IF($D52="","",IFERROR(INDEX(rngCadetPIDs,MATCH($D52,rngCadetNames,0)),"?"))</f>
        <v/>
      </c>
      <c r="F52" s="16" t="n"/>
      <c r="G52" s="16" t="n"/>
      <c r="H52" s="16" t="n"/>
      <c r="I52" s="16" t="n"/>
      <c r="J52" s="16" t="n"/>
      <c r="K52" s="16" t="n"/>
      <c r="L52" s="17">
        <f>IF($D52="","",IF(AND($J52="Received",$K52&lt;&gt;"Yes"),"Yes","No"))</f>
        <v/>
      </c>
      <c r="M52" s="16" t="n"/>
    </row>
    <row r="53">
      <c r="B53" s="17">
        <f>IF($D53="","","M"&amp;TEXT(ROW()-5,"000"))</f>
        <v/>
      </c>
      <c r="C53" s="18" t="n"/>
      <c r="D53" s="16" t="n"/>
      <c r="E53" s="17">
        <f>IF($D53="","",IFERROR(INDEX(rngCadetPIDs,MATCH($D53,rngCadetNames,0)),"?"))</f>
        <v/>
      </c>
      <c r="F53" s="16" t="n"/>
      <c r="G53" s="16" t="n"/>
      <c r="H53" s="16" t="n"/>
      <c r="I53" s="16" t="n"/>
      <c r="J53" s="16" t="n"/>
      <c r="K53" s="16" t="n"/>
      <c r="L53" s="17">
        <f>IF($D53="","",IF(AND($J53="Received",$K53&lt;&gt;"Yes"),"Yes","No"))</f>
        <v/>
      </c>
      <c r="M53" s="16" t="n"/>
    </row>
    <row r="54">
      <c r="B54" s="17">
        <f>IF($D54="","","M"&amp;TEXT(ROW()-5,"000"))</f>
        <v/>
      </c>
      <c r="C54" s="18" t="n"/>
      <c r="D54" s="16" t="n"/>
      <c r="E54" s="17">
        <f>IF($D54="","",IFERROR(INDEX(rngCadetPIDs,MATCH($D54,rngCadetNames,0)),"?"))</f>
        <v/>
      </c>
      <c r="F54" s="16" t="n"/>
      <c r="G54" s="16" t="n"/>
      <c r="H54" s="16" t="n"/>
      <c r="I54" s="16" t="n"/>
      <c r="J54" s="16" t="n"/>
      <c r="K54" s="16" t="n"/>
      <c r="L54" s="17">
        <f>IF($D54="","",IF(AND($J54="Received",$K54&lt;&gt;"Yes"),"Yes","No"))</f>
        <v/>
      </c>
      <c r="M54" s="16" t="n"/>
    </row>
    <row r="55">
      <c r="B55" s="17">
        <f>IF($D55="","","M"&amp;TEXT(ROW()-5,"000"))</f>
        <v/>
      </c>
      <c r="C55" s="18" t="n"/>
      <c r="D55" s="16" t="n"/>
      <c r="E55" s="17">
        <f>IF($D55="","",IFERROR(INDEX(rngCadetPIDs,MATCH($D55,rngCadetNames,0)),"?"))</f>
        <v/>
      </c>
      <c r="F55" s="16" t="n"/>
      <c r="G55" s="16" t="n"/>
      <c r="H55" s="16" t="n"/>
      <c r="I55" s="16" t="n"/>
      <c r="J55" s="16" t="n"/>
      <c r="K55" s="16" t="n"/>
      <c r="L55" s="17">
        <f>IF($D55="","",IF(AND($J55="Received",$K55&lt;&gt;"Yes"),"Yes","No"))</f>
        <v/>
      </c>
      <c r="M55" s="16" t="n"/>
    </row>
    <row r="56">
      <c r="B56" s="17">
        <f>IF($D56="","","M"&amp;TEXT(ROW()-5,"000"))</f>
        <v/>
      </c>
      <c r="C56" s="18" t="n"/>
      <c r="D56" s="16" t="n"/>
      <c r="E56" s="17">
        <f>IF($D56="","",IFERROR(INDEX(rngCadetPIDs,MATCH($D56,rngCadetNames,0)),"?"))</f>
        <v/>
      </c>
      <c r="F56" s="16" t="n"/>
      <c r="G56" s="16" t="n"/>
      <c r="H56" s="16" t="n"/>
      <c r="I56" s="16" t="n"/>
      <c r="J56" s="16" t="n"/>
      <c r="K56" s="16" t="n"/>
      <c r="L56" s="17">
        <f>IF($D56="","",IF(AND($J56="Received",$K56&lt;&gt;"Yes"),"Yes","No"))</f>
        <v/>
      </c>
      <c r="M56" s="16" t="n"/>
    </row>
    <row r="57">
      <c r="B57" s="17">
        <f>IF($D57="","","M"&amp;TEXT(ROW()-5,"000"))</f>
        <v/>
      </c>
      <c r="C57" s="18" t="n"/>
      <c r="D57" s="16" t="n"/>
      <c r="E57" s="17">
        <f>IF($D57="","",IFERROR(INDEX(rngCadetPIDs,MATCH($D57,rngCadetNames,0)),"?"))</f>
        <v/>
      </c>
      <c r="F57" s="16" t="n"/>
      <c r="G57" s="16" t="n"/>
      <c r="H57" s="16" t="n"/>
      <c r="I57" s="16" t="n"/>
      <c r="J57" s="16" t="n"/>
      <c r="K57" s="16" t="n"/>
      <c r="L57" s="17">
        <f>IF($D57="","",IF(AND($J57="Received",$K57&lt;&gt;"Yes"),"Yes","No"))</f>
        <v/>
      </c>
      <c r="M57" s="16" t="n"/>
    </row>
    <row r="58">
      <c r="B58" s="17">
        <f>IF($D58="","","M"&amp;TEXT(ROW()-5,"000"))</f>
        <v/>
      </c>
      <c r="C58" s="18" t="n"/>
      <c r="D58" s="16" t="n"/>
      <c r="E58" s="17">
        <f>IF($D58="","",IFERROR(INDEX(rngCadetPIDs,MATCH($D58,rngCadetNames,0)),"?"))</f>
        <v/>
      </c>
      <c r="F58" s="16" t="n"/>
      <c r="G58" s="16" t="n"/>
      <c r="H58" s="16" t="n"/>
      <c r="I58" s="16" t="n"/>
      <c r="J58" s="16" t="n"/>
      <c r="K58" s="16" t="n"/>
      <c r="L58" s="17">
        <f>IF($D58="","",IF(AND($J58="Received",$K58&lt;&gt;"Yes"),"Yes","No"))</f>
        <v/>
      </c>
      <c r="M58" s="16" t="n"/>
    </row>
    <row r="59">
      <c r="B59" s="17">
        <f>IF($D59="","","M"&amp;TEXT(ROW()-5,"000"))</f>
        <v/>
      </c>
      <c r="C59" s="18" t="n"/>
      <c r="D59" s="16" t="n"/>
      <c r="E59" s="17">
        <f>IF($D59="","",IFERROR(INDEX(rngCadetPIDs,MATCH($D59,rngCadetNames,0)),"?"))</f>
        <v/>
      </c>
      <c r="F59" s="16" t="n"/>
      <c r="G59" s="16" t="n"/>
      <c r="H59" s="16" t="n"/>
      <c r="I59" s="16" t="n"/>
      <c r="J59" s="16" t="n"/>
      <c r="K59" s="16" t="n"/>
      <c r="L59" s="17">
        <f>IF($D59="","",IF(AND($J59="Received",$K59&lt;&gt;"Yes"),"Yes","No"))</f>
        <v/>
      </c>
      <c r="M59" s="16" t="n"/>
    </row>
    <row r="60">
      <c r="B60" s="17">
        <f>IF($D60="","","M"&amp;TEXT(ROW()-5,"000"))</f>
        <v/>
      </c>
      <c r="C60" s="18" t="n"/>
      <c r="D60" s="16" t="n"/>
      <c r="E60" s="17">
        <f>IF($D60="","",IFERROR(INDEX(rngCadetPIDs,MATCH($D60,rngCadetNames,0)),"?"))</f>
        <v/>
      </c>
      <c r="F60" s="16" t="n"/>
      <c r="G60" s="16" t="n"/>
      <c r="H60" s="16" t="n"/>
      <c r="I60" s="16" t="n"/>
      <c r="J60" s="16" t="n"/>
      <c r="K60" s="16" t="n"/>
      <c r="L60" s="17">
        <f>IF($D60="","",IF(AND($J60="Received",$K60&lt;&gt;"Yes"),"Yes","No"))</f>
        <v/>
      </c>
      <c r="M60" s="16" t="n"/>
    </row>
    <row r="61">
      <c r="B61" s="17">
        <f>IF($D61="","","M"&amp;TEXT(ROW()-5,"000"))</f>
        <v/>
      </c>
      <c r="C61" s="18" t="n"/>
      <c r="D61" s="16" t="n"/>
      <c r="E61" s="17">
        <f>IF($D61="","",IFERROR(INDEX(rngCadetPIDs,MATCH($D61,rngCadetNames,0)),"?"))</f>
        <v/>
      </c>
      <c r="F61" s="16" t="n"/>
      <c r="G61" s="16" t="n"/>
      <c r="H61" s="16" t="n"/>
      <c r="I61" s="16" t="n"/>
      <c r="J61" s="16" t="n"/>
      <c r="K61" s="16" t="n"/>
      <c r="L61" s="17">
        <f>IF($D61="","",IF(AND($J61="Received",$K61&lt;&gt;"Yes"),"Yes","No"))</f>
        <v/>
      </c>
      <c r="M61" s="16" t="n"/>
    </row>
    <row r="62">
      <c r="B62" s="17">
        <f>IF($D62="","","M"&amp;TEXT(ROW()-5,"000"))</f>
        <v/>
      </c>
      <c r="C62" s="18" t="n"/>
      <c r="D62" s="16" t="n"/>
      <c r="E62" s="17">
        <f>IF($D62="","",IFERROR(INDEX(rngCadetPIDs,MATCH($D62,rngCadetNames,0)),"?"))</f>
        <v/>
      </c>
      <c r="F62" s="16" t="n"/>
      <c r="G62" s="16" t="n"/>
      <c r="H62" s="16" t="n"/>
      <c r="I62" s="16" t="n"/>
      <c r="J62" s="16" t="n"/>
      <c r="K62" s="16" t="n"/>
      <c r="L62" s="17">
        <f>IF($D62="","",IF(AND($J62="Received",$K62&lt;&gt;"Yes"),"Yes","No"))</f>
        <v/>
      </c>
      <c r="M62" s="16" t="n"/>
    </row>
    <row r="63">
      <c r="B63" s="17">
        <f>IF($D63="","","M"&amp;TEXT(ROW()-5,"000"))</f>
        <v/>
      </c>
      <c r="C63" s="18" t="n"/>
      <c r="D63" s="16" t="n"/>
      <c r="E63" s="17">
        <f>IF($D63="","",IFERROR(INDEX(rngCadetPIDs,MATCH($D63,rngCadetNames,0)),"?"))</f>
        <v/>
      </c>
      <c r="F63" s="16" t="n"/>
      <c r="G63" s="16" t="n"/>
      <c r="H63" s="16" t="n"/>
      <c r="I63" s="16" t="n"/>
      <c r="J63" s="16" t="n"/>
      <c r="K63" s="16" t="n"/>
      <c r="L63" s="17">
        <f>IF($D63="","",IF(AND($J63="Received",$K63&lt;&gt;"Yes"),"Yes","No"))</f>
        <v/>
      </c>
      <c r="M63" s="16" t="n"/>
    </row>
    <row r="64">
      <c r="B64" s="17">
        <f>IF($D64="","","M"&amp;TEXT(ROW()-5,"000"))</f>
        <v/>
      </c>
      <c r="C64" s="18" t="n"/>
      <c r="D64" s="16" t="n"/>
      <c r="E64" s="17">
        <f>IF($D64="","",IFERROR(INDEX(rngCadetPIDs,MATCH($D64,rngCadetNames,0)),"?"))</f>
        <v/>
      </c>
      <c r="F64" s="16" t="n"/>
      <c r="G64" s="16" t="n"/>
      <c r="H64" s="16" t="n"/>
      <c r="I64" s="16" t="n"/>
      <c r="J64" s="16" t="n"/>
      <c r="K64" s="16" t="n"/>
      <c r="L64" s="17">
        <f>IF($D64="","",IF(AND($J64="Received",$K64&lt;&gt;"Yes"),"Yes","No"))</f>
        <v/>
      </c>
      <c r="M64" s="16" t="n"/>
    </row>
    <row r="65">
      <c r="B65" s="17">
        <f>IF($D65="","","M"&amp;TEXT(ROW()-5,"000"))</f>
        <v/>
      </c>
      <c r="C65" s="18" t="n"/>
      <c r="D65" s="16" t="n"/>
      <c r="E65" s="17">
        <f>IF($D65="","",IFERROR(INDEX(rngCadetPIDs,MATCH($D65,rngCadetNames,0)),"?"))</f>
        <v/>
      </c>
      <c r="F65" s="16" t="n"/>
      <c r="G65" s="16" t="n"/>
      <c r="H65" s="16" t="n"/>
      <c r="I65" s="16" t="n"/>
      <c r="J65" s="16" t="n"/>
      <c r="K65" s="16" t="n"/>
      <c r="L65" s="17">
        <f>IF($D65="","",IF(AND($J65="Received",$K65&lt;&gt;"Yes"),"Yes","No"))</f>
        <v/>
      </c>
      <c r="M65" s="16" t="n"/>
    </row>
    <row r="66">
      <c r="B66" s="17">
        <f>IF($D66="","","M"&amp;TEXT(ROW()-5,"000"))</f>
        <v/>
      </c>
      <c r="C66" s="18" t="n"/>
      <c r="D66" s="16" t="n"/>
      <c r="E66" s="17">
        <f>IF($D66="","",IFERROR(INDEX(rngCadetPIDs,MATCH($D66,rngCadetNames,0)),"?"))</f>
        <v/>
      </c>
      <c r="F66" s="16" t="n"/>
      <c r="G66" s="16" t="n"/>
      <c r="H66" s="16" t="n"/>
      <c r="I66" s="16" t="n"/>
      <c r="J66" s="16" t="n"/>
      <c r="K66" s="16" t="n"/>
      <c r="L66" s="17">
        <f>IF($D66="","",IF(AND($J66="Received",$K66&lt;&gt;"Yes"),"Yes","No"))</f>
        <v/>
      </c>
      <c r="M66" s="16" t="n"/>
    </row>
    <row r="67">
      <c r="B67" s="17">
        <f>IF($D67="","","M"&amp;TEXT(ROW()-5,"000"))</f>
        <v/>
      </c>
      <c r="C67" s="18" t="n"/>
      <c r="D67" s="16" t="n"/>
      <c r="E67" s="17">
        <f>IF($D67="","",IFERROR(INDEX(rngCadetPIDs,MATCH($D67,rngCadetNames,0)),"?"))</f>
        <v/>
      </c>
      <c r="F67" s="16" t="n"/>
      <c r="G67" s="16" t="n"/>
      <c r="H67" s="16" t="n"/>
      <c r="I67" s="16" t="n"/>
      <c r="J67" s="16" t="n"/>
      <c r="K67" s="16" t="n"/>
      <c r="L67" s="17">
        <f>IF($D67="","",IF(AND($J67="Received",$K67&lt;&gt;"Yes"),"Yes","No"))</f>
        <v/>
      </c>
      <c r="M67" s="16" t="n"/>
    </row>
    <row r="68">
      <c r="B68" s="17">
        <f>IF($D68="","","M"&amp;TEXT(ROW()-5,"000"))</f>
        <v/>
      </c>
      <c r="C68" s="18" t="n"/>
      <c r="D68" s="16" t="n"/>
      <c r="E68" s="17">
        <f>IF($D68="","",IFERROR(INDEX(rngCadetPIDs,MATCH($D68,rngCadetNames,0)),"?"))</f>
        <v/>
      </c>
      <c r="F68" s="16" t="n"/>
      <c r="G68" s="16" t="n"/>
      <c r="H68" s="16" t="n"/>
      <c r="I68" s="16" t="n"/>
      <c r="J68" s="16" t="n"/>
      <c r="K68" s="16" t="n"/>
      <c r="L68" s="17">
        <f>IF($D68="","",IF(AND($J68="Received",$K68&lt;&gt;"Yes"),"Yes","No"))</f>
        <v/>
      </c>
      <c r="M68" s="16" t="n"/>
    </row>
    <row r="69">
      <c r="B69" s="17">
        <f>IF($D69="","","M"&amp;TEXT(ROW()-5,"000"))</f>
        <v/>
      </c>
      <c r="C69" s="18" t="n"/>
      <c r="D69" s="16" t="n"/>
      <c r="E69" s="17">
        <f>IF($D69="","",IFERROR(INDEX(rngCadetPIDs,MATCH($D69,rngCadetNames,0)),"?"))</f>
        <v/>
      </c>
      <c r="F69" s="16" t="n"/>
      <c r="G69" s="16" t="n"/>
      <c r="H69" s="16" t="n"/>
      <c r="I69" s="16" t="n"/>
      <c r="J69" s="16" t="n"/>
      <c r="K69" s="16" t="n"/>
      <c r="L69" s="17">
        <f>IF($D69="","",IF(AND($J69="Received",$K69&lt;&gt;"Yes"),"Yes","No"))</f>
        <v/>
      </c>
      <c r="M69" s="16" t="n"/>
    </row>
    <row r="70">
      <c r="B70" s="17">
        <f>IF($D70="","","M"&amp;TEXT(ROW()-5,"000"))</f>
        <v/>
      </c>
      <c r="C70" s="18" t="n"/>
      <c r="D70" s="16" t="n"/>
      <c r="E70" s="17">
        <f>IF($D70="","",IFERROR(INDEX(rngCadetPIDs,MATCH($D70,rngCadetNames,0)),"?"))</f>
        <v/>
      </c>
      <c r="F70" s="16" t="n"/>
      <c r="G70" s="16" t="n"/>
      <c r="H70" s="16" t="n"/>
      <c r="I70" s="16" t="n"/>
      <c r="J70" s="16" t="n"/>
      <c r="K70" s="16" t="n"/>
      <c r="L70" s="17">
        <f>IF($D70="","",IF(AND($J70="Received",$K70&lt;&gt;"Yes"),"Yes","No"))</f>
        <v/>
      </c>
      <c r="M70" s="16" t="n"/>
    </row>
    <row r="71">
      <c r="B71" s="17">
        <f>IF($D71="","","M"&amp;TEXT(ROW()-5,"000"))</f>
        <v/>
      </c>
      <c r="C71" s="18" t="n"/>
      <c r="D71" s="16" t="n"/>
      <c r="E71" s="17">
        <f>IF($D71="","",IFERROR(INDEX(rngCadetPIDs,MATCH($D71,rngCadetNames,0)),"?"))</f>
        <v/>
      </c>
      <c r="F71" s="16" t="n"/>
      <c r="G71" s="16" t="n"/>
      <c r="H71" s="16" t="n"/>
      <c r="I71" s="16" t="n"/>
      <c r="J71" s="16" t="n"/>
      <c r="K71" s="16" t="n"/>
      <c r="L71" s="17">
        <f>IF($D71="","",IF(AND($J71="Received",$K71&lt;&gt;"Yes"),"Yes","No"))</f>
        <v/>
      </c>
      <c r="M71" s="16" t="n"/>
    </row>
    <row r="72">
      <c r="B72" s="17">
        <f>IF($D72="","","M"&amp;TEXT(ROW()-5,"000"))</f>
        <v/>
      </c>
      <c r="C72" s="18" t="n"/>
      <c r="D72" s="16" t="n"/>
      <c r="E72" s="17">
        <f>IF($D72="","",IFERROR(INDEX(rngCadetPIDs,MATCH($D72,rngCadetNames,0)),"?"))</f>
        <v/>
      </c>
      <c r="F72" s="16" t="n"/>
      <c r="G72" s="16" t="n"/>
      <c r="H72" s="16" t="n"/>
      <c r="I72" s="16" t="n"/>
      <c r="J72" s="16" t="n"/>
      <c r="K72" s="16" t="n"/>
      <c r="L72" s="17">
        <f>IF($D72="","",IF(AND($J72="Received",$K72&lt;&gt;"Yes"),"Yes","No"))</f>
        <v/>
      </c>
      <c r="M72" s="16" t="n"/>
    </row>
    <row r="73">
      <c r="B73" s="17">
        <f>IF($D73="","","M"&amp;TEXT(ROW()-5,"000"))</f>
        <v/>
      </c>
      <c r="C73" s="18" t="n"/>
      <c r="D73" s="16" t="n"/>
      <c r="E73" s="17">
        <f>IF($D73="","",IFERROR(INDEX(rngCadetPIDs,MATCH($D73,rngCadetNames,0)),"?"))</f>
        <v/>
      </c>
      <c r="F73" s="16" t="n"/>
      <c r="G73" s="16" t="n"/>
      <c r="H73" s="16" t="n"/>
      <c r="I73" s="16" t="n"/>
      <c r="J73" s="16" t="n"/>
      <c r="K73" s="16" t="n"/>
      <c r="L73" s="17">
        <f>IF($D73="","",IF(AND($J73="Received",$K73&lt;&gt;"Yes"),"Yes","No"))</f>
        <v/>
      </c>
      <c r="M73" s="16" t="n"/>
    </row>
    <row r="74">
      <c r="B74" s="17">
        <f>IF($D74="","","M"&amp;TEXT(ROW()-5,"000"))</f>
        <v/>
      </c>
      <c r="C74" s="18" t="n"/>
      <c r="D74" s="16" t="n"/>
      <c r="E74" s="17">
        <f>IF($D74="","",IFERROR(INDEX(rngCadetPIDs,MATCH($D74,rngCadetNames,0)),"?"))</f>
        <v/>
      </c>
      <c r="F74" s="16" t="n"/>
      <c r="G74" s="16" t="n"/>
      <c r="H74" s="16" t="n"/>
      <c r="I74" s="16" t="n"/>
      <c r="J74" s="16" t="n"/>
      <c r="K74" s="16" t="n"/>
      <c r="L74" s="17">
        <f>IF($D74="","",IF(AND($J74="Received",$K74&lt;&gt;"Yes"),"Yes","No"))</f>
        <v/>
      </c>
      <c r="M74" s="16" t="n"/>
    </row>
    <row r="75">
      <c r="B75" s="17">
        <f>IF($D75="","","M"&amp;TEXT(ROW()-5,"000"))</f>
        <v/>
      </c>
      <c r="C75" s="18" t="n"/>
      <c r="D75" s="16" t="n"/>
      <c r="E75" s="17">
        <f>IF($D75="","",IFERROR(INDEX(rngCadetPIDs,MATCH($D75,rngCadetNames,0)),"?"))</f>
        <v/>
      </c>
      <c r="F75" s="16" t="n"/>
      <c r="G75" s="16" t="n"/>
      <c r="H75" s="16" t="n"/>
      <c r="I75" s="16" t="n"/>
      <c r="J75" s="16" t="n"/>
      <c r="K75" s="16" t="n"/>
      <c r="L75" s="17">
        <f>IF($D75="","",IF(AND($J75="Received",$K75&lt;&gt;"Yes"),"Yes","No"))</f>
        <v/>
      </c>
      <c r="M75" s="16" t="n"/>
    </row>
    <row r="76">
      <c r="B76" s="17">
        <f>IF($D76="","","M"&amp;TEXT(ROW()-5,"000"))</f>
        <v/>
      </c>
      <c r="C76" s="18" t="n"/>
      <c r="D76" s="16" t="n"/>
      <c r="E76" s="17">
        <f>IF($D76="","",IFERROR(INDEX(rngCadetPIDs,MATCH($D76,rngCadetNames,0)),"?"))</f>
        <v/>
      </c>
      <c r="F76" s="16" t="n"/>
      <c r="G76" s="16" t="n"/>
      <c r="H76" s="16" t="n"/>
      <c r="I76" s="16" t="n"/>
      <c r="J76" s="16" t="n"/>
      <c r="K76" s="16" t="n"/>
      <c r="L76" s="17">
        <f>IF($D76="","",IF(AND($J76="Received",$K76&lt;&gt;"Yes"),"Yes","No"))</f>
        <v/>
      </c>
      <c r="M76" s="16" t="n"/>
    </row>
    <row r="77">
      <c r="B77" s="17">
        <f>IF($D77="","","M"&amp;TEXT(ROW()-5,"000"))</f>
        <v/>
      </c>
      <c r="C77" s="18" t="n"/>
      <c r="D77" s="16" t="n"/>
      <c r="E77" s="17">
        <f>IF($D77="","",IFERROR(INDEX(rngCadetPIDs,MATCH($D77,rngCadetNames,0)),"?"))</f>
        <v/>
      </c>
      <c r="F77" s="16" t="n"/>
      <c r="G77" s="16" t="n"/>
      <c r="H77" s="16" t="n"/>
      <c r="I77" s="16" t="n"/>
      <c r="J77" s="16" t="n"/>
      <c r="K77" s="16" t="n"/>
      <c r="L77" s="17">
        <f>IF($D77="","",IF(AND($J77="Received",$K77&lt;&gt;"Yes"),"Yes","No"))</f>
        <v/>
      </c>
      <c r="M77" s="16" t="n"/>
    </row>
    <row r="78">
      <c r="B78" s="17">
        <f>IF($D78="","","M"&amp;TEXT(ROW()-5,"000"))</f>
        <v/>
      </c>
      <c r="C78" s="18" t="n"/>
      <c r="D78" s="16" t="n"/>
      <c r="E78" s="17">
        <f>IF($D78="","",IFERROR(INDEX(rngCadetPIDs,MATCH($D78,rngCadetNames,0)),"?"))</f>
        <v/>
      </c>
      <c r="F78" s="16" t="n"/>
      <c r="G78" s="16" t="n"/>
      <c r="H78" s="16" t="n"/>
      <c r="I78" s="16" t="n"/>
      <c r="J78" s="16" t="n"/>
      <c r="K78" s="16" t="n"/>
      <c r="L78" s="17">
        <f>IF($D78="","",IF(AND($J78="Received",$K78&lt;&gt;"Yes"),"Yes","No"))</f>
        <v/>
      </c>
      <c r="M78" s="16" t="n"/>
    </row>
    <row r="79">
      <c r="B79" s="17">
        <f>IF($D79="","","M"&amp;TEXT(ROW()-5,"000"))</f>
        <v/>
      </c>
      <c r="C79" s="18" t="n"/>
      <c r="D79" s="16" t="n"/>
      <c r="E79" s="17">
        <f>IF($D79="","",IFERROR(INDEX(rngCadetPIDs,MATCH($D79,rngCadetNames,0)),"?"))</f>
        <v/>
      </c>
      <c r="F79" s="16" t="n"/>
      <c r="G79" s="16" t="n"/>
      <c r="H79" s="16" t="n"/>
      <c r="I79" s="16" t="n"/>
      <c r="J79" s="16" t="n"/>
      <c r="K79" s="16" t="n"/>
      <c r="L79" s="17">
        <f>IF($D79="","",IF(AND($J79="Received",$K79&lt;&gt;"Yes"),"Yes","No"))</f>
        <v/>
      </c>
      <c r="M79" s="16" t="n"/>
    </row>
    <row r="80">
      <c r="B80" s="17">
        <f>IF($D80="","","M"&amp;TEXT(ROW()-5,"000"))</f>
        <v/>
      </c>
      <c r="C80" s="18" t="n"/>
      <c r="D80" s="16" t="n"/>
      <c r="E80" s="17">
        <f>IF($D80="","",IFERROR(INDEX(rngCadetPIDs,MATCH($D80,rngCadetNames,0)),"?"))</f>
        <v/>
      </c>
      <c r="F80" s="16" t="n"/>
      <c r="G80" s="16" t="n"/>
      <c r="H80" s="16" t="n"/>
      <c r="I80" s="16" t="n"/>
      <c r="J80" s="16" t="n"/>
      <c r="K80" s="16" t="n"/>
      <c r="L80" s="17">
        <f>IF($D80="","",IF(AND($J80="Received",$K80&lt;&gt;"Yes"),"Yes","No"))</f>
        <v/>
      </c>
      <c r="M80" s="16" t="n"/>
    </row>
    <row r="81">
      <c r="B81" s="17">
        <f>IF($D81="","","M"&amp;TEXT(ROW()-5,"000"))</f>
        <v/>
      </c>
      <c r="C81" s="18" t="n"/>
      <c r="D81" s="16" t="n"/>
      <c r="E81" s="17">
        <f>IF($D81="","",IFERROR(INDEX(rngCadetPIDs,MATCH($D81,rngCadetNames,0)),"?"))</f>
        <v/>
      </c>
      <c r="F81" s="16" t="n"/>
      <c r="G81" s="16" t="n"/>
      <c r="H81" s="16" t="n"/>
      <c r="I81" s="16" t="n"/>
      <c r="J81" s="16" t="n"/>
      <c r="K81" s="16" t="n"/>
      <c r="L81" s="17">
        <f>IF($D81="","",IF(AND($J81="Received",$K81&lt;&gt;"Yes"),"Yes","No"))</f>
        <v/>
      </c>
      <c r="M81" s="16" t="n"/>
    </row>
    <row r="82">
      <c r="B82" s="17">
        <f>IF($D82="","","M"&amp;TEXT(ROW()-5,"000"))</f>
        <v/>
      </c>
      <c r="C82" s="18" t="n"/>
      <c r="D82" s="16" t="n"/>
      <c r="E82" s="17">
        <f>IF($D82="","",IFERROR(INDEX(rngCadetPIDs,MATCH($D82,rngCadetNames,0)),"?"))</f>
        <v/>
      </c>
      <c r="F82" s="16" t="n"/>
      <c r="G82" s="16" t="n"/>
      <c r="H82" s="16" t="n"/>
      <c r="I82" s="16" t="n"/>
      <c r="J82" s="16" t="n"/>
      <c r="K82" s="16" t="n"/>
      <c r="L82" s="17">
        <f>IF($D82="","",IF(AND($J82="Received",$K82&lt;&gt;"Yes"),"Yes","No"))</f>
        <v/>
      </c>
      <c r="M82" s="16" t="n"/>
    </row>
    <row r="83">
      <c r="B83" s="17">
        <f>IF($D83="","","M"&amp;TEXT(ROW()-5,"000"))</f>
        <v/>
      </c>
      <c r="C83" s="18" t="n"/>
      <c r="D83" s="16" t="n"/>
      <c r="E83" s="17">
        <f>IF($D83="","",IFERROR(INDEX(rngCadetPIDs,MATCH($D83,rngCadetNames,0)),"?"))</f>
        <v/>
      </c>
      <c r="F83" s="16" t="n"/>
      <c r="G83" s="16" t="n"/>
      <c r="H83" s="16" t="n"/>
      <c r="I83" s="16" t="n"/>
      <c r="J83" s="16" t="n"/>
      <c r="K83" s="16" t="n"/>
      <c r="L83" s="17">
        <f>IF($D83="","",IF(AND($J83="Received",$K83&lt;&gt;"Yes"),"Yes","No"))</f>
        <v/>
      </c>
      <c r="M83" s="16" t="n"/>
    </row>
    <row r="84">
      <c r="B84" s="17">
        <f>IF($D84="","","M"&amp;TEXT(ROW()-5,"000"))</f>
        <v/>
      </c>
      <c r="C84" s="18" t="n"/>
      <c r="D84" s="16" t="n"/>
      <c r="E84" s="17">
        <f>IF($D84="","",IFERROR(INDEX(rngCadetPIDs,MATCH($D84,rngCadetNames,0)),"?"))</f>
        <v/>
      </c>
      <c r="F84" s="16" t="n"/>
      <c r="G84" s="16" t="n"/>
      <c r="H84" s="16" t="n"/>
      <c r="I84" s="16" t="n"/>
      <c r="J84" s="16" t="n"/>
      <c r="K84" s="16" t="n"/>
      <c r="L84" s="17">
        <f>IF($D84="","",IF(AND($J84="Received",$K84&lt;&gt;"Yes"),"Yes","No"))</f>
        <v/>
      </c>
      <c r="M84" s="16" t="n"/>
    </row>
    <row r="85">
      <c r="B85" s="17">
        <f>IF($D85="","","M"&amp;TEXT(ROW()-5,"000"))</f>
        <v/>
      </c>
      <c r="C85" s="18" t="n"/>
      <c r="D85" s="16" t="n"/>
      <c r="E85" s="17">
        <f>IF($D85="","",IFERROR(INDEX(rngCadetPIDs,MATCH($D85,rngCadetNames,0)),"?"))</f>
        <v/>
      </c>
      <c r="F85" s="16" t="n"/>
      <c r="G85" s="16" t="n"/>
      <c r="H85" s="16" t="n"/>
      <c r="I85" s="16" t="n"/>
      <c r="J85" s="16" t="n"/>
      <c r="K85" s="16" t="n"/>
      <c r="L85" s="17">
        <f>IF($D85="","",IF(AND($J85="Received",$K85&lt;&gt;"Yes"),"Yes","No"))</f>
        <v/>
      </c>
      <c r="M85" s="16" t="n"/>
    </row>
    <row r="86">
      <c r="B86" s="17">
        <f>IF($D86="","","M"&amp;TEXT(ROW()-5,"000"))</f>
        <v/>
      </c>
      <c r="C86" s="18" t="n"/>
      <c r="D86" s="16" t="n"/>
      <c r="E86" s="17">
        <f>IF($D86="","",IFERROR(INDEX(rngCadetPIDs,MATCH($D86,rngCadetNames,0)),"?"))</f>
        <v/>
      </c>
      <c r="F86" s="16" t="n"/>
      <c r="G86" s="16" t="n"/>
      <c r="H86" s="16" t="n"/>
      <c r="I86" s="16" t="n"/>
      <c r="J86" s="16" t="n"/>
      <c r="K86" s="16" t="n"/>
      <c r="L86" s="17">
        <f>IF($D86="","",IF(AND($J86="Received",$K86&lt;&gt;"Yes"),"Yes","No"))</f>
        <v/>
      </c>
      <c r="M86" s="16" t="n"/>
    </row>
    <row r="87">
      <c r="B87" s="17">
        <f>IF($D87="","","M"&amp;TEXT(ROW()-5,"000"))</f>
        <v/>
      </c>
      <c r="C87" s="18" t="n"/>
      <c r="D87" s="16" t="n"/>
      <c r="E87" s="17">
        <f>IF($D87="","",IFERROR(INDEX(rngCadetPIDs,MATCH($D87,rngCadetNames,0)),"?"))</f>
        <v/>
      </c>
      <c r="F87" s="16" t="n"/>
      <c r="G87" s="16" t="n"/>
      <c r="H87" s="16" t="n"/>
      <c r="I87" s="16" t="n"/>
      <c r="J87" s="16" t="n"/>
      <c r="K87" s="16" t="n"/>
      <c r="L87" s="17">
        <f>IF($D87="","",IF(AND($J87="Received",$K87&lt;&gt;"Yes"),"Yes","No"))</f>
        <v/>
      </c>
      <c r="M87" s="16" t="n"/>
    </row>
    <row r="88">
      <c r="B88" s="17">
        <f>IF($D88="","","M"&amp;TEXT(ROW()-5,"000"))</f>
        <v/>
      </c>
      <c r="C88" s="18" t="n"/>
      <c r="D88" s="16" t="n"/>
      <c r="E88" s="17">
        <f>IF($D88="","",IFERROR(INDEX(rngCadetPIDs,MATCH($D88,rngCadetNames,0)),"?"))</f>
        <v/>
      </c>
      <c r="F88" s="16" t="n"/>
      <c r="G88" s="16" t="n"/>
      <c r="H88" s="16" t="n"/>
      <c r="I88" s="16" t="n"/>
      <c r="J88" s="16" t="n"/>
      <c r="K88" s="16" t="n"/>
      <c r="L88" s="17">
        <f>IF($D88="","",IF(AND($J88="Received",$K88&lt;&gt;"Yes"),"Yes","No"))</f>
        <v/>
      </c>
      <c r="M88" s="16" t="n"/>
    </row>
    <row r="89">
      <c r="B89" s="17">
        <f>IF($D89="","","M"&amp;TEXT(ROW()-5,"000"))</f>
        <v/>
      </c>
      <c r="C89" s="18" t="n"/>
      <c r="D89" s="16" t="n"/>
      <c r="E89" s="17">
        <f>IF($D89="","",IFERROR(INDEX(rngCadetPIDs,MATCH($D89,rngCadetNames,0)),"?"))</f>
        <v/>
      </c>
      <c r="F89" s="16" t="n"/>
      <c r="G89" s="16" t="n"/>
      <c r="H89" s="16" t="n"/>
      <c r="I89" s="16" t="n"/>
      <c r="J89" s="16" t="n"/>
      <c r="K89" s="16" t="n"/>
      <c r="L89" s="17">
        <f>IF($D89="","",IF(AND($J89="Received",$K89&lt;&gt;"Yes"),"Yes","No"))</f>
        <v/>
      </c>
      <c r="M89" s="16" t="n"/>
    </row>
    <row r="90">
      <c r="B90" s="17">
        <f>IF($D90="","","M"&amp;TEXT(ROW()-5,"000"))</f>
        <v/>
      </c>
      <c r="C90" s="18" t="n"/>
      <c r="D90" s="16" t="n"/>
      <c r="E90" s="17">
        <f>IF($D90="","",IFERROR(INDEX(rngCadetPIDs,MATCH($D90,rngCadetNames,0)),"?"))</f>
        <v/>
      </c>
      <c r="F90" s="16" t="n"/>
      <c r="G90" s="16" t="n"/>
      <c r="H90" s="16" t="n"/>
      <c r="I90" s="16" t="n"/>
      <c r="J90" s="16" t="n"/>
      <c r="K90" s="16" t="n"/>
      <c r="L90" s="17">
        <f>IF($D90="","",IF(AND($J90="Received",$K90&lt;&gt;"Yes"),"Yes","No"))</f>
        <v/>
      </c>
      <c r="M90" s="16" t="n"/>
    </row>
    <row r="91">
      <c r="B91" s="17">
        <f>IF($D91="","","M"&amp;TEXT(ROW()-5,"000"))</f>
        <v/>
      </c>
      <c r="C91" s="18" t="n"/>
      <c r="D91" s="16" t="n"/>
      <c r="E91" s="17">
        <f>IF($D91="","",IFERROR(INDEX(rngCadetPIDs,MATCH($D91,rngCadetNames,0)),"?"))</f>
        <v/>
      </c>
      <c r="F91" s="16" t="n"/>
      <c r="G91" s="16" t="n"/>
      <c r="H91" s="16" t="n"/>
      <c r="I91" s="16" t="n"/>
      <c r="J91" s="16" t="n"/>
      <c r="K91" s="16" t="n"/>
      <c r="L91" s="17">
        <f>IF($D91="","",IF(AND($J91="Received",$K91&lt;&gt;"Yes"),"Yes","No"))</f>
        <v/>
      </c>
      <c r="M91" s="16" t="n"/>
    </row>
    <row r="92">
      <c r="B92" s="17">
        <f>IF($D92="","","M"&amp;TEXT(ROW()-5,"000"))</f>
        <v/>
      </c>
      <c r="C92" s="18" t="n"/>
      <c r="D92" s="16" t="n"/>
      <c r="E92" s="17">
        <f>IF($D92="","",IFERROR(INDEX(rngCadetPIDs,MATCH($D92,rngCadetNames,0)),"?"))</f>
        <v/>
      </c>
      <c r="F92" s="16" t="n"/>
      <c r="G92" s="16" t="n"/>
      <c r="H92" s="16" t="n"/>
      <c r="I92" s="16" t="n"/>
      <c r="J92" s="16" t="n"/>
      <c r="K92" s="16" t="n"/>
      <c r="L92" s="17">
        <f>IF($D92="","",IF(AND($J92="Received",$K92&lt;&gt;"Yes"),"Yes","No"))</f>
        <v/>
      </c>
      <c r="M92" s="16" t="n"/>
    </row>
    <row r="93">
      <c r="B93" s="17">
        <f>IF($D93="","","M"&amp;TEXT(ROW()-5,"000"))</f>
        <v/>
      </c>
      <c r="C93" s="18" t="n"/>
      <c r="D93" s="16" t="n"/>
      <c r="E93" s="17">
        <f>IF($D93="","",IFERROR(INDEX(rngCadetPIDs,MATCH($D93,rngCadetNames,0)),"?"))</f>
        <v/>
      </c>
      <c r="F93" s="16" t="n"/>
      <c r="G93" s="16" t="n"/>
      <c r="H93" s="16" t="n"/>
      <c r="I93" s="16" t="n"/>
      <c r="J93" s="16" t="n"/>
      <c r="K93" s="16" t="n"/>
      <c r="L93" s="17">
        <f>IF($D93="","",IF(AND($J93="Received",$K93&lt;&gt;"Yes"),"Yes","No"))</f>
        <v/>
      </c>
      <c r="M93" s="16" t="n"/>
    </row>
    <row r="94">
      <c r="B94" s="17">
        <f>IF($D94="","","M"&amp;TEXT(ROW()-5,"000"))</f>
        <v/>
      </c>
      <c r="C94" s="18" t="n"/>
      <c r="D94" s="16" t="n"/>
      <c r="E94" s="17">
        <f>IF($D94="","",IFERROR(INDEX(rngCadetPIDs,MATCH($D94,rngCadetNames,0)),"?"))</f>
        <v/>
      </c>
      <c r="F94" s="16" t="n"/>
      <c r="G94" s="16" t="n"/>
      <c r="H94" s="16" t="n"/>
      <c r="I94" s="16" t="n"/>
      <c r="J94" s="16" t="n"/>
      <c r="K94" s="16" t="n"/>
      <c r="L94" s="17">
        <f>IF($D94="","",IF(AND($J94="Received",$K94&lt;&gt;"Yes"),"Yes","No"))</f>
        <v/>
      </c>
      <c r="M94" s="16" t="n"/>
    </row>
    <row r="95">
      <c r="B95" s="17">
        <f>IF($D95="","","M"&amp;TEXT(ROW()-5,"000"))</f>
        <v/>
      </c>
      <c r="C95" s="18" t="n"/>
      <c r="D95" s="16" t="n"/>
      <c r="E95" s="17">
        <f>IF($D95="","",IFERROR(INDEX(rngCadetPIDs,MATCH($D95,rngCadetNames,0)),"?"))</f>
        <v/>
      </c>
      <c r="F95" s="16" t="n"/>
      <c r="G95" s="16" t="n"/>
      <c r="H95" s="16" t="n"/>
      <c r="I95" s="16" t="n"/>
      <c r="J95" s="16" t="n"/>
      <c r="K95" s="16" t="n"/>
      <c r="L95" s="17">
        <f>IF($D95="","",IF(AND($J95="Received",$K95&lt;&gt;"Yes"),"Yes","No"))</f>
        <v/>
      </c>
      <c r="M95" s="16" t="n"/>
    </row>
    <row r="96">
      <c r="B96" s="17">
        <f>IF($D96="","","M"&amp;TEXT(ROW()-5,"000"))</f>
        <v/>
      </c>
      <c r="C96" s="18" t="n"/>
      <c r="D96" s="16" t="n"/>
      <c r="E96" s="17">
        <f>IF($D96="","",IFERROR(INDEX(rngCadetPIDs,MATCH($D96,rngCadetNames,0)),"?"))</f>
        <v/>
      </c>
      <c r="F96" s="16" t="n"/>
      <c r="G96" s="16" t="n"/>
      <c r="H96" s="16" t="n"/>
      <c r="I96" s="16" t="n"/>
      <c r="J96" s="16" t="n"/>
      <c r="K96" s="16" t="n"/>
      <c r="L96" s="17">
        <f>IF($D96="","",IF(AND($J96="Received",$K96&lt;&gt;"Yes"),"Yes","No"))</f>
        <v/>
      </c>
      <c r="M96" s="16" t="n"/>
    </row>
    <row r="97">
      <c r="B97" s="17">
        <f>IF($D97="","","M"&amp;TEXT(ROW()-5,"000"))</f>
        <v/>
      </c>
      <c r="C97" s="18" t="n"/>
      <c r="D97" s="16" t="n"/>
      <c r="E97" s="17">
        <f>IF($D97="","",IFERROR(INDEX(rngCadetPIDs,MATCH($D97,rngCadetNames,0)),"?"))</f>
        <v/>
      </c>
      <c r="F97" s="16" t="n"/>
      <c r="G97" s="16" t="n"/>
      <c r="H97" s="16" t="n"/>
      <c r="I97" s="16" t="n"/>
      <c r="J97" s="16" t="n"/>
      <c r="K97" s="16" t="n"/>
      <c r="L97" s="17">
        <f>IF($D97="","",IF(AND($J97="Received",$K97&lt;&gt;"Yes"),"Yes","No"))</f>
        <v/>
      </c>
      <c r="M97" s="16" t="n"/>
    </row>
    <row r="98">
      <c r="B98" s="17">
        <f>IF($D98="","","M"&amp;TEXT(ROW()-5,"000"))</f>
        <v/>
      </c>
      <c r="C98" s="18" t="n"/>
      <c r="D98" s="16" t="n"/>
      <c r="E98" s="17">
        <f>IF($D98="","",IFERROR(INDEX(rngCadetPIDs,MATCH($D98,rngCadetNames,0)),"?"))</f>
        <v/>
      </c>
      <c r="F98" s="16" t="n"/>
      <c r="G98" s="16" t="n"/>
      <c r="H98" s="16" t="n"/>
      <c r="I98" s="16" t="n"/>
      <c r="J98" s="16" t="n"/>
      <c r="K98" s="16" t="n"/>
      <c r="L98" s="17">
        <f>IF($D98="","",IF(AND($J98="Received",$K98&lt;&gt;"Yes"),"Yes","No"))</f>
        <v/>
      </c>
      <c r="M98" s="16" t="n"/>
    </row>
    <row r="99">
      <c r="B99" s="17">
        <f>IF($D99="","","M"&amp;TEXT(ROW()-5,"000"))</f>
        <v/>
      </c>
      <c r="C99" s="18" t="n"/>
      <c r="D99" s="16" t="n"/>
      <c r="E99" s="17">
        <f>IF($D99="","",IFERROR(INDEX(rngCadetPIDs,MATCH($D99,rngCadetNames,0)),"?"))</f>
        <v/>
      </c>
      <c r="F99" s="16" t="n"/>
      <c r="G99" s="16" t="n"/>
      <c r="H99" s="16" t="n"/>
      <c r="I99" s="16" t="n"/>
      <c r="J99" s="16" t="n"/>
      <c r="K99" s="16" t="n"/>
      <c r="L99" s="17">
        <f>IF($D99="","",IF(AND($J99="Received",$K99&lt;&gt;"Yes"),"Yes","No"))</f>
        <v/>
      </c>
      <c r="M99" s="16" t="n"/>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IF($D100="","",IF(AND($J100="Received",$K100&lt;&gt;"Yes"),"Yes","No"))</f>
        <v/>
      </c>
      <c r="M100" s="16" t="n"/>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IF($D101="","",IF(AND($J101="Received",$K101&lt;&gt;"Yes"),"Yes","No"))</f>
        <v/>
      </c>
      <c r="M101" s="16" t="n"/>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IF($D102="","",IF(AND($J102="Received",$K102&lt;&gt;"Yes"),"Yes","No"))</f>
        <v/>
      </c>
      <c r="M102" s="16" t="n"/>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IF($D103="","",IF(AND($J103="Received",$K103&lt;&gt;"Yes"),"Yes","No"))</f>
        <v/>
      </c>
      <c r="M103" s="16" t="n"/>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IF($D104="","",IF(AND($J104="Received",$K104&lt;&gt;"Yes"),"Yes","No"))</f>
        <v/>
      </c>
      <c r="M104" s="16" t="n"/>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IF($D105="","",IF(AND($J105="Received",$K105&lt;&gt;"Yes"),"Yes","No"))</f>
        <v/>
      </c>
      <c r="M105" s="16" t="n"/>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IF($D106="","",IF(AND($J106="Received",$K106&lt;&gt;"Yes"),"Yes","No"))</f>
        <v/>
      </c>
      <c r="M106" s="16" t="n"/>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IF($D107="","",IF(AND($J107="Received",$K107&lt;&gt;"Yes"),"Yes","No"))</f>
        <v/>
      </c>
      <c r="M107" s="16" t="n"/>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IF($D108="","",IF(AND($J108="Received",$K108&lt;&gt;"Yes"),"Yes","No"))</f>
        <v/>
      </c>
      <c r="M108" s="16" t="n"/>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IF($D109="","",IF(AND($J109="Received",$K109&lt;&gt;"Yes"),"Yes","No"))</f>
        <v/>
      </c>
      <c r="M109" s="16" t="n"/>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IF($D110="","",IF(AND($J110="Received",$K110&lt;&gt;"Yes"),"Yes","No"))</f>
        <v/>
      </c>
      <c r="M110" s="16" t="n"/>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IF($D111="","",IF(AND($J111="Received",$K111&lt;&gt;"Yes"),"Yes","No"))</f>
        <v/>
      </c>
      <c r="M111" s="16" t="n"/>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IF($D112="","",IF(AND($J112="Received",$K112&lt;&gt;"Yes"),"Yes","No"))</f>
        <v/>
      </c>
      <c r="M112" s="16" t="n"/>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IF($D113="","",IF(AND($J113="Received",$K113&lt;&gt;"Yes"),"Yes","No"))</f>
        <v/>
      </c>
      <c r="M113" s="16" t="n"/>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IF($D114="","",IF(AND($J114="Received",$K114&lt;&gt;"Yes"),"Yes","No"))</f>
        <v/>
      </c>
      <c r="M114" s="16" t="n"/>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IF($D115="","",IF(AND($J115="Received",$K115&lt;&gt;"Yes"),"Yes","No"))</f>
        <v/>
      </c>
      <c r="M115" s="16" t="n"/>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IF($D116="","",IF(AND($J116="Received",$K116&lt;&gt;"Yes"),"Yes","No"))</f>
        <v/>
      </c>
      <c r="M116" s="16" t="n"/>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IF($D117="","",IF(AND($J117="Received",$K117&lt;&gt;"Yes"),"Yes","No"))</f>
        <v/>
      </c>
      <c r="M117" s="16" t="n"/>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IF($D118="","",IF(AND($J118="Received",$K118&lt;&gt;"Yes"),"Yes","No"))</f>
        <v/>
      </c>
      <c r="M118" s="16" t="n"/>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IF($D119="","",IF(AND($J119="Received",$K119&lt;&gt;"Yes"),"Yes","No"))</f>
        <v/>
      </c>
      <c r="M119" s="16" t="n"/>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IF($D120="","",IF(AND($J120="Received",$K120&lt;&gt;"Yes"),"Yes","No"))</f>
        <v/>
      </c>
      <c r="M120" s="16" t="n"/>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IF($D121="","",IF(AND($J121="Received",$K121&lt;&gt;"Yes"),"Yes","No"))</f>
        <v/>
      </c>
      <c r="M121" s="16" t="n"/>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IF($D122="","",IF(AND($J122="Received",$K122&lt;&gt;"Yes"),"Yes","No"))</f>
        <v/>
      </c>
      <c r="M122" s="16" t="n"/>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IF($D123="","",IF(AND($J123="Received",$K123&lt;&gt;"Yes"),"Yes","No"))</f>
        <v/>
      </c>
      <c r="M123" s="16" t="n"/>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IF($D124="","",IF(AND($J124="Received",$K124&lt;&gt;"Yes"),"Yes","No"))</f>
        <v/>
      </c>
      <c r="M124" s="16" t="n"/>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IF($D125="","",IF(AND($J125="Received",$K125&lt;&gt;"Yes"),"Yes","No"))</f>
        <v/>
      </c>
      <c r="M125" s="16" t="n"/>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IF($D126="","",IF(AND($J126="Received",$K126&lt;&gt;"Yes"),"Yes","No"))</f>
        <v/>
      </c>
      <c r="M126" s="16" t="n"/>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IF($D127="","",IF(AND($J127="Received",$K127&lt;&gt;"Yes"),"Yes","No"))</f>
        <v/>
      </c>
      <c r="M127" s="16" t="n"/>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IF($D128="","",IF(AND($J128="Received",$K128&lt;&gt;"Yes"),"Yes","No"))</f>
        <v/>
      </c>
      <c r="M128" s="16" t="n"/>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IF($D129="","",IF(AND($J129="Received",$K129&lt;&gt;"Yes"),"Yes","No"))</f>
        <v/>
      </c>
      <c r="M129" s="16" t="n"/>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IF($D130="","",IF(AND($J130="Received",$K130&lt;&gt;"Yes"),"Yes","No"))</f>
        <v/>
      </c>
      <c r="M130" s="16" t="n"/>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IF($D131="","",IF(AND($J131="Received",$K131&lt;&gt;"Yes"),"Yes","No"))</f>
        <v/>
      </c>
      <c r="M131" s="16" t="n"/>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IF($D132="","",IF(AND($J132="Received",$K132&lt;&gt;"Yes"),"Yes","No"))</f>
        <v/>
      </c>
      <c r="M132" s="16" t="n"/>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IF($D133="","",IF(AND($J133="Received",$K133&lt;&gt;"Yes"),"Yes","No"))</f>
        <v/>
      </c>
      <c r="M133" s="16" t="n"/>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IF($D134="","",IF(AND($J134="Received",$K134&lt;&gt;"Yes"),"Yes","No"))</f>
        <v/>
      </c>
      <c r="M134" s="16" t="n"/>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IF($D135="","",IF(AND($J135="Received",$K135&lt;&gt;"Yes"),"Yes","No"))</f>
        <v/>
      </c>
      <c r="M135" s="16" t="n"/>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IF($D136="","",IF(AND($J136="Received",$K136&lt;&gt;"Yes"),"Yes","No"))</f>
        <v/>
      </c>
      <c r="M136" s="16" t="n"/>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IF($D137="","",IF(AND($J137="Received",$K137&lt;&gt;"Yes"),"Yes","No"))</f>
        <v/>
      </c>
      <c r="M137" s="16" t="n"/>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IF($D138="","",IF(AND($J138="Received",$K138&lt;&gt;"Yes"),"Yes","No"))</f>
        <v/>
      </c>
      <c r="M138" s="16" t="n"/>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IF($D139="","",IF(AND($J139="Received",$K139&lt;&gt;"Yes"),"Yes","No"))</f>
        <v/>
      </c>
      <c r="M139" s="16" t="n"/>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IF($D140="","",IF(AND($J140="Received",$K140&lt;&gt;"Yes"),"Yes","No"))</f>
        <v/>
      </c>
      <c r="M140" s="16" t="n"/>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IF($D141="","",IF(AND($J141="Received",$K141&lt;&gt;"Yes"),"Yes","No"))</f>
        <v/>
      </c>
      <c r="M141" s="16" t="n"/>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IF($D142="","",IF(AND($J142="Received",$K142&lt;&gt;"Yes"),"Yes","No"))</f>
        <v/>
      </c>
      <c r="M142" s="16" t="n"/>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IF($D143="","",IF(AND($J143="Received",$K143&lt;&gt;"Yes"),"Yes","No"))</f>
        <v/>
      </c>
      <c r="M143" s="16" t="n"/>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IF($D144="","",IF(AND($J144="Received",$K144&lt;&gt;"Yes"),"Yes","No"))</f>
        <v/>
      </c>
      <c r="M144" s="16" t="n"/>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IF($D145="","",IF(AND($J145="Received",$K145&lt;&gt;"Yes"),"Yes","No"))</f>
        <v/>
      </c>
      <c r="M145" s="16" t="n"/>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IF($D146="","",IF(AND($J146="Received",$K146&lt;&gt;"Yes"),"Yes","No"))</f>
        <v/>
      </c>
      <c r="M146" s="16" t="n"/>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IF($D147="","",IF(AND($J147="Received",$K147&lt;&gt;"Yes"),"Yes","No"))</f>
        <v/>
      </c>
      <c r="M147" s="16" t="n"/>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IF($D148="","",IF(AND($J148="Received",$K148&lt;&gt;"Yes"),"Yes","No"))</f>
        <v/>
      </c>
      <c r="M148" s="16" t="n"/>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IF($D149="","",IF(AND($J149="Received",$K149&lt;&gt;"Yes"),"Yes","No"))</f>
        <v/>
      </c>
      <c r="M149" s="16" t="n"/>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IF($D150="","",IF(AND($J150="Received",$K150&lt;&gt;"Yes"),"Yes","No"))</f>
        <v/>
      </c>
      <c r="M150" s="16" t="n"/>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IF($D151="","",IF(AND($J151="Received",$K151&lt;&gt;"Yes"),"Yes","No"))</f>
        <v/>
      </c>
      <c r="M151" s="16" t="n"/>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IF($D152="","",IF(AND($J152="Received",$K152&lt;&gt;"Yes"),"Yes","No"))</f>
        <v/>
      </c>
      <c r="M152" s="16" t="n"/>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IF($D153="","",IF(AND($J153="Received",$K153&lt;&gt;"Yes"),"Yes","No"))</f>
        <v/>
      </c>
      <c r="M153" s="16" t="n"/>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IF($D154="","",IF(AND($J154="Received",$K154&lt;&gt;"Yes"),"Yes","No"))</f>
        <v/>
      </c>
      <c r="M154" s="16" t="n"/>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IF($D155="","",IF(AND($J155="Received",$K155&lt;&gt;"Yes"),"Yes","No"))</f>
        <v/>
      </c>
      <c r="M155" s="16" t="n"/>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IF($D156="","",IF(AND($J156="Received",$K156&lt;&gt;"Yes"),"Yes","No"))</f>
        <v/>
      </c>
      <c r="M156" s="16" t="n"/>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IF($D157="","",IF(AND($J157="Received",$K157&lt;&gt;"Yes"),"Yes","No"))</f>
        <v/>
      </c>
      <c r="M157" s="16" t="n"/>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IF($D158="","",IF(AND($J158="Received",$K158&lt;&gt;"Yes"),"Yes","No"))</f>
        <v/>
      </c>
      <c r="M158" s="16" t="n"/>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IF($D159="","",IF(AND($J159="Received",$K159&lt;&gt;"Yes"),"Yes","No"))</f>
        <v/>
      </c>
      <c r="M159" s="16" t="n"/>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IF($D160="","",IF(AND($J160="Received",$K160&lt;&gt;"Yes"),"Yes","No"))</f>
        <v/>
      </c>
      <c r="M160" s="16" t="n"/>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IF($D161="","",IF(AND($J161="Received",$K161&lt;&gt;"Yes"),"Yes","No"))</f>
        <v/>
      </c>
      <c r="M161" s="16" t="n"/>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IF($D162="","",IF(AND($J162="Received",$K162&lt;&gt;"Yes"),"Yes","No"))</f>
        <v/>
      </c>
      <c r="M162" s="16" t="n"/>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IF($D163="","",IF(AND($J163="Received",$K163&lt;&gt;"Yes"),"Yes","No"))</f>
        <v/>
      </c>
      <c r="M163" s="16" t="n"/>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IF($D164="","",IF(AND($J164="Received",$K164&lt;&gt;"Yes"),"Yes","No"))</f>
        <v/>
      </c>
      <c r="M164" s="16" t="n"/>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IF($D165="","",IF(AND($J165="Received",$K165&lt;&gt;"Yes"),"Yes","No"))</f>
        <v/>
      </c>
      <c r="M165" s="16" t="n"/>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IF($D166="","",IF(AND($J166="Received",$K166&lt;&gt;"Yes"),"Yes","No"))</f>
        <v/>
      </c>
      <c r="M166" s="16" t="n"/>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IF($D167="","",IF(AND($J167="Received",$K167&lt;&gt;"Yes"),"Yes","No"))</f>
        <v/>
      </c>
      <c r="M167" s="16" t="n"/>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IF($D168="","",IF(AND($J168="Received",$K168&lt;&gt;"Yes"),"Yes","No"))</f>
        <v/>
      </c>
      <c r="M168" s="16" t="n"/>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IF($D169="","",IF(AND($J169="Received",$K169&lt;&gt;"Yes"),"Yes","No"))</f>
        <v/>
      </c>
      <c r="M169" s="16" t="n"/>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IF($D170="","",IF(AND($J170="Received",$K170&lt;&gt;"Yes"),"Yes","No"))</f>
        <v/>
      </c>
      <c r="M170" s="16" t="n"/>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IF($D171="","",IF(AND($J171="Received",$K171&lt;&gt;"Yes"),"Yes","No"))</f>
        <v/>
      </c>
      <c r="M171" s="16" t="n"/>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IF($D172="","",IF(AND($J172="Received",$K172&lt;&gt;"Yes"),"Yes","No"))</f>
        <v/>
      </c>
      <c r="M172" s="16" t="n"/>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IF($D173="","",IF(AND($J173="Received",$K173&lt;&gt;"Yes"),"Yes","No"))</f>
        <v/>
      </c>
      <c r="M173" s="16" t="n"/>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IF($D174="","",IF(AND($J174="Received",$K174&lt;&gt;"Yes"),"Yes","No"))</f>
        <v/>
      </c>
      <c r="M174" s="16" t="n"/>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IF($D175="","",IF(AND($J175="Received",$K175&lt;&gt;"Yes"),"Yes","No"))</f>
        <v/>
      </c>
      <c r="M175" s="16" t="n"/>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IF($D176="","",IF(AND($J176="Received",$K176&lt;&gt;"Yes"),"Yes","No"))</f>
        <v/>
      </c>
      <c r="M176" s="16" t="n"/>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IF($D177="","",IF(AND($J177="Received",$K177&lt;&gt;"Yes"),"Yes","No"))</f>
        <v/>
      </c>
      <c r="M177" s="16" t="n"/>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IF($D178="","",IF(AND($J178="Received",$K178&lt;&gt;"Yes"),"Yes","No"))</f>
        <v/>
      </c>
      <c r="M178" s="16" t="n"/>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IF($D179="","",IF(AND($J179="Received",$K179&lt;&gt;"Yes"),"Yes","No"))</f>
        <v/>
      </c>
      <c r="M179" s="16" t="n"/>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IF($D180="","",IF(AND($J180="Received",$K180&lt;&gt;"Yes"),"Yes","No"))</f>
        <v/>
      </c>
      <c r="M180" s="16" t="n"/>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IF($D181="","",IF(AND($J181="Received",$K181&lt;&gt;"Yes"),"Yes","No"))</f>
        <v/>
      </c>
      <c r="M181" s="16" t="n"/>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IF($D182="","",IF(AND($J182="Received",$K182&lt;&gt;"Yes"),"Yes","No"))</f>
        <v/>
      </c>
      <c r="M182" s="16" t="n"/>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IF($D183="","",IF(AND($J183="Received",$K183&lt;&gt;"Yes"),"Yes","No"))</f>
        <v/>
      </c>
      <c r="M183" s="16" t="n"/>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IF($D184="","",IF(AND($J184="Received",$K184&lt;&gt;"Yes"),"Yes","No"))</f>
        <v/>
      </c>
      <c r="M184" s="16" t="n"/>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IF($D185="","",IF(AND($J185="Received",$K185&lt;&gt;"Yes"),"Yes","No"))</f>
        <v/>
      </c>
      <c r="M185" s="16" t="n"/>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IF($D186="","",IF(AND($J186="Received",$K186&lt;&gt;"Yes"),"Yes","No"))</f>
        <v/>
      </c>
      <c r="M186" s="16" t="n"/>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IF($D187="","",IF(AND($J187="Received",$K187&lt;&gt;"Yes"),"Yes","No"))</f>
        <v/>
      </c>
      <c r="M187" s="16" t="n"/>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IF($D188="","",IF(AND($J188="Received",$K188&lt;&gt;"Yes"),"Yes","No"))</f>
        <v/>
      </c>
      <c r="M188" s="16" t="n"/>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IF($D189="","",IF(AND($J189="Received",$K189&lt;&gt;"Yes"),"Yes","No"))</f>
        <v/>
      </c>
      <c r="M189" s="16" t="n"/>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IF($D190="","",IF(AND($J190="Received",$K190&lt;&gt;"Yes"),"Yes","No"))</f>
        <v/>
      </c>
      <c r="M190" s="16" t="n"/>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IF($D191="","",IF(AND($J191="Received",$K191&lt;&gt;"Yes"),"Yes","No"))</f>
        <v/>
      </c>
      <c r="M191" s="16" t="n"/>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IF($D192="","",IF(AND($J192="Received",$K192&lt;&gt;"Yes"),"Yes","No"))</f>
        <v/>
      </c>
      <c r="M192" s="16" t="n"/>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IF($D193="","",IF(AND($J193="Received",$K193&lt;&gt;"Yes"),"Yes","No"))</f>
        <v/>
      </c>
      <c r="M193" s="16" t="n"/>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IF($D194="","",IF(AND($J194="Received",$K194&lt;&gt;"Yes"),"Yes","No"))</f>
        <v/>
      </c>
      <c r="M194" s="16" t="n"/>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IF($D195="","",IF(AND($J195="Received",$K195&lt;&gt;"Yes"),"Yes","No"))</f>
        <v/>
      </c>
      <c r="M195" s="16" t="n"/>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IF($D196="","",IF(AND($J196="Received",$K196&lt;&gt;"Yes"),"Yes","No"))</f>
        <v/>
      </c>
      <c r="M196" s="16" t="n"/>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IF($D197="","",IF(AND($J197="Received",$K197&lt;&gt;"Yes"),"Yes","No"))</f>
        <v/>
      </c>
      <c r="M197" s="16" t="n"/>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IF($D198="","",IF(AND($J198="Received",$K198&lt;&gt;"Yes"),"Yes","No"))</f>
        <v/>
      </c>
      <c r="M198" s="16" t="n"/>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IF($D199="","",IF(AND($J199="Received",$K199&lt;&gt;"Yes"),"Yes","No"))</f>
        <v/>
      </c>
      <c r="M199" s="16" t="n"/>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IF($D200="","",IF(AND($J200="Received",$K200&lt;&gt;"Yes"),"Yes","No"))</f>
        <v/>
      </c>
      <c r="M200" s="16" t="n"/>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IF($D201="","",IF(AND($J201="Received",$K201&lt;&gt;"Yes"),"Yes","No"))</f>
        <v/>
      </c>
      <c r="M201" s="16" t="n"/>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IF($D202="","",IF(AND($J202="Received",$K202&lt;&gt;"Yes"),"Yes","No"))</f>
        <v/>
      </c>
      <c r="M202" s="16" t="n"/>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IF($D203="","",IF(AND($J203="Received",$K203&lt;&gt;"Yes"),"Yes","No"))</f>
        <v/>
      </c>
      <c r="M203" s="16" t="n"/>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IF($D204="","",IF(AND($J204="Received",$K204&lt;&gt;"Yes"),"Yes","No"))</f>
        <v/>
      </c>
      <c r="M204" s="16" t="n"/>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IF($D205="","",IF(AND($J205="Received",$K205&lt;&gt;"Yes"),"Yes","No"))</f>
        <v/>
      </c>
      <c r="M205" s="16" t="n"/>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IF($D206="","",IF(AND($J206="Received",$K206&lt;&gt;"Yes"),"Yes","No"))</f>
        <v/>
      </c>
      <c r="M206" s="16" t="n"/>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IF($D207="","",IF(AND($J207="Received",$K207&lt;&gt;"Yes"),"Yes","No"))</f>
        <v/>
      </c>
      <c r="M207" s="16" t="n"/>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IF($D208="","",IF(AND($J208="Received",$K208&lt;&gt;"Yes"),"Yes","No"))</f>
        <v/>
      </c>
      <c r="M208" s="16" t="n"/>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IF($D209="","",IF(AND($J209="Received",$K209&lt;&gt;"Yes"),"Yes","No"))</f>
        <v/>
      </c>
      <c r="M209" s="16" t="n"/>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IF($D210="","",IF(AND($J210="Received",$K210&lt;&gt;"Yes"),"Yes","No"))</f>
        <v/>
      </c>
      <c r="M210" s="16" t="n"/>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IF($D211="","",IF(AND($J211="Received",$K211&lt;&gt;"Yes"),"Yes","No"))</f>
        <v/>
      </c>
      <c r="M211" s="16" t="n"/>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IF($D212="","",IF(AND($J212="Received",$K212&lt;&gt;"Yes"),"Yes","No"))</f>
        <v/>
      </c>
      <c r="M212" s="16" t="n"/>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IF($D213="","",IF(AND($J213="Received",$K213&lt;&gt;"Yes"),"Yes","No"))</f>
        <v/>
      </c>
      <c r="M213" s="16" t="n"/>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IF($D214="","",IF(AND($J214="Received",$K214&lt;&gt;"Yes"),"Yes","No"))</f>
        <v/>
      </c>
      <c r="M214" s="16" t="n"/>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IF($D215="","",IF(AND($J215="Received",$K215&lt;&gt;"Yes"),"Yes","No"))</f>
        <v/>
      </c>
      <c r="M215" s="16" t="n"/>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IF($D216="","",IF(AND($J216="Received",$K216&lt;&gt;"Yes"),"Yes","No"))</f>
        <v/>
      </c>
      <c r="M216" s="16" t="n"/>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IF($D217="","",IF(AND($J217="Received",$K217&lt;&gt;"Yes"),"Yes","No"))</f>
        <v/>
      </c>
      <c r="M217" s="16" t="n"/>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IF($D218="","",IF(AND($J218="Received",$K218&lt;&gt;"Yes"),"Yes","No"))</f>
        <v/>
      </c>
      <c r="M218" s="16" t="n"/>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IF($D219="","",IF(AND($J219="Received",$K219&lt;&gt;"Yes"),"Yes","No"))</f>
        <v/>
      </c>
      <c r="M219" s="16" t="n"/>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IF($D220="","",IF(AND($J220="Received",$K220&lt;&gt;"Yes"),"Yes","No"))</f>
        <v/>
      </c>
      <c r="M220" s="16" t="n"/>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IF($D221="","",IF(AND($J221="Received",$K221&lt;&gt;"Yes"),"Yes","No"))</f>
        <v/>
      </c>
      <c r="M221" s="16" t="n"/>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IF($D222="","",IF(AND($J222="Received",$K222&lt;&gt;"Yes"),"Yes","No"))</f>
        <v/>
      </c>
      <c r="M222" s="16" t="n"/>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IF($D223="","",IF(AND($J223="Received",$K223&lt;&gt;"Yes"),"Yes","No"))</f>
        <v/>
      </c>
      <c r="M223" s="16" t="n"/>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IF($D224="","",IF(AND($J224="Received",$K224&lt;&gt;"Yes"),"Yes","No"))</f>
        <v/>
      </c>
      <c r="M224" s="16" t="n"/>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IF($D225="","",IF(AND($J225="Received",$K225&lt;&gt;"Yes"),"Yes","No"))</f>
        <v/>
      </c>
      <c r="M225" s="16" t="n"/>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IF($D226="","",IF(AND($J226="Received",$K226&lt;&gt;"Yes"),"Yes","No"))</f>
        <v/>
      </c>
      <c r="M226" s="16" t="n"/>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IF($D227="","",IF(AND($J227="Received",$K227&lt;&gt;"Yes"),"Yes","No"))</f>
        <v/>
      </c>
      <c r="M227" s="16" t="n"/>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IF($D228="","",IF(AND($J228="Received",$K228&lt;&gt;"Yes"),"Yes","No"))</f>
        <v/>
      </c>
      <c r="M228" s="16" t="n"/>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IF($D229="","",IF(AND($J229="Received",$K229&lt;&gt;"Yes"),"Yes","No"))</f>
        <v/>
      </c>
      <c r="M229" s="16" t="n"/>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IF($D230="","",IF(AND($J230="Received",$K230&lt;&gt;"Yes"),"Yes","No"))</f>
        <v/>
      </c>
      <c r="M230" s="16" t="n"/>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IF($D231="","",IF(AND($J231="Received",$K231&lt;&gt;"Yes"),"Yes","No"))</f>
        <v/>
      </c>
      <c r="M231" s="16" t="n"/>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IF($D232="","",IF(AND($J232="Received",$K232&lt;&gt;"Yes"),"Yes","No"))</f>
        <v/>
      </c>
      <c r="M232" s="16" t="n"/>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IF($D233="","",IF(AND($J233="Received",$K233&lt;&gt;"Yes"),"Yes","No"))</f>
        <v/>
      </c>
      <c r="M233" s="16" t="n"/>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IF($D234="","",IF(AND($J234="Received",$K234&lt;&gt;"Yes"),"Yes","No"))</f>
        <v/>
      </c>
      <c r="M234" s="16" t="n"/>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IF($D235="","",IF(AND($J235="Received",$K235&lt;&gt;"Yes"),"Yes","No"))</f>
        <v/>
      </c>
      <c r="M235" s="16" t="n"/>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IF($D236="","",IF(AND($J236="Received",$K236&lt;&gt;"Yes"),"Yes","No"))</f>
        <v/>
      </c>
      <c r="M236" s="16" t="n"/>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IF($D237="","",IF(AND($J237="Received",$K237&lt;&gt;"Yes"),"Yes","No"))</f>
        <v/>
      </c>
      <c r="M237" s="16" t="n"/>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IF($D238="","",IF(AND($J238="Received",$K238&lt;&gt;"Yes"),"Yes","No"))</f>
        <v/>
      </c>
      <c r="M238" s="16" t="n"/>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IF($D239="","",IF(AND($J239="Received",$K239&lt;&gt;"Yes"),"Yes","No"))</f>
        <v/>
      </c>
      <c r="M239" s="16" t="n"/>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IF($D240="","",IF(AND($J240="Received",$K240&lt;&gt;"Yes"),"Yes","No"))</f>
        <v/>
      </c>
      <c r="M240" s="16" t="n"/>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IF($D241="","",IF(AND($J241="Received",$K241&lt;&gt;"Yes"),"Yes","No"))</f>
        <v/>
      </c>
      <c r="M241" s="16" t="n"/>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IF($D242="","",IF(AND($J242="Received",$K242&lt;&gt;"Yes"),"Yes","No"))</f>
        <v/>
      </c>
      <c r="M242" s="16" t="n"/>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IF($D243="","",IF(AND($J243="Received",$K243&lt;&gt;"Yes"),"Yes","No"))</f>
        <v/>
      </c>
      <c r="M243" s="16" t="n"/>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IF($D244="","",IF(AND($J244="Received",$K244&lt;&gt;"Yes"),"Yes","No"))</f>
        <v/>
      </c>
      <c r="M244" s="16" t="n"/>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IF($D245="","",IF(AND($J245="Received",$K245&lt;&gt;"Yes"),"Yes","No"))</f>
        <v/>
      </c>
      <c r="M245" s="16" t="n"/>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IF($D246="","",IF(AND($J246="Received",$K246&lt;&gt;"Yes"),"Yes","No"))</f>
        <v/>
      </c>
      <c r="M246" s="16" t="n"/>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IF($D247="","",IF(AND($J247="Received",$K247&lt;&gt;"Yes"),"Yes","No"))</f>
        <v/>
      </c>
      <c r="M247" s="16" t="n"/>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IF($D248="","",IF(AND($J248="Received",$K248&lt;&gt;"Yes"),"Yes","No"))</f>
        <v/>
      </c>
      <c r="M248" s="16" t="n"/>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IF($D249="","",IF(AND($J249="Received",$K249&lt;&gt;"Yes"),"Yes","No"))</f>
        <v/>
      </c>
      <c r="M249" s="16" t="n"/>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IF($D250="","",IF(AND($J250="Received",$K250&lt;&gt;"Yes"),"Yes","No"))</f>
        <v/>
      </c>
      <c r="M250" s="16" t="n"/>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IF($D251="","",IF(AND($J251="Received",$K251&lt;&gt;"Yes"),"Yes","No"))</f>
        <v/>
      </c>
      <c r="M251" s="16" t="n"/>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IF($D252="","",IF(AND($J252="Received",$K252&lt;&gt;"Yes"),"Yes","No"))</f>
        <v/>
      </c>
      <c r="M252" s="16" t="n"/>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IF($D253="","",IF(AND($J253="Received",$K253&lt;&gt;"Yes"),"Yes","No"))</f>
        <v/>
      </c>
      <c r="M253" s="16" t="n"/>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IF($D254="","",IF(AND($J254="Received",$K254&lt;&gt;"Yes"),"Yes","No"))</f>
        <v/>
      </c>
      <c r="M254" s="16" t="n"/>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IF($D255="","",IF(AND($J255="Received",$K255&lt;&gt;"Yes"),"Yes","No"))</f>
        <v/>
      </c>
      <c r="M255" s="16" t="n"/>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IF($D256="","",IF(AND($J256="Received",$K256&lt;&gt;"Yes"),"Yes","No"))</f>
        <v/>
      </c>
      <c r="M256" s="16" t="n"/>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IF($D257="","",IF(AND($J257="Received",$K257&lt;&gt;"Yes"),"Yes","No"))</f>
        <v/>
      </c>
      <c r="M257" s="16" t="n"/>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IF($D258="","",IF(AND($J258="Received",$K258&lt;&gt;"Yes"),"Yes","No"))</f>
        <v/>
      </c>
      <c r="M258" s="16" t="n"/>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IF($D259="","",IF(AND($J259="Received",$K259&lt;&gt;"Yes"),"Yes","No"))</f>
        <v/>
      </c>
      <c r="M259" s="16" t="n"/>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IF($D260="","",IF(AND($J260="Received",$K260&lt;&gt;"Yes"),"Yes","No"))</f>
        <v/>
      </c>
      <c r="M260" s="16" t="n"/>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IF($D261="","",IF(AND($J261="Received",$K261&lt;&gt;"Yes"),"Yes","No"))</f>
        <v/>
      </c>
      <c r="M261" s="16" t="n"/>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IF($D262="","",IF(AND($J262="Received",$K262&lt;&gt;"Yes"),"Yes","No"))</f>
        <v/>
      </c>
      <c r="M262" s="16" t="n"/>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IF($D263="","",IF(AND($J263="Received",$K263&lt;&gt;"Yes"),"Yes","No"))</f>
        <v/>
      </c>
      <c r="M263" s="16" t="n"/>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IF($D264="","",IF(AND($J264="Received",$K264&lt;&gt;"Yes"),"Yes","No"))</f>
        <v/>
      </c>
      <c r="M264" s="16" t="n"/>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IF($D265="","",IF(AND($J265="Received",$K265&lt;&gt;"Yes"),"Yes","No"))</f>
        <v/>
      </c>
      <c r="M265" s="16" t="n"/>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IF($D266="","",IF(AND($J266="Received",$K266&lt;&gt;"Yes"),"Yes","No"))</f>
        <v/>
      </c>
      <c r="M266" s="16" t="n"/>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IF($D267="","",IF(AND($J267="Received",$K267&lt;&gt;"Yes"),"Yes","No"))</f>
        <v/>
      </c>
      <c r="M267" s="16" t="n"/>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IF($D268="","",IF(AND($J268="Received",$K268&lt;&gt;"Yes"),"Yes","No"))</f>
        <v/>
      </c>
      <c r="M268" s="16" t="n"/>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IF($D269="","",IF(AND($J269="Received",$K269&lt;&gt;"Yes"),"Yes","No"))</f>
        <v/>
      </c>
      <c r="M269" s="16" t="n"/>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IF($D270="","",IF(AND($J270="Received",$K270&lt;&gt;"Yes"),"Yes","No"))</f>
        <v/>
      </c>
      <c r="M270" s="16" t="n"/>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IF($D271="","",IF(AND($J271="Received",$K271&lt;&gt;"Yes"),"Yes","No"))</f>
        <v/>
      </c>
      <c r="M271" s="16" t="n"/>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IF($D272="","",IF(AND($J272="Received",$K272&lt;&gt;"Yes"),"Yes","No"))</f>
        <v/>
      </c>
      <c r="M272" s="16" t="n"/>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IF($D273="","",IF(AND($J273="Received",$K273&lt;&gt;"Yes"),"Yes","No"))</f>
        <v/>
      </c>
      <c r="M273" s="16" t="n"/>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IF($D274="","",IF(AND($J274="Received",$K274&lt;&gt;"Yes"),"Yes","No"))</f>
        <v/>
      </c>
      <c r="M274" s="16" t="n"/>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IF($D275="","",IF(AND($J275="Received",$K275&lt;&gt;"Yes"),"Yes","No"))</f>
        <v/>
      </c>
      <c r="M275" s="16" t="n"/>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IF($D276="","",IF(AND($J276="Received",$K276&lt;&gt;"Yes"),"Yes","No"))</f>
        <v/>
      </c>
      <c r="M276" s="16" t="n"/>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IF($D277="","",IF(AND($J277="Received",$K277&lt;&gt;"Yes"),"Yes","No"))</f>
        <v/>
      </c>
      <c r="M277" s="16" t="n"/>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IF($D278="","",IF(AND($J278="Received",$K278&lt;&gt;"Yes"),"Yes","No"))</f>
        <v/>
      </c>
      <c r="M278" s="16" t="n"/>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IF($D279="","",IF(AND($J279="Received",$K279&lt;&gt;"Yes"),"Yes","No"))</f>
        <v/>
      </c>
      <c r="M279" s="16" t="n"/>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IF($D280="","",IF(AND($J280="Received",$K280&lt;&gt;"Yes"),"Yes","No"))</f>
        <v/>
      </c>
      <c r="M280" s="16" t="n"/>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IF($D281="","",IF(AND($J281="Received",$K281&lt;&gt;"Yes"),"Yes","No"))</f>
        <v/>
      </c>
      <c r="M281" s="16" t="n"/>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IF($D282="","",IF(AND($J282="Received",$K282&lt;&gt;"Yes"),"Yes","No"))</f>
        <v/>
      </c>
      <c r="M282" s="16" t="n"/>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IF($D283="","",IF(AND($J283="Received",$K283&lt;&gt;"Yes"),"Yes","No"))</f>
        <v/>
      </c>
      <c r="M283" s="16" t="n"/>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IF($D284="","",IF(AND($J284="Received",$K284&lt;&gt;"Yes"),"Yes","No"))</f>
        <v/>
      </c>
      <c r="M284" s="16" t="n"/>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IF($D285="","",IF(AND($J285="Received",$K285&lt;&gt;"Yes"),"Yes","No"))</f>
        <v/>
      </c>
      <c r="M285" s="16" t="n"/>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IF($D286="","",IF(AND($J286="Received",$K286&lt;&gt;"Yes"),"Yes","No"))</f>
        <v/>
      </c>
      <c r="M286" s="16" t="n"/>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IF($D287="","",IF(AND($J287="Received",$K287&lt;&gt;"Yes"),"Yes","No"))</f>
        <v/>
      </c>
      <c r="M287" s="16" t="n"/>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IF($D288="","",IF(AND($J288="Received",$K288&lt;&gt;"Yes"),"Yes","No"))</f>
        <v/>
      </c>
      <c r="M288" s="16" t="n"/>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IF($D289="","",IF(AND($J289="Received",$K289&lt;&gt;"Yes"),"Yes","No"))</f>
        <v/>
      </c>
      <c r="M289" s="16" t="n"/>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IF($D290="","",IF(AND($J290="Received",$K290&lt;&gt;"Yes"),"Yes","No"))</f>
        <v/>
      </c>
      <c r="M290" s="16" t="n"/>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IF($D291="","",IF(AND($J291="Received",$K291&lt;&gt;"Yes"),"Yes","No"))</f>
        <v/>
      </c>
      <c r="M291" s="16" t="n"/>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IF($D292="","",IF(AND($J292="Received",$K292&lt;&gt;"Yes"),"Yes","No"))</f>
        <v/>
      </c>
      <c r="M292" s="16" t="n"/>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IF($D293="","",IF(AND($J293="Received",$K293&lt;&gt;"Yes"),"Yes","No"))</f>
        <v/>
      </c>
      <c r="M293" s="16" t="n"/>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IF($D294="","",IF(AND($J294="Received",$K294&lt;&gt;"Yes"),"Yes","No"))</f>
        <v/>
      </c>
      <c r="M294" s="16" t="n"/>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IF($D295="","",IF(AND($J295="Received",$K295&lt;&gt;"Yes"),"Yes","No"))</f>
        <v/>
      </c>
      <c r="M295" s="16" t="n"/>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IF($D296="","",IF(AND($J296="Received",$K296&lt;&gt;"Yes"),"Yes","No"))</f>
        <v/>
      </c>
      <c r="M296" s="16" t="n"/>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IF($D297="","",IF(AND($J297="Received",$K297&lt;&gt;"Yes"),"Yes","No"))</f>
        <v/>
      </c>
      <c r="M297" s="16" t="n"/>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IF($D298="","",IF(AND($J298="Received",$K298&lt;&gt;"Yes"),"Yes","No"))</f>
        <v/>
      </c>
      <c r="M298" s="16" t="n"/>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IF($D299="","",IF(AND($J299="Received",$K299&lt;&gt;"Yes"),"Yes","No"))</f>
        <v/>
      </c>
      <c r="M299" s="16" t="n"/>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IF($D300="","",IF(AND($J300="Received",$K300&lt;&gt;"Yes"),"Yes","No"))</f>
        <v/>
      </c>
      <c r="M300" s="16" t="n"/>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IF($D301="","",IF(AND($J301="Received",$K301&lt;&gt;"Yes"),"Yes","No"))</f>
        <v/>
      </c>
      <c r="M301" s="16" t="n"/>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IF($D302="","",IF(AND($J302="Received",$K302&lt;&gt;"Yes"),"Yes","No"))</f>
        <v/>
      </c>
      <c r="M302" s="16" t="n"/>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IF($D303="","",IF(AND($J303="Received",$K303&lt;&gt;"Yes"),"Yes","No"))</f>
        <v/>
      </c>
      <c r="M303" s="16" t="n"/>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IF($D304="","",IF(AND($J304="Received",$K304&lt;&gt;"Yes"),"Yes","No"))</f>
        <v/>
      </c>
      <c r="M304" s="16" t="n"/>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IF($D305="","",IF(AND($J305="Received",$K305&lt;&gt;"Yes"),"Yes","No"))</f>
        <v/>
      </c>
      <c r="M305" s="16" t="n"/>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IF($D306="","",IF(AND($J306="Received",$K306&lt;&gt;"Yes"),"Yes","No"))</f>
        <v/>
      </c>
      <c r="M306" s="16" t="n"/>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IF($D307="","",IF(AND($J307="Received",$K307&lt;&gt;"Yes"),"Yes","No"))</f>
        <v/>
      </c>
      <c r="M307" s="16" t="n"/>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IF($D308="","",IF(AND($J308="Received",$K308&lt;&gt;"Yes"),"Yes","No"))</f>
        <v/>
      </c>
      <c r="M308" s="16" t="n"/>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IF($D309="","",IF(AND($J309="Received",$K309&lt;&gt;"Yes"),"Yes","No"))</f>
        <v/>
      </c>
      <c r="M309" s="16" t="n"/>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IF($D310="","",IF(AND($J310="Received",$K310&lt;&gt;"Yes"),"Yes","No"))</f>
        <v/>
      </c>
      <c r="M310" s="16" t="n"/>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IF($D311="","",IF(AND($J311="Received",$K311&lt;&gt;"Yes"),"Yes","No"))</f>
        <v/>
      </c>
      <c r="M311" s="16" t="n"/>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IF($D312="","",IF(AND($J312="Received",$K312&lt;&gt;"Yes"),"Yes","No"))</f>
        <v/>
      </c>
      <c r="M312" s="16" t="n"/>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IF($D313="","",IF(AND($J313="Received",$K313&lt;&gt;"Yes"),"Yes","No"))</f>
        <v/>
      </c>
      <c r="M313" s="16" t="n"/>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IF($D314="","",IF(AND($J314="Received",$K314&lt;&gt;"Yes"),"Yes","No"))</f>
        <v/>
      </c>
      <c r="M314" s="16" t="n"/>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IF($D315="","",IF(AND($J315="Received",$K315&lt;&gt;"Yes"),"Yes","No"))</f>
        <v/>
      </c>
      <c r="M315" s="16" t="n"/>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IF($D316="","",IF(AND($J316="Received",$K316&lt;&gt;"Yes"),"Yes","No"))</f>
        <v/>
      </c>
      <c r="M316" s="16" t="n"/>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IF($D317="","",IF(AND($J317="Received",$K317&lt;&gt;"Yes"),"Yes","No"))</f>
        <v/>
      </c>
      <c r="M317" s="16" t="n"/>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IF($D318="","",IF(AND($J318="Received",$K318&lt;&gt;"Yes"),"Yes","No"))</f>
        <v/>
      </c>
      <c r="M318" s="16" t="n"/>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IF($D319="","",IF(AND($J319="Received",$K319&lt;&gt;"Yes"),"Yes","No"))</f>
        <v/>
      </c>
      <c r="M319" s="16" t="n"/>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IF($D320="","",IF(AND($J320="Received",$K320&lt;&gt;"Yes"),"Yes","No"))</f>
        <v/>
      </c>
      <c r="M320" s="16" t="n"/>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IF($D321="","",IF(AND($J321="Received",$K321&lt;&gt;"Yes"),"Yes","No"))</f>
        <v/>
      </c>
      <c r="M321" s="16" t="n"/>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IF($D322="","",IF(AND($J322="Received",$K322&lt;&gt;"Yes"),"Yes","No"))</f>
        <v/>
      </c>
      <c r="M322" s="16" t="n"/>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IF($D323="","",IF(AND($J323="Received",$K323&lt;&gt;"Yes"),"Yes","No"))</f>
        <v/>
      </c>
      <c r="M323" s="16" t="n"/>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IF($D324="","",IF(AND($J324="Received",$K324&lt;&gt;"Yes"),"Yes","No"))</f>
        <v/>
      </c>
      <c r="M324" s="16" t="n"/>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IF($D325="","",IF(AND($J325="Received",$K325&lt;&gt;"Yes"),"Yes","No"))</f>
        <v/>
      </c>
      <c r="M325" s="16" t="n"/>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IF($D326="","",IF(AND($J326="Received",$K326&lt;&gt;"Yes"),"Yes","No"))</f>
        <v/>
      </c>
      <c r="M326" s="16" t="n"/>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IF($D327="","",IF(AND($J327="Received",$K327&lt;&gt;"Yes"),"Yes","No"))</f>
        <v/>
      </c>
      <c r="M327" s="16" t="n"/>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IF($D328="","",IF(AND($J328="Received",$K328&lt;&gt;"Yes"),"Yes","No"))</f>
        <v/>
      </c>
      <c r="M328" s="16" t="n"/>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IF($D329="","",IF(AND($J329="Received",$K329&lt;&gt;"Yes"),"Yes","No"))</f>
        <v/>
      </c>
      <c r="M329" s="16" t="n"/>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IF($D330="","",IF(AND($J330="Received",$K330&lt;&gt;"Yes"),"Yes","No"))</f>
        <v/>
      </c>
      <c r="M330" s="16" t="n"/>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IF($D331="","",IF(AND($J331="Received",$K331&lt;&gt;"Yes"),"Yes","No"))</f>
        <v/>
      </c>
      <c r="M331" s="16" t="n"/>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IF($D332="","",IF(AND($J332="Received",$K332&lt;&gt;"Yes"),"Yes","No"))</f>
        <v/>
      </c>
      <c r="M332" s="16" t="n"/>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IF($D333="","",IF(AND($J333="Received",$K333&lt;&gt;"Yes"),"Yes","No"))</f>
        <v/>
      </c>
      <c r="M333" s="16" t="n"/>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IF($D334="","",IF(AND($J334="Received",$K334&lt;&gt;"Yes"),"Yes","No"))</f>
        <v/>
      </c>
      <c r="M334" s="16" t="n"/>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IF($D335="","",IF(AND($J335="Received",$K335&lt;&gt;"Yes"),"Yes","No"))</f>
        <v/>
      </c>
      <c r="M335" s="16" t="n"/>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IF($D336="","",IF(AND($J336="Received",$K336&lt;&gt;"Yes"),"Yes","No"))</f>
        <v/>
      </c>
      <c r="M336" s="16" t="n"/>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IF($D337="","",IF(AND($J337="Received",$K337&lt;&gt;"Yes"),"Yes","No"))</f>
        <v/>
      </c>
      <c r="M337" s="16" t="n"/>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IF($D338="","",IF(AND($J338="Received",$K338&lt;&gt;"Yes"),"Yes","No"))</f>
        <v/>
      </c>
      <c r="M338" s="16" t="n"/>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IF($D339="","",IF(AND($J339="Received",$K339&lt;&gt;"Yes"),"Yes","No"))</f>
        <v/>
      </c>
      <c r="M339" s="16" t="n"/>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IF($D340="","",IF(AND($J340="Received",$K340&lt;&gt;"Yes"),"Yes","No"))</f>
        <v/>
      </c>
      <c r="M340" s="16" t="n"/>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IF($D341="","",IF(AND($J341="Received",$K341&lt;&gt;"Yes"),"Yes","No"))</f>
        <v/>
      </c>
      <c r="M341" s="16" t="n"/>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IF($D342="","",IF(AND($J342="Received",$K342&lt;&gt;"Yes"),"Yes","No"))</f>
        <v/>
      </c>
      <c r="M342" s="16" t="n"/>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IF($D343="","",IF(AND($J343="Received",$K343&lt;&gt;"Yes"),"Yes","No"))</f>
        <v/>
      </c>
      <c r="M343" s="16" t="n"/>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IF($D344="","",IF(AND($J344="Received",$K344&lt;&gt;"Yes"),"Yes","No"))</f>
        <v/>
      </c>
      <c r="M344" s="16" t="n"/>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IF($D345="","",IF(AND($J345="Received",$K345&lt;&gt;"Yes"),"Yes","No"))</f>
        <v/>
      </c>
      <c r="M345" s="16" t="n"/>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IF($D346="","",IF(AND($J346="Received",$K346&lt;&gt;"Yes"),"Yes","No"))</f>
        <v/>
      </c>
      <c r="M346" s="16" t="n"/>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IF($D347="","",IF(AND($J347="Received",$K347&lt;&gt;"Yes"),"Yes","No"))</f>
        <v/>
      </c>
      <c r="M347" s="16" t="n"/>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IF($D348="","",IF(AND($J348="Received",$K348&lt;&gt;"Yes"),"Yes","No"))</f>
        <v/>
      </c>
      <c r="M348" s="16" t="n"/>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IF($D349="","",IF(AND($J349="Received",$K349&lt;&gt;"Yes"),"Yes","No"))</f>
        <v/>
      </c>
      <c r="M349" s="16" t="n"/>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IF($D350="","",IF(AND($J350="Received",$K350&lt;&gt;"Yes"),"Yes","No"))</f>
        <v/>
      </c>
      <c r="M350" s="16" t="n"/>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IF($D351="","",IF(AND($J351="Received",$K351&lt;&gt;"Yes"),"Yes","No"))</f>
        <v/>
      </c>
      <c r="M351" s="16" t="n"/>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IF($D352="","",IF(AND($J352="Received",$K352&lt;&gt;"Yes"),"Yes","No"))</f>
        <v/>
      </c>
      <c r="M352" s="16" t="n"/>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IF($D353="","",IF(AND($J353="Received",$K353&lt;&gt;"Yes"),"Yes","No"))</f>
        <v/>
      </c>
      <c r="M353" s="16" t="n"/>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IF($D354="","",IF(AND($J354="Received",$K354&lt;&gt;"Yes"),"Yes","No"))</f>
        <v/>
      </c>
      <c r="M354" s="16" t="n"/>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IF($D355="","",IF(AND($J355="Received",$K355&lt;&gt;"Yes"),"Yes","No"))</f>
        <v/>
      </c>
      <c r="M355" s="16" t="n"/>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IF($D356="","",IF(AND($J356="Received",$K356&lt;&gt;"Yes"),"Yes","No"))</f>
        <v/>
      </c>
      <c r="M356" s="16" t="n"/>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IF($D357="","",IF(AND($J357="Received",$K357&lt;&gt;"Yes"),"Yes","No"))</f>
        <v/>
      </c>
      <c r="M357" s="16" t="n"/>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IF($D358="","",IF(AND($J358="Received",$K358&lt;&gt;"Yes"),"Yes","No"))</f>
        <v/>
      </c>
      <c r="M358" s="16" t="n"/>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IF($D359="","",IF(AND($J359="Received",$K359&lt;&gt;"Yes"),"Yes","No"))</f>
        <v/>
      </c>
      <c r="M359" s="16" t="n"/>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IF($D360="","",IF(AND($J360="Received",$K360&lt;&gt;"Yes"),"Yes","No"))</f>
        <v/>
      </c>
      <c r="M360" s="16" t="n"/>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IF($D361="","",IF(AND($J361="Received",$K361&lt;&gt;"Yes"),"Yes","No"))</f>
        <v/>
      </c>
      <c r="M361" s="16" t="n"/>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IF($D362="","",IF(AND($J362="Received",$K362&lt;&gt;"Yes"),"Yes","No"))</f>
        <v/>
      </c>
      <c r="M362" s="16" t="n"/>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IF($D363="","",IF(AND($J363="Received",$K363&lt;&gt;"Yes"),"Yes","No"))</f>
        <v/>
      </c>
      <c r="M363" s="16" t="n"/>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IF($D364="","",IF(AND($J364="Received",$K364&lt;&gt;"Yes"),"Yes","No"))</f>
        <v/>
      </c>
      <c r="M364" s="16" t="n"/>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IF($D365="","",IF(AND($J365="Received",$K365&lt;&gt;"Yes"),"Yes","No"))</f>
        <v/>
      </c>
      <c r="M365" s="16" t="n"/>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IF($D366="","",IF(AND($J366="Received",$K366&lt;&gt;"Yes"),"Yes","No"))</f>
        <v/>
      </c>
      <c r="M366" s="16" t="n"/>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IF($D367="","",IF(AND($J367="Received",$K367&lt;&gt;"Yes"),"Yes","No"))</f>
        <v/>
      </c>
      <c r="M367" s="16" t="n"/>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IF($D368="","",IF(AND($J368="Received",$K368&lt;&gt;"Yes"),"Yes","No"))</f>
        <v/>
      </c>
      <c r="M368" s="16" t="n"/>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IF($D369="","",IF(AND($J369="Received",$K369&lt;&gt;"Yes"),"Yes","No"))</f>
        <v/>
      </c>
      <c r="M369" s="16" t="n"/>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IF($D370="","",IF(AND($J370="Received",$K370&lt;&gt;"Yes"),"Yes","No"))</f>
        <v/>
      </c>
      <c r="M370" s="16" t="n"/>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IF($D371="","",IF(AND($J371="Received",$K371&lt;&gt;"Yes"),"Yes","No"))</f>
        <v/>
      </c>
      <c r="M371" s="16" t="n"/>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IF($D372="","",IF(AND($J372="Received",$K372&lt;&gt;"Yes"),"Yes","No"))</f>
        <v/>
      </c>
      <c r="M372" s="16" t="n"/>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IF($D373="","",IF(AND($J373="Received",$K373&lt;&gt;"Yes"),"Yes","No"))</f>
        <v/>
      </c>
      <c r="M373" s="16" t="n"/>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IF($D374="","",IF(AND($J374="Received",$K374&lt;&gt;"Yes"),"Yes","No"))</f>
        <v/>
      </c>
      <c r="M374" s="16" t="n"/>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IF($D375="","",IF(AND($J375="Received",$K375&lt;&gt;"Yes"),"Yes","No"))</f>
        <v/>
      </c>
      <c r="M375" s="16" t="n"/>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IF($D376="","",IF(AND($J376="Received",$K376&lt;&gt;"Yes"),"Yes","No"))</f>
        <v/>
      </c>
      <c r="M376" s="16" t="n"/>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IF($D377="","",IF(AND($J377="Received",$K377&lt;&gt;"Yes"),"Yes","No"))</f>
        <v/>
      </c>
      <c r="M377" s="16" t="n"/>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IF($D378="","",IF(AND($J378="Received",$K378&lt;&gt;"Yes"),"Yes","No"))</f>
        <v/>
      </c>
      <c r="M378" s="16" t="n"/>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IF($D379="","",IF(AND($J379="Received",$K379&lt;&gt;"Yes"),"Yes","No"))</f>
        <v/>
      </c>
      <c r="M379" s="16" t="n"/>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IF($D380="","",IF(AND($J380="Received",$K380&lt;&gt;"Yes"),"Yes","No"))</f>
        <v/>
      </c>
      <c r="M380" s="16" t="n"/>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IF($D381="","",IF(AND($J381="Received",$K381&lt;&gt;"Yes"),"Yes","No"))</f>
        <v/>
      </c>
      <c r="M381" s="16" t="n"/>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IF($D382="","",IF(AND($J382="Received",$K382&lt;&gt;"Yes"),"Yes","No"))</f>
        <v/>
      </c>
      <c r="M382" s="16" t="n"/>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IF($D383="","",IF(AND($J383="Received",$K383&lt;&gt;"Yes"),"Yes","No"))</f>
        <v/>
      </c>
      <c r="M383" s="16" t="n"/>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IF($D384="","",IF(AND($J384="Received",$K384&lt;&gt;"Yes"),"Yes","No"))</f>
        <v/>
      </c>
      <c r="M384" s="16" t="n"/>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IF($D385="","",IF(AND($J385="Received",$K385&lt;&gt;"Yes"),"Yes","No"))</f>
        <v/>
      </c>
      <c r="M385" s="16" t="n"/>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IF($D386="","",IF(AND($J386="Received",$K386&lt;&gt;"Yes"),"Yes","No"))</f>
        <v/>
      </c>
      <c r="M386" s="16" t="n"/>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IF($D387="","",IF(AND($J387="Received",$K387&lt;&gt;"Yes"),"Yes","No"))</f>
        <v/>
      </c>
      <c r="M387" s="16" t="n"/>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IF($D388="","",IF(AND($J388="Received",$K388&lt;&gt;"Yes"),"Yes","No"))</f>
        <v/>
      </c>
      <c r="M388" s="16" t="n"/>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IF($D389="","",IF(AND($J389="Received",$K389&lt;&gt;"Yes"),"Yes","No"))</f>
        <v/>
      </c>
      <c r="M389" s="16" t="n"/>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IF($D390="","",IF(AND($J390="Received",$K390&lt;&gt;"Yes"),"Yes","No"))</f>
        <v/>
      </c>
      <c r="M390" s="16" t="n"/>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IF($D391="","",IF(AND($J391="Received",$K391&lt;&gt;"Yes"),"Yes","No"))</f>
        <v/>
      </c>
      <c r="M391" s="16" t="n"/>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IF($D392="","",IF(AND($J392="Received",$K392&lt;&gt;"Yes"),"Yes","No"))</f>
        <v/>
      </c>
      <c r="M392" s="16" t="n"/>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IF($D393="","",IF(AND($J393="Received",$K393&lt;&gt;"Yes"),"Yes","No"))</f>
        <v/>
      </c>
      <c r="M393" s="16" t="n"/>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IF($D394="","",IF(AND($J394="Received",$K394&lt;&gt;"Yes"),"Yes","No"))</f>
        <v/>
      </c>
      <c r="M394" s="16" t="n"/>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IF($D395="","",IF(AND($J395="Received",$K395&lt;&gt;"Yes"),"Yes","No"))</f>
        <v/>
      </c>
      <c r="M395" s="16" t="n"/>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IF($D396="","",IF(AND($J396="Received",$K396&lt;&gt;"Yes"),"Yes","No"))</f>
        <v/>
      </c>
      <c r="M396" s="16" t="n"/>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IF($D397="","",IF(AND($J397="Received",$K397&lt;&gt;"Yes"),"Yes","No"))</f>
        <v/>
      </c>
      <c r="M397" s="16" t="n"/>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IF($D398="","",IF(AND($J398="Received",$K398&lt;&gt;"Yes"),"Yes","No"))</f>
        <v/>
      </c>
      <c r="M398" s="16" t="n"/>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IF($D399="","",IF(AND($J399="Received",$K399&lt;&gt;"Yes"),"Yes","No"))</f>
        <v/>
      </c>
      <c r="M399" s="16" t="n"/>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IF($D400="","",IF(AND($J400="Received",$K400&lt;&gt;"Yes"),"Yes","No"))</f>
        <v/>
      </c>
      <c r="M400" s="16" t="n"/>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IF($D401="","",IF(AND($J401="Received",$K401&lt;&gt;"Yes"),"Yes","No"))</f>
        <v/>
      </c>
      <c r="M401" s="16" t="n"/>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IF($D402="","",IF(AND($J402="Received",$K402&lt;&gt;"Yes"),"Yes","No"))</f>
        <v/>
      </c>
      <c r="M402" s="16" t="n"/>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IF($D403="","",IF(AND($J403="Received",$K403&lt;&gt;"Yes"),"Yes","No"))</f>
        <v/>
      </c>
      <c r="M403" s="16" t="n"/>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IF($D404="","",IF(AND($J404="Received",$K404&lt;&gt;"Yes"),"Yes","No"))</f>
        <v/>
      </c>
      <c r="M404" s="16" t="n"/>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IF($D405="","",IF(AND($J405="Received",$K405&lt;&gt;"Yes"),"Yes","No"))</f>
        <v/>
      </c>
      <c r="M405" s="16" t="n"/>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IF($D406="","",IF(AND($J406="Received",$K406&lt;&gt;"Yes"),"Yes","No"))</f>
        <v/>
      </c>
      <c r="M406" s="16" t="n"/>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IF($D407="","",IF(AND($J407="Received",$K407&lt;&gt;"Yes"),"Yes","No"))</f>
        <v/>
      </c>
      <c r="M407" s="16" t="n"/>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IF($D408="","",IF(AND($J408="Received",$K408&lt;&gt;"Yes"),"Yes","No"))</f>
        <v/>
      </c>
      <c r="M408" s="16" t="n"/>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IF($D409="","",IF(AND($J409="Received",$K409&lt;&gt;"Yes"),"Yes","No"))</f>
        <v/>
      </c>
      <c r="M409" s="16" t="n"/>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IF($D410="","",IF(AND($J410="Received",$K410&lt;&gt;"Yes"),"Yes","No"))</f>
        <v/>
      </c>
      <c r="M410" s="16" t="n"/>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IF($D411="","",IF(AND($J411="Received",$K411&lt;&gt;"Yes"),"Yes","No"))</f>
        <v/>
      </c>
      <c r="M411" s="16" t="n"/>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IF($D412="","",IF(AND($J412="Received",$K412&lt;&gt;"Yes"),"Yes","No"))</f>
        <v/>
      </c>
      <c r="M412" s="16" t="n"/>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IF($D413="","",IF(AND($J413="Received",$K413&lt;&gt;"Yes"),"Yes","No"))</f>
        <v/>
      </c>
      <c r="M413" s="16" t="n"/>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IF($D414="","",IF(AND($J414="Received",$K414&lt;&gt;"Yes"),"Yes","No"))</f>
        <v/>
      </c>
      <c r="M414" s="16" t="n"/>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IF($D415="","",IF(AND($J415="Received",$K415&lt;&gt;"Yes"),"Yes","No"))</f>
        <v/>
      </c>
      <c r="M415" s="16" t="n"/>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IF($D416="","",IF(AND($J416="Received",$K416&lt;&gt;"Yes"),"Yes","No"))</f>
        <v/>
      </c>
      <c r="M416" s="16" t="n"/>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IF($D417="","",IF(AND($J417="Received",$K417&lt;&gt;"Yes"),"Yes","No"))</f>
        <v/>
      </c>
      <c r="M417" s="16" t="n"/>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IF($D418="","",IF(AND($J418="Received",$K418&lt;&gt;"Yes"),"Yes","No"))</f>
        <v/>
      </c>
      <c r="M418" s="16" t="n"/>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IF($D419="","",IF(AND($J419="Received",$K419&lt;&gt;"Yes"),"Yes","No"))</f>
        <v/>
      </c>
      <c r="M419" s="16" t="n"/>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IF($D420="","",IF(AND($J420="Received",$K420&lt;&gt;"Yes"),"Yes","No"))</f>
        <v/>
      </c>
      <c r="M420" s="16" t="n"/>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IF($D421="","",IF(AND($J421="Received",$K421&lt;&gt;"Yes"),"Yes","No"))</f>
        <v/>
      </c>
      <c r="M421" s="16" t="n"/>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IF($D422="","",IF(AND($J422="Received",$K422&lt;&gt;"Yes"),"Yes","No"))</f>
        <v/>
      </c>
      <c r="M422" s="16" t="n"/>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IF($D423="","",IF(AND($J423="Received",$K423&lt;&gt;"Yes"),"Yes","No"))</f>
        <v/>
      </c>
      <c r="M423" s="16" t="n"/>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IF($D424="","",IF(AND($J424="Received",$K424&lt;&gt;"Yes"),"Yes","No"))</f>
        <v/>
      </c>
      <c r="M424" s="16" t="n"/>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IF($D425="","",IF(AND($J425="Received",$K425&lt;&gt;"Yes"),"Yes","No"))</f>
        <v/>
      </c>
      <c r="M425" s="16" t="n"/>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IF($D426="","",IF(AND($J426="Received",$K426&lt;&gt;"Yes"),"Yes","No"))</f>
        <v/>
      </c>
      <c r="M426" s="16" t="n"/>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IF($D427="","",IF(AND($J427="Received",$K427&lt;&gt;"Yes"),"Yes","No"))</f>
        <v/>
      </c>
      <c r="M427" s="16" t="n"/>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IF($D428="","",IF(AND($J428="Received",$K428&lt;&gt;"Yes"),"Yes","No"))</f>
        <v/>
      </c>
      <c r="M428" s="16" t="n"/>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IF($D429="","",IF(AND($J429="Received",$K429&lt;&gt;"Yes"),"Yes","No"))</f>
        <v/>
      </c>
      <c r="M429" s="16" t="n"/>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IF($D430="","",IF(AND($J430="Received",$K430&lt;&gt;"Yes"),"Yes","No"))</f>
        <v/>
      </c>
      <c r="M430" s="16" t="n"/>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IF($D431="","",IF(AND($J431="Received",$K431&lt;&gt;"Yes"),"Yes","No"))</f>
        <v/>
      </c>
      <c r="M431" s="16" t="n"/>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IF($D432="","",IF(AND($J432="Received",$K432&lt;&gt;"Yes"),"Yes","No"))</f>
        <v/>
      </c>
      <c r="M432" s="16" t="n"/>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IF($D433="","",IF(AND($J433="Received",$K433&lt;&gt;"Yes"),"Yes","No"))</f>
        <v/>
      </c>
      <c r="M433" s="16" t="n"/>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IF($D434="","",IF(AND($J434="Received",$K434&lt;&gt;"Yes"),"Yes","No"))</f>
        <v/>
      </c>
      <c r="M434" s="16" t="n"/>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IF($D435="","",IF(AND($J435="Received",$K435&lt;&gt;"Yes"),"Yes","No"))</f>
        <v/>
      </c>
      <c r="M435" s="16" t="n"/>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IF($D436="","",IF(AND($J436="Received",$K436&lt;&gt;"Yes"),"Yes","No"))</f>
        <v/>
      </c>
      <c r="M436" s="16" t="n"/>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IF($D437="","",IF(AND($J437="Received",$K437&lt;&gt;"Yes"),"Yes","No"))</f>
        <v/>
      </c>
      <c r="M437" s="16" t="n"/>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IF($D438="","",IF(AND($J438="Received",$K438&lt;&gt;"Yes"),"Yes","No"))</f>
        <v/>
      </c>
      <c r="M438" s="16" t="n"/>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IF($D439="","",IF(AND($J439="Received",$K439&lt;&gt;"Yes"),"Yes","No"))</f>
        <v/>
      </c>
      <c r="M439" s="16" t="n"/>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IF($D440="","",IF(AND($J440="Received",$K440&lt;&gt;"Yes"),"Yes","No"))</f>
        <v/>
      </c>
      <c r="M440" s="16" t="n"/>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IF($D441="","",IF(AND($J441="Received",$K441&lt;&gt;"Yes"),"Yes","No"))</f>
        <v/>
      </c>
      <c r="M441" s="16" t="n"/>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IF($D442="","",IF(AND($J442="Received",$K442&lt;&gt;"Yes"),"Yes","No"))</f>
        <v/>
      </c>
      <c r="M442" s="16" t="n"/>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IF($D443="","",IF(AND($J443="Received",$K443&lt;&gt;"Yes"),"Yes","No"))</f>
        <v/>
      </c>
      <c r="M443" s="16" t="n"/>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IF($D444="","",IF(AND($J444="Received",$K444&lt;&gt;"Yes"),"Yes","No"))</f>
        <v/>
      </c>
      <c r="M444" s="16" t="n"/>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IF($D445="","",IF(AND($J445="Received",$K445&lt;&gt;"Yes"),"Yes","No"))</f>
        <v/>
      </c>
      <c r="M445" s="16" t="n"/>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IF($D446="","",IF(AND($J446="Received",$K446&lt;&gt;"Yes"),"Yes","No"))</f>
        <v/>
      </c>
      <c r="M446" s="16" t="n"/>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IF($D447="","",IF(AND($J447="Received",$K447&lt;&gt;"Yes"),"Yes","No"))</f>
        <v/>
      </c>
      <c r="M447" s="16" t="n"/>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IF($D448="","",IF(AND($J448="Received",$K448&lt;&gt;"Yes"),"Yes","No"))</f>
        <v/>
      </c>
      <c r="M448" s="16" t="n"/>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IF($D449="","",IF(AND($J449="Received",$K449&lt;&gt;"Yes"),"Yes","No"))</f>
        <v/>
      </c>
      <c r="M449" s="16" t="n"/>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IF($D450="","",IF(AND($J450="Received",$K450&lt;&gt;"Yes"),"Yes","No"))</f>
        <v/>
      </c>
      <c r="M450" s="16" t="n"/>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IF($D451="","",IF(AND($J451="Received",$K451&lt;&gt;"Yes"),"Yes","No"))</f>
        <v/>
      </c>
      <c r="M451" s="16" t="n"/>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IF($D452="","",IF(AND($J452="Received",$K452&lt;&gt;"Yes"),"Yes","No"))</f>
        <v/>
      </c>
      <c r="M452" s="16" t="n"/>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IF($D453="","",IF(AND($J453="Received",$K453&lt;&gt;"Yes"),"Yes","No"))</f>
        <v/>
      </c>
      <c r="M453" s="16" t="n"/>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IF($D454="","",IF(AND($J454="Received",$K454&lt;&gt;"Yes"),"Yes","No"))</f>
        <v/>
      </c>
      <c r="M454" s="16" t="n"/>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IF($D455="","",IF(AND($J455="Received",$K455&lt;&gt;"Yes"),"Yes","No"))</f>
        <v/>
      </c>
      <c r="M455" s="16" t="n"/>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IF($D456="","",IF(AND($J456="Received",$K456&lt;&gt;"Yes"),"Yes","No"))</f>
        <v/>
      </c>
      <c r="M456" s="16" t="n"/>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IF($D457="","",IF(AND($J457="Received",$K457&lt;&gt;"Yes"),"Yes","No"))</f>
        <v/>
      </c>
      <c r="M457" s="16" t="n"/>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IF($D458="","",IF(AND($J458="Received",$K458&lt;&gt;"Yes"),"Yes","No"))</f>
        <v/>
      </c>
      <c r="M458" s="16" t="n"/>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IF($D459="","",IF(AND($J459="Received",$K459&lt;&gt;"Yes"),"Yes","No"))</f>
        <v/>
      </c>
      <c r="M459" s="16" t="n"/>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IF($D460="","",IF(AND($J460="Received",$K460&lt;&gt;"Yes"),"Yes","No"))</f>
        <v/>
      </c>
      <c r="M460" s="16" t="n"/>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IF($D461="","",IF(AND($J461="Received",$K461&lt;&gt;"Yes"),"Yes","No"))</f>
        <v/>
      </c>
      <c r="M461" s="16" t="n"/>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IF($D462="","",IF(AND($J462="Received",$K462&lt;&gt;"Yes"),"Yes","No"))</f>
        <v/>
      </c>
      <c r="M462" s="16" t="n"/>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IF($D463="","",IF(AND($J463="Received",$K463&lt;&gt;"Yes"),"Yes","No"))</f>
        <v/>
      </c>
      <c r="M463" s="16" t="n"/>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IF($D464="","",IF(AND($J464="Received",$K464&lt;&gt;"Yes"),"Yes","No"))</f>
        <v/>
      </c>
      <c r="M464" s="16" t="n"/>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IF($D465="","",IF(AND($J465="Received",$K465&lt;&gt;"Yes"),"Yes","No"))</f>
        <v/>
      </c>
      <c r="M465" s="16" t="n"/>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IF($D466="","",IF(AND($J466="Received",$K466&lt;&gt;"Yes"),"Yes","No"))</f>
        <v/>
      </c>
      <c r="M466" s="16" t="n"/>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IF($D467="","",IF(AND($J467="Received",$K467&lt;&gt;"Yes"),"Yes","No"))</f>
        <v/>
      </c>
      <c r="M467" s="16" t="n"/>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IF($D468="","",IF(AND($J468="Received",$K468&lt;&gt;"Yes"),"Yes","No"))</f>
        <v/>
      </c>
      <c r="M468" s="16" t="n"/>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IF($D469="","",IF(AND($J469="Received",$K469&lt;&gt;"Yes"),"Yes","No"))</f>
        <v/>
      </c>
      <c r="M469" s="16" t="n"/>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IF($D470="","",IF(AND($J470="Received",$K470&lt;&gt;"Yes"),"Yes","No"))</f>
        <v/>
      </c>
      <c r="M470" s="16" t="n"/>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IF($D471="","",IF(AND($J471="Received",$K471&lt;&gt;"Yes"),"Yes","No"))</f>
        <v/>
      </c>
      <c r="M471" s="16" t="n"/>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IF($D472="","",IF(AND($J472="Received",$K472&lt;&gt;"Yes"),"Yes","No"))</f>
        <v/>
      </c>
      <c r="M472" s="16" t="n"/>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IF($D473="","",IF(AND($J473="Received",$K473&lt;&gt;"Yes"),"Yes","No"))</f>
        <v/>
      </c>
      <c r="M473" s="16" t="n"/>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IF($D474="","",IF(AND($J474="Received",$K474&lt;&gt;"Yes"),"Yes","No"))</f>
        <v/>
      </c>
      <c r="M474" s="16" t="n"/>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IF($D475="","",IF(AND($J475="Received",$K475&lt;&gt;"Yes"),"Yes","No"))</f>
        <v/>
      </c>
      <c r="M475" s="16" t="n"/>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IF($D476="","",IF(AND($J476="Received",$K476&lt;&gt;"Yes"),"Yes","No"))</f>
        <v/>
      </c>
      <c r="M476" s="16" t="n"/>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IF($D477="","",IF(AND($J477="Received",$K477&lt;&gt;"Yes"),"Yes","No"))</f>
        <v/>
      </c>
      <c r="M477" s="16" t="n"/>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IF($D478="","",IF(AND($J478="Received",$K478&lt;&gt;"Yes"),"Yes","No"))</f>
        <v/>
      </c>
      <c r="M478" s="16" t="n"/>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IF($D479="","",IF(AND($J479="Received",$K479&lt;&gt;"Yes"),"Yes","No"))</f>
        <v/>
      </c>
      <c r="M479" s="16" t="n"/>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IF($D480="","",IF(AND($J480="Received",$K480&lt;&gt;"Yes"),"Yes","No"))</f>
        <v/>
      </c>
      <c r="M480" s="16" t="n"/>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IF($D481="","",IF(AND($J481="Received",$K481&lt;&gt;"Yes"),"Yes","No"))</f>
        <v/>
      </c>
      <c r="M481" s="16" t="n"/>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IF($D482="","",IF(AND($J482="Received",$K482&lt;&gt;"Yes"),"Yes","No"))</f>
        <v/>
      </c>
      <c r="M482" s="16" t="n"/>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IF($D483="","",IF(AND($J483="Received",$K483&lt;&gt;"Yes"),"Yes","No"))</f>
        <v/>
      </c>
      <c r="M483" s="16" t="n"/>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IF($D484="","",IF(AND($J484="Received",$K484&lt;&gt;"Yes"),"Yes","No"))</f>
        <v/>
      </c>
      <c r="M484" s="16" t="n"/>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IF($D485="","",IF(AND($J485="Received",$K485&lt;&gt;"Yes"),"Yes","No"))</f>
        <v/>
      </c>
      <c r="M485" s="16" t="n"/>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IF($D486="","",IF(AND($J486="Received",$K486&lt;&gt;"Yes"),"Yes","No"))</f>
        <v/>
      </c>
      <c r="M486" s="16" t="n"/>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IF($D487="","",IF(AND($J487="Received",$K487&lt;&gt;"Yes"),"Yes","No"))</f>
        <v/>
      </c>
      <c r="M487" s="16" t="n"/>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IF($D488="","",IF(AND($J488="Received",$K488&lt;&gt;"Yes"),"Yes","No"))</f>
        <v/>
      </c>
      <c r="M488" s="16" t="n"/>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IF($D489="","",IF(AND($J489="Received",$K489&lt;&gt;"Yes"),"Yes","No"))</f>
        <v/>
      </c>
      <c r="M489" s="16" t="n"/>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IF($D490="","",IF(AND($J490="Received",$K490&lt;&gt;"Yes"),"Yes","No"))</f>
        <v/>
      </c>
      <c r="M490" s="16" t="n"/>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IF($D491="","",IF(AND($J491="Received",$K491&lt;&gt;"Yes"),"Yes","No"))</f>
        <v/>
      </c>
      <c r="M491" s="16" t="n"/>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IF($D492="","",IF(AND($J492="Received",$K492&lt;&gt;"Yes"),"Yes","No"))</f>
        <v/>
      </c>
      <c r="M492" s="16" t="n"/>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IF($D493="","",IF(AND($J493="Received",$K493&lt;&gt;"Yes"),"Yes","No"))</f>
        <v/>
      </c>
      <c r="M493" s="16" t="n"/>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IF($D494="","",IF(AND($J494="Received",$K494&lt;&gt;"Yes"),"Yes","No"))</f>
        <v/>
      </c>
      <c r="M494" s="16" t="n"/>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IF($D495="","",IF(AND($J495="Received",$K495&lt;&gt;"Yes"),"Yes","No"))</f>
        <v/>
      </c>
      <c r="M495" s="16" t="n"/>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IF($D496="","",IF(AND($J496="Received",$K496&lt;&gt;"Yes"),"Yes","No"))</f>
        <v/>
      </c>
      <c r="M496" s="16" t="n"/>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IF($D497="","",IF(AND($J497="Received",$K497&lt;&gt;"Yes"),"Yes","No"))</f>
        <v/>
      </c>
      <c r="M497" s="16" t="n"/>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IF($D498="","",IF(AND($J498="Received",$K498&lt;&gt;"Yes"),"Yes","No"))</f>
        <v/>
      </c>
      <c r="M498" s="16" t="n"/>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IF($D499="","",IF(AND($J499="Received",$K499&lt;&gt;"Yes"),"Yes","No"))</f>
        <v/>
      </c>
      <c r="M499" s="16" t="n"/>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IF($D500="","",IF(AND($J500="Received",$K500&lt;&gt;"Yes"),"Yes","No"))</f>
        <v/>
      </c>
      <c r="M500" s="16" t="n"/>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IF($D501="","",IF(AND($J501="Received",$K501&lt;&gt;"Yes"),"Yes","No"))</f>
        <v/>
      </c>
      <c r="M501" s="16" t="n"/>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IF($D502="","",IF(AND($J502="Received",$K502&lt;&gt;"Yes"),"Yes","No"))</f>
        <v/>
      </c>
      <c r="M502" s="16" t="n"/>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IF($D503="","",IF(AND($J503="Received",$K503&lt;&gt;"Yes"),"Yes","No"))</f>
        <v/>
      </c>
      <c r="M503" s="16" t="n"/>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IF($D504="","",IF(AND($J504="Received",$K504&lt;&gt;"Yes"),"Yes","No"))</f>
        <v/>
      </c>
      <c r="M504" s="16" t="n"/>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IF($D505="","",IF(AND($J505="Received",$K505&lt;&gt;"Yes"),"Yes","No"))</f>
        <v/>
      </c>
      <c r="M505" s="16" t="n"/>
    </row>
  </sheetData>
  <autoFilter ref="B5:M5"/>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IF($C6="","",_xlfn.LET(_xlpm.latest,_xlfn.MAXIFS(nrSK_Att,nrSK_PID,$D6,nrSK_Cat,$E6),_xlpm.res,IF($I6=_xlpm.latest,$J6,""),IF($I6&lt;&gt;_xlpm.latest,"(superseded)",IF(_xlpm.res="","Pending",IF(_xlpm.res="Pass","Qualified",IF(AND(_xlpm.res="Fail",$N6&gt;=$F6),"FAILED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IF($C7="","",_xlfn.LET(_xlpm.latest,_xlfn.MAXIFS(nrSK_Att,nrSK_PID,$D7,nrSK_Cat,$E7),_xlpm.res,IF($I7=_xlpm.latest,$J7,""),IF($I7&lt;&gt;_xlpm.latest,"(superseded)",IF(_xlpm.res="","Pending",IF(_xlpm.res="Pass","Qualified",IF(AND(_xlpm.res="Fail",$N7&gt;=$F7),"FAILED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IF($C8="","",_xlfn.LET(_xlpm.latest,_xlfn.MAXIFS(nrSK_Att,nrSK_PID,$D8,nrSK_Cat,$E8),_xlpm.res,IF($I8=_xlpm.latest,$J8,""),IF($I8&lt;&gt;_xlpm.latest,"(superseded)",IF(_xlpm.res="","Pending",IF(_xlpm.res="Pass","Qualified",IF(AND(_xlpm.res="Fail",$N8&gt;=$F8),"FAILED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IF($C9="","",_xlfn.LET(_xlpm.latest,_xlfn.MAXIFS(nrSK_Att,nrSK_PID,$D9,nrSK_Cat,$E9),_xlpm.res,IF($I9=_xlpm.latest,$J9,""),IF($I9&lt;&gt;_xlpm.latest,"(superseded)",IF(_xlpm.res="","Pending",IF(_xlpm.res="Pass","Qualified",IF(AND(_xlpm.res="Fail",$N9&gt;=$F9),"FAILED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IF($C10="","",_xlfn.LET(_xlpm.latest,_xlfn.MAXIFS(nrSK_Att,nrSK_PID,$D10,nrSK_Cat,$E10),_xlpm.res,IF($I10=_xlpm.latest,$J10,""),IF($I10&lt;&gt;_xlpm.latest,"(superseded)",IF(_xlpm.res="","Pending",IF(_xlpm.res="Pass","Qualified",IF(AND(_xlpm.res="Fail",$N10&gt;=$F10),"FAILED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IF($C11="","",_xlfn.LET(_xlpm.latest,_xlfn.MAXIFS(nrSK_Att,nrSK_PID,$D11,nrSK_Cat,$E11),_xlpm.res,IF($I11=_xlpm.latest,$J11,""),IF($I11&lt;&gt;_xlpm.latest,"(superseded)",IF(_xlpm.res="","Pending",IF(_xlpm.res="Pass","Qualified",IF(AND(_xlpm.res="Fail",$N11&gt;=$F11),"FAILED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IF($C12="","",_xlfn.LET(_xlpm.latest,_xlfn.MAXIFS(nrSK_Att,nrSK_PID,$D12,nrSK_Cat,$E12),_xlpm.res,IF($I12=_xlpm.latest,$J12,""),IF($I12&lt;&gt;_xlpm.latest,"(superseded)",IF(_xlpm.res="","Pending",IF(_xlpm.res="Pass","Qualified",IF(AND(_xlpm.res="Fail",$N12&gt;=$F12),"FAILED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IF($C13="","",_xlfn.LET(_xlpm.latest,_xlfn.MAXIFS(nrSK_Att,nrSK_PID,$D13,nrSK_Cat,$E13),_xlpm.res,IF($I13=_xlpm.latest,$J13,""),IF($I13&lt;&gt;_xlpm.latest,"(superseded)",IF(_xlpm.res="","Pending",IF(_xlpm.res="Pass","Qualified",IF(AND(_xlpm.res="Fail",$N13&gt;=$F13),"FAILED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IF($C14="","",_xlfn.LET(_xlpm.latest,_xlfn.MAXIFS(nrSK_Att,nrSK_PID,$D14,nrSK_Cat,$E14),_xlpm.res,IF($I14=_xlpm.latest,$J14,""),IF($I14&lt;&gt;_xlpm.latest,"(superseded)",IF(_xlpm.res="","Pending",IF(_xlpm.res="Pass","Qualified",IF(AND(_xlpm.res="Fail",$N14&gt;=$F14),"FAILED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IF($C15="","",_xlfn.LET(_xlpm.latest,_xlfn.MAXIFS(nrSK_Att,nrSK_PID,$D15,nrSK_Cat,$E15),_xlpm.res,IF($I15=_xlpm.latest,$J15,""),IF($I15&lt;&gt;_xlpm.latest,"(superseded)",IF(_xlpm.res="","Pending",IF(_xlpm.res="Pass","Qualified",IF(AND(_xlpm.res="Fail",$N15&gt;=$F15),"FAILED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IF($C16="","",_xlfn.LET(_xlpm.latest,_xlfn.MAXIFS(nrSK_Att,nrSK_PID,$D16,nrSK_Cat,$E16),_xlpm.res,IF($I16=_xlpm.latest,$J16,""),IF($I16&lt;&gt;_xlpm.latest,"(superseded)",IF(_xlpm.res="","Pending",IF(_xlpm.res="Pass","Qualified",IF(AND(_xlpm.res="Fail",$N16&gt;=$F16),"FAILED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IF($C17="","",_xlfn.LET(_xlpm.latest,_xlfn.MAXIFS(nrSK_Att,nrSK_PID,$D17,nrSK_Cat,$E17),_xlpm.res,IF($I17=_xlpm.latest,$J17,""),IF($I17&lt;&gt;_xlpm.latest,"(superseded)",IF(_xlpm.res="","Pending",IF(_xlpm.res="Pass","Qualified",IF(AND(_xlpm.res="Fail",$N17&gt;=$F17),"FAILED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IF($C18="","",_xlfn.LET(_xlpm.latest,_xlfn.MAXIFS(nrSK_Att,nrSK_PID,$D18,nrSK_Cat,$E18),_xlpm.res,IF($I18=_xlpm.latest,$J18,""),IF($I18&lt;&gt;_xlpm.latest,"(superseded)",IF(_xlpm.res="","Pending",IF(_xlpm.res="Pass","Qualified",IF(AND(_xlpm.res="Fail",$N18&gt;=$F18),"FAILED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IF($C19="","",_xlfn.LET(_xlpm.latest,_xlfn.MAXIFS(nrSK_Att,nrSK_PID,$D19,nrSK_Cat,$E19),_xlpm.res,IF($I19=_xlpm.latest,$J19,""),IF($I19&lt;&gt;_xlpm.latest,"(superseded)",IF(_xlpm.res="","Pending",IF(_xlpm.res="Pass","Qualified",IF(AND(_xlpm.res="Fail",$N19&gt;=$F19),"FAILED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IF($C20="","",_xlfn.LET(_xlpm.latest,_xlfn.MAXIFS(nrSK_Att,nrSK_PID,$D20,nrSK_Cat,$E20),_xlpm.res,IF($I20=_xlpm.latest,$J20,""),IF($I20&lt;&gt;_xlpm.latest,"(superseded)",IF(_xlpm.res="","Pending",IF(_xlpm.res="Pass","Qualified",IF(AND(_xlpm.res="Fail",$N20&gt;=$F20),"FAILED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IF($C21="","",_xlfn.LET(_xlpm.latest,_xlfn.MAXIFS(nrSK_Att,nrSK_PID,$D21,nrSK_Cat,$E21),_xlpm.res,IF($I21=_xlpm.latest,$J21,""),IF($I21&lt;&gt;_xlpm.latest,"(superseded)",IF(_xlpm.res="","Pending",IF(_xlpm.res="Pass","Qualified",IF(AND(_xlpm.res="Fail",$N21&gt;=$F21),"FAILED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IF($C22="","",_xlfn.LET(_xlpm.latest,_xlfn.MAXIFS(nrSK_Att,nrSK_PID,$D22,nrSK_Cat,$E22),_xlpm.res,IF($I22=_xlpm.latest,$J22,""),IF($I22&lt;&gt;_xlpm.latest,"(superseded)",IF(_xlpm.res="","Pending",IF(_xlpm.res="Pass","Qualified",IF(AND(_xlpm.res="Fail",$N22&gt;=$F22),"FAILED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IF($C23="","",_xlfn.LET(_xlpm.latest,_xlfn.MAXIFS(nrSK_Att,nrSK_PID,$D23,nrSK_Cat,$E23),_xlpm.res,IF($I23=_xlpm.latest,$J23,""),IF($I23&lt;&gt;_xlpm.latest,"(superseded)",IF(_xlpm.res="","Pending",IF(_xlpm.res="Pass","Qualified",IF(AND(_xlpm.res="Fail",$N23&gt;=$F23),"FAILED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IF($C24="","",_xlfn.LET(_xlpm.latest,_xlfn.MAXIFS(nrSK_Att,nrSK_PID,$D24,nrSK_Cat,$E24),_xlpm.res,IF($I24=_xlpm.latest,$J24,""),IF($I24&lt;&gt;_xlpm.latest,"(superseded)",IF(_xlpm.res="","Pending",IF(_xlpm.res="Pass","Qualified",IF(AND(_xlpm.res="Fail",$N24&gt;=$F24),"FAILED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IF($C25="","",_xlfn.LET(_xlpm.latest,_xlfn.MAXIFS(nrSK_Att,nrSK_PID,$D25,nrSK_Cat,$E25),_xlpm.res,IF($I25=_xlpm.latest,$J25,""),IF($I25&lt;&gt;_xlpm.latest,"(superseded)",IF(_xlpm.res="","Pending",IF(_xlpm.res="Pass","Qualified",IF(AND(_xlpm.res="Fail",$N25&gt;=$F25),"FAILED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IF($C26="","",_xlfn.LET(_xlpm.latest,_xlfn.MAXIFS(nrSK_Att,nrSK_PID,$D26,nrSK_Cat,$E26),_xlpm.res,IF($I26=_xlpm.latest,$J26,""),IF($I26&lt;&gt;_xlpm.latest,"(superseded)",IF(_xlpm.res="","Pending",IF(_xlpm.res="Pass","Qualified",IF(AND(_xlpm.res="Fail",$N26&gt;=$F26),"FAILED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IF($C27="","",_xlfn.LET(_xlpm.latest,_xlfn.MAXIFS(nrSK_Att,nrSK_PID,$D27,nrSK_Cat,$E27),_xlpm.res,IF($I27=_xlpm.latest,$J27,""),IF($I27&lt;&gt;_xlpm.latest,"(superseded)",IF(_xlpm.res="","Pending",IF(_xlpm.res="Pass","Qualified",IF(AND(_xlpm.res="Fail",$N27&gt;=$F27),"FAILED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IF($C28="","",_xlfn.LET(_xlpm.latest,_xlfn.MAXIFS(nrSK_Att,nrSK_PID,$D28,nrSK_Cat,$E28),_xlpm.res,IF($I28=_xlpm.latest,$J28,""),IF($I28&lt;&gt;_xlpm.latest,"(superseded)",IF(_xlpm.res="","Pending",IF(_xlpm.res="Pass","Qualified",IF(AND(_xlpm.res="Fail",$N28&gt;=$F28),"FAILED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IF($C29="","",_xlfn.LET(_xlpm.latest,_xlfn.MAXIFS(nrSK_Att,nrSK_PID,$D29,nrSK_Cat,$E29),_xlpm.res,IF($I29=_xlpm.latest,$J29,""),IF($I29&lt;&gt;_xlpm.latest,"(superseded)",IF(_xlpm.res="","Pending",IF(_xlpm.res="Pass","Qualified",IF(AND(_xlpm.res="Fail",$N29&gt;=$F29),"FAILED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IF($C30="","",_xlfn.LET(_xlpm.latest,_xlfn.MAXIFS(nrSK_Att,nrSK_PID,$D30,nrSK_Cat,$E30),_xlpm.res,IF($I30=_xlpm.latest,$J30,""),IF($I30&lt;&gt;_xlpm.latest,"(superseded)",IF(_xlpm.res="","Pending",IF(_xlpm.res="Pass","Qualified",IF(AND(_xlpm.res="Fail",$N30&gt;=$F30),"FAILED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IF($C31="","",_xlfn.LET(_xlpm.latest,_xlfn.MAXIFS(nrSK_Att,nrSK_PID,$D31,nrSK_Cat,$E31),_xlpm.res,IF($I31=_xlpm.latest,$J31,""),IF($I31&lt;&gt;_xlpm.latest,"(superseded)",IF(_xlpm.res="","Pending",IF(_xlpm.res="Pass","Qualified",IF(AND(_xlpm.res="Fail",$N31&gt;=$F31),"FAILED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IF($C32="","",_xlfn.LET(_xlpm.latest,_xlfn.MAXIFS(nrSK_Att,nrSK_PID,$D32,nrSK_Cat,$E32),_xlpm.res,IF($I32=_xlpm.latest,$J32,""),IF($I32&lt;&gt;_xlpm.latest,"(superseded)",IF(_xlpm.res="","Pending",IF(_xlpm.res="Pass","Qualified",IF(AND(_xlpm.res="Fail",$N32&gt;=$F32),"FAILED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IF($C33="","",_xlfn.LET(_xlpm.latest,_xlfn.MAXIFS(nrSK_Att,nrSK_PID,$D33,nrSK_Cat,$E33),_xlpm.res,IF($I33=_xlpm.latest,$J33,""),IF($I33&lt;&gt;_xlpm.latest,"(superseded)",IF(_xlpm.res="","Pending",IF(_xlpm.res="Pass","Qualified",IF(AND(_xlpm.res="Fail",$N33&gt;=$F33),"FAILED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IF($C34="","",_xlfn.LET(_xlpm.latest,_xlfn.MAXIFS(nrSK_Att,nrSK_PID,$D34,nrSK_Cat,$E34),_xlpm.res,IF($I34=_xlpm.latest,$J34,""),IF($I34&lt;&gt;_xlpm.latest,"(superseded)",IF(_xlpm.res="","Pending",IF(_xlpm.res="Pass","Qualified",IF(AND(_xlpm.res="Fail",$N34&gt;=$F34),"FAILED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IF($C35="","",_xlfn.LET(_xlpm.latest,_xlfn.MAXIFS(nrSK_Att,nrSK_PID,$D35,nrSK_Cat,$E35),_xlpm.res,IF($I35=_xlpm.latest,$J35,""),IF($I35&lt;&gt;_xlpm.latest,"(superseded)",IF(_xlpm.res="","Pending",IF(_xlpm.res="Pass","Qualified",IF(AND(_xlpm.res="Fail",$N35&gt;=$F35),"FAILED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IF($C36="","",_xlfn.LET(_xlpm.latest,_xlfn.MAXIFS(nrSK_Att,nrSK_PID,$D36,nrSK_Cat,$E36),_xlpm.res,IF($I36=_xlpm.latest,$J36,""),IF($I36&lt;&gt;_xlpm.latest,"(superseded)",IF(_xlpm.res="","Pending",IF(_xlpm.res="Pass","Qualified",IF(AND(_xlpm.res="Fail",$N36&gt;=$F36),"FAILED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IF($C37="","",_xlfn.LET(_xlpm.latest,_xlfn.MAXIFS(nrSK_Att,nrSK_PID,$D37,nrSK_Cat,$E37),_xlpm.res,IF($I37=_xlpm.latest,$J37,""),IF($I37&lt;&gt;_xlpm.latest,"(superseded)",IF(_xlpm.res="","Pending",IF(_xlpm.res="Pass","Qualified",IF(AND(_xlpm.res="Fail",$N37&gt;=$F37),"FAILED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IF($C38="","",_xlfn.LET(_xlpm.latest,_xlfn.MAXIFS(nrSK_Att,nrSK_PID,$D38,nrSK_Cat,$E38),_xlpm.res,IF($I38=_xlpm.latest,$J38,""),IF($I38&lt;&gt;_xlpm.latest,"(superseded)",IF(_xlpm.res="","Pending",IF(_xlpm.res="Pass","Qualified",IF(AND(_xlpm.res="Fail",$N38&gt;=$F38),"FAILED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IF($C39="","",_xlfn.LET(_xlpm.latest,_xlfn.MAXIFS(nrSK_Att,nrSK_PID,$D39,nrSK_Cat,$E39),_xlpm.res,IF($I39=_xlpm.latest,$J39,""),IF($I39&lt;&gt;_xlpm.latest,"(superseded)",IF(_xlpm.res="","Pending",IF(_xlpm.res="Pass","Qualified",IF(AND(_xlpm.res="Fail",$N39&gt;=$F39),"FAILED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IF($C40="","",_xlfn.LET(_xlpm.latest,_xlfn.MAXIFS(nrSK_Att,nrSK_PID,$D40,nrSK_Cat,$E40),_xlpm.res,IF($I40=_xlpm.latest,$J40,""),IF($I40&lt;&gt;_xlpm.latest,"(superseded)",IF(_xlpm.res="","Pending",IF(_xlpm.res="Pass","Qualified",IF(AND(_xlpm.res="Fail",$N40&gt;=$F40),"FAILED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IF($C41="","",_xlfn.LET(_xlpm.latest,_xlfn.MAXIFS(nrSK_Att,nrSK_PID,$D41,nrSK_Cat,$E41),_xlpm.res,IF($I41=_xlpm.latest,$J41,""),IF($I41&lt;&gt;_xlpm.latest,"(superseded)",IF(_xlpm.res="","Pending",IF(_xlpm.res="Pass","Qualified",IF(AND(_xlpm.res="Fail",$N41&gt;=$F41),"FAILED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IF($C42="","",_xlfn.LET(_xlpm.latest,_xlfn.MAXIFS(nrSK_Att,nrSK_PID,$D42,nrSK_Cat,$E42),_xlpm.res,IF($I42=_xlpm.latest,$J42,""),IF($I42&lt;&gt;_xlpm.latest,"(superseded)",IF(_xlpm.res="","Pending",IF(_xlpm.res="Pass","Qualified",IF(AND(_xlpm.res="Fail",$N42&gt;=$F42),"FAILED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IF($C43="","",_xlfn.LET(_xlpm.latest,_xlfn.MAXIFS(nrSK_Att,nrSK_PID,$D43,nrSK_Cat,$E43),_xlpm.res,IF($I43=_xlpm.latest,$J43,""),IF($I43&lt;&gt;_xlpm.latest,"(superseded)",IF(_xlpm.res="","Pending",IF(_xlpm.res="Pass","Qualified",IF(AND(_xlpm.res="Fail",$N43&gt;=$F43),"FAILED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IF($C44="","",_xlfn.LET(_xlpm.latest,_xlfn.MAXIFS(nrSK_Att,nrSK_PID,$D44,nrSK_Cat,$E44),_xlpm.res,IF($I44=_xlpm.latest,$J44,""),IF($I44&lt;&gt;_xlpm.latest,"(superseded)",IF(_xlpm.res="","Pending",IF(_xlpm.res="Pass","Qualified",IF(AND(_xlpm.res="Fail",$N44&gt;=$F44),"FAILED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IF($C45="","",_xlfn.LET(_xlpm.latest,_xlfn.MAXIFS(nrSK_Att,nrSK_PID,$D45,nrSK_Cat,$E45),_xlpm.res,IF($I45=_xlpm.latest,$J45,""),IF($I45&lt;&gt;_xlpm.latest,"(superseded)",IF(_xlpm.res="","Pending",IF(_xlpm.res="Pass","Qualified",IF(AND(_xlpm.res="Fail",$N45&gt;=$F45),"FAILED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IF($C46="","",_xlfn.LET(_xlpm.latest,_xlfn.MAXIFS(nrSK_Att,nrSK_PID,$D46,nrSK_Cat,$E46),_xlpm.res,IF($I46=_xlpm.latest,$J46,""),IF($I46&lt;&gt;_xlpm.latest,"(superseded)",IF(_xlpm.res="","Pending",IF(_xlpm.res="Pass","Qualified",IF(AND(_xlpm.res="Fail",$N46&gt;=$F46),"FAILED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IF($C47="","",_xlfn.LET(_xlpm.latest,_xlfn.MAXIFS(nrSK_Att,nrSK_PID,$D47,nrSK_Cat,$E47),_xlpm.res,IF($I47=_xlpm.latest,$J47,""),IF($I47&lt;&gt;_xlpm.latest,"(superseded)",IF(_xlpm.res="","Pending",IF(_xlpm.res="Pass","Qualified",IF(AND(_xlpm.res="Fail",$N47&gt;=$F47),"FAILED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IF($C48="","",_xlfn.LET(_xlpm.latest,_xlfn.MAXIFS(nrSK_Att,nrSK_PID,$D48,nrSK_Cat,$E48),_xlpm.res,IF($I48=_xlpm.latest,$J48,""),IF($I48&lt;&gt;_xlpm.latest,"(superseded)",IF(_xlpm.res="","Pending",IF(_xlpm.res="Pass","Qualified",IF(AND(_xlpm.res="Fail",$N48&gt;=$F48),"FAILED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IF($C49="","",_xlfn.LET(_xlpm.latest,_xlfn.MAXIFS(nrSK_Att,nrSK_PID,$D49,nrSK_Cat,$E49),_xlpm.res,IF($I49=_xlpm.latest,$J49,""),IF($I49&lt;&gt;_xlpm.latest,"(superseded)",IF(_xlpm.res="","Pending",IF(_xlpm.res="Pass","Qualified",IF(AND(_xlpm.res="Fail",$N49&gt;=$F49),"FAILED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IF($C50="","",_xlfn.LET(_xlpm.latest,_xlfn.MAXIFS(nrSK_Att,nrSK_PID,$D50,nrSK_Cat,$E50),_xlpm.res,IF($I50=_xlpm.latest,$J50,""),IF($I50&lt;&gt;_xlpm.latest,"(superseded)",IF(_xlpm.res="","Pending",IF(_xlpm.res="Pass","Qualified",IF(AND(_xlpm.res="Fail",$N50&gt;=$F50),"FAILED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IF($C51="","",_xlfn.LET(_xlpm.latest,_xlfn.MAXIFS(nrSK_Att,nrSK_PID,$D51,nrSK_Cat,$E51),_xlpm.res,IF($I51=_xlpm.latest,$J51,""),IF($I51&lt;&gt;_xlpm.latest,"(superseded)",IF(_xlpm.res="","Pending",IF(_xlpm.res="Pass","Qualified",IF(AND(_xlpm.res="Fail",$N51&gt;=$F51),"FAILED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IF($C52="","",_xlfn.LET(_xlpm.latest,_xlfn.MAXIFS(nrSK_Att,nrSK_PID,$D52,nrSK_Cat,$E52),_xlpm.res,IF($I52=_xlpm.latest,$J52,""),IF($I52&lt;&gt;_xlpm.latest,"(superseded)",IF(_xlpm.res="","Pending",IF(_xlpm.res="Pass","Qualified",IF(AND(_xlpm.res="Fail",$N52&gt;=$F52),"FAILED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IF($C53="","",_xlfn.LET(_xlpm.latest,_xlfn.MAXIFS(nrSK_Att,nrSK_PID,$D53,nrSK_Cat,$E53),_xlpm.res,IF($I53=_xlpm.latest,$J53,""),IF($I53&lt;&gt;_xlpm.latest,"(superseded)",IF(_xlpm.res="","Pending",IF(_xlpm.res="Pass","Qualified",IF(AND(_xlpm.res="Fail",$N53&gt;=$F53),"FAILED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IF($C54="","",_xlfn.LET(_xlpm.latest,_xlfn.MAXIFS(nrSK_Att,nrSK_PID,$D54,nrSK_Cat,$E54),_xlpm.res,IF($I54=_xlpm.latest,$J54,""),IF($I54&lt;&gt;_xlpm.latest,"(superseded)",IF(_xlpm.res="","Pending",IF(_xlpm.res="Pass","Qualified",IF(AND(_xlpm.res="Fail",$N54&gt;=$F54),"FAILED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IF($C55="","",_xlfn.LET(_xlpm.latest,_xlfn.MAXIFS(nrSK_Att,nrSK_PID,$D55,nrSK_Cat,$E55),_xlpm.res,IF($I55=_xlpm.latest,$J55,""),IF($I55&lt;&gt;_xlpm.latest,"(superseded)",IF(_xlpm.res="","Pending",IF(_xlpm.res="Pass","Qualified",IF(AND(_xlpm.res="Fail",$N55&gt;=$F55),"FAILED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IF($C56="","",_xlfn.LET(_xlpm.latest,_xlfn.MAXIFS(nrSK_Att,nrSK_PID,$D56,nrSK_Cat,$E56),_xlpm.res,IF($I56=_xlpm.latest,$J56,""),IF($I56&lt;&gt;_xlpm.latest,"(superseded)",IF(_xlpm.res="","Pending",IF(_xlpm.res="Pass","Qualified",IF(AND(_xlpm.res="Fail",$N56&gt;=$F56),"FAILED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IF($C57="","",_xlfn.LET(_xlpm.latest,_xlfn.MAXIFS(nrSK_Att,nrSK_PID,$D57,nrSK_Cat,$E57),_xlpm.res,IF($I57=_xlpm.latest,$J57,""),IF($I57&lt;&gt;_xlpm.latest,"(superseded)",IF(_xlpm.res="","Pending",IF(_xlpm.res="Pass","Qualified",IF(AND(_xlpm.res="Fail",$N57&gt;=$F57),"FAILED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IF($C58="","",_xlfn.LET(_xlpm.latest,_xlfn.MAXIFS(nrSK_Att,nrSK_PID,$D58,nrSK_Cat,$E58),_xlpm.res,IF($I58=_xlpm.latest,$J58,""),IF($I58&lt;&gt;_xlpm.latest,"(superseded)",IF(_xlpm.res="","Pending",IF(_xlpm.res="Pass","Qualified",IF(AND(_xlpm.res="Fail",$N58&gt;=$F58),"FAILED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IF($C59="","",_xlfn.LET(_xlpm.latest,_xlfn.MAXIFS(nrSK_Att,nrSK_PID,$D59,nrSK_Cat,$E59),_xlpm.res,IF($I59=_xlpm.latest,$J59,""),IF($I59&lt;&gt;_xlpm.latest,"(superseded)",IF(_xlpm.res="","Pending",IF(_xlpm.res="Pass","Qualified",IF(AND(_xlpm.res="Fail",$N59&gt;=$F59),"FAILED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IF($C60="","",_xlfn.LET(_xlpm.latest,_xlfn.MAXIFS(nrSK_Att,nrSK_PID,$D60,nrSK_Cat,$E60),_xlpm.res,IF($I60=_xlpm.latest,$J60,""),IF($I60&lt;&gt;_xlpm.latest,"(superseded)",IF(_xlpm.res="","Pending",IF(_xlpm.res="Pass","Qualified",IF(AND(_xlpm.res="Fail",$N60&gt;=$F60),"FAILED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IF($C61="","",_xlfn.LET(_xlpm.latest,_xlfn.MAXIFS(nrSK_Att,nrSK_PID,$D61,nrSK_Cat,$E61),_xlpm.res,IF($I61=_xlpm.latest,$J61,""),IF($I61&lt;&gt;_xlpm.latest,"(superseded)",IF(_xlpm.res="","Pending",IF(_xlpm.res="Pass","Qualified",IF(AND(_xlpm.res="Fail",$N61&gt;=$F61),"FAILED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IF($C62="","",_xlfn.LET(_xlpm.latest,_xlfn.MAXIFS(nrSK_Att,nrSK_PID,$D62,nrSK_Cat,$E62),_xlpm.res,IF($I62=_xlpm.latest,$J62,""),IF($I62&lt;&gt;_xlpm.latest,"(superseded)",IF(_xlpm.res="","Pending",IF(_xlpm.res="Pass","Qualified",IF(AND(_xlpm.res="Fail",$N62&gt;=$F62),"FAILED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IF($C63="","",_xlfn.LET(_xlpm.latest,_xlfn.MAXIFS(nrSK_Att,nrSK_PID,$D63,nrSK_Cat,$E63),_xlpm.res,IF($I63=_xlpm.latest,$J63,""),IF($I63&lt;&gt;_xlpm.latest,"(superseded)",IF(_xlpm.res="","Pending",IF(_xlpm.res="Pass","Qualified",IF(AND(_xlpm.res="Fail",$N63&gt;=$F63),"FAILED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IF($C64="","",_xlfn.LET(_xlpm.latest,_xlfn.MAXIFS(nrSK_Att,nrSK_PID,$D64,nrSK_Cat,$E64),_xlpm.res,IF($I64=_xlpm.latest,$J64,""),IF($I64&lt;&gt;_xlpm.latest,"(superseded)",IF(_xlpm.res="","Pending",IF(_xlpm.res="Pass","Qualified",IF(AND(_xlpm.res="Fail",$N64&gt;=$F64),"FAILED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IF($C65="","",_xlfn.LET(_xlpm.latest,_xlfn.MAXIFS(nrSK_Att,nrSK_PID,$D65,nrSK_Cat,$E65),_xlpm.res,IF($I65=_xlpm.latest,$J65,""),IF($I65&lt;&gt;_xlpm.latest,"(superseded)",IF(_xlpm.res="","Pending",IF(_xlpm.res="Pass","Qualified",IF(AND(_xlpm.res="Fail",$N65&gt;=$F65),"FAILED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IF($C66="","",_xlfn.LET(_xlpm.latest,_xlfn.MAXIFS(nrSK_Att,nrSK_PID,$D66,nrSK_Cat,$E66),_xlpm.res,IF($I66=_xlpm.latest,$J66,""),IF($I66&lt;&gt;_xlpm.latest,"(superseded)",IF(_xlpm.res="","Pending",IF(_xlpm.res="Pass","Qualified",IF(AND(_xlpm.res="Fail",$N66&gt;=$F66),"FAILED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IF($C67="","",_xlfn.LET(_xlpm.latest,_xlfn.MAXIFS(nrSK_Att,nrSK_PID,$D67,nrSK_Cat,$E67),_xlpm.res,IF($I67=_xlpm.latest,$J67,""),IF($I67&lt;&gt;_xlpm.latest,"(superseded)",IF(_xlpm.res="","Pending",IF(_xlpm.res="Pass","Qualified",IF(AND(_xlpm.res="Fail",$N67&gt;=$F67),"FAILED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IF($C68="","",_xlfn.LET(_xlpm.latest,_xlfn.MAXIFS(nrSK_Att,nrSK_PID,$D68,nrSK_Cat,$E68),_xlpm.res,IF($I68=_xlpm.latest,$J68,""),IF($I68&lt;&gt;_xlpm.latest,"(superseded)",IF(_xlpm.res="","Pending",IF(_xlpm.res="Pass","Qualified",IF(AND(_xlpm.res="Fail",$N68&gt;=$F68),"FAILED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IF($C69="","",_xlfn.LET(_xlpm.latest,_xlfn.MAXIFS(nrSK_Att,nrSK_PID,$D69,nrSK_Cat,$E69),_xlpm.res,IF($I69=_xlpm.latest,$J69,""),IF($I69&lt;&gt;_xlpm.latest,"(superseded)",IF(_xlpm.res="","Pending",IF(_xlpm.res="Pass","Qualified",IF(AND(_xlpm.res="Fail",$N69&gt;=$F69),"FAILED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IF($C70="","",_xlfn.LET(_xlpm.latest,_xlfn.MAXIFS(nrSK_Att,nrSK_PID,$D70,nrSK_Cat,$E70),_xlpm.res,IF($I70=_xlpm.latest,$J70,""),IF($I70&lt;&gt;_xlpm.latest,"(superseded)",IF(_xlpm.res="","Pending",IF(_xlpm.res="Pass","Qualified",IF(AND(_xlpm.res="Fail",$N70&gt;=$F70),"FAILED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IF($C71="","",_xlfn.LET(_xlpm.latest,_xlfn.MAXIFS(nrSK_Att,nrSK_PID,$D71,nrSK_Cat,$E71),_xlpm.res,IF($I71=_xlpm.latest,$J71,""),IF($I71&lt;&gt;_xlpm.latest,"(superseded)",IF(_xlpm.res="","Pending",IF(_xlpm.res="Pass","Qualified",IF(AND(_xlpm.res="Fail",$N71&gt;=$F71),"FAILED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IF($C72="","",_xlfn.LET(_xlpm.latest,_xlfn.MAXIFS(nrSK_Att,nrSK_PID,$D72,nrSK_Cat,$E72),_xlpm.res,IF($I72=_xlpm.latest,$J72,""),IF($I72&lt;&gt;_xlpm.latest,"(superseded)",IF(_xlpm.res="","Pending",IF(_xlpm.res="Pass","Qualified",IF(AND(_xlpm.res="Fail",$N72&gt;=$F72),"FAILED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IF($C73="","",_xlfn.LET(_xlpm.latest,_xlfn.MAXIFS(nrSK_Att,nrSK_PID,$D73,nrSK_Cat,$E73),_xlpm.res,IF($I73=_xlpm.latest,$J73,""),IF($I73&lt;&gt;_xlpm.latest,"(superseded)",IF(_xlpm.res="","Pending",IF(_xlpm.res="Pass","Qualified",IF(AND(_xlpm.res="Fail",$N73&gt;=$F73),"FAILED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IF($C74="","",_xlfn.LET(_xlpm.latest,_xlfn.MAXIFS(nrSK_Att,nrSK_PID,$D74,nrSK_Cat,$E74),_xlpm.res,IF($I74=_xlpm.latest,$J74,""),IF($I74&lt;&gt;_xlpm.latest,"(superseded)",IF(_xlpm.res="","Pending",IF(_xlpm.res="Pass","Qualified",IF(AND(_xlpm.res="Fail",$N74&gt;=$F74),"FAILED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IF($C75="","",_xlfn.LET(_xlpm.latest,_xlfn.MAXIFS(nrSK_Att,nrSK_PID,$D75,nrSK_Cat,$E75),_xlpm.res,IF($I75=_xlpm.latest,$J75,""),IF($I75&lt;&gt;_xlpm.latest,"(superseded)",IF(_xlpm.res="","Pending",IF(_xlpm.res="Pass","Qualified",IF(AND(_xlpm.res="Fail",$N75&gt;=$F75),"FAILED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IF($C76="","",_xlfn.LET(_xlpm.latest,_xlfn.MAXIFS(nrSK_Att,nrSK_PID,$D76,nrSK_Cat,$E76),_xlpm.res,IF($I76=_xlpm.latest,$J76,""),IF($I76&lt;&gt;_xlpm.latest,"(superseded)",IF(_xlpm.res="","Pending",IF(_xlpm.res="Pass","Qualified",IF(AND(_xlpm.res="Fail",$N76&gt;=$F76),"FAILED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IF($C77="","",_xlfn.LET(_xlpm.latest,_xlfn.MAXIFS(nrSK_Att,nrSK_PID,$D77,nrSK_Cat,$E77),_xlpm.res,IF($I77=_xlpm.latest,$J77,""),IF($I77&lt;&gt;_xlpm.latest,"(superseded)",IF(_xlpm.res="","Pending",IF(_xlpm.res="Pass","Qualified",IF(AND(_xlpm.res="Fail",$N77&gt;=$F77),"FAILED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IF($C78="","",_xlfn.LET(_xlpm.latest,_xlfn.MAXIFS(nrSK_Att,nrSK_PID,$D78,nrSK_Cat,$E78),_xlpm.res,IF($I78=_xlpm.latest,$J78,""),IF($I78&lt;&gt;_xlpm.latest,"(superseded)",IF(_xlpm.res="","Pending",IF(_xlpm.res="Pass","Qualified",IF(AND(_xlpm.res="Fail",$N78&gt;=$F78),"FAILED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IF($C79="","",_xlfn.LET(_xlpm.latest,_xlfn.MAXIFS(nrSK_Att,nrSK_PID,$D79,nrSK_Cat,$E79),_xlpm.res,IF($I79=_xlpm.latest,$J79,""),IF($I79&lt;&gt;_xlpm.latest,"(superseded)",IF(_xlpm.res="","Pending",IF(_xlpm.res="Pass","Qualified",IF(AND(_xlpm.res="Fail",$N79&gt;=$F79),"FAILED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IF($C80="","",_xlfn.LET(_xlpm.latest,_xlfn.MAXIFS(nrSK_Att,nrSK_PID,$D80,nrSK_Cat,$E80),_xlpm.res,IF($I80=_xlpm.latest,$J80,""),IF($I80&lt;&gt;_xlpm.latest,"(superseded)",IF(_xlpm.res="","Pending",IF(_xlpm.res="Pass","Qualified",IF(AND(_xlpm.res="Fail",$N80&gt;=$F80),"FAILED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IF($C81="","",_xlfn.LET(_xlpm.latest,_xlfn.MAXIFS(nrSK_Att,nrSK_PID,$D81,nrSK_Cat,$E81),_xlpm.res,IF($I81=_xlpm.latest,$J81,""),IF($I81&lt;&gt;_xlpm.latest,"(superseded)",IF(_xlpm.res="","Pending",IF(_xlpm.res="Pass","Qualified",IF(AND(_xlpm.res="Fail",$N81&gt;=$F81),"FAILED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IF($C82="","",_xlfn.LET(_xlpm.latest,_xlfn.MAXIFS(nrSK_Att,nrSK_PID,$D82,nrSK_Cat,$E82),_xlpm.res,IF($I82=_xlpm.latest,$J82,""),IF($I82&lt;&gt;_xlpm.latest,"(superseded)",IF(_xlpm.res="","Pending",IF(_xlpm.res="Pass","Qualified",IF(AND(_xlpm.res="Fail",$N82&gt;=$F82),"FAILED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IF($C83="","",_xlfn.LET(_xlpm.latest,_xlfn.MAXIFS(nrSK_Att,nrSK_PID,$D83,nrSK_Cat,$E83),_xlpm.res,IF($I83=_xlpm.latest,$J83,""),IF($I83&lt;&gt;_xlpm.latest,"(superseded)",IF(_xlpm.res="","Pending",IF(_xlpm.res="Pass","Qualified",IF(AND(_xlpm.res="Fail",$N83&gt;=$F83),"FAILED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IF($C84="","",_xlfn.LET(_xlpm.latest,_xlfn.MAXIFS(nrSK_Att,nrSK_PID,$D84,nrSK_Cat,$E84),_xlpm.res,IF($I84=_xlpm.latest,$J84,""),IF($I84&lt;&gt;_xlpm.latest,"(superseded)",IF(_xlpm.res="","Pending",IF(_xlpm.res="Pass","Qualified",IF(AND(_xlpm.res="Fail",$N84&gt;=$F84),"FAILED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IF($C85="","",_xlfn.LET(_xlpm.latest,_xlfn.MAXIFS(nrSK_Att,nrSK_PID,$D85,nrSK_Cat,$E85),_xlpm.res,IF($I85=_xlpm.latest,$J85,""),IF($I85&lt;&gt;_xlpm.latest,"(superseded)",IF(_xlpm.res="","Pending",IF(_xlpm.res="Pass","Qualified",IF(AND(_xlpm.res="Fail",$N85&gt;=$F85),"FAILED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IF($C86="","",_xlfn.LET(_xlpm.latest,_xlfn.MAXIFS(nrSK_Att,nrSK_PID,$D86,nrSK_Cat,$E86),_xlpm.res,IF($I86=_xlpm.latest,$J86,""),IF($I86&lt;&gt;_xlpm.latest,"(superseded)",IF(_xlpm.res="","Pending",IF(_xlpm.res="Pass","Qualified",IF(AND(_xlpm.res="Fail",$N86&gt;=$F86),"FAILED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IF($C87="","",_xlfn.LET(_xlpm.latest,_xlfn.MAXIFS(nrSK_Att,nrSK_PID,$D87,nrSK_Cat,$E87),_xlpm.res,IF($I87=_xlpm.latest,$J87,""),IF($I87&lt;&gt;_xlpm.latest,"(superseded)",IF(_xlpm.res="","Pending",IF(_xlpm.res="Pass","Qualified",IF(AND(_xlpm.res="Fail",$N87&gt;=$F87),"FAILED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IF($C88="","",_xlfn.LET(_xlpm.latest,_xlfn.MAXIFS(nrSK_Att,nrSK_PID,$D88,nrSK_Cat,$E88),_xlpm.res,IF($I88=_xlpm.latest,$J88,""),IF($I88&lt;&gt;_xlpm.latest,"(superseded)",IF(_xlpm.res="","Pending",IF(_xlpm.res="Pass","Qualified",IF(AND(_xlpm.res="Fail",$N88&gt;=$F88),"FAILED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IF($C89="","",_xlfn.LET(_xlpm.latest,_xlfn.MAXIFS(nrSK_Att,nrSK_PID,$D89,nrSK_Cat,$E89),_xlpm.res,IF($I89=_xlpm.latest,$J89,""),IF($I89&lt;&gt;_xlpm.latest,"(superseded)",IF(_xlpm.res="","Pending",IF(_xlpm.res="Pass","Qualified",IF(AND(_xlpm.res="Fail",$N89&gt;=$F89),"FAILED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IF($C90="","",_xlfn.LET(_xlpm.latest,_xlfn.MAXIFS(nrSK_Att,nrSK_PID,$D90,nrSK_Cat,$E90),_xlpm.res,IF($I90=_xlpm.latest,$J90,""),IF($I90&lt;&gt;_xlpm.latest,"(superseded)",IF(_xlpm.res="","Pending",IF(_xlpm.res="Pass","Qualified",IF(AND(_xlpm.res="Fail",$N90&gt;=$F90),"FAILED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IF($C91="","",_xlfn.LET(_xlpm.latest,_xlfn.MAXIFS(nrSK_Att,nrSK_PID,$D91,nrSK_Cat,$E91),_xlpm.res,IF($I91=_xlpm.latest,$J91,""),IF($I91&lt;&gt;_xlpm.latest,"(superseded)",IF(_xlpm.res="","Pending",IF(_xlpm.res="Pass","Qualified",IF(AND(_xlpm.res="Fail",$N91&gt;=$F91),"FAILED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IF($C92="","",_xlfn.LET(_xlpm.latest,_xlfn.MAXIFS(nrSK_Att,nrSK_PID,$D92,nrSK_Cat,$E92),_xlpm.res,IF($I92=_xlpm.latest,$J92,""),IF($I92&lt;&gt;_xlpm.latest,"(superseded)",IF(_xlpm.res="","Pending",IF(_xlpm.res="Pass","Qualified",IF(AND(_xlpm.res="Fail",$N92&gt;=$F92),"FAILED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IF($C93="","",_xlfn.LET(_xlpm.latest,_xlfn.MAXIFS(nrSK_Att,nrSK_PID,$D93,nrSK_Cat,$E93),_xlpm.res,IF($I93=_xlpm.latest,$J93,""),IF($I93&lt;&gt;_xlpm.latest,"(superseded)",IF(_xlpm.res="","Pending",IF(_xlpm.res="Pass","Qualified",IF(AND(_xlpm.res="Fail",$N93&gt;=$F93),"FAILED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IF($C94="","",_xlfn.LET(_xlpm.latest,_xlfn.MAXIFS(nrSK_Att,nrSK_PID,$D94,nrSK_Cat,$E94),_xlpm.res,IF($I94=_xlpm.latest,$J94,""),IF($I94&lt;&gt;_xlpm.latest,"(superseded)",IF(_xlpm.res="","Pending",IF(_xlpm.res="Pass","Qualified",IF(AND(_xlpm.res="Fail",$N94&gt;=$F94),"FAILED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IF($C95="","",_xlfn.LET(_xlpm.latest,_xlfn.MAXIFS(nrSK_Att,nrSK_PID,$D95,nrSK_Cat,$E95),_xlpm.res,IF($I95=_xlpm.latest,$J95,""),IF($I95&lt;&gt;_xlpm.latest,"(superseded)",IF(_xlpm.res="","Pending",IF(_xlpm.res="Pass","Qualified",IF(AND(_xlpm.res="Fail",$N95&gt;=$F95),"FAILED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IF($C96="","",_xlfn.LET(_xlpm.latest,_xlfn.MAXIFS(nrSK_Att,nrSK_PID,$D96,nrSK_Cat,$E96),_xlpm.res,IF($I96=_xlpm.latest,$J96,""),IF($I96&lt;&gt;_xlpm.latest,"(superseded)",IF(_xlpm.res="","Pending",IF(_xlpm.res="Pass","Qualified",IF(AND(_xlpm.res="Fail",$N96&gt;=$F96),"FAILED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IF($C97="","",_xlfn.LET(_xlpm.latest,_xlfn.MAXIFS(nrSK_Att,nrSK_PID,$D97,nrSK_Cat,$E97),_xlpm.res,IF($I97=_xlpm.latest,$J97,""),IF($I97&lt;&gt;_xlpm.latest,"(superseded)",IF(_xlpm.res="","Pending",IF(_xlpm.res="Pass","Qualified",IF(AND(_xlpm.res="Fail",$N97&gt;=$F97),"FAILED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IF($C98="","",_xlfn.LET(_xlpm.latest,_xlfn.MAXIFS(nrSK_Att,nrSK_PID,$D98,nrSK_Cat,$E98),_xlpm.res,IF($I98=_xlpm.latest,$J98,""),IF($I98&lt;&gt;_xlpm.latest,"(superseded)",IF(_xlpm.res="","Pending",IF(_xlpm.res="Pass","Qualified",IF(AND(_xlpm.res="Fail",$N98&gt;=$F98),"FAILED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IF($C99="","",_xlfn.LET(_xlpm.latest,_xlfn.MAXIFS(nrSK_Att,nrSK_PID,$D99,nrSK_Cat,$E99),_xlpm.res,IF($I99=_xlpm.latest,$J99,""),IF($I99&lt;&gt;_xlpm.latest,"(superseded)",IF(_xlpm.res="","Pending",IF(_xlpm.res="Pass","Qualified",IF(AND(_xlpm.res="Fail",$N99&gt;=$F99),"FAILED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_xlpm.res="","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_xlpm.res="","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_xlpm.res="","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_xlpm.res="","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_xlpm.res="","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_xlpm.res="","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_xlpm.res="","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_xlpm.res="","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_xlpm.res="","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_xlpm.res="","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_xlpm.res="","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_xlpm.res="","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_xlpm.res="","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_xlpm.res="","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_xlpm.res="","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_xlpm.res="","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_xlpm.res="","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_xlpm.res="","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_xlpm.res="","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_xlpm.res="","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_xlpm.res="","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_xlpm.res="","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_xlpm.res="","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_xlpm.res="","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_xlpm.res="","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_xlpm.res="","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_xlpm.res="","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_xlpm.res="","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_xlpm.res="","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_xlpm.res="","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_xlpm.res="","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_xlpm.res="","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_xlpm.res="","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_xlpm.res="","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_xlpm.res="","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_xlpm.res="","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_xlpm.res="","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_xlpm.res="","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_xlpm.res="","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_xlpm.res="","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_xlpm.res="","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_xlpm.res="","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_xlpm.res="","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_xlpm.res="","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_xlpm.res="","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_xlpm.res="","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_xlpm.res="","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_xlpm.res="","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_xlpm.res="","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_xlpm.res="","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_xlpm.res="","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_xlpm.res="","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_xlpm.res="","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_xlpm.res="","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_xlpm.res="","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_xlpm.res="","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_xlpm.res="","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_xlpm.res="","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_xlpm.res="","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_xlpm.res="","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_xlpm.res="","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_xlpm.res="","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_xlpm.res="","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_xlpm.res="","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_xlpm.res="","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_xlpm.res="","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_xlpm.res="","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_xlpm.res="","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_xlpm.res="","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_xlpm.res="","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_xlpm.res="","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_xlpm.res="","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_xlpm.res="","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_xlpm.res="","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_xlpm.res="","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_xlpm.res="","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_xlpm.res="","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_xlpm.res="","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_xlpm.res="","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_xlpm.res="","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_xlpm.res="","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_xlpm.res="","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_xlpm.res="","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_xlpm.res="","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_xlpm.res="","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_xlpm.res="","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_xlpm.res="","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_xlpm.res="","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_xlpm.res="","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_xlpm.res="","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_xlpm.res="","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_xlpm.res="","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_xlpm.res="","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_xlpm.res="","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_xlpm.res="","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_xlpm.res="","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_xlpm.res="","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_xlpm.res="","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_xlpm.res="","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_xlpm.res="","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_xlpm.res="","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_xlpm.res="","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_xlpm.res="","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_xlpm.res="","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_xlpm.res="","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_xlpm.res="","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_xlpm.res="","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_xlpm.res="","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_xlpm.res="","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_xlpm.res="","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_xlpm.res="","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_xlpm.res="","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_xlpm.res="","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_xlpm.res="","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_xlpm.res="","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_xlpm.res="","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_xlpm.res="","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_xlpm.res="","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_xlpm.res="","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_xlpm.res="","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_xlpm.res="","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_xlpm.res="","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_xlpm.res="","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_xlpm.res="","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_xlpm.res="","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_xlpm.res="","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_xlpm.res="","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_xlpm.res="","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_xlpm.res="","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_xlpm.res="","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_xlpm.res="","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_xlpm.res="","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_xlpm.res="","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_xlpm.res="","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_xlpm.res="","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_xlpm.res="","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_xlpm.res="","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_xlpm.res="","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_xlpm.res="","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_xlpm.res="","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_xlpm.res="","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_xlpm.res="","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_xlpm.res="","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_xlpm.res="","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_xlpm.res="","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_xlpm.res="","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_xlpm.res="","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_xlpm.res="","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_xlpm.res="","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_xlpm.res="","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_xlpm.res="","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_xlpm.res="","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_xlpm.res="","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_xlpm.res="","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_xlpm.res="","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_xlpm.res="","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_xlpm.res="","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_xlpm.res="","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_xlpm.res="","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_xlpm.res="","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_xlpm.res="","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_xlpm.res="","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_xlpm.res="","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_xlpm.res="","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_xlpm.res="","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_xlpm.res="","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_xlpm.res="","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_xlpm.res="","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_xlpm.res="","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_xlpm.res="","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_xlpm.res="","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_xlpm.res="","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_xlpm.res="","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_xlpm.res="","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_xlpm.res="","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_xlpm.res="","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_xlpm.res="","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_xlpm.res="","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_xlpm.res="","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_xlpm.res="","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_xlpm.res="","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_xlpm.res="","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_xlpm.res="","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_xlpm.res="","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_xlpm.res="","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_xlpm.res="","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_xlpm.res="","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_xlpm.res="","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_xlpm.res="","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_xlpm.res="","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_xlpm.res="","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_xlpm.res="","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_xlpm.res="","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_xlpm.res="","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_xlpm.res="","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_xlpm.res="","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_xlpm.res="","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_xlpm.res="","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_xlpm.res="","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_xlpm.res="","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_xlpm.res="","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_xlpm.res="","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_xlpm.res="","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_xlpm.res="","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_xlpm.res="","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_xlpm.res="","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_xlpm.res="","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_xlpm.res="","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_xlpm.res="","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_xlpm.res="","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_xlpm.res="","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_xlpm.res="","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_xlpm.res="","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_xlpm.res="","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_xlpm.res="","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_xlpm.res="","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_xlpm.res="","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_xlpm.res="","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_xlpm.res="","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_xlpm.res="","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_xlpm.res="","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_xlpm.res="","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_xlpm.res="","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_xlpm.res="","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_xlpm.res="","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_xlpm.res="","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_xlpm.res="","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_xlpm.res="","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_xlpm.res="","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_xlpm.res="","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_xlpm.res="","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_xlpm.res="","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_xlpm.res="","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_xlpm.res="","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_xlpm.res="","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_xlpm.res="","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_xlpm.res="","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_xlpm.res="","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_xlpm.res="","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_xlpm.res="","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_xlpm.res="","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_xlpm.res="","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_xlpm.res="","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_xlpm.res="","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_xlpm.res="","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_xlpm.res="","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_xlpm.res="","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_xlpm.res="","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_xlpm.res="","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_xlpm.res="","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_xlpm.res="","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_xlpm.res="","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_xlpm.res="","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_xlpm.res="","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_xlpm.res="","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_xlpm.res="","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_xlpm.res="","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_xlpm.res="","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_xlpm.res="","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_xlpm.res="","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_xlpm.res="","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_xlpm.res="","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_xlpm.res="","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_xlpm.res="","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_xlpm.res="","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_xlpm.res="","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_xlpm.res="","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_xlpm.res="","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_xlpm.res="","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_xlpm.res="","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_xlpm.res="","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_xlpm.res="","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_xlpm.res="","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_xlpm.res="","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_xlpm.res="","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_xlpm.res="","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_xlpm.res="","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_xlpm.res="","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_xlpm.res="","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_xlpm.res="","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_xlpm.res="","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_xlpm.res="","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_xlpm.res="","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_xlpm.res="","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_xlpm.res="","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_xlpm.res="","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_xlpm.res="","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_xlpm.res="","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_xlpm.res="","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_xlpm.res="","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_xlpm.res="","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_xlpm.res="","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_xlpm.res="","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_xlpm.res="","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_xlpm.res="","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_xlpm.res="","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_xlpm.res="","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_xlpm.res="","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_xlpm.res="","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_xlpm.res="","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_xlpm.res="","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_xlpm.res="","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_xlpm.res="","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_xlpm.res="","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_xlpm.res="","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_xlpm.res="","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_xlpm.res="","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_xlpm.res="","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_xlpm.res="","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_xlpm.res="","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_xlpm.res="","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_xlpm.res="","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_xlpm.res="","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_xlpm.res="","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_xlpm.res="","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_xlpm.res="","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_xlpm.res="","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_xlpm.res="","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_xlpm.res="","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_xlpm.res="","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_xlpm.res="","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_xlpm.res="","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_xlpm.res="","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_xlpm.res="","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_xlpm.res="","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_xlpm.res="","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_xlpm.res="","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_xlpm.res="","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_xlpm.res="","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_xlpm.res="","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_xlpm.res="","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_xlpm.res="","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_xlpm.res="","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_xlpm.res="","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_xlpm.res="","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_xlpm.res="","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_xlpm.res="","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_xlpm.res="","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_xlpm.res="","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_xlpm.res="","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_xlpm.res="","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_xlpm.res="","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_xlpm.res="","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_xlpm.res="","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_xlpm.res="","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_xlpm.res="","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_xlpm.res="","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_xlpm.res="","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_xlpm.res="","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_xlpm.res="","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_xlpm.res="","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_xlpm.res="","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_xlpm.res="","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_xlpm.res="","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_xlpm.res="","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_xlpm.res="","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_xlpm.res="","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_xlpm.res="","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_xlpm.res="","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_xlpm.res="","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_xlpm.res="","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_xlpm.res="","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_xlpm.res="","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_xlpm.res="","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_xlpm.res="","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_xlpm.res="","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_xlpm.res="","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_xlpm.res="","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_xlpm.res="","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_xlpm.res="","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_xlpm.res="","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_xlpm.res="","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_xlpm.res="","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_xlpm.res="","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_xlpm.res="","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_xlpm.res="","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_xlpm.res="","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_xlpm.res="","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_xlpm.res="","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_xlpm.res="","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_xlpm.res="","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_xlpm.res="","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_xlpm.res="","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_xlpm.res="","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_xlpm.res="","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_xlpm.res="","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_xlpm.res="","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_xlpm.res="","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_xlpm.res="","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_xlpm.res="","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_xlpm.res="","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_xlpm.res="","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_xlpm.res="","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_xlpm.res="","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_xlpm.res="","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_xlpm.res="","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_xlpm.res="","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_xlpm.res="","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_xlpm.res="","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_xlpm.res="","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_xlpm.res="","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_xlpm.res="","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_xlpm.res="","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_xlpm.res="","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_xlpm.res="","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_xlpm.res="","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_xlpm.res="","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_xlpm.res="","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_xlpm.res="","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_xlpm.res="","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_xlpm.res="","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_xlpm.res="","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_xlpm.res="","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_xlpm.res="","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_xlpm.res="","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_xlpm.res="","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_xlpm.res="","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_xlpm.res="","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_xlpm.res="","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_xlpm.res="","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_xlpm.res="","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_xlpm.res="","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_xlpm.res="","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_xlpm.res="","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_xlpm.res="","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_xlpm.res="","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_xlpm.res="","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_xlpm.res="","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_xlpm.res="","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_xlpm.res="","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_xlpm.res="","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_xlpm.res="","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_xlpm.res="","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_xlpm.res="","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_xlpm.res="","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_xlpm.res="","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_xlpm.res="","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_xlpm.res="","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_xlpm.res="","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_xlpm.res="","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_xlpm.res="","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_xlpm.res="","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_xlpm.res="","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_xlpm.res="","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_xlpm.res="","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_xlpm.res="","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_xlpm.res="","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_xlpm.res="","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_xlpm.res="","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_xlpm.res="","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_xlpm.res="","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_xlpm.res="","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_xlpm.res="","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_xlpm.res="","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_xlpm.res="","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_xlpm.res="","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_xlpm.res="","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_xlpm.res="","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_xlpm.res="","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_xlpm.res="","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_xlpm.res="","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_xlpm.res="","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_xlpm.res="","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_xlpm.res="","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_xlpm.res="","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_xlpm.res="","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_xlpm.res="","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_xlpm.res="","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_xlpm.res="","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_xlpm.res="","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_xlpm.res="","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_xlpm.res="","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_xlpm.res="","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_xlpm.res="","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_xlpm.res="","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_xlpm.res="","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_xlpm.res="","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_xlpm.res="","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_xlpm.res="","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_xlpm.res="","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_xlpm.res="","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_xlpm.res="","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_xlpm.res="","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_xlpm.res="","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_xlpm.res="","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_xlpm.res="","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_xlpm.res="","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_xlpm.res="","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_xlpm.res="","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_xlpm.res="","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_xlpm.res="","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_xlpm.res="","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_xlpm.res="","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_xlpm.res="","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_xlpm.res="","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_xlpm.res="","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_xlpm.res="","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_xlpm.res="","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_xlpm.res="","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_xlpm.res="","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_xlpm.res="","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_xlpm.res="","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_xlpm.res="","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_xlpm.res="","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_xlpm.res="","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_xlpm.res="","Pending",IF(_xlpm.res="Pass","Qualified",IF(AND(_xlpm.res="Fail",$N605&gt;=$F605),"FAILED OUT","Needs Remediation"))))))</f>
        <v/>
      </c>
      <c r="P605" s="17">
        <f>IF($C605="","",IF($O605="FAILED OUT","Yes","No"))</f>
        <v/>
      </c>
      <c r="Q605" s="16" t="n"/>
      <c r="R605" s="16" t="n"/>
    </row>
  </sheetData>
  <autoFilter ref="B5:R5"/>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IF($B6="","",SUMPRODUCT((D6:AQ6="")*(TRANSPOSE(rngWMdue)&lt;&gt;"")*(TRANSPOSE(rngWMdue)&lt;TODAY())))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IF($B7="","",SUMPRODUCT((D7:AQ7="")*(TRANSPOSE(rngWMdue)&lt;&gt;"")*(TRANSPOSE(rngWMdue)&lt;TODAY())))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IF($B8="","",SUMPRODUCT((D8:AQ8="")*(TRANSPOSE(rngWMdue)&lt;&gt;"")*(TRANSPOSE(rngWMdue)&lt;TODAY())))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IF($B9="","",SUMPRODUCT((D9:AQ9="")*(TRANSPOSE(rngWMdue)&lt;&gt;"")*(TRANSPOSE(rngWMdue)&lt;TODAY())))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IF($B10="","",SUMPRODUCT((D10:AQ10="")*(TRANSPOSE(rngWMdue)&lt;&gt;"")*(TRANSPOSE(rngWMdue)&lt;TODAY())))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IF($B11="","",SUMPRODUCT((D11:AQ11="")*(TRANSPOSE(rngWMdue)&lt;&gt;"")*(TRANSPOSE(rngWMdue)&lt;TODAY())))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IF($B12="","",SUMPRODUCT((D12:AQ12="")*(TRANSPOSE(rngWMdue)&lt;&gt;"")*(TRANSPOSE(rngWMdue)&lt;TODAY())))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IF($B13="","",SUMPRODUCT((D13:AQ13="")*(TRANSPOSE(rngWMdue)&lt;&gt;"")*(TRANSPOSE(rngWMdue)&lt;TODAY())))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IF($B14="","",SUMPRODUCT((D14:AQ14="")*(TRANSPOSE(rngWMdue)&lt;&gt;"")*(TRANSPOSE(rngWMdue)&lt;TODAY())))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IF($B15="","",SUMPRODUCT((D15:AQ15="")*(TRANSPOSE(rngWMdue)&lt;&gt;"")*(TRANSPOSE(rngWMdue)&lt;TODAY())))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IF($B16="","",SUMPRODUCT((D16:AQ16="")*(TRANSPOSE(rngWMdue)&lt;&gt;"")*(TRANSPOSE(rngWMdue)&lt;TODAY())))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IF($B17="","",SUMPRODUCT((D17:AQ17="")*(TRANSPOSE(rngWMdue)&lt;&gt;"")*(TRANSPOSE(rngWMdue)&lt;TODAY())))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IF($B18="","",SUMPRODUCT((D18:AQ18="")*(TRANSPOSE(rngWMdue)&lt;&gt;"")*(TRANSPOSE(rngWMdue)&lt;TODAY())))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IF($B19="","",SUMPRODUCT((D19:AQ19="")*(TRANSPOSE(rngWMdue)&lt;&gt;"")*(TRANSPOSE(rngWMdue)&lt;TODAY())))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IF($B20="","",SUMPRODUCT((D20:AQ20="")*(TRANSPOSE(rngWMdue)&lt;&gt;"")*(TRANSPOSE(rngWMdue)&lt;TODAY())))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IF($B21="","",SUMPRODUCT((D21:AQ21="")*(TRANSPOSE(rngWMdue)&lt;&gt;"")*(TRANSPOSE(rngWMdue)&lt;TODAY())))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IF($B22="","",SUMPRODUCT((D22:AQ22="")*(TRANSPOSE(rngWMdue)&lt;&gt;"")*(TRANSPOSE(rngWMdue)&lt;TODAY())))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IF($B23="","",SUMPRODUCT((D23:AQ23="")*(TRANSPOSE(rngWMdue)&lt;&gt;"")*(TRANSPOSE(rngWMdue)&lt;TODAY())))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IF($B24="","",SUMPRODUCT((D24:AQ24="")*(TRANSPOSE(rngWMdue)&lt;&gt;"")*(TRANSPOSE(rngWMdue)&lt;TODAY())))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IF($B25="","",SUMPRODUCT((D25:AQ25="")*(TRANSPOSE(rngWMdue)&lt;&gt;"")*(TRANSPOSE(rngWMdue)&lt;TODAY())))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IF($B26="","",SUMPRODUCT((D26:AQ26="")*(TRANSPOSE(rngWMdue)&lt;&gt;"")*(TRANSPOSE(rngWMdue)&lt;TODAY())))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IF($B27="","",SUMPRODUCT((D27:AQ27="")*(TRANSPOSE(rngWMdue)&lt;&gt;"")*(TRANSPOSE(rngWMdue)&lt;TODAY())))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IF($B28="","",SUMPRODUCT((D28:AQ28="")*(TRANSPOSE(rngWMdue)&lt;&gt;"")*(TRANSPOSE(rngWMdue)&lt;TODAY())))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IF($B29="","",SUMPRODUCT((D29:AQ29="")*(TRANSPOSE(rngWMdue)&lt;&gt;"")*(TRANSPOSE(rngWMdue)&lt;TODAY())))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IF($B30="","",SUMPRODUCT((D30:AQ30="")*(TRANSPOSE(rngWMdue)&lt;&gt;"")*(TRANSPOSE(rngWMdue)&lt;TODAY())))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IF($B31="","",SUMPRODUCT((D31:AQ31="")*(TRANSPOSE(rngWMdue)&lt;&gt;"")*(TRANSPOSE(rngWMdue)&lt;TODAY())))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IF($B32="","",SUMPRODUCT((D32:AQ32="")*(TRANSPOSE(rngWMdue)&lt;&gt;"")*(TRANSPOSE(rngWMdue)&lt;TODAY())))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IF($B33="","",SUMPRODUCT((D33:AQ33="")*(TRANSPOSE(rngWMdue)&lt;&gt;"")*(TRANSPOSE(rngWMdue)&lt;TODAY())))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IF($B34="","",SUMPRODUCT((D34:AQ34="")*(TRANSPOSE(rngWMdue)&lt;&gt;"")*(TRANSPOSE(rngWMdue)&lt;TODAY())))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IF($B35="","",SUMPRODUCT((D35:AQ35="")*(TRANSPOSE(rngWMdue)&lt;&gt;"")*(TRANSPOSE(rngWMdue)&lt;TODAY())))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IF($B36="","",SUMPRODUCT((D36:AQ36="")*(TRANSPOSE(rngWMdue)&lt;&gt;"")*(TRANSPOSE(rngWMdue)&lt;TODAY())))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IF($B37="","",SUMPRODUCT((D37:AQ37="")*(TRANSPOSE(rngWMdue)&lt;&gt;"")*(TRANSPOSE(rngWMdue)&lt;TODAY())))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IF($B38="","",SUMPRODUCT((D38:AQ38="")*(TRANSPOSE(rngWMdue)&lt;&gt;"")*(TRANSPOSE(rngWMdue)&lt;TODAY())))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IF($B39="","",SUMPRODUCT((D39:AQ39="")*(TRANSPOSE(rngWMdue)&lt;&gt;"")*(TRANSPOSE(rngWMdue)&lt;TODAY())))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IF($B40="","",SUMPRODUCT((D40:AQ40="")*(TRANSPOSE(rngWMdue)&lt;&gt;"")*(TRANSPOSE(rngWMdue)&lt;TODAY())))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IF($B41="","",SUMPRODUCT((D41:AQ41="")*(TRANSPOSE(rngWMdue)&lt;&gt;"")*(TRANSPOSE(rngWMdue)&lt;TODAY())))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IF($B42="","",SUMPRODUCT((D42:AQ42="")*(TRANSPOSE(rngWMdue)&lt;&gt;"")*(TRANSPOSE(rngWMdue)&lt;TODAY())))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IF($B43="","",SUMPRODUCT((D43:AQ43="")*(TRANSPOSE(rngWMdue)&lt;&gt;"")*(TRANSPOSE(rngWMdue)&lt;TODAY())))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IF($B44="","",SUMPRODUCT((D44:AQ44="")*(TRANSPOSE(rngWMdue)&lt;&gt;"")*(TRANSPOSE(rngWMdue)&lt;TODAY())))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IF($B45="","",SUMPRODUCT((D45:AQ45="")*(TRANSPOSE(rngWMdue)&lt;&gt;"")*(TRANSPOSE(rngWMdue)&lt;TODAY())))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IF($B46="","",SUMPRODUCT((D46:AQ46="")*(TRANSPOSE(rngWMdue)&lt;&gt;"")*(TRANSPOSE(rngWMdue)&lt;TODAY())))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IF($B47="","",SUMPRODUCT((D47:AQ47="")*(TRANSPOSE(rngWMdue)&lt;&gt;"")*(TRANSPOSE(rngWMdue)&lt;TODAY())))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IF($B48="","",SUMPRODUCT((D48:AQ48="")*(TRANSPOSE(rngWMdue)&lt;&gt;"")*(TRANSPOSE(rngWMdue)&lt;TODAY())))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IF($B49="","",SUMPRODUCT((D49:AQ49="")*(TRANSPOSE(rngWMdue)&lt;&gt;"")*(TRANSPOSE(rngWMdue)&lt;TODAY())))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IF($B50="","",SUMPRODUCT((D50:AQ50="")*(TRANSPOSE(rngWMdue)&lt;&gt;"")*(TRANSPOSE(rngWMdue)&lt;TODAY())))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IF($B51="","",SUMPRODUCT((D51:AQ51="")*(TRANSPOSE(rngWMdue)&lt;&gt;"")*(TRANSPOSE(rngWMdue)&lt;TODAY())))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IF($B52="","",SUMPRODUCT((D52:AQ52="")*(TRANSPOSE(rngWMdue)&lt;&gt;"")*(TRANSPOSE(rngWMdue)&lt;TODAY())))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IF($B53="","",SUMPRODUCT((D53:AQ53="")*(TRANSPOSE(rngWMdue)&lt;&gt;"")*(TRANSPOSE(rngWMdue)&lt;TODAY())))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IF($B54="","",SUMPRODUCT((D54:AQ54="")*(TRANSPOSE(rngWMdue)&lt;&gt;"")*(TRANSPOSE(rngWMdue)&lt;TODAY())))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IF($B55="","",SUMPRODUCT((D55:AQ55="")*(TRANSPOSE(rngWMdue)&lt;&gt;"")*(TRANSPOSE(rngWMdue)&lt;TODAY())))</f>
        <v/>
      </c>
      <c r="AT55" s="17">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N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IF(OR($D6="",$C6=""),"",_xlfn.LET(_xlpm.dn,IFERROR(_xlfn.XLOOKUP($C6,nrCDdate,nrCDnum),""),IF(_xlpm.dn="","(not a class day)",IFERROR(_xlfn.XLOOKUP(_xlpm.dn+cfgMemoDueClassDays,nrCDnum,nrCDdate),""))))</f>
        <v/>
      </c>
      <c r="I6" s="18" t="n"/>
      <c r="J6" s="19">
        <f>IF($D6="","",IF($I6&lt;&gt;"",$I6,IF(ISNUMBER($H6),$H6,"")))</f>
        <v/>
      </c>
      <c r="K6" s="18" t="n"/>
      <c r="L6" s="17">
        <f>IF($D6="","",IF($K6&lt;&gt;"","Received "&amp;TEXT($K6,"mm/dd"),IF(AND(ISNUMBER($J6),TODAY()&gt;$J6),"OVERDUE","Pending")))</f>
        <v/>
      </c>
      <c r="M6" s="16" t="n"/>
      <c r="N6" s="16" t="n"/>
    </row>
    <row r="7">
      <c r="B7" s="17">
        <f>IF($D7="","","ME"&amp;TEXT(ROW()-5,"000"))</f>
        <v/>
      </c>
      <c r="C7" s="18" t="n"/>
      <c r="D7" s="16" t="n"/>
      <c r="E7" s="17">
        <f>IF($D7="","",IFERROR(INDEX(rngCadetPIDs,MATCH($D7,rngCadetNames,0)),"?"))</f>
        <v/>
      </c>
      <c r="F7" s="16" t="n"/>
      <c r="G7" s="16" t="n"/>
      <c r="H7" s="19">
        <f>IF(OR($D7="",$C7=""),"",_xlfn.LET(_xlpm.dn,IFERROR(_xlfn.XLOOKUP($C7,nrCDdate,nrCDnum),""),IF(_xlpm.dn="","(not a class day)",IFERROR(_xlfn.XLOOKUP(_xlpm.dn+cfgMemoDueClassDays,nrCDnum,nrCDdate),""))))</f>
        <v/>
      </c>
      <c r="I7" s="18" t="n"/>
      <c r="J7" s="19">
        <f>IF($D7="","",IF($I7&lt;&gt;"",$I7,IF(ISNUMBER($H7),$H7,"")))</f>
        <v/>
      </c>
      <c r="K7" s="18" t="n"/>
      <c r="L7" s="17">
        <f>IF($D7="","",IF($K7&lt;&gt;"","Received "&amp;TEXT($K7,"mm/dd"),IF(AND(ISNUMBER($J7),TODAY()&gt;$J7),"OVERDUE","Pending")))</f>
        <v/>
      </c>
      <c r="M7" s="16" t="n"/>
      <c r="N7" s="16" t="n"/>
    </row>
    <row r="8">
      <c r="B8" s="17">
        <f>IF($D8="","","ME"&amp;TEXT(ROW()-5,"000"))</f>
        <v/>
      </c>
      <c r="C8" s="18" t="n"/>
      <c r="D8" s="16" t="n"/>
      <c r="E8" s="17">
        <f>IF($D8="","",IFERROR(INDEX(rngCadetPIDs,MATCH($D8,rngCadetNames,0)),"?"))</f>
        <v/>
      </c>
      <c r="F8" s="16" t="n"/>
      <c r="G8" s="16" t="n"/>
      <c r="H8" s="19">
        <f>IF(OR($D8="",$C8=""),"",_xlfn.LET(_xlpm.dn,IFERROR(_xlfn.XLOOKUP($C8,nrCDdate,nrCDnum),""),IF(_xlpm.dn="","(not a class day)",IFERROR(_xlfn.XLOOKUP(_xlpm.dn+cfgMemoDueClassDays,nrCDnum,nrCDdate),""))))</f>
        <v/>
      </c>
      <c r="I8" s="18" t="n"/>
      <c r="J8" s="19">
        <f>IF($D8="","",IF($I8&lt;&gt;"",$I8,IF(ISNUMBER($H8),$H8,"")))</f>
        <v/>
      </c>
      <c r="K8" s="18" t="n"/>
      <c r="L8" s="17">
        <f>IF($D8="","",IF($K8&lt;&gt;"","Received "&amp;TEXT($K8,"mm/dd"),IF(AND(ISNUMBER($J8),TODAY()&gt;$J8),"OVERDUE","Pending")))</f>
        <v/>
      </c>
      <c r="M8" s="16" t="n"/>
      <c r="N8" s="16" t="n"/>
    </row>
    <row r="9">
      <c r="B9" s="17">
        <f>IF($D9="","","ME"&amp;TEXT(ROW()-5,"000"))</f>
        <v/>
      </c>
      <c r="C9" s="18" t="n"/>
      <c r="D9" s="16" t="n"/>
      <c r="E9" s="17">
        <f>IF($D9="","",IFERROR(INDEX(rngCadetPIDs,MATCH($D9,rngCadetNames,0)),"?"))</f>
        <v/>
      </c>
      <c r="F9" s="16" t="n"/>
      <c r="G9" s="16" t="n"/>
      <c r="H9" s="19">
        <f>IF(OR($D9="",$C9=""),"",_xlfn.LET(_xlpm.dn,IFERROR(_xlfn.XLOOKUP($C9,nrCDdate,nrCDnum),""),IF(_xlpm.dn="","(not a class day)",IFERROR(_xlfn.XLOOKUP(_xlpm.dn+cfgMemoDueClassDays,nrCDnum,nrCDdate),""))))</f>
        <v/>
      </c>
      <c r="I9" s="18" t="n"/>
      <c r="J9" s="19">
        <f>IF($D9="","",IF($I9&lt;&gt;"",$I9,IF(ISNUMBER($H9),$H9,"")))</f>
        <v/>
      </c>
      <c r="K9" s="18" t="n"/>
      <c r="L9" s="17">
        <f>IF($D9="","",IF($K9&lt;&gt;"","Received "&amp;TEXT($K9,"mm/dd"),IF(AND(ISNUMBER($J9),TODAY()&gt;$J9),"OVERDUE","Pending")))</f>
        <v/>
      </c>
      <c r="M9" s="16" t="n"/>
      <c r="N9" s="16" t="n"/>
    </row>
    <row r="10">
      <c r="B10" s="17">
        <f>IF($D10="","","ME"&amp;TEXT(ROW()-5,"000"))</f>
        <v/>
      </c>
      <c r="C10" s="18" t="n"/>
      <c r="D10" s="16" t="n"/>
      <c r="E10" s="17">
        <f>IF($D10="","",IFERROR(INDEX(rngCadetPIDs,MATCH($D10,rngCadetNames,0)),"?"))</f>
        <v/>
      </c>
      <c r="F10" s="16" t="n"/>
      <c r="G10" s="16" t="n"/>
      <c r="H10" s="19">
        <f>IF(OR($D10="",$C10=""),"",_xlfn.LET(_xlpm.dn,IFERROR(_xlfn.XLOOKUP($C10,nrCDdate,nrCDnum),""),IF(_xlpm.dn="","(not a class day)",IFERROR(_xlfn.XLOOKUP(_xlpm.dn+cfgMemoDueClassDays,nrCDnum,nrCDdate),""))))</f>
        <v/>
      </c>
      <c r="I10" s="18" t="n"/>
      <c r="J10" s="19">
        <f>IF($D10="","",IF($I10&lt;&gt;"",$I10,IF(ISNUMBER($H10),$H10,"")))</f>
        <v/>
      </c>
      <c r="K10" s="18" t="n"/>
      <c r="L10" s="17">
        <f>IF($D10="","",IF($K10&lt;&gt;"","Received "&amp;TEXT($K10,"mm/dd"),IF(AND(ISNUMBER($J10),TODAY()&gt;$J10),"OVERDUE","Pending")))</f>
        <v/>
      </c>
      <c r="M10" s="16" t="n"/>
      <c r="N10" s="16" t="n"/>
    </row>
    <row r="11">
      <c r="B11" s="17">
        <f>IF($D11="","","ME"&amp;TEXT(ROW()-5,"000"))</f>
        <v/>
      </c>
      <c r="C11" s="18" t="n"/>
      <c r="D11" s="16" t="n"/>
      <c r="E11" s="17">
        <f>IF($D11="","",IFERROR(INDEX(rngCadetPIDs,MATCH($D11,rngCadetNames,0)),"?"))</f>
        <v/>
      </c>
      <c r="F11" s="16" t="n"/>
      <c r="G11" s="16" t="n"/>
      <c r="H11" s="19">
        <f>IF(OR($D11="",$C11=""),"",_xlfn.LET(_xlpm.dn,IFERROR(_xlfn.XLOOKUP($C11,nrCDdate,nrCDnum),""),IF(_xlpm.dn="","(not a class day)",IFERROR(_xlfn.XLOOKUP(_xlpm.dn+cfgMemoDueClassDays,nrCDnum,nrCDdate),""))))</f>
        <v/>
      </c>
      <c r="I11" s="18" t="n"/>
      <c r="J11" s="19">
        <f>IF($D11="","",IF($I11&lt;&gt;"",$I11,IF(ISNUMBER($H11),$H11,"")))</f>
        <v/>
      </c>
      <c r="K11" s="18" t="n"/>
      <c r="L11" s="17">
        <f>IF($D11="","",IF($K11&lt;&gt;"","Received "&amp;TEXT($K11,"mm/dd"),IF(AND(ISNUMBER($J11),TODAY()&gt;$J11),"OVERDUE","Pending")))</f>
        <v/>
      </c>
      <c r="M11" s="16" t="n"/>
      <c r="N11" s="16" t="n"/>
    </row>
    <row r="12">
      <c r="B12" s="17">
        <f>IF($D12="","","ME"&amp;TEXT(ROW()-5,"000"))</f>
        <v/>
      </c>
      <c r="C12" s="18" t="n"/>
      <c r="D12" s="16" t="n"/>
      <c r="E12" s="17">
        <f>IF($D12="","",IFERROR(INDEX(rngCadetPIDs,MATCH($D12,rngCadetNames,0)),"?"))</f>
        <v/>
      </c>
      <c r="F12" s="16" t="n"/>
      <c r="G12" s="16" t="n"/>
      <c r="H12" s="19">
        <f>IF(OR($D12="",$C12=""),"",_xlfn.LET(_xlpm.dn,IFERROR(_xlfn.XLOOKUP($C12,nrCDdate,nrCDnum),""),IF(_xlpm.dn="","(not a class day)",IFERROR(_xlfn.XLOOKUP(_xlpm.dn+cfgMemoDueClassDays,nrCDnum,nrCDdate),""))))</f>
        <v/>
      </c>
      <c r="I12" s="18" t="n"/>
      <c r="J12" s="19">
        <f>IF($D12="","",IF($I12&lt;&gt;"",$I12,IF(ISNUMBER($H12),$H12,"")))</f>
        <v/>
      </c>
      <c r="K12" s="18" t="n"/>
      <c r="L12" s="17">
        <f>IF($D12="","",IF($K12&lt;&gt;"","Received "&amp;TEXT($K12,"mm/dd"),IF(AND(ISNUMBER($J12),TODAY()&gt;$J12),"OVERDUE","Pending")))</f>
        <v/>
      </c>
      <c r="M12" s="16" t="n"/>
      <c r="N12" s="16" t="n"/>
    </row>
    <row r="13">
      <c r="B13" s="17">
        <f>IF($D13="","","ME"&amp;TEXT(ROW()-5,"000"))</f>
        <v/>
      </c>
      <c r="C13" s="18" t="n"/>
      <c r="D13" s="16" t="n"/>
      <c r="E13" s="17">
        <f>IF($D13="","",IFERROR(INDEX(rngCadetPIDs,MATCH($D13,rngCadetNames,0)),"?"))</f>
        <v/>
      </c>
      <c r="F13" s="16" t="n"/>
      <c r="G13" s="16" t="n"/>
      <c r="H13" s="19">
        <f>IF(OR($D13="",$C13=""),"",_xlfn.LET(_xlpm.dn,IFERROR(_xlfn.XLOOKUP($C13,nrCDdate,nrCDnum),""),IF(_xlpm.dn="","(not a class day)",IFERROR(_xlfn.XLOOKUP(_xlpm.dn+cfgMemoDueClassDays,nrCDnum,nrCDdate),""))))</f>
        <v/>
      </c>
      <c r="I13" s="18" t="n"/>
      <c r="J13" s="19">
        <f>IF($D13="","",IF($I13&lt;&gt;"",$I13,IF(ISNUMBER($H13),$H13,"")))</f>
        <v/>
      </c>
      <c r="K13" s="18" t="n"/>
      <c r="L13" s="17">
        <f>IF($D13="","",IF($K13&lt;&gt;"","Received "&amp;TEXT($K13,"mm/dd"),IF(AND(ISNUMBER($J13),TODAY()&gt;$J13),"OVERDUE","Pending")))</f>
        <v/>
      </c>
      <c r="M13" s="16" t="n"/>
      <c r="N13" s="16" t="n"/>
    </row>
    <row r="14">
      <c r="B14" s="17">
        <f>IF($D14="","","ME"&amp;TEXT(ROW()-5,"000"))</f>
        <v/>
      </c>
      <c r="C14" s="18" t="n"/>
      <c r="D14" s="16" t="n"/>
      <c r="E14" s="17">
        <f>IF($D14="","",IFERROR(INDEX(rngCadetPIDs,MATCH($D14,rngCadetNames,0)),"?"))</f>
        <v/>
      </c>
      <c r="F14" s="16" t="n"/>
      <c r="G14" s="16" t="n"/>
      <c r="H14" s="19">
        <f>IF(OR($D14="",$C14=""),"",_xlfn.LET(_xlpm.dn,IFERROR(_xlfn.XLOOKUP($C14,nrCDdate,nrCDnum),""),IF(_xlpm.dn="","(not a class day)",IFERROR(_xlfn.XLOOKUP(_xlpm.dn+cfgMemoDueClassDays,nrCDnum,nrCDdate),""))))</f>
        <v/>
      </c>
      <c r="I14" s="18" t="n"/>
      <c r="J14" s="19">
        <f>IF($D14="","",IF($I14&lt;&gt;"",$I14,IF(ISNUMBER($H14),$H14,"")))</f>
        <v/>
      </c>
      <c r="K14" s="18" t="n"/>
      <c r="L14" s="17">
        <f>IF($D14="","",IF($K14&lt;&gt;"","Received "&amp;TEXT($K14,"mm/dd"),IF(AND(ISNUMBER($J14),TODAY()&gt;$J14),"OVERDUE","Pending")))</f>
        <v/>
      </c>
      <c r="M14" s="16" t="n"/>
      <c r="N14" s="16" t="n"/>
    </row>
    <row r="15">
      <c r="B15" s="17">
        <f>IF($D15="","","ME"&amp;TEXT(ROW()-5,"000"))</f>
        <v/>
      </c>
      <c r="C15" s="18" t="n"/>
      <c r="D15" s="16" t="n"/>
      <c r="E15" s="17">
        <f>IF($D15="","",IFERROR(INDEX(rngCadetPIDs,MATCH($D15,rngCadetNames,0)),"?"))</f>
        <v/>
      </c>
      <c r="F15" s="16" t="n"/>
      <c r="G15" s="16" t="n"/>
      <c r="H15" s="19">
        <f>IF(OR($D15="",$C15=""),"",_xlfn.LET(_xlpm.dn,IFERROR(_xlfn.XLOOKUP($C15,nrCDdate,nrCDnum),""),IF(_xlpm.dn="","(not a class day)",IFERROR(_xlfn.XLOOKUP(_xlpm.dn+cfgMemoDueClassDays,nrCDnum,nrCDdate),""))))</f>
        <v/>
      </c>
      <c r="I15" s="18" t="n"/>
      <c r="J15" s="19">
        <f>IF($D15="","",IF($I15&lt;&gt;"",$I15,IF(ISNUMBER($H15),$H15,"")))</f>
        <v/>
      </c>
      <c r="K15" s="18" t="n"/>
      <c r="L15" s="17">
        <f>IF($D15="","",IF($K15&lt;&gt;"","Received "&amp;TEXT($K15,"mm/dd"),IF(AND(ISNUMBER($J15),TODAY()&gt;$J15),"OVERDUE","Pending")))</f>
        <v/>
      </c>
      <c r="M15" s="16" t="n"/>
      <c r="N15" s="16" t="n"/>
    </row>
    <row r="16">
      <c r="B16" s="17">
        <f>IF($D16="","","ME"&amp;TEXT(ROW()-5,"000"))</f>
        <v/>
      </c>
      <c r="C16" s="18" t="n"/>
      <c r="D16" s="16" t="n"/>
      <c r="E16" s="17">
        <f>IF($D16="","",IFERROR(INDEX(rngCadetPIDs,MATCH($D16,rngCadetNames,0)),"?"))</f>
        <v/>
      </c>
      <c r="F16" s="16" t="n"/>
      <c r="G16" s="16" t="n"/>
      <c r="H16" s="19">
        <f>IF(OR($D16="",$C16=""),"",_xlfn.LET(_xlpm.dn,IFERROR(_xlfn.XLOOKUP($C16,nrCDdate,nrCDnum),""),IF(_xlpm.dn="","(not a class day)",IFERROR(_xlfn.XLOOKUP(_xlpm.dn+cfgMemoDueClassDays,nrCDnum,nrCDdate),""))))</f>
        <v/>
      </c>
      <c r="I16" s="18" t="n"/>
      <c r="J16" s="19">
        <f>IF($D16="","",IF($I16&lt;&gt;"",$I16,IF(ISNUMBER($H16),$H16,"")))</f>
        <v/>
      </c>
      <c r="K16" s="18" t="n"/>
      <c r="L16" s="17">
        <f>IF($D16="","",IF($K16&lt;&gt;"","Received "&amp;TEXT($K16,"mm/dd"),IF(AND(ISNUMBER($J16),TODAY()&gt;$J16),"OVERDUE","Pending")))</f>
        <v/>
      </c>
      <c r="M16" s="16" t="n"/>
      <c r="N16" s="16" t="n"/>
    </row>
    <row r="17">
      <c r="B17" s="17">
        <f>IF($D17="","","ME"&amp;TEXT(ROW()-5,"000"))</f>
        <v/>
      </c>
      <c r="C17" s="18" t="n"/>
      <c r="D17" s="16" t="n"/>
      <c r="E17" s="17">
        <f>IF($D17="","",IFERROR(INDEX(rngCadetPIDs,MATCH($D17,rngCadetNames,0)),"?"))</f>
        <v/>
      </c>
      <c r="F17" s="16" t="n"/>
      <c r="G17" s="16" t="n"/>
      <c r="H17" s="19">
        <f>IF(OR($D17="",$C17=""),"",_xlfn.LET(_xlpm.dn,IFERROR(_xlfn.XLOOKUP($C17,nrCDdate,nrCDnum),""),IF(_xlpm.dn="","(not a class day)",IFERROR(_xlfn.XLOOKUP(_xlpm.dn+cfgMemoDueClassDays,nrCDnum,nrCDdate),""))))</f>
        <v/>
      </c>
      <c r="I17" s="18" t="n"/>
      <c r="J17" s="19">
        <f>IF($D17="","",IF($I17&lt;&gt;"",$I17,IF(ISNUMBER($H17),$H17,"")))</f>
        <v/>
      </c>
      <c r="K17" s="18" t="n"/>
      <c r="L17" s="17">
        <f>IF($D17="","",IF($K17&lt;&gt;"","Received "&amp;TEXT($K17,"mm/dd"),IF(AND(ISNUMBER($J17),TODAY()&gt;$J17),"OVERDUE","Pending")))</f>
        <v/>
      </c>
      <c r="M17" s="16" t="n"/>
      <c r="N17" s="16" t="n"/>
    </row>
    <row r="18">
      <c r="B18" s="17">
        <f>IF($D18="","","ME"&amp;TEXT(ROW()-5,"000"))</f>
        <v/>
      </c>
      <c r="C18" s="18" t="n"/>
      <c r="D18" s="16" t="n"/>
      <c r="E18" s="17">
        <f>IF($D18="","",IFERROR(INDEX(rngCadetPIDs,MATCH($D18,rngCadetNames,0)),"?"))</f>
        <v/>
      </c>
      <c r="F18" s="16" t="n"/>
      <c r="G18" s="16" t="n"/>
      <c r="H18" s="19">
        <f>IF(OR($D18="",$C18=""),"",_xlfn.LET(_xlpm.dn,IFERROR(_xlfn.XLOOKUP($C18,nrCDdate,nrCDnum),""),IF(_xlpm.dn="","(not a class day)",IFERROR(_xlfn.XLOOKUP(_xlpm.dn+cfgMemoDueClassDays,nrCDnum,nrCDdate),""))))</f>
        <v/>
      </c>
      <c r="I18" s="18" t="n"/>
      <c r="J18" s="19">
        <f>IF($D18="","",IF($I18&lt;&gt;"",$I18,IF(ISNUMBER($H18),$H18,"")))</f>
        <v/>
      </c>
      <c r="K18" s="18" t="n"/>
      <c r="L18" s="17">
        <f>IF($D18="","",IF($K18&lt;&gt;"","Received "&amp;TEXT($K18,"mm/dd"),IF(AND(ISNUMBER($J18),TODAY()&gt;$J18),"OVERDUE","Pending")))</f>
        <v/>
      </c>
      <c r="M18" s="16" t="n"/>
      <c r="N18" s="16" t="n"/>
    </row>
    <row r="19">
      <c r="B19" s="17">
        <f>IF($D19="","","ME"&amp;TEXT(ROW()-5,"000"))</f>
        <v/>
      </c>
      <c r="C19" s="18" t="n"/>
      <c r="D19" s="16" t="n"/>
      <c r="E19" s="17">
        <f>IF($D19="","",IFERROR(INDEX(rngCadetPIDs,MATCH($D19,rngCadetNames,0)),"?"))</f>
        <v/>
      </c>
      <c r="F19" s="16" t="n"/>
      <c r="G19" s="16" t="n"/>
      <c r="H19" s="19">
        <f>IF(OR($D19="",$C19=""),"",_xlfn.LET(_xlpm.dn,IFERROR(_xlfn.XLOOKUP($C19,nrCDdate,nrCDnum),""),IF(_xlpm.dn="","(not a class day)",IFERROR(_xlfn.XLOOKUP(_xlpm.dn+cfgMemoDueClassDays,nrCDnum,nrCDdate),""))))</f>
        <v/>
      </c>
      <c r="I19" s="18" t="n"/>
      <c r="J19" s="19">
        <f>IF($D19="","",IF($I19&lt;&gt;"",$I19,IF(ISNUMBER($H19),$H19,"")))</f>
        <v/>
      </c>
      <c r="K19" s="18" t="n"/>
      <c r="L19" s="17">
        <f>IF($D19="","",IF($K19&lt;&gt;"","Received "&amp;TEXT($K19,"mm/dd"),IF(AND(ISNUMBER($J19),TODAY()&gt;$J19),"OVERDUE","Pending")))</f>
        <v/>
      </c>
      <c r="M19" s="16" t="n"/>
      <c r="N19" s="16" t="n"/>
    </row>
    <row r="20">
      <c r="B20" s="17">
        <f>IF($D20="","","ME"&amp;TEXT(ROW()-5,"000"))</f>
        <v/>
      </c>
      <c r="C20" s="18" t="n"/>
      <c r="D20" s="16" t="n"/>
      <c r="E20" s="17">
        <f>IF($D20="","",IFERROR(INDEX(rngCadetPIDs,MATCH($D20,rngCadetNames,0)),"?"))</f>
        <v/>
      </c>
      <c r="F20" s="16" t="n"/>
      <c r="G20" s="16" t="n"/>
      <c r="H20" s="19">
        <f>IF(OR($D20="",$C20=""),"",_xlfn.LET(_xlpm.dn,IFERROR(_xlfn.XLOOKUP($C20,nrCDdate,nrCDnum),""),IF(_xlpm.dn="","(not a class day)",IFERROR(_xlfn.XLOOKUP(_xlpm.dn+cfgMemoDueClassDays,nrCDnum,nrCDdate),""))))</f>
        <v/>
      </c>
      <c r="I20" s="18" t="n"/>
      <c r="J20" s="19">
        <f>IF($D20="","",IF($I20&lt;&gt;"",$I20,IF(ISNUMBER($H20),$H20,"")))</f>
        <v/>
      </c>
      <c r="K20" s="18" t="n"/>
      <c r="L20" s="17">
        <f>IF($D20="","",IF($K20&lt;&gt;"","Received "&amp;TEXT($K20,"mm/dd"),IF(AND(ISNUMBER($J20),TODAY()&gt;$J20),"OVERDUE","Pending")))</f>
        <v/>
      </c>
      <c r="M20" s="16" t="n"/>
      <c r="N20" s="16" t="n"/>
    </row>
    <row r="21">
      <c r="B21" s="17">
        <f>IF($D21="","","ME"&amp;TEXT(ROW()-5,"000"))</f>
        <v/>
      </c>
      <c r="C21" s="18" t="n"/>
      <c r="D21" s="16" t="n"/>
      <c r="E21" s="17">
        <f>IF($D21="","",IFERROR(INDEX(rngCadetPIDs,MATCH($D21,rngCadetNames,0)),"?"))</f>
        <v/>
      </c>
      <c r="F21" s="16" t="n"/>
      <c r="G21" s="16" t="n"/>
      <c r="H21" s="19">
        <f>IF(OR($D21="",$C21=""),"",_xlfn.LET(_xlpm.dn,IFERROR(_xlfn.XLOOKUP($C21,nrCDdate,nrCDnum),""),IF(_xlpm.dn="","(not a class day)",IFERROR(_xlfn.XLOOKUP(_xlpm.dn+cfgMemoDueClassDays,nrCDnum,nrCDdate),""))))</f>
        <v/>
      </c>
      <c r="I21" s="18" t="n"/>
      <c r="J21" s="19">
        <f>IF($D21="","",IF($I21&lt;&gt;"",$I21,IF(ISNUMBER($H21),$H21,"")))</f>
        <v/>
      </c>
      <c r="K21" s="18" t="n"/>
      <c r="L21" s="17">
        <f>IF($D21="","",IF($K21&lt;&gt;"","Received "&amp;TEXT($K21,"mm/dd"),IF(AND(ISNUMBER($J21),TODAY()&gt;$J21),"OVERDUE","Pending")))</f>
        <v/>
      </c>
      <c r="M21" s="16" t="n"/>
      <c r="N21" s="16" t="n"/>
    </row>
    <row r="22">
      <c r="B22" s="17">
        <f>IF($D22="","","ME"&amp;TEXT(ROW()-5,"000"))</f>
        <v/>
      </c>
      <c r="C22" s="18" t="n"/>
      <c r="D22" s="16" t="n"/>
      <c r="E22" s="17">
        <f>IF($D22="","",IFERROR(INDEX(rngCadetPIDs,MATCH($D22,rngCadetNames,0)),"?"))</f>
        <v/>
      </c>
      <c r="F22" s="16" t="n"/>
      <c r="G22" s="16" t="n"/>
      <c r="H22" s="19">
        <f>IF(OR($D22="",$C22=""),"",_xlfn.LET(_xlpm.dn,IFERROR(_xlfn.XLOOKUP($C22,nrCDdate,nrCDnum),""),IF(_xlpm.dn="","(not a class day)",IFERROR(_xlfn.XLOOKUP(_xlpm.dn+cfgMemoDueClassDays,nrCDnum,nrCDdate),""))))</f>
        <v/>
      </c>
      <c r="I22" s="18" t="n"/>
      <c r="J22" s="19">
        <f>IF($D22="","",IF($I22&lt;&gt;"",$I22,IF(ISNUMBER($H22),$H22,"")))</f>
        <v/>
      </c>
      <c r="K22" s="18" t="n"/>
      <c r="L22" s="17">
        <f>IF($D22="","",IF($K22&lt;&gt;"","Received "&amp;TEXT($K22,"mm/dd"),IF(AND(ISNUMBER($J22),TODAY()&gt;$J22),"OVERDUE","Pending")))</f>
        <v/>
      </c>
      <c r="M22" s="16" t="n"/>
      <c r="N22" s="16" t="n"/>
    </row>
    <row r="23">
      <c r="B23" s="17">
        <f>IF($D23="","","ME"&amp;TEXT(ROW()-5,"000"))</f>
        <v/>
      </c>
      <c r="C23" s="18" t="n"/>
      <c r="D23" s="16" t="n"/>
      <c r="E23" s="17">
        <f>IF($D23="","",IFERROR(INDEX(rngCadetPIDs,MATCH($D23,rngCadetNames,0)),"?"))</f>
        <v/>
      </c>
      <c r="F23" s="16" t="n"/>
      <c r="G23" s="16" t="n"/>
      <c r="H23" s="19">
        <f>IF(OR($D23="",$C23=""),"",_xlfn.LET(_xlpm.dn,IFERROR(_xlfn.XLOOKUP($C23,nrCDdate,nrCDnum),""),IF(_xlpm.dn="","(not a class day)",IFERROR(_xlfn.XLOOKUP(_xlpm.dn+cfgMemoDueClassDays,nrCDnum,nrCDdate),""))))</f>
        <v/>
      </c>
      <c r="I23" s="18" t="n"/>
      <c r="J23" s="19">
        <f>IF($D23="","",IF($I23&lt;&gt;"",$I23,IF(ISNUMBER($H23),$H23,"")))</f>
        <v/>
      </c>
      <c r="K23" s="18" t="n"/>
      <c r="L23" s="17">
        <f>IF($D23="","",IF($K23&lt;&gt;"","Received "&amp;TEXT($K23,"mm/dd"),IF(AND(ISNUMBER($J23),TODAY()&gt;$J23),"OVERDUE","Pending")))</f>
        <v/>
      </c>
      <c r="M23" s="16" t="n"/>
      <c r="N23" s="16" t="n"/>
    </row>
    <row r="24">
      <c r="B24" s="17">
        <f>IF($D24="","","ME"&amp;TEXT(ROW()-5,"000"))</f>
        <v/>
      </c>
      <c r="C24" s="18" t="n"/>
      <c r="D24" s="16" t="n"/>
      <c r="E24" s="17">
        <f>IF($D24="","",IFERROR(INDEX(rngCadetPIDs,MATCH($D24,rngCadetNames,0)),"?"))</f>
        <v/>
      </c>
      <c r="F24" s="16" t="n"/>
      <c r="G24" s="16" t="n"/>
      <c r="H24" s="19">
        <f>IF(OR($D24="",$C24=""),"",_xlfn.LET(_xlpm.dn,IFERROR(_xlfn.XLOOKUP($C24,nrCDdate,nrCDnum),""),IF(_xlpm.dn="","(not a class day)",IFERROR(_xlfn.XLOOKUP(_xlpm.dn+cfgMemoDueClassDays,nrCDnum,nrCDdate),""))))</f>
        <v/>
      </c>
      <c r="I24" s="18" t="n"/>
      <c r="J24" s="19">
        <f>IF($D24="","",IF($I24&lt;&gt;"",$I24,IF(ISNUMBER($H24),$H24,"")))</f>
        <v/>
      </c>
      <c r="K24" s="18" t="n"/>
      <c r="L24" s="17">
        <f>IF($D24="","",IF($K24&lt;&gt;"","Received "&amp;TEXT($K24,"mm/dd"),IF(AND(ISNUMBER($J24),TODAY()&gt;$J24),"OVERDUE","Pending")))</f>
        <v/>
      </c>
      <c r="M24" s="16" t="n"/>
      <c r="N24" s="16" t="n"/>
    </row>
    <row r="25">
      <c r="B25" s="17">
        <f>IF($D25="","","ME"&amp;TEXT(ROW()-5,"000"))</f>
        <v/>
      </c>
      <c r="C25" s="18" t="n"/>
      <c r="D25" s="16" t="n"/>
      <c r="E25" s="17">
        <f>IF($D25="","",IFERROR(INDEX(rngCadetPIDs,MATCH($D25,rngCadetNames,0)),"?"))</f>
        <v/>
      </c>
      <c r="F25" s="16" t="n"/>
      <c r="G25" s="16" t="n"/>
      <c r="H25" s="19">
        <f>IF(OR($D25="",$C25=""),"",_xlfn.LET(_xlpm.dn,IFERROR(_xlfn.XLOOKUP($C25,nrCDdate,nrCDnum),""),IF(_xlpm.dn="","(not a class day)",IFERROR(_xlfn.XLOOKUP(_xlpm.dn+cfgMemoDueClassDays,nrCDnum,nrCDdate),""))))</f>
        <v/>
      </c>
      <c r="I25" s="18" t="n"/>
      <c r="J25" s="19">
        <f>IF($D25="","",IF($I25&lt;&gt;"",$I25,IF(ISNUMBER($H25),$H25,"")))</f>
        <v/>
      </c>
      <c r="K25" s="18" t="n"/>
      <c r="L25" s="17">
        <f>IF($D25="","",IF($K25&lt;&gt;"","Received "&amp;TEXT($K25,"mm/dd"),IF(AND(ISNUMBER($J25),TODAY()&gt;$J25),"OVERDUE","Pending")))</f>
        <v/>
      </c>
      <c r="M25" s="16" t="n"/>
      <c r="N25" s="16" t="n"/>
    </row>
    <row r="26">
      <c r="B26" s="17">
        <f>IF($D26="","","ME"&amp;TEXT(ROW()-5,"000"))</f>
        <v/>
      </c>
      <c r="C26" s="18" t="n"/>
      <c r="D26" s="16" t="n"/>
      <c r="E26" s="17">
        <f>IF($D26="","",IFERROR(INDEX(rngCadetPIDs,MATCH($D26,rngCadetNames,0)),"?"))</f>
        <v/>
      </c>
      <c r="F26" s="16" t="n"/>
      <c r="G26" s="16" t="n"/>
      <c r="H26" s="19">
        <f>IF(OR($D26="",$C26=""),"",_xlfn.LET(_xlpm.dn,IFERROR(_xlfn.XLOOKUP($C26,nrCDdate,nrCDnum),""),IF(_xlpm.dn="","(not a class day)",IFERROR(_xlfn.XLOOKUP(_xlpm.dn+cfgMemoDueClassDays,nrCDnum,nrCDdate),""))))</f>
        <v/>
      </c>
      <c r="I26" s="18" t="n"/>
      <c r="J26" s="19">
        <f>IF($D26="","",IF($I26&lt;&gt;"",$I26,IF(ISNUMBER($H26),$H26,"")))</f>
        <v/>
      </c>
      <c r="K26" s="18" t="n"/>
      <c r="L26" s="17">
        <f>IF($D26="","",IF($K26&lt;&gt;"","Received "&amp;TEXT($K26,"mm/dd"),IF(AND(ISNUMBER($J26),TODAY()&gt;$J26),"OVERDUE","Pending")))</f>
        <v/>
      </c>
      <c r="M26" s="16" t="n"/>
      <c r="N26" s="16" t="n"/>
    </row>
    <row r="27">
      <c r="B27" s="17">
        <f>IF($D27="","","ME"&amp;TEXT(ROW()-5,"000"))</f>
        <v/>
      </c>
      <c r="C27" s="18" t="n"/>
      <c r="D27" s="16" t="n"/>
      <c r="E27" s="17">
        <f>IF($D27="","",IFERROR(INDEX(rngCadetPIDs,MATCH($D27,rngCadetNames,0)),"?"))</f>
        <v/>
      </c>
      <c r="F27" s="16" t="n"/>
      <c r="G27" s="16" t="n"/>
      <c r="H27" s="19">
        <f>IF(OR($D27="",$C27=""),"",_xlfn.LET(_xlpm.dn,IFERROR(_xlfn.XLOOKUP($C27,nrCDdate,nrCDnum),""),IF(_xlpm.dn="","(not a class day)",IFERROR(_xlfn.XLOOKUP(_xlpm.dn+cfgMemoDueClassDays,nrCDnum,nrCDdate),""))))</f>
        <v/>
      </c>
      <c r="I27" s="18" t="n"/>
      <c r="J27" s="19">
        <f>IF($D27="","",IF($I27&lt;&gt;"",$I27,IF(ISNUMBER($H27),$H27,"")))</f>
        <v/>
      </c>
      <c r="K27" s="18" t="n"/>
      <c r="L27" s="17">
        <f>IF($D27="","",IF($K27&lt;&gt;"","Received "&amp;TEXT($K27,"mm/dd"),IF(AND(ISNUMBER($J27),TODAY()&gt;$J27),"OVERDUE","Pending")))</f>
        <v/>
      </c>
      <c r="M27" s="16" t="n"/>
      <c r="N27" s="16" t="n"/>
    </row>
    <row r="28">
      <c r="B28" s="17">
        <f>IF($D28="","","ME"&amp;TEXT(ROW()-5,"000"))</f>
        <v/>
      </c>
      <c r="C28" s="18" t="n"/>
      <c r="D28" s="16" t="n"/>
      <c r="E28" s="17">
        <f>IF($D28="","",IFERROR(INDEX(rngCadetPIDs,MATCH($D28,rngCadetNames,0)),"?"))</f>
        <v/>
      </c>
      <c r="F28" s="16" t="n"/>
      <c r="G28" s="16" t="n"/>
      <c r="H28" s="19">
        <f>IF(OR($D28="",$C28=""),"",_xlfn.LET(_xlpm.dn,IFERROR(_xlfn.XLOOKUP($C28,nrCDdate,nrCDnum),""),IF(_xlpm.dn="","(not a class day)",IFERROR(_xlfn.XLOOKUP(_xlpm.dn+cfgMemoDueClassDays,nrCDnum,nrCDdate),""))))</f>
        <v/>
      </c>
      <c r="I28" s="18" t="n"/>
      <c r="J28" s="19">
        <f>IF($D28="","",IF($I28&lt;&gt;"",$I28,IF(ISNUMBER($H28),$H28,"")))</f>
        <v/>
      </c>
      <c r="K28" s="18" t="n"/>
      <c r="L28" s="17">
        <f>IF($D28="","",IF($K28&lt;&gt;"","Received "&amp;TEXT($K28,"mm/dd"),IF(AND(ISNUMBER($J28),TODAY()&gt;$J28),"OVERDUE","Pending")))</f>
        <v/>
      </c>
      <c r="M28" s="16" t="n"/>
      <c r="N28" s="16" t="n"/>
    </row>
    <row r="29">
      <c r="B29" s="17">
        <f>IF($D29="","","ME"&amp;TEXT(ROW()-5,"000"))</f>
        <v/>
      </c>
      <c r="C29" s="18" t="n"/>
      <c r="D29" s="16" t="n"/>
      <c r="E29" s="17">
        <f>IF($D29="","",IFERROR(INDEX(rngCadetPIDs,MATCH($D29,rngCadetNames,0)),"?"))</f>
        <v/>
      </c>
      <c r="F29" s="16" t="n"/>
      <c r="G29" s="16" t="n"/>
      <c r="H29" s="19">
        <f>IF(OR($D29="",$C29=""),"",_xlfn.LET(_xlpm.dn,IFERROR(_xlfn.XLOOKUP($C29,nrCDdate,nrCDnum),""),IF(_xlpm.dn="","(not a class day)",IFERROR(_xlfn.XLOOKUP(_xlpm.dn+cfgMemoDueClassDays,nrCDnum,nrCDdate),""))))</f>
        <v/>
      </c>
      <c r="I29" s="18" t="n"/>
      <c r="J29" s="19">
        <f>IF($D29="","",IF($I29&lt;&gt;"",$I29,IF(ISNUMBER($H29),$H29,"")))</f>
        <v/>
      </c>
      <c r="K29" s="18" t="n"/>
      <c r="L29" s="17">
        <f>IF($D29="","",IF($K29&lt;&gt;"","Received "&amp;TEXT($K29,"mm/dd"),IF(AND(ISNUMBER($J29),TODAY()&gt;$J29),"OVERDUE","Pending")))</f>
        <v/>
      </c>
      <c r="M29" s="16" t="n"/>
      <c r="N29" s="16" t="n"/>
    </row>
    <row r="30">
      <c r="B30" s="17">
        <f>IF($D30="","","ME"&amp;TEXT(ROW()-5,"000"))</f>
        <v/>
      </c>
      <c r="C30" s="18" t="n"/>
      <c r="D30" s="16" t="n"/>
      <c r="E30" s="17">
        <f>IF($D30="","",IFERROR(INDEX(rngCadetPIDs,MATCH($D30,rngCadetNames,0)),"?"))</f>
        <v/>
      </c>
      <c r="F30" s="16" t="n"/>
      <c r="G30" s="16" t="n"/>
      <c r="H30" s="19">
        <f>IF(OR($D30="",$C30=""),"",_xlfn.LET(_xlpm.dn,IFERROR(_xlfn.XLOOKUP($C30,nrCDdate,nrCDnum),""),IF(_xlpm.dn="","(not a class day)",IFERROR(_xlfn.XLOOKUP(_xlpm.dn+cfgMemoDueClassDays,nrCDnum,nrCDdate),""))))</f>
        <v/>
      </c>
      <c r="I30" s="18" t="n"/>
      <c r="J30" s="19">
        <f>IF($D30="","",IF($I30&lt;&gt;"",$I30,IF(ISNUMBER($H30),$H30,"")))</f>
        <v/>
      </c>
      <c r="K30" s="18" t="n"/>
      <c r="L30" s="17">
        <f>IF($D30="","",IF($K30&lt;&gt;"","Received "&amp;TEXT($K30,"mm/dd"),IF(AND(ISNUMBER($J30),TODAY()&gt;$J30),"OVERDUE","Pending")))</f>
        <v/>
      </c>
      <c r="M30" s="16" t="n"/>
      <c r="N30" s="16" t="n"/>
    </row>
    <row r="31">
      <c r="B31" s="17">
        <f>IF($D31="","","ME"&amp;TEXT(ROW()-5,"000"))</f>
        <v/>
      </c>
      <c r="C31" s="18" t="n"/>
      <c r="D31" s="16" t="n"/>
      <c r="E31" s="17">
        <f>IF($D31="","",IFERROR(INDEX(rngCadetPIDs,MATCH($D31,rngCadetNames,0)),"?"))</f>
        <v/>
      </c>
      <c r="F31" s="16" t="n"/>
      <c r="G31" s="16" t="n"/>
      <c r="H31" s="19">
        <f>IF(OR($D31="",$C31=""),"",_xlfn.LET(_xlpm.dn,IFERROR(_xlfn.XLOOKUP($C31,nrCDdate,nrCDnum),""),IF(_xlpm.dn="","(not a class day)",IFERROR(_xlfn.XLOOKUP(_xlpm.dn+cfgMemoDueClassDays,nrCDnum,nrCDdate),""))))</f>
        <v/>
      </c>
      <c r="I31" s="18" t="n"/>
      <c r="J31" s="19">
        <f>IF($D31="","",IF($I31&lt;&gt;"",$I31,IF(ISNUMBER($H31),$H31,"")))</f>
        <v/>
      </c>
      <c r="K31" s="18" t="n"/>
      <c r="L31" s="17">
        <f>IF($D31="","",IF($K31&lt;&gt;"","Received "&amp;TEXT($K31,"mm/dd"),IF(AND(ISNUMBER($J31),TODAY()&gt;$J31),"OVERDUE","Pending")))</f>
        <v/>
      </c>
      <c r="M31" s="16" t="n"/>
      <c r="N31" s="16" t="n"/>
    </row>
    <row r="32">
      <c r="B32" s="17">
        <f>IF($D32="","","ME"&amp;TEXT(ROW()-5,"000"))</f>
        <v/>
      </c>
      <c r="C32" s="18" t="n"/>
      <c r="D32" s="16" t="n"/>
      <c r="E32" s="17">
        <f>IF($D32="","",IFERROR(INDEX(rngCadetPIDs,MATCH($D32,rngCadetNames,0)),"?"))</f>
        <v/>
      </c>
      <c r="F32" s="16" t="n"/>
      <c r="G32" s="16" t="n"/>
      <c r="H32" s="19">
        <f>IF(OR($D32="",$C32=""),"",_xlfn.LET(_xlpm.dn,IFERROR(_xlfn.XLOOKUP($C32,nrCDdate,nrCDnum),""),IF(_xlpm.dn="","(not a class day)",IFERROR(_xlfn.XLOOKUP(_xlpm.dn+cfgMemoDueClassDays,nrCDnum,nrCDdate),""))))</f>
        <v/>
      </c>
      <c r="I32" s="18" t="n"/>
      <c r="J32" s="19">
        <f>IF($D32="","",IF($I32&lt;&gt;"",$I32,IF(ISNUMBER($H32),$H32,"")))</f>
        <v/>
      </c>
      <c r="K32" s="18" t="n"/>
      <c r="L32" s="17">
        <f>IF($D32="","",IF($K32&lt;&gt;"","Received "&amp;TEXT($K32,"mm/dd"),IF(AND(ISNUMBER($J32),TODAY()&gt;$J32),"OVERDUE","Pending")))</f>
        <v/>
      </c>
      <c r="M32" s="16" t="n"/>
      <c r="N32" s="16" t="n"/>
    </row>
    <row r="33">
      <c r="B33" s="17">
        <f>IF($D33="","","ME"&amp;TEXT(ROW()-5,"000"))</f>
        <v/>
      </c>
      <c r="C33" s="18" t="n"/>
      <c r="D33" s="16" t="n"/>
      <c r="E33" s="17">
        <f>IF($D33="","",IFERROR(INDEX(rngCadetPIDs,MATCH($D33,rngCadetNames,0)),"?"))</f>
        <v/>
      </c>
      <c r="F33" s="16" t="n"/>
      <c r="G33" s="16" t="n"/>
      <c r="H33" s="19">
        <f>IF(OR($D33="",$C33=""),"",_xlfn.LET(_xlpm.dn,IFERROR(_xlfn.XLOOKUP($C33,nrCDdate,nrCDnum),""),IF(_xlpm.dn="","(not a class day)",IFERROR(_xlfn.XLOOKUP(_xlpm.dn+cfgMemoDueClassDays,nrCDnum,nrCDdate),""))))</f>
        <v/>
      </c>
      <c r="I33" s="18" t="n"/>
      <c r="J33" s="19">
        <f>IF($D33="","",IF($I33&lt;&gt;"",$I33,IF(ISNUMBER($H33),$H33,"")))</f>
        <v/>
      </c>
      <c r="K33" s="18" t="n"/>
      <c r="L33" s="17">
        <f>IF($D33="","",IF($K33&lt;&gt;"","Received "&amp;TEXT($K33,"mm/dd"),IF(AND(ISNUMBER($J33),TODAY()&gt;$J33),"OVERDUE","Pending")))</f>
        <v/>
      </c>
      <c r="M33" s="16" t="n"/>
      <c r="N33" s="16" t="n"/>
    </row>
    <row r="34">
      <c r="B34" s="17">
        <f>IF($D34="","","ME"&amp;TEXT(ROW()-5,"000"))</f>
        <v/>
      </c>
      <c r="C34" s="18" t="n"/>
      <c r="D34" s="16" t="n"/>
      <c r="E34" s="17">
        <f>IF($D34="","",IFERROR(INDEX(rngCadetPIDs,MATCH($D34,rngCadetNames,0)),"?"))</f>
        <v/>
      </c>
      <c r="F34" s="16" t="n"/>
      <c r="G34" s="16" t="n"/>
      <c r="H34" s="19">
        <f>IF(OR($D34="",$C34=""),"",_xlfn.LET(_xlpm.dn,IFERROR(_xlfn.XLOOKUP($C34,nrCDdate,nrCDnum),""),IF(_xlpm.dn="","(not a class day)",IFERROR(_xlfn.XLOOKUP(_xlpm.dn+cfgMemoDueClassDays,nrCDnum,nrCDdate),""))))</f>
        <v/>
      </c>
      <c r="I34" s="18" t="n"/>
      <c r="J34" s="19">
        <f>IF($D34="","",IF($I34&lt;&gt;"",$I34,IF(ISNUMBER($H34),$H34,"")))</f>
        <v/>
      </c>
      <c r="K34" s="18" t="n"/>
      <c r="L34" s="17">
        <f>IF($D34="","",IF($K34&lt;&gt;"","Received "&amp;TEXT($K34,"mm/dd"),IF(AND(ISNUMBER($J34),TODAY()&gt;$J34),"OVERDUE","Pending")))</f>
        <v/>
      </c>
      <c r="M34" s="16" t="n"/>
      <c r="N34" s="16" t="n"/>
    </row>
    <row r="35">
      <c r="B35" s="17">
        <f>IF($D35="","","ME"&amp;TEXT(ROW()-5,"000"))</f>
        <v/>
      </c>
      <c r="C35" s="18" t="n"/>
      <c r="D35" s="16" t="n"/>
      <c r="E35" s="17">
        <f>IF($D35="","",IFERROR(INDEX(rngCadetPIDs,MATCH($D35,rngCadetNames,0)),"?"))</f>
        <v/>
      </c>
      <c r="F35" s="16" t="n"/>
      <c r="G35" s="16" t="n"/>
      <c r="H35" s="19">
        <f>IF(OR($D35="",$C35=""),"",_xlfn.LET(_xlpm.dn,IFERROR(_xlfn.XLOOKUP($C35,nrCDdate,nrCDnum),""),IF(_xlpm.dn="","(not a class day)",IFERROR(_xlfn.XLOOKUP(_xlpm.dn+cfgMemoDueClassDays,nrCDnum,nrCDdate),""))))</f>
        <v/>
      </c>
      <c r="I35" s="18" t="n"/>
      <c r="J35" s="19">
        <f>IF($D35="","",IF($I35&lt;&gt;"",$I35,IF(ISNUMBER($H35),$H35,"")))</f>
        <v/>
      </c>
      <c r="K35" s="18" t="n"/>
      <c r="L35" s="17">
        <f>IF($D35="","",IF($K35&lt;&gt;"","Received "&amp;TEXT($K35,"mm/dd"),IF(AND(ISNUMBER($J35),TODAY()&gt;$J35),"OVERDUE","Pending")))</f>
        <v/>
      </c>
      <c r="M35" s="16" t="n"/>
      <c r="N35" s="16" t="n"/>
    </row>
    <row r="36">
      <c r="B36" s="17">
        <f>IF($D36="","","ME"&amp;TEXT(ROW()-5,"000"))</f>
        <v/>
      </c>
      <c r="C36" s="18" t="n"/>
      <c r="D36" s="16" t="n"/>
      <c r="E36" s="17">
        <f>IF($D36="","",IFERROR(INDEX(rngCadetPIDs,MATCH($D36,rngCadetNames,0)),"?"))</f>
        <v/>
      </c>
      <c r="F36" s="16" t="n"/>
      <c r="G36" s="16" t="n"/>
      <c r="H36" s="19">
        <f>IF(OR($D36="",$C36=""),"",_xlfn.LET(_xlpm.dn,IFERROR(_xlfn.XLOOKUP($C36,nrCDdate,nrCDnum),""),IF(_xlpm.dn="","(not a class day)",IFERROR(_xlfn.XLOOKUP(_xlpm.dn+cfgMemoDueClassDays,nrCDnum,nrCDdate),""))))</f>
        <v/>
      </c>
      <c r="I36" s="18" t="n"/>
      <c r="J36" s="19">
        <f>IF($D36="","",IF($I36&lt;&gt;"",$I36,IF(ISNUMBER($H36),$H36,"")))</f>
        <v/>
      </c>
      <c r="K36" s="18" t="n"/>
      <c r="L36" s="17">
        <f>IF($D36="","",IF($K36&lt;&gt;"","Received "&amp;TEXT($K36,"mm/dd"),IF(AND(ISNUMBER($J36),TODAY()&gt;$J36),"OVERDUE","Pending")))</f>
        <v/>
      </c>
      <c r="M36" s="16" t="n"/>
      <c r="N36" s="16" t="n"/>
    </row>
    <row r="37">
      <c r="B37" s="17">
        <f>IF($D37="","","ME"&amp;TEXT(ROW()-5,"000"))</f>
        <v/>
      </c>
      <c r="C37" s="18" t="n"/>
      <c r="D37" s="16" t="n"/>
      <c r="E37" s="17">
        <f>IF($D37="","",IFERROR(INDEX(rngCadetPIDs,MATCH($D37,rngCadetNames,0)),"?"))</f>
        <v/>
      </c>
      <c r="F37" s="16" t="n"/>
      <c r="G37" s="16" t="n"/>
      <c r="H37" s="19">
        <f>IF(OR($D37="",$C37=""),"",_xlfn.LET(_xlpm.dn,IFERROR(_xlfn.XLOOKUP($C37,nrCDdate,nrCDnum),""),IF(_xlpm.dn="","(not a class day)",IFERROR(_xlfn.XLOOKUP(_xlpm.dn+cfgMemoDueClassDays,nrCDnum,nrCDdate),""))))</f>
        <v/>
      </c>
      <c r="I37" s="18" t="n"/>
      <c r="J37" s="19">
        <f>IF($D37="","",IF($I37&lt;&gt;"",$I37,IF(ISNUMBER($H37),$H37,"")))</f>
        <v/>
      </c>
      <c r="K37" s="18" t="n"/>
      <c r="L37" s="17">
        <f>IF($D37="","",IF($K37&lt;&gt;"","Received "&amp;TEXT($K37,"mm/dd"),IF(AND(ISNUMBER($J37),TODAY()&gt;$J37),"OVERDUE","Pending")))</f>
        <v/>
      </c>
      <c r="M37" s="16" t="n"/>
      <c r="N37" s="16" t="n"/>
    </row>
    <row r="38">
      <c r="B38" s="17">
        <f>IF($D38="","","ME"&amp;TEXT(ROW()-5,"000"))</f>
        <v/>
      </c>
      <c r="C38" s="18" t="n"/>
      <c r="D38" s="16" t="n"/>
      <c r="E38" s="17">
        <f>IF($D38="","",IFERROR(INDEX(rngCadetPIDs,MATCH($D38,rngCadetNames,0)),"?"))</f>
        <v/>
      </c>
      <c r="F38" s="16" t="n"/>
      <c r="G38" s="16" t="n"/>
      <c r="H38" s="19">
        <f>IF(OR($D38="",$C38=""),"",_xlfn.LET(_xlpm.dn,IFERROR(_xlfn.XLOOKUP($C38,nrCDdate,nrCDnum),""),IF(_xlpm.dn="","(not a class day)",IFERROR(_xlfn.XLOOKUP(_xlpm.dn+cfgMemoDueClassDays,nrCDnum,nrCDdate),""))))</f>
        <v/>
      </c>
      <c r="I38" s="18" t="n"/>
      <c r="J38" s="19">
        <f>IF($D38="","",IF($I38&lt;&gt;"",$I38,IF(ISNUMBER($H38),$H38,"")))</f>
        <v/>
      </c>
      <c r="K38" s="18" t="n"/>
      <c r="L38" s="17">
        <f>IF($D38="","",IF($K38&lt;&gt;"","Received "&amp;TEXT($K38,"mm/dd"),IF(AND(ISNUMBER($J38),TODAY()&gt;$J38),"OVERDUE","Pending")))</f>
        <v/>
      </c>
      <c r="M38" s="16" t="n"/>
      <c r="N38" s="16" t="n"/>
    </row>
    <row r="39">
      <c r="B39" s="17">
        <f>IF($D39="","","ME"&amp;TEXT(ROW()-5,"000"))</f>
        <v/>
      </c>
      <c r="C39" s="18" t="n"/>
      <c r="D39" s="16" t="n"/>
      <c r="E39" s="17">
        <f>IF($D39="","",IFERROR(INDEX(rngCadetPIDs,MATCH($D39,rngCadetNames,0)),"?"))</f>
        <v/>
      </c>
      <c r="F39" s="16" t="n"/>
      <c r="G39" s="16" t="n"/>
      <c r="H39" s="19">
        <f>IF(OR($D39="",$C39=""),"",_xlfn.LET(_xlpm.dn,IFERROR(_xlfn.XLOOKUP($C39,nrCDdate,nrCDnum),""),IF(_xlpm.dn="","(not a class day)",IFERROR(_xlfn.XLOOKUP(_xlpm.dn+cfgMemoDueClassDays,nrCDnum,nrCDdate),""))))</f>
        <v/>
      </c>
      <c r="I39" s="18" t="n"/>
      <c r="J39" s="19">
        <f>IF($D39="","",IF($I39&lt;&gt;"",$I39,IF(ISNUMBER($H39),$H39,"")))</f>
        <v/>
      </c>
      <c r="K39" s="18" t="n"/>
      <c r="L39" s="17">
        <f>IF($D39="","",IF($K39&lt;&gt;"","Received "&amp;TEXT($K39,"mm/dd"),IF(AND(ISNUMBER($J39),TODAY()&gt;$J39),"OVERDUE","Pending")))</f>
        <v/>
      </c>
      <c r="M39" s="16" t="n"/>
      <c r="N39" s="16" t="n"/>
    </row>
    <row r="40">
      <c r="B40" s="17">
        <f>IF($D40="","","ME"&amp;TEXT(ROW()-5,"000"))</f>
        <v/>
      </c>
      <c r="C40" s="18" t="n"/>
      <c r="D40" s="16" t="n"/>
      <c r="E40" s="17">
        <f>IF($D40="","",IFERROR(INDEX(rngCadetPIDs,MATCH($D40,rngCadetNames,0)),"?"))</f>
        <v/>
      </c>
      <c r="F40" s="16" t="n"/>
      <c r="G40" s="16" t="n"/>
      <c r="H40" s="19">
        <f>IF(OR($D40="",$C40=""),"",_xlfn.LET(_xlpm.dn,IFERROR(_xlfn.XLOOKUP($C40,nrCDdate,nrCDnum),""),IF(_xlpm.dn="","(not a class day)",IFERROR(_xlfn.XLOOKUP(_xlpm.dn+cfgMemoDueClassDays,nrCDnum,nrCDdate),""))))</f>
        <v/>
      </c>
      <c r="I40" s="18" t="n"/>
      <c r="J40" s="19">
        <f>IF($D40="","",IF($I40&lt;&gt;"",$I40,IF(ISNUMBER($H40),$H40,"")))</f>
        <v/>
      </c>
      <c r="K40" s="18" t="n"/>
      <c r="L40" s="17">
        <f>IF($D40="","",IF($K40&lt;&gt;"","Received "&amp;TEXT($K40,"mm/dd"),IF(AND(ISNUMBER($J40),TODAY()&gt;$J40),"OVERDUE","Pending")))</f>
        <v/>
      </c>
      <c r="M40" s="16" t="n"/>
      <c r="N40" s="16" t="n"/>
    </row>
    <row r="41">
      <c r="B41" s="17">
        <f>IF($D41="","","ME"&amp;TEXT(ROW()-5,"000"))</f>
        <v/>
      </c>
      <c r="C41" s="18" t="n"/>
      <c r="D41" s="16" t="n"/>
      <c r="E41" s="17">
        <f>IF($D41="","",IFERROR(INDEX(rngCadetPIDs,MATCH($D41,rngCadetNames,0)),"?"))</f>
        <v/>
      </c>
      <c r="F41" s="16" t="n"/>
      <c r="G41" s="16" t="n"/>
      <c r="H41" s="19">
        <f>IF(OR($D41="",$C41=""),"",_xlfn.LET(_xlpm.dn,IFERROR(_xlfn.XLOOKUP($C41,nrCDdate,nrCDnum),""),IF(_xlpm.dn="","(not a class day)",IFERROR(_xlfn.XLOOKUP(_xlpm.dn+cfgMemoDueClassDays,nrCDnum,nrCDdate),""))))</f>
        <v/>
      </c>
      <c r="I41" s="18" t="n"/>
      <c r="J41" s="19">
        <f>IF($D41="","",IF($I41&lt;&gt;"",$I41,IF(ISNUMBER($H41),$H41,"")))</f>
        <v/>
      </c>
      <c r="K41" s="18" t="n"/>
      <c r="L41" s="17">
        <f>IF($D41="","",IF($K41&lt;&gt;"","Received "&amp;TEXT($K41,"mm/dd"),IF(AND(ISNUMBER($J41),TODAY()&gt;$J41),"OVERDUE","Pending")))</f>
        <v/>
      </c>
      <c r="M41" s="16" t="n"/>
      <c r="N41" s="16" t="n"/>
    </row>
    <row r="42">
      <c r="B42" s="17">
        <f>IF($D42="","","ME"&amp;TEXT(ROW()-5,"000"))</f>
        <v/>
      </c>
      <c r="C42" s="18" t="n"/>
      <c r="D42" s="16" t="n"/>
      <c r="E42" s="17">
        <f>IF($D42="","",IFERROR(INDEX(rngCadetPIDs,MATCH($D42,rngCadetNames,0)),"?"))</f>
        <v/>
      </c>
      <c r="F42" s="16" t="n"/>
      <c r="G42" s="16" t="n"/>
      <c r="H42" s="19">
        <f>IF(OR($D42="",$C42=""),"",_xlfn.LET(_xlpm.dn,IFERROR(_xlfn.XLOOKUP($C42,nrCDdate,nrCDnum),""),IF(_xlpm.dn="","(not a class day)",IFERROR(_xlfn.XLOOKUP(_xlpm.dn+cfgMemoDueClassDays,nrCDnum,nrCDdate),""))))</f>
        <v/>
      </c>
      <c r="I42" s="18" t="n"/>
      <c r="J42" s="19">
        <f>IF($D42="","",IF($I42&lt;&gt;"",$I42,IF(ISNUMBER($H42),$H42,"")))</f>
        <v/>
      </c>
      <c r="K42" s="18" t="n"/>
      <c r="L42" s="17">
        <f>IF($D42="","",IF($K42&lt;&gt;"","Received "&amp;TEXT($K42,"mm/dd"),IF(AND(ISNUMBER($J42),TODAY()&gt;$J42),"OVERDUE","Pending")))</f>
        <v/>
      </c>
      <c r="M42" s="16" t="n"/>
      <c r="N42" s="16" t="n"/>
    </row>
    <row r="43">
      <c r="B43" s="17">
        <f>IF($D43="","","ME"&amp;TEXT(ROW()-5,"000"))</f>
        <v/>
      </c>
      <c r="C43" s="18" t="n"/>
      <c r="D43" s="16" t="n"/>
      <c r="E43" s="17">
        <f>IF($D43="","",IFERROR(INDEX(rngCadetPIDs,MATCH($D43,rngCadetNames,0)),"?"))</f>
        <v/>
      </c>
      <c r="F43" s="16" t="n"/>
      <c r="G43" s="16" t="n"/>
      <c r="H43" s="19">
        <f>IF(OR($D43="",$C43=""),"",_xlfn.LET(_xlpm.dn,IFERROR(_xlfn.XLOOKUP($C43,nrCDdate,nrCDnum),""),IF(_xlpm.dn="","(not a class day)",IFERROR(_xlfn.XLOOKUP(_xlpm.dn+cfgMemoDueClassDays,nrCDnum,nrCDdate),""))))</f>
        <v/>
      </c>
      <c r="I43" s="18" t="n"/>
      <c r="J43" s="19">
        <f>IF($D43="","",IF($I43&lt;&gt;"",$I43,IF(ISNUMBER($H43),$H43,"")))</f>
        <v/>
      </c>
      <c r="K43" s="18" t="n"/>
      <c r="L43" s="17">
        <f>IF($D43="","",IF($K43&lt;&gt;"","Received "&amp;TEXT($K43,"mm/dd"),IF(AND(ISNUMBER($J43),TODAY()&gt;$J43),"OVERDUE","Pending")))</f>
        <v/>
      </c>
      <c r="M43" s="16" t="n"/>
      <c r="N43" s="16" t="n"/>
    </row>
    <row r="44">
      <c r="B44" s="17">
        <f>IF($D44="","","ME"&amp;TEXT(ROW()-5,"000"))</f>
        <v/>
      </c>
      <c r="C44" s="18" t="n"/>
      <c r="D44" s="16" t="n"/>
      <c r="E44" s="17">
        <f>IF($D44="","",IFERROR(INDEX(rngCadetPIDs,MATCH($D44,rngCadetNames,0)),"?"))</f>
        <v/>
      </c>
      <c r="F44" s="16" t="n"/>
      <c r="G44" s="16" t="n"/>
      <c r="H44" s="19">
        <f>IF(OR($D44="",$C44=""),"",_xlfn.LET(_xlpm.dn,IFERROR(_xlfn.XLOOKUP($C44,nrCDdate,nrCDnum),""),IF(_xlpm.dn="","(not a class day)",IFERROR(_xlfn.XLOOKUP(_xlpm.dn+cfgMemoDueClassDays,nrCDnum,nrCDdate),""))))</f>
        <v/>
      </c>
      <c r="I44" s="18" t="n"/>
      <c r="J44" s="19">
        <f>IF($D44="","",IF($I44&lt;&gt;"",$I44,IF(ISNUMBER($H44),$H44,"")))</f>
        <v/>
      </c>
      <c r="K44" s="18" t="n"/>
      <c r="L44" s="17">
        <f>IF($D44="","",IF($K44&lt;&gt;"","Received "&amp;TEXT($K44,"mm/dd"),IF(AND(ISNUMBER($J44),TODAY()&gt;$J44),"OVERDUE","Pending")))</f>
        <v/>
      </c>
      <c r="M44" s="16" t="n"/>
      <c r="N44" s="16" t="n"/>
    </row>
    <row r="45">
      <c r="B45" s="17">
        <f>IF($D45="","","ME"&amp;TEXT(ROW()-5,"000"))</f>
        <v/>
      </c>
      <c r="C45" s="18" t="n"/>
      <c r="D45" s="16" t="n"/>
      <c r="E45" s="17">
        <f>IF($D45="","",IFERROR(INDEX(rngCadetPIDs,MATCH($D45,rngCadetNames,0)),"?"))</f>
        <v/>
      </c>
      <c r="F45" s="16" t="n"/>
      <c r="G45" s="16" t="n"/>
      <c r="H45" s="19">
        <f>IF(OR($D45="",$C45=""),"",_xlfn.LET(_xlpm.dn,IFERROR(_xlfn.XLOOKUP($C45,nrCDdate,nrCDnum),""),IF(_xlpm.dn="","(not a class day)",IFERROR(_xlfn.XLOOKUP(_xlpm.dn+cfgMemoDueClassDays,nrCDnum,nrCDdate),""))))</f>
        <v/>
      </c>
      <c r="I45" s="18" t="n"/>
      <c r="J45" s="19">
        <f>IF($D45="","",IF($I45&lt;&gt;"",$I45,IF(ISNUMBER($H45),$H45,"")))</f>
        <v/>
      </c>
      <c r="K45" s="18" t="n"/>
      <c r="L45" s="17">
        <f>IF($D45="","",IF($K45&lt;&gt;"","Received "&amp;TEXT($K45,"mm/dd"),IF(AND(ISNUMBER($J45),TODAY()&gt;$J45),"OVERDUE","Pending")))</f>
        <v/>
      </c>
      <c r="M45" s="16" t="n"/>
      <c r="N45" s="16" t="n"/>
    </row>
    <row r="46">
      <c r="B46" s="17">
        <f>IF($D46="","","ME"&amp;TEXT(ROW()-5,"000"))</f>
        <v/>
      </c>
      <c r="C46" s="18" t="n"/>
      <c r="D46" s="16" t="n"/>
      <c r="E46" s="17">
        <f>IF($D46="","",IFERROR(INDEX(rngCadetPIDs,MATCH($D46,rngCadetNames,0)),"?"))</f>
        <v/>
      </c>
      <c r="F46" s="16" t="n"/>
      <c r="G46" s="16" t="n"/>
      <c r="H46" s="19">
        <f>IF(OR($D46="",$C46=""),"",_xlfn.LET(_xlpm.dn,IFERROR(_xlfn.XLOOKUP($C46,nrCDdate,nrCDnum),""),IF(_xlpm.dn="","(not a class day)",IFERROR(_xlfn.XLOOKUP(_xlpm.dn+cfgMemoDueClassDays,nrCDnum,nrCDdate),""))))</f>
        <v/>
      </c>
      <c r="I46" s="18" t="n"/>
      <c r="J46" s="19">
        <f>IF($D46="","",IF($I46&lt;&gt;"",$I46,IF(ISNUMBER($H46),$H46,"")))</f>
        <v/>
      </c>
      <c r="K46" s="18" t="n"/>
      <c r="L46" s="17">
        <f>IF($D46="","",IF($K46&lt;&gt;"","Received "&amp;TEXT($K46,"mm/dd"),IF(AND(ISNUMBER($J46),TODAY()&gt;$J46),"OVERDUE","Pending")))</f>
        <v/>
      </c>
      <c r="M46" s="16" t="n"/>
      <c r="N46" s="16" t="n"/>
    </row>
    <row r="47">
      <c r="B47" s="17">
        <f>IF($D47="","","ME"&amp;TEXT(ROW()-5,"000"))</f>
        <v/>
      </c>
      <c r="C47" s="18" t="n"/>
      <c r="D47" s="16" t="n"/>
      <c r="E47" s="17">
        <f>IF($D47="","",IFERROR(INDEX(rngCadetPIDs,MATCH($D47,rngCadetNames,0)),"?"))</f>
        <v/>
      </c>
      <c r="F47" s="16" t="n"/>
      <c r="G47" s="16" t="n"/>
      <c r="H47" s="19">
        <f>IF(OR($D47="",$C47=""),"",_xlfn.LET(_xlpm.dn,IFERROR(_xlfn.XLOOKUP($C47,nrCDdate,nrCDnum),""),IF(_xlpm.dn="","(not a class day)",IFERROR(_xlfn.XLOOKUP(_xlpm.dn+cfgMemoDueClassDays,nrCDnum,nrCDdate),""))))</f>
        <v/>
      </c>
      <c r="I47" s="18" t="n"/>
      <c r="J47" s="19">
        <f>IF($D47="","",IF($I47&lt;&gt;"",$I47,IF(ISNUMBER($H47),$H47,"")))</f>
        <v/>
      </c>
      <c r="K47" s="18" t="n"/>
      <c r="L47" s="17">
        <f>IF($D47="","",IF($K47&lt;&gt;"","Received "&amp;TEXT($K47,"mm/dd"),IF(AND(ISNUMBER($J47),TODAY()&gt;$J47),"OVERDUE","Pending")))</f>
        <v/>
      </c>
      <c r="M47" s="16" t="n"/>
      <c r="N47" s="16" t="n"/>
    </row>
    <row r="48">
      <c r="B48" s="17">
        <f>IF($D48="","","ME"&amp;TEXT(ROW()-5,"000"))</f>
        <v/>
      </c>
      <c r="C48" s="18" t="n"/>
      <c r="D48" s="16" t="n"/>
      <c r="E48" s="17">
        <f>IF($D48="","",IFERROR(INDEX(rngCadetPIDs,MATCH($D48,rngCadetNames,0)),"?"))</f>
        <v/>
      </c>
      <c r="F48" s="16" t="n"/>
      <c r="G48" s="16" t="n"/>
      <c r="H48" s="19">
        <f>IF(OR($D48="",$C48=""),"",_xlfn.LET(_xlpm.dn,IFERROR(_xlfn.XLOOKUP($C48,nrCDdate,nrCDnum),""),IF(_xlpm.dn="","(not a class day)",IFERROR(_xlfn.XLOOKUP(_xlpm.dn+cfgMemoDueClassDays,nrCDnum,nrCDdate),""))))</f>
        <v/>
      </c>
      <c r="I48" s="18" t="n"/>
      <c r="J48" s="19">
        <f>IF($D48="","",IF($I48&lt;&gt;"",$I48,IF(ISNUMBER($H48),$H48,"")))</f>
        <v/>
      </c>
      <c r="K48" s="18" t="n"/>
      <c r="L48" s="17">
        <f>IF($D48="","",IF($K48&lt;&gt;"","Received "&amp;TEXT($K48,"mm/dd"),IF(AND(ISNUMBER($J48),TODAY()&gt;$J48),"OVERDUE","Pending")))</f>
        <v/>
      </c>
      <c r="M48" s="16" t="n"/>
      <c r="N48" s="16" t="n"/>
    </row>
    <row r="49">
      <c r="B49" s="17">
        <f>IF($D49="","","ME"&amp;TEXT(ROW()-5,"000"))</f>
        <v/>
      </c>
      <c r="C49" s="18" t="n"/>
      <c r="D49" s="16" t="n"/>
      <c r="E49" s="17">
        <f>IF($D49="","",IFERROR(INDEX(rngCadetPIDs,MATCH($D49,rngCadetNames,0)),"?"))</f>
        <v/>
      </c>
      <c r="F49" s="16" t="n"/>
      <c r="G49" s="16" t="n"/>
      <c r="H49" s="19">
        <f>IF(OR($D49="",$C49=""),"",_xlfn.LET(_xlpm.dn,IFERROR(_xlfn.XLOOKUP($C49,nrCDdate,nrCDnum),""),IF(_xlpm.dn="","(not a class day)",IFERROR(_xlfn.XLOOKUP(_xlpm.dn+cfgMemoDueClassDays,nrCDnum,nrCDdate),""))))</f>
        <v/>
      </c>
      <c r="I49" s="18" t="n"/>
      <c r="J49" s="19">
        <f>IF($D49="","",IF($I49&lt;&gt;"",$I49,IF(ISNUMBER($H49),$H49,"")))</f>
        <v/>
      </c>
      <c r="K49" s="18" t="n"/>
      <c r="L49" s="17">
        <f>IF($D49="","",IF($K49&lt;&gt;"","Received "&amp;TEXT($K49,"mm/dd"),IF(AND(ISNUMBER($J49),TODAY()&gt;$J49),"OVERDUE","Pending")))</f>
        <v/>
      </c>
      <c r="M49" s="16" t="n"/>
      <c r="N49" s="16" t="n"/>
    </row>
    <row r="50">
      <c r="B50" s="17">
        <f>IF($D50="","","ME"&amp;TEXT(ROW()-5,"000"))</f>
        <v/>
      </c>
      <c r="C50" s="18" t="n"/>
      <c r="D50" s="16" t="n"/>
      <c r="E50" s="17">
        <f>IF($D50="","",IFERROR(INDEX(rngCadetPIDs,MATCH($D50,rngCadetNames,0)),"?"))</f>
        <v/>
      </c>
      <c r="F50" s="16" t="n"/>
      <c r="G50" s="16" t="n"/>
      <c r="H50" s="19">
        <f>IF(OR($D50="",$C50=""),"",_xlfn.LET(_xlpm.dn,IFERROR(_xlfn.XLOOKUP($C50,nrCDdate,nrCDnum),""),IF(_xlpm.dn="","(not a class day)",IFERROR(_xlfn.XLOOKUP(_xlpm.dn+cfgMemoDueClassDays,nrCDnum,nrCDdate),""))))</f>
        <v/>
      </c>
      <c r="I50" s="18" t="n"/>
      <c r="J50" s="19">
        <f>IF($D50="","",IF($I50&lt;&gt;"",$I50,IF(ISNUMBER($H50),$H50,"")))</f>
        <v/>
      </c>
      <c r="K50" s="18" t="n"/>
      <c r="L50" s="17">
        <f>IF($D50="","",IF($K50&lt;&gt;"","Received "&amp;TEXT($K50,"mm/dd"),IF(AND(ISNUMBER($J50),TODAY()&gt;$J50),"OVERDUE","Pending")))</f>
        <v/>
      </c>
      <c r="M50" s="16" t="n"/>
      <c r="N50" s="16" t="n"/>
    </row>
    <row r="51">
      <c r="B51" s="17">
        <f>IF($D51="","","ME"&amp;TEXT(ROW()-5,"000"))</f>
        <v/>
      </c>
      <c r="C51" s="18" t="n"/>
      <c r="D51" s="16" t="n"/>
      <c r="E51" s="17">
        <f>IF($D51="","",IFERROR(INDEX(rngCadetPIDs,MATCH($D51,rngCadetNames,0)),"?"))</f>
        <v/>
      </c>
      <c r="F51" s="16" t="n"/>
      <c r="G51" s="16" t="n"/>
      <c r="H51" s="19">
        <f>IF(OR($D51="",$C51=""),"",_xlfn.LET(_xlpm.dn,IFERROR(_xlfn.XLOOKUP($C51,nrCDdate,nrCDnum),""),IF(_xlpm.dn="","(not a class day)",IFERROR(_xlfn.XLOOKUP(_xlpm.dn+cfgMemoDueClassDays,nrCDnum,nrCDdate),""))))</f>
        <v/>
      </c>
      <c r="I51" s="18" t="n"/>
      <c r="J51" s="19">
        <f>IF($D51="","",IF($I51&lt;&gt;"",$I51,IF(ISNUMBER($H51),$H51,"")))</f>
        <v/>
      </c>
      <c r="K51" s="18" t="n"/>
      <c r="L51" s="17">
        <f>IF($D51="","",IF($K51&lt;&gt;"","Received "&amp;TEXT($K51,"mm/dd"),IF(AND(ISNUMBER($J51),TODAY()&gt;$J51),"OVERDUE","Pending")))</f>
        <v/>
      </c>
      <c r="M51" s="16" t="n"/>
      <c r="N51" s="16" t="n"/>
    </row>
    <row r="52">
      <c r="B52" s="17">
        <f>IF($D52="","","ME"&amp;TEXT(ROW()-5,"000"))</f>
        <v/>
      </c>
      <c r="C52" s="18" t="n"/>
      <c r="D52" s="16" t="n"/>
      <c r="E52" s="17">
        <f>IF($D52="","",IFERROR(INDEX(rngCadetPIDs,MATCH($D52,rngCadetNames,0)),"?"))</f>
        <v/>
      </c>
      <c r="F52" s="16" t="n"/>
      <c r="G52" s="16" t="n"/>
      <c r="H52" s="19">
        <f>IF(OR($D52="",$C52=""),"",_xlfn.LET(_xlpm.dn,IFERROR(_xlfn.XLOOKUP($C52,nrCDdate,nrCDnum),""),IF(_xlpm.dn="","(not a class day)",IFERROR(_xlfn.XLOOKUP(_xlpm.dn+cfgMemoDueClassDays,nrCDnum,nrCDdate),""))))</f>
        <v/>
      </c>
      <c r="I52" s="18" t="n"/>
      <c r="J52" s="19">
        <f>IF($D52="","",IF($I52&lt;&gt;"",$I52,IF(ISNUMBER($H52),$H52,"")))</f>
        <v/>
      </c>
      <c r="K52" s="18" t="n"/>
      <c r="L52" s="17">
        <f>IF($D52="","",IF($K52&lt;&gt;"","Received "&amp;TEXT($K52,"mm/dd"),IF(AND(ISNUMBER($J52),TODAY()&gt;$J52),"OVERDUE","Pending")))</f>
        <v/>
      </c>
      <c r="M52" s="16" t="n"/>
      <c r="N52" s="16" t="n"/>
    </row>
    <row r="53">
      <c r="B53" s="17">
        <f>IF($D53="","","ME"&amp;TEXT(ROW()-5,"000"))</f>
        <v/>
      </c>
      <c r="C53" s="18" t="n"/>
      <c r="D53" s="16" t="n"/>
      <c r="E53" s="17">
        <f>IF($D53="","",IFERROR(INDEX(rngCadetPIDs,MATCH($D53,rngCadetNames,0)),"?"))</f>
        <v/>
      </c>
      <c r="F53" s="16" t="n"/>
      <c r="G53" s="16" t="n"/>
      <c r="H53" s="19">
        <f>IF(OR($D53="",$C53=""),"",_xlfn.LET(_xlpm.dn,IFERROR(_xlfn.XLOOKUP($C53,nrCDdate,nrCDnum),""),IF(_xlpm.dn="","(not a class day)",IFERROR(_xlfn.XLOOKUP(_xlpm.dn+cfgMemoDueClassDays,nrCDnum,nrCDdate),""))))</f>
        <v/>
      </c>
      <c r="I53" s="18" t="n"/>
      <c r="J53" s="19">
        <f>IF($D53="","",IF($I53&lt;&gt;"",$I53,IF(ISNUMBER($H53),$H53,"")))</f>
        <v/>
      </c>
      <c r="K53" s="18" t="n"/>
      <c r="L53" s="17">
        <f>IF($D53="","",IF($K53&lt;&gt;"","Received "&amp;TEXT($K53,"mm/dd"),IF(AND(ISNUMBER($J53),TODAY()&gt;$J53),"OVERDUE","Pending")))</f>
        <v/>
      </c>
      <c r="M53" s="16" t="n"/>
      <c r="N53" s="16" t="n"/>
    </row>
    <row r="54">
      <c r="B54" s="17">
        <f>IF($D54="","","ME"&amp;TEXT(ROW()-5,"000"))</f>
        <v/>
      </c>
      <c r="C54" s="18" t="n"/>
      <c r="D54" s="16" t="n"/>
      <c r="E54" s="17">
        <f>IF($D54="","",IFERROR(INDEX(rngCadetPIDs,MATCH($D54,rngCadetNames,0)),"?"))</f>
        <v/>
      </c>
      <c r="F54" s="16" t="n"/>
      <c r="G54" s="16" t="n"/>
      <c r="H54" s="19">
        <f>IF(OR($D54="",$C54=""),"",_xlfn.LET(_xlpm.dn,IFERROR(_xlfn.XLOOKUP($C54,nrCDdate,nrCDnum),""),IF(_xlpm.dn="","(not a class day)",IFERROR(_xlfn.XLOOKUP(_xlpm.dn+cfgMemoDueClassDays,nrCDnum,nrCDdate),""))))</f>
        <v/>
      </c>
      <c r="I54" s="18" t="n"/>
      <c r="J54" s="19">
        <f>IF($D54="","",IF($I54&lt;&gt;"",$I54,IF(ISNUMBER($H54),$H54,"")))</f>
        <v/>
      </c>
      <c r="K54" s="18" t="n"/>
      <c r="L54" s="17">
        <f>IF($D54="","",IF($K54&lt;&gt;"","Received "&amp;TEXT($K54,"mm/dd"),IF(AND(ISNUMBER($J54),TODAY()&gt;$J54),"OVERDUE","Pending")))</f>
        <v/>
      </c>
      <c r="M54" s="16" t="n"/>
      <c r="N54" s="16" t="n"/>
    </row>
    <row r="55">
      <c r="B55" s="17">
        <f>IF($D55="","","ME"&amp;TEXT(ROW()-5,"000"))</f>
        <v/>
      </c>
      <c r="C55" s="18" t="n"/>
      <c r="D55" s="16" t="n"/>
      <c r="E55" s="17">
        <f>IF($D55="","",IFERROR(INDEX(rngCadetPIDs,MATCH($D55,rngCadetNames,0)),"?"))</f>
        <v/>
      </c>
      <c r="F55" s="16" t="n"/>
      <c r="G55" s="16" t="n"/>
      <c r="H55" s="19">
        <f>IF(OR($D55="",$C55=""),"",_xlfn.LET(_xlpm.dn,IFERROR(_xlfn.XLOOKUP($C55,nrCDdate,nrCDnum),""),IF(_xlpm.dn="","(not a class day)",IFERROR(_xlfn.XLOOKUP(_xlpm.dn+cfgMemoDueClassDays,nrCDnum,nrCDdate),""))))</f>
        <v/>
      </c>
      <c r="I55" s="18" t="n"/>
      <c r="J55" s="19">
        <f>IF($D55="","",IF($I55&lt;&gt;"",$I55,IF(ISNUMBER($H55),$H55,"")))</f>
        <v/>
      </c>
      <c r="K55" s="18" t="n"/>
      <c r="L55" s="17">
        <f>IF($D55="","",IF($K55&lt;&gt;"","Received "&amp;TEXT($K55,"mm/dd"),IF(AND(ISNUMBER($J55),TODAY()&gt;$J55),"OVERDUE","Pending")))</f>
        <v/>
      </c>
      <c r="M55" s="16" t="n"/>
      <c r="N55" s="16" t="n"/>
    </row>
    <row r="56">
      <c r="B56" s="17">
        <f>IF($D56="","","ME"&amp;TEXT(ROW()-5,"000"))</f>
        <v/>
      </c>
      <c r="C56" s="18" t="n"/>
      <c r="D56" s="16" t="n"/>
      <c r="E56" s="17">
        <f>IF($D56="","",IFERROR(INDEX(rngCadetPIDs,MATCH($D56,rngCadetNames,0)),"?"))</f>
        <v/>
      </c>
      <c r="F56" s="16" t="n"/>
      <c r="G56" s="16" t="n"/>
      <c r="H56" s="19">
        <f>IF(OR($D56="",$C56=""),"",_xlfn.LET(_xlpm.dn,IFERROR(_xlfn.XLOOKUP($C56,nrCDdate,nrCDnum),""),IF(_xlpm.dn="","(not a class day)",IFERROR(_xlfn.XLOOKUP(_xlpm.dn+cfgMemoDueClassDays,nrCDnum,nrCDdate),""))))</f>
        <v/>
      </c>
      <c r="I56" s="18" t="n"/>
      <c r="J56" s="19">
        <f>IF($D56="","",IF($I56&lt;&gt;"",$I56,IF(ISNUMBER($H56),$H56,"")))</f>
        <v/>
      </c>
      <c r="K56" s="18" t="n"/>
      <c r="L56" s="17">
        <f>IF($D56="","",IF($K56&lt;&gt;"","Received "&amp;TEXT($K56,"mm/dd"),IF(AND(ISNUMBER($J56),TODAY()&gt;$J56),"OVERDUE","Pending")))</f>
        <v/>
      </c>
      <c r="M56" s="16" t="n"/>
      <c r="N56" s="16" t="n"/>
    </row>
    <row r="57">
      <c r="B57" s="17">
        <f>IF($D57="","","ME"&amp;TEXT(ROW()-5,"000"))</f>
        <v/>
      </c>
      <c r="C57" s="18" t="n"/>
      <c r="D57" s="16" t="n"/>
      <c r="E57" s="17">
        <f>IF($D57="","",IFERROR(INDEX(rngCadetPIDs,MATCH($D57,rngCadetNames,0)),"?"))</f>
        <v/>
      </c>
      <c r="F57" s="16" t="n"/>
      <c r="G57" s="16" t="n"/>
      <c r="H57" s="19">
        <f>IF(OR($D57="",$C57=""),"",_xlfn.LET(_xlpm.dn,IFERROR(_xlfn.XLOOKUP($C57,nrCDdate,nrCDnum),""),IF(_xlpm.dn="","(not a class day)",IFERROR(_xlfn.XLOOKUP(_xlpm.dn+cfgMemoDueClassDays,nrCDnum,nrCDdate),""))))</f>
        <v/>
      </c>
      <c r="I57" s="18" t="n"/>
      <c r="J57" s="19">
        <f>IF($D57="","",IF($I57&lt;&gt;"",$I57,IF(ISNUMBER($H57),$H57,"")))</f>
        <v/>
      </c>
      <c r="K57" s="18" t="n"/>
      <c r="L57" s="17">
        <f>IF($D57="","",IF($K57&lt;&gt;"","Received "&amp;TEXT($K57,"mm/dd"),IF(AND(ISNUMBER($J57),TODAY()&gt;$J57),"OVERDUE","Pending")))</f>
        <v/>
      </c>
      <c r="M57" s="16" t="n"/>
      <c r="N57" s="16" t="n"/>
    </row>
    <row r="58">
      <c r="B58" s="17">
        <f>IF($D58="","","ME"&amp;TEXT(ROW()-5,"000"))</f>
        <v/>
      </c>
      <c r="C58" s="18" t="n"/>
      <c r="D58" s="16" t="n"/>
      <c r="E58" s="17">
        <f>IF($D58="","",IFERROR(INDEX(rngCadetPIDs,MATCH($D58,rngCadetNames,0)),"?"))</f>
        <v/>
      </c>
      <c r="F58" s="16" t="n"/>
      <c r="G58" s="16" t="n"/>
      <c r="H58" s="19">
        <f>IF(OR($D58="",$C58=""),"",_xlfn.LET(_xlpm.dn,IFERROR(_xlfn.XLOOKUP($C58,nrCDdate,nrCDnum),""),IF(_xlpm.dn="","(not a class day)",IFERROR(_xlfn.XLOOKUP(_xlpm.dn+cfgMemoDueClassDays,nrCDnum,nrCDdate),""))))</f>
        <v/>
      </c>
      <c r="I58" s="18" t="n"/>
      <c r="J58" s="19">
        <f>IF($D58="","",IF($I58&lt;&gt;"",$I58,IF(ISNUMBER($H58),$H58,"")))</f>
        <v/>
      </c>
      <c r="K58" s="18" t="n"/>
      <c r="L58" s="17">
        <f>IF($D58="","",IF($K58&lt;&gt;"","Received "&amp;TEXT($K58,"mm/dd"),IF(AND(ISNUMBER($J58),TODAY()&gt;$J58),"OVERDUE","Pending")))</f>
        <v/>
      </c>
      <c r="M58" s="16" t="n"/>
      <c r="N58" s="16" t="n"/>
    </row>
    <row r="59">
      <c r="B59" s="17">
        <f>IF($D59="","","ME"&amp;TEXT(ROW()-5,"000"))</f>
        <v/>
      </c>
      <c r="C59" s="18" t="n"/>
      <c r="D59" s="16" t="n"/>
      <c r="E59" s="17">
        <f>IF($D59="","",IFERROR(INDEX(rngCadetPIDs,MATCH($D59,rngCadetNames,0)),"?"))</f>
        <v/>
      </c>
      <c r="F59" s="16" t="n"/>
      <c r="G59" s="16" t="n"/>
      <c r="H59" s="19">
        <f>IF(OR($D59="",$C59=""),"",_xlfn.LET(_xlpm.dn,IFERROR(_xlfn.XLOOKUP($C59,nrCDdate,nrCDnum),""),IF(_xlpm.dn="","(not a class day)",IFERROR(_xlfn.XLOOKUP(_xlpm.dn+cfgMemoDueClassDays,nrCDnum,nrCDdate),""))))</f>
        <v/>
      </c>
      <c r="I59" s="18" t="n"/>
      <c r="J59" s="19">
        <f>IF($D59="","",IF($I59&lt;&gt;"",$I59,IF(ISNUMBER($H59),$H59,"")))</f>
        <v/>
      </c>
      <c r="K59" s="18" t="n"/>
      <c r="L59" s="17">
        <f>IF($D59="","",IF($K59&lt;&gt;"","Received "&amp;TEXT($K59,"mm/dd"),IF(AND(ISNUMBER($J59),TODAY()&gt;$J59),"OVERDUE","Pending")))</f>
        <v/>
      </c>
      <c r="M59" s="16" t="n"/>
      <c r="N59" s="16" t="n"/>
    </row>
    <row r="60">
      <c r="B60" s="17">
        <f>IF($D60="","","ME"&amp;TEXT(ROW()-5,"000"))</f>
        <v/>
      </c>
      <c r="C60" s="18" t="n"/>
      <c r="D60" s="16" t="n"/>
      <c r="E60" s="17">
        <f>IF($D60="","",IFERROR(INDEX(rngCadetPIDs,MATCH($D60,rngCadetNames,0)),"?"))</f>
        <v/>
      </c>
      <c r="F60" s="16" t="n"/>
      <c r="G60" s="16" t="n"/>
      <c r="H60" s="19">
        <f>IF(OR($D60="",$C60=""),"",_xlfn.LET(_xlpm.dn,IFERROR(_xlfn.XLOOKUP($C60,nrCDdate,nrCDnum),""),IF(_xlpm.dn="","(not a class day)",IFERROR(_xlfn.XLOOKUP(_xlpm.dn+cfgMemoDueClassDays,nrCDnum,nrCDdate),""))))</f>
        <v/>
      </c>
      <c r="I60" s="18" t="n"/>
      <c r="J60" s="19">
        <f>IF($D60="","",IF($I60&lt;&gt;"",$I60,IF(ISNUMBER($H60),$H60,"")))</f>
        <v/>
      </c>
      <c r="K60" s="18" t="n"/>
      <c r="L60" s="17">
        <f>IF($D60="","",IF($K60&lt;&gt;"","Received "&amp;TEXT($K60,"mm/dd"),IF(AND(ISNUMBER($J60),TODAY()&gt;$J60),"OVERDUE","Pending")))</f>
        <v/>
      </c>
      <c r="M60" s="16" t="n"/>
      <c r="N60" s="16" t="n"/>
    </row>
    <row r="61">
      <c r="B61" s="17">
        <f>IF($D61="","","ME"&amp;TEXT(ROW()-5,"000"))</f>
        <v/>
      </c>
      <c r="C61" s="18" t="n"/>
      <c r="D61" s="16" t="n"/>
      <c r="E61" s="17">
        <f>IF($D61="","",IFERROR(INDEX(rngCadetPIDs,MATCH($D61,rngCadetNames,0)),"?"))</f>
        <v/>
      </c>
      <c r="F61" s="16" t="n"/>
      <c r="G61" s="16" t="n"/>
      <c r="H61" s="19">
        <f>IF(OR($D61="",$C61=""),"",_xlfn.LET(_xlpm.dn,IFERROR(_xlfn.XLOOKUP($C61,nrCDdate,nrCDnum),""),IF(_xlpm.dn="","(not a class day)",IFERROR(_xlfn.XLOOKUP(_xlpm.dn+cfgMemoDueClassDays,nrCDnum,nrCDdate),""))))</f>
        <v/>
      </c>
      <c r="I61" s="18" t="n"/>
      <c r="J61" s="19">
        <f>IF($D61="","",IF($I61&lt;&gt;"",$I61,IF(ISNUMBER($H61),$H61,"")))</f>
        <v/>
      </c>
      <c r="K61" s="18" t="n"/>
      <c r="L61" s="17">
        <f>IF($D61="","",IF($K61&lt;&gt;"","Received "&amp;TEXT($K61,"mm/dd"),IF(AND(ISNUMBER($J61),TODAY()&gt;$J61),"OVERDUE","Pending")))</f>
        <v/>
      </c>
      <c r="M61" s="16" t="n"/>
      <c r="N61" s="16" t="n"/>
    </row>
    <row r="62">
      <c r="B62" s="17">
        <f>IF($D62="","","ME"&amp;TEXT(ROW()-5,"000"))</f>
        <v/>
      </c>
      <c r="C62" s="18" t="n"/>
      <c r="D62" s="16" t="n"/>
      <c r="E62" s="17">
        <f>IF($D62="","",IFERROR(INDEX(rngCadetPIDs,MATCH($D62,rngCadetNames,0)),"?"))</f>
        <v/>
      </c>
      <c r="F62" s="16" t="n"/>
      <c r="G62" s="16" t="n"/>
      <c r="H62" s="19">
        <f>IF(OR($D62="",$C62=""),"",_xlfn.LET(_xlpm.dn,IFERROR(_xlfn.XLOOKUP($C62,nrCDdate,nrCDnum),""),IF(_xlpm.dn="","(not a class day)",IFERROR(_xlfn.XLOOKUP(_xlpm.dn+cfgMemoDueClassDays,nrCDnum,nrCDdate),""))))</f>
        <v/>
      </c>
      <c r="I62" s="18" t="n"/>
      <c r="J62" s="19">
        <f>IF($D62="","",IF($I62&lt;&gt;"",$I62,IF(ISNUMBER($H62),$H62,"")))</f>
        <v/>
      </c>
      <c r="K62" s="18" t="n"/>
      <c r="L62" s="17">
        <f>IF($D62="","",IF($K62&lt;&gt;"","Received "&amp;TEXT($K62,"mm/dd"),IF(AND(ISNUMBER($J62),TODAY()&gt;$J62),"OVERDUE","Pending")))</f>
        <v/>
      </c>
      <c r="M62" s="16" t="n"/>
      <c r="N62" s="16" t="n"/>
    </row>
    <row r="63">
      <c r="B63" s="17">
        <f>IF($D63="","","ME"&amp;TEXT(ROW()-5,"000"))</f>
        <v/>
      </c>
      <c r="C63" s="18" t="n"/>
      <c r="D63" s="16" t="n"/>
      <c r="E63" s="17">
        <f>IF($D63="","",IFERROR(INDEX(rngCadetPIDs,MATCH($D63,rngCadetNames,0)),"?"))</f>
        <v/>
      </c>
      <c r="F63" s="16" t="n"/>
      <c r="G63" s="16" t="n"/>
      <c r="H63" s="19">
        <f>IF(OR($D63="",$C63=""),"",_xlfn.LET(_xlpm.dn,IFERROR(_xlfn.XLOOKUP($C63,nrCDdate,nrCDnum),""),IF(_xlpm.dn="","(not a class day)",IFERROR(_xlfn.XLOOKUP(_xlpm.dn+cfgMemoDueClassDays,nrCDnum,nrCDdate),""))))</f>
        <v/>
      </c>
      <c r="I63" s="18" t="n"/>
      <c r="J63" s="19">
        <f>IF($D63="","",IF($I63&lt;&gt;"",$I63,IF(ISNUMBER($H63),$H63,"")))</f>
        <v/>
      </c>
      <c r="K63" s="18" t="n"/>
      <c r="L63" s="17">
        <f>IF($D63="","",IF($K63&lt;&gt;"","Received "&amp;TEXT($K63,"mm/dd"),IF(AND(ISNUMBER($J63),TODAY()&gt;$J63),"OVERDUE","Pending")))</f>
        <v/>
      </c>
      <c r="M63" s="16" t="n"/>
      <c r="N63" s="16" t="n"/>
    </row>
    <row r="64">
      <c r="B64" s="17">
        <f>IF($D64="","","ME"&amp;TEXT(ROW()-5,"000"))</f>
        <v/>
      </c>
      <c r="C64" s="18" t="n"/>
      <c r="D64" s="16" t="n"/>
      <c r="E64" s="17">
        <f>IF($D64="","",IFERROR(INDEX(rngCadetPIDs,MATCH($D64,rngCadetNames,0)),"?"))</f>
        <v/>
      </c>
      <c r="F64" s="16" t="n"/>
      <c r="G64" s="16" t="n"/>
      <c r="H64" s="19">
        <f>IF(OR($D64="",$C64=""),"",_xlfn.LET(_xlpm.dn,IFERROR(_xlfn.XLOOKUP($C64,nrCDdate,nrCDnum),""),IF(_xlpm.dn="","(not a class day)",IFERROR(_xlfn.XLOOKUP(_xlpm.dn+cfgMemoDueClassDays,nrCDnum,nrCDdate),""))))</f>
        <v/>
      </c>
      <c r="I64" s="18" t="n"/>
      <c r="J64" s="19">
        <f>IF($D64="","",IF($I64&lt;&gt;"",$I64,IF(ISNUMBER($H64),$H64,"")))</f>
        <v/>
      </c>
      <c r="K64" s="18" t="n"/>
      <c r="L64" s="17">
        <f>IF($D64="","",IF($K64&lt;&gt;"","Received "&amp;TEXT($K64,"mm/dd"),IF(AND(ISNUMBER($J64),TODAY()&gt;$J64),"OVERDUE","Pending")))</f>
        <v/>
      </c>
      <c r="M64" s="16" t="n"/>
      <c r="N64" s="16" t="n"/>
    </row>
    <row r="65">
      <c r="B65" s="17">
        <f>IF($D65="","","ME"&amp;TEXT(ROW()-5,"000"))</f>
        <v/>
      </c>
      <c r="C65" s="18" t="n"/>
      <c r="D65" s="16" t="n"/>
      <c r="E65" s="17">
        <f>IF($D65="","",IFERROR(INDEX(rngCadetPIDs,MATCH($D65,rngCadetNames,0)),"?"))</f>
        <v/>
      </c>
      <c r="F65" s="16" t="n"/>
      <c r="G65" s="16" t="n"/>
      <c r="H65" s="19">
        <f>IF(OR($D65="",$C65=""),"",_xlfn.LET(_xlpm.dn,IFERROR(_xlfn.XLOOKUP($C65,nrCDdate,nrCDnum),""),IF(_xlpm.dn="","(not a class day)",IFERROR(_xlfn.XLOOKUP(_xlpm.dn+cfgMemoDueClassDays,nrCDnum,nrCDdate),""))))</f>
        <v/>
      </c>
      <c r="I65" s="18" t="n"/>
      <c r="J65" s="19">
        <f>IF($D65="","",IF($I65&lt;&gt;"",$I65,IF(ISNUMBER($H65),$H65,"")))</f>
        <v/>
      </c>
      <c r="K65" s="18" t="n"/>
      <c r="L65" s="17">
        <f>IF($D65="","",IF($K65&lt;&gt;"","Received "&amp;TEXT($K65,"mm/dd"),IF(AND(ISNUMBER($J65),TODAY()&gt;$J65),"OVERDUE","Pending")))</f>
        <v/>
      </c>
      <c r="M65" s="16" t="n"/>
      <c r="N65" s="16" t="n"/>
    </row>
    <row r="66">
      <c r="B66" s="17">
        <f>IF($D66="","","ME"&amp;TEXT(ROW()-5,"000"))</f>
        <v/>
      </c>
      <c r="C66" s="18" t="n"/>
      <c r="D66" s="16" t="n"/>
      <c r="E66" s="17">
        <f>IF($D66="","",IFERROR(INDEX(rngCadetPIDs,MATCH($D66,rngCadetNames,0)),"?"))</f>
        <v/>
      </c>
      <c r="F66" s="16" t="n"/>
      <c r="G66" s="16" t="n"/>
      <c r="H66" s="19">
        <f>IF(OR($D66="",$C66=""),"",_xlfn.LET(_xlpm.dn,IFERROR(_xlfn.XLOOKUP($C66,nrCDdate,nrCDnum),""),IF(_xlpm.dn="","(not a class day)",IFERROR(_xlfn.XLOOKUP(_xlpm.dn+cfgMemoDueClassDays,nrCDnum,nrCDdate),""))))</f>
        <v/>
      </c>
      <c r="I66" s="18" t="n"/>
      <c r="J66" s="19">
        <f>IF($D66="","",IF($I66&lt;&gt;"",$I66,IF(ISNUMBER($H66),$H66,"")))</f>
        <v/>
      </c>
      <c r="K66" s="18" t="n"/>
      <c r="L66" s="17">
        <f>IF($D66="","",IF($K66&lt;&gt;"","Received "&amp;TEXT($K66,"mm/dd"),IF(AND(ISNUMBER($J66),TODAY()&gt;$J66),"OVERDUE","Pending")))</f>
        <v/>
      </c>
      <c r="M66" s="16" t="n"/>
      <c r="N66" s="16" t="n"/>
    </row>
    <row r="67">
      <c r="B67" s="17">
        <f>IF($D67="","","ME"&amp;TEXT(ROW()-5,"000"))</f>
        <v/>
      </c>
      <c r="C67" s="18" t="n"/>
      <c r="D67" s="16" t="n"/>
      <c r="E67" s="17">
        <f>IF($D67="","",IFERROR(INDEX(rngCadetPIDs,MATCH($D67,rngCadetNames,0)),"?"))</f>
        <v/>
      </c>
      <c r="F67" s="16" t="n"/>
      <c r="G67" s="16" t="n"/>
      <c r="H67" s="19">
        <f>IF(OR($D67="",$C67=""),"",_xlfn.LET(_xlpm.dn,IFERROR(_xlfn.XLOOKUP($C67,nrCDdate,nrCDnum),""),IF(_xlpm.dn="","(not a class day)",IFERROR(_xlfn.XLOOKUP(_xlpm.dn+cfgMemoDueClassDays,nrCDnum,nrCDdate),""))))</f>
        <v/>
      </c>
      <c r="I67" s="18" t="n"/>
      <c r="J67" s="19">
        <f>IF($D67="","",IF($I67&lt;&gt;"",$I67,IF(ISNUMBER($H67),$H67,"")))</f>
        <v/>
      </c>
      <c r="K67" s="18" t="n"/>
      <c r="L67" s="17">
        <f>IF($D67="","",IF($K67&lt;&gt;"","Received "&amp;TEXT($K67,"mm/dd"),IF(AND(ISNUMBER($J67),TODAY()&gt;$J67),"OVERDUE","Pending")))</f>
        <v/>
      </c>
      <c r="M67" s="16" t="n"/>
      <c r="N67" s="16" t="n"/>
    </row>
    <row r="68">
      <c r="B68" s="17">
        <f>IF($D68="","","ME"&amp;TEXT(ROW()-5,"000"))</f>
        <v/>
      </c>
      <c r="C68" s="18" t="n"/>
      <c r="D68" s="16" t="n"/>
      <c r="E68" s="17">
        <f>IF($D68="","",IFERROR(INDEX(rngCadetPIDs,MATCH($D68,rngCadetNames,0)),"?"))</f>
        <v/>
      </c>
      <c r="F68" s="16" t="n"/>
      <c r="G68" s="16" t="n"/>
      <c r="H68" s="19">
        <f>IF(OR($D68="",$C68=""),"",_xlfn.LET(_xlpm.dn,IFERROR(_xlfn.XLOOKUP($C68,nrCDdate,nrCDnum),""),IF(_xlpm.dn="","(not a class day)",IFERROR(_xlfn.XLOOKUP(_xlpm.dn+cfgMemoDueClassDays,nrCDnum,nrCDdate),""))))</f>
        <v/>
      </c>
      <c r="I68" s="18" t="n"/>
      <c r="J68" s="19">
        <f>IF($D68="","",IF($I68&lt;&gt;"",$I68,IF(ISNUMBER($H68),$H68,"")))</f>
        <v/>
      </c>
      <c r="K68" s="18" t="n"/>
      <c r="L68" s="17">
        <f>IF($D68="","",IF($K68&lt;&gt;"","Received "&amp;TEXT($K68,"mm/dd"),IF(AND(ISNUMBER($J68),TODAY()&gt;$J68),"OVERDUE","Pending")))</f>
        <v/>
      </c>
      <c r="M68" s="16" t="n"/>
      <c r="N68" s="16" t="n"/>
    </row>
    <row r="69">
      <c r="B69" s="17">
        <f>IF($D69="","","ME"&amp;TEXT(ROW()-5,"000"))</f>
        <v/>
      </c>
      <c r="C69" s="18" t="n"/>
      <c r="D69" s="16" t="n"/>
      <c r="E69" s="17">
        <f>IF($D69="","",IFERROR(INDEX(rngCadetPIDs,MATCH($D69,rngCadetNames,0)),"?"))</f>
        <v/>
      </c>
      <c r="F69" s="16" t="n"/>
      <c r="G69" s="16" t="n"/>
      <c r="H69" s="19">
        <f>IF(OR($D69="",$C69=""),"",_xlfn.LET(_xlpm.dn,IFERROR(_xlfn.XLOOKUP($C69,nrCDdate,nrCDnum),""),IF(_xlpm.dn="","(not a class day)",IFERROR(_xlfn.XLOOKUP(_xlpm.dn+cfgMemoDueClassDays,nrCDnum,nrCDdate),""))))</f>
        <v/>
      </c>
      <c r="I69" s="18" t="n"/>
      <c r="J69" s="19">
        <f>IF($D69="","",IF($I69&lt;&gt;"",$I69,IF(ISNUMBER($H69),$H69,"")))</f>
        <v/>
      </c>
      <c r="K69" s="18" t="n"/>
      <c r="L69" s="17">
        <f>IF($D69="","",IF($K69&lt;&gt;"","Received "&amp;TEXT($K69,"mm/dd"),IF(AND(ISNUMBER($J69),TODAY()&gt;$J69),"OVERDUE","Pending")))</f>
        <v/>
      </c>
      <c r="M69" s="16" t="n"/>
      <c r="N69" s="16" t="n"/>
    </row>
    <row r="70">
      <c r="B70" s="17">
        <f>IF($D70="","","ME"&amp;TEXT(ROW()-5,"000"))</f>
        <v/>
      </c>
      <c r="C70" s="18" t="n"/>
      <c r="D70" s="16" t="n"/>
      <c r="E70" s="17">
        <f>IF($D70="","",IFERROR(INDEX(rngCadetPIDs,MATCH($D70,rngCadetNames,0)),"?"))</f>
        <v/>
      </c>
      <c r="F70" s="16" t="n"/>
      <c r="G70" s="16" t="n"/>
      <c r="H70" s="19">
        <f>IF(OR($D70="",$C70=""),"",_xlfn.LET(_xlpm.dn,IFERROR(_xlfn.XLOOKUP($C70,nrCDdate,nrCDnum),""),IF(_xlpm.dn="","(not a class day)",IFERROR(_xlfn.XLOOKUP(_xlpm.dn+cfgMemoDueClassDays,nrCDnum,nrCDdate),""))))</f>
        <v/>
      </c>
      <c r="I70" s="18" t="n"/>
      <c r="J70" s="19">
        <f>IF($D70="","",IF($I70&lt;&gt;"",$I70,IF(ISNUMBER($H70),$H70,"")))</f>
        <v/>
      </c>
      <c r="K70" s="18" t="n"/>
      <c r="L70" s="17">
        <f>IF($D70="","",IF($K70&lt;&gt;"","Received "&amp;TEXT($K70,"mm/dd"),IF(AND(ISNUMBER($J70),TODAY()&gt;$J70),"OVERDUE","Pending")))</f>
        <v/>
      </c>
      <c r="M70" s="16" t="n"/>
      <c r="N70" s="16" t="n"/>
    </row>
    <row r="71">
      <c r="B71" s="17">
        <f>IF($D71="","","ME"&amp;TEXT(ROW()-5,"000"))</f>
        <v/>
      </c>
      <c r="C71" s="18" t="n"/>
      <c r="D71" s="16" t="n"/>
      <c r="E71" s="17">
        <f>IF($D71="","",IFERROR(INDEX(rngCadetPIDs,MATCH($D71,rngCadetNames,0)),"?"))</f>
        <v/>
      </c>
      <c r="F71" s="16" t="n"/>
      <c r="G71" s="16" t="n"/>
      <c r="H71" s="19">
        <f>IF(OR($D71="",$C71=""),"",_xlfn.LET(_xlpm.dn,IFERROR(_xlfn.XLOOKUP($C71,nrCDdate,nrCDnum),""),IF(_xlpm.dn="","(not a class day)",IFERROR(_xlfn.XLOOKUP(_xlpm.dn+cfgMemoDueClassDays,nrCDnum,nrCDdate),""))))</f>
        <v/>
      </c>
      <c r="I71" s="18" t="n"/>
      <c r="J71" s="19">
        <f>IF($D71="","",IF($I71&lt;&gt;"",$I71,IF(ISNUMBER($H71),$H71,"")))</f>
        <v/>
      </c>
      <c r="K71" s="18" t="n"/>
      <c r="L71" s="17">
        <f>IF($D71="","",IF($K71&lt;&gt;"","Received "&amp;TEXT($K71,"mm/dd"),IF(AND(ISNUMBER($J71),TODAY()&gt;$J71),"OVERDUE","Pending")))</f>
        <v/>
      </c>
      <c r="M71" s="16" t="n"/>
      <c r="N71" s="16" t="n"/>
    </row>
    <row r="72">
      <c r="B72" s="17">
        <f>IF($D72="","","ME"&amp;TEXT(ROW()-5,"000"))</f>
        <v/>
      </c>
      <c r="C72" s="18" t="n"/>
      <c r="D72" s="16" t="n"/>
      <c r="E72" s="17">
        <f>IF($D72="","",IFERROR(INDEX(rngCadetPIDs,MATCH($D72,rngCadetNames,0)),"?"))</f>
        <v/>
      </c>
      <c r="F72" s="16" t="n"/>
      <c r="G72" s="16" t="n"/>
      <c r="H72" s="19">
        <f>IF(OR($D72="",$C72=""),"",_xlfn.LET(_xlpm.dn,IFERROR(_xlfn.XLOOKUP($C72,nrCDdate,nrCDnum),""),IF(_xlpm.dn="","(not a class day)",IFERROR(_xlfn.XLOOKUP(_xlpm.dn+cfgMemoDueClassDays,nrCDnum,nrCDdate),""))))</f>
        <v/>
      </c>
      <c r="I72" s="18" t="n"/>
      <c r="J72" s="19">
        <f>IF($D72="","",IF($I72&lt;&gt;"",$I72,IF(ISNUMBER($H72),$H72,"")))</f>
        <v/>
      </c>
      <c r="K72" s="18" t="n"/>
      <c r="L72" s="17">
        <f>IF($D72="","",IF($K72&lt;&gt;"","Received "&amp;TEXT($K72,"mm/dd"),IF(AND(ISNUMBER($J72),TODAY()&gt;$J72),"OVERDUE","Pending")))</f>
        <v/>
      </c>
      <c r="M72" s="16" t="n"/>
      <c r="N72" s="16" t="n"/>
    </row>
    <row r="73">
      <c r="B73" s="17">
        <f>IF($D73="","","ME"&amp;TEXT(ROW()-5,"000"))</f>
        <v/>
      </c>
      <c r="C73" s="18" t="n"/>
      <c r="D73" s="16" t="n"/>
      <c r="E73" s="17">
        <f>IF($D73="","",IFERROR(INDEX(rngCadetPIDs,MATCH($D73,rngCadetNames,0)),"?"))</f>
        <v/>
      </c>
      <c r="F73" s="16" t="n"/>
      <c r="G73" s="16" t="n"/>
      <c r="H73" s="19">
        <f>IF(OR($D73="",$C73=""),"",_xlfn.LET(_xlpm.dn,IFERROR(_xlfn.XLOOKUP($C73,nrCDdate,nrCDnum),""),IF(_xlpm.dn="","(not a class day)",IFERROR(_xlfn.XLOOKUP(_xlpm.dn+cfgMemoDueClassDays,nrCDnum,nrCDdate),""))))</f>
        <v/>
      </c>
      <c r="I73" s="18" t="n"/>
      <c r="J73" s="19">
        <f>IF($D73="","",IF($I73&lt;&gt;"",$I73,IF(ISNUMBER($H73),$H73,"")))</f>
        <v/>
      </c>
      <c r="K73" s="18" t="n"/>
      <c r="L73" s="17">
        <f>IF($D73="","",IF($K73&lt;&gt;"","Received "&amp;TEXT($K73,"mm/dd"),IF(AND(ISNUMBER($J73),TODAY()&gt;$J73),"OVERDUE","Pending")))</f>
        <v/>
      </c>
      <c r="M73" s="16" t="n"/>
      <c r="N73" s="16" t="n"/>
    </row>
    <row r="74">
      <c r="B74" s="17">
        <f>IF($D74="","","ME"&amp;TEXT(ROW()-5,"000"))</f>
        <v/>
      </c>
      <c r="C74" s="18" t="n"/>
      <c r="D74" s="16" t="n"/>
      <c r="E74" s="17">
        <f>IF($D74="","",IFERROR(INDEX(rngCadetPIDs,MATCH($D74,rngCadetNames,0)),"?"))</f>
        <v/>
      </c>
      <c r="F74" s="16" t="n"/>
      <c r="G74" s="16" t="n"/>
      <c r="H74" s="19">
        <f>IF(OR($D74="",$C74=""),"",_xlfn.LET(_xlpm.dn,IFERROR(_xlfn.XLOOKUP($C74,nrCDdate,nrCDnum),""),IF(_xlpm.dn="","(not a class day)",IFERROR(_xlfn.XLOOKUP(_xlpm.dn+cfgMemoDueClassDays,nrCDnum,nrCDdate),""))))</f>
        <v/>
      </c>
      <c r="I74" s="18" t="n"/>
      <c r="J74" s="19">
        <f>IF($D74="","",IF($I74&lt;&gt;"",$I74,IF(ISNUMBER($H74),$H74,"")))</f>
        <v/>
      </c>
      <c r="K74" s="18" t="n"/>
      <c r="L74" s="17">
        <f>IF($D74="","",IF($K74&lt;&gt;"","Received "&amp;TEXT($K74,"mm/dd"),IF(AND(ISNUMBER($J74),TODAY()&gt;$J74),"OVERDUE","Pending")))</f>
        <v/>
      </c>
      <c r="M74" s="16" t="n"/>
      <c r="N74" s="16" t="n"/>
    </row>
    <row r="75">
      <c r="B75" s="17">
        <f>IF($D75="","","ME"&amp;TEXT(ROW()-5,"000"))</f>
        <v/>
      </c>
      <c r="C75" s="18" t="n"/>
      <c r="D75" s="16" t="n"/>
      <c r="E75" s="17">
        <f>IF($D75="","",IFERROR(INDEX(rngCadetPIDs,MATCH($D75,rngCadetNames,0)),"?"))</f>
        <v/>
      </c>
      <c r="F75" s="16" t="n"/>
      <c r="G75" s="16" t="n"/>
      <c r="H75" s="19">
        <f>IF(OR($D75="",$C75=""),"",_xlfn.LET(_xlpm.dn,IFERROR(_xlfn.XLOOKUP($C75,nrCDdate,nrCDnum),""),IF(_xlpm.dn="","(not a class day)",IFERROR(_xlfn.XLOOKUP(_xlpm.dn+cfgMemoDueClassDays,nrCDnum,nrCDdate),""))))</f>
        <v/>
      </c>
      <c r="I75" s="18" t="n"/>
      <c r="J75" s="19">
        <f>IF($D75="","",IF($I75&lt;&gt;"",$I75,IF(ISNUMBER($H75),$H75,"")))</f>
        <v/>
      </c>
      <c r="K75" s="18" t="n"/>
      <c r="L75" s="17">
        <f>IF($D75="","",IF($K75&lt;&gt;"","Received "&amp;TEXT($K75,"mm/dd"),IF(AND(ISNUMBER($J75),TODAY()&gt;$J75),"OVERDUE","Pending")))</f>
        <v/>
      </c>
      <c r="M75" s="16" t="n"/>
      <c r="N75" s="16" t="n"/>
    </row>
    <row r="76">
      <c r="B76" s="17">
        <f>IF($D76="","","ME"&amp;TEXT(ROW()-5,"000"))</f>
        <v/>
      </c>
      <c r="C76" s="18" t="n"/>
      <c r="D76" s="16" t="n"/>
      <c r="E76" s="17">
        <f>IF($D76="","",IFERROR(INDEX(rngCadetPIDs,MATCH($D76,rngCadetNames,0)),"?"))</f>
        <v/>
      </c>
      <c r="F76" s="16" t="n"/>
      <c r="G76" s="16" t="n"/>
      <c r="H76" s="19">
        <f>IF(OR($D76="",$C76=""),"",_xlfn.LET(_xlpm.dn,IFERROR(_xlfn.XLOOKUP($C76,nrCDdate,nrCDnum),""),IF(_xlpm.dn="","(not a class day)",IFERROR(_xlfn.XLOOKUP(_xlpm.dn+cfgMemoDueClassDays,nrCDnum,nrCDdate),""))))</f>
        <v/>
      </c>
      <c r="I76" s="18" t="n"/>
      <c r="J76" s="19">
        <f>IF($D76="","",IF($I76&lt;&gt;"",$I76,IF(ISNUMBER($H76),$H76,"")))</f>
        <v/>
      </c>
      <c r="K76" s="18" t="n"/>
      <c r="L76" s="17">
        <f>IF($D76="","",IF($K76&lt;&gt;"","Received "&amp;TEXT($K76,"mm/dd"),IF(AND(ISNUMBER($J76),TODAY()&gt;$J76),"OVERDUE","Pending")))</f>
        <v/>
      </c>
      <c r="M76" s="16" t="n"/>
      <c r="N76" s="16" t="n"/>
    </row>
    <row r="77">
      <c r="B77" s="17">
        <f>IF($D77="","","ME"&amp;TEXT(ROW()-5,"000"))</f>
        <v/>
      </c>
      <c r="C77" s="18" t="n"/>
      <c r="D77" s="16" t="n"/>
      <c r="E77" s="17">
        <f>IF($D77="","",IFERROR(INDEX(rngCadetPIDs,MATCH($D77,rngCadetNames,0)),"?"))</f>
        <v/>
      </c>
      <c r="F77" s="16" t="n"/>
      <c r="G77" s="16" t="n"/>
      <c r="H77" s="19">
        <f>IF(OR($D77="",$C77=""),"",_xlfn.LET(_xlpm.dn,IFERROR(_xlfn.XLOOKUP($C77,nrCDdate,nrCDnum),""),IF(_xlpm.dn="","(not a class day)",IFERROR(_xlfn.XLOOKUP(_xlpm.dn+cfgMemoDueClassDays,nrCDnum,nrCDdate),""))))</f>
        <v/>
      </c>
      <c r="I77" s="18" t="n"/>
      <c r="J77" s="19">
        <f>IF($D77="","",IF($I77&lt;&gt;"",$I77,IF(ISNUMBER($H77),$H77,"")))</f>
        <v/>
      </c>
      <c r="K77" s="18" t="n"/>
      <c r="L77" s="17">
        <f>IF($D77="","",IF($K77&lt;&gt;"","Received "&amp;TEXT($K77,"mm/dd"),IF(AND(ISNUMBER($J77),TODAY()&gt;$J77),"OVERDUE","Pending")))</f>
        <v/>
      </c>
      <c r="M77" s="16" t="n"/>
      <c r="N77" s="16" t="n"/>
    </row>
    <row r="78">
      <c r="B78" s="17">
        <f>IF($D78="","","ME"&amp;TEXT(ROW()-5,"000"))</f>
        <v/>
      </c>
      <c r="C78" s="18" t="n"/>
      <c r="D78" s="16" t="n"/>
      <c r="E78" s="17">
        <f>IF($D78="","",IFERROR(INDEX(rngCadetPIDs,MATCH($D78,rngCadetNames,0)),"?"))</f>
        <v/>
      </c>
      <c r="F78" s="16" t="n"/>
      <c r="G78" s="16" t="n"/>
      <c r="H78" s="19">
        <f>IF(OR($D78="",$C78=""),"",_xlfn.LET(_xlpm.dn,IFERROR(_xlfn.XLOOKUP($C78,nrCDdate,nrCDnum),""),IF(_xlpm.dn="","(not a class day)",IFERROR(_xlfn.XLOOKUP(_xlpm.dn+cfgMemoDueClassDays,nrCDnum,nrCDdate),""))))</f>
        <v/>
      </c>
      <c r="I78" s="18" t="n"/>
      <c r="J78" s="19">
        <f>IF($D78="","",IF($I78&lt;&gt;"",$I78,IF(ISNUMBER($H78),$H78,"")))</f>
        <v/>
      </c>
      <c r="K78" s="18" t="n"/>
      <c r="L78" s="17">
        <f>IF($D78="","",IF($K78&lt;&gt;"","Received "&amp;TEXT($K78,"mm/dd"),IF(AND(ISNUMBER($J78),TODAY()&gt;$J78),"OVERDUE","Pending")))</f>
        <v/>
      </c>
      <c r="M78" s="16" t="n"/>
      <c r="N78" s="16" t="n"/>
    </row>
    <row r="79">
      <c r="B79" s="17">
        <f>IF($D79="","","ME"&amp;TEXT(ROW()-5,"000"))</f>
        <v/>
      </c>
      <c r="C79" s="18" t="n"/>
      <c r="D79" s="16" t="n"/>
      <c r="E79" s="17">
        <f>IF($D79="","",IFERROR(INDEX(rngCadetPIDs,MATCH($D79,rngCadetNames,0)),"?"))</f>
        <v/>
      </c>
      <c r="F79" s="16" t="n"/>
      <c r="G79" s="16" t="n"/>
      <c r="H79" s="19">
        <f>IF(OR($D79="",$C79=""),"",_xlfn.LET(_xlpm.dn,IFERROR(_xlfn.XLOOKUP($C79,nrCDdate,nrCDnum),""),IF(_xlpm.dn="","(not a class day)",IFERROR(_xlfn.XLOOKUP(_xlpm.dn+cfgMemoDueClassDays,nrCDnum,nrCDdate),""))))</f>
        <v/>
      </c>
      <c r="I79" s="18" t="n"/>
      <c r="J79" s="19">
        <f>IF($D79="","",IF($I79&lt;&gt;"",$I79,IF(ISNUMBER($H79),$H79,"")))</f>
        <v/>
      </c>
      <c r="K79" s="18" t="n"/>
      <c r="L79" s="17">
        <f>IF($D79="","",IF($K79&lt;&gt;"","Received "&amp;TEXT($K79,"mm/dd"),IF(AND(ISNUMBER($J79),TODAY()&gt;$J79),"OVERDUE","Pending")))</f>
        <v/>
      </c>
      <c r="M79" s="16" t="n"/>
      <c r="N79" s="16" t="n"/>
    </row>
    <row r="80">
      <c r="B80" s="17">
        <f>IF($D80="","","ME"&amp;TEXT(ROW()-5,"000"))</f>
        <v/>
      </c>
      <c r="C80" s="18" t="n"/>
      <c r="D80" s="16" t="n"/>
      <c r="E80" s="17">
        <f>IF($D80="","",IFERROR(INDEX(rngCadetPIDs,MATCH($D80,rngCadetNames,0)),"?"))</f>
        <v/>
      </c>
      <c r="F80" s="16" t="n"/>
      <c r="G80" s="16" t="n"/>
      <c r="H80" s="19">
        <f>IF(OR($D80="",$C80=""),"",_xlfn.LET(_xlpm.dn,IFERROR(_xlfn.XLOOKUP($C80,nrCDdate,nrCDnum),""),IF(_xlpm.dn="","(not a class day)",IFERROR(_xlfn.XLOOKUP(_xlpm.dn+cfgMemoDueClassDays,nrCDnum,nrCDdate),""))))</f>
        <v/>
      </c>
      <c r="I80" s="18" t="n"/>
      <c r="J80" s="19">
        <f>IF($D80="","",IF($I80&lt;&gt;"",$I80,IF(ISNUMBER($H80),$H80,"")))</f>
        <v/>
      </c>
      <c r="K80" s="18" t="n"/>
      <c r="L80" s="17">
        <f>IF($D80="","",IF($K80&lt;&gt;"","Received "&amp;TEXT($K80,"mm/dd"),IF(AND(ISNUMBER($J80),TODAY()&gt;$J80),"OVERDUE","Pending")))</f>
        <v/>
      </c>
      <c r="M80" s="16" t="n"/>
      <c r="N80" s="16" t="n"/>
    </row>
    <row r="81">
      <c r="B81" s="17">
        <f>IF($D81="","","ME"&amp;TEXT(ROW()-5,"000"))</f>
        <v/>
      </c>
      <c r="C81" s="18" t="n"/>
      <c r="D81" s="16" t="n"/>
      <c r="E81" s="17">
        <f>IF($D81="","",IFERROR(INDEX(rngCadetPIDs,MATCH($D81,rngCadetNames,0)),"?"))</f>
        <v/>
      </c>
      <c r="F81" s="16" t="n"/>
      <c r="G81" s="16" t="n"/>
      <c r="H81" s="19">
        <f>IF(OR($D81="",$C81=""),"",_xlfn.LET(_xlpm.dn,IFERROR(_xlfn.XLOOKUP($C81,nrCDdate,nrCDnum),""),IF(_xlpm.dn="","(not a class day)",IFERROR(_xlfn.XLOOKUP(_xlpm.dn+cfgMemoDueClassDays,nrCDnum,nrCDdate),""))))</f>
        <v/>
      </c>
      <c r="I81" s="18" t="n"/>
      <c r="J81" s="19">
        <f>IF($D81="","",IF($I81&lt;&gt;"",$I81,IF(ISNUMBER($H81),$H81,"")))</f>
        <v/>
      </c>
      <c r="K81" s="18" t="n"/>
      <c r="L81" s="17">
        <f>IF($D81="","",IF($K81&lt;&gt;"","Received "&amp;TEXT($K81,"mm/dd"),IF(AND(ISNUMBER($J81),TODAY()&gt;$J81),"OVERDUE","Pending")))</f>
        <v/>
      </c>
      <c r="M81" s="16" t="n"/>
      <c r="N81" s="16" t="n"/>
    </row>
    <row r="82">
      <c r="B82" s="17">
        <f>IF($D82="","","ME"&amp;TEXT(ROW()-5,"000"))</f>
        <v/>
      </c>
      <c r="C82" s="18" t="n"/>
      <c r="D82" s="16" t="n"/>
      <c r="E82" s="17">
        <f>IF($D82="","",IFERROR(INDEX(rngCadetPIDs,MATCH($D82,rngCadetNames,0)),"?"))</f>
        <v/>
      </c>
      <c r="F82" s="16" t="n"/>
      <c r="G82" s="16" t="n"/>
      <c r="H82" s="19">
        <f>IF(OR($D82="",$C82=""),"",_xlfn.LET(_xlpm.dn,IFERROR(_xlfn.XLOOKUP($C82,nrCDdate,nrCDnum),""),IF(_xlpm.dn="","(not a class day)",IFERROR(_xlfn.XLOOKUP(_xlpm.dn+cfgMemoDueClassDays,nrCDnum,nrCDdate),""))))</f>
        <v/>
      </c>
      <c r="I82" s="18" t="n"/>
      <c r="J82" s="19">
        <f>IF($D82="","",IF($I82&lt;&gt;"",$I82,IF(ISNUMBER($H82),$H82,"")))</f>
        <v/>
      </c>
      <c r="K82" s="18" t="n"/>
      <c r="L82" s="17">
        <f>IF($D82="","",IF($K82&lt;&gt;"","Received "&amp;TEXT($K82,"mm/dd"),IF(AND(ISNUMBER($J82),TODAY()&gt;$J82),"OVERDUE","Pending")))</f>
        <v/>
      </c>
      <c r="M82" s="16" t="n"/>
      <c r="N82" s="16" t="n"/>
    </row>
    <row r="83">
      <c r="B83" s="17">
        <f>IF($D83="","","ME"&amp;TEXT(ROW()-5,"000"))</f>
        <v/>
      </c>
      <c r="C83" s="18" t="n"/>
      <c r="D83" s="16" t="n"/>
      <c r="E83" s="17">
        <f>IF($D83="","",IFERROR(INDEX(rngCadetPIDs,MATCH($D83,rngCadetNames,0)),"?"))</f>
        <v/>
      </c>
      <c r="F83" s="16" t="n"/>
      <c r="G83" s="16" t="n"/>
      <c r="H83" s="19">
        <f>IF(OR($D83="",$C83=""),"",_xlfn.LET(_xlpm.dn,IFERROR(_xlfn.XLOOKUP($C83,nrCDdate,nrCDnum),""),IF(_xlpm.dn="","(not a class day)",IFERROR(_xlfn.XLOOKUP(_xlpm.dn+cfgMemoDueClassDays,nrCDnum,nrCDdate),""))))</f>
        <v/>
      </c>
      <c r="I83" s="18" t="n"/>
      <c r="J83" s="19">
        <f>IF($D83="","",IF($I83&lt;&gt;"",$I83,IF(ISNUMBER($H83),$H83,"")))</f>
        <v/>
      </c>
      <c r="K83" s="18" t="n"/>
      <c r="L83" s="17">
        <f>IF($D83="","",IF($K83&lt;&gt;"","Received "&amp;TEXT($K83,"mm/dd"),IF(AND(ISNUMBER($J83),TODAY()&gt;$J83),"OVERDUE","Pending")))</f>
        <v/>
      </c>
      <c r="M83" s="16" t="n"/>
      <c r="N83" s="16" t="n"/>
    </row>
    <row r="84">
      <c r="B84" s="17">
        <f>IF($D84="","","ME"&amp;TEXT(ROW()-5,"000"))</f>
        <v/>
      </c>
      <c r="C84" s="18" t="n"/>
      <c r="D84" s="16" t="n"/>
      <c r="E84" s="17">
        <f>IF($D84="","",IFERROR(INDEX(rngCadetPIDs,MATCH($D84,rngCadetNames,0)),"?"))</f>
        <v/>
      </c>
      <c r="F84" s="16" t="n"/>
      <c r="G84" s="16" t="n"/>
      <c r="H84" s="19">
        <f>IF(OR($D84="",$C84=""),"",_xlfn.LET(_xlpm.dn,IFERROR(_xlfn.XLOOKUP($C84,nrCDdate,nrCDnum),""),IF(_xlpm.dn="","(not a class day)",IFERROR(_xlfn.XLOOKUP(_xlpm.dn+cfgMemoDueClassDays,nrCDnum,nrCDdate),""))))</f>
        <v/>
      </c>
      <c r="I84" s="18" t="n"/>
      <c r="J84" s="19">
        <f>IF($D84="","",IF($I84&lt;&gt;"",$I84,IF(ISNUMBER($H84),$H84,"")))</f>
        <v/>
      </c>
      <c r="K84" s="18" t="n"/>
      <c r="L84" s="17">
        <f>IF($D84="","",IF($K84&lt;&gt;"","Received "&amp;TEXT($K84,"mm/dd"),IF(AND(ISNUMBER($J84),TODAY()&gt;$J84),"OVERDUE","Pending")))</f>
        <v/>
      </c>
      <c r="M84" s="16" t="n"/>
      <c r="N84" s="16" t="n"/>
    </row>
    <row r="85">
      <c r="B85" s="17">
        <f>IF($D85="","","ME"&amp;TEXT(ROW()-5,"000"))</f>
        <v/>
      </c>
      <c r="C85" s="18" t="n"/>
      <c r="D85" s="16" t="n"/>
      <c r="E85" s="17">
        <f>IF($D85="","",IFERROR(INDEX(rngCadetPIDs,MATCH($D85,rngCadetNames,0)),"?"))</f>
        <v/>
      </c>
      <c r="F85" s="16" t="n"/>
      <c r="G85" s="16" t="n"/>
      <c r="H85" s="19">
        <f>IF(OR($D85="",$C85=""),"",_xlfn.LET(_xlpm.dn,IFERROR(_xlfn.XLOOKUP($C85,nrCDdate,nrCDnum),""),IF(_xlpm.dn="","(not a class day)",IFERROR(_xlfn.XLOOKUP(_xlpm.dn+cfgMemoDueClassDays,nrCDnum,nrCDdate),""))))</f>
        <v/>
      </c>
      <c r="I85" s="18" t="n"/>
      <c r="J85" s="19">
        <f>IF($D85="","",IF($I85&lt;&gt;"",$I85,IF(ISNUMBER($H85),$H85,"")))</f>
        <v/>
      </c>
      <c r="K85" s="18" t="n"/>
      <c r="L85" s="17">
        <f>IF($D85="","",IF($K85&lt;&gt;"","Received "&amp;TEXT($K85,"mm/dd"),IF(AND(ISNUMBER($J85),TODAY()&gt;$J85),"OVERDUE","Pending")))</f>
        <v/>
      </c>
      <c r="M85" s="16" t="n"/>
      <c r="N85" s="16" t="n"/>
    </row>
    <row r="86">
      <c r="B86" s="17">
        <f>IF($D86="","","ME"&amp;TEXT(ROW()-5,"000"))</f>
        <v/>
      </c>
      <c r="C86" s="18" t="n"/>
      <c r="D86" s="16" t="n"/>
      <c r="E86" s="17">
        <f>IF($D86="","",IFERROR(INDEX(rngCadetPIDs,MATCH($D86,rngCadetNames,0)),"?"))</f>
        <v/>
      </c>
      <c r="F86" s="16" t="n"/>
      <c r="G86" s="16" t="n"/>
      <c r="H86" s="19">
        <f>IF(OR($D86="",$C86=""),"",_xlfn.LET(_xlpm.dn,IFERROR(_xlfn.XLOOKUP($C86,nrCDdate,nrCDnum),""),IF(_xlpm.dn="","(not a class day)",IFERROR(_xlfn.XLOOKUP(_xlpm.dn+cfgMemoDueClassDays,nrCDnum,nrCDdate),""))))</f>
        <v/>
      </c>
      <c r="I86" s="18" t="n"/>
      <c r="J86" s="19">
        <f>IF($D86="","",IF($I86&lt;&gt;"",$I86,IF(ISNUMBER($H86),$H86,"")))</f>
        <v/>
      </c>
      <c r="K86" s="18" t="n"/>
      <c r="L86" s="17">
        <f>IF($D86="","",IF($K86&lt;&gt;"","Received "&amp;TEXT($K86,"mm/dd"),IF(AND(ISNUMBER($J86),TODAY()&gt;$J86),"OVERDUE","Pending")))</f>
        <v/>
      </c>
      <c r="M86" s="16" t="n"/>
      <c r="N86" s="16" t="n"/>
    </row>
    <row r="87">
      <c r="B87" s="17">
        <f>IF($D87="","","ME"&amp;TEXT(ROW()-5,"000"))</f>
        <v/>
      </c>
      <c r="C87" s="18" t="n"/>
      <c r="D87" s="16" t="n"/>
      <c r="E87" s="17">
        <f>IF($D87="","",IFERROR(INDEX(rngCadetPIDs,MATCH($D87,rngCadetNames,0)),"?"))</f>
        <v/>
      </c>
      <c r="F87" s="16" t="n"/>
      <c r="G87" s="16" t="n"/>
      <c r="H87" s="19">
        <f>IF(OR($D87="",$C87=""),"",_xlfn.LET(_xlpm.dn,IFERROR(_xlfn.XLOOKUP($C87,nrCDdate,nrCDnum),""),IF(_xlpm.dn="","(not a class day)",IFERROR(_xlfn.XLOOKUP(_xlpm.dn+cfgMemoDueClassDays,nrCDnum,nrCDdate),""))))</f>
        <v/>
      </c>
      <c r="I87" s="18" t="n"/>
      <c r="J87" s="19">
        <f>IF($D87="","",IF($I87&lt;&gt;"",$I87,IF(ISNUMBER($H87),$H87,"")))</f>
        <v/>
      </c>
      <c r="K87" s="18" t="n"/>
      <c r="L87" s="17">
        <f>IF($D87="","",IF($K87&lt;&gt;"","Received "&amp;TEXT($K87,"mm/dd"),IF(AND(ISNUMBER($J87),TODAY()&gt;$J87),"OVERDUE","Pending")))</f>
        <v/>
      </c>
      <c r="M87" s="16" t="n"/>
      <c r="N87" s="16" t="n"/>
    </row>
    <row r="88">
      <c r="B88" s="17">
        <f>IF($D88="","","ME"&amp;TEXT(ROW()-5,"000"))</f>
        <v/>
      </c>
      <c r="C88" s="18" t="n"/>
      <c r="D88" s="16" t="n"/>
      <c r="E88" s="17">
        <f>IF($D88="","",IFERROR(INDEX(rngCadetPIDs,MATCH($D88,rngCadetNames,0)),"?"))</f>
        <v/>
      </c>
      <c r="F88" s="16" t="n"/>
      <c r="G88" s="16" t="n"/>
      <c r="H88" s="19">
        <f>IF(OR($D88="",$C88=""),"",_xlfn.LET(_xlpm.dn,IFERROR(_xlfn.XLOOKUP($C88,nrCDdate,nrCDnum),""),IF(_xlpm.dn="","(not a class day)",IFERROR(_xlfn.XLOOKUP(_xlpm.dn+cfgMemoDueClassDays,nrCDnum,nrCDdate),""))))</f>
        <v/>
      </c>
      <c r="I88" s="18" t="n"/>
      <c r="J88" s="19">
        <f>IF($D88="","",IF($I88&lt;&gt;"",$I88,IF(ISNUMBER($H88),$H88,"")))</f>
        <v/>
      </c>
      <c r="K88" s="18" t="n"/>
      <c r="L88" s="17">
        <f>IF($D88="","",IF($K88&lt;&gt;"","Received "&amp;TEXT($K88,"mm/dd"),IF(AND(ISNUMBER($J88),TODAY()&gt;$J88),"OVERDUE","Pending")))</f>
        <v/>
      </c>
      <c r="M88" s="16" t="n"/>
      <c r="N88" s="16" t="n"/>
    </row>
    <row r="89">
      <c r="B89" s="17">
        <f>IF($D89="","","ME"&amp;TEXT(ROW()-5,"000"))</f>
        <v/>
      </c>
      <c r="C89" s="18" t="n"/>
      <c r="D89" s="16" t="n"/>
      <c r="E89" s="17">
        <f>IF($D89="","",IFERROR(INDEX(rngCadetPIDs,MATCH($D89,rngCadetNames,0)),"?"))</f>
        <v/>
      </c>
      <c r="F89" s="16" t="n"/>
      <c r="G89" s="16" t="n"/>
      <c r="H89" s="19">
        <f>IF(OR($D89="",$C89=""),"",_xlfn.LET(_xlpm.dn,IFERROR(_xlfn.XLOOKUP($C89,nrCDdate,nrCDnum),""),IF(_xlpm.dn="","(not a class day)",IFERROR(_xlfn.XLOOKUP(_xlpm.dn+cfgMemoDueClassDays,nrCDnum,nrCDdate),""))))</f>
        <v/>
      </c>
      <c r="I89" s="18" t="n"/>
      <c r="J89" s="19">
        <f>IF($D89="","",IF($I89&lt;&gt;"",$I89,IF(ISNUMBER($H89),$H89,"")))</f>
        <v/>
      </c>
      <c r="K89" s="18" t="n"/>
      <c r="L89" s="17">
        <f>IF($D89="","",IF($K89&lt;&gt;"","Received "&amp;TEXT($K89,"mm/dd"),IF(AND(ISNUMBER($J89),TODAY()&gt;$J89),"OVERDUE","Pending")))</f>
        <v/>
      </c>
      <c r="M89" s="16" t="n"/>
      <c r="N89" s="16" t="n"/>
    </row>
    <row r="90">
      <c r="B90" s="17">
        <f>IF($D90="","","ME"&amp;TEXT(ROW()-5,"000"))</f>
        <v/>
      </c>
      <c r="C90" s="18" t="n"/>
      <c r="D90" s="16" t="n"/>
      <c r="E90" s="17">
        <f>IF($D90="","",IFERROR(INDEX(rngCadetPIDs,MATCH($D90,rngCadetNames,0)),"?"))</f>
        <v/>
      </c>
      <c r="F90" s="16" t="n"/>
      <c r="G90" s="16" t="n"/>
      <c r="H90" s="19">
        <f>IF(OR($D90="",$C90=""),"",_xlfn.LET(_xlpm.dn,IFERROR(_xlfn.XLOOKUP($C90,nrCDdate,nrCDnum),""),IF(_xlpm.dn="","(not a class day)",IFERROR(_xlfn.XLOOKUP(_xlpm.dn+cfgMemoDueClassDays,nrCDnum,nrCDdate),""))))</f>
        <v/>
      </c>
      <c r="I90" s="18" t="n"/>
      <c r="J90" s="19">
        <f>IF($D90="","",IF($I90&lt;&gt;"",$I90,IF(ISNUMBER($H90),$H90,"")))</f>
        <v/>
      </c>
      <c r="K90" s="18" t="n"/>
      <c r="L90" s="17">
        <f>IF($D90="","",IF($K90&lt;&gt;"","Received "&amp;TEXT($K90,"mm/dd"),IF(AND(ISNUMBER($J90),TODAY()&gt;$J90),"OVERDUE","Pending")))</f>
        <v/>
      </c>
      <c r="M90" s="16" t="n"/>
      <c r="N90" s="16" t="n"/>
    </row>
    <row r="91">
      <c r="B91" s="17">
        <f>IF($D91="","","ME"&amp;TEXT(ROW()-5,"000"))</f>
        <v/>
      </c>
      <c r="C91" s="18" t="n"/>
      <c r="D91" s="16" t="n"/>
      <c r="E91" s="17">
        <f>IF($D91="","",IFERROR(INDEX(rngCadetPIDs,MATCH($D91,rngCadetNames,0)),"?"))</f>
        <v/>
      </c>
      <c r="F91" s="16" t="n"/>
      <c r="G91" s="16" t="n"/>
      <c r="H91" s="19">
        <f>IF(OR($D91="",$C91=""),"",_xlfn.LET(_xlpm.dn,IFERROR(_xlfn.XLOOKUP($C91,nrCDdate,nrCDnum),""),IF(_xlpm.dn="","(not a class day)",IFERROR(_xlfn.XLOOKUP(_xlpm.dn+cfgMemoDueClassDays,nrCDnum,nrCDdate),""))))</f>
        <v/>
      </c>
      <c r="I91" s="18" t="n"/>
      <c r="J91" s="19">
        <f>IF($D91="","",IF($I91&lt;&gt;"",$I91,IF(ISNUMBER($H91),$H91,"")))</f>
        <v/>
      </c>
      <c r="K91" s="18" t="n"/>
      <c r="L91" s="17">
        <f>IF($D91="","",IF($K91&lt;&gt;"","Received "&amp;TEXT($K91,"mm/dd"),IF(AND(ISNUMBER($J91),TODAY()&gt;$J91),"OVERDUE","Pending")))</f>
        <v/>
      </c>
      <c r="M91" s="16" t="n"/>
      <c r="N91" s="16" t="n"/>
    </row>
    <row r="92">
      <c r="B92" s="17">
        <f>IF($D92="","","ME"&amp;TEXT(ROW()-5,"000"))</f>
        <v/>
      </c>
      <c r="C92" s="18" t="n"/>
      <c r="D92" s="16" t="n"/>
      <c r="E92" s="17">
        <f>IF($D92="","",IFERROR(INDEX(rngCadetPIDs,MATCH($D92,rngCadetNames,0)),"?"))</f>
        <v/>
      </c>
      <c r="F92" s="16" t="n"/>
      <c r="G92" s="16" t="n"/>
      <c r="H92" s="19">
        <f>IF(OR($D92="",$C92=""),"",_xlfn.LET(_xlpm.dn,IFERROR(_xlfn.XLOOKUP($C92,nrCDdate,nrCDnum),""),IF(_xlpm.dn="","(not a class day)",IFERROR(_xlfn.XLOOKUP(_xlpm.dn+cfgMemoDueClassDays,nrCDnum,nrCDdate),""))))</f>
        <v/>
      </c>
      <c r="I92" s="18" t="n"/>
      <c r="J92" s="19">
        <f>IF($D92="","",IF($I92&lt;&gt;"",$I92,IF(ISNUMBER($H92),$H92,"")))</f>
        <v/>
      </c>
      <c r="K92" s="18" t="n"/>
      <c r="L92" s="17">
        <f>IF($D92="","",IF($K92&lt;&gt;"","Received "&amp;TEXT($K92,"mm/dd"),IF(AND(ISNUMBER($J92),TODAY()&gt;$J92),"OVERDUE","Pending")))</f>
        <v/>
      </c>
      <c r="M92" s="16" t="n"/>
      <c r="N92" s="16" t="n"/>
    </row>
    <row r="93">
      <c r="B93" s="17">
        <f>IF($D93="","","ME"&amp;TEXT(ROW()-5,"000"))</f>
        <v/>
      </c>
      <c r="C93" s="18" t="n"/>
      <c r="D93" s="16" t="n"/>
      <c r="E93" s="17">
        <f>IF($D93="","",IFERROR(INDEX(rngCadetPIDs,MATCH($D93,rngCadetNames,0)),"?"))</f>
        <v/>
      </c>
      <c r="F93" s="16" t="n"/>
      <c r="G93" s="16" t="n"/>
      <c r="H93" s="19">
        <f>IF(OR($D93="",$C93=""),"",_xlfn.LET(_xlpm.dn,IFERROR(_xlfn.XLOOKUP($C93,nrCDdate,nrCDnum),""),IF(_xlpm.dn="","(not a class day)",IFERROR(_xlfn.XLOOKUP(_xlpm.dn+cfgMemoDueClassDays,nrCDnum,nrCDdate),""))))</f>
        <v/>
      </c>
      <c r="I93" s="18" t="n"/>
      <c r="J93" s="19">
        <f>IF($D93="","",IF($I93&lt;&gt;"",$I93,IF(ISNUMBER($H93),$H93,"")))</f>
        <v/>
      </c>
      <c r="K93" s="18" t="n"/>
      <c r="L93" s="17">
        <f>IF($D93="","",IF($K93&lt;&gt;"","Received "&amp;TEXT($K93,"mm/dd"),IF(AND(ISNUMBER($J93),TODAY()&gt;$J93),"OVERDUE","Pending")))</f>
        <v/>
      </c>
      <c r="M93" s="16" t="n"/>
      <c r="N93" s="16" t="n"/>
    </row>
    <row r="94">
      <c r="B94" s="17">
        <f>IF($D94="","","ME"&amp;TEXT(ROW()-5,"000"))</f>
        <v/>
      </c>
      <c r="C94" s="18" t="n"/>
      <c r="D94" s="16" t="n"/>
      <c r="E94" s="17">
        <f>IF($D94="","",IFERROR(INDEX(rngCadetPIDs,MATCH($D94,rngCadetNames,0)),"?"))</f>
        <v/>
      </c>
      <c r="F94" s="16" t="n"/>
      <c r="G94" s="16" t="n"/>
      <c r="H94" s="19">
        <f>IF(OR($D94="",$C94=""),"",_xlfn.LET(_xlpm.dn,IFERROR(_xlfn.XLOOKUP($C94,nrCDdate,nrCDnum),""),IF(_xlpm.dn="","(not a class day)",IFERROR(_xlfn.XLOOKUP(_xlpm.dn+cfgMemoDueClassDays,nrCDnum,nrCDdate),""))))</f>
        <v/>
      </c>
      <c r="I94" s="18" t="n"/>
      <c r="J94" s="19">
        <f>IF($D94="","",IF($I94&lt;&gt;"",$I94,IF(ISNUMBER($H94),$H94,"")))</f>
        <v/>
      </c>
      <c r="K94" s="18" t="n"/>
      <c r="L94" s="17">
        <f>IF($D94="","",IF($K94&lt;&gt;"","Received "&amp;TEXT($K94,"mm/dd"),IF(AND(ISNUMBER($J94),TODAY()&gt;$J94),"OVERDUE","Pending")))</f>
        <v/>
      </c>
      <c r="M94" s="16" t="n"/>
      <c r="N94" s="16" t="n"/>
    </row>
    <row r="95">
      <c r="B95" s="17">
        <f>IF($D95="","","ME"&amp;TEXT(ROW()-5,"000"))</f>
        <v/>
      </c>
      <c r="C95" s="18" t="n"/>
      <c r="D95" s="16" t="n"/>
      <c r="E95" s="17">
        <f>IF($D95="","",IFERROR(INDEX(rngCadetPIDs,MATCH($D95,rngCadetNames,0)),"?"))</f>
        <v/>
      </c>
      <c r="F95" s="16" t="n"/>
      <c r="G95" s="16" t="n"/>
      <c r="H95" s="19">
        <f>IF(OR($D95="",$C95=""),"",_xlfn.LET(_xlpm.dn,IFERROR(_xlfn.XLOOKUP($C95,nrCDdate,nrCDnum),""),IF(_xlpm.dn="","(not a class day)",IFERROR(_xlfn.XLOOKUP(_xlpm.dn+cfgMemoDueClassDays,nrCDnum,nrCDdate),""))))</f>
        <v/>
      </c>
      <c r="I95" s="18" t="n"/>
      <c r="J95" s="19">
        <f>IF($D95="","",IF($I95&lt;&gt;"",$I95,IF(ISNUMBER($H95),$H95,"")))</f>
        <v/>
      </c>
      <c r="K95" s="18" t="n"/>
      <c r="L95" s="17">
        <f>IF($D95="","",IF($K95&lt;&gt;"","Received "&amp;TEXT($K95,"mm/dd"),IF(AND(ISNUMBER($J95),TODAY()&gt;$J95),"OVERDUE","Pending")))</f>
        <v/>
      </c>
      <c r="M95" s="16" t="n"/>
      <c r="N95" s="16" t="n"/>
    </row>
    <row r="96">
      <c r="B96" s="17">
        <f>IF($D96="","","ME"&amp;TEXT(ROW()-5,"000"))</f>
        <v/>
      </c>
      <c r="C96" s="18" t="n"/>
      <c r="D96" s="16" t="n"/>
      <c r="E96" s="17">
        <f>IF($D96="","",IFERROR(INDEX(rngCadetPIDs,MATCH($D96,rngCadetNames,0)),"?"))</f>
        <v/>
      </c>
      <c r="F96" s="16" t="n"/>
      <c r="G96" s="16" t="n"/>
      <c r="H96" s="19">
        <f>IF(OR($D96="",$C96=""),"",_xlfn.LET(_xlpm.dn,IFERROR(_xlfn.XLOOKUP($C96,nrCDdate,nrCDnum),""),IF(_xlpm.dn="","(not a class day)",IFERROR(_xlfn.XLOOKUP(_xlpm.dn+cfgMemoDueClassDays,nrCDnum,nrCDdate),""))))</f>
        <v/>
      </c>
      <c r="I96" s="18" t="n"/>
      <c r="J96" s="19">
        <f>IF($D96="","",IF($I96&lt;&gt;"",$I96,IF(ISNUMBER($H96),$H96,"")))</f>
        <v/>
      </c>
      <c r="K96" s="18" t="n"/>
      <c r="L96" s="17">
        <f>IF($D96="","",IF($K96&lt;&gt;"","Received "&amp;TEXT($K96,"mm/dd"),IF(AND(ISNUMBER($J96),TODAY()&gt;$J96),"OVERDUE","Pending")))</f>
        <v/>
      </c>
      <c r="M96" s="16" t="n"/>
      <c r="N96" s="16" t="n"/>
    </row>
    <row r="97">
      <c r="B97" s="17">
        <f>IF($D97="","","ME"&amp;TEXT(ROW()-5,"000"))</f>
        <v/>
      </c>
      <c r="C97" s="18" t="n"/>
      <c r="D97" s="16" t="n"/>
      <c r="E97" s="17">
        <f>IF($D97="","",IFERROR(INDEX(rngCadetPIDs,MATCH($D97,rngCadetNames,0)),"?"))</f>
        <v/>
      </c>
      <c r="F97" s="16" t="n"/>
      <c r="G97" s="16" t="n"/>
      <c r="H97" s="19">
        <f>IF(OR($D97="",$C97=""),"",_xlfn.LET(_xlpm.dn,IFERROR(_xlfn.XLOOKUP($C97,nrCDdate,nrCDnum),""),IF(_xlpm.dn="","(not a class day)",IFERROR(_xlfn.XLOOKUP(_xlpm.dn+cfgMemoDueClassDays,nrCDnum,nrCDdate),""))))</f>
        <v/>
      </c>
      <c r="I97" s="18" t="n"/>
      <c r="J97" s="19">
        <f>IF($D97="","",IF($I97&lt;&gt;"",$I97,IF(ISNUMBER($H97),$H97,"")))</f>
        <v/>
      </c>
      <c r="K97" s="18" t="n"/>
      <c r="L97" s="17">
        <f>IF($D97="","",IF($K97&lt;&gt;"","Received "&amp;TEXT($K97,"mm/dd"),IF(AND(ISNUMBER($J97),TODAY()&gt;$J97),"OVERDUE","Pending")))</f>
        <v/>
      </c>
      <c r="M97" s="16" t="n"/>
      <c r="N97" s="16" t="n"/>
    </row>
    <row r="98">
      <c r="B98" s="17">
        <f>IF($D98="","","ME"&amp;TEXT(ROW()-5,"000"))</f>
        <v/>
      </c>
      <c r="C98" s="18" t="n"/>
      <c r="D98" s="16" t="n"/>
      <c r="E98" s="17">
        <f>IF($D98="","",IFERROR(INDEX(rngCadetPIDs,MATCH($D98,rngCadetNames,0)),"?"))</f>
        <v/>
      </c>
      <c r="F98" s="16" t="n"/>
      <c r="G98" s="16" t="n"/>
      <c r="H98" s="19">
        <f>IF(OR($D98="",$C98=""),"",_xlfn.LET(_xlpm.dn,IFERROR(_xlfn.XLOOKUP($C98,nrCDdate,nrCDnum),""),IF(_xlpm.dn="","(not a class day)",IFERROR(_xlfn.XLOOKUP(_xlpm.dn+cfgMemoDueClassDays,nrCDnum,nrCDdate),""))))</f>
        <v/>
      </c>
      <c r="I98" s="18" t="n"/>
      <c r="J98" s="19">
        <f>IF($D98="","",IF($I98&lt;&gt;"",$I98,IF(ISNUMBER($H98),$H98,"")))</f>
        <v/>
      </c>
      <c r="K98" s="18" t="n"/>
      <c r="L98" s="17">
        <f>IF($D98="","",IF($K98&lt;&gt;"","Received "&amp;TEXT($K98,"mm/dd"),IF(AND(ISNUMBER($J98),TODAY()&gt;$J98),"OVERDUE","Pending")))</f>
        <v/>
      </c>
      <c r="M98" s="16" t="n"/>
      <c r="N98" s="16" t="n"/>
    </row>
    <row r="99">
      <c r="B99" s="17">
        <f>IF($D99="","","ME"&amp;TEXT(ROW()-5,"000"))</f>
        <v/>
      </c>
      <c r="C99" s="18" t="n"/>
      <c r="D99" s="16" t="n"/>
      <c r="E99" s="17">
        <f>IF($D99="","",IFERROR(INDEX(rngCadetPIDs,MATCH($D99,rngCadetNames,0)),"?"))</f>
        <v/>
      </c>
      <c r="F99" s="16" t="n"/>
      <c r="G99" s="16" t="n"/>
      <c r="H99" s="19">
        <f>IF(OR($D99="",$C99=""),"",_xlfn.LET(_xlpm.dn,IFERROR(_xlfn.XLOOKUP($C99,nrCDdate,nrCDnum),""),IF(_xlpm.dn="","(not a class day)",IFERROR(_xlfn.XLOOKUP(_xlpm.dn+cfgMemoDueClassDays,nrCDnum,nrCDdate),""))))</f>
        <v/>
      </c>
      <c r="I99" s="18" t="n"/>
      <c r="J99" s="19">
        <f>IF($D99="","",IF($I99&lt;&gt;"",$I99,IF(ISNUMBER($H99),$H99,"")))</f>
        <v/>
      </c>
      <c r="K99" s="18" t="n"/>
      <c r="L99" s="17">
        <f>IF($D99="","",IF($K99&lt;&gt;"","Received "&amp;TEXT($K99,"mm/dd"),IF(AND(ISNUMBER($J99),TODAY()&gt;$J99),"OVERDUE","Pending")))</f>
        <v/>
      </c>
      <c r="M99" s="16" t="n"/>
      <c r="N99" s="16" t="n"/>
    </row>
    <row r="100">
      <c r="B100" s="17">
        <f>IF($D100="","","ME"&amp;TEXT(ROW()-5,"000"))</f>
        <v/>
      </c>
      <c r="C100" s="18" t="n"/>
      <c r="D100" s="16" t="n"/>
      <c r="E100" s="17">
        <f>IF($D100="","",IFERROR(INDEX(rngCadetPIDs,MATCH($D100,rngCadetNames,0)),"?"))</f>
        <v/>
      </c>
      <c r="F100" s="16" t="n"/>
      <c r="G100" s="16" t="n"/>
      <c r="H100" s="19">
        <f>IF(OR($D100="",$C100=""),"",_xlfn.LET(_xlpm.dn,IFERROR(_xlfn.XLOOKUP($C100,nrCDdate,nrCDnum),""),IF(_xlpm.dn="","(not a class day)",IFERROR(_xlfn.XLOOKUP(_xlpm.dn+cfgMemoDueClassDays,nrCDnum,nrCDdate),""))))</f>
        <v/>
      </c>
      <c r="I100" s="18" t="n"/>
      <c r="J100" s="19">
        <f>IF($D100="","",IF($I100&lt;&gt;"",$I100,IF(ISNUMBER($H100),$H100,"")))</f>
        <v/>
      </c>
      <c r="K100" s="18" t="n"/>
      <c r="L100" s="17">
        <f>IF($D100="","",IF($K100&lt;&gt;"","Received "&amp;TEXT($K100,"mm/dd"),IF(AND(ISNUMBER($J100),TODAY()&gt;$J100),"OVERDUE","Pending")))</f>
        <v/>
      </c>
      <c r="M100" s="16" t="n"/>
      <c r="N100" s="16" t="n"/>
    </row>
    <row r="101">
      <c r="B101" s="17">
        <f>IF($D101="","","ME"&amp;TEXT(ROW()-5,"000"))</f>
        <v/>
      </c>
      <c r="C101" s="18" t="n"/>
      <c r="D101" s="16" t="n"/>
      <c r="E101" s="17">
        <f>IF($D101="","",IFERROR(INDEX(rngCadetPIDs,MATCH($D101,rngCadetNames,0)),"?"))</f>
        <v/>
      </c>
      <c r="F101" s="16" t="n"/>
      <c r="G101" s="16" t="n"/>
      <c r="H101" s="19">
        <f>IF(OR($D101="",$C101=""),"",_xlfn.LET(_xlpm.dn,IFERROR(_xlfn.XLOOKUP($C101,nrCDdate,nrCDnum),""),IF(_xlpm.dn="","(not a class day)",IFERROR(_xlfn.XLOOKUP(_xlpm.dn+cfgMemoDueClassDays,nrCDnum,nrCDdate),""))))</f>
        <v/>
      </c>
      <c r="I101" s="18" t="n"/>
      <c r="J101" s="19">
        <f>IF($D101="","",IF($I101&lt;&gt;"",$I101,IF(ISNUMBER($H101),$H101,"")))</f>
        <v/>
      </c>
      <c r="K101" s="18" t="n"/>
      <c r="L101" s="17">
        <f>IF($D101="","",IF($K101&lt;&gt;"","Received "&amp;TEXT($K101,"mm/dd"),IF(AND(ISNUMBER($J101),TODAY()&gt;$J101),"OVERDUE","Pending")))</f>
        <v/>
      </c>
      <c r="M101" s="16" t="n"/>
      <c r="N101" s="16" t="n"/>
    </row>
    <row r="102">
      <c r="B102" s="17">
        <f>IF($D102="","","ME"&amp;TEXT(ROW()-5,"000"))</f>
        <v/>
      </c>
      <c r="C102" s="18" t="n"/>
      <c r="D102" s="16" t="n"/>
      <c r="E102" s="17">
        <f>IF($D102="","",IFERROR(INDEX(rngCadetPIDs,MATCH($D102,rngCadetNames,0)),"?"))</f>
        <v/>
      </c>
      <c r="F102" s="16" t="n"/>
      <c r="G102" s="16" t="n"/>
      <c r="H102" s="19">
        <f>IF(OR($D102="",$C102=""),"",_xlfn.LET(_xlpm.dn,IFERROR(_xlfn.XLOOKUP($C102,nrCDdate,nrCDnum),""),IF(_xlpm.dn="","(not a class day)",IFERROR(_xlfn.XLOOKUP(_xlpm.dn+cfgMemoDueClassDays,nrCDnum,nrCDdate),""))))</f>
        <v/>
      </c>
      <c r="I102" s="18" t="n"/>
      <c r="J102" s="19">
        <f>IF($D102="","",IF($I102&lt;&gt;"",$I102,IF(ISNUMBER($H102),$H102,"")))</f>
        <v/>
      </c>
      <c r="K102" s="18" t="n"/>
      <c r="L102" s="17">
        <f>IF($D102="","",IF($K102&lt;&gt;"","Received "&amp;TEXT($K102,"mm/dd"),IF(AND(ISNUMBER($J102),TODAY()&gt;$J102),"OVERDUE","Pending")))</f>
        <v/>
      </c>
      <c r="M102" s="16" t="n"/>
      <c r="N102" s="16" t="n"/>
    </row>
    <row r="103">
      <c r="B103" s="17">
        <f>IF($D103="","","ME"&amp;TEXT(ROW()-5,"000"))</f>
        <v/>
      </c>
      <c r="C103" s="18" t="n"/>
      <c r="D103" s="16" t="n"/>
      <c r="E103" s="17">
        <f>IF($D103="","",IFERROR(INDEX(rngCadetPIDs,MATCH($D103,rngCadetNames,0)),"?"))</f>
        <v/>
      </c>
      <c r="F103" s="16" t="n"/>
      <c r="G103" s="16" t="n"/>
      <c r="H103" s="19">
        <f>IF(OR($D103="",$C103=""),"",_xlfn.LET(_xlpm.dn,IFERROR(_xlfn.XLOOKUP($C103,nrCDdate,nrCDnum),""),IF(_xlpm.dn="","(not a class day)",IFERROR(_xlfn.XLOOKUP(_xlpm.dn+cfgMemoDueClassDays,nrCDnum,nrCDdate),""))))</f>
        <v/>
      </c>
      <c r="I103" s="18" t="n"/>
      <c r="J103" s="19">
        <f>IF($D103="","",IF($I103&lt;&gt;"",$I103,IF(ISNUMBER($H103),$H103,"")))</f>
        <v/>
      </c>
      <c r="K103" s="18" t="n"/>
      <c r="L103" s="17">
        <f>IF($D103="","",IF($K103&lt;&gt;"","Received "&amp;TEXT($K103,"mm/dd"),IF(AND(ISNUMBER($J103),TODAY()&gt;$J103),"OVERDUE","Pending")))</f>
        <v/>
      </c>
      <c r="M103" s="16" t="n"/>
      <c r="N103" s="16" t="n"/>
    </row>
    <row r="104">
      <c r="B104" s="17">
        <f>IF($D104="","","ME"&amp;TEXT(ROW()-5,"000"))</f>
        <v/>
      </c>
      <c r="C104" s="18" t="n"/>
      <c r="D104" s="16" t="n"/>
      <c r="E104" s="17">
        <f>IF($D104="","",IFERROR(INDEX(rngCadetPIDs,MATCH($D104,rngCadetNames,0)),"?"))</f>
        <v/>
      </c>
      <c r="F104" s="16" t="n"/>
      <c r="G104" s="16" t="n"/>
      <c r="H104" s="19">
        <f>IF(OR($D104="",$C104=""),"",_xlfn.LET(_xlpm.dn,IFERROR(_xlfn.XLOOKUP($C104,nrCDdate,nrCDnum),""),IF(_xlpm.dn="","(not a class day)",IFERROR(_xlfn.XLOOKUP(_xlpm.dn+cfgMemoDueClassDays,nrCDnum,nrCDdate),""))))</f>
        <v/>
      </c>
      <c r="I104" s="18" t="n"/>
      <c r="J104" s="19">
        <f>IF($D104="","",IF($I104&lt;&gt;"",$I104,IF(ISNUMBER($H104),$H104,"")))</f>
        <v/>
      </c>
      <c r="K104" s="18" t="n"/>
      <c r="L104" s="17">
        <f>IF($D104="","",IF($K104&lt;&gt;"","Received "&amp;TEXT($K104,"mm/dd"),IF(AND(ISNUMBER($J104),TODAY()&gt;$J104),"OVERDUE","Pending")))</f>
        <v/>
      </c>
      <c r="M104" s="16" t="n"/>
      <c r="N104" s="16" t="n"/>
    </row>
    <row r="105">
      <c r="B105" s="17">
        <f>IF($D105="","","ME"&amp;TEXT(ROW()-5,"000"))</f>
        <v/>
      </c>
      <c r="C105" s="18" t="n"/>
      <c r="D105" s="16" t="n"/>
      <c r="E105" s="17">
        <f>IF($D105="","",IFERROR(INDEX(rngCadetPIDs,MATCH($D105,rngCadetNames,0)),"?"))</f>
        <v/>
      </c>
      <c r="F105" s="16" t="n"/>
      <c r="G105" s="16" t="n"/>
      <c r="H105" s="19">
        <f>IF(OR($D105="",$C105=""),"",_xlfn.LET(_xlpm.dn,IFERROR(_xlfn.XLOOKUP($C105,nrCDdate,nrCDnum),""),IF(_xlpm.dn="","(not a class day)",IFERROR(_xlfn.XLOOKUP(_xlpm.dn+cfgMemoDueClassDays,nrCDnum,nrCDdate),""))))</f>
        <v/>
      </c>
      <c r="I105" s="18" t="n"/>
      <c r="J105" s="19">
        <f>IF($D105="","",IF($I105&lt;&gt;"",$I105,IF(ISNUMBER($H105),$H105,"")))</f>
        <v/>
      </c>
      <c r="K105" s="18" t="n"/>
      <c r="L105" s="17">
        <f>IF($D105="","",IF($K105&lt;&gt;"","Received "&amp;TEXT($K105,"mm/dd"),IF(AND(ISNUMBER($J105),TODAY()&gt;$J105),"OVERDUE","Pending")))</f>
        <v/>
      </c>
      <c r="M105" s="16" t="n"/>
      <c r="N105" s="16" t="n"/>
    </row>
    <row r="106">
      <c r="B106" s="17">
        <f>IF($D106="","","ME"&amp;TEXT(ROW()-5,"000"))</f>
        <v/>
      </c>
      <c r="C106" s="18" t="n"/>
      <c r="D106" s="16" t="n"/>
      <c r="E106" s="17">
        <f>IF($D106="","",IFERROR(INDEX(rngCadetPIDs,MATCH($D106,rngCadetNames,0)),"?"))</f>
        <v/>
      </c>
      <c r="F106" s="16" t="n"/>
      <c r="G106" s="16" t="n"/>
      <c r="H106" s="19">
        <f>IF(OR($D106="",$C106=""),"",_xlfn.LET(_xlpm.dn,IFERROR(_xlfn.XLOOKUP($C106,nrCDdate,nrCDnum),""),IF(_xlpm.dn="","(not a class day)",IFERROR(_xlfn.XLOOKUP(_xlpm.dn+cfgMemoDueClassDays,nrCDnum,nrCDdate),""))))</f>
        <v/>
      </c>
      <c r="I106" s="18" t="n"/>
      <c r="J106" s="19">
        <f>IF($D106="","",IF($I106&lt;&gt;"",$I106,IF(ISNUMBER($H106),$H106,"")))</f>
        <v/>
      </c>
      <c r="K106" s="18" t="n"/>
      <c r="L106" s="17">
        <f>IF($D106="","",IF($K106&lt;&gt;"","Received "&amp;TEXT($K106,"mm/dd"),IF(AND(ISNUMBER($J106),TODAY()&gt;$J106),"OVERDUE","Pending")))</f>
        <v/>
      </c>
      <c r="M106" s="16" t="n"/>
      <c r="N106" s="16" t="n"/>
    </row>
    <row r="107">
      <c r="B107" s="17">
        <f>IF($D107="","","ME"&amp;TEXT(ROW()-5,"000"))</f>
        <v/>
      </c>
      <c r="C107" s="18" t="n"/>
      <c r="D107" s="16" t="n"/>
      <c r="E107" s="17">
        <f>IF($D107="","",IFERROR(INDEX(rngCadetPIDs,MATCH($D107,rngCadetNames,0)),"?"))</f>
        <v/>
      </c>
      <c r="F107" s="16" t="n"/>
      <c r="G107" s="16" t="n"/>
      <c r="H107" s="19">
        <f>IF(OR($D107="",$C107=""),"",_xlfn.LET(_xlpm.dn,IFERROR(_xlfn.XLOOKUP($C107,nrCDdate,nrCDnum),""),IF(_xlpm.dn="","(not a class day)",IFERROR(_xlfn.XLOOKUP(_xlpm.dn+cfgMemoDueClassDays,nrCDnum,nrCDdate),""))))</f>
        <v/>
      </c>
      <c r="I107" s="18" t="n"/>
      <c r="J107" s="19">
        <f>IF($D107="","",IF($I107&lt;&gt;"",$I107,IF(ISNUMBER($H107),$H107,"")))</f>
        <v/>
      </c>
      <c r="K107" s="18" t="n"/>
      <c r="L107" s="17">
        <f>IF($D107="","",IF($K107&lt;&gt;"","Received "&amp;TEXT($K107,"mm/dd"),IF(AND(ISNUMBER($J107),TODAY()&gt;$J107),"OVERDUE","Pending")))</f>
        <v/>
      </c>
      <c r="M107" s="16" t="n"/>
      <c r="N107" s="16" t="n"/>
    </row>
    <row r="108">
      <c r="B108" s="17">
        <f>IF($D108="","","ME"&amp;TEXT(ROW()-5,"000"))</f>
        <v/>
      </c>
      <c r="C108" s="18" t="n"/>
      <c r="D108" s="16" t="n"/>
      <c r="E108" s="17">
        <f>IF($D108="","",IFERROR(INDEX(rngCadetPIDs,MATCH($D108,rngCadetNames,0)),"?"))</f>
        <v/>
      </c>
      <c r="F108" s="16" t="n"/>
      <c r="G108" s="16" t="n"/>
      <c r="H108" s="19">
        <f>IF(OR($D108="",$C108=""),"",_xlfn.LET(_xlpm.dn,IFERROR(_xlfn.XLOOKUP($C108,nrCDdate,nrCDnum),""),IF(_xlpm.dn="","(not a class day)",IFERROR(_xlfn.XLOOKUP(_xlpm.dn+cfgMemoDueClassDays,nrCDnum,nrCDdate),""))))</f>
        <v/>
      </c>
      <c r="I108" s="18" t="n"/>
      <c r="J108" s="19">
        <f>IF($D108="","",IF($I108&lt;&gt;"",$I108,IF(ISNUMBER($H108),$H108,"")))</f>
        <v/>
      </c>
      <c r="K108" s="18" t="n"/>
      <c r="L108" s="17">
        <f>IF($D108="","",IF($K108&lt;&gt;"","Received "&amp;TEXT($K108,"mm/dd"),IF(AND(ISNUMBER($J108),TODAY()&gt;$J108),"OVERDUE","Pending")))</f>
        <v/>
      </c>
      <c r="M108" s="16" t="n"/>
      <c r="N108" s="16" t="n"/>
    </row>
    <row r="109">
      <c r="B109" s="17">
        <f>IF($D109="","","ME"&amp;TEXT(ROW()-5,"000"))</f>
        <v/>
      </c>
      <c r="C109" s="18" t="n"/>
      <c r="D109" s="16" t="n"/>
      <c r="E109" s="17">
        <f>IF($D109="","",IFERROR(INDEX(rngCadetPIDs,MATCH($D109,rngCadetNames,0)),"?"))</f>
        <v/>
      </c>
      <c r="F109" s="16" t="n"/>
      <c r="G109" s="16" t="n"/>
      <c r="H109" s="19">
        <f>IF(OR($D109="",$C109=""),"",_xlfn.LET(_xlpm.dn,IFERROR(_xlfn.XLOOKUP($C109,nrCDdate,nrCDnum),""),IF(_xlpm.dn="","(not a class day)",IFERROR(_xlfn.XLOOKUP(_xlpm.dn+cfgMemoDueClassDays,nrCDnum,nrCDdate),""))))</f>
        <v/>
      </c>
      <c r="I109" s="18" t="n"/>
      <c r="J109" s="19">
        <f>IF($D109="","",IF($I109&lt;&gt;"",$I109,IF(ISNUMBER($H109),$H109,"")))</f>
        <v/>
      </c>
      <c r="K109" s="18" t="n"/>
      <c r="L109" s="17">
        <f>IF($D109="","",IF($K109&lt;&gt;"","Received "&amp;TEXT($K109,"mm/dd"),IF(AND(ISNUMBER($J109),TODAY()&gt;$J109),"OVERDUE","Pending")))</f>
        <v/>
      </c>
      <c r="M109" s="16" t="n"/>
      <c r="N109" s="16" t="n"/>
    </row>
    <row r="110">
      <c r="B110" s="17">
        <f>IF($D110="","","ME"&amp;TEXT(ROW()-5,"000"))</f>
        <v/>
      </c>
      <c r="C110" s="18" t="n"/>
      <c r="D110" s="16" t="n"/>
      <c r="E110" s="17">
        <f>IF($D110="","",IFERROR(INDEX(rngCadetPIDs,MATCH($D110,rngCadetNames,0)),"?"))</f>
        <v/>
      </c>
      <c r="F110" s="16" t="n"/>
      <c r="G110" s="16" t="n"/>
      <c r="H110" s="19">
        <f>IF(OR($D110="",$C110=""),"",_xlfn.LET(_xlpm.dn,IFERROR(_xlfn.XLOOKUP($C110,nrCDdate,nrCDnum),""),IF(_xlpm.dn="","(not a class day)",IFERROR(_xlfn.XLOOKUP(_xlpm.dn+cfgMemoDueClassDays,nrCDnum,nrCDdate),""))))</f>
        <v/>
      </c>
      <c r="I110" s="18" t="n"/>
      <c r="J110" s="19">
        <f>IF($D110="","",IF($I110&lt;&gt;"",$I110,IF(ISNUMBER($H110),$H110,"")))</f>
        <v/>
      </c>
      <c r="K110" s="18" t="n"/>
      <c r="L110" s="17">
        <f>IF($D110="","",IF($K110&lt;&gt;"","Received "&amp;TEXT($K110,"mm/dd"),IF(AND(ISNUMBER($J110),TODAY()&gt;$J110),"OVERDUE","Pending")))</f>
        <v/>
      </c>
      <c r="M110" s="16" t="n"/>
      <c r="N110" s="16" t="n"/>
    </row>
    <row r="111">
      <c r="B111" s="17">
        <f>IF($D111="","","ME"&amp;TEXT(ROW()-5,"000"))</f>
        <v/>
      </c>
      <c r="C111" s="18" t="n"/>
      <c r="D111" s="16" t="n"/>
      <c r="E111" s="17">
        <f>IF($D111="","",IFERROR(INDEX(rngCadetPIDs,MATCH($D111,rngCadetNames,0)),"?"))</f>
        <v/>
      </c>
      <c r="F111" s="16" t="n"/>
      <c r="G111" s="16" t="n"/>
      <c r="H111" s="19">
        <f>IF(OR($D111="",$C111=""),"",_xlfn.LET(_xlpm.dn,IFERROR(_xlfn.XLOOKUP($C111,nrCDdate,nrCDnum),""),IF(_xlpm.dn="","(not a class day)",IFERROR(_xlfn.XLOOKUP(_xlpm.dn+cfgMemoDueClassDays,nrCDnum,nrCDdate),""))))</f>
        <v/>
      </c>
      <c r="I111" s="18" t="n"/>
      <c r="J111" s="19">
        <f>IF($D111="","",IF($I111&lt;&gt;"",$I111,IF(ISNUMBER($H111),$H111,"")))</f>
        <v/>
      </c>
      <c r="K111" s="18" t="n"/>
      <c r="L111" s="17">
        <f>IF($D111="","",IF($K111&lt;&gt;"","Received "&amp;TEXT($K111,"mm/dd"),IF(AND(ISNUMBER($J111),TODAY()&gt;$J111),"OVERDUE","Pending")))</f>
        <v/>
      </c>
      <c r="M111" s="16" t="n"/>
      <c r="N111" s="16" t="n"/>
    </row>
    <row r="112">
      <c r="B112" s="17">
        <f>IF($D112="","","ME"&amp;TEXT(ROW()-5,"000"))</f>
        <v/>
      </c>
      <c r="C112" s="18" t="n"/>
      <c r="D112" s="16" t="n"/>
      <c r="E112" s="17">
        <f>IF($D112="","",IFERROR(INDEX(rngCadetPIDs,MATCH($D112,rngCadetNames,0)),"?"))</f>
        <v/>
      </c>
      <c r="F112" s="16" t="n"/>
      <c r="G112" s="16" t="n"/>
      <c r="H112" s="19">
        <f>IF(OR($D112="",$C112=""),"",_xlfn.LET(_xlpm.dn,IFERROR(_xlfn.XLOOKUP($C112,nrCDdate,nrCDnum),""),IF(_xlpm.dn="","(not a class day)",IFERROR(_xlfn.XLOOKUP(_xlpm.dn+cfgMemoDueClassDays,nrCDnum,nrCDdate),""))))</f>
        <v/>
      </c>
      <c r="I112" s="18" t="n"/>
      <c r="J112" s="19">
        <f>IF($D112="","",IF($I112&lt;&gt;"",$I112,IF(ISNUMBER($H112),$H112,"")))</f>
        <v/>
      </c>
      <c r="K112" s="18" t="n"/>
      <c r="L112" s="17">
        <f>IF($D112="","",IF($K112&lt;&gt;"","Received "&amp;TEXT($K112,"mm/dd"),IF(AND(ISNUMBER($J112),TODAY()&gt;$J112),"OVERDUE","Pending")))</f>
        <v/>
      </c>
      <c r="M112" s="16" t="n"/>
      <c r="N112" s="16" t="n"/>
    </row>
    <row r="113">
      <c r="B113" s="17">
        <f>IF($D113="","","ME"&amp;TEXT(ROW()-5,"000"))</f>
        <v/>
      </c>
      <c r="C113" s="18" t="n"/>
      <c r="D113" s="16" t="n"/>
      <c r="E113" s="17">
        <f>IF($D113="","",IFERROR(INDEX(rngCadetPIDs,MATCH($D113,rngCadetNames,0)),"?"))</f>
        <v/>
      </c>
      <c r="F113" s="16" t="n"/>
      <c r="G113" s="16" t="n"/>
      <c r="H113" s="19">
        <f>IF(OR($D113="",$C113=""),"",_xlfn.LET(_xlpm.dn,IFERROR(_xlfn.XLOOKUP($C113,nrCDdate,nrCDnum),""),IF(_xlpm.dn="","(not a class day)",IFERROR(_xlfn.XLOOKUP(_xlpm.dn+cfgMemoDueClassDays,nrCDnum,nrCDdate),""))))</f>
        <v/>
      </c>
      <c r="I113" s="18" t="n"/>
      <c r="J113" s="19">
        <f>IF($D113="","",IF($I113&lt;&gt;"",$I113,IF(ISNUMBER($H113),$H113,"")))</f>
        <v/>
      </c>
      <c r="K113" s="18" t="n"/>
      <c r="L113" s="17">
        <f>IF($D113="","",IF($K113&lt;&gt;"","Received "&amp;TEXT($K113,"mm/dd"),IF(AND(ISNUMBER($J113),TODAY()&gt;$J113),"OVERDUE","Pending")))</f>
        <v/>
      </c>
      <c r="M113" s="16" t="n"/>
      <c r="N113" s="16" t="n"/>
    </row>
    <row r="114">
      <c r="B114" s="17">
        <f>IF($D114="","","ME"&amp;TEXT(ROW()-5,"000"))</f>
        <v/>
      </c>
      <c r="C114" s="18" t="n"/>
      <c r="D114" s="16" t="n"/>
      <c r="E114" s="17">
        <f>IF($D114="","",IFERROR(INDEX(rngCadetPIDs,MATCH($D114,rngCadetNames,0)),"?"))</f>
        <v/>
      </c>
      <c r="F114" s="16" t="n"/>
      <c r="G114" s="16" t="n"/>
      <c r="H114" s="19">
        <f>IF(OR($D114="",$C114=""),"",_xlfn.LET(_xlpm.dn,IFERROR(_xlfn.XLOOKUP($C114,nrCDdate,nrCDnum),""),IF(_xlpm.dn="","(not a class day)",IFERROR(_xlfn.XLOOKUP(_xlpm.dn+cfgMemoDueClassDays,nrCDnum,nrCDdate),""))))</f>
        <v/>
      </c>
      <c r="I114" s="18" t="n"/>
      <c r="J114" s="19">
        <f>IF($D114="","",IF($I114&lt;&gt;"",$I114,IF(ISNUMBER($H114),$H114,"")))</f>
        <v/>
      </c>
      <c r="K114" s="18" t="n"/>
      <c r="L114" s="17">
        <f>IF($D114="","",IF($K114&lt;&gt;"","Received "&amp;TEXT($K114,"mm/dd"),IF(AND(ISNUMBER($J114),TODAY()&gt;$J114),"OVERDUE","Pending")))</f>
        <v/>
      </c>
      <c r="M114" s="16" t="n"/>
      <c r="N114" s="16" t="n"/>
    </row>
    <row r="115">
      <c r="B115" s="17">
        <f>IF($D115="","","ME"&amp;TEXT(ROW()-5,"000"))</f>
        <v/>
      </c>
      <c r="C115" s="18" t="n"/>
      <c r="D115" s="16" t="n"/>
      <c r="E115" s="17">
        <f>IF($D115="","",IFERROR(INDEX(rngCadetPIDs,MATCH($D115,rngCadetNames,0)),"?"))</f>
        <v/>
      </c>
      <c r="F115" s="16" t="n"/>
      <c r="G115" s="16" t="n"/>
      <c r="H115" s="19">
        <f>IF(OR($D115="",$C115=""),"",_xlfn.LET(_xlpm.dn,IFERROR(_xlfn.XLOOKUP($C115,nrCDdate,nrCDnum),""),IF(_xlpm.dn="","(not a class day)",IFERROR(_xlfn.XLOOKUP(_xlpm.dn+cfgMemoDueClassDays,nrCDnum,nrCDdate),""))))</f>
        <v/>
      </c>
      <c r="I115" s="18" t="n"/>
      <c r="J115" s="19">
        <f>IF($D115="","",IF($I115&lt;&gt;"",$I115,IF(ISNUMBER($H115),$H115,"")))</f>
        <v/>
      </c>
      <c r="K115" s="18" t="n"/>
      <c r="L115" s="17">
        <f>IF($D115="","",IF($K115&lt;&gt;"","Received "&amp;TEXT($K115,"mm/dd"),IF(AND(ISNUMBER($J115),TODAY()&gt;$J115),"OVERDUE","Pending")))</f>
        <v/>
      </c>
      <c r="M115" s="16" t="n"/>
      <c r="N115" s="16" t="n"/>
    </row>
    <row r="116">
      <c r="B116" s="17">
        <f>IF($D116="","","ME"&amp;TEXT(ROW()-5,"000"))</f>
        <v/>
      </c>
      <c r="C116" s="18" t="n"/>
      <c r="D116" s="16" t="n"/>
      <c r="E116" s="17">
        <f>IF($D116="","",IFERROR(INDEX(rngCadetPIDs,MATCH($D116,rngCadetNames,0)),"?"))</f>
        <v/>
      </c>
      <c r="F116" s="16" t="n"/>
      <c r="G116" s="16" t="n"/>
      <c r="H116" s="19">
        <f>IF(OR($D116="",$C116=""),"",_xlfn.LET(_xlpm.dn,IFERROR(_xlfn.XLOOKUP($C116,nrCDdate,nrCDnum),""),IF(_xlpm.dn="","(not a class day)",IFERROR(_xlfn.XLOOKUP(_xlpm.dn+cfgMemoDueClassDays,nrCDnum,nrCDdate),""))))</f>
        <v/>
      </c>
      <c r="I116" s="18" t="n"/>
      <c r="J116" s="19">
        <f>IF($D116="","",IF($I116&lt;&gt;"",$I116,IF(ISNUMBER($H116),$H116,"")))</f>
        <v/>
      </c>
      <c r="K116" s="18" t="n"/>
      <c r="L116" s="17">
        <f>IF($D116="","",IF($K116&lt;&gt;"","Received "&amp;TEXT($K116,"mm/dd"),IF(AND(ISNUMBER($J116),TODAY()&gt;$J116),"OVERDUE","Pending")))</f>
        <v/>
      </c>
      <c r="M116" s="16" t="n"/>
      <c r="N116" s="16" t="n"/>
    </row>
    <row r="117">
      <c r="B117" s="17">
        <f>IF($D117="","","ME"&amp;TEXT(ROW()-5,"000"))</f>
        <v/>
      </c>
      <c r="C117" s="18" t="n"/>
      <c r="D117" s="16" t="n"/>
      <c r="E117" s="17">
        <f>IF($D117="","",IFERROR(INDEX(rngCadetPIDs,MATCH($D117,rngCadetNames,0)),"?"))</f>
        <v/>
      </c>
      <c r="F117" s="16" t="n"/>
      <c r="G117" s="16" t="n"/>
      <c r="H117" s="19">
        <f>IF(OR($D117="",$C117=""),"",_xlfn.LET(_xlpm.dn,IFERROR(_xlfn.XLOOKUP($C117,nrCDdate,nrCDnum),""),IF(_xlpm.dn="","(not a class day)",IFERROR(_xlfn.XLOOKUP(_xlpm.dn+cfgMemoDueClassDays,nrCDnum,nrCDdate),""))))</f>
        <v/>
      </c>
      <c r="I117" s="18" t="n"/>
      <c r="J117" s="19">
        <f>IF($D117="","",IF($I117&lt;&gt;"",$I117,IF(ISNUMBER($H117),$H117,"")))</f>
        <v/>
      </c>
      <c r="K117" s="18" t="n"/>
      <c r="L117" s="17">
        <f>IF($D117="","",IF($K117&lt;&gt;"","Received "&amp;TEXT($K117,"mm/dd"),IF(AND(ISNUMBER($J117),TODAY()&gt;$J117),"OVERDUE","Pending")))</f>
        <v/>
      </c>
      <c r="M117" s="16" t="n"/>
      <c r="N117" s="16" t="n"/>
    </row>
    <row r="118">
      <c r="B118" s="17">
        <f>IF($D118="","","ME"&amp;TEXT(ROW()-5,"000"))</f>
        <v/>
      </c>
      <c r="C118" s="18" t="n"/>
      <c r="D118" s="16" t="n"/>
      <c r="E118" s="17">
        <f>IF($D118="","",IFERROR(INDEX(rngCadetPIDs,MATCH($D118,rngCadetNames,0)),"?"))</f>
        <v/>
      </c>
      <c r="F118" s="16" t="n"/>
      <c r="G118" s="16" t="n"/>
      <c r="H118" s="19">
        <f>IF(OR($D118="",$C118=""),"",_xlfn.LET(_xlpm.dn,IFERROR(_xlfn.XLOOKUP($C118,nrCDdate,nrCDnum),""),IF(_xlpm.dn="","(not a class day)",IFERROR(_xlfn.XLOOKUP(_xlpm.dn+cfgMemoDueClassDays,nrCDnum,nrCDdate),""))))</f>
        <v/>
      </c>
      <c r="I118" s="18" t="n"/>
      <c r="J118" s="19">
        <f>IF($D118="","",IF($I118&lt;&gt;"",$I118,IF(ISNUMBER($H118),$H118,"")))</f>
        <v/>
      </c>
      <c r="K118" s="18" t="n"/>
      <c r="L118" s="17">
        <f>IF($D118="","",IF($K118&lt;&gt;"","Received "&amp;TEXT($K118,"mm/dd"),IF(AND(ISNUMBER($J118),TODAY()&gt;$J118),"OVERDUE","Pending")))</f>
        <v/>
      </c>
      <c r="M118" s="16" t="n"/>
      <c r="N118" s="16" t="n"/>
    </row>
    <row r="119">
      <c r="B119" s="17">
        <f>IF($D119="","","ME"&amp;TEXT(ROW()-5,"000"))</f>
        <v/>
      </c>
      <c r="C119" s="18" t="n"/>
      <c r="D119" s="16" t="n"/>
      <c r="E119" s="17">
        <f>IF($D119="","",IFERROR(INDEX(rngCadetPIDs,MATCH($D119,rngCadetNames,0)),"?"))</f>
        <v/>
      </c>
      <c r="F119" s="16" t="n"/>
      <c r="G119" s="16" t="n"/>
      <c r="H119" s="19">
        <f>IF(OR($D119="",$C119=""),"",_xlfn.LET(_xlpm.dn,IFERROR(_xlfn.XLOOKUP($C119,nrCDdate,nrCDnum),""),IF(_xlpm.dn="","(not a class day)",IFERROR(_xlfn.XLOOKUP(_xlpm.dn+cfgMemoDueClassDays,nrCDnum,nrCDdate),""))))</f>
        <v/>
      </c>
      <c r="I119" s="18" t="n"/>
      <c r="J119" s="19">
        <f>IF($D119="","",IF($I119&lt;&gt;"",$I119,IF(ISNUMBER($H119),$H119,"")))</f>
        <v/>
      </c>
      <c r="K119" s="18" t="n"/>
      <c r="L119" s="17">
        <f>IF($D119="","",IF($K119&lt;&gt;"","Received "&amp;TEXT($K119,"mm/dd"),IF(AND(ISNUMBER($J119),TODAY()&gt;$J119),"OVERDUE","Pending")))</f>
        <v/>
      </c>
      <c r="M119" s="16" t="n"/>
      <c r="N119" s="16" t="n"/>
    </row>
    <row r="120">
      <c r="B120" s="17">
        <f>IF($D120="","","ME"&amp;TEXT(ROW()-5,"000"))</f>
        <v/>
      </c>
      <c r="C120" s="18" t="n"/>
      <c r="D120" s="16" t="n"/>
      <c r="E120" s="17">
        <f>IF($D120="","",IFERROR(INDEX(rngCadetPIDs,MATCH($D120,rngCadetNames,0)),"?"))</f>
        <v/>
      </c>
      <c r="F120" s="16" t="n"/>
      <c r="G120" s="16" t="n"/>
      <c r="H120" s="19">
        <f>IF(OR($D120="",$C120=""),"",_xlfn.LET(_xlpm.dn,IFERROR(_xlfn.XLOOKUP($C120,nrCDdate,nrCDnum),""),IF(_xlpm.dn="","(not a class day)",IFERROR(_xlfn.XLOOKUP(_xlpm.dn+cfgMemoDueClassDays,nrCDnum,nrCDdate),""))))</f>
        <v/>
      </c>
      <c r="I120" s="18" t="n"/>
      <c r="J120" s="19">
        <f>IF($D120="","",IF($I120&lt;&gt;"",$I120,IF(ISNUMBER($H120),$H120,"")))</f>
        <v/>
      </c>
      <c r="K120" s="18" t="n"/>
      <c r="L120" s="17">
        <f>IF($D120="","",IF($K120&lt;&gt;"","Received "&amp;TEXT($K120,"mm/dd"),IF(AND(ISNUMBER($J120),TODAY()&gt;$J120),"OVERDUE","Pending")))</f>
        <v/>
      </c>
      <c r="M120" s="16" t="n"/>
      <c r="N120" s="16" t="n"/>
    </row>
    <row r="121">
      <c r="B121" s="17">
        <f>IF($D121="","","ME"&amp;TEXT(ROW()-5,"000"))</f>
        <v/>
      </c>
      <c r="C121" s="18" t="n"/>
      <c r="D121" s="16" t="n"/>
      <c r="E121" s="17">
        <f>IF($D121="","",IFERROR(INDEX(rngCadetPIDs,MATCH($D121,rngCadetNames,0)),"?"))</f>
        <v/>
      </c>
      <c r="F121" s="16" t="n"/>
      <c r="G121" s="16" t="n"/>
      <c r="H121" s="19">
        <f>IF(OR($D121="",$C121=""),"",_xlfn.LET(_xlpm.dn,IFERROR(_xlfn.XLOOKUP($C121,nrCDdate,nrCDnum),""),IF(_xlpm.dn="","(not a class day)",IFERROR(_xlfn.XLOOKUP(_xlpm.dn+cfgMemoDueClassDays,nrCDnum,nrCDdate),""))))</f>
        <v/>
      </c>
      <c r="I121" s="18" t="n"/>
      <c r="J121" s="19">
        <f>IF($D121="","",IF($I121&lt;&gt;"",$I121,IF(ISNUMBER($H121),$H121,"")))</f>
        <v/>
      </c>
      <c r="K121" s="18" t="n"/>
      <c r="L121" s="17">
        <f>IF($D121="","",IF($K121&lt;&gt;"","Received "&amp;TEXT($K121,"mm/dd"),IF(AND(ISNUMBER($J121),TODAY()&gt;$J121),"OVERDUE","Pending")))</f>
        <v/>
      </c>
      <c r="M121" s="16" t="n"/>
      <c r="N121" s="16" t="n"/>
    </row>
    <row r="122">
      <c r="B122" s="17">
        <f>IF($D122="","","ME"&amp;TEXT(ROW()-5,"000"))</f>
        <v/>
      </c>
      <c r="C122" s="18" t="n"/>
      <c r="D122" s="16" t="n"/>
      <c r="E122" s="17">
        <f>IF($D122="","",IFERROR(INDEX(rngCadetPIDs,MATCH($D122,rngCadetNames,0)),"?"))</f>
        <v/>
      </c>
      <c r="F122" s="16" t="n"/>
      <c r="G122" s="16" t="n"/>
      <c r="H122" s="19">
        <f>IF(OR($D122="",$C122=""),"",_xlfn.LET(_xlpm.dn,IFERROR(_xlfn.XLOOKUP($C122,nrCDdate,nrCDnum),""),IF(_xlpm.dn="","(not a class day)",IFERROR(_xlfn.XLOOKUP(_xlpm.dn+cfgMemoDueClassDays,nrCDnum,nrCDdate),""))))</f>
        <v/>
      </c>
      <c r="I122" s="18" t="n"/>
      <c r="J122" s="19">
        <f>IF($D122="","",IF($I122&lt;&gt;"",$I122,IF(ISNUMBER($H122),$H122,"")))</f>
        <v/>
      </c>
      <c r="K122" s="18" t="n"/>
      <c r="L122" s="17">
        <f>IF($D122="","",IF($K122&lt;&gt;"","Received "&amp;TEXT($K122,"mm/dd"),IF(AND(ISNUMBER($J122),TODAY()&gt;$J122),"OVERDUE","Pending")))</f>
        <v/>
      </c>
      <c r="M122" s="16" t="n"/>
      <c r="N122" s="16" t="n"/>
    </row>
    <row r="123">
      <c r="B123" s="17">
        <f>IF($D123="","","ME"&amp;TEXT(ROW()-5,"000"))</f>
        <v/>
      </c>
      <c r="C123" s="18" t="n"/>
      <c r="D123" s="16" t="n"/>
      <c r="E123" s="17">
        <f>IF($D123="","",IFERROR(INDEX(rngCadetPIDs,MATCH($D123,rngCadetNames,0)),"?"))</f>
        <v/>
      </c>
      <c r="F123" s="16" t="n"/>
      <c r="G123" s="16" t="n"/>
      <c r="H123" s="19">
        <f>IF(OR($D123="",$C123=""),"",_xlfn.LET(_xlpm.dn,IFERROR(_xlfn.XLOOKUP($C123,nrCDdate,nrCDnum),""),IF(_xlpm.dn="","(not a class day)",IFERROR(_xlfn.XLOOKUP(_xlpm.dn+cfgMemoDueClassDays,nrCDnum,nrCDdate),""))))</f>
        <v/>
      </c>
      <c r="I123" s="18" t="n"/>
      <c r="J123" s="19">
        <f>IF($D123="","",IF($I123&lt;&gt;"",$I123,IF(ISNUMBER($H123),$H123,"")))</f>
        <v/>
      </c>
      <c r="K123" s="18" t="n"/>
      <c r="L123" s="17">
        <f>IF($D123="","",IF($K123&lt;&gt;"","Received "&amp;TEXT($K123,"mm/dd"),IF(AND(ISNUMBER($J123),TODAY()&gt;$J123),"OVERDUE","Pending")))</f>
        <v/>
      </c>
      <c r="M123" s="16" t="n"/>
      <c r="N123" s="16" t="n"/>
    </row>
    <row r="124">
      <c r="B124" s="17">
        <f>IF($D124="","","ME"&amp;TEXT(ROW()-5,"000"))</f>
        <v/>
      </c>
      <c r="C124" s="18" t="n"/>
      <c r="D124" s="16" t="n"/>
      <c r="E124" s="17">
        <f>IF($D124="","",IFERROR(INDEX(rngCadetPIDs,MATCH($D124,rngCadetNames,0)),"?"))</f>
        <v/>
      </c>
      <c r="F124" s="16" t="n"/>
      <c r="G124" s="16" t="n"/>
      <c r="H124" s="19">
        <f>IF(OR($D124="",$C124=""),"",_xlfn.LET(_xlpm.dn,IFERROR(_xlfn.XLOOKUP($C124,nrCDdate,nrCDnum),""),IF(_xlpm.dn="","(not a class day)",IFERROR(_xlfn.XLOOKUP(_xlpm.dn+cfgMemoDueClassDays,nrCDnum,nrCDdate),""))))</f>
        <v/>
      </c>
      <c r="I124" s="18" t="n"/>
      <c r="J124" s="19">
        <f>IF($D124="","",IF($I124&lt;&gt;"",$I124,IF(ISNUMBER($H124),$H124,"")))</f>
        <v/>
      </c>
      <c r="K124" s="18" t="n"/>
      <c r="L124" s="17">
        <f>IF($D124="","",IF($K124&lt;&gt;"","Received "&amp;TEXT($K124,"mm/dd"),IF(AND(ISNUMBER($J124),TODAY()&gt;$J124),"OVERDUE","Pending")))</f>
        <v/>
      </c>
      <c r="M124" s="16" t="n"/>
      <c r="N124" s="16" t="n"/>
    </row>
    <row r="125">
      <c r="B125" s="17">
        <f>IF($D125="","","ME"&amp;TEXT(ROW()-5,"000"))</f>
        <v/>
      </c>
      <c r="C125" s="18" t="n"/>
      <c r="D125" s="16" t="n"/>
      <c r="E125" s="17">
        <f>IF($D125="","",IFERROR(INDEX(rngCadetPIDs,MATCH($D125,rngCadetNames,0)),"?"))</f>
        <v/>
      </c>
      <c r="F125" s="16" t="n"/>
      <c r="G125" s="16" t="n"/>
      <c r="H125" s="19">
        <f>IF(OR($D125="",$C125=""),"",_xlfn.LET(_xlpm.dn,IFERROR(_xlfn.XLOOKUP($C125,nrCDdate,nrCDnum),""),IF(_xlpm.dn="","(not a class day)",IFERROR(_xlfn.XLOOKUP(_xlpm.dn+cfgMemoDueClassDays,nrCDnum,nrCDdate),""))))</f>
        <v/>
      </c>
      <c r="I125" s="18" t="n"/>
      <c r="J125" s="19">
        <f>IF($D125="","",IF($I125&lt;&gt;"",$I125,IF(ISNUMBER($H125),$H125,"")))</f>
        <v/>
      </c>
      <c r="K125" s="18" t="n"/>
      <c r="L125" s="17">
        <f>IF($D125="","",IF($K125&lt;&gt;"","Received "&amp;TEXT($K125,"mm/dd"),IF(AND(ISNUMBER($J125),TODAY()&gt;$J125),"OVERDUE","Pending")))</f>
        <v/>
      </c>
      <c r="M125" s="16" t="n"/>
      <c r="N125" s="16" t="n"/>
    </row>
    <row r="126">
      <c r="B126" s="17">
        <f>IF($D126="","","ME"&amp;TEXT(ROW()-5,"000"))</f>
        <v/>
      </c>
      <c r="C126" s="18" t="n"/>
      <c r="D126" s="16" t="n"/>
      <c r="E126" s="17">
        <f>IF($D126="","",IFERROR(INDEX(rngCadetPIDs,MATCH($D126,rngCadetNames,0)),"?"))</f>
        <v/>
      </c>
      <c r="F126" s="16" t="n"/>
      <c r="G126" s="16" t="n"/>
      <c r="H126" s="19">
        <f>IF(OR($D126="",$C126=""),"",_xlfn.LET(_xlpm.dn,IFERROR(_xlfn.XLOOKUP($C126,nrCDdate,nrCDnum),""),IF(_xlpm.dn="","(not a class day)",IFERROR(_xlfn.XLOOKUP(_xlpm.dn+cfgMemoDueClassDays,nrCDnum,nrCDdate),""))))</f>
        <v/>
      </c>
      <c r="I126" s="18" t="n"/>
      <c r="J126" s="19">
        <f>IF($D126="","",IF($I126&lt;&gt;"",$I126,IF(ISNUMBER($H126),$H126,"")))</f>
        <v/>
      </c>
      <c r="K126" s="18" t="n"/>
      <c r="L126" s="17">
        <f>IF($D126="","",IF($K126&lt;&gt;"","Received "&amp;TEXT($K126,"mm/dd"),IF(AND(ISNUMBER($J126),TODAY()&gt;$J126),"OVERDUE","Pending")))</f>
        <v/>
      </c>
      <c r="M126" s="16" t="n"/>
      <c r="N126" s="16" t="n"/>
    </row>
    <row r="127">
      <c r="B127" s="17">
        <f>IF($D127="","","ME"&amp;TEXT(ROW()-5,"000"))</f>
        <v/>
      </c>
      <c r="C127" s="18" t="n"/>
      <c r="D127" s="16" t="n"/>
      <c r="E127" s="17">
        <f>IF($D127="","",IFERROR(INDEX(rngCadetPIDs,MATCH($D127,rngCadetNames,0)),"?"))</f>
        <v/>
      </c>
      <c r="F127" s="16" t="n"/>
      <c r="G127" s="16" t="n"/>
      <c r="H127" s="19">
        <f>IF(OR($D127="",$C127=""),"",_xlfn.LET(_xlpm.dn,IFERROR(_xlfn.XLOOKUP($C127,nrCDdate,nrCDnum),""),IF(_xlpm.dn="","(not a class day)",IFERROR(_xlfn.XLOOKUP(_xlpm.dn+cfgMemoDueClassDays,nrCDnum,nrCDdate),""))))</f>
        <v/>
      </c>
      <c r="I127" s="18" t="n"/>
      <c r="J127" s="19">
        <f>IF($D127="","",IF($I127&lt;&gt;"",$I127,IF(ISNUMBER($H127),$H127,"")))</f>
        <v/>
      </c>
      <c r="K127" s="18" t="n"/>
      <c r="L127" s="17">
        <f>IF($D127="","",IF($K127&lt;&gt;"","Received "&amp;TEXT($K127,"mm/dd"),IF(AND(ISNUMBER($J127),TODAY()&gt;$J127),"OVERDUE","Pending")))</f>
        <v/>
      </c>
      <c r="M127" s="16" t="n"/>
      <c r="N127" s="16" t="n"/>
    </row>
    <row r="128">
      <c r="B128" s="17">
        <f>IF($D128="","","ME"&amp;TEXT(ROW()-5,"000"))</f>
        <v/>
      </c>
      <c r="C128" s="18" t="n"/>
      <c r="D128" s="16" t="n"/>
      <c r="E128" s="17">
        <f>IF($D128="","",IFERROR(INDEX(rngCadetPIDs,MATCH($D128,rngCadetNames,0)),"?"))</f>
        <v/>
      </c>
      <c r="F128" s="16" t="n"/>
      <c r="G128" s="16" t="n"/>
      <c r="H128" s="19">
        <f>IF(OR($D128="",$C128=""),"",_xlfn.LET(_xlpm.dn,IFERROR(_xlfn.XLOOKUP($C128,nrCDdate,nrCDnum),""),IF(_xlpm.dn="","(not a class day)",IFERROR(_xlfn.XLOOKUP(_xlpm.dn+cfgMemoDueClassDays,nrCDnum,nrCDdate),""))))</f>
        <v/>
      </c>
      <c r="I128" s="18" t="n"/>
      <c r="J128" s="19">
        <f>IF($D128="","",IF($I128&lt;&gt;"",$I128,IF(ISNUMBER($H128),$H128,"")))</f>
        <v/>
      </c>
      <c r="K128" s="18" t="n"/>
      <c r="L128" s="17">
        <f>IF($D128="","",IF($K128&lt;&gt;"","Received "&amp;TEXT($K128,"mm/dd"),IF(AND(ISNUMBER($J128),TODAY()&gt;$J128),"OVERDUE","Pending")))</f>
        <v/>
      </c>
      <c r="M128" s="16" t="n"/>
      <c r="N128" s="16" t="n"/>
    </row>
    <row r="129">
      <c r="B129" s="17">
        <f>IF($D129="","","ME"&amp;TEXT(ROW()-5,"000"))</f>
        <v/>
      </c>
      <c r="C129" s="18" t="n"/>
      <c r="D129" s="16" t="n"/>
      <c r="E129" s="17">
        <f>IF($D129="","",IFERROR(INDEX(rngCadetPIDs,MATCH($D129,rngCadetNames,0)),"?"))</f>
        <v/>
      </c>
      <c r="F129" s="16" t="n"/>
      <c r="G129" s="16" t="n"/>
      <c r="H129" s="19">
        <f>IF(OR($D129="",$C129=""),"",_xlfn.LET(_xlpm.dn,IFERROR(_xlfn.XLOOKUP($C129,nrCDdate,nrCDnum),""),IF(_xlpm.dn="","(not a class day)",IFERROR(_xlfn.XLOOKUP(_xlpm.dn+cfgMemoDueClassDays,nrCDnum,nrCDdate),""))))</f>
        <v/>
      </c>
      <c r="I129" s="18" t="n"/>
      <c r="J129" s="19">
        <f>IF($D129="","",IF($I129&lt;&gt;"",$I129,IF(ISNUMBER($H129),$H129,"")))</f>
        <v/>
      </c>
      <c r="K129" s="18" t="n"/>
      <c r="L129" s="17">
        <f>IF($D129="","",IF($K129&lt;&gt;"","Received "&amp;TEXT($K129,"mm/dd"),IF(AND(ISNUMBER($J129),TODAY()&gt;$J129),"OVERDUE","Pending")))</f>
        <v/>
      </c>
      <c r="M129" s="16" t="n"/>
      <c r="N129" s="16" t="n"/>
    </row>
    <row r="130">
      <c r="B130" s="17">
        <f>IF($D130="","","ME"&amp;TEXT(ROW()-5,"000"))</f>
        <v/>
      </c>
      <c r="C130" s="18" t="n"/>
      <c r="D130" s="16" t="n"/>
      <c r="E130" s="17">
        <f>IF($D130="","",IFERROR(INDEX(rngCadetPIDs,MATCH($D130,rngCadetNames,0)),"?"))</f>
        <v/>
      </c>
      <c r="F130" s="16" t="n"/>
      <c r="G130" s="16" t="n"/>
      <c r="H130" s="19">
        <f>IF(OR($D130="",$C130=""),"",_xlfn.LET(_xlpm.dn,IFERROR(_xlfn.XLOOKUP($C130,nrCDdate,nrCDnum),""),IF(_xlpm.dn="","(not a class day)",IFERROR(_xlfn.XLOOKUP(_xlpm.dn+cfgMemoDueClassDays,nrCDnum,nrCDdate),""))))</f>
        <v/>
      </c>
      <c r="I130" s="18" t="n"/>
      <c r="J130" s="19">
        <f>IF($D130="","",IF($I130&lt;&gt;"",$I130,IF(ISNUMBER($H130),$H130,"")))</f>
        <v/>
      </c>
      <c r="K130" s="18" t="n"/>
      <c r="L130" s="17">
        <f>IF($D130="","",IF($K130&lt;&gt;"","Received "&amp;TEXT($K130,"mm/dd"),IF(AND(ISNUMBER($J130),TODAY()&gt;$J130),"OVERDUE","Pending")))</f>
        <v/>
      </c>
      <c r="M130" s="16" t="n"/>
      <c r="N130" s="16" t="n"/>
    </row>
    <row r="131">
      <c r="B131" s="17">
        <f>IF($D131="","","ME"&amp;TEXT(ROW()-5,"000"))</f>
        <v/>
      </c>
      <c r="C131" s="18" t="n"/>
      <c r="D131" s="16" t="n"/>
      <c r="E131" s="17">
        <f>IF($D131="","",IFERROR(INDEX(rngCadetPIDs,MATCH($D131,rngCadetNames,0)),"?"))</f>
        <v/>
      </c>
      <c r="F131" s="16" t="n"/>
      <c r="G131" s="16" t="n"/>
      <c r="H131" s="19">
        <f>IF(OR($D131="",$C131=""),"",_xlfn.LET(_xlpm.dn,IFERROR(_xlfn.XLOOKUP($C131,nrCDdate,nrCDnum),""),IF(_xlpm.dn="","(not a class day)",IFERROR(_xlfn.XLOOKUP(_xlpm.dn+cfgMemoDueClassDays,nrCDnum,nrCDdate),""))))</f>
        <v/>
      </c>
      <c r="I131" s="18" t="n"/>
      <c r="J131" s="19">
        <f>IF($D131="","",IF($I131&lt;&gt;"",$I131,IF(ISNUMBER($H131),$H131,"")))</f>
        <v/>
      </c>
      <c r="K131" s="18" t="n"/>
      <c r="L131" s="17">
        <f>IF($D131="","",IF($K131&lt;&gt;"","Received "&amp;TEXT($K131,"mm/dd"),IF(AND(ISNUMBER($J131),TODAY()&gt;$J131),"OVERDUE","Pending")))</f>
        <v/>
      </c>
      <c r="M131" s="16" t="n"/>
      <c r="N131" s="16" t="n"/>
    </row>
    <row r="132">
      <c r="B132" s="17">
        <f>IF($D132="","","ME"&amp;TEXT(ROW()-5,"000"))</f>
        <v/>
      </c>
      <c r="C132" s="18" t="n"/>
      <c r="D132" s="16" t="n"/>
      <c r="E132" s="17">
        <f>IF($D132="","",IFERROR(INDEX(rngCadetPIDs,MATCH($D132,rngCadetNames,0)),"?"))</f>
        <v/>
      </c>
      <c r="F132" s="16" t="n"/>
      <c r="G132" s="16" t="n"/>
      <c r="H132" s="19">
        <f>IF(OR($D132="",$C132=""),"",_xlfn.LET(_xlpm.dn,IFERROR(_xlfn.XLOOKUP($C132,nrCDdate,nrCDnum),""),IF(_xlpm.dn="","(not a class day)",IFERROR(_xlfn.XLOOKUP(_xlpm.dn+cfgMemoDueClassDays,nrCDnum,nrCDdate),""))))</f>
        <v/>
      </c>
      <c r="I132" s="18" t="n"/>
      <c r="J132" s="19">
        <f>IF($D132="","",IF($I132&lt;&gt;"",$I132,IF(ISNUMBER($H132),$H132,"")))</f>
        <v/>
      </c>
      <c r="K132" s="18" t="n"/>
      <c r="L132" s="17">
        <f>IF($D132="","",IF($K132&lt;&gt;"","Received "&amp;TEXT($K132,"mm/dd"),IF(AND(ISNUMBER($J132),TODAY()&gt;$J132),"OVERDUE","Pending")))</f>
        <v/>
      </c>
      <c r="M132" s="16" t="n"/>
      <c r="N132" s="16" t="n"/>
    </row>
    <row r="133">
      <c r="B133" s="17">
        <f>IF($D133="","","ME"&amp;TEXT(ROW()-5,"000"))</f>
        <v/>
      </c>
      <c r="C133" s="18" t="n"/>
      <c r="D133" s="16" t="n"/>
      <c r="E133" s="17">
        <f>IF($D133="","",IFERROR(INDEX(rngCadetPIDs,MATCH($D133,rngCadetNames,0)),"?"))</f>
        <v/>
      </c>
      <c r="F133" s="16" t="n"/>
      <c r="G133" s="16" t="n"/>
      <c r="H133" s="19">
        <f>IF(OR($D133="",$C133=""),"",_xlfn.LET(_xlpm.dn,IFERROR(_xlfn.XLOOKUP($C133,nrCDdate,nrCDnum),""),IF(_xlpm.dn="","(not a class day)",IFERROR(_xlfn.XLOOKUP(_xlpm.dn+cfgMemoDueClassDays,nrCDnum,nrCDdate),""))))</f>
        <v/>
      </c>
      <c r="I133" s="18" t="n"/>
      <c r="J133" s="19">
        <f>IF($D133="","",IF($I133&lt;&gt;"",$I133,IF(ISNUMBER($H133),$H133,"")))</f>
        <v/>
      </c>
      <c r="K133" s="18" t="n"/>
      <c r="L133" s="17">
        <f>IF($D133="","",IF($K133&lt;&gt;"","Received "&amp;TEXT($K133,"mm/dd"),IF(AND(ISNUMBER($J133),TODAY()&gt;$J133),"OVERDUE","Pending")))</f>
        <v/>
      </c>
      <c r="M133" s="16" t="n"/>
      <c r="N133" s="16" t="n"/>
    </row>
    <row r="134">
      <c r="B134" s="17">
        <f>IF($D134="","","ME"&amp;TEXT(ROW()-5,"000"))</f>
        <v/>
      </c>
      <c r="C134" s="18" t="n"/>
      <c r="D134" s="16" t="n"/>
      <c r="E134" s="17">
        <f>IF($D134="","",IFERROR(INDEX(rngCadetPIDs,MATCH($D134,rngCadetNames,0)),"?"))</f>
        <v/>
      </c>
      <c r="F134" s="16" t="n"/>
      <c r="G134" s="16" t="n"/>
      <c r="H134" s="19">
        <f>IF(OR($D134="",$C134=""),"",_xlfn.LET(_xlpm.dn,IFERROR(_xlfn.XLOOKUP($C134,nrCDdate,nrCDnum),""),IF(_xlpm.dn="","(not a class day)",IFERROR(_xlfn.XLOOKUP(_xlpm.dn+cfgMemoDueClassDays,nrCDnum,nrCDdate),""))))</f>
        <v/>
      </c>
      <c r="I134" s="18" t="n"/>
      <c r="J134" s="19">
        <f>IF($D134="","",IF($I134&lt;&gt;"",$I134,IF(ISNUMBER($H134),$H134,"")))</f>
        <v/>
      </c>
      <c r="K134" s="18" t="n"/>
      <c r="L134" s="17">
        <f>IF($D134="","",IF($K134&lt;&gt;"","Received "&amp;TEXT($K134,"mm/dd"),IF(AND(ISNUMBER($J134),TODAY()&gt;$J134),"OVERDUE","Pending")))</f>
        <v/>
      </c>
      <c r="M134" s="16" t="n"/>
      <c r="N134" s="16" t="n"/>
    </row>
    <row r="135">
      <c r="B135" s="17">
        <f>IF($D135="","","ME"&amp;TEXT(ROW()-5,"000"))</f>
        <v/>
      </c>
      <c r="C135" s="18" t="n"/>
      <c r="D135" s="16" t="n"/>
      <c r="E135" s="17">
        <f>IF($D135="","",IFERROR(INDEX(rngCadetPIDs,MATCH($D135,rngCadetNames,0)),"?"))</f>
        <v/>
      </c>
      <c r="F135" s="16" t="n"/>
      <c r="G135" s="16" t="n"/>
      <c r="H135" s="19">
        <f>IF(OR($D135="",$C135=""),"",_xlfn.LET(_xlpm.dn,IFERROR(_xlfn.XLOOKUP($C135,nrCDdate,nrCDnum),""),IF(_xlpm.dn="","(not a class day)",IFERROR(_xlfn.XLOOKUP(_xlpm.dn+cfgMemoDueClassDays,nrCDnum,nrCDdate),""))))</f>
        <v/>
      </c>
      <c r="I135" s="18" t="n"/>
      <c r="J135" s="19">
        <f>IF($D135="","",IF($I135&lt;&gt;"",$I135,IF(ISNUMBER($H135),$H135,"")))</f>
        <v/>
      </c>
      <c r="K135" s="18" t="n"/>
      <c r="L135" s="17">
        <f>IF($D135="","",IF($K135&lt;&gt;"","Received "&amp;TEXT($K135,"mm/dd"),IF(AND(ISNUMBER($J135),TODAY()&gt;$J135),"OVERDUE","Pending")))</f>
        <v/>
      </c>
      <c r="M135" s="16" t="n"/>
      <c r="N135" s="16" t="n"/>
    </row>
    <row r="136">
      <c r="B136" s="17">
        <f>IF($D136="","","ME"&amp;TEXT(ROW()-5,"000"))</f>
        <v/>
      </c>
      <c r="C136" s="18" t="n"/>
      <c r="D136" s="16" t="n"/>
      <c r="E136" s="17">
        <f>IF($D136="","",IFERROR(INDEX(rngCadetPIDs,MATCH($D136,rngCadetNames,0)),"?"))</f>
        <v/>
      </c>
      <c r="F136" s="16" t="n"/>
      <c r="G136" s="16" t="n"/>
      <c r="H136" s="19">
        <f>IF(OR($D136="",$C136=""),"",_xlfn.LET(_xlpm.dn,IFERROR(_xlfn.XLOOKUP($C136,nrCDdate,nrCDnum),""),IF(_xlpm.dn="","(not a class day)",IFERROR(_xlfn.XLOOKUP(_xlpm.dn+cfgMemoDueClassDays,nrCDnum,nrCDdate),""))))</f>
        <v/>
      </c>
      <c r="I136" s="18" t="n"/>
      <c r="J136" s="19">
        <f>IF($D136="","",IF($I136&lt;&gt;"",$I136,IF(ISNUMBER($H136),$H136,"")))</f>
        <v/>
      </c>
      <c r="K136" s="18" t="n"/>
      <c r="L136" s="17">
        <f>IF($D136="","",IF($K136&lt;&gt;"","Received "&amp;TEXT($K136,"mm/dd"),IF(AND(ISNUMBER($J136),TODAY()&gt;$J136),"OVERDUE","Pending")))</f>
        <v/>
      </c>
      <c r="M136" s="16" t="n"/>
      <c r="N136" s="16" t="n"/>
    </row>
    <row r="137">
      <c r="B137" s="17">
        <f>IF($D137="","","ME"&amp;TEXT(ROW()-5,"000"))</f>
        <v/>
      </c>
      <c r="C137" s="18" t="n"/>
      <c r="D137" s="16" t="n"/>
      <c r="E137" s="17">
        <f>IF($D137="","",IFERROR(INDEX(rngCadetPIDs,MATCH($D137,rngCadetNames,0)),"?"))</f>
        <v/>
      </c>
      <c r="F137" s="16" t="n"/>
      <c r="G137" s="16" t="n"/>
      <c r="H137" s="19">
        <f>IF(OR($D137="",$C137=""),"",_xlfn.LET(_xlpm.dn,IFERROR(_xlfn.XLOOKUP($C137,nrCDdate,nrCDnum),""),IF(_xlpm.dn="","(not a class day)",IFERROR(_xlfn.XLOOKUP(_xlpm.dn+cfgMemoDueClassDays,nrCDnum,nrCDdate),""))))</f>
        <v/>
      </c>
      <c r="I137" s="18" t="n"/>
      <c r="J137" s="19">
        <f>IF($D137="","",IF($I137&lt;&gt;"",$I137,IF(ISNUMBER($H137),$H137,"")))</f>
        <v/>
      </c>
      <c r="K137" s="18" t="n"/>
      <c r="L137" s="17">
        <f>IF($D137="","",IF($K137&lt;&gt;"","Received "&amp;TEXT($K137,"mm/dd"),IF(AND(ISNUMBER($J137),TODAY()&gt;$J137),"OVERDUE","Pending")))</f>
        <v/>
      </c>
      <c r="M137" s="16" t="n"/>
      <c r="N137" s="16" t="n"/>
    </row>
    <row r="138">
      <c r="B138" s="17">
        <f>IF($D138="","","ME"&amp;TEXT(ROW()-5,"000"))</f>
        <v/>
      </c>
      <c r="C138" s="18" t="n"/>
      <c r="D138" s="16" t="n"/>
      <c r="E138" s="17">
        <f>IF($D138="","",IFERROR(INDEX(rngCadetPIDs,MATCH($D138,rngCadetNames,0)),"?"))</f>
        <v/>
      </c>
      <c r="F138" s="16" t="n"/>
      <c r="G138" s="16" t="n"/>
      <c r="H138" s="19">
        <f>IF(OR($D138="",$C138=""),"",_xlfn.LET(_xlpm.dn,IFERROR(_xlfn.XLOOKUP($C138,nrCDdate,nrCDnum),""),IF(_xlpm.dn="","(not a class day)",IFERROR(_xlfn.XLOOKUP(_xlpm.dn+cfgMemoDueClassDays,nrCDnum,nrCDdate),""))))</f>
        <v/>
      </c>
      <c r="I138" s="18" t="n"/>
      <c r="J138" s="19">
        <f>IF($D138="","",IF($I138&lt;&gt;"",$I138,IF(ISNUMBER($H138),$H138,"")))</f>
        <v/>
      </c>
      <c r="K138" s="18" t="n"/>
      <c r="L138" s="17">
        <f>IF($D138="","",IF($K138&lt;&gt;"","Received "&amp;TEXT($K138,"mm/dd"),IF(AND(ISNUMBER($J138),TODAY()&gt;$J138),"OVERDUE","Pending")))</f>
        <v/>
      </c>
      <c r="M138" s="16" t="n"/>
      <c r="N138" s="16" t="n"/>
    </row>
    <row r="139">
      <c r="B139" s="17">
        <f>IF($D139="","","ME"&amp;TEXT(ROW()-5,"000"))</f>
        <v/>
      </c>
      <c r="C139" s="18" t="n"/>
      <c r="D139" s="16" t="n"/>
      <c r="E139" s="17">
        <f>IF($D139="","",IFERROR(INDEX(rngCadetPIDs,MATCH($D139,rngCadetNames,0)),"?"))</f>
        <v/>
      </c>
      <c r="F139" s="16" t="n"/>
      <c r="G139" s="16" t="n"/>
      <c r="H139" s="19">
        <f>IF(OR($D139="",$C139=""),"",_xlfn.LET(_xlpm.dn,IFERROR(_xlfn.XLOOKUP($C139,nrCDdate,nrCDnum),""),IF(_xlpm.dn="","(not a class day)",IFERROR(_xlfn.XLOOKUP(_xlpm.dn+cfgMemoDueClassDays,nrCDnum,nrCDdate),""))))</f>
        <v/>
      </c>
      <c r="I139" s="18" t="n"/>
      <c r="J139" s="19">
        <f>IF($D139="","",IF($I139&lt;&gt;"",$I139,IF(ISNUMBER($H139),$H139,"")))</f>
        <v/>
      </c>
      <c r="K139" s="18" t="n"/>
      <c r="L139" s="17">
        <f>IF($D139="","",IF($K139&lt;&gt;"","Received "&amp;TEXT($K139,"mm/dd"),IF(AND(ISNUMBER($J139),TODAY()&gt;$J139),"OVERDUE","Pending")))</f>
        <v/>
      </c>
      <c r="M139" s="16" t="n"/>
      <c r="N139" s="16" t="n"/>
    </row>
    <row r="140">
      <c r="B140" s="17">
        <f>IF($D140="","","ME"&amp;TEXT(ROW()-5,"000"))</f>
        <v/>
      </c>
      <c r="C140" s="18" t="n"/>
      <c r="D140" s="16" t="n"/>
      <c r="E140" s="17">
        <f>IF($D140="","",IFERROR(INDEX(rngCadetPIDs,MATCH($D140,rngCadetNames,0)),"?"))</f>
        <v/>
      </c>
      <c r="F140" s="16" t="n"/>
      <c r="G140" s="16" t="n"/>
      <c r="H140" s="19">
        <f>IF(OR($D140="",$C140=""),"",_xlfn.LET(_xlpm.dn,IFERROR(_xlfn.XLOOKUP($C140,nrCDdate,nrCDnum),""),IF(_xlpm.dn="","(not a class day)",IFERROR(_xlfn.XLOOKUP(_xlpm.dn+cfgMemoDueClassDays,nrCDnum,nrCDdate),""))))</f>
        <v/>
      </c>
      <c r="I140" s="18" t="n"/>
      <c r="J140" s="19">
        <f>IF($D140="","",IF($I140&lt;&gt;"",$I140,IF(ISNUMBER($H140),$H140,"")))</f>
        <v/>
      </c>
      <c r="K140" s="18" t="n"/>
      <c r="L140" s="17">
        <f>IF($D140="","",IF($K140&lt;&gt;"","Received "&amp;TEXT($K140,"mm/dd"),IF(AND(ISNUMBER($J140),TODAY()&gt;$J140),"OVERDUE","Pending")))</f>
        <v/>
      </c>
      <c r="M140" s="16" t="n"/>
      <c r="N140" s="16" t="n"/>
    </row>
    <row r="141">
      <c r="B141" s="17">
        <f>IF($D141="","","ME"&amp;TEXT(ROW()-5,"000"))</f>
        <v/>
      </c>
      <c r="C141" s="18" t="n"/>
      <c r="D141" s="16" t="n"/>
      <c r="E141" s="17">
        <f>IF($D141="","",IFERROR(INDEX(rngCadetPIDs,MATCH($D141,rngCadetNames,0)),"?"))</f>
        <v/>
      </c>
      <c r="F141" s="16" t="n"/>
      <c r="G141" s="16" t="n"/>
      <c r="H141" s="19">
        <f>IF(OR($D141="",$C141=""),"",_xlfn.LET(_xlpm.dn,IFERROR(_xlfn.XLOOKUP($C141,nrCDdate,nrCDnum),""),IF(_xlpm.dn="","(not a class day)",IFERROR(_xlfn.XLOOKUP(_xlpm.dn+cfgMemoDueClassDays,nrCDnum,nrCDdate),""))))</f>
        <v/>
      </c>
      <c r="I141" s="18" t="n"/>
      <c r="J141" s="19">
        <f>IF($D141="","",IF($I141&lt;&gt;"",$I141,IF(ISNUMBER($H141),$H141,"")))</f>
        <v/>
      </c>
      <c r="K141" s="18" t="n"/>
      <c r="L141" s="17">
        <f>IF($D141="","",IF($K141&lt;&gt;"","Received "&amp;TEXT($K141,"mm/dd"),IF(AND(ISNUMBER($J141),TODAY()&gt;$J141),"OVERDUE","Pending")))</f>
        <v/>
      </c>
      <c r="M141" s="16" t="n"/>
      <c r="N141" s="16" t="n"/>
    </row>
    <row r="142">
      <c r="B142" s="17">
        <f>IF($D142="","","ME"&amp;TEXT(ROW()-5,"000"))</f>
        <v/>
      </c>
      <c r="C142" s="18" t="n"/>
      <c r="D142" s="16" t="n"/>
      <c r="E142" s="17">
        <f>IF($D142="","",IFERROR(INDEX(rngCadetPIDs,MATCH($D142,rngCadetNames,0)),"?"))</f>
        <v/>
      </c>
      <c r="F142" s="16" t="n"/>
      <c r="G142" s="16" t="n"/>
      <c r="H142" s="19">
        <f>IF(OR($D142="",$C142=""),"",_xlfn.LET(_xlpm.dn,IFERROR(_xlfn.XLOOKUP($C142,nrCDdate,nrCDnum),""),IF(_xlpm.dn="","(not a class day)",IFERROR(_xlfn.XLOOKUP(_xlpm.dn+cfgMemoDueClassDays,nrCDnum,nrCDdate),""))))</f>
        <v/>
      </c>
      <c r="I142" s="18" t="n"/>
      <c r="J142" s="19">
        <f>IF($D142="","",IF($I142&lt;&gt;"",$I142,IF(ISNUMBER($H142),$H142,"")))</f>
        <v/>
      </c>
      <c r="K142" s="18" t="n"/>
      <c r="L142" s="17">
        <f>IF($D142="","",IF($K142&lt;&gt;"","Received "&amp;TEXT($K142,"mm/dd"),IF(AND(ISNUMBER($J142),TODAY()&gt;$J142),"OVERDUE","Pending")))</f>
        <v/>
      </c>
      <c r="M142" s="16" t="n"/>
      <c r="N142" s="16" t="n"/>
    </row>
    <row r="143">
      <c r="B143" s="17">
        <f>IF($D143="","","ME"&amp;TEXT(ROW()-5,"000"))</f>
        <v/>
      </c>
      <c r="C143" s="18" t="n"/>
      <c r="D143" s="16" t="n"/>
      <c r="E143" s="17">
        <f>IF($D143="","",IFERROR(INDEX(rngCadetPIDs,MATCH($D143,rngCadetNames,0)),"?"))</f>
        <v/>
      </c>
      <c r="F143" s="16" t="n"/>
      <c r="G143" s="16" t="n"/>
      <c r="H143" s="19">
        <f>IF(OR($D143="",$C143=""),"",_xlfn.LET(_xlpm.dn,IFERROR(_xlfn.XLOOKUP($C143,nrCDdate,nrCDnum),""),IF(_xlpm.dn="","(not a class day)",IFERROR(_xlfn.XLOOKUP(_xlpm.dn+cfgMemoDueClassDays,nrCDnum,nrCDdate),""))))</f>
        <v/>
      </c>
      <c r="I143" s="18" t="n"/>
      <c r="J143" s="19">
        <f>IF($D143="","",IF($I143&lt;&gt;"",$I143,IF(ISNUMBER($H143),$H143,"")))</f>
        <v/>
      </c>
      <c r="K143" s="18" t="n"/>
      <c r="L143" s="17">
        <f>IF($D143="","",IF($K143&lt;&gt;"","Received "&amp;TEXT($K143,"mm/dd"),IF(AND(ISNUMBER($J143),TODAY()&gt;$J143),"OVERDUE","Pending")))</f>
        <v/>
      </c>
      <c r="M143" s="16" t="n"/>
      <c r="N143" s="16" t="n"/>
    </row>
    <row r="144">
      <c r="B144" s="17">
        <f>IF($D144="","","ME"&amp;TEXT(ROW()-5,"000"))</f>
        <v/>
      </c>
      <c r="C144" s="18" t="n"/>
      <c r="D144" s="16" t="n"/>
      <c r="E144" s="17">
        <f>IF($D144="","",IFERROR(INDEX(rngCadetPIDs,MATCH($D144,rngCadetNames,0)),"?"))</f>
        <v/>
      </c>
      <c r="F144" s="16" t="n"/>
      <c r="G144" s="16" t="n"/>
      <c r="H144" s="19">
        <f>IF(OR($D144="",$C144=""),"",_xlfn.LET(_xlpm.dn,IFERROR(_xlfn.XLOOKUP($C144,nrCDdate,nrCDnum),""),IF(_xlpm.dn="","(not a class day)",IFERROR(_xlfn.XLOOKUP(_xlpm.dn+cfgMemoDueClassDays,nrCDnum,nrCDdate),""))))</f>
        <v/>
      </c>
      <c r="I144" s="18" t="n"/>
      <c r="J144" s="19">
        <f>IF($D144="","",IF($I144&lt;&gt;"",$I144,IF(ISNUMBER($H144),$H144,"")))</f>
        <v/>
      </c>
      <c r="K144" s="18" t="n"/>
      <c r="L144" s="17">
        <f>IF($D144="","",IF($K144&lt;&gt;"","Received "&amp;TEXT($K144,"mm/dd"),IF(AND(ISNUMBER($J144),TODAY()&gt;$J144),"OVERDUE","Pending")))</f>
        <v/>
      </c>
      <c r="M144" s="16" t="n"/>
      <c r="N144" s="16" t="n"/>
    </row>
    <row r="145">
      <c r="B145" s="17">
        <f>IF($D145="","","ME"&amp;TEXT(ROW()-5,"000"))</f>
        <v/>
      </c>
      <c r="C145" s="18" t="n"/>
      <c r="D145" s="16" t="n"/>
      <c r="E145" s="17">
        <f>IF($D145="","",IFERROR(INDEX(rngCadetPIDs,MATCH($D145,rngCadetNames,0)),"?"))</f>
        <v/>
      </c>
      <c r="F145" s="16" t="n"/>
      <c r="G145" s="16" t="n"/>
      <c r="H145" s="19">
        <f>IF(OR($D145="",$C145=""),"",_xlfn.LET(_xlpm.dn,IFERROR(_xlfn.XLOOKUP($C145,nrCDdate,nrCDnum),""),IF(_xlpm.dn="","(not a class day)",IFERROR(_xlfn.XLOOKUP(_xlpm.dn+cfgMemoDueClassDays,nrCDnum,nrCDdate),""))))</f>
        <v/>
      </c>
      <c r="I145" s="18" t="n"/>
      <c r="J145" s="19">
        <f>IF($D145="","",IF($I145&lt;&gt;"",$I145,IF(ISNUMBER($H145),$H145,"")))</f>
        <v/>
      </c>
      <c r="K145" s="18" t="n"/>
      <c r="L145" s="17">
        <f>IF($D145="","",IF($K145&lt;&gt;"","Received "&amp;TEXT($K145,"mm/dd"),IF(AND(ISNUMBER($J145),TODAY()&gt;$J145),"OVERDUE","Pending")))</f>
        <v/>
      </c>
      <c r="M145" s="16" t="n"/>
      <c r="N145" s="16" t="n"/>
    </row>
    <row r="146">
      <c r="B146" s="17">
        <f>IF($D146="","","ME"&amp;TEXT(ROW()-5,"000"))</f>
        <v/>
      </c>
      <c r="C146" s="18" t="n"/>
      <c r="D146" s="16" t="n"/>
      <c r="E146" s="17">
        <f>IF($D146="","",IFERROR(INDEX(rngCadetPIDs,MATCH($D146,rngCadetNames,0)),"?"))</f>
        <v/>
      </c>
      <c r="F146" s="16" t="n"/>
      <c r="G146" s="16" t="n"/>
      <c r="H146" s="19">
        <f>IF(OR($D146="",$C146=""),"",_xlfn.LET(_xlpm.dn,IFERROR(_xlfn.XLOOKUP($C146,nrCDdate,nrCDnum),""),IF(_xlpm.dn="","(not a class day)",IFERROR(_xlfn.XLOOKUP(_xlpm.dn+cfgMemoDueClassDays,nrCDnum,nrCDdate),""))))</f>
        <v/>
      </c>
      <c r="I146" s="18" t="n"/>
      <c r="J146" s="19">
        <f>IF($D146="","",IF($I146&lt;&gt;"",$I146,IF(ISNUMBER($H146),$H146,"")))</f>
        <v/>
      </c>
      <c r="K146" s="18" t="n"/>
      <c r="L146" s="17">
        <f>IF($D146="","",IF($K146&lt;&gt;"","Received "&amp;TEXT($K146,"mm/dd"),IF(AND(ISNUMBER($J146),TODAY()&gt;$J146),"OVERDUE","Pending")))</f>
        <v/>
      </c>
      <c r="M146" s="16" t="n"/>
      <c r="N146" s="16" t="n"/>
    </row>
    <row r="147">
      <c r="B147" s="17">
        <f>IF($D147="","","ME"&amp;TEXT(ROW()-5,"000"))</f>
        <v/>
      </c>
      <c r="C147" s="18" t="n"/>
      <c r="D147" s="16" t="n"/>
      <c r="E147" s="17">
        <f>IF($D147="","",IFERROR(INDEX(rngCadetPIDs,MATCH($D147,rngCadetNames,0)),"?"))</f>
        <v/>
      </c>
      <c r="F147" s="16" t="n"/>
      <c r="G147" s="16" t="n"/>
      <c r="H147" s="19">
        <f>IF(OR($D147="",$C147=""),"",_xlfn.LET(_xlpm.dn,IFERROR(_xlfn.XLOOKUP($C147,nrCDdate,nrCDnum),""),IF(_xlpm.dn="","(not a class day)",IFERROR(_xlfn.XLOOKUP(_xlpm.dn+cfgMemoDueClassDays,nrCDnum,nrCDdate),""))))</f>
        <v/>
      </c>
      <c r="I147" s="18" t="n"/>
      <c r="J147" s="19">
        <f>IF($D147="","",IF($I147&lt;&gt;"",$I147,IF(ISNUMBER($H147),$H147,"")))</f>
        <v/>
      </c>
      <c r="K147" s="18" t="n"/>
      <c r="L147" s="17">
        <f>IF($D147="","",IF($K147&lt;&gt;"","Received "&amp;TEXT($K147,"mm/dd"),IF(AND(ISNUMBER($J147),TODAY()&gt;$J147),"OVERDUE","Pending")))</f>
        <v/>
      </c>
      <c r="M147" s="16" t="n"/>
      <c r="N147" s="16" t="n"/>
    </row>
    <row r="148">
      <c r="B148" s="17">
        <f>IF($D148="","","ME"&amp;TEXT(ROW()-5,"000"))</f>
        <v/>
      </c>
      <c r="C148" s="18" t="n"/>
      <c r="D148" s="16" t="n"/>
      <c r="E148" s="17">
        <f>IF($D148="","",IFERROR(INDEX(rngCadetPIDs,MATCH($D148,rngCadetNames,0)),"?"))</f>
        <v/>
      </c>
      <c r="F148" s="16" t="n"/>
      <c r="G148" s="16" t="n"/>
      <c r="H148" s="19">
        <f>IF(OR($D148="",$C148=""),"",_xlfn.LET(_xlpm.dn,IFERROR(_xlfn.XLOOKUP($C148,nrCDdate,nrCDnum),""),IF(_xlpm.dn="","(not a class day)",IFERROR(_xlfn.XLOOKUP(_xlpm.dn+cfgMemoDueClassDays,nrCDnum,nrCDdate),""))))</f>
        <v/>
      </c>
      <c r="I148" s="18" t="n"/>
      <c r="J148" s="19">
        <f>IF($D148="","",IF($I148&lt;&gt;"",$I148,IF(ISNUMBER($H148),$H148,"")))</f>
        <v/>
      </c>
      <c r="K148" s="18" t="n"/>
      <c r="L148" s="17">
        <f>IF($D148="","",IF($K148&lt;&gt;"","Received "&amp;TEXT($K148,"mm/dd"),IF(AND(ISNUMBER($J148),TODAY()&gt;$J148),"OVERDUE","Pending")))</f>
        <v/>
      </c>
      <c r="M148" s="16" t="n"/>
      <c r="N148" s="16" t="n"/>
    </row>
    <row r="149">
      <c r="B149" s="17">
        <f>IF($D149="","","ME"&amp;TEXT(ROW()-5,"000"))</f>
        <v/>
      </c>
      <c r="C149" s="18" t="n"/>
      <c r="D149" s="16" t="n"/>
      <c r="E149" s="17">
        <f>IF($D149="","",IFERROR(INDEX(rngCadetPIDs,MATCH($D149,rngCadetNames,0)),"?"))</f>
        <v/>
      </c>
      <c r="F149" s="16" t="n"/>
      <c r="G149" s="16" t="n"/>
      <c r="H149" s="19">
        <f>IF(OR($D149="",$C149=""),"",_xlfn.LET(_xlpm.dn,IFERROR(_xlfn.XLOOKUP($C149,nrCDdate,nrCDnum),""),IF(_xlpm.dn="","(not a class day)",IFERROR(_xlfn.XLOOKUP(_xlpm.dn+cfgMemoDueClassDays,nrCDnum,nrCDdate),""))))</f>
        <v/>
      </c>
      <c r="I149" s="18" t="n"/>
      <c r="J149" s="19">
        <f>IF($D149="","",IF($I149&lt;&gt;"",$I149,IF(ISNUMBER($H149),$H149,"")))</f>
        <v/>
      </c>
      <c r="K149" s="18" t="n"/>
      <c r="L149" s="17">
        <f>IF($D149="","",IF($K149&lt;&gt;"","Received "&amp;TEXT($K149,"mm/dd"),IF(AND(ISNUMBER($J149),TODAY()&gt;$J149),"OVERDUE","Pending")))</f>
        <v/>
      </c>
      <c r="M149" s="16" t="n"/>
      <c r="N149" s="16" t="n"/>
    </row>
    <row r="150">
      <c r="B150" s="17">
        <f>IF($D150="","","ME"&amp;TEXT(ROW()-5,"000"))</f>
        <v/>
      </c>
      <c r="C150" s="18" t="n"/>
      <c r="D150" s="16" t="n"/>
      <c r="E150" s="17">
        <f>IF($D150="","",IFERROR(INDEX(rngCadetPIDs,MATCH($D150,rngCadetNames,0)),"?"))</f>
        <v/>
      </c>
      <c r="F150" s="16" t="n"/>
      <c r="G150" s="16" t="n"/>
      <c r="H150" s="19">
        <f>IF(OR($D150="",$C150=""),"",_xlfn.LET(_xlpm.dn,IFERROR(_xlfn.XLOOKUP($C150,nrCDdate,nrCDnum),""),IF(_xlpm.dn="","(not a class day)",IFERROR(_xlfn.XLOOKUP(_xlpm.dn+cfgMemoDueClassDays,nrCDnum,nrCDdate),""))))</f>
        <v/>
      </c>
      <c r="I150" s="18" t="n"/>
      <c r="J150" s="19">
        <f>IF($D150="","",IF($I150&lt;&gt;"",$I150,IF(ISNUMBER($H150),$H150,"")))</f>
        <v/>
      </c>
      <c r="K150" s="18" t="n"/>
      <c r="L150" s="17">
        <f>IF($D150="","",IF($K150&lt;&gt;"","Received "&amp;TEXT($K150,"mm/dd"),IF(AND(ISNUMBER($J150),TODAY()&gt;$J150),"OVERDUE","Pending")))</f>
        <v/>
      </c>
      <c r="M150" s="16" t="n"/>
      <c r="N150" s="16" t="n"/>
    </row>
    <row r="151">
      <c r="B151" s="17">
        <f>IF($D151="","","ME"&amp;TEXT(ROW()-5,"000"))</f>
        <v/>
      </c>
      <c r="C151" s="18" t="n"/>
      <c r="D151" s="16" t="n"/>
      <c r="E151" s="17">
        <f>IF($D151="","",IFERROR(INDEX(rngCadetPIDs,MATCH($D151,rngCadetNames,0)),"?"))</f>
        <v/>
      </c>
      <c r="F151" s="16" t="n"/>
      <c r="G151" s="16" t="n"/>
      <c r="H151" s="19">
        <f>IF(OR($D151="",$C151=""),"",_xlfn.LET(_xlpm.dn,IFERROR(_xlfn.XLOOKUP($C151,nrCDdate,nrCDnum),""),IF(_xlpm.dn="","(not a class day)",IFERROR(_xlfn.XLOOKUP(_xlpm.dn+cfgMemoDueClassDays,nrCDnum,nrCDdate),""))))</f>
        <v/>
      </c>
      <c r="I151" s="18" t="n"/>
      <c r="J151" s="19">
        <f>IF($D151="","",IF($I151&lt;&gt;"",$I151,IF(ISNUMBER($H151),$H151,"")))</f>
        <v/>
      </c>
      <c r="K151" s="18" t="n"/>
      <c r="L151" s="17">
        <f>IF($D151="","",IF($K151&lt;&gt;"","Received "&amp;TEXT($K151,"mm/dd"),IF(AND(ISNUMBER($J151),TODAY()&gt;$J151),"OVERDUE","Pending")))</f>
        <v/>
      </c>
      <c r="M151" s="16" t="n"/>
      <c r="N151" s="16" t="n"/>
    </row>
    <row r="152">
      <c r="B152" s="17">
        <f>IF($D152="","","ME"&amp;TEXT(ROW()-5,"000"))</f>
        <v/>
      </c>
      <c r="C152" s="18" t="n"/>
      <c r="D152" s="16" t="n"/>
      <c r="E152" s="17">
        <f>IF($D152="","",IFERROR(INDEX(rngCadetPIDs,MATCH($D152,rngCadetNames,0)),"?"))</f>
        <v/>
      </c>
      <c r="F152" s="16" t="n"/>
      <c r="G152" s="16" t="n"/>
      <c r="H152" s="19">
        <f>IF(OR($D152="",$C152=""),"",_xlfn.LET(_xlpm.dn,IFERROR(_xlfn.XLOOKUP($C152,nrCDdate,nrCDnum),""),IF(_xlpm.dn="","(not a class day)",IFERROR(_xlfn.XLOOKUP(_xlpm.dn+cfgMemoDueClassDays,nrCDnum,nrCDdate),""))))</f>
        <v/>
      </c>
      <c r="I152" s="18" t="n"/>
      <c r="J152" s="19">
        <f>IF($D152="","",IF($I152&lt;&gt;"",$I152,IF(ISNUMBER($H152),$H152,"")))</f>
        <v/>
      </c>
      <c r="K152" s="18" t="n"/>
      <c r="L152" s="17">
        <f>IF($D152="","",IF($K152&lt;&gt;"","Received "&amp;TEXT($K152,"mm/dd"),IF(AND(ISNUMBER($J152),TODAY()&gt;$J152),"OVERDUE","Pending")))</f>
        <v/>
      </c>
      <c r="M152" s="16" t="n"/>
      <c r="N152" s="16" t="n"/>
    </row>
    <row r="153">
      <c r="B153" s="17">
        <f>IF($D153="","","ME"&amp;TEXT(ROW()-5,"000"))</f>
        <v/>
      </c>
      <c r="C153" s="18" t="n"/>
      <c r="D153" s="16" t="n"/>
      <c r="E153" s="17">
        <f>IF($D153="","",IFERROR(INDEX(rngCadetPIDs,MATCH($D153,rngCadetNames,0)),"?"))</f>
        <v/>
      </c>
      <c r="F153" s="16" t="n"/>
      <c r="G153" s="16" t="n"/>
      <c r="H153" s="19">
        <f>IF(OR($D153="",$C153=""),"",_xlfn.LET(_xlpm.dn,IFERROR(_xlfn.XLOOKUP($C153,nrCDdate,nrCDnum),""),IF(_xlpm.dn="","(not a class day)",IFERROR(_xlfn.XLOOKUP(_xlpm.dn+cfgMemoDueClassDays,nrCDnum,nrCDdate),""))))</f>
        <v/>
      </c>
      <c r="I153" s="18" t="n"/>
      <c r="J153" s="19">
        <f>IF($D153="","",IF($I153&lt;&gt;"",$I153,IF(ISNUMBER($H153),$H153,"")))</f>
        <v/>
      </c>
      <c r="K153" s="18" t="n"/>
      <c r="L153" s="17">
        <f>IF($D153="","",IF($K153&lt;&gt;"","Received "&amp;TEXT($K153,"mm/dd"),IF(AND(ISNUMBER($J153),TODAY()&gt;$J153),"OVERDUE","Pending")))</f>
        <v/>
      </c>
      <c r="M153" s="16" t="n"/>
      <c r="N153" s="16" t="n"/>
    </row>
    <row r="154">
      <c r="B154" s="17">
        <f>IF($D154="","","ME"&amp;TEXT(ROW()-5,"000"))</f>
        <v/>
      </c>
      <c r="C154" s="18" t="n"/>
      <c r="D154" s="16" t="n"/>
      <c r="E154" s="17">
        <f>IF($D154="","",IFERROR(INDEX(rngCadetPIDs,MATCH($D154,rngCadetNames,0)),"?"))</f>
        <v/>
      </c>
      <c r="F154" s="16" t="n"/>
      <c r="G154" s="16" t="n"/>
      <c r="H154" s="19">
        <f>IF(OR($D154="",$C154=""),"",_xlfn.LET(_xlpm.dn,IFERROR(_xlfn.XLOOKUP($C154,nrCDdate,nrCDnum),""),IF(_xlpm.dn="","(not a class day)",IFERROR(_xlfn.XLOOKUP(_xlpm.dn+cfgMemoDueClassDays,nrCDnum,nrCDdate),""))))</f>
        <v/>
      </c>
      <c r="I154" s="18" t="n"/>
      <c r="J154" s="19">
        <f>IF($D154="","",IF($I154&lt;&gt;"",$I154,IF(ISNUMBER($H154),$H154,"")))</f>
        <v/>
      </c>
      <c r="K154" s="18" t="n"/>
      <c r="L154" s="17">
        <f>IF($D154="","",IF($K154&lt;&gt;"","Received "&amp;TEXT($K154,"mm/dd"),IF(AND(ISNUMBER($J154),TODAY()&gt;$J154),"OVERDUE","Pending")))</f>
        <v/>
      </c>
      <c r="M154" s="16" t="n"/>
      <c r="N154" s="16" t="n"/>
    </row>
    <row r="155">
      <c r="B155" s="17">
        <f>IF($D155="","","ME"&amp;TEXT(ROW()-5,"000"))</f>
        <v/>
      </c>
      <c r="C155" s="18" t="n"/>
      <c r="D155" s="16" t="n"/>
      <c r="E155" s="17">
        <f>IF($D155="","",IFERROR(INDEX(rngCadetPIDs,MATCH($D155,rngCadetNames,0)),"?"))</f>
        <v/>
      </c>
      <c r="F155" s="16" t="n"/>
      <c r="G155" s="16" t="n"/>
      <c r="H155" s="19">
        <f>IF(OR($D155="",$C155=""),"",_xlfn.LET(_xlpm.dn,IFERROR(_xlfn.XLOOKUP($C155,nrCDdate,nrCDnum),""),IF(_xlpm.dn="","(not a class day)",IFERROR(_xlfn.XLOOKUP(_xlpm.dn+cfgMemoDueClassDays,nrCDnum,nrCDdate),""))))</f>
        <v/>
      </c>
      <c r="I155" s="18" t="n"/>
      <c r="J155" s="19">
        <f>IF($D155="","",IF($I155&lt;&gt;"",$I155,IF(ISNUMBER($H155),$H155,"")))</f>
        <v/>
      </c>
      <c r="K155" s="18" t="n"/>
      <c r="L155" s="17">
        <f>IF($D155="","",IF($K155&lt;&gt;"","Received "&amp;TEXT($K155,"mm/dd"),IF(AND(ISNUMBER($J155),TODAY()&gt;$J155),"OVERDUE","Pending")))</f>
        <v/>
      </c>
      <c r="M155" s="16" t="n"/>
      <c r="N155" s="16" t="n"/>
    </row>
    <row r="156">
      <c r="B156" s="17">
        <f>IF($D156="","","ME"&amp;TEXT(ROW()-5,"000"))</f>
        <v/>
      </c>
      <c r="C156" s="18" t="n"/>
      <c r="D156" s="16" t="n"/>
      <c r="E156" s="17">
        <f>IF($D156="","",IFERROR(INDEX(rngCadetPIDs,MATCH($D156,rngCadetNames,0)),"?"))</f>
        <v/>
      </c>
      <c r="F156" s="16" t="n"/>
      <c r="G156" s="16" t="n"/>
      <c r="H156" s="19">
        <f>IF(OR($D156="",$C156=""),"",_xlfn.LET(_xlpm.dn,IFERROR(_xlfn.XLOOKUP($C156,nrCDdate,nrCDnum),""),IF(_xlpm.dn="","(not a class day)",IFERROR(_xlfn.XLOOKUP(_xlpm.dn+cfgMemoDueClassDays,nrCDnum,nrCDdate),""))))</f>
        <v/>
      </c>
      <c r="I156" s="18" t="n"/>
      <c r="J156" s="19">
        <f>IF($D156="","",IF($I156&lt;&gt;"",$I156,IF(ISNUMBER($H156),$H156,"")))</f>
        <v/>
      </c>
      <c r="K156" s="18" t="n"/>
      <c r="L156" s="17">
        <f>IF($D156="","",IF($K156&lt;&gt;"","Received "&amp;TEXT($K156,"mm/dd"),IF(AND(ISNUMBER($J156),TODAY()&gt;$J156),"OVERDUE","Pending")))</f>
        <v/>
      </c>
      <c r="M156" s="16" t="n"/>
      <c r="N156" s="16" t="n"/>
    </row>
    <row r="157">
      <c r="B157" s="17">
        <f>IF($D157="","","ME"&amp;TEXT(ROW()-5,"000"))</f>
        <v/>
      </c>
      <c r="C157" s="18" t="n"/>
      <c r="D157" s="16" t="n"/>
      <c r="E157" s="17">
        <f>IF($D157="","",IFERROR(INDEX(rngCadetPIDs,MATCH($D157,rngCadetNames,0)),"?"))</f>
        <v/>
      </c>
      <c r="F157" s="16" t="n"/>
      <c r="G157" s="16" t="n"/>
      <c r="H157" s="19">
        <f>IF(OR($D157="",$C157=""),"",_xlfn.LET(_xlpm.dn,IFERROR(_xlfn.XLOOKUP($C157,nrCDdate,nrCDnum),""),IF(_xlpm.dn="","(not a class day)",IFERROR(_xlfn.XLOOKUP(_xlpm.dn+cfgMemoDueClassDays,nrCDnum,nrCDdate),""))))</f>
        <v/>
      </c>
      <c r="I157" s="18" t="n"/>
      <c r="J157" s="19">
        <f>IF($D157="","",IF($I157&lt;&gt;"",$I157,IF(ISNUMBER($H157),$H157,"")))</f>
        <v/>
      </c>
      <c r="K157" s="18" t="n"/>
      <c r="L157" s="17">
        <f>IF($D157="","",IF($K157&lt;&gt;"","Received "&amp;TEXT($K157,"mm/dd"),IF(AND(ISNUMBER($J157),TODAY()&gt;$J157),"OVERDUE","Pending")))</f>
        <v/>
      </c>
      <c r="M157" s="16" t="n"/>
      <c r="N157" s="16" t="n"/>
    </row>
    <row r="158">
      <c r="B158" s="17">
        <f>IF($D158="","","ME"&amp;TEXT(ROW()-5,"000"))</f>
        <v/>
      </c>
      <c r="C158" s="18" t="n"/>
      <c r="D158" s="16" t="n"/>
      <c r="E158" s="17">
        <f>IF($D158="","",IFERROR(INDEX(rngCadetPIDs,MATCH($D158,rngCadetNames,0)),"?"))</f>
        <v/>
      </c>
      <c r="F158" s="16" t="n"/>
      <c r="G158" s="16" t="n"/>
      <c r="H158" s="19">
        <f>IF(OR($D158="",$C158=""),"",_xlfn.LET(_xlpm.dn,IFERROR(_xlfn.XLOOKUP($C158,nrCDdate,nrCDnum),""),IF(_xlpm.dn="","(not a class day)",IFERROR(_xlfn.XLOOKUP(_xlpm.dn+cfgMemoDueClassDays,nrCDnum,nrCDdate),""))))</f>
        <v/>
      </c>
      <c r="I158" s="18" t="n"/>
      <c r="J158" s="19">
        <f>IF($D158="","",IF($I158&lt;&gt;"",$I158,IF(ISNUMBER($H158),$H158,"")))</f>
        <v/>
      </c>
      <c r="K158" s="18" t="n"/>
      <c r="L158" s="17">
        <f>IF($D158="","",IF($K158&lt;&gt;"","Received "&amp;TEXT($K158,"mm/dd"),IF(AND(ISNUMBER($J158),TODAY()&gt;$J158),"OVERDUE","Pending")))</f>
        <v/>
      </c>
      <c r="M158" s="16" t="n"/>
      <c r="N158" s="16" t="n"/>
    </row>
    <row r="159">
      <c r="B159" s="17">
        <f>IF($D159="","","ME"&amp;TEXT(ROW()-5,"000"))</f>
        <v/>
      </c>
      <c r="C159" s="18" t="n"/>
      <c r="D159" s="16" t="n"/>
      <c r="E159" s="17">
        <f>IF($D159="","",IFERROR(INDEX(rngCadetPIDs,MATCH($D159,rngCadetNames,0)),"?"))</f>
        <v/>
      </c>
      <c r="F159" s="16" t="n"/>
      <c r="G159" s="16" t="n"/>
      <c r="H159" s="19">
        <f>IF(OR($D159="",$C159=""),"",_xlfn.LET(_xlpm.dn,IFERROR(_xlfn.XLOOKUP($C159,nrCDdate,nrCDnum),""),IF(_xlpm.dn="","(not a class day)",IFERROR(_xlfn.XLOOKUP(_xlpm.dn+cfgMemoDueClassDays,nrCDnum,nrCDdate),""))))</f>
        <v/>
      </c>
      <c r="I159" s="18" t="n"/>
      <c r="J159" s="19">
        <f>IF($D159="","",IF($I159&lt;&gt;"",$I159,IF(ISNUMBER($H159),$H159,"")))</f>
        <v/>
      </c>
      <c r="K159" s="18" t="n"/>
      <c r="L159" s="17">
        <f>IF($D159="","",IF($K159&lt;&gt;"","Received "&amp;TEXT($K159,"mm/dd"),IF(AND(ISNUMBER($J159),TODAY()&gt;$J159),"OVERDUE","Pending")))</f>
        <v/>
      </c>
      <c r="M159" s="16" t="n"/>
      <c r="N159" s="16" t="n"/>
    </row>
    <row r="160">
      <c r="B160" s="17">
        <f>IF($D160="","","ME"&amp;TEXT(ROW()-5,"000"))</f>
        <v/>
      </c>
      <c r="C160" s="18" t="n"/>
      <c r="D160" s="16" t="n"/>
      <c r="E160" s="17">
        <f>IF($D160="","",IFERROR(INDEX(rngCadetPIDs,MATCH($D160,rngCadetNames,0)),"?"))</f>
        <v/>
      </c>
      <c r="F160" s="16" t="n"/>
      <c r="G160" s="16" t="n"/>
      <c r="H160" s="19">
        <f>IF(OR($D160="",$C160=""),"",_xlfn.LET(_xlpm.dn,IFERROR(_xlfn.XLOOKUP($C160,nrCDdate,nrCDnum),""),IF(_xlpm.dn="","(not a class day)",IFERROR(_xlfn.XLOOKUP(_xlpm.dn+cfgMemoDueClassDays,nrCDnum,nrCDdate),""))))</f>
        <v/>
      </c>
      <c r="I160" s="18" t="n"/>
      <c r="J160" s="19">
        <f>IF($D160="","",IF($I160&lt;&gt;"",$I160,IF(ISNUMBER($H160),$H160,"")))</f>
        <v/>
      </c>
      <c r="K160" s="18" t="n"/>
      <c r="L160" s="17">
        <f>IF($D160="","",IF($K160&lt;&gt;"","Received "&amp;TEXT($K160,"mm/dd"),IF(AND(ISNUMBER($J160),TODAY()&gt;$J160),"OVERDUE","Pending")))</f>
        <v/>
      </c>
      <c r="M160" s="16" t="n"/>
      <c r="N160" s="16" t="n"/>
    </row>
    <row r="161">
      <c r="B161" s="17">
        <f>IF($D161="","","ME"&amp;TEXT(ROW()-5,"000"))</f>
        <v/>
      </c>
      <c r="C161" s="18" t="n"/>
      <c r="D161" s="16" t="n"/>
      <c r="E161" s="17">
        <f>IF($D161="","",IFERROR(INDEX(rngCadetPIDs,MATCH($D161,rngCadetNames,0)),"?"))</f>
        <v/>
      </c>
      <c r="F161" s="16" t="n"/>
      <c r="G161" s="16" t="n"/>
      <c r="H161" s="19">
        <f>IF(OR($D161="",$C161=""),"",_xlfn.LET(_xlpm.dn,IFERROR(_xlfn.XLOOKUP($C161,nrCDdate,nrCDnum),""),IF(_xlpm.dn="","(not a class day)",IFERROR(_xlfn.XLOOKUP(_xlpm.dn+cfgMemoDueClassDays,nrCDnum,nrCDdate),""))))</f>
        <v/>
      </c>
      <c r="I161" s="18" t="n"/>
      <c r="J161" s="19">
        <f>IF($D161="","",IF($I161&lt;&gt;"",$I161,IF(ISNUMBER($H161),$H161,"")))</f>
        <v/>
      </c>
      <c r="K161" s="18" t="n"/>
      <c r="L161" s="17">
        <f>IF($D161="","",IF($K161&lt;&gt;"","Received "&amp;TEXT($K161,"mm/dd"),IF(AND(ISNUMBER($J161),TODAY()&gt;$J161),"OVERDUE","Pending")))</f>
        <v/>
      </c>
      <c r="M161" s="16" t="n"/>
      <c r="N161" s="16" t="n"/>
    </row>
    <row r="162">
      <c r="B162" s="17">
        <f>IF($D162="","","ME"&amp;TEXT(ROW()-5,"000"))</f>
        <v/>
      </c>
      <c r="C162" s="18" t="n"/>
      <c r="D162" s="16" t="n"/>
      <c r="E162" s="17">
        <f>IF($D162="","",IFERROR(INDEX(rngCadetPIDs,MATCH($D162,rngCadetNames,0)),"?"))</f>
        <v/>
      </c>
      <c r="F162" s="16" t="n"/>
      <c r="G162" s="16" t="n"/>
      <c r="H162" s="19">
        <f>IF(OR($D162="",$C162=""),"",_xlfn.LET(_xlpm.dn,IFERROR(_xlfn.XLOOKUP($C162,nrCDdate,nrCDnum),""),IF(_xlpm.dn="","(not a class day)",IFERROR(_xlfn.XLOOKUP(_xlpm.dn+cfgMemoDueClassDays,nrCDnum,nrCDdate),""))))</f>
        <v/>
      </c>
      <c r="I162" s="18" t="n"/>
      <c r="J162" s="19">
        <f>IF($D162="","",IF($I162&lt;&gt;"",$I162,IF(ISNUMBER($H162),$H162,"")))</f>
        <v/>
      </c>
      <c r="K162" s="18" t="n"/>
      <c r="L162" s="17">
        <f>IF($D162="","",IF($K162&lt;&gt;"","Received "&amp;TEXT($K162,"mm/dd"),IF(AND(ISNUMBER($J162),TODAY()&gt;$J162),"OVERDUE","Pending")))</f>
        <v/>
      </c>
      <c r="M162" s="16" t="n"/>
      <c r="N162" s="16" t="n"/>
    </row>
    <row r="163">
      <c r="B163" s="17">
        <f>IF($D163="","","ME"&amp;TEXT(ROW()-5,"000"))</f>
        <v/>
      </c>
      <c r="C163" s="18" t="n"/>
      <c r="D163" s="16" t="n"/>
      <c r="E163" s="17">
        <f>IF($D163="","",IFERROR(INDEX(rngCadetPIDs,MATCH($D163,rngCadetNames,0)),"?"))</f>
        <v/>
      </c>
      <c r="F163" s="16" t="n"/>
      <c r="G163" s="16" t="n"/>
      <c r="H163" s="19">
        <f>IF(OR($D163="",$C163=""),"",_xlfn.LET(_xlpm.dn,IFERROR(_xlfn.XLOOKUP($C163,nrCDdate,nrCDnum),""),IF(_xlpm.dn="","(not a class day)",IFERROR(_xlfn.XLOOKUP(_xlpm.dn+cfgMemoDueClassDays,nrCDnum,nrCDdate),""))))</f>
        <v/>
      </c>
      <c r="I163" s="18" t="n"/>
      <c r="J163" s="19">
        <f>IF($D163="","",IF($I163&lt;&gt;"",$I163,IF(ISNUMBER($H163),$H163,"")))</f>
        <v/>
      </c>
      <c r="K163" s="18" t="n"/>
      <c r="L163" s="17">
        <f>IF($D163="","",IF($K163&lt;&gt;"","Received "&amp;TEXT($K163,"mm/dd"),IF(AND(ISNUMBER($J163),TODAY()&gt;$J163),"OVERDUE","Pending")))</f>
        <v/>
      </c>
      <c r="M163" s="16" t="n"/>
      <c r="N163" s="16" t="n"/>
    </row>
    <row r="164">
      <c r="B164" s="17">
        <f>IF($D164="","","ME"&amp;TEXT(ROW()-5,"000"))</f>
        <v/>
      </c>
      <c r="C164" s="18" t="n"/>
      <c r="D164" s="16" t="n"/>
      <c r="E164" s="17">
        <f>IF($D164="","",IFERROR(INDEX(rngCadetPIDs,MATCH($D164,rngCadetNames,0)),"?"))</f>
        <v/>
      </c>
      <c r="F164" s="16" t="n"/>
      <c r="G164" s="16" t="n"/>
      <c r="H164" s="19">
        <f>IF(OR($D164="",$C164=""),"",_xlfn.LET(_xlpm.dn,IFERROR(_xlfn.XLOOKUP($C164,nrCDdate,nrCDnum),""),IF(_xlpm.dn="","(not a class day)",IFERROR(_xlfn.XLOOKUP(_xlpm.dn+cfgMemoDueClassDays,nrCDnum,nrCDdate),""))))</f>
        <v/>
      </c>
      <c r="I164" s="18" t="n"/>
      <c r="J164" s="19">
        <f>IF($D164="","",IF($I164&lt;&gt;"",$I164,IF(ISNUMBER($H164),$H164,"")))</f>
        <v/>
      </c>
      <c r="K164" s="18" t="n"/>
      <c r="L164" s="17">
        <f>IF($D164="","",IF($K164&lt;&gt;"","Received "&amp;TEXT($K164,"mm/dd"),IF(AND(ISNUMBER($J164),TODAY()&gt;$J164),"OVERDUE","Pending")))</f>
        <v/>
      </c>
      <c r="M164" s="16" t="n"/>
      <c r="N164" s="16" t="n"/>
    </row>
    <row r="165">
      <c r="B165" s="17">
        <f>IF($D165="","","ME"&amp;TEXT(ROW()-5,"000"))</f>
        <v/>
      </c>
      <c r="C165" s="18" t="n"/>
      <c r="D165" s="16" t="n"/>
      <c r="E165" s="17">
        <f>IF($D165="","",IFERROR(INDEX(rngCadetPIDs,MATCH($D165,rngCadetNames,0)),"?"))</f>
        <v/>
      </c>
      <c r="F165" s="16" t="n"/>
      <c r="G165" s="16" t="n"/>
      <c r="H165" s="19">
        <f>IF(OR($D165="",$C165=""),"",_xlfn.LET(_xlpm.dn,IFERROR(_xlfn.XLOOKUP($C165,nrCDdate,nrCDnum),""),IF(_xlpm.dn="","(not a class day)",IFERROR(_xlfn.XLOOKUP(_xlpm.dn+cfgMemoDueClassDays,nrCDnum,nrCDdate),""))))</f>
        <v/>
      </c>
      <c r="I165" s="18" t="n"/>
      <c r="J165" s="19">
        <f>IF($D165="","",IF($I165&lt;&gt;"",$I165,IF(ISNUMBER($H165),$H165,"")))</f>
        <v/>
      </c>
      <c r="K165" s="18" t="n"/>
      <c r="L165" s="17">
        <f>IF($D165="","",IF($K165&lt;&gt;"","Received "&amp;TEXT($K165,"mm/dd"),IF(AND(ISNUMBER($J165),TODAY()&gt;$J165),"OVERDUE","Pending")))</f>
        <v/>
      </c>
      <c r="M165" s="16" t="n"/>
      <c r="N165" s="16" t="n"/>
    </row>
    <row r="166">
      <c r="B166" s="17">
        <f>IF($D166="","","ME"&amp;TEXT(ROW()-5,"000"))</f>
        <v/>
      </c>
      <c r="C166" s="18" t="n"/>
      <c r="D166" s="16" t="n"/>
      <c r="E166" s="17">
        <f>IF($D166="","",IFERROR(INDEX(rngCadetPIDs,MATCH($D166,rngCadetNames,0)),"?"))</f>
        <v/>
      </c>
      <c r="F166" s="16" t="n"/>
      <c r="G166" s="16" t="n"/>
      <c r="H166" s="19">
        <f>IF(OR($D166="",$C166=""),"",_xlfn.LET(_xlpm.dn,IFERROR(_xlfn.XLOOKUP($C166,nrCDdate,nrCDnum),""),IF(_xlpm.dn="","(not a class day)",IFERROR(_xlfn.XLOOKUP(_xlpm.dn+cfgMemoDueClassDays,nrCDnum,nrCDdate),""))))</f>
        <v/>
      </c>
      <c r="I166" s="18" t="n"/>
      <c r="J166" s="19">
        <f>IF($D166="","",IF($I166&lt;&gt;"",$I166,IF(ISNUMBER($H166),$H166,"")))</f>
        <v/>
      </c>
      <c r="K166" s="18" t="n"/>
      <c r="L166" s="17">
        <f>IF($D166="","",IF($K166&lt;&gt;"","Received "&amp;TEXT($K166,"mm/dd"),IF(AND(ISNUMBER($J166),TODAY()&gt;$J166),"OVERDUE","Pending")))</f>
        <v/>
      </c>
      <c r="M166" s="16" t="n"/>
      <c r="N166" s="16" t="n"/>
    </row>
    <row r="167">
      <c r="B167" s="17">
        <f>IF($D167="","","ME"&amp;TEXT(ROW()-5,"000"))</f>
        <v/>
      </c>
      <c r="C167" s="18" t="n"/>
      <c r="D167" s="16" t="n"/>
      <c r="E167" s="17">
        <f>IF($D167="","",IFERROR(INDEX(rngCadetPIDs,MATCH($D167,rngCadetNames,0)),"?"))</f>
        <v/>
      </c>
      <c r="F167" s="16" t="n"/>
      <c r="G167" s="16" t="n"/>
      <c r="H167" s="19">
        <f>IF(OR($D167="",$C167=""),"",_xlfn.LET(_xlpm.dn,IFERROR(_xlfn.XLOOKUP($C167,nrCDdate,nrCDnum),""),IF(_xlpm.dn="","(not a class day)",IFERROR(_xlfn.XLOOKUP(_xlpm.dn+cfgMemoDueClassDays,nrCDnum,nrCDdate),""))))</f>
        <v/>
      </c>
      <c r="I167" s="18" t="n"/>
      <c r="J167" s="19">
        <f>IF($D167="","",IF($I167&lt;&gt;"",$I167,IF(ISNUMBER($H167),$H167,"")))</f>
        <v/>
      </c>
      <c r="K167" s="18" t="n"/>
      <c r="L167" s="17">
        <f>IF($D167="","",IF($K167&lt;&gt;"","Received "&amp;TEXT($K167,"mm/dd"),IF(AND(ISNUMBER($J167),TODAY()&gt;$J167),"OVERDUE","Pending")))</f>
        <v/>
      </c>
      <c r="M167" s="16" t="n"/>
      <c r="N167" s="16" t="n"/>
    </row>
    <row r="168">
      <c r="B168" s="17">
        <f>IF($D168="","","ME"&amp;TEXT(ROW()-5,"000"))</f>
        <v/>
      </c>
      <c r="C168" s="18" t="n"/>
      <c r="D168" s="16" t="n"/>
      <c r="E168" s="17">
        <f>IF($D168="","",IFERROR(INDEX(rngCadetPIDs,MATCH($D168,rngCadetNames,0)),"?"))</f>
        <v/>
      </c>
      <c r="F168" s="16" t="n"/>
      <c r="G168" s="16" t="n"/>
      <c r="H168" s="19">
        <f>IF(OR($D168="",$C168=""),"",_xlfn.LET(_xlpm.dn,IFERROR(_xlfn.XLOOKUP($C168,nrCDdate,nrCDnum),""),IF(_xlpm.dn="","(not a class day)",IFERROR(_xlfn.XLOOKUP(_xlpm.dn+cfgMemoDueClassDays,nrCDnum,nrCDdate),""))))</f>
        <v/>
      </c>
      <c r="I168" s="18" t="n"/>
      <c r="J168" s="19">
        <f>IF($D168="","",IF($I168&lt;&gt;"",$I168,IF(ISNUMBER($H168),$H168,"")))</f>
        <v/>
      </c>
      <c r="K168" s="18" t="n"/>
      <c r="L168" s="17">
        <f>IF($D168="","",IF($K168&lt;&gt;"","Received "&amp;TEXT($K168,"mm/dd"),IF(AND(ISNUMBER($J168),TODAY()&gt;$J168),"OVERDUE","Pending")))</f>
        <v/>
      </c>
      <c r="M168" s="16" t="n"/>
      <c r="N168" s="16" t="n"/>
    </row>
    <row r="169">
      <c r="B169" s="17">
        <f>IF($D169="","","ME"&amp;TEXT(ROW()-5,"000"))</f>
        <v/>
      </c>
      <c r="C169" s="18" t="n"/>
      <c r="D169" s="16" t="n"/>
      <c r="E169" s="17">
        <f>IF($D169="","",IFERROR(INDEX(rngCadetPIDs,MATCH($D169,rngCadetNames,0)),"?"))</f>
        <v/>
      </c>
      <c r="F169" s="16" t="n"/>
      <c r="G169" s="16" t="n"/>
      <c r="H169" s="19">
        <f>IF(OR($D169="",$C169=""),"",_xlfn.LET(_xlpm.dn,IFERROR(_xlfn.XLOOKUP($C169,nrCDdate,nrCDnum),""),IF(_xlpm.dn="","(not a class day)",IFERROR(_xlfn.XLOOKUP(_xlpm.dn+cfgMemoDueClassDays,nrCDnum,nrCDdate),""))))</f>
        <v/>
      </c>
      <c r="I169" s="18" t="n"/>
      <c r="J169" s="19">
        <f>IF($D169="","",IF($I169&lt;&gt;"",$I169,IF(ISNUMBER($H169),$H169,"")))</f>
        <v/>
      </c>
      <c r="K169" s="18" t="n"/>
      <c r="L169" s="17">
        <f>IF($D169="","",IF($K169&lt;&gt;"","Received "&amp;TEXT($K169,"mm/dd"),IF(AND(ISNUMBER($J169),TODAY()&gt;$J169),"OVERDUE","Pending")))</f>
        <v/>
      </c>
      <c r="M169" s="16" t="n"/>
      <c r="N169" s="16" t="n"/>
    </row>
    <row r="170">
      <c r="B170" s="17">
        <f>IF($D170="","","ME"&amp;TEXT(ROW()-5,"000"))</f>
        <v/>
      </c>
      <c r="C170" s="18" t="n"/>
      <c r="D170" s="16" t="n"/>
      <c r="E170" s="17">
        <f>IF($D170="","",IFERROR(INDEX(rngCadetPIDs,MATCH($D170,rngCadetNames,0)),"?"))</f>
        <v/>
      </c>
      <c r="F170" s="16" t="n"/>
      <c r="G170" s="16" t="n"/>
      <c r="H170" s="19">
        <f>IF(OR($D170="",$C170=""),"",_xlfn.LET(_xlpm.dn,IFERROR(_xlfn.XLOOKUP($C170,nrCDdate,nrCDnum),""),IF(_xlpm.dn="","(not a class day)",IFERROR(_xlfn.XLOOKUP(_xlpm.dn+cfgMemoDueClassDays,nrCDnum,nrCDdate),""))))</f>
        <v/>
      </c>
      <c r="I170" s="18" t="n"/>
      <c r="J170" s="19">
        <f>IF($D170="","",IF($I170&lt;&gt;"",$I170,IF(ISNUMBER($H170),$H170,"")))</f>
        <v/>
      </c>
      <c r="K170" s="18" t="n"/>
      <c r="L170" s="17">
        <f>IF($D170="","",IF($K170&lt;&gt;"","Received "&amp;TEXT($K170,"mm/dd"),IF(AND(ISNUMBER($J170),TODAY()&gt;$J170),"OVERDUE","Pending")))</f>
        <v/>
      </c>
      <c r="M170" s="16" t="n"/>
      <c r="N170" s="16" t="n"/>
    </row>
    <row r="171">
      <c r="B171" s="17">
        <f>IF($D171="","","ME"&amp;TEXT(ROW()-5,"000"))</f>
        <v/>
      </c>
      <c r="C171" s="18" t="n"/>
      <c r="D171" s="16" t="n"/>
      <c r="E171" s="17">
        <f>IF($D171="","",IFERROR(INDEX(rngCadetPIDs,MATCH($D171,rngCadetNames,0)),"?"))</f>
        <v/>
      </c>
      <c r="F171" s="16" t="n"/>
      <c r="G171" s="16" t="n"/>
      <c r="H171" s="19">
        <f>IF(OR($D171="",$C171=""),"",_xlfn.LET(_xlpm.dn,IFERROR(_xlfn.XLOOKUP($C171,nrCDdate,nrCDnum),""),IF(_xlpm.dn="","(not a class day)",IFERROR(_xlfn.XLOOKUP(_xlpm.dn+cfgMemoDueClassDays,nrCDnum,nrCDdate),""))))</f>
        <v/>
      </c>
      <c r="I171" s="18" t="n"/>
      <c r="J171" s="19">
        <f>IF($D171="","",IF($I171&lt;&gt;"",$I171,IF(ISNUMBER($H171),$H171,"")))</f>
        <v/>
      </c>
      <c r="K171" s="18" t="n"/>
      <c r="L171" s="17">
        <f>IF($D171="","",IF($K171&lt;&gt;"","Received "&amp;TEXT($K171,"mm/dd"),IF(AND(ISNUMBER($J171),TODAY()&gt;$J171),"OVERDUE","Pending")))</f>
        <v/>
      </c>
      <c r="M171" s="16" t="n"/>
      <c r="N171" s="16" t="n"/>
    </row>
    <row r="172">
      <c r="B172" s="17">
        <f>IF($D172="","","ME"&amp;TEXT(ROW()-5,"000"))</f>
        <v/>
      </c>
      <c r="C172" s="18" t="n"/>
      <c r="D172" s="16" t="n"/>
      <c r="E172" s="17">
        <f>IF($D172="","",IFERROR(INDEX(rngCadetPIDs,MATCH($D172,rngCadetNames,0)),"?"))</f>
        <v/>
      </c>
      <c r="F172" s="16" t="n"/>
      <c r="G172" s="16" t="n"/>
      <c r="H172" s="19">
        <f>IF(OR($D172="",$C172=""),"",_xlfn.LET(_xlpm.dn,IFERROR(_xlfn.XLOOKUP($C172,nrCDdate,nrCDnum),""),IF(_xlpm.dn="","(not a class day)",IFERROR(_xlfn.XLOOKUP(_xlpm.dn+cfgMemoDueClassDays,nrCDnum,nrCDdate),""))))</f>
        <v/>
      </c>
      <c r="I172" s="18" t="n"/>
      <c r="J172" s="19">
        <f>IF($D172="","",IF($I172&lt;&gt;"",$I172,IF(ISNUMBER($H172),$H172,"")))</f>
        <v/>
      </c>
      <c r="K172" s="18" t="n"/>
      <c r="L172" s="17">
        <f>IF($D172="","",IF($K172&lt;&gt;"","Received "&amp;TEXT($K172,"mm/dd"),IF(AND(ISNUMBER($J172),TODAY()&gt;$J172),"OVERDUE","Pending")))</f>
        <v/>
      </c>
      <c r="M172" s="16" t="n"/>
      <c r="N172" s="16" t="n"/>
    </row>
    <row r="173">
      <c r="B173" s="17">
        <f>IF($D173="","","ME"&amp;TEXT(ROW()-5,"000"))</f>
        <v/>
      </c>
      <c r="C173" s="18" t="n"/>
      <c r="D173" s="16" t="n"/>
      <c r="E173" s="17">
        <f>IF($D173="","",IFERROR(INDEX(rngCadetPIDs,MATCH($D173,rngCadetNames,0)),"?"))</f>
        <v/>
      </c>
      <c r="F173" s="16" t="n"/>
      <c r="G173" s="16" t="n"/>
      <c r="H173" s="19">
        <f>IF(OR($D173="",$C173=""),"",_xlfn.LET(_xlpm.dn,IFERROR(_xlfn.XLOOKUP($C173,nrCDdate,nrCDnum),""),IF(_xlpm.dn="","(not a class day)",IFERROR(_xlfn.XLOOKUP(_xlpm.dn+cfgMemoDueClassDays,nrCDnum,nrCDdate),""))))</f>
        <v/>
      </c>
      <c r="I173" s="18" t="n"/>
      <c r="J173" s="19">
        <f>IF($D173="","",IF($I173&lt;&gt;"",$I173,IF(ISNUMBER($H173),$H173,"")))</f>
        <v/>
      </c>
      <c r="K173" s="18" t="n"/>
      <c r="L173" s="17">
        <f>IF($D173="","",IF($K173&lt;&gt;"","Received "&amp;TEXT($K173,"mm/dd"),IF(AND(ISNUMBER($J173),TODAY()&gt;$J173),"OVERDUE","Pending")))</f>
        <v/>
      </c>
      <c r="M173" s="16" t="n"/>
      <c r="N173" s="16" t="n"/>
    </row>
    <row r="174">
      <c r="B174" s="17">
        <f>IF($D174="","","ME"&amp;TEXT(ROW()-5,"000"))</f>
        <v/>
      </c>
      <c r="C174" s="18" t="n"/>
      <c r="D174" s="16" t="n"/>
      <c r="E174" s="17">
        <f>IF($D174="","",IFERROR(INDEX(rngCadetPIDs,MATCH($D174,rngCadetNames,0)),"?"))</f>
        <v/>
      </c>
      <c r="F174" s="16" t="n"/>
      <c r="G174" s="16" t="n"/>
      <c r="H174" s="19">
        <f>IF(OR($D174="",$C174=""),"",_xlfn.LET(_xlpm.dn,IFERROR(_xlfn.XLOOKUP($C174,nrCDdate,nrCDnum),""),IF(_xlpm.dn="","(not a class day)",IFERROR(_xlfn.XLOOKUP(_xlpm.dn+cfgMemoDueClassDays,nrCDnum,nrCDdate),""))))</f>
        <v/>
      </c>
      <c r="I174" s="18" t="n"/>
      <c r="J174" s="19">
        <f>IF($D174="","",IF($I174&lt;&gt;"",$I174,IF(ISNUMBER($H174),$H174,"")))</f>
        <v/>
      </c>
      <c r="K174" s="18" t="n"/>
      <c r="L174" s="17">
        <f>IF($D174="","",IF($K174&lt;&gt;"","Received "&amp;TEXT($K174,"mm/dd"),IF(AND(ISNUMBER($J174),TODAY()&gt;$J174),"OVERDUE","Pending")))</f>
        <v/>
      </c>
      <c r="M174" s="16" t="n"/>
      <c r="N174" s="16" t="n"/>
    </row>
    <row r="175">
      <c r="B175" s="17">
        <f>IF($D175="","","ME"&amp;TEXT(ROW()-5,"000"))</f>
        <v/>
      </c>
      <c r="C175" s="18" t="n"/>
      <c r="D175" s="16" t="n"/>
      <c r="E175" s="17">
        <f>IF($D175="","",IFERROR(INDEX(rngCadetPIDs,MATCH($D175,rngCadetNames,0)),"?"))</f>
        <v/>
      </c>
      <c r="F175" s="16" t="n"/>
      <c r="G175" s="16" t="n"/>
      <c r="H175" s="19">
        <f>IF(OR($D175="",$C175=""),"",_xlfn.LET(_xlpm.dn,IFERROR(_xlfn.XLOOKUP($C175,nrCDdate,nrCDnum),""),IF(_xlpm.dn="","(not a class day)",IFERROR(_xlfn.XLOOKUP(_xlpm.dn+cfgMemoDueClassDays,nrCDnum,nrCDdate),""))))</f>
        <v/>
      </c>
      <c r="I175" s="18" t="n"/>
      <c r="J175" s="19">
        <f>IF($D175="","",IF($I175&lt;&gt;"",$I175,IF(ISNUMBER($H175),$H175,"")))</f>
        <v/>
      </c>
      <c r="K175" s="18" t="n"/>
      <c r="L175" s="17">
        <f>IF($D175="","",IF($K175&lt;&gt;"","Received "&amp;TEXT($K175,"mm/dd"),IF(AND(ISNUMBER($J175),TODAY()&gt;$J175),"OVERDUE","Pending")))</f>
        <v/>
      </c>
      <c r="M175" s="16" t="n"/>
      <c r="N175" s="16" t="n"/>
    </row>
    <row r="176">
      <c r="B176" s="17">
        <f>IF($D176="","","ME"&amp;TEXT(ROW()-5,"000"))</f>
        <v/>
      </c>
      <c r="C176" s="18" t="n"/>
      <c r="D176" s="16" t="n"/>
      <c r="E176" s="17">
        <f>IF($D176="","",IFERROR(INDEX(rngCadetPIDs,MATCH($D176,rngCadetNames,0)),"?"))</f>
        <v/>
      </c>
      <c r="F176" s="16" t="n"/>
      <c r="G176" s="16" t="n"/>
      <c r="H176" s="19">
        <f>IF(OR($D176="",$C176=""),"",_xlfn.LET(_xlpm.dn,IFERROR(_xlfn.XLOOKUP($C176,nrCDdate,nrCDnum),""),IF(_xlpm.dn="","(not a class day)",IFERROR(_xlfn.XLOOKUP(_xlpm.dn+cfgMemoDueClassDays,nrCDnum,nrCDdate),""))))</f>
        <v/>
      </c>
      <c r="I176" s="18" t="n"/>
      <c r="J176" s="19">
        <f>IF($D176="","",IF($I176&lt;&gt;"",$I176,IF(ISNUMBER($H176),$H176,"")))</f>
        <v/>
      </c>
      <c r="K176" s="18" t="n"/>
      <c r="L176" s="17">
        <f>IF($D176="","",IF($K176&lt;&gt;"","Received "&amp;TEXT($K176,"mm/dd"),IF(AND(ISNUMBER($J176),TODAY()&gt;$J176),"OVERDUE","Pending")))</f>
        <v/>
      </c>
      <c r="M176" s="16" t="n"/>
      <c r="N176" s="16" t="n"/>
    </row>
    <row r="177">
      <c r="B177" s="17">
        <f>IF($D177="","","ME"&amp;TEXT(ROW()-5,"000"))</f>
        <v/>
      </c>
      <c r="C177" s="18" t="n"/>
      <c r="D177" s="16" t="n"/>
      <c r="E177" s="17">
        <f>IF($D177="","",IFERROR(INDEX(rngCadetPIDs,MATCH($D177,rngCadetNames,0)),"?"))</f>
        <v/>
      </c>
      <c r="F177" s="16" t="n"/>
      <c r="G177" s="16" t="n"/>
      <c r="H177" s="19">
        <f>IF(OR($D177="",$C177=""),"",_xlfn.LET(_xlpm.dn,IFERROR(_xlfn.XLOOKUP($C177,nrCDdate,nrCDnum),""),IF(_xlpm.dn="","(not a class day)",IFERROR(_xlfn.XLOOKUP(_xlpm.dn+cfgMemoDueClassDays,nrCDnum,nrCDdate),""))))</f>
        <v/>
      </c>
      <c r="I177" s="18" t="n"/>
      <c r="J177" s="19">
        <f>IF($D177="","",IF($I177&lt;&gt;"",$I177,IF(ISNUMBER($H177),$H177,"")))</f>
        <v/>
      </c>
      <c r="K177" s="18" t="n"/>
      <c r="L177" s="17">
        <f>IF($D177="","",IF($K177&lt;&gt;"","Received "&amp;TEXT($K177,"mm/dd"),IF(AND(ISNUMBER($J177),TODAY()&gt;$J177),"OVERDUE","Pending")))</f>
        <v/>
      </c>
      <c r="M177" s="16" t="n"/>
      <c r="N177" s="16" t="n"/>
    </row>
    <row r="178">
      <c r="B178" s="17">
        <f>IF($D178="","","ME"&amp;TEXT(ROW()-5,"000"))</f>
        <v/>
      </c>
      <c r="C178" s="18" t="n"/>
      <c r="D178" s="16" t="n"/>
      <c r="E178" s="17">
        <f>IF($D178="","",IFERROR(INDEX(rngCadetPIDs,MATCH($D178,rngCadetNames,0)),"?"))</f>
        <v/>
      </c>
      <c r="F178" s="16" t="n"/>
      <c r="G178" s="16" t="n"/>
      <c r="H178" s="19">
        <f>IF(OR($D178="",$C178=""),"",_xlfn.LET(_xlpm.dn,IFERROR(_xlfn.XLOOKUP($C178,nrCDdate,nrCDnum),""),IF(_xlpm.dn="","(not a class day)",IFERROR(_xlfn.XLOOKUP(_xlpm.dn+cfgMemoDueClassDays,nrCDnum,nrCDdate),""))))</f>
        <v/>
      </c>
      <c r="I178" s="18" t="n"/>
      <c r="J178" s="19">
        <f>IF($D178="","",IF($I178&lt;&gt;"",$I178,IF(ISNUMBER($H178),$H178,"")))</f>
        <v/>
      </c>
      <c r="K178" s="18" t="n"/>
      <c r="L178" s="17">
        <f>IF($D178="","",IF($K178&lt;&gt;"","Received "&amp;TEXT($K178,"mm/dd"),IF(AND(ISNUMBER($J178),TODAY()&gt;$J178),"OVERDUE","Pending")))</f>
        <v/>
      </c>
      <c r="M178" s="16" t="n"/>
      <c r="N178" s="16" t="n"/>
    </row>
    <row r="179">
      <c r="B179" s="17">
        <f>IF($D179="","","ME"&amp;TEXT(ROW()-5,"000"))</f>
        <v/>
      </c>
      <c r="C179" s="18" t="n"/>
      <c r="D179" s="16" t="n"/>
      <c r="E179" s="17">
        <f>IF($D179="","",IFERROR(INDEX(rngCadetPIDs,MATCH($D179,rngCadetNames,0)),"?"))</f>
        <v/>
      </c>
      <c r="F179" s="16" t="n"/>
      <c r="G179" s="16" t="n"/>
      <c r="H179" s="19">
        <f>IF(OR($D179="",$C179=""),"",_xlfn.LET(_xlpm.dn,IFERROR(_xlfn.XLOOKUP($C179,nrCDdate,nrCDnum),""),IF(_xlpm.dn="","(not a class day)",IFERROR(_xlfn.XLOOKUP(_xlpm.dn+cfgMemoDueClassDays,nrCDnum,nrCDdate),""))))</f>
        <v/>
      </c>
      <c r="I179" s="18" t="n"/>
      <c r="J179" s="19">
        <f>IF($D179="","",IF($I179&lt;&gt;"",$I179,IF(ISNUMBER($H179),$H179,"")))</f>
        <v/>
      </c>
      <c r="K179" s="18" t="n"/>
      <c r="L179" s="17">
        <f>IF($D179="","",IF($K179&lt;&gt;"","Received "&amp;TEXT($K179,"mm/dd"),IF(AND(ISNUMBER($J179),TODAY()&gt;$J179),"OVERDUE","Pending")))</f>
        <v/>
      </c>
      <c r="M179" s="16" t="n"/>
      <c r="N179" s="16" t="n"/>
    </row>
    <row r="180">
      <c r="B180" s="17">
        <f>IF($D180="","","ME"&amp;TEXT(ROW()-5,"000"))</f>
        <v/>
      </c>
      <c r="C180" s="18" t="n"/>
      <c r="D180" s="16" t="n"/>
      <c r="E180" s="17">
        <f>IF($D180="","",IFERROR(INDEX(rngCadetPIDs,MATCH($D180,rngCadetNames,0)),"?"))</f>
        <v/>
      </c>
      <c r="F180" s="16" t="n"/>
      <c r="G180" s="16" t="n"/>
      <c r="H180" s="19">
        <f>IF(OR($D180="",$C180=""),"",_xlfn.LET(_xlpm.dn,IFERROR(_xlfn.XLOOKUP($C180,nrCDdate,nrCDnum),""),IF(_xlpm.dn="","(not a class day)",IFERROR(_xlfn.XLOOKUP(_xlpm.dn+cfgMemoDueClassDays,nrCDnum,nrCDdate),""))))</f>
        <v/>
      </c>
      <c r="I180" s="18" t="n"/>
      <c r="J180" s="19">
        <f>IF($D180="","",IF($I180&lt;&gt;"",$I180,IF(ISNUMBER($H180),$H180,"")))</f>
        <v/>
      </c>
      <c r="K180" s="18" t="n"/>
      <c r="L180" s="17">
        <f>IF($D180="","",IF($K180&lt;&gt;"","Received "&amp;TEXT($K180,"mm/dd"),IF(AND(ISNUMBER($J180),TODAY()&gt;$J180),"OVERDUE","Pending")))</f>
        <v/>
      </c>
      <c r="M180" s="16" t="n"/>
      <c r="N180" s="16" t="n"/>
    </row>
    <row r="181">
      <c r="B181" s="17">
        <f>IF($D181="","","ME"&amp;TEXT(ROW()-5,"000"))</f>
        <v/>
      </c>
      <c r="C181" s="18" t="n"/>
      <c r="D181" s="16" t="n"/>
      <c r="E181" s="17">
        <f>IF($D181="","",IFERROR(INDEX(rngCadetPIDs,MATCH($D181,rngCadetNames,0)),"?"))</f>
        <v/>
      </c>
      <c r="F181" s="16" t="n"/>
      <c r="G181" s="16" t="n"/>
      <c r="H181" s="19">
        <f>IF(OR($D181="",$C181=""),"",_xlfn.LET(_xlpm.dn,IFERROR(_xlfn.XLOOKUP($C181,nrCDdate,nrCDnum),""),IF(_xlpm.dn="","(not a class day)",IFERROR(_xlfn.XLOOKUP(_xlpm.dn+cfgMemoDueClassDays,nrCDnum,nrCDdate),""))))</f>
        <v/>
      </c>
      <c r="I181" s="18" t="n"/>
      <c r="J181" s="19">
        <f>IF($D181="","",IF($I181&lt;&gt;"",$I181,IF(ISNUMBER($H181),$H181,"")))</f>
        <v/>
      </c>
      <c r="K181" s="18" t="n"/>
      <c r="L181" s="17">
        <f>IF($D181="","",IF($K181&lt;&gt;"","Received "&amp;TEXT($K181,"mm/dd"),IF(AND(ISNUMBER($J181),TODAY()&gt;$J181),"OVERDUE","Pending")))</f>
        <v/>
      </c>
      <c r="M181" s="16" t="n"/>
      <c r="N181" s="16" t="n"/>
    </row>
    <row r="182">
      <c r="B182" s="17">
        <f>IF($D182="","","ME"&amp;TEXT(ROW()-5,"000"))</f>
        <v/>
      </c>
      <c r="C182" s="18" t="n"/>
      <c r="D182" s="16" t="n"/>
      <c r="E182" s="17">
        <f>IF($D182="","",IFERROR(INDEX(rngCadetPIDs,MATCH($D182,rngCadetNames,0)),"?"))</f>
        <v/>
      </c>
      <c r="F182" s="16" t="n"/>
      <c r="G182" s="16" t="n"/>
      <c r="H182" s="19">
        <f>IF(OR($D182="",$C182=""),"",_xlfn.LET(_xlpm.dn,IFERROR(_xlfn.XLOOKUP($C182,nrCDdate,nrCDnum),""),IF(_xlpm.dn="","(not a class day)",IFERROR(_xlfn.XLOOKUP(_xlpm.dn+cfgMemoDueClassDays,nrCDnum,nrCDdate),""))))</f>
        <v/>
      </c>
      <c r="I182" s="18" t="n"/>
      <c r="J182" s="19">
        <f>IF($D182="","",IF($I182&lt;&gt;"",$I182,IF(ISNUMBER($H182),$H182,"")))</f>
        <v/>
      </c>
      <c r="K182" s="18" t="n"/>
      <c r="L182" s="17">
        <f>IF($D182="","",IF($K182&lt;&gt;"","Received "&amp;TEXT($K182,"mm/dd"),IF(AND(ISNUMBER($J182),TODAY()&gt;$J182),"OVERDUE","Pending")))</f>
        <v/>
      </c>
      <c r="M182" s="16" t="n"/>
      <c r="N182" s="16" t="n"/>
    </row>
    <row r="183">
      <c r="B183" s="17">
        <f>IF($D183="","","ME"&amp;TEXT(ROW()-5,"000"))</f>
        <v/>
      </c>
      <c r="C183" s="18" t="n"/>
      <c r="D183" s="16" t="n"/>
      <c r="E183" s="17">
        <f>IF($D183="","",IFERROR(INDEX(rngCadetPIDs,MATCH($D183,rngCadetNames,0)),"?"))</f>
        <v/>
      </c>
      <c r="F183" s="16" t="n"/>
      <c r="G183" s="16" t="n"/>
      <c r="H183" s="19">
        <f>IF(OR($D183="",$C183=""),"",_xlfn.LET(_xlpm.dn,IFERROR(_xlfn.XLOOKUP($C183,nrCDdate,nrCDnum),""),IF(_xlpm.dn="","(not a class day)",IFERROR(_xlfn.XLOOKUP(_xlpm.dn+cfgMemoDueClassDays,nrCDnum,nrCDdate),""))))</f>
        <v/>
      </c>
      <c r="I183" s="18" t="n"/>
      <c r="J183" s="19">
        <f>IF($D183="","",IF($I183&lt;&gt;"",$I183,IF(ISNUMBER($H183),$H183,"")))</f>
        <v/>
      </c>
      <c r="K183" s="18" t="n"/>
      <c r="L183" s="17">
        <f>IF($D183="","",IF($K183&lt;&gt;"","Received "&amp;TEXT($K183,"mm/dd"),IF(AND(ISNUMBER($J183),TODAY()&gt;$J183),"OVERDUE","Pending")))</f>
        <v/>
      </c>
      <c r="M183" s="16" t="n"/>
      <c r="N183" s="16" t="n"/>
    </row>
    <row r="184">
      <c r="B184" s="17">
        <f>IF($D184="","","ME"&amp;TEXT(ROW()-5,"000"))</f>
        <v/>
      </c>
      <c r="C184" s="18" t="n"/>
      <c r="D184" s="16" t="n"/>
      <c r="E184" s="17">
        <f>IF($D184="","",IFERROR(INDEX(rngCadetPIDs,MATCH($D184,rngCadetNames,0)),"?"))</f>
        <v/>
      </c>
      <c r="F184" s="16" t="n"/>
      <c r="G184" s="16" t="n"/>
      <c r="H184" s="19">
        <f>IF(OR($D184="",$C184=""),"",_xlfn.LET(_xlpm.dn,IFERROR(_xlfn.XLOOKUP($C184,nrCDdate,nrCDnum),""),IF(_xlpm.dn="","(not a class day)",IFERROR(_xlfn.XLOOKUP(_xlpm.dn+cfgMemoDueClassDays,nrCDnum,nrCDdate),""))))</f>
        <v/>
      </c>
      <c r="I184" s="18" t="n"/>
      <c r="J184" s="19">
        <f>IF($D184="","",IF($I184&lt;&gt;"",$I184,IF(ISNUMBER($H184),$H184,"")))</f>
        <v/>
      </c>
      <c r="K184" s="18" t="n"/>
      <c r="L184" s="17">
        <f>IF($D184="","",IF($K184&lt;&gt;"","Received "&amp;TEXT($K184,"mm/dd"),IF(AND(ISNUMBER($J184),TODAY()&gt;$J184),"OVERDUE","Pending")))</f>
        <v/>
      </c>
      <c r="M184" s="16" t="n"/>
      <c r="N184" s="16" t="n"/>
    </row>
    <row r="185">
      <c r="B185" s="17">
        <f>IF($D185="","","ME"&amp;TEXT(ROW()-5,"000"))</f>
        <v/>
      </c>
      <c r="C185" s="18" t="n"/>
      <c r="D185" s="16" t="n"/>
      <c r="E185" s="17">
        <f>IF($D185="","",IFERROR(INDEX(rngCadetPIDs,MATCH($D185,rngCadetNames,0)),"?"))</f>
        <v/>
      </c>
      <c r="F185" s="16" t="n"/>
      <c r="G185" s="16" t="n"/>
      <c r="H185" s="19">
        <f>IF(OR($D185="",$C185=""),"",_xlfn.LET(_xlpm.dn,IFERROR(_xlfn.XLOOKUP($C185,nrCDdate,nrCDnum),""),IF(_xlpm.dn="","(not a class day)",IFERROR(_xlfn.XLOOKUP(_xlpm.dn+cfgMemoDueClassDays,nrCDnum,nrCDdate),""))))</f>
        <v/>
      </c>
      <c r="I185" s="18" t="n"/>
      <c r="J185" s="19">
        <f>IF($D185="","",IF($I185&lt;&gt;"",$I185,IF(ISNUMBER($H185),$H185,"")))</f>
        <v/>
      </c>
      <c r="K185" s="18" t="n"/>
      <c r="L185" s="17">
        <f>IF($D185="","",IF($K185&lt;&gt;"","Received "&amp;TEXT($K185,"mm/dd"),IF(AND(ISNUMBER($J185),TODAY()&gt;$J185),"OVERDUE","Pending")))</f>
        <v/>
      </c>
      <c r="M185" s="16" t="n"/>
      <c r="N185" s="16" t="n"/>
    </row>
    <row r="186">
      <c r="B186" s="17">
        <f>IF($D186="","","ME"&amp;TEXT(ROW()-5,"000"))</f>
        <v/>
      </c>
      <c r="C186" s="18" t="n"/>
      <c r="D186" s="16" t="n"/>
      <c r="E186" s="17">
        <f>IF($D186="","",IFERROR(INDEX(rngCadetPIDs,MATCH($D186,rngCadetNames,0)),"?"))</f>
        <v/>
      </c>
      <c r="F186" s="16" t="n"/>
      <c r="G186" s="16" t="n"/>
      <c r="H186" s="19">
        <f>IF(OR($D186="",$C186=""),"",_xlfn.LET(_xlpm.dn,IFERROR(_xlfn.XLOOKUP($C186,nrCDdate,nrCDnum),""),IF(_xlpm.dn="","(not a class day)",IFERROR(_xlfn.XLOOKUP(_xlpm.dn+cfgMemoDueClassDays,nrCDnum,nrCDdate),""))))</f>
        <v/>
      </c>
      <c r="I186" s="18" t="n"/>
      <c r="J186" s="19">
        <f>IF($D186="","",IF($I186&lt;&gt;"",$I186,IF(ISNUMBER($H186),$H186,"")))</f>
        <v/>
      </c>
      <c r="K186" s="18" t="n"/>
      <c r="L186" s="17">
        <f>IF($D186="","",IF($K186&lt;&gt;"","Received "&amp;TEXT($K186,"mm/dd"),IF(AND(ISNUMBER($J186),TODAY()&gt;$J186),"OVERDUE","Pending")))</f>
        <v/>
      </c>
      <c r="M186" s="16" t="n"/>
      <c r="N186" s="16" t="n"/>
    </row>
    <row r="187">
      <c r="B187" s="17">
        <f>IF($D187="","","ME"&amp;TEXT(ROW()-5,"000"))</f>
        <v/>
      </c>
      <c r="C187" s="18" t="n"/>
      <c r="D187" s="16" t="n"/>
      <c r="E187" s="17">
        <f>IF($D187="","",IFERROR(INDEX(rngCadetPIDs,MATCH($D187,rngCadetNames,0)),"?"))</f>
        <v/>
      </c>
      <c r="F187" s="16" t="n"/>
      <c r="G187" s="16" t="n"/>
      <c r="H187" s="19">
        <f>IF(OR($D187="",$C187=""),"",_xlfn.LET(_xlpm.dn,IFERROR(_xlfn.XLOOKUP($C187,nrCDdate,nrCDnum),""),IF(_xlpm.dn="","(not a class day)",IFERROR(_xlfn.XLOOKUP(_xlpm.dn+cfgMemoDueClassDays,nrCDnum,nrCDdate),""))))</f>
        <v/>
      </c>
      <c r="I187" s="18" t="n"/>
      <c r="J187" s="19">
        <f>IF($D187="","",IF($I187&lt;&gt;"",$I187,IF(ISNUMBER($H187),$H187,"")))</f>
        <v/>
      </c>
      <c r="K187" s="18" t="n"/>
      <c r="L187" s="17">
        <f>IF($D187="","",IF($K187&lt;&gt;"","Received "&amp;TEXT($K187,"mm/dd"),IF(AND(ISNUMBER($J187),TODAY()&gt;$J187),"OVERDUE","Pending")))</f>
        <v/>
      </c>
      <c r="M187" s="16" t="n"/>
      <c r="N187" s="16" t="n"/>
    </row>
    <row r="188">
      <c r="B188" s="17">
        <f>IF($D188="","","ME"&amp;TEXT(ROW()-5,"000"))</f>
        <v/>
      </c>
      <c r="C188" s="18" t="n"/>
      <c r="D188" s="16" t="n"/>
      <c r="E188" s="17">
        <f>IF($D188="","",IFERROR(INDEX(rngCadetPIDs,MATCH($D188,rngCadetNames,0)),"?"))</f>
        <v/>
      </c>
      <c r="F188" s="16" t="n"/>
      <c r="G188" s="16" t="n"/>
      <c r="H188" s="19">
        <f>IF(OR($D188="",$C188=""),"",_xlfn.LET(_xlpm.dn,IFERROR(_xlfn.XLOOKUP($C188,nrCDdate,nrCDnum),""),IF(_xlpm.dn="","(not a class day)",IFERROR(_xlfn.XLOOKUP(_xlpm.dn+cfgMemoDueClassDays,nrCDnum,nrCDdate),""))))</f>
        <v/>
      </c>
      <c r="I188" s="18" t="n"/>
      <c r="J188" s="19">
        <f>IF($D188="","",IF($I188&lt;&gt;"",$I188,IF(ISNUMBER($H188),$H188,"")))</f>
        <v/>
      </c>
      <c r="K188" s="18" t="n"/>
      <c r="L188" s="17">
        <f>IF($D188="","",IF($K188&lt;&gt;"","Received "&amp;TEXT($K188,"mm/dd"),IF(AND(ISNUMBER($J188),TODAY()&gt;$J188),"OVERDUE","Pending")))</f>
        <v/>
      </c>
      <c r="M188" s="16" t="n"/>
      <c r="N188" s="16" t="n"/>
    </row>
    <row r="189">
      <c r="B189" s="17">
        <f>IF($D189="","","ME"&amp;TEXT(ROW()-5,"000"))</f>
        <v/>
      </c>
      <c r="C189" s="18" t="n"/>
      <c r="D189" s="16" t="n"/>
      <c r="E189" s="17">
        <f>IF($D189="","",IFERROR(INDEX(rngCadetPIDs,MATCH($D189,rngCadetNames,0)),"?"))</f>
        <v/>
      </c>
      <c r="F189" s="16" t="n"/>
      <c r="G189" s="16" t="n"/>
      <c r="H189" s="19">
        <f>IF(OR($D189="",$C189=""),"",_xlfn.LET(_xlpm.dn,IFERROR(_xlfn.XLOOKUP($C189,nrCDdate,nrCDnum),""),IF(_xlpm.dn="","(not a class day)",IFERROR(_xlfn.XLOOKUP(_xlpm.dn+cfgMemoDueClassDays,nrCDnum,nrCDdate),""))))</f>
        <v/>
      </c>
      <c r="I189" s="18" t="n"/>
      <c r="J189" s="19">
        <f>IF($D189="","",IF($I189&lt;&gt;"",$I189,IF(ISNUMBER($H189),$H189,"")))</f>
        <v/>
      </c>
      <c r="K189" s="18" t="n"/>
      <c r="L189" s="17">
        <f>IF($D189="","",IF($K189&lt;&gt;"","Received "&amp;TEXT($K189,"mm/dd"),IF(AND(ISNUMBER($J189),TODAY()&gt;$J189),"OVERDUE","Pending")))</f>
        <v/>
      </c>
      <c r="M189" s="16" t="n"/>
      <c r="N189" s="16" t="n"/>
    </row>
    <row r="190">
      <c r="B190" s="17">
        <f>IF($D190="","","ME"&amp;TEXT(ROW()-5,"000"))</f>
        <v/>
      </c>
      <c r="C190" s="18" t="n"/>
      <c r="D190" s="16" t="n"/>
      <c r="E190" s="17">
        <f>IF($D190="","",IFERROR(INDEX(rngCadetPIDs,MATCH($D190,rngCadetNames,0)),"?"))</f>
        <v/>
      </c>
      <c r="F190" s="16" t="n"/>
      <c r="G190" s="16" t="n"/>
      <c r="H190" s="19">
        <f>IF(OR($D190="",$C190=""),"",_xlfn.LET(_xlpm.dn,IFERROR(_xlfn.XLOOKUP($C190,nrCDdate,nrCDnum),""),IF(_xlpm.dn="","(not a class day)",IFERROR(_xlfn.XLOOKUP(_xlpm.dn+cfgMemoDueClassDays,nrCDnum,nrCDdate),""))))</f>
        <v/>
      </c>
      <c r="I190" s="18" t="n"/>
      <c r="J190" s="19">
        <f>IF($D190="","",IF($I190&lt;&gt;"",$I190,IF(ISNUMBER($H190),$H190,"")))</f>
        <v/>
      </c>
      <c r="K190" s="18" t="n"/>
      <c r="L190" s="17">
        <f>IF($D190="","",IF($K190&lt;&gt;"","Received "&amp;TEXT($K190,"mm/dd"),IF(AND(ISNUMBER($J190),TODAY()&gt;$J190),"OVERDUE","Pending")))</f>
        <v/>
      </c>
      <c r="M190" s="16" t="n"/>
      <c r="N190" s="16" t="n"/>
    </row>
    <row r="191">
      <c r="B191" s="17">
        <f>IF($D191="","","ME"&amp;TEXT(ROW()-5,"000"))</f>
        <v/>
      </c>
      <c r="C191" s="18" t="n"/>
      <c r="D191" s="16" t="n"/>
      <c r="E191" s="17">
        <f>IF($D191="","",IFERROR(INDEX(rngCadetPIDs,MATCH($D191,rngCadetNames,0)),"?"))</f>
        <v/>
      </c>
      <c r="F191" s="16" t="n"/>
      <c r="G191" s="16" t="n"/>
      <c r="H191" s="19">
        <f>IF(OR($D191="",$C191=""),"",_xlfn.LET(_xlpm.dn,IFERROR(_xlfn.XLOOKUP($C191,nrCDdate,nrCDnum),""),IF(_xlpm.dn="","(not a class day)",IFERROR(_xlfn.XLOOKUP(_xlpm.dn+cfgMemoDueClassDays,nrCDnum,nrCDdate),""))))</f>
        <v/>
      </c>
      <c r="I191" s="18" t="n"/>
      <c r="J191" s="19">
        <f>IF($D191="","",IF($I191&lt;&gt;"",$I191,IF(ISNUMBER($H191),$H191,"")))</f>
        <v/>
      </c>
      <c r="K191" s="18" t="n"/>
      <c r="L191" s="17">
        <f>IF($D191="","",IF($K191&lt;&gt;"","Received "&amp;TEXT($K191,"mm/dd"),IF(AND(ISNUMBER($J191),TODAY()&gt;$J191),"OVERDUE","Pending")))</f>
        <v/>
      </c>
      <c r="M191" s="16" t="n"/>
      <c r="N191" s="16" t="n"/>
    </row>
    <row r="192">
      <c r="B192" s="17">
        <f>IF($D192="","","ME"&amp;TEXT(ROW()-5,"000"))</f>
        <v/>
      </c>
      <c r="C192" s="18" t="n"/>
      <c r="D192" s="16" t="n"/>
      <c r="E192" s="17">
        <f>IF($D192="","",IFERROR(INDEX(rngCadetPIDs,MATCH($D192,rngCadetNames,0)),"?"))</f>
        <v/>
      </c>
      <c r="F192" s="16" t="n"/>
      <c r="G192" s="16" t="n"/>
      <c r="H192" s="19">
        <f>IF(OR($D192="",$C192=""),"",_xlfn.LET(_xlpm.dn,IFERROR(_xlfn.XLOOKUP($C192,nrCDdate,nrCDnum),""),IF(_xlpm.dn="","(not a class day)",IFERROR(_xlfn.XLOOKUP(_xlpm.dn+cfgMemoDueClassDays,nrCDnum,nrCDdate),""))))</f>
        <v/>
      </c>
      <c r="I192" s="18" t="n"/>
      <c r="J192" s="19">
        <f>IF($D192="","",IF($I192&lt;&gt;"",$I192,IF(ISNUMBER($H192),$H192,"")))</f>
        <v/>
      </c>
      <c r="K192" s="18" t="n"/>
      <c r="L192" s="17">
        <f>IF($D192="","",IF($K192&lt;&gt;"","Received "&amp;TEXT($K192,"mm/dd"),IF(AND(ISNUMBER($J192),TODAY()&gt;$J192),"OVERDUE","Pending")))</f>
        <v/>
      </c>
      <c r="M192" s="16" t="n"/>
      <c r="N192" s="16" t="n"/>
    </row>
    <row r="193">
      <c r="B193" s="17">
        <f>IF($D193="","","ME"&amp;TEXT(ROW()-5,"000"))</f>
        <v/>
      </c>
      <c r="C193" s="18" t="n"/>
      <c r="D193" s="16" t="n"/>
      <c r="E193" s="17">
        <f>IF($D193="","",IFERROR(INDEX(rngCadetPIDs,MATCH($D193,rngCadetNames,0)),"?"))</f>
        <v/>
      </c>
      <c r="F193" s="16" t="n"/>
      <c r="G193" s="16" t="n"/>
      <c r="H193" s="19">
        <f>IF(OR($D193="",$C193=""),"",_xlfn.LET(_xlpm.dn,IFERROR(_xlfn.XLOOKUP($C193,nrCDdate,nrCDnum),""),IF(_xlpm.dn="","(not a class day)",IFERROR(_xlfn.XLOOKUP(_xlpm.dn+cfgMemoDueClassDays,nrCDnum,nrCDdate),""))))</f>
        <v/>
      </c>
      <c r="I193" s="18" t="n"/>
      <c r="J193" s="19">
        <f>IF($D193="","",IF($I193&lt;&gt;"",$I193,IF(ISNUMBER($H193),$H193,"")))</f>
        <v/>
      </c>
      <c r="K193" s="18" t="n"/>
      <c r="L193" s="17">
        <f>IF($D193="","",IF($K193&lt;&gt;"","Received "&amp;TEXT($K193,"mm/dd"),IF(AND(ISNUMBER($J193),TODAY()&gt;$J193),"OVERDUE","Pending")))</f>
        <v/>
      </c>
      <c r="M193" s="16" t="n"/>
      <c r="N193" s="16" t="n"/>
    </row>
    <row r="194">
      <c r="B194" s="17">
        <f>IF($D194="","","ME"&amp;TEXT(ROW()-5,"000"))</f>
        <v/>
      </c>
      <c r="C194" s="18" t="n"/>
      <c r="D194" s="16" t="n"/>
      <c r="E194" s="17">
        <f>IF($D194="","",IFERROR(INDEX(rngCadetPIDs,MATCH($D194,rngCadetNames,0)),"?"))</f>
        <v/>
      </c>
      <c r="F194" s="16" t="n"/>
      <c r="G194" s="16" t="n"/>
      <c r="H194" s="19">
        <f>IF(OR($D194="",$C194=""),"",_xlfn.LET(_xlpm.dn,IFERROR(_xlfn.XLOOKUP($C194,nrCDdate,nrCDnum),""),IF(_xlpm.dn="","(not a class day)",IFERROR(_xlfn.XLOOKUP(_xlpm.dn+cfgMemoDueClassDays,nrCDnum,nrCDdate),""))))</f>
        <v/>
      </c>
      <c r="I194" s="18" t="n"/>
      <c r="J194" s="19">
        <f>IF($D194="","",IF($I194&lt;&gt;"",$I194,IF(ISNUMBER($H194),$H194,"")))</f>
        <v/>
      </c>
      <c r="K194" s="18" t="n"/>
      <c r="L194" s="17">
        <f>IF($D194="","",IF($K194&lt;&gt;"","Received "&amp;TEXT($K194,"mm/dd"),IF(AND(ISNUMBER($J194),TODAY()&gt;$J194),"OVERDUE","Pending")))</f>
        <v/>
      </c>
      <c r="M194" s="16" t="n"/>
      <c r="N194" s="16" t="n"/>
    </row>
    <row r="195">
      <c r="B195" s="17">
        <f>IF($D195="","","ME"&amp;TEXT(ROW()-5,"000"))</f>
        <v/>
      </c>
      <c r="C195" s="18" t="n"/>
      <c r="D195" s="16" t="n"/>
      <c r="E195" s="17">
        <f>IF($D195="","",IFERROR(INDEX(rngCadetPIDs,MATCH($D195,rngCadetNames,0)),"?"))</f>
        <v/>
      </c>
      <c r="F195" s="16" t="n"/>
      <c r="G195" s="16" t="n"/>
      <c r="H195" s="19">
        <f>IF(OR($D195="",$C195=""),"",_xlfn.LET(_xlpm.dn,IFERROR(_xlfn.XLOOKUP($C195,nrCDdate,nrCDnum),""),IF(_xlpm.dn="","(not a class day)",IFERROR(_xlfn.XLOOKUP(_xlpm.dn+cfgMemoDueClassDays,nrCDnum,nrCDdate),""))))</f>
        <v/>
      </c>
      <c r="I195" s="18" t="n"/>
      <c r="J195" s="19">
        <f>IF($D195="","",IF($I195&lt;&gt;"",$I195,IF(ISNUMBER($H195),$H195,"")))</f>
        <v/>
      </c>
      <c r="K195" s="18" t="n"/>
      <c r="L195" s="17">
        <f>IF($D195="","",IF($K195&lt;&gt;"","Received "&amp;TEXT($K195,"mm/dd"),IF(AND(ISNUMBER($J195),TODAY()&gt;$J195),"OVERDUE","Pending")))</f>
        <v/>
      </c>
      <c r="M195" s="16" t="n"/>
      <c r="N195" s="16" t="n"/>
    </row>
    <row r="196">
      <c r="B196" s="17">
        <f>IF($D196="","","ME"&amp;TEXT(ROW()-5,"000"))</f>
        <v/>
      </c>
      <c r="C196" s="18" t="n"/>
      <c r="D196" s="16" t="n"/>
      <c r="E196" s="17">
        <f>IF($D196="","",IFERROR(INDEX(rngCadetPIDs,MATCH($D196,rngCadetNames,0)),"?"))</f>
        <v/>
      </c>
      <c r="F196" s="16" t="n"/>
      <c r="G196" s="16" t="n"/>
      <c r="H196" s="19">
        <f>IF(OR($D196="",$C196=""),"",_xlfn.LET(_xlpm.dn,IFERROR(_xlfn.XLOOKUP($C196,nrCDdate,nrCDnum),""),IF(_xlpm.dn="","(not a class day)",IFERROR(_xlfn.XLOOKUP(_xlpm.dn+cfgMemoDueClassDays,nrCDnum,nrCDdate),""))))</f>
        <v/>
      </c>
      <c r="I196" s="18" t="n"/>
      <c r="J196" s="19">
        <f>IF($D196="","",IF($I196&lt;&gt;"",$I196,IF(ISNUMBER($H196),$H196,"")))</f>
        <v/>
      </c>
      <c r="K196" s="18" t="n"/>
      <c r="L196" s="17">
        <f>IF($D196="","",IF($K196&lt;&gt;"","Received "&amp;TEXT($K196,"mm/dd"),IF(AND(ISNUMBER($J196),TODAY()&gt;$J196),"OVERDUE","Pending")))</f>
        <v/>
      </c>
      <c r="M196" s="16" t="n"/>
      <c r="N196" s="16" t="n"/>
    </row>
    <row r="197">
      <c r="B197" s="17">
        <f>IF($D197="","","ME"&amp;TEXT(ROW()-5,"000"))</f>
        <v/>
      </c>
      <c r="C197" s="18" t="n"/>
      <c r="D197" s="16" t="n"/>
      <c r="E197" s="17">
        <f>IF($D197="","",IFERROR(INDEX(rngCadetPIDs,MATCH($D197,rngCadetNames,0)),"?"))</f>
        <v/>
      </c>
      <c r="F197" s="16" t="n"/>
      <c r="G197" s="16" t="n"/>
      <c r="H197" s="19">
        <f>IF(OR($D197="",$C197=""),"",_xlfn.LET(_xlpm.dn,IFERROR(_xlfn.XLOOKUP($C197,nrCDdate,nrCDnum),""),IF(_xlpm.dn="","(not a class day)",IFERROR(_xlfn.XLOOKUP(_xlpm.dn+cfgMemoDueClassDays,nrCDnum,nrCDdate),""))))</f>
        <v/>
      </c>
      <c r="I197" s="18" t="n"/>
      <c r="J197" s="19">
        <f>IF($D197="","",IF($I197&lt;&gt;"",$I197,IF(ISNUMBER($H197),$H197,"")))</f>
        <v/>
      </c>
      <c r="K197" s="18" t="n"/>
      <c r="L197" s="17">
        <f>IF($D197="","",IF($K197&lt;&gt;"","Received "&amp;TEXT($K197,"mm/dd"),IF(AND(ISNUMBER($J197),TODAY()&gt;$J197),"OVERDUE","Pending")))</f>
        <v/>
      </c>
      <c r="M197" s="16" t="n"/>
      <c r="N197" s="16" t="n"/>
    </row>
    <row r="198">
      <c r="B198" s="17">
        <f>IF($D198="","","ME"&amp;TEXT(ROW()-5,"000"))</f>
        <v/>
      </c>
      <c r="C198" s="18" t="n"/>
      <c r="D198" s="16" t="n"/>
      <c r="E198" s="17">
        <f>IF($D198="","",IFERROR(INDEX(rngCadetPIDs,MATCH($D198,rngCadetNames,0)),"?"))</f>
        <v/>
      </c>
      <c r="F198" s="16" t="n"/>
      <c r="G198" s="16" t="n"/>
      <c r="H198" s="19">
        <f>IF(OR($D198="",$C198=""),"",_xlfn.LET(_xlpm.dn,IFERROR(_xlfn.XLOOKUP($C198,nrCDdate,nrCDnum),""),IF(_xlpm.dn="","(not a class day)",IFERROR(_xlfn.XLOOKUP(_xlpm.dn+cfgMemoDueClassDays,nrCDnum,nrCDdate),""))))</f>
        <v/>
      </c>
      <c r="I198" s="18" t="n"/>
      <c r="J198" s="19">
        <f>IF($D198="","",IF($I198&lt;&gt;"",$I198,IF(ISNUMBER($H198),$H198,"")))</f>
        <v/>
      </c>
      <c r="K198" s="18" t="n"/>
      <c r="L198" s="17">
        <f>IF($D198="","",IF($K198&lt;&gt;"","Received "&amp;TEXT($K198,"mm/dd"),IF(AND(ISNUMBER($J198),TODAY()&gt;$J198),"OVERDUE","Pending")))</f>
        <v/>
      </c>
      <c r="M198" s="16" t="n"/>
      <c r="N198" s="16" t="n"/>
    </row>
    <row r="199">
      <c r="B199" s="17">
        <f>IF($D199="","","ME"&amp;TEXT(ROW()-5,"000"))</f>
        <v/>
      </c>
      <c r="C199" s="18" t="n"/>
      <c r="D199" s="16" t="n"/>
      <c r="E199" s="17">
        <f>IF($D199="","",IFERROR(INDEX(rngCadetPIDs,MATCH($D199,rngCadetNames,0)),"?"))</f>
        <v/>
      </c>
      <c r="F199" s="16" t="n"/>
      <c r="G199" s="16" t="n"/>
      <c r="H199" s="19">
        <f>IF(OR($D199="",$C199=""),"",_xlfn.LET(_xlpm.dn,IFERROR(_xlfn.XLOOKUP($C199,nrCDdate,nrCDnum),""),IF(_xlpm.dn="","(not a class day)",IFERROR(_xlfn.XLOOKUP(_xlpm.dn+cfgMemoDueClassDays,nrCDnum,nrCDdate),""))))</f>
        <v/>
      </c>
      <c r="I199" s="18" t="n"/>
      <c r="J199" s="19">
        <f>IF($D199="","",IF($I199&lt;&gt;"",$I199,IF(ISNUMBER($H199),$H199,"")))</f>
        <v/>
      </c>
      <c r="K199" s="18" t="n"/>
      <c r="L199" s="17">
        <f>IF($D199="","",IF($K199&lt;&gt;"","Received "&amp;TEXT($K199,"mm/dd"),IF(AND(ISNUMBER($J199),TODAY()&gt;$J199),"OVERDUE","Pending")))</f>
        <v/>
      </c>
      <c r="M199" s="16" t="n"/>
      <c r="N199" s="16" t="n"/>
    </row>
    <row r="200">
      <c r="B200" s="17">
        <f>IF($D200="","","ME"&amp;TEXT(ROW()-5,"000"))</f>
        <v/>
      </c>
      <c r="C200" s="18" t="n"/>
      <c r="D200" s="16" t="n"/>
      <c r="E200" s="17">
        <f>IF($D200="","",IFERROR(INDEX(rngCadetPIDs,MATCH($D200,rngCadetNames,0)),"?"))</f>
        <v/>
      </c>
      <c r="F200" s="16" t="n"/>
      <c r="G200" s="16" t="n"/>
      <c r="H200" s="19">
        <f>IF(OR($D200="",$C200=""),"",_xlfn.LET(_xlpm.dn,IFERROR(_xlfn.XLOOKUP($C200,nrCDdate,nrCDnum),""),IF(_xlpm.dn="","(not a class day)",IFERROR(_xlfn.XLOOKUP(_xlpm.dn+cfgMemoDueClassDays,nrCDnum,nrCDdate),""))))</f>
        <v/>
      </c>
      <c r="I200" s="18" t="n"/>
      <c r="J200" s="19">
        <f>IF($D200="","",IF($I200&lt;&gt;"",$I200,IF(ISNUMBER($H200),$H200,"")))</f>
        <v/>
      </c>
      <c r="K200" s="18" t="n"/>
      <c r="L200" s="17">
        <f>IF($D200="","",IF($K200&lt;&gt;"","Received "&amp;TEXT($K200,"mm/dd"),IF(AND(ISNUMBER($J200),TODAY()&gt;$J200),"OVERDUE","Pending")))</f>
        <v/>
      </c>
      <c r="M200" s="16" t="n"/>
      <c r="N200" s="16" t="n"/>
    </row>
    <row r="201">
      <c r="B201" s="17">
        <f>IF($D201="","","ME"&amp;TEXT(ROW()-5,"000"))</f>
        <v/>
      </c>
      <c r="C201" s="18" t="n"/>
      <c r="D201" s="16" t="n"/>
      <c r="E201" s="17">
        <f>IF($D201="","",IFERROR(INDEX(rngCadetPIDs,MATCH($D201,rngCadetNames,0)),"?"))</f>
        <v/>
      </c>
      <c r="F201" s="16" t="n"/>
      <c r="G201" s="16" t="n"/>
      <c r="H201" s="19">
        <f>IF(OR($D201="",$C201=""),"",_xlfn.LET(_xlpm.dn,IFERROR(_xlfn.XLOOKUP($C201,nrCDdate,nrCDnum),""),IF(_xlpm.dn="","(not a class day)",IFERROR(_xlfn.XLOOKUP(_xlpm.dn+cfgMemoDueClassDays,nrCDnum,nrCDdate),""))))</f>
        <v/>
      </c>
      <c r="I201" s="18" t="n"/>
      <c r="J201" s="19">
        <f>IF($D201="","",IF($I201&lt;&gt;"",$I201,IF(ISNUMBER($H201),$H201,"")))</f>
        <v/>
      </c>
      <c r="K201" s="18" t="n"/>
      <c r="L201" s="17">
        <f>IF($D201="","",IF($K201&lt;&gt;"","Received "&amp;TEXT($K201,"mm/dd"),IF(AND(ISNUMBER($J201),TODAY()&gt;$J201),"OVERDUE","Pending")))</f>
        <v/>
      </c>
      <c r="M201" s="16" t="n"/>
      <c r="N201" s="16" t="n"/>
    </row>
    <row r="202">
      <c r="B202" s="17">
        <f>IF($D202="","","ME"&amp;TEXT(ROW()-5,"000"))</f>
        <v/>
      </c>
      <c r="C202" s="18" t="n"/>
      <c r="D202" s="16" t="n"/>
      <c r="E202" s="17">
        <f>IF($D202="","",IFERROR(INDEX(rngCadetPIDs,MATCH($D202,rngCadetNames,0)),"?"))</f>
        <v/>
      </c>
      <c r="F202" s="16" t="n"/>
      <c r="G202" s="16" t="n"/>
      <c r="H202" s="19">
        <f>IF(OR($D202="",$C202=""),"",_xlfn.LET(_xlpm.dn,IFERROR(_xlfn.XLOOKUP($C202,nrCDdate,nrCDnum),""),IF(_xlpm.dn="","(not a class day)",IFERROR(_xlfn.XLOOKUP(_xlpm.dn+cfgMemoDueClassDays,nrCDnum,nrCDdate),""))))</f>
        <v/>
      </c>
      <c r="I202" s="18" t="n"/>
      <c r="J202" s="19">
        <f>IF($D202="","",IF($I202&lt;&gt;"",$I202,IF(ISNUMBER($H202),$H202,"")))</f>
        <v/>
      </c>
      <c r="K202" s="18" t="n"/>
      <c r="L202" s="17">
        <f>IF($D202="","",IF($K202&lt;&gt;"","Received "&amp;TEXT($K202,"mm/dd"),IF(AND(ISNUMBER($J202),TODAY()&gt;$J202),"OVERDUE","Pending")))</f>
        <v/>
      </c>
      <c r="M202" s="16" t="n"/>
      <c r="N202" s="16" t="n"/>
    </row>
    <row r="203">
      <c r="B203" s="17">
        <f>IF($D203="","","ME"&amp;TEXT(ROW()-5,"000"))</f>
        <v/>
      </c>
      <c r="C203" s="18" t="n"/>
      <c r="D203" s="16" t="n"/>
      <c r="E203" s="17">
        <f>IF($D203="","",IFERROR(INDEX(rngCadetPIDs,MATCH($D203,rngCadetNames,0)),"?"))</f>
        <v/>
      </c>
      <c r="F203" s="16" t="n"/>
      <c r="G203" s="16" t="n"/>
      <c r="H203" s="19">
        <f>IF(OR($D203="",$C203=""),"",_xlfn.LET(_xlpm.dn,IFERROR(_xlfn.XLOOKUP($C203,nrCDdate,nrCDnum),""),IF(_xlpm.dn="","(not a class day)",IFERROR(_xlfn.XLOOKUP(_xlpm.dn+cfgMemoDueClassDays,nrCDnum,nrCDdate),""))))</f>
        <v/>
      </c>
      <c r="I203" s="18" t="n"/>
      <c r="J203" s="19">
        <f>IF($D203="","",IF($I203&lt;&gt;"",$I203,IF(ISNUMBER($H203),$H203,"")))</f>
        <v/>
      </c>
      <c r="K203" s="18" t="n"/>
      <c r="L203" s="17">
        <f>IF($D203="","",IF($K203&lt;&gt;"","Received "&amp;TEXT($K203,"mm/dd"),IF(AND(ISNUMBER($J203),TODAY()&gt;$J203),"OVERDUE","Pending")))</f>
        <v/>
      </c>
      <c r="M203" s="16" t="n"/>
      <c r="N203" s="16" t="n"/>
    </row>
    <row r="204">
      <c r="B204" s="17">
        <f>IF($D204="","","ME"&amp;TEXT(ROW()-5,"000"))</f>
        <v/>
      </c>
      <c r="C204" s="18" t="n"/>
      <c r="D204" s="16" t="n"/>
      <c r="E204" s="17">
        <f>IF($D204="","",IFERROR(INDEX(rngCadetPIDs,MATCH($D204,rngCadetNames,0)),"?"))</f>
        <v/>
      </c>
      <c r="F204" s="16" t="n"/>
      <c r="G204" s="16" t="n"/>
      <c r="H204" s="19">
        <f>IF(OR($D204="",$C204=""),"",_xlfn.LET(_xlpm.dn,IFERROR(_xlfn.XLOOKUP($C204,nrCDdate,nrCDnum),""),IF(_xlpm.dn="","(not a class day)",IFERROR(_xlfn.XLOOKUP(_xlpm.dn+cfgMemoDueClassDays,nrCDnum,nrCDdate),""))))</f>
        <v/>
      </c>
      <c r="I204" s="18" t="n"/>
      <c r="J204" s="19">
        <f>IF($D204="","",IF($I204&lt;&gt;"",$I204,IF(ISNUMBER($H204),$H204,"")))</f>
        <v/>
      </c>
      <c r="K204" s="18" t="n"/>
      <c r="L204" s="17">
        <f>IF($D204="","",IF($K204&lt;&gt;"","Received "&amp;TEXT($K204,"mm/dd"),IF(AND(ISNUMBER($J204),TODAY()&gt;$J204),"OVERDUE","Pending")))</f>
        <v/>
      </c>
      <c r="M204" s="16" t="n"/>
      <c r="N204" s="16" t="n"/>
    </row>
    <row r="205">
      <c r="B205" s="17">
        <f>IF($D205="","","ME"&amp;TEXT(ROW()-5,"000"))</f>
        <v/>
      </c>
      <c r="C205" s="18" t="n"/>
      <c r="D205" s="16" t="n"/>
      <c r="E205" s="17">
        <f>IF($D205="","",IFERROR(INDEX(rngCadetPIDs,MATCH($D205,rngCadetNames,0)),"?"))</f>
        <v/>
      </c>
      <c r="F205" s="16" t="n"/>
      <c r="G205" s="16" t="n"/>
      <c r="H205" s="19">
        <f>IF(OR($D205="",$C205=""),"",_xlfn.LET(_xlpm.dn,IFERROR(_xlfn.XLOOKUP($C205,nrCDdate,nrCDnum),""),IF(_xlpm.dn="","(not a class day)",IFERROR(_xlfn.XLOOKUP(_xlpm.dn+cfgMemoDueClassDays,nrCDnum,nrCDdate),""))))</f>
        <v/>
      </c>
      <c r="I205" s="18" t="n"/>
      <c r="J205" s="19">
        <f>IF($D205="","",IF($I205&lt;&gt;"",$I205,IF(ISNUMBER($H205),$H205,"")))</f>
        <v/>
      </c>
      <c r="K205" s="18" t="n"/>
      <c r="L205" s="17">
        <f>IF($D205="","",IF($K205&lt;&gt;"","Received "&amp;TEXT($K205,"mm/dd"),IF(AND(ISNUMBER($J205),TODAY()&gt;$J205),"OVERDUE","Pending")))</f>
        <v/>
      </c>
      <c r="M205" s="16" t="n"/>
      <c r="N205" s="16" t="n"/>
    </row>
    <row r="206">
      <c r="B206" s="17">
        <f>IF($D206="","","ME"&amp;TEXT(ROW()-5,"000"))</f>
        <v/>
      </c>
      <c r="C206" s="18" t="n"/>
      <c r="D206" s="16" t="n"/>
      <c r="E206" s="17">
        <f>IF($D206="","",IFERROR(INDEX(rngCadetPIDs,MATCH($D206,rngCadetNames,0)),"?"))</f>
        <v/>
      </c>
      <c r="F206" s="16" t="n"/>
      <c r="G206" s="16" t="n"/>
      <c r="H206" s="19">
        <f>IF(OR($D206="",$C206=""),"",_xlfn.LET(_xlpm.dn,IFERROR(_xlfn.XLOOKUP($C206,nrCDdate,nrCDnum),""),IF(_xlpm.dn="","(not a class day)",IFERROR(_xlfn.XLOOKUP(_xlpm.dn+cfgMemoDueClassDays,nrCDnum,nrCDdate),""))))</f>
        <v/>
      </c>
      <c r="I206" s="18" t="n"/>
      <c r="J206" s="19">
        <f>IF($D206="","",IF($I206&lt;&gt;"",$I206,IF(ISNUMBER($H206),$H206,"")))</f>
        <v/>
      </c>
      <c r="K206" s="18" t="n"/>
      <c r="L206" s="17">
        <f>IF($D206="","",IF($K206&lt;&gt;"","Received "&amp;TEXT($K206,"mm/dd"),IF(AND(ISNUMBER($J206),TODAY()&gt;$J206),"OVERDUE","Pending")))</f>
        <v/>
      </c>
      <c r="M206" s="16" t="n"/>
      <c r="N206" s="16" t="n"/>
    </row>
    <row r="207">
      <c r="B207" s="17">
        <f>IF($D207="","","ME"&amp;TEXT(ROW()-5,"000"))</f>
        <v/>
      </c>
      <c r="C207" s="18" t="n"/>
      <c r="D207" s="16" t="n"/>
      <c r="E207" s="17">
        <f>IF($D207="","",IFERROR(INDEX(rngCadetPIDs,MATCH($D207,rngCadetNames,0)),"?"))</f>
        <v/>
      </c>
      <c r="F207" s="16" t="n"/>
      <c r="G207" s="16" t="n"/>
      <c r="H207" s="19">
        <f>IF(OR($D207="",$C207=""),"",_xlfn.LET(_xlpm.dn,IFERROR(_xlfn.XLOOKUP($C207,nrCDdate,nrCDnum),""),IF(_xlpm.dn="","(not a class day)",IFERROR(_xlfn.XLOOKUP(_xlpm.dn+cfgMemoDueClassDays,nrCDnum,nrCDdate),""))))</f>
        <v/>
      </c>
      <c r="I207" s="18" t="n"/>
      <c r="J207" s="19">
        <f>IF($D207="","",IF($I207&lt;&gt;"",$I207,IF(ISNUMBER($H207),$H207,"")))</f>
        <v/>
      </c>
      <c r="K207" s="18" t="n"/>
      <c r="L207" s="17">
        <f>IF($D207="","",IF($K207&lt;&gt;"","Received "&amp;TEXT($K207,"mm/dd"),IF(AND(ISNUMBER($J207),TODAY()&gt;$J207),"OVERDUE","Pending")))</f>
        <v/>
      </c>
      <c r="M207" s="16" t="n"/>
      <c r="N207" s="16" t="n"/>
    </row>
    <row r="208">
      <c r="B208" s="17">
        <f>IF($D208="","","ME"&amp;TEXT(ROW()-5,"000"))</f>
        <v/>
      </c>
      <c r="C208" s="18" t="n"/>
      <c r="D208" s="16" t="n"/>
      <c r="E208" s="17">
        <f>IF($D208="","",IFERROR(INDEX(rngCadetPIDs,MATCH($D208,rngCadetNames,0)),"?"))</f>
        <v/>
      </c>
      <c r="F208" s="16" t="n"/>
      <c r="G208" s="16" t="n"/>
      <c r="H208" s="19">
        <f>IF(OR($D208="",$C208=""),"",_xlfn.LET(_xlpm.dn,IFERROR(_xlfn.XLOOKUP($C208,nrCDdate,nrCDnum),""),IF(_xlpm.dn="","(not a class day)",IFERROR(_xlfn.XLOOKUP(_xlpm.dn+cfgMemoDueClassDays,nrCDnum,nrCDdate),""))))</f>
        <v/>
      </c>
      <c r="I208" s="18" t="n"/>
      <c r="J208" s="19">
        <f>IF($D208="","",IF($I208&lt;&gt;"",$I208,IF(ISNUMBER($H208),$H208,"")))</f>
        <v/>
      </c>
      <c r="K208" s="18" t="n"/>
      <c r="L208" s="17">
        <f>IF($D208="","",IF($K208&lt;&gt;"","Received "&amp;TEXT($K208,"mm/dd"),IF(AND(ISNUMBER($J208),TODAY()&gt;$J208),"OVERDUE","Pending")))</f>
        <v/>
      </c>
      <c r="M208" s="16" t="n"/>
      <c r="N208" s="16" t="n"/>
    </row>
    <row r="209">
      <c r="B209" s="17">
        <f>IF($D209="","","ME"&amp;TEXT(ROW()-5,"000"))</f>
        <v/>
      </c>
      <c r="C209" s="18" t="n"/>
      <c r="D209" s="16" t="n"/>
      <c r="E209" s="17">
        <f>IF($D209="","",IFERROR(INDEX(rngCadetPIDs,MATCH($D209,rngCadetNames,0)),"?"))</f>
        <v/>
      </c>
      <c r="F209" s="16" t="n"/>
      <c r="G209" s="16" t="n"/>
      <c r="H209" s="19">
        <f>IF(OR($D209="",$C209=""),"",_xlfn.LET(_xlpm.dn,IFERROR(_xlfn.XLOOKUP($C209,nrCDdate,nrCDnum),""),IF(_xlpm.dn="","(not a class day)",IFERROR(_xlfn.XLOOKUP(_xlpm.dn+cfgMemoDueClassDays,nrCDnum,nrCDdate),""))))</f>
        <v/>
      </c>
      <c r="I209" s="18" t="n"/>
      <c r="J209" s="19">
        <f>IF($D209="","",IF($I209&lt;&gt;"",$I209,IF(ISNUMBER($H209),$H209,"")))</f>
        <v/>
      </c>
      <c r="K209" s="18" t="n"/>
      <c r="L209" s="17">
        <f>IF($D209="","",IF($K209&lt;&gt;"","Received "&amp;TEXT($K209,"mm/dd"),IF(AND(ISNUMBER($J209),TODAY()&gt;$J209),"OVERDUE","Pending")))</f>
        <v/>
      </c>
      <c r="M209" s="16" t="n"/>
      <c r="N209" s="16" t="n"/>
    </row>
    <row r="210">
      <c r="B210" s="17">
        <f>IF($D210="","","ME"&amp;TEXT(ROW()-5,"000"))</f>
        <v/>
      </c>
      <c r="C210" s="18" t="n"/>
      <c r="D210" s="16" t="n"/>
      <c r="E210" s="17">
        <f>IF($D210="","",IFERROR(INDEX(rngCadetPIDs,MATCH($D210,rngCadetNames,0)),"?"))</f>
        <v/>
      </c>
      <c r="F210" s="16" t="n"/>
      <c r="G210" s="16" t="n"/>
      <c r="H210" s="19">
        <f>IF(OR($D210="",$C210=""),"",_xlfn.LET(_xlpm.dn,IFERROR(_xlfn.XLOOKUP($C210,nrCDdate,nrCDnum),""),IF(_xlpm.dn="","(not a class day)",IFERROR(_xlfn.XLOOKUP(_xlpm.dn+cfgMemoDueClassDays,nrCDnum,nrCDdate),""))))</f>
        <v/>
      </c>
      <c r="I210" s="18" t="n"/>
      <c r="J210" s="19">
        <f>IF($D210="","",IF($I210&lt;&gt;"",$I210,IF(ISNUMBER($H210),$H210,"")))</f>
        <v/>
      </c>
      <c r="K210" s="18" t="n"/>
      <c r="L210" s="17">
        <f>IF($D210="","",IF($K210&lt;&gt;"","Received "&amp;TEXT($K210,"mm/dd"),IF(AND(ISNUMBER($J210),TODAY()&gt;$J210),"OVERDUE","Pending")))</f>
        <v/>
      </c>
      <c r="M210" s="16" t="n"/>
      <c r="N210" s="16" t="n"/>
    </row>
    <row r="211">
      <c r="B211" s="17">
        <f>IF($D211="","","ME"&amp;TEXT(ROW()-5,"000"))</f>
        <v/>
      </c>
      <c r="C211" s="18" t="n"/>
      <c r="D211" s="16" t="n"/>
      <c r="E211" s="17">
        <f>IF($D211="","",IFERROR(INDEX(rngCadetPIDs,MATCH($D211,rngCadetNames,0)),"?"))</f>
        <v/>
      </c>
      <c r="F211" s="16" t="n"/>
      <c r="G211" s="16" t="n"/>
      <c r="H211" s="19">
        <f>IF(OR($D211="",$C211=""),"",_xlfn.LET(_xlpm.dn,IFERROR(_xlfn.XLOOKUP($C211,nrCDdate,nrCDnum),""),IF(_xlpm.dn="","(not a class day)",IFERROR(_xlfn.XLOOKUP(_xlpm.dn+cfgMemoDueClassDays,nrCDnum,nrCDdate),""))))</f>
        <v/>
      </c>
      <c r="I211" s="18" t="n"/>
      <c r="J211" s="19">
        <f>IF($D211="","",IF($I211&lt;&gt;"",$I211,IF(ISNUMBER($H211),$H211,"")))</f>
        <v/>
      </c>
      <c r="K211" s="18" t="n"/>
      <c r="L211" s="17">
        <f>IF($D211="","",IF($K211&lt;&gt;"","Received "&amp;TEXT($K211,"mm/dd"),IF(AND(ISNUMBER($J211),TODAY()&gt;$J211),"OVERDUE","Pending")))</f>
        <v/>
      </c>
      <c r="M211" s="16" t="n"/>
      <c r="N211" s="16" t="n"/>
    </row>
    <row r="212">
      <c r="B212" s="17">
        <f>IF($D212="","","ME"&amp;TEXT(ROW()-5,"000"))</f>
        <v/>
      </c>
      <c r="C212" s="18" t="n"/>
      <c r="D212" s="16" t="n"/>
      <c r="E212" s="17">
        <f>IF($D212="","",IFERROR(INDEX(rngCadetPIDs,MATCH($D212,rngCadetNames,0)),"?"))</f>
        <v/>
      </c>
      <c r="F212" s="16" t="n"/>
      <c r="G212" s="16" t="n"/>
      <c r="H212" s="19">
        <f>IF(OR($D212="",$C212=""),"",_xlfn.LET(_xlpm.dn,IFERROR(_xlfn.XLOOKUP($C212,nrCDdate,nrCDnum),""),IF(_xlpm.dn="","(not a class day)",IFERROR(_xlfn.XLOOKUP(_xlpm.dn+cfgMemoDueClassDays,nrCDnum,nrCDdate),""))))</f>
        <v/>
      </c>
      <c r="I212" s="18" t="n"/>
      <c r="J212" s="19">
        <f>IF($D212="","",IF($I212&lt;&gt;"",$I212,IF(ISNUMBER($H212),$H212,"")))</f>
        <v/>
      </c>
      <c r="K212" s="18" t="n"/>
      <c r="L212" s="17">
        <f>IF($D212="","",IF($K212&lt;&gt;"","Received "&amp;TEXT($K212,"mm/dd"),IF(AND(ISNUMBER($J212),TODAY()&gt;$J212),"OVERDUE","Pending")))</f>
        <v/>
      </c>
      <c r="M212" s="16" t="n"/>
      <c r="N212" s="16" t="n"/>
    </row>
    <row r="213">
      <c r="B213" s="17">
        <f>IF($D213="","","ME"&amp;TEXT(ROW()-5,"000"))</f>
        <v/>
      </c>
      <c r="C213" s="18" t="n"/>
      <c r="D213" s="16" t="n"/>
      <c r="E213" s="17">
        <f>IF($D213="","",IFERROR(INDEX(rngCadetPIDs,MATCH($D213,rngCadetNames,0)),"?"))</f>
        <v/>
      </c>
      <c r="F213" s="16" t="n"/>
      <c r="G213" s="16" t="n"/>
      <c r="H213" s="19">
        <f>IF(OR($D213="",$C213=""),"",_xlfn.LET(_xlpm.dn,IFERROR(_xlfn.XLOOKUP($C213,nrCDdate,nrCDnum),""),IF(_xlpm.dn="","(not a class day)",IFERROR(_xlfn.XLOOKUP(_xlpm.dn+cfgMemoDueClassDays,nrCDnum,nrCDdate),""))))</f>
        <v/>
      </c>
      <c r="I213" s="18" t="n"/>
      <c r="J213" s="19">
        <f>IF($D213="","",IF($I213&lt;&gt;"",$I213,IF(ISNUMBER($H213),$H213,"")))</f>
        <v/>
      </c>
      <c r="K213" s="18" t="n"/>
      <c r="L213" s="17">
        <f>IF($D213="","",IF($K213&lt;&gt;"","Received "&amp;TEXT($K213,"mm/dd"),IF(AND(ISNUMBER($J213),TODAY()&gt;$J213),"OVERDUE","Pending")))</f>
        <v/>
      </c>
      <c r="M213" s="16" t="n"/>
      <c r="N213" s="16" t="n"/>
    </row>
    <row r="214">
      <c r="B214" s="17">
        <f>IF($D214="","","ME"&amp;TEXT(ROW()-5,"000"))</f>
        <v/>
      </c>
      <c r="C214" s="18" t="n"/>
      <c r="D214" s="16" t="n"/>
      <c r="E214" s="17">
        <f>IF($D214="","",IFERROR(INDEX(rngCadetPIDs,MATCH($D214,rngCadetNames,0)),"?"))</f>
        <v/>
      </c>
      <c r="F214" s="16" t="n"/>
      <c r="G214" s="16" t="n"/>
      <c r="H214" s="19">
        <f>IF(OR($D214="",$C214=""),"",_xlfn.LET(_xlpm.dn,IFERROR(_xlfn.XLOOKUP($C214,nrCDdate,nrCDnum),""),IF(_xlpm.dn="","(not a class day)",IFERROR(_xlfn.XLOOKUP(_xlpm.dn+cfgMemoDueClassDays,nrCDnum,nrCDdate),""))))</f>
        <v/>
      </c>
      <c r="I214" s="18" t="n"/>
      <c r="J214" s="19">
        <f>IF($D214="","",IF($I214&lt;&gt;"",$I214,IF(ISNUMBER($H214),$H214,"")))</f>
        <v/>
      </c>
      <c r="K214" s="18" t="n"/>
      <c r="L214" s="17">
        <f>IF($D214="","",IF($K214&lt;&gt;"","Received "&amp;TEXT($K214,"mm/dd"),IF(AND(ISNUMBER($J214),TODAY()&gt;$J214),"OVERDUE","Pending")))</f>
        <v/>
      </c>
      <c r="M214" s="16" t="n"/>
      <c r="N214" s="16" t="n"/>
    </row>
    <row r="215">
      <c r="B215" s="17">
        <f>IF($D215="","","ME"&amp;TEXT(ROW()-5,"000"))</f>
        <v/>
      </c>
      <c r="C215" s="18" t="n"/>
      <c r="D215" s="16" t="n"/>
      <c r="E215" s="17">
        <f>IF($D215="","",IFERROR(INDEX(rngCadetPIDs,MATCH($D215,rngCadetNames,0)),"?"))</f>
        <v/>
      </c>
      <c r="F215" s="16" t="n"/>
      <c r="G215" s="16" t="n"/>
      <c r="H215" s="19">
        <f>IF(OR($D215="",$C215=""),"",_xlfn.LET(_xlpm.dn,IFERROR(_xlfn.XLOOKUP($C215,nrCDdate,nrCDnum),""),IF(_xlpm.dn="","(not a class day)",IFERROR(_xlfn.XLOOKUP(_xlpm.dn+cfgMemoDueClassDays,nrCDnum,nrCDdate),""))))</f>
        <v/>
      </c>
      <c r="I215" s="18" t="n"/>
      <c r="J215" s="19">
        <f>IF($D215="","",IF($I215&lt;&gt;"",$I215,IF(ISNUMBER($H215),$H215,"")))</f>
        <v/>
      </c>
      <c r="K215" s="18" t="n"/>
      <c r="L215" s="17">
        <f>IF($D215="","",IF($K215&lt;&gt;"","Received "&amp;TEXT($K215,"mm/dd"),IF(AND(ISNUMBER($J215),TODAY()&gt;$J215),"OVERDUE","Pending")))</f>
        <v/>
      </c>
      <c r="M215" s="16" t="n"/>
      <c r="N215" s="16" t="n"/>
    </row>
    <row r="216">
      <c r="B216" s="17">
        <f>IF($D216="","","ME"&amp;TEXT(ROW()-5,"000"))</f>
        <v/>
      </c>
      <c r="C216" s="18" t="n"/>
      <c r="D216" s="16" t="n"/>
      <c r="E216" s="17">
        <f>IF($D216="","",IFERROR(INDEX(rngCadetPIDs,MATCH($D216,rngCadetNames,0)),"?"))</f>
        <v/>
      </c>
      <c r="F216" s="16" t="n"/>
      <c r="G216" s="16" t="n"/>
      <c r="H216" s="19">
        <f>IF(OR($D216="",$C216=""),"",_xlfn.LET(_xlpm.dn,IFERROR(_xlfn.XLOOKUP($C216,nrCDdate,nrCDnum),""),IF(_xlpm.dn="","(not a class day)",IFERROR(_xlfn.XLOOKUP(_xlpm.dn+cfgMemoDueClassDays,nrCDnum,nrCDdate),""))))</f>
        <v/>
      </c>
      <c r="I216" s="18" t="n"/>
      <c r="J216" s="19">
        <f>IF($D216="","",IF($I216&lt;&gt;"",$I216,IF(ISNUMBER($H216),$H216,"")))</f>
        <v/>
      </c>
      <c r="K216" s="18" t="n"/>
      <c r="L216" s="17">
        <f>IF($D216="","",IF($K216&lt;&gt;"","Received "&amp;TEXT($K216,"mm/dd"),IF(AND(ISNUMBER($J216),TODAY()&gt;$J216),"OVERDUE","Pending")))</f>
        <v/>
      </c>
      <c r="M216" s="16" t="n"/>
      <c r="N216" s="16" t="n"/>
    </row>
    <row r="217">
      <c r="B217" s="17">
        <f>IF($D217="","","ME"&amp;TEXT(ROW()-5,"000"))</f>
        <v/>
      </c>
      <c r="C217" s="18" t="n"/>
      <c r="D217" s="16" t="n"/>
      <c r="E217" s="17">
        <f>IF($D217="","",IFERROR(INDEX(rngCadetPIDs,MATCH($D217,rngCadetNames,0)),"?"))</f>
        <v/>
      </c>
      <c r="F217" s="16" t="n"/>
      <c r="G217" s="16" t="n"/>
      <c r="H217" s="19">
        <f>IF(OR($D217="",$C217=""),"",_xlfn.LET(_xlpm.dn,IFERROR(_xlfn.XLOOKUP($C217,nrCDdate,nrCDnum),""),IF(_xlpm.dn="","(not a class day)",IFERROR(_xlfn.XLOOKUP(_xlpm.dn+cfgMemoDueClassDays,nrCDnum,nrCDdate),""))))</f>
        <v/>
      </c>
      <c r="I217" s="18" t="n"/>
      <c r="J217" s="19">
        <f>IF($D217="","",IF($I217&lt;&gt;"",$I217,IF(ISNUMBER($H217),$H217,"")))</f>
        <v/>
      </c>
      <c r="K217" s="18" t="n"/>
      <c r="L217" s="17">
        <f>IF($D217="","",IF($K217&lt;&gt;"","Received "&amp;TEXT($K217,"mm/dd"),IF(AND(ISNUMBER($J217),TODAY()&gt;$J217),"OVERDUE","Pending")))</f>
        <v/>
      </c>
      <c r="M217" s="16" t="n"/>
      <c r="N217" s="16" t="n"/>
    </row>
    <row r="218">
      <c r="B218" s="17">
        <f>IF($D218="","","ME"&amp;TEXT(ROW()-5,"000"))</f>
        <v/>
      </c>
      <c r="C218" s="18" t="n"/>
      <c r="D218" s="16" t="n"/>
      <c r="E218" s="17">
        <f>IF($D218="","",IFERROR(INDEX(rngCadetPIDs,MATCH($D218,rngCadetNames,0)),"?"))</f>
        <v/>
      </c>
      <c r="F218" s="16" t="n"/>
      <c r="G218" s="16" t="n"/>
      <c r="H218" s="19">
        <f>IF(OR($D218="",$C218=""),"",_xlfn.LET(_xlpm.dn,IFERROR(_xlfn.XLOOKUP($C218,nrCDdate,nrCDnum),""),IF(_xlpm.dn="","(not a class day)",IFERROR(_xlfn.XLOOKUP(_xlpm.dn+cfgMemoDueClassDays,nrCDnum,nrCDdate),""))))</f>
        <v/>
      </c>
      <c r="I218" s="18" t="n"/>
      <c r="J218" s="19">
        <f>IF($D218="","",IF($I218&lt;&gt;"",$I218,IF(ISNUMBER($H218),$H218,"")))</f>
        <v/>
      </c>
      <c r="K218" s="18" t="n"/>
      <c r="L218" s="17">
        <f>IF($D218="","",IF($K218&lt;&gt;"","Received "&amp;TEXT($K218,"mm/dd"),IF(AND(ISNUMBER($J218),TODAY()&gt;$J218),"OVERDUE","Pending")))</f>
        <v/>
      </c>
      <c r="M218" s="16" t="n"/>
      <c r="N218" s="16" t="n"/>
    </row>
    <row r="219">
      <c r="B219" s="17">
        <f>IF($D219="","","ME"&amp;TEXT(ROW()-5,"000"))</f>
        <v/>
      </c>
      <c r="C219" s="18" t="n"/>
      <c r="D219" s="16" t="n"/>
      <c r="E219" s="17">
        <f>IF($D219="","",IFERROR(INDEX(rngCadetPIDs,MATCH($D219,rngCadetNames,0)),"?"))</f>
        <v/>
      </c>
      <c r="F219" s="16" t="n"/>
      <c r="G219" s="16" t="n"/>
      <c r="H219" s="19">
        <f>IF(OR($D219="",$C219=""),"",_xlfn.LET(_xlpm.dn,IFERROR(_xlfn.XLOOKUP($C219,nrCDdate,nrCDnum),""),IF(_xlpm.dn="","(not a class day)",IFERROR(_xlfn.XLOOKUP(_xlpm.dn+cfgMemoDueClassDays,nrCDnum,nrCDdate),""))))</f>
        <v/>
      </c>
      <c r="I219" s="18" t="n"/>
      <c r="J219" s="19">
        <f>IF($D219="","",IF($I219&lt;&gt;"",$I219,IF(ISNUMBER($H219),$H219,"")))</f>
        <v/>
      </c>
      <c r="K219" s="18" t="n"/>
      <c r="L219" s="17">
        <f>IF($D219="","",IF($K219&lt;&gt;"","Received "&amp;TEXT($K219,"mm/dd"),IF(AND(ISNUMBER($J219),TODAY()&gt;$J219),"OVERDUE","Pending")))</f>
        <v/>
      </c>
      <c r="M219" s="16" t="n"/>
      <c r="N219" s="16" t="n"/>
    </row>
    <row r="220">
      <c r="B220" s="17">
        <f>IF($D220="","","ME"&amp;TEXT(ROW()-5,"000"))</f>
        <v/>
      </c>
      <c r="C220" s="18" t="n"/>
      <c r="D220" s="16" t="n"/>
      <c r="E220" s="17">
        <f>IF($D220="","",IFERROR(INDEX(rngCadetPIDs,MATCH($D220,rngCadetNames,0)),"?"))</f>
        <v/>
      </c>
      <c r="F220" s="16" t="n"/>
      <c r="G220" s="16" t="n"/>
      <c r="H220" s="19">
        <f>IF(OR($D220="",$C220=""),"",_xlfn.LET(_xlpm.dn,IFERROR(_xlfn.XLOOKUP($C220,nrCDdate,nrCDnum),""),IF(_xlpm.dn="","(not a class day)",IFERROR(_xlfn.XLOOKUP(_xlpm.dn+cfgMemoDueClassDays,nrCDnum,nrCDdate),""))))</f>
        <v/>
      </c>
      <c r="I220" s="18" t="n"/>
      <c r="J220" s="19">
        <f>IF($D220="","",IF($I220&lt;&gt;"",$I220,IF(ISNUMBER($H220),$H220,"")))</f>
        <v/>
      </c>
      <c r="K220" s="18" t="n"/>
      <c r="L220" s="17">
        <f>IF($D220="","",IF($K220&lt;&gt;"","Received "&amp;TEXT($K220,"mm/dd"),IF(AND(ISNUMBER($J220),TODAY()&gt;$J220),"OVERDUE","Pending")))</f>
        <v/>
      </c>
      <c r="M220" s="16" t="n"/>
      <c r="N220" s="16" t="n"/>
    </row>
    <row r="221">
      <c r="B221" s="17">
        <f>IF($D221="","","ME"&amp;TEXT(ROW()-5,"000"))</f>
        <v/>
      </c>
      <c r="C221" s="18" t="n"/>
      <c r="D221" s="16" t="n"/>
      <c r="E221" s="17">
        <f>IF($D221="","",IFERROR(INDEX(rngCadetPIDs,MATCH($D221,rngCadetNames,0)),"?"))</f>
        <v/>
      </c>
      <c r="F221" s="16" t="n"/>
      <c r="G221" s="16" t="n"/>
      <c r="H221" s="19">
        <f>IF(OR($D221="",$C221=""),"",_xlfn.LET(_xlpm.dn,IFERROR(_xlfn.XLOOKUP($C221,nrCDdate,nrCDnum),""),IF(_xlpm.dn="","(not a class day)",IFERROR(_xlfn.XLOOKUP(_xlpm.dn+cfgMemoDueClassDays,nrCDnum,nrCDdate),""))))</f>
        <v/>
      </c>
      <c r="I221" s="18" t="n"/>
      <c r="J221" s="19">
        <f>IF($D221="","",IF($I221&lt;&gt;"",$I221,IF(ISNUMBER($H221),$H221,"")))</f>
        <v/>
      </c>
      <c r="K221" s="18" t="n"/>
      <c r="L221" s="17">
        <f>IF($D221="","",IF($K221&lt;&gt;"","Received "&amp;TEXT($K221,"mm/dd"),IF(AND(ISNUMBER($J221),TODAY()&gt;$J221),"OVERDUE","Pending")))</f>
        <v/>
      </c>
      <c r="M221" s="16" t="n"/>
      <c r="N221" s="16" t="n"/>
    </row>
    <row r="222">
      <c r="B222" s="17">
        <f>IF($D222="","","ME"&amp;TEXT(ROW()-5,"000"))</f>
        <v/>
      </c>
      <c r="C222" s="18" t="n"/>
      <c r="D222" s="16" t="n"/>
      <c r="E222" s="17">
        <f>IF($D222="","",IFERROR(INDEX(rngCadetPIDs,MATCH($D222,rngCadetNames,0)),"?"))</f>
        <v/>
      </c>
      <c r="F222" s="16" t="n"/>
      <c r="G222" s="16" t="n"/>
      <c r="H222" s="19">
        <f>IF(OR($D222="",$C222=""),"",_xlfn.LET(_xlpm.dn,IFERROR(_xlfn.XLOOKUP($C222,nrCDdate,nrCDnum),""),IF(_xlpm.dn="","(not a class day)",IFERROR(_xlfn.XLOOKUP(_xlpm.dn+cfgMemoDueClassDays,nrCDnum,nrCDdate),""))))</f>
        <v/>
      </c>
      <c r="I222" s="18" t="n"/>
      <c r="J222" s="19">
        <f>IF($D222="","",IF($I222&lt;&gt;"",$I222,IF(ISNUMBER($H222),$H222,"")))</f>
        <v/>
      </c>
      <c r="K222" s="18" t="n"/>
      <c r="L222" s="17">
        <f>IF($D222="","",IF($K222&lt;&gt;"","Received "&amp;TEXT($K222,"mm/dd"),IF(AND(ISNUMBER($J222),TODAY()&gt;$J222),"OVERDUE","Pending")))</f>
        <v/>
      </c>
      <c r="M222" s="16" t="n"/>
      <c r="N222" s="16" t="n"/>
    </row>
    <row r="223">
      <c r="B223" s="17">
        <f>IF($D223="","","ME"&amp;TEXT(ROW()-5,"000"))</f>
        <v/>
      </c>
      <c r="C223" s="18" t="n"/>
      <c r="D223" s="16" t="n"/>
      <c r="E223" s="17">
        <f>IF($D223="","",IFERROR(INDEX(rngCadetPIDs,MATCH($D223,rngCadetNames,0)),"?"))</f>
        <v/>
      </c>
      <c r="F223" s="16" t="n"/>
      <c r="G223" s="16" t="n"/>
      <c r="H223" s="19">
        <f>IF(OR($D223="",$C223=""),"",_xlfn.LET(_xlpm.dn,IFERROR(_xlfn.XLOOKUP($C223,nrCDdate,nrCDnum),""),IF(_xlpm.dn="","(not a class day)",IFERROR(_xlfn.XLOOKUP(_xlpm.dn+cfgMemoDueClassDays,nrCDnum,nrCDdate),""))))</f>
        <v/>
      </c>
      <c r="I223" s="18" t="n"/>
      <c r="J223" s="19">
        <f>IF($D223="","",IF($I223&lt;&gt;"",$I223,IF(ISNUMBER($H223),$H223,"")))</f>
        <v/>
      </c>
      <c r="K223" s="18" t="n"/>
      <c r="L223" s="17">
        <f>IF($D223="","",IF($K223&lt;&gt;"","Received "&amp;TEXT($K223,"mm/dd"),IF(AND(ISNUMBER($J223),TODAY()&gt;$J223),"OVERDUE","Pending")))</f>
        <v/>
      </c>
      <c r="M223" s="16" t="n"/>
      <c r="N223" s="16" t="n"/>
    </row>
    <row r="224">
      <c r="B224" s="17">
        <f>IF($D224="","","ME"&amp;TEXT(ROW()-5,"000"))</f>
        <v/>
      </c>
      <c r="C224" s="18" t="n"/>
      <c r="D224" s="16" t="n"/>
      <c r="E224" s="17">
        <f>IF($D224="","",IFERROR(INDEX(rngCadetPIDs,MATCH($D224,rngCadetNames,0)),"?"))</f>
        <v/>
      </c>
      <c r="F224" s="16" t="n"/>
      <c r="G224" s="16" t="n"/>
      <c r="H224" s="19">
        <f>IF(OR($D224="",$C224=""),"",_xlfn.LET(_xlpm.dn,IFERROR(_xlfn.XLOOKUP($C224,nrCDdate,nrCDnum),""),IF(_xlpm.dn="","(not a class day)",IFERROR(_xlfn.XLOOKUP(_xlpm.dn+cfgMemoDueClassDays,nrCDnum,nrCDdate),""))))</f>
        <v/>
      </c>
      <c r="I224" s="18" t="n"/>
      <c r="J224" s="19">
        <f>IF($D224="","",IF($I224&lt;&gt;"",$I224,IF(ISNUMBER($H224),$H224,"")))</f>
        <v/>
      </c>
      <c r="K224" s="18" t="n"/>
      <c r="L224" s="17">
        <f>IF($D224="","",IF($K224&lt;&gt;"","Received "&amp;TEXT($K224,"mm/dd"),IF(AND(ISNUMBER($J224),TODAY()&gt;$J224),"OVERDUE","Pending")))</f>
        <v/>
      </c>
      <c r="M224" s="16" t="n"/>
      <c r="N224" s="16" t="n"/>
    </row>
    <row r="225">
      <c r="B225" s="17">
        <f>IF($D225="","","ME"&amp;TEXT(ROW()-5,"000"))</f>
        <v/>
      </c>
      <c r="C225" s="18" t="n"/>
      <c r="D225" s="16" t="n"/>
      <c r="E225" s="17">
        <f>IF($D225="","",IFERROR(INDEX(rngCadetPIDs,MATCH($D225,rngCadetNames,0)),"?"))</f>
        <v/>
      </c>
      <c r="F225" s="16" t="n"/>
      <c r="G225" s="16" t="n"/>
      <c r="H225" s="19">
        <f>IF(OR($D225="",$C225=""),"",_xlfn.LET(_xlpm.dn,IFERROR(_xlfn.XLOOKUP($C225,nrCDdate,nrCDnum),""),IF(_xlpm.dn="","(not a class day)",IFERROR(_xlfn.XLOOKUP(_xlpm.dn+cfgMemoDueClassDays,nrCDnum,nrCDdate),""))))</f>
        <v/>
      </c>
      <c r="I225" s="18" t="n"/>
      <c r="J225" s="19">
        <f>IF($D225="","",IF($I225&lt;&gt;"",$I225,IF(ISNUMBER($H225),$H225,"")))</f>
        <v/>
      </c>
      <c r="K225" s="18" t="n"/>
      <c r="L225" s="17">
        <f>IF($D225="","",IF($K225&lt;&gt;"","Received "&amp;TEXT($K225,"mm/dd"),IF(AND(ISNUMBER($J225),TODAY()&gt;$J225),"OVERDUE","Pending")))</f>
        <v/>
      </c>
      <c r="M225" s="16" t="n"/>
      <c r="N225" s="16" t="n"/>
    </row>
    <row r="226">
      <c r="B226" s="17">
        <f>IF($D226="","","ME"&amp;TEXT(ROW()-5,"000"))</f>
        <v/>
      </c>
      <c r="C226" s="18" t="n"/>
      <c r="D226" s="16" t="n"/>
      <c r="E226" s="17">
        <f>IF($D226="","",IFERROR(INDEX(rngCadetPIDs,MATCH($D226,rngCadetNames,0)),"?"))</f>
        <v/>
      </c>
      <c r="F226" s="16" t="n"/>
      <c r="G226" s="16" t="n"/>
      <c r="H226" s="19">
        <f>IF(OR($D226="",$C226=""),"",_xlfn.LET(_xlpm.dn,IFERROR(_xlfn.XLOOKUP($C226,nrCDdate,nrCDnum),""),IF(_xlpm.dn="","(not a class day)",IFERROR(_xlfn.XLOOKUP(_xlpm.dn+cfgMemoDueClassDays,nrCDnum,nrCDdate),""))))</f>
        <v/>
      </c>
      <c r="I226" s="18" t="n"/>
      <c r="J226" s="19">
        <f>IF($D226="","",IF($I226&lt;&gt;"",$I226,IF(ISNUMBER($H226),$H226,"")))</f>
        <v/>
      </c>
      <c r="K226" s="18" t="n"/>
      <c r="L226" s="17">
        <f>IF($D226="","",IF($K226&lt;&gt;"","Received "&amp;TEXT($K226,"mm/dd"),IF(AND(ISNUMBER($J226),TODAY()&gt;$J226),"OVERDUE","Pending")))</f>
        <v/>
      </c>
      <c r="M226" s="16" t="n"/>
      <c r="N226" s="16" t="n"/>
    </row>
    <row r="227">
      <c r="B227" s="17">
        <f>IF($D227="","","ME"&amp;TEXT(ROW()-5,"000"))</f>
        <v/>
      </c>
      <c r="C227" s="18" t="n"/>
      <c r="D227" s="16" t="n"/>
      <c r="E227" s="17">
        <f>IF($D227="","",IFERROR(INDEX(rngCadetPIDs,MATCH($D227,rngCadetNames,0)),"?"))</f>
        <v/>
      </c>
      <c r="F227" s="16" t="n"/>
      <c r="G227" s="16" t="n"/>
      <c r="H227" s="19">
        <f>IF(OR($D227="",$C227=""),"",_xlfn.LET(_xlpm.dn,IFERROR(_xlfn.XLOOKUP($C227,nrCDdate,nrCDnum),""),IF(_xlpm.dn="","(not a class day)",IFERROR(_xlfn.XLOOKUP(_xlpm.dn+cfgMemoDueClassDays,nrCDnum,nrCDdate),""))))</f>
        <v/>
      </c>
      <c r="I227" s="18" t="n"/>
      <c r="J227" s="19">
        <f>IF($D227="","",IF($I227&lt;&gt;"",$I227,IF(ISNUMBER($H227),$H227,"")))</f>
        <v/>
      </c>
      <c r="K227" s="18" t="n"/>
      <c r="L227" s="17">
        <f>IF($D227="","",IF($K227&lt;&gt;"","Received "&amp;TEXT($K227,"mm/dd"),IF(AND(ISNUMBER($J227),TODAY()&gt;$J227),"OVERDUE","Pending")))</f>
        <v/>
      </c>
      <c r="M227" s="16" t="n"/>
      <c r="N227" s="16" t="n"/>
    </row>
    <row r="228">
      <c r="B228" s="17">
        <f>IF($D228="","","ME"&amp;TEXT(ROW()-5,"000"))</f>
        <v/>
      </c>
      <c r="C228" s="18" t="n"/>
      <c r="D228" s="16" t="n"/>
      <c r="E228" s="17">
        <f>IF($D228="","",IFERROR(INDEX(rngCadetPIDs,MATCH($D228,rngCadetNames,0)),"?"))</f>
        <v/>
      </c>
      <c r="F228" s="16" t="n"/>
      <c r="G228" s="16" t="n"/>
      <c r="H228" s="19">
        <f>IF(OR($D228="",$C228=""),"",_xlfn.LET(_xlpm.dn,IFERROR(_xlfn.XLOOKUP($C228,nrCDdate,nrCDnum),""),IF(_xlpm.dn="","(not a class day)",IFERROR(_xlfn.XLOOKUP(_xlpm.dn+cfgMemoDueClassDays,nrCDnum,nrCDdate),""))))</f>
        <v/>
      </c>
      <c r="I228" s="18" t="n"/>
      <c r="J228" s="19">
        <f>IF($D228="","",IF($I228&lt;&gt;"",$I228,IF(ISNUMBER($H228),$H228,"")))</f>
        <v/>
      </c>
      <c r="K228" s="18" t="n"/>
      <c r="L228" s="17">
        <f>IF($D228="","",IF($K228&lt;&gt;"","Received "&amp;TEXT($K228,"mm/dd"),IF(AND(ISNUMBER($J228),TODAY()&gt;$J228),"OVERDUE","Pending")))</f>
        <v/>
      </c>
      <c r="M228" s="16" t="n"/>
      <c r="N228" s="16" t="n"/>
    </row>
    <row r="229">
      <c r="B229" s="17">
        <f>IF($D229="","","ME"&amp;TEXT(ROW()-5,"000"))</f>
        <v/>
      </c>
      <c r="C229" s="18" t="n"/>
      <c r="D229" s="16" t="n"/>
      <c r="E229" s="17">
        <f>IF($D229="","",IFERROR(INDEX(rngCadetPIDs,MATCH($D229,rngCadetNames,0)),"?"))</f>
        <v/>
      </c>
      <c r="F229" s="16" t="n"/>
      <c r="G229" s="16" t="n"/>
      <c r="H229" s="19">
        <f>IF(OR($D229="",$C229=""),"",_xlfn.LET(_xlpm.dn,IFERROR(_xlfn.XLOOKUP($C229,nrCDdate,nrCDnum),""),IF(_xlpm.dn="","(not a class day)",IFERROR(_xlfn.XLOOKUP(_xlpm.dn+cfgMemoDueClassDays,nrCDnum,nrCDdate),""))))</f>
        <v/>
      </c>
      <c r="I229" s="18" t="n"/>
      <c r="J229" s="19">
        <f>IF($D229="","",IF($I229&lt;&gt;"",$I229,IF(ISNUMBER($H229),$H229,"")))</f>
        <v/>
      </c>
      <c r="K229" s="18" t="n"/>
      <c r="L229" s="17">
        <f>IF($D229="","",IF($K229&lt;&gt;"","Received "&amp;TEXT($K229,"mm/dd"),IF(AND(ISNUMBER($J229),TODAY()&gt;$J229),"OVERDUE","Pending")))</f>
        <v/>
      </c>
      <c r="M229" s="16" t="n"/>
      <c r="N229" s="16" t="n"/>
    </row>
    <row r="230">
      <c r="B230" s="17">
        <f>IF($D230="","","ME"&amp;TEXT(ROW()-5,"000"))</f>
        <v/>
      </c>
      <c r="C230" s="18" t="n"/>
      <c r="D230" s="16" t="n"/>
      <c r="E230" s="17">
        <f>IF($D230="","",IFERROR(INDEX(rngCadetPIDs,MATCH($D230,rngCadetNames,0)),"?"))</f>
        <v/>
      </c>
      <c r="F230" s="16" t="n"/>
      <c r="G230" s="16" t="n"/>
      <c r="H230" s="19">
        <f>IF(OR($D230="",$C230=""),"",_xlfn.LET(_xlpm.dn,IFERROR(_xlfn.XLOOKUP($C230,nrCDdate,nrCDnum),""),IF(_xlpm.dn="","(not a class day)",IFERROR(_xlfn.XLOOKUP(_xlpm.dn+cfgMemoDueClassDays,nrCDnum,nrCDdate),""))))</f>
        <v/>
      </c>
      <c r="I230" s="18" t="n"/>
      <c r="J230" s="19">
        <f>IF($D230="","",IF($I230&lt;&gt;"",$I230,IF(ISNUMBER($H230),$H230,"")))</f>
        <v/>
      </c>
      <c r="K230" s="18" t="n"/>
      <c r="L230" s="17">
        <f>IF($D230="","",IF($K230&lt;&gt;"","Received "&amp;TEXT($K230,"mm/dd"),IF(AND(ISNUMBER($J230),TODAY()&gt;$J230),"OVERDUE","Pending")))</f>
        <v/>
      </c>
      <c r="M230" s="16" t="n"/>
      <c r="N230" s="16" t="n"/>
    </row>
    <row r="231">
      <c r="B231" s="17">
        <f>IF($D231="","","ME"&amp;TEXT(ROW()-5,"000"))</f>
        <v/>
      </c>
      <c r="C231" s="18" t="n"/>
      <c r="D231" s="16" t="n"/>
      <c r="E231" s="17">
        <f>IF($D231="","",IFERROR(INDEX(rngCadetPIDs,MATCH($D231,rngCadetNames,0)),"?"))</f>
        <v/>
      </c>
      <c r="F231" s="16" t="n"/>
      <c r="G231" s="16" t="n"/>
      <c r="H231" s="19">
        <f>IF(OR($D231="",$C231=""),"",_xlfn.LET(_xlpm.dn,IFERROR(_xlfn.XLOOKUP($C231,nrCDdate,nrCDnum),""),IF(_xlpm.dn="","(not a class day)",IFERROR(_xlfn.XLOOKUP(_xlpm.dn+cfgMemoDueClassDays,nrCDnum,nrCDdate),""))))</f>
        <v/>
      </c>
      <c r="I231" s="18" t="n"/>
      <c r="J231" s="19">
        <f>IF($D231="","",IF($I231&lt;&gt;"",$I231,IF(ISNUMBER($H231),$H231,"")))</f>
        <v/>
      </c>
      <c r="K231" s="18" t="n"/>
      <c r="L231" s="17">
        <f>IF($D231="","",IF($K231&lt;&gt;"","Received "&amp;TEXT($K231,"mm/dd"),IF(AND(ISNUMBER($J231),TODAY()&gt;$J231),"OVERDUE","Pending")))</f>
        <v/>
      </c>
      <c r="M231" s="16" t="n"/>
      <c r="N231" s="16" t="n"/>
    </row>
    <row r="232">
      <c r="B232" s="17">
        <f>IF($D232="","","ME"&amp;TEXT(ROW()-5,"000"))</f>
        <v/>
      </c>
      <c r="C232" s="18" t="n"/>
      <c r="D232" s="16" t="n"/>
      <c r="E232" s="17">
        <f>IF($D232="","",IFERROR(INDEX(rngCadetPIDs,MATCH($D232,rngCadetNames,0)),"?"))</f>
        <v/>
      </c>
      <c r="F232" s="16" t="n"/>
      <c r="G232" s="16" t="n"/>
      <c r="H232" s="19">
        <f>IF(OR($D232="",$C232=""),"",_xlfn.LET(_xlpm.dn,IFERROR(_xlfn.XLOOKUP($C232,nrCDdate,nrCDnum),""),IF(_xlpm.dn="","(not a class day)",IFERROR(_xlfn.XLOOKUP(_xlpm.dn+cfgMemoDueClassDays,nrCDnum,nrCDdate),""))))</f>
        <v/>
      </c>
      <c r="I232" s="18" t="n"/>
      <c r="J232" s="19">
        <f>IF($D232="","",IF($I232&lt;&gt;"",$I232,IF(ISNUMBER($H232),$H232,"")))</f>
        <v/>
      </c>
      <c r="K232" s="18" t="n"/>
      <c r="L232" s="17">
        <f>IF($D232="","",IF($K232&lt;&gt;"","Received "&amp;TEXT($K232,"mm/dd"),IF(AND(ISNUMBER($J232),TODAY()&gt;$J232),"OVERDUE","Pending")))</f>
        <v/>
      </c>
      <c r="M232" s="16" t="n"/>
      <c r="N232" s="16" t="n"/>
    </row>
    <row r="233">
      <c r="B233" s="17">
        <f>IF($D233="","","ME"&amp;TEXT(ROW()-5,"000"))</f>
        <v/>
      </c>
      <c r="C233" s="18" t="n"/>
      <c r="D233" s="16" t="n"/>
      <c r="E233" s="17">
        <f>IF($D233="","",IFERROR(INDEX(rngCadetPIDs,MATCH($D233,rngCadetNames,0)),"?"))</f>
        <v/>
      </c>
      <c r="F233" s="16" t="n"/>
      <c r="G233" s="16" t="n"/>
      <c r="H233" s="19">
        <f>IF(OR($D233="",$C233=""),"",_xlfn.LET(_xlpm.dn,IFERROR(_xlfn.XLOOKUP($C233,nrCDdate,nrCDnum),""),IF(_xlpm.dn="","(not a class day)",IFERROR(_xlfn.XLOOKUP(_xlpm.dn+cfgMemoDueClassDays,nrCDnum,nrCDdate),""))))</f>
        <v/>
      </c>
      <c r="I233" s="18" t="n"/>
      <c r="J233" s="19">
        <f>IF($D233="","",IF($I233&lt;&gt;"",$I233,IF(ISNUMBER($H233),$H233,"")))</f>
        <v/>
      </c>
      <c r="K233" s="18" t="n"/>
      <c r="L233" s="17">
        <f>IF($D233="","",IF($K233&lt;&gt;"","Received "&amp;TEXT($K233,"mm/dd"),IF(AND(ISNUMBER($J233),TODAY()&gt;$J233),"OVERDUE","Pending")))</f>
        <v/>
      </c>
      <c r="M233" s="16" t="n"/>
      <c r="N233" s="16" t="n"/>
    </row>
    <row r="234">
      <c r="B234" s="17">
        <f>IF($D234="","","ME"&amp;TEXT(ROW()-5,"000"))</f>
        <v/>
      </c>
      <c r="C234" s="18" t="n"/>
      <c r="D234" s="16" t="n"/>
      <c r="E234" s="17">
        <f>IF($D234="","",IFERROR(INDEX(rngCadetPIDs,MATCH($D234,rngCadetNames,0)),"?"))</f>
        <v/>
      </c>
      <c r="F234" s="16" t="n"/>
      <c r="G234" s="16" t="n"/>
      <c r="H234" s="19">
        <f>IF(OR($D234="",$C234=""),"",_xlfn.LET(_xlpm.dn,IFERROR(_xlfn.XLOOKUP($C234,nrCDdate,nrCDnum),""),IF(_xlpm.dn="","(not a class day)",IFERROR(_xlfn.XLOOKUP(_xlpm.dn+cfgMemoDueClassDays,nrCDnum,nrCDdate),""))))</f>
        <v/>
      </c>
      <c r="I234" s="18" t="n"/>
      <c r="J234" s="19">
        <f>IF($D234="","",IF($I234&lt;&gt;"",$I234,IF(ISNUMBER($H234),$H234,"")))</f>
        <v/>
      </c>
      <c r="K234" s="18" t="n"/>
      <c r="L234" s="17">
        <f>IF($D234="","",IF($K234&lt;&gt;"","Received "&amp;TEXT($K234,"mm/dd"),IF(AND(ISNUMBER($J234),TODAY()&gt;$J234),"OVERDUE","Pending")))</f>
        <v/>
      </c>
      <c r="M234" s="16" t="n"/>
      <c r="N234" s="16" t="n"/>
    </row>
    <row r="235">
      <c r="B235" s="17">
        <f>IF($D235="","","ME"&amp;TEXT(ROW()-5,"000"))</f>
        <v/>
      </c>
      <c r="C235" s="18" t="n"/>
      <c r="D235" s="16" t="n"/>
      <c r="E235" s="17">
        <f>IF($D235="","",IFERROR(INDEX(rngCadetPIDs,MATCH($D235,rngCadetNames,0)),"?"))</f>
        <v/>
      </c>
      <c r="F235" s="16" t="n"/>
      <c r="G235" s="16" t="n"/>
      <c r="H235" s="19">
        <f>IF(OR($D235="",$C235=""),"",_xlfn.LET(_xlpm.dn,IFERROR(_xlfn.XLOOKUP($C235,nrCDdate,nrCDnum),""),IF(_xlpm.dn="","(not a class day)",IFERROR(_xlfn.XLOOKUP(_xlpm.dn+cfgMemoDueClassDays,nrCDnum,nrCDdate),""))))</f>
        <v/>
      </c>
      <c r="I235" s="18" t="n"/>
      <c r="J235" s="19">
        <f>IF($D235="","",IF($I235&lt;&gt;"",$I235,IF(ISNUMBER($H235),$H235,"")))</f>
        <v/>
      </c>
      <c r="K235" s="18" t="n"/>
      <c r="L235" s="17">
        <f>IF($D235="","",IF($K235&lt;&gt;"","Received "&amp;TEXT($K235,"mm/dd"),IF(AND(ISNUMBER($J235),TODAY()&gt;$J235),"OVERDUE","Pending")))</f>
        <v/>
      </c>
      <c r="M235" s="16" t="n"/>
      <c r="N235" s="16" t="n"/>
    </row>
    <row r="236">
      <c r="B236" s="17">
        <f>IF($D236="","","ME"&amp;TEXT(ROW()-5,"000"))</f>
        <v/>
      </c>
      <c r="C236" s="18" t="n"/>
      <c r="D236" s="16" t="n"/>
      <c r="E236" s="17">
        <f>IF($D236="","",IFERROR(INDEX(rngCadetPIDs,MATCH($D236,rngCadetNames,0)),"?"))</f>
        <v/>
      </c>
      <c r="F236" s="16" t="n"/>
      <c r="G236" s="16" t="n"/>
      <c r="H236" s="19">
        <f>IF(OR($D236="",$C236=""),"",_xlfn.LET(_xlpm.dn,IFERROR(_xlfn.XLOOKUP($C236,nrCDdate,nrCDnum),""),IF(_xlpm.dn="","(not a class day)",IFERROR(_xlfn.XLOOKUP(_xlpm.dn+cfgMemoDueClassDays,nrCDnum,nrCDdate),""))))</f>
        <v/>
      </c>
      <c r="I236" s="18" t="n"/>
      <c r="J236" s="19">
        <f>IF($D236="","",IF($I236&lt;&gt;"",$I236,IF(ISNUMBER($H236),$H236,"")))</f>
        <v/>
      </c>
      <c r="K236" s="18" t="n"/>
      <c r="L236" s="17">
        <f>IF($D236="","",IF($K236&lt;&gt;"","Received "&amp;TEXT($K236,"mm/dd"),IF(AND(ISNUMBER($J236),TODAY()&gt;$J236),"OVERDUE","Pending")))</f>
        <v/>
      </c>
      <c r="M236" s="16" t="n"/>
      <c r="N236" s="16" t="n"/>
    </row>
    <row r="237">
      <c r="B237" s="17">
        <f>IF($D237="","","ME"&amp;TEXT(ROW()-5,"000"))</f>
        <v/>
      </c>
      <c r="C237" s="18" t="n"/>
      <c r="D237" s="16" t="n"/>
      <c r="E237" s="17">
        <f>IF($D237="","",IFERROR(INDEX(rngCadetPIDs,MATCH($D237,rngCadetNames,0)),"?"))</f>
        <v/>
      </c>
      <c r="F237" s="16" t="n"/>
      <c r="G237" s="16" t="n"/>
      <c r="H237" s="19">
        <f>IF(OR($D237="",$C237=""),"",_xlfn.LET(_xlpm.dn,IFERROR(_xlfn.XLOOKUP($C237,nrCDdate,nrCDnum),""),IF(_xlpm.dn="","(not a class day)",IFERROR(_xlfn.XLOOKUP(_xlpm.dn+cfgMemoDueClassDays,nrCDnum,nrCDdate),""))))</f>
        <v/>
      </c>
      <c r="I237" s="18" t="n"/>
      <c r="J237" s="19">
        <f>IF($D237="","",IF($I237&lt;&gt;"",$I237,IF(ISNUMBER($H237),$H237,"")))</f>
        <v/>
      </c>
      <c r="K237" s="18" t="n"/>
      <c r="L237" s="17">
        <f>IF($D237="","",IF($K237&lt;&gt;"","Received "&amp;TEXT($K237,"mm/dd"),IF(AND(ISNUMBER($J237),TODAY()&gt;$J237),"OVERDUE","Pending")))</f>
        <v/>
      </c>
      <c r="M237" s="16" t="n"/>
      <c r="N237" s="16" t="n"/>
    </row>
    <row r="238">
      <c r="B238" s="17">
        <f>IF($D238="","","ME"&amp;TEXT(ROW()-5,"000"))</f>
        <v/>
      </c>
      <c r="C238" s="18" t="n"/>
      <c r="D238" s="16" t="n"/>
      <c r="E238" s="17">
        <f>IF($D238="","",IFERROR(INDEX(rngCadetPIDs,MATCH($D238,rngCadetNames,0)),"?"))</f>
        <v/>
      </c>
      <c r="F238" s="16" t="n"/>
      <c r="G238" s="16" t="n"/>
      <c r="H238" s="19">
        <f>IF(OR($D238="",$C238=""),"",_xlfn.LET(_xlpm.dn,IFERROR(_xlfn.XLOOKUP($C238,nrCDdate,nrCDnum),""),IF(_xlpm.dn="","(not a class day)",IFERROR(_xlfn.XLOOKUP(_xlpm.dn+cfgMemoDueClassDays,nrCDnum,nrCDdate),""))))</f>
        <v/>
      </c>
      <c r="I238" s="18" t="n"/>
      <c r="J238" s="19">
        <f>IF($D238="","",IF($I238&lt;&gt;"",$I238,IF(ISNUMBER($H238),$H238,"")))</f>
        <v/>
      </c>
      <c r="K238" s="18" t="n"/>
      <c r="L238" s="17">
        <f>IF($D238="","",IF($K238&lt;&gt;"","Received "&amp;TEXT($K238,"mm/dd"),IF(AND(ISNUMBER($J238),TODAY()&gt;$J238),"OVERDUE","Pending")))</f>
        <v/>
      </c>
      <c r="M238" s="16" t="n"/>
      <c r="N238" s="16" t="n"/>
    </row>
    <row r="239">
      <c r="B239" s="17">
        <f>IF($D239="","","ME"&amp;TEXT(ROW()-5,"000"))</f>
        <v/>
      </c>
      <c r="C239" s="18" t="n"/>
      <c r="D239" s="16" t="n"/>
      <c r="E239" s="17">
        <f>IF($D239="","",IFERROR(INDEX(rngCadetPIDs,MATCH($D239,rngCadetNames,0)),"?"))</f>
        <v/>
      </c>
      <c r="F239" s="16" t="n"/>
      <c r="G239" s="16" t="n"/>
      <c r="H239" s="19">
        <f>IF(OR($D239="",$C239=""),"",_xlfn.LET(_xlpm.dn,IFERROR(_xlfn.XLOOKUP($C239,nrCDdate,nrCDnum),""),IF(_xlpm.dn="","(not a class day)",IFERROR(_xlfn.XLOOKUP(_xlpm.dn+cfgMemoDueClassDays,nrCDnum,nrCDdate),""))))</f>
        <v/>
      </c>
      <c r="I239" s="18" t="n"/>
      <c r="J239" s="19">
        <f>IF($D239="","",IF($I239&lt;&gt;"",$I239,IF(ISNUMBER($H239),$H239,"")))</f>
        <v/>
      </c>
      <c r="K239" s="18" t="n"/>
      <c r="L239" s="17">
        <f>IF($D239="","",IF($K239&lt;&gt;"","Received "&amp;TEXT($K239,"mm/dd"),IF(AND(ISNUMBER($J239),TODAY()&gt;$J239),"OVERDUE","Pending")))</f>
        <v/>
      </c>
      <c r="M239" s="16" t="n"/>
      <c r="N239" s="16" t="n"/>
    </row>
    <row r="240">
      <c r="B240" s="17">
        <f>IF($D240="","","ME"&amp;TEXT(ROW()-5,"000"))</f>
        <v/>
      </c>
      <c r="C240" s="18" t="n"/>
      <c r="D240" s="16" t="n"/>
      <c r="E240" s="17">
        <f>IF($D240="","",IFERROR(INDEX(rngCadetPIDs,MATCH($D240,rngCadetNames,0)),"?"))</f>
        <v/>
      </c>
      <c r="F240" s="16" t="n"/>
      <c r="G240" s="16" t="n"/>
      <c r="H240" s="19">
        <f>IF(OR($D240="",$C240=""),"",_xlfn.LET(_xlpm.dn,IFERROR(_xlfn.XLOOKUP($C240,nrCDdate,nrCDnum),""),IF(_xlpm.dn="","(not a class day)",IFERROR(_xlfn.XLOOKUP(_xlpm.dn+cfgMemoDueClassDays,nrCDnum,nrCDdate),""))))</f>
        <v/>
      </c>
      <c r="I240" s="18" t="n"/>
      <c r="J240" s="19">
        <f>IF($D240="","",IF($I240&lt;&gt;"",$I240,IF(ISNUMBER($H240),$H240,"")))</f>
        <v/>
      </c>
      <c r="K240" s="18" t="n"/>
      <c r="L240" s="17">
        <f>IF($D240="","",IF($K240&lt;&gt;"","Received "&amp;TEXT($K240,"mm/dd"),IF(AND(ISNUMBER($J240),TODAY()&gt;$J240),"OVERDUE","Pending")))</f>
        <v/>
      </c>
      <c r="M240" s="16" t="n"/>
      <c r="N240" s="16" t="n"/>
    </row>
    <row r="241">
      <c r="B241" s="17">
        <f>IF($D241="","","ME"&amp;TEXT(ROW()-5,"000"))</f>
        <v/>
      </c>
      <c r="C241" s="18" t="n"/>
      <c r="D241" s="16" t="n"/>
      <c r="E241" s="17">
        <f>IF($D241="","",IFERROR(INDEX(rngCadetPIDs,MATCH($D241,rngCadetNames,0)),"?"))</f>
        <v/>
      </c>
      <c r="F241" s="16" t="n"/>
      <c r="G241" s="16" t="n"/>
      <c r="H241" s="19">
        <f>IF(OR($D241="",$C241=""),"",_xlfn.LET(_xlpm.dn,IFERROR(_xlfn.XLOOKUP($C241,nrCDdate,nrCDnum),""),IF(_xlpm.dn="","(not a class day)",IFERROR(_xlfn.XLOOKUP(_xlpm.dn+cfgMemoDueClassDays,nrCDnum,nrCDdate),""))))</f>
        <v/>
      </c>
      <c r="I241" s="18" t="n"/>
      <c r="J241" s="19">
        <f>IF($D241="","",IF($I241&lt;&gt;"",$I241,IF(ISNUMBER($H241),$H241,"")))</f>
        <v/>
      </c>
      <c r="K241" s="18" t="n"/>
      <c r="L241" s="17">
        <f>IF($D241="","",IF($K241&lt;&gt;"","Received "&amp;TEXT($K241,"mm/dd"),IF(AND(ISNUMBER($J241),TODAY()&gt;$J241),"OVERDUE","Pending")))</f>
        <v/>
      </c>
      <c r="M241" s="16" t="n"/>
      <c r="N241" s="16" t="n"/>
    </row>
    <row r="242">
      <c r="B242" s="17">
        <f>IF($D242="","","ME"&amp;TEXT(ROW()-5,"000"))</f>
        <v/>
      </c>
      <c r="C242" s="18" t="n"/>
      <c r="D242" s="16" t="n"/>
      <c r="E242" s="17">
        <f>IF($D242="","",IFERROR(INDEX(rngCadetPIDs,MATCH($D242,rngCadetNames,0)),"?"))</f>
        <v/>
      </c>
      <c r="F242" s="16" t="n"/>
      <c r="G242" s="16" t="n"/>
      <c r="H242" s="19">
        <f>IF(OR($D242="",$C242=""),"",_xlfn.LET(_xlpm.dn,IFERROR(_xlfn.XLOOKUP($C242,nrCDdate,nrCDnum),""),IF(_xlpm.dn="","(not a class day)",IFERROR(_xlfn.XLOOKUP(_xlpm.dn+cfgMemoDueClassDays,nrCDnum,nrCDdate),""))))</f>
        <v/>
      </c>
      <c r="I242" s="18" t="n"/>
      <c r="J242" s="19">
        <f>IF($D242="","",IF($I242&lt;&gt;"",$I242,IF(ISNUMBER($H242),$H242,"")))</f>
        <v/>
      </c>
      <c r="K242" s="18" t="n"/>
      <c r="L242" s="17">
        <f>IF($D242="","",IF($K242&lt;&gt;"","Received "&amp;TEXT($K242,"mm/dd"),IF(AND(ISNUMBER($J242),TODAY()&gt;$J242),"OVERDUE","Pending")))</f>
        <v/>
      </c>
      <c r="M242" s="16" t="n"/>
      <c r="N242" s="16" t="n"/>
    </row>
    <row r="243">
      <c r="B243" s="17">
        <f>IF($D243="","","ME"&amp;TEXT(ROW()-5,"000"))</f>
        <v/>
      </c>
      <c r="C243" s="18" t="n"/>
      <c r="D243" s="16" t="n"/>
      <c r="E243" s="17">
        <f>IF($D243="","",IFERROR(INDEX(rngCadetPIDs,MATCH($D243,rngCadetNames,0)),"?"))</f>
        <v/>
      </c>
      <c r="F243" s="16" t="n"/>
      <c r="G243" s="16" t="n"/>
      <c r="H243" s="19">
        <f>IF(OR($D243="",$C243=""),"",_xlfn.LET(_xlpm.dn,IFERROR(_xlfn.XLOOKUP($C243,nrCDdate,nrCDnum),""),IF(_xlpm.dn="","(not a class day)",IFERROR(_xlfn.XLOOKUP(_xlpm.dn+cfgMemoDueClassDays,nrCDnum,nrCDdate),""))))</f>
        <v/>
      </c>
      <c r="I243" s="18" t="n"/>
      <c r="J243" s="19">
        <f>IF($D243="","",IF($I243&lt;&gt;"",$I243,IF(ISNUMBER($H243),$H243,"")))</f>
        <v/>
      </c>
      <c r="K243" s="18" t="n"/>
      <c r="L243" s="17">
        <f>IF($D243="","",IF($K243&lt;&gt;"","Received "&amp;TEXT($K243,"mm/dd"),IF(AND(ISNUMBER($J243),TODAY()&gt;$J243),"OVERDUE","Pending")))</f>
        <v/>
      </c>
      <c r="M243" s="16" t="n"/>
      <c r="N243" s="16" t="n"/>
    </row>
    <row r="244">
      <c r="B244" s="17">
        <f>IF($D244="","","ME"&amp;TEXT(ROW()-5,"000"))</f>
        <v/>
      </c>
      <c r="C244" s="18" t="n"/>
      <c r="D244" s="16" t="n"/>
      <c r="E244" s="17">
        <f>IF($D244="","",IFERROR(INDEX(rngCadetPIDs,MATCH($D244,rngCadetNames,0)),"?"))</f>
        <v/>
      </c>
      <c r="F244" s="16" t="n"/>
      <c r="G244" s="16" t="n"/>
      <c r="H244" s="19">
        <f>IF(OR($D244="",$C244=""),"",_xlfn.LET(_xlpm.dn,IFERROR(_xlfn.XLOOKUP($C244,nrCDdate,nrCDnum),""),IF(_xlpm.dn="","(not a class day)",IFERROR(_xlfn.XLOOKUP(_xlpm.dn+cfgMemoDueClassDays,nrCDnum,nrCDdate),""))))</f>
        <v/>
      </c>
      <c r="I244" s="18" t="n"/>
      <c r="J244" s="19">
        <f>IF($D244="","",IF($I244&lt;&gt;"",$I244,IF(ISNUMBER($H244),$H244,"")))</f>
        <v/>
      </c>
      <c r="K244" s="18" t="n"/>
      <c r="L244" s="17">
        <f>IF($D244="","",IF($K244&lt;&gt;"","Received "&amp;TEXT($K244,"mm/dd"),IF(AND(ISNUMBER($J244),TODAY()&gt;$J244),"OVERDUE","Pending")))</f>
        <v/>
      </c>
      <c r="M244" s="16" t="n"/>
      <c r="N244" s="16" t="n"/>
    </row>
    <row r="245">
      <c r="B245" s="17">
        <f>IF($D245="","","ME"&amp;TEXT(ROW()-5,"000"))</f>
        <v/>
      </c>
      <c r="C245" s="18" t="n"/>
      <c r="D245" s="16" t="n"/>
      <c r="E245" s="17">
        <f>IF($D245="","",IFERROR(INDEX(rngCadetPIDs,MATCH($D245,rngCadetNames,0)),"?"))</f>
        <v/>
      </c>
      <c r="F245" s="16" t="n"/>
      <c r="G245" s="16" t="n"/>
      <c r="H245" s="19">
        <f>IF(OR($D245="",$C245=""),"",_xlfn.LET(_xlpm.dn,IFERROR(_xlfn.XLOOKUP($C245,nrCDdate,nrCDnum),""),IF(_xlpm.dn="","(not a class day)",IFERROR(_xlfn.XLOOKUP(_xlpm.dn+cfgMemoDueClassDays,nrCDnum,nrCDdate),""))))</f>
        <v/>
      </c>
      <c r="I245" s="18" t="n"/>
      <c r="J245" s="19">
        <f>IF($D245="","",IF($I245&lt;&gt;"",$I245,IF(ISNUMBER($H245),$H245,"")))</f>
        <v/>
      </c>
      <c r="K245" s="18" t="n"/>
      <c r="L245" s="17">
        <f>IF($D245="","",IF($K245&lt;&gt;"","Received "&amp;TEXT($K245,"mm/dd"),IF(AND(ISNUMBER($J245),TODAY()&gt;$J245),"OVERDUE","Pending")))</f>
        <v/>
      </c>
      <c r="M245" s="16" t="n"/>
      <c r="N245" s="16" t="n"/>
    </row>
    <row r="246">
      <c r="B246" s="17">
        <f>IF($D246="","","ME"&amp;TEXT(ROW()-5,"000"))</f>
        <v/>
      </c>
      <c r="C246" s="18" t="n"/>
      <c r="D246" s="16" t="n"/>
      <c r="E246" s="17">
        <f>IF($D246="","",IFERROR(INDEX(rngCadetPIDs,MATCH($D246,rngCadetNames,0)),"?"))</f>
        <v/>
      </c>
      <c r="F246" s="16" t="n"/>
      <c r="G246" s="16" t="n"/>
      <c r="H246" s="19">
        <f>IF(OR($D246="",$C246=""),"",_xlfn.LET(_xlpm.dn,IFERROR(_xlfn.XLOOKUP($C246,nrCDdate,nrCDnum),""),IF(_xlpm.dn="","(not a class day)",IFERROR(_xlfn.XLOOKUP(_xlpm.dn+cfgMemoDueClassDays,nrCDnum,nrCDdate),""))))</f>
        <v/>
      </c>
      <c r="I246" s="18" t="n"/>
      <c r="J246" s="19">
        <f>IF($D246="","",IF($I246&lt;&gt;"",$I246,IF(ISNUMBER($H246),$H246,"")))</f>
        <v/>
      </c>
      <c r="K246" s="18" t="n"/>
      <c r="L246" s="17">
        <f>IF($D246="","",IF($K246&lt;&gt;"","Received "&amp;TEXT($K246,"mm/dd"),IF(AND(ISNUMBER($J246),TODAY()&gt;$J246),"OVERDUE","Pending")))</f>
        <v/>
      </c>
      <c r="M246" s="16" t="n"/>
      <c r="N246" s="16" t="n"/>
    </row>
    <row r="247">
      <c r="B247" s="17">
        <f>IF($D247="","","ME"&amp;TEXT(ROW()-5,"000"))</f>
        <v/>
      </c>
      <c r="C247" s="18" t="n"/>
      <c r="D247" s="16" t="n"/>
      <c r="E247" s="17">
        <f>IF($D247="","",IFERROR(INDEX(rngCadetPIDs,MATCH($D247,rngCadetNames,0)),"?"))</f>
        <v/>
      </c>
      <c r="F247" s="16" t="n"/>
      <c r="G247" s="16" t="n"/>
      <c r="H247" s="19">
        <f>IF(OR($D247="",$C247=""),"",_xlfn.LET(_xlpm.dn,IFERROR(_xlfn.XLOOKUP($C247,nrCDdate,nrCDnum),""),IF(_xlpm.dn="","(not a class day)",IFERROR(_xlfn.XLOOKUP(_xlpm.dn+cfgMemoDueClassDays,nrCDnum,nrCDdate),""))))</f>
        <v/>
      </c>
      <c r="I247" s="18" t="n"/>
      <c r="J247" s="19">
        <f>IF($D247="","",IF($I247&lt;&gt;"",$I247,IF(ISNUMBER($H247),$H247,"")))</f>
        <v/>
      </c>
      <c r="K247" s="18" t="n"/>
      <c r="L247" s="17">
        <f>IF($D247="","",IF($K247&lt;&gt;"","Received "&amp;TEXT($K247,"mm/dd"),IF(AND(ISNUMBER($J247),TODAY()&gt;$J247),"OVERDUE","Pending")))</f>
        <v/>
      </c>
      <c r="M247" s="16" t="n"/>
      <c r="N247" s="16" t="n"/>
    </row>
    <row r="248">
      <c r="B248" s="17">
        <f>IF($D248="","","ME"&amp;TEXT(ROW()-5,"000"))</f>
        <v/>
      </c>
      <c r="C248" s="18" t="n"/>
      <c r="D248" s="16" t="n"/>
      <c r="E248" s="17">
        <f>IF($D248="","",IFERROR(INDEX(rngCadetPIDs,MATCH($D248,rngCadetNames,0)),"?"))</f>
        <v/>
      </c>
      <c r="F248" s="16" t="n"/>
      <c r="G248" s="16" t="n"/>
      <c r="H248" s="19">
        <f>IF(OR($D248="",$C248=""),"",_xlfn.LET(_xlpm.dn,IFERROR(_xlfn.XLOOKUP($C248,nrCDdate,nrCDnum),""),IF(_xlpm.dn="","(not a class day)",IFERROR(_xlfn.XLOOKUP(_xlpm.dn+cfgMemoDueClassDays,nrCDnum,nrCDdate),""))))</f>
        <v/>
      </c>
      <c r="I248" s="18" t="n"/>
      <c r="J248" s="19">
        <f>IF($D248="","",IF($I248&lt;&gt;"",$I248,IF(ISNUMBER($H248),$H248,"")))</f>
        <v/>
      </c>
      <c r="K248" s="18" t="n"/>
      <c r="L248" s="17">
        <f>IF($D248="","",IF($K248&lt;&gt;"","Received "&amp;TEXT($K248,"mm/dd"),IF(AND(ISNUMBER($J248),TODAY()&gt;$J248),"OVERDUE","Pending")))</f>
        <v/>
      </c>
      <c r="M248" s="16" t="n"/>
      <c r="N248" s="16" t="n"/>
    </row>
    <row r="249">
      <c r="B249" s="17">
        <f>IF($D249="","","ME"&amp;TEXT(ROW()-5,"000"))</f>
        <v/>
      </c>
      <c r="C249" s="18" t="n"/>
      <c r="D249" s="16" t="n"/>
      <c r="E249" s="17">
        <f>IF($D249="","",IFERROR(INDEX(rngCadetPIDs,MATCH($D249,rngCadetNames,0)),"?"))</f>
        <v/>
      </c>
      <c r="F249" s="16" t="n"/>
      <c r="G249" s="16" t="n"/>
      <c r="H249" s="19">
        <f>IF(OR($D249="",$C249=""),"",_xlfn.LET(_xlpm.dn,IFERROR(_xlfn.XLOOKUP($C249,nrCDdate,nrCDnum),""),IF(_xlpm.dn="","(not a class day)",IFERROR(_xlfn.XLOOKUP(_xlpm.dn+cfgMemoDueClassDays,nrCDnum,nrCDdate),""))))</f>
        <v/>
      </c>
      <c r="I249" s="18" t="n"/>
      <c r="J249" s="19">
        <f>IF($D249="","",IF($I249&lt;&gt;"",$I249,IF(ISNUMBER($H249),$H249,"")))</f>
        <v/>
      </c>
      <c r="K249" s="18" t="n"/>
      <c r="L249" s="17">
        <f>IF($D249="","",IF($K249&lt;&gt;"","Received "&amp;TEXT($K249,"mm/dd"),IF(AND(ISNUMBER($J249),TODAY()&gt;$J249),"OVERDUE","Pending")))</f>
        <v/>
      </c>
      <c r="M249" s="16" t="n"/>
      <c r="N249" s="16" t="n"/>
    </row>
    <row r="250">
      <c r="B250" s="17">
        <f>IF($D250="","","ME"&amp;TEXT(ROW()-5,"000"))</f>
        <v/>
      </c>
      <c r="C250" s="18" t="n"/>
      <c r="D250" s="16" t="n"/>
      <c r="E250" s="17">
        <f>IF($D250="","",IFERROR(INDEX(rngCadetPIDs,MATCH($D250,rngCadetNames,0)),"?"))</f>
        <v/>
      </c>
      <c r="F250" s="16" t="n"/>
      <c r="G250" s="16" t="n"/>
      <c r="H250" s="19">
        <f>IF(OR($D250="",$C250=""),"",_xlfn.LET(_xlpm.dn,IFERROR(_xlfn.XLOOKUP($C250,nrCDdate,nrCDnum),""),IF(_xlpm.dn="","(not a class day)",IFERROR(_xlfn.XLOOKUP(_xlpm.dn+cfgMemoDueClassDays,nrCDnum,nrCDdate),""))))</f>
        <v/>
      </c>
      <c r="I250" s="18" t="n"/>
      <c r="J250" s="19">
        <f>IF($D250="","",IF($I250&lt;&gt;"",$I250,IF(ISNUMBER($H250),$H250,"")))</f>
        <v/>
      </c>
      <c r="K250" s="18" t="n"/>
      <c r="L250" s="17">
        <f>IF($D250="","",IF($K250&lt;&gt;"","Received "&amp;TEXT($K250,"mm/dd"),IF(AND(ISNUMBER($J250),TODAY()&gt;$J250),"OVERDUE","Pending")))</f>
        <v/>
      </c>
      <c r="M250" s="16" t="n"/>
      <c r="N250" s="16" t="n"/>
    </row>
    <row r="251">
      <c r="B251" s="17">
        <f>IF($D251="","","ME"&amp;TEXT(ROW()-5,"000"))</f>
        <v/>
      </c>
      <c r="C251" s="18" t="n"/>
      <c r="D251" s="16" t="n"/>
      <c r="E251" s="17">
        <f>IF($D251="","",IFERROR(INDEX(rngCadetPIDs,MATCH($D251,rngCadetNames,0)),"?"))</f>
        <v/>
      </c>
      <c r="F251" s="16" t="n"/>
      <c r="G251" s="16" t="n"/>
      <c r="H251" s="19">
        <f>IF(OR($D251="",$C251=""),"",_xlfn.LET(_xlpm.dn,IFERROR(_xlfn.XLOOKUP($C251,nrCDdate,nrCDnum),""),IF(_xlpm.dn="","(not a class day)",IFERROR(_xlfn.XLOOKUP(_xlpm.dn+cfgMemoDueClassDays,nrCDnum,nrCDdate),""))))</f>
        <v/>
      </c>
      <c r="I251" s="18" t="n"/>
      <c r="J251" s="19">
        <f>IF($D251="","",IF($I251&lt;&gt;"",$I251,IF(ISNUMBER($H251),$H251,"")))</f>
        <v/>
      </c>
      <c r="K251" s="18" t="n"/>
      <c r="L251" s="17">
        <f>IF($D251="","",IF($K251&lt;&gt;"","Received "&amp;TEXT($K251,"mm/dd"),IF(AND(ISNUMBER($J251),TODAY()&gt;$J251),"OVERDUE","Pending")))</f>
        <v/>
      </c>
      <c r="M251" s="16" t="n"/>
      <c r="N251" s="16" t="n"/>
    </row>
    <row r="252">
      <c r="B252" s="17">
        <f>IF($D252="","","ME"&amp;TEXT(ROW()-5,"000"))</f>
        <v/>
      </c>
      <c r="C252" s="18" t="n"/>
      <c r="D252" s="16" t="n"/>
      <c r="E252" s="17">
        <f>IF($D252="","",IFERROR(INDEX(rngCadetPIDs,MATCH($D252,rngCadetNames,0)),"?"))</f>
        <v/>
      </c>
      <c r="F252" s="16" t="n"/>
      <c r="G252" s="16" t="n"/>
      <c r="H252" s="19">
        <f>IF(OR($D252="",$C252=""),"",_xlfn.LET(_xlpm.dn,IFERROR(_xlfn.XLOOKUP($C252,nrCDdate,nrCDnum),""),IF(_xlpm.dn="","(not a class day)",IFERROR(_xlfn.XLOOKUP(_xlpm.dn+cfgMemoDueClassDays,nrCDnum,nrCDdate),""))))</f>
        <v/>
      </c>
      <c r="I252" s="18" t="n"/>
      <c r="J252" s="19">
        <f>IF($D252="","",IF($I252&lt;&gt;"",$I252,IF(ISNUMBER($H252),$H252,"")))</f>
        <v/>
      </c>
      <c r="K252" s="18" t="n"/>
      <c r="L252" s="17">
        <f>IF($D252="","",IF($K252&lt;&gt;"","Received "&amp;TEXT($K252,"mm/dd"),IF(AND(ISNUMBER($J252),TODAY()&gt;$J252),"OVERDUE","Pending")))</f>
        <v/>
      </c>
      <c r="M252" s="16" t="n"/>
      <c r="N252" s="16" t="n"/>
    </row>
    <row r="253">
      <c r="B253" s="17">
        <f>IF($D253="","","ME"&amp;TEXT(ROW()-5,"000"))</f>
        <v/>
      </c>
      <c r="C253" s="18" t="n"/>
      <c r="D253" s="16" t="n"/>
      <c r="E253" s="17">
        <f>IF($D253="","",IFERROR(INDEX(rngCadetPIDs,MATCH($D253,rngCadetNames,0)),"?"))</f>
        <v/>
      </c>
      <c r="F253" s="16" t="n"/>
      <c r="G253" s="16" t="n"/>
      <c r="H253" s="19">
        <f>IF(OR($D253="",$C253=""),"",_xlfn.LET(_xlpm.dn,IFERROR(_xlfn.XLOOKUP($C253,nrCDdate,nrCDnum),""),IF(_xlpm.dn="","(not a class day)",IFERROR(_xlfn.XLOOKUP(_xlpm.dn+cfgMemoDueClassDays,nrCDnum,nrCDdate),""))))</f>
        <v/>
      </c>
      <c r="I253" s="18" t="n"/>
      <c r="J253" s="19">
        <f>IF($D253="","",IF($I253&lt;&gt;"",$I253,IF(ISNUMBER($H253),$H253,"")))</f>
        <v/>
      </c>
      <c r="K253" s="18" t="n"/>
      <c r="L253" s="17">
        <f>IF($D253="","",IF($K253&lt;&gt;"","Received "&amp;TEXT($K253,"mm/dd"),IF(AND(ISNUMBER($J253),TODAY()&gt;$J253),"OVERDUE","Pending")))</f>
        <v/>
      </c>
      <c r="M253" s="16" t="n"/>
      <c r="N253" s="16" t="n"/>
    </row>
    <row r="254">
      <c r="B254" s="17">
        <f>IF($D254="","","ME"&amp;TEXT(ROW()-5,"000"))</f>
        <v/>
      </c>
      <c r="C254" s="18" t="n"/>
      <c r="D254" s="16" t="n"/>
      <c r="E254" s="17">
        <f>IF($D254="","",IFERROR(INDEX(rngCadetPIDs,MATCH($D254,rngCadetNames,0)),"?"))</f>
        <v/>
      </c>
      <c r="F254" s="16" t="n"/>
      <c r="G254" s="16" t="n"/>
      <c r="H254" s="19">
        <f>IF(OR($D254="",$C254=""),"",_xlfn.LET(_xlpm.dn,IFERROR(_xlfn.XLOOKUP($C254,nrCDdate,nrCDnum),""),IF(_xlpm.dn="","(not a class day)",IFERROR(_xlfn.XLOOKUP(_xlpm.dn+cfgMemoDueClassDays,nrCDnum,nrCDdate),""))))</f>
        <v/>
      </c>
      <c r="I254" s="18" t="n"/>
      <c r="J254" s="19">
        <f>IF($D254="","",IF($I254&lt;&gt;"",$I254,IF(ISNUMBER($H254),$H254,"")))</f>
        <v/>
      </c>
      <c r="K254" s="18" t="n"/>
      <c r="L254" s="17">
        <f>IF($D254="","",IF($K254&lt;&gt;"","Received "&amp;TEXT($K254,"mm/dd"),IF(AND(ISNUMBER($J254),TODAY()&gt;$J254),"OVERDUE","Pending")))</f>
        <v/>
      </c>
      <c r="M254" s="16" t="n"/>
      <c r="N254" s="16" t="n"/>
    </row>
    <row r="255">
      <c r="B255" s="17">
        <f>IF($D255="","","ME"&amp;TEXT(ROW()-5,"000"))</f>
        <v/>
      </c>
      <c r="C255" s="18" t="n"/>
      <c r="D255" s="16" t="n"/>
      <c r="E255" s="17">
        <f>IF($D255="","",IFERROR(INDEX(rngCadetPIDs,MATCH($D255,rngCadetNames,0)),"?"))</f>
        <v/>
      </c>
      <c r="F255" s="16" t="n"/>
      <c r="G255" s="16" t="n"/>
      <c r="H255" s="19">
        <f>IF(OR($D255="",$C255=""),"",_xlfn.LET(_xlpm.dn,IFERROR(_xlfn.XLOOKUP($C255,nrCDdate,nrCDnum),""),IF(_xlpm.dn="","(not a class day)",IFERROR(_xlfn.XLOOKUP(_xlpm.dn+cfgMemoDueClassDays,nrCDnum,nrCDdate),""))))</f>
        <v/>
      </c>
      <c r="I255" s="18" t="n"/>
      <c r="J255" s="19">
        <f>IF($D255="","",IF($I255&lt;&gt;"",$I255,IF(ISNUMBER($H255),$H255,"")))</f>
        <v/>
      </c>
      <c r="K255" s="18" t="n"/>
      <c r="L255" s="17">
        <f>IF($D255="","",IF($K255&lt;&gt;"","Received "&amp;TEXT($K255,"mm/dd"),IF(AND(ISNUMBER($J255),TODAY()&gt;$J255),"OVERDUE","Pending")))</f>
        <v/>
      </c>
      <c r="M255" s="16" t="n"/>
      <c r="N255" s="16" t="n"/>
    </row>
    <row r="256">
      <c r="B256" s="17">
        <f>IF($D256="","","ME"&amp;TEXT(ROW()-5,"000"))</f>
        <v/>
      </c>
      <c r="C256" s="18" t="n"/>
      <c r="D256" s="16" t="n"/>
      <c r="E256" s="17">
        <f>IF($D256="","",IFERROR(INDEX(rngCadetPIDs,MATCH($D256,rngCadetNames,0)),"?"))</f>
        <v/>
      </c>
      <c r="F256" s="16" t="n"/>
      <c r="G256" s="16" t="n"/>
      <c r="H256" s="19">
        <f>IF(OR($D256="",$C256=""),"",_xlfn.LET(_xlpm.dn,IFERROR(_xlfn.XLOOKUP($C256,nrCDdate,nrCDnum),""),IF(_xlpm.dn="","(not a class day)",IFERROR(_xlfn.XLOOKUP(_xlpm.dn+cfgMemoDueClassDays,nrCDnum,nrCDdate),""))))</f>
        <v/>
      </c>
      <c r="I256" s="18" t="n"/>
      <c r="J256" s="19">
        <f>IF($D256="","",IF($I256&lt;&gt;"",$I256,IF(ISNUMBER($H256),$H256,"")))</f>
        <v/>
      </c>
      <c r="K256" s="18" t="n"/>
      <c r="L256" s="17">
        <f>IF($D256="","",IF($K256&lt;&gt;"","Received "&amp;TEXT($K256,"mm/dd"),IF(AND(ISNUMBER($J256),TODAY()&gt;$J256),"OVERDUE","Pending")))</f>
        <v/>
      </c>
      <c r="M256" s="16" t="n"/>
      <c r="N256" s="16" t="n"/>
    </row>
    <row r="257">
      <c r="B257" s="17">
        <f>IF($D257="","","ME"&amp;TEXT(ROW()-5,"000"))</f>
        <v/>
      </c>
      <c r="C257" s="18" t="n"/>
      <c r="D257" s="16" t="n"/>
      <c r="E257" s="17">
        <f>IF($D257="","",IFERROR(INDEX(rngCadetPIDs,MATCH($D257,rngCadetNames,0)),"?"))</f>
        <v/>
      </c>
      <c r="F257" s="16" t="n"/>
      <c r="G257" s="16" t="n"/>
      <c r="H257" s="19">
        <f>IF(OR($D257="",$C257=""),"",_xlfn.LET(_xlpm.dn,IFERROR(_xlfn.XLOOKUP($C257,nrCDdate,nrCDnum),""),IF(_xlpm.dn="","(not a class day)",IFERROR(_xlfn.XLOOKUP(_xlpm.dn+cfgMemoDueClassDays,nrCDnum,nrCDdate),""))))</f>
        <v/>
      </c>
      <c r="I257" s="18" t="n"/>
      <c r="J257" s="19">
        <f>IF($D257="","",IF($I257&lt;&gt;"",$I257,IF(ISNUMBER($H257),$H257,"")))</f>
        <v/>
      </c>
      <c r="K257" s="18" t="n"/>
      <c r="L257" s="17">
        <f>IF($D257="","",IF($K257&lt;&gt;"","Received "&amp;TEXT($K257,"mm/dd"),IF(AND(ISNUMBER($J257),TODAY()&gt;$J257),"OVERDUE","Pending")))</f>
        <v/>
      </c>
      <c r="M257" s="16" t="n"/>
      <c r="N257" s="16" t="n"/>
    </row>
    <row r="258">
      <c r="B258" s="17">
        <f>IF($D258="","","ME"&amp;TEXT(ROW()-5,"000"))</f>
        <v/>
      </c>
      <c r="C258" s="18" t="n"/>
      <c r="D258" s="16" t="n"/>
      <c r="E258" s="17">
        <f>IF($D258="","",IFERROR(INDEX(rngCadetPIDs,MATCH($D258,rngCadetNames,0)),"?"))</f>
        <v/>
      </c>
      <c r="F258" s="16" t="n"/>
      <c r="G258" s="16" t="n"/>
      <c r="H258" s="19">
        <f>IF(OR($D258="",$C258=""),"",_xlfn.LET(_xlpm.dn,IFERROR(_xlfn.XLOOKUP($C258,nrCDdate,nrCDnum),""),IF(_xlpm.dn="","(not a class day)",IFERROR(_xlfn.XLOOKUP(_xlpm.dn+cfgMemoDueClassDays,nrCDnum,nrCDdate),""))))</f>
        <v/>
      </c>
      <c r="I258" s="18" t="n"/>
      <c r="J258" s="19">
        <f>IF($D258="","",IF($I258&lt;&gt;"",$I258,IF(ISNUMBER($H258),$H258,"")))</f>
        <v/>
      </c>
      <c r="K258" s="18" t="n"/>
      <c r="L258" s="17">
        <f>IF($D258="","",IF($K258&lt;&gt;"","Received "&amp;TEXT($K258,"mm/dd"),IF(AND(ISNUMBER($J258),TODAY()&gt;$J258),"OVERDUE","Pending")))</f>
        <v/>
      </c>
      <c r="M258" s="16" t="n"/>
      <c r="N258" s="16" t="n"/>
    </row>
    <row r="259">
      <c r="B259" s="17">
        <f>IF($D259="","","ME"&amp;TEXT(ROW()-5,"000"))</f>
        <v/>
      </c>
      <c r="C259" s="18" t="n"/>
      <c r="D259" s="16" t="n"/>
      <c r="E259" s="17">
        <f>IF($D259="","",IFERROR(INDEX(rngCadetPIDs,MATCH($D259,rngCadetNames,0)),"?"))</f>
        <v/>
      </c>
      <c r="F259" s="16" t="n"/>
      <c r="G259" s="16" t="n"/>
      <c r="H259" s="19">
        <f>IF(OR($D259="",$C259=""),"",_xlfn.LET(_xlpm.dn,IFERROR(_xlfn.XLOOKUP($C259,nrCDdate,nrCDnum),""),IF(_xlpm.dn="","(not a class day)",IFERROR(_xlfn.XLOOKUP(_xlpm.dn+cfgMemoDueClassDays,nrCDnum,nrCDdate),""))))</f>
        <v/>
      </c>
      <c r="I259" s="18" t="n"/>
      <c r="J259" s="19">
        <f>IF($D259="","",IF($I259&lt;&gt;"",$I259,IF(ISNUMBER($H259),$H259,"")))</f>
        <v/>
      </c>
      <c r="K259" s="18" t="n"/>
      <c r="L259" s="17">
        <f>IF($D259="","",IF($K259&lt;&gt;"","Received "&amp;TEXT($K259,"mm/dd"),IF(AND(ISNUMBER($J259),TODAY()&gt;$J259),"OVERDUE","Pending")))</f>
        <v/>
      </c>
      <c r="M259" s="16" t="n"/>
      <c r="N259" s="16" t="n"/>
    </row>
    <row r="260">
      <c r="B260" s="17">
        <f>IF($D260="","","ME"&amp;TEXT(ROW()-5,"000"))</f>
        <v/>
      </c>
      <c r="C260" s="18" t="n"/>
      <c r="D260" s="16" t="n"/>
      <c r="E260" s="17">
        <f>IF($D260="","",IFERROR(INDEX(rngCadetPIDs,MATCH($D260,rngCadetNames,0)),"?"))</f>
        <v/>
      </c>
      <c r="F260" s="16" t="n"/>
      <c r="G260" s="16" t="n"/>
      <c r="H260" s="19">
        <f>IF(OR($D260="",$C260=""),"",_xlfn.LET(_xlpm.dn,IFERROR(_xlfn.XLOOKUP($C260,nrCDdate,nrCDnum),""),IF(_xlpm.dn="","(not a class day)",IFERROR(_xlfn.XLOOKUP(_xlpm.dn+cfgMemoDueClassDays,nrCDnum,nrCDdate),""))))</f>
        <v/>
      </c>
      <c r="I260" s="18" t="n"/>
      <c r="J260" s="19">
        <f>IF($D260="","",IF($I260&lt;&gt;"",$I260,IF(ISNUMBER($H260),$H260,"")))</f>
        <v/>
      </c>
      <c r="K260" s="18" t="n"/>
      <c r="L260" s="17">
        <f>IF($D260="","",IF($K260&lt;&gt;"","Received "&amp;TEXT($K260,"mm/dd"),IF(AND(ISNUMBER($J260),TODAY()&gt;$J260),"OVERDUE","Pending")))</f>
        <v/>
      </c>
      <c r="M260" s="16" t="n"/>
      <c r="N260" s="16" t="n"/>
    </row>
    <row r="261">
      <c r="B261" s="17">
        <f>IF($D261="","","ME"&amp;TEXT(ROW()-5,"000"))</f>
        <v/>
      </c>
      <c r="C261" s="18" t="n"/>
      <c r="D261" s="16" t="n"/>
      <c r="E261" s="17">
        <f>IF($D261="","",IFERROR(INDEX(rngCadetPIDs,MATCH($D261,rngCadetNames,0)),"?"))</f>
        <v/>
      </c>
      <c r="F261" s="16" t="n"/>
      <c r="G261" s="16" t="n"/>
      <c r="H261" s="19">
        <f>IF(OR($D261="",$C261=""),"",_xlfn.LET(_xlpm.dn,IFERROR(_xlfn.XLOOKUP($C261,nrCDdate,nrCDnum),""),IF(_xlpm.dn="","(not a class day)",IFERROR(_xlfn.XLOOKUP(_xlpm.dn+cfgMemoDueClassDays,nrCDnum,nrCDdate),""))))</f>
        <v/>
      </c>
      <c r="I261" s="18" t="n"/>
      <c r="J261" s="19">
        <f>IF($D261="","",IF($I261&lt;&gt;"",$I261,IF(ISNUMBER($H261),$H261,"")))</f>
        <v/>
      </c>
      <c r="K261" s="18" t="n"/>
      <c r="L261" s="17">
        <f>IF($D261="","",IF($K261&lt;&gt;"","Received "&amp;TEXT($K261,"mm/dd"),IF(AND(ISNUMBER($J261),TODAY()&gt;$J261),"OVERDUE","Pending")))</f>
        <v/>
      </c>
      <c r="M261" s="16" t="n"/>
      <c r="N261" s="16" t="n"/>
    </row>
    <row r="262">
      <c r="B262" s="17">
        <f>IF($D262="","","ME"&amp;TEXT(ROW()-5,"000"))</f>
        <v/>
      </c>
      <c r="C262" s="18" t="n"/>
      <c r="D262" s="16" t="n"/>
      <c r="E262" s="17">
        <f>IF($D262="","",IFERROR(INDEX(rngCadetPIDs,MATCH($D262,rngCadetNames,0)),"?"))</f>
        <v/>
      </c>
      <c r="F262" s="16" t="n"/>
      <c r="G262" s="16" t="n"/>
      <c r="H262" s="19">
        <f>IF(OR($D262="",$C262=""),"",_xlfn.LET(_xlpm.dn,IFERROR(_xlfn.XLOOKUP($C262,nrCDdate,nrCDnum),""),IF(_xlpm.dn="","(not a class day)",IFERROR(_xlfn.XLOOKUP(_xlpm.dn+cfgMemoDueClassDays,nrCDnum,nrCDdate),""))))</f>
        <v/>
      </c>
      <c r="I262" s="18" t="n"/>
      <c r="J262" s="19">
        <f>IF($D262="","",IF($I262&lt;&gt;"",$I262,IF(ISNUMBER($H262),$H262,"")))</f>
        <v/>
      </c>
      <c r="K262" s="18" t="n"/>
      <c r="L262" s="17">
        <f>IF($D262="","",IF($K262&lt;&gt;"","Received "&amp;TEXT($K262,"mm/dd"),IF(AND(ISNUMBER($J262),TODAY()&gt;$J262),"OVERDUE","Pending")))</f>
        <v/>
      </c>
      <c r="M262" s="16" t="n"/>
      <c r="N262" s="16" t="n"/>
    </row>
    <row r="263">
      <c r="B263" s="17">
        <f>IF($D263="","","ME"&amp;TEXT(ROW()-5,"000"))</f>
        <v/>
      </c>
      <c r="C263" s="18" t="n"/>
      <c r="D263" s="16" t="n"/>
      <c r="E263" s="17">
        <f>IF($D263="","",IFERROR(INDEX(rngCadetPIDs,MATCH($D263,rngCadetNames,0)),"?"))</f>
        <v/>
      </c>
      <c r="F263" s="16" t="n"/>
      <c r="G263" s="16" t="n"/>
      <c r="H263" s="19">
        <f>IF(OR($D263="",$C263=""),"",_xlfn.LET(_xlpm.dn,IFERROR(_xlfn.XLOOKUP($C263,nrCDdate,nrCDnum),""),IF(_xlpm.dn="","(not a class day)",IFERROR(_xlfn.XLOOKUP(_xlpm.dn+cfgMemoDueClassDays,nrCDnum,nrCDdate),""))))</f>
        <v/>
      </c>
      <c r="I263" s="18" t="n"/>
      <c r="J263" s="19">
        <f>IF($D263="","",IF($I263&lt;&gt;"",$I263,IF(ISNUMBER($H263),$H263,"")))</f>
        <v/>
      </c>
      <c r="K263" s="18" t="n"/>
      <c r="L263" s="17">
        <f>IF($D263="","",IF($K263&lt;&gt;"","Received "&amp;TEXT($K263,"mm/dd"),IF(AND(ISNUMBER($J263),TODAY()&gt;$J263),"OVERDUE","Pending")))</f>
        <v/>
      </c>
      <c r="M263" s="16" t="n"/>
      <c r="N263" s="16" t="n"/>
    </row>
    <row r="264">
      <c r="B264" s="17">
        <f>IF($D264="","","ME"&amp;TEXT(ROW()-5,"000"))</f>
        <v/>
      </c>
      <c r="C264" s="18" t="n"/>
      <c r="D264" s="16" t="n"/>
      <c r="E264" s="17">
        <f>IF($D264="","",IFERROR(INDEX(rngCadetPIDs,MATCH($D264,rngCadetNames,0)),"?"))</f>
        <v/>
      </c>
      <c r="F264" s="16" t="n"/>
      <c r="G264" s="16" t="n"/>
      <c r="H264" s="19">
        <f>IF(OR($D264="",$C264=""),"",_xlfn.LET(_xlpm.dn,IFERROR(_xlfn.XLOOKUP($C264,nrCDdate,nrCDnum),""),IF(_xlpm.dn="","(not a class day)",IFERROR(_xlfn.XLOOKUP(_xlpm.dn+cfgMemoDueClassDays,nrCDnum,nrCDdate),""))))</f>
        <v/>
      </c>
      <c r="I264" s="18" t="n"/>
      <c r="J264" s="19">
        <f>IF($D264="","",IF($I264&lt;&gt;"",$I264,IF(ISNUMBER($H264),$H264,"")))</f>
        <v/>
      </c>
      <c r="K264" s="18" t="n"/>
      <c r="L264" s="17">
        <f>IF($D264="","",IF($K264&lt;&gt;"","Received "&amp;TEXT($K264,"mm/dd"),IF(AND(ISNUMBER($J264),TODAY()&gt;$J264),"OVERDUE","Pending")))</f>
        <v/>
      </c>
      <c r="M264" s="16" t="n"/>
      <c r="N264" s="16" t="n"/>
    </row>
    <row r="265">
      <c r="B265" s="17">
        <f>IF($D265="","","ME"&amp;TEXT(ROW()-5,"000"))</f>
        <v/>
      </c>
      <c r="C265" s="18" t="n"/>
      <c r="D265" s="16" t="n"/>
      <c r="E265" s="17">
        <f>IF($D265="","",IFERROR(INDEX(rngCadetPIDs,MATCH($D265,rngCadetNames,0)),"?"))</f>
        <v/>
      </c>
      <c r="F265" s="16" t="n"/>
      <c r="G265" s="16" t="n"/>
      <c r="H265" s="19">
        <f>IF(OR($D265="",$C265=""),"",_xlfn.LET(_xlpm.dn,IFERROR(_xlfn.XLOOKUP($C265,nrCDdate,nrCDnum),""),IF(_xlpm.dn="","(not a class day)",IFERROR(_xlfn.XLOOKUP(_xlpm.dn+cfgMemoDueClassDays,nrCDnum,nrCDdate),""))))</f>
        <v/>
      </c>
      <c r="I265" s="18" t="n"/>
      <c r="J265" s="19">
        <f>IF($D265="","",IF($I265&lt;&gt;"",$I265,IF(ISNUMBER($H265),$H265,"")))</f>
        <v/>
      </c>
      <c r="K265" s="18" t="n"/>
      <c r="L265" s="17">
        <f>IF($D265="","",IF($K265&lt;&gt;"","Received "&amp;TEXT($K265,"mm/dd"),IF(AND(ISNUMBER($J265),TODAY()&gt;$J265),"OVERDUE","Pending")))</f>
        <v/>
      </c>
      <c r="M265" s="16" t="n"/>
      <c r="N265" s="16" t="n"/>
    </row>
    <row r="266">
      <c r="B266" s="17">
        <f>IF($D266="","","ME"&amp;TEXT(ROW()-5,"000"))</f>
        <v/>
      </c>
      <c r="C266" s="18" t="n"/>
      <c r="D266" s="16" t="n"/>
      <c r="E266" s="17">
        <f>IF($D266="","",IFERROR(INDEX(rngCadetPIDs,MATCH($D266,rngCadetNames,0)),"?"))</f>
        <v/>
      </c>
      <c r="F266" s="16" t="n"/>
      <c r="G266" s="16" t="n"/>
      <c r="H266" s="19">
        <f>IF(OR($D266="",$C266=""),"",_xlfn.LET(_xlpm.dn,IFERROR(_xlfn.XLOOKUP($C266,nrCDdate,nrCDnum),""),IF(_xlpm.dn="","(not a class day)",IFERROR(_xlfn.XLOOKUP(_xlpm.dn+cfgMemoDueClassDays,nrCDnum,nrCDdate),""))))</f>
        <v/>
      </c>
      <c r="I266" s="18" t="n"/>
      <c r="J266" s="19">
        <f>IF($D266="","",IF($I266&lt;&gt;"",$I266,IF(ISNUMBER($H266),$H266,"")))</f>
        <v/>
      </c>
      <c r="K266" s="18" t="n"/>
      <c r="L266" s="17">
        <f>IF($D266="","",IF($K266&lt;&gt;"","Received "&amp;TEXT($K266,"mm/dd"),IF(AND(ISNUMBER($J266),TODAY()&gt;$J266),"OVERDUE","Pending")))</f>
        <v/>
      </c>
      <c r="M266" s="16" t="n"/>
      <c r="N266" s="16" t="n"/>
    </row>
    <row r="267">
      <c r="B267" s="17">
        <f>IF($D267="","","ME"&amp;TEXT(ROW()-5,"000"))</f>
        <v/>
      </c>
      <c r="C267" s="18" t="n"/>
      <c r="D267" s="16" t="n"/>
      <c r="E267" s="17">
        <f>IF($D267="","",IFERROR(INDEX(rngCadetPIDs,MATCH($D267,rngCadetNames,0)),"?"))</f>
        <v/>
      </c>
      <c r="F267" s="16" t="n"/>
      <c r="G267" s="16" t="n"/>
      <c r="H267" s="19">
        <f>IF(OR($D267="",$C267=""),"",_xlfn.LET(_xlpm.dn,IFERROR(_xlfn.XLOOKUP($C267,nrCDdate,nrCDnum),""),IF(_xlpm.dn="","(not a class day)",IFERROR(_xlfn.XLOOKUP(_xlpm.dn+cfgMemoDueClassDays,nrCDnum,nrCDdate),""))))</f>
        <v/>
      </c>
      <c r="I267" s="18" t="n"/>
      <c r="J267" s="19">
        <f>IF($D267="","",IF($I267&lt;&gt;"",$I267,IF(ISNUMBER($H267),$H267,"")))</f>
        <v/>
      </c>
      <c r="K267" s="18" t="n"/>
      <c r="L267" s="17">
        <f>IF($D267="","",IF($K267&lt;&gt;"","Received "&amp;TEXT($K267,"mm/dd"),IF(AND(ISNUMBER($J267),TODAY()&gt;$J267),"OVERDUE","Pending")))</f>
        <v/>
      </c>
      <c r="M267" s="16" t="n"/>
      <c r="N267" s="16" t="n"/>
    </row>
    <row r="268">
      <c r="B268" s="17">
        <f>IF($D268="","","ME"&amp;TEXT(ROW()-5,"000"))</f>
        <v/>
      </c>
      <c r="C268" s="18" t="n"/>
      <c r="D268" s="16" t="n"/>
      <c r="E268" s="17">
        <f>IF($D268="","",IFERROR(INDEX(rngCadetPIDs,MATCH($D268,rngCadetNames,0)),"?"))</f>
        <v/>
      </c>
      <c r="F268" s="16" t="n"/>
      <c r="G268" s="16" t="n"/>
      <c r="H268" s="19">
        <f>IF(OR($D268="",$C268=""),"",_xlfn.LET(_xlpm.dn,IFERROR(_xlfn.XLOOKUP($C268,nrCDdate,nrCDnum),""),IF(_xlpm.dn="","(not a class day)",IFERROR(_xlfn.XLOOKUP(_xlpm.dn+cfgMemoDueClassDays,nrCDnum,nrCDdate),""))))</f>
        <v/>
      </c>
      <c r="I268" s="18" t="n"/>
      <c r="J268" s="19">
        <f>IF($D268="","",IF($I268&lt;&gt;"",$I268,IF(ISNUMBER($H268),$H268,"")))</f>
        <v/>
      </c>
      <c r="K268" s="18" t="n"/>
      <c r="L268" s="17">
        <f>IF($D268="","",IF($K268&lt;&gt;"","Received "&amp;TEXT($K268,"mm/dd"),IF(AND(ISNUMBER($J268),TODAY()&gt;$J268),"OVERDUE","Pending")))</f>
        <v/>
      </c>
      <c r="M268" s="16" t="n"/>
      <c r="N268" s="16" t="n"/>
    </row>
    <row r="269">
      <c r="B269" s="17">
        <f>IF($D269="","","ME"&amp;TEXT(ROW()-5,"000"))</f>
        <v/>
      </c>
      <c r="C269" s="18" t="n"/>
      <c r="D269" s="16" t="n"/>
      <c r="E269" s="17">
        <f>IF($D269="","",IFERROR(INDEX(rngCadetPIDs,MATCH($D269,rngCadetNames,0)),"?"))</f>
        <v/>
      </c>
      <c r="F269" s="16" t="n"/>
      <c r="G269" s="16" t="n"/>
      <c r="H269" s="19">
        <f>IF(OR($D269="",$C269=""),"",_xlfn.LET(_xlpm.dn,IFERROR(_xlfn.XLOOKUP($C269,nrCDdate,nrCDnum),""),IF(_xlpm.dn="","(not a class day)",IFERROR(_xlfn.XLOOKUP(_xlpm.dn+cfgMemoDueClassDays,nrCDnum,nrCDdate),""))))</f>
        <v/>
      </c>
      <c r="I269" s="18" t="n"/>
      <c r="J269" s="19">
        <f>IF($D269="","",IF($I269&lt;&gt;"",$I269,IF(ISNUMBER($H269),$H269,"")))</f>
        <v/>
      </c>
      <c r="K269" s="18" t="n"/>
      <c r="L269" s="17">
        <f>IF($D269="","",IF($K269&lt;&gt;"","Received "&amp;TEXT($K269,"mm/dd"),IF(AND(ISNUMBER($J269),TODAY()&gt;$J269),"OVERDUE","Pending")))</f>
        <v/>
      </c>
      <c r="M269" s="16" t="n"/>
      <c r="N269" s="16" t="n"/>
    </row>
    <row r="270">
      <c r="B270" s="17">
        <f>IF($D270="","","ME"&amp;TEXT(ROW()-5,"000"))</f>
        <v/>
      </c>
      <c r="C270" s="18" t="n"/>
      <c r="D270" s="16" t="n"/>
      <c r="E270" s="17">
        <f>IF($D270="","",IFERROR(INDEX(rngCadetPIDs,MATCH($D270,rngCadetNames,0)),"?"))</f>
        <v/>
      </c>
      <c r="F270" s="16" t="n"/>
      <c r="G270" s="16" t="n"/>
      <c r="H270" s="19">
        <f>IF(OR($D270="",$C270=""),"",_xlfn.LET(_xlpm.dn,IFERROR(_xlfn.XLOOKUP($C270,nrCDdate,nrCDnum),""),IF(_xlpm.dn="","(not a class day)",IFERROR(_xlfn.XLOOKUP(_xlpm.dn+cfgMemoDueClassDays,nrCDnum,nrCDdate),""))))</f>
        <v/>
      </c>
      <c r="I270" s="18" t="n"/>
      <c r="J270" s="19">
        <f>IF($D270="","",IF($I270&lt;&gt;"",$I270,IF(ISNUMBER($H270),$H270,"")))</f>
        <v/>
      </c>
      <c r="K270" s="18" t="n"/>
      <c r="L270" s="17">
        <f>IF($D270="","",IF($K270&lt;&gt;"","Received "&amp;TEXT($K270,"mm/dd"),IF(AND(ISNUMBER($J270),TODAY()&gt;$J270),"OVERDUE","Pending")))</f>
        <v/>
      </c>
      <c r="M270" s="16" t="n"/>
      <c r="N270" s="16" t="n"/>
    </row>
    <row r="271">
      <c r="B271" s="17">
        <f>IF($D271="","","ME"&amp;TEXT(ROW()-5,"000"))</f>
        <v/>
      </c>
      <c r="C271" s="18" t="n"/>
      <c r="D271" s="16" t="n"/>
      <c r="E271" s="17">
        <f>IF($D271="","",IFERROR(INDEX(rngCadetPIDs,MATCH($D271,rngCadetNames,0)),"?"))</f>
        <v/>
      </c>
      <c r="F271" s="16" t="n"/>
      <c r="G271" s="16" t="n"/>
      <c r="H271" s="19">
        <f>IF(OR($D271="",$C271=""),"",_xlfn.LET(_xlpm.dn,IFERROR(_xlfn.XLOOKUP($C271,nrCDdate,nrCDnum),""),IF(_xlpm.dn="","(not a class day)",IFERROR(_xlfn.XLOOKUP(_xlpm.dn+cfgMemoDueClassDays,nrCDnum,nrCDdate),""))))</f>
        <v/>
      </c>
      <c r="I271" s="18" t="n"/>
      <c r="J271" s="19">
        <f>IF($D271="","",IF($I271&lt;&gt;"",$I271,IF(ISNUMBER($H271),$H271,"")))</f>
        <v/>
      </c>
      <c r="K271" s="18" t="n"/>
      <c r="L271" s="17">
        <f>IF($D271="","",IF($K271&lt;&gt;"","Received "&amp;TEXT($K271,"mm/dd"),IF(AND(ISNUMBER($J271),TODAY()&gt;$J271),"OVERDUE","Pending")))</f>
        <v/>
      </c>
      <c r="M271" s="16" t="n"/>
      <c r="N271" s="16" t="n"/>
    </row>
    <row r="272">
      <c r="B272" s="17">
        <f>IF($D272="","","ME"&amp;TEXT(ROW()-5,"000"))</f>
        <v/>
      </c>
      <c r="C272" s="18" t="n"/>
      <c r="D272" s="16" t="n"/>
      <c r="E272" s="17">
        <f>IF($D272="","",IFERROR(INDEX(rngCadetPIDs,MATCH($D272,rngCadetNames,0)),"?"))</f>
        <v/>
      </c>
      <c r="F272" s="16" t="n"/>
      <c r="G272" s="16" t="n"/>
      <c r="H272" s="19">
        <f>IF(OR($D272="",$C272=""),"",_xlfn.LET(_xlpm.dn,IFERROR(_xlfn.XLOOKUP($C272,nrCDdate,nrCDnum),""),IF(_xlpm.dn="","(not a class day)",IFERROR(_xlfn.XLOOKUP(_xlpm.dn+cfgMemoDueClassDays,nrCDnum,nrCDdate),""))))</f>
        <v/>
      </c>
      <c r="I272" s="18" t="n"/>
      <c r="J272" s="19">
        <f>IF($D272="","",IF($I272&lt;&gt;"",$I272,IF(ISNUMBER($H272),$H272,"")))</f>
        <v/>
      </c>
      <c r="K272" s="18" t="n"/>
      <c r="L272" s="17">
        <f>IF($D272="","",IF($K272&lt;&gt;"","Received "&amp;TEXT($K272,"mm/dd"),IF(AND(ISNUMBER($J272),TODAY()&gt;$J272),"OVERDUE","Pending")))</f>
        <v/>
      </c>
      <c r="M272" s="16" t="n"/>
      <c r="N272" s="16" t="n"/>
    </row>
    <row r="273">
      <c r="B273" s="17">
        <f>IF($D273="","","ME"&amp;TEXT(ROW()-5,"000"))</f>
        <v/>
      </c>
      <c r="C273" s="18" t="n"/>
      <c r="D273" s="16" t="n"/>
      <c r="E273" s="17">
        <f>IF($D273="","",IFERROR(INDEX(rngCadetPIDs,MATCH($D273,rngCadetNames,0)),"?"))</f>
        <v/>
      </c>
      <c r="F273" s="16" t="n"/>
      <c r="G273" s="16" t="n"/>
      <c r="H273" s="19">
        <f>IF(OR($D273="",$C273=""),"",_xlfn.LET(_xlpm.dn,IFERROR(_xlfn.XLOOKUP($C273,nrCDdate,nrCDnum),""),IF(_xlpm.dn="","(not a class day)",IFERROR(_xlfn.XLOOKUP(_xlpm.dn+cfgMemoDueClassDays,nrCDnum,nrCDdate),""))))</f>
        <v/>
      </c>
      <c r="I273" s="18" t="n"/>
      <c r="J273" s="19">
        <f>IF($D273="","",IF($I273&lt;&gt;"",$I273,IF(ISNUMBER($H273),$H273,"")))</f>
        <v/>
      </c>
      <c r="K273" s="18" t="n"/>
      <c r="L273" s="17">
        <f>IF($D273="","",IF($K273&lt;&gt;"","Received "&amp;TEXT($K273,"mm/dd"),IF(AND(ISNUMBER($J273),TODAY()&gt;$J273),"OVERDUE","Pending")))</f>
        <v/>
      </c>
      <c r="M273" s="16" t="n"/>
      <c r="N273" s="16" t="n"/>
    </row>
    <row r="274">
      <c r="B274" s="17">
        <f>IF($D274="","","ME"&amp;TEXT(ROW()-5,"000"))</f>
        <v/>
      </c>
      <c r="C274" s="18" t="n"/>
      <c r="D274" s="16" t="n"/>
      <c r="E274" s="17">
        <f>IF($D274="","",IFERROR(INDEX(rngCadetPIDs,MATCH($D274,rngCadetNames,0)),"?"))</f>
        <v/>
      </c>
      <c r="F274" s="16" t="n"/>
      <c r="G274" s="16" t="n"/>
      <c r="H274" s="19">
        <f>IF(OR($D274="",$C274=""),"",_xlfn.LET(_xlpm.dn,IFERROR(_xlfn.XLOOKUP($C274,nrCDdate,nrCDnum),""),IF(_xlpm.dn="","(not a class day)",IFERROR(_xlfn.XLOOKUP(_xlpm.dn+cfgMemoDueClassDays,nrCDnum,nrCDdate),""))))</f>
        <v/>
      </c>
      <c r="I274" s="18" t="n"/>
      <c r="J274" s="19">
        <f>IF($D274="","",IF($I274&lt;&gt;"",$I274,IF(ISNUMBER($H274),$H274,"")))</f>
        <v/>
      </c>
      <c r="K274" s="18" t="n"/>
      <c r="L274" s="17">
        <f>IF($D274="","",IF($K274&lt;&gt;"","Received "&amp;TEXT($K274,"mm/dd"),IF(AND(ISNUMBER($J274),TODAY()&gt;$J274),"OVERDUE","Pending")))</f>
        <v/>
      </c>
      <c r="M274" s="16" t="n"/>
      <c r="N274" s="16" t="n"/>
    </row>
    <row r="275">
      <c r="B275" s="17">
        <f>IF($D275="","","ME"&amp;TEXT(ROW()-5,"000"))</f>
        <v/>
      </c>
      <c r="C275" s="18" t="n"/>
      <c r="D275" s="16" t="n"/>
      <c r="E275" s="17">
        <f>IF($D275="","",IFERROR(INDEX(rngCadetPIDs,MATCH($D275,rngCadetNames,0)),"?"))</f>
        <v/>
      </c>
      <c r="F275" s="16" t="n"/>
      <c r="G275" s="16" t="n"/>
      <c r="H275" s="19">
        <f>IF(OR($D275="",$C275=""),"",_xlfn.LET(_xlpm.dn,IFERROR(_xlfn.XLOOKUP($C275,nrCDdate,nrCDnum),""),IF(_xlpm.dn="","(not a class day)",IFERROR(_xlfn.XLOOKUP(_xlpm.dn+cfgMemoDueClassDays,nrCDnum,nrCDdate),""))))</f>
        <v/>
      </c>
      <c r="I275" s="18" t="n"/>
      <c r="J275" s="19">
        <f>IF($D275="","",IF($I275&lt;&gt;"",$I275,IF(ISNUMBER($H275),$H275,"")))</f>
        <v/>
      </c>
      <c r="K275" s="18" t="n"/>
      <c r="L275" s="17">
        <f>IF($D275="","",IF($K275&lt;&gt;"","Received "&amp;TEXT($K275,"mm/dd"),IF(AND(ISNUMBER($J275),TODAY()&gt;$J275),"OVERDUE","Pending")))</f>
        <v/>
      </c>
      <c r="M275" s="16" t="n"/>
      <c r="N275" s="16" t="n"/>
    </row>
    <row r="276">
      <c r="B276" s="17">
        <f>IF($D276="","","ME"&amp;TEXT(ROW()-5,"000"))</f>
        <v/>
      </c>
      <c r="C276" s="18" t="n"/>
      <c r="D276" s="16" t="n"/>
      <c r="E276" s="17">
        <f>IF($D276="","",IFERROR(INDEX(rngCadetPIDs,MATCH($D276,rngCadetNames,0)),"?"))</f>
        <v/>
      </c>
      <c r="F276" s="16" t="n"/>
      <c r="G276" s="16" t="n"/>
      <c r="H276" s="19">
        <f>IF(OR($D276="",$C276=""),"",_xlfn.LET(_xlpm.dn,IFERROR(_xlfn.XLOOKUP($C276,nrCDdate,nrCDnum),""),IF(_xlpm.dn="","(not a class day)",IFERROR(_xlfn.XLOOKUP(_xlpm.dn+cfgMemoDueClassDays,nrCDnum,nrCDdate),""))))</f>
        <v/>
      </c>
      <c r="I276" s="18" t="n"/>
      <c r="J276" s="19">
        <f>IF($D276="","",IF($I276&lt;&gt;"",$I276,IF(ISNUMBER($H276),$H276,"")))</f>
        <v/>
      </c>
      <c r="K276" s="18" t="n"/>
      <c r="L276" s="17">
        <f>IF($D276="","",IF($K276&lt;&gt;"","Received "&amp;TEXT($K276,"mm/dd"),IF(AND(ISNUMBER($J276),TODAY()&gt;$J276),"OVERDUE","Pending")))</f>
        <v/>
      </c>
      <c r="M276" s="16" t="n"/>
      <c r="N276" s="16" t="n"/>
    </row>
    <row r="277">
      <c r="B277" s="17">
        <f>IF($D277="","","ME"&amp;TEXT(ROW()-5,"000"))</f>
        <v/>
      </c>
      <c r="C277" s="18" t="n"/>
      <c r="D277" s="16" t="n"/>
      <c r="E277" s="17">
        <f>IF($D277="","",IFERROR(INDEX(rngCadetPIDs,MATCH($D277,rngCadetNames,0)),"?"))</f>
        <v/>
      </c>
      <c r="F277" s="16" t="n"/>
      <c r="G277" s="16" t="n"/>
      <c r="H277" s="19">
        <f>IF(OR($D277="",$C277=""),"",_xlfn.LET(_xlpm.dn,IFERROR(_xlfn.XLOOKUP($C277,nrCDdate,nrCDnum),""),IF(_xlpm.dn="","(not a class day)",IFERROR(_xlfn.XLOOKUP(_xlpm.dn+cfgMemoDueClassDays,nrCDnum,nrCDdate),""))))</f>
        <v/>
      </c>
      <c r="I277" s="18" t="n"/>
      <c r="J277" s="19">
        <f>IF($D277="","",IF($I277&lt;&gt;"",$I277,IF(ISNUMBER($H277),$H277,"")))</f>
        <v/>
      </c>
      <c r="K277" s="18" t="n"/>
      <c r="L277" s="17">
        <f>IF($D277="","",IF($K277&lt;&gt;"","Received "&amp;TEXT($K277,"mm/dd"),IF(AND(ISNUMBER($J277),TODAY()&gt;$J277),"OVERDUE","Pending")))</f>
        <v/>
      </c>
      <c r="M277" s="16" t="n"/>
      <c r="N277" s="16" t="n"/>
    </row>
    <row r="278">
      <c r="B278" s="17">
        <f>IF($D278="","","ME"&amp;TEXT(ROW()-5,"000"))</f>
        <v/>
      </c>
      <c r="C278" s="18" t="n"/>
      <c r="D278" s="16" t="n"/>
      <c r="E278" s="17">
        <f>IF($D278="","",IFERROR(INDEX(rngCadetPIDs,MATCH($D278,rngCadetNames,0)),"?"))</f>
        <v/>
      </c>
      <c r="F278" s="16" t="n"/>
      <c r="G278" s="16" t="n"/>
      <c r="H278" s="19">
        <f>IF(OR($D278="",$C278=""),"",_xlfn.LET(_xlpm.dn,IFERROR(_xlfn.XLOOKUP($C278,nrCDdate,nrCDnum),""),IF(_xlpm.dn="","(not a class day)",IFERROR(_xlfn.XLOOKUP(_xlpm.dn+cfgMemoDueClassDays,nrCDnum,nrCDdate),""))))</f>
        <v/>
      </c>
      <c r="I278" s="18" t="n"/>
      <c r="J278" s="19">
        <f>IF($D278="","",IF($I278&lt;&gt;"",$I278,IF(ISNUMBER($H278),$H278,"")))</f>
        <v/>
      </c>
      <c r="K278" s="18" t="n"/>
      <c r="L278" s="17">
        <f>IF($D278="","",IF($K278&lt;&gt;"","Received "&amp;TEXT($K278,"mm/dd"),IF(AND(ISNUMBER($J278),TODAY()&gt;$J278),"OVERDUE","Pending")))</f>
        <v/>
      </c>
      <c r="M278" s="16" t="n"/>
      <c r="N278" s="16" t="n"/>
    </row>
    <row r="279">
      <c r="B279" s="17">
        <f>IF($D279="","","ME"&amp;TEXT(ROW()-5,"000"))</f>
        <v/>
      </c>
      <c r="C279" s="18" t="n"/>
      <c r="D279" s="16" t="n"/>
      <c r="E279" s="17">
        <f>IF($D279="","",IFERROR(INDEX(rngCadetPIDs,MATCH($D279,rngCadetNames,0)),"?"))</f>
        <v/>
      </c>
      <c r="F279" s="16" t="n"/>
      <c r="G279" s="16" t="n"/>
      <c r="H279" s="19">
        <f>IF(OR($D279="",$C279=""),"",_xlfn.LET(_xlpm.dn,IFERROR(_xlfn.XLOOKUP($C279,nrCDdate,nrCDnum),""),IF(_xlpm.dn="","(not a class day)",IFERROR(_xlfn.XLOOKUP(_xlpm.dn+cfgMemoDueClassDays,nrCDnum,nrCDdate),""))))</f>
        <v/>
      </c>
      <c r="I279" s="18" t="n"/>
      <c r="J279" s="19">
        <f>IF($D279="","",IF($I279&lt;&gt;"",$I279,IF(ISNUMBER($H279),$H279,"")))</f>
        <v/>
      </c>
      <c r="K279" s="18" t="n"/>
      <c r="L279" s="17">
        <f>IF($D279="","",IF($K279&lt;&gt;"","Received "&amp;TEXT($K279,"mm/dd"),IF(AND(ISNUMBER($J279),TODAY()&gt;$J279),"OVERDUE","Pending")))</f>
        <v/>
      </c>
      <c r="M279" s="16" t="n"/>
      <c r="N279" s="16" t="n"/>
    </row>
    <row r="280">
      <c r="B280" s="17">
        <f>IF($D280="","","ME"&amp;TEXT(ROW()-5,"000"))</f>
        <v/>
      </c>
      <c r="C280" s="18" t="n"/>
      <c r="D280" s="16" t="n"/>
      <c r="E280" s="17">
        <f>IF($D280="","",IFERROR(INDEX(rngCadetPIDs,MATCH($D280,rngCadetNames,0)),"?"))</f>
        <v/>
      </c>
      <c r="F280" s="16" t="n"/>
      <c r="G280" s="16" t="n"/>
      <c r="H280" s="19">
        <f>IF(OR($D280="",$C280=""),"",_xlfn.LET(_xlpm.dn,IFERROR(_xlfn.XLOOKUP($C280,nrCDdate,nrCDnum),""),IF(_xlpm.dn="","(not a class day)",IFERROR(_xlfn.XLOOKUP(_xlpm.dn+cfgMemoDueClassDays,nrCDnum,nrCDdate),""))))</f>
        <v/>
      </c>
      <c r="I280" s="18" t="n"/>
      <c r="J280" s="19">
        <f>IF($D280="","",IF($I280&lt;&gt;"",$I280,IF(ISNUMBER($H280),$H280,"")))</f>
        <v/>
      </c>
      <c r="K280" s="18" t="n"/>
      <c r="L280" s="17">
        <f>IF($D280="","",IF($K280&lt;&gt;"","Received "&amp;TEXT($K280,"mm/dd"),IF(AND(ISNUMBER($J280),TODAY()&gt;$J280),"OVERDUE","Pending")))</f>
        <v/>
      </c>
      <c r="M280" s="16" t="n"/>
      <c r="N280" s="16" t="n"/>
    </row>
    <row r="281">
      <c r="B281" s="17">
        <f>IF($D281="","","ME"&amp;TEXT(ROW()-5,"000"))</f>
        <v/>
      </c>
      <c r="C281" s="18" t="n"/>
      <c r="D281" s="16" t="n"/>
      <c r="E281" s="17">
        <f>IF($D281="","",IFERROR(INDEX(rngCadetPIDs,MATCH($D281,rngCadetNames,0)),"?"))</f>
        <v/>
      </c>
      <c r="F281" s="16" t="n"/>
      <c r="G281" s="16" t="n"/>
      <c r="H281" s="19">
        <f>IF(OR($D281="",$C281=""),"",_xlfn.LET(_xlpm.dn,IFERROR(_xlfn.XLOOKUP($C281,nrCDdate,nrCDnum),""),IF(_xlpm.dn="","(not a class day)",IFERROR(_xlfn.XLOOKUP(_xlpm.dn+cfgMemoDueClassDays,nrCDnum,nrCDdate),""))))</f>
        <v/>
      </c>
      <c r="I281" s="18" t="n"/>
      <c r="J281" s="19">
        <f>IF($D281="","",IF($I281&lt;&gt;"",$I281,IF(ISNUMBER($H281),$H281,"")))</f>
        <v/>
      </c>
      <c r="K281" s="18" t="n"/>
      <c r="L281" s="17">
        <f>IF($D281="","",IF($K281&lt;&gt;"","Received "&amp;TEXT($K281,"mm/dd"),IF(AND(ISNUMBER($J281),TODAY()&gt;$J281),"OVERDUE","Pending")))</f>
        <v/>
      </c>
      <c r="M281" s="16" t="n"/>
      <c r="N281" s="16" t="n"/>
    </row>
    <row r="282">
      <c r="B282" s="17">
        <f>IF($D282="","","ME"&amp;TEXT(ROW()-5,"000"))</f>
        <v/>
      </c>
      <c r="C282" s="18" t="n"/>
      <c r="D282" s="16" t="n"/>
      <c r="E282" s="17">
        <f>IF($D282="","",IFERROR(INDEX(rngCadetPIDs,MATCH($D282,rngCadetNames,0)),"?"))</f>
        <v/>
      </c>
      <c r="F282" s="16" t="n"/>
      <c r="G282" s="16" t="n"/>
      <c r="H282" s="19">
        <f>IF(OR($D282="",$C282=""),"",_xlfn.LET(_xlpm.dn,IFERROR(_xlfn.XLOOKUP($C282,nrCDdate,nrCDnum),""),IF(_xlpm.dn="","(not a class day)",IFERROR(_xlfn.XLOOKUP(_xlpm.dn+cfgMemoDueClassDays,nrCDnum,nrCDdate),""))))</f>
        <v/>
      </c>
      <c r="I282" s="18" t="n"/>
      <c r="J282" s="19">
        <f>IF($D282="","",IF($I282&lt;&gt;"",$I282,IF(ISNUMBER($H282),$H282,"")))</f>
        <v/>
      </c>
      <c r="K282" s="18" t="n"/>
      <c r="L282" s="17">
        <f>IF($D282="","",IF($K282&lt;&gt;"","Received "&amp;TEXT($K282,"mm/dd"),IF(AND(ISNUMBER($J282),TODAY()&gt;$J282),"OVERDUE","Pending")))</f>
        <v/>
      </c>
      <c r="M282" s="16" t="n"/>
      <c r="N282" s="16" t="n"/>
    </row>
    <row r="283">
      <c r="B283" s="17">
        <f>IF($D283="","","ME"&amp;TEXT(ROW()-5,"000"))</f>
        <v/>
      </c>
      <c r="C283" s="18" t="n"/>
      <c r="D283" s="16" t="n"/>
      <c r="E283" s="17">
        <f>IF($D283="","",IFERROR(INDEX(rngCadetPIDs,MATCH($D283,rngCadetNames,0)),"?"))</f>
        <v/>
      </c>
      <c r="F283" s="16" t="n"/>
      <c r="G283" s="16" t="n"/>
      <c r="H283" s="19">
        <f>IF(OR($D283="",$C283=""),"",_xlfn.LET(_xlpm.dn,IFERROR(_xlfn.XLOOKUP($C283,nrCDdate,nrCDnum),""),IF(_xlpm.dn="","(not a class day)",IFERROR(_xlfn.XLOOKUP(_xlpm.dn+cfgMemoDueClassDays,nrCDnum,nrCDdate),""))))</f>
        <v/>
      </c>
      <c r="I283" s="18" t="n"/>
      <c r="J283" s="19">
        <f>IF($D283="","",IF($I283&lt;&gt;"",$I283,IF(ISNUMBER($H283),$H283,"")))</f>
        <v/>
      </c>
      <c r="K283" s="18" t="n"/>
      <c r="L283" s="17">
        <f>IF($D283="","",IF($K283&lt;&gt;"","Received "&amp;TEXT($K283,"mm/dd"),IF(AND(ISNUMBER($J283),TODAY()&gt;$J283),"OVERDUE","Pending")))</f>
        <v/>
      </c>
      <c r="M283" s="16" t="n"/>
      <c r="N283" s="16" t="n"/>
    </row>
    <row r="284">
      <c r="B284" s="17">
        <f>IF($D284="","","ME"&amp;TEXT(ROW()-5,"000"))</f>
        <v/>
      </c>
      <c r="C284" s="18" t="n"/>
      <c r="D284" s="16" t="n"/>
      <c r="E284" s="17">
        <f>IF($D284="","",IFERROR(INDEX(rngCadetPIDs,MATCH($D284,rngCadetNames,0)),"?"))</f>
        <v/>
      </c>
      <c r="F284" s="16" t="n"/>
      <c r="G284" s="16" t="n"/>
      <c r="H284" s="19">
        <f>IF(OR($D284="",$C284=""),"",_xlfn.LET(_xlpm.dn,IFERROR(_xlfn.XLOOKUP($C284,nrCDdate,nrCDnum),""),IF(_xlpm.dn="","(not a class day)",IFERROR(_xlfn.XLOOKUP(_xlpm.dn+cfgMemoDueClassDays,nrCDnum,nrCDdate),""))))</f>
        <v/>
      </c>
      <c r="I284" s="18" t="n"/>
      <c r="J284" s="19">
        <f>IF($D284="","",IF($I284&lt;&gt;"",$I284,IF(ISNUMBER($H284),$H284,"")))</f>
        <v/>
      </c>
      <c r="K284" s="18" t="n"/>
      <c r="L284" s="17">
        <f>IF($D284="","",IF($K284&lt;&gt;"","Received "&amp;TEXT($K284,"mm/dd"),IF(AND(ISNUMBER($J284),TODAY()&gt;$J284),"OVERDUE","Pending")))</f>
        <v/>
      </c>
      <c r="M284" s="16" t="n"/>
      <c r="N284" s="16" t="n"/>
    </row>
    <row r="285">
      <c r="B285" s="17">
        <f>IF($D285="","","ME"&amp;TEXT(ROW()-5,"000"))</f>
        <v/>
      </c>
      <c r="C285" s="18" t="n"/>
      <c r="D285" s="16" t="n"/>
      <c r="E285" s="17">
        <f>IF($D285="","",IFERROR(INDEX(rngCadetPIDs,MATCH($D285,rngCadetNames,0)),"?"))</f>
        <v/>
      </c>
      <c r="F285" s="16" t="n"/>
      <c r="G285" s="16" t="n"/>
      <c r="H285" s="19">
        <f>IF(OR($D285="",$C285=""),"",_xlfn.LET(_xlpm.dn,IFERROR(_xlfn.XLOOKUP($C285,nrCDdate,nrCDnum),""),IF(_xlpm.dn="","(not a class day)",IFERROR(_xlfn.XLOOKUP(_xlpm.dn+cfgMemoDueClassDays,nrCDnum,nrCDdate),""))))</f>
        <v/>
      </c>
      <c r="I285" s="18" t="n"/>
      <c r="J285" s="19">
        <f>IF($D285="","",IF($I285&lt;&gt;"",$I285,IF(ISNUMBER($H285),$H285,"")))</f>
        <v/>
      </c>
      <c r="K285" s="18" t="n"/>
      <c r="L285" s="17">
        <f>IF($D285="","",IF($K285&lt;&gt;"","Received "&amp;TEXT($K285,"mm/dd"),IF(AND(ISNUMBER($J285),TODAY()&gt;$J285),"OVERDUE","Pending")))</f>
        <v/>
      </c>
      <c r="M285" s="16" t="n"/>
      <c r="N285" s="16" t="n"/>
    </row>
    <row r="286">
      <c r="B286" s="17">
        <f>IF($D286="","","ME"&amp;TEXT(ROW()-5,"000"))</f>
        <v/>
      </c>
      <c r="C286" s="18" t="n"/>
      <c r="D286" s="16" t="n"/>
      <c r="E286" s="17">
        <f>IF($D286="","",IFERROR(INDEX(rngCadetPIDs,MATCH($D286,rngCadetNames,0)),"?"))</f>
        <v/>
      </c>
      <c r="F286" s="16" t="n"/>
      <c r="G286" s="16" t="n"/>
      <c r="H286" s="19">
        <f>IF(OR($D286="",$C286=""),"",_xlfn.LET(_xlpm.dn,IFERROR(_xlfn.XLOOKUP($C286,nrCDdate,nrCDnum),""),IF(_xlpm.dn="","(not a class day)",IFERROR(_xlfn.XLOOKUP(_xlpm.dn+cfgMemoDueClassDays,nrCDnum,nrCDdate),""))))</f>
        <v/>
      </c>
      <c r="I286" s="18" t="n"/>
      <c r="J286" s="19">
        <f>IF($D286="","",IF($I286&lt;&gt;"",$I286,IF(ISNUMBER($H286),$H286,"")))</f>
        <v/>
      </c>
      <c r="K286" s="18" t="n"/>
      <c r="L286" s="17">
        <f>IF($D286="","",IF($K286&lt;&gt;"","Received "&amp;TEXT($K286,"mm/dd"),IF(AND(ISNUMBER($J286),TODAY()&gt;$J286),"OVERDUE","Pending")))</f>
        <v/>
      </c>
      <c r="M286" s="16" t="n"/>
      <c r="N286" s="16" t="n"/>
    </row>
    <row r="287">
      <c r="B287" s="17">
        <f>IF($D287="","","ME"&amp;TEXT(ROW()-5,"000"))</f>
        <v/>
      </c>
      <c r="C287" s="18" t="n"/>
      <c r="D287" s="16" t="n"/>
      <c r="E287" s="17">
        <f>IF($D287="","",IFERROR(INDEX(rngCadetPIDs,MATCH($D287,rngCadetNames,0)),"?"))</f>
        <v/>
      </c>
      <c r="F287" s="16" t="n"/>
      <c r="G287" s="16" t="n"/>
      <c r="H287" s="19">
        <f>IF(OR($D287="",$C287=""),"",_xlfn.LET(_xlpm.dn,IFERROR(_xlfn.XLOOKUP($C287,nrCDdate,nrCDnum),""),IF(_xlpm.dn="","(not a class day)",IFERROR(_xlfn.XLOOKUP(_xlpm.dn+cfgMemoDueClassDays,nrCDnum,nrCDdate),""))))</f>
        <v/>
      </c>
      <c r="I287" s="18" t="n"/>
      <c r="J287" s="19">
        <f>IF($D287="","",IF($I287&lt;&gt;"",$I287,IF(ISNUMBER($H287),$H287,"")))</f>
        <v/>
      </c>
      <c r="K287" s="18" t="n"/>
      <c r="L287" s="17">
        <f>IF($D287="","",IF($K287&lt;&gt;"","Received "&amp;TEXT($K287,"mm/dd"),IF(AND(ISNUMBER($J287),TODAY()&gt;$J287),"OVERDUE","Pending")))</f>
        <v/>
      </c>
      <c r="M287" s="16" t="n"/>
      <c r="N287" s="16" t="n"/>
    </row>
    <row r="288">
      <c r="B288" s="17">
        <f>IF($D288="","","ME"&amp;TEXT(ROW()-5,"000"))</f>
        <v/>
      </c>
      <c r="C288" s="18" t="n"/>
      <c r="D288" s="16" t="n"/>
      <c r="E288" s="17">
        <f>IF($D288="","",IFERROR(INDEX(rngCadetPIDs,MATCH($D288,rngCadetNames,0)),"?"))</f>
        <v/>
      </c>
      <c r="F288" s="16" t="n"/>
      <c r="G288" s="16" t="n"/>
      <c r="H288" s="19">
        <f>IF(OR($D288="",$C288=""),"",_xlfn.LET(_xlpm.dn,IFERROR(_xlfn.XLOOKUP($C288,nrCDdate,nrCDnum),""),IF(_xlpm.dn="","(not a class day)",IFERROR(_xlfn.XLOOKUP(_xlpm.dn+cfgMemoDueClassDays,nrCDnum,nrCDdate),""))))</f>
        <v/>
      </c>
      <c r="I288" s="18" t="n"/>
      <c r="J288" s="19">
        <f>IF($D288="","",IF($I288&lt;&gt;"",$I288,IF(ISNUMBER($H288),$H288,"")))</f>
        <v/>
      </c>
      <c r="K288" s="18" t="n"/>
      <c r="L288" s="17">
        <f>IF($D288="","",IF($K288&lt;&gt;"","Received "&amp;TEXT($K288,"mm/dd"),IF(AND(ISNUMBER($J288),TODAY()&gt;$J288),"OVERDUE","Pending")))</f>
        <v/>
      </c>
      <c r="M288" s="16" t="n"/>
      <c r="N288" s="16" t="n"/>
    </row>
    <row r="289">
      <c r="B289" s="17">
        <f>IF($D289="","","ME"&amp;TEXT(ROW()-5,"000"))</f>
        <v/>
      </c>
      <c r="C289" s="18" t="n"/>
      <c r="D289" s="16" t="n"/>
      <c r="E289" s="17">
        <f>IF($D289="","",IFERROR(INDEX(rngCadetPIDs,MATCH($D289,rngCadetNames,0)),"?"))</f>
        <v/>
      </c>
      <c r="F289" s="16" t="n"/>
      <c r="G289" s="16" t="n"/>
      <c r="H289" s="19">
        <f>IF(OR($D289="",$C289=""),"",_xlfn.LET(_xlpm.dn,IFERROR(_xlfn.XLOOKUP($C289,nrCDdate,nrCDnum),""),IF(_xlpm.dn="","(not a class day)",IFERROR(_xlfn.XLOOKUP(_xlpm.dn+cfgMemoDueClassDays,nrCDnum,nrCDdate),""))))</f>
        <v/>
      </c>
      <c r="I289" s="18" t="n"/>
      <c r="J289" s="19">
        <f>IF($D289="","",IF($I289&lt;&gt;"",$I289,IF(ISNUMBER($H289),$H289,"")))</f>
        <v/>
      </c>
      <c r="K289" s="18" t="n"/>
      <c r="L289" s="17">
        <f>IF($D289="","",IF($K289&lt;&gt;"","Received "&amp;TEXT($K289,"mm/dd"),IF(AND(ISNUMBER($J289),TODAY()&gt;$J289),"OVERDUE","Pending")))</f>
        <v/>
      </c>
      <c r="M289" s="16" t="n"/>
      <c r="N289" s="16" t="n"/>
    </row>
    <row r="290">
      <c r="B290" s="17">
        <f>IF($D290="","","ME"&amp;TEXT(ROW()-5,"000"))</f>
        <v/>
      </c>
      <c r="C290" s="18" t="n"/>
      <c r="D290" s="16" t="n"/>
      <c r="E290" s="17">
        <f>IF($D290="","",IFERROR(INDEX(rngCadetPIDs,MATCH($D290,rngCadetNames,0)),"?"))</f>
        <v/>
      </c>
      <c r="F290" s="16" t="n"/>
      <c r="G290" s="16" t="n"/>
      <c r="H290" s="19">
        <f>IF(OR($D290="",$C290=""),"",_xlfn.LET(_xlpm.dn,IFERROR(_xlfn.XLOOKUP($C290,nrCDdate,nrCDnum),""),IF(_xlpm.dn="","(not a class day)",IFERROR(_xlfn.XLOOKUP(_xlpm.dn+cfgMemoDueClassDays,nrCDnum,nrCDdate),""))))</f>
        <v/>
      </c>
      <c r="I290" s="18" t="n"/>
      <c r="J290" s="19">
        <f>IF($D290="","",IF($I290&lt;&gt;"",$I290,IF(ISNUMBER($H290),$H290,"")))</f>
        <v/>
      </c>
      <c r="K290" s="18" t="n"/>
      <c r="L290" s="17">
        <f>IF($D290="","",IF($K290&lt;&gt;"","Received "&amp;TEXT($K290,"mm/dd"),IF(AND(ISNUMBER($J290),TODAY()&gt;$J290),"OVERDUE","Pending")))</f>
        <v/>
      </c>
      <c r="M290" s="16" t="n"/>
      <c r="N290" s="16" t="n"/>
    </row>
    <row r="291">
      <c r="B291" s="17">
        <f>IF($D291="","","ME"&amp;TEXT(ROW()-5,"000"))</f>
        <v/>
      </c>
      <c r="C291" s="18" t="n"/>
      <c r="D291" s="16" t="n"/>
      <c r="E291" s="17">
        <f>IF($D291="","",IFERROR(INDEX(rngCadetPIDs,MATCH($D291,rngCadetNames,0)),"?"))</f>
        <v/>
      </c>
      <c r="F291" s="16" t="n"/>
      <c r="G291" s="16" t="n"/>
      <c r="H291" s="19">
        <f>IF(OR($D291="",$C291=""),"",_xlfn.LET(_xlpm.dn,IFERROR(_xlfn.XLOOKUP($C291,nrCDdate,nrCDnum),""),IF(_xlpm.dn="","(not a class day)",IFERROR(_xlfn.XLOOKUP(_xlpm.dn+cfgMemoDueClassDays,nrCDnum,nrCDdate),""))))</f>
        <v/>
      </c>
      <c r="I291" s="18" t="n"/>
      <c r="J291" s="19">
        <f>IF($D291="","",IF($I291&lt;&gt;"",$I291,IF(ISNUMBER($H291),$H291,"")))</f>
        <v/>
      </c>
      <c r="K291" s="18" t="n"/>
      <c r="L291" s="17">
        <f>IF($D291="","",IF($K291&lt;&gt;"","Received "&amp;TEXT($K291,"mm/dd"),IF(AND(ISNUMBER($J291),TODAY()&gt;$J291),"OVERDUE","Pending")))</f>
        <v/>
      </c>
      <c r="M291" s="16" t="n"/>
      <c r="N291" s="16" t="n"/>
    </row>
    <row r="292">
      <c r="B292" s="17">
        <f>IF($D292="","","ME"&amp;TEXT(ROW()-5,"000"))</f>
        <v/>
      </c>
      <c r="C292" s="18" t="n"/>
      <c r="D292" s="16" t="n"/>
      <c r="E292" s="17">
        <f>IF($D292="","",IFERROR(INDEX(rngCadetPIDs,MATCH($D292,rngCadetNames,0)),"?"))</f>
        <v/>
      </c>
      <c r="F292" s="16" t="n"/>
      <c r="G292" s="16" t="n"/>
      <c r="H292" s="19">
        <f>IF(OR($D292="",$C292=""),"",_xlfn.LET(_xlpm.dn,IFERROR(_xlfn.XLOOKUP($C292,nrCDdate,nrCDnum),""),IF(_xlpm.dn="","(not a class day)",IFERROR(_xlfn.XLOOKUP(_xlpm.dn+cfgMemoDueClassDays,nrCDnum,nrCDdate),""))))</f>
        <v/>
      </c>
      <c r="I292" s="18" t="n"/>
      <c r="J292" s="19">
        <f>IF($D292="","",IF($I292&lt;&gt;"",$I292,IF(ISNUMBER($H292),$H292,"")))</f>
        <v/>
      </c>
      <c r="K292" s="18" t="n"/>
      <c r="L292" s="17">
        <f>IF($D292="","",IF($K292&lt;&gt;"","Received "&amp;TEXT($K292,"mm/dd"),IF(AND(ISNUMBER($J292),TODAY()&gt;$J292),"OVERDUE","Pending")))</f>
        <v/>
      </c>
      <c r="M292" s="16" t="n"/>
      <c r="N292" s="16" t="n"/>
    </row>
    <row r="293">
      <c r="B293" s="17">
        <f>IF($D293="","","ME"&amp;TEXT(ROW()-5,"000"))</f>
        <v/>
      </c>
      <c r="C293" s="18" t="n"/>
      <c r="D293" s="16" t="n"/>
      <c r="E293" s="17">
        <f>IF($D293="","",IFERROR(INDEX(rngCadetPIDs,MATCH($D293,rngCadetNames,0)),"?"))</f>
        <v/>
      </c>
      <c r="F293" s="16" t="n"/>
      <c r="G293" s="16" t="n"/>
      <c r="H293" s="19">
        <f>IF(OR($D293="",$C293=""),"",_xlfn.LET(_xlpm.dn,IFERROR(_xlfn.XLOOKUP($C293,nrCDdate,nrCDnum),""),IF(_xlpm.dn="","(not a class day)",IFERROR(_xlfn.XLOOKUP(_xlpm.dn+cfgMemoDueClassDays,nrCDnum,nrCDdate),""))))</f>
        <v/>
      </c>
      <c r="I293" s="18" t="n"/>
      <c r="J293" s="19">
        <f>IF($D293="","",IF($I293&lt;&gt;"",$I293,IF(ISNUMBER($H293),$H293,"")))</f>
        <v/>
      </c>
      <c r="K293" s="18" t="n"/>
      <c r="L293" s="17">
        <f>IF($D293="","",IF($K293&lt;&gt;"","Received "&amp;TEXT($K293,"mm/dd"),IF(AND(ISNUMBER($J293),TODAY()&gt;$J293),"OVERDUE","Pending")))</f>
        <v/>
      </c>
      <c r="M293" s="16" t="n"/>
      <c r="N293" s="16" t="n"/>
    </row>
    <row r="294">
      <c r="B294" s="17">
        <f>IF($D294="","","ME"&amp;TEXT(ROW()-5,"000"))</f>
        <v/>
      </c>
      <c r="C294" s="18" t="n"/>
      <c r="D294" s="16" t="n"/>
      <c r="E294" s="17">
        <f>IF($D294="","",IFERROR(INDEX(rngCadetPIDs,MATCH($D294,rngCadetNames,0)),"?"))</f>
        <v/>
      </c>
      <c r="F294" s="16" t="n"/>
      <c r="G294" s="16" t="n"/>
      <c r="H294" s="19">
        <f>IF(OR($D294="",$C294=""),"",_xlfn.LET(_xlpm.dn,IFERROR(_xlfn.XLOOKUP($C294,nrCDdate,nrCDnum),""),IF(_xlpm.dn="","(not a class day)",IFERROR(_xlfn.XLOOKUP(_xlpm.dn+cfgMemoDueClassDays,nrCDnum,nrCDdate),""))))</f>
        <v/>
      </c>
      <c r="I294" s="18" t="n"/>
      <c r="J294" s="19">
        <f>IF($D294="","",IF($I294&lt;&gt;"",$I294,IF(ISNUMBER($H294),$H294,"")))</f>
        <v/>
      </c>
      <c r="K294" s="18" t="n"/>
      <c r="L294" s="17">
        <f>IF($D294="","",IF($K294&lt;&gt;"","Received "&amp;TEXT($K294,"mm/dd"),IF(AND(ISNUMBER($J294),TODAY()&gt;$J294),"OVERDUE","Pending")))</f>
        <v/>
      </c>
      <c r="M294" s="16" t="n"/>
      <c r="N294" s="16" t="n"/>
    </row>
    <row r="295">
      <c r="B295" s="17">
        <f>IF($D295="","","ME"&amp;TEXT(ROW()-5,"000"))</f>
        <v/>
      </c>
      <c r="C295" s="18" t="n"/>
      <c r="D295" s="16" t="n"/>
      <c r="E295" s="17">
        <f>IF($D295="","",IFERROR(INDEX(rngCadetPIDs,MATCH($D295,rngCadetNames,0)),"?"))</f>
        <v/>
      </c>
      <c r="F295" s="16" t="n"/>
      <c r="G295" s="16" t="n"/>
      <c r="H295" s="19">
        <f>IF(OR($D295="",$C295=""),"",_xlfn.LET(_xlpm.dn,IFERROR(_xlfn.XLOOKUP($C295,nrCDdate,nrCDnum),""),IF(_xlpm.dn="","(not a class day)",IFERROR(_xlfn.XLOOKUP(_xlpm.dn+cfgMemoDueClassDays,nrCDnum,nrCDdate),""))))</f>
        <v/>
      </c>
      <c r="I295" s="18" t="n"/>
      <c r="J295" s="19">
        <f>IF($D295="","",IF($I295&lt;&gt;"",$I295,IF(ISNUMBER($H295),$H295,"")))</f>
        <v/>
      </c>
      <c r="K295" s="18" t="n"/>
      <c r="L295" s="17">
        <f>IF($D295="","",IF($K295&lt;&gt;"","Received "&amp;TEXT($K295,"mm/dd"),IF(AND(ISNUMBER($J295),TODAY()&gt;$J295),"OVERDUE","Pending")))</f>
        <v/>
      </c>
      <c r="M295" s="16" t="n"/>
      <c r="N295" s="16" t="n"/>
    </row>
    <row r="296">
      <c r="B296" s="17">
        <f>IF($D296="","","ME"&amp;TEXT(ROW()-5,"000"))</f>
        <v/>
      </c>
      <c r="C296" s="18" t="n"/>
      <c r="D296" s="16" t="n"/>
      <c r="E296" s="17">
        <f>IF($D296="","",IFERROR(INDEX(rngCadetPIDs,MATCH($D296,rngCadetNames,0)),"?"))</f>
        <v/>
      </c>
      <c r="F296" s="16" t="n"/>
      <c r="G296" s="16" t="n"/>
      <c r="H296" s="19">
        <f>IF(OR($D296="",$C296=""),"",_xlfn.LET(_xlpm.dn,IFERROR(_xlfn.XLOOKUP($C296,nrCDdate,nrCDnum),""),IF(_xlpm.dn="","(not a class day)",IFERROR(_xlfn.XLOOKUP(_xlpm.dn+cfgMemoDueClassDays,nrCDnum,nrCDdate),""))))</f>
        <v/>
      </c>
      <c r="I296" s="18" t="n"/>
      <c r="J296" s="19">
        <f>IF($D296="","",IF($I296&lt;&gt;"",$I296,IF(ISNUMBER($H296),$H296,"")))</f>
        <v/>
      </c>
      <c r="K296" s="18" t="n"/>
      <c r="L296" s="17">
        <f>IF($D296="","",IF($K296&lt;&gt;"","Received "&amp;TEXT($K296,"mm/dd"),IF(AND(ISNUMBER($J296),TODAY()&gt;$J296),"OVERDUE","Pending")))</f>
        <v/>
      </c>
      <c r="M296" s="16" t="n"/>
      <c r="N296" s="16" t="n"/>
    </row>
    <row r="297">
      <c r="B297" s="17">
        <f>IF($D297="","","ME"&amp;TEXT(ROW()-5,"000"))</f>
        <v/>
      </c>
      <c r="C297" s="18" t="n"/>
      <c r="D297" s="16" t="n"/>
      <c r="E297" s="17">
        <f>IF($D297="","",IFERROR(INDEX(rngCadetPIDs,MATCH($D297,rngCadetNames,0)),"?"))</f>
        <v/>
      </c>
      <c r="F297" s="16" t="n"/>
      <c r="G297" s="16" t="n"/>
      <c r="H297" s="19">
        <f>IF(OR($D297="",$C297=""),"",_xlfn.LET(_xlpm.dn,IFERROR(_xlfn.XLOOKUP($C297,nrCDdate,nrCDnum),""),IF(_xlpm.dn="","(not a class day)",IFERROR(_xlfn.XLOOKUP(_xlpm.dn+cfgMemoDueClassDays,nrCDnum,nrCDdate),""))))</f>
        <v/>
      </c>
      <c r="I297" s="18" t="n"/>
      <c r="J297" s="19">
        <f>IF($D297="","",IF($I297&lt;&gt;"",$I297,IF(ISNUMBER($H297),$H297,"")))</f>
        <v/>
      </c>
      <c r="K297" s="18" t="n"/>
      <c r="L297" s="17">
        <f>IF($D297="","",IF($K297&lt;&gt;"","Received "&amp;TEXT($K297,"mm/dd"),IF(AND(ISNUMBER($J297),TODAY()&gt;$J297),"OVERDUE","Pending")))</f>
        <v/>
      </c>
      <c r="M297" s="16" t="n"/>
      <c r="N297" s="16" t="n"/>
    </row>
    <row r="298">
      <c r="B298" s="17">
        <f>IF($D298="","","ME"&amp;TEXT(ROW()-5,"000"))</f>
        <v/>
      </c>
      <c r="C298" s="18" t="n"/>
      <c r="D298" s="16" t="n"/>
      <c r="E298" s="17">
        <f>IF($D298="","",IFERROR(INDEX(rngCadetPIDs,MATCH($D298,rngCadetNames,0)),"?"))</f>
        <v/>
      </c>
      <c r="F298" s="16" t="n"/>
      <c r="G298" s="16" t="n"/>
      <c r="H298" s="19">
        <f>IF(OR($D298="",$C298=""),"",_xlfn.LET(_xlpm.dn,IFERROR(_xlfn.XLOOKUP($C298,nrCDdate,nrCDnum),""),IF(_xlpm.dn="","(not a class day)",IFERROR(_xlfn.XLOOKUP(_xlpm.dn+cfgMemoDueClassDays,nrCDnum,nrCDdate),""))))</f>
        <v/>
      </c>
      <c r="I298" s="18" t="n"/>
      <c r="J298" s="19">
        <f>IF($D298="","",IF($I298&lt;&gt;"",$I298,IF(ISNUMBER($H298),$H298,"")))</f>
        <v/>
      </c>
      <c r="K298" s="18" t="n"/>
      <c r="L298" s="17">
        <f>IF($D298="","",IF($K298&lt;&gt;"","Received "&amp;TEXT($K298,"mm/dd"),IF(AND(ISNUMBER($J298),TODAY()&gt;$J298),"OVERDUE","Pending")))</f>
        <v/>
      </c>
      <c r="M298" s="16" t="n"/>
      <c r="N298" s="16" t="n"/>
    </row>
    <row r="299">
      <c r="B299" s="17">
        <f>IF($D299="","","ME"&amp;TEXT(ROW()-5,"000"))</f>
        <v/>
      </c>
      <c r="C299" s="18" t="n"/>
      <c r="D299" s="16" t="n"/>
      <c r="E299" s="17">
        <f>IF($D299="","",IFERROR(INDEX(rngCadetPIDs,MATCH($D299,rngCadetNames,0)),"?"))</f>
        <v/>
      </c>
      <c r="F299" s="16" t="n"/>
      <c r="G299" s="16" t="n"/>
      <c r="H299" s="19">
        <f>IF(OR($D299="",$C299=""),"",_xlfn.LET(_xlpm.dn,IFERROR(_xlfn.XLOOKUP($C299,nrCDdate,nrCDnum),""),IF(_xlpm.dn="","(not a class day)",IFERROR(_xlfn.XLOOKUP(_xlpm.dn+cfgMemoDueClassDays,nrCDnum,nrCDdate),""))))</f>
        <v/>
      </c>
      <c r="I299" s="18" t="n"/>
      <c r="J299" s="19">
        <f>IF($D299="","",IF($I299&lt;&gt;"",$I299,IF(ISNUMBER($H299),$H299,"")))</f>
        <v/>
      </c>
      <c r="K299" s="18" t="n"/>
      <c r="L299" s="17">
        <f>IF($D299="","",IF($K299&lt;&gt;"","Received "&amp;TEXT($K299,"mm/dd"),IF(AND(ISNUMBER($J299),TODAY()&gt;$J299),"OVERDUE","Pending")))</f>
        <v/>
      </c>
      <c r="M299" s="16" t="n"/>
      <c r="N299" s="16" t="n"/>
    </row>
    <row r="300">
      <c r="B300" s="17">
        <f>IF($D300="","","ME"&amp;TEXT(ROW()-5,"000"))</f>
        <v/>
      </c>
      <c r="C300" s="18" t="n"/>
      <c r="D300" s="16" t="n"/>
      <c r="E300" s="17">
        <f>IF($D300="","",IFERROR(INDEX(rngCadetPIDs,MATCH($D300,rngCadetNames,0)),"?"))</f>
        <v/>
      </c>
      <c r="F300" s="16" t="n"/>
      <c r="G300" s="16" t="n"/>
      <c r="H300" s="19">
        <f>IF(OR($D300="",$C300=""),"",_xlfn.LET(_xlpm.dn,IFERROR(_xlfn.XLOOKUP($C300,nrCDdate,nrCDnum),""),IF(_xlpm.dn="","(not a class day)",IFERROR(_xlfn.XLOOKUP(_xlpm.dn+cfgMemoDueClassDays,nrCDnum,nrCDdate),""))))</f>
        <v/>
      </c>
      <c r="I300" s="18" t="n"/>
      <c r="J300" s="19">
        <f>IF($D300="","",IF($I300&lt;&gt;"",$I300,IF(ISNUMBER($H300),$H300,"")))</f>
        <v/>
      </c>
      <c r="K300" s="18" t="n"/>
      <c r="L300" s="17">
        <f>IF($D300="","",IF($K300&lt;&gt;"","Received "&amp;TEXT($K300,"mm/dd"),IF(AND(ISNUMBER($J300),TODAY()&gt;$J300),"OVERDUE","Pending")))</f>
        <v/>
      </c>
      <c r="M300" s="16" t="n"/>
      <c r="N300" s="16" t="n"/>
    </row>
    <row r="301">
      <c r="B301" s="17">
        <f>IF($D301="","","ME"&amp;TEXT(ROW()-5,"000"))</f>
        <v/>
      </c>
      <c r="C301" s="18" t="n"/>
      <c r="D301" s="16" t="n"/>
      <c r="E301" s="17">
        <f>IF($D301="","",IFERROR(INDEX(rngCadetPIDs,MATCH($D301,rngCadetNames,0)),"?"))</f>
        <v/>
      </c>
      <c r="F301" s="16" t="n"/>
      <c r="G301" s="16" t="n"/>
      <c r="H301" s="19">
        <f>IF(OR($D301="",$C301=""),"",_xlfn.LET(_xlpm.dn,IFERROR(_xlfn.XLOOKUP($C301,nrCDdate,nrCDnum),""),IF(_xlpm.dn="","(not a class day)",IFERROR(_xlfn.XLOOKUP(_xlpm.dn+cfgMemoDueClassDays,nrCDnum,nrCDdate),""))))</f>
        <v/>
      </c>
      <c r="I301" s="18" t="n"/>
      <c r="J301" s="19">
        <f>IF($D301="","",IF($I301&lt;&gt;"",$I301,IF(ISNUMBER($H301),$H301,"")))</f>
        <v/>
      </c>
      <c r="K301" s="18" t="n"/>
      <c r="L301" s="17">
        <f>IF($D301="","",IF($K301&lt;&gt;"","Received "&amp;TEXT($K301,"mm/dd"),IF(AND(ISNUMBER($J301),TODAY()&gt;$J301),"OVERDUE","Pending")))</f>
        <v/>
      </c>
      <c r="M301" s="16" t="n"/>
      <c r="N301" s="16" t="n"/>
    </row>
    <row r="302">
      <c r="B302" s="17">
        <f>IF($D302="","","ME"&amp;TEXT(ROW()-5,"000"))</f>
        <v/>
      </c>
      <c r="C302" s="18" t="n"/>
      <c r="D302" s="16" t="n"/>
      <c r="E302" s="17">
        <f>IF($D302="","",IFERROR(INDEX(rngCadetPIDs,MATCH($D302,rngCadetNames,0)),"?"))</f>
        <v/>
      </c>
      <c r="F302" s="16" t="n"/>
      <c r="G302" s="16" t="n"/>
      <c r="H302" s="19">
        <f>IF(OR($D302="",$C302=""),"",_xlfn.LET(_xlpm.dn,IFERROR(_xlfn.XLOOKUP($C302,nrCDdate,nrCDnum),""),IF(_xlpm.dn="","(not a class day)",IFERROR(_xlfn.XLOOKUP(_xlpm.dn+cfgMemoDueClassDays,nrCDnum,nrCDdate),""))))</f>
        <v/>
      </c>
      <c r="I302" s="18" t="n"/>
      <c r="J302" s="19">
        <f>IF($D302="","",IF($I302&lt;&gt;"",$I302,IF(ISNUMBER($H302),$H302,"")))</f>
        <v/>
      </c>
      <c r="K302" s="18" t="n"/>
      <c r="L302" s="17">
        <f>IF($D302="","",IF($K302&lt;&gt;"","Received "&amp;TEXT($K302,"mm/dd"),IF(AND(ISNUMBER($J302),TODAY()&gt;$J302),"OVERDUE","Pending")))</f>
        <v/>
      </c>
      <c r="M302" s="16" t="n"/>
      <c r="N302" s="16" t="n"/>
    </row>
    <row r="303">
      <c r="B303" s="17">
        <f>IF($D303="","","ME"&amp;TEXT(ROW()-5,"000"))</f>
        <v/>
      </c>
      <c r="C303" s="18" t="n"/>
      <c r="D303" s="16" t="n"/>
      <c r="E303" s="17">
        <f>IF($D303="","",IFERROR(INDEX(rngCadetPIDs,MATCH($D303,rngCadetNames,0)),"?"))</f>
        <v/>
      </c>
      <c r="F303" s="16" t="n"/>
      <c r="G303" s="16" t="n"/>
      <c r="H303" s="19">
        <f>IF(OR($D303="",$C303=""),"",_xlfn.LET(_xlpm.dn,IFERROR(_xlfn.XLOOKUP($C303,nrCDdate,nrCDnum),""),IF(_xlpm.dn="","(not a class day)",IFERROR(_xlfn.XLOOKUP(_xlpm.dn+cfgMemoDueClassDays,nrCDnum,nrCDdate),""))))</f>
        <v/>
      </c>
      <c r="I303" s="18" t="n"/>
      <c r="J303" s="19">
        <f>IF($D303="","",IF($I303&lt;&gt;"",$I303,IF(ISNUMBER($H303),$H303,"")))</f>
        <v/>
      </c>
      <c r="K303" s="18" t="n"/>
      <c r="L303" s="17">
        <f>IF($D303="","",IF($K303&lt;&gt;"","Received "&amp;TEXT($K303,"mm/dd"),IF(AND(ISNUMBER($J303),TODAY()&gt;$J303),"OVERDUE","Pending")))</f>
        <v/>
      </c>
      <c r="M303" s="16" t="n"/>
      <c r="N303" s="16" t="n"/>
    </row>
    <row r="304">
      <c r="B304" s="17">
        <f>IF($D304="","","ME"&amp;TEXT(ROW()-5,"000"))</f>
        <v/>
      </c>
      <c r="C304" s="18" t="n"/>
      <c r="D304" s="16" t="n"/>
      <c r="E304" s="17">
        <f>IF($D304="","",IFERROR(INDEX(rngCadetPIDs,MATCH($D304,rngCadetNames,0)),"?"))</f>
        <v/>
      </c>
      <c r="F304" s="16" t="n"/>
      <c r="G304" s="16" t="n"/>
      <c r="H304" s="19">
        <f>IF(OR($D304="",$C304=""),"",_xlfn.LET(_xlpm.dn,IFERROR(_xlfn.XLOOKUP($C304,nrCDdate,nrCDnum),""),IF(_xlpm.dn="","(not a class day)",IFERROR(_xlfn.XLOOKUP(_xlpm.dn+cfgMemoDueClassDays,nrCDnum,nrCDdate),""))))</f>
        <v/>
      </c>
      <c r="I304" s="18" t="n"/>
      <c r="J304" s="19">
        <f>IF($D304="","",IF($I304&lt;&gt;"",$I304,IF(ISNUMBER($H304),$H304,"")))</f>
        <v/>
      </c>
      <c r="K304" s="18" t="n"/>
      <c r="L304" s="17">
        <f>IF($D304="","",IF($K304&lt;&gt;"","Received "&amp;TEXT($K304,"mm/dd"),IF(AND(ISNUMBER($J304),TODAY()&gt;$J304),"OVERDUE","Pending")))</f>
        <v/>
      </c>
      <c r="M304" s="16" t="n"/>
      <c r="N304" s="16" t="n"/>
    </row>
    <row r="305">
      <c r="B305" s="17">
        <f>IF($D305="","","ME"&amp;TEXT(ROW()-5,"000"))</f>
        <v/>
      </c>
      <c r="C305" s="18" t="n"/>
      <c r="D305" s="16" t="n"/>
      <c r="E305" s="17">
        <f>IF($D305="","",IFERROR(INDEX(rngCadetPIDs,MATCH($D305,rngCadetNames,0)),"?"))</f>
        <v/>
      </c>
      <c r="F305" s="16" t="n"/>
      <c r="G305" s="16" t="n"/>
      <c r="H305" s="19">
        <f>IF(OR($D305="",$C305=""),"",_xlfn.LET(_xlpm.dn,IFERROR(_xlfn.XLOOKUP($C305,nrCDdate,nrCDnum),""),IF(_xlpm.dn="","(not a class day)",IFERROR(_xlfn.XLOOKUP(_xlpm.dn+cfgMemoDueClassDays,nrCDnum,nrCDdate),""))))</f>
        <v/>
      </c>
      <c r="I305" s="18" t="n"/>
      <c r="J305" s="19">
        <f>IF($D305="","",IF($I305&lt;&gt;"",$I305,IF(ISNUMBER($H305),$H305,"")))</f>
        <v/>
      </c>
      <c r="K305" s="18" t="n"/>
      <c r="L305" s="17">
        <f>IF($D305="","",IF($K305&lt;&gt;"","Received "&amp;TEXT($K305,"mm/dd"),IF(AND(ISNUMBER($J305),TODAY()&gt;$J305),"OVERDUE","Pending")))</f>
        <v/>
      </c>
      <c r="M305" s="16" t="n"/>
      <c r="N305" s="16" t="n"/>
    </row>
  </sheetData>
  <autoFilter ref="B5:N5"/>
  <conditionalFormatting sqref="L6:L305">
    <cfRule type="expression" priority="1" dxfId="1">
      <formula>$L6="OVERDUE"</formula>
    </cfRule>
    <cfRule type="expression" priority="2"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IF(OR($B6="",D$5=""),"",IFERROR(SUMIFS(nrES_Rec,nrES_PID,$B6,nrES_Code,D$5,nrES_Final,"Yes"),""))</f>
        <v/>
      </c>
      <c r="E6" s="17">
        <f>IF(OR($B6="",E$5=""),"",IFERROR(SUMIFS(nrES_Rec,nrES_PID,$B6,nrES_Code,E$5,nrES_Final,"Yes"),""))</f>
        <v/>
      </c>
      <c r="F6" s="17">
        <f>IF(OR($B6="",F$5=""),"",IFERROR(SUMIFS(nrES_Rec,nrES_PID,$B6,nrES_Code,F$5,nrES_Final,"Yes"),""))</f>
        <v/>
      </c>
      <c r="G6" s="17">
        <f>IF(OR($B6="",G$5=""),"",IFERROR(SUMIFS(nrES_Rec,nrES_PID,$B6,nrES_Code,G$5,nrES_Final,"Yes"),""))</f>
        <v/>
      </c>
      <c r="H6" s="17">
        <f>IF(OR($B6="",H$5=""),"",IFERROR(SUMIFS(nrES_Rec,nrES_PID,$B6,nrES_Code,H$5,nrES_Final,"Yes"),""))</f>
        <v/>
      </c>
      <c r="I6" s="17">
        <f>IF(OR($B6="",I$5=""),"",IFERROR(SUMIFS(nrES_Rec,nrES_PID,$B6,nrES_Code,I$5,nrES_Final,"Yes"),""))</f>
        <v/>
      </c>
      <c r="J6" s="17">
        <f>IF(OR($B6="",J$5=""),"",IFERROR(SUMIFS(nrES_Rec,nrES_PID,$B6,nrES_Code,J$5,nrES_Final,"Yes"),""))</f>
        <v/>
      </c>
      <c r="K6" s="17">
        <f>IF(OR($B6="",K$5=""),"",IFERROR(SUMIFS(nrES_Rec,nrES_PID,$B6,nrES_Code,K$5,nrES_Final,"Yes"),""))</f>
        <v/>
      </c>
      <c r="L6" s="17">
        <f>IF(OR($B6="",L$5=""),"",IFERROR(SUMIFS(nrES_Rec,nrES_PID,$B6,nrES_Code,L$5,nrES_Final,"Yes"),""))</f>
        <v/>
      </c>
      <c r="M6" s="17">
        <f>IF(OR($B6="",M$5=""),"",IFERROR(SUMIFS(nrES_Rec,nrES_PID,$B6,nrES_Code,M$5,nrES_Final,"Yes"),""))</f>
        <v/>
      </c>
      <c r="N6" s="17">
        <f>IF(OR($B6="",N$5=""),"",IFERROR(SUMIFS(nrES_Rec,nrES_PID,$B6,nrES_Code,N$5,nrES_Final,"Yes"),""))</f>
        <v/>
      </c>
      <c r="O6" s="17">
        <f>IF(OR($B6="",O$5=""),"",IFERROR(SUMIFS(nrES_Rec,nrES_PID,$B6,nrES_Code,O$5,nrES_Final,"Yes"),""))</f>
        <v/>
      </c>
      <c r="P6" s="17">
        <f>IF(OR($B6="",P$5=""),"",IFERROR(SUMIFS(nrES_Rec,nrES_PID,$B6,nrES_Code,P$5,nrES_Final,"Yes"),""))</f>
        <v/>
      </c>
      <c r="Q6" s="17">
        <f>IF(OR($B6="",Q$5=""),"",IFERROR(SUMIFS(nrES_Rec,nrES_PID,$B6,nrES_Code,Q$5,nrES_Final,"Yes"),""))</f>
        <v/>
      </c>
      <c r="R6" s="17">
        <f>IF(OR($B6="",R$5=""),"",IFERROR(SUMIFS(nrES_Rec,nrES_PID,$B6,nrES_Code,R$5,nrES_Final,"Yes"),""))</f>
        <v/>
      </c>
      <c r="S6" s="17">
        <f>IF(OR($B6="",S$5=""),"",IFERROR(SUMIFS(nrES_Rec,nrES_PID,$B6,nrES_Code,S$5,nrES_Final,"Yes"),""))</f>
        <v/>
      </c>
      <c r="T6" s="17">
        <f>IF(OR($B6="",T$5=""),"",IFERROR(SUMIFS(nrES_Rec,nrES_PID,$B6,nrES_Code,T$5,nrES_Final,"Yes"),""))</f>
        <v/>
      </c>
      <c r="U6" s="17">
        <f>IF(OR($B6="",U$5=""),"",IFERROR(SUMIFS(nrES_Rec,nrES_PID,$B6,nrES_Code,U$5,nrES_Final,"Yes"),""))</f>
        <v/>
      </c>
      <c r="V6" s="17">
        <f>IF(OR($B6="",V$5=""),"",IFERROR(SUMIFS(nrES_Rec,nrES_PID,$B6,nrES_Code,V$5,nrES_Final,"Yes"),""))</f>
        <v/>
      </c>
      <c r="W6" s="17">
        <f>IF(OR($B6="",W$5=""),"",IFERROR(SUMIFS(nrES_Rec,nrES_PID,$B6,nrES_Code,W$5,nrES_Final,"Yes"),""))</f>
        <v/>
      </c>
      <c r="X6" s="17">
        <f>IF(OR($B6="",X$5=""),"",IFERROR(SUMIFS(nrES_Rec,nrES_PID,$B6,nrES_Code,X$5,nrES_Final,"Yes"),""))</f>
        <v/>
      </c>
      <c r="Y6" s="17">
        <f>IF(OR($B6="",Y$5=""),"",IFERROR(SUMIFS(nrES_Rec,nrES_PID,$B6,nrES_Code,Y$5,nrES_Final,"Yes"),""))</f>
        <v/>
      </c>
      <c r="Z6" s="17">
        <f>IF(OR($B6="",Z$5=""),"",IFERROR(SUMIFS(nrES_Rec,nrES_PID,$B6,nrES_Code,Z$5,nrES_Final,"Yes"),""))</f>
        <v/>
      </c>
      <c r="AA6" s="17">
        <f>IF(OR($B6="",AA$5=""),"",IFERROR(SUMIFS(nrES_Rec,nrES_PID,$B6,nrES_Code,AA$5,nrES_Final,"Yes"),""))</f>
        <v/>
      </c>
      <c r="AB6" s="17">
        <f>IF(OR($B6="",AB$5=""),"",IFERROR(SUMIFS(nrES_Rec,nrES_PID,$B6,nrES_Code,AB$5,nrES_Final,"Yes"),""))</f>
        <v/>
      </c>
      <c r="AC6" s="17">
        <f>IF($B6="","",sysGrades!$M6)</f>
        <v/>
      </c>
      <c r="AD6" s="17">
        <f>IF($B6="","",IFERROR(sysGrades!$U6,""))</f>
        <v/>
      </c>
    </row>
    <row r="7">
      <c r="B7" s="17">
        <f>IF(Cadets!$B7="","",Cadets!$B7)</f>
        <v/>
      </c>
      <c r="C7" s="17">
        <f>IF($B7="","",Cadets!$F7)</f>
        <v/>
      </c>
      <c r="D7" s="17">
        <f>IF(OR($B7="",D$5=""),"",IFERROR(SUMIFS(nrES_Rec,nrES_PID,$B7,nrES_Code,D$5,nrES_Final,"Yes"),""))</f>
        <v/>
      </c>
      <c r="E7" s="17">
        <f>IF(OR($B7="",E$5=""),"",IFERROR(SUMIFS(nrES_Rec,nrES_PID,$B7,nrES_Code,E$5,nrES_Final,"Yes"),""))</f>
        <v/>
      </c>
      <c r="F7" s="17">
        <f>IF(OR($B7="",F$5=""),"",IFERROR(SUMIFS(nrES_Rec,nrES_PID,$B7,nrES_Code,F$5,nrES_Final,"Yes"),""))</f>
        <v/>
      </c>
      <c r="G7" s="17">
        <f>IF(OR($B7="",G$5=""),"",IFERROR(SUMIFS(nrES_Rec,nrES_PID,$B7,nrES_Code,G$5,nrES_Final,"Yes"),""))</f>
        <v/>
      </c>
      <c r="H7" s="17">
        <f>IF(OR($B7="",H$5=""),"",IFERROR(SUMIFS(nrES_Rec,nrES_PID,$B7,nrES_Code,H$5,nrES_Final,"Yes"),""))</f>
        <v/>
      </c>
      <c r="I7" s="17">
        <f>IF(OR($B7="",I$5=""),"",IFERROR(SUMIFS(nrES_Rec,nrES_PID,$B7,nrES_Code,I$5,nrES_Final,"Yes"),""))</f>
        <v/>
      </c>
      <c r="J7" s="17">
        <f>IF(OR($B7="",J$5=""),"",IFERROR(SUMIFS(nrES_Rec,nrES_PID,$B7,nrES_Code,J$5,nrES_Final,"Yes"),""))</f>
        <v/>
      </c>
      <c r="K7" s="17">
        <f>IF(OR($B7="",K$5=""),"",IFERROR(SUMIFS(nrES_Rec,nrES_PID,$B7,nrES_Code,K$5,nrES_Final,"Yes"),""))</f>
        <v/>
      </c>
      <c r="L7" s="17">
        <f>IF(OR($B7="",L$5=""),"",IFERROR(SUMIFS(nrES_Rec,nrES_PID,$B7,nrES_Code,L$5,nrES_Final,"Yes"),""))</f>
        <v/>
      </c>
      <c r="M7" s="17">
        <f>IF(OR($B7="",M$5=""),"",IFERROR(SUMIFS(nrES_Rec,nrES_PID,$B7,nrES_Code,M$5,nrES_Final,"Yes"),""))</f>
        <v/>
      </c>
      <c r="N7" s="17">
        <f>IF(OR($B7="",N$5=""),"",IFERROR(SUMIFS(nrES_Rec,nrES_PID,$B7,nrES_Code,N$5,nrES_Final,"Yes"),""))</f>
        <v/>
      </c>
      <c r="O7" s="17">
        <f>IF(OR($B7="",O$5=""),"",IFERROR(SUMIFS(nrES_Rec,nrES_PID,$B7,nrES_Code,O$5,nrES_Final,"Yes"),""))</f>
        <v/>
      </c>
      <c r="P7" s="17">
        <f>IF(OR($B7="",P$5=""),"",IFERROR(SUMIFS(nrES_Rec,nrES_PID,$B7,nrES_Code,P$5,nrES_Final,"Yes"),""))</f>
        <v/>
      </c>
      <c r="Q7" s="17">
        <f>IF(OR($B7="",Q$5=""),"",IFERROR(SUMIFS(nrES_Rec,nrES_PID,$B7,nrES_Code,Q$5,nrES_Final,"Yes"),""))</f>
        <v/>
      </c>
      <c r="R7" s="17">
        <f>IF(OR($B7="",R$5=""),"",IFERROR(SUMIFS(nrES_Rec,nrES_PID,$B7,nrES_Code,R$5,nrES_Final,"Yes"),""))</f>
        <v/>
      </c>
      <c r="S7" s="17">
        <f>IF(OR($B7="",S$5=""),"",IFERROR(SUMIFS(nrES_Rec,nrES_PID,$B7,nrES_Code,S$5,nrES_Final,"Yes"),""))</f>
        <v/>
      </c>
      <c r="T7" s="17">
        <f>IF(OR($B7="",T$5=""),"",IFERROR(SUMIFS(nrES_Rec,nrES_PID,$B7,nrES_Code,T$5,nrES_Final,"Yes"),""))</f>
        <v/>
      </c>
      <c r="U7" s="17">
        <f>IF(OR($B7="",U$5=""),"",IFERROR(SUMIFS(nrES_Rec,nrES_PID,$B7,nrES_Code,U$5,nrES_Final,"Yes"),""))</f>
        <v/>
      </c>
      <c r="V7" s="17">
        <f>IF(OR($B7="",V$5=""),"",IFERROR(SUMIFS(nrES_Rec,nrES_PID,$B7,nrES_Code,V$5,nrES_Final,"Yes"),""))</f>
        <v/>
      </c>
      <c r="W7" s="17">
        <f>IF(OR($B7="",W$5=""),"",IFERROR(SUMIFS(nrES_Rec,nrES_PID,$B7,nrES_Code,W$5,nrES_Final,"Yes"),""))</f>
        <v/>
      </c>
      <c r="X7" s="17">
        <f>IF(OR($B7="",X$5=""),"",IFERROR(SUMIFS(nrES_Rec,nrES_PID,$B7,nrES_Code,X$5,nrES_Final,"Yes"),""))</f>
        <v/>
      </c>
      <c r="Y7" s="17">
        <f>IF(OR($B7="",Y$5=""),"",IFERROR(SUMIFS(nrES_Rec,nrES_PID,$B7,nrES_Code,Y$5,nrES_Final,"Yes"),""))</f>
        <v/>
      </c>
      <c r="Z7" s="17">
        <f>IF(OR($B7="",Z$5=""),"",IFERROR(SUMIFS(nrES_Rec,nrES_PID,$B7,nrES_Code,Z$5,nrES_Final,"Yes"),""))</f>
        <v/>
      </c>
      <c r="AA7" s="17">
        <f>IF(OR($B7="",AA$5=""),"",IFERROR(SUMIFS(nrES_Rec,nrES_PID,$B7,nrES_Code,AA$5,nrES_Final,"Yes"),""))</f>
        <v/>
      </c>
      <c r="AB7" s="17">
        <f>IF(OR($B7="",AB$5=""),"",IFERROR(SUMIFS(nrES_Rec,nrES_PID,$B7,nrES_Code,AB$5,nrES_Final,"Yes"),""))</f>
        <v/>
      </c>
      <c r="AC7" s="17">
        <f>IF($B7="","",sysGrades!$M7)</f>
        <v/>
      </c>
      <c r="AD7" s="17">
        <f>IF($B7="","",IFERROR(sysGrades!$U7,""))</f>
        <v/>
      </c>
    </row>
    <row r="8">
      <c r="B8" s="17">
        <f>IF(Cadets!$B8="","",Cadets!$B8)</f>
        <v/>
      </c>
      <c r="C8" s="17">
        <f>IF($B8="","",Cadets!$F8)</f>
        <v/>
      </c>
      <c r="D8" s="17">
        <f>IF(OR($B8="",D$5=""),"",IFERROR(SUMIFS(nrES_Rec,nrES_PID,$B8,nrES_Code,D$5,nrES_Final,"Yes"),""))</f>
        <v/>
      </c>
      <c r="E8" s="17">
        <f>IF(OR($B8="",E$5=""),"",IFERROR(SUMIFS(nrES_Rec,nrES_PID,$B8,nrES_Code,E$5,nrES_Final,"Yes"),""))</f>
        <v/>
      </c>
      <c r="F8" s="17">
        <f>IF(OR($B8="",F$5=""),"",IFERROR(SUMIFS(nrES_Rec,nrES_PID,$B8,nrES_Code,F$5,nrES_Final,"Yes"),""))</f>
        <v/>
      </c>
      <c r="G8" s="17">
        <f>IF(OR($B8="",G$5=""),"",IFERROR(SUMIFS(nrES_Rec,nrES_PID,$B8,nrES_Code,G$5,nrES_Final,"Yes"),""))</f>
        <v/>
      </c>
      <c r="H8" s="17">
        <f>IF(OR($B8="",H$5=""),"",IFERROR(SUMIFS(nrES_Rec,nrES_PID,$B8,nrES_Code,H$5,nrES_Final,"Yes"),""))</f>
        <v/>
      </c>
      <c r="I8" s="17">
        <f>IF(OR($B8="",I$5=""),"",IFERROR(SUMIFS(nrES_Rec,nrES_PID,$B8,nrES_Code,I$5,nrES_Final,"Yes"),""))</f>
        <v/>
      </c>
      <c r="J8" s="17">
        <f>IF(OR($B8="",J$5=""),"",IFERROR(SUMIFS(nrES_Rec,nrES_PID,$B8,nrES_Code,J$5,nrES_Final,"Yes"),""))</f>
        <v/>
      </c>
      <c r="K8" s="17">
        <f>IF(OR($B8="",K$5=""),"",IFERROR(SUMIFS(nrES_Rec,nrES_PID,$B8,nrES_Code,K$5,nrES_Final,"Yes"),""))</f>
        <v/>
      </c>
      <c r="L8" s="17">
        <f>IF(OR($B8="",L$5=""),"",IFERROR(SUMIFS(nrES_Rec,nrES_PID,$B8,nrES_Code,L$5,nrES_Final,"Yes"),""))</f>
        <v/>
      </c>
      <c r="M8" s="17">
        <f>IF(OR($B8="",M$5=""),"",IFERROR(SUMIFS(nrES_Rec,nrES_PID,$B8,nrES_Code,M$5,nrES_Final,"Yes"),""))</f>
        <v/>
      </c>
      <c r="N8" s="17">
        <f>IF(OR($B8="",N$5=""),"",IFERROR(SUMIFS(nrES_Rec,nrES_PID,$B8,nrES_Code,N$5,nrES_Final,"Yes"),""))</f>
        <v/>
      </c>
      <c r="O8" s="17">
        <f>IF(OR($B8="",O$5=""),"",IFERROR(SUMIFS(nrES_Rec,nrES_PID,$B8,nrES_Code,O$5,nrES_Final,"Yes"),""))</f>
        <v/>
      </c>
      <c r="P8" s="17">
        <f>IF(OR($B8="",P$5=""),"",IFERROR(SUMIFS(nrES_Rec,nrES_PID,$B8,nrES_Code,P$5,nrES_Final,"Yes"),""))</f>
        <v/>
      </c>
      <c r="Q8" s="17">
        <f>IF(OR($B8="",Q$5=""),"",IFERROR(SUMIFS(nrES_Rec,nrES_PID,$B8,nrES_Code,Q$5,nrES_Final,"Yes"),""))</f>
        <v/>
      </c>
      <c r="R8" s="17">
        <f>IF(OR($B8="",R$5=""),"",IFERROR(SUMIFS(nrES_Rec,nrES_PID,$B8,nrES_Code,R$5,nrES_Final,"Yes"),""))</f>
        <v/>
      </c>
      <c r="S8" s="17">
        <f>IF(OR($B8="",S$5=""),"",IFERROR(SUMIFS(nrES_Rec,nrES_PID,$B8,nrES_Code,S$5,nrES_Final,"Yes"),""))</f>
        <v/>
      </c>
      <c r="T8" s="17">
        <f>IF(OR($B8="",T$5=""),"",IFERROR(SUMIFS(nrES_Rec,nrES_PID,$B8,nrES_Code,T$5,nrES_Final,"Yes"),""))</f>
        <v/>
      </c>
      <c r="U8" s="17">
        <f>IF(OR($B8="",U$5=""),"",IFERROR(SUMIFS(nrES_Rec,nrES_PID,$B8,nrES_Code,U$5,nrES_Final,"Yes"),""))</f>
        <v/>
      </c>
      <c r="V8" s="17">
        <f>IF(OR($B8="",V$5=""),"",IFERROR(SUMIFS(nrES_Rec,nrES_PID,$B8,nrES_Code,V$5,nrES_Final,"Yes"),""))</f>
        <v/>
      </c>
      <c r="W8" s="17">
        <f>IF(OR($B8="",W$5=""),"",IFERROR(SUMIFS(nrES_Rec,nrES_PID,$B8,nrES_Code,W$5,nrES_Final,"Yes"),""))</f>
        <v/>
      </c>
      <c r="X8" s="17">
        <f>IF(OR($B8="",X$5=""),"",IFERROR(SUMIFS(nrES_Rec,nrES_PID,$B8,nrES_Code,X$5,nrES_Final,"Yes"),""))</f>
        <v/>
      </c>
      <c r="Y8" s="17">
        <f>IF(OR($B8="",Y$5=""),"",IFERROR(SUMIFS(nrES_Rec,nrES_PID,$B8,nrES_Code,Y$5,nrES_Final,"Yes"),""))</f>
        <v/>
      </c>
      <c r="Z8" s="17">
        <f>IF(OR($B8="",Z$5=""),"",IFERROR(SUMIFS(nrES_Rec,nrES_PID,$B8,nrES_Code,Z$5,nrES_Final,"Yes"),""))</f>
        <v/>
      </c>
      <c r="AA8" s="17">
        <f>IF(OR($B8="",AA$5=""),"",IFERROR(SUMIFS(nrES_Rec,nrES_PID,$B8,nrES_Code,AA$5,nrES_Final,"Yes"),""))</f>
        <v/>
      </c>
      <c r="AB8" s="17">
        <f>IF(OR($B8="",AB$5=""),"",IFERROR(SUMIFS(nrES_Rec,nrES_PID,$B8,nrES_Code,AB$5,nrES_Final,"Yes"),""))</f>
        <v/>
      </c>
      <c r="AC8" s="17">
        <f>IF($B8="","",sysGrades!$M8)</f>
        <v/>
      </c>
      <c r="AD8" s="17">
        <f>IF($B8="","",IFERROR(sysGrades!$U8,""))</f>
        <v/>
      </c>
    </row>
    <row r="9">
      <c r="B9" s="17">
        <f>IF(Cadets!$B9="","",Cadets!$B9)</f>
        <v/>
      </c>
      <c r="C9" s="17">
        <f>IF($B9="","",Cadets!$F9)</f>
        <v/>
      </c>
      <c r="D9" s="17">
        <f>IF(OR($B9="",D$5=""),"",IFERROR(SUMIFS(nrES_Rec,nrES_PID,$B9,nrES_Code,D$5,nrES_Final,"Yes"),""))</f>
        <v/>
      </c>
      <c r="E9" s="17">
        <f>IF(OR($B9="",E$5=""),"",IFERROR(SUMIFS(nrES_Rec,nrES_PID,$B9,nrES_Code,E$5,nrES_Final,"Yes"),""))</f>
        <v/>
      </c>
      <c r="F9" s="17">
        <f>IF(OR($B9="",F$5=""),"",IFERROR(SUMIFS(nrES_Rec,nrES_PID,$B9,nrES_Code,F$5,nrES_Final,"Yes"),""))</f>
        <v/>
      </c>
      <c r="G9" s="17">
        <f>IF(OR($B9="",G$5=""),"",IFERROR(SUMIFS(nrES_Rec,nrES_PID,$B9,nrES_Code,G$5,nrES_Final,"Yes"),""))</f>
        <v/>
      </c>
      <c r="H9" s="17">
        <f>IF(OR($B9="",H$5=""),"",IFERROR(SUMIFS(nrES_Rec,nrES_PID,$B9,nrES_Code,H$5,nrES_Final,"Yes"),""))</f>
        <v/>
      </c>
      <c r="I9" s="17">
        <f>IF(OR($B9="",I$5=""),"",IFERROR(SUMIFS(nrES_Rec,nrES_PID,$B9,nrES_Code,I$5,nrES_Final,"Yes"),""))</f>
        <v/>
      </c>
      <c r="J9" s="17">
        <f>IF(OR($B9="",J$5=""),"",IFERROR(SUMIFS(nrES_Rec,nrES_PID,$B9,nrES_Code,J$5,nrES_Final,"Yes"),""))</f>
        <v/>
      </c>
      <c r="K9" s="17">
        <f>IF(OR($B9="",K$5=""),"",IFERROR(SUMIFS(nrES_Rec,nrES_PID,$B9,nrES_Code,K$5,nrES_Final,"Yes"),""))</f>
        <v/>
      </c>
      <c r="L9" s="17">
        <f>IF(OR($B9="",L$5=""),"",IFERROR(SUMIFS(nrES_Rec,nrES_PID,$B9,nrES_Code,L$5,nrES_Final,"Yes"),""))</f>
        <v/>
      </c>
      <c r="M9" s="17">
        <f>IF(OR($B9="",M$5=""),"",IFERROR(SUMIFS(nrES_Rec,nrES_PID,$B9,nrES_Code,M$5,nrES_Final,"Yes"),""))</f>
        <v/>
      </c>
      <c r="N9" s="17">
        <f>IF(OR($B9="",N$5=""),"",IFERROR(SUMIFS(nrES_Rec,nrES_PID,$B9,nrES_Code,N$5,nrES_Final,"Yes"),""))</f>
        <v/>
      </c>
      <c r="O9" s="17">
        <f>IF(OR($B9="",O$5=""),"",IFERROR(SUMIFS(nrES_Rec,nrES_PID,$B9,nrES_Code,O$5,nrES_Final,"Yes"),""))</f>
        <v/>
      </c>
      <c r="P9" s="17">
        <f>IF(OR($B9="",P$5=""),"",IFERROR(SUMIFS(nrES_Rec,nrES_PID,$B9,nrES_Code,P$5,nrES_Final,"Yes"),""))</f>
        <v/>
      </c>
      <c r="Q9" s="17">
        <f>IF(OR($B9="",Q$5=""),"",IFERROR(SUMIFS(nrES_Rec,nrES_PID,$B9,nrES_Code,Q$5,nrES_Final,"Yes"),""))</f>
        <v/>
      </c>
      <c r="R9" s="17">
        <f>IF(OR($B9="",R$5=""),"",IFERROR(SUMIFS(nrES_Rec,nrES_PID,$B9,nrES_Code,R$5,nrES_Final,"Yes"),""))</f>
        <v/>
      </c>
      <c r="S9" s="17">
        <f>IF(OR($B9="",S$5=""),"",IFERROR(SUMIFS(nrES_Rec,nrES_PID,$B9,nrES_Code,S$5,nrES_Final,"Yes"),""))</f>
        <v/>
      </c>
      <c r="T9" s="17">
        <f>IF(OR($B9="",T$5=""),"",IFERROR(SUMIFS(nrES_Rec,nrES_PID,$B9,nrES_Code,T$5,nrES_Final,"Yes"),""))</f>
        <v/>
      </c>
      <c r="U9" s="17">
        <f>IF(OR($B9="",U$5=""),"",IFERROR(SUMIFS(nrES_Rec,nrES_PID,$B9,nrES_Code,U$5,nrES_Final,"Yes"),""))</f>
        <v/>
      </c>
      <c r="V9" s="17">
        <f>IF(OR($B9="",V$5=""),"",IFERROR(SUMIFS(nrES_Rec,nrES_PID,$B9,nrES_Code,V$5,nrES_Final,"Yes"),""))</f>
        <v/>
      </c>
      <c r="W9" s="17">
        <f>IF(OR($B9="",W$5=""),"",IFERROR(SUMIFS(nrES_Rec,nrES_PID,$B9,nrES_Code,W$5,nrES_Final,"Yes"),""))</f>
        <v/>
      </c>
      <c r="X9" s="17">
        <f>IF(OR($B9="",X$5=""),"",IFERROR(SUMIFS(nrES_Rec,nrES_PID,$B9,nrES_Code,X$5,nrES_Final,"Yes"),""))</f>
        <v/>
      </c>
      <c r="Y9" s="17">
        <f>IF(OR($B9="",Y$5=""),"",IFERROR(SUMIFS(nrES_Rec,nrES_PID,$B9,nrES_Code,Y$5,nrES_Final,"Yes"),""))</f>
        <v/>
      </c>
      <c r="Z9" s="17">
        <f>IF(OR($B9="",Z$5=""),"",IFERROR(SUMIFS(nrES_Rec,nrES_PID,$B9,nrES_Code,Z$5,nrES_Final,"Yes"),""))</f>
        <v/>
      </c>
      <c r="AA9" s="17">
        <f>IF(OR($B9="",AA$5=""),"",IFERROR(SUMIFS(nrES_Rec,nrES_PID,$B9,nrES_Code,AA$5,nrES_Final,"Yes"),""))</f>
        <v/>
      </c>
      <c r="AB9" s="17">
        <f>IF(OR($B9="",AB$5=""),"",IFERROR(SUMIFS(nrES_Rec,nrES_PID,$B9,nrES_Code,AB$5,nrES_Final,"Yes"),""))</f>
        <v/>
      </c>
      <c r="AC9" s="17">
        <f>IF($B9="","",sysGrades!$M9)</f>
        <v/>
      </c>
      <c r="AD9" s="17">
        <f>IF($B9="","",IFERROR(sysGrades!$U9,""))</f>
        <v/>
      </c>
    </row>
    <row r="10">
      <c r="B10" s="17">
        <f>IF(Cadets!$B10="","",Cadets!$B10)</f>
        <v/>
      </c>
      <c r="C10" s="17">
        <f>IF($B10="","",Cadets!$F10)</f>
        <v/>
      </c>
      <c r="D10" s="17">
        <f>IF(OR($B10="",D$5=""),"",IFERROR(SUMIFS(nrES_Rec,nrES_PID,$B10,nrES_Code,D$5,nrES_Final,"Yes"),""))</f>
        <v/>
      </c>
      <c r="E10" s="17">
        <f>IF(OR($B10="",E$5=""),"",IFERROR(SUMIFS(nrES_Rec,nrES_PID,$B10,nrES_Code,E$5,nrES_Final,"Yes"),""))</f>
        <v/>
      </c>
      <c r="F10" s="17">
        <f>IF(OR($B10="",F$5=""),"",IFERROR(SUMIFS(nrES_Rec,nrES_PID,$B10,nrES_Code,F$5,nrES_Final,"Yes"),""))</f>
        <v/>
      </c>
      <c r="G10" s="17">
        <f>IF(OR($B10="",G$5=""),"",IFERROR(SUMIFS(nrES_Rec,nrES_PID,$B10,nrES_Code,G$5,nrES_Final,"Yes"),""))</f>
        <v/>
      </c>
      <c r="H10" s="17">
        <f>IF(OR($B10="",H$5=""),"",IFERROR(SUMIFS(nrES_Rec,nrES_PID,$B10,nrES_Code,H$5,nrES_Final,"Yes"),""))</f>
        <v/>
      </c>
      <c r="I10" s="17">
        <f>IF(OR($B10="",I$5=""),"",IFERROR(SUMIFS(nrES_Rec,nrES_PID,$B10,nrES_Code,I$5,nrES_Final,"Yes"),""))</f>
        <v/>
      </c>
      <c r="J10" s="17">
        <f>IF(OR($B10="",J$5=""),"",IFERROR(SUMIFS(nrES_Rec,nrES_PID,$B10,nrES_Code,J$5,nrES_Final,"Yes"),""))</f>
        <v/>
      </c>
      <c r="K10" s="17">
        <f>IF(OR($B10="",K$5=""),"",IFERROR(SUMIFS(nrES_Rec,nrES_PID,$B10,nrES_Code,K$5,nrES_Final,"Yes"),""))</f>
        <v/>
      </c>
      <c r="L10" s="17">
        <f>IF(OR($B10="",L$5=""),"",IFERROR(SUMIFS(nrES_Rec,nrES_PID,$B10,nrES_Code,L$5,nrES_Final,"Yes"),""))</f>
        <v/>
      </c>
      <c r="M10" s="17">
        <f>IF(OR($B10="",M$5=""),"",IFERROR(SUMIFS(nrES_Rec,nrES_PID,$B10,nrES_Code,M$5,nrES_Final,"Yes"),""))</f>
        <v/>
      </c>
      <c r="N10" s="17">
        <f>IF(OR($B10="",N$5=""),"",IFERROR(SUMIFS(nrES_Rec,nrES_PID,$B10,nrES_Code,N$5,nrES_Final,"Yes"),""))</f>
        <v/>
      </c>
      <c r="O10" s="17">
        <f>IF(OR($B10="",O$5=""),"",IFERROR(SUMIFS(nrES_Rec,nrES_PID,$B10,nrES_Code,O$5,nrES_Final,"Yes"),""))</f>
        <v/>
      </c>
      <c r="P10" s="17">
        <f>IF(OR($B10="",P$5=""),"",IFERROR(SUMIFS(nrES_Rec,nrES_PID,$B10,nrES_Code,P$5,nrES_Final,"Yes"),""))</f>
        <v/>
      </c>
      <c r="Q10" s="17">
        <f>IF(OR($B10="",Q$5=""),"",IFERROR(SUMIFS(nrES_Rec,nrES_PID,$B10,nrES_Code,Q$5,nrES_Final,"Yes"),""))</f>
        <v/>
      </c>
      <c r="R10" s="17">
        <f>IF(OR($B10="",R$5=""),"",IFERROR(SUMIFS(nrES_Rec,nrES_PID,$B10,nrES_Code,R$5,nrES_Final,"Yes"),""))</f>
        <v/>
      </c>
      <c r="S10" s="17">
        <f>IF(OR($B10="",S$5=""),"",IFERROR(SUMIFS(nrES_Rec,nrES_PID,$B10,nrES_Code,S$5,nrES_Final,"Yes"),""))</f>
        <v/>
      </c>
      <c r="T10" s="17">
        <f>IF(OR($B10="",T$5=""),"",IFERROR(SUMIFS(nrES_Rec,nrES_PID,$B10,nrES_Code,T$5,nrES_Final,"Yes"),""))</f>
        <v/>
      </c>
      <c r="U10" s="17">
        <f>IF(OR($B10="",U$5=""),"",IFERROR(SUMIFS(nrES_Rec,nrES_PID,$B10,nrES_Code,U$5,nrES_Final,"Yes"),""))</f>
        <v/>
      </c>
      <c r="V10" s="17">
        <f>IF(OR($B10="",V$5=""),"",IFERROR(SUMIFS(nrES_Rec,nrES_PID,$B10,nrES_Code,V$5,nrES_Final,"Yes"),""))</f>
        <v/>
      </c>
      <c r="W10" s="17">
        <f>IF(OR($B10="",W$5=""),"",IFERROR(SUMIFS(nrES_Rec,nrES_PID,$B10,nrES_Code,W$5,nrES_Final,"Yes"),""))</f>
        <v/>
      </c>
      <c r="X10" s="17">
        <f>IF(OR($B10="",X$5=""),"",IFERROR(SUMIFS(nrES_Rec,nrES_PID,$B10,nrES_Code,X$5,nrES_Final,"Yes"),""))</f>
        <v/>
      </c>
      <c r="Y10" s="17">
        <f>IF(OR($B10="",Y$5=""),"",IFERROR(SUMIFS(nrES_Rec,nrES_PID,$B10,nrES_Code,Y$5,nrES_Final,"Yes"),""))</f>
        <v/>
      </c>
      <c r="Z10" s="17">
        <f>IF(OR($B10="",Z$5=""),"",IFERROR(SUMIFS(nrES_Rec,nrES_PID,$B10,nrES_Code,Z$5,nrES_Final,"Yes"),""))</f>
        <v/>
      </c>
      <c r="AA10" s="17">
        <f>IF(OR($B10="",AA$5=""),"",IFERROR(SUMIFS(nrES_Rec,nrES_PID,$B10,nrES_Code,AA$5,nrES_Final,"Yes"),""))</f>
        <v/>
      </c>
      <c r="AB10" s="17">
        <f>IF(OR($B10="",AB$5=""),"",IFERROR(SUMIFS(nrES_Rec,nrES_PID,$B10,nrES_Code,AB$5,nrES_Final,"Yes"),""))</f>
        <v/>
      </c>
      <c r="AC10" s="17">
        <f>IF($B10="","",sysGrades!$M10)</f>
        <v/>
      </c>
      <c r="AD10" s="17">
        <f>IF($B10="","",IFERROR(sysGrades!$U10,""))</f>
        <v/>
      </c>
    </row>
    <row r="11">
      <c r="B11" s="17">
        <f>IF(Cadets!$B11="","",Cadets!$B11)</f>
        <v/>
      </c>
      <c r="C11" s="17">
        <f>IF($B11="","",Cadets!$F11)</f>
        <v/>
      </c>
      <c r="D11" s="17">
        <f>IF(OR($B11="",D$5=""),"",IFERROR(SUMIFS(nrES_Rec,nrES_PID,$B11,nrES_Code,D$5,nrES_Final,"Yes"),""))</f>
        <v/>
      </c>
      <c r="E11" s="17">
        <f>IF(OR($B11="",E$5=""),"",IFERROR(SUMIFS(nrES_Rec,nrES_PID,$B11,nrES_Code,E$5,nrES_Final,"Yes"),""))</f>
        <v/>
      </c>
      <c r="F11" s="17">
        <f>IF(OR($B11="",F$5=""),"",IFERROR(SUMIFS(nrES_Rec,nrES_PID,$B11,nrES_Code,F$5,nrES_Final,"Yes"),""))</f>
        <v/>
      </c>
      <c r="G11" s="17">
        <f>IF(OR($B11="",G$5=""),"",IFERROR(SUMIFS(nrES_Rec,nrES_PID,$B11,nrES_Code,G$5,nrES_Final,"Yes"),""))</f>
        <v/>
      </c>
      <c r="H11" s="17">
        <f>IF(OR($B11="",H$5=""),"",IFERROR(SUMIFS(nrES_Rec,nrES_PID,$B11,nrES_Code,H$5,nrES_Final,"Yes"),""))</f>
        <v/>
      </c>
      <c r="I11" s="17">
        <f>IF(OR($B11="",I$5=""),"",IFERROR(SUMIFS(nrES_Rec,nrES_PID,$B11,nrES_Code,I$5,nrES_Final,"Yes"),""))</f>
        <v/>
      </c>
      <c r="J11" s="17">
        <f>IF(OR($B11="",J$5=""),"",IFERROR(SUMIFS(nrES_Rec,nrES_PID,$B11,nrES_Code,J$5,nrES_Final,"Yes"),""))</f>
        <v/>
      </c>
      <c r="K11" s="17">
        <f>IF(OR($B11="",K$5=""),"",IFERROR(SUMIFS(nrES_Rec,nrES_PID,$B11,nrES_Code,K$5,nrES_Final,"Yes"),""))</f>
        <v/>
      </c>
      <c r="L11" s="17">
        <f>IF(OR($B11="",L$5=""),"",IFERROR(SUMIFS(nrES_Rec,nrES_PID,$B11,nrES_Code,L$5,nrES_Final,"Yes"),""))</f>
        <v/>
      </c>
      <c r="M11" s="17">
        <f>IF(OR($B11="",M$5=""),"",IFERROR(SUMIFS(nrES_Rec,nrES_PID,$B11,nrES_Code,M$5,nrES_Final,"Yes"),""))</f>
        <v/>
      </c>
      <c r="N11" s="17">
        <f>IF(OR($B11="",N$5=""),"",IFERROR(SUMIFS(nrES_Rec,nrES_PID,$B11,nrES_Code,N$5,nrES_Final,"Yes"),""))</f>
        <v/>
      </c>
      <c r="O11" s="17">
        <f>IF(OR($B11="",O$5=""),"",IFERROR(SUMIFS(nrES_Rec,nrES_PID,$B11,nrES_Code,O$5,nrES_Final,"Yes"),""))</f>
        <v/>
      </c>
      <c r="P11" s="17">
        <f>IF(OR($B11="",P$5=""),"",IFERROR(SUMIFS(nrES_Rec,nrES_PID,$B11,nrES_Code,P$5,nrES_Final,"Yes"),""))</f>
        <v/>
      </c>
      <c r="Q11" s="17">
        <f>IF(OR($B11="",Q$5=""),"",IFERROR(SUMIFS(nrES_Rec,nrES_PID,$B11,nrES_Code,Q$5,nrES_Final,"Yes"),""))</f>
        <v/>
      </c>
      <c r="R11" s="17">
        <f>IF(OR($B11="",R$5=""),"",IFERROR(SUMIFS(nrES_Rec,nrES_PID,$B11,nrES_Code,R$5,nrES_Final,"Yes"),""))</f>
        <v/>
      </c>
      <c r="S11" s="17">
        <f>IF(OR($B11="",S$5=""),"",IFERROR(SUMIFS(nrES_Rec,nrES_PID,$B11,nrES_Code,S$5,nrES_Final,"Yes"),""))</f>
        <v/>
      </c>
      <c r="T11" s="17">
        <f>IF(OR($B11="",T$5=""),"",IFERROR(SUMIFS(nrES_Rec,nrES_PID,$B11,nrES_Code,T$5,nrES_Final,"Yes"),""))</f>
        <v/>
      </c>
      <c r="U11" s="17">
        <f>IF(OR($B11="",U$5=""),"",IFERROR(SUMIFS(nrES_Rec,nrES_PID,$B11,nrES_Code,U$5,nrES_Final,"Yes"),""))</f>
        <v/>
      </c>
      <c r="V11" s="17">
        <f>IF(OR($B11="",V$5=""),"",IFERROR(SUMIFS(nrES_Rec,nrES_PID,$B11,nrES_Code,V$5,nrES_Final,"Yes"),""))</f>
        <v/>
      </c>
      <c r="W11" s="17">
        <f>IF(OR($B11="",W$5=""),"",IFERROR(SUMIFS(nrES_Rec,nrES_PID,$B11,nrES_Code,W$5,nrES_Final,"Yes"),""))</f>
        <v/>
      </c>
      <c r="X11" s="17">
        <f>IF(OR($B11="",X$5=""),"",IFERROR(SUMIFS(nrES_Rec,nrES_PID,$B11,nrES_Code,X$5,nrES_Final,"Yes"),""))</f>
        <v/>
      </c>
      <c r="Y11" s="17">
        <f>IF(OR($B11="",Y$5=""),"",IFERROR(SUMIFS(nrES_Rec,nrES_PID,$B11,nrES_Code,Y$5,nrES_Final,"Yes"),""))</f>
        <v/>
      </c>
      <c r="Z11" s="17">
        <f>IF(OR($B11="",Z$5=""),"",IFERROR(SUMIFS(nrES_Rec,nrES_PID,$B11,nrES_Code,Z$5,nrES_Final,"Yes"),""))</f>
        <v/>
      </c>
      <c r="AA11" s="17">
        <f>IF(OR($B11="",AA$5=""),"",IFERROR(SUMIFS(nrES_Rec,nrES_PID,$B11,nrES_Code,AA$5,nrES_Final,"Yes"),""))</f>
        <v/>
      </c>
      <c r="AB11" s="17">
        <f>IF(OR($B11="",AB$5=""),"",IFERROR(SUMIFS(nrES_Rec,nrES_PID,$B11,nrES_Code,AB$5,nrES_Final,"Yes"),""))</f>
        <v/>
      </c>
      <c r="AC11" s="17">
        <f>IF($B11="","",sysGrades!$M11)</f>
        <v/>
      </c>
      <c r="AD11" s="17">
        <f>IF($B11="","",IFERROR(sysGrades!$U11,""))</f>
        <v/>
      </c>
    </row>
    <row r="12">
      <c r="B12" s="17">
        <f>IF(Cadets!$B12="","",Cadets!$B12)</f>
        <v/>
      </c>
      <c r="C12" s="17">
        <f>IF($B12="","",Cadets!$F12)</f>
        <v/>
      </c>
      <c r="D12" s="17">
        <f>IF(OR($B12="",D$5=""),"",IFERROR(SUMIFS(nrES_Rec,nrES_PID,$B12,nrES_Code,D$5,nrES_Final,"Yes"),""))</f>
        <v/>
      </c>
      <c r="E12" s="17">
        <f>IF(OR($B12="",E$5=""),"",IFERROR(SUMIFS(nrES_Rec,nrES_PID,$B12,nrES_Code,E$5,nrES_Final,"Yes"),""))</f>
        <v/>
      </c>
      <c r="F12" s="17">
        <f>IF(OR($B12="",F$5=""),"",IFERROR(SUMIFS(nrES_Rec,nrES_PID,$B12,nrES_Code,F$5,nrES_Final,"Yes"),""))</f>
        <v/>
      </c>
      <c r="G12" s="17">
        <f>IF(OR($B12="",G$5=""),"",IFERROR(SUMIFS(nrES_Rec,nrES_PID,$B12,nrES_Code,G$5,nrES_Final,"Yes"),""))</f>
        <v/>
      </c>
      <c r="H12" s="17">
        <f>IF(OR($B12="",H$5=""),"",IFERROR(SUMIFS(nrES_Rec,nrES_PID,$B12,nrES_Code,H$5,nrES_Final,"Yes"),""))</f>
        <v/>
      </c>
      <c r="I12" s="17">
        <f>IF(OR($B12="",I$5=""),"",IFERROR(SUMIFS(nrES_Rec,nrES_PID,$B12,nrES_Code,I$5,nrES_Final,"Yes"),""))</f>
        <v/>
      </c>
      <c r="J12" s="17">
        <f>IF(OR($B12="",J$5=""),"",IFERROR(SUMIFS(nrES_Rec,nrES_PID,$B12,nrES_Code,J$5,nrES_Final,"Yes"),""))</f>
        <v/>
      </c>
      <c r="K12" s="17">
        <f>IF(OR($B12="",K$5=""),"",IFERROR(SUMIFS(nrES_Rec,nrES_PID,$B12,nrES_Code,K$5,nrES_Final,"Yes"),""))</f>
        <v/>
      </c>
      <c r="L12" s="17">
        <f>IF(OR($B12="",L$5=""),"",IFERROR(SUMIFS(nrES_Rec,nrES_PID,$B12,nrES_Code,L$5,nrES_Final,"Yes"),""))</f>
        <v/>
      </c>
      <c r="M12" s="17">
        <f>IF(OR($B12="",M$5=""),"",IFERROR(SUMIFS(nrES_Rec,nrES_PID,$B12,nrES_Code,M$5,nrES_Final,"Yes"),""))</f>
        <v/>
      </c>
      <c r="N12" s="17">
        <f>IF(OR($B12="",N$5=""),"",IFERROR(SUMIFS(nrES_Rec,nrES_PID,$B12,nrES_Code,N$5,nrES_Final,"Yes"),""))</f>
        <v/>
      </c>
      <c r="O12" s="17">
        <f>IF(OR($B12="",O$5=""),"",IFERROR(SUMIFS(nrES_Rec,nrES_PID,$B12,nrES_Code,O$5,nrES_Final,"Yes"),""))</f>
        <v/>
      </c>
      <c r="P12" s="17">
        <f>IF(OR($B12="",P$5=""),"",IFERROR(SUMIFS(nrES_Rec,nrES_PID,$B12,nrES_Code,P$5,nrES_Final,"Yes"),""))</f>
        <v/>
      </c>
      <c r="Q12" s="17">
        <f>IF(OR($B12="",Q$5=""),"",IFERROR(SUMIFS(nrES_Rec,nrES_PID,$B12,nrES_Code,Q$5,nrES_Final,"Yes"),""))</f>
        <v/>
      </c>
      <c r="R12" s="17">
        <f>IF(OR($B12="",R$5=""),"",IFERROR(SUMIFS(nrES_Rec,nrES_PID,$B12,nrES_Code,R$5,nrES_Final,"Yes"),""))</f>
        <v/>
      </c>
      <c r="S12" s="17">
        <f>IF(OR($B12="",S$5=""),"",IFERROR(SUMIFS(nrES_Rec,nrES_PID,$B12,nrES_Code,S$5,nrES_Final,"Yes"),""))</f>
        <v/>
      </c>
      <c r="T12" s="17">
        <f>IF(OR($B12="",T$5=""),"",IFERROR(SUMIFS(nrES_Rec,nrES_PID,$B12,nrES_Code,T$5,nrES_Final,"Yes"),""))</f>
        <v/>
      </c>
      <c r="U12" s="17">
        <f>IF(OR($B12="",U$5=""),"",IFERROR(SUMIFS(nrES_Rec,nrES_PID,$B12,nrES_Code,U$5,nrES_Final,"Yes"),""))</f>
        <v/>
      </c>
      <c r="V12" s="17">
        <f>IF(OR($B12="",V$5=""),"",IFERROR(SUMIFS(nrES_Rec,nrES_PID,$B12,nrES_Code,V$5,nrES_Final,"Yes"),""))</f>
        <v/>
      </c>
      <c r="W12" s="17">
        <f>IF(OR($B12="",W$5=""),"",IFERROR(SUMIFS(nrES_Rec,nrES_PID,$B12,nrES_Code,W$5,nrES_Final,"Yes"),""))</f>
        <v/>
      </c>
      <c r="X12" s="17">
        <f>IF(OR($B12="",X$5=""),"",IFERROR(SUMIFS(nrES_Rec,nrES_PID,$B12,nrES_Code,X$5,nrES_Final,"Yes"),""))</f>
        <v/>
      </c>
      <c r="Y12" s="17">
        <f>IF(OR($B12="",Y$5=""),"",IFERROR(SUMIFS(nrES_Rec,nrES_PID,$B12,nrES_Code,Y$5,nrES_Final,"Yes"),""))</f>
        <v/>
      </c>
      <c r="Z12" s="17">
        <f>IF(OR($B12="",Z$5=""),"",IFERROR(SUMIFS(nrES_Rec,nrES_PID,$B12,nrES_Code,Z$5,nrES_Final,"Yes"),""))</f>
        <v/>
      </c>
      <c r="AA12" s="17">
        <f>IF(OR($B12="",AA$5=""),"",IFERROR(SUMIFS(nrES_Rec,nrES_PID,$B12,nrES_Code,AA$5,nrES_Final,"Yes"),""))</f>
        <v/>
      </c>
      <c r="AB12" s="17">
        <f>IF(OR($B12="",AB$5=""),"",IFERROR(SUMIFS(nrES_Rec,nrES_PID,$B12,nrES_Code,AB$5,nrES_Final,"Yes"),""))</f>
        <v/>
      </c>
      <c r="AC12" s="17">
        <f>IF($B12="","",sysGrades!$M12)</f>
        <v/>
      </c>
      <c r="AD12" s="17">
        <f>IF($B12="","",IFERROR(sysGrades!$U12,""))</f>
        <v/>
      </c>
    </row>
    <row r="13">
      <c r="B13" s="17">
        <f>IF(Cadets!$B13="","",Cadets!$B13)</f>
        <v/>
      </c>
      <c r="C13" s="17">
        <f>IF($B13="","",Cadets!$F13)</f>
        <v/>
      </c>
      <c r="D13" s="17">
        <f>IF(OR($B13="",D$5=""),"",IFERROR(SUMIFS(nrES_Rec,nrES_PID,$B13,nrES_Code,D$5,nrES_Final,"Yes"),""))</f>
        <v/>
      </c>
      <c r="E13" s="17">
        <f>IF(OR($B13="",E$5=""),"",IFERROR(SUMIFS(nrES_Rec,nrES_PID,$B13,nrES_Code,E$5,nrES_Final,"Yes"),""))</f>
        <v/>
      </c>
      <c r="F13" s="17">
        <f>IF(OR($B13="",F$5=""),"",IFERROR(SUMIFS(nrES_Rec,nrES_PID,$B13,nrES_Code,F$5,nrES_Final,"Yes"),""))</f>
        <v/>
      </c>
      <c r="G13" s="17">
        <f>IF(OR($B13="",G$5=""),"",IFERROR(SUMIFS(nrES_Rec,nrES_PID,$B13,nrES_Code,G$5,nrES_Final,"Yes"),""))</f>
        <v/>
      </c>
      <c r="H13" s="17">
        <f>IF(OR($B13="",H$5=""),"",IFERROR(SUMIFS(nrES_Rec,nrES_PID,$B13,nrES_Code,H$5,nrES_Final,"Yes"),""))</f>
        <v/>
      </c>
      <c r="I13" s="17">
        <f>IF(OR($B13="",I$5=""),"",IFERROR(SUMIFS(nrES_Rec,nrES_PID,$B13,nrES_Code,I$5,nrES_Final,"Yes"),""))</f>
        <v/>
      </c>
      <c r="J13" s="17">
        <f>IF(OR($B13="",J$5=""),"",IFERROR(SUMIFS(nrES_Rec,nrES_PID,$B13,nrES_Code,J$5,nrES_Final,"Yes"),""))</f>
        <v/>
      </c>
      <c r="K13" s="17">
        <f>IF(OR($B13="",K$5=""),"",IFERROR(SUMIFS(nrES_Rec,nrES_PID,$B13,nrES_Code,K$5,nrES_Final,"Yes"),""))</f>
        <v/>
      </c>
      <c r="L13" s="17">
        <f>IF(OR($B13="",L$5=""),"",IFERROR(SUMIFS(nrES_Rec,nrES_PID,$B13,nrES_Code,L$5,nrES_Final,"Yes"),""))</f>
        <v/>
      </c>
      <c r="M13" s="17">
        <f>IF(OR($B13="",M$5=""),"",IFERROR(SUMIFS(nrES_Rec,nrES_PID,$B13,nrES_Code,M$5,nrES_Final,"Yes"),""))</f>
        <v/>
      </c>
      <c r="N13" s="17">
        <f>IF(OR($B13="",N$5=""),"",IFERROR(SUMIFS(nrES_Rec,nrES_PID,$B13,nrES_Code,N$5,nrES_Final,"Yes"),""))</f>
        <v/>
      </c>
      <c r="O13" s="17">
        <f>IF(OR($B13="",O$5=""),"",IFERROR(SUMIFS(nrES_Rec,nrES_PID,$B13,nrES_Code,O$5,nrES_Final,"Yes"),""))</f>
        <v/>
      </c>
      <c r="P13" s="17">
        <f>IF(OR($B13="",P$5=""),"",IFERROR(SUMIFS(nrES_Rec,nrES_PID,$B13,nrES_Code,P$5,nrES_Final,"Yes"),""))</f>
        <v/>
      </c>
      <c r="Q13" s="17">
        <f>IF(OR($B13="",Q$5=""),"",IFERROR(SUMIFS(nrES_Rec,nrES_PID,$B13,nrES_Code,Q$5,nrES_Final,"Yes"),""))</f>
        <v/>
      </c>
      <c r="R13" s="17">
        <f>IF(OR($B13="",R$5=""),"",IFERROR(SUMIFS(nrES_Rec,nrES_PID,$B13,nrES_Code,R$5,nrES_Final,"Yes"),""))</f>
        <v/>
      </c>
      <c r="S13" s="17">
        <f>IF(OR($B13="",S$5=""),"",IFERROR(SUMIFS(nrES_Rec,nrES_PID,$B13,nrES_Code,S$5,nrES_Final,"Yes"),""))</f>
        <v/>
      </c>
      <c r="T13" s="17">
        <f>IF(OR($B13="",T$5=""),"",IFERROR(SUMIFS(nrES_Rec,nrES_PID,$B13,nrES_Code,T$5,nrES_Final,"Yes"),""))</f>
        <v/>
      </c>
      <c r="U13" s="17">
        <f>IF(OR($B13="",U$5=""),"",IFERROR(SUMIFS(nrES_Rec,nrES_PID,$B13,nrES_Code,U$5,nrES_Final,"Yes"),""))</f>
        <v/>
      </c>
      <c r="V13" s="17">
        <f>IF(OR($B13="",V$5=""),"",IFERROR(SUMIFS(nrES_Rec,nrES_PID,$B13,nrES_Code,V$5,nrES_Final,"Yes"),""))</f>
        <v/>
      </c>
      <c r="W13" s="17">
        <f>IF(OR($B13="",W$5=""),"",IFERROR(SUMIFS(nrES_Rec,nrES_PID,$B13,nrES_Code,W$5,nrES_Final,"Yes"),""))</f>
        <v/>
      </c>
      <c r="X13" s="17">
        <f>IF(OR($B13="",X$5=""),"",IFERROR(SUMIFS(nrES_Rec,nrES_PID,$B13,nrES_Code,X$5,nrES_Final,"Yes"),""))</f>
        <v/>
      </c>
      <c r="Y13" s="17">
        <f>IF(OR($B13="",Y$5=""),"",IFERROR(SUMIFS(nrES_Rec,nrES_PID,$B13,nrES_Code,Y$5,nrES_Final,"Yes"),""))</f>
        <v/>
      </c>
      <c r="Z13" s="17">
        <f>IF(OR($B13="",Z$5=""),"",IFERROR(SUMIFS(nrES_Rec,nrES_PID,$B13,nrES_Code,Z$5,nrES_Final,"Yes"),""))</f>
        <v/>
      </c>
      <c r="AA13" s="17">
        <f>IF(OR($B13="",AA$5=""),"",IFERROR(SUMIFS(nrES_Rec,nrES_PID,$B13,nrES_Code,AA$5,nrES_Final,"Yes"),""))</f>
        <v/>
      </c>
      <c r="AB13" s="17">
        <f>IF(OR($B13="",AB$5=""),"",IFERROR(SUMIFS(nrES_Rec,nrES_PID,$B13,nrES_Code,AB$5,nrES_Final,"Yes"),""))</f>
        <v/>
      </c>
      <c r="AC13" s="17">
        <f>IF($B13="","",sysGrades!$M13)</f>
        <v/>
      </c>
      <c r="AD13" s="17">
        <f>IF($B13="","",IFERROR(sysGrades!$U13,""))</f>
        <v/>
      </c>
    </row>
    <row r="14">
      <c r="B14" s="17">
        <f>IF(Cadets!$B14="","",Cadets!$B14)</f>
        <v/>
      </c>
      <c r="C14" s="17">
        <f>IF($B14="","",Cadets!$F14)</f>
        <v/>
      </c>
      <c r="D14" s="17">
        <f>IF(OR($B14="",D$5=""),"",IFERROR(SUMIFS(nrES_Rec,nrES_PID,$B14,nrES_Code,D$5,nrES_Final,"Yes"),""))</f>
        <v/>
      </c>
      <c r="E14" s="17">
        <f>IF(OR($B14="",E$5=""),"",IFERROR(SUMIFS(nrES_Rec,nrES_PID,$B14,nrES_Code,E$5,nrES_Final,"Yes"),""))</f>
        <v/>
      </c>
      <c r="F14" s="17">
        <f>IF(OR($B14="",F$5=""),"",IFERROR(SUMIFS(nrES_Rec,nrES_PID,$B14,nrES_Code,F$5,nrES_Final,"Yes"),""))</f>
        <v/>
      </c>
      <c r="G14" s="17">
        <f>IF(OR($B14="",G$5=""),"",IFERROR(SUMIFS(nrES_Rec,nrES_PID,$B14,nrES_Code,G$5,nrES_Final,"Yes"),""))</f>
        <v/>
      </c>
      <c r="H14" s="17">
        <f>IF(OR($B14="",H$5=""),"",IFERROR(SUMIFS(nrES_Rec,nrES_PID,$B14,nrES_Code,H$5,nrES_Final,"Yes"),""))</f>
        <v/>
      </c>
      <c r="I14" s="17">
        <f>IF(OR($B14="",I$5=""),"",IFERROR(SUMIFS(nrES_Rec,nrES_PID,$B14,nrES_Code,I$5,nrES_Final,"Yes"),""))</f>
        <v/>
      </c>
      <c r="J14" s="17">
        <f>IF(OR($B14="",J$5=""),"",IFERROR(SUMIFS(nrES_Rec,nrES_PID,$B14,nrES_Code,J$5,nrES_Final,"Yes"),""))</f>
        <v/>
      </c>
      <c r="K14" s="17">
        <f>IF(OR($B14="",K$5=""),"",IFERROR(SUMIFS(nrES_Rec,nrES_PID,$B14,nrES_Code,K$5,nrES_Final,"Yes"),""))</f>
        <v/>
      </c>
      <c r="L14" s="17">
        <f>IF(OR($B14="",L$5=""),"",IFERROR(SUMIFS(nrES_Rec,nrES_PID,$B14,nrES_Code,L$5,nrES_Final,"Yes"),""))</f>
        <v/>
      </c>
      <c r="M14" s="17">
        <f>IF(OR($B14="",M$5=""),"",IFERROR(SUMIFS(nrES_Rec,nrES_PID,$B14,nrES_Code,M$5,nrES_Final,"Yes"),""))</f>
        <v/>
      </c>
      <c r="N14" s="17">
        <f>IF(OR($B14="",N$5=""),"",IFERROR(SUMIFS(nrES_Rec,nrES_PID,$B14,nrES_Code,N$5,nrES_Final,"Yes"),""))</f>
        <v/>
      </c>
      <c r="O14" s="17">
        <f>IF(OR($B14="",O$5=""),"",IFERROR(SUMIFS(nrES_Rec,nrES_PID,$B14,nrES_Code,O$5,nrES_Final,"Yes"),""))</f>
        <v/>
      </c>
      <c r="P14" s="17">
        <f>IF(OR($B14="",P$5=""),"",IFERROR(SUMIFS(nrES_Rec,nrES_PID,$B14,nrES_Code,P$5,nrES_Final,"Yes"),""))</f>
        <v/>
      </c>
      <c r="Q14" s="17">
        <f>IF(OR($B14="",Q$5=""),"",IFERROR(SUMIFS(nrES_Rec,nrES_PID,$B14,nrES_Code,Q$5,nrES_Final,"Yes"),""))</f>
        <v/>
      </c>
      <c r="R14" s="17">
        <f>IF(OR($B14="",R$5=""),"",IFERROR(SUMIFS(nrES_Rec,nrES_PID,$B14,nrES_Code,R$5,nrES_Final,"Yes"),""))</f>
        <v/>
      </c>
      <c r="S14" s="17">
        <f>IF(OR($B14="",S$5=""),"",IFERROR(SUMIFS(nrES_Rec,nrES_PID,$B14,nrES_Code,S$5,nrES_Final,"Yes"),""))</f>
        <v/>
      </c>
      <c r="T14" s="17">
        <f>IF(OR($B14="",T$5=""),"",IFERROR(SUMIFS(nrES_Rec,nrES_PID,$B14,nrES_Code,T$5,nrES_Final,"Yes"),""))</f>
        <v/>
      </c>
      <c r="U14" s="17">
        <f>IF(OR($B14="",U$5=""),"",IFERROR(SUMIFS(nrES_Rec,nrES_PID,$B14,nrES_Code,U$5,nrES_Final,"Yes"),""))</f>
        <v/>
      </c>
      <c r="V14" s="17">
        <f>IF(OR($B14="",V$5=""),"",IFERROR(SUMIFS(nrES_Rec,nrES_PID,$B14,nrES_Code,V$5,nrES_Final,"Yes"),""))</f>
        <v/>
      </c>
      <c r="W14" s="17">
        <f>IF(OR($B14="",W$5=""),"",IFERROR(SUMIFS(nrES_Rec,nrES_PID,$B14,nrES_Code,W$5,nrES_Final,"Yes"),""))</f>
        <v/>
      </c>
      <c r="X14" s="17">
        <f>IF(OR($B14="",X$5=""),"",IFERROR(SUMIFS(nrES_Rec,nrES_PID,$B14,nrES_Code,X$5,nrES_Final,"Yes"),""))</f>
        <v/>
      </c>
      <c r="Y14" s="17">
        <f>IF(OR($B14="",Y$5=""),"",IFERROR(SUMIFS(nrES_Rec,nrES_PID,$B14,nrES_Code,Y$5,nrES_Final,"Yes"),""))</f>
        <v/>
      </c>
      <c r="Z14" s="17">
        <f>IF(OR($B14="",Z$5=""),"",IFERROR(SUMIFS(nrES_Rec,nrES_PID,$B14,nrES_Code,Z$5,nrES_Final,"Yes"),""))</f>
        <v/>
      </c>
      <c r="AA14" s="17">
        <f>IF(OR($B14="",AA$5=""),"",IFERROR(SUMIFS(nrES_Rec,nrES_PID,$B14,nrES_Code,AA$5,nrES_Final,"Yes"),""))</f>
        <v/>
      </c>
      <c r="AB14" s="17">
        <f>IF(OR($B14="",AB$5=""),"",IFERROR(SUMIFS(nrES_Rec,nrES_PID,$B14,nrES_Code,AB$5,nrES_Final,"Yes"),""))</f>
        <v/>
      </c>
      <c r="AC14" s="17">
        <f>IF($B14="","",sysGrades!$M14)</f>
        <v/>
      </c>
      <c r="AD14" s="17">
        <f>IF($B14="","",IFERROR(sysGrades!$U14,""))</f>
        <v/>
      </c>
    </row>
    <row r="15">
      <c r="B15" s="17">
        <f>IF(Cadets!$B15="","",Cadets!$B15)</f>
        <v/>
      </c>
      <c r="C15" s="17">
        <f>IF($B15="","",Cadets!$F15)</f>
        <v/>
      </c>
      <c r="D15" s="17">
        <f>IF(OR($B15="",D$5=""),"",IFERROR(SUMIFS(nrES_Rec,nrES_PID,$B15,nrES_Code,D$5,nrES_Final,"Yes"),""))</f>
        <v/>
      </c>
      <c r="E15" s="17">
        <f>IF(OR($B15="",E$5=""),"",IFERROR(SUMIFS(nrES_Rec,nrES_PID,$B15,nrES_Code,E$5,nrES_Final,"Yes"),""))</f>
        <v/>
      </c>
      <c r="F15" s="17">
        <f>IF(OR($B15="",F$5=""),"",IFERROR(SUMIFS(nrES_Rec,nrES_PID,$B15,nrES_Code,F$5,nrES_Final,"Yes"),""))</f>
        <v/>
      </c>
      <c r="G15" s="17">
        <f>IF(OR($B15="",G$5=""),"",IFERROR(SUMIFS(nrES_Rec,nrES_PID,$B15,nrES_Code,G$5,nrES_Final,"Yes"),""))</f>
        <v/>
      </c>
      <c r="H15" s="17">
        <f>IF(OR($B15="",H$5=""),"",IFERROR(SUMIFS(nrES_Rec,nrES_PID,$B15,nrES_Code,H$5,nrES_Final,"Yes"),""))</f>
        <v/>
      </c>
      <c r="I15" s="17">
        <f>IF(OR($B15="",I$5=""),"",IFERROR(SUMIFS(nrES_Rec,nrES_PID,$B15,nrES_Code,I$5,nrES_Final,"Yes"),""))</f>
        <v/>
      </c>
      <c r="J15" s="17">
        <f>IF(OR($B15="",J$5=""),"",IFERROR(SUMIFS(nrES_Rec,nrES_PID,$B15,nrES_Code,J$5,nrES_Final,"Yes"),""))</f>
        <v/>
      </c>
      <c r="K15" s="17">
        <f>IF(OR($B15="",K$5=""),"",IFERROR(SUMIFS(nrES_Rec,nrES_PID,$B15,nrES_Code,K$5,nrES_Final,"Yes"),""))</f>
        <v/>
      </c>
      <c r="L15" s="17">
        <f>IF(OR($B15="",L$5=""),"",IFERROR(SUMIFS(nrES_Rec,nrES_PID,$B15,nrES_Code,L$5,nrES_Final,"Yes"),""))</f>
        <v/>
      </c>
      <c r="M15" s="17">
        <f>IF(OR($B15="",M$5=""),"",IFERROR(SUMIFS(nrES_Rec,nrES_PID,$B15,nrES_Code,M$5,nrES_Final,"Yes"),""))</f>
        <v/>
      </c>
      <c r="N15" s="17">
        <f>IF(OR($B15="",N$5=""),"",IFERROR(SUMIFS(nrES_Rec,nrES_PID,$B15,nrES_Code,N$5,nrES_Final,"Yes"),""))</f>
        <v/>
      </c>
      <c r="O15" s="17">
        <f>IF(OR($B15="",O$5=""),"",IFERROR(SUMIFS(nrES_Rec,nrES_PID,$B15,nrES_Code,O$5,nrES_Final,"Yes"),""))</f>
        <v/>
      </c>
      <c r="P15" s="17">
        <f>IF(OR($B15="",P$5=""),"",IFERROR(SUMIFS(nrES_Rec,nrES_PID,$B15,nrES_Code,P$5,nrES_Final,"Yes"),""))</f>
        <v/>
      </c>
      <c r="Q15" s="17">
        <f>IF(OR($B15="",Q$5=""),"",IFERROR(SUMIFS(nrES_Rec,nrES_PID,$B15,nrES_Code,Q$5,nrES_Final,"Yes"),""))</f>
        <v/>
      </c>
      <c r="R15" s="17">
        <f>IF(OR($B15="",R$5=""),"",IFERROR(SUMIFS(nrES_Rec,nrES_PID,$B15,nrES_Code,R$5,nrES_Final,"Yes"),""))</f>
        <v/>
      </c>
      <c r="S15" s="17">
        <f>IF(OR($B15="",S$5=""),"",IFERROR(SUMIFS(nrES_Rec,nrES_PID,$B15,nrES_Code,S$5,nrES_Final,"Yes"),""))</f>
        <v/>
      </c>
      <c r="T15" s="17">
        <f>IF(OR($B15="",T$5=""),"",IFERROR(SUMIFS(nrES_Rec,nrES_PID,$B15,nrES_Code,T$5,nrES_Final,"Yes"),""))</f>
        <v/>
      </c>
      <c r="U15" s="17">
        <f>IF(OR($B15="",U$5=""),"",IFERROR(SUMIFS(nrES_Rec,nrES_PID,$B15,nrES_Code,U$5,nrES_Final,"Yes"),""))</f>
        <v/>
      </c>
      <c r="V15" s="17">
        <f>IF(OR($B15="",V$5=""),"",IFERROR(SUMIFS(nrES_Rec,nrES_PID,$B15,nrES_Code,V$5,nrES_Final,"Yes"),""))</f>
        <v/>
      </c>
      <c r="W15" s="17">
        <f>IF(OR($B15="",W$5=""),"",IFERROR(SUMIFS(nrES_Rec,nrES_PID,$B15,nrES_Code,W$5,nrES_Final,"Yes"),""))</f>
        <v/>
      </c>
      <c r="X15" s="17">
        <f>IF(OR($B15="",X$5=""),"",IFERROR(SUMIFS(nrES_Rec,nrES_PID,$B15,nrES_Code,X$5,nrES_Final,"Yes"),""))</f>
        <v/>
      </c>
      <c r="Y15" s="17">
        <f>IF(OR($B15="",Y$5=""),"",IFERROR(SUMIFS(nrES_Rec,nrES_PID,$B15,nrES_Code,Y$5,nrES_Final,"Yes"),""))</f>
        <v/>
      </c>
      <c r="Z15" s="17">
        <f>IF(OR($B15="",Z$5=""),"",IFERROR(SUMIFS(nrES_Rec,nrES_PID,$B15,nrES_Code,Z$5,nrES_Final,"Yes"),""))</f>
        <v/>
      </c>
      <c r="AA15" s="17">
        <f>IF(OR($B15="",AA$5=""),"",IFERROR(SUMIFS(nrES_Rec,nrES_PID,$B15,nrES_Code,AA$5,nrES_Final,"Yes"),""))</f>
        <v/>
      </c>
      <c r="AB15" s="17">
        <f>IF(OR($B15="",AB$5=""),"",IFERROR(SUMIFS(nrES_Rec,nrES_PID,$B15,nrES_Code,AB$5,nrES_Final,"Yes"),""))</f>
        <v/>
      </c>
      <c r="AC15" s="17">
        <f>IF($B15="","",sysGrades!$M15)</f>
        <v/>
      </c>
      <c r="AD15" s="17">
        <f>IF($B15="","",IFERROR(sysGrades!$U15,""))</f>
        <v/>
      </c>
    </row>
    <row r="16">
      <c r="B16" s="17">
        <f>IF(Cadets!$B16="","",Cadets!$B16)</f>
        <v/>
      </c>
      <c r="C16" s="17">
        <f>IF($B16="","",Cadets!$F16)</f>
        <v/>
      </c>
      <c r="D16" s="17">
        <f>IF(OR($B16="",D$5=""),"",IFERROR(SUMIFS(nrES_Rec,nrES_PID,$B16,nrES_Code,D$5,nrES_Final,"Yes"),""))</f>
        <v/>
      </c>
      <c r="E16" s="17">
        <f>IF(OR($B16="",E$5=""),"",IFERROR(SUMIFS(nrES_Rec,nrES_PID,$B16,nrES_Code,E$5,nrES_Final,"Yes"),""))</f>
        <v/>
      </c>
      <c r="F16" s="17">
        <f>IF(OR($B16="",F$5=""),"",IFERROR(SUMIFS(nrES_Rec,nrES_PID,$B16,nrES_Code,F$5,nrES_Final,"Yes"),""))</f>
        <v/>
      </c>
      <c r="G16" s="17">
        <f>IF(OR($B16="",G$5=""),"",IFERROR(SUMIFS(nrES_Rec,nrES_PID,$B16,nrES_Code,G$5,nrES_Final,"Yes"),""))</f>
        <v/>
      </c>
      <c r="H16" s="17">
        <f>IF(OR($B16="",H$5=""),"",IFERROR(SUMIFS(nrES_Rec,nrES_PID,$B16,nrES_Code,H$5,nrES_Final,"Yes"),""))</f>
        <v/>
      </c>
      <c r="I16" s="17">
        <f>IF(OR($B16="",I$5=""),"",IFERROR(SUMIFS(nrES_Rec,nrES_PID,$B16,nrES_Code,I$5,nrES_Final,"Yes"),""))</f>
        <v/>
      </c>
      <c r="J16" s="17">
        <f>IF(OR($B16="",J$5=""),"",IFERROR(SUMIFS(nrES_Rec,nrES_PID,$B16,nrES_Code,J$5,nrES_Final,"Yes"),""))</f>
        <v/>
      </c>
      <c r="K16" s="17">
        <f>IF(OR($B16="",K$5=""),"",IFERROR(SUMIFS(nrES_Rec,nrES_PID,$B16,nrES_Code,K$5,nrES_Final,"Yes"),""))</f>
        <v/>
      </c>
      <c r="L16" s="17">
        <f>IF(OR($B16="",L$5=""),"",IFERROR(SUMIFS(nrES_Rec,nrES_PID,$B16,nrES_Code,L$5,nrES_Final,"Yes"),""))</f>
        <v/>
      </c>
      <c r="M16" s="17">
        <f>IF(OR($B16="",M$5=""),"",IFERROR(SUMIFS(nrES_Rec,nrES_PID,$B16,nrES_Code,M$5,nrES_Final,"Yes"),""))</f>
        <v/>
      </c>
      <c r="N16" s="17">
        <f>IF(OR($B16="",N$5=""),"",IFERROR(SUMIFS(nrES_Rec,nrES_PID,$B16,nrES_Code,N$5,nrES_Final,"Yes"),""))</f>
        <v/>
      </c>
      <c r="O16" s="17">
        <f>IF(OR($B16="",O$5=""),"",IFERROR(SUMIFS(nrES_Rec,nrES_PID,$B16,nrES_Code,O$5,nrES_Final,"Yes"),""))</f>
        <v/>
      </c>
      <c r="P16" s="17">
        <f>IF(OR($B16="",P$5=""),"",IFERROR(SUMIFS(nrES_Rec,nrES_PID,$B16,nrES_Code,P$5,nrES_Final,"Yes"),""))</f>
        <v/>
      </c>
      <c r="Q16" s="17">
        <f>IF(OR($B16="",Q$5=""),"",IFERROR(SUMIFS(nrES_Rec,nrES_PID,$B16,nrES_Code,Q$5,nrES_Final,"Yes"),""))</f>
        <v/>
      </c>
      <c r="R16" s="17">
        <f>IF(OR($B16="",R$5=""),"",IFERROR(SUMIFS(nrES_Rec,nrES_PID,$B16,nrES_Code,R$5,nrES_Final,"Yes"),""))</f>
        <v/>
      </c>
      <c r="S16" s="17">
        <f>IF(OR($B16="",S$5=""),"",IFERROR(SUMIFS(nrES_Rec,nrES_PID,$B16,nrES_Code,S$5,nrES_Final,"Yes"),""))</f>
        <v/>
      </c>
      <c r="T16" s="17">
        <f>IF(OR($B16="",T$5=""),"",IFERROR(SUMIFS(nrES_Rec,nrES_PID,$B16,nrES_Code,T$5,nrES_Final,"Yes"),""))</f>
        <v/>
      </c>
      <c r="U16" s="17">
        <f>IF(OR($B16="",U$5=""),"",IFERROR(SUMIFS(nrES_Rec,nrES_PID,$B16,nrES_Code,U$5,nrES_Final,"Yes"),""))</f>
        <v/>
      </c>
      <c r="V16" s="17">
        <f>IF(OR($B16="",V$5=""),"",IFERROR(SUMIFS(nrES_Rec,nrES_PID,$B16,nrES_Code,V$5,nrES_Final,"Yes"),""))</f>
        <v/>
      </c>
      <c r="W16" s="17">
        <f>IF(OR($B16="",W$5=""),"",IFERROR(SUMIFS(nrES_Rec,nrES_PID,$B16,nrES_Code,W$5,nrES_Final,"Yes"),""))</f>
        <v/>
      </c>
      <c r="X16" s="17">
        <f>IF(OR($B16="",X$5=""),"",IFERROR(SUMIFS(nrES_Rec,nrES_PID,$B16,nrES_Code,X$5,nrES_Final,"Yes"),""))</f>
        <v/>
      </c>
      <c r="Y16" s="17">
        <f>IF(OR($B16="",Y$5=""),"",IFERROR(SUMIFS(nrES_Rec,nrES_PID,$B16,nrES_Code,Y$5,nrES_Final,"Yes"),""))</f>
        <v/>
      </c>
      <c r="Z16" s="17">
        <f>IF(OR($B16="",Z$5=""),"",IFERROR(SUMIFS(nrES_Rec,nrES_PID,$B16,nrES_Code,Z$5,nrES_Final,"Yes"),""))</f>
        <v/>
      </c>
      <c r="AA16" s="17">
        <f>IF(OR($B16="",AA$5=""),"",IFERROR(SUMIFS(nrES_Rec,nrES_PID,$B16,nrES_Code,AA$5,nrES_Final,"Yes"),""))</f>
        <v/>
      </c>
      <c r="AB16" s="17">
        <f>IF(OR($B16="",AB$5=""),"",IFERROR(SUMIFS(nrES_Rec,nrES_PID,$B16,nrES_Code,AB$5,nrES_Final,"Yes"),""))</f>
        <v/>
      </c>
      <c r="AC16" s="17">
        <f>IF($B16="","",sysGrades!$M16)</f>
        <v/>
      </c>
      <c r="AD16" s="17">
        <f>IF($B16="","",IFERROR(sysGrades!$U16,""))</f>
        <v/>
      </c>
    </row>
    <row r="17">
      <c r="B17" s="17">
        <f>IF(Cadets!$B17="","",Cadets!$B17)</f>
        <v/>
      </c>
      <c r="C17" s="17">
        <f>IF($B17="","",Cadets!$F17)</f>
        <v/>
      </c>
      <c r="D17" s="17">
        <f>IF(OR($B17="",D$5=""),"",IFERROR(SUMIFS(nrES_Rec,nrES_PID,$B17,nrES_Code,D$5,nrES_Final,"Yes"),""))</f>
        <v/>
      </c>
      <c r="E17" s="17">
        <f>IF(OR($B17="",E$5=""),"",IFERROR(SUMIFS(nrES_Rec,nrES_PID,$B17,nrES_Code,E$5,nrES_Final,"Yes"),""))</f>
        <v/>
      </c>
      <c r="F17" s="17">
        <f>IF(OR($B17="",F$5=""),"",IFERROR(SUMIFS(nrES_Rec,nrES_PID,$B17,nrES_Code,F$5,nrES_Final,"Yes"),""))</f>
        <v/>
      </c>
      <c r="G17" s="17">
        <f>IF(OR($B17="",G$5=""),"",IFERROR(SUMIFS(nrES_Rec,nrES_PID,$B17,nrES_Code,G$5,nrES_Final,"Yes"),""))</f>
        <v/>
      </c>
      <c r="H17" s="17">
        <f>IF(OR($B17="",H$5=""),"",IFERROR(SUMIFS(nrES_Rec,nrES_PID,$B17,nrES_Code,H$5,nrES_Final,"Yes"),""))</f>
        <v/>
      </c>
      <c r="I17" s="17">
        <f>IF(OR($B17="",I$5=""),"",IFERROR(SUMIFS(nrES_Rec,nrES_PID,$B17,nrES_Code,I$5,nrES_Final,"Yes"),""))</f>
        <v/>
      </c>
      <c r="J17" s="17">
        <f>IF(OR($B17="",J$5=""),"",IFERROR(SUMIFS(nrES_Rec,nrES_PID,$B17,nrES_Code,J$5,nrES_Final,"Yes"),""))</f>
        <v/>
      </c>
      <c r="K17" s="17">
        <f>IF(OR($B17="",K$5=""),"",IFERROR(SUMIFS(nrES_Rec,nrES_PID,$B17,nrES_Code,K$5,nrES_Final,"Yes"),""))</f>
        <v/>
      </c>
      <c r="L17" s="17">
        <f>IF(OR($B17="",L$5=""),"",IFERROR(SUMIFS(nrES_Rec,nrES_PID,$B17,nrES_Code,L$5,nrES_Final,"Yes"),""))</f>
        <v/>
      </c>
      <c r="M17" s="17">
        <f>IF(OR($B17="",M$5=""),"",IFERROR(SUMIFS(nrES_Rec,nrES_PID,$B17,nrES_Code,M$5,nrES_Final,"Yes"),""))</f>
        <v/>
      </c>
      <c r="N17" s="17">
        <f>IF(OR($B17="",N$5=""),"",IFERROR(SUMIFS(nrES_Rec,nrES_PID,$B17,nrES_Code,N$5,nrES_Final,"Yes"),""))</f>
        <v/>
      </c>
      <c r="O17" s="17">
        <f>IF(OR($B17="",O$5=""),"",IFERROR(SUMIFS(nrES_Rec,nrES_PID,$B17,nrES_Code,O$5,nrES_Final,"Yes"),""))</f>
        <v/>
      </c>
      <c r="P17" s="17">
        <f>IF(OR($B17="",P$5=""),"",IFERROR(SUMIFS(nrES_Rec,nrES_PID,$B17,nrES_Code,P$5,nrES_Final,"Yes"),""))</f>
        <v/>
      </c>
      <c r="Q17" s="17">
        <f>IF(OR($B17="",Q$5=""),"",IFERROR(SUMIFS(nrES_Rec,nrES_PID,$B17,nrES_Code,Q$5,nrES_Final,"Yes"),""))</f>
        <v/>
      </c>
      <c r="R17" s="17">
        <f>IF(OR($B17="",R$5=""),"",IFERROR(SUMIFS(nrES_Rec,nrES_PID,$B17,nrES_Code,R$5,nrES_Final,"Yes"),""))</f>
        <v/>
      </c>
      <c r="S17" s="17">
        <f>IF(OR($B17="",S$5=""),"",IFERROR(SUMIFS(nrES_Rec,nrES_PID,$B17,nrES_Code,S$5,nrES_Final,"Yes"),""))</f>
        <v/>
      </c>
      <c r="T17" s="17">
        <f>IF(OR($B17="",T$5=""),"",IFERROR(SUMIFS(nrES_Rec,nrES_PID,$B17,nrES_Code,T$5,nrES_Final,"Yes"),""))</f>
        <v/>
      </c>
      <c r="U17" s="17">
        <f>IF(OR($B17="",U$5=""),"",IFERROR(SUMIFS(nrES_Rec,nrES_PID,$B17,nrES_Code,U$5,nrES_Final,"Yes"),""))</f>
        <v/>
      </c>
      <c r="V17" s="17">
        <f>IF(OR($B17="",V$5=""),"",IFERROR(SUMIFS(nrES_Rec,nrES_PID,$B17,nrES_Code,V$5,nrES_Final,"Yes"),""))</f>
        <v/>
      </c>
      <c r="W17" s="17">
        <f>IF(OR($B17="",W$5=""),"",IFERROR(SUMIFS(nrES_Rec,nrES_PID,$B17,nrES_Code,W$5,nrES_Final,"Yes"),""))</f>
        <v/>
      </c>
      <c r="X17" s="17">
        <f>IF(OR($B17="",X$5=""),"",IFERROR(SUMIFS(nrES_Rec,nrES_PID,$B17,nrES_Code,X$5,nrES_Final,"Yes"),""))</f>
        <v/>
      </c>
      <c r="Y17" s="17">
        <f>IF(OR($B17="",Y$5=""),"",IFERROR(SUMIFS(nrES_Rec,nrES_PID,$B17,nrES_Code,Y$5,nrES_Final,"Yes"),""))</f>
        <v/>
      </c>
      <c r="Z17" s="17">
        <f>IF(OR($B17="",Z$5=""),"",IFERROR(SUMIFS(nrES_Rec,nrES_PID,$B17,nrES_Code,Z$5,nrES_Final,"Yes"),""))</f>
        <v/>
      </c>
      <c r="AA17" s="17">
        <f>IF(OR($B17="",AA$5=""),"",IFERROR(SUMIFS(nrES_Rec,nrES_PID,$B17,nrES_Code,AA$5,nrES_Final,"Yes"),""))</f>
        <v/>
      </c>
      <c r="AB17" s="17">
        <f>IF(OR($B17="",AB$5=""),"",IFERROR(SUMIFS(nrES_Rec,nrES_PID,$B17,nrES_Code,AB$5,nrES_Final,"Yes"),""))</f>
        <v/>
      </c>
      <c r="AC17" s="17">
        <f>IF($B17="","",sysGrades!$M17)</f>
        <v/>
      </c>
      <c r="AD17" s="17">
        <f>IF($B17="","",IFERROR(sysGrades!$U17,""))</f>
        <v/>
      </c>
    </row>
    <row r="18">
      <c r="B18" s="17">
        <f>IF(Cadets!$B18="","",Cadets!$B18)</f>
        <v/>
      </c>
      <c r="C18" s="17">
        <f>IF($B18="","",Cadets!$F18)</f>
        <v/>
      </c>
      <c r="D18" s="17">
        <f>IF(OR($B18="",D$5=""),"",IFERROR(SUMIFS(nrES_Rec,nrES_PID,$B18,nrES_Code,D$5,nrES_Final,"Yes"),""))</f>
        <v/>
      </c>
      <c r="E18" s="17">
        <f>IF(OR($B18="",E$5=""),"",IFERROR(SUMIFS(nrES_Rec,nrES_PID,$B18,nrES_Code,E$5,nrES_Final,"Yes"),""))</f>
        <v/>
      </c>
      <c r="F18" s="17">
        <f>IF(OR($B18="",F$5=""),"",IFERROR(SUMIFS(nrES_Rec,nrES_PID,$B18,nrES_Code,F$5,nrES_Final,"Yes"),""))</f>
        <v/>
      </c>
      <c r="G18" s="17">
        <f>IF(OR($B18="",G$5=""),"",IFERROR(SUMIFS(nrES_Rec,nrES_PID,$B18,nrES_Code,G$5,nrES_Final,"Yes"),""))</f>
        <v/>
      </c>
      <c r="H18" s="17">
        <f>IF(OR($B18="",H$5=""),"",IFERROR(SUMIFS(nrES_Rec,nrES_PID,$B18,nrES_Code,H$5,nrES_Final,"Yes"),""))</f>
        <v/>
      </c>
      <c r="I18" s="17">
        <f>IF(OR($B18="",I$5=""),"",IFERROR(SUMIFS(nrES_Rec,nrES_PID,$B18,nrES_Code,I$5,nrES_Final,"Yes"),""))</f>
        <v/>
      </c>
      <c r="J18" s="17">
        <f>IF(OR($B18="",J$5=""),"",IFERROR(SUMIFS(nrES_Rec,nrES_PID,$B18,nrES_Code,J$5,nrES_Final,"Yes"),""))</f>
        <v/>
      </c>
      <c r="K18" s="17">
        <f>IF(OR($B18="",K$5=""),"",IFERROR(SUMIFS(nrES_Rec,nrES_PID,$B18,nrES_Code,K$5,nrES_Final,"Yes"),""))</f>
        <v/>
      </c>
      <c r="L18" s="17">
        <f>IF(OR($B18="",L$5=""),"",IFERROR(SUMIFS(nrES_Rec,nrES_PID,$B18,nrES_Code,L$5,nrES_Final,"Yes"),""))</f>
        <v/>
      </c>
      <c r="M18" s="17">
        <f>IF(OR($B18="",M$5=""),"",IFERROR(SUMIFS(nrES_Rec,nrES_PID,$B18,nrES_Code,M$5,nrES_Final,"Yes"),""))</f>
        <v/>
      </c>
      <c r="N18" s="17">
        <f>IF(OR($B18="",N$5=""),"",IFERROR(SUMIFS(nrES_Rec,nrES_PID,$B18,nrES_Code,N$5,nrES_Final,"Yes"),""))</f>
        <v/>
      </c>
      <c r="O18" s="17">
        <f>IF(OR($B18="",O$5=""),"",IFERROR(SUMIFS(nrES_Rec,nrES_PID,$B18,nrES_Code,O$5,nrES_Final,"Yes"),""))</f>
        <v/>
      </c>
      <c r="P18" s="17">
        <f>IF(OR($B18="",P$5=""),"",IFERROR(SUMIFS(nrES_Rec,nrES_PID,$B18,nrES_Code,P$5,nrES_Final,"Yes"),""))</f>
        <v/>
      </c>
      <c r="Q18" s="17">
        <f>IF(OR($B18="",Q$5=""),"",IFERROR(SUMIFS(nrES_Rec,nrES_PID,$B18,nrES_Code,Q$5,nrES_Final,"Yes"),""))</f>
        <v/>
      </c>
      <c r="R18" s="17">
        <f>IF(OR($B18="",R$5=""),"",IFERROR(SUMIFS(nrES_Rec,nrES_PID,$B18,nrES_Code,R$5,nrES_Final,"Yes"),""))</f>
        <v/>
      </c>
      <c r="S18" s="17">
        <f>IF(OR($B18="",S$5=""),"",IFERROR(SUMIFS(nrES_Rec,nrES_PID,$B18,nrES_Code,S$5,nrES_Final,"Yes"),""))</f>
        <v/>
      </c>
      <c r="T18" s="17">
        <f>IF(OR($B18="",T$5=""),"",IFERROR(SUMIFS(nrES_Rec,nrES_PID,$B18,nrES_Code,T$5,nrES_Final,"Yes"),""))</f>
        <v/>
      </c>
      <c r="U18" s="17">
        <f>IF(OR($B18="",U$5=""),"",IFERROR(SUMIFS(nrES_Rec,nrES_PID,$B18,nrES_Code,U$5,nrES_Final,"Yes"),""))</f>
        <v/>
      </c>
      <c r="V18" s="17">
        <f>IF(OR($B18="",V$5=""),"",IFERROR(SUMIFS(nrES_Rec,nrES_PID,$B18,nrES_Code,V$5,nrES_Final,"Yes"),""))</f>
        <v/>
      </c>
      <c r="W18" s="17">
        <f>IF(OR($B18="",W$5=""),"",IFERROR(SUMIFS(nrES_Rec,nrES_PID,$B18,nrES_Code,W$5,nrES_Final,"Yes"),""))</f>
        <v/>
      </c>
      <c r="X18" s="17">
        <f>IF(OR($B18="",X$5=""),"",IFERROR(SUMIFS(nrES_Rec,nrES_PID,$B18,nrES_Code,X$5,nrES_Final,"Yes"),""))</f>
        <v/>
      </c>
      <c r="Y18" s="17">
        <f>IF(OR($B18="",Y$5=""),"",IFERROR(SUMIFS(nrES_Rec,nrES_PID,$B18,nrES_Code,Y$5,nrES_Final,"Yes"),""))</f>
        <v/>
      </c>
      <c r="Z18" s="17">
        <f>IF(OR($B18="",Z$5=""),"",IFERROR(SUMIFS(nrES_Rec,nrES_PID,$B18,nrES_Code,Z$5,nrES_Final,"Yes"),""))</f>
        <v/>
      </c>
      <c r="AA18" s="17">
        <f>IF(OR($B18="",AA$5=""),"",IFERROR(SUMIFS(nrES_Rec,nrES_PID,$B18,nrES_Code,AA$5,nrES_Final,"Yes"),""))</f>
        <v/>
      </c>
      <c r="AB18" s="17">
        <f>IF(OR($B18="",AB$5=""),"",IFERROR(SUMIFS(nrES_Rec,nrES_PID,$B18,nrES_Code,AB$5,nrES_Final,"Yes"),""))</f>
        <v/>
      </c>
      <c r="AC18" s="17">
        <f>IF($B18="","",sysGrades!$M18)</f>
        <v/>
      </c>
      <c r="AD18" s="17">
        <f>IF($B18="","",IFERROR(sysGrades!$U18,""))</f>
        <v/>
      </c>
    </row>
    <row r="19">
      <c r="B19" s="17">
        <f>IF(Cadets!$B19="","",Cadets!$B19)</f>
        <v/>
      </c>
      <c r="C19" s="17">
        <f>IF($B19="","",Cadets!$F19)</f>
        <v/>
      </c>
      <c r="D19" s="17">
        <f>IF(OR($B19="",D$5=""),"",IFERROR(SUMIFS(nrES_Rec,nrES_PID,$B19,nrES_Code,D$5,nrES_Final,"Yes"),""))</f>
        <v/>
      </c>
      <c r="E19" s="17">
        <f>IF(OR($B19="",E$5=""),"",IFERROR(SUMIFS(nrES_Rec,nrES_PID,$B19,nrES_Code,E$5,nrES_Final,"Yes"),""))</f>
        <v/>
      </c>
      <c r="F19" s="17">
        <f>IF(OR($B19="",F$5=""),"",IFERROR(SUMIFS(nrES_Rec,nrES_PID,$B19,nrES_Code,F$5,nrES_Final,"Yes"),""))</f>
        <v/>
      </c>
      <c r="G19" s="17">
        <f>IF(OR($B19="",G$5=""),"",IFERROR(SUMIFS(nrES_Rec,nrES_PID,$B19,nrES_Code,G$5,nrES_Final,"Yes"),""))</f>
        <v/>
      </c>
      <c r="H19" s="17">
        <f>IF(OR($B19="",H$5=""),"",IFERROR(SUMIFS(nrES_Rec,nrES_PID,$B19,nrES_Code,H$5,nrES_Final,"Yes"),""))</f>
        <v/>
      </c>
      <c r="I19" s="17">
        <f>IF(OR($B19="",I$5=""),"",IFERROR(SUMIFS(nrES_Rec,nrES_PID,$B19,nrES_Code,I$5,nrES_Final,"Yes"),""))</f>
        <v/>
      </c>
      <c r="J19" s="17">
        <f>IF(OR($B19="",J$5=""),"",IFERROR(SUMIFS(nrES_Rec,nrES_PID,$B19,nrES_Code,J$5,nrES_Final,"Yes"),""))</f>
        <v/>
      </c>
      <c r="K19" s="17">
        <f>IF(OR($B19="",K$5=""),"",IFERROR(SUMIFS(nrES_Rec,nrES_PID,$B19,nrES_Code,K$5,nrES_Final,"Yes"),""))</f>
        <v/>
      </c>
      <c r="L19" s="17">
        <f>IF(OR($B19="",L$5=""),"",IFERROR(SUMIFS(nrES_Rec,nrES_PID,$B19,nrES_Code,L$5,nrES_Final,"Yes"),""))</f>
        <v/>
      </c>
      <c r="M19" s="17">
        <f>IF(OR($B19="",M$5=""),"",IFERROR(SUMIFS(nrES_Rec,nrES_PID,$B19,nrES_Code,M$5,nrES_Final,"Yes"),""))</f>
        <v/>
      </c>
      <c r="N19" s="17">
        <f>IF(OR($B19="",N$5=""),"",IFERROR(SUMIFS(nrES_Rec,nrES_PID,$B19,nrES_Code,N$5,nrES_Final,"Yes"),""))</f>
        <v/>
      </c>
      <c r="O19" s="17">
        <f>IF(OR($B19="",O$5=""),"",IFERROR(SUMIFS(nrES_Rec,nrES_PID,$B19,nrES_Code,O$5,nrES_Final,"Yes"),""))</f>
        <v/>
      </c>
      <c r="P19" s="17">
        <f>IF(OR($B19="",P$5=""),"",IFERROR(SUMIFS(nrES_Rec,nrES_PID,$B19,nrES_Code,P$5,nrES_Final,"Yes"),""))</f>
        <v/>
      </c>
      <c r="Q19" s="17">
        <f>IF(OR($B19="",Q$5=""),"",IFERROR(SUMIFS(nrES_Rec,nrES_PID,$B19,nrES_Code,Q$5,nrES_Final,"Yes"),""))</f>
        <v/>
      </c>
      <c r="R19" s="17">
        <f>IF(OR($B19="",R$5=""),"",IFERROR(SUMIFS(nrES_Rec,nrES_PID,$B19,nrES_Code,R$5,nrES_Final,"Yes"),""))</f>
        <v/>
      </c>
      <c r="S19" s="17">
        <f>IF(OR($B19="",S$5=""),"",IFERROR(SUMIFS(nrES_Rec,nrES_PID,$B19,nrES_Code,S$5,nrES_Final,"Yes"),""))</f>
        <v/>
      </c>
      <c r="T19" s="17">
        <f>IF(OR($B19="",T$5=""),"",IFERROR(SUMIFS(nrES_Rec,nrES_PID,$B19,nrES_Code,T$5,nrES_Final,"Yes"),""))</f>
        <v/>
      </c>
      <c r="U19" s="17">
        <f>IF(OR($B19="",U$5=""),"",IFERROR(SUMIFS(nrES_Rec,nrES_PID,$B19,nrES_Code,U$5,nrES_Final,"Yes"),""))</f>
        <v/>
      </c>
      <c r="V19" s="17">
        <f>IF(OR($B19="",V$5=""),"",IFERROR(SUMIFS(nrES_Rec,nrES_PID,$B19,nrES_Code,V$5,nrES_Final,"Yes"),""))</f>
        <v/>
      </c>
      <c r="W19" s="17">
        <f>IF(OR($B19="",W$5=""),"",IFERROR(SUMIFS(nrES_Rec,nrES_PID,$B19,nrES_Code,W$5,nrES_Final,"Yes"),""))</f>
        <v/>
      </c>
      <c r="X19" s="17">
        <f>IF(OR($B19="",X$5=""),"",IFERROR(SUMIFS(nrES_Rec,nrES_PID,$B19,nrES_Code,X$5,nrES_Final,"Yes"),""))</f>
        <v/>
      </c>
      <c r="Y19" s="17">
        <f>IF(OR($B19="",Y$5=""),"",IFERROR(SUMIFS(nrES_Rec,nrES_PID,$B19,nrES_Code,Y$5,nrES_Final,"Yes"),""))</f>
        <v/>
      </c>
      <c r="Z19" s="17">
        <f>IF(OR($B19="",Z$5=""),"",IFERROR(SUMIFS(nrES_Rec,nrES_PID,$B19,nrES_Code,Z$5,nrES_Final,"Yes"),""))</f>
        <v/>
      </c>
      <c r="AA19" s="17">
        <f>IF(OR($B19="",AA$5=""),"",IFERROR(SUMIFS(nrES_Rec,nrES_PID,$B19,nrES_Code,AA$5,nrES_Final,"Yes"),""))</f>
        <v/>
      </c>
      <c r="AB19" s="17">
        <f>IF(OR($B19="",AB$5=""),"",IFERROR(SUMIFS(nrES_Rec,nrES_PID,$B19,nrES_Code,AB$5,nrES_Final,"Yes"),""))</f>
        <v/>
      </c>
      <c r="AC19" s="17">
        <f>IF($B19="","",sysGrades!$M19)</f>
        <v/>
      </c>
      <c r="AD19" s="17">
        <f>IF($B19="","",IFERROR(sysGrades!$U19,""))</f>
        <v/>
      </c>
    </row>
    <row r="20">
      <c r="B20" s="17">
        <f>IF(Cadets!$B20="","",Cadets!$B20)</f>
        <v/>
      </c>
      <c r="C20" s="17">
        <f>IF($B20="","",Cadets!$F20)</f>
        <v/>
      </c>
      <c r="D20" s="17">
        <f>IF(OR($B20="",D$5=""),"",IFERROR(SUMIFS(nrES_Rec,nrES_PID,$B20,nrES_Code,D$5,nrES_Final,"Yes"),""))</f>
        <v/>
      </c>
      <c r="E20" s="17">
        <f>IF(OR($B20="",E$5=""),"",IFERROR(SUMIFS(nrES_Rec,nrES_PID,$B20,nrES_Code,E$5,nrES_Final,"Yes"),""))</f>
        <v/>
      </c>
      <c r="F20" s="17">
        <f>IF(OR($B20="",F$5=""),"",IFERROR(SUMIFS(nrES_Rec,nrES_PID,$B20,nrES_Code,F$5,nrES_Final,"Yes"),""))</f>
        <v/>
      </c>
      <c r="G20" s="17">
        <f>IF(OR($B20="",G$5=""),"",IFERROR(SUMIFS(nrES_Rec,nrES_PID,$B20,nrES_Code,G$5,nrES_Final,"Yes"),""))</f>
        <v/>
      </c>
      <c r="H20" s="17">
        <f>IF(OR($B20="",H$5=""),"",IFERROR(SUMIFS(nrES_Rec,nrES_PID,$B20,nrES_Code,H$5,nrES_Final,"Yes"),""))</f>
        <v/>
      </c>
      <c r="I20" s="17">
        <f>IF(OR($B20="",I$5=""),"",IFERROR(SUMIFS(nrES_Rec,nrES_PID,$B20,nrES_Code,I$5,nrES_Final,"Yes"),""))</f>
        <v/>
      </c>
      <c r="J20" s="17">
        <f>IF(OR($B20="",J$5=""),"",IFERROR(SUMIFS(nrES_Rec,nrES_PID,$B20,nrES_Code,J$5,nrES_Final,"Yes"),""))</f>
        <v/>
      </c>
      <c r="K20" s="17">
        <f>IF(OR($B20="",K$5=""),"",IFERROR(SUMIFS(nrES_Rec,nrES_PID,$B20,nrES_Code,K$5,nrES_Final,"Yes"),""))</f>
        <v/>
      </c>
      <c r="L20" s="17">
        <f>IF(OR($B20="",L$5=""),"",IFERROR(SUMIFS(nrES_Rec,nrES_PID,$B20,nrES_Code,L$5,nrES_Final,"Yes"),""))</f>
        <v/>
      </c>
      <c r="M20" s="17">
        <f>IF(OR($B20="",M$5=""),"",IFERROR(SUMIFS(nrES_Rec,nrES_PID,$B20,nrES_Code,M$5,nrES_Final,"Yes"),""))</f>
        <v/>
      </c>
      <c r="N20" s="17">
        <f>IF(OR($B20="",N$5=""),"",IFERROR(SUMIFS(nrES_Rec,nrES_PID,$B20,nrES_Code,N$5,nrES_Final,"Yes"),""))</f>
        <v/>
      </c>
      <c r="O20" s="17">
        <f>IF(OR($B20="",O$5=""),"",IFERROR(SUMIFS(nrES_Rec,nrES_PID,$B20,nrES_Code,O$5,nrES_Final,"Yes"),""))</f>
        <v/>
      </c>
      <c r="P20" s="17">
        <f>IF(OR($B20="",P$5=""),"",IFERROR(SUMIFS(nrES_Rec,nrES_PID,$B20,nrES_Code,P$5,nrES_Final,"Yes"),""))</f>
        <v/>
      </c>
      <c r="Q20" s="17">
        <f>IF(OR($B20="",Q$5=""),"",IFERROR(SUMIFS(nrES_Rec,nrES_PID,$B20,nrES_Code,Q$5,nrES_Final,"Yes"),""))</f>
        <v/>
      </c>
      <c r="R20" s="17">
        <f>IF(OR($B20="",R$5=""),"",IFERROR(SUMIFS(nrES_Rec,nrES_PID,$B20,nrES_Code,R$5,nrES_Final,"Yes"),""))</f>
        <v/>
      </c>
      <c r="S20" s="17">
        <f>IF(OR($B20="",S$5=""),"",IFERROR(SUMIFS(nrES_Rec,nrES_PID,$B20,nrES_Code,S$5,nrES_Final,"Yes"),""))</f>
        <v/>
      </c>
      <c r="T20" s="17">
        <f>IF(OR($B20="",T$5=""),"",IFERROR(SUMIFS(nrES_Rec,nrES_PID,$B20,nrES_Code,T$5,nrES_Final,"Yes"),""))</f>
        <v/>
      </c>
      <c r="U20" s="17">
        <f>IF(OR($B20="",U$5=""),"",IFERROR(SUMIFS(nrES_Rec,nrES_PID,$B20,nrES_Code,U$5,nrES_Final,"Yes"),""))</f>
        <v/>
      </c>
      <c r="V20" s="17">
        <f>IF(OR($B20="",V$5=""),"",IFERROR(SUMIFS(nrES_Rec,nrES_PID,$B20,nrES_Code,V$5,nrES_Final,"Yes"),""))</f>
        <v/>
      </c>
      <c r="W20" s="17">
        <f>IF(OR($B20="",W$5=""),"",IFERROR(SUMIFS(nrES_Rec,nrES_PID,$B20,nrES_Code,W$5,nrES_Final,"Yes"),""))</f>
        <v/>
      </c>
      <c r="X20" s="17">
        <f>IF(OR($B20="",X$5=""),"",IFERROR(SUMIFS(nrES_Rec,nrES_PID,$B20,nrES_Code,X$5,nrES_Final,"Yes"),""))</f>
        <v/>
      </c>
      <c r="Y20" s="17">
        <f>IF(OR($B20="",Y$5=""),"",IFERROR(SUMIFS(nrES_Rec,nrES_PID,$B20,nrES_Code,Y$5,nrES_Final,"Yes"),""))</f>
        <v/>
      </c>
      <c r="Z20" s="17">
        <f>IF(OR($B20="",Z$5=""),"",IFERROR(SUMIFS(nrES_Rec,nrES_PID,$B20,nrES_Code,Z$5,nrES_Final,"Yes"),""))</f>
        <v/>
      </c>
      <c r="AA20" s="17">
        <f>IF(OR($B20="",AA$5=""),"",IFERROR(SUMIFS(nrES_Rec,nrES_PID,$B20,nrES_Code,AA$5,nrES_Final,"Yes"),""))</f>
        <v/>
      </c>
      <c r="AB20" s="17">
        <f>IF(OR($B20="",AB$5=""),"",IFERROR(SUMIFS(nrES_Rec,nrES_PID,$B20,nrES_Code,AB$5,nrES_Final,"Yes"),""))</f>
        <v/>
      </c>
      <c r="AC20" s="17">
        <f>IF($B20="","",sysGrades!$M20)</f>
        <v/>
      </c>
      <c r="AD20" s="17">
        <f>IF($B20="","",IFERROR(sysGrades!$U20,""))</f>
        <v/>
      </c>
    </row>
    <row r="21">
      <c r="B21" s="17">
        <f>IF(Cadets!$B21="","",Cadets!$B21)</f>
        <v/>
      </c>
      <c r="C21" s="17">
        <f>IF($B21="","",Cadets!$F21)</f>
        <v/>
      </c>
      <c r="D21" s="17">
        <f>IF(OR($B21="",D$5=""),"",IFERROR(SUMIFS(nrES_Rec,nrES_PID,$B21,nrES_Code,D$5,nrES_Final,"Yes"),""))</f>
        <v/>
      </c>
      <c r="E21" s="17">
        <f>IF(OR($B21="",E$5=""),"",IFERROR(SUMIFS(nrES_Rec,nrES_PID,$B21,nrES_Code,E$5,nrES_Final,"Yes"),""))</f>
        <v/>
      </c>
      <c r="F21" s="17">
        <f>IF(OR($B21="",F$5=""),"",IFERROR(SUMIFS(nrES_Rec,nrES_PID,$B21,nrES_Code,F$5,nrES_Final,"Yes"),""))</f>
        <v/>
      </c>
      <c r="G21" s="17">
        <f>IF(OR($B21="",G$5=""),"",IFERROR(SUMIFS(nrES_Rec,nrES_PID,$B21,nrES_Code,G$5,nrES_Final,"Yes"),""))</f>
        <v/>
      </c>
      <c r="H21" s="17">
        <f>IF(OR($B21="",H$5=""),"",IFERROR(SUMIFS(nrES_Rec,nrES_PID,$B21,nrES_Code,H$5,nrES_Final,"Yes"),""))</f>
        <v/>
      </c>
      <c r="I21" s="17">
        <f>IF(OR($B21="",I$5=""),"",IFERROR(SUMIFS(nrES_Rec,nrES_PID,$B21,nrES_Code,I$5,nrES_Final,"Yes"),""))</f>
        <v/>
      </c>
      <c r="J21" s="17">
        <f>IF(OR($B21="",J$5=""),"",IFERROR(SUMIFS(nrES_Rec,nrES_PID,$B21,nrES_Code,J$5,nrES_Final,"Yes"),""))</f>
        <v/>
      </c>
      <c r="K21" s="17">
        <f>IF(OR($B21="",K$5=""),"",IFERROR(SUMIFS(nrES_Rec,nrES_PID,$B21,nrES_Code,K$5,nrES_Final,"Yes"),""))</f>
        <v/>
      </c>
      <c r="L21" s="17">
        <f>IF(OR($B21="",L$5=""),"",IFERROR(SUMIFS(nrES_Rec,nrES_PID,$B21,nrES_Code,L$5,nrES_Final,"Yes"),""))</f>
        <v/>
      </c>
      <c r="M21" s="17">
        <f>IF(OR($B21="",M$5=""),"",IFERROR(SUMIFS(nrES_Rec,nrES_PID,$B21,nrES_Code,M$5,nrES_Final,"Yes"),""))</f>
        <v/>
      </c>
      <c r="N21" s="17">
        <f>IF(OR($B21="",N$5=""),"",IFERROR(SUMIFS(nrES_Rec,nrES_PID,$B21,nrES_Code,N$5,nrES_Final,"Yes"),""))</f>
        <v/>
      </c>
      <c r="O21" s="17">
        <f>IF(OR($B21="",O$5=""),"",IFERROR(SUMIFS(nrES_Rec,nrES_PID,$B21,nrES_Code,O$5,nrES_Final,"Yes"),""))</f>
        <v/>
      </c>
      <c r="P21" s="17">
        <f>IF(OR($B21="",P$5=""),"",IFERROR(SUMIFS(nrES_Rec,nrES_PID,$B21,nrES_Code,P$5,nrES_Final,"Yes"),""))</f>
        <v/>
      </c>
      <c r="Q21" s="17">
        <f>IF(OR($B21="",Q$5=""),"",IFERROR(SUMIFS(nrES_Rec,nrES_PID,$B21,nrES_Code,Q$5,nrES_Final,"Yes"),""))</f>
        <v/>
      </c>
      <c r="R21" s="17">
        <f>IF(OR($B21="",R$5=""),"",IFERROR(SUMIFS(nrES_Rec,nrES_PID,$B21,nrES_Code,R$5,nrES_Final,"Yes"),""))</f>
        <v/>
      </c>
      <c r="S21" s="17">
        <f>IF(OR($B21="",S$5=""),"",IFERROR(SUMIFS(nrES_Rec,nrES_PID,$B21,nrES_Code,S$5,nrES_Final,"Yes"),""))</f>
        <v/>
      </c>
      <c r="T21" s="17">
        <f>IF(OR($B21="",T$5=""),"",IFERROR(SUMIFS(nrES_Rec,nrES_PID,$B21,nrES_Code,T$5,nrES_Final,"Yes"),""))</f>
        <v/>
      </c>
      <c r="U21" s="17">
        <f>IF(OR($B21="",U$5=""),"",IFERROR(SUMIFS(nrES_Rec,nrES_PID,$B21,nrES_Code,U$5,nrES_Final,"Yes"),""))</f>
        <v/>
      </c>
      <c r="V21" s="17">
        <f>IF(OR($B21="",V$5=""),"",IFERROR(SUMIFS(nrES_Rec,nrES_PID,$B21,nrES_Code,V$5,nrES_Final,"Yes"),""))</f>
        <v/>
      </c>
      <c r="W21" s="17">
        <f>IF(OR($B21="",W$5=""),"",IFERROR(SUMIFS(nrES_Rec,nrES_PID,$B21,nrES_Code,W$5,nrES_Final,"Yes"),""))</f>
        <v/>
      </c>
      <c r="X21" s="17">
        <f>IF(OR($B21="",X$5=""),"",IFERROR(SUMIFS(nrES_Rec,nrES_PID,$B21,nrES_Code,X$5,nrES_Final,"Yes"),""))</f>
        <v/>
      </c>
      <c r="Y21" s="17">
        <f>IF(OR($B21="",Y$5=""),"",IFERROR(SUMIFS(nrES_Rec,nrES_PID,$B21,nrES_Code,Y$5,nrES_Final,"Yes"),""))</f>
        <v/>
      </c>
      <c r="Z21" s="17">
        <f>IF(OR($B21="",Z$5=""),"",IFERROR(SUMIFS(nrES_Rec,nrES_PID,$B21,nrES_Code,Z$5,nrES_Final,"Yes"),""))</f>
        <v/>
      </c>
      <c r="AA21" s="17">
        <f>IF(OR($B21="",AA$5=""),"",IFERROR(SUMIFS(nrES_Rec,nrES_PID,$B21,nrES_Code,AA$5,nrES_Final,"Yes"),""))</f>
        <v/>
      </c>
      <c r="AB21" s="17">
        <f>IF(OR($B21="",AB$5=""),"",IFERROR(SUMIFS(nrES_Rec,nrES_PID,$B21,nrES_Code,AB$5,nrES_Final,"Yes"),""))</f>
        <v/>
      </c>
      <c r="AC21" s="17">
        <f>IF($B21="","",sysGrades!$M21)</f>
        <v/>
      </c>
      <c r="AD21" s="17">
        <f>IF($B21="","",IFERROR(sysGrades!$U21,""))</f>
        <v/>
      </c>
    </row>
    <row r="22">
      <c r="B22" s="17">
        <f>IF(Cadets!$B22="","",Cadets!$B22)</f>
        <v/>
      </c>
      <c r="C22" s="17">
        <f>IF($B22="","",Cadets!$F22)</f>
        <v/>
      </c>
      <c r="D22" s="17">
        <f>IF(OR($B22="",D$5=""),"",IFERROR(SUMIFS(nrES_Rec,nrES_PID,$B22,nrES_Code,D$5,nrES_Final,"Yes"),""))</f>
        <v/>
      </c>
      <c r="E22" s="17">
        <f>IF(OR($B22="",E$5=""),"",IFERROR(SUMIFS(nrES_Rec,nrES_PID,$B22,nrES_Code,E$5,nrES_Final,"Yes"),""))</f>
        <v/>
      </c>
      <c r="F22" s="17">
        <f>IF(OR($B22="",F$5=""),"",IFERROR(SUMIFS(nrES_Rec,nrES_PID,$B22,nrES_Code,F$5,nrES_Final,"Yes"),""))</f>
        <v/>
      </c>
      <c r="G22" s="17">
        <f>IF(OR($B22="",G$5=""),"",IFERROR(SUMIFS(nrES_Rec,nrES_PID,$B22,nrES_Code,G$5,nrES_Final,"Yes"),""))</f>
        <v/>
      </c>
      <c r="H22" s="17">
        <f>IF(OR($B22="",H$5=""),"",IFERROR(SUMIFS(nrES_Rec,nrES_PID,$B22,nrES_Code,H$5,nrES_Final,"Yes"),""))</f>
        <v/>
      </c>
      <c r="I22" s="17">
        <f>IF(OR($B22="",I$5=""),"",IFERROR(SUMIFS(nrES_Rec,nrES_PID,$B22,nrES_Code,I$5,nrES_Final,"Yes"),""))</f>
        <v/>
      </c>
      <c r="J22" s="17">
        <f>IF(OR($B22="",J$5=""),"",IFERROR(SUMIFS(nrES_Rec,nrES_PID,$B22,nrES_Code,J$5,nrES_Final,"Yes"),""))</f>
        <v/>
      </c>
      <c r="K22" s="17">
        <f>IF(OR($B22="",K$5=""),"",IFERROR(SUMIFS(nrES_Rec,nrES_PID,$B22,nrES_Code,K$5,nrES_Final,"Yes"),""))</f>
        <v/>
      </c>
      <c r="L22" s="17">
        <f>IF(OR($B22="",L$5=""),"",IFERROR(SUMIFS(nrES_Rec,nrES_PID,$B22,nrES_Code,L$5,nrES_Final,"Yes"),""))</f>
        <v/>
      </c>
      <c r="M22" s="17">
        <f>IF(OR($B22="",M$5=""),"",IFERROR(SUMIFS(nrES_Rec,nrES_PID,$B22,nrES_Code,M$5,nrES_Final,"Yes"),""))</f>
        <v/>
      </c>
      <c r="N22" s="17">
        <f>IF(OR($B22="",N$5=""),"",IFERROR(SUMIFS(nrES_Rec,nrES_PID,$B22,nrES_Code,N$5,nrES_Final,"Yes"),""))</f>
        <v/>
      </c>
      <c r="O22" s="17">
        <f>IF(OR($B22="",O$5=""),"",IFERROR(SUMIFS(nrES_Rec,nrES_PID,$B22,nrES_Code,O$5,nrES_Final,"Yes"),""))</f>
        <v/>
      </c>
      <c r="P22" s="17">
        <f>IF(OR($B22="",P$5=""),"",IFERROR(SUMIFS(nrES_Rec,nrES_PID,$B22,nrES_Code,P$5,nrES_Final,"Yes"),""))</f>
        <v/>
      </c>
      <c r="Q22" s="17">
        <f>IF(OR($B22="",Q$5=""),"",IFERROR(SUMIFS(nrES_Rec,nrES_PID,$B22,nrES_Code,Q$5,nrES_Final,"Yes"),""))</f>
        <v/>
      </c>
      <c r="R22" s="17">
        <f>IF(OR($B22="",R$5=""),"",IFERROR(SUMIFS(nrES_Rec,nrES_PID,$B22,nrES_Code,R$5,nrES_Final,"Yes"),""))</f>
        <v/>
      </c>
      <c r="S22" s="17">
        <f>IF(OR($B22="",S$5=""),"",IFERROR(SUMIFS(nrES_Rec,nrES_PID,$B22,nrES_Code,S$5,nrES_Final,"Yes"),""))</f>
        <v/>
      </c>
      <c r="T22" s="17">
        <f>IF(OR($B22="",T$5=""),"",IFERROR(SUMIFS(nrES_Rec,nrES_PID,$B22,nrES_Code,T$5,nrES_Final,"Yes"),""))</f>
        <v/>
      </c>
      <c r="U22" s="17">
        <f>IF(OR($B22="",U$5=""),"",IFERROR(SUMIFS(nrES_Rec,nrES_PID,$B22,nrES_Code,U$5,nrES_Final,"Yes"),""))</f>
        <v/>
      </c>
      <c r="V22" s="17">
        <f>IF(OR($B22="",V$5=""),"",IFERROR(SUMIFS(nrES_Rec,nrES_PID,$B22,nrES_Code,V$5,nrES_Final,"Yes"),""))</f>
        <v/>
      </c>
      <c r="W22" s="17">
        <f>IF(OR($B22="",W$5=""),"",IFERROR(SUMIFS(nrES_Rec,nrES_PID,$B22,nrES_Code,W$5,nrES_Final,"Yes"),""))</f>
        <v/>
      </c>
      <c r="X22" s="17">
        <f>IF(OR($B22="",X$5=""),"",IFERROR(SUMIFS(nrES_Rec,nrES_PID,$B22,nrES_Code,X$5,nrES_Final,"Yes"),""))</f>
        <v/>
      </c>
      <c r="Y22" s="17">
        <f>IF(OR($B22="",Y$5=""),"",IFERROR(SUMIFS(nrES_Rec,nrES_PID,$B22,nrES_Code,Y$5,nrES_Final,"Yes"),""))</f>
        <v/>
      </c>
      <c r="Z22" s="17">
        <f>IF(OR($B22="",Z$5=""),"",IFERROR(SUMIFS(nrES_Rec,nrES_PID,$B22,nrES_Code,Z$5,nrES_Final,"Yes"),""))</f>
        <v/>
      </c>
      <c r="AA22" s="17">
        <f>IF(OR($B22="",AA$5=""),"",IFERROR(SUMIFS(nrES_Rec,nrES_PID,$B22,nrES_Code,AA$5,nrES_Final,"Yes"),""))</f>
        <v/>
      </c>
      <c r="AB22" s="17">
        <f>IF(OR($B22="",AB$5=""),"",IFERROR(SUMIFS(nrES_Rec,nrES_PID,$B22,nrES_Code,AB$5,nrES_Final,"Yes"),""))</f>
        <v/>
      </c>
      <c r="AC22" s="17">
        <f>IF($B22="","",sysGrades!$M22)</f>
        <v/>
      </c>
      <c r="AD22" s="17">
        <f>IF($B22="","",IFERROR(sysGrades!$U22,""))</f>
        <v/>
      </c>
    </row>
    <row r="23">
      <c r="B23" s="17">
        <f>IF(Cadets!$B23="","",Cadets!$B23)</f>
        <v/>
      </c>
      <c r="C23" s="17">
        <f>IF($B23="","",Cadets!$F23)</f>
        <v/>
      </c>
      <c r="D23" s="17">
        <f>IF(OR($B23="",D$5=""),"",IFERROR(SUMIFS(nrES_Rec,nrES_PID,$B23,nrES_Code,D$5,nrES_Final,"Yes"),""))</f>
        <v/>
      </c>
      <c r="E23" s="17">
        <f>IF(OR($B23="",E$5=""),"",IFERROR(SUMIFS(nrES_Rec,nrES_PID,$B23,nrES_Code,E$5,nrES_Final,"Yes"),""))</f>
        <v/>
      </c>
      <c r="F23" s="17">
        <f>IF(OR($B23="",F$5=""),"",IFERROR(SUMIFS(nrES_Rec,nrES_PID,$B23,nrES_Code,F$5,nrES_Final,"Yes"),""))</f>
        <v/>
      </c>
      <c r="G23" s="17">
        <f>IF(OR($B23="",G$5=""),"",IFERROR(SUMIFS(nrES_Rec,nrES_PID,$B23,nrES_Code,G$5,nrES_Final,"Yes"),""))</f>
        <v/>
      </c>
      <c r="H23" s="17">
        <f>IF(OR($B23="",H$5=""),"",IFERROR(SUMIFS(nrES_Rec,nrES_PID,$B23,nrES_Code,H$5,nrES_Final,"Yes"),""))</f>
        <v/>
      </c>
      <c r="I23" s="17">
        <f>IF(OR($B23="",I$5=""),"",IFERROR(SUMIFS(nrES_Rec,nrES_PID,$B23,nrES_Code,I$5,nrES_Final,"Yes"),""))</f>
        <v/>
      </c>
      <c r="J23" s="17">
        <f>IF(OR($B23="",J$5=""),"",IFERROR(SUMIFS(nrES_Rec,nrES_PID,$B23,nrES_Code,J$5,nrES_Final,"Yes"),""))</f>
        <v/>
      </c>
      <c r="K23" s="17">
        <f>IF(OR($B23="",K$5=""),"",IFERROR(SUMIFS(nrES_Rec,nrES_PID,$B23,nrES_Code,K$5,nrES_Final,"Yes"),""))</f>
        <v/>
      </c>
      <c r="L23" s="17">
        <f>IF(OR($B23="",L$5=""),"",IFERROR(SUMIFS(nrES_Rec,nrES_PID,$B23,nrES_Code,L$5,nrES_Final,"Yes"),""))</f>
        <v/>
      </c>
      <c r="M23" s="17">
        <f>IF(OR($B23="",M$5=""),"",IFERROR(SUMIFS(nrES_Rec,nrES_PID,$B23,nrES_Code,M$5,nrES_Final,"Yes"),""))</f>
        <v/>
      </c>
      <c r="N23" s="17">
        <f>IF(OR($B23="",N$5=""),"",IFERROR(SUMIFS(nrES_Rec,nrES_PID,$B23,nrES_Code,N$5,nrES_Final,"Yes"),""))</f>
        <v/>
      </c>
      <c r="O23" s="17">
        <f>IF(OR($B23="",O$5=""),"",IFERROR(SUMIFS(nrES_Rec,nrES_PID,$B23,nrES_Code,O$5,nrES_Final,"Yes"),""))</f>
        <v/>
      </c>
      <c r="P23" s="17">
        <f>IF(OR($B23="",P$5=""),"",IFERROR(SUMIFS(nrES_Rec,nrES_PID,$B23,nrES_Code,P$5,nrES_Final,"Yes"),""))</f>
        <v/>
      </c>
      <c r="Q23" s="17">
        <f>IF(OR($B23="",Q$5=""),"",IFERROR(SUMIFS(nrES_Rec,nrES_PID,$B23,nrES_Code,Q$5,nrES_Final,"Yes"),""))</f>
        <v/>
      </c>
      <c r="R23" s="17">
        <f>IF(OR($B23="",R$5=""),"",IFERROR(SUMIFS(nrES_Rec,nrES_PID,$B23,nrES_Code,R$5,nrES_Final,"Yes"),""))</f>
        <v/>
      </c>
      <c r="S23" s="17">
        <f>IF(OR($B23="",S$5=""),"",IFERROR(SUMIFS(nrES_Rec,nrES_PID,$B23,nrES_Code,S$5,nrES_Final,"Yes"),""))</f>
        <v/>
      </c>
      <c r="T23" s="17">
        <f>IF(OR($B23="",T$5=""),"",IFERROR(SUMIFS(nrES_Rec,nrES_PID,$B23,nrES_Code,T$5,nrES_Final,"Yes"),""))</f>
        <v/>
      </c>
      <c r="U23" s="17">
        <f>IF(OR($B23="",U$5=""),"",IFERROR(SUMIFS(nrES_Rec,nrES_PID,$B23,nrES_Code,U$5,nrES_Final,"Yes"),""))</f>
        <v/>
      </c>
      <c r="V23" s="17">
        <f>IF(OR($B23="",V$5=""),"",IFERROR(SUMIFS(nrES_Rec,nrES_PID,$B23,nrES_Code,V$5,nrES_Final,"Yes"),""))</f>
        <v/>
      </c>
      <c r="W23" s="17">
        <f>IF(OR($B23="",W$5=""),"",IFERROR(SUMIFS(nrES_Rec,nrES_PID,$B23,nrES_Code,W$5,nrES_Final,"Yes"),""))</f>
        <v/>
      </c>
      <c r="X23" s="17">
        <f>IF(OR($B23="",X$5=""),"",IFERROR(SUMIFS(nrES_Rec,nrES_PID,$B23,nrES_Code,X$5,nrES_Final,"Yes"),""))</f>
        <v/>
      </c>
      <c r="Y23" s="17">
        <f>IF(OR($B23="",Y$5=""),"",IFERROR(SUMIFS(nrES_Rec,nrES_PID,$B23,nrES_Code,Y$5,nrES_Final,"Yes"),""))</f>
        <v/>
      </c>
      <c r="Z23" s="17">
        <f>IF(OR($B23="",Z$5=""),"",IFERROR(SUMIFS(nrES_Rec,nrES_PID,$B23,nrES_Code,Z$5,nrES_Final,"Yes"),""))</f>
        <v/>
      </c>
      <c r="AA23" s="17">
        <f>IF(OR($B23="",AA$5=""),"",IFERROR(SUMIFS(nrES_Rec,nrES_PID,$B23,nrES_Code,AA$5,nrES_Final,"Yes"),""))</f>
        <v/>
      </c>
      <c r="AB23" s="17">
        <f>IF(OR($B23="",AB$5=""),"",IFERROR(SUMIFS(nrES_Rec,nrES_PID,$B23,nrES_Code,AB$5,nrES_Final,"Yes"),""))</f>
        <v/>
      </c>
      <c r="AC23" s="17">
        <f>IF($B23="","",sysGrades!$M23)</f>
        <v/>
      </c>
      <c r="AD23" s="17">
        <f>IF($B23="","",IFERROR(sysGrades!$U23,""))</f>
        <v/>
      </c>
    </row>
    <row r="24">
      <c r="B24" s="17">
        <f>IF(Cadets!$B24="","",Cadets!$B24)</f>
        <v/>
      </c>
      <c r="C24" s="17">
        <f>IF($B24="","",Cadets!$F24)</f>
        <v/>
      </c>
      <c r="D24" s="17">
        <f>IF(OR($B24="",D$5=""),"",IFERROR(SUMIFS(nrES_Rec,nrES_PID,$B24,nrES_Code,D$5,nrES_Final,"Yes"),""))</f>
        <v/>
      </c>
      <c r="E24" s="17">
        <f>IF(OR($B24="",E$5=""),"",IFERROR(SUMIFS(nrES_Rec,nrES_PID,$B24,nrES_Code,E$5,nrES_Final,"Yes"),""))</f>
        <v/>
      </c>
      <c r="F24" s="17">
        <f>IF(OR($B24="",F$5=""),"",IFERROR(SUMIFS(nrES_Rec,nrES_PID,$B24,nrES_Code,F$5,nrES_Final,"Yes"),""))</f>
        <v/>
      </c>
      <c r="G24" s="17">
        <f>IF(OR($B24="",G$5=""),"",IFERROR(SUMIFS(nrES_Rec,nrES_PID,$B24,nrES_Code,G$5,nrES_Final,"Yes"),""))</f>
        <v/>
      </c>
      <c r="H24" s="17">
        <f>IF(OR($B24="",H$5=""),"",IFERROR(SUMIFS(nrES_Rec,nrES_PID,$B24,nrES_Code,H$5,nrES_Final,"Yes"),""))</f>
        <v/>
      </c>
      <c r="I24" s="17">
        <f>IF(OR($B24="",I$5=""),"",IFERROR(SUMIFS(nrES_Rec,nrES_PID,$B24,nrES_Code,I$5,nrES_Final,"Yes"),""))</f>
        <v/>
      </c>
      <c r="J24" s="17">
        <f>IF(OR($B24="",J$5=""),"",IFERROR(SUMIFS(nrES_Rec,nrES_PID,$B24,nrES_Code,J$5,nrES_Final,"Yes"),""))</f>
        <v/>
      </c>
      <c r="K24" s="17">
        <f>IF(OR($B24="",K$5=""),"",IFERROR(SUMIFS(nrES_Rec,nrES_PID,$B24,nrES_Code,K$5,nrES_Final,"Yes"),""))</f>
        <v/>
      </c>
      <c r="L24" s="17">
        <f>IF(OR($B24="",L$5=""),"",IFERROR(SUMIFS(nrES_Rec,nrES_PID,$B24,nrES_Code,L$5,nrES_Final,"Yes"),""))</f>
        <v/>
      </c>
      <c r="M24" s="17">
        <f>IF(OR($B24="",M$5=""),"",IFERROR(SUMIFS(nrES_Rec,nrES_PID,$B24,nrES_Code,M$5,nrES_Final,"Yes"),""))</f>
        <v/>
      </c>
      <c r="N24" s="17">
        <f>IF(OR($B24="",N$5=""),"",IFERROR(SUMIFS(nrES_Rec,nrES_PID,$B24,nrES_Code,N$5,nrES_Final,"Yes"),""))</f>
        <v/>
      </c>
      <c r="O24" s="17">
        <f>IF(OR($B24="",O$5=""),"",IFERROR(SUMIFS(nrES_Rec,nrES_PID,$B24,nrES_Code,O$5,nrES_Final,"Yes"),""))</f>
        <v/>
      </c>
      <c r="P24" s="17">
        <f>IF(OR($B24="",P$5=""),"",IFERROR(SUMIFS(nrES_Rec,nrES_PID,$B24,nrES_Code,P$5,nrES_Final,"Yes"),""))</f>
        <v/>
      </c>
      <c r="Q24" s="17">
        <f>IF(OR($B24="",Q$5=""),"",IFERROR(SUMIFS(nrES_Rec,nrES_PID,$B24,nrES_Code,Q$5,nrES_Final,"Yes"),""))</f>
        <v/>
      </c>
      <c r="R24" s="17">
        <f>IF(OR($B24="",R$5=""),"",IFERROR(SUMIFS(nrES_Rec,nrES_PID,$B24,nrES_Code,R$5,nrES_Final,"Yes"),""))</f>
        <v/>
      </c>
      <c r="S24" s="17">
        <f>IF(OR($B24="",S$5=""),"",IFERROR(SUMIFS(nrES_Rec,nrES_PID,$B24,nrES_Code,S$5,nrES_Final,"Yes"),""))</f>
        <v/>
      </c>
      <c r="T24" s="17">
        <f>IF(OR($B24="",T$5=""),"",IFERROR(SUMIFS(nrES_Rec,nrES_PID,$B24,nrES_Code,T$5,nrES_Final,"Yes"),""))</f>
        <v/>
      </c>
      <c r="U24" s="17">
        <f>IF(OR($B24="",U$5=""),"",IFERROR(SUMIFS(nrES_Rec,nrES_PID,$B24,nrES_Code,U$5,nrES_Final,"Yes"),""))</f>
        <v/>
      </c>
      <c r="V24" s="17">
        <f>IF(OR($B24="",V$5=""),"",IFERROR(SUMIFS(nrES_Rec,nrES_PID,$B24,nrES_Code,V$5,nrES_Final,"Yes"),""))</f>
        <v/>
      </c>
      <c r="W24" s="17">
        <f>IF(OR($B24="",W$5=""),"",IFERROR(SUMIFS(nrES_Rec,nrES_PID,$B24,nrES_Code,W$5,nrES_Final,"Yes"),""))</f>
        <v/>
      </c>
      <c r="X24" s="17">
        <f>IF(OR($B24="",X$5=""),"",IFERROR(SUMIFS(nrES_Rec,nrES_PID,$B24,nrES_Code,X$5,nrES_Final,"Yes"),""))</f>
        <v/>
      </c>
      <c r="Y24" s="17">
        <f>IF(OR($B24="",Y$5=""),"",IFERROR(SUMIFS(nrES_Rec,nrES_PID,$B24,nrES_Code,Y$5,nrES_Final,"Yes"),""))</f>
        <v/>
      </c>
      <c r="Z24" s="17">
        <f>IF(OR($B24="",Z$5=""),"",IFERROR(SUMIFS(nrES_Rec,nrES_PID,$B24,nrES_Code,Z$5,nrES_Final,"Yes"),""))</f>
        <v/>
      </c>
      <c r="AA24" s="17">
        <f>IF(OR($B24="",AA$5=""),"",IFERROR(SUMIFS(nrES_Rec,nrES_PID,$B24,nrES_Code,AA$5,nrES_Final,"Yes"),""))</f>
        <v/>
      </c>
      <c r="AB24" s="17">
        <f>IF(OR($B24="",AB$5=""),"",IFERROR(SUMIFS(nrES_Rec,nrES_PID,$B24,nrES_Code,AB$5,nrES_Final,"Yes"),""))</f>
        <v/>
      </c>
      <c r="AC24" s="17">
        <f>IF($B24="","",sysGrades!$M24)</f>
        <v/>
      </c>
      <c r="AD24" s="17">
        <f>IF($B24="","",IFERROR(sysGrades!$U24,""))</f>
        <v/>
      </c>
    </row>
    <row r="25">
      <c r="B25" s="17">
        <f>IF(Cadets!$B25="","",Cadets!$B25)</f>
        <v/>
      </c>
      <c r="C25" s="17">
        <f>IF($B25="","",Cadets!$F25)</f>
        <v/>
      </c>
      <c r="D25" s="17">
        <f>IF(OR($B25="",D$5=""),"",IFERROR(SUMIFS(nrES_Rec,nrES_PID,$B25,nrES_Code,D$5,nrES_Final,"Yes"),""))</f>
        <v/>
      </c>
      <c r="E25" s="17">
        <f>IF(OR($B25="",E$5=""),"",IFERROR(SUMIFS(nrES_Rec,nrES_PID,$B25,nrES_Code,E$5,nrES_Final,"Yes"),""))</f>
        <v/>
      </c>
      <c r="F25" s="17">
        <f>IF(OR($B25="",F$5=""),"",IFERROR(SUMIFS(nrES_Rec,nrES_PID,$B25,nrES_Code,F$5,nrES_Final,"Yes"),""))</f>
        <v/>
      </c>
      <c r="G25" s="17">
        <f>IF(OR($B25="",G$5=""),"",IFERROR(SUMIFS(nrES_Rec,nrES_PID,$B25,nrES_Code,G$5,nrES_Final,"Yes"),""))</f>
        <v/>
      </c>
      <c r="H25" s="17">
        <f>IF(OR($B25="",H$5=""),"",IFERROR(SUMIFS(nrES_Rec,nrES_PID,$B25,nrES_Code,H$5,nrES_Final,"Yes"),""))</f>
        <v/>
      </c>
      <c r="I25" s="17">
        <f>IF(OR($B25="",I$5=""),"",IFERROR(SUMIFS(nrES_Rec,nrES_PID,$B25,nrES_Code,I$5,nrES_Final,"Yes"),""))</f>
        <v/>
      </c>
      <c r="J25" s="17">
        <f>IF(OR($B25="",J$5=""),"",IFERROR(SUMIFS(nrES_Rec,nrES_PID,$B25,nrES_Code,J$5,nrES_Final,"Yes"),""))</f>
        <v/>
      </c>
      <c r="K25" s="17">
        <f>IF(OR($B25="",K$5=""),"",IFERROR(SUMIFS(nrES_Rec,nrES_PID,$B25,nrES_Code,K$5,nrES_Final,"Yes"),""))</f>
        <v/>
      </c>
      <c r="L25" s="17">
        <f>IF(OR($B25="",L$5=""),"",IFERROR(SUMIFS(nrES_Rec,nrES_PID,$B25,nrES_Code,L$5,nrES_Final,"Yes"),""))</f>
        <v/>
      </c>
      <c r="M25" s="17">
        <f>IF(OR($B25="",M$5=""),"",IFERROR(SUMIFS(nrES_Rec,nrES_PID,$B25,nrES_Code,M$5,nrES_Final,"Yes"),""))</f>
        <v/>
      </c>
      <c r="N25" s="17">
        <f>IF(OR($B25="",N$5=""),"",IFERROR(SUMIFS(nrES_Rec,nrES_PID,$B25,nrES_Code,N$5,nrES_Final,"Yes"),""))</f>
        <v/>
      </c>
      <c r="O25" s="17">
        <f>IF(OR($B25="",O$5=""),"",IFERROR(SUMIFS(nrES_Rec,nrES_PID,$B25,nrES_Code,O$5,nrES_Final,"Yes"),""))</f>
        <v/>
      </c>
      <c r="P25" s="17">
        <f>IF(OR($B25="",P$5=""),"",IFERROR(SUMIFS(nrES_Rec,nrES_PID,$B25,nrES_Code,P$5,nrES_Final,"Yes"),""))</f>
        <v/>
      </c>
      <c r="Q25" s="17">
        <f>IF(OR($B25="",Q$5=""),"",IFERROR(SUMIFS(nrES_Rec,nrES_PID,$B25,nrES_Code,Q$5,nrES_Final,"Yes"),""))</f>
        <v/>
      </c>
      <c r="R25" s="17">
        <f>IF(OR($B25="",R$5=""),"",IFERROR(SUMIFS(nrES_Rec,nrES_PID,$B25,nrES_Code,R$5,nrES_Final,"Yes"),""))</f>
        <v/>
      </c>
      <c r="S25" s="17">
        <f>IF(OR($B25="",S$5=""),"",IFERROR(SUMIFS(nrES_Rec,nrES_PID,$B25,nrES_Code,S$5,nrES_Final,"Yes"),""))</f>
        <v/>
      </c>
      <c r="T25" s="17">
        <f>IF(OR($B25="",T$5=""),"",IFERROR(SUMIFS(nrES_Rec,nrES_PID,$B25,nrES_Code,T$5,nrES_Final,"Yes"),""))</f>
        <v/>
      </c>
      <c r="U25" s="17">
        <f>IF(OR($B25="",U$5=""),"",IFERROR(SUMIFS(nrES_Rec,nrES_PID,$B25,nrES_Code,U$5,nrES_Final,"Yes"),""))</f>
        <v/>
      </c>
      <c r="V25" s="17">
        <f>IF(OR($B25="",V$5=""),"",IFERROR(SUMIFS(nrES_Rec,nrES_PID,$B25,nrES_Code,V$5,nrES_Final,"Yes"),""))</f>
        <v/>
      </c>
      <c r="W25" s="17">
        <f>IF(OR($B25="",W$5=""),"",IFERROR(SUMIFS(nrES_Rec,nrES_PID,$B25,nrES_Code,W$5,nrES_Final,"Yes"),""))</f>
        <v/>
      </c>
      <c r="X25" s="17">
        <f>IF(OR($B25="",X$5=""),"",IFERROR(SUMIFS(nrES_Rec,nrES_PID,$B25,nrES_Code,X$5,nrES_Final,"Yes"),""))</f>
        <v/>
      </c>
      <c r="Y25" s="17">
        <f>IF(OR($B25="",Y$5=""),"",IFERROR(SUMIFS(nrES_Rec,nrES_PID,$B25,nrES_Code,Y$5,nrES_Final,"Yes"),""))</f>
        <v/>
      </c>
      <c r="Z25" s="17">
        <f>IF(OR($B25="",Z$5=""),"",IFERROR(SUMIFS(nrES_Rec,nrES_PID,$B25,nrES_Code,Z$5,nrES_Final,"Yes"),""))</f>
        <v/>
      </c>
      <c r="AA25" s="17">
        <f>IF(OR($B25="",AA$5=""),"",IFERROR(SUMIFS(nrES_Rec,nrES_PID,$B25,nrES_Code,AA$5,nrES_Final,"Yes"),""))</f>
        <v/>
      </c>
      <c r="AB25" s="17">
        <f>IF(OR($B25="",AB$5=""),"",IFERROR(SUMIFS(nrES_Rec,nrES_PID,$B25,nrES_Code,AB$5,nrES_Final,"Yes"),""))</f>
        <v/>
      </c>
      <c r="AC25" s="17">
        <f>IF($B25="","",sysGrades!$M25)</f>
        <v/>
      </c>
      <c r="AD25" s="17">
        <f>IF($B25="","",IFERROR(sysGrades!$U25,""))</f>
        <v/>
      </c>
    </row>
    <row r="26">
      <c r="B26" s="17">
        <f>IF(Cadets!$B26="","",Cadets!$B26)</f>
        <v/>
      </c>
      <c r="C26" s="17">
        <f>IF($B26="","",Cadets!$F26)</f>
        <v/>
      </c>
      <c r="D26" s="17">
        <f>IF(OR($B26="",D$5=""),"",IFERROR(SUMIFS(nrES_Rec,nrES_PID,$B26,nrES_Code,D$5,nrES_Final,"Yes"),""))</f>
        <v/>
      </c>
      <c r="E26" s="17">
        <f>IF(OR($B26="",E$5=""),"",IFERROR(SUMIFS(nrES_Rec,nrES_PID,$B26,nrES_Code,E$5,nrES_Final,"Yes"),""))</f>
        <v/>
      </c>
      <c r="F26" s="17">
        <f>IF(OR($B26="",F$5=""),"",IFERROR(SUMIFS(nrES_Rec,nrES_PID,$B26,nrES_Code,F$5,nrES_Final,"Yes"),""))</f>
        <v/>
      </c>
      <c r="G26" s="17">
        <f>IF(OR($B26="",G$5=""),"",IFERROR(SUMIFS(nrES_Rec,nrES_PID,$B26,nrES_Code,G$5,nrES_Final,"Yes"),""))</f>
        <v/>
      </c>
      <c r="H26" s="17">
        <f>IF(OR($B26="",H$5=""),"",IFERROR(SUMIFS(nrES_Rec,nrES_PID,$B26,nrES_Code,H$5,nrES_Final,"Yes"),""))</f>
        <v/>
      </c>
      <c r="I26" s="17">
        <f>IF(OR($B26="",I$5=""),"",IFERROR(SUMIFS(nrES_Rec,nrES_PID,$B26,nrES_Code,I$5,nrES_Final,"Yes"),""))</f>
        <v/>
      </c>
      <c r="J26" s="17">
        <f>IF(OR($B26="",J$5=""),"",IFERROR(SUMIFS(nrES_Rec,nrES_PID,$B26,nrES_Code,J$5,nrES_Final,"Yes"),""))</f>
        <v/>
      </c>
      <c r="K26" s="17">
        <f>IF(OR($B26="",K$5=""),"",IFERROR(SUMIFS(nrES_Rec,nrES_PID,$B26,nrES_Code,K$5,nrES_Final,"Yes"),""))</f>
        <v/>
      </c>
      <c r="L26" s="17">
        <f>IF(OR($B26="",L$5=""),"",IFERROR(SUMIFS(nrES_Rec,nrES_PID,$B26,nrES_Code,L$5,nrES_Final,"Yes"),""))</f>
        <v/>
      </c>
      <c r="M26" s="17">
        <f>IF(OR($B26="",M$5=""),"",IFERROR(SUMIFS(nrES_Rec,nrES_PID,$B26,nrES_Code,M$5,nrES_Final,"Yes"),""))</f>
        <v/>
      </c>
      <c r="N26" s="17">
        <f>IF(OR($B26="",N$5=""),"",IFERROR(SUMIFS(nrES_Rec,nrES_PID,$B26,nrES_Code,N$5,nrES_Final,"Yes"),""))</f>
        <v/>
      </c>
      <c r="O26" s="17">
        <f>IF(OR($B26="",O$5=""),"",IFERROR(SUMIFS(nrES_Rec,nrES_PID,$B26,nrES_Code,O$5,nrES_Final,"Yes"),""))</f>
        <v/>
      </c>
      <c r="P26" s="17">
        <f>IF(OR($B26="",P$5=""),"",IFERROR(SUMIFS(nrES_Rec,nrES_PID,$B26,nrES_Code,P$5,nrES_Final,"Yes"),""))</f>
        <v/>
      </c>
      <c r="Q26" s="17">
        <f>IF(OR($B26="",Q$5=""),"",IFERROR(SUMIFS(nrES_Rec,nrES_PID,$B26,nrES_Code,Q$5,nrES_Final,"Yes"),""))</f>
        <v/>
      </c>
      <c r="R26" s="17">
        <f>IF(OR($B26="",R$5=""),"",IFERROR(SUMIFS(nrES_Rec,nrES_PID,$B26,nrES_Code,R$5,nrES_Final,"Yes"),""))</f>
        <v/>
      </c>
      <c r="S26" s="17">
        <f>IF(OR($B26="",S$5=""),"",IFERROR(SUMIFS(nrES_Rec,nrES_PID,$B26,nrES_Code,S$5,nrES_Final,"Yes"),""))</f>
        <v/>
      </c>
      <c r="T26" s="17">
        <f>IF(OR($B26="",T$5=""),"",IFERROR(SUMIFS(nrES_Rec,nrES_PID,$B26,nrES_Code,T$5,nrES_Final,"Yes"),""))</f>
        <v/>
      </c>
      <c r="U26" s="17">
        <f>IF(OR($B26="",U$5=""),"",IFERROR(SUMIFS(nrES_Rec,nrES_PID,$B26,nrES_Code,U$5,nrES_Final,"Yes"),""))</f>
        <v/>
      </c>
      <c r="V26" s="17">
        <f>IF(OR($B26="",V$5=""),"",IFERROR(SUMIFS(nrES_Rec,nrES_PID,$B26,nrES_Code,V$5,nrES_Final,"Yes"),""))</f>
        <v/>
      </c>
      <c r="W26" s="17">
        <f>IF(OR($B26="",W$5=""),"",IFERROR(SUMIFS(nrES_Rec,nrES_PID,$B26,nrES_Code,W$5,nrES_Final,"Yes"),""))</f>
        <v/>
      </c>
      <c r="X26" s="17">
        <f>IF(OR($B26="",X$5=""),"",IFERROR(SUMIFS(nrES_Rec,nrES_PID,$B26,nrES_Code,X$5,nrES_Final,"Yes"),""))</f>
        <v/>
      </c>
      <c r="Y26" s="17">
        <f>IF(OR($B26="",Y$5=""),"",IFERROR(SUMIFS(nrES_Rec,nrES_PID,$B26,nrES_Code,Y$5,nrES_Final,"Yes"),""))</f>
        <v/>
      </c>
      <c r="Z26" s="17">
        <f>IF(OR($B26="",Z$5=""),"",IFERROR(SUMIFS(nrES_Rec,nrES_PID,$B26,nrES_Code,Z$5,nrES_Final,"Yes"),""))</f>
        <v/>
      </c>
      <c r="AA26" s="17">
        <f>IF(OR($B26="",AA$5=""),"",IFERROR(SUMIFS(nrES_Rec,nrES_PID,$B26,nrES_Code,AA$5,nrES_Final,"Yes"),""))</f>
        <v/>
      </c>
      <c r="AB26" s="17">
        <f>IF(OR($B26="",AB$5=""),"",IFERROR(SUMIFS(nrES_Rec,nrES_PID,$B26,nrES_Code,AB$5,nrES_Final,"Yes"),""))</f>
        <v/>
      </c>
      <c r="AC26" s="17">
        <f>IF($B26="","",sysGrades!$M26)</f>
        <v/>
      </c>
      <c r="AD26" s="17">
        <f>IF($B26="","",IFERROR(sysGrades!$U26,""))</f>
        <v/>
      </c>
    </row>
    <row r="27">
      <c r="B27" s="17">
        <f>IF(Cadets!$B27="","",Cadets!$B27)</f>
        <v/>
      </c>
      <c r="C27" s="17">
        <f>IF($B27="","",Cadets!$F27)</f>
        <v/>
      </c>
      <c r="D27" s="17">
        <f>IF(OR($B27="",D$5=""),"",IFERROR(SUMIFS(nrES_Rec,nrES_PID,$B27,nrES_Code,D$5,nrES_Final,"Yes"),""))</f>
        <v/>
      </c>
      <c r="E27" s="17">
        <f>IF(OR($B27="",E$5=""),"",IFERROR(SUMIFS(nrES_Rec,nrES_PID,$B27,nrES_Code,E$5,nrES_Final,"Yes"),""))</f>
        <v/>
      </c>
      <c r="F27" s="17">
        <f>IF(OR($B27="",F$5=""),"",IFERROR(SUMIFS(nrES_Rec,nrES_PID,$B27,nrES_Code,F$5,nrES_Final,"Yes"),""))</f>
        <v/>
      </c>
      <c r="G27" s="17">
        <f>IF(OR($B27="",G$5=""),"",IFERROR(SUMIFS(nrES_Rec,nrES_PID,$B27,nrES_Code,G$5,nrES_Final,"Yes"),""))</f>
        <v/>
      </c>
      <c r="H27" s="17">
        <f>IF(OR($B27="",H$5=""),"",IFERROR(SUMIFS(nrES_Rec,nrES_PID,$B27,nrES_Code,H$5,nrES_Final,"Yes"),""))</f>
        <v/>
      </c>
      <c r="I27" s="17">
        <f>IF(OR($B27="",I$5=""),"",IFERROR(SUMIFS(nrES_Rec,nrES_PID,$B27,nrES_Code,I$5,nrES_Final,"Yes"),""))</f>
        <v/>
      </c>
      <c r="J27" s="17">
        <f>IF(OR($B27="",J$5=""),"",IFERROR(SUMIFS(nrES_Rec,nrES_PID,$B27,nrES_Code,J$5,nrES_Final,"Yes"),""))</f>
        <v/>
      </c>
      <c r="K27" s="17">
        <f>IF(OR($B27="",K$5=""),"",IFERROR(SUMIFS(nrES_Rec,nrES_PID,$B27,nrES_Code,K$5,nrES_Final,"Yes"),""))</f>
        <v/>
      </c>
      <c r="L27" s="17">
        <f>IF(OR($B27="",L$5=""),"",IFERROR(SUMIFS(nrES_Rec,nrES_PID,$B27,nrES_Code,L$5,nrES_Final,"Yes"),""))</f>
        <v/>
      </c>
      <c r="M27" s="17">
        <f>IF(OR($B27="",M$5=""),"",IFERROR(SUMIFS(nrES_Rec,nrES_PID,$B27,nrES_Code,M$5,nrES_Final,"Yes"),""))</f>
        <v/>
      </c>
      <c r="N27" s="17">
        <f>IF(OR($B27="",N$5=""),"",IFERROR(SUMIFS(nrES_Rec,nrES_PID,$B27,nrES_Code,N$5,nrES_Final,"Yes"),""))</f>
        <v/>
      </c>
      <c r="O27" s="17">
        <f>IF(OR($B27="",O$5=""),"",IFERROR(SUMIFS(nrES_Rec,nrES_PID,$B27,nrES_Code,O$5,nrES_Final,"Yes"),""))</f>
        <v/>
      </c>
      <c r="P27" s="17">
        <f>IF(OR($B27="",P$5=""),"",IFERROR(SUMIFS(nrES_Rec,nrES_PID,$B27,nrES_Code,P$5,nrES_Final,"Yes"),""))</f>
        <v/>
      </c>
      <c r="Q27" s="17">
        <f>IF(OR($B27="",Q$5=""),"",IFERROR(SUMIFS(nrES_Rec,nrES_PID,$B27,nrES_Code,Q$5,nrES_Final,"Yes"),""))</f>
        <v/>
      </c>
      <c r="R27" s="17">
        <f>IF(OR($B27="",R$5=""),"",IFERROR(SUMIFS(nrES_Rec,nrES_PID,$B27,nrES_Code,R$5,nrES_Final,"Yes"),""))</f>
        <v/>
      </c>
      <c r="S27" s="17">
        <f>IF(OR($B27="",S$5=""),"",IFERROR(SUMIFS(nrES_Rec,nrES_PID,$B27,nrES_Code,S$5,nrES_Final,"Yes"),""))</f>
        <v/>
      </c>
      <c r="T27" s="17">
        <f>IF(OR($B27="",T$5=""),"",IFERROR(SUMIFS(nrES_Rec,nrES_PID,$B27,nrES_Code,T$5,nrES_Final,"Yes"),""))</f>
        <v/>
      </c>
      <c r="U27" s="17">
        <f>IF(OR($B27="",U$5=""),"",IFERROR(SUMIFS(nrES_Rec,nrES_PID,$B27,nrES_Code,U$5,nrES_Final,"Yes"),""))</f>
        <v/>
      </c>
      <c r="V27" s="17">
        <f>IF(OR($B27="",V$5=""),"",IFERROR(SUMIFS(nrES_Rec,nrES_PID,$B27,nrES_Code,V$5,nrES_Final,"Yes"),""))</f>
        <v/>
      </c>
      <c r="W27" s="17">
        <f>IF(OR($B27="",W$5=""),"",IFERROR(SUMIFS(nrES_Rec,nrES_PID,$B27,nrES_Code,W$5,nrES_Final,"Yes"),""))</f>
        <v/>
      </c>
      <c r="X27" s="17">
        <f>IF(OR($B27="",X$5=""),"",IFERROR(SUMIFS(nrES_Rec,nrES_PID,$B27,nrES_Code,X$5,nrES_Final,"Yes"),""))</f>
        <v/>
      </c>
      <c r="Y27" s="17">
        <f>IF(OR($B27="",Y$5=""),"",IFERROR(SUMIFS(nrES_Rec,nrES_PID,$B27,nrES_Code,Y$5,nrES_Final,"Yes"),""))</f>
        <v/>
      </c>
      <c r="Z27" s="17">
        <f>IF(OR($B27="",Z$5=""),"",IFERROR(SUMIFS(nrES_Rec,nrES_PID,$B27,nrES_Code,Z$5,nrES_Final,"Yes"),""))</f>
        <v/>
      </c>
      <c r="AA27" s="17">
        <f>IF(OR($B27="",AA$5=""),"",IFERROR(SUMIFS(nrES_Rec,nrES_PID,$B27,nrES_Code,AA$5,nrES_Final,"Yes"),""))</f>
        <v/>
      </c>
      <c r="AB27" s="17">
        <f>IF(OR($B27="",AB$5=""),"",IFERROR(SUMIFS(nrES_Rec,nrES_PID,$B27,nrES_Code,AB$5,nrES_Final,"Yes"),""))</f>
        <v/>
      </c>
      <c r="AC27" s="17">
        <f>IF($B27="","",sysGrades!$M27)</f>
        <v/>
      </c>
      <c r="AD27" s="17">
        <f>IF($B27="","",IFERROR(sysGrades!$U27,""))</f>
        <v/>
      </c>
    </row>
    <row r="28">
      <c r="B28" s="17">
        <f>IF(Cadets!$B28="","",Cadets!$B28)</f>
        <v/>
      </c>
      <c r="C28" s="17">
        <f>IF($B28="","",Cadets!$F28)</f>
        <v/>
      </c>
      <c r="D28" s="17">
        <f>IF(OR($B28="",D$5=""),"",IFERROR(SUMIFS(nrES_Rec,nrES_PID,$B28,nrES_Code,D$5,nrES_Final,"Yes"),""))</f>
        <v/>
      </c>
      <c r="E28" s="17">
        <f>IF(OR($B28="",E$5=""),"",IFERROR(SUMIFS(nrES_Rec,nrES_PID,$B28,nrES_Code,E$5,nrES_Final,"Yes"),""))</f>
        <v/>
      </c>
      <c r="F28" s="17">
        <f>IF(OR($B28="",F$5=""),"",IFERROR(SUMIFS(nrES_Rec,nrES_PID,$B28,nrES_Code,F$5,nrES_Final,"Yes"),""))</f>
        <v/>
      </c>
      <c r="G28" s="17">
        <f>IF(OR($B28="",G$5=""),"",IFERROR(SUMIFS(nrES_Rec,nrES_PID,$B28,nrES_Code,G$5,nrES_Final,"Yes"),""))</f>
        <v/>
      </c>
      <c r="H28" s="17">
        <f>IF(OR($B28="",H$5=""),"",IFERROR(SUMIFS(nrES_Rec,nrES_PID,$B28,nrES_Code,H$5,nrES_Final,"Yes"),""))</f>
        <v/>
      </c>
      <c r="I28" s="17">
        <f>IF(OR($B28="",I$5=""),"",IFERROR(SUMIFS(nrES_Rec,nrES_PID,$B28,nrES_Code,I$5,nrES_Final,"Yes"),""))</f>
        <v/>
      </c>
      <c r="J28" s="17">
        <f>IF(OR($B28="",J$5=""),"",IFERROR(SUMIFS(nrES_Rec,nrES_PID,$B28,nrES_Code,J$5,nrES_Final,"Yes"),""))</f>
        <v/>
      </c>
      <c r="K28" s="17">
        <f>IF(OR($B28="",K$5=""),"",IFERROR(SUMIFS(nrES_Rec,nrES_PID,$B28,nrES_Code,K$5,nrES_Final,"Yes"),""))</f>
        <v/>
      </c>
      <c r="L28" s="17">
        <f>IF(OR($B28="",L$5=""),"",IFERROR(SUMIFS(nrES_Rec,nrES_PID,$B28,nrES_Code,L$5,nrES_Final,"Yes"),""))</f>
        <v/>
      </c>
      <c r="M28" s="17">
        <f>IF(OR($B28="",M$5=""),"",IFERROR(SUMIFS(nrES_Rec,nrES_PID,$B28,nrES_Code,M$5,nrES_Final,"Yes"),""))</f>
        <v/>
      </c>
      <c r="N28" s="17">
        <f>IF(OR($B28="",N$5=""),"",IFERROR(SUMIFS(nrES_Rec,nrES_PID,$B28,nrES_Code,N$5,nrES_Final,"Yes"),""))</f>
        <v/>
      </c>
      <c r="O28" s="17">
        <f>IF(OR($B28="",O$5=""),"",IFERROR(SUMIFS(nrES_Rec,nrES_PID,$B28,nrES_Code,O$5,nrES_Final,"Yes"),""))</f>
        <v/>
      </c>
      <c r="P28" s="17">
        <f>IF(OR($B28="",P$5=""),"",IFERROR(SUMIFS(nrES_Rec,nrES_PID,$B28,nrES_Code,P$5,nrES_Final,"Yes"),""))</f>
        <v/>
      </c>
      <c r="Q28" s="17">
        <f>IF(OR($B28="",Q$5=""),"",IFERROR(SUMIFS(nrES_Rec,nrES_PID,$B28,nrES_Code,Q$5,nrES_Final,"Yes"),""))</f>
        <v/>
      </c>
      <c r="R28" s="17">
        <f>IF(OR($B28="",R$5=""),"",IFERROR(SUMIFS(nrES_Rec,nrES_PID,$B28,nrES_Code,R$5,nrES_Final,"Yes"),""))</f>
        <v/>
      </c>
      <c r="S28" s="17">
        <f>IF(OR($B28="",S$5=""),"",IFERROR(SUMIFS(nrES_Rec,nrES_PID,$B28,nrES_Code,S$5,nrES_Final,"Yes"),""))</f>
        <v/>
      </c>
      <c r="T28" s="17">
        <f>IF(OR($B28="",T$5=""),"",IFERROR(SUMIFS(nrES_Rec,nrES_PID,$B28,nrES_Code,T$5,nrES_Final,"Yes"),""))</f>
        <v/>
      </c>
      <c r="U28" s="17">
        <f>IF(OR($B28="",U$5=""),"",IFERROR(SUMIFS(nrES_Rec,nrES_PID,$B28,nrES_Code,U$5,nrES_Final,"Yes"),""))</f>
        <v/>
      </c>
      <c r="V28" s="17">
        <f>IF(OR($B28="",V$5=""),"",IFERROR(SUMIFS(nrES_Rec,nrES_PID,$B28,nrES_Code,V$5,nrES_Final,"Yes"),""))</f>
        <v/>
      </c>
      <c r="W28" s="17">
        <f>IF(OR($B28="",W$5=""),"",IFERROR(SUMIFS(nrES_Rec,nrES_PID,$B28,nrES_Code,W$5,nrES_Final,"Yes"),""))</f>
        <v/>
      </c>
      <c r="X28" s="17">
        <f>IF(OR($B28="",X$5=""),"",IFERROR(SUMIFS(nrES_Rec,nrES_PID,$B28,nrES_Code,X$5,nrES_Final,"Yes"),""))</f>
        <v/>
      </c>
      <c r="Y28" s="17">
        <f>IF(OR($B28="",Y$5=""),"",IFERROR(SUMIFS(nrES_Rec,nrES_PID,$B28,nrES_Code,Y$5,nrES_Final,"Yes"),""))</f>
        <v/>
      </c>
      <c r="Z28" s="17">
        <f>IF(OR($B28="",Z$5=""),"",IFERROR(SUMIFS(nrES_Rec,nrES_PID,$B28,nrES_Code,Z$5,nrES_Final,"Yes"),""))</f>
        <v/>
      </c>
      <c r="AA28" s="17">
        <f>IF(OR($B28="",AA$5=""),"",IFERROR(SUMIFS(nrES_Rec,nrES_PID,$B28,nrES_Code,AA$5,nrES_Final,"Yes"),""))</f>
        <v/>
      </c>
      <c r="AB28" s="17">
        <f>IF(OR($B28="",AB$5=""),"",IFERROR(SUMIFS(nrES_Rec,nrES_PID,$B28,nrES_Code,AB$5,nrES_Final,"Yes"),""))</f>
        <v/>
      </c>
      <c r="AC28" s="17">
        <f>IF($B28="","",sysGrades!$M28)</f>
        <v/>
      </c>
      <c r="AD28" s="17">
        <f>IF($B28="","",IFERROR(sysGrades!$U28,""))</f>
        <v/>
      </c>
    </row>
    <row r="29">
      <c r="B29" s="17">
        <f>IF(Cadets!$B29="","",Cadets!$B29)</f>
        <v/>
      </c>
      <c r="C29" s="17">
        <f>IF($B29="","",Cadets!$F29)</f>
        <v/>
      </c>
      <c r="D29" s="17">
        <f>IF(OR($B29="",D$5=""),"",IFERROR(SUMIFS(nrES_Rec,nrES_PID,$B29,nrES_Code,D$5,nrES_Final,"Yes"),""))</f>
        <v/>
      </c>
      <c r="E29" s="17">
        <f>IF(OR($B29="",E$5=""),"",IFERROR(SUMIFS(nrES_Rec,nrES_PID,$B29,nrES_Code,E$5,nrES_Final,"Yes"),""))</f>
        <v/>
      </c>
      <c r="F29" s="17">
        <f>IF(OR($B29="",F$5=""),"",IFERROR(SUMIFS(nrES_Rec,nrES_PID,$B29,nrES_Code,F$5,nrES_Final,"Yes"),""))</f>
        <v/>
      </c>
      <c r="G29" s="17">
        <f>IF(OR($B29="",G$5=""),"",IFERROR(SUMIFS(nrES_Rec,nrES_PID,$B29,nrES_Code,G$5,nrES_Final,"Yes"),""))</f>
        <v/>
      </c>
      <c r="H29" s="17">
        <f>IF(OR($B29="",H$5=""),"",IFERROR(SUMIFS(nrES_Rec,nrES_PID,$B29,nrES_Code,H$5,nrES_Final,"Yes"),""))</f>
        <v/>
      </c>
      <c r="I29" s="17">
        <f>IF(OR($B29="",I$5=""),"",IFERROR(SUMIFS(nrES_Rec,nrES_PID,$B29,nrES_Code,I$5,nrES_Final,"Yes"),""))</f>
        <v/>
      </c>
      <c r="J29" s="17">
        <f>IF(OR($B29="",J$5=""),"",IFERROR(SUMIFS(nrES_Rec,nrES_PID,$B29,nrES_Code,J$5,nrES_Final,"Yes"),""))</f>
        <v/>
      </c>
      <c r="K29" s="17">
        <f>IF(OR($B29="",K$5=""),"",IFERROR(SUMIFS(nrES_Rec,nrES_PID,$B29,nrES_Code,K$5,nrES_Final,"Yes"),""))</f>
        <v/>
      </c>
      <c r="L29" s="17">
        <f>IF(OR($B29="",L$5=""),"",IFERROR(SUMIFS(nrES_Rec,nrES_PID,$B29,nrES_Code,L$5,nrES_Final,"Yes"),""))</f>
        <v/>
      </c>
      <c r="M29" s="17">
        <f>IF(OR($B29="",M$5=""),"",IFERROR(SUMIFS(nrES_Rec,nrES_PID,$B29,nrES_Code,M$5,nrES_Final,"Yes"),""))</f>
        <v/>
      </c>
      <c r="N29" s="17">
        <f>IF(OR($B29="",N$5=""),"",IFERROR(SUMIFS(nrES_Rec,nrES_PID,$B29,nrES_Code,N$5,nrES_Final,"Yes"),""))</f>
        <v/>
      </c>
      <c r="O29" s="17">
        <f>IF(OR($B29="",O$5=""),"",IFERROR(SUMIFS(nrES_Rec,nrES_PID,$B29,nrES_Code,O$5,nrES_Final,"Yes"),""))</f>
        <v/>
      </c>
      <c r="P29" s="17">
        <f>IF(OR($B29="",P$5=""),"",IFERROR(SUMIFS(nrES_Rec,nrES_PID,$B29,nrES_Code,P$5,nrES_Final,"Yes"),""))</f>
        <v/>
      </c>
      <c r="Q29" s="17">
        <f>IF(OR($B29="",Q$5=""),"",IFERROR(SUMIFS(nrES_Rec,nrES_PID,$B29,nrES_Code,Q$5,nrES_Final,"Yes"),""))</f>
        <v/>
      </c>
      <c r="R29" s="17">
        <f>IF(OR($B29="",R$5=""),"",IFERROR(SUMIFS(nrES_Rec,nrES_PID,$B29,nrES_Code,R$5,nrES_Final,"Yes"),""))</f>
        <v/>
      </c>
      <c r="S29" s="17">
        <f>IF(OR($B29="",S$5=""),"",IFERROR(SUMIFS(nrES_Rec,nrES_PID,$B29,nrES_Code,S$5,nrES_Final,"Yes"),""))</f>
        <v/>
      </c>
      <c r="T29" s="17">
        <f>IF(OR($B29="",T$5=""),"",IFERROR(SUMIFS(nrES_Rec,nrES_PID,$B29,nrES_Code,T$5,nrES_Final,"Yes"),""))</f>
        <v/>
      </c>
      <c r="U29" s="17">
        <f>IF(OR($B29="",U$5=""),"",IFERROR(SUMIFS(nrES_Rec,nrES_PID,$B29,nrES_Code,U$5,nrES_Final,"Yes"),""))</f>
        <v/>
      </c>
      <c r="V29" s="17">
        <f>IF(OR($B29="",V$5=""),"",IFERROR(SUMIFS(nrES_Rec,nrES_PID,$B29,nrES_Code,V$5,nrES_Final,"Yes"),""))</f>
        <v/>
      </c>
      <c r="W29" s="17">
        <f>IF(OR($B29="",W$5=""),"",IFERROR(SUMIFS(nrES_Rec,nrES_PID,$B29,nrES_Code,W$5,nrES_Final,"Yes"),""))</f>
        <v/>
      </c>
      <c r="X29" s="17">
        <f>IF(OR($B29="",X$5=""),"",IFERROR(SUMIFS(nrES_Rec,nrES_PID,$B29,nrES_Code,X$5,nrES_Final,"Yes"),""))</f>
        <v/>
      </c>
      <c r="Y29" s="17">
        <f>IF(OR($B29="",Y$5=""),"",IFERROR(SUMIFS(nrES_Rec,nrES_PID,$B29,nrES_Code,Y$5,nrES_Final,"Yes"),""))</f>
        <v/>
      </c>
      <c r="Z29" s="17">
        <f>IF(OR($B29="",Z$5=""),"",IFERROR(SUMIFS(nrES_Rec,nrES_PID,$B29,nrES_Code,Z$5,nrES_Final,"Yes"),""))</f>
        <v/>
      </c>
      <c r="AA29" s="17">
        <f>IF(OR($B29="",AA$5=""),"",IFERROR(SUMIFS(nrES_Rec,nrES_PID,$B29,nrES_Code,AA$5,nrES_Final,"Yes"),""))</f>
        <v/>
      </c>
      <c r="AB29" s="17">
        <f>IF(OR($B29="",AB$5=""),"",IFERROR(SUMIFS(nrES_Rec,nrES_PID,$B29,nrES_Code,AB$5,nrES_Final,"Yes"),""))</f>
        <v/>
      </c>
      <c r="AC29" s="17">
        <f>IF($B29="","",sysGrades!$M29)</f>
        <v/>
      </c>
      <c r="AD29" s="17">
        <f>IF($B29="","",IFERROR(sysGrades!$U29,""))</f>
        <v/>
      </c>
    </row>
    <row r="30">
      <c r="B30" s="17">
        <f>IF(Cadets!$B30="","",Cadets!$B30)</f>
        <v/>
      </c>
      <c r="C30" s="17">
        <f>IF($B30="","",Cadets!$F30)</f>
        <v/>
      </c>
      <c r="D30" s="17">
        <f>IF(OR($B30="",D$5=""),"",IFERROR(SUMIFS(nrES_Rec,nrES_PID,$B30,nrES_Code,D$5,nrES_Final,"Yes"),""))</f>
        <v/>
      </c>
      <c r="E30" s="17">
        <f>IF(OR($B30="",E$5=""),"",IFERROR(SUMIFS(nrES_Rec,nrES_PID,$B30,nrES_Code,E$5,nrES_Final,"Yes"),""))</f>
        <v/>
      </c>
      <c r="F30" s="17">
        <f>IF(OR($B30="",F$5=""),"",IFERROR(SUMIFS(nrES_Rec,nrES_PID,$B30,nrES_Code,F$5,nrES_Final,"Yes"),""))</f>
        <v/>
      </c>
      <c r="G30" s="17">
        <f>IF(OR($B30="",G$5=""),"",IFERROR(SUMIFS(nrES_Rec,nrES_PID,$B30,nrES_Code,G$5,nrES_Final,"Yes"),""))</f>
        <v/>
      </c>
      <c r="H30" s="17">
        <f>IF(OR($B30="",H$5=""),"",IFERROR(SUMIFS(nrES_Rec,nrES_PID,$B30,nrES_Code,H$5,nrES_Final,"Yes"),""))</f>
        <v/>
      </c>
      <c r="I30" s="17">
        <f>IF(OR($B30="",I$5=""),"",IFERROR(SUMIFS(nrES_Rec,nrES_PID,$B30,nrES_Code,I$5,nrES_Final,"Yes"),""))</f>
        <v/>
      </c>
      <c r="J30" s="17">
        <f>IF(OR($B30="",J$5=""),"",IFERROR(SUMIFS(nrES_Rec,nrES_PID,$B30,nrES_Code,J$5,nrES_Final,"Yes"),""))</f>
        <v/>
      </c>
      <c r="K30" s="17">
        <f>IF(OR($B30="",K$5=""),"",IFERROR(SUMIFS(nrES_Rec,nrES_PID,$B30,nrES_Code,K$5,nrES_Final,"Yes"),""))</f>
        <v/>
      </c>
      <c r="L30" s="17">
        <f>IF(OR($B30="",L$5=""),"",IFERROR(SUMIFS(nrES_Rec,nrES_PID,$B30,nrES_Code,L$5,nrES_Final,"Yes"),""))</f>
        <v/>
      </c>
      <c r="M30" s="17">
        <f>IF(OR($B30="",M$5=""),"",IFERROR(SUMIFS(nrES_Rec,nrES_PID,$B30,nrES_Code,M$5,nrES_Final,"Yes"),""))</f>
        <v/>
      </c>
      <c r="N30" s="17">
        <f>IF(OR($B30="",N$5=""),"",IFERROR(SUMIFS(nrES_Rec,nrES_PID,$B30,nrES_Code,N$5,nrES_Final,"Yes"),""))</f>
        <v/>
      </c>
      <c r="O30" s="17">
        <f>IF(OR($B30="",O$5=""),"",IFERROR(SUMIFS(nrES_Rec,nrES_PID,$B30,nrES_Code,O$5,nrES_Final,"Yes"),""))</f>
        <v/>
      </c>
      <c r="P30" s="17">
        <f>IF(OR($B30="",P$5=""),"",IFERROR(SUMIFS(nrES_Rec,nrES_PID,$B30,nrES_Code,P$5,nrES_Final,"Yes"),""))</f>
        <v/>
      </c>
      <c r="Q30" s="17">
        <f>IF(OR($B30="",Q$5=""),"",IFERROR(SUMIFS(nrES_Rec,nrES_PID,$B30,nrES_Code,Q$5,nrES_Final,"Yes"),""))</f>
        <v/>
      </c>
      <c r="R30" s="17">
        <f>IF(OR($B30="",R$5=""),"",IFERROR(SUMIFS(nrES_Rec,nrES_PID,$B30,nrES_Code,R$5,nrES_Final,"Yes"),""))</f>
        <v/>
      </c>
      <c r="S30" s="17">
        <f>IF(OR($B30="",S$5=""),"",IFERROR(SUMIFS(nrES_Rec,nrES_PID,$B30,nrES_Code,S$5,nrES_Final,"Yes"),""))</f>
        <v/>
      </c>
      <c r="T30" s="17">
        <f>IF(OR($B30="",T$5=""),"",IFERROR(SUMIFS(nrES_Rec,nrES_PID,$B30,nrES_Code,T$5,nrES_Final,"Yes"),""))</f>
        <v/>
      </c>
      <c r="U30" s="17">
        <f>IF(OR($B30="",U$5=""),"",IFERROR(SUMIFS(nrES_Rec,nrES_PID,$B30,nrES_Code,U$5,nrES_Final,"Yes"),""))</f>
        <v/>
      </c>
      <c r="V30" s="17">
        <f>IF(OR($B30="",V$5=""),"",IFERROR(SUMIFS(nrES_Rec,nrES_PID,$B30,nrES_Code,V$5,nrES_Final,"Yes"),""))</f>
        <v/>
      </c>
      <c r="W30" s="17">
        <f>IF(OR($B30="",W$5=""),"",IFERROR(SUMIFS(nrES_Rec,nrES_PID,$B30,nrES_Code,W$5,nrES_Final,"Yes"),""))</f>
        <v/>
      </c>
      <c r="X30" s="17">
        <f>IF(OR($B30="",X$5=""),"",IFERROR(SUMIFS(nrES_Rec,nrES_PID,$B30,nrES_Code,X$5,nrES_Final,"Yes"),""))</f>
        <v/>
      </c>
      <c r="Y30" s="17">
        <f>IF(OR($B30="",Y$5=""),"",IFERROR(SUMIFS(nrES_Rec,nrES_PID,$B30,nrES_Code,Y$5,nrES_Final,"Yes"),""))</f>
        <v/>
      </c>
      <c r="Z30" s="17">
        <f>IF(OR($B30="",Z$5=""),"",IFERROR(SUMIFS(nrES_Rec,nrES_PID,$B30,nrES_Code,Z$5,nrES_Final,"Yes"),""))</f>
        <v/>
      </c>
      <c r="AA30" s="17">
        <f>IF(OR($B30="",AA$5=""),"",IFERROR(SUMIFS(nrES_Rec,nrES_PID,$B30,nrES_Code,AA$5,nrES_Final,"Yes"),""))</f>
        <v/>
      </c>
      <c r="AB30" s="17">
        <f>IF(OR($B30="",AB$5=""),"",IFERROR(SUMIFS(nrES_Rec,nrES_PID,$B30,nrES_Code,AB$5,nrES_Final,"Yes"),""))</f>
        <v/>
      </c>
      <c r="AC30" s="17">
        <f>IF($B30="","",sysGrades!$M30)</f>
        <v/>
      </c>
      <c r="AD30" s="17">
        <f>IF($B30="","",IFERROR(sysGrades!$U30,""))</f>
        <v/>
      </c>
    </row>
    <row r="31">
      <c r="B31" s="17">
        <f>IF(Cadets!$B31="","",Cadets!$B31)</f>
        <v/>
      </c>
      <c r="C31" s="17">
        <f>IF($B31="","",Cadets!$F31)</f>
        <v/>
      </c>
      <c r="D31" s="17">
        <f>IF(OR($B31="",D$5=""),"",IFERROR(SUMIFS(nrES_Rec,nrES_PID,$B31,nrES_Code,D$5,nrES_Final,"Yes"),""))</f>
        <v/>
      </c>
      <c r="E31" s="17">
        <f>IF(OR($B31="",E$5=""),"",IFERROR(SUMIFS(nrES_Rec,nrES_PID,$B31,nrES_Code,E$5,nrES_Final,"Yes"),""))</f>
        <v/>
      </c>
      <c r="F31" s="17">
        <f>IF(OR($B31="",F$5=""),"",IFERROR(SUMIFS(nrES_Rec,nrES_PID,$B31,nrES_Code,F$5,nrES_Final,"Yes"),""))</f>
        <v/>
      </c>
      <c r="G31" s="17">
        <f>IF(OR($B31="",G$5=""),"",IFERROR(SUMIFS(nrES_Rec,nrES_PID,$B31,nrES_Code,G$5,nrES_Final,"Yes"),""))</f>
        <v/>
      </c>
      <c r="H31" s="17">
        <f>IF(OR($B31="",H$5=""),"",IFERROR(SUMIFS(nrES_Rec,nrES_PID,$B31,nrES_Code,H$5,nrES_Final,"Yes"),""))</f>
        <v/>
      </c>
      <c r="I31" s="17">
        <f>IF(OR($B31="",I$5=""),"",IFERROR(SUMIFS(nrES_Rec,nrES_PID,$B31,nrES_Code,I$5,nrES_Final,"Yes"),""))</f>
        <v/>
      </c>
      <c r="J31" s="17">
        <f>IF(OR($B31="",J$5=""),"",IFERROR(SUMIFS(nrES_Rec,nrES_PID,$B31,nrES_Code,J$5,nrES_Final,"Yes"),""))</f>
        <v/>
      </c>
      <c r="K31" s="17">
        <f>IF(OR($B31="",K$5=""),"",IFERROR(SUMIFS(nrES_Rec,nrES_PID,$B31,nrES_Code,K$5,nrES_Final,"Yes"),""))</f>
        <v/>
      </c>
      <c r="L31" s="17">
        <f>IF(OR($B31="",L$5=""),"",IFERROR(SUMIFS(nrES_Rec,nrES_PID,$B31,nrES_Code,L$5,nrES_Final,"Yes"),""))</f>
        <v/>
      </c>
      <c r="M31" s="17">
        <f>IF(OR($B31="",M$5=""),"",IFERROR(SUMIFS(nrES_Rec,nrES_PID,$B31,nrES_Code,M$5,nrES_Final,"Yes"),""))</f>
        <v/>
      </c>
      <c r="N31" s="17">
        <f>IF(OR($B31="",N$5=""),"",IFERROR(SUMIFS(nrES_Rec,nrES_PID,$B31,nrES_Code,N$5,nrES_Final,"Yes"),""))</f>
        <v/>
      </c>
      <c r="O31" s="17">
        <f>IF(OR($B31="",O$5=""),"",IFERROR(SUMIFS(nrES_Rec,nrES_PID,$B31,nrES_Code,O$5,nrES_Final,"Yes"),""))</f>
        <v/>
      </c>
      <c r="P31" s="17">
        <f>IF(OR($B31="",P$5=""),"",IFERROR(SUMIFS(nrES_Rec,nrES_PID,$B31,nrES_Code,P$5,nrES_Final,"Yes"),""))</f>
        <v/>
      </c>
      <c r="Q31" s="17">
        <f>IF(OR($B31="",Q$5=""),"",IFERROR(SUMIFS(nrES_Rec,nrES_PID,$B31,nrES_Code,Q$5,nrES_Final,"Yes"),""))</f>
        <v/>
      </c>
      <c r="R31" s="17">
        <f>IF(OR($B31="",R$5=""),"",IFERROR(SUMIFS(nrES_Rec,nrES_PID,$B31,nrES_Code,R$5,nrES_Final,"Yes"),""))</f>
        <v/>
      </c>
      <c r="S31" s="17">
        <f>IF(OR($B31="",S$5=""),"",IFERROR(SUMIFS(nrES_Rec,nrES_PID,$B31,nrES_Code,S$5,nrES_Final,"Yes"),""))</f>
        <v/>
      </c>
      <c r="T31" s="17">
        <f>IF(OR($B31="",T$5=""),"",IFERROR(SUMIFS(nrES_Rec,nrES_PID,$B31,nrES_Code,T$5,nrES_Final,"Yes"),""))</f>
        <v/>
      </c>
      <c r="U31" s="17">
        <f>IF(OR($B31="",U$5=""),"",IFERROR(SUMIFS(nrES_Rec,nrES_PID,$B31,nrES_Code,U$5,nrES_Final,"Yes"),""))</f>
        <v/>
      </c>
      <c r="V31" s="17">
        <f>IF(OR($B31="",V$5=""),"",IFERROR(SUMIFS(nrES_Rec,nrES_PID,$B31,nrES_Code,V$5,nrES_Final,"Yes"),""))</f>
        <v/>
      </c>
      <c r="W31" s="17">
        <f>IF(OR($B31="",W$5=""),"",IFERROR(SUMIFS(nrES_Rec,nrES_PID,$B31,nrES_Code,W$5,nrES_Final,"Yes"),""))</f>
        <v/>
      </c>
      <c r="X31" s="17">
        <f>IF(OR($B31="",X$5=""),"",IFERROR(SUMIFS(nrES_Rec,nrES_PID,$B31,nrES_Code,X$5,nrES_Final,"Yes"),""))</f>
        <v/>
      </c>
      <c r="Y31" s="17">
        <f>IF(OR($B31="",Y$5=""),"",IFERROR(SUMIFS(nrES_Rec,nrES_PID,$B31,nrES_Code,Y$5,nrES_Final,"Yes"),""))</f>
        <v/>
      </c>
      <c r="Z31" s="17">
        <f>IF(OR($B31="",Z$5=""),"",IFERROR(SUMIFS(nrES_Rec,nrES_PID,$B31,nrES_Code,Z$5,nrES_Final,"Yes"),""))</f>
        <v/>
      </c>
      <c r="AA31" s="17">
        <f>IF(OR($B31="",AA$5=""),"",IFERROR(SUMIFS(nrES_Rec,nrES_PID,$B31,nrES_Code,AA$5,nrES_Final,"Yes"),""))</f>
        <v/>
      </c>
      <c r="AB31" s="17">
        <f>IF(OR($B31="",AB$5=""),"",IFERROR(SUMIFS(nrES_Rec,nrES_PID,$B31,nrES_Code,AB$5,nrES_Final,"Yes"),""))</f>
        <v/>
      </c>
      <c r="AC31" s="17">
        <f>IF($B31="","",sysGrades!$M31)</f>
        <v/>
      </c>
      <c r="AD31" s="17">
        <f>IF($B31="","",IFERROR(sysGrades!$U31,""))</f>
        <v/>
      </c>
    </row>
    <row r="32">
      <c r="B32" s="17">
        <f>IF(Cadets!$B32="","",Cadets!$B32)</f>
        <v/>
      </c>
      <c r="C32" s="17">
        <f>IF($B32="","",Cadets!$F32)</f>
        <v/>
      </c>
      <c r="D32" s="17">
        <f>IF(OR($B32="",D$5=""),"",IFERROR(SUMIFS(nrES_Rec,nrES_PID,$B32,nrES_Code,D$5,nrES_Final,"Yes"),""))</f>
        <v/>
      </c>
      <c r="E32" s="17">
        <f>IF(OR($B32="",E$5=""),"",IFERROR(SUMIFS(nrES_Rec,nrES_PID,$B32,nrES_Code,E$5,nrES_Final,"Yes"),""))</f>
        <v/>
      </c>
      <c r="F32" s="17">
        <f>IF(OR($B32="",F$5=""),"",IFERROR(SUMIFS(nrES_Rec,nrES_PID,$B32,nrES_Code,F$5,nrES_Final,"Yes"),""))</f>
        <v/>
      </c>
      <c r="G32" s="17">
        <f>IF(OR($B32="",G$5=""),"",IFERROR(SUMIFS(nrES_Rec,nrES_PID,$B32,nrES_Code,G$5,nrES_Final,"Yes"),""))</f>
        <v/>
      </c>
      <c r="H32" s="17">
        <f>IF(OR($B32="",H$5=""),"",IFERROR(SUMIFS(nrES_Rec,nrES_PID,$B32,nrES_Code,H$5,nrES_Final,"Yes"),""))</f>
        <v/>
      </c>
      <c r="I32" s="17">
        <f>IF(OR($B32="",I$5=""),"",IFERROR(SUMIFS(nrES_Rec,nrES_PID,$B32,nrES_Code,I$5,nrES_Final,"Yes"),""))</f>
        <v/>
      </c>
      <c r="J32" s="17">
        <f>IF(OR($B32="",J$5=""),"",IFERROR(SUMIFS(nrES_Rec,nrES_PID,$B32,nrES_Code,J$5,nrES_Final,"Yes"),""))</f>
        <v/>
      </c>
      <c r="K32" s="17">
        <f>IF(OR($B32="",K$5=""),"",IFERROR(SUMIFS(nrES_Rec,nrES_PID,$B32,nrES_Code,K$5,nrES_Final,"Yes"),""))</f>
        <v/>
      </c>
      <c r="L32" s="17">
        <f>IF(OR($B32="",L$5=""),"",IFERROR(SUMIFS(nrES_Rec,nrES_PID,$B32,nrES_Code,L$5,nrES_Final,"Yes"),""))</f>
        <v/>
      </c>
      <c r="M32" s="17">
        <f>IF(OR($B32="",M$5=""),"",IFERROR(SUMIFS(nrES_Rec,nrES_PID,$B32,nrES_Code,M$5,nrES_Final,"Yes"),""))</f>
        <v/>
      </c>
      <c r="N32" s="17">
        <f>IF(OR($B32="",N$5=""),"",IFERROR(SUMIFS(nrES_Rec,nrES_PID,$B32,nrES_Code,N$5,nrES_Final,"Yes"),""))</f>
        <v/>
      </c>
      <c r="O32" s="17">
        <f>IF(OR($B32="",O$5=""),"",IFERROR(SUMIFS(nrES_Rec,nrES_PID,$B32,nrES_Code,O$5,nrES_Final,"Yes"),""))</f>
        <v/>
      </c>
      <c r="P32" s="17">
        <f>IF(OR($B32="",P$5=""),"",IFERROR(SUMIFS(nrES_Rec,nrES_PID,$B32,nrES_Code,P$5,nrES_Final,"Yes"),""))</f>
        <v/>
      </c>
      <c r="Q32" s="17">
        <f>IF(OR($B32="",Q$5=""),"",IFERROR(SUMIFS(nrES_Rec,nrES_PID,$B32,nrES_Code,Q$5,nrES_Final,"Yes"),""))</f>
        <v/>
      </c>
      <c r="R32" s="17">
        <f>IF(OR($B32="",R$5=""),"",IFERROR(SUMIFS(nrES_Rec,nrES_PID,$B32,nrES_Code,R$5,nrES_Final,"Yes"),""))</f>
        <v/>
      </c>
      <c r="S32" s="17">
        <f>IF(OR($B32="",S$5=""),"",IFERROR(SUMIFS(nrES_Rec,nrES_PID,$B32,nrES_Code,S$5,nrES_Final,"Yes"),""))</f>
        <v/>
      </c>
      <c r="T32" s="17">
        <f>IF(OR($B32="",T$5=""),"",IFERROR(SUMIFS(nrES_Rec,nrES_PID,$B32,nrES_Code,T$5,nrES_Final,"Yes"),""))</f>
        <v/>
      </c>
      <c r="U32" s="17">
        <f>IF(OR($B32="",U$5=""),"",IFERROR(SUMIFS(nrES_Rec,nrES_PID,$B32,nrES_Code,U$5,nrES_Final,"Yes"),""))</f>
        <v/>
      </c>
      <c r="V32" s="17">
        <f>IF(OR($B32="",V$5=""),"",IFERROR(SUMIFS(nrES_Rec,nrES_PID,$B32,nrES_Code,V$5,nrES_Final,"Yes"),""))</f>
        <v/>
      </c>
      <c r="W32" s="17">
        <f>IF(OR($B32="",W$5=""),"",IFERROR(SUMIFS(nrES_Rec,nrES_PID,$B32,nrES_Code,W$5,nrES_Final,"Yes"),""))</f>
        <v/>
      </c>
      <c r="X32" s="17">
        <f>IF(OR($B32="",X$5=""),"",IFERROR(SUMIFS(nrES_Rec,nrES_PID,$B32,nrES_Code,X$5,nrES_Final,"Yes"),""))</f>
        <v/>
      </c>
      <c r="Y32" s="17">
        <f>IF(OR($B32="",Y$5=""),"",IFERROR(SUMIFS(nrES_Rec,nrES_PID,$B32,nrES_Code,Y$5,nrES_Final,"Yes"),""))</f>
        <v/>
      </c>
      <c r="Z32" s="17">
        <f>IF(OR($B32="",Z$5=""),"",IFERROR(SUMIFS(nrES_Rec,nrES_PID,$B32,nrES_Code,Z$5,nrES_Final,"Yes"),""))</f>
        <v/>
      </c>
      <c r="AA32" s="17">
        <f>IF(OR($B32="",AA$5=""),"",IFERROR(SUMIFS(nrES_Rec,nrES_PID,$B32,nrES_Code,AA$5,nrES_Final,"Yes"),""))</f>
        <v/>
      </c>
      <c r="AB32" s="17">
        <f>IF(OR($B32="",AB$5=""),"",IFERROR(SUMIFS(nrES_Rec,nrES_PID,$B32,nrES_Code,AB$5,nrES_Final,"Yes"),""))</f>
        <v/>
      </c>
      <c r="AC32" s="17">
        <f>IF($B32="","",sysGrades!$M32)</f>
        <v/>
      </c>
      <c r="AD32" s="17">
        <f>IF($B32="","",IFERROR(sysGrades!$U32,""))</f>
        <v/>
      </c>
    </row>
    <row r="33">
      <c r="B33" s="17">
        <f>IF(Cadets!$B33="","",Cadets!$B33)</f>
        <v/>
      </c>
      <c r="C33" s="17">
        <f>IF($B33="","",Cadets!$F33)</f>
        <v/>
      </c>
      <c r="D33" s="17">
        <f>IF(OR($B33="",D$5=""),"",IFERROR(SUMIFS(nrES_Rec,nrES_PID,$B33,nrES_Code,D$5,nrES_Final,"Yes"),""))</f>
        <v/>
      </c>
      <c r="E33" s="17">
        <f>IF(OR($B33="",E$5=""),"",IFERROR(SUMIFS(nrES_Rec,nrES_PID,$B33,nrES_Code,E$5,nrES_Final,"Yes"),""))</f>
        <v/>
      </c>
      <c r="F33" s="17">
        <f>IF(OR($B33="",F$5=""),"",IFERROR(SUMIFS(nrES_Rec,nrES_PID,$B33,nrES_Code,F$5,nrES_Final,"Yes"),""))</f>
        <v/>
      </c>
      <c r="G33" s="17">
        <f>IF(OR($B33="",G$5=""),"",IFERROR(SUMIFS(nrES_Rec,nrES_PID,$B33,nrES_Code,G$5,nrES_Final,"Yes"),""))</f>
        <v/>
      </c>
      <c r="H33" s="17">
        <f>IF(OR($B33="",H$5=""),"",IFERROR(SUMIFS(nrES_Rec,nrES_PID,$B33,nrES_Code,H$5,nrES_Final,"Yes"),""))</f>
        <v/>
      </c>
      <c r="I33" s="17">
        <f>IF(OR($B33="",I$5=""),"",IFERROR(SUMIFS(nrES_Rec,nrES_PID,$B33,nrES_Code,I$5,nrES_Final,"Yes"),""))</f>
        <v/>
      </c>
      <c r="J33" s="17">
        <f>IF(OR($B33="",J$5=""),"",IFERROR(SUMIFS(nrES_Rec,nrES_PID,$B33,nrES_Code,J$5,nrES_Final,"Yes"),""))</f>
        <v/>
      </c>
      <c r="K33" s="17">
        <f>IF(OR($B33="",K$5=""),"",IFERROR(SUMIFS(nrES_Rec,nrES_PID,$B33,nrES_Code,K$5,nrES_Final,"Yes"),""))</f>
        <v/>
      </c>
      <c r="L33" s="17">
        <f>IF(OR($B33="",L$5=""),"",IFERROR(SUMIFS(nrES_Rec,nrES_PID,$B33,nrES_Code,L$5,nrES_Final,"Yes"),""))</f>
        <v/>
      </c>
      <c r="M33" s="17">
        <f>IF(OR($B33="",M$5=""),"",IFERROR(SUMIFS(nrES_Rec,nrES_PID,$B33,nrES_Code,M$5,nrES_Final,"Yes"),""))</f>
        <v/>
      </c>
      <c r="N33" s="17">
        <f>IF(OR($B33="",N$5=""),"",IFERROR(SUMIFS(nrES_Rec,nrES_PID,$B33,nrES_Code,N$5,nrES_Final,"Yes"),""))</f>
        <v/>
      </c>
      <c r="O33" s="17">
        <f>IF(OR($B33="",O$5=""),"",IFERROR(SUMIFS(nrES_Rec,nrES_PID,$B33,nrES_Code,O$5,nrES_Final,"Yes"),""))</f>
        <v/>
      </c>
      <c r="P33" s="17">
        <f>IF(OR($B33="",P$5=""),"",IFERROR(SUMIFS(nrES_Rec,nrES_PID,$B33,nrES_Code,P$5,nrES_Final,"Yes"),""))</f>
        <v/>
      </c>
      <c r="Q33" s="17">
        <f>IF(OR($B33="",Q$5=""),"",IFERROR(SUMIFS(nrES_Rec,nrES_PID,$B33,nrES_Code,Q$5,nrES_Final,"Yes"),""))</f>
        <v/>
      </c>
      <c r="R33" s="17">
        <f>IF(OR($B33="",R$5=""),"",IFERROR(SUMIFS(nrES_Rec,nrES_PID,$B33,nrES_Code,R$5,nrES_Final,"Yes"),""))</f>
        <v/>
      </c>
      <c r="S33" s="17">
        <f>IF(OR($B33="",S$5=""),"",IFERROR(SUMIFS(nrES_Rec,nrES_PID,$B33,nrES_Code,S$5,nrES_Final,"Yes"),""))</f>
        <v/>
      </c>
      <c r="T33" s="17">
        <f>IF(OR($B33="",T$5=""),"",IFERROR(SUMIFS(nrES_Rec,nrES_PID,$B33,nrES_Code,T$5,nrES_Final,"Yes"),""))</f>
        <v/>
      </c>
      <c r="U33" s="17">
        <f>IF(OR($B33="",U$5=""),"",IFERROR(SUMIFS(nrES_Rec,nrES_PID,$B33,nrES_Code,U$5,nrES_Final,"Yes"),""))</f>
        <v/>
      </c>
      <c r="V33" s="17">
        <f>IF(OR($B33="",V$5=""),"",IFERROR(SUMIFS(nrES_Rec,nrES_PID,$B33,nrES_Code,V$5,nrES_Final,"Yes"),""))</f>
        <v/>
      </c>
      <c r="W33" s="17">
        <f>IF(OR($B33="",W$5=""),"",IFERROR(SUMIFS(nrES_Rec,nrES_PID,$B33,nrES_Code,W$5,nrES_Final,"Yes"),""))</f>
        <v/>
      </c>
      <c r="X33" s="17">
        <f>IF(OR($B33="",X$5=""),"",IFERROR(SUMIFS(nrES_Rec,nrES_PID,$B33,nrES_Code,X$5,nrES_Final,"Yes"),""))</f>
        <v/>
      </c>
      <c r="Y33" s="17">
        <f>IF(OR($B33="",Y$5=""),"",IFERROR(SUMIFS(nrES_Rec,nrES_PID,$B33,nrES_Code,Y$5,nrES_Final,"Yes"),""))</f>
        <v/>
      </c>
      <c r="Z33" s="17">
        <f>IF(OR($B33="",Z$5=""),"",IFERROR(SUMIFS(nrES_Rec,nrES_PID,$B33,nrES_Code,Z$5,nrES_Final,"Yes"),""))</f>
        <v/>
      </c>
      <c r="AA33" s="17">
        <f>IF(OR($B33="",AA$5=""),"",IFERROR(SUMIFS(nrES_Rec,nrES_PID,$B33,nrES_Code,AA$5,nrES_Final,"Yes"),""))</f>
        <v/>
      </c>
      <c r="AB33" s="17">
        <f>IF(OR($B33="",AB$5=""),"",IFERROR(SUMIFS(nrES_Rec,nrES_PID,$B33,nrES_Code,AB$5,nrES_Final,"Yes"),""))</f>
        <v/>
      </c>
      <c r="AC33" s="17">
        <f>IF($B33="","",sysGrades!$M33)</f>
        <v/>
      </c>
      <c r="AD33" s="17">
        <f>IF($B33="","",IFERROR(sysGrades!$U33,""))</f>
        <v/>
      </c>
    </row>
    <row r="34">
      <c r="B34" s="17">
        <f>IF(Cadets!$B34="","",Cadets!$B34)</f>
        <v/>
      </c>
      <c r="C34" s="17">
        <f>IF($B34="","",Cadets!$F34)</f>
        <v/>
      </c>
      <c r="D34" s="17">
        <f>IF(OR($B34="",D$5=""),"",IFERROR(SUMIFS(nrES_Rec,nrES_PID,$B34,nrES_Code,D$5,nrES_Final,"Yes"),""))</f>
        <v/>
      </c>
      <c r="E34" s="17">
        <f>IF(OR($B34="",E$5=""),"",IFERROR(SUMIFS(nrES_Rec,nrES_PID,$B34,nrES_Code,E$5,nrES_Final,"Yes"),""))</f>
        <v/>
      </c>
      <c r="F34" s="17">
        <f>IF(OR($B34="",F$5=""),"",IFERROR(SUMIFS(nrES_Rec,nrES_PID,$B34,nrES_Code,F$5,nrES_Final,"Yes"),""))</f>
        <v/>
      </c>
      <c r="G34" s="17">
        <f>IF(OR($B34="",G$5=""),"",IFERROR(SUMIFS(nrES_Rec,nrES_PID,$B34,nrES_Code,G$5,nrES_Final,"Yes"),""))</f>
        <v/>
      </c>
      <c r="H34" s="17">
        <f>IF(OR($B34="",H$5=""),"",IFERROR(SUMIFS(nrES_Rec,nrES_PID,$B34,nrES_Code,H$5,nrES_Final,"Yes"),""))</f>
        <v/>
      </c>
      <c r="I34" s="17">
        <f>IF(OR($B34="",I$5=""),"",IFERROR(SUMIFS(nrES_Rec,nrES_PID,$B34,nrES_Code,I$5,nrES_Final,"Yes"),""))</f>
        <v/>
      </c>
      <c r="J34" s="17">
        <f>IF(OR($B34="",J$5=""),"",IFERROR(SUMIFS(nrES_Rec,nrES_PID,$B34,nrES_Code,J$5,nrES_Final,"Yes"),""))</f>
        <v/>
      </c>
      <c r="K34" s="17">
        <f>IF(OR($B34="",K$5=""),"",IFERROR(SUMIFS(nrES_Rec,nrES_PID,$B34,nrES_Code,K$5,nrES_Final,"Yes"),""))</f>
        <v/>
      </c>
      <c r="L34" s="17">
        <f>IF(OR($B34="",L$5=""),"",IFERROR(SUMIFS(nrES_Rec,nrES_PID,$B34,nrES_Code,L$5,nrES_Final,"Yes"),""))</f>
        <v/>
      </c>
      <c r="M34" s="17">
        <f>IF(OR($B34="",M$5=""),"",IFERROR(SUMIFS(nrES_Rec,nrES_PID,$B34,nrES_Code,M$5,nrES_Final,"Yes"),""))</f>
        <v/>
      </c>
      <c r="N34" s="17">
        <f>IF(OR($B34="",N$5=""),"",IFERROR(SUMIFS(nrES_Rec,nrES_PID,$B34,nrES_Code,N$5,nrES_Final,"Yes"),""))</f>
        <v/>
      </c>
      <c r="O34" s="17">
        <f>IF(OR($B34="",O$5=""),"",IFERROR(SUMIFS(nrES_Rec,nrES_PID,$B34,nrES_Code,O$5,nrES_Final,"Yes"),""))</f>
        <v/>
      </c>
      <c r="P34" s="17">
        <f>IF(OR($B34="",P$5=""),"",IFERROR(SUMIFS(nrES_Rec,nrES_PID,$B34,nrES_Code,P$5,nrES_Final,"Yes"),""))</f>
        <v/>
      </c>
      <c r="Q34" s="17">
        <f>IF(OR($B34="",Q$5=""),"",IFERROR(SUMIFS(nrES_Rec,nrES_PID,$B34,nrES_Code,Q$5,nrES_Final,"Yes"),""))</f>
        <v/>
      </c>
      <c r="R34" s="17">
        <f>IF(OR($B34="",R$5=""),"",IFERROR(SUMIFS(nrES_Rec,nrES_PID,$B34,nrES_Code,R$5,nrES_Final,"Yes"),""))</f>
        <v/>
      </c>
      <c r="S34" s="17">
        <f>IF(OR($B34="",S$5=""),"",IFERROR(SUMIFS(nrES_Rec,nrES_PID,$B34,nrES_Code,S$5,nrES_Final,"Yes"),""))</f>
        <v/>
      </c>
      <c r="T34" s="17">
        <f>IF(OR($B34="",T$5=""),"",IFERROR(SUMIFS(nrES_Rec,nrES_PID,$B34,nrES_Code,T$5,nrES_Final,"Yes"),""))</f>
        <v/>
      </c>
      <c r="U34" s="17">
        <f>IF(OR($B34="",U$5=""),"",IFERROR(SUMIFS(nrES_Rec,nrES_PID,$B34,nrES_Code,U$5,nrES_Final,"Yes"),""))</f>
        <v/>
      </c>
      <c r="V34" s="17">
        <f>IF(OR($B34="",V$5=""),"",IFERROR(SUMIFS(nrES_Rec,nrES_PID,$B34,nrES_Code,V$5,nrES_Final,"Yes"),""))</f>
        <v/>
      </c>
      <c r="W34" s="17">
        <f>IF(OR($B34="",W$5=""),"",IFERROR(SUMIFS(nrES_Rec,nrES_PID,$B34,nrES_Code,W$5,nrES_Final,"Yes"),""))</f>
        <v/>
      </c>
      <c r="X34" s="17">
        <f>IF(OR($B34="",X$5=""),"",IFERROR(SUMIFS(nrES_Rec,nrES_PID,$B34,nrES_Code,X$5,nrES_Final,"Yes"),""))</f>
        <v/>
      </c>
      <c r="Y34" s="17">
        <f>IF(OR($B34="",Y$5=""),"",IFERROR(SUMIFS(nrES_Rec,nrES_PID,$B34,nrES_Code,Y$5,nrES_Final,"Yes"),""))</f>
        <v/>
      </c>
      <c r="Z34" s="17">
        <f>IF(OR($B34="",Z$5=""),"",IFERROR(SUMIFS(nrES_Rec,nrES_PID,$B34,nrES_Code,Z$5,nrES_Final,"Yes"),""))</f>
        <v/>
      </c>
      <c r="AA34" s="17">
        <f>IF(OR($B34="",AA$5=""),"",IFERROR(SUMIFS(nrES_Rec,nrES_PID,$B34,nrES_Code,AA$5,nrES_Final,"Yes"),""))</f>
        <v/>
      </c>
      <c r="AB34" s="17">
        <f>IF(OR($B34="",AB$5=""),"",IFERROR(SUMIFS(nrES_Rec,nrES_PID,$B34,nrES_Code,AB$5,nrES_Final,"Yes"),""))</f>
        <v/>
      </c>
      <c r="AC34" s="17">
        <f>IF($B34="","",sysGrades!$M34)</f>
        <v/>
      </c>
      <c r="AD34" s="17">
        <f>IF($B34="","",IFERROR(sysGrades!$U34,""))</f>
        <v/>
      </c>
    </row>
    <row r="35">
      <c r="B35" s="17">
        <f>IF(Cadets!$B35="","",Cadets!$B35)</f>
        <v/>
      </c>
      <c r="C35" s="17">
        <f>IF($B35="","",Cadets!$F35)</f>
        <v/>
      </c>
      <c r="D35" s="17">
        <f>IF(OR($B35="",D$5=""),"",IFERROR(SUMIFS(nrES_Rec,nrES_PID,$B35,nrES_Code,D$5,nrES_Final,"Yes"),""))</f>
        <v/>
      </c>
      <c r="E35" s="17">
        <f>IF(OR($B35="",E$5=""),"",IFERROR(SUMIFS(nrES_Rec,nrES_PID,$B35,nrES_Code,E$5,nrES_Final,"Yes"),""))</f>
        <v/>
      </c>
      <c r="F35" s="17">
        <f>IF(OR($B35="",F$5=""),"",IFERROR(SUMIFS(nrES_Rec,nrES_PID,$B35,nrES_Code,F$5,nrES_Final,"Yes"),""))</f>
        <v/>
      </c>
      <c r="G35" s="17">
        <f>IF(OR($B35="",G$5=""),"",IFERROR(SUMIFS(nrES_Rec,nrES_PID,$B35,nrES_Code,G$5,nrES_Final,"Yes"),""))</f>
        <v/>
      </c>
      <c r="H35" s="17">
        <f>IF(OR($B35="",H$5=""),"",IFERROR(SUMIFS(nrES_Rec,nrES_PID,$B35,nrES_Code,H$5,nrES_Final,"Yes"),""))</f>
        <v/>
      </c>
      <c r="I35" s="17">
        <f>IF(OR($B35="",I$5=""),"",IFERROR(SUMIFS(nrES_Rec,nrES_PID,$B35,nrES_Code,I$5,nrES_Final,"Yes"),""))</f>
        <v/>
      </c>
      <c r="J35" s="17">
        <f>IF(OR($B35="",J$5=""),"",IFERROR(SUMIFS(nrES_Rec,nrES_PID,$B35,nrES_Code,J$5,nrES_Final,"Yes"),""))</f>
        <v/>
      </c>
      <c r="K35" s="17">
        <f>IF(OR($B35="",K$5=""),"",IFERROR(SUMIFS(nrES_Rec,nrES_PID,$B35,nrES_Code,K$5,nrES_Final,"Yes"),""))</f>
        <v/>
      </c>
      <c r="L35" s="17">
        <f>IF(OR($B35="",L$5=""),"",IFERROR(SUMIFS(nrES_Rec,nrES_PID,$B35,nrES_Code,L$5,nrES_Final,"Yes"),""))</f>
        <v/>
      </c>
      <c r="M35" s="17">
        <f>IF(OR($B35="",M$5=""),"",IFERROR(SUMIFS(nrES_Rec,nrES_PID,$B35,nrES_Code,M$5,nrES_Final,"Yes"),""))</f>
        <v/>
      </c>
      <c r="N35" s="17">
        <f>IF(OR($B35="",N$5=""),"",IFERROR(SUMIFS(nrES_Rec,nrES_PID,$B35,nrES_Code,N$5,nrES_Final,"Yes"),""))</f>
        <v/>
      </c>
      <c r="O35" s="17">
        <f>IF(OR($B35="",O$5=""),"",IFERROR(SUMIFS(nrES_Rec,nrES_PID,$B35,nrES_Code,O$5,nrES_Final,"Yes"),""))</f>
        <v/>
      </c>
      <c r="P35" s="17">
        <f>IF(OR($B35="",P$5=""),"",IFERROR(SUMIFS(nrES_Rec,nrES_PID,$B35,nrES_Code,P$5,nrES_Final,"Yes"),""))</f>
        <v/>
      </c>
      <c r="Q35" s="17">
        <f>IF(OR($B35="",Q$5=""),"",IFERROR(SUMIFS(nrES_Rec,nrES_PID,$B35,nrES_Code,Q$5,nrES_Final,"Yes"),""))</f>
        <v/>
      </c>
      <c r="R35" s="17">
        <f>IF(OR($B35="",R$5=""),"",IFERROR(SUMIFS(nrES_Rec,nrES_PID,$B35,nrES_Code,R$5,nrES_Final,"Yes"),""))</f>
        <v/>
      </c>
      <c r="S35" s="17">
        <f>IF(OR($B35="",S$5=""),"",IFERROR(SUMIFS(nrES_Rec,nrES_PID,$B35,nrES_Code,S$5,nrES_Final,"Yes"),""))</f>
        <v/>
      </c>
      <c r="T35" s="17">
        <f>IF(OR($B35="",T$5=""),"",IFERROR(SUMIFS(nrES_Rec,nrES_PID,$B35,nrES_Code,T$5,nrES_Final,"Yes"),""))</f>
        <v/>
      </c>
      <c r="U35" s="17">
        <f>IF(OR($B35="",U$5=""),"",IFERROR(SUMIFS(nrES_Rec,nrES_PID,$B35,nrES_Code,U$5,nrES_Final,"Yes"),""))</f>
        <v/>
      </c>
      <c r="V35" s="17">
        <f>IF(OR($B35="",V$5=""),"",IFERROR(SUMIFS(nrES_Rec,nrES_PID,$B35,nrES_Code,V$5,nrES_Final,"Yes"),""))</f>
        <v/>
      </c>
      <c r="W35" s="17">
        <f>IF(OR($B35="",W$5=""),"",IFERROR(SUMIFS(nrES_Rec,nrES_PID,$B35,nrES_Code,W$5,nrES_Final,"Yes"),""))</f>
        <v/>
      </c>
      <c r="X35" s="17">
        <f>IF(OR($B35="",X$5=""),"",IFERROR(SUMIFS(nrES_Rec,nrES_PID,$B35,nrES_Code,X$5,nrES_Final,"Yes"),""))</f>
        <v/>
      </c>
      <c r="Y35" s="17">
        <f>IF(OR($B35="",Y$5=""),"",IFERROR(SUMIFS(nrES_Rec,nrES_PID,$B35,nrES_Code,Y$5,nrES_Final,"Yes"),""))</f>
        <v/>
      </c>
      <c r="Z35" s="17">
        <f>IF(OR($B35="",Z$5=""),"",IFERROR(SUMIFS(nrES_Rec,nrES_PID,$B35,nrES_Code,Z$5,nrES_Final,"Yes"),""))</f>
        <v/>
      </c>
      <c r="AA35" s="17">
        <f>IF(OR($B35="",AA$5=""),"",IFERROR(SUMIFS(nrES_Rec,nrES_PID,$B35,nrES_Code,AA$5,nrES_Final,"Yes"),""))</f>
        <v/>
      </c>
      <c r="AB35" s="17">
        <f>IF(OR($B35="",AB$5=""),"",IFERROR(SUMIFS(nrES_Rec,nrES_PID,$B35,nrES_Code,AB$5,nrES_Final,"Yes"),""))</f>
        <v/>
      </c>
      <c r="AC35" s="17">
        <f>IF($B35="","",sysGrades!$M35)</f>
        <v/>
      </c>
      <c r="AD35" s="17">
        <f>IF($B35="","",IFERROR(sysGrades!$U35,""))</f>
        <v/>
      </c>
    </row>
    <row r="36">
      <c r="B36" s="17">
        <f>IF(Cadets!$B36="","",Cadets!$B36)</f>
        <v/>
      </c>
      <c r="C36" s="17">
        <f>IF($B36="","",Cadets!$F36)</f>
        <v/>
      </c>
      <c r="D36" s="17">
        <f>IF(OR($B36="",D$5=""),"",IFERROR(SUMIFS(nrES_Rec,nrES_PID,$B36,nrES_Code,D$5,nrES_Final,"Yes"),""))</f>
        <v/>
      </c>
      <c r="E36" s="17">
        <f>IF(OR($B36="",E$5=""),"",IFERROR(SUMIFS(nrES_Rec,nrES_PID,$B36,nrES_Code,E$5,nrES_Final,"Yes"),""))</f>
        <v/>
      </c>
      <c r="F36" s="17">
        <f>IF(OR($B36="",F$5=""),"",IFERROR(SUMIFS(nrES_Rec,nrES_PID,$B36,nrES_Code,F$5,nrES_Final,"Yes"),""))</f>
        <v/>
      </c>
      <c r="G36" s="17">
        <f>IF(OR($B36="",G$5=""),"",IFERROR(SUMIFS(nrES_Rec,nrES_PID,$B36,nrES_Code,G$5,nrES_Final,"Yes"),""))</f>
        <v/>
      </c>
      <c r="H36" s="17">
        <f>IF(OR($B36="",H$5=""),"",IFERROR(SUMIFS(nrES_Rec,nrES_PID,$B36,nrES_Code,H$5,nrES_Final,"Yes"),""))</f>
        <v/>
      </c>
      <c r="I36" s="17">
        <f>IF(OR($B36="",I$5=""),"",IFERROR(SUMIFS(nrES_Rec,nrES_PID,$B36,nrES_Code,I$5,nrES_Final,"Yes"),""))</f>
        <v/>
      </c>
      <c r="J36" s="17">
        <f>IF(OR($B36="",J$5=""),"",IFERROR(SUMIFS(nrES_Rec,nrES_PID,$B36,nrES_Code,J$5,nrES_Final,"Yes"),""))</f>
        <v/>
      </c>
      <c r="K36" s="17">
        <f>IF(OR($B36="",K$5=""),"",IFERROR(SUMIFS(nrES_Rec,nrES_PID,$B36,nrES_Code,K$5,nrES_Final,"Yes"),""))</f>
        <v/>
      </c>
      <c r="L36" s="17">
        <f>IF(OR($B36="",L$5=""),"",IFERROR(SUMIFS(nrES_Rec,nrES_PID,$B36,nrES_Code,L$5,nrES_Final,"Yes"),""))</f>
        <v/>
      </c>
      <c r="M36" s="17">
        <f>IF(OR($B36="",M$5=""),"",IFERROR(SUMIFS(nrES_Rec,nrES_PID,$B36,nrES_Code,M$5,nrES_Final,"Yes"),""))</f>
        <v/>
      </c>
      <c r="N36" s="17">
        <f>IF(OR($B36="",N$5=""),"",IFERROR(SUMIFS(nrES_Rec,nrES_PID,$B36,nrES_Code,N$5,nrES_Final,"Yes"),""))</f>
        <v/>
      </c>
      <c r="O36" s="17">
        <f>IF(OR($B36="",O$5=""),"",IFERROR(SUMIFS(nrES_Rec,nrES_PID,$B36,nrES_Code,O$5,nrES_Final,"Yes"),""))</f>
        <v/>
      </c>
      <c r="P36" s="17">
        <f>IF(OR($B36="",P$5=""),"",IFERROR(SUMIFS(nrES_Rec,nrES_PID,$B36,nrES_Code,P$5,nrES_Final,"Yes"),""))</f>
        <v/>
      </c>
      <c r="Q36" s="17">
        <f>IF(OR($B36="",Q$5=""),"",IFERROR(SUMIFS(nrES_Rec,nrES_PID,$B36,nrES_Code,Q$5,nrES_Final,"Yes"),""))</f>
        <v/>
      </c>
      <c r="R36" s="17">
        <f>IF(OR($B36="",R$5=""),"",IFERROR(SUMIFS(nrES_Rec,nrES_PID,$B36,nrES_Code,R$5,nrES_Final,"Yes"),""))</f>
        <v/>
      </c>
      <c r="S36" s="17">
        <f>IF(OR($B36="",S$5=""),"",IFERROR(SUMIFS(nrES_Rec,nrES_PID,$B36,nrES_Code,S$5,nrES_Final,"Yes"),""))</f>
        <v/>
      </c>
      <c r="T36" s="17">
        <f>IF(OR($B36="",T$5=""),"",IFERROR(SUMIFS(nrES_Rec,nrES_PID,$B36,nrES_Code,T$5,nrES_Final,"Yes"),""))</f>
        <v/>
      </c>
      <c r="U36" s="17">
        <f>IF(OR($B36="",U$5=""),"",IFERROR(SUMIFS(nrES_Rec,nrES_PID,$B36,nrES_Code,U$5,nrES_Final,"Yes"),""))</f>
        <v/>
      </c>
      <c r="V36" s="17">
        <f>IF(OR($B36="",V$5=""),"",IFERROR(SUMIFS(nrES_Rec,nrES_PID,$B36,nrES_Code,V$5,nrES_Final,"Yes"),""))</f>
        <v/>
      </c>
      <c r="W36" s="17">
        <f>IF(OR($B36="",W$5=""),"",IFERROR(SUMIFS(nrES_Rec,nrES_PID,$B36,nrES_Code,W$5,nrES_Final,"Yes"),""))</f>
        <v/>
      </c>
      <c r="X36" s="17">
        <f>IF(OR($B36="",X$5=""),"",IFERROR(SUMIFS(nrES_Rec,nrES_PID,$B36,nrES_Code,X$5,nrES_Final,"Yes"),""))</f>
        <v/>
      </c>
      <c r="Y36" s="17">
        <f>IF(OR($B36="",Y$5=""),"",IFERROR(SUMIFS(nrES_Rec,nrES_PID,$B36,nrES_Code,Y$5,nrES_Final,"Yes"),""))</f>
        <v/>
      </c>
      <c r="Z36" s="17">
        <f>IF(OR($B36="",Z$5=""),"",IFERROR(SUMIFS(nrES_Rec,nrES_PID,$B36,nrES_Code,Z$5,nrES_Final,"Yes"),""))</f>
        <v/>
      </c>
      <c r="AA36" s="17">
        <f>IF(OR($B36="",AA$5=""),"",IFERROR(SUMIFS(nrES_Rec,nrES_PID,$B36,nrES_Code,AA$5,nrES_Final,"Yes"),""))</f>
        <v/>
      </c>
      <c r="AB36" s="17">
        <f>IF(OR($B36="",AB$5=""),"",IFERROR(SUMIFS(nrES_Rec,nrES_PID,$B36,nrES_Code,AB$5,nrES_Final,"Yes"),""))</f>
        <v/>
      </c>
      <c r="AC36" s="17">
        <f>IF($B36="","",sysGrades!$M36)</f>
        <v/>
      </c>
      <c r="AD36" s="17">
        <f>IF($B36="","",IFERROR(sysGrades!$U36,""))</f>
        <v/>
      </c>
    </row>
    <row r="37">
      <c r="B37" s="17">
        <f>IF(Cadets!$B37="","",Cadets!$B37)</f>
        <v/>
      </c>
      <c r="C37" s="17">
        <f>IF($B37="","",Cadets!$F37)</f>
        <v/>
      </c>
      <c r="D37" s="17">
        <f>IF(OR($B37="",D$5=""),"",IFERROR(SUMIFS(nrES_Rec,nrES_PID,$B37,nrES_Code,D$5,nrES_Final,"Yes"),""))</f>
        <v/>
      </c>
      <c r="E37" s="17">
        <f>IF(OR($B37="",E$5=""),"",IFERROR(SUMIFS(nrES_Rec,nrES_PID,$B37,nrES_Code,E$5,nrES_Final,"Yes"),""))</f>
        <v/>
      </c>
      <c r="F37" s="17">
        <f>IF(OR($B37="",F$5=""),"",IFERROR(SUMIFS(nrES_Rec,nrES_PID,$B37,nrES_Code,F$5,nrES_Final,"Yes"),""))</f>
        <v/>
      </c>
      <c r="G37" s="17">
        <f>IF(OR($B37="",G$5=""),"",IFERROR(SUMIFS(nrES_Rec,nrES_PID,$B37,nrES_Code,G$5,nrES_Final,"Yes"),""))</f>
        <v/>
      </c>
      <c r="H37" s="17">
        <f>IF(OR($B37="",H$5=""),"",IFERROR(SUMIFS(nrES_Rec,nrES_PID,$B37,nrES_Code,H$5,nrES_Final,"Yes"),""))</f>
        <v/>
      </c>
      <c r="I37" s="17">
        <f>IF(OR($B37="",I$5=""),"",IFERROR(SUMIFS(nrES_Rec,nrES_PID,$B37,nrES_Code,I$5,nrES_Final,"Yes"),""))</f>
        <v/>
      </c>
      <c r="J37" s="17">
        <f>IF(OR($B37="",J$5=""),"",IFERROR(SUMIFS(nrES_Rec,nrES_PID,$B37,nrES_Code,J$5,nrES_Final,"Yes"),""))</f>
        <v/>
      </c>
      <c r="K37" s="17">
        <f>IF(OR($B37="",K$5=""),"",IFERROR(SUMIFS(nrES_Rec,nrES_PID,$B37,nrES_Code,K$5,nrES_Final,"Yes"),""))</f>
        <v/>
      </c>
      <c r="L37" s="17">
        <f>IF(OR($B37="",L$5=""),"",IFERROR(SUMIFS(nrES_Rec,nrES_PID,$B37,nrES_Code,L$5,nrES_Final,"Yes"),""))</f>
        <v/>
      </c>
      <c r="M37" s="17">
        <f>IF(OR($B37="",M$5=""),"",IFERROR(SUMIFS(nrES_Rec,nrES_PID,$B37,nrES_Code,M$5,nrES_Final,"Yes"),""))</f>
        <v/>
      </c>
      <c r="N37" s="17">
        <f>IF(OR($B37="",N$5=""),"",IFERROR(SUMIFS(nrES_Rec,nrES_PID,$B37,nrES_Code,N$5,nrES_Final,"Yes"),""))</f>
        <v/>
      </c>
      <c r="O37" s="17">
        <f>IF(OR($B37="",O$5=""),"",IFERROR(SUMIFS(nrES_Rec,nrES_PID,$B37,nrES_Code,O$5,nrES_Final,"Yes"),""))</f>
        <v/>
      </c>
      <c r="P37" s="17">
        <f>IF(OR($B37="",P$5=""),"",IFERROR(SUMIFS(nrES_Rec,nrES_PID,$B37,nrES_Code,P$5,nrES_Final,"Yes"),""))</f>
        <v/>
      </c>
      <c r="Q37" s="17">
        <f>IF(OR($B37="",Q$5=""),"",IFERROR(SUMIFS(nrES_Rec,nrES_PID,$B37,nrES_Code,Q$5,nrES_Final,"Yes"),""))</f>
        <v/>
      </c>
      <c r="R37" s="17">
        <f>IF(OR($B37="",R$5=""),"",IFERROR(SUMIFS(nrES_Rec,nrES_PID,$B37,nrES_Code,R$5,nrES_Final,"Yes"),""))</f>
        <v/>
      </c>
      <c r="S37" s="17">
        <f>IF(OR($B37="",S$5=""),"",IFERROR(SUMIFS(nrES_Rec,nrES_PID,$B37,nrES_Code,S$5,nrES_Final,"Yes"),""))</f>
        <v/>
      </c>
      <c r="T37" s="17">
        <f>IF(OR($B37="",T$5=""),"",IFERROR(SUMIFS(nrES_Rec,nrES_PID,$B37,nrES_Code,T$5,nrES_Final,"Yes"),""))</f>
        <v/>
      </c>
      <c r="U37" s="17">
        <f>IF(OR($B37="",U$5=""),"",IFERROR(SUMIFS(nrES_Rec,nrES_PID,$B37,nrES_Code,U$5,nrES_Final,"Yes"),""))</f>
        <v/>
      </c>
      <c r="V37" s="17">
        <f>IF(OR($B37="",V$5=""),"",IFERROR(SUMIFS(nrES_Rec,nrES_PID,$B37,nrES_Code,V$5,nrES_Final,"Yes"),""))</f>
        <v/>
      </c>
      <c r="W37" s="17">
        <f>IF(OR($B37="",W$5=""),"",IFERROR(SUMIFS(nrES_Rec,nrES_PID,$B37,nrES_Code,W$5,nrES_Final,"Yes"),""))</f>
        <v/>
      </c>
      <c r="X37" s="17">
        <f>IF(OR($B37="",X$5=""),"",IFERROR(SUMIFS(nrES_Rec,nrES_PID,$B37,nrES_Code,X$5,nrES_Final,"Yes"),""))</f>
        <v/>
      </c>
      <c r="Y37" s="17">
        <f>IF(OR($B37="",Y$5=""),"",IFERROR(SUMIFS(nrES_Rec,nrES_PID,$B37,nrES_Code,Y$5,nrES_Final,"Yes"),""))</f>
        <v/>
      </c>
      <c r="Z37" s="17">
        <f>IF(OR($B37="",Z$5=""),"",IFERROR(SUMIFS(nrES_Rec,nrES_PID,$B37,nrES_Code,Z$5,nrES_Final,"Yes"),""))</f>
        <v/>
      </c>
      <c r="AA37" s="17">
        <f>IF(OR($B37="",AA$5=""),"",IFERROR(SUMIFS(nrES_Rec,nrES_PID,$B37,nrES_Code,AA$5,nrES_Final,"Yes"),""))</f>
        <v/>
      </c>
      <c r="AB37" s="17">
        <f>IF(OR($B37="",AB$5=""),"",IFERROR(SUMIFS(nrES_Rec,nrES_PID,$B37,nrES_Code,AB$5,nrES_Final,"Yes"),""))</f>
        <v/>
      </c>
      <c r="AC37" s="17">
        <f>IF($B37="","",sysGrades!$M37)</f>
        <v/>
      </c>
      <c r="AD37" s="17">
        <f>IF($B37="","",IFERROR(sysGrades!$U37,""))</f>
        <v/>
      </c>
    </row>
    <row r="38">
      <c r="B38" s="17">
        <f>IF(Cadets!$B38="","",Cadets!$B38)</f>
        <v/>
      </c>
      <c r="C38" s="17">
        <f>IF($B38="","",Cadets!$F38)</f>
        <v/>
      </c>
      <c r="D38" s="17">
        <f>IF(OR($B38="",D$5=""),"",IFERROR(SUMIFS(nrES_Rec,nrES_PID,$B38,nrES_Code,D$5,nrES_Final,"Yes"),""))</f>
        <v/>
      </c>
      <c r="E38" s="17">
        <f>IF(OR($B38="",E$5=""),"",IFERROR(SUMIFS(nrES_Rec,nrES_PID,$B38,nrES_Code,E$5,nrES_Final,"Yes"),""))</f>
        <v/>
      </c>
      <c r="F38" s="17">
        <f>IF(OR($B38="",F$5=""),"",IFERROR(SUMIFS(nrES_Rec,nrES_PID,$B38,nrES_Code,F$5,nrES_Final,"Yes"),""))</f>
        <v/>
      </c>
      <c r="G38" s="17">
        <f>IF(OR($B38="",G$5=""),"",IFERROR(SUMIFS(nrES_Rec,nrES_PID,$B38,nrES_Code,G$5,nrES_Final,"Yes"),""))</f>
        <v/>
      </c>
      <c r="H38" s="17">
        <f>IF(OR($B38="",H$5=""),"",IFERROR(SUMIFS(nrES_Rec,nrES_PID,$B38,nrES_Code,H$5,nrES_Final,"Yes"),""))</f>
        <v/>
      </c>
      <c r="I38" s="17">
        <f>IF(OR($B38="",I$5=""),"",IFERROR(SUMIFS(nrES_Rec,nrES_PID,$B38,nrES_Code,I$5,nrES_Final,"Yes"),""))</f>
        <v/>
      </c>
      <c r="J38" s="17">
        <f>IF(OR($B38="",J$5=""),"",IFERROR(SUMIFS(nrES_Rec,nrES_PID,$B38,nrES_Code,J$5,nrES_Final,"Yes"),""))</f>
        <v/>
      </c>
      <c r="K38" s="17">
        <f>IF(OR($B38="",K$5=""),"",IFERROR(SUMIFS(nrES_Rec,nrES_PID,$B38,nrES_Code,K$5,nrES_Final,"Yes"),""))</f>
        <v/>
      </c>
      <c r="L38" s="17">
        <f>IF(OR($B38="",L$5=""),"",IFERROR(SUMIFS(nrES_Rec,nrES_PID,$B38,nrES_Code,L$5,nrES_Final,"Yes"),""))</f>
        <v/>
      </c>
      <c r="M38" s="17">
        <f>IF(OR($B38="",M$5=""),"",IFERROR(SUMIFS(nrES_Rec,nrES_PID,$B38,nrES_Code,M$5,nrES_Final,"Yes"),""))</f>
        <v/>
      </c>
      <c r="N38" s="17">
        <f>IF(OR($B38="",N$5=""),"",IFERROR(SUMIFS(nrES_Rec,nrES_PID,$B38,nrES_Code,N$5,nrES_Final,"Yes"),""))</f>
        <v/>
      </c>
      <c r="O38" s="17">
        <f>IF(OR($B38="",O$5=""),"",IFERROR(SUMIFS(nrES_Rec,nrES_PID,$B38,nrES_Code,O$5,nrES_Final,"Yes"),""))</f>
        <v/>
      </c>
      <c r="P38" s="17">
        <f>IF(OR($B38="",P$5=""),"",IFERROR(SUMIFS(nrES_Rec,nrES_PID,$B38,nrES_Code,P$5,nrES_Final,"Yes"),""))</f>
        <v/>
      </c>
      <c r="Q38" s="17">
        <f>IF(OR($B38="",Q$5=""),"",IFERROR(SUMIFS(nrES_Rec,nrES_PID,$B38,nrES_Code,Q$5,nrES_Final,"Yes"),""))</f>
        <v/>
      </c>
      <c r="R38" s="17">
        <f>IF(OR($B38="",R$5=""),"",IFERROR(SUMIFS(nrES_Rec,nrES_PID,$B38,nrES_Code,R$5,nrES_Final,"Yes"),""))</f>
        <v/>
      </c>
      <c r="S38" s="17">
        <f>IF(OR($B38="",S$5=""),"",IFERROR(SUMIFS(nrES_Rec,nrES_PID,$B38,nrES_Code,S$5,nrES_Final,"Yes"),""))</f>
        <v/>
      </c>
      <c r="T38" s="17">
        <f>IF(OR($B38="",T$5=""),"",IFERROR(SUMIFS(nrES_Rec,nrES_PID,$B38,nrES_Code,T$5,nrES_Final,"Yes"),""))</f>
        <v/>
      </c>
      <c r="U38" s="17">
        <f>IF(OR($B38="",U$5=""),"",IFERROR(SUMIFS(nrES_Rec,nrES_PID,$B38,nrES_Code,U$5,nrES_Final,"Yes"),""))</f>
        <v/>
      </c>
      <c r="V38" s="17">
        <f>IF(OR($B38="",V$5=""),"",IFERROR(SUMIFS(nrES_Rec,nrES_PID,$B38,nrES_Code,V$5,nrES_Final,"Yes"),""))</f>
        <v/>
      </c>
      <c r="W38" s="17">
        <f>IF(OR($B38="",W$5=""),"",IFERROR(SUMIFS(nrES_Rec,nrES_PID,$B38,nrES_Code,W$5,nrES_Final,"Yes"),""))</f>
        <v/>
      </c>
      <c r="X38" s="17">
        <f>IF(OR($B38="",X$5=""),"",IFERROR(SUMIFS(nrES_Rec,nrES_PID,$B38,nrES_Code,X$5,nrES_Final,"Yes"),""))</f>
        <v/>
      </c>
      <c r="Y38" s="17">
        <f>IF(OR($B38="",Y$5=""),"",IFERROR(SUMIFS(nrES_Rec,nrES_PID,$B38,nrES_Code,Y$5,nrES_Final,"Yes"),""))</f>
        <v/>
      </c>
      <c r="Z38" s="17">
        <f>IF(OR($B38="",Z$5=""),"",IFERROR(SUMIFS(nrES_Rec,nrES_PID,$B38,nrES_Code,Z$5,nrES_Final,"Yes"),""))</f>
        <v/>
      </c>
      <c r="AA38" s="17">
        <f>IF(OR($B38="",AA$5=""),"",IFERROR(SUMIFS(nrES_Rec,nrES_PID,$B38,nrES_Code,AA$5,nrES_Final,"Yes"),""))</f>
        <v/>
      </c>
      <c r="AB38" s="17">
        <f>IF(OR($B38="",AB$5=""),"",IFERROR(SUMIFS(nrES_Rec,nrES_PID,$B38,nrES_Code,AB$5,nrES_Final,"Yes"),""))</f>
        <v/>
      </c>
      <c r="AC38" s="17">
        <f>IF($B38="","",sysGrades!$M38)</f>
        <v/>
      </c>
      <c r="AD38" s="17">
        <f>IF($B38="","",IFERROR(sysGrades!$U38,""))</f>
        <v/>
      </c>
    </row>
    <row r="39">
      <c r="B39" s="17">
        <f>IF(Cadets!$B39="","",Cadets!$B39)</f>
        <v/>
      </c>
      <c r="C39" s="17">
        <f>IF($B39="","",Cadets!$F39)</f>
        <v/>
      </c>
      <c r="D39" s="17">
        <f>IF(OR($B39="",D$5=""),"",IFERROR(SUMIFS(nrES_Rec,nrES_PID,$B39,nrES_Code,D$5,nrES_Final,"Yes"),""))</f>
        <v/>
      </c>
      <c r="E39" s="17">
        <f>IF(OR($B39="",E$5=""),"",IFERROR(SUMIFS(nrES_Rec,nrES_PID,$B39,nrES_Code,E$5,nrES_Final,"Yes"),""))</f>
        <v/>
      </c>
      <c r="F39" s="17">
        <f>IF(OR($B39="",F$5=""),"",IFERROR(SUMIFS(nrES_Rec,nrES_PID,$B39,nrES_Code,F$5,nrES_Final,"Yes"),""))</f>
        <v/>
      </c>
      <c r="G39" s="17">
        <f>IF(OR($B39="",G$5=""),"",IFERROR(SUMIFS(nrES_Rec,nrES_PID,$B39,nrES_Code,G$5,nrES_Final,"Yes"),""))</f>
        <v/>
      </c>
      <c r="H39" s="17">
        <f>IF(OR($B39="",H$5=""),"",IFERROR(SUMIFS(nrES_Rec,nrES_PID,$B39,nrES_Code,H$5,nrES_Final,"Yes"),""))</f>
        <v/>
      </c>
      <c r="I39" s="17">
        <f>IF(OR($B39="",I$5=""),"",IFERROR(SUMIFS(nrES_Rec,nrES_PID,$B39,nrES_Code,I$5,nrES_Final,"Yes"),""))</f>
        <v/>
      </c>
      <c r="J39" s="17">
        <f>IF(OR($B39="",J$5=""),"",IFERROR(SUMIFS(nrES_Rec,nrES_PID,$B39,nrES_Code,J$5,nrES_Final,"Yes"),""))</f>
        <v/>
      </c>
      <c r="K39" s="17">
        <f>IF(OR($B39="",K$5=""),"",IFERROR(SUMIFS(nrES_Rec,nrES_PID,$B39,nrES_Code,K$5,nrES_Final,"Yes"),""))</f>
        <v/>
      </c>
      <c r="L39" s="17">
        <f>IF(OR($B39="",L$5=""),"",IFERROR(SUMIFS(nrES_Rec,nrES_PID,$B39,nrES_Code,L$5,nrES_Final,"Yes"),""))</f>
        <v/>
      </c>
      <c r="M39" s="17">
        <f>IF(OR($B39="",M$5=""),"",IFERROR(SUMIFS(nrES_Rec,nrES_PID,$B39,nrES_Code,M$5,nrES_Final,"Yes"),""))</f>
        <v/>
      </c>
      <c r="N39" s="17">
        <f>IF(OR($B39="",N$5=""),"",IFERROR(SUMIFS(nrES_Rec,nrES_PID,$B39,nrES_Code,N$5,nrES_Final,"Yes"),""))</f>
        <v/>
      </c>
      <c r="O39" s="17">
        <f>IF(OR($B39="",O$5=""),"",IFERROR(SUMIFS(nrES_Rec,nrES_PID,$B39,nrES_Code,O$5,nrES_Final,"Yes"),""))</f>
        <v/>
      </c>
      <c r="P39" s="17">
        <f>IF(OR($B39="",P$5=""),"",IFERROR(SUMIFS(nrES_Rec,nrES_PID,$B39,nrES_Code,P$5,nrES_Final,"Yes"),""))</f>
        <v/>
      </c>
      <c r="Q39" s="17">
        <f>IF(OR($B39="",Q$5=""),"",IFERROR(SUMIFS(nrES_Rec,nrES_PID,$B39,nrES_Code,Q$5,nrES_Final,"Yes"),""))</f>
        <v/>
      </c>
      <c r="R39" s="17">
        <f>IF(OR($B39="",R$5=""),"",IFERROR(SUMIFS(nrES_Rec,nrES_PID,$B39,nrES_Code,R$5,nrES_Final,"Yes"),""))</f>
        <v/>
      </c>
      <c r="S39" s="17">
        <f>IF(OR($B39="",S$5=""),"",IFERROR(SUMIFS(nrES_Rec,nrES_PID,$B39,nrES_Code,S$5,nrES_Final,"Yes"),""))</f>
        <v/>
      </c>
      <c r="T39" s="17">
        <f>IF(OR($B39="",T$5=""),"",IFERROR(SUMIFS(nrES_Rec,nrES_PID,$B39,nrES_Code,T$5,nrES_Final,"Yes"),""))</f>
        <v/>
      </c>
      <c r="U39" s="17">
        <f>IF(OR($B39="",U$5=""),"",IFERROR(SUMIFS(nrES_Rec,nrES_PID,$B39,nrES_Code,U$5,nrES_Final,"Yes"),""))</f>
        <v/>
      </c>
      <c r="V39" s="17">
        <f>IF(OR($B39="",V$5=""),"",IFERROR(SUMIFS(nrES_Rec,nrES_PID,$B39,nrES_Code,V$5,nrES_Final,"Yes"),""))</f>
        <v/>
      </c>
      <c r="W39" s="17">
        <f>IF(OR($B39="",W$5=""),"",IFERROR(SUMIFS(nrES_Rec,nrES_PID,$B39,nrES_Code,W$5,nrES_Final,"Yes"),""))</f>
        <v/>
      </c>
      <c r="X39" s="17">
        <f>IF(OR($B39="",X$5=""),"",IFERROR(SUMIFS(nrES_Rec,nrES_PID,$B39,nrES_Code,X$5,nrES_Final,"Yes"),""))</f>
        <v/>
      </c>
      <c r="Y39" s="17">
        <f>IF(OR($B39="",Y$5=""),"",IFERROR(SUMIFS(nrES_Rec,nrES_PID,$B39,nrES_Code,Y$5,nrES_Final,"Yes"),""))</f>
        <v/>
      </c>
      <c r="Z39" s="17">
        <f>IF(OR($B39="",Z$5=""),"",IFERROR(SUMIFS(nrES_Rec,nrES_PID,$B39,nrES_Code,Z$5,nrES_Final,"Yes"),""))</f>
        <v/>
      </c>
      <c r="AA39" s="17">
        <f>IF(OR($B39="",AA$5=""),"",IFERROR(SUMIFS(nrES_Rec,nrES_PID,$B39,nrES_Code,AA$5,nrES_Final,"Yes"),""))</f>
        <v/>
      </c>
      <c r="AB39" s="17">
        <f>IF(OR($B39="",AB$5=""),"",IFERROR(SUMIFS(nrES_Rec,nrES_PID,$B39,nrES_Code,AB$5,nrES_Final,"Yes"),""))</f>
        <v/>
      </c>
      <c r="AC39" s="17">
        <f>IF($B39="","",sysGrades!$M39)</f>
        <v/>
      </c>
      <c r="AD39" s="17">
        <f>IF($B39="","",IFERROR(sysGrades!$U39,""))</f>
        <v/>
      </c>
    </row>
    <row r="40">
      <c r="B40" s="17">
        <f>IF(Cadets!$B40="","",Cadets!$B40)</f>
        <v/>
      </c>
      <c r="C40" s="17">
        <f>IF($B40="","",Cadets!$F40)</f>
        <v/>
      </c>
      <c r="D40" s="17">
        <f>IF(OR($B40="",D$5=""),"",IFERROR(SUMIFS(nrES_Rec,nrES_PID,$B40,nrES_Code,D$5,nrES_Final,"Yes"),""))</f>
        <v/>
      </c>
      <c r="E40" s="17">
        <f>IF(OR($B40="",E$5=""),"",IFERROR(SUMIFS(nrES_Rec,nrES_PID,$B40,nrES_Code,E$5,nrES_Final,"Yes"),""))</f>
        <v/>
      </c>
      <c r="F40" s="17">
        <f>IF(OR($B40="",F$5=""),"",IFERROR(SUMIFS(nrES_Rec,nrES_PID,$B40,nrES_Code,F$5,nrES_Final,"Yes"),""))</f>
        <v/>
      </c>
      <c r="G40" s="17">
        <f>IF(OR($B40="",G$5=""),"",IFERROR(SUMIFS(nrES_Rec,nrES_PID,$B40,nrES_Code,G$5,nrES_Final,"Yes"),""))</f>
        <v/>
      </c>
      <c r="H40" s="17">
        <f>IF(OR($B40="",H$5=""),"",IFERROR(SUMIFS(nrES_Rec,nrES_PID,$B40,nrES_Code,H$5,nrES_Final,"Yes"),""))</f>
        <v/>
      </c>
      <c r="I40" s="17">
        <f>IF(OR($B40="",I$5=""),"",IFERROR(SUMIFS(nrES_Rec,nrES_PID,$B40,nrES_Code,I$5,nrES_Final,"Yes"),""))</f>
        <v/>
      </c>
      <c r="J40" s="17">
        <f>IF(OR($B40="",J$5=""),"",IFERROR(SUMIFS(nrES_Rec,nrES_PID,$B40,nrES_Code,J$5,nrES_Final,"Yes"),""))</f>
        <v/>
      </c>
      <c r="K40" s="17">
        <f>IF(OR($B40="",K$5=""),"",IFERROR(SUMIFS(nrES_Rec,nrES_PID,$B40,nrES_Code,K$5,nrES_Final,"Yes"),""))</f>
        <v/>
      </c>
      <c r="L40" s="17">
        <f>IF(OR($B40="",L$5=""),"",IFERROR(SUMIFS(nrES_Rec,nrES_PID,$B40,nrES_Code,L$5,nrES_Final,"Yes"),""))</f>
        <v/>
      </c>
      <c r="M40" s="17">
        <f>IF(OR($B40="",M$5=""),"",IFERROR(SUMIFS(nrES_Rec,nrES_PID,$B40,nrES_Code,M$5,nrES_Final,"Yes"),""))</f>
        <v/>
      </c>
      <c r="N40" s="17">
        <f>IF(OR($B40="",N$5=""),"",IFERROR(SUMIFS(nrES_Rec,nrES_PID,$B40,nrES_Code,N$5,nrES_Final,"Yes"),""))</f>
        <v/>
      </c>
      <c r="O40" s="17">
        <f>IF(OR($B40="",O$5=""),"",IFERROR(SUMIFS(nrES_Rec,nrES_PID,$B40,nrES_Code,O$5,nrES_Final,"Yes"),""))</f>
        <v/>
      </c>
      <c r="P40" s="17">
        <f>IF(OR($B40="",P$5=""),"",IFERROR(SUMIFS(nrES_Rec,nrES_PID,$B40,nrES_Code,P$5,nrES_Final,"Yes"),""))</f>
        <v/>
      </c>
      <c r="Q40" s="17">
        <f>IF(OR($B40="",Q$5=""),"",IFERROR(SUMIFS(nrES_Rec,nrES_PID,$B40,nrES_Code,Q$5,nrES_Final,"Yes"),""))</f>
        <v/>
      </c>
      <c r="R40" s="17">
        <f>IF(OR($B40="",R$5=""),"",IFERROR(SUMIFS(nrES_Rec,nrES_PID,$B40,nrES_Code,R$5,nrES_Final,"Yes"),""))</f>
        <v/>
      </c>
      <c r="S40" s="17">
        <f>IF(OR($B40="",S$5=""),"",IFERROR(SUMIFS(nrES_Rec,nrES_PID,$B40,nrES_Code,S$5,nrES_Final,"Yes"),""))</f>
        <v/>
      </c>
      <c r="T40" s="17">
        <f>IF(OR($B40="",T$5=""),"",IFERROR(SUMIFS(nrES_Rec,nrES_PID,$B40,nrES_Code,T$5,nrES_Final,"Yes"),""))</f>
        <v/>
      </c>
      <c r="U40" s="17">
        <f>IF(OR($B40="",U$5=""),"",IFERROR(SUMIFS(nrES_Rec,nrES_PID,$B40,nrES_Code,U$5,nrES_Final,"Yes"),""))</f>
        <v/>
      </c>
      <c r="V40" s="17">
        <f>IF(OR($B40="",V$5=""),"",IFERROR(SUMIFS(nrES_Rec,nrES_PID,$B40,nrES_Code,V$5,nrES_Final,"Yes"),""))</f>
        <v/>
      </c>
      <c r="W40" s="17">
        <f>IF(OR($B40="",W$5=""),"",IFERROR(SUMIFS(nrES_Rec,nrES_PID,$B40,nrES_Code,W$5,nrES_Final,"Yes"),""))</f>
        <v/>
      </c>
      <c r="X40" s="17">
        <f>IF(OR($B40="",X$5=""),"",IFERROR(SUMIFS(nrES_Rec,nrES_PID,$B40,nrES_Code,X$5,nrES_Final,"Yes"),""))</f>
        <v/>
      </c>
      <c r="Y40" s="17">
        <f>IF(OR($B40="",Y$5=""),"",IFERROR(SUMIFS(nrES_Rec,nrES_PID,$B40,nrES_Code,Y$5,nrES_Final,"Yes"),""))</f>
        <v/>
      </c>
      <c r="Z40" s="17">
        <f>IF(OR($B40="",Z$5=""),"",IFERROR(SUMIFS(nrES_Rec,nrES_PID,$B40,nrES_Code,Z$5,nrES_Final,"Yes"),""))</f>
        <v/>
      </c>
      <c r="AA40" s="17">
        <f>IF(OR($B40="",AA$5=""),"",IFERROR(SUMIFS(nrES_Rec,nrES_PID,$B40,nrES_Code,AA$5,nrES_Final,"Yes"),""))</f>
        <v/>
      </c>
      <c r="AB40" s="17">
        <f>IF(OR($B40="",AB$5=""),"",IFERROR(SUMIFS(nrES_Rec,nrES_PID,$B40,nrES_Code,AB$5,nrES_Final,"Yes"),""))</f>
        <v/>
      </c>
      <c r="AC40" s="17">
        <f>IF($B40="","",sysGrades!$M40)</f>
        <v/>
      </c>
      <c r="AD40" s="17">
        <f>IF($B40="","",IFERROR(sysGrades!$U40,""))</f>
        <v/>
      </c>
    </row>
    <row r="41">
      <c r="B41" s="17">
        <f>IF(Cadets!$B41="","",Cadets!$B41)</f>
        <v/>
      </c>
      <c r="C41" s="17">
        <f>IF($B41="","",Cadets!$F41)</f>
        <v/>
      </c>
      <c r="D41" s="17">
        <f>IF(OR($B41="",D$5=""),"",IFERROR(SUMIFS(nrES_Rec,nrES_PID,$B41,nrES_Code,D$5,nrES_Final,"Yes"),""))</f>
        <v/>
      </c>
      <c r="E41" s="17">
        <f>IF(OR($B41="",E$5=""),"",IFERROR(SUMIFS(nrES_Rec,nrES_PID,$B41,nrES_Code,E$5,nrES_Final,"Yes"),""))</f>
        <v/>
      </c>
      <c r="F41" s="17">
        <f>IF(OR($B41="",F$5=""),"",IFERROR(SUMIFS(nrES_Rec,nrES_PID,$B41,nrES_Code,F$5,nrES_Final,"Yes"),""))</f>
        <v/>
      </c>
      <c r="G41" s="17">
        <f>IF(OR($B41="",G$5=""),"",IFERROR(SUMIFS(nrES_Rec,nrES_PID,$B41,nrES_Code,G$5,nrES_Final,"Yes"),""))</f>
        <v/>
      </c>
      <c r="H41" s="17">
        <f>IF(OR($B41="",H$5=""),"",IFERROR(SUMIFS(nrES_Rec,nrES_PID,$B41,nrES_Code,H$5,nrES_Final,"Yes"),""))</f>
        <v/>
      </c>
      <c r="I41" s="17">
        <f>IF(OR($B41="",I$5=""),"",IFERROR(SUMIFS(nrES_Rec,nrES_PID,$B41,nrES_Code,I$5,nrES_Final,"Yes"),""))</f>
        <v/>
      </c>
      <c r="J41" s="17">
        <f>IF(OR($B41="",J$5=""),"",IFERROR(SUMIFS(nrES_Rec,nrES_PID,$B41,nrES_Code,J$5,nrES_Final,"Yes"),""))</f>
        <v/>
      </c>
      <c r="K41" s="17">
        <f>IF(OR($B41="",K$5=""),"",IFERROR(SUMIFS(nrES_Rec,nrES_PID,$B41,nrES_Code,K$5,nrES_Final,"Yes"),""))</f>
        <v/>
      </c>
      <c r="L41" s="17">
        <f>IF(OR($B41="",L$5=""),"",IFERROR(SUMIFS(nrES_Rec,nrES_PID,$B41,nrES_Code,L$5,nrES_Final,"Yes"),""))</f>
        <v/>
      </c>
      <c r="M41" s="17">
        <f>IF(OR($B41="",M$5=""),"",IFERROR(SUMIFS(nrES_Rec,nrES_PID,$B41,nrES_Code,M$5,nrES_Final,"Yes"),""))</f>
        <v/>
      </c>
      <c r="N41" s="17">
        <f>IF(OR($B41="",N$5=""),"",IFERROR(SUMIFS(nrES_Rec,nrES_PID,$B41,nrES_Code,N$5,nrES_Final,"Yes"),""))</f>
        <v/>
      </c>
      <c r="O41" s="17">
        <f>IF(OR($B41="",O$5=""),"",IFERROR(SUMIFS(nrES_Rec,nrES_PID,$B41,nrES_Code,O$5,nrES_Final,"Yes"),""))</f>
        <v/>
      </c>
      <c r="P41" s="17">
        <f>IF(OR($B41="",P$5=""),"",IFERROR(SUMIFS(nrES_Rec,nrES_PID,$B41,nrES_Code,P$5,nrES_Final,"Yes"),""))</f>
        <v/>
      </c>
      <c r="Q41" s="17">
        <f>IF(OR($B41="",Q$5=""),"",IFERROR(SUMIFS(nrES_Rec,nrES_PID,$B41,nrES_Code,Q$5,nrES_Final,"Yes"),""))</f>
        <v/>
      </c>
      <c r="R41" s="17">
        <f>IF(OR($B41="",R$5=""),"",IFERROR(SUMIFS(nrES_Rec,nrES_PID,$B41,nrES_Code,R$5,nrES_Final,"Yes"),""))</f>
        <v/>
      </c>
      <c r="S41" s="17">
        <f>IF(OR($B41="",S$5=""),"",IFERROR(SUMIFS(nrES_Rec,nrES_PID,$B41,nrES_Code,S$5,nrES_Final,"Yes"),""))</f>
        <v/>
      </c>
      <c r="T41" s="17">
        <f>IF(OR($B41="",T$5=""),"",IFERROR(SUMIFS(nrES_Rec,nrES_PID,$B41,nrES_Code,T$5,nrES_Final,"Yes"),""))</f>
        <v/>
      </c>
      <c r="U41" s="17">
        <f>IF(OR($B41="",U$5=""),"",IFERROR(SUMIFS(nrES_Rec,nrES_PID,$B41,nrES_Code,U$5,nrES_Final,"Yes"),""))</f>
        <v/>
      </c>
      <c r="V41" s="17">
        <f>IF(OR($B41="",V$5=""),"",IFERROR(SUMIFS(nrES_Rec,nrES_PID,$B41,nrES_Code,V$5,nrES_Final,"Yes"),""))</f>
        <v/>
      </c>
      <c r="W41" s="17">
        <f>IF(OR($B41="",W$5=""),"",IFERROR(SUMIFS(nrES_Rec,nrES_PID,$B41,nrES_Code,W$5,nrES_Final,"Yes"),""))</f>
        <v/>
      </c>
      <c r="X41" s="17">
        <f>IF(OR($B41="",X$5=""),"",IFERROR(SUMIFS(nrES_Rec,nrES_PID,$B41,nrES_Code,X$5,nrES_Final,"Yes"),""))</f>
        <v/>
      </c>
      <c r="Y41" s="17">
        <f>IF(OR($B41="",Y$5=""),"",IFERROR(SUMIFS(nrES_Rec,nrES_PID,$B41,nrES_Code,Y$5,nrES_Final,"Yes"),""))</f>
        <v/>
      </c>
      <c r="Z41" s="17">
        <f>IF(OR($B41="",Z$5=""),"",IFERROR(SUMIFS(nrES_Rec,nrES_PID,$B41,nrES_Code,Z$5,nrES_Final,"Yes"),""))</f>
        <v/>
      </c>
      <c r="AA41" s="17">
        <f>IF(OR($B41="",AA$5=""),"",IFERROR(SUMIFS(nrES_Rec,nrES_PID,$B41,nrES_Code,AA$5,nrES_Final,"Yes"),""))</f>
        <v/>
      </c>
      <c r="AB41" s="17">
        <f>IF(OR($B41="",AB$5=""),"",IFERROR(SUMIFS(nrES_Rec,nrES_PID,$B41,nrES_Code,AB$5,nrES_Final,"Yes"),""))</f>
        <v/>
      </c>
      <c r="AC41" s="17">
        <f>IF($B41="","",sysGrades!$M41)</f>
        <v/>
      </c>
      <c r="AD41" s="17">
        <f>IF($B41="","",IFERROR(sysGrades!$U41,""))</f>
        <v/>
      </c>
    </row>
    <row r="42">
      <c r="B42" s="17">
        <f>IF(Cadets!$B42="","",Cadets!$B42)</f>
        <v/>
      </c>
      <c r="C42" s="17">
        <f>IF($B42="","",Cadets!$F42)</f>
        <v/>
      </c>
      <c r="D42" s="17">
        <f>IF(OR($B42="",D$5=""),"",IFERROR(SUMIFS(nrES_Rec,nrES_PID,$B42,nrES_Code,D$5,nrES_Final,"Yes"),""))</f>
        <v/>
      </c>
      <c r="E42" s="17">
        <f>IF(OR($B42="",E$5=""),"",IFERROR(SUMIFS(nrES_Rec,nrES_PID,$B42,nrES_Code,E$5,nrES_Final,"Yes"),""))</f>
        <v/>
      </c>
      <c r="F42" s="17">
        <f>IF(OR($B42="",F$5=""),"",IFERROR(SUMIFS(nrES_Rec,nrES_PID,$B42,nrES_Code,F$5,nrES_Final,"Yes"),""))</f>
        <v/>
      </c>
      <c r="G42" s="17">
        <f>IF(OR($B42="",G$5=""),"",IFERROR(SUMIFS(nrES_Rec,nrES_PID,$B42,nrES_Code,G$5,nrES_Final,"Yes"),""))</f>
        <v/>
      </c>
      <c r="H42" s="17">
        <f>IF(OR($B42="",H$5=""),"",IFERROR(SUMIFS(nrES_Rec,nrES_PID,$B42,nrES_Code,H$5,nrES_Final,"Yes"),""))</f>
        <v/>
      </c>
      <c r="I42" s="17">
        <f>IF(OR($B42="",I$5=""),"",IFERROR(SUMIFS(nrES_Rec,nrES_PID,$B42,nrES_Code,I$5,nrES_Final,"Yes"),""))</f>
        <v/>
      </c>
      <c r="J42" s="17">
        <f>IF(OR($B42="",J$5=""),"",IFERROR(SUMIFS(nrES_Rec,nrES_PID,$B42,nrES_Code,J$5,nrES_Final,"Yes"),""))</f>
        <v/>
      </c>
      <c r="K42" s="17">
        <f>IF(OR($B42="",K$5=""),"",IFERROR(SUMIFS(nrES_Rec,nrES_PID,$B42,nrES_Code,K$5,nrES_Final,"Yes"),""))</f>
        <v/>
      </c>
      <c r="L42" s="17">
        <f>IF(OR($B42="",L$5=""),"",IFERROR(SUMIFS(nrES_Rec,nrES_PID,$B42,nrES_Code,L$5,nrES_Final,"Yes"),""))</f>
        <v/>
      </c>
      <c r="M42" s="17">
        <f>IF(OR($B42="",M$5=""),"",IFERROR(SUMIFS(nrES_Rec,nrES_PID,$B42,nrES_Code,M$5,nrES_Final,"Yes"),""))</f>
        <v/>
      </c>
      <c r="N42" s="17">
        <f>IF(OR($B42="",N$5=""),"",IFERROR(SUMIFS(nrES_Rec,nrES_PID,$B42,nrES_Code,N$5,nrES_Final,"Yes"),""))</f>
        <v/>
      </c>
      <c r="O42" s="17">
        <f>IF(OR($B42="",O$5=""),"",IFERROR(SUMIFS(nrES_Rec,nrES_PID,$B42,nrES_Code,O$5,nrES_Final,"Yes"),""))</f>
        <v/>
      </c>
      <c r="P42" s="17">
        <f>IF(OR($B42="",P$5=""),"",IFERROR(SUMIFS(nrES_Rec,nrES_PID,$B42,nrES_Code,P$5,nrES_Final,"Yes"),""))</f>
        <v/>
      </c>
      <c r="Q42" s="17">
        <f>IF(OR($B42="",Q$5=""),"",IFERROR(SUMIFS(nrES_Rec,nrES_PID,$B42,nrES_Code,Q$5,nrES_Final,"Yes"),""))</f>
        <v/>
      </c>
      <c r="R42" s="17">
        <f>IF(OR($B42="",R$5=""),"",IFERROR(SUMIFS(nrES_Rec,nrES_PID,$B42,nrES_Code,R$5,nrES_Final,"Yes"),""))</f>
        <v/>
      </c>
      <c r="S42" s="17">
        <f>IF(OR($B42="",S$5=""),"",IFERROR(SUMIFS(nrES_Rec,nrES_PID,$B42,nrES_Code,S$5,nrES_Final,"Yes"),""))</f>
        <v/>
      </c>
      <c r="T42" s="17">
        <f>IF(OR($B42="",T$5=""),"",IFERROR(SUMIFS(nrES_Rec,nrES_PID,$B42,nrES_Code,T$5,nrES_Final,"Yes"),""))</f>
        <v/>
      </c>
      <c r="U42" s="17">
        <f>IF(OR($B42="",U$5=""),"",IFERROR(SUMIFS(nrES_Rec,nrES_PID,$B42,nrES_Code,U$5,nrES_Final,"Yes"),""))</f>
        <v/>
      </c>
      <c r="V42" s="17">
        <f>IF(OR($B42="",V$5=""),"",IFERROR(SUMIFS(nrES_Rec,nrES_PID,$B42,nrES_Code,V$5,nrES_Final,"Yes"),""))</f>
        <v/>
      </c>
      <c r="W42" s="17">
        <f>IF(OR($B42="",W$5=""),"",IFERROR(SUMIFS(nrES_Rec,nrES_PID,$B42,nrES_Code,W$5,nrES_Final,"Yes"),""))</f>
        <v/>
      </c>
      <c r="X42" s="17">
        <f>IF(OR($B42="",X$5=""),"",IFERROR(SUMIFS(nrES_Rec,nrES_PID,$B42,nrES_Code,X$5,nrES_Final,"Yes"),""))</f>
        <v/>
      </c>
      <c r="Y42" s="17">
        <f>IF(OR($B42="",Y$5=""),"",IFERROR(SUMIFS(nrES_Rec,nrES_PID,$B42,nrES_Code,Y$5,nrES_Final,"Yes"),""))</f>
        <v/>
      </c>
      <c r="Z42" s="17">
        <f>IF(OR($B42="",Z$5=""),"",IFERROR(SUMIFS(nrES_Rec,nrES_PID,$B42,nrES_Code,Z$5,nrES_Final,"Yes"),""))</f>
        <v/>
      </c>
      <c r="AA42" s="17">
        <f>IF(OR($B42="",AA$5=""),"",IFERROR(SUMIFS(nrES_Rec,nrES_PID,$B42,nrES_Code,AA$5,nrES_Final,"Yes"),""))</f>
        <v/>
      </c>
      <c r="AB42" s="17">
        <f>IF(OR($B42="",AB$5=""),"",IFERROR(SUMIFS(nrES_Rec,nrES_PID,$B42,nrES_Code,AB$5,nrES_Final,"Yes"),""))</f>
        <v/>
      </c>
      <c r="AC42" s="17">
        <f>IF($B42="","",sysGrades!$M42)</f>
        <v/>
      </c>
      <c r="AD42" s="17">
        <f>IF($B42="","",IFERROR(sysGrades!$U42,""))</f>
        <v/>
      </c>
    </row>
    <row r="43">
      <c r="B43" s="17">
        <f>IF(Cadets!$B43="","",Cadets!$B43)</f>
        <v/>
      </c>
      <c r="C43" s="17">
        <f>IF($B43="","",Cadets!$F43)</f>
        <v/>
      </c>
      <c r="D43" s="17">
        <f>IF(OR($B43="",D$5=""),"",IFERROR(SUMIFS(nrES_Rec,nrES_PID,$B43,nrES_Code,D$5,nrES_Final,"Yes"),""))</f>
        <v/>
      </c>
      <c r="E43" s="17">
        <f>IF(OR($B43="",E$5=""),"",IFERROR(SUMIFS(nrES_Rec,nrES_PID,$B43,nrES_Code,E$5,nrES_Final,"Yes"),""))</f>
        <v/>
      </c>
      <c r="F43" s="17">
        <f>IF(OR($B43="",F$5=""),"",IFERROR(SUMIFS(nrES_Rec,nrES_PID,$B43,nrES_Code,F$5,nrES_Final,"Yes"),""))</f>
        <v/>
      </c>
      <c r="G43" s="17">
        <f>IF(OR($B43="",G$5=""),"",IFERROR(SUMIFS(nrES_Rec,nrES_PID,$B43,nrES_Code,G$5,nrES_Final,"Yes"),""))</f>
        <v/>
      </c>
      <c r="H43" s="17">
        <f>IF(OR($B43="",H$5=""),"",IFERROR(SUMIFS(nrES_Rec,nrES_PID,$B43,nrES_Code,H$5,nrES_Final,"Yes"),""))</f>
        <v/>
      </c>
      <c r="I43" s="17">
        <f>IF(OR($B43="",I$5=""),"",IFERROR(SUMIFS(nrES_Rec,nrES_PID,$B43,nrES_Code,I$5,nrES_Final,"Yes"),""))</f>
        <v/>
      </c>
      <c r="J43" s="17">
        <f>IF(OR($B43="",J$5=""),"",IFERROR(SUMIFS(nrES_Rec,nrES_PID,$B43,nrES_Code,J$5,nrES_Final,"Yes"),""))</f>
        <v/>
      </c>
      <c r="K43" s="17">
        <f>IF(OR($B43="",K$5=""),"",IFERROR(SUMIFS(nrES_Rec,nrES_PID,$B43,nrES_Code,K$5,nrES_Final,"Yes"),""))</f>
        <v/>
      </c>
      <c r="L43" s="17">
        <f>IF(OR($B43="",L$5=""),"",IFERROR(SUMIFS(nrES_Rec,nrES_PID,$B43,nrES_Code,L$5,nrES_Final,"Yes"),""))</f>
        <v/>
      </c>
      <c r="M43" s="17">
        <f>IF(OR($B43="",M$5=""),"",IFERROR(SUMIFS(nrES_Rec,nrES_PID,$B43,nrES_Code,M$5,nrES_Final,"Yes"),""))</f>
        <v/>
      </c>
      <c r="N43" s="17">
        <f>IF(OR($B43="",N$5=""),"",IFERROR(SUMIFS(nrES_Rec,nrES_PID,$B43,nrES_Code,N$5,nrES_Final,"Yes"),""))</f>
        <v/>
      </c>
      <c r="O43" s="17">
        <f>IF(OR($B43="",O$5=""),"",IFERROR(SUMIFS(nrES_Rec,nrES_PID,$B43,nrES_Code,O$5,nrES_Final,"Yes"),""))</f>
        <v/>
      </c>
      <c r="P43" s="17">
        <f>IF(OR($B43="",P$5=""),"",IFERROR(SUMIFS(nrES_Rec,nrES_PID,$B43,nrES_Code,P$5,nrES_Final,"Yes"),""))</f>
        <v/>
      </c>
      <c r="Q43" s="17">
        <f>IF(OR($B43="",Q$5=""),"",IFERROR(SUMIFS(nrES_Rec,nrES_PID,$B43,nrES_Code,Q$5,nrES_Final,"Yes"),""))</f>
        <v/>
      </c>
      <c r="R43" s="17">
        <f>IF(OR($B43="",R$5=""),"",IFERROR(SUMIFS(nrES_Rec,nrES_PID,$B43,nrES_Code,R$5,nrES_Final,"Yes"),""))</f>
        <v/>
      </c>
      <c r="S43" s="17">
        <f>IF(OR($B43="",S$5=""),"",IFERROR(SUMIFS(nrES_Rec,nrES_PID,$B43,nrES_Code,S$5,nrES_Final,"Yes"),""))</f>
        <v/>
      </c>
      <c r="T43" s="17">
        <f>IF(OR($B43="",T$5=""),"",IFERROR(SUMIFS(nrES_Rec,nrES_PID,$B43,nrES_Code,T$5,nrES_Final,"Yes"),""))</f>
        <v/>
      </c>
      <c r="U43" s="17">
        <f>IF(OR($B43="",U$5=""),"",IFERROR(SUMIFS(nrES_Rec,nrES_PID,$B43,nrES_Code,U$5,nrES_Final,"Yes"),""))</f>
        <v/>
      </c>
      <c r="V43" s="17">
        <f>IF(OR($B43="",V$5=""),"",IFERROR(SUMIFS(nrES_Rec,nrES_PID,$B43,nrES_Code,V$5,nrES_Final,"Yes"),""))</f>
        <v/>
      </c>
      <c r="W43" s="17">
        <f>IF(OR($B43="",W$5=""),"",IFERROR(SUMIFS(nrES_Rec,nrES_PID,$B43,nrES_Code,W$5,nrES_Final,"Yes"),""))</f>
        <v/>
      </c>
      <c r="X43" s="17">
        <f>IF(OR($B43="",X$5=""),"",IFERROR(SUMIFS(nrES_Rec,nrES_PID,$B43,nrES_Code,X$5,nrES_Final,"Yes"),""))</f>
        <v/>
      </c>
      <c r="Y43" s="17">
        <f>IF(OR($B43="",Y$5=""),"",IFERROR(SUMIFS(nrES_Rec,nrES_PID,$B43,nrES_Code,Y$5,nrES_Final,"Yes"),""))</f>
        <v/>
      </c>
      <c r="Z43" s="17">
        <f>IF(OR($B43="",Z$5=""),"",IFERROR(SUMIFS(nrES_Rec,nrES_PID,$B43,nrES_Code,Z$5,nrES_Final,"Yes"),""))</f>
        <v/>
      </c>
      <c r="AA43" s="17">
        <f>IF(OR($B43="",AA$5=""),"",IFERROR(SUMIFS(nrES_Rec,nrES_PID,$B43,nrES_Code,AA$5,nrES_Final,"Yes"),""))</f>
        <v/>
      </c>
      <c r="AB43" s="17">
        <f>IF(OR($B43="",AB$5=""),"",IFERROR(SUMIFS(nrES_Rec,nrES_PID,$B43,nrES_Code,AB$5,nrES_Final,"Yes"),""))</f>
        <v/>
      </c>
      <c r="AC43" s="17">
        <f>IF($B43="","",sysGrades!$M43)</f>
        <v/>
      </c>
      <c r="AD43" s="17">
        <f>IF($B43="","",IFERROR(sysGrades!$U43,""))</f>
        <v/>
      </c>
    </row>
    <row r="44">
      <c r="B44" s="17">
        <f>IF(Cadets!$B44="","",Cadets!$B44)</f>
        <v/>
      </c>
      <c r="C44" s="17">
        <f>IF($B44="","",Cadets!$F44)</f>
        <v/>
      </c>
      <c r="D44" s="17">
        <f>IF(OR($B44="",D$5=""),"",IFERROR(SUMIFS(nrES_Rec,nrES_PID,$B44,nrES_Code,D$5,nrES_Final,"Yes"),""))</f>
        <v/>
      </c>
      <c r="E44" s="17">
        <f>IF(OR($B44="",E$5=""),"",IFERROR(SUMIFS(nrES_Rec,nrES_PID,$B44,nrES_Code,E$5,nrES_Final,"Yes"),""))</f>
        <v/>
      </c>
      <c r="F44" s="17">
        <f>IF(OR($B44="",F$5=""),"",IFERROR(SUMIFS(nrES_Rec,nrES_PID,$B44,nrES_Code,F$5,nrES_Final,"Yes"),""))</f>
        <v/>
      </c>
      <c r="G44" s="17">
        <f>IF(OR($B44="",G$5=""),"",IFERROR(SUMIFS(nrES_Rec,nrES_PID,$B44,nrES_Code,G$5,nrES_Final,"Yes"),""))</f>
        <v/>
      </c>
      <c r="H44" s="17">
        <f>IF(OR($B44="",H$5=""),"",IFERROR(SUMIFS(nrES_Rec,nrES_PID,$B44,nrES_Code,H$5,nrES_Final,"Yes"),""))</f>
        <v/>
      </c>
      <c r="I44" s="17">
        <f>IF(OR($B44="",I$5=""),"",IFERROR(SUMIFS(nrES_Rec,nrES_PID,$B44,nrES_Code,I$5,nrES_Final,"Yes"),""))</f>
        <v/>
      </c>
      <c r="J44" s="17">
        <f>IF(OR($B44="",J$5=""),"",IFERROR(SUMIFS(nrES_Rec,nrES_PID,$B44,nrES_Code,J$5,nrES_Final,"Yes"),""))</f>
        <v/>
      </c>
      <c r="K44" s="17">
        <f>IF(OR($B44="",K$5=""),"",IFERROR(SUMIFS(nrES_Rec,nrES_PID,$B44,nrES_Code,K$5,nrES_Final,"Yes"),""))</f>
        <v/>
      </c>
      <c r="L44" s="17">
        <f>IF(OR($B44="",L$5=""),"",IFERROR(SUMIFS(nrES_Rec,nrES_PID,$B44,nrES_Code,L$5,nrES_Final,"Yes"),""))</f>
        <v/>
      </c>
      <c r="M44" s="17">
        <f>IF(OR($B44="",M$5=""),"",IFERROR(SUMIFS(nrES_Rec,nrES_PID,$B44,nrES_Code,M$5,nrES_Final,"Yes"),""))</f>
        <v/>
      </c>
      <c r="N44" s="17">
        <f>IF(OR($B44="",N$5=""),"",IFERROR(SUMIFS(nrES_Rec,nrES_PID,$B44,nrES_Code,N$5,nrES_Final,"Yes"),""))</f>
        <v/>
      </c>
      <c r="O44" s="17">
        <f>IF(OR($B44="",O$5=""),"",IFERROR(SUMIFS(nrES_Rec,nrES_PID,$B44,nrES_Code,O$5,nrES_Final,"Yes"),""))</f>
        <v/>
      </c>
      <c r="P44" s="17">
        <f>IF(OR($B44="",P$5=""),"",IFERROR(SUMIFS(nrES_Rec,nrES_PID,$B44,nrES_Code,P$5,nrES_Final,"Yes"),""))</f>
        <v/>
      </c>
      <c r="Q44" s="17">
        <f>IF(OR($B44="",Q$5=""),"",IFERROR(SUMIFS(nrES_Rec,nrES_PID,$B44,nrES_Code,Q$5,nrES_Final,"Yes"),""))</f>
        <v/>
      </c>
      <c r="R44" s="17">
        <f>IF(OR($B44="",R$5=""),"",IFERROR(SUMIFS(nrES_Rec,nrES_PID,$B44,nrES_Code,R$5,nrES_Final,"Yes"),""))</f>
        <v/>
      </c>
      <c r="S44" s="17">
        <f>IF(OR($B44="",S$5=""),"",IFERROR(SUMIFS(nrES_Rec,nrES_PID,$B44,nrES_Code,S$5,nrES_Final,"Yes"),""))</f>
        <v/>
      </c>
      <c r="T44" s="17">
        <f>IF(OR($B44="",T$5=""),"",IFERROR(SUMIFS(nrES_Rec,nrES_PID,$B44,nrES_Code,T$5,nrES_Final,"Yes"),""))</f>
        <v/>
      </c>
      <c r="U44" s="17">
        <f>IF(OR($B44="",U$5=""),"",IFERROR(SUMIFS(nrES_Rec,nrES_PID,$B44,nrES_Code,U$5,nrES_Final,"Yes"),""))</f>
        <v/>
      </c>
      <c r="V44" s="17">
        <f>IF(OR($B44="",V$5=""),"",IFERROR(SUMIFS(nrES_Rec,nrES_PID,$B44,nrES_Code,V$5,nrES_Final,"Yes"),""))</f>
        <v/>
      </c>
      <c r="W44" s="17">
        <f>IF(OR($B44="",W$5=""),"",IFERROR(SUMIFS(nrES_Rec,nrES_PID,$B44,nrES_Code,W$5,nrES_Final,"Yes"),""))</f>
        <v/>
      </c>
      <c r="X44" s="17">
        <f>IF(OR($B44="",X$5=""),"",IFERROR(SUMIFS(nrES_Rec,nrES_PID,$B44,nrES_Code,X$5,nrES_Final,"Yes"),""))</f>
        <v/>
      </c>
      <c r="Y44" s="17">
        <f>IF(OR($B44="",Y$5=""),"",IFERROR(SUMIFS(nrES_Rec,nrES_PID,$B44,nrES_Code,Y$5,nrES_Final,"Yes"),""))</f>
        <v/>
      </c>
      <c r="Z44" s="17">
        <f>IF(OR($B44="",Z$5=""),"",IFERROR(SUMIFS(nrES_Rec,nrES_PID,$B44,nrES_Code,Z$5,nrES_Final,"Yes"),""))</f>
        <v/>
      </c>
      <c r="AA44" s="17">
        <f>IF(OR($B44="",AA$5=""),"",IFERROR(SUMIFS(nrES_Rec,nrES_PID,$B44,nrES_Code,AA$5,nrES_Final,"Yes"),""))</f>
        <v/>
      </c>
      <c r="AB44" s="17">
        <f>IF(OR($B44="",AB$5=""),"",IFERROR(SUMIFS(nrES_Rec,nrES_PID,$B44,nrES_Code,AB$5,nrES_Final,"Yes"),""))</f>
        <v/>
      </c>
      <c r="AC44" s="17">
        <f>IF($B44="","",sysGrades!$M44)</f>
        <v/>
      </c>
      <c r="AD44" s="17">
        <f>IF($B44="","",IFERROR(sysGrades!$U44,""))</f>
        <v/>
      </c>
    </row>
    <row r="45">
      <c r="B45" s="17">
        <f>IF(Cadets!$B45="","",Cadets!$B45)</f>
        <v/>
      </c>
      <c r="C45" s="17">
        <f>IF($B45="","",Cadets!$F45)</f>
        <v/>
      </c>
      <c r="D45" s="17">
        <f>IF(OR($B45="",D$5=""),"",IFERROR(SUMIFS(nrES_Rec,nrES_PID,$B45,nrES_Code,D$5,nrES_Final,"Yes"),""))</f>
        <v/>
      </c>
      <c r="E45" s="17">
        <f>IF(OR($B45="",E$5=""),"",IFERROR(SUMIFS(nrES_Rec,nrES_PID,$B45,nrES_Code,E$5,nrES_Final,"Yes"),""))</f>
        <v/>
      </c>
      <c r="F45" s="17">
        <f>IF(OR($B45="",F$5=""),"",IFERROR(SUMIFS(nrES_Rec,nrES_PID,$B45,nrES_Code,F$5,nrES_Final,"Yes"),""))</f>
        <v/>
      </c>
      <c r="G45" s="17">
        <f>IF(OR($B45="",G$5=""),"",IFERROR(SUMIFS(nrES_Rec,nrES_PID,$B45,nrES_Code,G$5,nrES_Final,"Yes"),""))</f>
        <v/>
      </c>
      <c r="H45" s="17">
        <f>IF(OR($B45="",H$5=""),"",IFERROR(SUMIFS(nrES_Rec,nrES_PID,$B45,nrES_Code,H$5,nrES_Final,"Yes"),""))</f>
        <v/>
      </c>
      <c r="I45" s="17">
        <f>IF(OR($B45="",I$5=""),"",IFERROR(SUMIFS(nrES_Rec,nrES_PID,$B45,nrES_Code,I$5,nrES_Final,"Yes"),""))</f>
        <v/>
      </c>
      <c r="J45" s="17">
        <f>IF(OR($B45="",J$5=""),"",IFERROR(SUMIFS(nrES_Rec,nrES_PID,$B45,nrES_Code,J$5,nrES_Final,"Yes"),""))</f>
        <v/>
      </c>
      <c r="K45" s="17">
        <f>IF(OR($B45="",K$5=""),"",IFERROR(SUMIFS(nrES_Rec,nrES_PID,$B45,nrES_Code,K$5,nrES_Final,"Yes"),""))</f>
        <v/>
      </c>
      <c r="L45" s="17">
        <f>IF(OR($B45="",L$5=""),"",IFERROR(SUMIFS(nrES_Rec,nrES_PID,$B45,nrES_Code,L$5,nrES_Final,"Yes"),""))</f>
        <v/>
      </c>
      <c r="M45" s="17">
        <f>IF(OR($B45="",M$5=""),"",IFERROR(SUMIFS(nrES_Rec,nrES_PID,$B45,nrES_Code,M$5,nrES_Final,"Yes"),""))</f>
        <v/>
      </c>
      <c r="N45" s="17">
        <f>IF(OR($B45="",N$5=""),"",IFERROR(SUMIFS(nrES_Rec,nrES_PID,$B45,nrES_Code,N$5,nrES_Final,"Yes"),""))</f>
        <v/>
      </c>
      <c r="O45" s="17">
        <f>IF(OR($B45="",O$5=""),"",IFERROR(SUMIFS(nrES_Rec,nrES_PID,$B45,nrES_Code,O$5,nrES_Final,"Yes"),""))</f>
        <v/>
      </c>
      <c r="P45" s="17">
        <f>IF(OR($B45="",P$5=""),"",IFERROR(SUMIFS(nrES_Rec,nrES_PID,$B45,nrES_Code,P$5,nrES_Final,"Yes"),""))</f>
        <v/>
      </c>
      <c r="Q45" s="17">
        <f>IF(OR($B45="",Q$5=""),"",IFERROR(SUMIFS(nrES_Rec,nrES_PID,$B45,nrES_Code,Q$5,nrES_Final,"Yes"),""))</f>
        <v/>
      </c>
      <c r="R45" s="17">
        <f>IF(OR($B45="",R$5=""),"",IFERROR(SUMIFS(nrES_Rec,nrES_PID,$B45,nrES_Code,R$5,nrES_Final,"Yes"),""))</f>
        <v/>
      </c>
      <c r="S45" s="17">
        <f>IF(OR($B45="",S$5=""),"",IFERROR(SUMIFS(nrES_Rec,nrES_PID,$B45,nrES_Code,S$5,nrES_Final,"Yes"),""))</f>
        <v/>
      </c>
      <c r="T45" s="17">
        <f>IF(OR($B45="",T$5=""),"",IFERROR(SUMIFS(nrES_Rec,nrES_PID,$B45,nrES_Code,T$5,nrES_Final,"Yes"),""))</f>
        <v/>
      </c>
      <c r="U45" s="17">
        <f>IF(OR($B45="",U$5=""),"",IFERROR(SUMIFS(nrES_Rec,nrES_PID,$B45,nrES_Code,U$5,nrES_Final,"Yes"),""))</f>
        <v/>
      </c>
      <c r="V45" s="17">
        <f>IF(OR($B45="",V$5=""),"",IFERROR(SUMIFS(nrES_Rec,nrES_PID,$B45,nrES_Code,V$5,nrES_Final,"Yes"),""))</f>
        <v/>
      </c>
      <c r="W45" s="17">
        <f>IF(OR($B45="",W$5=""),"",IFERROR(SUMIFS(nrES_Rec,nrES_PID,$B45,nrES_Code,W$5,nrES_Final,"Yes"),""))</f>
        <v/>
      </c>
      <c r="X45" s="17">
        <f>IF(OR($B45="",X$5=""),"",IFERROR(SUMIFS(nrES_Rec,nrES_PID,$B45,nrES_Code,X$5,nrES_Final,"Yes"),""))</f>
        <v/>
      </c>
      <c r="Y45" s="17">
        <f>IF(OR($B45="",Y$5=""),"",IFERROR(SUMIFS(nrES_Rec,nrES_PID,$B45,nrES_Code,Y$5,nrES_Final,"Yes"),""))</f>
        <v/>
      </c>
      <c r="Z45" s="17">
        <f>IF(OR($B45="",Z$5=""),"",IFERROR(SUMIFS(nrES_Rec,nrES_PID,$B45,nrES_Code,Z$5,nrES_Final,"Yes"),""))</f>
        <v/>
      </c>
      <c r="AA45" s="17">
        <f>IF(OR($B45="",AA$5=""),"",IFERROR(SUMIFS(nrES_Rec,nrES_PID,$B45,nrES_Code,AA$5,nrES_Final,"Yes"),""))</f>
        <v/>
      </c>
      <c r="AB45" s="17">
        <f>IF(OR($B45="",AB$5=""),"",IFERROR(SUMIFS(nrES_Rec,nrES_PID,$B45,nrES_Code,AB$5,nrES_Final,"Yes"),""))</f>
        <v/>
      </c>
      <c r="AC45" s="17">
        <f>IF($B45="","",sysGrades!$M45)</f>
        <v/>
      </c>
      <c r="AD45" s="17">
        <f>IF($B45="","",IFERROR(sysGrades!$U45,""))</f>
        <v/>
      </c>
    </row>
    <row r="46">
      <c r="B46" s="17">
        <f>IF(Cadets!$B46="","",Cadets!$B46)</f>
        <v/>
      </c>
      <c r="C46" s="17">
        <f>IF($B46="","",Cadets!$F46)</f>
        <v/>
      </c>
      <c r="D46" s="17">
        <f>IF(OR($B46="",D$5=""),"",IFERROR(SUMIFS(nrES_Rec,nrES_PID,$B46,nrES_Code,D$5,nrES_Final,"Yes"),""))</f>
        <v/>
      </c>
      <c r="E46" s="17">
        <f>IF(OR($B46="",E$5=""),"",IFERROR(SUMIFS(nrES_Rec,nrES_PID,$B46,nrES_Code,E$5,nrES_Final,"Yes"),""))</f>
        <v/>
      </c>
      <c r="F46" s="17">
        <f>IF(OR($B46="",F$5=""),"",IFERROR(SUMIFS(nrES_Rec,nrES_PID,$B46,nrES_Code,F$5,nrES_Final,"Yes"),""))</f>
        <v/>
      </c>
      <c r="G46" s="17">
        <f>IF(OR($B46="",G$5=""),"",IFERROR(SUMIFS(nrES_Rec,nrES_PID,$B46,nrES_Code,G$5,nrES_Final,"Yes"),""))</f>
        <v/>
      </c>
      <c r="H46" s="17">
        <f>IF(OR($B46="",H$5=""),"",IFERROR(SUMIFS(nrES_Rec,nrES_PID,$B46,nrES_Code,H$5,nrES_Final,"Yes"),""))</f>
        <v/>
      </c>
      <c r="I46" s="17">
        <f>IF(OR($B46="",I$5=""),"",IFERROR(SUMIFS(nrES_Rec,nrES_PID,$B46,nrES_Code,I$5,nrES_Final,"Yes"),""))</f>
        <v/>
      </c>
      <c r="J46" s="17">
        <f>IF(OR($B46="",J$5=""),"",IFERROR(SUMIFS(nrES_Rec,nrES_PID,$B46,nrES_Code,J$5,nrES_Final,"Yes"),""))</f>
        <v/>
      </c>
      <c r="K46" s="17">
        <f>IF(OR($B46="",K$5=""),"",IFERROR(SUMIFS(nrES_Rec,nrES_PID,$B46,nrES_Code,K$5,nrES_Final,"Yes"),""))</f>
        <v/>
      </c>
      <c r="L46" s="17">
        <f>IF(OR($B46="",L$5=""),"",IFERROR(SUMIFS(nrES_Rec,nrES_PID,$B46,nrES_Code,L$5,nrES_Final,"Yes"),""))</f>
        <v/>
      </c>
      <c r="M46" s="17">
        <f>IF(OR($B46="",M$5=""),"",IFERROR(SUMIFS(nrES_Rec,nrES_PID,$B46,nrES_Code,M$5,nrES_Final,"Yes"),""))</f>
        <v/>
      </c>
      <c r="N46" s="17">
        <f>IF(OR($B46="",N$5=""),"",IFERROR(SUMIFS(nrES_Rec,nrES_PID,$B46,nrES_Code,N$5,nrES_Final,"Yes"),""))</f>
        <v/>
      </c>
      <c r="O46" s="17">
        <f>IF(OR($B46="",O$5=""),"",IFERROR(SUMIFS(nrES_Rec,nrES_PID,$B46,nrES_Code,O$5,nrES_Final,"Yes"),""))</f>
        <v/>
      </c>
      <c r="P46" s="17">
        <f>IF(OR($B46="",P$5=""),"",IFERROR(SUMIFS(nrES_Rec,nrES_PID,$B46,nrES_Code,P$5,nrES_Final,"Yes"),""))</f>
        <v/>
      </c>
      <c r="Q46" s="17">
        <f>IF(OR($B46="",Q$5=""),"",IFERROR(SUMIFS(nrES_Rec,nrES_PID,$B46,nrES_Code,Q$5,nrES_Final,"Yes"),""))</f>
        <v/>
      </c>
      <c r="R46" s="17">
        <f>IF(OR($B46="",R$5=""),"",IFERROR(SUMIFS(nrES_Rec,nrES_PID,$B46,nrES_Code,R$5,nrES_Final,"Yes"),""))</f>
        <v/>
      </c>
      <c r="S46" s="17">
        <f>IF(OR($B46="",S$5=""),"",IFERROR(SUMIFS(nrES_Rec,nrES_PID,$B46,nrES_Code,S$5,nrES_Final,"Yes"),""))</f>
        <v/>
      </c>
      <c r="T46" s="17">
        <f>IF(OR($B46="",T$5=""),"",IFERROR(SUMIFS(nrES_Rec,nrES_PID,$B46,nrES_Code,T$5,nrES_Final,"Yes"),""))</f>
        <v/>
      </c>
      <c r="U46" s="17">
        <f>IF(OR($B46="",U$5=""),"",IFERROR(SUMIFS(nrES_Rec,nrES_PID,$B46,nrES_Code,U$5,nrES_Final,"Yes"),""))</f>
        <v/>
      </c>
      <c r="V46" s="17">
        <f>IF(OR($B46="",V$5=""),"",IFERROR(SUMIFS(nrES_Rec,nrES_PID,$B46,nrES_Code,V$5,nrES_Final,"Yes"),""))</f>
        <v/>
      </c>
      <c r="W46" s="17">
        <f>IF(OR($B46="",W$5=""),"",IFERROR(SUMIFS(nrES_Rec,nrES_PID,$B46,nrES_Code,W$5,nrES_Final,"Yes"),""))</f>
        <v/>
      </c>
      <c r="X46" s="17">
        <f>IF(OR($B46="",X$5=""),"",IFERROR(SUMIFS(nrES_Rec,nrES_PID,$B46,nrES_Code,X$5,nrES_Final,"Yes"),""))</f>
        <v/>
      </c>
      <c r="Y46" s="17">
        <f>IF(OR($B46="",Y$5=""),"",IFERROR(SUMIFS(nrES_Rec,nrES_PID,$B46,nrES_Code,Y$5,nrES_Final,"Yes"),""))</f>
        <v/>
      </c>
      <c r="Z46" s="17">
        <f>IF(OR($B46="",Z$5=""),"",IFERROR(SUMIFS(nrES_Rec,nrES_PID,$B46,nrES_Code,Z$5,nrES_Final,"Yes"),""))</f>
        <v/>
      </c>
      <c r="AA46" s="17">
        <f>IF(OR($B46="",AA$5=""),"",IFERROR(SUMIFS(nrES_Rec,nrES_PID,$B46,nrES_Code,AA$5,nrES_Final,"Yes"),""))</f>
        <v/>
      </c>
      <c r="AB46" s="17">
        <f>IF(OR($B46="",AB$5=""),"",IFERROR(SUMIFS(nrES_Rec,nrES_PID,$B46,nrES_Code,AB$5,nrES_Final,"Yes"),""))</f>
        <v/>
      </c>
      <c r="AC46" s="17">
        <f>IF($B46="","",sysGrades!$M46)</f>
        <v/>
      </c>
      <c r="AD46" s="17">
        <f>IF($B46="","",IFERROR(sysGrades!$U46,""))</f>
        <v/>
      </c>
    </row>
    <row r="47">
      <c r="B47" s="17">
        <f>IF(Cadets!$B47="","",Cadets!$B47)</f>
        <v/>
      </c>
      <c r="C47" s="17">
        <f>IF($B47="","",Cadets!$F47)</f>
        <v/>
      </c>
      <c r="D47" s="17">
        <f>IF(OR($B47="",D$5=""),"",IFERROR(SUMIFS(nrES_Rec,nrES_PID,$B47,nrES_Code,D$5,nrES_Final,"Yes"),""))</f>
        <v/>
      </c>
      <c r="E47" s="17">
        <f>IF(OR($B47="",E$5=""),"",IFERROR(SUMIFS(nrES_Rec,nrES_PID,$B47,nrES_Code,E$5,nrES_Final,"Yes"),""))</f>
        <v/>
      </c>
      <c r="F47" s="17">
        <f>IF(OR($B47="",F$5=""),"",IFERROR(SUMIFS(nrES_Rec,nrES_PID,$B47,nrES_Code,F$5,nrES_Final,"Yes"),""))</f>
        <v/>
      </c>
      <c r="G47" s="17">
        <f>IF(OR($B47="",G$5=""),"",IFERROR(SUMIFS(nrES_Rec,nrES_PID,$B47,nrES_Code,G$5,nrES_Final,"Yes"),""))</f>
        <v/>
      </c>
      <c r="H47" s="17">
        <f>IF(OR($B47="",H$5=""),"",IFERROR(SUMIFS(nrES_Rec,nrES_PID,$B47,nrES_Code,H$5,nrES_Final,"Yes"),""))</f>
        <v/>
      </c>
      <c r="I47" s="17">
        <f>IF(OR($B47="",I$5=""),"",IFERROR(SUMIFS(nrES_Rec,nrES_PID,$B47,nrES_Code,I$5,nrES_Final,"Yes"),""))</f>
        <v/>
      </c>
      <c r="J47" s="17">
        <f>IF(OR($B47="",J$5=""),"",IFERROR(SUMIFS(nrES_Rec,nrES_PID,$B47,nrES_Code,J$5,nrES_Final,"Yes"),""))</f>
        <v/>
      </c>
      <c r="K47" s="17">
        <f>IF(OR($B47="",K$5=""),"",IFERROR(SUMIFS(nrES_Rec,nrES_PID,$B47,nrES_Code,K$5,nrES_Final,"Yes"),""))</f>
        <v/>
      </c>
      <c r="L47" s="17">
        <f>IF(OR($B47="",L$5=""),"",IFERROR(SUMIFS(nrES_Rec,nrES_PID,$B47,nrES_Code,L$5,nrES_Final,"Yes"),""))</f>
        <v/>
      </c>
      <c r="M47" s="17">
        <f>IF(OR($B47="",M$5=""),"",IFERROR(SUMIFS(nrES_Rec,nrES_PID,$B47,nrES_Code,M$5,nrES_Final,"Yes"),""))</f>
        <v/>
      </c>
      <c r="N47" s="17">
        <f>IF(OR($B47="",N$5=""),"",IFERROR(SUMIFS(nrES_Rec,nrES_PID,$B47,nrES_Code,N$5,nrES_Final,"Yes"),""))</f>
        <v/>
      </c>
      <c r="O47" s="17">
        <f>IF(OR($B47="",O$5=""),"",IFERROR(SUMIFS(nrES_Rec,nrES_PID,$B47,nrES_Code,O$5,nrES_Final,"Yes"),""))</f>
        <v/>
      </c>
      <c r="P47" s="17">
        <f>IF(OR($B47="",P$5=""),"",IFERROR(SUMIFS(nrES_Rec,nrES_PID,$B47,nrES_Code,P$5,nrES_Final,"Yes"),""))</f>
        <v/>
      </c>
      <c r="Q47" s="17">
        <f>IF(OR($B47="",Q$5=""),"",IFERROR(SUMIFS(nrES_Rec,nrES_PID,$B47,nrES_Code,Q$5,nrES_Final,"Yes"),""))</f>
        <v/>
      </c>
      <c r="R47" s="17">
        <f>IF(OR($B47="",R$5=""),"",IFERROR(SUMIFS(nrES_Rec,nrES_PID,$B47,nrES_Code,R$5,nrES_Final,"Yes"),""))</f>
        <v/>
      </c>
      <c r="S47" s="17">
        <f>IF(OR($B47="",S$5=""),"",IFERROR(SUMIFS(nrES_Rec,nrES_PID,$B47,nrES_Code,S$5,nrES_Final,"Yes"),""))</f>
        <v/>
      </c>
      <c r="T47" s="17">
        <f>IF(OR($B47="",T$5=""),"",IFERROR(SUMIFS(nrES_Rec,nrES_PID,$B47,nrES_Code,T$5,nrES_Final,"Yes"),""))</f>
        <v/>
      </c>
      <c r="U47" s="17">
        <f>IF(OR($B47="",U$5=""),"",IFERROR(SUMIFS(nrES_Rec,nrES_PID,$B47,nrES_Code,U$5,nrES_Final,"Yes"),""))</f>
        <v/>
      </c>
      <c r="V47" s="17">
        <f>IF(OR($B47="",V$5=""),"",IFERROR(SUMIFS(nrES_Rec,nrES_PID,$B47,nrES_Code,V$5,nrES_Final,"Yes"),""))</f>
        <v/>
      </c>
      <c r="W47" s="17">
        <f>IF(OR($B47="",W$5=""),"",IFERROR(SUMIFS(nrES_Rec,nrES_PID,$B47,nrES_Code,W$5,nrES_Final,"Yes"),""))</f>
        <v/>
      </c>
      <c r="X47" s="17">
        <f>IF(OR($B47="",X$5=""),"",IFERROR(SUMIFS(nrES_Rec,nrES_PID,$B47,nrES_Code,X$5,nrES_Final,"Yes"),""))</f>
        <v/>
      </c>
      <c r="Y47" s="17">
        <f>IF(OR($B47="",Y$5=""),"",IFERROR(SUMIFS(nrES_Rec,nrES_PID,$B47,nrES_Code,Y$5,nrES_Final,"Yes"),""))</f>
        <v/>
      </c>
      <c r="Z47" s="17">
        <f>IF(OR($B47="",Z$5=""),"",IFERROR(SUMIFS(nrES_Rec,nrES_PID,$B47,nrES_Code,Z$5,nrES_Final,"Yes"),""))</f>
        <v/>
      </c>
      <c r="AA47" s="17">
        <f>IF(OR($B47="",AA$5=""),"",IFERROR(SUMIFS(nrES_Rec,nrES_PID,$B47,nrES_Code,AA$5,nrES_Final,"Yes"),""))</f>
        <v/>
      </c>
      <c r="AB47" s="17">
        <f>IF(OR($B47="",AB$5=""),"",IFERROR(SUMIFS(nrES_Rec,nrES_PID,$B47,nrES_Code,AB$5,nrES_Final,"Yes"),""))</f>
        <v/>
      </c>
      <c r="AC47" s="17">
        <f>IF($B47="","",sysGrades!$M47)</f>
        <v/>
      </c>
      <c r="AD47" s="17">
        <f>IF($B47="","",IFERROR(sysGrades!$U47,""))</f>
        <v/>
      </c>
    </row>
    <row r="48">
      <c r="B48" s="17">
        <f>IF(Cadets!$B48="","",Cadets!$B48)</f>
        <v/>
      </c>
      <c r="C48" s="17">
        <f>IF($B48="","",Cadets!$F48)</f>
        <v/>
      </c>
      <c r="D48" s="17">
        <f>IF(OR($B48="",D$5=""),"",IFERROR(SUMIFS(nrES_Rec,nrES_PID,$B48,nrES_Code,D$5,nrES_Final,"Yes"),""))</f>
        <v/>
      </c>
      <c r="E48" s="17">
        <f>IF(OR($B48="",E$5=""),"",IFERROR(SUMIFS(nrES_Rec,nrES_PID,$B48,nrES_Code,E$5,nrES_Final,"Yes"),""))</f>
        <v/>
      </c>
      <c r="F48" s="17">
        <f>IF(OR($B48="",F$5=""),"",IFERROR(SUMIFS(nrES_Rec,nrES_PID,$B48,nrES_Code,F$5,nrES_Final,"Yes"),""))</f>
        <v/>
      </c>
      <c r="G48" s="17">
        <f>IF(OR($B48="",G$5=""),"",IFERROR(SUMIFS(nrES_Rec,nrES_PID,$B48,nrES_Code,G$5,nrES_Final,"Yes"),""))</f>
        <v/>
      </c>
      <c r="H48" s="17">
        <f>IF(OR($B48="",H$5=""),"",IFERROR(SUMIFS(nrES_Rec,nrES_PID,$B48,nrES_Code,H$5,nrES_Final,"Yes"),""))</f>
        <v/>
      </c>
      <c r="I48" s="17">
        <f>IF(OR($B48="",I$5=""),"",IFERROR(SUMIFS(nrES_Rec,nrES_PID,$B48,nrES_Code,I$5,nrES_Final,"Yes"),""))</f>
        <v/>
      </c>
      <c r="J48" s="17">
        <f>IF(OR($B48="",J$5=""),"",IFERROR(SUMIFS(nrES_Rec,nrES_PID,$B48,nrES_Code,J$5,nrES_Final,"Yes"),""))</f>
        <v/>
      </c>
      <c r="K48" s="17">
        <f>IF(OR($B48="",K$5=""),"",IFERROR(SUMIFS(nrES_Rec,nrES_PID,$B48,nrES_Code,K$5,nrES_Final,"Yes"),""))</f>
        <v/>
      </c>
      <c r="L48" s="17">
        <f>IF(OR($B48="",L$5=""),"",IFERROR(SUMIFS(nrES_Rec,nrES_PID,$B48,nrES_Code,L$5,nrES_Final,"Yes"),""))</f>
        <v/>
      </c>
      <c r="M48" s="17">
        <f>IF(OR($B48="",M$5=""),"",IFERROR(SUMIFS(nrES_Rec,nrES_PID,$B48,nrES_Code,M$5,nrES_Final,"Yes"),""))</f>
        <v/>
      </c>
      <c r="N48" s="17">
        <f>IF(OR($B48="",N$5=""),"",IFERROR(SUMIFS(nrES_Rec,nrES_PID,$B48,nrES_Code,N$5,nrES_Final,"Yes"),""))</f>
        <v/>
      </c>
      <c r="O48" s="17">
        <f>IF(OR($B48="",O$5=""),"",IFERROR(SUMIFS(nrES_Rec,nrES_PID,$B48,nrES_Code,O$5,nrES_Final,"Yes"),""))</f>
        <v/>
      </c>
      <c r="P48" s="17">
        <f>IF(OR($B48="",P$5=""),"",IFERROR(SUMIFS(nrES_Rec,nrES_PID,$B48,nrES_Code,P$5,nrES_Final,"Yes"),""))</f>
        <v/>
      </c>
      <c r="Q48" s="17">
        <f>IF(OR($B48="",Q$5=""),"",IFERROR(SUMIFS(nrES_Rec,nrES_PID,$B48,nrES_Code,Q$5,nrES_Final,"Yes"),""))</f>
        <v/>
      </c>
      <c r="R48" s="17">
        <f>IF(OR($B48="",R$5=""),"",IFERROR(SUMIFS(nrES_Rec,nrES_PID,$B48,nrES_Code,R$5,nrES_Final,"Yes"),""))</f>
        <v/>
      </c>
      <c r="S48" s="17">
        <f>IF(OR($B48="",S$5=""),"",IFERROR(SUMIFS(nrES_Rec,nrES_PID,$B48,nrES_Code,S$5,nrES_Final,"Yes"),""))</f>
        <v/>
      </c>
      <c r="T48" s="17">
        <f>IF(OR($B48="",T$5=""),"",IFERROR(SUMIFS(nrES_Rec,nrES_PID,$B48,nrES_Code,T$5,nrES_Final,"Yes"),""))</f>
        <v/>
      </c>
      <c r="U48" s="17">
        <f>IF(OR($B48="",U$5=""),"",IFERROR(SUMIFS(nrES_Rec,nrES_PID,$B48,nrES_Code,U$5,nrES_Final,"Yes"),""))</f>
        <v/>
      </c>
      <c r="V48" s="17">
        <f>IF(OR($B48="",V$5=""),"",IFERROR(SUMIFS(nrES_Rec,nrES_PID,$B48,nrES_Code,V$5,nrES_Final,"Yes"),""))</f>
        <v/>
      </c>
      <c r="W48" s="17">
        <f>IF(OR($B48="",W$5=""),"",IFERROR(SUMIFS(nrES_Rec,nrES_PID,$B48,nrES_Code,W$5,nrES_Final,"Yes"),""))</f>
        <v/>
      </c>
      <c r="X48" s="17">
        <f>IF(OR($B48="",X$5=""),"",IFERROR(SUMIFS(nrES_Rec,nrES_PID,$B48,nrES_Code,X$5,nrES_Final,"Yes"),""))</f>
        <v/>
      </c>
      <c r="Y48" s="17">
        <f>IF(OR($B48="",Y$5=""),"",IFERROR(SUMIFS(nrES_Rec,nrES_PID,$B48,nrES_Code,Y$5,nrES_Final,"Yes"),""))</f>
        <v/>
      </c>
      <c r="Z48" s="17">
        <f>IF(OR($B48="",Z$5=""),"",IFERROR(SUMIFS(nrES_Rec,nrES_PID,$B48,nrES_Code,Z$5,nrES_Final,"Yes"),""))</f>
        <v/>
      </c>
      <c r="AA48" s="17">
        <f>IF(OR($B48="",AA$5=""),"",IFERROR(SUMIFS(nrES_Rec,nrES_PID,$B48,nrES_Code,AA$5,nrES_Final,"Yes"),""))</f>
        <v/>
      </c>
      <c r="AB48" s="17">
        <f>IF(OR($B48="",AB$5=""),"",IFERROR(SUMIFS(nrES_Rec,nrES_PID,$B48,nrES_Code,AB$5,nrES_Final,"Yes"),""))</f>
        <v/>
      </c>
      <c r="AC48" s="17">
        <f>IF($B48="","",sysGrades!$M48)</f>
        <v/>
      </c>
      <c r="AD48" s="17">
        <f>IF($B48="","",IFERROR(sysGrades!$U48,""))</f>
        <v/>
      </c>
    </row>
    <row r="49">
      <c r="B49" s="17">
        <f>IF(Cadets!$B49="","",Cadets!$B49)</f>
        <v/>
      </c>
      <c r="C49" s="17">
        <f>IF($B49="","",Cadets!$F49)</f>
        <v/>
      </c>
      <c r="D49" s="17">
        <f>IF(OR($B49="",D$5=""),"",IFERROR(SUMIFS(nrES_Rec,nrES_PID,$B49,nrES_Code,D$5,nrES_Final,"Yes"),""))</f>
        <v/>
      </c>
      <c r="E49" s="17">
        <f>IF(OR($B49="",E$5=""),"",IFERROR(SUMIFS(nrES_Rec,nrES_PID,$B49,nrES_Code,E$5,nrES_Final,"Yes"),""))</f>
        <v/>
      </c>
      <c r="F49" s="17">
        <f>IF(OR($B49="",F$5=""),"",IFERROR(SUMIFS(nrES_Rec,nrES_PID,$B49,nrES_Code,F$5,nrES_Final,"Yes"),""))</f>
        <v/>
      </c>
      <c r="G49" s="17">
        <f>IF(OR($B49="",G$5=""),"",IFERROR(SUMIFS(nrES_Rec,nrES_PID,$B49,nrES_Code,G$5,nrES_Final,"Yes"),""))</f>
        <v/>
      </c>
      <c r="H49" s="17">
        <f>IF(OR($B49="",H$5=""),"",IFERROR(SUMIFS(nrES_Rec,nrES_PID,$B49,nrES_Code,H$5,nrES_Final,"Yes"),""))</f>
        <v/>
      </c>
      <c r="I49" s="17">
        <f>IF(OR($B49="",I$5=""),"",IFERROR(SUMIFS(nrES_Rec,nrES_PID,$B49,nrES_Code,I$5,nrES_Final,"Yes"),""))</f>
        <v/>
      </c>
      <c r="J49" s="17">
        <f>IF(OR($B49="",J$5=""),"",IFERROR(SUMIFS(nrES_Rec,nrES_PID,$B49,nrES_Code,J$5,nrES_Final,"Yes"),""))</f>
        <v/>
      </c>
      <c r="K49" s="17">
        <f>IF(OR($B49="",K$5=""),"",IFERROR(SUMIFS(nrES_Rec,nrES_PID,$B49,nrES_Code,K$5,nrES_Final,"Yes"),""))</f>
        <v/>
      </c>
      <c r="L49" s="17">
        <f>IF(OR($B49="",L$5=""),"",IFERROR(SUMIFS(nrES_Rec,nrES_PID,$B49,nrES_Code,L$5,nrES_Final,"Yes"),""))</f>
        <v/>
      </c>
      <c r="M49" s="17">
        <f>IF(OR($B49="",M$5=""),"",IFERROR(SUMIFS(nrES_Rec,nrES_PID,$B49,nrES_Code,M$5,nrES_Final,"Yes"),""))</f>
        <v/>
      </c>
      <c r="N49" s="17">
        <f>IF(OR($B49="",N$5=""),"",IFERROR(SUMIFS(nrES_Rec,nrES_PID,$B49,nrES_Code,N$5,nrES_Final,"Yes"),""))</f>
        <v/>
      </c>
      <c r="O49" s="17">
        <f>IF(OR($B49="",O$5=""),"",IFERROR(SUMIFS(nrES_Rec,nrES_PID,$B49,nrES_Code,O$5,nrES_Final,"Yes"),""))</f>
        <v/>
      </c>
      <c r="P49" s="17">
        <f>IF(OR($B49="",P$5=""),"",IFERROR(SUMIFS(nrES_Rec,nrES_PID,$B49,nrES_Code,P$5,nrES_Final,"Yes"),""))</f>
        <v/>
      </c>
      <c r="Q49" s="17">
        <f>IF(OR($B49="",Q$5=""),"",IFERROR(SUMIFS(nrES_Rec,nrES_PID,$B49,nrES_Code,Q$5,nrES_Final,"Yes"),""))</f>
        <v/>
      </c>
      <c r="R49" s="17">
        <f>IF(OR($B49="",R$5=""),"",IFERROR(SUMIFS(nrES_Rec,nrES_PID,$B49,nrES_Code,R$5,nrES_Final,"Yes"),""))</f>
        <v/>
      </c>
      <c r="S49" s="17">
        <f>IF(OR($B49="",S$5=""),"",IFERROR(SUMIFS(nrES_Rec,nrES_PID,$B49,nrES_Code,S$5,nrES_Final,"Yes"),""))</f>
        <v/>
      </c>
      <c r="T49" s="17">
        <f>IF(OR($B49="",T$5=""),"",IFERROR(SUMIFS(nrES_Rec,nrES_PID,$B49,nrES_Code,T$5,nrES_Final,"Yes"),""))</f>
        <v/>
      </c>
      <c r="U49" s="17">
        <f>IF(OR($B49="",U$5=""),"",IFERROR(SUMIFS(nrES_Rec,nrES_PID,$B49,nrES_Code,U$5,nrES_Final,"Yes"),""))</f>
        <v/>
      </c>
      <c r="V49" s="17">
        <f>IF(OR($B49="",V$5=""),"",IFERROR(SUMIFS(nrES_Rec,nrES_PID,$B49,nrES_Code,V$5,nrES_Final,"Yes"),""))</f>
        <v/>
      </c>
      <c r="W49" s="17">
        <f>IF(OR($B49="",W$5=""),"",IFERROR(SUMIFS(nrES_Rec,nrES_PID,$B49,nrES_Code,W$5,nrES_Final,"Yes"),""))</f>
        <v/>
      </c>
      <c r="X49" s="17">
        <f>IF(OR($B49="",X$5=""),"",IFERROR(SUMIFS(nrES_Rec,nrES_PID,$B49,nrES_Code,X$5,nrES_Final,"Yes"),""))</f>
        <v/>
      </c>
      <c r="Y49" s="17">
        <f>IF(OR($B49="",Y$5=""),"",IFERROR(SUMIFS(nrES_Rec,nrES_PID,$B49,nrES_Code,Y$5,nrES_Final,"Yes"),""))</f>
        <v/>
      </c>
      <c r="Z49" s="17">
        <f>IF(OR($B49="",Z$5=""),"",IFERROR(SUMIFS(nrES_Rec,nrES_PID,$B49,nrES_Code,Z$5,nrES_Final,"Yes"),""))</f>
        <v/>
      </c>
      <c r="AA49" s="17">
        <f>IF(OR($B49="",AA$5=""),"",IFERROR(SUMIFS(nrES_Rec,nrES_PID,$B49,nrES_Code,AA$5,nrES_Final,"Yes"),""))</f>
        <v/>
      </c>
      <c r="AB49" s="17">
        <f>IF(OR($B49="",AB$5=""),"",IFERROR(SUMIFS(nrES_Rec,nrES_PID,$B49,nrES_Code,AB$5,nrES_Final,"Yes"),""))</f>
        <v/>
      </c>
      <c r="AC49" s="17">
        <f>IF($B49="","",sysGrades!$M49)</f>
        <v/>
      </c>
      <c r="AD49" s="17">
        <f>IF($B49="","",IFERROR(sysGrades!$U49,""))</f>
        <v/>
      </c>
    </row>
    <row r="50">
      <c r="B50" s="17">
        <f>IF(Cadets!$B50="","",Cadets!$B50)</f>
        <v/>
      </c>
      <c r="C50" s="17">
        <f>IF($B50="","",Cadets!$F50)</f>
        <v/>
      </c>
      <c r="D50" s="17">
        <f>IF(OR($B50="",D$5=""),"",IFERROR(SUMIFS(nrES_Rec,nrES_PID,$B50,nrES_Code,D$5,nrES_Final,"Yes"),""))</f>
        <v/>
      </c>
      <c r="E50" s="17">
        <f>IF(OR($B50="",E$5=""),"",IFERROR(SUMIFS(nrES_Rec,nrES_PID,$B50,nrES_Code,E$5,nrES_Final,"Yes"),""))</f>
        <v/>
      </c>
      <c r="F50" s="17">
        <f>IF(OR($B50="",F$5=""),"",IFERROR(SUMIFS(nrES_Rec,nrES_PID,$B50,nrES_Code,F$5,nrES_Final,"Yes"),""))</f>
        <v/>
      </c>
      <c r="G50" s="17">
        <f>IF(OR($B50="",G$5=""),"",IFERROR(SUMIFS(nrES_Rec,nrES_PID,$B50,nrES_Code,G$5,nrES_Final,"Yes"),""))</f>
        <v/>
      </c>
      <c r="H50" s="17">
        <f>IF(OR($B50="",H$5=""),"",IFERROR(SUMIFS(nrES_Rec,nrES_PID,$B50,nrES_Code,H$5,nrES_Final,"Yes"),""))</f>
        <v/>
      </c>
      <c r="I50" s="17">
        <f>IF(OR($B50="",I$5=""),"",IFERROR(SUMIFS(nrES_Rec,nrES_PID,$B50,nrES_Code,I$5,nrES_Final,"Yes"),""))</f>
        <v/>
      </c>
      <c r="J50" s="17">
        <f>IF(OR($B50="",J$5=""),"",IFERROR(SUMIFS(nrES_Rec,nrES_PID,$B50,nrES_Code,J$5,nrES_Final,"Yes"),""))</f>
        <v/>
      </c>
      <c r="K50" s="17">
        <f>IF(OR($B50="",K$5=""),"",IFERROR(SUMIFS(nrES_Rec,nrES_PID,$B50,nrES_Code,K$5,nrES_Final,"Yes"),""))</f>
        <v/>
      </c>
      <c r="L50" s="17">
        <f>IF(OR($B50="",L$5=""),"",IFERROR(SUMIFS(nrES_Rec,nrES_PID,$B50,nrES_Code,L$5,nrES_Final,"Yes"),""))</f>
        <v/>
      </c>
      <c r="M50" s="17">
        <f>IF(OR($B50="",M$5=""),"",IFERROR(SUMIFS(nrES_Rec,nrES_PID,$B50,nrES_Code,M$5,nrES_Final,"Yes"),""))</f>
        <v/>
      </c>
      <c r="N50" s="17">
        <f>IF(OR($B50="",N$5=""),"",IFERROR(SUMIFS(nrES_Rec,nrES_PID,$B50,nrES_Code,N$5,nrES_Final,"Yes"),""))</f>
        <v/>
      </c>
      <c r="O50" s="17">
        <f>IF(OR($B50="",O$5=""),"",IFERROR(SUMIFS(nrES_Rec,nrES_PID,$B50,nrES_Code,O$5,nrES_Final,"Yes"),""))</f>
        <v/>
      </c>
      <c r="P50" s="17">
        <f>IF(OR($B50="",P$5=""),"",IFERROR(SUMIFS(nrES_Rec,nrES_PID,$B50,nrES_Code,P$5,nrES_Final,"Yes"),""))</f>
        <v/>
      </c>
      <c r="Q50" s="17">
        <f>IF(OR($B50="",Q$5=""),"",IFERROR(SUMIFS(nrES_Rec,nrES_PID,$B50,nrES_Code,Q$5,nrES_Final,"Yes"),""))</f>
        <v/>
      </c>
      <c r="R50" s="17">
        <f>IF(OR($B50="",R$5=""),"",IFERROR(SUMIFS(nrES_Rec,nrES_PID,$B50,nrES_Code,R$5,nrES_Final,"Yes"),""))</f>
        <v/>
      </c>
      <c r="S50" s="17">
        <f>IF(OR($B50="",S$5=""),"",IFERROR(SUMIFS(nrES_Rec,nrES_PID,$B50,nrES_Code,S$5,nrES_Final,"Yes"),""))</f>
        <v/>
      </c>
      <c r="T50" s="17">
        <f>IF(OR($B50="",T$5=""),"",IFERROR(SUMIFS(nrES_Rec,nrES_PID,$B50,nrES_Code,T$5,nrES_Final,"Yes"),""))</f>
        <v/>
      </c>
      <c r="U50" s="17">
        <f>IF(OR($B50="",U$5=""),"",IFERROR(SUMIFS(nrES_Rec,nrES_PID,$B50,nrES_Code,U$5,nrES_Final,"Yes"),""))</f>
        <v/>
      </c>
      <c r="V50" s="17">
        <f>IF(OR($B50="",V$5=""),"",IFERROR(SUMIFS(nrES_Rec,nrES_PID,$B50,nrES_Code,V$5,nrES_Final,"Yes"),""))</f>
        <v/>
      </c>
      <c r="W50" s="17">
        <f>IF(OR($B50="",W$5=""),"",IFERROR(SUMIFS(nrES_Rec,nrES_PID,$B50,nrES_Code,W$5,nrES_Final,"Yes"),""))</f>
        <v/>
      </c>
      <c r="X50" s="17">
        <f>IF(OR($B50="",X$5=""),"",IFERROR(SUMIFS(nrES_Rec,nrES_PID,$B50,nrES_Code,X$5,nrES_Final,"Yes"),""))</f>
        <v/>
      </c>
      <c r="Y50" s="17">
        <f>IF(OR($B50="",Y$5=""),"",IFERROR(SUMIFS(nrES_Rec,nrES_PID,$B50,nrES_Code,Y$5,nrES_Final,"Yes"),""))</f>
        <v/>
      </c>
      <c r="Z50" s="17">
        <f>IF(OR($B50="",Z$5=""),"",IFERROR(SUMIFS(nrES_Rec,nrES_PID,$B50,nrES_Code,Z$5,nrES_Final,"Yes"),""))</f>
        <v/>
      </c>
      <c r="AA50" s="17">
        <f>IF(OR($B50="",AA$5=""),"",IFERROR(SUMIFS(nrES_Rec,nrES_PID,$B50,nrES_Code,AA$5,nrES_Final,"Yes"),""))</f>
        <v/>
      </c>
      <c r="AB50" s="17">
        <f>IF(OR($B50="",AB$5=""),"",IFERROR(SUMIFS(nrES_Rec,nrES_PID,$B50,nrES_Code,AB$5,nrES_Final,"Yes"),""))</f>
        <v/>
      </c>
      <c r="AC50" s="17">
        <f>IF($B50="","",sysGrades!$M50)</f>
        <v/>
      </c>
      <c r="AD50" s="17">
        <f>IF($B50="","",IFERROR(sysGrades!$U50,""))</f>
        <v/>
      </c>
    </row>
    <row r="51">
      <c r="B51" s="17">
        <f>IF(Cadets!$B51="","",Cadets!$B51)</f>
        <v/>
      </c>
      <c r="C51" s="17">
        <f>IF($B51="","",Cadets!$F51)</f>
        <v/>
      </c>
      <c r="D51" s="17">
        <f>IF(OR($B51="",D$5=""),"",IFERROR(SUMIFS(nrES_Rec,nrES_PID,$B51,nrES_Code,D$5,nrES_Final,"Yes"),""))</f>
        <v/>
      </c>
      <c r="E51" s="17">
        <f>IF(OR($B51="",E$5=""),"",IFERROR(SUMIFS(nrES_Rec,nrES_PID,$B51,nrES_Code,E$5,nrES_Final,"Yes"),""))</f>
        <v/>
      </c>
      <c r="F51" s="17">
        <f>IF(OR($B51="",F$5=""),"",IFERROR(SUMIFS(nrES_Rec,nrES_PID,$B51,nrES_Code,F$5,nrES_Final,"Yes"),""))</f>
        <v/>
      </c>
      <c r="G51" s="17">
        <f>IF(OR($B51="",G$5=""),"",IFERROR(SUMIFS(nrES_Rec,nrES_PID,$B51,nrES_Code,G$5,nrES_Final,"Yes"),""))</f>
        <v/>
      </c>
      <c r="H51" s="17">
        <f>IF(OR($B51="",H$5=""),"",IFERROR(SUMIFS(nrES_Rec,nrES_PID,$B51,nrES_Code,H$5,nrES_Final,"Yes"),""))</f>
        <v/>
      </c>
      <c r="I51" s="17">
        <f>IF(OR($B51="",I$5=""),"",IFERROR(SUMIFS(nrES_Rec,nrES_PID,$B51,nrES_Code,I$5,nrES_Final,"Yes"),""))</f>
        <v/>
      </c>
      <c r="J51" s="17">
        <f>IF(OR($B51="",J$5=""),"",IFERROR(SUMIFS(nrES_Rec,nrES_PID,$B51,nrES_Code,J$5,nrES_Final,"Yes"),""))</f>
        <v/>
      </c>
      <c r="K51" s="17">
        <f>IF(OR($B51="",K$5=""),"",IFERROR(SUMIFS(nrES_Rec,nrES_PID,$B51,nrES_Code,K$5,nrES_Final,"Yes"),""))</f>
        <v/>
      </c>
      <c r="L51" s="17">
        <f>IF(OR($B51="",L$5=""),"",IFERROR(SUMIFS(nrES_Rec,nrES_PID,$B51,nrES_Code,L$5,nrES_Final,"Yes"),""))</f>
        <v/>
      </c>
      <c r="M51" s="17">
        <f>IF(OR($B51="",M$5=""),"",IFERROR(SUMIFS(nrES_Rec,nrES_PID,$B51,nrES_Code,M$5,nrES_Final,"Yes"),""))</f>
        <v/>
      </c>
      <c r="N51" s="17">
        <f>IF(OR($B51="",N$5=""),"",IFERROR(SUMIFS(nrES_Rec,nrES_PID,$B51,nrES_Code,N$5,nrES_Final,"Yes"),""))</f>
        <v/>
      </c>
      <c r="O51" s="17">
        <f>IF(OR($B51="",O$5=""),"",IFERROR(SUMIFS(nrES_Rec,nrES_PID,$B51,nrES_Code,O$5,nrES_Final,"Yes"),""))</f>
        <v/>
      </c>
      <c r="P51" s="17">
        <f>IF(OR($B51="",P$5=""),"",IFERROR(SUMIFS(nrES_Rec,nrES_PID,$B51,nrES_Code,P$5,nrES_Final,"Yes"),""))</f>
        <v/>
      </c>
      <c r="Q51" s="17">
        <f>IF(OR($B51="",Q$5=""),"",IFERROR(SUMIFS(nrES_Rec,nrES_PID,$B51,nrES_Code,Q$5,nrES_Final,"Yes"),""))</f>
        <v/>
      </c>
      <c r="R51" s="17">
        <f>IF(OR($B51="",R$5=""),"",IFERROR(SUMIFS(nrES_Rec,nrES_PID,$B51,nrES_Code,R$5,nrES_Final,"Yes"),""))</f>
        <v/>
      </c>
      <c r="S51" s="17">
        <f>IF(OR($B51="",S$5=""),"",IFERROR(SUMIFS(nrES_Rec,nrES_PID,$B51,nrES_Code,S$5,nrES_Final,"Yes"),""))</f>
        <v/>
      </c>
      <c r="T51" s="17">
        <f>IF(OR($B51="",T$5=""),"",IFERROR(SUMIFS(nrES_Rec,nrES_PID,$B51,nrES_Code,T$5,nrES_Final,"Yes"),""))</f>
        <v/>
      </c>
      <c r="U51" s="17">
        <f>IF(OR($B51="",U$5=""),"",IFERROR(SUMIFS(nrES_Rec,nrES_PID,$B51,nrES_Code,U$5,nrES_Final,"Yes"),""))</f>
        <v/>
      </c>
      <c r="V51" s="17">
        <f>IF(OR($B51="",V$5=""),"",IFERROR(SUMIFS(nrES_Rec,nrES_PID,$B51,nrES_Code,V$5,nrES_Final,"Yes"),""))</f>
        <v/>
      </c>
      <c r="W51" s="17">
        <f>IF(OR($B51="",W$5=""),"",IFERROR(SUMIFS(nrES_Rec,nrES_PID,$B51,nrES_Code,W$5,nrES_Final,"Yes"),""))</f>
        <v/>
      </c>
      <c r="X51" s="17">
        <f>IF(OR($B51="",X$5=""),"",IFERROR(SUMIFS(nrES_Rec,nrES_PID,$B51,nrES_Code,X$5,nrES_Final,"Yes"),""))</f>
        <v/>
      </c>
      <c r="Y51" s="17">
        <f>IF(OR($B51="",Y$5=""),"",IFERROR(SUMIFS(nrES_Rec,nrES_PID,$B51,nrES_Code,Y$5,nrES_Final,"Yes"),""))</f>
        <v/>
      </c>
      <c r="Z51" s="17">
        <f>IF(OR($B51="",Z$5=""),"",IFERROR(SUMIFS(nrES_Rec,nrES_PID,$B51,nrES_Code,Z$5,nrES_Final,"Yes"),""))</f>
        <v/>
      </c>
      <c r="AA51" s="17">
        <f>IF(OR($B51="",AA$5=""),"",IFERROR(SUMIFS(nrES_Rec,nrES_PID,$B51,nrES_Code,AA$5,nrES_Final,"Yes"),""))</f>
        <v/>
      </c>
      <c r="AB51" s="17">
        <f>IF(OR($B51="",AB$5=""),"",IFERROR(SUMIFS(nrES_Rec,nrES_PID,$B51,nrES_Code,AB$5,nrES_Final,"Yes"),""))</f>
        <v/>
      </c>
      <c r="AC51" s="17">
        <f>IF($B51="","",sysGrades!$M51)</f>
        <v/>
      </c>
      <c r="AD51" s="17">
        <f>IF($B51="","",IFERROR(sysGrades!$U51,""))</f>
        <v/>
      </c>
    </row>
    <row r="52">
      <c r="B52" s="17">
        <f>IF(Cadets!$B52="","",Cadets!$B52)</f>
        <v/>
      </c>
      <c r="C52" s="17">
        <f>IF($B52="","",Cadets!$F52)</f>
        <v/>
      </c>
      <c r="D52" s="17">
        <f>IF(OR($B52="",D$5=""),"",IFERROR(SUMIFS(nrES_Rec,nrES_PID,$B52,nrES_Code,D$5,nrES_Final,"Yes"),""))</f>
        <v/>
      </c>
      <c r="E52" s="17">
        <f>IF(OR($B52="",E$5=""),"",IFERROR(SUMIFS(nrES_Rec,nrES_PID,$B52,nrES_Code,E$5,nrES_Final,"Yes"),""))</f>
        <v/>
      </c>
      <c r="F52" s="17">
        <f>IF(OR($B52="",F$5=""),"",IFERROR(SUMIFS(nrES_Rec,nrES_PID,$B52,nrES_Code,F$5,nrES_Final,"Yes"),""))</f>
        <v/>
      </c>
      <c r="G52" s="17">
        <f>IF(OR($B52="",G$5=""),"",IFERROR(SUMIFS(nrES_Rec,nrES_PID,$B52,nrES_Code,G$5,nrES_Final,"Yes"),""))</f>
        <v/>
      </c>
      <c r="H52" s="17">
        <f>IF(OR($B52="",H$5=""),"",IFERROR(SUMIFS(nrES_Rec,nrES_PID,$B52,nrES_Code,H$5,nrES_Final,"Yes"),""))</f>
        <v/>
      </c>
      <c r="I52" s="17">
        <f>IF(OR($B52="",I$5=""),"",IFERROR(SUMIFS(nrES_Rec,nrES_PID,$B52,nrES_Code,I$5,nrES_Final,"Yes"),""))</f>
        <v/>
      </c>
      <c r="J52" s="17">
        <f>IF(OR($B52="",J$5=""),"",IFERROR(SUMIFS(nrES_Rec,nrES_PID,$B52,nrES_Code,J$5,nrES_Final,"Yes"),""))</f>
        <v/>
      </c>
      <c r="K52" s="17">
        <f>IF(OR($B52="",K$5=""),"",IFERROR(SUMIFS(nrES_Rec,nrES_PID,$B52,nrES_Code,K$5,nrES_Final,"Yes"),""))</f>
        <v/>
      </c>
      <c r="L52" s="17">
        <f>IF(OR($B52="",L$5=""),"",IFERROR(SUMIFS(nrES_Rec,nrES_PID,$B52,nrES_Code,L$5,nrES_Final,"Yes"),""))</f>
        <v/>
      </c>
      <c r="M52" s="17">
        <f>IF(OR($B52="",M$5=""),"",IFERROR(SUMIFS(nrES_Rec,nrES_PID,$B52,nrES_Code,M$5,nrES_Final,"Yes"),""))</f>
        <v/>
      </c>
      <c r="N52" s="17">
        <f>IF(OR($B52="",N$5=""),"",IFERROR(SUMIFS(nrES_Rec,nrES_PID,$B52,nrES_Code,N$5,nrES_Final,"Yes"),""))</f>
        <v/>
      </c>
      <c r="O52" s="17">
        <f>IF(OR($B52="",O$5=""),"",IFERROR(SUMIFS(nrES_Rec,nrES_PID,$B52,nrES_Code,O$5,nrES_Final,"Yes"),""))</f>
        <v/>
      </c>
      <c r="P52" s="17">
        <f>IF(OR($B52="",P$5=""),"",IFERROR(SUMIFS(nrES_Rec,nrES_PID,$B52,nrES_Code,P$5,nrES_Final,"Yes"),""))</f>
        <v/>
      </c>
      <c r="Q52" s="17">
        <f>IF(OR($B52="",Q$5=""),"",IFERROR(SUMIFS(nrES_Rec,nrES_PID,$B52,nrES_Code,Q$5,nrES_Final,"Yes"),""))</f>
        <v/>
      </c>
      <c r="R52" s="17">
        <f>IF(OR($B52="",R$5=""),"",IFERROR(SUMIFS(nrES_Rec,nrES_PID,$B52,nrES_Code,R$5,nrES_Final,"Yes"),""))</f>
        <v/>
      </c>
      <c r="S52" s="17">
        <f>IF(OR($B52="",S$5=""),"",IFERROR(SUMIFS(nrES_Rec,nrES_PID,$B52,nrES_Code,S$5,nrES_Final,"Yes"),""))</f>
        <v/>
      </c>
      <c r="T52" s="17">
        <f>IF(OR($B52="",T$5=""),"",IFERROR(SUMIFS(nrES_Rec,nrES_PID,$B52,nrES_Code,T$5,nrES_Final,"Yes"),""))</f>
        <v/>
      </c>
      <c r="U52" s="17">
        <f>IF(OR($B52="",U$5=""),"",IFERROR(SUMIFS(nrES_Rec,nrES_PID,$B52,nrES_Code,U$5,nrES_Final,"Yes"),""))</f>
        <v/>
      </c>
      <c r="V52" s="17">
        <f>IF(OR($B52="",V$5=""),"",IFERROR(SUMIFS(nrES_Rec,nrES_PID,$B52,nrES_Code,V$5,nrES_Final,"Yes"),""))</f>
        <v/>
      </c>
      <c r="W52" s="17">
        <f>IF(OR($B52="",W$5=""),"",IFERROR(SUMIFS(nrES_Rec,nrES_PID,$B52,nrES_Code,W$5,nrES_Final,"Yes"),""))</f>
        <v/>
      </c>
      <c r="X52" s="17">
        <f>IF(OR($B52="",X$5=""),"",IFERROR(SUMIFS(nrES_Rec,nrES_PID,$B52,nrES_Code,X$5,nrES_Final,"Yes"),""))</f>
        <v/>
      </c>
      <c r="Y52" s="17">
        <f>IF(OR($B52="",Y$5=""),"",IFERROR(SUMIFS(nrES_Rec,nrES_PID,$B52,nrES_Code,Y$5,nrES_Final,"Yes"),""))</f>
        <v/>
      </c>
      <c r="Z52" s="17">
        <f>IF(OR($B52="",Z$5=""),"",IFERROR(SUMIFS(nrES_Rec,nrES_PID,$B52,nrES_Code,Z$5,nrES_Final,"Yes"),""))</f>
        <v/>
      </c>
      <c r="AA52" s="17">
        <f>IF(OR($B52="",AA$5=""),"",IFERROR(SUMIFS(nrES_Rec,nrES_PID,$B52,nrES_Code,AA$5,nrES_Final,"Yes"),""))</f>
        <v/>
      </c>
      <c r="AB52" s="17">
        <f>IF(OR($B52="",AB$5=""),"",IFERROR(SUMIFS(nrES_Rec,nrES_PID,$B52,nrES_Code,AB$5,nrES_Final,"Yes"),""))</f>
        <v/>
      </c>
      <c r="AC52" s="17">
        <f>IF($B52="","",sysGrades!$M52)</f>
        <v/>
      </c>
      <c r="AD52" s="17">
        <f>IF($B52="","",IFERROR(sysGrades!$U52,""))</f>
        <v/>
      </c>
    </row>
    <row r="53">
      <c r="B53" s="17">
        <f>IF(Cadets!$B53="","",Cadets!$B53)</f>
        <v/>
      </c>
      <c r="C53" s="17">
        <f>IF($B53="","",Cadets!$F53)</f>
        <v/>
      </c>
      <c r="D53" s="17">
        <f>IF(OR($B53="",D$5=""),"",IFERROR(SUMIFS(nrES_Rec,nrES_PID,$B53,nrES_Code,D$5,nrES_Final,"Yes"),""))</f>
        <v/>
      </c>
      <c r="E53" s="17">
        <f>IF(OR($B53="",E$5=""),"",IFERROR(SUMIFS(nrES_Rec,nrES_PID,$B53,nrES_Code,E$5,nrES_Final,"Yes"),""))</f>
        <v/>
      </c>
      <c r="F53" s="17">
        <f>IF(OR($B53="",F$5=""),"",IFERROR(SUMIFS(nrES_Rec,nrES_PID,$B53,nrES_Code,F$5,nrES_Final,"Yes"),""))</f>
        <v/>
      </c>
      <c r="G53" s="17">
        <f>IF(OR($B53="",G$5=""),"",IFERROR(SUMIFS(nrES_Rec,nrES_PID,$B53,nrES_Code,G$5,nrES_Final,"Yes"),""))</f>
        <v/>
      </c>
      <c r="H53" s="17">
        <f>IF(OR($B53="",H$5=""),"",IFERROR(SUMIFS(nrES_Rec,nrES_PID,$B53,nrES_Code,H$5,nrES_Final,"Yes"),""))</f>
        <v/>
      </c>
      <c r="I53" s="17">
        <f>IF(OR($B53="",I$5=""),"",IFERROR(SUMIFS(nrES_Rec,nrES_PID,$B53,nrES_Code,I$5,nrES_Final,"Yes"),""))</f>
        <v/>
      </c>
      <c r="J53" s="17">
        <f>IF(OR($B53="",J$5=""),"",IFERROR(SUMIFS(nrES_Rec,nrES_PID,$B53,nrES_Code,J$5,nrES_Final,"Yes"),""))</f>
        <v/>
      </c>
      <c r="K53" s="17">
        <f>IF(OR($B53="",K$5=""),"",IFERROR(SUMIFS(nrES_Rec,nrES_PID,$B53,nrES_Code,K$5,nrES_Final,"Yes"),""))</f>
        <v/>
      </c>
      <c r="L53" s="17">
        <f>IF(OR($B53="",L$5=""),"",IFERROR(SUMIFS(nrES_Rec,nrES_PID,$B53,nrES_Code,L$5,nrES_Final,"Yes"),""))</f>
        <v/>
      </c>
      <c r="M53" s="17">
        <f>IF(OR($B53="",M$5=""),"",IFERROR(SUMIFS(nrES_Rec,nrES_PID,$B53,nrES_Code,M$5,nrES_Final,"Yes"),""))</f>
        <v/>
      </c>
      <c r="N53" s="17">
        <f>IF(OR($B53="",N$5=""),"",IFERROR(SUMIFS(nrES_Rec,nrES_PID,$B53,nrES_Code,N$5,nrES_Final,"Yes"),""))</f>
        <v/>
      </c>
      <c r="O53" s="17">
        <f>IF(OR($B53="",O$5=""),"",IFERROR(SUMIFS(nrES_Rec,nrES_PID,$B53,nrES_Code,O$5,nrES_Final,"Yes"),""))</f>
        <v/>
      </c>
      <c r="P53" s="17">
        <f>IF(OR($B53="",P$5=""),"",IFERROR(SUMIFS(nrES_Rec,nrES_PID,$B53,nrES_Code,P$5,nrES_Final,"Yes"),""))</f>
        <v/>
      </c>
      <c r="Q53" s="17">
        <f>IF(OR($B53="",Q$5=""),"",IFERROR(SUMIFS(nrES_Rec,nrES_PID,$B53,nrES_Code,Q$5,nrES_Final,"Yes"),""))</f>
        <v/>
      </c>
      <c r="R53" s="17">
        <f>IF(OR($B53="",R$5=""),"",IFERROR(SUMIFS(nrES_Rec,nrES_PID,$B53,nrES_Code,R$5,nrES_Final,"Yes"),""))</f>
        <v/>
      </c>
      <c r="S53" s="17">
        <f>IF(OR($B53="",S$5=""),"",IFERROR(SUMIFS(nrES_Rec,nrES_PID,$B53,nrES_Code,S$5,nrES_Final,"Yes"),""))</f>
        <v/>
      </c>
      <c r="T53" s="17">
        <f>IF(OR($B53="",T$5=""),"",IFERROR(SUMIFS(nrES_Rec,nrES_PID,$B53,nrES_Code,T$5,nrES_Final,"Yes"),""))</f>
        <v/>
      </c>
      <c r="U53" s="17">
        <f>IF(OR($B53="",U$5=""),"",IFERROR(SUMIFS(nrES_Rec,nrES_PID,$B53,nrES_Code,U$5,nrES_Final,"Yes"),""))</f>
        <v/>
      </c>
      <c r="V53" s="17">
        <f>IF(OR($B53="",V$5=""),"",IFERROR(SUMIFS(nrES_Rec,nrES_PID,$B53,nrES_Code,V$5,nrES_Final,"Yes"),""))</f>
        <v/>
      </c>
      <c r="W53" s="17">
        <f>IF(OR($B53="",W$5=""),"",IFERROR(SUMIFS(nrES_Rec,nrES_PID,$B53,nrES_Code,W$5,nrES_Final,"Yes"),""))</f>
        <v/>
      </c>
      <c r="X53" s="17">
        <f>IF(OR($B53="",X$5=""),"",IFERROR(SUMIFS(nrES_Rec,nrES_PID,$B53,nrES_Code,X$5,nrES_Final,"Yes"),""))</f>
        <v/>
      </c>
      <c r="Y53" s="17">
        <f>IF(OR($B53="",Y$5=""),"",IFERROR(SUMIFS(nrES_Rec,nrES_PID,$B53,nrES_Code,Y$5,nrES_Final,"Yes"),""))</f>
        <v/>
      </c>
      <c r="Z53" s="17">
        <f>IF(OR($B53="",Z$5=""),"",IFERROR(SUMIFS(nrES_Rec,nrES_PID,$B53,nrES_Code,Z$5,nrES_Final,"Yes"),""))</f>
        <v/>
      </c>
      <c r="AA53" s="17">
        <f>IF(OR($B53="",AA$5=""),"",IFERROR(SUMIFS(nrES_Rec,nrES_PID,$B53,nrES_Code,AA$5,nrES_Final,"Yes"),""))</f>
        <v/>
      </c>
      <c r="AB53" s="17">
        <f>IF(OR($B53="",AB$5=""),"",IFERROR(SUMIFS(nrES_Rec,nrES_PID,$B53,nrES_Code,AB$5,nrES_Final,"Yes"),""))</f>
        <v/>
      </c>
      <c r="AC53" s="17">
        <f>IF($B53="","",sysGrades!$M53)</f>
        <v/>
      </c>
      <c r="AD53" s="17">
        <f>IF($B53="","",IFERROR(sysGrades!$U53,""))</f>
        <v/>
      </c>
    </row>
    <row r="54">
      <c r="B54" s="17">
        <f>IF(Cadets!$B54="","",Cadets!$B54)</f>
        <v/>
      </c>
      <c r="C54" s="17">
        <f>IF($B54="","",Cadets!$F54)</f>
        <v/>
      </c>
      <c r="D54" s="17">
        <f>IF(OR($B54="",D$5=""),"",IFERROR(SUMIFS(nrES_Rec,nrES_PID,$B54,nrES_Code,D$5,nrES_Final,"Yes"),""))</f>
        <v/>
      </c>
      <c r="E54" s="17">
        <f>IF(OR($B54="",E$5=""),"",IFERROR(SUMIFS(nrES_Rec,nrES_PID,$B54,nrES_Code,E$5,nrES_Final,"Yes"),""))</f>
        <v/>
      </c>
      <c r="F54" s="17">
        <f>IF(OR($B54="",F$5=""),"",IFERROR(SUMIFS(nrES_Rec,nrES_PID,$B54,nrES_Code,F$5,nrES_Final,"Yes"),""))</f>
        <v/>
      </c>
      <c r="G54" s="17">
        <f>IF(OR($B54="",G$5=""),"",IFERROR(SUMIFS(nrES_Rec,nrES_PID,$B54,nrES_Code,G$5,nrES_Final,"Yes"),""))</f>
        <v/>
      </c>
      <c r="H54" s="17">
        <f>IF(OR($B54="",H$5=""),"",IFERROR(SUMIFS(nrES_Rec,nrES_PID,$B54,nrES_Code,H$5,nrES_Final,"Yes"),""))</f>
        <v/>
      </c>
      <c r="I54" s="17">
        <f>IF(OR($B54="",I$5=""),"",IFERROR(SUMIFS(nrES_Rec,nrES_PID,$B54,nrES_Code,I$5,nrES_Final,"Yes"),""))</f>
        <v/>
      </c>
      <c r="J54" s="17">
        <f>IF(OR($B54="",J$5=""),"",IFERROR(SUMIFS(nrES_Rec,nrES_PID,$B54,nrES_Code,J$5,nrES_Final,"Yes"),""))</f>
        <v/>
      </c>
      <c r="K54" s="17">
        <f>IF(OR($B54="",K$5=""),"",IFERROR(SUMIFS(nrES_Rec,nrES_PID,$B54,nrES_Code,K$5,nrES_Final,"Yes"),""))</f>
        <v/>
      </c>
      <c r="L54" s="17">
        <f>IF(OR($B54="",L$5=""),"",IFERROR(SUMIFS(nrES_Rec,nrES_PID,$B54,nrES_Code,L$5,nrES_Final,"Yes"),""))</f>
        <v/>
      </c>
      <c r="M54" s="17">
        <f>IF(OR($B54="",M$5=""),"",IFERROR(SUMIFS(nrES_Rec,nrES_PID,$B54,nrES_Code,M$5,nrES_Final,"Yes"),""))</f>
        <v/>
      </c>
      <c r="N54" s="17">
        <f>IF(OR($B54="",N$5=""),"",IFERROR(SUMIFS(nrES_Rec,nrES_PID,$B54,nrES_Code,N$5,nrES_Final,"Yes"),""))</f>
        <v/>
      </c>
      <c r="O54" s="17">
        <f>IF(OR($B54="",O$5=""),"",IFERROR(SUMIFS(nrES_Rec,nrES_PID,$B54,nrES_Code,O$5,nrES_Final,"Yes"),""))</f>
        <v/>
      </c>
      <c r="P54" s="17">
        <f>IF(OR($B54="",P$5=""),"",IFERROR(SUMIFS(nrES_Rec,nrES_PID,$B54,nrES_Code,P$5,nrES_Final,"Yes"),""))</f>
        <v/>
      </c>
      <c r="Q54" s="17">
        <f>IF(OR($B54="",Q$5=""),"",IFERROR(SUMIFS(nrES_Rec,nrES_PID,$B54,nrES_Code,Q$5,nrES_Final,"Yes"),""))</f>
        <v/>
      </c>
      <c r="R54" s="17">
        <f>IF(OR($B54="",R$5=""),"",IFERROR(SUMIFS(nrES_Rec,nrES_PID,$B54,nrES_Code,R$5,nrES_Final,"Yes"),""))</f>
        <v/>
      </c>
      <c r="S54" s="17">
        <f>IF(OR($B54="",S$5=""),"",IFERROR(SUMIFS(nrES_Rec,nrES_PID,$B54,nrES_Code,S$5,nrES_Final,"Yes"),""))</f>
        <v/>
      </c>
      <c r="T54" s="17">
        <f>IF(OR($B54="",T$5=""),"",IFERROR(SUMIFS(nrES_Rec,nrES_PID,$B54,nrES_Code,T$5,nrES_Final,"Yes"),""))</f>
        <v/>
      </c>
      <c r="U54" s="17">
        <f>IF(OR($B54="",U$5=""),"",IFERROR(SUMIFS(nrES_Rec,nrES_PID,$B54,nrES_Code,U$5,nrES_Final,"Yes"),""))</f>
        <v/>
      </c>
      <c r="V54" s="17">
        <f>IF(OR($B54="",V$5=""),"",IFERROR(SUMIFS(nrES_Rec,nrES_PID,$B54,nrES_Code,V$5,nrES_Final,"Yes"),""))</f>
        <v/>
      </c>
      <c r="W54" s="17">
        <f>IF(OR($B54="",W$5=""),"",IFERROR(SUMIFS(nrES_Rec,nrES_PID,$B54,nrES_Code,W$5,nrES_Final,"Yes"),""))</f>
        <v/>
      </c>
      <c r="X54" s="17">
        <f>IF(OR($B54="",X$5=""),"",IFERROR(SUMIFS(nrES_Rec,nrES_PID,$B54,nrES_Code,X$5,nrES_Final,"Yes"),""))</f>
        <v/>
      </c>
      <c r="Y54" s="17">
        <f>IF(OR($B54="",Y$5=""),"",IFERROR(SUMIFS(nrES_Rec,nrES_PID,$B54,nrES_Code,Y$5,nrES_Final,"Yes"),""))</f>
        <v/>
      </c>
      <c r="Z54" s="17">
        <f>IF(OR($B54="",Z$5=""),"",IFERROR(SUMIFS(nrES_Rec,nrES_PID,$B54,nrES_Code,Z$5,nrES_Final,"Yes"),""))</f>
        <v/>
      </c>
      <c r="AA54" s="17">
        <f>IF(OR($B54="",AA$5=""),"",IFERROR(SUMIFS(nrES_Rec,nrES_PID,$B54,nrES_Code,AA$5,nrES_Final,"Yes"),""))</f>
        <v/>
      </c>
      <c r="AB54" s="17">
        <f>IF(OR($B54="",AB$5=""),"",IFERROR(SUMIFS(nrES_Rec,nrES_PID,$B54,nrES_Code,AB$5,nrES_Final,"Yes"),""))</f>
        <v/>
      </c>
      <c r="AC54" s="17">
        <f>IF($B54="","",sysGrades!$M54)</f>
        <v/>
      </c>
      <c r="AD54" s="17">
        <f>IF($B54="","",IFERROR(sysGrades!$U54,""))</f>
        <v/>
      </c>
    </row>
    <row r="55">
      <c r="B55" s="17">
        <f>IF(Cadets!$B55="","",Cadets!$B55)</f>
        <v/>
      </c>
      <c r="C55" s="17">
        <f>IF($B55="","",Cadets!$F55)</f>
        <v/>
      </c>
      <c r="D55" s="17">
        <f>IF(OR($B55="",D$5=""),"",IFERROR(SUMIFS(nrES_Rec,nrES_PID,$B55,nrES_Code,D$5,nrES_Final,"Yes"),""))</f>
        <v/>
      </c>
      <c r="E55" s="17">
        <f>IF(OR($B55="",E$5=""),"",IFERROR(SUMIFS(nrES_Rec,nrES_PID,$B55,nrES_Code,E$5,nrES_Final,"Yes"),""))</f>
        <v/>
      </c>
      <c r="F55" s="17">
        <f>IF(OR($B55="",F$5=""),"",IFERROR(SUMIFS(nrES_Rec,nrES_PID,$B55,nrES_Code,F$5,nrES_Final,"Yes"),""))</f>
        <v/>
      </c>
      <c r="G55" s="17">
        <f>IF(OR($B55="",G$5=""),"",IFERROR(SUMIFS(nrES_Rec,nrES_PID,$B55,nrES_Code,G$5,nrES_Final,"Yes"),""))</f>
        <v/>
      </c>
      <c r="H55" s="17">
        <f>IF(OR($B55="",H$5=""),"",IFERROR(SUMIFS(nrES_Rec,nrES_PID,$B55,nrES_Code,H$5,nrES_Final,"Yes"),""))</f>
        <v/>
      </c>
      <c r="I55" s="17">
        <f>IF(OR($B55="",I$5=""),"",IFERROR(SUMIFS(nrES_Rec,nrES_PID,$B55,nrES_Code,I$5,nrES_Final,"Yes"),""))</f>
        <v/>
      </c>
      <c r="J55" s="17">
        <f>IF(OR($B55="",J$5=""),"",IFERROR(SUMIFS(nrES_Rec,nrES_PID,$B55,nrES_Code,J$5,nrES_Final,"Yes"),""))</f>
        <v/>
      </c>
      <c r="K55" s="17">
        <f>IF(OR($B55="",K$5=""),"",IFERROR(SUMIFS(nrES_Rec,nrES_PID,$B55,nrES_Code,K$5,nrES_Final,"Yes"),""))</f>
        <v/>
      </c>
      <c r="L55" s="17">
        <f>IF(OR($B55="",L$5=""),"",IFERROR(SUMIFS(nrES_Rec,nrES_PID,$B55,nrES_Code,L$5,nrES_Final,"Yes"),""))</f>
        <v/>
      </c>
      <c r="M55" s="17">
        <f>IF(OR($B55="",M$5=""),"",IFERROR(SUMIFS(nrES_Rec,nrES_PID,$B55,nrES_Code,M$5,nrES_Final,"Yes"),""))</f>
        <v/>
      </c>
      <c r="N55" s="17">
        <f>IF(OR($B55="",N$5=""),"",IFERROR(SUMIFS(nrES_Rec,nrES_PID,$B55,nrES_Code,N$5,nrES_Final,"Yes"),""))</f>
        <v/>
      </c>
      <c r="O55" s="17">
        <f>IF(OR($B55="",O$5=""),"",IFERROR(SUMIFS(nrES_Rec,nrES_PID,$B55,nrES_Code,O$5,nrES_Final,"Yes"),""))</f>
        <v/>
      </c>
      <c r="P55" s="17">
        <f>IF(OR($B55="",P$5=""),"",IFERROR(SUMIFS(nrES_Rec,nrES_PID,$B55,nrES_Code,P$5,nrES_Final,"Yes"),""))</f>
        <v/>
      </c>
      <c r="Q55" s="17">
        <f>IF(OR($B55="",Q$5=""),"",IFERROR(SUMIFS(nrES_Rec,nrES_PID,$B55,nrES_Code,Q$5,nrES_Final,"Yes"),""))</f>
        <v/>
      </c>
      <c r="R55" s="17">
        <f>IF(OR($B55="",R$5=""),"",IFERROR(SUMIFS(nrES_Rec,nrES_PID,$B55,nrES_Code,R$5,nrES_Final,"Yes"),""))</f>
        <v/>
      </c>
      <c r="S55" s="17">
        <f>IF(OR($B55="",S$5=""),"",IFERROR(SUMIFS(nrES_Rec,nrES_PID,$B55,nrES_Code,S$5,nrES_Final,"Yes"),""))</f>
        <v/>
      </c>
      <c r="T55" s="17">
        <f>IF(OR($B55="",T$5=""),"",IFERROR(SUMIFS(nrES_Rec,nrES_PID,$B55,nrES_Code,T$5,nrES_Final,"Yes"),""))</f>
        <v/>
      </c>
      <c r="U55" s="17">
        <f>IF(OR($B55="",U$5=""),"",IFERROR(SUMIFS(nrES_Rec,nrES_PID,$B55,nrES_Code,U$5,nrES_Final,"Yes"),""))</f>
        <v/>
      </c>
      <c r="V55" s="17">
        <f>IF(OR($B55="",V$5=""),"",IFERROR(SUMIFS(nrES_Rec,nrES_PID,$B55,nrES_Code,V$5,nrES_Final,"Yes"),""))</f>
        <v/>
      </c>
      <c r="W55" s="17">
        <f>IF(OR($B55="",W$5=""),"",IFERROR(SUMIFS(nrES_Rec,nrES_PID,$B55,nrES_Code,W$5,nrES_Final,"Yes"),""))</f>
        <v/>
      </c>
      <c r="X55" s="17">
        <f>IF(OR($B55="",X$5=""),"",IFERROR(SUMIFS(nrES_Rec,nrES_PID,$B55,nrES_Code,X$5,nrES_Final,"Yes"),""))</f>
        <v/>
      </c>
      <c r="Y55" s="17">
        <f>IF(OR($B55="",Y$5=""),"",IFERROR(SUMIFS(nrES_Rec,nrES_PID,$B55,nrES_Code,Y$5,nrES_Final,"Yes"),""))</f>
        <v/>
      </c>
      <c r="Z55" s="17">
        <f>IF(OR($B55="",Z$5=""),"",IFERROR(SUMIFS(nrES_Rec,nrES_PID,$B55,nrES_Code,Z$5,nrES_Final,"Yes"),""))</f>
        <v/>
      </c>
      <c r="AA55" s="17">
        <f>IF(OR($B55="",AA$5=""),"",IFERROR(SUMIFS(nrES_Rec,nrES_PID,$B55,nrES_Code,AA$5,nrES_Final,"Yes"),""))</f>
        <v/>
      </c>
      <c r="AB55" s="17">
        <f>IF(OR($B55="",AB$5=""),"",IFERROR(SUMIFS(nrES_Rec,nrES_PID,$B55,nrES_Code,AB$5,nrES_Final,"Yes"),""))</f>
        <v/>
      </c>
      <c r="AC55" s="17">
        <f>IF($B55="","",sysGrades!$M55)</f>
        <v/>
      </c>
      <c r="AD55" s="17">
        <f>IF($B55="","",IFERROR(sysGrades!$U55,""))</f>
        <v/>
      </c>
    </row>
    <row r="56"/>
    <row r="57">
      <c r="C57" s="3" t="inlineStr">
        <is>
          <t>Class average:</t>
        </is>
      </c>
      <c r="D57" s="20">
        <f>IF(D5="","",IFERROR(ROUND(AVERAGEIF(D6:D55,"&lt;&gt;"),1),""))</f>
        <v/>
      </c>
      <c r="E57" s="20">
        <f>IF(E5="","",IFERROR(ROUND(AVERAGEIF(E6:E55,"&lt;&gt;"),1),""))</f>
        <v/>
      </c>
      <c r="F57" s="20">
        <f>IF(F5="","",IFERROR(ROUND(AVERAGEIF(F6:F55,"&lt;&gt;"),1),""))</f>
        <v/>
      </c>
      <c r="G57" s="20">
        <f>IF(G5="","",IFERROR(ROUND(AVERAGEIF(G6:G55,"&lt;&gt;"),1),""))</f>
        <v/>
      </c>
      <c r="H57" s="20">
        <f>IF(H5="","",IFERROR(ROUND(AVERAGEIF(H6:H55,"&lt;&gt;"),1),""))</f>
        <v/>
      </c>
      <c r="I57" s="20">
        <f>IF(I5="","",IFERROR(ROUND(AVERAGEIF(I6:I55,"&lt;&gt;"),1),""))</f>
        <v/>
      </c>
      <c r="J57" s="20">
        <f>IF(J5="","",IFERROR(ROUND(AVERAGEIF(J6:J55,"&lt;&gt;"),1),""))</f>
        <v/>
      </c>
      <c r="K57" s="20">
        <f>IF(K5="","",IFERROR(ROUND(AVERAGEIF(K6:K55,"&lt;&gt;"),1),""))</f>
        <v/>
      </c>
      <c r="L57" s="20">
        <f>IF(L5="","",IFERROR(ROUND(AVERAGEIF(L6:L55,"&lt;&gt;"),1),""))</f>
        <v/>
      </c>
      <c r="M57" s="20">
        <f>IF(M5="","",IFERROR(ROUND(AVERAGEIF(M6:M55,"&lt;&gt;"),1),""))</f>
        <v/>
      </c>
      <c r="N57" s="20">
        <f>IF(N5="","",IFERROR(ROUND(AVERAGEIF(N6:N55,"&lt;&gt;"),1),""))</f>
        <v/>
      </c>
      <c r="O57" s="20">
        <f>IF(O5="","",IFERROR(ROUND(AVERAGEIF(O6:O55,"&lt;&gt;"),1),""))</f>
        <v/>
      </c>
      <c r="P57" s="20">
        <f>IF(P5="","",IFERROR(ROUND(AVERAGEIF(P6:P55,"&lt;&gt;"),1),""))</f>
        <v/>
      </c>
      <c r="Q57" s="20">
        <f>IF(Q5="","",IFERROR(ROUND(AVERAGEIF(Q6:Q55,"&lt;&gt;"),1),""))</f>
        <v/>
      </c>
      <c r="R57" s="20">
        <f>IF(R5="","",IFERROR(ROUND(AVERAGEIF(R6:R55,"&lt;&gt;"),1),""))</f>
        <v/>
      </c>
      <c r="S57" s="20">
        <f>IF(S5="","",IFERROR(ROUND(AVERAGEIF(S6:S55,"&lt;&gt;"),1),""))</f>
        <v/>
      </c>
      <c r="T57" s="20">
        <f>IF(T5="","",IFERROR(ROUND(AVERAGEIF(T6:T55,"&lt;&gt;"),1),""))</f>
        <v/>
      </c>
      <c r="U57" s="20">
        <f>IF(U5="","",IFERROR(ROUND(AVERAGEIF(U6:U55,"&lt;&gt;"),1),""))</f>
        <v/>
      </c>
      <c r="V57" s="20">
        <f>IF(V5="","",IFERROR(ROUND(AVERAGEIF(V6:V55,"&lt;&gt;"),1),""))</f>
        <v/>
      </c>
      <c r="W57" s="20">
        <f>IF(W5="","",IFERROR(ROUND(AVERAGEIF(W6:W55,"&lt;&gt;"),1),""))</f>
        <v/>
      </c>
      <c r="X57" s="20">
        <f>IF(X5="","",IFERROR(ROUND(AVERAGEIF(X6:X55,"&lt;&gt;"),1),""))</f>
        <v/>
      </c>
      <c r="Y57" s="20">
        <f>IF(Y5="","",IFERROR(ROUND(AVERAGEIF(Y6:Y55,"&lt;&gt;"),1),""))</f>
        <v/>
      </c>
      <c r="Z57" s="20">
        <f>IF(Z5="","",IFERROR(ROUND(AVERAGEIF(Z6:Z55,"&lt;&gt;"),1),""))</f>
        <v/>
      </c>
      <c r="AA57" s="20">
        <f>IF(AA5="","",IFERROR(ROUND(AVERAGEIF(AA6:AA55,"&lt;&gt;"),1),""))</f>
        <v/>
      </c>
      <c r="AB57" s="20">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2.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4.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3" t="n"/>
      <c r="D5" s="24" t="n"/>
      <c r="E5" s="25"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t>
        </is>
      </c>
      <c r="C16" s="14">
        <f>_xlfn.XLOOKUP(cfgProfileCadet,rngCadetNames,nrGRfinal,"—")</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nrAT_Date,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Makeup!$C$6:$C$505,nrMK_Type,nrMK_Min,nrMK_Sess,nrMK_Credit),nrMK_PID=_xlfn.XLOOKUP(cfgProfileCadet,rngCadetNames,rngCadetPIDs,"")),_xlfn._xlws.FILTER(Makeup!$C$6:$C$505,nrMK_PID=_xlfn.XLOOKUP(cfgProfileCadet,rngCadetNames,rngCadetPIDs,"")),-1),10),"no makeup entries")</f>
        <v/>
      </c>
    </row>
    <row r="62"/>
    <row r="63"/>
    <row r="64"/>
    <row r="65"/>
    <row r="66"/>
    <row r="67"/>
    <row r="68"/>
    <row r="69"/>
    <row r="70"/>
    <row r="71"/>
    <row r="72" ht="16" customHeight="1">
      <c r="B72" s="7" t="inlineStr">
        <is>
          <t>OPEN missed time (event / date / type / reason / balance owed)</t>
        </is>
      </c>
      <c r="C72" s="8" t="n"/>
      <c r="D72" s="8" t="n"/>
      <c r="E72" s="8" t="n"/>
      <c r="F72" s="8" t="n"/>
      <c r="G72" s="8" t="n"/>
      <c r="H72" s="8" t="n"/>
      <c r="I72" s="8" t="n"/>
      <c r="J72" s="8" t="n"/>
    </row>
    <row r="73">
      <c r="B73">
        <f>IFERROR(_xlfn._xlws.FILTER(_xlfn.HSTACK(nrAT_ID,TEXT(nrAT_Date,"mm/dd"),Attendance!$G$6:$G$805,Attendance!$H$6:$H$805,nrAT_Balance),(nrAT_PID=_xlfn.XLOOKUP(cfgProfileCadet,rngCadetNames,rngCadetPIDs,""))*(nrAT_Cleared="OPEN")),"all missed time cleared")</f>
        <v/>
      </c>
    </row>
    <row r="74"/>
    <row r="75"/>
    <row r="76"/>
    <row r="77"/>
    <row r="78"/>
    <row r="79" ht="16" customHeight="1">
      <c r="B79" s="7" t="inlineStr">
        <is>
          <t>OPEN memos (id / assigned / subject / due / status)</t>
        </is>
      </c>
      <c r="C79" s="8" t="n"/>
      <c r="D79" s="8" t="n"/>
      <c r="E79" s="8" t="n"/>
      <c r="F79" s="8" t="n"/>
      <c r="G79" s="8" t="n"/>
      <c r="H79" s="8" t="n"/>
      <c r="I79" s="8" t="n"/>
      <c r="J79" s="8" t="n"/>
    </row>
    <row r="80">
      <c r="B80">
        <f>IFERROR(_xlfn._xlws.FILTER(_xlfn.HSTACK(Memos!$B$6:$B$305,TEXT(nrME_Assigned,"mm/dd"),nrME_Subject,TEXT(nrME_Due,"mm/dd"),nrME_Status),(nrME_PID=_xlfn.XLOOKUP(cfgProfileCadet,rngCadetNames,rngCadetPIDs,""))*(nrME_Cadet&lt;&gt;"")*(nrME_Received="")),"none outstanding")</f>
        <v/>
      </c>
    </row>
  </sheetData>
  <sheetProtection selectLockedCells="1" selectUnlockedCells="1"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3" t="n"/>
      <c r="D5" s="24" t="n"/>
      <c r="E5" s="25"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10">
        <f>HYPERLINK("#Dashboard!B5","◄ Dashboard")</f>
        <v/>
      </c>
    </row>
    <row r="2"/>
    <row r="3"/>
    <row r="4">
      <c r="B4" s="11" t="inlineStr">
        <is>
          <t>The final gate before the ceremony — every column must be Yes.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7.xml><?xml version="1.0" encoding="utf-8"?>
<worksheet xmlns="http://schemas.openxmlformats.org/spreadsheetml/2006/main">
  <sheetPr>
    <tabColor rgb="001E7145"/>
    <outlinePr summaryBelow="1" summaryRight="1"/>
    <pageSetUpPr fitToPage="1"/>
  </sheetPr>
  <dimension ref="A1:I94"/>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row r="24" ht="16" customHeight="1">
      <c r="B24" s="7" t="inlineStr">
        <is>
          <t>Requirement sources — what is TCOLE rule vs Academy policy</t>
        </is>
      </c>
      <c r="C24" s="8" t="n"/>
      <c r="D24" s="8" t="n"/>
      <c r="E24" s="8" t="n"/>
      <c r="F24" s="8" t="n"/>
      <c r="G24" s="8" t="n"/>
      <c r="H24" s="8" t="n"/>
    </row>
    <row r="25" ht="26" customHeight="1">
      <c r="B25" s="15" t="inlineStr">
        <is>
          <t>• TCOLE Rule (Ch. 215/218/219): course #1000736 minimum hours per chapter, licensed/SME instructors, course records retention, exam security, student enrollment standards (L2/L3, medical), attendance records.</t>
        </is>
      </c>
    </row>
    <row r="26" ht="26" customHeight="1">
      <c r="B26" s="15" t="inlineStr">
        <is>
          <t>• Academy Policy (May 2026 manual): weighted grading (40/30/10/20), 70-in-each-category rule, weekly spelling tests + 75% intervention, 40 writing assignments, PT program and caps, awards.</t>
        </is>
      </c>
    </row>
    <row r="27"/>
    <row r="28" ht="16" customHeight="1">
      <c r="B28" s="7" t="inlineStr">
        <is>
          <t>Program-level TCOLE requirements (mark Yes when satisfied)</t>
        </is>
      </c>
      <c r="C28" s="8" t="n"/>
      <c r="D28" s="8" t="n"/>
      <c r="E28" s="8" t="n"/>
      <c r="F28" s="8" t="n"/>
      <c r="G28" s="8" t="n"/>
      <c r="H28" s="8" t="n"/>
    </row>
    <row r="29" ht="26" customHeight="1">
      <c r="B29" s="12" t="inlineStr">
        <is>
          <t>Requirement</t>
        </is>
      </c>
      <c r="C29" s="26" t="n"/>
      <c r="D29" s="26" t="n"/>
      <c r="E29" s="27" t="n"/>
      <c r="F29" s="12" t="inlineStr">
        <is>
          <t>Met?</t>
        </is>
      </c>
      <c r="G29" s="12" t="inlineStr">
        <is>
          <t>Notes</t>
        </is>
      </c>
    </row>
    <row r="30" ht="26" customHeight="1">
      <c r="B30" s="13" t="inlineStr">
        <is>
          <t>Commission Rules distributed to all students (Rule 215.9) — Copies of current TCOLE rules given to every student admitted</t>
        </is>
      </c>
      <c r="F30" s="16" t="n"/>
      <c r="G30" s="16" t="n"/>
    </row>
    <row r="31" ht="26" customHeight="1">
      <c r="B31" s="13" t="inlineStr">
        <is>
          <t>Required rule review conducted (215.9) — Reviewed 211.33, 221.1, 223.1, 223.3, 223.15, 223.17, 223.19 in class</t>
        </is>
      </c>
      <c r="F31" s="16" t="n"/>
      <c r="G31" s="16" t="n"/>
    </row>
    <row r="32" ht="26" customHeight="1">
      <c r="B32" s="13" t="inlineStr">
        <is>
          <t>Approved TCLEDDS roster on file — Required element of the training file</t>
        </is>
      </c>
      <c r="F32" s="16" t="n"/>
      <c r="G32" s="16" t="n"/>
    </row>
    <row r="33" ht="26" customHeight="1">
      <c r="B33" s="13" t="inlineStr">
        <is>
          <t>Course reported at exactly 736 hours — Excess hours reported under Addendum to BPOC (course #101), never inside the 736</t>
        </is>
      </c>
      <c r="F33" s="16" t="n"/>
      <c r="G33" s="16" t="n"/>
    </row>
    <row r="34" ht="26" customHeight="1">
      <c r="B34" s="13" t="inlineStr">
        <is>
          <t>Non-BPOC classes reported separately within 30 days — Any additional classes the academy teaches</t>
        </is>
      </c>
      <c r="F34" s="16" t="n"/>
      <c r="G34" s="16" t="n"/>
    </row>
    <row r="35" ht="26" customHeight="1">
      <c r="B35" s="13" t="inlineStr">
        <is>
          <t>Facility standards met (in-person, scenario/skills adequate) — Classroom supports role-play, defensive tactics, firearms demonstration</t>
        </is>
      </c>
      <c r="F35" s="16" t="n"/>
      <c r="G35" s="16" t="n"/>
    </row>
    <row r="36" ht="26" customHeight="1">
      <c r="B36" s="13" t="inlineStr">
        <is>
          <t>Assessments document mastery of all objectives — Learners are never passed on attendance alone</t>
        </is>
      </c>
      <c r="F36" s="16" t="n"/>
      <c r="G36" s="16" t="n"/>
    </row>
    <row r="37" ht="26" customHeight="1">
      <c r="B37" s="13" t="inlineStr">
        <is>
          <t>State exam plan communicated (250 Q, 70%, 3 attempts max) — Third failure requires enrolling in a new BPOC</t>
        </is>
      </c>
      <c r="F37" s="16" t="n"/>
      <c r="G37" s="16" t="n"/>
    </row>
    <row r="38" ht="26" customHeight="1">
      <c r="B38" s="13" t="inlineStr">
        <is>
          <t>Five-year retention of training records — Auditors sample past courses; files must be producible on request</t>
        </is>
      </c>
      <c r="F38" s="16" t="n"/>
      <c r="G38" s="16" t="n"/>
    </row>
    <row r="39" ht="26" customHeight="1">
      <c r="B39" s="13" t="inlineStr">
        <is>
          <t>Prior academies' FINAL workbooks archived and locatable — One file per academy; know where every finished class's file lives</t>
        </is>
      </c>
      <c r="F39" s="16" t="n"/>
      <c r="G39" s="16" t="n"/>
    </row>
    <row r="40" ht="26" customHeight="1">
      <c r="B40" s="13" t="inlineStr">
        <is>
          <t>Digital evidence library organized per chapter — LMS test PDFs, ExamSheet grade sheets, scanned spelling tests, sign-in scans, evals - one folder per chapter, ChapterPacket as cover</t>
        </is>
      </c>
      <c r="F40" s="16" t="n"/>
      <c r="G40" s="16" t="n"/>
    </row>
    <row r="41" ht="26" customHeight="1">
      <c r="B41" s="13" t="inlineStr">
        <is>
          <t>Scanned documents established as legal originals — Records management has confirmed scans serve as originals for training documents (incl. sign-ins w/ PID)</t>
        </is>
      </c>
      <c r="F41" s="16" t="n"/>
      <c r="G41" s="16" t="n"/>
    </row>
    <row r="42"/>
    <row r="43" ht="16" customHeight="1">
      <c r="B43" s="7" t="inlineStr">
        <is>
          <t>Per-cadet enrollment documents (mark Yes when on file)</t>
        </is>
      </c>
      <c r="C43" s="8" t="n"/>
      <c r="D43" s="8" t="n"/>
      <c r="E43" s="8" t="n"/>
      <c r="F43" s="8" t="n"/>
      <c r="G43" s="8" t="n"/>
      <c r="H43" s="8" t="n"/>
    </row>
    <row r="44" ht="26" customHeight="1">
      <c r="B44" s="12" t="inlineStr">
        <is>
          <t>Cadet</t>
        </is>
      </c>
      <c r="C44" s="12" t="inlineStr">
        <is>
          <t>Enroll App</t>
        </is>
      </c>
      <c r="D44" s="12" t="inlineStr">
        <is>
          <t>TCLEDDS L1</t>
        </is>
      </c>
      <c r="E44" s="12" t="inlineStr">
        <is>
          <t>Medical (L2)</t>
        </is>
      </c>
      <c r="F44" s="12" t="inlineStr">
        <is>
          <t>Psych (L3)</t>
        </is>
      </c>
      <c r="G44" s="12" t="inlineStr">
        <is>
          <t>Background</t>
        </is>
      </c>
      <c r="H44" s="12" t="inlineStr">
        <is>
          <t>Photo ID/DL</t>
        </is>
      </c>
      <c r="I44" s="12" t="inlineStr">
        <is>
          <t>All Docs?</t>
        </is>
      </c>
    </row>
    <row r="45">
      <c r="B45" s="20">
        <f>IF(Cadets!$B6="","",Cadets!$F6)</f>
        <v/>
      </c>
      <c r="C45" s="16" t="n"/>
      <c r="D45" s="16" t="n"/>
      <c r="E45" s="16" t="n"/>
      <c r="F45" s="16" t="n"/>
      <c r="G45" s="16" t="n"/>
      <c r="H45" s="16" t="n"/>
      <c r="I45" s="20">
        <f>IF($B45="","",IF(COUNTIF(C45:H45,"Yes")=6,"Yes","No"))</f>
        <v/>
      </c>
    </row>
    <row r="46">
      <c r="B46" s="20">
        <f>IF(Cadets!$B7="","",Cadets!$F7)</f>
        <v/>
      </c>
      <c r="C46" s="16" t="n"/>
      <c r="D46" s="16" t="n"/>
      <c r="E46" s="16" t="n"/>
      <c r="F46" s="16" t="n"/>
      <c r="G46" s="16" t="n"/>
      <c r="H46" s="16" t="n"/>
      <c r="I46" s="20">
        <f>IF($B46="","",IF(COUNTIF(C46:H46,"Yes")=6,"Yes","No"))</f>
        <v/>
      </c>
    </row>
    <row r="47">
      <c r="B47" s="20">
        <f>IF(Cadets!$B8="","",Cadets!$F8)</f>
        <v/>
      </c>
      <c r="C47" s="16" t="n"/>
      <c r="D47" s="16" t="n"/>
      <c r="E47" s="16" t="n"/>
      <c r="F47" s="16" t="n"/>
      <c r="G47" s="16" t="n"/>
      <c r="H47" s="16" t="n"/>
      <c r="I47" s="20">
        <f>IF($B47="","",IF(COUNTIF(C47:H47,"Yes")=6,"Yes","No"))</f>
        <v/>
      </c>
    </row>
    <row r="48">
      <c r="B48" s="20">
        <f>IF(Cadets!$B9="","",Cadets!$F9)</f>
        <v/>
      </c>
      <c r="C48" s="16" t="n"/>
      <c r="D48" s="16" t="n"/>
      <c r="E48" s="16" t="n"/>
      <c r="F48" s="16" t="n"/>
      <c r="G48" s="16" t="n"/>
      <c r="H48" s="16" t="n"/>
      <c r="I48" s="20">
        <f>IF($B48="","",IF(COUNTIF(C48:H48,"Yes")=6,"Yes","No"))</f>
        <v/>
      </c>
    </row>
    <row r="49">
      <c r="B49" s="20">
        <f>IF(Cadets!$B10="","",Cadets!$F10)</f>
        <v/>
      </c>
      <c r="C49" s="16" t="n"/>
      <c r="D49" s="16" t="n"/>
      <c r="E49" s="16" t="n"/>
      <c r="F49" s="16" t="n"/>
      <c r="G49" s="16" t="n"/>
      <c r="H49" s="16" t="n"/>
      <c r="I49" s="20">
        <f>IF($B49="","",IF(COUNTIF(C49:H49,"Yes")=6,"Yes","No"))</f>
        <v/>
      </c>
    </row>
    <row r="50">
      <c r="B50" s="20">
        <f>IF(Cadets!$B11="","",Cadets!$F11)</f>
        <v/>
      </c>
      <c r="C50" s="16" t="n"/>
      <c r="D50" s="16" t="n"/>
      <c r="E50" s="16" t="n"/>
      <c r="F50" s="16" t="n"/>
      <c r="G50" s="16" t="n"/>
      <c r="H50" s="16" t="n"/>
      <c r="I50" s="20">
        <f>IF($B50="","",IF(COUNTIF(C50:H50,"Yes")=6,"Yes","No"))</f>
        <v/>
      </c>
    </row>
    <row r="51">
      <c r="B51" s="20">
        <f>IF(Cadets!$B12="","",Cadets!$F12)</f>
        <v/>
      </c>
      <c r="C51" s="16" t="n"/>
      <c r="D51" s="16" t="n"/>
      <c r="E51" s="16" t="n"/>
      <c r="F51" s="16" t="n"/>
      <c r="G51" s="16" t="n"/>
      <c r="H51" s="16" t="n"/>
      <c r="I51" s="20">
        <f>IF($B51="","",IF(COUNTIF(C51:H51,"Yes")=6,"Yes","No"))</f>
        <v/>
      </c>
    </row>
    <row r="52">
      <c r="B52" s="20">
        <f>IF(Cadets!$B13="","",Cadets!$F13)</f>
        <v/>
      </c>
      <c r="C52" s="16" t="n"/>
      <c r="D52" s="16" t="n"/>
      <c r="E52" s="16" t="n"/>
      <c r="F52" s="16" t="n"/>
      <c r="G52" s="16" t="n"/>
      <c r="H52" s="16" t="n"/>
      <c r="I52" s="20">
        <f>IF($B52="","",IF(COUNTIF(C52:H52,"Yes")=6,"Yes","No"))</f>
        <v/>
      </c>
    </row>
    <row r="53">
      <c r="B53" s="20">
        <f>IF(Cadets!$B14="","",Cadets!$F14)</f>
        <v/>
      </c>
      <c r="C53" s="16" t="n"/>
      <c r="D53" s="16" t="n"/>
      <c r="E53" s="16" t="n"/>
      <c r="F53" s="16" t="n"/>
      <c r="G53" s="16" t="n"/>
      <c r="H53" s="16" t="n"/>
      <c r="I53" s="20">
        <f>IF($B53="","",IF(COUNTIF(C53:H53,"Yes")=6,"Yes","No"))</f>
        <v/>
      </c>
    </row>
    <row r="54">
      <c r="B54" s="20">
        <f>IF(Cadets!$B15="","",Cadets!$F15)</f>
        <v/>
      </c>
      <c r="C54" s="16" t="n"/>
      <c r="D54" s="16" t="n"/>
      <c r="E54" s="16" t="n"/>
      <c r="F54" s="16" t="n"/>
      <c r="G54" s="16" t="n"/>
      <c r="H54" s="16" t="n"/>
      <c r="I54" s="20">
        <f>IF($B54="","",IF(COUNTIF(C54:H54,"Yes")=6,"Yes","No"))</f>
        <v/>
      </c>
    </row>
    <row r="55">
      <c r="B55" s="20">
        <f>IF(Cadets!$B16="","",Cadets!$F16)</f>
        <v/>
      </c>
      <c r="C55" s="16" t="n"/>
      <c r="D55" s="16" t="n"/>
      <c r="E55" s="16" t="n"/>
      <c r="F55" s="16" t="n"/>
      <c r="G55" s="16" t="n"/>
      <c r="H55" s="16" t="n"/>
      <c r="I55" s="20">
        <f>IF($B55="","",IF(COUNTIF(C55:H55,"Yes")=6,"Yes","No"))</f>
        <v/>
      </c>
    </row>
    <row r="56">
      <c r="B56" s="20">
        <f>IF(Cadets!$B17="","",Cadets!$F17)</f>
        <v/>
      </c>
      <c r="C56" s="16" t="n"/>
      <c r="D56" s="16" t="n"/>
      <c r="E56" s="16" t="n"/>
      <c r="F56" s="16" t="n"/>
      <c r="G56" s="16" t="n"/>
      <c r="H56" s="16" t="n"/>
      <c r="I56" s="20">
        <f>IF($B56="","",IF(COUNTIF(C56:H56,"Yes")=6,"Yes","No"))</f>
        <v/>
      </c>
    </row>
    <row r="57">
      <c r="B57" s="20">
        <f>IF(Cadets!$B18="","",Cadets!$F18)</f>
        <v/>
      </c>
      <c r="C57" s="16" t="n"/>
      <c r="D57" s="16" t="n"/>
      <c r="E57" s="16" t="n"/>
      <c r="F57" s="16" t="n"/>
      <c r="G57" s="16" t="n"/>
      <c r="H57" s="16" t="n"/>
      <c r="I57" s="20">
        <f>IF($B57="","",IF(COUNTIF(C57:H57,"Yes")=6,"Yes","No"))</f>
        <v/>
      </c>
    </row>
    <row r="58">
      <c r="B58" s="20">
        <f>IF(Cadets!$B19="","",Cadets!$F19)</f>
        <v/>
      </c>
      <c r="C58" s="16" t="n"/>
      <c r="D58" s="16" t="n"/>
      <c r="E58" s="16" t="n"/>
      <c r="F58" s="16" t="n"/>
      <c r="G58" s="16" t="n"/>
      <c r="H58" s="16" t="n"/>
      <c r="I58" s="20">
        <f>IF($B58="","",IF(COUNTIF(C58:H58,"Yes")=6,"Yes","No"))</f>
        <v/>
      </c>
    </row>
    <row r="59">
      <c r="B59" s="20">
        <f>IF(Cadets!$B20="","",Cadets!$F20)</f>
        <v/>
      </c>
      <c r="C59" s="16" t="n"/>
      <c r="D59" s="16" t="n"/>
      <c r="E59" s="16" t="n"/>
      <c r="F59" s="16" t="n"/>
      <c r="G59" s="16" t="n"/>
      <c r="H59" s="16" t="n"/>
      <c r="I59" s="20">
        <f>IF($B59="","",IF(COUNTIF(C59:H59,"Yes")=6,"Yes","No"))</f>
        <v/>
      </c>
    </row>
    <row r="60">
      <c r="B60" s="20">
        <f>IF(Cadets!$B21="","",Cadets!$F21)</f>
        <v/>
      </c>
      <c r="C60" s="16" t="n"/>
      <c r="D60" s="16" t="n"/>
      <c r="E60" s="16" t="n"/>
      <c r="F60" s="16" t="n"/>
      <c r="G60" s="16" t="n"/>
      <c r="H60" s="16" t="n"/>
      <c r="I60" s="20">
        <f>IF($B60="","",IF(COUNTIF(C60:H60,"Yes")=6,"Yes","No"))</f>
        <v/>
      </c>
    </row>
    <row r="61">
      <c r="B61" s="20">
        <f>IF(Cadets!$B22="","",Cadets!$F22)</f>
        <v/>
      </c>
      <c r="C61" s="16" t="n"/>
      <c r="D61" s="16" t="n"/>
      <c r="E61" s="16" t="n"/>
      <c r="F61" s="16" t="n"/>
      <c r="G61" s="16" t="n"/>
      <c r="H61" s="16" t="n"/>
      <c r="I61" s="20">
        <f>IF($B61="","",IF(COUNTIF(C61:H61,"Yes")=6,"Yes","No"))</f>
        <v/>
      </c>
    </row>
    <row r="62">
      <c r="B62" s="20">
        <f>IF(Cadets!$B23="","",Cadets!$F23)</f>
        <v/>
      </c>
      <c r="C62" s="16" t="n"/>
      <c r="D62" s="16" t="n"/>
      <c r="E62" s="16" t="n"/>
      <c r="F62" s="16" t="n"/>
      <c r="G62" s="16" t="n"/>
      <c r="H62" s="16" t="n"/>
      <c r="I62" s="20">
        <f>IF($B62="","",IF(COUNTIF(C62:H62,"Yes")=6,"Yes","No"))</f>
        <v/>
      </c>
    </row>
    <row r="63">
      <c r="B63" s="20">
        <f>IF(Cadets!$B24="","",Cadets!$F24)</f>
        <v/>
      </c>
      <c r="C63" s="16" t="n"/>
      <c r="D63" s="16" t="n"/>
      <c r="E63" s="16" t="n"/>
      <c r="F63" s="16" t="n"/>
      <c r="G63" s="16" t="n"/>
      <c r="H63" s="16" t="n"/>
      <c r="I63" s="20">
        <f>IF($B63="","",IF(COUNTIF(C63:H63,"Yes")=6,"Yes","No"))</f>
        <v/>
      </c>
    </row>
    <row r="64">
      <c r="B64" s="20">
        <f>IF(Cadets!$B25="","",Cadets!$F25)</f>
        <v/>
      </c>
      <c r="C64" s="16" t="n"/>
      <c r="D64" s="16" t="n"/>
      <c r="E64" s="16" t="n"/>
      <c r="F64" s="16" t="n"/>
      <c r="G64" s="16" t="n"/>
      <c r="H64" s="16" t="n"/>
      <c r="I64" s="20">
        <f>IF($B64="","",IF(COUNTIF(C64:H64,"Yes")=6,"Yes","No"))</f>
        <v/>
      </c>
    </row>
    <row r="65">
      <c r="B65" s="20">
        <f>IF(Cadets!$B26="","",Cadets!$F26)</f>
        <v/>
      </c>
      <c r="C65" s="16" t="n"/>
      <c r="D65" s="16" t="n"/>
      <c r="E65" s="16" t="n"/>
      <c r="F65" s="16" t="n"/>
      <c r="G65" s="16" t="n"/>
      <c r="H65" s="16" t="n"/>
      <c r="I65" s="20">
        <f>IF($B65="","",IF(COUNTIF(C65:H65,"Yes")=6,"Yes","No"))</f>
        <v/>
      </c>
    </row>
    <row r="66">
      <c r="B66" s="20">
        <f>IF(Cadets!$B27="","",Cadets!$F27)</f>
        <v/>
      </c>
      <c r="C66" s="16" t="n"/>
      <c r="D66" s="16" t="n"/>
      <c r="E66" s="16" t="n"/>
      <c r="F66" s="16" t="n"/>
      <c r="G66" s="16" t="n"/>
      <c r="H66" s="16" t="n"/>
      <c r="I66" s="20">
        <f>IF($B66="","",IF(COUNTIF(C66:H66,"Yes")=6,"Yes","No"))</f>
        <v/>
      </c>
    </row>
    <row r="67">
      <c r="B67" s="20">
        <f>IF(Cadets!$B28="","",Cadets!$F28)</f>
        <v/>
      </c>
      <c r="C67" s="16" t="n"/>
      <c r="D67" s="16" t="n"/>
      <c r="E67" s="16" t="n"/>
      <c r="F67" s="16" t="n"/>
      <c r="G67" s="16" t="n"/>
      <c r="H67" s="16" t="n"/>
      <c r="I67" s="20">
        <f>IF($B67="","",IF(COUNTIF(C67:H67,"Yes")=6,"Yes","No"))</f>
        <v/>
      </c>
    </row>
    <row r="68">
      <c r="B68" s="20">
        <f>IF(Cadets!$B29="","",Cadets!$F29)</f>
        <v/>
      </c>
      <c r="C68" s="16" t="n"/>
      <c r="D68" s="16" t="n"/>
      <c r="E68" s="16" t="n"/>
      <c r="F68" s="16" t="n"/>
      <c r="G68" s="16" t="n"/>
      <c r="H68" s="16" t="n"/>
      <c r="I68" s="20">
        <f>IF($B68="","",IF(COUNTIF(C68:H68,"Yes")=6,"Yes","No"))</f>
        <v/>
      </c>
    </row>
    <row r="69">
      <c r="B69" s="20">
        <f>IF(Cadets!$B30="","",Cadets!$F30)</f>
        <v/>
      </c>
      <c r="C69" s="16" t="n"/>
      <c r="D69" s="16" t="n"/>
      <c r="E69" s="16" t="n"/>
      <c r="F69" s="16" t="n"/>
      <c r="G69" s="16" t="n"/>
      <c r="H69" s="16" t="n"/>
      <c r="I69" s="20">
        <f>IF($B69="","",IF(COUNTIF(C69:H69,"Yes")=6,"Yes","No"))</f>
        <v/>
      </c>
    </row>
    <row r="70">
      <c r="B70" s="20">
        <f>IF(Cadets!$B31="","",Cadets!$F31)</f>
        <v/>
      </c>
      <c r="C70" s="16" t="n"/>
      <c r="D70" s="16" t="n"/>
      <c r="E70" s="16" t="n"/>
      <c r="F70" s="16" t="n"/>
      <c r="G70" s="16" t="n"/>
      <c r="H70" s="16" t="n"/>
      <c r="I70" s="20">
        <f>IF($B70="","",IF(COUNTIF(C70:H70,"Yes")=6,"Yes","No"))</f>
        <v/>
      </c>
    </row>
    <row r="71">
      <c r="B71" s="20">
        <f>IF(Cadets!$B32="","",Cadets!$F32)</f>
        <v/>
      </c>
      <c r="C71" s="16" t="n"/>
      <c r="D71" s="16" t="n"/>
      <c r="E71" s="16" t="n"/>
      <c r="F71" s="16" t="n"/>
      <c r="G71" s="16" t="n"/>
      <c r="H71" s="16" t="n"/>
      <c r="I71" s="20">
        <f>IF($B71="","",IF(COUNTIF(C71:H71,"Yes")=6,"Yes","No"))</f>
        <v/>
      </c>
    </row>
    <row r="72">
      <c r="B72" s="20">
        <f>IF(Cadets!$B33="","",Cadets!$F33)</f>
        <v/>
      </c>
      <c r="C72" s="16" t="n"/>
      <c r="D72" s="16" t="n"/>
      <c r="E72" s="16" t="n"/>
      <c r="F72" s="16" t="n"/>
      <c r="G72" s="16" t="n"/>
      <c r="H72" s="16" t="n"/>
      <c r="I72" s="20">
        <f>IF($B72="","",IF(COUNTIF(C72:H72,"Yes")=6,"Yes","No"))</f>
        <v/>
      </c>
    </row>
    <row r="73">
      <c r="B73" s="20">
        <f>IF(Cadets!$B34="","",Cadets!$F34)</f>
        <v/>
      </c>
      <c r="C73" s="16" t="n"/>
      <c r="D73" s="16" t="n"/>
      <c r="E73" s="16" t="n"/>
      <c r="F73" s="16" t="n"/>
      <c r="G73" s="16" t="n"/>
      <c r="H73" s="16" t="n"/>
      <c r="I73" s="20">
        <f>IF($B73="","",IF(COUNTIF(C73:H73,"Yes")=6,"Yes","No"))</f>
        <v/>
      </c>
    </row>
    <row r="74">
      <c r="B74" s="20">
        <f>IF(Cadets!$B35="","",Cadets!$F35)</f>
        <v/>
      </c>
      <c r="C74" s="16" t="n"/>
      <c r="D74" s="16" t="n"/>
      <c r="E74" s="16" t="n"/>
      <c r="F74" s="16" t="n"/>
      <c r="G74" s="16" t="n"/>
      <c r="H74" s="16" t="n"/>
      <c r="I74" s="20">
        <f>IF($B74="","",IF(COUNTIF(C74:H74,"Yes")=6,"Yes","No"))</f>
        <v/>
      </c>
    </row>
    <row r="75">
      <c r="B75" s="20">
        <f>IF(Cadets!$B36="","",Cadets!$F36)</f>
        <v/>
      </c>
      <c r="C75" s="16" t="n"/>
      <c r="D75" s="16" t="n"/>
      <c r="E75" s="16" t="n"/>
      <c r="F75" s="16" t="n"/>
      <c r="G75" s="16" t="n"/>
      <c r="H75" s="16" t="n"/>
      <c r="I75" s="20">
        <f>IF($B75="","",IF(COUNTIF(C75:H75,"Yes")=6,"Yes","No"))</f>
        <v/>
      </c>
    </row>
    <row r="76">
      <c r="B76" s="20">
        <f>IF(Cadets!$B37="","",Cadets!$F37)</f>
        <v/>
      </c>
      <c r="C76" s="16" t="n"/>
      <c r="D76" s="16" t="n"/>
      <c r="E76" s="16" t="n"/>
      <c r="F76" s="16" t="n"/>
      <c r="G76" s="16" t="n"/>
      <c r="H76" s="16" t="n"/>
      <c r="I76" s="20">
        <f>IF($B76="","",IF(COUNTIF(C76:H76,"Yes")=6,"Yes","No"))</f>
        <v/>
      </c>
    </row>
    <row r="77">
      <c r="B77" s="20">
        <f>IF(Cadets!$B38="","",Cadets!$F38)</f>
        <v/>
      </c>
      <c r="C77" s="16" t="n"/>
      <c r="D77" s="16" t="n"/>
      <c r="E77" s="16" t="n"/>
      <c r="F77" s="16" t="n"/>
      <c r="G77" s="16" t="n"/>
      <c r="H77" s="16" t="n"/>
      <c r="I77" s="20">
        <f>IF($B77="","",IF(COUNTIF(C77:H77,"Yes")=6,"Yes","No"))</f>
        <v/>
      </c>
    </row>
    <row r="78">
      <c r="B78" s="20">
        <f>IF(Cadets!$B39="","",Cadets!$F39)</f>
        <v/>
      </c>
      <c r="C78" s="16" t="n"/>
      <c r="D78" s="16" t="n"/>
      <c r="E78" s="16" t="n"/>
      <c r="F78" s="16" t="n"/>
      <c r="G78" s="16" t="n"/>
      <c r="H78" s="16" t="n"/>
      <c r="I78" s="20">
        <f>IF($B78="","",IF(COUNTIF(C78:H78,"Yes")=6,"Yes","No"))</f>
        <v/>
      </c>
    </row>
    <row r="79">
      <c r="B79" s="20">
        <f>IF(Cadets!$B40="","",Cadets!$F40)</f>
        <v/>
      </c>
      <c r="C79" s="16" t="n"/>
      <c r="D79" s="16" t="n"/>
      <c r="E79" s="16" t="n"/>
      <c r="F79" s="16" t="n"/>
      <c r="G79" s="16" t="n"/>
      <c r="H79" s="16" t="n"/>
      <c r="I79" s="20">
        <f>IF($B79="","",IF(COUNTIF(C79:H79,"Yes")=6,"Yes","No"))</f>
        <v/>
      </c>
    </row>
    <row r="80">
      <c r="B80" s="20">
        <f>IF(Cadets!$B41="","",Cadets!$F41)</f>
        <v/>
      </c>
      <c r="C80" s="16" t="n"/>
      <c r="D80" s="16" t="n"/>
      <c r="E80" s="16" t="n"/>
      <c r="F80" s="16" t="n"/>
      <c r="G80" s="16" t="n"/>
      <c r="H80" s="16" t="n"/>
      <c r="I80" s="20">
        <f>IF($B80="","",IF(COUNTIF(C80:H80,"Yes")=6,"Yes","No"))</f>
        <v/>
      </c>
    </row>
    <row r="81">
      <c r="B81" s="20">
        <f>IF(Cadets!$B42="","",Cadets!$F42)</f>
        <v/>
      </c>
      <c r="C81" s="16" t="n"/>
      <c r="D81" s="16" t="n"/>
      <c r="E81" s="16" t="n"/>
      <c r="F81" s="16" t="n"/>
      <c r="G81" s="16" t="n"/>
      <c r="H81" s="16" t="n"/>
      <c r="I81" s="20">
        <f>IF($B81="","",IF(COUNTIF(C81:H81,"Yes")=6,"Yes","No"))</f>
        <v/>
      </c>
    </row>
    <row r="82">
      <c r="B82" s="20">
        <f>IF(Cadets!$B43="","",Cadets!$F43)</f>
        <v/>
      </c>
      <c r="C82" s="16" t="n"/>
      <c r="D82" s="16" t="n"/>
      <c r="E82" s="16" t="n"/>
      <c r="F82" s="16" t="n"/>
      <c r="G82" s="16" t="n"/>
      <c r="H82" s="16" t="n"/>
      <c r="I82" s="20">
        <f>IF($B82="","",IF(COUNTIF(C82:H82,"Yes")=6,"Yes","No"))</f>
        <v/>
      </c>
    </row>
    <row r="83">
      <c r="B83" s="20">
        <f>IF(Cadets!$B44="","",Cadets!$F44)</f>
        <v/>
      </c>
      <c r="C83" s="16" t="n"/>
      <c r="D83" s="16" t="n"/>
      <c r="E83" s="16" t="n"/>
      <c r="F83" s="16" t="n"/>
      <c r="G83" s="16" t="n"/>
      <c r="H83" s="16" t="n"/>
      <c r="I83" s="20">
        <f>IF($B83="","",IF(COUNTIF(C83:H83,"Yes")=6,"Yes","No"))</f>
        <v/>
      </c>
    </row>
    <row r="84">
      <c r="B84" s="20">
        <f>IF(Cadets!$B45="","",Cadets!$F45)</f>
        <v/>
      </c>
      <c r="C84" s="16" t="n"/>
      <c r="D84" s="16" t="n"/>
      <c r="E84" s="16" t="n"/>
      <c r="F84" s="16" t="n"/>
      <c r="G84" s="16" t="n"/>
      <c r="H84" s="16" t="n"/>
      <c r="I84" s="20">
        <f>IF($B84="","",IF(COUNTIF(C84:H84,"Yes")=6,"Yes","No"))</f>
        <v/>
      </c>
    </row>
    <row r="85">
      <c r="B85" s="20">
        <f>IF(Cadets!$B46="","",Cadets!$F46)</f>
        <v/>
      </c>
      <c r="C85" s="16" t="n"/>
      <c r="D85" s="16" t="n"/>
      <c r="E85" s="16" t="n"/>
      <c r="F85" s="16" t="n"/>
      <c r="G85" s="16" t="n"/>
      <c r="H85" s="16" t="n"/>
      <c r="I85" s="20">
        <f>IF($B85="","",IF(COUNTIF(C85:H85,"Yes")=6,"Yes","No"))</f>
        <v/>
      </c>
    </row>
    <row r="86">
      <c r="B86" s="20">
        <f>IF(Cadets!$B47="","",Cadets!$F47)</f>
        <v/>
      </c>
      <c r="C86" s="16" t="n"/>
      <c r="D86" s="16" t="n"/>
      <c r="E86" s="16" t="n"/>
      <c r="F86" s="16" t="n"/>
      <c r="G86" s="16" t="n"/>
      <c r="H86" s="16" t="n"/>
      <c r="I86" s="20">
        <f>IF($B86="","",IF(COUNTIF(C86:H86,"Yes")=6,"Yes","No"))</f>
        <v/>
      </c>
    </row>
    <row r="87">
      <c r="B87" s="20">
        <f>IF(Cadets!$B48="","",Cadets!$F48)</f>
        <v/>
      </c>
      <c r="C87" s="16" t="n"/>
      <c r="D87" s="16" t="n"/>
      <c r="E87" s="16" t="n"/>
      <c r="F87" s="16" t="n"/>
      <c r="G87" s="16" t="n"/>
      <c r="H87" s="16" t="n"/>
      <c r="I87" s="20">
        <f>IF($B87="","",IF(COUNTIF(C87:H87,"Yes")=6,"Yes","No"))</f>
        <v/>
      </c>
    </row>
    <row r="88">
      <c r="B88" s="20">
        <f>IF(Cadets!$B49="","",Cadets!$F49)</f>
        <v/>
      </c>
      <c r="C88" s="16" t="n"/>
      <c r="D88" s="16" t="n"/>
      <c r="E88" s="16" t="n"/>
      <c r="F88" s="16" t="n"/>
      <c r="G88" s="16" t="n"/>
      <c r="H88" s="16" t="n"/>
      <c r="I88" s="20">
        <f>IF($B88="","",IF(COUNTIF(C88:H88,"Yes")=6,"Yes","No"))</f>
        <v/>
      </c>
    </row>
    <row r="89">
      <c r="B89" s="20">
        <f>IF(Cadets!$B50="","",Cadets!$F50)</f>
        <v/>
      </c>
      <c r="C89" s="16" t="n"/>
      <c r="D89" s="16" t="n"/>
      <c r="E89" s="16" t="n"/>
      <c r="F89" s="16" t="n"/>
      <c r="G89" s="16" t="n"/>
      <c r="H89" s="16" t="n"/>
      <c r="I89" s="20">
        <f>IF($B89="","",IF(COUNTIF(C89:H89,"Yes")=6,"Yes","No"))</f>
        <v/>
      </c>
    </row>
    <row r="90">
      <c r="B90" s="20">
        <f>IF(Cadets!$B51="","",Cadets!$F51)</f>
        <v/>
      </c>
      <c r="C90" s="16" t="n"/>
      <c r="D90" s="16" t="n"/>
      <c r="E90" s="16" t="n"/>
      <c r="F90" s="16" t="n"/>
      <c r="G90" s="16" t="n"/>
      <c r="H90" s="16" t="n"/>
      <c r="I90" s="20">
        <f>IF($B90="","",IF(COUNTIF(C90:H90,"Yes")=6,"Yes","No"))</f>
        <v/>
      </c>
    </row>
    <row r="91">
      <c r="B91" s="20">
        <f>IF(Cadets!$B52="","",Cadets!$F52)</f>
        <v/>
      </c>
      <c r="C91" s="16" t="n"/>
      <c r="D91" s="16" t="n"/>
      <c r="E91" s="16" t="n"/>
      <c r="F91" s="16" t="n"/>
      <c r="G91" s="16" t="n"/>
      <c r="H91" s="16" t="n"/>
      <c r="I91" s="20">
        <f>IF($B91="","",IF(COUNTIF(C91:H91,"Yes")=6,"Yes","No"))</f>
        <v/>
      </c>
    </row>
    <row r="92">
      <c r="B92" s="20">
        <f>IF(Cadets!$B53="","",Cadets!$F53)</f>
        <v/>
      </c>
      <c r="C92" s="16" t="n"/>
      <c r="D92" s="16" t="n"/>
      <c r="E92" s="16" t="n"/>
      <c r="F92" s="16" t="n"/>
      <c r="G92" s="16" t="n"/>
      <c r="H92" s="16" t="n"/>
      <c r="I92" s="20">
        <f>IF($B92="","",IF(COUNTIF(C92:H92,"Yes")=6,"Yes","No"))</f>
        <v/>
      </c>
    </row>
    <row r="93">
      <c r="B93" s="20">
        <f>IF(Cadets!$B54="","",Cadets!$F54)</f>
        <v/>
      </c>
      <c r="C93" s="16" t="n"/>
      <c r="D93" s="16" t="n"/>
      <c r="E93" s="16" t="n"/>
      <c r="F93" s="16" t="n"/>
      <c r="G93" s="16" t="n"/>
      <c r="H93" s="16" t="n"/>
      <c r="I93" s="20">
        <f>IF($B93="","",IF(COUNTIF(C93:H93,"Yes")=6,"Yes","No"))</f>
        <v/>
      </c>
    </row>
    <row r="94">
      <c r="B94" s="20">
        <f>IF(Cadets!$B55="","",Cadets!$F55)</f>
        <v/>
      </c>
      <c r="C94" s="16" t="n"/>
      <c r="D94" s="16" t="n"/>
      <c r="E94" s="16" t="n"/>
      <c r="F94" s="16" t="n"/>
      <c r="G94" s="16" t="n"/>
      <c r="H94" s="16" t="n"/>
      <c r="I94" s="20">
        <f>IF($B94="","",IF(COUNTIF(C94:H94,"Yes")=6,"Yes","No"))</f>
        <v/>
      </c>
    </row>
  </sheetData>
  <mergeCells count="19">
    <mergeCell ref="B40:E40"/>
    <mergeCell ref="B30:E30"/>
    <mergeCell ref="B24:H24"/>
    <mergeCell ref="B33:E33"/>
    <mergeCell ref="B36:E36"/>
    <mergeCell ref="B32:E32"/>
    <mergeCell ref="B41:E41"/>
    <mergeCell ref="B26:H26"/>
    <mergeCell ref="B35:E35"/>
    <mergeCell ref="B7:H7"/>
    <mergeCell ref="B25:H25"/>
    <mergeCell ref="B31:E31"/>
    <mergeCell ref="B43:H43"/>
    <mergeCell ref="B39:E39"/>
    <mergeCell ref="B38:E38"/>
    <mergeCell ref="B29:E29"/>
    <mergeCell ref="B37:E37"/>
    <mergeCell ref="B28:H28"/>
    <mergeCell ref="B34:E34"/>
  </mergeCells>
  <conditionalFormatting sqref="E9:E22">
    <cfRule type="expression" priority="1" dxfId="1">
      <formula>AND($E9&lt;&gt;"OK",$E9&lt;&gt;"")</formula>
    </cfRule>
    <cfRule type="expression" priority="2" dxfId="2">
      <formula>$E9="OK"</formula>
    </cfRule>
  </conditionalFormatting>
  <conditionalFormatting sqref="F30:F41">
    <cfRule type="expression" priority="3" dxfId="1">
      <formula>AND($B30&lt;&gt;"",$F30&lt;&gt;"Yes",$F30&lt;&gt;"N/A")</formula>
    </cfRule>
  </conditionalFormatting>
  <conditionalFormatting sqref="I45:I94">
    <cfRule type="cellIs" priority="4" operator="equal" dxfId="2">
      <formula>"Yes"</formula>
    </cfRule>
    <cfRule type="cellIs" priority="5" operator="equal" dxfId="1">
      <formula>"No"</formula>
    </cfRule>
  </conditionalFormatting>
  <dataValidations count="2">
    <dataValidation sqref="F30:F41" showDropDown="0" showInputMessage="0" showErrorMessage="1" allowBlank="1" type="list">
      <formula1>"Yes,No,N/A"</formula1>
    </dataValidation>
    <dataValidation sqref="C45:H94"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8">
        <f>ChapterMaster!$C$6</f>
        <v/>
      </c>
      <c r="C9" s="28">
        <f>ChapterMaster!$D$6</f>
        <v/>
      </c>
      <c r="D9" s="29">
        <f>ChapterMaster!$E$6</f>
        <v/>
      </c>
      <c r="E9" s="29">
        <f>IF(ChapterMaster!$G6=0,"",ChapterMaster!$G6)</f>
        <v/>
      </c>
      <c r="F9" s="30">
        <f>IF(OR(ChapterMaster!$G6="",ChapterMaster!$G6=0),"",IF(ChapterMaster!$G6&gt;ChapterMaster!$E6,ROUND(ChapterMaster!$G6-ChapterMaster!$E6,2),""))</f>
        <v/>
      </c>
      <c r="G9" s="28">
        <f>IF($F9="","","#101 (Addendum to BPOC)")</f>
        <v/>
      </c>
    </row>
    <row r="10">
      <c r="B10" s="28">
        <f>ChapterMaster!$C$7</f>
        <v/>
      </c>
      <c r="C10" s="28">
        <f>ChapterMaster!$D$7</f>
        <v/>
      </c>
      <c r="D10" s="29">
        <f>ChapterMaster!$E$7</f>
        <v/>
      </c>
      <c r="E10" s="29">
        <f>IF(ChapterMaster!$G7=0,"",ChapterMaster!$G7)</f>
        <v/>
      </c>
      <c r="F10" s="30">
        <f>IF(OR(ChapterMaster!$G7="",ChapterMaster!$G7=0),"",IF(ChapterMaster!$G7&gt;ChapterMaster!$E7,ROUND(ChapterMaster!$G7-ChapterMaster!$E7,2),""))</f>
        <v/>
      </c>
      <c r="G10" s="28">
        <f>IF($F10="","","#101 (Addendum to BPOC)")</f>
        <v/>
      </c>
    </row>
    <row r="11">
      <c r="B11" s="28">
        <f>ChapterMaster!$C$8</f>
        <v/>
      </c>
      <c r="C11" s="28">
        <f>ChapterMaster!$D$8</f>
        <v/>
      </c>
      <c r="D11" s="29">
        <f>ChapterMaster!$E$8</f>
        <v/>
      </c>
      <c r="E11" s="29">
        <f>IF(ChapterMaster!$G8=0,"",ChapterMaster!$G8)</f>
        <v/>
      </c>
      <c r="F11" s="30">
        <f>IF(OR(ChapterMaster!$G8="",ChapterMaster!$G8=0),"",IF(ChapterMaster!$G8&gt;ChapterMaster!$E8,ROUND(ChapterMaster!$G8-ChapterMaster!$E8,2),""))</f>
        <v/>
      </c>
      <c r="G11" s="28">
        <f>IF($F11="","","#101 (Addendum to BPOC)")</f>
        <v/>
      </c>
    </row>
    <row r="12">
      <c r="B12" s="28">
        <f>ChapterMaster!$C$9</f>
        <v/>
      </c>
      <c r="C12" s="28">
        <f>ChapterMaster!$D$9</f>
        <v/>
      </c>
      <c r="D12" s="29">
        <f>ChapterMaster!$E$9</f>
        <v/>
      </c>
      <c r="E12" s="29">
        <f>IF(ChapterMaster!$G9=0,"",ChapterMaster!$G9)</f>
        <v/>
      </c>
      <c r="F12" s="30">
        <f>IF(OR(ChapterMaster!$G9="",ChapterMaster!$G9=0),"",IF(ChapterMaster!$G9&gt;ChapterMaster!$E9,ROUND(ChapterMaster!$G9-ChapterMaster!$E9,2),""))</f>
        <v/>
      </c>
      <c r="G12" s="28">
        <f>IF($F12="","","#101 (Addendum to BPOC)")</f>
        <v/>
      </c>
    </row>
    <row r="13">
      <c r="B13" s="28">
        <f>ChapterMaster!$C$10</f>
        <v/>
      </c>
      <c r="C13" s="28">
        <f>ChapterMaster!$D$10</f>
        <v/>
      </c>
      <c r="D13" s="29">
        <f>ChapterMaster!$E$10</f>
        <v/>
      </c>
      <c r="E13" s="29">
        <f>IF(ChapterMaster!$G10=0,"",ChapterMaster!$G10)</f>
        <v/>
      </c>
      <c r="F13" s="30">
        <f>IF(OR(ChapterMaster!$G10="",ChapterMaster!$G10=0),"",IF(ChapterMaster!$G10&gt;ChapterMaster!$E10,ROUND(ChapterMaster!$G10-ChapterMaster!$E10,2),""))</f>
        <v/>
      </c>
      <c r="G13" s="28">
        <f>IF($F13="","","#101 (Addendum to BPOC)")</f>
        <v/>
      </c>
    </row>
    <row r="14">
      <c r="B14" s="28">
        <f>ChapterMaster!$C$11</f>
        <v/>
      </c>
      <c r="C14" s="28">
        <f>ChapterMaster!$D$11</f>
        <v/>
      </c>
      <c r="D14" s="29">
        <f>ChapterMaster!$E$11</f>
        <v/>
      </c>
      <c r="E14" s="29">
        <f>IF(ChapterMaster!$G11=0,"",ChapterMaster!$G11)</f>
        <v/>
      </c>
      <c r="F14" s="30">
        <f>IF(OR(ChapterMaster!$G11="",ChapterMaster!$G11=0),"",IF(ChapterMaster!$G11&gt;ChapterMaster!$E11,ROUND(ChapterMaster!$G11-ChapterMaster!$E11,2),""))</f>
        <v/>
      </c>
      <c r="G14" s="28">
        <f>IF($F14="","","#101 (Addendum to BPOC)")</f>
        <v/>
      </c>
    </row>
    <row r="15">
      <c r="B15" s="28">
        <f>ChapterMaster!$C$12</f>
        <v/>
      </c>
      <c r="C15" s="28">
        <f>ChapterMaster!$D$12</f>
        <v/>
      </c>
      <c r="D15" s="29">
        <f>ChapterMaster!$E$12</f>
        <v/>
      </c>
      <c r="E15" s="29">
        <f>IF(ChapterMaster!$G12=0,"",ChapterMaster!$G12)</f>
        <v/>
      </c>
      <c r="F15" s="30">
        <f>IF(OR(ChapterMaster!$G12="",ChapterMaster!$G12=0),"",IF(ChapterMaster!$G12&gt;ChapterMaster!$E12,ROUND(ChapterMaster!$G12-ChapterMaster!$E12,2),""))</f>
        <v/>
      </c>
      <c r="G15" s="28">
        <f>IF($F15="","","#101 (Addendum to BPOC)")</f>
        <v/>
      </c>
    </row>
    <row r="16">
      <c r="B16" s="28">
        <f>ChapterMaster!$C$13</f>
        <v/>
      </c>
      <c r="C16" s="28">
        <f>ChapterMaster!$D$13</f>
        <v/>
      </c>
      <c r="D16" s="29">
        <f>ChapterMaster!$E$13</f>
        <v/>
      </c>
      <c r="E16" s="29">
        <f>IF(ChapterMaster!$G13=0,"",ChapterMaster!$G13)</f>
        <v/>
      </c>
      <c r="F16" s="30">
        <f>IF(OR(ChapterMaster!$G13="",ChapterMaster!$G13=0),"",IF(ChapterMaster!$G13&gt;ChapterMaster!$E13,ROUND(ChapterMaster!$G13-ChapterMaster!$E13,2),""))</f>
        <v/>
      </c>
      <c r="G16" s="28">
        <f>IF($F16="","","#101 (Addendum to BPOC)")</f>
        <v/>
      </c>
    </row>
    <row r="17">
      <c r="B17" s="28">
        <f>ChapterMaster!$C$14</f>
        <v/>
      </c>
      <c r="C17" s="28">
        <f>ChapterMaster!$D$14</f>
        <v/>
      </c>
      <c r="D17" s="29">
        <f>ChapterMaster!$E$14</f>
        <v/>
      </c>
      <c r="E17" s="29">
        <f>IF(ChapterMaster!$G14=0,"",ChapterMaster!$G14)</f>
        <v/>
      </c>
      <c r="F17" s="30">
        <f>IF(OR(ChapterMaster!$G14="",ChapterMaster!$G14=0),"",IF(ChapterMaster!$G14&gt;ChapterMaster!$E14,ROUND(ChapterMaster!$G14-ChapterMaster!$E14,2),""))</f>
        <v/>
      </c>
      <c r="G17" s="28">
        <f>IF($F17="","","#101 (Addendum to BPOC)")</f>
        <v/>
      </c>
    </row>
    <row r="18">
      <c r="B18" s="28">
        <f>ChapterMaster!$C$15</f>
        <v/>
      </c>
      <c r="C18" s="28">
        <f>ChapterMaster!$D$15</f>
        <v/>
      </c>
      <c r="D18" s="29">
        <f>ChapterMaster!$E$15</f>
        <v/>
      </c>
      <c r="E18" s="29">
        <f>IF(ChapterMaster!$G15=0,"",ChapterMaster!$G15)</f>
        <v/>
      </c>
      <c r="F18" s="30">
        <f>IF(OR(ChapterMaster!$G15="",ChapterMaster!$G15=0),"",IF(ChapterMaster!$G15&gt;ChapterMaster!$E15,ROUND(ChapterMaster!$G15-ChapterMaster!$E15,2),""))</f>
        <v/>
      </c>
      <c r="G18" s="28">
        <f>IF($F18="","","#101 (Addendum to BPOC)")</f>
        <v/>
      </c>
    </row>
    <row r="19">
      <c r="B19" s="28">
        <f>ChapterMaster!$C$16</f>
        <v/>
      </c>
      <c r="C19" s="28">
        <f>ChapterMaster!$D$16</f>
        <v/>
      </c>
      <c r="D19" s="29">
        <f>ChapterMaster!$E$16</f>
        <v/>
      </c>
      <c r="E19" s="29">
        <f>IF(ChapterMaster!$G16=0,"",ChapterMaster!$G16)</f>
        <v/>
      </c>
      <c r="F19" s="30">
        <f>IF(OR(ChapterMaster!$G16="",ChapterMaster!$G16=0),"",IF(ChapterMaster!$G16&gt;ChapterMaster!$E16,ROUND(ChapterMaster!$G16-ChapterMaster!$E16,2),""))</f>
        <v/>
      </c>
      <c r="G19" s="28">
        <f>IF($F19="","","#101 (Addendum to BPOC)")</f>
        <v/>
      </c>
    </row>
    <row r="20">
      <c r="B20" s="28">
        <f>ChapterMaster!$C$17</f>
        <v/>
      </c>
      <c r="C20" s="28">
        <f>ChapterMaster!$D$17</f>
        <v/>
      </c>
      <c r="D20" s="29">
        <f>ChapterMaster!$E$17</f>
        <v/>
      </c>
      <c r="E20" s="29">
        <f>IF(ChapterMaster!$G17=0,"",ChapterMaster!$G17)</f>
        <v/>
      </c>
      <c r="F20" s="30">
        <f>IF(OR(ChapterMaster!$G17="",ChapterMaster!$G17=0),"",IF(ChapterMaster!$G17&gt;ChapterMaster!$E17,ROUND(ChapterMaster!$G17-ChapterMaster!$E17,2),""))</f>
        <v/>
      </c>
      <c r="G20" s="28">
        <f>IF($F20="","","#101 (Addendum to BPOC)")</f>
        <v/>
      </c>
    </row>
    <row r="21">
      <c r="B21" s="28">
        <f>ChapterMaster!$C$18</f>
        <v/>
      </c>
      <c r="C21" s="28">
        <f>ChapterMaster!$D$18</f>
        <v/>
      </c>
      <c r="D21" s="29">
        <f>ChapterMaster!$E$18</f>
        <v/>
      </c>
      <c r="E21" s="29">
        <f>IF(ChapterMaster!$G18=0,"",ChapterMaster!$G18)</f>
        <v/>
      </c>
      <c r="F21" s="30">
        <f>IF(OR(ChapterMaster!$G18="",ChapterMaster!$G18=0),"",IF(ChapterMaster!$G18&gt;ChapterMaster!$E18,ROUND(ChapterMaster!$G18-ChapterMaster!$E18,2),""))</f>
        <v/>
      </c>
      <c r="G21" s="28">
        <f>IF($F21="","","#101 (Addendum to BPOC)")</f>
        <v/>
      </c>
    </row>
    <row r="22">
      <c r="B22" s="28">
        <f>ChapterMaster!$C$19</f>
        <v/>
      </c>
      <c r="C22" s="28">
        <f>ChapterMaster!$D$19</f>
        <v/>
      </c>
      <c r="D22" s="29">
        <f>ChapterMaster!$E$19</f>
        <v/>
      </c>
      <c r="E22" s="29">
        <f>IF(ChapterMaster!$G19=0,"",ChapterMaster!$G19)</f>
        <v/>
      </c>
      <c r="F22" s="30">
        <f>IF(OR(ChapterMaster!$G19="",ChapterMaster!$G19=0),"",IF(ChapterMaster!$G19&gt;ChapterMaster!$E19,ROUND(ChapterMaster!$G19-ChapterMaster!$E19,2),""))</f>
        <v/>
      </c>
      <c r="G22" s="28">
        <f>IF($F22="","","#101 (Addendum to BPOC)")</f>
        <v/>
      </c>
    </row>
    <row r="23">
      <c r="B23" s="28">
        <f>ChapterMaster!$C$20</f>
        <v/>
      </c>
      <c r="C23" s="28">
        <f>ChapterMaster!$D$20</f>
        <v/>
      </c>
      <c r="D23" s="29">
        <f>ChapterMaster!$E$20</f>
        <v/>
      </c>
      <c r="E23" s="29">
        <f>IF(ChapterMaster!$G20=0,"",ChapterMaster!$G20)</f>
        <v/>
      </c>
      <c r="F23" s="30">
        <f>IF(OR(ChapterMaster!$G20="",ChapterMaster!$G20=0),"",IF(ChapterMaster!$G20&gt;ChapterMaster!$E20,ROUND(ChapterMaster!$G20-ChapterMaster!$E20,2),""))</f>
        <v/>
      </c>
      <c r="G23" s="28">
        <f>IF($F23="","","#101 (Addendum to BPOC)")</f>
        <v/>
      </c>
    </row>
    <row r="24">
      <c r="B24" s="28">
        <f>ChapterMaster!$C$21</f>
        <v/>
      </c>
      <c r="C24" s="28">
        <f>ChapterMaster!$D$21</f>
        <v/>
      </c>
      <c r="D24" s="29">
        <f>ChapterMaster!$E$21</f>
        <v/>
      </c>
      <c r="E24" s="29">
        <f>IF(ChapterMaster!$G21=0,"",ChapterMaster!$G21)</f>
        <v/>
      </c>
      <c r="F24" s="30">
        <f>IF(OR(ChapterMaster!$G21="",ChapterMaster!$G21=0),"",IF(ChapterMaster!$G21&gt;ChapterMaster!$E21,ROUND(ChapterMaster!$G21-ChapterMaster!$E21,2),""))</f>
        <v/>
      </c>
      <c r="G24" s="28">
        <f>IF($F24="","","#101 (Addendum to BPOC)")</f>
        <v/>
      </c>
    </row>
    <row r="25">
      <c r="B25" s="28">
        <f>ChapterMaster!$C$22</f>
        <v/>
      </c>
      <c r="C25" s="28">
        <f>ChapterMaster!$D$22</f>
        <v/>
      </c>
      <c r="D25" s="29">
        <f>ChapterMaster!$E$22</f>
        <v/>
      </c>
      <c r="E25" s="29">
        <f>IF(ChapterMaster!$G22=0,"",ChapterMaster!$G22)</f>
        <v/>
      </c>
      <c r="F25" s="30">
        <f>IF(OR(ChapterMaster!$G22="",ChapterMaster!$G22=0),"",IF(ChapterMaster!$G22&gt;ChapterMaster!$E22,ROUND(ChapterMaster!$G22-ChapterMaster!$E22,2),""))</f>
        <v/>
      </c>
      <c r="G25" s="28">
        <f>IF($F25="","","#101 (Addendum to BPOC)")</f>
        <v/>
      </c>
    </row>
    <row r="26">
      <c r="B26" s="28">
        <f>ChapterMaster!$C$23</f>
        <v/>
      </c>
      <c r="C26" s="28">
        <f>ChapterMaster!$D$23</f>
        <v/>
      </c>
      <c r="D26" s="29">
        <f>ChapterMaster!$E$23</f>
        <v/>
      </c>
      <c r="E26" s="29">
        <f>IF(ChapterMaster!$G23=0,"",ChapterMaster!$G23)</f>
        <v/>
      </c>
      <c r="F26" s="30">
        <f>IF(OR(ChapterMaster!$G23="",ChapterMaster!$G23=0),"",IF(ChapterMaster!$G23&gt;ChapterMaster!$E23,ROUND(ChapterMaster!$G23-ChapterMaster!$E23,2),""))</f>
        <v/>
      </c>
      <c r="G26" s="28">
        <f>IF($F26="","","#101 (Addendum to BPOC)")</f>
        <v/>
      </c>
    </row>
    <row r="27">
      <c r="B27" s="28">
        <f>ChapterMaster!$C$24</f>
        <v/>
      </c>
      <c r="C27" s="28">
        <f>ChapterMaster!$D$24</f>
        <v/>
      </c>
      <c r="D27" s="29">
        <f>ChapterMaster!$E$24</f>
        <v/>
      </c>
      <c r="E27" s="29">
        <f>IF(ChapterMaster!$G24=0,"",ChapterMaster!$G24)</f>
        <v/>
      </c>
      <c r="F27" s="30">
        <f>IF(OR(ChapterMaster!$G24="",ChapterMaster!$G24=0),"",IF(ChapterMaster!$G24&gt;ChapterMaster!$E24,ROUND(ChapterMaster!$G24-ChapterMaster!$E24,2),""))</f>
        <v/>
      </c>
      <c r="G27" s="28">
        <f>IF($F27="","","#101 (Addendum to BPOC)")</f>
        <v/>
      </c>
    </row>
    <row r="28">
      <c r="B28" s="28">
        <f>ChapterMaster!$C$25</f>
        <v/>
      </c>
      <c r="C28" s="28">
        <f>ChapterMaster!$D$25</f>
        <v/>
      </c>
      <c r="D28" s="29">
        <f>ChapterMaster!$E$25</f>
        <v/>
      </c>
      <c r="E28" s="29">
        <f>IF(ChapterMaster!$G25=0,"",ChapterMaster!$G25)</f>
        <v/>
      </c>
      <c r="F28" s="30">
        <f>IF(OR(ChapterMaster!$G25="",ChapterMaster!$G25=0),"",IF(ChapterMaster!$G25&gt;ChapterMaster!$E25,ROUND(ChapterMaster!$G25-ChapterMaster!$E25,2),""))</f>
        <v/>
      </c>
      <c r="G28" s="28">
        <f>IF($F28="","","#101 (Addendum to BPOC)")</f>
        <v/>
      </c>
    </row>
    <row r="29">
      <c r="B29" s="28">
        <f>ChapterMaster!$C$26</f>
        <v/>
      </c>
      <c r="C29" s="28">
        <f>ChapterMaster!$D$26</f>
        <v/>
      </c>
      <c r="D29" s="29">
        <f>ChapterMaster!$E$26</f>
        <v/>
      </c>
      <c r="E29" s="29">
        <f>IF(ChapterMaster!$G26=0,"",ChapterMaster!$G26)</f>
        <v/>
      </c>
      <c r="F29" s="30">
        <f>IF(OR(ChapterMaster!$G26="",ChapterMaster!$G26=0),"",IF(ChapterMaster!$G26&gt;ChapterMaster!$E26,ROUND(ChapterMaster!$G26-ChapterMaster!$E26,2),""))</f>
        <v/>
      </c>
      <c r="G29" s="28">
        <f>IF($F29="","","#101 (Addendum to BPOC)")</f>
        <v/>
      </c>
    </row>
    <row r="30">
      <c r="B30" s="28">
        <f>ChapterMaster!$C$27</f>
        <v/>
      </c>
      <c r="C30" s="28">
        <f>ChapterMaster!$D$27</f>
        <v/>
      </c>
      <c r="D30" s="29">
        <f>ChapterMaster!$E$27</f>
        <v/>
      </c>
      <c r="E30" s="29">
        <f>IF(ChapterMaster!$G27=0,"",ChapterMaster!$G27)</f>
        <v/>
      </c>
      <c r="F30" s="30">
        <f>IF(OR(ChapterMaster!$G27="",ChapterMaster!$G27=0),"",IF(ChapterMaster!$G27&gt;ChapterMaster!$E27,ROUND(ChapterMaster!$G27-ChapterMaster!$E27,2),""))</f>
        <v/>
      </c>
      <c r="G30" s="28">
        <f>IF($F30="","","#101 (Addendum to BPOC)")</f>
        <v/>
      </c>
    </row>
    <row r="31">
      <c r="B31" s="28">
        <f>ChapterMaster!$C$28</f>
        <v/>
      </c>
      <c r="C31" s="28">
        <f>ChapterMaster!$D$28</f>
        <v/>
      </c>
      <c r="D31" s="29">
        <f>ChapterMaster!$E$28</f>
        <v/>
      </c>
      <c r="E31" s="29">
        <f>IF(ChapterMaster!$G28=0,"",ChapterMaster!$G28)</f>
        <v/>
      </c>
      <c r="F31" s="30">
        <f>IF(OR(ChapterMaster!$G28="",ChapterMaster!$G28=0),"",IF(ChapterMaster!$G28&gt;ChapterMaster!$E28,ROUND(ChapterMaster!$G28-ChapterMaster!$E28,2),""))</f>
        <v/>
      </c>
      <c r="G31" s="28">
        <f>IF($F31="","","#101 (Addendum to BPOC)")</f>
        <v/>
      </c>
    </row>
    <row r="32">
      <c r="B32" s="28">
        <f>ChapterMaster!$C$29</f>
        <v/>
      </c>
      <c r="C32" s="28">
        <f>ChapterMaster!$D$29</f>
        <v/>
      </c>
      <c r="D32" s="29">
        <f>ChapterMaster!$E$29</f>
        <v/>
      </c>
      <c r="E32" s="29">
        <f>IF(ChapterMaster!$G29=0,"",ChapterMaster!$G29)</f>
        <v/>
      </c>
      <c r="F32" s="30">
        <f>IF(OR(ChapterMaster!$G29="",ChapterMaster!$G29=0),"",IF(ChapterMaster!$G29&gt;ChapterMaster!$E29,ROUND(ChapterMaster!$G29-ChapterMaster!$E29,2),""))</f>
        <v/>
      </c>
      <c r="G32" s="28">
        <f>IF($F32="","","#101 (Addendum to BPOC)")</f>
        <v/>
      </c>
    </row>
    <row r="33">
      <c r="B33" s="28">
        <f>ChapterMaster!$C$30</f>
        <v/>
      </c>
      <c r="C33" s="28">
        <f>ChapterMaster!$D$30</f>
        <v/>
      </c>
      <c r="D33" s="29">
        <f>ChapterMaster!$E$30</f>
        <v/>
      </c>
      <c r="E33" s="29">
        <f>IF(ChapterMaster!$G30=0,"",ChapterMaster!$G30)</f>
        <v/>
      </c>
      <c r="F33" s="30">
        <f>IF(OR(ChapterMaster!$G30="",ChapterMaster!$G30=0),"",IF(ChapterMaster!$G30&gt;ChapterMaster!$E30,ROUND(ChapterMaster!$G30-ChapterMaster!$E30,2),""))</f>
        <v/>
      </c>
      <c r="G33" s="28">
        <f>IF($F33="","","#101 (Addendum to BPOC)")</f>
        <v/>
      </c>
    </row>
    <row r="34">
      <c r="B34" s="28">
        <f>ChapterMaster!$C$31</f>
        <v/>
      </c>
      <c r="C34" s="28">
        <f>ChapterMaster!$D$31</f>
        <v/>
      </c>
      <c r="D34" s="29">
        <f>ChapterMaster!$E$31</f>
        <v/>
      </c>
      <c r="E34" s="29">
        <f>IF(ChapterMaster!$G31=0,"",ChapterMaster!$G31)</f>
        <v/>
      </c>
      <c r="F34" s="30">
        <f>IF(OR(ChapterMaster!$G31="",ChapterMaster!$G31=0),"",IF(ChapterMaster!$G31&gt;ChapterMaster!$E31,ROUND(ChapterMaster!$G31-ChapterMaster!$E31,2),""))</f>
        <v/>
      </c>
      <c r="G34" s="28">
        <f>IF($F34="","","#101 (Addendum to BPOC)")</f>
        <v/>
      </c>
    </row>
    <row r="35">
      <c r="B35" s="28">
        <f>ChapterMaster!$C$32</f>
        <v/>
      </c>
      <c r="C35" s="28">
        <f>ChapterMaster!$D$32</f>
        <v/>
      </c>
      <c r="D35" s="29">
        <f>ChapterMaster!$E$32</f>
        <v/>
      </c>
      <c r="E35" s="29">
        <f>IF(ChapterMaster!$G32=0,"",ChapterMaster!$G32)</f>
        <v/>
      </c>
      <c r="F35" s="30">
        <f>IF(OR(ChapterMaster!$G32="",ChapterMaster!$G32=0),"",IF(ChapterMaster!$G32&gt;ChapterMaster!$E32,ROUND(ChapterMaster!$G32-ChapterMaster!$E32,2),""))</f>
        <v/>
      </c>
      <c r="G35" s="28">
        <f>IF($F35="","","#101 (Addendum to BPOC)")</f>
        <v/>
      </c>
    </row>
    <row r="36">
      <c r="B36" s="28">
        <f>ChapterMaster!$C$33</f>
        <v/>
      </c>
      <c r="C36" s="28">
        <f>ChapterMaster!$D$33</f>
        <v/>
      </c>
      <c r="D36" s="29">
        <f>ChapterMaster!$E$33</f>
        <v/>
      </c>
      <c r="E36" s="29">
        <f>IF(ChapterMaster!$G33=0,"",ChapterMaster!$G33)</f>
        <v/>
      </c>
      <c r="F36" s="30">
        <f>IF(OR(ChapterMaster!$G33="",ChapterMaster!$G33=0),"",IF(ChapterMaster!$G33&gt;ChapterMaster!$E33,ROUND(ChapterMaster!$G33-ChapterMaster!$E33,2),""))</f>
        <v/>
      </c>
      <c r="G36" s="28">
        <f>IF($F36="","","#101 (Addendum to BPOC)")</f>
        <v/>
      </c>
    </row>
    <row r="37">
      <c r="B37" s="28">
        <f>ChapterMaster!$C$34</f>
        <v/>
      </c>
      <c r="C37" s="28">
        <f>ChapterMaster!$D$34</f>
        <v/>
      </c>
      <c r="D37" s="29">
        <f>ChapterMaster!$E$34</f>
        <v/>
      </c>
      <c r="E37" s="29">
        <f>IF(ChapterMaster!$G34=0,"",ChapterMaster!$G34)</f>
        <v/>
      </c>
      <c r="F37" s="30">
        <f>IF(OR(ChapterMaster!$G34="",ChapterMaster!$G34=0),"",IF(ChapterMaster!$G34&gt;ChapterMaster!$E34,ROUND(ChapterMaster!$G34-ChapterMaster!$E34,2),""))</f>
        <v/>
      </c>
      <c r="G37" s="28">
        <f>IF($F37="","","#101 (Addendum to BPOC)")</f>
        <v/>
      </c>
    </row>
    <row r="38">
      <c r="B38" s="28">
        <f>ChapterMaster!$C$35</f>
        <v/>
      </c>
      <c r="C38" s="28">
        <f>ChapterMaster!$D$35</f>
        <v/>
      </c>
      <c r="D38" s="29">
        <f>ChapterMaster!$E$35</f>
        <v/>
      </c>
      <c r="E38" s="29">
        <f>IF(ChapterMaster!$G35=0,"",ChapterMaster!$G35)</f>
        <v/>
      </c>
      <c r="F38" s="30">
        <f>IF(OR(ChapterMaster!$G35="",ChapterMaster!$G35=0),"",IF(ChapterMaster!$G35&gt;ChapterMaster!$E35,ROUND(ChapterMaster!$G35-ChapterMaster!$E35,2),""))</f>
        <v/>
      </c>
      <c r="G38" s="28">
        <f>IF($F38="","","#101 (Addendum to BPOC)")</f>
        <v/>
      </c>
    </row>
    <row r="39">
      <c r="B39" s="28">
        <f>ChapterMaster!$C$36</f>
        <v/>
      </c>
      <c r="C39" s="28">
        <f>ChapterMaster!$D$36</f>
        <v/>
      </c>
      <c r="D39" s="29">
        <f>ChapterMaster!$E$36</f>
        <v/>
      </c>
      <c r="E39" s="29">
        <f>IF(ChapterMaster!$G36=0,"",ChapterMaster!$G36)</f>
        <v/>
      </c>
      <c r="F39" s="30">
        <f>IF(OR(ChapterMaster!$G36="",ChapterMaster!$G36=0),"",IF(ChapterMaster!$G36&gt;ChapterMaster!$E36,ROUND(ChapterMaster!$G36-ChapterMaster!$E36,2),""))</f>
        <v/>
      </c>
      <c r="G39" s="28">
        <f>IF($F39="","","#101 (Addendum to BPOC)")</f>
        <v/>
      </c>
    </row>
    <row r="40">
      <c r="B40" s="28">
        <f>ChapterMaster!$C$37</f>
        <v/>
      </c>
      <c r="C40" s="28">
        <f>ChapterMaster!$D$37</f>
        <v/>
      </c>
      <c r="D40" s="29">
        <f>ChapterMaster!$E$37</f>
        <v/>
      </c>
      <c r="E40" s="29">
        <f>IF(ChapterMaster!$G37=0,"",ChapterMaster!$G37)</f>
        <v/>
      </c>
      <c r="F40" s="30">
        <f>IF(OR(ChapterMaster!$G37="",ChapterMaster!$G37=0),"",IF(ChapterMaster!$G37&gt;ChapterMaster!$E37,ROUND(ChapterMaster!$G37-ChapterMaster!$E37,2),""))</f>
        <v/>
      </c>
      <c r="G40" s="28">
        <f>IF($F40="","","#2040 (Arrest and Control)")</f>
        <v/>
      </c>
    </row>
    <row r="41">
      <c r="B41" s="28">
        <f>ChapterMaster!$C$38</f>
        <v/>
      </c>
      <c r="C41" s="28">
        <f>ChapterMaster!$D$38</f>
        <v/>
      </c>
      <c r="D41" s="29">
        <f>ChapterMaster!$E$38</f>
        <v/>
      </c>
      <c r="E41" s="29">
        <f>IF(ChapterMaster!$G38=0,"",ChapterMaster!$G38)</f>
        <v/>
      </c>
      <c r="F41" s="30">
        <f>IF(OR(ChapterMaster!$G38="",ChapterMaster!$G38=0),"",IF(ChapterMaster!$G38&gt;ChapterMaster!$E38,ROUND(ChapterMaster!$G38-ChapterMaster!$E38,2),""))</f>
        <v/>
      </c>
      <c r="G41" s="28">
        <f>IF($F41="","","#101 (Addendum to BPOC)")</f>
        <v/>
      </c>
    </row>
    <row r="42">
      <c r="B42" s="28">
        <f>ChapterMaster!$C$39</f>
        <v/>
      </c>
      <c r="C42" s="28">
        <f>ChapterMaster!$D$39</f>
        <v/>
      </c>
      <c r="D42" s="29">
        <f>ChapterMaster!$E$39</f>
        <v/>
      </c>
      <c r="E42" s="29">
        <f>IF(ChapterMaster!$G39=0,"",ChapterMaster!$G39)</f>
        <v/>
      </c>
      <c r="F42" s="30">
        <f>IF(OR(ChapterMaster!$G39="",ChapterMaster!$G39=0),"",IF(ChapterMaster!$G39&gt;ChapterMaster!$E39,ROUND(ChapterMaster!$G39-ChapterMaster!$E39,2),""))</f>
        <v/>
      </c>
      <c r="G42" s="28">
        <f>IF($F42="","","#101 (Addendum to BPOC)")</f>
        <v/>
      </c>
    </row>
    <row r="43">
      <c r="B43" s="28">
        <f>ChapterMaster!$C$40</f>
        <v/>
      </c>
      <c r="C43" s="28">
        <f>ChapterMaster!$D$40</f>
        <v/>
      </c>
      <c r="D43" s="29">
        <f>ChapterMaster!$E$40</f>
        <v/>
      </c>
      <c r="E43" s="29">
        <f>IF(ChapterMaster!$G40=0,"",ChapterMaster!$G40)</f>
        <v/>
      </c>
      <c r="F43" s="30">
        <f>IF(OR(ChapterMaster!$G40="",ChapterMaster!$G40=0),"",IF(ChapterMaster!$G40&gt;ChapterMaster!$E40,ROUND(ChapterMaster!$G40-ChapterMaster!$E40,2),""))</f>
        <v/>
      </c>
      <c r="G43" s="28">
        <f>IF($F43="","","#2046 (Professional Police Driving)")</f>
        <v/>
      </c>
    </row>
    <row r="44">
      <c r="B44" s="28">
        <f>ChapterMaster!$C$41</f>
        <v/>
      </c>
      <c r="C44" s="28">
        <f>ChapterMaster!$D$41</f>
        <v/>
      </c>
      <c r="D44" s="29">
        <f>ChapterMaster!$E$41</f>
        <v/>
      </c>
      <c r="E44" s="29">
        <f>IF(ChapterMaster!$G41=0,"",ChapterMaster!$G41)</f>
        <v/>
      </c>
      <c r="F44" s="30">
        <f>IF(OR(ChapterMaster!$G41="",ChapterMaster!$G41=0),"",IF(ChapterMaster!$G41&gt;ChapterMaster!$E41,ROUND(ChapterMaster!$G41-ChapterMaster!$E41,2),""))</f>
        <v/>
      </c>
      <c r="G44" s="28">
        <f>IF($F44="","","#101 (Addendum to BPOC)")</f>
        <v/>
      </c>
    </row>
    <row r="45">
      <c r="B45" s="28">
        <f>ChapterMaster!$C$42</f>
        <v/>
      </c>
      <c r="C45" s="28">
        <f>ChapterMaster!$D$42</f>
        <v/>
      </c>
      <c r="D45" s="29">
        <f>ChapterMaster!$E$42</f>
        <v/>
      </c>
      <c r="E45" s="29">
        <f>IF(ChapterMaster!$G42=0,"",ChapterMaster!$G42)</f>
        <v/>
      </c>
      <c r="F45" s="30">
        <f>IF(OR(ChapterMaster!$G42="",ChapterMaster!$G42=0),"",IF(ChapterMaster!$G42&gt;ChapterMaster!$E42,ROUND(ChapterMaster!$G42-ChapterMaster!$E42,2),""))</f>
        <v/>
      </c>
      <c r="G45" s="28">
        <f>IF($F45="","","#101 (Addendum to BPOC)")</f>
        <v/>
      </c>
    </row>
    <row r="46">
      <c r="B46" s="28">
        <f>ChapterMaster!$C$43</f>
        <v/>
      </c>
      <c r="C46" s="28">
        <f>ChapterMaster!$D$43</f>
        <v/>
      </c>
      <c r="D46" s="29">
        <f>ChapterMaster!$E$43</f>
        <v/>
      </c>
      <c r="E46" s="29">
        <f>IF(ChapterMaster!$G43=0,"",ChapterMaster!$G43)</f>
        <v/>
      </c>
      <c r="F46" s="30">
        <f>IF(OR(ChapterMaster!$G43="",ChapterMaster!$G43=0),"",IF(ChapterMaster!$G43&gt;ChapterMaster!$E43,ROUND(ChapterMaster!$G43-ChapterMaster!$E43,2),""))</f>
        <v/>
      </c>
      <c r="G46" s="28">
        <f>IF($F46="","","#101 (Addendum to BPOC)")</f>
        <v/>
      </c>
    </row>
    <row r="47">
      <c r="B47" s="28">
        <f>ChapterMaster!$C$44</f>
        <v/>
      </c>
      <c r="C47" s="28">
        <f>ChapterMaster!$D$44</f>
        <v/>
      </c>
      <c r="D47" s="29">
        <f>ChapterMaster!$E$44</f>
        <v/>
      </c>
      <c r="E47" s="29">
        <f>IF(ChapterMaster!$G44=0,"",ChapterMaster!$G44)</f>
        <v/>
      </c>
      <c r="F47" s="30">
        <f>IF(OR(ChapterMaster!$G44="",ChapterMaster!$G44=0),"",IF(ChapterMaster!$G44&gt;ChapterMaster!$E44,ROUND(ChapterMaster!$G44-ChapterMaster!$E44,2),""))</f>
        <v/>
      </c>
      <c r="G47" s="28">
        <f>IF($F47="","","#101 (Addendum to BPOC)")</f>
        <v/>
      </c>
    </row>
    <row r="48">
      <c r="B48" s="28">
        <f>ChapterMaster!$C$45</f>
        <v/>
      </c>
      <c r="C48" s="28">
        <f>ChapterMaster!$D$45</f>
        <v/>
      </c>
      <c r="D48" s="29">
        <f>ChapterMaster!$E$45</f>
        <v/>
      </c>
      <c r="E48" s="29">
        <f>IF(ChapterMaster!$G45=0,"",ChapterMaster!$G45)</f>
        <v/>
      </c>
      <c r="F48" s="30">
        <f>IF(OR(ChapterMaster!$G45="",ChapterMaster!$G45=0),"",IF(ChapterMaster!$G45&gt;ChapterMaster!$E45,ROUND(ChapterMaster!$G45-ChapterMaster!$E45,2),""))</f>
        <v/>
      </c>
      <c r="G48" s="28">
        <f>IF($F48="","","#101 (Addendum to BPOC)")</f>
        <v/>
      </c>
    </row>
    <row r="49">
      <c r="B49" s="28">
        <f>ChapterMaster!$C$46</f>
        <v/>
      </c>
      <c r="C49" s="28">
        <f>ChapterMaster!$D$46</f>
        <v/>
      </c>
      <c r="D49" s="29">
        <f>ChapterMaster!$E$46</f>
        <v/>
      </c>
      <c r="E49" s="29">
        <f>IF(ChapterMaster!$G46=0,"",ChapterMaster!$G46)</f>
        <v/>
      </c>
      <c r="F49" s="30">
        <f>IF(OR(ChapterMaster!$G46="",ChapterMaster!$G46=0),"",IF(ChapterMaster!$G46&gt;ChapterMaster!$E46,ROUND(ChapterMaster!$G46-ChapterMaster!$E46,2),""))</f>
        <v/>
      </c>
      <c r="G49" s="28">
        <f>IF($F49="","","#101 (Addendum to BPOC)")</f>
        <v/>
      </c>
    </row>
    <row r="50">
      <c r="B50" s="28">
        <f>ChapterMaster!$C$47</f>
        <v/>
      </c>
      <c r="C50" s="28">
        <f>ChapterMaster!$D$47</f>
        <v/>
      </c>
      <c r="D50" s="29">
        <f>ChapterMaster!$E$47</f>
        <v/>
      </c>
      <c r="E50" s="29">
        <f>IF(ChapterMaster!$G47=0,"",ChapterMaster!$G47)</f>
        <v/>
      </c>
      <c r="F50" s="30">
        <f>IF(OR(ChapterMaster!$G47="",ChapterMaster!$G47=0),"",IF(ChapterMaster!$G47&gt;ChapterMaster!$E47,ROUND(ChapterMaster!$G47-ChapterMaster!$E47,2),""))</f>
        <v/>
      </c>
      <c r="G50" s="28">
        <f>IF($F50="","","#2055 (Firearms)")</f>
        <v/>
      </c>
    </row>
    <row r="51">
      <c r="B51" s="28">
        <f>ChapterMaster!$C$48</f>
        <v/>
      </c>
      <c r="C51" s="28">
        <f>ChapterMaster!$D$48</f>
        <v/>
      </c>
      <c r="D51" s="29">
        <f>ChapterMaster!$E$48</f>
        <v/>
      </c>
      <c r="E51" s="29">
        <f>IF(ChapterMaster!$G48=0,"",ChapterMaster!$G48)</f>
        <v/>
      </c>
      <c r="F51" s="30">
        <f>IF(OR(ChapterMaster!$G48="",ChapterMaster!$G48=0),"",IF(ChapterMaster!$G48&gt;ChapterMaster!$E48,ROUND(ChapterMaster!$G48-ChapterMaster!$E48,2),""))</f>
        <v/>
      </c>
      <c r="G51" s="28">
        <f>IF($F51="","","#101 (Addendum to BPOC)")</f>
        <v/>
      </c>
    </row>
    <row r="52">
      <c r="B52" s="28">
        <f>ChapterMaster!$C$49</f>
        <v/>
      </c>
      <c r="C52" s="28">
        <f>ChapterMaster!$D$49</f>
        <v/>
      </c>
      <c r="D52" s="29">
        <f>ChapterMaster!$E$49</f>
        <v/>
      </c>
      <c r="E52" s="29">
        <f>IF(ChapterMaster!$G49=0,"",ChapterMaster!$G49)</f>
        <v/>
      </c>
      <c r="F52" s="30">
        <f>IF(OR(ChapterMaster!$G49="",ChapterMaster!$G49=0),"",IF(ChapterMaster!$G49&gt;ChapterMaster!$E49,ROUND(ChapterMaster!$G49-ChapterMaster!$E49,2),""))</f>
        <v/>
      </c>
      <c r="G52" s="28">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3"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IFERROR(_xlfn._xlws.FILTER(_xlfn.HSTACK(nrInstrNames,nrInstrReady,nrInstrChTaught),ISNUMBER(SEARCH(", "&amp;cfgPacketChapter&amp;",",", "&amp;nrInstrChTaught&amp;","))),"—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IFERROR(_xlfn._xlws.FILTER(_xlfn.HSTACK(TEXT(nrSCH_Date,"mm/dd/yyyy"),TEXT(nrSCH_Start,"h:mm AM/PM"),TEXT(nrSCH_End,"h:mm AM/PM"),nrSCH_Act,nrSCH_Instr),nrSCH_ChNum=cfgPacketChapter),"—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1" selectUnlockedCells="1"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3"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9">
        <f>IF(Cadets!$B6="","",ROW()-10)</f>
        <v/>
      </c>
      <c r="C11" s="28">
        <f>IF(Cadets!$B6="","",Cadets!$F6)</f>
        <v/>
      </c>
      <c r="D11" s="29">
        <f>IF($C11="","",Cadets!$B6)</f>
        <v/>
      </c>
      <c r="E11" s="29">
        <f>IF($C11="","",Cadets!$H6)</f>
        <v/>
      </c>
      <c r="F11" s="29">
        <f>IF($C11="","",_xlfn.LET(_xlpm.c,IFERROR(INDEX(rngEPcode,MATCH(cfgGradeSheetExam,IFERROR(rngEPseq+0,-1),0)),""),IF(COUNTIFS(nrES_PID,Cadets!$B6,nrES_Code,_xlpm.c,nrES_Att,1)=0,"",SUMIFS(nrES_Raw,nrES_PID,Cadets!$B6,nrES_Code,_xlpm.c,nrES_Att,1))))</f>
        <v/>
      </c>
      <c r="G11" s="29">
        <f>IF($C11="","",_xlfn.LET(_xlpm.c,IFERROR(INDEX(rngEPcode,MATCH(cfgGradeSheetExam,IFERROR(rngEPseq+0,-1),0)),""),IF(COUNTIFS(nrES_PID,Cadets!$B6,nrES_Code,_xlpm.c,nrES_Final,"Yes",nrES_Rec,"&lt;&gt;")=0,"",SUMIFS(nrES_Rec,nrES_PID,Cadets!$B6,nrES_Code,_xlpm.c,nrES_Final,"Yes"))))</f>
        <v/>
      </c>
      <c r="H11" s="29">
        <f>IF(OR($C11="",$G11=""),"",IF($G11&gt;=cfgPassingScore,"Pass","FAIL"))</f>
        <v/>
      </c>
      <c r="I11" s="29">
        <f>IF($C11="","",_xlfn.LET(_xlpm.c,IFERROR(INDEX(rngEPcode,MATCH(cfgGradeSheetExam,IFERROR(rngEPseq+0,-1),0)),""),IF(COUNTIFS(nrES_PID,Cadets!$B6,nrES_Code,_xlpm.c,nrES_Att,2)&gt;0,"Retested","")))</f>
        <v/>
      </c>
    </row>
    <row r="12">
      <c r="B12" s="29">
        <f>IF(Cadets!$B7="","",ROW()-10)</f>
        <v/>
      </c>
      <c r="C12" s="28">
        <f>IF(Cadets!$B7="","",Cadets!$F7)</f>
        <v/>
      </c>
      <c r="D12" s="29">
        <f>IF($C12="","",Cadets!$B7)</f>
        <v/>
      </c>
      <c r="E12" s="29">
        <f>IF($C12="","",Cadets!$H7)</f>
        <v/>
      </c>
      <c r="F12" s="29">
        <f>IF($C12="","",_xlfn.LET(_xlpm.c,IFERROR(INDEX(rngEPcode,MATCH(cfgGradeSheetExam,IFERROR(rngEPseq+0,-1),0)),""),IF(COUNTIFS(nrES_PID,Cadets!$B7,nrES_Code,_xlpm.c,nrES_Att,1)=0,"",SUMIFS(nrES_Raw,nrES_PID,Cadets!$B7,nrES_Code,_xlpm.c,nrES_Att,1))))</f>
        <v/>
      </c>
      <c r="G12" s="29">
        <f>IF($C12="","",_xlfn.LET(_xlpm.c,IFERROR(INDEX(rngEPcode,MATCH(cfgGradeSheetExam,IFERROR(rngEPseq+0,-1),0)),""),IF(COUNTIFS(nrES_PID,Cadets!$B7,nrES_Code,_xlpm.c,nrES_Final,"Yes",nrES_Rec,"&lt;&gt;")=0,"",SUMIFS(nrES_Rec,nrES_PID,Cadets!$B7,nrES_Code,_xlpm.c,nrES_Final,"Yes"))))</f>
        <v/>
      </c>
      <c r="H12" s="29">
        <f>IF(OR($C12="",$G12=""),"",IF($G12&gt;=cfgPassingScore,"Pass","FAIL"))</f>
        <v/>
      </c>
      <c r="I12" s="29">
        <f>IF($C12="","",_xlfn.LET(_xlpm.c,IFERROR(INDEX(rngEPcode,MATCH(cfgGradeSheetExam,IFERROR(rngEPseq+0,-1),0)),""),IF(COUNTIFS(nrES_PID,Cadets!$B7,nrES_Code,_xlpm.c,nrES_Att,2)&gt;0,"Retested","")))</f>
        <v/>
      </c>
    </row>
    <row r="13">
      <c r="B13" s="29">
        <f>IF(Cadets!$B8="","",ROW()-10)</f>
        <v/>
      </c>
      <c r="C13" s="28">
        <f>IF(Cadets!$B8="","",Cadets!$F8)</f>
        <v/>
      </c>
      <c r="D13" s="29">
        <f>IF($C13="","",Cadets!$B8)</f>
        <v/>
      </c>
      <c r="E13" s="29">
        <f>IF($C13="","",Cadets!$H8)</f>
        <v/>
      </c>
      <c r="F13" s="29">
        <f>IF($C13="","",_xlfn.LET(_xlpm.c,IFERROR(INDEX(rngEPcode,MATCH(cfgGradeSheetExam,IFERROR(rngEPseq+0,-1),0)),""),IF(COUNTIFS(nrES_PID,Cadets!$B8,nrES_Code,_xlpm.c,nrES_Att,1)=0,"",SUMIFS(nrES_Raw,nrES_PID,Cadets!$B8,nrES_Code,_xlpm.c,nrES_Att,1))))</f>
        <v/>
      </c>
      <c r="G13" s="29">
        <f>IF($C13="","",_xlfn.LET(_xlpm.c,IFERROR(INDEX(rngEPcode,MATCH(cfgGradeSheetExam,IFERROR(rngEPseq+0,-1),0)),""),IF(COUNTIFS(nrES_PID,Cadets!$B8,nrES_Code,_xlpm.c,nrES_Final,"Yes",nrES_Rec,"&lt;&gt;")=0,"",SUMIFS(nrES_Rec,nrES_PID,Cadets!$B8,nrES_Code,_xlpm.c,nrES_Final,"Yes"))))</f>
        <v/>
      </c>
      <c r="H13" s="29">
        <f>IF(OR($C13="",$G13=""),"",IF($G13&gt;=cfgPassingScore,"Pass","FAIL"))</f>
        <v/>
      </c>
      <c r="I13" s="29">
        <f>IF($C13="","",_xlfn.LET(_xlpm.c,IFERROR(INDEX(rngEPcode,MATCH(cfgGradeSheetExam,IFERROR(rngEPseq+0,-1),0)),""),IF(COUNTIFS(nrES_PID,Cadets!$B8,nrES_Code,_xlpm.c,nrES_Att,2)&gt;0,"Retested","")))</f>
        <v/>
      </c>
    </row>
    <row r="14">
      <c r="B14" s="29">
        <f>IF(Cadets!$B9="","",ROW()-10)</f>
        <v/>
      </c>
      <c r="C14" s="28">
        <f>IF(Cadets!$B9="","",Cadets!$F9)</f>
        <v/>
      </c>
      <c r="D14" s="29">
        <f>IF($C14="","",Cadets!$B9)</f>
        <v/>
      </c>
      <c r="E14" s="29">
        <f>IF($C14="","",Cadets!$H9)</f>
        <v/>
      </c>
      <c r="F14" s="29">
        <f>IF($C14="","",_xlfn.LET(_xlpm.c,IFERROR(INDEX(rngEPcode,MATCH(cfgGradeSheetExam,IFERROR(rngEPseq+0,-1),0)),""),IF(COUNTIFS(nrES_PID,Cadets!$B9,nrES_Code,_xlpm.c,nrES_Att,1)=0,"",SUMIFS(nrES_Raw,nrES_PID,Cadets!$B9,nrES_Code,_xlpm.c,nrES_Att,1))))</f>
        <v/>
      </c>
      <c r="G14" s="29">
        <f>IF($C14="","",_xlfn.LET(_xlpm.c,IFERROR(INDEX(rngEPcode,MATCH(cfgGradeSheetExam,IFERROR(rngEPseq+0,-1),0)),""),IF(COUNTIFS(nrES_PID,Cadets!$B9,nrES_Code,_xlpm.c,nrES_Final,"Yes",nrES_Rec,"&lt;&gt;")=0,"",SUMIFS(nrES_Rec,nrES_PID,Cadets!$B9,nrES_Code,_xlpm.c,nrES_Final,"Yes"))))</f>
        <v/>
      </c>
      <c r="H14" s="29">
        <f>IF(OR($C14="",$G14=""),"",IF($G14&gt;=cfgPassingScore,"Pass","FAIL"))</f>
        <v/>
      </c>
      <c r="I14" s="29">
        <f>IF($C14="","",_xlfn.LET(_xlpm.c,IFERROR(INDEX(rngEPcode,MATCH(cfgGradeSheetExam,IFERROR(rngEPseq+0,-1),0)),""),IF(COUNTIFS(nrES_PID,Cadets!$B9,nrES_Code,_xlpm.c,nrES_Att,2)&gt;0,"Retested","")))</f>
        <v/>
      </c>
    </row>
    <row r="15">
      <c r="B15" s="29">
        <f>IF(Cadets!$B10="","",ROW()-10)</f>
        <v/>
      </c>
      <c r="C15" s="28">
        <f>IF(Cadets!$B10="","",Cadets!$F10)</f>
        <v/>
      </c>
      <c r="D15" s="29">
        <f>IF($C15="","",Cadets!$B10)</f>
        <v/>
      </c>
      <c r="E15" s="29">
        <f>IF($C15="","",Cadets!$H10)</f>
        <v/>
      </c>
      <c r="F15" s="29">
        <f>IF($C15="","",_xlfn.LET(_xlpm.c,IFERROR(INDEX(rngEPcode,MATCH(cfgGradeSheetExam,IFERROR(rngEPseq+0,-1),0)),""),IF(COUNTIFS(nrES_PID,Cadets!$B10,nrES_Code,_xlpm.c,nrES_Att,1)=0,"",SUMIFS(nrES_Raw,nrES_PID,Cadets!$B10,nrES_Code,_xlpm.c,nrES_Att,1))))</f>
        <v/>
      </c>
      <c r="G15" s="29">
        <f>IF($C15="","",_xlfn.LET(_xlpm.c,IFERROR(INDEX(rngEPcode,MATCH(cfgGradeSheetExam,IFERROR(rngEPseq+0,-1),0)),""),IF(COUNTIFS(nrES_PID,Cadets!$B10,nrES_Code,_xlpm.c,nrES_Final,"Yes",nrES_Rec,"&lt;&gt;")=0,"",SUMIFS(nrES_Rec,nrES_PID,Cadets!$B10,nrES_Code,_xlpm.c,nrES_Final,"Yes"))))</f>
        <v/>
      </c>
      <c r="H15" s="29">
        <f>IF(OR($C15="",$G15=""),"",IF($G15&gt;=cfgPassingScore,"Pass","FAIL"))</f>
        <v/>
      </c>
      <c r="I15" s="29">
        <f>IF($C15="","",_xlfn.LET(_xlpm.c,IFERROR(INDEX(rngEPcode,MATCH(cfgGradeSheetExam,IFERROR(rngEPseq+0,-1),0)),""),IF(COUNTIFS(nrES_PID,Cadets!$B10,nrES_Code,_xlpm.c,nrES_Att,2)&gt;0,"Retested","")))</f>
        <v/>
      </c>
    </row>
    <row r="16">
      <c r="B16" s="29">
        <f>IF(Cadets!$B11="","",ROW()-10)</f>
        <v/>
      </c>
      <c r="C16" s="28">
        <f>IF(Cadets!$B11="","",Cadets!$F11)</f>
        <v/>
      </c>
      <c r="D16" s="29">
        <f>IF($C16="","",Cadets!$B11)</f>
        <v/>
      </c>
      <c r="E16" s="29">
        <f>IF($C16="","",Cadets!$H11)</f>
        <v/>
      </c>
      <c r="F16" s="29">
        <f>IF($C16="","",_xlfn.LET(_xlpm.c,IFERROR(INDEX(rngEPcode,MATCH(cfgGradeSheetExam,IFERROR(rngEPseq+0,-1),0)),""),IF(COUNTIFS(nrES_PID,Cadets!$B11,nrES_Code,_xlpm.c,nrES_Att,1)=0,"",SUMIFS(nrES_Raw,nrES_PID,Cadets!$B11,nrES_Code,_xlpm.c,nrES_Att,1))))</f>
        <v/>
      </c>
      <c r="G16" s="29">
        <f>IF($C16="","",_xlfn.LET(_xlpm.c,IFERROR(INDEX(rngEPcode,MATCH(cfgGradeSheetExam,IFERROR(rngEPseq+0,-1),0)),""),IF(COUNTIFS(nrES_PID,Cadets!$B11,nrES_Code,_xlpm.c,nrES_Final,"Yes",nrES_Rec,"&lt;&gt;")=0,"",SUMIFS(nrES_Rec,nrES_PID,Cadets!$B11,nrES_Code,_xlpm.c,nrES_Final,"Yes"))))</f>
        <v/>
      </c>
      <c r="H16" s="29">
        <f>IF(OR($C16="",$G16=""),"",IF($G16&gt;=cfgPassingScore,"Pass","FAIL"))</f>
        <v/>
      </c>
      <c r="I16" s="29">
        <f>IF($C16="","",_xlfn.LET(_xlpm.c,IFERROR(INDEX(rngEPcode,MATCH(cfgGradeSheetExam,IFERROR(rngEPseq+0,-1),0)),""),IF(COUNTIFS(nrES_PID,Cadets!$B11,nrES_Code,_xlpm.c,nrES_Att,2)&gt;0,"Retested","")))</f>
        <v/>
      </c>
    </row>
    <row r="17">
      <c r="B17" s="29">
        <f>IF(Cadets!$B12="","",ROW()-10)</f>
        <v/>
      </c>
      <c r="C17" s="28">
        <f>IF(Cadets!$B12="","",Cadets!$F12)</f>
        <v/>
      </c>
      <c r="D17" s="29">
        <f>IF($C17="","",Cadets!$B12)</f>
        <v/>
      </c>
      <c r="E17" s="29">
        <f>IF($C17="","",Cadets!$H12)</f>
        <v/>
      </c>
      <c r="F17" s="29">
        <f>IF($C17="","",_xlfn.LET(_xlpm.c,IFERROR(INDEX(rngEPcode,MATCH(cfgGradeSheetExam,IFERROR(rngEPseq+0,-1),0)),""),IF(COUNTIFS(nrES_PID,Cadets!$B12,nrES_Code,_xlpm.c,nrES_Att,1)=0,"",SUMIFS(nrES_Raw,nrES_PID,Cadets!$B12,nrES_Code,_xlpm.c,nrES_Att,1))))</f>
        <v/>
      </c>
      <c r="G17" s="29">
        <f>IF($C17="","",_xlfn.LET(_xlpm.c,IFERROR(INDEX(rngEPcode,MATCH(cfgGradeSheetExam,IFERROR(rngEPseq+0,-1),0)),""),IF(COUNTIFS(nrES_PID,Cadets!$B12,nrES_Code,_xlpm.c,nrES_Final,"Yes",nrES_Rec,"&lt;&gt;")=0,"",SUMIFS(nrES_Rec,nrES_PID,Cadets!$B12,nrES_Code,_xlpm.c,nrES_Final,"Yes"))))</f>
        <v/>
      </c>
      <c r="H17" s="29">
        <f>IF(OR($C17="",$G17=""),"",IF($G17&gt;=cfgPassingScore,"Pass","FAIL"))</f>
        <v/>
      </c>
      <c r="I17" s="29">
        <f>IF($C17="","",_xlfn.LET(_xlpm.c,IFERROR(INDEX(rngEPcode,MATCH(cfgGradeSheetExam,IFERROR(rngEPseq+0,-1),0)),""),IF(COUNTIFS(nrES_PID,Cadets!$B12,nrES_Code,_xlpm.c,nrES_Att,2)&gt;0,"Retested","")))</f>
        <v/>
      </c>
    </row>
    <row r="18">
      <c r="B18" s="29">
        <f>IF(Cadets!$B13="","",ROW()-10)</f>
        <v/>
      </c>
      <c r="C18" s="28">
        <f>IF(Cadets!$B13="","",Cadets!$F13)</f>
        <v/>
      </c>
      <c r="D18" s="29">
        <f>IF($C18="","",Cadets!$B13)</f>
        <v/>
      </c>
      <c r="E18" s="29">
        <f>IF($C18="","",Cadets!$H13)</f>
        <v/>
      </c>
      <c r="F18" s="29">
        <f>IF($C18="","",_xlfn.LET(_xlpm.c,IFERROR(INDEX(rngEPcode,MATCH(cfgGradeSheetExam,IFERROR(rngEPseq+0,-1),0)),""),IF(COUNTIFS(nrES_PID,Cadets!$B13,nrES_Code,_xlpm.c,nrES_Att,1)=0,"",SUMIFS(nrES_Raw,nrES_PID,Cadets!$B13,nrES_Code,_xlpm.c,nrES_Att,1))))</f>
        <v/>
      </c>
      <c r="G18" s="29">
        <f>IF($C18="","",_xlfn.LET(_xlpm.c,IFERROR(INDEX(rngEPcode,MATCH(cfgGradeSheetExam,IFERROR(rngEPseq+0,-1),0)),""),IF(COUNTIFS(nrES_PID,Cadets!$B13,nrES_Code,_xlpm.c,nrES_Final,"Yes",nrES_Rec,"&lt;&gt;")=0,"",SUMIFS(nrES_Rec,nrES_PID,Cadets!$B13,nrES_Code,_xlpm.c,nrES_Final,"Yes"))))</f>
        <v/>
      </c>
      <c r="H18" s="29">
        <f>IF(OR($C18="",$G18=""),"",IF($G18&gt;=cfgPassingScore,"Pass","FAIL"))</f>
        <v/>
      </c>
      <c r="I18" s="29">
        <f>IF($C18="","",_xlfn.LET(_xlpm.c,IFERROR(INDEX(rngEPcode,MATCH(cfgGradeSheetExam,IFERROR(rngEPseq+0,-1),0)),""),IF(COUNTIFS(nrES_PID,Cadets!$B13,nrES_Code,_xlpm.c,nrES_Att,2)&gt;0,"Retested","")))</f>
        <v/>
      </c>
    </row>
    <row r="19">
      <c r="B19" s="29">
        <f>IF(Cadets!$B14="","",ROW()-10)</f>
        <v/>
      </c>
      <c r="C19" s="28">
        <f>IF(Cadets!$B14="","",Cadets!$F14)</f>
        <v/>
      </c>
      <c r="D19" s="29">
        <f>IF($C19="","",Cadets!$B14)</f>
        <v/>
      </c>
      <c r="E19" s="29">
        <f>IF($C19="","",Cadets!$H14)</f>
        <v/>
      </c>
      <c r="F19" s="29">
        <f>IF($C19="","",_xlfn.LET(_xlpm.c,IFERROR(INDEX(rngEPcode,MATCH(cfgGradeSheetExam,IFERROR(rngEPseq+0,-1),0)),""),IF(COUNTIFS(nrES_PID,Cadets!$B14,nrES_Code,_xlpm.c,nrES_Att,1)=0,"",SUMIFS(nrES_Raw,nrES_PID,Cadets!$B14,nrES_Code,_xlpm.c,nrES_Att,1))))</f>
        <v/>
      </c>
      <c r="G19" s="29">
        <f>IF($C19="","",_xlfn.LET(_xlpm.c,IFERROR(INDEX(rngEPcode,MATCH(cfgGradeSheetExam,IFERROR(rngEPseq+0,-1),0)),""),IF(COUNTIFS(nrES_PID,Cadets!$B14,nrES_Code,_xlpm.c,nrES_Final,"Yes",nrES_Rec,"&lt;&gt;")=0,"",SUMIFS(nrES_Rec,nrES_PID,Cadets!$B14,nrES_Code,_xlpm.c,nrES_Final,"Yes"))))</f>
        <v/>
      </c>
      <c r="H19" s="29">
        <f>IF(OR($C19="",$G19=""),"",IF($G19&gt;=cfgPassingScore,"Pass","FAIL"))</f>
        <v/>
      </c>
      <c r="I19" s="29">
        <f>IF($C19="","",_xlfn.LET(_xlpm.c,IFERROR(INDEX(rngEPcode,MATCH(cfgGradeSheetExam,IFERROR(rngEPseq+0,-1),0)),""),IF(COUNTIFS(nrES_PID,Cadets!$B14,nrES_Code,_xlpm.c,nrES_Att,2)&gt;0,"Retested","")))</f>
        <v/>
      </c>
    </row>
    <row r="20">
      <c r="B20" s="29">
        <f>IF(Cadets!$B15="","",ROW()-10)</f>
        <v/>
      </c>
      <c r="C20" s="28">
        <f>IF(Cadets!$B15="","",Cadets!$F15)</f>
        <v/>
      </c>
      <c r="D20" s="29">
        <f>IF($C20="","",Cadets!$B15)</f>
        <v/>
      </c>
      <c r="E20" s="29">
        <f>IF($C20="","",Cadets!$H15)</f>
        <v/>
      </c>
      <c r="F20" s="29">
        <f>IF($C20="","",_xlfn.LET(_xlpm.c,IFERROR(INDEX(rngEPcode,MATCH(cfgGradeSheetExam,IFERROR(rngEPseq+0,-1),0)),""),IF(COUNTIFS(nrES_PID,Cadets!$B15,nrES_Code,_xlpm.c,nrES_Att,1)=0,"",SUMIFS(nrES_Raw,nrES_PID,Cadets!$B15,nrES_Code,_xlpm.c,nrES_Att,1))))</f>
        <v/>
      </c>
      <c r="G20" s="29">
        <f>IF($C20="","",_xlfn.LET(_xlpm.c,IFERROR(INDEX(rngEPcode,MATCH(cfgGradeSheetExam,IFERROR(rngEPseq+0,-1),0)),""),IF(COUNTIFS(nrES_PID,Cadets!$B15,nrES_Code,_xlpm.c,nrES_Final,"Yes",nrES_Rec,"&lt;&gt;")=0,"",SUMIFS(nrES_Rec,nrES_PID,Cadets!$B15,nrES_Code,_xlpm.c,nrES_Final,"Yes"))))</f>
        <v/>
      </c>
      <c r="H20" s="29">
        <f>IF(OR($C20="",$G20=""),"",IF($G20&gt;=cfgPassingScore,"Pass","FAIL"))</f>
        <v/>
      </c>
      <c r="I20" s="29">
        <f>IF($C20="","",_xlfn.LET(_xlpm.c,IFERROR(INDEX(rngEPcode,MATCH(cfgGradeSheetExam,IFERROR(rngEPseq+0,-1),0)),""),IF(COUNTIFS(nrES_PID,Cadets!$B15,nrES_Code,_xlpm.c,nrES_Att,2)&gt;0,"Retested","")))</f>
        <v/>
      </c>
    </row>
    <row r="21">
      <c r="B21" s="29">
        <f>IF(Cadets!$B16="","",ROW()-10)</f>
        <v/>
      </c>
      <c r="C21" s="28">
        <f>IF(Cadets!$B16="","",Cadets!$F16)</f>
        <v/>
      </c>
      <c r="D21" s="29">
        <f>IF($C21="","",Cadets!$B16)</f>
        <v/>
      </c>
      <c r="E21" s="29">
        <f>IF($C21="","",Cadets!$H16)</f>
        <v/>
      </c>
      <c r="F21" s="29">
        <f>IF($C21="","",_xlfn.LET(_xlpm.c,IFERROR(INDEX(rngEPcode,MATCH(cfgGradeSheetExam,IFERROR(rngEPseq+0,-1),0)),""),IF(COUNTIFS(nrES_PID,Cadets!$B16,nrES_Code,_xlpm.c,nrES_Att,1)=0,"",SUMIFS(nrES_Raw,nrES_PID,Cadets!$B16,nrES_Code,_xlpm.c,nrES_Att,1))))</f>
        <v/>
      </c>
      <c r="G21" s="29">
        <f>IF($C21="","",_xlfn.LET(_xlpm.c,IFERROR(INDEX(rngEPcode,MATCH(cfgGradeSheetExam,IFERROR(rngEPseq+0,-1),0)),""),IF(COUNTIFS(nrES_PID,Cadets!$B16,nrES_Code,_xlpm.c,nrES_Final,"Yes",nrES_Rec,"&lt;&gt;")=0,"",SUMIFS(nrES_Rec,nrES_PID,Cadets!$B16,nrES_Code,_xlpm.c,nrES_Final,"Yes"))))</f>
        <v/>
      </c>
      <c r="H21" s="29">
        <f>IF(OR($C21="",$G21=""),"",IF($G21&gt;=cfgPassingScore,"Pass","FAIL"))</f>
        <v/>
      </c>
      <c r="I21" s="29">
        <f>IF($C21="","",_xlfn.LET(_xlpm.c,IFERROR(INDEX(rngEPcode,MATCH(cfgGradeSheetExam,IFERROR(rngEPseq+0,-1),0)),""),IF(COUNTIFS(nrES_PID,Cadets!$B16,nrES_Code,_xlpm.c,nrES_Att,2)&gt;0,"Retested","")))</f>
        <v/>
      </c>
    </row>
    <row r="22">
      <c r="B22" s="29">
        <f>IF(Cadets!$B17="","",ROW()-10)</f>
        <v/>
      </c>
      <c r="C22" s="28">
        <f>IF(Cadets!$B17="","",Cadets!$F17)</f>
        <v/>
      </c>
      <c r="D22" s="29">
        <f>IF($C22="","",Cadets!$B17)</f>
        <v/>
      </c>
      <c r="E22" s="29">
        <f>IF($C22="","",Cadets!$H17)</f>
        <v/>
      </c>
      <c r="F22" s="29">
        <f>IF($C22="","",_xlfn.LET(_xlpm.c,IFERROR(INDEX(rngEPcode,MATCH(cfgGradeSheetExam,IFERROR(rngEPseq+0,-1),0)),""),IF(COUNTIFS(nrES_PID,Cadets!$B17,nrES_Code,_xlpm.c,nrES_Att,1)=0,"",SUMIFS(nrES_Raw,nrES_PID,Cadets!$B17,nrES_Code,_xlpm.c,nrES_Att,1))))</f>
        <v/>
      </c>
      <c r="G22" s="29">
        <f>IF($C22="","",_xlfn.LET(_xlpm.c,IFERROR(INDEX(rngEPcode,MATCH(cfgGradeSheetExam,IFERROR(rngEPseq+0,-1),0)),""),IF(COUNTIFS(nrES_PID,Cadets!$B17,nrES_Code,_xlpm.c,nrES_Final,"Yes",nrES_Rec,"&lt;&gt;")=0,"",SUMIFS(nrES_Rec,nrES_PID,Cadets!$B17,nrES_Code,_xlpm.c,nrES_Final,"Yes"))))</f>
        <v/>
      </c>
      <c r="H22" s="29">
        <f>IF(OR($C22="",$G22=""),"",IF($G22&gt;=cfgPassingScore,"Pass","FAIL"))</f>
        <v/>
      </c>
      <c r="I22" s="29">
        <f>IF($C22="","",_xlfn.LET(_xlpm.c,IFERROR(INDEX(rngEPcode,MATCH(cfgGradeSheetExam,IFERROR(rngEPseq+0,-1),0)),""),IF(COUNTIFS(nrES_PID,Cadets!$B17,nrES_Code,_xlpm.c,nrES_Att,2)&gt;0,"Retested","")))</f>
        <v/>
      </c>
    </row>
    <row r="23">
      <c r="B23" s="29">
        <f>IF(Cadets!$B18="","",ROW()-10)</f>
        <v/>
      </c>
      <c r="C23" s="28">
        <f>IF(Cadets!$B18="","",Cadets!$F18)</f>
        <v/>
      </c>
      <c r="D23" s="29">
        <f>IF($C23="","",Cadets!$B18)</f>
        <v/>
      </c>
      <c r="E23" s="29">
        <f>IF($C23="","",Cadets!$H18)</f>
        <v/>
      </c>
      <c r="F23" s="29">
        <f>IF($C23="","",_xlfn.LET(_xlpm.c,IFERROR(INDEX(rngEPcode,MATCH(cfgGradeSheetExam,IFERROR(rngEPseq+0,-1),0)),""),IF(COUNTIFS(nrES_PID,Cadets!$B18,nrES_Code,_xlpm.c,nrES_Att,1)=0,"",SUMIFS(nrES_Raw,nrES_PID,Cadets!$B18,nrES_Code,_xlpm.c,nrES_Att,1))))</f>
        <v/>
      </c>
      <c r="G23" s="29">
        <f>IF($C23="","",_xlfn.LET(_xlpm.c,IFERROR(INDEX(rngEPcode,MATCH(cfgGradeSheetExam,IFERROR(rngEPseq+0,-1),0)),""),IF(COUNTIFS(nrES_PID,Cadets!$B18,nrES_Code,_xlpm.c,nrES_Final,"Yes",nrES_Rec,"&lt;&gt;")=0,"",SUMIFS(nrES_Rec,nrES_PID,Cadets!$B18,nrES_Code,_xlpm.c,nrES_Final,"Yes"))))</f>
        <v/>
      </c>
      <c r="H23" s="29">
        <f>IF(OR($C23="",$G23=""),"",IF($G23&gt;=cfgPassingScore,"Pass","FAIL"))</f>
        <v/>
      </c>
      <c r="I23" s="29">
        <f>IF($C23="","",_xlfn.LET(_xlpm.c,IFERROR(INDEX(rngEPcode,MATCH(cfgGradeSheetExam,IFERROR(rngEPseq+0,-1),0)),""),IF(COUNTIFS(nrES_PID,Cadets!$B18,nrES_Code,_xlpm.c,nrES_Att,2)&gt;0,"Retested","")))</f>
        <v/>
      </c>
    </row>
    <row r="24">
      <c r="B24" s="29">
        <f>IF(Cadets!$B19="","",ROW()-10)</f>
        <v/>
      </c>
      <c r="C24" s="28">
        <f>IF(Cadets!$B19="","",Cadets!$F19)</f>
        <v/>
      </c>
      <c r="D24" s="29">
        <f>IF($C24="","",Cadets!$B19)</f>
        <v/>
      </c>
      <c r="E24" s="29">
        <f>IF($C24="","",Cadets!$H19)</f>
        <v/>
      </c>
      <c r="F24" s="29">
        <f>IF($C24="","",_xlfn.LET(_xlpm.c,IFERROR(INDEX(rngEPcode,MATCH(cfgGradeSheetExam,IFERROR(rngEPseq+0,-1),0)),""),IF(COUNTIFS(nrES_PID,Cadets!$B19,nrES_Code,_xlpm.c,nrES_Att,1)=0,"",SUMIFS(nrES_Raw,nrES_PID,Cadets!$B19,nrES_Code,_xlpm.c,nrES_Att,1))))</f>
        <v/>
      </c>
      <c r="G24" s="29">
        <f>IF($C24="","",_xlfn.LET(_xlpm.c,IFERROR(INDEX(rngEPcode,MATCH(cfgGradeSheetExam,IFERROR(rngEPseq+0,-1),0)),""),IF(COUNTIFS(nrES_PID,Cadets!$B19,nrES_Code,_xlpm.c,nrES_Final,"Yes",nrES_Rec,"&lt;&gt;")=0,"",SUMIFS(nrES_Rec,nrES_PID,Cadets!$B19,nrES_Code,_xlpm.c,nrES_Final,"Yes"))))</f>
        <v/>
      </c>
      <c r="H24" s="29">
        <f>IF(OR($C24="",$G24=""),"",IF($G24&gt;=cfgPassingScore,"Pass","FAIL"))</f>
        <v/>
      </c>
      <c r="I24" s="29">
        <f>IF($C24="","",_xlfn.LET(_xlpm.c,IFERROR(INDEX(rngEPcode,MATCH(cfgGradeSheetExam,IFERROR(rngEPseq+0,-1),0)),""),IF(COUNTIFS(nrES_PID,Cadets!$B19,nrES_Code,_xlpm.c,nrES_Att,2)&gt;0,"Retested","")))</f>
        <v/>
      </c>
    </row>
    <row r="25">
      <c r="B25" s="29">
        <f>IF(Cadets!$B20="","",ROW()-10)</f>
        <v/>
      </c>
      <c r="C25" s="28">
        <f>IF(Cadets!$B20="","",Cadets!$F20)</f>
        <v/>
      </c>
      <c r="D25" s="29">
        <f>IF($C25="","",Cadets!$B20)</f>
        <v/>
      </c>
      <c r="E25" s="29">
        <f>IF($C25="","",Cadets!$H20)</f>
        <v/>
      </c>
      <c r="F25" s="29">
        <f>IF($C25="","",_xlfn.LET(_xlpm.c,IFERROR(INDEX(rngEPcode,MATCH(cfgGradeSheetExam,IFERROR(rngEPseq+0,-1),0)),""),IF(COUNTIFS(nrES_PID,Cadets!$B20,nrES_Code,_xlpm.c,nrES_Att,1)=0,"",SUMIFS(nrES_Raw,nrES_PID,Cadets!$B20,nrES_Code,_xlpm.c,nrES_Att,1))))</f>
        <v/>
      </c>
      <c r="G25" s="29">
        <f>IF($C25="","",_xlfn.LET(_xlpm.c,IFERROR(INDEX(rngEPcode,MATCH(cfgGradeSheetExam,IFERROR(rngEPseq+0,-1),0)),""),IF(COUNTIFS(nrES_PID,Cadets!$B20,nrES_Code,_xlpm.c,nrES_Final,"Yes",nrES_Rec,"&lt;&gt;")=0,"",SUMIFS(nrES_Rec,nrES_PID,Cadets!$B20,nrES_Code,_xlpm.c,nrES_Final,"Yes"))))</f>
        <v/>
      </c>
      <c r="H25" s="29">
        <f>IF(OR($C25="",$G25=""),"",IF($G25&gt;=cfgPassingScore,"Pass","FAIL"))</f>
        <v/>
      </c>
      <c r="I25" s="29">
        <f>IF($C25="","",_xlfn.LET(_xlpm.c,IFERROR(INDEX(rngEPcode,MATCH(cfgGradeSheetExam,IFERROR(rngEPseq+0,-1),0)),""),IF(COUNTIFS(nrES_PID,Cadets!$B20,nrES_Code,_xlpm.c,nrES_Att,2)&gt;0,"Retested","")))</f>
        <v/>
      </c>
    </row>
    <row r="26">
      <c r="B26" s="29">
        <f>IF(Cadets!$B21="","",ROW()-10)</f>
        <v/>
      </c>
      <c r="C26" s="28">
        <f>IF(Cadets!$B21="","",Cadets!$F21)</f>
        <v/>
      </c>
      <c r="D26" s="29">
        <f>IF($C26="","",Cadets!$B21)</f>
        <v/>
      </c>
      <c r="E26" s="29">
        <f>IF($C26="","",Cadets!$H21)</f>
        <v/>
      </c>
      <c r="F26" s="29">
        <f>IF($C26="","",_xlfn.LET(_xlpm.c,IFERROR(INDEX(rngEPcode,MATCH(cfgGradeSheetExam,IFERROR(rngEPseq+0,-1),0)),""),IF(COUNTIFS(nrES_PID,Cadets!$B21,nrES_Code,_xlpm.c,nrES_Att,1)=0,"",SUMIFS(nrES_Raw,nrES_PID,Cadets!$B21,nrES_Code,_xlpm.c,nrES_Att,1))))</f>
        <v/>
      </c>
      <c r="G26" s="29">
        <f>IF($C26="","",_xlfn.LET(_xlpm.c,IFERROR(INDEX(rngEPcode,MATCH(cfgGradeSheetExam,IFERROR(rngEPseq+0,-1),0)),""),IF(COUNTIFS(nrES_PID,Cadets!$B21,nrES_Code,_xlpm.c,nrES_Final,"Yes",nrES_Rec,"&lt;&gt;")=0,"",SUMIFS(nrES_Rec,nrES_PID,Cadets!$B21,nrES_Code,_xlpm.c,nrES_Final,"Yes"))))</f>
        <v/>
      </c>
      <c r="H26" s="29">
        <f>IF(OR($C26="",$G26=""),"",IF($G26&gt;=cfgPassingScore,"Pass","FAIL"))</f>
        <v/>
      </c>
      <c r="I26" s="29">
        <f>IF($C26="","",_xlfn.LET(_xlpm.c,IFERROR(INDEX(rngEPcode,MATCH(cfgGradeSheetExam,IFERROR(rngEPseq+0,-1),0)),""),IF(COUNTIFS(nrES_PID,Cadets!$B21,nrES_Code,_xlpm.c,nrES_Att,2)&gt;0,"Retested","")))</f>
        <v/>
      </c>
    </row>
    <row r="27">
      <c r="B27" s="29">
        <f>IF(Cadets!$B22="","",ROW()-10)</f>
        <v/>
      </c>
      <c r="C27" s="28">
        <f>IF(Cadets!$B22="","",Cadets!$F22)</f>
        <v/>
      </c>
      <c r="D27" s="29">
        <f>IF($C27="","",Cadets!$B22)</f>
        <v/>
      </c>
      <c r="E27" s="29">
        <f>IF($C27="","",Cadets!$H22)</f>
        <v/>
      </c>
      <c r="F27" s="29">
        <f>IF($C27="","",_xlfn.LET(_xlpm.c,IFERROR(INDEX(rngEPcode,MATCH(cfgGradeSheetExam,IFERROR(rngEPseq+0,-1),0)),""),IF(COUNTIFS(nrES_PID,Cadets!$B22,nrES_Code,_xlpm.c,nrES_Att,1)=0,"",SUMIFS(nrES_Raw,nrES_PID,Cadets!$B22,nrES_Code,_xlpm.c,nrES_Att,1))))</f>
        <v/>
      </c>
      <c r="G27" s="29">
        <f>IF($C27="","",_xlfn.LET(_xlpm.c,IFERROR(INDEX(rngEPcode,MATCH(cfgGradeSheetExam,IFERROR(rngEPseq+0,-1),0)),""),IF(COUNTIFS(nrES_PID,Cadets!$B22,nrES_Code,_xlpm.c,nrES_Final,"Yes",nrES_Rec,"&lt;&gt;")=0,"",SUMIFS(nrES_Rec,nrES_PID,Cadets!$B22,nrES_Code,_xlpm.c,nrES_Final,"Yes"))))</f>
        <v/>
      </c>
      <c r="H27" s="29">
        <f>IF(OR($C27="",$G27=""),"",IF($G27&gt;=cfgPassingScore,"Pass","FAIL"))</f>
        <v/>
      </c>
      <c r="I27" s="29">
        <f>IF($C27="","",_xlfn.LET(_xlpm.c,IFERROR(INDEX(rngEPcode,MATCH(cfgGradeSheetExam,IFERROR(rngEPseq+0,-1),0)),""),IF(COUNTIFS(nrES_PID,Cadets!$B22,nrES_Code,_xlpm.c,nrES_Att,2)&gt;0,"Retested","")))</f>
        <v/>
      </c>
    </row>
    <row r="28">
      <c r="B28" s="29">
        <f>IF(Cadets!$B23="","",ROW()-10)</f>
        <v/>
      </c>
      <c r="C28" s="28">
        <f>IF(Cadets!$B23="","",Cadets!$F23)</f>
        <v/>
      </c>
      <c r="D28" s="29">
        <f>IF($C28="","",Cadets!$B23)</f>
        <v/>
      </c>
      <c r="E28" s="29">
        <f>IF($C28="","",Cadets!$H23)</f>
        <v/>
      </c>
      <c r="F28" s="29">
        <f>IF($C28="","",_xlfn.LET(_xlpm.c,IFERROR(INDEX(rngEPcode,MATCH(cfgGradeSheetExam,IFERROR(rngEPseq+0,-1),0)),""),IF(COUNTIFS(nrES_PID,Cadets!$B23,nrES_Code,_xlpm.c,nrES_Att,1)=0,"",SUMIFS(nrES_Raw,nrES_PID,Cadets!$B23,nrES_Code,_xlpm.c,nrES_Att,1))))</f>
        <v/>
      </c>
      <c r="G28" s="29">
        <f>IF($C28="","",_xlfn.LET(_xlpm.c,IFERROR(INDEX(rngEPcode,MATCH(cfgGradeSheetExam,IFERROR(rngEPseq+0,-1),0)),""),IF(COUNTIFS(nrES_PID,Cadets!$B23,nrES_Code,_xlpm.c,nrES_Final,"Yes",nrES_Rec,"&lt;&gt;")=0,"",SUMIFS(nrES_Rec,nrES_PID,Cadets!$B23,nrES_Code,_xlpm.c,nrES_Final,"Yes"))))</f>
        <v/>
      </c>
      <c r="H28" s="29">
        <f>IF(OR($C28="",$G28=""),"",IF($G28&gt;=cfgPassingScore,"Pass","FAIL"))</f>
        <v/>
      </c>
      <c r="I28" s="29">
        <f>IF($C28="","",_xlfn.LET(_xlpm.c,IFERROR(INDEX(rngEPcode,MATCH(cfgGradeSheetExam,IFERROR(rngEPseq+0,-1),0)),""),IF(COUNTIFS(nrES_PID,Cadets!$B23,nrES_Code,_xlpm.c,nrES_Att,2)&gt;0,"Retested","")))</f>
        <v/>
      </c>
    </row>
    <row r="29">
      <c r="B29" s="29">
        <f>IF(Cadets!$B24="","",ROW()-10)</f>
        <v/>
      </c>
      <c r="C29" s="28">
        <f>IF(Cadets!$B24="","",Cadets!$F24)</f>
        <v/>
      </c>
      <c r="D29" s="29">
        <f>IF($C29="","",Cadets!$B24)</f>
        <v/>
      </c>
      <c r="E29" s="29">
        <f>IF($C29="","",Cadets!$H24)</f>
        <v/>
      </c>
      <c r="F29" s="29">
        <f>IF($C29="","",_xlfn.LET(_xlpm.c,IFERROR(INDEX(rngEPcode,MATCH(cfgGradeSheetExam,IFERROR(rngEPseq+0,-1),0)),""),IF(COUNTIFS(nrES_PID,Cadets!$B24,nrES_Code,_xlpm.c,nrES_Att,1)=0,"",SUMIFS(nrES_Raw,nrES_PID,Cadets!$B24,nrES_Code,_xlpm.c,nrES_Att,1))))</f>
        <v/>
      </c>
      <c r="G29" s="29">
        <f>IF($C29="","",_xlfn.LET(_xlpm.c,IFERROR(INDEX(rngEPcode,MATCH(cfgGradeSheetExam,IFERROR(rngEPseq+0,-1),0)),""),IF(COUNTIFS(nrES_PID,Cadets!$B24,nrES_Code,_xlpm.c,nrES_Final,"Yes",nrES_Rec,"&lt;&gt;")=0,"",SUMIFS(nrES_Rec,nrES_PID,Cadets!$B24,nrES_Code,_xlpm.c,nrES_Final,"Yes"))))</f>
        <v/>
      </c>
      <c r="H29" s="29">
        <f>IF(OR($C29="",$G29=""),"",IF($G29&gt;=cfgPassingScore,"Pass","FAIL"))</f>
        <v/>
      </c>
      <c r="I29" s="29">
        <f>IF($C29="","",_xlfn.LET(_xlpm.c,IFERROR(INDEX(rngEPcode,MATCH(cfgGradeSheetExam,IFERROR(rngEPseq+0,-1),0)),""),IF(COUNTIFS(nrES_PID,Cadets!$B24,nrES_Code,_xlpm.c,nrES_Att,2)&gt;0,"Retested","")))</f>
        <v/>
      </c>
    </row>
    <row r="30">
      <c r="B30" s="29">
        <f>IF(Cadets!$B25="","",ROW()-10)</f>
        <v/>
      </c>
      <c r="C30" s="28">
        <f>IF(Cadets!$B25="","",Cadets!$F25)</f>
        <v/>
      </c>
      <c r="D30" s="29">
        <f>IF($C30="","",Cadets!$B25)</f>
        <v/>
      </c>
      <c r="E30" s="29">
        <f>IF($C30="","",Cadets!$H25)</f>
        <v/>
      </c>
      <c r="F30" s="29">
        <f>IF($C30="","",_xlfn.LET(_xlpm.c,IFERROR(INDEX(rngEPcode,MATCH(cfgGradeSheetExam,IFERROR(rngEPseq+0,-1),0)),""),IF(COUNTIFS(nrES_PID,Cadets!$B25,nrES_Code,_xlpm.c,nrES_Att,1)=0,"",SUMIFS(nrES_Raw,nrES_PID,Cadets!$B25,nrES_Code,_xlpm.c,nrES_Att,1))))</f>
        <v/>
      </c>
      <c r="G30" s="29">
        <f>IF($C30="","",_xlfn.LET(_xlpm.c,IFERROR(INDEX(rngEPcode,MATCH(cfgGradeSheetExam,IFERROR(rngEPseq+0,-1),0)),""),IF(COUNTIFS(nrES_PID,Cadets!$B25,nrES_Code,_xlpm.c,nrES_Final,"Yes",nrES_Rec,"&lt;&gt;")=0,"",SUMIFS(nrES_Rec,nrES_PID,Cadets!$B25,nrES_Code,_xlpm.c,nrES_Final,"Yes"))))</f>
        <v/>
      </c>
      <c r="H30" s="29">
        <f>IF(OR($C30="",$G30=""),"",IF($G30&gt;=cfgPassingScore,"Pass","FAIL"))</f>
        <v/>
      </c>
      <c r="I30" s="29">
        <f>IF($C30="","",_xlfn.LET(_xlpm.c,IFERROR(INDEX(rngEPcode,MATCH(cfgGradeSheetExam,IFERROR(rngEPseq+0,-1),0)),""),IF(COUNTIFS(nrES_PID,Cadets!$B25,nrES_Code,_xlpm.c,nrES_Att,2)&gt;0,"Retested","")))</f>
        <v/>
      </c>
    </row>
    <row r="31">
      <c r="B31" s="29">
        <f>IF(Cadets!$B26="","",ROW()-10)</f>
        <v/>
      </c>
      <c r="C31" s="28">
        <f>IF(Cadets!$B26="","",Cadets!$F26)</f>
        <v/>
      </c>
      <c r="D31" s="29">
        <f>IF($C31="","",Cadets!$B26)</f>
        <v/>
      </c>
      <c r="E31" s="29">
        <f>IF($C31="","",Cadets!$H26)</f>
        <v/>
      </c>
      <c r="F31" s="29">
        <f>IF($C31="","",_xlfn.LET(_xlpm.c,IFERROR(INDEX(rngEPcode,MATCH(cfgGradeSheetExam,IFERROR(rngEPseq+0,-1),0)),""),IF(COUNTIFS(nrES_PID,Cadets!$B26,nrES_Code,_xlpm.c,nrES_Att,1)=0,"",SUMIFS(nrES_Raw,nrES_PID,Cadets!$B26,nrES_Code,_xlpm.c,nrES_Att,1))))</f>
        <v/>
      </c>
      <c r="G31" s="29">
        <f>IF($C31="","",_xlfn.LET(_xlpm.c,IFERROR(INDEX(rngEPcode,MATCH(cfgGradeSheetExam,IFERROR(rngEPseq+0,-1),0)),""),IF(COUNTIFS(nrES_PID,Cadets!$B26,nrES_Code,_xlpm.c,nrES_Final,"Yes",nrES_Rec,"&lt;&gt;")=0,"",SUMIFS(nrES_Rec,nrES_PID,Cadets!$B26,nrES_Code,_xlpm.c,nrES_Final,"Yes"))))</f>
        <v/>
      </c>
      <c r="H31" s="29">
        <f>IF(OR($C31="",$G31=""),"",IF($G31&gt;=cfgPassingScore,"Pass","FAIL"))</f>
        <v/>
      </c>
      <c r="I31" s="29">
        <f>IF($C31="","",_xlfn.LET(_xlpm.c,IFERROR(INDEX(rngEPcode,MATCH(cfgGradeSheetExam,IFERROR(rngEPseq+0,-1),0)),""),IF(COUNTIFS(nrES_PID,Cadets!$B26,nrES_Code,_xlpm.c,nrES_Att,2)&gt;0,"Retested","")))</f>
        <v/>
      </c>
    </row>
    <row r="32">
      <c r="B32" s="29">
        <f>IF(Cadets!$B27="","",ROW()-10)</f>
        <v/>
      </c>
      <c r="C32" s="28">
        <f>IF(Cadets!$B27="","",Cadets!$F27)</f>
        <v/>
      </c>
      <c r="D32" s="29">
        <f>IF($C32="","",Cadets!$B27)</f>
        <v/>
      </c>
      <c r="E32" s="29">
        <f>IF($C32="","",Cadets!$H27)</f>
        <v/>
      </c>
      <c r="F32" s="29">
        <f>IF($C32="","",_xlfn.LET(_xlpm.c,IFERROR(INDEX(rngEPcode,MATCH(cfgGradeSheetExam,IFERROR(rngEPseq+0,-1),0)),""),IF(COUNTIFS(nrES_PID,Cadets!$B27,nrES_Code,_xlpm.c,nrES_Att,1)=0,"",SUMIFS(nrES_Raw,nrES_PID,Cadets!$B27,nrES_Code,_xlpm.c,nrES_Att,1))))</f>
        <v/>
      </c>
      <c r="G32" s="29">
        <f>IF($C32="","",_xlfn.LET(_xlpm.c,IFERROR(INDEX(rngEPcode,MATCH(cfgGradeSheetExam,IFERROR(rngEPseq+0,-1),0)),""),IF(COUNTIFS(nrES_PID,Cadets!$B27,nrES_Code,_xlpm.c,nrES_Final,"Yes",nrES_Rec,"&lt;&gt;")=0,"",SUMIFS(nrES_Rec,nrES_PID,Cadets!$B27,nrES_Code,_xlpm.c,nrES_Final,"Yes"))))</f>
        <v/>
      </c>
      <c r="H32" s="29">
        <f>IF(OR($C32="",$G32=""),"",IF($G32&gt;=cfgPassingScore,"Pass","FAIL"))</f>
        <v/>
      </c>
      <c r="I32" s="29">
        <f>IF($C32="","",_xlfn.LET(_xlpm.c,IFERROR(INDEX(rngEPcode,MATCH(cfgGradeSheetExam,IFERROR(rngEPseq+0,-1),0)),""),IF(COUNTIFS(nrES_PID,Cadets!$B27,nrES_Code,_xlpm.c,nrES_Att,2)&gt;0,"Retested","")))</f>
        <v/>
      </c>
    </row>
    <row r="33">
      <c r="B33" s="29">
        <f>IF(Cadets!$B28="","",ROW()-10)</f>
        <v/>
      </c>
      <c r="C33" s="28">
        <f>IF(Cadets!$B28="","",Cadets!$F28)</f>
        <v/>
      </c>
      <c r="D33" s="29">
        <f>IF($C33="","",Cadets!$B28)</f>
        <v/>
      </c>
      <c r="E33" s="29">
        <f>IF($C33="","",Cadets!$H28)</f>
        <v/>
      </c>
      <c r="F33" s="29">
        <f>IF($C33="","",_xlfn.LET(_xlpm.c,IFERROR(INDEX(rngEPcode,MATCH(cfgGradeSheetExam,IFERROR(rngEPseq+0,-1),0)),""),IF(COUNTIFS(nrES_PID,Cadets!$B28,nrES_Code,_xlpm.c,nrES_Att,1)=0,"",SUMIFS(nrES_Raw,nrES_PID,Cadets!$B28,nrES_Code,_xlpm.c,nrES_Att,1))))</f>
        <v/>
      </c>
      <c r="G33" s="29">
        <f>IF($C33="","",_xlfn.LET(_xlpm.c,IFERROR(INDEX(rngEPcode,MATCH(cfgGradeSheetExam,IFERROR(rngEPseq+0,-1),0)),""),IF(COUNTIFS(nrES_PID,Cadets!$B28,nrES_Code,_xlpm.c,nrES_Final,"Yes",nrES_Rec,"&lt;&gt;")=0,"",SUMIFS(nrES_Rec,nrES_PID,Cadets!$B28,nrES_Code,_xlpm.c,nrES_Final,"Yes"))))</f>
        <v/>
      </c>
      <c r="H33" s="29">
        <f>IF(OR($C33="",$G33=""),"",IF($G33&gt;=cfgPassingScore,"Pass","FAIL"))</f>
        <v/>
      </c>
      <c r="I33" s="29">
        <f>IF($C33="","",_xlfn.LET(_xlpm.c,IFERROR(INDEX(rngEPcode,MATCH(cfgGradeSheetExam,IFERROR(rngEPseq+0,-1),0)),""),IF(COUNTIFS(nrES_PID,Cadets!$B28,nrES_Code,_xlpm.c,nrES_Att,2)&gt;0,"Retested","")))</f>
        <v/>
      </c>
    </row>
    <row r="34">
      <c r="B34" s="29">
        <f>IF(Cadets!$B29="","",ROW()-10)</f>
        <v/>
      </c>
      <c r="C34" s="28">
        <f>IF(Cadets!$B29="","",Cadets!$F29)</f>
        <v/>
      </c>
      <c r="D34" s="29">
        <f>IF($C34="","",Cadets!$B29)</f>
        <v/>
      </c>
      <c r="E34" s="29">
        <f>IF($C34="","",Cadets!$H29)</f>
        <v/>
      </c>
      <c r="F34" s="29">
        <f>IF($C34="","",_xlfn.LET(_xlpm.c,IFERROR(INDEX(rngEPcode,MATCH(cfgGradeSheetExam,IFERROR(rngEPseq+0,-1),0)),""),IF(COUNTIFS(nrES_PID,Cadets!$B29,nrES_Code,_xlpm.c,nrES_Att,1)=0,"",SUMIFS(nrES_Raw,nrES_PID,Cadets!$B29,nrES_Code,_xlpm.c,nrES_Att,1))))</f>
        <v/>
      </c>
      <c r="G34" s="29">
        <f>IF($C34="","",_xlfn.LET(_xlpm.c,IFERROR(INDEX(rngEPcode,MATCH(cfgGradeSheetExam,IFERROR(rngEPseq+0,-1),0)),""),IF(COUNTIFS(nrES_PID,Cadets!$B29,nrES_Code,_xlpm.c,nrES_Final,"Yes",nrES_Rec,"&lt;&gt;")=0,"",SUMIFS(nrES_Rec,nrES_PID,Cadets!$B29,nrES_Code,_xlpm.c,nrES_Final,"Yes"))))</f>
        <v/>
      </c>
      <c r="H34" s="29">
        <f>IF(OR($C34="",$G34=""),"",IF($G34&gt;=cfgPassingScore,"Pass","FAIL"))</f>
        <v/>
      </c>
      <c r="I34" s="29">
        <f>IF($C34="","",_xlfn.LET(_xlpm.c,IFERROR(INDEX(rngEPcode,MATCH(cfgGradeSheetExam,IFERROR(rngEPseq+0,-1),0)),""),IF(COUNTIFS(nrES_PID,Cadets!$B29,nrES_Code,_xlpm.c,nrES_Att,2)&gt;0,"Retested","")))</f>
        <v/>
      </c>
    </row>
    <row r="35">
      <c r="B35" s="29">
        <f>IF(Cadets!$B30="","",ROW()-10)</f>
        <v/>
      </c>
      <c r="C35" s="28">
        <f>IF(Cadets!$B30="","",Cadets!$F30)</f>
        <v/>
      </c>
      <c r="D35" s="29">
        <f>IF($C35="","",Cadets!$B30)</f>
        <v/>
      </c>
      <c r="E35" s="29">
        <f>IF($C35="","",Cadets!$H30)</f>
        <v/>
      </c>
      <c r="F35" s="29">
        <f>IF($C35="","",_xlfn.LET(_xlpm.c,IFERROR(INDEX(rngEPcode,MATCH(cfgGradeSheetExam,IFERROR(rngEPseq+0,-1),0)),""),IF(COUNTIFS(nrES_PID,Cadets!$B30,nrES_Code,_xlpm.c,nrES_Att,1)=0,"",SUMIFS(nrES_Raw,nrES_PID,Cadets!$B30,nrES_Code,_xlpm.c,nrES_Att,1))))</f>
        <v/>
      </c>
      <c r="G35" s="29">
        <f>IF($C35="","",_xlfn.LET(_xlpm.c,IFERROR(INDEX(rngEPcode,MATCH(cfgGradeSheetExam,IFERROR(rngEPseq+0,-1),0)),""),IF(COUNTIFS(nrES_PID,Cadets!$B30,nrES_Code,_xlpm.c,nrES_Final,"Yes",nrES_Rec,"&lt;&gt;")=0,"",SUMIFS(nrES_Rec,nrES_PID,Cadets!$B30,nrES_Code,_xlpm.c,nrES_Final,"Yes"))))</f>
        <v/>
      </c>
      <c r="H35" s="29">
        <f>IF(OR($C35="",$G35=""),"",IF($G35&gt;=cfgPassingScore,"Pass","FAIL"))</f>
        <v/>
      </c>
      <c r="I35" s="29">
        <f>IF($C35="","",_xlfn.LET(_xlpm.c,IFERROR(INDEX(rngEPcode,MATCH(cfgGradeSheetExam,IFERROR(rngEPseq+0,-1),0)),""),IF(COUNTIFS(nrES_PID,Cadets!$B30,nrES_Code,_xlpm.c,nrES_Att,2)&gt;0,"Retested","")))</f>
        <v/>
      </c>
    </row>
    <row r="36">
      <c r="B36" s="29">
        <f>IF(Cadets!$B31="","",ROW()-10)</f>
        <v/>
      </c>
      <c r="C36" s="28">
        <f>IF(Cadets!$B31="","",Cadets!$F31)</f>
        <v/>
      </c>
      <c r="D36" s="29">
        <f>IF($C36="","",Cadets!$B31)</f>
        <v/>
      </c>
      <c r="E36" s="29">
        <f>IF($C36="","",Cadets!$H31)</f>
        <v/>
      </c>
      <c r="F36" s="29">
        <f>IF($C36="","",_xlfn.LET(_xlpm.c,IFERROR(INDEX(rngEPcode,MATCH(cfgGradeSheetExam,IFERROR(rngEPseq+0,-1),0)),""),IF(COUNTIFS(nrES_PID,Cadets!$B31,nrES_Code,_xlpm.c,nrES_Att,1)=0,"",SUMIFS(nrES_Raw,nrES_PID,Cadets!$B31,nrES_Code,_xlpm.c,nrES_Att,1))))</f>
        <v/>
      </c>
      <c r="G36" s="29">
        <f>IF($C36="","",_xlfn.LET(_xlpm.c,IFERROR(INDEX(rngEPcode,MATCH(cfgGradeSheetExam,IFERROR(rngEPseq+0,-1),0)),""),IF(COUNTIFS(nrES_PID,Cadets!$B31,nrES_Code,_xlpm.c,nrES_Final,"Yes",nrES_Rec,"&lt;&gt;")=0,"",SUMIFS(nrES_Rec,nrES_PID,Cadets!$B31,nrES_Code,_xlpm.c,nrES_Final,"Yes"))))</f>
        <v/>
      </c>
      <c r="H36" s="29">
        <f>IF(OR($C36="",$G36=""),"",IF($G36&gt;=cfgPassingScore,"Pass","FAIL"))</f>
        <v/>
      </c>
      <c r="I36" s="29">
        <f>IF($C36="","",_xlfn.LET(_xlpm.c,IFERROR(INDEX(rngEPcode,MATCH(cfgGradeSheetExam,IFERROR(rngEPseq+0,-1),0)),""),IF(COUNTIFS(nrES_PID,Cadets!$B31,nrES_Code,_xlpm.c,nrES_Att,2)&gt;0,"Retested","")))</f>
        <v/>
      </c>
    </row>
    <row r="37">
      <c r="B37" s="29">
        <f>IF(Cadets!$B32="","",ROW()-10)</f>
        <v/>
      </c>
      <c r="C37" s="28">
        <f>IF(Cadets!$B32="","",Cadets!$F32)</f>
        <v/>
      </c>
      <c r="D37" s="29">
        <f>IF($C37="","",Cadets!$B32)</f>
        <v/>
      </c>
      <c r="E37" s="29">
        <f>IF($C37="","",Cadets!$H32)</f>
        <v/>
      </c>
      <c r="F37" s="29">
        <f>IF($C37="","",_xlfn.LET(_xlpm.c,IFERROR(INDEX(rngEPcode,MATCH(cfgGradeSheetExam,IFERROR(rngEPseq+0,-1),0)),""),IF(COUNTIFS(nrES_PID,Cadets!$B32,nrES_Code,_xlpm.c,nrES_Att,1)=0,"",SUMIFS(nrES_Raw,nrES_PID,Cadets!$B32,nrES_Code,_xlpm.c,nrES_Att,1))))</f>
        <v/>
      </c>
      <c r="G37" s="29">
        <f>IF($C37="","",_xlfn.LET(_xlpm.c,IFERROR(INDEX(rngEPcode,MATCH(cfgGradeSheetExam,IFERROR(rngEPseq+0,-1),0)),""),IF(COUNTIFS(nrES_PID,Cadets!$B32,nrES_Code,_xlpm.c,nrES_Final,"Yes",nrES_Rec,"&lt;&gt;")=0,"",SUMIFS(nrES_Rec,nrES_PID,Cadets!$B32,nrES_Code,_xlpm.c,nrES_Final,"Yes"))))</f>
        <v/>
      </c>
      <c r="H37" s="29">
        <f>IF(OR($C37="",$G37=""),"",IF($G37&gt;=cfgPassingScore,"Pass","FAIL"))</f>
        <v/>
      </c>
      <c r="I37" s="29">
        <f>IF($C37="","",_xlfn.LET(_xlpm.c,IFERROR(INDEX(rngEPcode,MATCH(cfgGradeSheetExam,IFERROR(rngEPseq+0,-1),0)),""),IF(COUNTIFS(nrES_PID,Cadets!$B32,nrES_Code,_xlpm.c,nrES_Att,2)&gt;0,"Retested","")))</f>
        <v/>
      </c>
    </row>
    <row r="38">
      <c r="B38" s="29">
        <f>IF(Cadets!$B33="","",ROW()-10)</f>
        <v/>
      </c>
      <c r="C38" s="28">
        <f>IF(Cadets!$B33="","",Cadets!$F33)</f>
        <v/>
      </c>
      <c r="D38" s="29">
        <f>IF($C38="","",Cadets!$B33)</f>
        <v/>
      </c>
      <c r="E38" s="29">
        <f>IF($C38="","",Cadets!$H33)</f>
        <v/>
      </c>
      <c r="F38" s="29">
        <f>IF($C38="","",_xlfn.LET(_xlpm.c,IFERROR(INDEX(rngEPcode,MATCH(cfgGradeSheetExam,IFERROR(rngEPseq+0,-1),0)),""),IF(COUNTIFS(nrES_PID,Cadets!$B33,nrES_Code,_xlpm.c,nrES_Att,1)=0,"",SUMIFS(nrES_Raw,nrES_PID,Cadets!$B33,nrES_Code,_xlpm.c,nrES_Att,1))))</f>
        <v/>
      </c>
      <c r="G38" s="29">
        <f>IF($C38="","",_xlfn.LET(_xlpm.c,IFERROR(INDEX(rngEPcode,MATCH(cfgGradeSheetExam,IFERROR(rngEPseq+0,-1),0)),""),IF(COUNTIFS(nrES_PID,Cadets!$B33,nrES_Code,_xlpm.c,nrES_Final,"Yes",nrES_Rec,"&lt;&gt;")=0,"",SUMIFS(nrES_Rec,nrES_PID,Cadets!$B33,nrES_Code,_xlpm.c,nrES_Final,"Yes"))))</f>
        <v/>
      </c>
      <c r="H38" s="29">
        <f>IF(OR($C38="",$G38=""),"",IF($G38&gt;=cfgPassingScore,"Pass","FAIL"))</f>
        <v/>
      </c>
      <c r="I38" s="29">
        <f>IF($C38="","",_xlfn.LET(_xlpm.c,IFERROR(INDEX(rngEPcode,MATCH(cfgGradeSheetExam,IFERROR(rngEPseq+0,-1),0)),""),IF(COUNTIFS(nrES_PID,Cadets!$B33,nrES_Code,_xlpm.c,nrES_Att,2)&gt;0,"Retested","")))</f>
        <v/>
      </c>
    </row>
    <row r="39">
      <c r="B39" s="29">
        <f>IF(Cadets!$B34="","",ROW()-10)</f>
        <v/>
      </c>
      <c r="C39" s="28">
        <f>IF(Cadets!$B34="","",Cadets!$F34)</f>
        <v/>
      </c>
      <c r="D39" s="29">
        <f>IF($C39="","",Cadets!$B34)</f>
        <v/>
      </c>
      <c r="E39" s="29">
        <f>IF($C39="","",Cadets!$H34)</f>
        <v/>
      </c>
      <c r="F39" s="29">
        <f>IF($C39="","",_xlfn.LET(_xlpm.c,IFERROR(INDEX(rngEPcode,MATCH(cfgGradeSheetExam,IFERROR(rngEPseq+0,-1),0)),""),IF(COUNTIFS(nrES_PID,Cadets!$B34,nrES_Code,_xlpm.c,nrES_Att,1)=0,"",SUMIFS(nrES_Raw,nrES_PID,Cadets!$B34,nrES_Code,_xlpm.c,nrES_Att,1))))</f>
        <v/>
      </c>
      <c r="G39" s="29">
        <f>IF($C39="","",_xlfn.LET(_xlpm.c,IFERROR(INDEX(rngEPcode,MATCH(cfgGradeSheetExam,IFERROR(rngEPseq+0,-1),0)),""),IF(COUNTIFS(nrES_PID,Cadets!$B34,nrES_Code,_xlpm.c,nrES_Final,"Yes",nrES_Rec,"&lt;&gt;")=0,"",SUMIFS(nrES_Rec,nrES_PID,Cadets!$B34,nrES_Code,_xlpm.c,nrES_Final,"Yes"))))</f>
        <v/>
      </c>
      <c r="H39" s="29">
        <f>IF(OR($C39="",$G39=""),"",IF($G39&gt;=cfgPassingScore,"Pass","FAIL"))</f>
        <v/>
      </c>
      <c r="I39" s="29">
        <f>IF($C39="","",_xlfn.LET(_xlpm.c,IFERROR(INDEX(rngEPcode,MATCH(cfgGradeSheetExam,IFERROR(rngEPseq+0,-1),0)),""),IF(COUNTIFS(nrES_PID,Cadets!$B34,nrES_Code,_xlpm.c,nrES_Att,2)&gt;0,"Retested","")))</f>
        <v/>
      </c>
    </row>
    <row r="40">
      <c r="B40" s="29">
        <f>IF(Cadets!$B35="","",ROW()-10)</f>
        <v/>
      </c>
      <c r="C40" s="28">
        <f>IF(Cadets!$B35="","",Cadets!$F35)</f>
        <v/>
      </c>
      <c r="D40" s="29">
        <f>IF($C40="","",Cadets!$B35)</f>
        <v/>
      </c>
      <c r="E40" s="29">
        <f>IF($C40="","",Cadets!$H35)</f>
        <v/>
      </c>
      <c r="F40" s="29">
        <f>IF($C40="","",_xlfn.LET(_xlpm.c,IFERROR(INDEX(rngEPcode,MATCH(cfgGradeSheetExam,IFERROR(rngEPseq+0,-1),0)),""),IF(COUNTIFS(nrES_PID,Cadets!$B35,nrES_Code,_xlpm.c,nrES_Att,1)=0,"",SUMIFS(nrES_Raw,nrES_PID,Cadets!$B35,nrES_Code,_xlpm.c,nrES_Att,1))))</f>
        <v/>
      </c>
      <c r="G40" s="29">
        <f>IF($C40="","",_xlfn.LET(_xlpm.c,IFERROR(INDEX(rngEPcode,MATCH(cfgGradeSheetExam,IFERROR(rngEPseq+0,-1),0)),""),IF(COUNTIFS(nrES_PID,Cadets!$B35,nrES_Code,_xlpm.c,nrES_Final,"Yes",nrES_Rec,"&lt;&gt;")=0,"",SUMIFS(nrES_Rec,nrES_PID,Cadets!$B35,nrES_Code,_xlpm.c,nrES_Final,"Yes"))))</f>
        <v/>
      </c>
      <c r="H40" s="29">
        <f>IF(OR($C40="",$G40=""),"",IF($G40&gt;=cfgPassingScore,"Pass","FAIL"))</f>
        <v/>
      </c>
      <c r="I40" s="29">
        <f>IF($C40="","",_xlfn.LET(_xlpm.c,IFERROR(INDEX(rngEPcode,MATCH(cfgGradeSheetExam,IFERROR(rngEPseq+0,-1),0)),""),IF(COUNTIFS(nrES_PID,Cadets!$B35,nrES_Code,_xlpm.c,nrES_Att,2)&gt;0,"Retested","")))</f>
        <v/>
      </c>
    </row>
    <row r="41">
      <c r="B41" s="29">
        <f>IF(Cadets!$B36="","",ROW()-10)</f>
        <v/>
      </c>
      <c r="C41" s="28">
        <f>IF(Cadets!$B36="","",Cadets!$F36)</f>
        <v/>
      </c>
      <c r="D41" s="29">
        <f>IF($C41="","",Cadets!$B36)</f>
        <v/>
      </c>
      <c r="E41" s="29">
        <f>IF($C41="","",Cadets!$H36)</f>
        <v/>
      </c>
      <c r="F41" s="29">
        <f>IF($C41="","",_xlfn.LET(_xlpm.c,IFERROR(INDEX(rngEPcode,MATCH(cfgGradeSheetExam,IFERROR(rngEPseq+0,-1),0)),""),IF(COUNTIFS(nrES_PID,Cadets!$B36,nrES_Code,_xlpm.c,nrES_Att,1)=0,"",SUMIFS(nrES_Raw,nrES_PID,Cadets!$B36,nrES_Code,_xlpm.c,nrES_Att,1))))</f>
        <v/>
      </c>
      <c r="G41" s="29">
        <f>IF($C41="","",_xlfn.LET(_xlpm.c,IFERROR(INDEX(rngEPcode,MATCH(cfgGradeSheetExam,IFERROR(rngEPseq+0,-1),0)),""),IF(COUNTIFS(nrES_PID,Cadets!$B36,nrES_Code,_xlpm.c,nrES_Final,"Yes",nrES_Rec,"&lt;&gt;")=0,"",SUMIFS(nrES_Rec,nrES_PID,Cadets!$B36,nrES_Code,_xlpm.c,nrES_Final,"Yes"))))</f>
        <v/>
      </c>
      <c r="H41" s="29">
        <f>IF(OR($C41="",$G41=""),"",IF($G41&gt;=cfgPassingScore,"Pass","FAIL"))</f>
        <v/>
      </c>
      <c r="I41" s="29">
        <f>IF($C41="","",_xlfn.LET(_xlpm.c,IFERROR(INDEX(rngEPcode,MATCH(cfgGradeSheetExam,IFERROR(rngEPseq+0,-1),0)),""),IF(COUNTIFS(nrES_PID,Cadets!$B36,nrES_Code,_xlpm.c,nrES_Att,2)&gt;0,"Retested","")))</f>
        <v/>
      </c>
    </row>
    <row r="42">
      <c r="B42" s="29">
        <f>IF(Cadets!$B37="","",ROW()-10)</f>
        <v/>
      </c>
      <c r="C42" s="28">
        <f>IF(Cadets!$B37="","",Cadets!$F37)</f>
        <v/>
      </c>
      <c r="D42" s="29">
        <f>IF($C42="","",Cadets!$B37)</f>
        <v/>
      </c>
      <c r="E42" s="29">
        <f>IF($C42="","",Cadets!$H37)</f>
        <v/>
      </c>
      <c r="F42" s="29">
        <f>IF($C42="","",_xlfn.LET(_xlpm.c,IFERROR(INDEX(rngEPcode,MATCH(cfgGradeSheetExam,IFERROR(rngEPseq+0,-1),0)),""),IF(COUNTIFS(nrES_PID,Cadets!$B37,nrES_Code,_xlpm.c,nrES_Att,1)=0,"",SUMIFS(nrES_Raw,nrES_PID,Cadets!$B37,nrES_Code,_xlpm.c,nrES_Att,1))))</f>
        <v/>
      </c>
      <c r="G42" s="29">
        <f>IF($C42="","",_xlfn.LET(_xlpm.c,IFERROR(INDEX(rngEPcode,MATCH(cfgGradeSheetExam,IFERROR(rngEPseq+0,-1),0)),""),IF(COUNTIFS(nrES_PID,Cadets!$B37,nrES_Code,_xlpm.c,nrES_Final,"Yes",nrES_Rec,"&lt;&gt;")=0,"",SUMIFS(nrES_Rec,nrES_PID,Cadets!$B37,nrES_Code,_xlpm.c,nrES_Final,"Yes"))))</f>
        <v/>
      </c>
      <c r="H42" s="29">
        <f>IF(OR($C42="",$G42=""),"",IF($G42&gt;=cfgPassingScore,"Pass","FAIL"))</f>
        <v/>
      </c>
      <c r="I42" s="29">
        <f>IF($C42="","",_xlfn.LET(_xlpm.c,IFERROR(INDEX(rngEPcode,MATCH(cfgGradeSheetExam,IFERROR(rngEPseq+0,-1),0)),""),IF(COUNTIFS(nrES_PID,Cadets!$B37,nrES_Code,_xlpm.c,nrES_Att,2)&gt;0,"Retested","")))</f>
        <v/>
      </c>
    </row>
    <row r="43">
      <c r="B43" s="29">
        <f>IF(Cadets!$B38="","",ROW()-10)</f>
        <v/>
      </c>
      <c r="C43" s="28">
        <f>IF(Cadets!$B38="","",Cadets!$F38)</f>
        <v/>
      </c>
      <c r="D43" s="29">
        <f>IF($C43="","",Cadets!$B38)</f>
        <v/>
      </c>
      <c r="E43" s="29">
        <f>IF($C43="","",Cadets!$H38)</f>
        <v/>
      </c>
      <c r="F43" s="29">
        <f>IF($C43="","",_xlfn.LET(_xlpm.c,IFERROR(INDEX(rngEPcode,MATCH(cfgGradeSheetExam,IFERROR(rngEPseq+0,-1),0)),""),IF(COUNTIFS(nrES_PID,Cadets!$B38,nrES_Code,_xlpm.c,nrES_Att,1)=0,"",SUMIFS(nrES_Raw,nrES_PID,Cadets!$B38,nrES_Code,_xlpm.c,nrES_Att,1))))</f>
        <v/>
      </c>
      <c r="G43" s="29">
        <f>IF($C43="","",_xlfn.LET(_xlpm.c,IFERROR(INDEX(rngEPcode,MATCH(cfgGradeSheetExam,IFERROR(rngEPseq+0,-1),0)),""),IF(COUNTIFS(nrES_PID,Cadets!$B38,nrES_Code,_xlpm.c,nrES_Final,"Yes",nrES_Rec,"&lt;&gt;")=0,"",SUMIFS(nrES_Rec,nrES_PID,Cadets!$B38,nrES_Code,_xlpm.c,nrES_Final,"Yes"))))</f>
        <v/>
      </c>
      <c r="H43" s="29">
        <f>IF(OR($C43="",$G43=""),"",IF($G43&gt;=cfgPassingScore,"Pass","FAIL"))</f>
        <v/>
      </c>
      <c r="I43" s="29">
        <f>IF($C43="","",_xlfn.LET(_xlpm.c,IFERROR(INDEX(rngEPcode,MATCH(cfgGradeSheetExam,IFERROR(rngEPseq+0,-1),0)),""),IF(COUNTIFS(nrES_PID,Cadets!$B38,nrES_Code,_xlpm.c,nrES_Att,2)&gt;0,"Retested","")))</f>
        <v/>
      </c>
    </row>
    <row r="44">
      <c r="B44" s="29">
        <f>IF(Cadets!$B39="","",ROW()-10)</f>
        <v/>
      </c>
      <c r="C44" s="28">
        <f>IF(Cadets!$B39="","",Cadets!$F39)</f>
        <v/>
      </c>
      <c r="D44" s="29">
        <f>IF($C44="","",Cadets!$B39)</f>
        <v/>
      </c>
      <c r="E44" s="29">
        <f>IF($C44="","",Cadets!$H39)</f>
        <v/>
      </c>
      <c r="F44" s="29">
        <f>IF($C44="","",_xlfn.LET(_xlpm.c,IFERROR(INDEX(rngEPcode,MATCH(cfgGradeSheetExam,IFERROR(rngEPseq+0,-1),0)),""),IF(COUNTIFS(nrES_PID,Cadets!$B39,nrES_Code,_xlpm.c,nrES_Att,1)=0,"",SUMIFS(nrES_Raw,nrES_PID,Cadets!$B39,nrES_Code,_xlpm.c,nrES_Att,1))))</f>
        <v/>
      </c>
      <c r="G44" s="29">
        <f>IF($C44="","",_xlfn.LET(_xlpm.c,IFERROR(INDEX(rngEPcode,MATCH(cfgGradeSheetExam,IFERROR(rngEPseq+0,-1),0)),""),IF(COUNTIFS(nrES_PID,Cadets!$B39,nrES_Code,_xlpm.c,nrES_Final,"Yes",nrES_Rec,"&lt;&gt;")=0,"",SUMIFS(nrES_Rec,nrES_PID,Cadets!$B39,nrES_Code,_xlpm.c,nrES_Final,"Yes"))))</f>
        <v/>
      </c>
      <c r="H44" s="29">
        <f>IF(OR($C44="",$G44=""),"",IF($G44&gt;=cfgPassingScore,"Pass","FAIL"))</f>
        <v/>
      </c>
      <c r="I44" s="29">
        <f>IF($C44="","",_xlfn.LET(_xlpm.c,IFERROR(INDEX(rngEPcode,MATCH(cfgGradeSheetExam,IFERROR(rngEPseq+0,-1),0)),""),IF(COUNTIFS(nrES_PID,Cadets!$B39,nrES_Code,_xlpm.c,nrES_Att,2)&gt;0,"Retested","")))</f>
        <v/>
      </c>
    </row>
    <row r="45">
      <c r="B45" s="29">
        <f>IF(Cadets!$B40="","",ROW()-10)</f>
        <v/>
      </c>
      <c r="C45" s="28">
        <f>IF(Cadets!$B40="","",Cadets!$F40)</f>
        <v/>
      </c>
      <c r="D45" s="29">
        <f>IF($C45="","",Cadets!$B40)</f>
        <v/>
      </c>
      <c r="E45" s="29">
        <f>IF($C45="","",Cadets!$H40)</f>
        <v/>
      </c>
      <c r="F45" s="29">
        <f>IF($C45="","",_xlfn.LET(_xlpm.c,IFERROR(INDEX(rngEPcode,MATCH(cfgGradeSheetExam,IFERROR(rngEPseq+0,-1),0)),""),IF(COUNTIFS(nrES_PID,Cadets!$B40,nrES_Code,_xlpm.c,nrES_Att,1)=0,"",SUMIFS(nrES_Raw,nrES_PID,Cadets!$B40,nrES_Code,_xlpm.c,nrES_Att,1))))</f>
        <v/>
      </c>
      <c r="G45" s="29">
        <f>IF($C45="","",_xlfn.LET(_xlpm.c,IFERROR(INDEX(rngEPcode,MATCH(cfgGradeSheetExam,IFERROR(rngEPseq+0,-1),0)),""),IF(COUNTIFS(nrES_PID,Cadets!$B40,nrES_Code,_xlpm.c,nrES_Final,"Yes",nrES_Rec,"&lt;&gt;")=0,"",SUMIFS(nrES_Rec,nrES_PID,Cadets!$B40,nrES_Code,_xlpm.c,nrES_Final,"Yes"))))</f>
        <v/>
      </c>
      <c r="H45" s="29">
        <f>IF(OR($C45="",$G45=""),"",IF($G45&gt;=cfgPassingScore,"Pass","FAIL"))</f>
        <v/>
      </c>
      <c r="I45" s="29">
        <f>IF($C45="","",_xlfn.LET(_xlpm.c,IFERROR(INDEX(rngEPcode,MATCH(cfgGradeSheetExam,IFERROR(rngEPseq+0,-1),0)),""),IF(COUNTIFS(nrES_PID,Cadets!$B40,nrES_Code,_xlpm.c,nrES_Att,2)&gt;0,"Retested","")))</f>
        <v/>
      </c>
    </row>
    <row r="46">
      <c r="B46" s="29">
        <f>IF(Cadets!$B41="","",ROW()-10)</f>
        <v/>
      </c>
      <c r="C46" s="28">
        <f>IF(Cadets!$B41="","",Cadets!$F41)</f>
        <v/>
      </c>
      <c r="D46" s="29">
        <f>IF($C46="","",Cadets!$B41)</f>
        <v/>
      </c>
      <c r="E46" s="29">
        <f>IF($C46="","",Cadets!$H41)</f>
        <v/>
      </c>
      <c r="F46" s="29">
        <f>IF($C46="","",_xlfn.LET(_xlpm.c,IFERROR(INDEX(rngEPcode,MATCH(cfgGradeSheetExam,IFERROR(rngEPseq+0,-1),0)),""),IF(COUNTIFS(nrES_PID,Cadets!$B41,nrES_Code,_xlpm.c,nrES_Att,1)=0,"",SUMIFS(nrES_Raw,nrES_PID,Cadets!$B41,nrES_Code,_xlpm.c,nrES_Att,1))))</f>
        <v/>
      </c>
      <c r="G46" s="29">
        <f>IF($C46="","",_xlfn.LET(_xlpm.c,IFERROR(INDEX(rngEPcode,MATCH(cfgGradeSheetExam,IFERROR(rngEPseq+0,-1),0)),""),IF(COUNTIFS(nrES_PID,Cadets!$B41,nrES_Code,_xlpm.c,nrES_Final,"Yes",nrES_Rec,"&lt;&gt;")=0,"",SUMIFS(nrES_Rec,nrES_PID,Cadets!$B41,nrES_Code,_xlpm.c,nrES_Final,"Yes"))))</f>
        <v/>
      </c>
      <c r="H46" s="29">
        <f>IF(OR($C46="",$G46=""),"",IF($G46&gt;=cfgPassingScore,"Pass","FAIL"))</f>
        <v/>
      </c>
      <c r="I46" s="29">
        <f>IF($C46="","",_xlfn.LET(_xlpm.c,IFERROR(INDEX(rngEPcode,MATCH(cfgGradeSheetExam,IFERROR(rngEPseq+0,-1),0)),""),IF(COUNTIFS(nrES_PID,Cadets!$B41,nrES_Code,_xlpm.c,nrES_Att,2)&gt;0,"Retested","")))</f>
        <v/>
      </c>
    </row>
    <row r="47">
      <c r="B47" s="29">
        <f>IF(Cadets!$B42="","",ROW()-10)</f>
        <v/>
      </c>
      <c r="C47" s="28">
        <f>IF(Cadets!$B42="","",Cadets!$F42)</f>
        <v/>
      </c>
      <c r="D47" s="29">
        <f>IF($C47="","",Cadets!$B42)</f>
        <v/>
      </c>
      <c r="E47" s="29">
        <f>IF($C47="","",Cadets!$H42)</f>
        <v/>
      </c>
      <c r="F47" s="29">
        <f>IF($C47="","",_xlfn.LET(_xlpm.c,IFERROR(INDEX(rngEPcode,MATCH(cfgGradeSheetExam,IFERROR(rngEPseq+0,-1),0)),""),IF(COUNTIFS(nrES_PID,Cadets!$B42,nrES_Code,_xlpm.c,nrES_Att,1)=0,"",SUMIFS(nrES_Raw,nrES_PID,Cadets!$B42,nrES_Code,_xlpm.c,nrES_Att,1))))</f>
        <v/>
      </c>
      <c r="G47" s="29">
        <f>IF($C47="","",_xlfn.LET(_xlpm.c,IFERROR(INDEX(rngEPcode,MATCH(cfgGradeSheetExam,IFERROR(rngEPseq+0,-1),0)),""),IF(COUNTIFS(nrES_PID,Cadets!$B42,nrES_Code,_xlpm.c,nrES_Final,"Yes",nrES_Rec,"&lt;&gt;")=0,"",SUMIFS(nrES_Rec,nrES_PID,Cadets!$B42,nrES_Code,_xlpm.c,nrES_Final,"Yes"))))</f>
        <v/>
      </c>
      <c r="H47" s="29">
        <f>IF(OR($C47="",$G47=""),"",IF($G47&gt;=cfgPassingScore,"Pass","FAIL"))</f>
        <v/>
      </c>
      <c r="I47" s="29">
        <f>IF($C47="","",_xlfn.LET(_xlpm.c,IFERROR(INDEX(rngEPcode,MATCH(cfgGradeSheetExam,IFERROR(rngEPseq+0,-1),0)),""),IF(COUNTIFS(nrES_PID,Cadets!$B42,nrES_Code,_xlpm.c,nrES_Att,2)&gt;0,"Retested","")))</f>
        <v/>
      </c>
    </row>
    <row r="48">
      <c r="B48" s="29">
        <f>IF(Cadets!$B43="","",ROW()-10)</f>
        <v/>
      </c>
      <c r="C48" s="28">
        <f>IF(Cadets!$B43="","",Cadets!$F43)</f>
        <v/>
      </c>
      <c r="D48" s="29">
        <f>IF($C48="","",Cadets!$B43)</f>
        <v/>
      </c>
      <c r="E48" s="29">
        <f>IF($C48="","",Cadets!$H43)</f>
        <v/>
      </c>
      <c r="F48" s="29">
        <f>IF($C48="","",_xlfn.LET(_xlpm.c,IFERROR(INDEX(rngEPcode,MATCH(cfgGradeSheetExam,IFERROR(rngEPseq+0,-1),0)),""),IF(COUNTIFS(nrES_PID,Cadets!$B43,nrES_Code,_xlpm.c,nrES_Att,1)=0,"",SUMIFS(nrES_Raw,nrES_PID,Cadets!$B43,nrES_Code,_xlpm.c,nrES_Att,1))))</f>
        <v/>
      </c>
      <c r="G48" s="29">
        <f>IF($C48="","",_xlfn.LET(_xlpm.c,IFERROR(INDEX(rngEPcode,MATCH(cfgGradeSheetExam,IFERROR(rngEPseq+0,-1),0)),""),IF(COUNTIFS(nrES_PID,Cadets!$B43,nrES_Code,_xlpm.c,nrES_Final,"Yes",nrES_Rec,"&lt;&gt;")=0,"",SUMIFS(nrES_Rec,nrES_PID,Cadets!$B43,nrES_Code,_xlpm.c,nrES_Final,"Yes"))))</f>
        <v/>
      </c>
      <c r="H48" s="29">
        <f>IF(OR($C48="",$G48=""),"",IF($G48&gt;=cfgPassingScore,"Pass","FAIL"))</f>
        <v/>
      </c>
      <c r="I48" s="29">
        <f>IF($C48="","",_xlfn.LET(_xlpm.c,IFERROR(INDEX(rngEPcode,MATCH(cfgGradeSheetExam,IFERROR(rngEPseq+0,-1),0)),""),IF(COUNTIFS(nrES_PID,Cadets!$B43,nrES_Code,_xlpm.c,nrES_Att,2)&gt;0,"Retested","")))</f>
        <v/>
      </c>
    </row>
    <row r="49">
      <c r="B49" s="29">
        <f>IF(Cadets!$B44="","",ROW()-10)</f>
        <v/>
      </c>
      <c r="C49" s="28">
        <f>IF(Cadets!$B44="","",Cadets!$F44)</f>
        <v/>
      </c>
      <c r="D49" s="29">
        <f>IF($C49="","",Cadets!$B44)</f>
        <v/>
      </c>
      <c r="E49" s="29">
        <f>IF($C49="","",Cadets!$H44)</f>
        <v/>
      </c>
      <c r="F49" s="29">
        <f>IF($C49="","",_xlfn.LET(_xlpm.c,IFERROR(INDEX(rngEPcode,MATCH(cfgGradeSheetExam,IFERROR(rngEPseq+0,-1),0)),""),IF(COUNTIFS(nrES_PID,Cadets!$B44,nrES_Code,_xlpm.c,nrES_Att,1)=0,"",SUMIFS(nrES_Raw,nrES_PID,Cadets!$B44,nrES_Code,_xlpm.c,nrES_Att,1))))</f>
        <v/>
      </c>
      <c r="G49" s="29">
        <f>IF($C49="","",_xlfn.LET(_xlpm.c,IFERROR(INDEX(rngEPcode,MATCH(cfgGradeSheetExam,IFERROR(rngEPseq+0,-1),0)),""),IF(COUNTIFS(nrES_PID,Cadets!$B44,nrES_Code,_xlpm.c,nrES_Final,"Yes",nrES_Rec,"&lt;&gt;")=0,"",SUMIFS(nrES_Rec,nrES_PID,Cadets!$B44,nrES_Code,_xlpm.c,nrES_Final,"Yes"))))</f>
        <v/>
      </c>
      <c r="H49" s="29">
        <f>IF(OR($C49="",$G49=""),"",IF($G49&gt;=cfgPassingScore,"Pass","FAIL"))</f>
        <v/>
      </c>
      <c r="I49" s="29">
        <f>IF($C49="","",_xlfn.LET(_xlpm.c,IFERROR(INDEX(rngEPcode,MATCH(cfgGradeSheetExam,IFERROR(rngEPseq+0,-1),0)),""),IF(COUNTIFS(nrES_PID,Cadets!$B44,nrES_Code,_xlpm.c,nrES_Att,2)&gt;0,"Retested","")))</f>
        <v/>
      </c>
    </row>
    <row r="50">
      <c r="B50" s="29">
        <f>IF(Cadets!$B45="","",ROW()-10)</f>
        <v/>
      </c>
      <c r="C50" s="28">
        <f>IF(Cadets!$B45="","",Cadets!$F45)</f>
        <v/>
      </c>
      <c r="D50" s="29">
        <f>IF($C50="","",Cadets!$B45)</f>
        <v/>
      </c>
      <c r="E50" s="29">
        <f>IF($C50="","",Cadets!$H45)</f>
        <v/>
      </c>
      <c r="F50" s="29">
        <f>IF($C50="","",_xlfn.LET(_xlpm.c,IFERROR(INDEX(rngEPcode,MATCH(cfgGradeSheetExam,IFERROR(rngEPseq+0,-1),0)),""),IF(COUNTIFS(nrES_PID,Cadets!$B45,nrES_Code,_xlpm.c,nrES_Att,1)=0,"",SUMIFS(nrES_Raw,nrES_PID,Cadets!$B45,nrES_Code,_xlpm.c,nrES_Att,1))))</f>
        <v/>
      </c>
      <c r="G50" s="29">
        <f>IF($C50="","",_xlfn.LET(_xlpm.c,IFERROR(INDEX(rngEPcode,MATCH(cfgGradeSheetExam,IFERROR(rngEPseq+0,-1),0)),""),IF(COUNTIFS(nrES_PID,Cadets!$B45,nrES_Code,_xlpm.c,nrES_Final,"Yes",nrES_Rec,"&lt;&gt;")=0,"",SUMIFS(nrES_Rec,nrES_PID,Cadets!$B45,nrES_Code,_xlpm.c,nrES_Final,"Yes"))))</f>
        <v/>
      </c>
      <c r="H50" s="29">
        <f>IF(OR($C50="",$G50=""),"",IF($G50&gt;=cfgPassingScore,"Pass","FAIL"))</f>
        <v/>
      </c>
      <c r="I50" s="29">
        <f>IF($C50="","",_xlfn.LET(_xlpm.c,IFERROR(INDEX(rngEPcode,MATCH(cfgGradeSheetExam,IFERROR(rngEPseq+0,-1),0)),""),IF(COUNTIFS(nrES_PID,Cadets!$B45,nrES_Code,_xlpm.c,nrES_Att,2)&gt;0,"Retested","")))</f>
        <v/>
      </c>
    </row>
    <row r="51">
      <c r="B51" s="29">
        <f>IF(Cadets!$B46="","",ROW()-10)</f>
        <v/>
      </c>
      <c r="C51" s="28">
        <f>IF(Cadets!$B46="","",Cadets!$F46)</f>
        <v/>
      </c>
      <c r="D51" s="29">
        <f>IF($C51="","",Cadets!$B46)</f>
        <v/>
      </c>
      <c r="E51" s="29">
        <f>IF($C51="","",Cadets!$H46)</f>
        <v/>
      </c>
      <c r="F51" s="29">
        <f>IF($C51="","",_xlfn.LET(_xlpm.c,IFERROR(INDEX(rngEPcode,MATCH(cfgGradeSheetExam,IFERROR(rngEPseq+0,-1),0)),""),IF(COUNTIFS(nrES_PID,Cadets!$B46,nrES_Code,_xlpm.c,nrES_Att,1)=0,"",SUMIFS(nrES_Raw,nrES_PID,Cadets!$B46,nrES_Code,_xlpm.c,nrES_Att,1))))</f>
        <v/>
      </c>
      <c r="G51" s="29">
        <f>IF($C51="","",_xlfn.LET(_xlpm.c,IFERROR(INDEX(rngEPcode,MATCH(cfgGradeSheetExam,IFERROR(rngEPseq+0,-1),0)),""),IF(COUNTIFS(nrES_PID,Cadets!$B46,nrES_Code,_xlpm.c,nrES_Final,"Yes",nrES_Rec,"&lt;&gt;")=0,"",SUMIFS(nrES_Rec,nrES_PID,Cadets!$B46,nrES_Code,_xlpm.c,nrES_Final,"Yes"))))</f>
        <v/>
      </c>
      <c r="H51" s="29">
        <f>IF(OR($C51="",$G51=""),"",IF($G51&gt;=cfgPassingScore,"Pass","FAIL"))</f>
        <v/>
      </c>
      <c r="I51" s="29">
        <f>IF($C51="","",_xlfn.LET(_xlpm.c,IFERROR(INDEX(rngEPcode,MATCH(cfgGradeSheetExam,IFERROR(rngEPseq+0,-1),0)),""),IF(COUNTIFS(nrES_PID,Cadets!$B46,nrES_Code,_xlpm.c,nrES_Att,2)&gt;0,"Retested","")))</f>
        <v/>
      </c>
    </row>
    <row r="52">
      <c r="B52" s="29">
        <f>IF(Cadets!$B47="","",ROW()-10)</f>
        <v/>
      </c>
      <c r="C52" s="28">
        <f>IF(Cadets!$B47="","",Cadets!$F47)</f>
        <v/>
      </c>
      <c r="D52" s="29">
        <f>IF($C52="","",Cadets!$B47)</f>
        <v/>
      </c>
      <c r="E52" s="29">
        <f>IF($C52="","",Cadets!$H47)</f>
        <v/>
      </c>
      <c r="F52" s="29">
        <f>IF($C52="","",_xlfn.LET(_xlpm.c,IFERROR(INDEX(rngEPcode,MATCH(cfgGradeSheetExam,IFERROR(rngEPseq+0,-1),0)),""),IF(COUNTIFS(nrES_PID,Cadets!$B47,nrES_Code,_xlpm.c,nrES_Att,1)=0,"",SUMIFS(nrES_Raw,nrES_PID,Cadets!$B47,nrES_Code,_xlpm.c,nrES_Att,1))))</f>
        <v/>
      </c>
      <c r="G52" s="29">
        <f>IF($C52="","",_xlfn.LET(_xlpm.c,IFERROR(INDEX(rngEPcode,MATCH(cfgGradeSheetExam,IFERROR(rngEPseq+0,-1),0)),""),IF(COUNTIFS(nrES_PID,Cadets!$B47,nrES_Code,_xlpm.c,nrES_Final,"Yes",nrES_Rec,"&lt;&gt;")=0,"",SUMIFS(nrES_Rec,nrES_PID,Cadets!$B47,nrES_Code,_xlpm.c,nrES_Final,"Yes"))))</f>
        <v/>
      </c>
      <c r="H52" s="29">
        <f>IF(OR($C52="",$G52=""),"",IF($G52&gt;=cfgPassingScore,"Pass","FAIL"))</f>
        <v/>
      </c>
      <c r="I52" s="29">
        <f>IF($C52="","",_xlfn.LET(_xlpm.c,IFERROR(INDEX(rngEPcode,MATCH(cfgGradeSheetExam,IFERROR(rngEPseq+0,-1),0)),""),IF(COUNTIFS(nrES_PID,Cadets!$B47,nrES_Code,_xlpm.c,nrES_Att,2)&gt;0,"Retested","")))</f>
        <v/>
      </c>
    </row>
    <row r="53">
      <c r="B53" s="29">
        <f>IF(Cadets!$B48="","",ROW()-10)</f>
        <v/>
      </c>
      <c r="C53" s="28">
        <f>IF(Cadets!$B48="","",Cadets!$F48)</f>
        <v/>
      </c>
      <c r="D53" s="29">
        <f>IF($C53="","",Cadets!$B48)</f>
        <v/>
      </c>
      <c r="E53" s="29">
        <f>IF($C53="","",Cadets!$H48)</f>
        <v/>
      </c>
      <c r="F53" s="29">
        <f>IF($C53="","",_xlfn.LET(_xlpm.c,IFERROR(INDEX(rngEPcode,MATCH(cfgGradeSheetExam,IFERROR(rngEPseq+0,-1),0)),""),IF(COUNTIFS(nrES_PID,Cadets!$B48,nrES_Code,_xlpm.c,nrES_Att,1)=0,"",SUMIFS(nrES_Raw,nrES_PID,Cadets!$B48,nrES_Code,_xlpm.c,nrES_Att,1))))</f>
        <v/>
      </c>
      <c r="G53" s="29">
        <f>IF($C53="","",_xlfn.LET(_xlpm.c,IFERROR(INDEX(rngEPcode,MATCH(cfgGradeSheetExam,IFERROR(rngEPseq+0,-1),0)),""),IF(COUNTIFS(nrES_PID,Cadets!$B48,nrES_Code,_xlpm.c,nrES_Final,"Yes",nrES_Rec,"&lt;&gt;")=0,"",SUMIFS(nrES_Rec,nrES_PID,Cadets!$B48,nrES_Code,_xlpm.c,nrES_Final,"Yes"))))</f>
        <v/>
      </c>
      <c r="H53" s="29">
        <f>IF(OR($C53="",$G53=""),"",IF($G53&gt;=cfgPassingScore,"Pass","FAIL"))</f>
        <v/>
      </c>
      <c r="I53" s="29">
        <f>IF($C53="","",_xlfn.LET(_xlpm.c,IFERROR(INDEX(rngEPcode,MATCH(cfgGradeSheetExam,IFERROR(rngEPseq+0,-1),0)),""),IF(COUNTIFS(nrES_PID,Cadets!$B48,nrES_Code,_xlpm.c,nrES_Att,2)&gt;0,"Retested","")))</f>
        <v/>
      </c>
    </row>
    <row r="54">
      <c r="B54" s="29">
        <f>IF(Cadets!$B49="","",ROW()-10)</f>
        <v/>
      </c>
      <c r="C54" s="28">
        <f>IF(Cadets!$B49="","",Cadets!$F49)</f>
        <v/>
      </c>
      <c r="D54" s="29">
        <f>IF($C54="","",Cadets!$B49)</f>
        <v/>
      </c>
      <c r="E54" s="29">
        <f>IF($C54="","",Cadets!$H49)</f>
        <v/>
      </c>
      <c r="F54" s="29">
        <f>IF($C54="","",_xlfn.LET(_xlpm.c,IFERROR(INDEX(rngEPcode,MATCH(cfgGradeSheetExam,IFERROR(rngEPseq+0,-1),0)),""),IF(COUNTIFS(nrES_PID,Cadets!$B49,nrES_Code,_xlpm.c,nrES_Att,1)=0,"",SUMIFS(nrES_Raw,nrES_PID,Cadets!$B49,nrES_Code,_xlpm.c,nrES_Att,1))))</f>
        <v/>
      </c>
      <c r="G54" s="29">
        <f>IF($C54="","",_xlfn.LET(_xlpm.c,IFERROR(INDEX(rngEPcode,MATCH(cfgGradeSheetExam,IFERROR(rngEPseq+0,-1),0)),""),IF(COUNTIFS(nrES_PID,Cadets!$B49,nrES_Code,_xlpm.c,nrES_Final,"Yes",nrES_Rec,"&lt;&gt;")=0,"",SUMIFS(nrES_Rec,nrES_PID,Cadets!$B49,nrES_Code,_xlpm.c,nrES_Final,"Yes"))))</f>
        <v/>
      </c>
      <c r="H54" s="29">
        <f>IF(OR($C54="",$G54=""),"",IF($G54&gt;=cfgPassingScore,"Pass","FAIL"))</f>
        <v/>
      </c>
      <c r="I54" s="29">
        <f>IF($C54="","",_xlfn.LET(_xlpm.c,IFERROR(INDEX(rngEPcode,MATCH(cfgGradeSheetExam,IFERROR(rngEPseq+0,-1),0)),""),IF(COUNTIFS(nrES_PID,Cadets!$B49,nrES_Code,_xlpm.c,nrES_Att,2)&gt;0,"Retested","")))</f>
        <v/>
      </c>
    </row>
    <row r="55">
      <c r="B55" s="29">
        <f>IF(Cadets!$B50="","",ROW()-10)</f>
        <v/>
      </c>
      <c r="C55" s="28">
        <f>IF(Cadets!$B50="","",Cadets!$F50)</f>
        <v/>
      </c>
      <c r="D55" s="29">
        <f>IF($C55="","",Cadets!$B50)</f>
        <v/>
      </c>
      <c r="E55" s="29">
        <f>IF($C55="","",Cadets!$H50)</f>
        <v/>
      </c>
      <c r="F55" s="29">
        <f>IF($C55="","",_xlfn.LET(_xlpm.c,IFERROR(INDEX(rngEPcode,MATCH(cfgGradeSheetExam,IFERROR(rngEPseq+0,-1),0)),""),IF(COUNTIFS(nrES_PID,Cadets!$B50,nrES_Code,_xlpm.c,nrES_Att,1)=0,"",SUMIFS(nrES_Raw,nrES_PID,Cadets!$B50,nrES_Code,_xlpm.c,nrES_Att,1))))</f>
        <v/>
      </c>
      <c r="G55" s="29">
        <f>IF($C55="","",_xlfn.LET(_xlpm.c,IFERROR(INDEX(rngEPcode,MATCH(cfgGradeSheetExam,IFERROR(rngEPseq+0,-1),0)),""),IF(COUNTIFS(nrES_PID,Cadets!$B50,nrES_Code,_xlpm.c,nrES_Final,"Yes",nrES_Rec,"&lt;&gt;")=0,"",SUMIFS(nrES_Rec,nrES_PID,Cadets!$B50,nrES_Code,_xlpm.c,nrES_Final,"Yes"))))</f>
        <v/>
      </c>
      <c r="H55" s="29">
        <f>IF(OR($C55="",$G55=""),"",IF($G55&gt;=cfgPassingScore,"Pass","FAIL"))</f>
        <v/>
      </c>
      <c r="I55" s="29">
        <f>IF($C55="","",_xlfn.LET(_xlpm.c,IFERROR(INDEX(rngEPcode,MATCH(cfgGradeSheetExam,IFERROR(rngEPseq+0,-1),0)),""),IF(COUNTIFS(nrES_PID,Cadets!$B50,nrES_Code,_xlpm.c,nrES_Att,2)&gt;0,"Retested","")))</f>
        <v/>
      </c>
    </row>
    <row r="56">
      <c r="B56" s="29">
        <f>IF(Cadets!$B51="","",ROW()-10)</f>
        <v/>
      </c>
      <c r="C56" s="28">
        <f>IF(Cadets!$B51="","",Cadets!$F51)</f>
        <v/>
      </c>
      <c r="D56" s="29">
        <f>IF($C56="","",Cadets!$B51)</f>
        <v/>
      </c>
      <c r="E56" s="29">
        <f>IF($C56="","",Cadets!$H51)</f>
        <v/>
      </c>
      <c r="F56" s="29">
        <f>IF($C56="","",_xlfn.LET(_xlpm.c,IFERROR(INDEX(rngEPcode,MATCH(cfgGradeSheetExam,IFERROR(rngEPseq+0,-1),0)),""),IF(COUNTIFS(nrES_PID,Cadets!$B51,nrES_Code,_xlpm.c,nrES_Att,1)=0,"",SUMIFS(nrES_Raw,nrES_PID,Cadets!$B51,nrES_Code,_xlpm.c,nrES_Att,1))))</f>
        <v/>
      </c>
      <c r="G56" s="29">
        <f>IF($C56="","",_xlfn.LET(_xlpm.c,IFERROR(INDEX(rngEPcode,MATCH(cfgGradeSheetExam,IFERROR(rngEPseq+0,-1),0)),""),IF(COUNTIFS(nrES_PID,Cadets!$B51,nrES_Code,_xlpm.c,nrES_Final,"Yes",nrES_Rec,"&lt;&gt;")=0,"",SUMIFS(nrES_Rec,nrES_PID,Cadets!$B51,nrES_Code,_xlpm.c,nrES_Final,"Yes"))))</f>
        <v/>
      </c>
      <c r="H56" s="29">
        <f>IF(OR($C56="",$G56=""),"",IF($G56&gt;=cfgPassingScore,"Pass","FAIL"))</f>
        <v/>
      </c>
      <c r="I56" s="29">
        <f>IF($C56="","",_xlfn.LET(_xlpm.c,IFERROR(INDEX(rngEPcode,MATCH(cfgGradeSheetExam,IFERROR(rngEPseq+0,-1),0)),""),IF(COUNTIFS(nrES_PID,Cadets!$B51,nrES_Code,_xlpm.c,nrES_Att,2)&gt;0,"Retested","")))</f>
        <v/>
      </c>
    </row>
    <row r="57">
      <c r="B57" s="29">
        <f>IF(Cadets!$B52="","",ROW()-10)</f>
        <v/>
      </c>
      <c r="C57" s="28">
        <f>IF(Cadets!$B52="","",Cadets!$F52)</f>
        <v/>
      </c>
      <c r="D57" s="29">
        <f>IF($C57="","",Cadets!$B52)</f>
        <v/>
      </c>
      <c r="E57" s="29">
        <f>IF($C57="","",Cadets!$H52)</f>
        <v/>
      </c>
      <c r="F57" s="29">
        <f>IF($C57="","",_xlfn.LET(_xlpm.c,IFERROR(INDEX(rngEPcode,MATCH(cfgGradeSheetExam,IFERROR(rngEPseq+0,-1),0)),""),IF(COUNTIFS(nrES_PID,Cadets!$B52,nrES_Code,_xlpm.c,nrES_Att,1)=0,"",SUMIFS(nrES_Raw,nrES_PID,Cadets!$B52,nrES_Code,_xlpm.c,nrES_Att,1))))</f>
        <v/>
      </c>
      <c r="G57" s="29">
        <f>IF($C57="","",_xlfn.LET(_xlpm.c,IFERROR(INDEX(rngEPcode,MATCH(cfgGradeSheetExam,IFERROR(rngEPseq+0,-1),0)),""),IF(COUNTIFS(nrES_PID,Cadets!$B52,nrES_Code,_xlpm.c,nrES_Final,"Yes",nrES_Rec,"&lt;&gt;")=0,"",SUMIFS(nrES_Rec,nrES_PID,Cadets!$B52,nrES_Code,_xlpm.c,nrES_Final,"Yes"))))</f>
        <v/>
      </c>
      <c r="H57" s="29">
        <f>IF(OR($C57="",$G57=""),"",IF($G57&gt;=cfgPassingScore,"Pass","FAIL"))</f>
        <v/>
      </c>
      <c r="I57" s="29">
        <f>IF($C57="","",_xlfn.LET(_xlpm.c,IFERROR(INDEX(rngEPcode,MATCH(cfgGradeSheetExam,IFERROR(rngEPseq+0,-1),0)),""),IF(COUNTIFS(nrES_PID,Cadets!$B52,nrES_Code,_xlpm.c,nrES_Att,2)&gt;0,"Retested","")))</f>
        <v/>
      </c>
    </row>
    <row r="58">
      <c r="B58" s="29">
        <f>IF(Cadets!$B53="","",ROW()-10)</f>
        <v/>
      </c>
      <c r="C58" s="28">
        <f>IF(Cadets!$B53="","",Cadets!$F53)</f>
        <v/>
      </c>
      <c r="D58" s="29">
        <f>IF($C58="","",Cadets!$B53)</f>
        <v/>
      </c>
      <c r="E58" s="29">
        <f>IF($C58="","",Cadets!$H53)</f>
        <v/>
      </c>
      <c r="F58" s="29">
        <f>IF($C58="","",_xlfn.LET(_xlpm.c,IFERROR(INDEX(rngEPcode,MATCH(cfgGradeSheetExam,IFERROR(rngEPseq+0,-1),0)),""),IF(COUNTIFS(nrES_PID,Cadets!$B53,nrES_Code,_xlpm.c,nrES_Att,1)=0,"",SUMIFS(nrES_Raw,nrES_PID,Cadets!$B53,nrES_Code,_xlpm.c,nrES_Att,1))))</f>
        <v/>
      </c>
      <c r="G58" s="29">
        <f>IF($C58="","",_xlfn.LET(_xlpm.c,IFERROR(INDEX(rngEPcode,MATCH(cfgGradeSheetExam,IFERROR(rngEPseq+0,-1),0)),""),IF(COUNTIFS(nrES_PID,Cadets!$B53,nrES_Code,_xlpm.c,nrES_Final,"Yes",nrES_Rec,"&lt;&gt;")=0,"",SUMIFS(nrES_Rec,nrES_PID,Cadets!$B53,nrES_Code,_xlpm.c,nrES_Final,"Yes"))))</f>
        <v/>
      </c>
      <c r="H58" s="29">
        <f>IF(OR($C58="",$G58=""),"",IF($G58&gt;=cfgPassingScore,"Pass","FAIL"))</f>
        <v/>
      </c>
      <c r="I58" s="29">
        <f>IF($C58="","",_xlfn.LET(_xlpm.c,IFERROR(INDEX(rngEPcode,MATCH(cfgGradeSheetExam,IFERROR(rngEPseq+0,-1),0)),""),IF(COUNTIFS(nrES_PID,Cadets!$B53,nrES_Code,_xlpm.c,nrES_Att,2)&gt;0,"Retested","")))</f>
        <v/>
      </c>
    </row>
    <row r="59">
      <c r="B59" s="29">
        <f>IF(Cadets!$B54="","",ROW()-10)</f>
        <v/>
      </c>
      <c r="C59" s="28">
        <f>IF(Cadets!$B54="","",Cadets!$F54)</f>
        <v/>
      </c>
      <c r="D59" s="29">
        <f>IF($C59="","",Cadets!$B54)</f>
        <v/>
      </c>
      <c r="E59" s="29">
        <f>IF($C59="","",Cadets!$H54)</f>
        <v/>
      </c>
      <c r="F59" s="29">
        <f>IF($C59="","",_xlfn.LET(_xlpm.c,IFERROR(INDEX(rngEPcode,MATCH(cfgGradeSheetExam,IFERROR(rngEPseq+0,-1),0)),""),IF(COUNTIFS(nrES_PID,Cadets!$B54,nrES_Code,_xlpm.c,nrES_Att,1)=0,"",SUMIFS(nrES_Raw,nrES_PID,Cadets!$B54,nrES_Code,_xlpm.c,nrES_Att,1))))</f>
        <v/>
      </c>
      <c r="G59" s="29">
        <f>IF($C59="","",_xlfn.LET(_xlpm.c,IFERROR(INDEX(rngEPcode,MATCH(cfgGradeSheetExam,IFERROR(rngEPseq+0,-1),0)),""),IF(COUNTIFS(nrES_PID,Cadets!$B54,nrES_Code,_xlpm.c,nrES_Final,"Yes",nrES_Rec,"&lt;&gt;")=0,"",SUMIFS(nrES_Rec,nrES_PID,Cadets!$B54,nrES_Code,_xlpm.c,nrES_Final,"Yes"))))</f>
        <v/>
      </c>
      <c r="H59" s="29">
        <f>IF(OR($C59="",$G59=""),"",IF($G59&gt;=cfgPassingScore,"Pass","FAIL"))</f>
        <v/>
      </c>
      <c r="I59" s="29">
        <f>IF($C59="","",_xlfn.LET(_xlpm.c,IFERROR(INDEX(rngEPcode,MATCH(cfgGradeSheetExam,IFERROR(rngEPseq+0,-1),0)),""),IF(COUNTIFS(nrES_PID,Cadets!$B54,nrES_Code,_xlpm.c,nrES_Att,2)&gt;0,"Retested","")))</f>
        <v/>
      </c>
    </row>
    <row r="60">
      <c r="B60" s="29">
        <f>IF(Cadets!$B55="","",ROW()-10)</f>
        <v/>
      </c>
      <c r="C60" s="28">
        <f>IF(Cadets!$B55="","",Cadets!$F55)</f>
        <v/>
      </c>
      <c r="D60" s="29">
        <f>IF($C60="","",Cadets!$B55)</f>
        <v/>
      </c>
      <c r="E60" s="29">
        <f>IF($C60="","",Cadets!$H55)</f>
        <v/>
      </c>
      <c r="F60" s="29">
        <f>IF($C60="","",_xlfn.LET(_xlpm.c,IFERROR(INDEX(rngEPcode,MATCH(cfgGradeSheetExam,IFERROR(rngEPseq+0,-1),0)),""),IF(COUNTIFS(nrES_PID,Cadets!$B55,nrES_Code,_xlpm.c,nrES_Att,1)=0,"",SUMIFS(nrES_Raw,nrES_PID,Cadets!$B55,nrES_Code,_xlpm.c,nrES_Att,1))))</f>
        <v/>
      </c>
      <c r="G60" s="29">
        <f>IF($C60="","",_xlfn.LET(_xlpm.c,IFERROR(INDEX(rngEPcode,MATCH(cfgGradeSheetExam,IFERROR(rngEPseq+0,-1),0)),""),IF(COUNTIFS(nrES_PID,Cadets!$B55,nrES_Code,_xlpm.c,nrES_Final,"Yes",nrES_Rec,"&lt;&gt;")=0,"",SUMIFS(nrES_Rec,nrES_PID,Cadets!$B55,nrES_Code,_xlpm.c,nrES_Final,"Yes"))))</f>
        <v/>
      </c>
      <c r="H60" s="29">
        <f>IF(OR($C60="",$G60=""),"",IF($G60&gt;=cfgPassingScore,"Pass","FAIL"))</f>
        <v/>
      </c>
      <c r="I60" s="29">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H11:H60">
    <cfRule type="expression" priority="1" dxfId="1">
      <formula>$H11="FAIL"</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9">
        <f>IF(Cadets!$B6="","",ROW()-23)</f>
        <v/>
      </c>
      <c r="C24" s="28">
        <f>IF(Cadets!$B6="","",IF(Cadets!$I6&lt;&gt;"Active","",Cadets!$F6))</f>
        <v/>
      </c>
      <c r="D24" s="28">
        <f>IF(C24="","",Cadets!$B6)</f>
        <v/>
      </c>
      <c r="E24" s="28">
        <f>IF(C24="","",Cadets!$H6)</f>
        <v/>
      </c>
      <c r="F24" s="32" t="n"/>
      <c r="G24" s="32" t="n"/>
      <c r="H24" s="32" t="n"/>
    </row>
    <row r="25" ht="20" customHeight="1">
      <c r="B25" s="29">
        <f>IF(Cadets!$B7="","",ROW()-23)</f>
        <v/>
      </c>
      <c r="C25" s="28">
        <f>IF(Cadets!$B7="","",IF(Cadets!$I7&lt;&gt;"Active","",Cadets!$F7))</f>
        <v/>
      </c>
      <c r="D25" s="28">
        <f>IF(C25="","",Cadets!$B7)</f>
        <v/>
      </c>
      <c r="E25" s="28">
        <f>IF(C25="","",Cadets!$H7)</f>
        <v/>
      </c>
      <c r="F25" s="32" t="n"/>
      <c r="G25" s="32" t="n"/>
      <c r="H25" s="32" t="n"/>
    </row>
    <row r="26" ht="20" customHeight="1">
      <c r="B26" s="29">
        <f>IF(Cadets!$B8="","",ROW()-23)</f>
        <v/>
      </c>
      <c r="C26" s="28">
        <f>IF(Cadets!$B8="","",IF(Cadets!$I8&lt;&gt;"Active","",Cadets!$F8))</f>
        <v/>
      </c>
      <c r="D26" s="28">
        <f>IF(C26="","",Cadets!$B8)</f>
        <v/>
      </c>
      <c r="E26" s="28">
        <f>IF(C26="","",Cadets!$H8)</f>
        <v/>
      </c>
      <c r="F26" s="32" t="n"/>
      <c r="G26" s="32" t="n"/>
      <c r="H26" s="32" t="n"/>
    </row>
    <row r="27" ht="20" customHeight="1">
      <c r="B27" s="29">
        <f>IF(Cadets!$B9="","",ROW()-23)</f>
        <v/>
      </c>
      <c r="C27" s="28">
        <f>IF(Cadets!$B9="","",IF(Cadets!$I9&lt;&gt;"Active","",Cadets!$F9))</f>
        <v/>
      </c>
      <c r="D27" s="28">
        <f>IF(C27="","",Cadets!$B9)</f>
        <v/>
      </c>
      <c r="E27" s="28">
        <f>IF(C27="","",Cadets!$H9)</f>
        <v/>
      </c>
      <c r="F27" s="32" t="n"/>
      <c r="G27" s="32" t="n"/>
      <c r="H27" s="32" t="n"/>
    </row>
    <row r="28" ht="20" customHeight="1">
      <c r="B28" s="29">
        <f>IF(Cadets!$B10="","",ROW()-23)</f>
        <v/>
      </c>
      <c r="C28" s="28">
        <f>IF(Cadets!$B10="","",IF(Cadets!$I10&lt;&gt;"Active","",Cadets!$F10))</f>
        <v/>
      </c>
      <c r="D28" s="28">
        <f>IF(C28="","",Cadets!$B10)</f>
        <v/>
      </c>
      <c r="E28" s="28">
        <f>IF(C28="","",Cadets!$H10)</f>
        <v/>
      </c>
      <c r="F28" s="32" t="n"/>
      <c r="G28" s="32" t="n"/>
      <c r="H28" s="32" t="n"/>
    </row>
    <row r="29" ht="20" customHeight="1">
      <c r="B29" s="29">
        <f>IF(Cadets!$B11="","",ROW()-23)</f>
        <v/>
      </c>
      <c r="C29" s="28">
        <f>IF(Cadets!$B11="","",IF(Cadets!$I11&lt;&gt;"Active","",Cadets!$F11))</f>
        <v/>
      </c>
      <c r="D29" s="28">
        <f>IF(C29="","",Cadets!$B11)</f>
        <v/>
      </c>
      <c r="E29" s="28">
        <f>IF(C29="","",Cadets!$H11)</f>
        <v/>
      </c>
      <c r="F29" s="32" t="n"/>
      <c r="G29" s="32" t="n"/>
      <c r="H29" s="32" t="n"/>
    </row>
    <row r="30" ht="20" customHeight="1">
      <c r="B30" s="29">
        <f>IF(Cadets!$B12="","",ROW()-23)</f>
        <v/>
      </c>
      <c r="C30" s="28">
        <f>IF(Cadets!$B12="","",IF(Cadets!$I12&lt;&gt;"Active","",Cadets!$F12))</f>
        <v/>
      </c>
      <c r="D30" s="28">
        <f>IF(C30="","",Cadets!$B12)</f>
        <v/>
      </c>
      <c r="E30" s="28">
        <f>IF(C30="","",Cadets!$H12)</f>
        <v/>
      </c>
      <c r="F30" s="32" t="n"/>
      <c r="G30" s="32" t="n"/>
      <c r="H30" s="32" t="n"/>
    </row>
    <row r="31" ht="20" customHeight="1">
      <c r="B31" s="29">
        <f>IF(Cadets!$B13="","",ROW()-23)</f>
        <v/>
      </c>
      <c r="C31" s="28">
        <f>IF(Cadets!$B13="","",IF(Cadets!$I13&lt;&gt;"Active","",Cadets!$F13))</f>
        <v/>
      </c>
      <c r="D31" s="28">
        <f>IF(C31="","",Cadets!$B13)</f>
        <v/>
      </c>
      <c r="E31" s="28">
        <f>IF(C31="","",Cadets!$H13)</f>
        <v/>
      </c>
      <c r="F31" s="32" t="n"/>
      <c r="G31" s="32" t="n"/>
      <c r="H31" s="32" t="n"/>
    </row>
    <row r="32" ht="20" customHeight="1">
      <c r="B32" s="29">
        <f>IF(Cadets!$B14="","",ROW()-23)</f>
        <v/>
      </c>
      <c r="C32" s="28">
        <f>IF(Cadets!$B14="","",IF(Cadets!$I14&lt;&gt;"Active","",Cadets!$F14))</f>
        <v/>
      </c>
      <c r="D32" s="28">
        <f>IF(C32="","",Cadets!$B14)</f>
        <v/>
      </c>
      <c r="E32" s="28">
        <f>IF(C32="","",Cadets!$H14)</f>
        <v/>
      </c>
      <c r="F32" s="32" t="n"/>
      <c r="G32" s="32" t="n"/>
      <c r="H32" s="32" t="n"/>
    </row>
    <row r="33" ht="20" customHeight="1">
      <c r="B33" s="29">
        <f>IF(Cadets!$B15="","",ROW()-23)</f>
        <v/>
      </c>
      <c r="C33" s="28">
        <f>IF(Cadets!$B15="","",IF(Cadets!$I15&lt;&gt;"Active","",Cadets!$F15))</f>
        <v/>
      </c>
      <c r="D33" s="28">
        <f>IF(C33="","",Cadets!$B15)</f>
        <v/>
      </c>
      <c r="E33" s="28">
        <f>IF(C33="","",Cadets!$H15)</f>
        <v/>
      </c>
      <c r="F33" s="32" t="n"/>
      <c r="G33" s="32" t="n"/>
      <c r="H33" s="32" t="n"/>
    </row>
    <row r="34" ht="20" customHeight="1">
      <c r="B34" s="29">
        <f>IF(Cadets!$B16="","",ROW()-23)</f>
        <v/>
      </c>
      <c r="C34" s="28">
        <f>IF(Cadets!$B16="","",IF(Cadets!$I16&lt;&gt;"Active","",Cadets!$F16))</f>
        <v/>
      </c>
      <c r="D34" s="28">
        <f>IF(C34="","",Cadets!$B16)</f>
        <v/>
      </c>
      <c r="E34" s="28">
        <f>IF(C34="","",Cadets!$H16)</f>
        <v/>
      </c>
      <c r="F34" s="32" t="n"/>
      <c r="G34" s="32" t="n"/>
      <c r="H34" s="32" t="n"/>
    </row>
    <row r="35" ht="20" customHeight="1">
      <c r="B35" s="29">
        <f>IF(Cadets!$B17="","",ROW()-23)</f>
        <v/>
      </c>
      <c r="C35" s="28">
        <f>IF(Cadets!$B17="","",IF(Cadets!$I17&lt;&gt;"Active","",Cadets!$F17))</f>
        <v/>
      </c>
      <c r="D35" s="28">
        <f>IF(C35="","",Cadets!$B17)</f>
        <v/>
      </c>
      <c r="E35" s="28">
        <f>IF(C35="","",Cadets!$H17)</f>
        <v/>
      </c>
      <c r="F35" s="32" t="n"/>
      <c r="G35" s="32" t="n"/>
      <c r="H35" s="32" t="n"/>
    </row>
    <row r="36" ht="20" customHeight="1">
      <c r="B36" s="29">
        <f>IF(Cadets!$B18="","",ROW()-23)</f>
        <v/>
      </c>
      <c r="C36" s="28">
        <f>IF(Cadets!$B18="","",IF(Cadets!$I18&lt;&gt;"Active","",Cadets!$F18))</f>
        <v/>
      </c>
      <c r="D36" s="28">
        <f>IF(C36="","",Cadets!$B18)</f>
        <v/>
      </c>
      <c r="E36" s="28">
        <f>IF(C36="","",Cadets!$H18)</f>
        <v/>
      </c>
      <c r="F36" s="32" t="n"/>
      <c r="G36" s="32" t="n"/>
      <c r="H36" s="32" t="n"/>
    </row>
    <row r="37" ht="20" customHeight="1">
      <c r="B37" s="29">
        <f>IF(Cadets!$B19="","",ROW()-23)</f>
        <v/>
      </c>
      <c r="C37" s="28">
        <f>IF(Cadets!$B19="","",IF(Cadets!$I19&lt;&gt;"Active","",Cadets!$F19))</f>
        <v/>
      </c>
      <c r="D37" s="28">
        <f>IF(C37="","",Cadets!$B19)</f>
        <v/>
      </c>
      <c r="E37" s="28">
        <f>IF(C37="","",Cadets!$H19)</f>
        <v/>
      </c>
      <c r="F37" s="32" t="n"/>
      <c r="G37" s="32" t="n"/>
      <c r="H37" s="32" t="n"/>
    </row>
    <row r="38" ht="20" customHeight="1">
      <c r="B38" s="29">
        <f>IF(Cadets!$B20="","",ROW()-23)</f>
        <v/>
      </c>
      <c r="C38" s="28">
        <f>IF(Cadets!$B20="","",IF(Cadets!$I20&lt;&gt;"Active","",Cadets!$F20))</f>
        <v/>
      </c>
      <c r="D38" s="28">
        <f>IF(C38="","",Cadets!$B20)</f>
        <v/>
      </c>
      <c r="E38" s="28">
        <f>IF(C38="","",Cadets!$H20)</f>
        <v/>
      </c>
      <c r="F38" s="32" t="n"/>
      <c r="G38" s="32" t="n"/>
      <c r="H38" s="32" t="n"/>
    </row>
    <row r="39" ht="20" customHeight="1">
      <c r="B39" s="29">
        <f>IF(Cadets!$B21="","",ROW()-23)</f>
        <v/>
      </c>
      <c r="C39" s="28">
        <f>IF(Cadets!$B21="","",IF(Cadets!$I21&lt;&gt;"Active","",Cadets!$F21))</f>
        <v/>
      </c>
      <c r="D39" s="28">
        <f>IF(C39="","",Cadets!$B21)</f>
        <v/>
      </c>
      <c r="E39" s="28">
        <f>IF(C39="","",Cadets!$H21)</f>
        <v/>
      </c>
      <c r="F39" s="32" t="n"/>
      <c r="G39" s="32" t="n"/>
      <c r="H39" s="32" t="n"/>
    </row>
    <row r="40" ht="20" customHeight="1">
      <c r="B40" s="29">
        <f>IF(Cadets!$B22="","",ROW()-23)</f>
        <v/>
      </c>
      <c r="C40" s="28">
        <f>IF(Cadets!$B22="","",IF(Cadets!$I22&lt;&gt;"Active","",Cadets!$F22))</f>
        <v/>
      </c>
      <c r="D40" s="28">
        <f>IF(C40="","",Cadets!$B22)</f>
        <v/>
      </c>
      <c r="E40" s="28">
        <f>IF(C40="","",Cadets!$H22)</f>
        <v/>
      </c>
      <c r="F40" s="32" t="n"/>
      <c r="G40" s="32" t="n"/>
      <c r="H40" s="32" t="n"/>
    </row>
    <row r="41" ht="20" customHeight="1">
      <c r="B41" s="29">
        <f>IF(Cadets!$B23="","",ROW()-23)</f>
        <v/>
      </c>
      <c r="C41" s="28">
        <f>IF(Cadets!$B23="","",IF(Cadets!$I23&lt;&gt;"Active","",Cadets!$F23))</f>
        <v/>
      </c>
      <c r="D41" s="28">
        <f>IF(C41="","",Cadets!$B23)</f>
        <v/>
      </c>
      <c r="E41" s="28">
        <f>IF(C41="","",Cadets!$H23)</f>
        <v/>
      </c>
      <c r="F41" s="32" t="n"/>
      <c r="G41" s="32" t="n"/>
      <c r="H41" s="32" t="n"/>
    </row>
    <row r="42" ht="20" customHeight="1">
      <c r="B42" s="29">
        <f>IF(Cadets!$B24="","",ROW()-23)</f>
        <v/>
      </c>
      <c r="C42" s="28">
        <f>IF(Cadets!$B24="","",IF(Cadets!$I24&lt;&gt;"Active","",Cadets!$F24))</f>
        <v/>
      </c>
      <c r="D42" s="28">
        <f>IF(C42="","",Cadets!$B24)</f>
        <v/>
      </c>
      <c r="E42" s="28">
        <f>IF(C42="","",Cadets!$H24)</f>
        <v/>
      </c>
      <c r="F42" s="32" t="n"/>
      <c r="G42" s="32" t="n"/>
      <c r="H42" s="32" t="n"/>
    </row>
    <row r="43" ht="20" customHeight="1">
      <c r="B43" s="29">
        <f>IF(Cadets!$B25="","",ROW()-23)</f>
        <v/>
      </c>
      <c r="C43" s="28">
        <f>IF(Cadets!$B25="","",IF(Cadets!$I25&lt;&gt;"Active","",Cadets!$F25))</f>
        <v/>
      </c>
      <c r="D43" s="28">
        <f>IF(C43="","",Cadets!$B25)</f>
        <v/>
      </c>
      <c r="E43" s="28">
        <f>IF(C43="","",Cadets!$H25)</f>
        <v/>
      </c>
      <c r="F43" s="32" t="n"/>
      <c r="G43" s="32" t="n"/>
      <c r="H43" s="32" t="n"/>
    </row>
    <row r="44" ht="20" customHeight="1">
      <c r="B44" s="29">
        <f>IF(Cadets!$B26="","",ROW()-23)</f>
        <v/>
      </c>
      <c r="C44" s="28">
        <f>IF(Cadets!$B26="","",IF(Cadets!$I26&lt;&gt;"Active","",Cadets!$F26))</f>
        <v/>
      </c>
      <c r="D44" s="28">
        <f>IF(C44="","",Cadets!$B26)</f>
        <v/>
      </c>
      <c r="E44" s="28">
        <f>IF(C44="","",Cadets!$H26)</f>
        <v/>
      </c>
      <c r="F44" s="32" t="n"/>
      <c r="G44" s="32" t="n"/>
      <c r="H44" s="32" t="n"/>
    </row>
    <row r="45" ht="20" customHeight="1">
      <c r="B45" s="29">
        <f>IF(Cadets!$B27="","",ROW()-23)</f>
        <v/>
      </c>
      <c r="C45" s="28">
        <f>IF(Cadets!$B27="","",IF(Cadets!$I27&lt;&gt;"Active","",Cadets!$F27))</f>
        <v/>
      </c>
      <c r="D45" s="28">
        <f>IF(C45="","",Cadets!$B27)</f>
        <v/>
      </c>
      <c r="E45" s="28">
        <f>IF(C45="","",Cadets!$H27)</f>
        <v/>
      </c>
      <c r="F45" s="32" t="n"/>
      <c r="G45" s="32" t="n"/>
      <c r="H45" s="32" t="n"/>
    </row>
    <row r="46" ht="20" customHeight="1">
      <c r="B46" s="29">
        <f>IF(Cadets!$B28="","",ROW()-23)</f>
        <v/>
      </c>
      <c r="C46" s="28">
        <f>IF(Cadets!$B28="","",IF(Cadets!$I28&lt;&gt;"Active","",Cadets!$F28))</f>
        <v/>
      </c>
      <c r="D46" s="28">
        <f>IF(C46="","",Cadets!$B28)</f>
        <v/>
      </c>
      <c r="E46" s="28">
        <f>IF(C46="","",Cadets!$H28)</f>
        <v/>
      </c>
      <c r="F46" s="32" t="n"/>
      <c r="G46" s="32" t="n"/>
      <c r="H46" s="32" t="n"/>
    </row>
    <row r="47" ht="20" customHeight="1">
      <c r="B47" s="29">
        <f>IF(Cadets!$B29="","",ROW()-23)</f>
        <v/>
      </c>
      <c r="C47" s="28">
        <f>IF(Cadets!$B29="","",IF(Cadets!$I29&lt;&gt;"Active","",Cadets!$F29))</f>
        <v/>
      </c>
      <c r="D47" s="28">
        <f>IF(C47="","",Cadets!$B29)</f>
        <v/>
      </c>
      <c r="E47" s="28">
        <f>IF(C47="","",Cadets!$H29)</f>
        <v/>
      </c>
      <c r="F47" s="32" t="n"/>
      <c r="G47" s="32" t="n"/>
      <c r="H47" s="32" t="n"/>
    </row>
    <row r="48" ht="20" customHeight="1">
      <c r="B48" s="29">
        <f>IF(Cadets!$B30="","",ROW()-23)</f>
        <v/>
      </c>
      <c r="C48" s="28">
        <f>IF(Cadets!$B30="","",IF(Cadets!$I30&lt;&gt;"Active","",Cadets!$F30))</f>
        <v/>
      </c>
      <c r="D48" s="28">
        <f>IF(C48="","",Cadets!$B30)</f>
        <v/>
      </c>
      <c r="E48" s="28">
        <f>IF(C48="","",Cadets!$H30)</f>
        <v/>
      </c>
      <c r="F48" s="32" t="n"/>
      <c r="G48" s="32" t="n"/>
      <c r="H48" s="32" t="n"/>
    </row>
    <row r="49" ht="20" customHeight="1">
      <c r="B49" s="29">
        <f>IF(Cadets!$B31="","",ROW()-23)</f>
        <v/>
      </c>
      <c r="C49" s="28">
        <f>IF(Cadets!$B31="","",IF(Cadets!$I31&lt;&gt;"Active","",Cadets!$F31))</f>
        <v/>
      </c>
      <c r="D49" s="28">
        <f>IF(C49="","",Cadets!$B31)</f>
        <v/>
      </c>
      <c r="E49" s="28">
        <f>IF(C49="","",Cadets!$H31)</f>
        <v/>
      </c>
      <c r="F49" s="32" t="n"/>
      <c r="G49" s="32" t="n"/>
      <c r="H49" s="32" t="n"/>
    </row>
    <row r="50" ht="20" customHeight="1">
      <c r="B50" s="29">
        <f>IF(Cadets!$B32="","",ROW()-23)</f>
        <v/>
      </c>
      <c r="C50" s="28">
        <f>IF(Cadets!$B32="","",IF(Cadets!$I32&lt;&gt;"Active","",Cadets!$F32))</f>
        <v/>
      </c>
      <c r="D50" s="28">
        <f>IF(C50="","",Cadets!$B32)</f>
        <v/>
      </c>
      <c r="E50" s="28">
        <f>IF(C50="","",Cadets!$H32)</f>
        <v/>
      </c>
      <c r="F50" s="32" t="n"/>
      <c r="G50" s="32" t="n"/>
      <c r="H50" s="32" t="n"/>
    </row>
    <row r="51" ht="20" customHeight="1">
      <c r="B51" s="29">
        <f>IF(Cadets!$B33="","",ROW()-23)</f>
        <v/>
      </c>
      <c r="C51" s="28">
        <f>IF(Cadets!$B33="","",IF(Cadets!$I33&lt;&gt;"Active","",Cadets!$F33))</f>
        <v/>
      </c>
      <c r="D51" s="28">
        <f>IF(C51="","",Cadets!$B33)</f>
        <v/>
      </c>
      <c r="E51" s="28">
        <f>IF(C51="","",Cadets!$H33)</f>
        <v/>
      </c>
      <c r="F51" s="32" t="n"/>
      <c r="G51" s="32" t="n"/>
      <c r="H51" s="32" t="n"/>
    </row>
    <row r="52" ht="20" customHeight="1">
      <c r="B52" s="29">
        <f>IF(Cadets!$B34="","",ROW()-23)</f>
        <v/>
      </c>
      <c r="C52" s="28">
        <f>IF(Cadets!$B34="","",IF(Cadets!$I34&lt;&gt;"Active","",Cadets!$F34))</f>
        <v/>
      </c>
      <c r="D52" s="28">
        <f>IF(C52="","",Cadets!$B34)</f>
        <v/>
      </c>
      <c r="E52" s="28">
        <f>IF(C52="","",Cadets!$H34)</f>
        <v/>
      </c>
      <c r="F52" s="32" t="n"/>
      <c r="G52" s="32" t="n"/>
      <c r="H52" s="32" t="n"/>
    </row>
    <row r="53" ht="20" customHeight="1">
      <c r="B53" s="29">
        <f>IF(Cadets!$B35="","",ROW()-23)</f>
        <v/>
      </c>
      <c r="C53" s="28">
        <f>IF(Cadets!$B35="","",IF(Cadets!$I35&lt;&gt;"Active","",Cadets!$F35))</f>
        <v/>
      </c>
      <c r="D53" s="28">
        <f>IF(C53="","",Cadets!$B35)</f>
        <v/>
      </c>
      <c r="E53" s="28">
        <f>IF(C53="","",Cadets!$H35)</f>
        <v/>
      </c>
      <c r="F53" s="32" t="n"/>
      <c r="G53" s="32" t="n"/>
      <c r="H53" s="32" t="n"/>
    </row>
    <row r="54" ht="20" customHeight="1">
      <c r="B54" s="29">
        <f>IF(Cadets!$B36="","",ROW()-23)</f>
        <v/>
      </c>
      <c r="C54" s="28">
        <f>IF(Cadets!$B36="","",IF(Cadets!$I36&lt;&gt;"Active","",Cadets!$F36))</f>
        <v/>
      </c>
      <c r="D54" s="28">
        <f>IF(C54="","",Cadets!$B36)</f>
        <v/>
      </c>
      <c r="E54" s="28">
        <f>IF(C54="","",Cadets!$H36)</f>
        <v/>
      </c>
      <c r="F54" s="32" t="n"/>
      <c r="G54" s="32" t="n"/>
      <c r="H54" s="32" t="n"/>
    </row>
    <row r="55" ht="20" customHeight="1">
      <c r="B55" s="29">
        <f>IF(Cadets!$B37="","",ROW()-23)</f>
        <v/>
      </c>
      <c r="C55" s="28">
        <f>IF(Cadets!$B37="","",IF(Cadets!$I37&lt;&gt;"Active","",Cadets!$F37))</f>
        <v/>
      </c>
      <c r="D55" s="28">
        <f>IF(C55="","",Cadets!$B37)</f>
        <v/>
      </c>
      <c r="E55" s="28">
        <f>IF(C55="","",Cadets!$H37)</f>
        <v/>
      </c>
      <c r="F55" s="32" t="n"/>
      <c r="G55" s="32" t="n"/>
      <c r="H55" s="32" t="n"/>
    </row>
    <row r="56" ht="20" customHeight="1">
      <c r="B56" s="29">
        <f>IF(Cadets!$B38="","",ROW()-23)</f>
        <v/>
      </c>
      <c r="C56" s="28">
        <f>IF(Cadets!$B38="","",IF(Cadets!$I38&lt;&gt;"Active","",Cadets!$F38))</f>
        <v/>
      </c>
      <c r="D56" s="28">
        <f>IF(C56="","",Cadets!$B38)</f>
        <v/>
      </c>
      <c r="E56" s="28">
        <f>IF(C56="","",Cadets!$H38)</f>
        <v/>
      </c>
      <c r="F56" s="32" t="n"/>
      <c r="G56" s="32" t="n"/>
      <c r="H56" s="32" t="n"/>
    </row>
    <row r="57" ht="20" customHeight="1">
      <c r="B57" s="29">
        <f>IF(Cadets!$B39="","",ROW()-23)</f>
        <v/>
      </c>
      <c r="C57" s="28">
        <f>IF(Cadets!$B39="","",IF(Cadets!$I39&lt;&gt;"Active","",Cadets!$F39))</f>
        <v/>
      </c>
      <c r="D57" s="28">
        <f>IF(C57="","",Cadets!$B39)</f>
        <v/>
      </c>
      <c r="E57" s="28">
        <f>IF(C57="","",Cadets!$H39)</f>
        <v/>
      </c>
      <c r="F57" s="32" t="n"/>
      <c r="G57" s="32" t="n"/>
      <c r="H57" s="32" t="n"/>
    </row>
    <row r="58" ht="20" customHeight="1">
      <c r="B58" s="29">
        <f>IF(Cadets!$B40="","",ROW()-23)</f>
        <v/>
      </c>
      <c r="C58" s="28">
        <f>IF(Cadets!$B40="","",IF(Cadets!$I40&lt;&gt;"Active","",Cadets!$F40))</f>
        <v/>
      </c>
      <c r="D58" s="28">
        <f>IF(C58="","",Cadets!$B40)</f>
        <v/>
      </c>
      <c r="E58" s="28">
        <f>IF(C58="","",Cadets!$H40)</f>
        <v/>
      </c>
      <c r="F58" s="32" t="n"/>
      <c r="G58" s="32" t="n"/>
      <c r="H58" s="32" t="n"/>
    </row>
    <row r="59" ht="20" customHeight="1">
      <c r="B59" s="29">
        <f>IF(Cadets!$B41="","",ROW()-23)</f>
        <v/>
      </c>
      <c r="C59" s="28">
        <f>IF(Cadets!$B41="","",IF(Cadets!$I41&lt;&gt;"Active","",Cadets!$F41))</f>
        <v/>
      </c>
      <c r="D59" s="28">
        <f>IF(C59="","",Cadets!$B41)</f>
        <v/>
      </c>
      <c r="E59" s="28">
        <f>IF(C59="","",Cadets!$H41)</f>
        <v/>
      </c>
      <c r="F59" s="32" t="n"/>
      <c r="G59" s="32" t="n"/>
      <c r="H59" s="32" t="n"/>
    </row>
    <row r="60" ht="20" customHeight="1">
      <c r="B60" s="29">
        <f>IF(Cadets!$B42="","",ROW()-23)</f>
        <v/>
      </c>
      <c r="C60" s="28">
        <f>IF(Cadets!$B42="","",IF(Cadets!$I42&lt;&gt;"Active","",Cadets!$F42))</f>
        <v/>
      </c>
      <c r="D60" s="28">
        <f>IF(C60="","",Cadets!$B42)</f>
        <v/>
      </c>
      <c r="E60" s="28">
        <f>IF(C60="","",Cadets!$H42)</f>
        <v/>
      </c>
      <c r="F60" s="32" t="n"/>
      <c r="G60" s="32" t="n"/>
      <c r="H60" s="32" t="n"/>
    </row>
    <row r="61" ht="20" customHeight="1">
      <c r="B61" s="29">
        <f>IF(Cadets!$B43="","",ROW()-23)</f>
        <v/>
      </c>
      <c r="C61" s="28">
        <f>IF(Cadets!$B43="","",IF(Cadets!$I43&lt;&gt;"Active","",Cadets!$F43))</f>
        <v/>
      </c>
      <c r="D61" s="28">
        <f>IF(C61="","",Cadets!$B43)</f>
        <v/>
      </c>
      <c r="E61" s="28">
        <f>IF(C61="","",Cadets!$H43)</f>
        <v/>
      </c>
      <c r="F61" s="32" t="n"/>
      <c r="G61" s="32" t="n"/>
      <c r="H61" s="32" t="n"/>
    </row>
    <row r="62" ht="20" customHeight="1">
      <c r="B62" s="29">
        <f>IF(Cadets!$B44="","",ROW()-23)</f>
        <v/>
      </c>
      <c r="C62" s="28">
        <f>IF(Cadets!$B44="","",IF(Cadets!$I44&lt;&gt;"Active","",Cadets!$F44))</f>
        <v/>
      </c>
      <c r="D62" s="28">
        <f>IF(C62="","",Cadets!$B44)</f>
        <v/>
      </c>
      <c r="E62" s="28">
        <f>IF(C62="","",Cadets!$H44)</f>
        <v/>
      </c>
      <c r="F62" s="32" t="n"/>
      <c r="G62" s="32" t="n"/>
      <c r="H62" s="32" t="n"/>
    </row>
    <row r="63" ht="20" customHeight="1">
      <c r="B63" s="29">
        <f>IF(Cadets!$B45="","",ROW()-23)</f>
        <v/>
      </c>
      <c r="C63" s="28">
        <f>IF(Cadets!$B45="","",IF(Cadets!$I45&lt;&gt;"Active","",Cadets!$F45))</f>
        <v/>
      </c>
      <c r="D63" s="28">
        <f>IF(C63="","",Cadets!$B45)</f>
        <v/>
      </c>
      <c r="E63" s="28">
        <f>IF(C63="","",Cadets!$H45)</f>
        <v/>
      </c>
      <c r="F63" s="32" t="n"/>
      <c r="G63" s="32" t="n"/>
      <c r="H63" s="32" t="n"/>
    </row>
    <row r="64" ht="20" customHeight="1">
      <c r="B64" s="29">
        <f>IF(Cadets!$B46="","",ROW()-23)</f>
        <v/>
      </c>
      <c r="C64" s="28">
        <f>IF(Cadets!$B46="","",IF(Cadets!$I46&lt;&gt;"Active","",Cadets!$F46))</f>
        <v/>
      </c>
      <c r="D64" s="28">
        <f>IF(C64="","",Cadets!$B46)</f>
        <v/>
      </c>
      <c r="E64" s="28">
        <f>IF(C64="","",Cadets!$H46)</f>
        <v/>
      </c>
      <c r="F64" s="32" t="n"/>
      <c r="G64" s="32" t="n"/>
      <c r="H64" s="32" t="n"/>
    </row>
    <row r="65" ht="20" customHeight="1">
      <c r="B65" s="29">
        <f>IF(Cadets!$B47="","",ROW()-23)</f>
        <v/>
      </c>
      <c r="C65" s="28">
        <f>IF(Cadets!$B47="","",IF(Cadets!$I47&lt;&gt;"Active","",Cadets!$F47))</f>
        <v/>
      </c>
      <c r="D65" s="28">
        <f>IF(C65="","",Cadets!$B47)</f>
        <v/>
      </c>
      <c r="E65" s="28">
        <f>IF(C65="","",Cadets!$H47)</f>
        <v/>
      </c>
      <c r="F65" s="32" t="n"/>
      <c r="G65" s="32" t="n"/>
      <c r="H65" s="32" t="n"/>
    </row>
    <row r="66" ht="20" customHeight="1">
      <c r="B66" s="29">
        <f>IF(Cadets!$B48="","",ROW()-23)</f>
        <v/>
      </c>
      <c r="C66" s="28">
        <f>IF(Cadets!$B48="","",IF(Cadets!$I48&lt;&gt;"Active","",Cadets!$F48))</f>
        <v/>
      </c>
      <c r="D66" s="28">
        <f>IF(C66="","",Cadets!$B48)</f>
        <v/>
      </c>
      <c r="E66" s="28">
        <f>IF(C66="","",Cadets!$H48)</f>
        <v/>
      </c>
      <c r="F66" s="32" t="n"/>
      <c r="G66" s="32" t="n"/>
      <c r="H66" s="32" t="n"/>
    </row>
    <row r="67" ht="20" customHeight="1">
      <c r="B67" s="29">
        <f>IF(Cadets!$B49="","",ROW()-23)</f>
        <v/>
      </c>
      <c r="C67" s="28">
        <f>IF(Cadets!$B49="","",IF(Cadets!$I49&lt;&gt;"Active","",Cadets!$F49))</f>
        <v/>
      </c>
      <c r="D67" s="28">
        <f>IF(C67="","",Cadets!$B49)</f>
        <v/>
      </c>
      <c r="E67" s="28">
        <f>IF(C67="","",Cadets!$H49)</f>
        <v/>
      </c>
      <c r="F67" s="32" t="n"/>
      <c r="G67" s="32" t="n"/>
      <c r="H67" s="32" t="n"/>
    </row>
    <row r="68" ht="20" customHeight="1">
      <c r="B68" s="29">
        <f>IF(Cadets!$B50="","",ROW()-23)</f>
        <v/>
      </c>
      <c r="C68" s="28">
        <f>IF(Cadets!$B50="","",IF(Cadets!$I50&lt;&gt;"Active","",Cadets!$F50))</f>
        <v/>
      </c>
      <c r="D68" s="28">
        <f>IF(C68="","",Cadets!$B50)</f>
        <v/>
      </c>
      <c r="E68" s="28">
        <f>IF(C68="","",Cadets!$H50)</f>
        <v/>
      </c>
      <c r="F68" s="32" t="n"/>
      <c r="G68" s="32" t="n"/>
      <c r="H68" s="32" t="n"/>
    </row>
    <row r="69" ht="20" customHeight="1">
      <c r="B69" s="29">
        <f>IF(Cadets!$B51="","",ROW()-23)</f>
        <v/>
      </c>
      <c r="C69" s="28">
        <f>IF(Cadets!$B51="","",IF(Cadets!$I51&lt;&gt;"Active","",Cadets!$F51))</f>
        <v/>
      </c>
      <c r="D69" s="28">
        <f>IF(C69="","",Cadets!$B51)</f>
        <v/>
      </c>
      <c r="E69" s="28">
        <f>IF(C69="","",Cadets!$H51)</f>
        <v/>
      </c>
      <c r="F69" s="32" t="n"/>
      <c r="G69" s="32" t="n"/>
      <c r="H69" s="32" t="n"/>
    </row>
    <row r="70" ht="20" customHeight="1">
      <c r="B70" s="29">
        <f>IF(Cadets!$B52="","",ROW()-23)</f>
        <v/>
      </c>
      <c r="C70" s="28">
        <f>IF(Cadets!$B52="","",IF(Cadets!$I52&lt;&gt;"Active","",Cadets!$F52))</f>
        <v/>
      </c>
      <c r="D70" s="28">
        <f>IF(C70="","",Cadets!$B52)</f>
        <v/>
      </c>
      <c r="E70" s="28">
        <f>IF(C70="","",Cadets!$H52)</f>
        <v/>
      </c>
      <c r="F70" s="32" t="n"/>
      <c r="G70" s="32" t="n"/>
      <c r="H70" s="32" t="n"/>
    </row>
    <row r="71" ht="20" customHeight="1">
      <c r="B71" s="29">
        <f>IF(Cadets!$B53="","",ROW()-23)</f>
        <v/>
      </c>
      <c r="C71" s="28">
        <f>IF(Cadets!$B53="","",IF(Cadets!$I53&lt;&gt;"Active","",Cadets!$F53))</f>
        <v/>
      </c>
      <c r="D71" s="28">
        <f>IF(C71="","",Cadets!$B53)</f>
        <v/>
      </c>
      <c r="E71" s="28">
        <f>IF(C71="","",Cadets!$H53)</f>
        <v/>
      </c>
      <c r="F71" s="32" t="n"/>
      <c r="G71" s="32" t="n"/>
      <c r="H71" s="32" t="n"/>
    </row>
    <row r="72" ht="20" customHeight="1">
      <c r="B72" s="29">
        <f>IF(Cadets!$B54="","",ROW()-23)</f>
        <v/>
      </c>
      <c r="C72" s="28">
        <f>IF(Cadets!$B54="","",IF(Cadets!$I54&lt;&gt;"Active","",Cadets!$F54))</f>
        <v/>
      </c>
      <c r="D72" s="28">
        <f>IF(C72="","",Cadets!$B54)</f>
        <v/>
      </c>
      <c r="E72" s="28">
        <f>IF(C72="","",Cadets!$H54)</f>
        <v/>
      </c>
      <c r="F72" s="32" t="n"/>
      <c r="G72" s="32" t="n"/>
      <c r="H72" s="32" t="n"/>
    </row>
    <row r="73" ht="20" customHeight="1">
      <c r="B73" s="29">
        <f>IF(Cadets!$B55="","",ROW()-23)</f>
        <v/>
      </c>
      <c r="C73" s="28">
        <f>IF(Cadets!$B55="","",IF(Cadets!$I55&lt;&gt;"Active","",Cadets!$F55))</f>
        <v/>
      </c>
      <c r="D73" s="28">
        <f>IF(C73="","",Cadets!$B55)</f>
        <v/>
      </c>
      <c r="E73" s="28">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3"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8" t="n">
        <v>1</v>
      </c>
      <c r="C17" s="33" t="inlineStr">
        <is>
          <t>Were the goals and objectives for the course provided at the beginning of the class?</t>
        </is>
      </c>
      <c r="D17" s="32" t="n"/>
      <c r="E17" s="32" t="n"/>
      <c r="F17" s="32" t="n"/>
      <c r="G17" s="32" t="n"/>
      <c r="H17" s="32" t="n"/>
    </row>
    <row r="18" ht="26" customHeight="1">
      <c r="B18" s="28" t="n">
        <v>2</v>
      </c>
      <c r="C18" s="33" t="inlineStr">
        <is>
          <t>Was the material presented in a logical order?</t>
        </is>
      </c>
      <c r="D18" s="32" t="n"/>
      <c r="E18" s="32" t="n"/>
      <c r="F18" s="32" t="n"/>
      <c r="G18" s="32" t="n"/>
      <c r="H18" s="32" t="n"/>
    </row>
    <row r="19" ht="26" customHeight="1">
      <c r="B19" s="28" t="n">
        <v>3</v>
      </c>
      <c r="C19" s="33" t="inlineStr">
        <is>
          <t>Was the course related to your job needs?</t>
        </is>
      </c>
      <c r="D19" s="32" t="n"/>
      <c r="E19" s="32" t="n"/>
      <c r="F19" s="32" t="n"/>
      <c r="G19" s="32" t="n"/>
      <c r="H19" s="32" t="n"/>
    </row>
    <row r="20" ht="26" customHeight="1">
      <c r="B20" s="28" t="n">
        <v>4</v>
      </c>
      <c r="C20" s="33" t="inlineStr">
        <is>
          <t>Were real-life examples or situations used to relate the material?</t>
        </is>
      </c>
      <c r="D20" s="32" t="n"/>
      <c r="E20" s="32" t="n"/>
      <c r="F20" s="32" t="n"/>
      <c r="G20" s="32" t="n"/>
      <c r="H20" s="32" t="n"/>
    </row>
    <row r="21" ht="26" customHeight="1">
      <c r="B21" s="28" t="n">
        <v>5</v>
      </c>
      <c r="C21" s="33" t="inlineStr">
        <is>
          <t>Will this course improve your job performance?</t>
        </is>
      </c>
      <c r="D21" s="32" t="n"/>
      <c r="E21" s="32" t="n"/>
      <c r="F21" s="32" t="n"/>
      <c r="G21" s="32" t="n"/>
      <c r="H21" s="32" t="n"/>
    </row>
    <row r="22" ht="26" customHeight="1">
      <c r="B22" s="28" t="n">
        <v>6</v>
      </c>
      <c r="C22" s="33" t="inlineStr">
        <is>
          <t>Were the teaching aids, demonstrations, and handout materials of adequate quality?</t>
        </is>
      </c>
      <c r="D22" s="32" t="n"/>
      <c r="E22" s="32" t="n"/>
      <c r="F22" s="32" t="n"/>
      <c r="G22" s="32" t="n"/>
      <c r="H22" s="32" t="n"/>
    </row>
    <row r="23" ht="26" customHeight="1">
      <c r="B23" s="28" t="n">
        <v>7</v>
      </c>
      <c r="C23" s="33" t="inlineStr">
        <is>
          <t>Was the instructor knowledgeable about the course material?</t>
        </is>
      </c>
      <c r="D23" s="32" t="n"/>
      <c r="E23" s="32" t="n"/>
      <c r="F23" s="32" t="n"/>
      <c r="G23" s="32" t="n"/>
      <c r="H23" s="32" t="n"/>
    </row>
    <row r="24" ht="26" customHeight="1">
      <c r="B24" s="28" t="n">
        <v>8</v>
      </c>
      <c r="C24" s="33" t="inlineStr">
        <is>
          <t>Did the instructor present the information in a clear and understandable way?</t>
        </is>
      </c>
      <c r="D24" s="32" t="n"/>
      <c r="E24" s="32" t="n"/>
      <c r="F24" s="32" t="n"/>
      <c r="G24" s="32" t="n"/>
      <c r="H24" s="32" t="n"/>
    </row>
    <row r="25" ht="26" customHeight="1">
      <c r="B25" s="28" t="n">
        <v>9</v>
      </c>
      <c r="C25" s="33" t="inlineStr">
        <is>
          <t>Did the instructor give you an opportunity to interact with the class or ask questions?</t>
        </is>
      </c>
      <c r="D25" s="32" t="n"/>
      <c r="E25" s="32" t="n"/>
      <c r="F25" s="32" t="n"/>
      <c r="G25" s="32" t="n"/>
      <c r="H25" s="32" t="n"/>
    </row>
    <row r="26" ht="26" customHeight="1">
      <c r="B26" s="28" t="n">
        <v>10</v>
      </c>
      <c r="C26" s="33" t="inlineStr">
        <is>
          <t>Did you get satisfactory answers to your questions about the material?</t>
        </is>
      </c>
      <c r="D26" s="32" t="n"/>
      <c r="E26" s="32" t="n"/>
      <c r="F26" s="32" t="n"/>
      <c r="G26" s="32" t="n"/>
      <c r="H26" s="32" t="n"/>
    </row>
    <row r="27" ht="26" customHeight="1">
      <c r="B27" s="28"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3" t="n">
        <v>1</v>
      </c>
      <c r="D5" s="35" t="inlineStr">
        <is>
          <t>Mode:</t>
        </is>
      </c>
      <c r="E5" s="23"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3"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6">
        <f>IFERROR(_xlfn._xlws.FILTER(_xlfn.HSTACK(rngWMnum,rngWMtitle,TEXT(rngWMassigned,"mm/dd"),TEXT(rngWMdue,"mm/dd"),rngWMprompt),IFERROR(_xlfn.XLOOKUP(rngWMassigned,nrCDdate,nrCDweek),0)=cfgHandoutWeek),"—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exactly what the Outlook draft will contain. Buttons on Print Center / Dashboard build the drafts — for review, never auto-sent.</t>
        </is>
      </c>
    </row>
    <row r="5">
      <c r="B5" s="3" t="inlineStr">
        <is>
          <t>Agency:</t>
        </is>
      </c>
      <c r="C5" s="23"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IF($B9="","",IFERROR(SUMIFS(nrES_Rec,nrES_PID,Cadets!$B6,nrES_Seq,cfgCurrentExamNum,nrES_Final,"Yes"),""))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IF($B9="","",sysFlags!$S6)</f>
        <v/>
      </c>
    </row>
    <row r="10">
      <c r="B10" s="20">
        <f>IF(IF(OR(Cadets!$B7="",Cadets!$I7&lt;&gt;"Active"),FALSE,OR(cfgPreviewAgency=cfgHomeAgency,Cadets!$G7=cfgPreviewAgency)),Cadets!$F7,"")</f>
        <v/>
      </c>
      <c r="C10" s="20">
        <f>IF($B10="","",IFERROR(SUMIFS(nrES_Rec,nrES_PID,Cadets!$B7,nrES_Seq,cfgCurrentExamNum,nrES_Final,"Yes"),""))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IF($B10="","",sysFlags!$S7)</f>
        <v/>
      </c>
    </row>
    <row r="11">
      <c r="B11" s="20">
        <f>IF(IF(OR(Cadets!$B8="",Cadets!$I8&lt;&gt;"Active"),FALSE,OR(cfgPreviewAgency=cfgHomeAgency,Cadets!$G8=cfgPreviewAgency)),Cadets!$F8,"")</f>
        <v/>
      </c>
      <c r="C11" s="20">
        <f>IF($B11="","",IFERROR(SUMIFS(nrES_Rec,nrES_PID,Cadets!$B8,nrES_Seq,cfgCurrentExamNum,nrES_Final,"Yes"),""))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IF($B11="","",sysFlags!$S8)</f>
        <v/>
      </c>
    </row>
    <row r="12">
      <c r="B12" s="20">
        <f>IF(IF(OR(Cadets!$B9="",Cadets!$I9&lt;&gt;"Active"),FALSE,OR(cfgPreviewAgency=cfgHomeAgency,Cadets!$G9=cfgPreviewAgency)),Cadets!$F9,"")</f>
        <v/>
      </c>
      <c r="C12" s="20">
        <f>IF($B12="","",IFERROR(SUMIFS(nrES_Rec,nrES_PID,Cadets!$B9,nrES_Seq,cfgCurrentExamNum,nrES_Final,"Yes"),""))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IF($B12="","",sysFlags!$S9)</f>
        <v/>
      </c>
    </row>
    <row r="13">
      <c r="B13" s="20">
        <f>IF(IF(OR(Cadets!$B10="",Cadets!$I10&lt;&gt;"Active"),FALSE,OR(cfgPreviewAgency=cfgHomeAgency,Cadets!$G10=cfgPreviewAgency)),Cadets!$F10,"")</f>
        <v/>
      </c>
      <c r="C13" s="20">
        <f>IF($B13="","",IFERROR(SUMIFS(nrES_Rec,nrES_PID,Cadets!$B10,nrES_Seq,cfgCurrentExamNum,nrES_Final,"Yes"),""))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IF($B13="","",sysFlags!$S10)</f>
        <v/>
      </c>
    </row>
    <row r="14">
      <c r="B14" s="20">
        <f>IF(IF(OR(Cadets!$B11="",Cadets!$I11&lt;&gt;"Active"),FALSE,OR(cfgPreviewAgency=cfgHomeAgency,Cadets!$G11=cfgPreviewAgency)),Cadets!$F11,"")</f>
        <v/>
      </c>
      <c r="C14" s="20">
        <f>IF($B14="","",IFERROR(SUMIFS(nrES_Rec,nrES_PID,Cadets!$B11,nrES_Seq,cfgCurrentExamNum,nrES_Final,"Yes"),""))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IF($B14="","",sysFlags!$S11)</f>
        <v/>
      </c>
    </row>
    <row r="15">
      <c r="B15" s="20">
        <f>IF(IF(OR(Cadets!$B12="",Cadets!$I12&lt;&gt;"Active"),FALSE,OR(cfgPreviewAgency=cfgHomeAgency,Cadets!$G12=cfgPreviewAgency)),Cadets!$F12,"")</f>
        <v/>
      </c>
      <c r="C15" s="20">
        <f>IF($B15="","",IFERROR(SUMIFS(nrES_Rec,nrES_PID,Cadets!$B12,nrES_Seq,cfgCurrentExamNum,nrES_Final,"Yes"),""))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IF($B15="","",sysFlags!$S12)</f>
        <v/>
      </c>
    </row>
    <row r="16">
      <c r="B16" s="20">
        <f>IF(IF(OR(Cadets!$B13="",Cadets!$I13&lt;&gt;"Active"),FALSE,OR(cfgPreviewAgency=cfgHomeAgency,Cadets!$G13=cfgPreviewAgency)),Cadets!$F13,"")</f>
        <v/>
      </c>
      <c r="C16" s="20">
        <f>IF($B16="","",IFERROR(SUMIFS(nrES_Rec,nrES_PID,Cadets!$B13,nrES_Seq,cfgCurrentExamNum,nrES_Final,"Yes"),""))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IF($B16="","",sysFlags!$S13)</f>
        <v/>
      </c>
    </row>
    <row r="17">
      <c r="B17" s="20">
        <f>IF(IF(OR(Cadets!$B14="",Cadets!$I14&lt;&gt;"Active"),FALSE,OR(cfgPreviewAgency=cfgHomeAgency,Cadets!$G14=cfgPreviewAgency)),Cadets!$F14,"")</f>
        <v/>
      </c>
      <c r="C17" s="20">
        <f>IF($B17="","",IFERROR(SUMIFS(nrES_Rec,nrES_PID,Cadets!$B14,nrES_Seq,cfgCurrentExamNum,nrES_Final,"Yes"),""))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IF($B17="","",sysFlags!$S14)</f>
        <v/>
      </c>
    </row>
    <row r="18">
      <c r="B18" s="20">
        <f>IF(IF(OR(Cadets!$B15="",Cadets!$I15&lt;&gt;"Active"),FALSE,OR(cfgPreviewAgency=cfgHomeAgency,Cadets!$G15=cfgPreviewAgency)),Cadets!$F15,"")</f>
        <v/>
      </c>
      <c r="C18" s="20">
        <f>IF($B18="","",IFERROR(SUMIFS(nrES_Rec,nrES_PID,Cadets!$B15,nrES_Seq,cfgCurrentExamNum,nrES_Final,"Yes"),""))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IF($B18="","",sysFlags!$S15)</f>
        <v/>
      </c>
    </row>
    <row r="19">
      <c r="B19" s="20">
        <f>IF(IF(OR(Cadets!$B16="",Cadets!$I16&lt;&gt;"Active"),FALSE,OR(cfgPreviewAgency=cfgHomeAgency,Cadets!$G16=cfgPreviewAgency)),Cadets!$F16,"")</f>
        <v/>
      </c>
      <c r="C19" s="20">
        <f>IF($B19="","",IFERROR(SUMIFS(nrES_Rec,nrES_PID,Cadets!$B16,nrES_Seq,cfgCurrentExamNum,nrES_Final,"Yes"),""))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IF($B19="","",sysFlags!$S16)</f>
        <v/>
      </c>
    </row>
    <row r="20">
      <c r="B20" s="20">
        <f>IF(IF(OR(Cadets!$B17="",Cadets!$I17&lt;&gt;"Active"),FALSE,OR(cfgPreviewAgency=cfgHomeAgency,Cadets!$G17=cfgPreviewAgency)),Cadets!$F17,"")</f>
        <v/>
      </c>
      <c r="C20" s="20">
        <f>IF($B20="","",IFERROR(SUMIFS(nrES_Rec,nrES_PID,Cadets!$B17,nrES_Seq,cfgCurrentExamNum,nrES_Final,"Yes"),""))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IF($B20="","",sysFlags!$S17)</f>
        <v/>
      </c>
    </row>
    <row r="21">
      <c r="B21" s="20">
        <f>IF(IF(OR(Cadets!$B18="",Cadets!$I18&lt;&gt;"Active"),FALSE,OR(cfgPreviewAgency=cfgHomeAgency,Cadets!$G18=cfgPreviewAgency)),Cadets!$F18,"")</f>
        <v/>
      </c>
      <c r="C21" s="20">
        <f>IF($B21="","",IFERROR(SUMIFS(nrES_Rec,nrES_PID,Cadets!$B18,nrES_Seq,cfgCurrentExamNum,nrES_Final,"Yes"),""))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IF($B21="","",sysFlags!$S18)</f>
        <v/>
      </c>
    </row>
    <row r="22">
      <c r="B22" s="20">
        <f>IF(IF(OR(Cadets!$B19="",Cadets!$I19&lt;&gt;"Active"),FALSE,OR(cfgPreviewAgency=cfgHomeAgency,Cadets!$G19=cfgPreviewAgency)),Cadets!$F19,"")</f>
        <v/>
      </c>
      <c r="C22" s="20">
        <f>IF($B22="","",IFERROR(SUMIFS(nrES_Rec,nrES_PID,Cadets!$B19,nrES_Seq,cfgCurrentExamNum,nrES_Final,"Yes"),""))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IF($B22="","",sysFlags!$S19)</f>
        <v/>
      </c>
    </row>
    <row r="23">
      <c r="B23" s="20">
        <f>IF(IF(OR(Cadets!$B20="",Cadets!$I20&lt;&gt;"Active"),FALSE,OR(cfgPreviewAgency=cfgHomeAgency,Cadets!$G20=cfgPreviewAgency)),Cadets!$F20,"")</f>
        <v/>
      </c>
      <c r="C23" s="20">
        <f>IF($B23="","",IFERROR(SUMIFS(nrES_Rec,nrES_PID,Cadets!$B20,nrES_Seq,cfgCurrentExamNum,nrES_Final,"Yes"),""))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IF($B23="","",sysFlags!$S20)</f>
        <v/>
      </c>
    </row>
    <row r="24">
      <c r="B24" s="20">
        <f>IF(IF(OR(Cadets!$B21="",Cadets!$I21&lt;&gt;"Active"),FALSE,OR(cfgPreviewAgency=cfgHomeAgency,Cadets!$G21=cfgPreviewAgency)),Cadets!$F21,"")</f>
        <v/>
      </c>
      <c r="C24" s="20">
        <f>IF($B24="","",IFERROR(SUMIFS(nrES_Rec,nrES_PID,Cadets!$B21,nrES_Seq,cfgCurrentExamNum,nrES_Final,"Yes"),""))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IF($B24="","",sysFlags!$S21)</f>
        <v/>
      </c>
    </row>
    <row r="25">
      <c r="B25" s="20">
        <f>IF(IF(OR(Cadets!$B22="",Cadets!$I22&lt;&gt;"Active"),FALSE,OR(cfgPreviewAgency=cfgHomeAgency,Cadets!$G22=cfgPreviewAgency)),Cadets!$F22,"")</f>
        <v/>
      </c>
      <c r="C25" s="20">
        <f>IF($B25="","",IFERROR(SUMIFS(nrES_Rec,nrES_PID,Cadets!$B22,nrES_Seq,cfgCurrentExamNum,nrES_Final,"Yes"),""))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IF($B25="","",sysFlags!$S22)</f>
        <v/>
      </c>
    </row>
    <row r="26">
      <c r="B26" s="20">
        <f>IF(IF(OR(Cadets!$B23="",Cadets!$I23&lt;&gt;"Active"),FALSE,OR(cfgPreviewAgency=cfgHomeAgency,Cadets!$G23=cfgPreviewAgency)),Cadets!$F23,"")</f>
        <v/>
      </c>
      <c r="C26" s="20">
        <f>IF($B26="","",IFERROR(SUMIFS(nrES_Rec,nrES_PID,Cadets!$B23,nrES_Seq,cfgCurrentExamNum,nrES_Final,"Yes"),""))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IF($B26="","",sysFlags!$S23)</f>
        <v/>
      </c>
    </row>
    <row r="27">
      <c r="B27" s="20">
        <f>IF(IF(OR(Cadets!$B24="",Cadets!$I24&lt;&gt;"Active"),FALSE,OR(cfgPreviewAgency=cfgHomeAgency,Cadets!$G24=cfgPreviewAgency)),Cadets!$F24,"")</f>
        <v/>
      </c>
      <c r="C27" s="20">
        <f>IF($B27="","",IFERROR(SUMIFS(nrES_Rec,nrES_PID,Cadets!$B24,nrES_Seq,cfgCurrentExamNum,nrES_Final,"Yes"),""))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IF($B27="","",sysFlags!$S24)</f>
        <v/>
      </c>
    </row>
    <row r="28">
      <c r="B28" s="20">
        <f>IF(IF(OR(Cadets!$B25="",Cadets!$I25&lt;&gt;"Active"),FALSE,OR(cfgPreviewAgency=cfgHomeAgency,Cadets!$G25=cfgPreviewAgency)),Cadets!$F25,"")</f>
        <v/>
      </c>
      <c r="C28" s="20">
        <f>IF($B28="","",IFERROR(SUMIFS(nrES_Rec,nrES_PID,Cadets!$B25,nrES_Seq,cfgCurrentExamNum,nrES_Final,"Yes"),""))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IF($B28="","",sysFlags!$S25)</f>
        <v/>
      </c>
    </row>
    <row r="29">
      <c r="B29" s="20">
        <f>IF(IF(OR(Cadets!$B26="",Cadets!$I26&lt;&gt;"Active"),FALSE,OR(cfgPreviewAgency=cfgHomeAgency,Cadets!$G26=cfgPreviewAgency)),Cadets!$F26,"")</f>
        <v/>
      </c>
      <c r="C29" s="20">
        <f>IF($B29="","",IFERROR(SUMIFS(nrES_Rec,nrES_PID,Cadets!$B26,nrES_Seq,cfgCurrentExamNum,nrES_Final,"Yes"),""))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IF($B29="","",sysFlags!$S26)</f>
        <v/>
      </c>
    </row>
    <row r="30">
      <c r="B30" s="20">
        <f>IF(IF(OR(Cadets!$B27="",Cadets!$I27&lt;&gt;"Active"),FALSE,OR(cfgPreviewAgency=cfgHomeAgency,Cadets!$G27=cfgPreviewAgency)),Cadets!$F27,"")</f>
        <v/>
      </c>
      <c r="C30" s="20">
        <f>IF($B30="","",IFERROR(SUMIFS(nrES_Rec,nrES_PID,Cadets!$B27,nrES_Seq,cfgCurrentExamNum,nrES_Final,"Yes"),""))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IF($B30="","",sysFlags!$S27)</f>
        <v/>
      </c>
    </row>
    <row r="31">
      <c r="B31" s="20">
        <f>IF(IF(OR(Cadets!$B28="",Cadets!$I28&lt;&gt;"Active"),FALSE,OR(cfgPreviewAgency=cfgHomeAgency,Cadets!$G28=cfgPreviewAgency)),Cadets!$F28,"")</f>
        <v/>
      </c>
      <c r="C31" s="20">
        <f>IF($B31="","",IFERROR(SUMIFS(nrES_Rec,nrES_PID,Cadets!$B28,nrES_Seq,cfgCurrentExamNum,nrES_Final,"Yes"),""))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IF($B31="","",sysFlags!$S28)</f>
        <v/>
      </c>
    </row>
    <row r="32">
      <c r="B32" s="20">
        <f>IF(IF(OR(Cadets!$B29="",Cadets!$I29&lt;&gt;"Active"),FALSE,OR(cfgPreviewAgency=cfgHomeAgency,Cadets!$G29=cfgPreviewAgency)),Cadets!$F29,"")</f>
        <v/>
      </c>
      <c r="C32" s="20">
        <f>IF($B32="","",IFERROR(SUMIFS(nrES_Rec,nrES_PID,Cadets!$B29,nrES_Seq,cfgCurrentExamNum,nrES_Final,"Yes"),""))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IF($B32="","",sysFlags!$S29)</f>
        <v/>
      </c>
    </row>
    <row r="33">
      <c r="B33" s="20">
        <f>IF(IF(OR(Cadets!$B30="",Cadets!$I30&lt;&gt;"Active"),FALSE,OR(cfgPreviewAgency=cfgHomeAgency,Cadets!$G30=cfgPreviewAgency)),Cadets!$F30,"")</f>
        <v/>
      </c>
      <c r="C33" s="20">
        <f>IF($B33="","",IFERROR(SUMIFS(nrES_Rec,nrES_PID,Cadets!$B30,nrES_Seq,cfgCurrentExamNum,nrES_Final,"Yes"),""))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IF($B33="","",sysFlags!$S30)</f>
        <v/>
      </c>
    </row>
    <row r="34">
      <c r="B34" s="20">
        <f>IF(IF(OR(Cadets!$B31="",Cadets!$I31&lt;&gt;"Active"),FALSE,OR(cfgPreviewAgency=cfgHomeAgency,Cadets!$G31=cfgPreviewAgency)),Cadets!$F31,"")</f>
        <v/>
      </c>
      <c r="C34" s="20">
        <f>IF($B34="","",IFERROR(SUMIFS(nrES_Rec,nrES_PID,Cadets!$B31,nrES_Seq,cfgCurrentExamNum,nrES_Final,"Yes"),""))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IF($B34="","",sysFlags!$S31)</f>
        <v/>
      </c>
    </row>
    <row r="35">
      <c r="B35" s="20">
        <f>IF(IF(OR(Cadets!$B32="",Cadets!$I32&lt;&gt;"Active"),FALSE,OR(cfgPreviewAgency=cfgHomeAgency,Cadets!$G32=cfgPreviewAgency)),Cadets!$F32,"")</f>
        <v/>
      </c>
      <c r="C35" s="20">
        <f>IF($B35="","",IFERROR(SUMIFS(nrES_Rec,nrES_PID,Cadets!$B32,nrES_Seq,cfgCurrentExamNum,nrES_Final,"Yes"),""))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IF($B35="","",sysFlags!$S32)</f>
        <v/>
      </c>
    </row>
    <row r="36">
      <c r="B36" s="20">
        <f>IF(IF(OR(Cadets!$B33="",Cadets!$I33&lt;&gt;"Active"),FALSE,OR(cfgPreviewAgency=cfgHomeAgency,Cadets!$G33=cfgPreviewAgency)),Cadets!$F33,"")</f>
        <v/>
      </c>
      <c r="C36" s="20">
        <f>IF($B36="","",IFERROR(SUMIFS(nrES_Rec,nrES_PID,Cadets!$B33,nrES_Seq,cfgCurrentExamNum,nrES_Final,"Yes"),""))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IF($B36="","",sysFlags!$S33)</f>
        <v/>
      </c>
    </row>
    <row r="37">
      <c r="B37" s="20">
        <f>IF(IF(OR(Cadets!$B34="",Cadets!$I34&lt;&gt;"Active"),FALSE,OR(cfgPreviewAgency=cfgHomeAgency,Cadets!$G34=cfgPreviewAgency)),Cadets!$F34,"")</f>
        <v/>
      </c>
      <c r="C37" s="20">
        <f>IF($B37="","",IFERROR(SUMIFS(nrES_Rec,nrES_PID,Cadets!$B34,nrES_Seq,cfgCurrentExamNum,nrES_Final,"Yes"),""))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IF($B37="","",sysFlags!$S34)</f>
        <v/>
      </c>
    </row>
    <row r="38">
      <c r="B38" s="20">
        <f>IF(IF(OR(Cadets!$B35="",Cadets!$I35&lt;&gt;"Active"),FALSE,OR(cfgPreviewAgency=cfgHomeAgency,Cadets!$G35=cfgPreviewAgency)),Cadets!$F35,"")</f>
        <v/>
      </c>
      <c r="C38" s="20">
        <f>IF($B38="","",IFERROR(SUMIFS(nrES_Rec,nrES_PID,Cadets!$B35,nrES_Seq,cfgCurrentExamNum,nrES_Final,"Yes"),""))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IF($B38="","",sysFlags!$S35)</f>
        <v/>
      </c>
    </row>
    <row r="39">
      <c r="B39" s="20">
        <f>IF(IF(OR(Cadets!$B36="",Cadets!$I36&lt;&gt;"Active"),FALSE,OR(cfgPreviewAgency=cfgHomeAgency,Cadets!$G36=cfgPreviewAgency)),Cadets!$F36,"")</f>
        <v/>
      </c>
      <c r="C39" s="20">
        <f>IF($B39="","",IFERROR(SUMIFS(nrES_Rec,nrES_PID,Cadets!$B36,nrES_Seq,cfgCurrentExamNum,nrES_Final,"Yes"),""))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IF($B39="","",sysFlags!$S36)</f>
        <v/>
      </c>
    </row>
    <row r="40">
      <c r="B40" s="20">
        <f>IF(IF(OR(Cadets!$B37="",Cadets!$I37&lt;&gt;"Active"),FALSE,OR(cfgPreviewAgency=cfgHomeAgency,Cadets!$G37=cfgPreviewAgency)),Cadets!$F37,"")</f>
        <v/>
      </c>
      <c r="C40" s="20">
        <f>IF($B40="","",IFERROR(SUMIFS(nrES_Rec,nrES_PID,Cadets!$B37,nrES_Seq,cfgCurrentExamNum,nrES_Final,"Yes"),""))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IF($B40="","",sysFlags!$S37)</f>
        <v/>
      </c>
    </row>
    <row r="41">
      <c r="B41" s="20">
        <f>IF(IF(OR(Cadets!$B38="",Cadets!$I38&lt;&gt;"Active"),FALSE,OR(cfgPreviewAgency=cfgHomeAgency,Cadets!$G38=cfgPreviewAgency)),Cadets!$F38,"")</f>
        <v/>
      </c>
      <c r="C41" s="20">
        <f>IF($B41="","",IFERROR(SUMIFS(nrES_Rec,nrES_PID,Cadets!$B38,nrES_Seq,cfgCurrentExamNum,nrES_Final,"Yes"),""))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IF($B41="","",sysFlags!$S38)</f>
        <v/>
      </c>
    </row>
    <row r="42">
      <c r="B42" s="20">
        <f>IF(IF(OR(Cadets!$B39="",Cadets!$I39&lt;&gt;"Active"),FALSE,OR(cfgPreviewAgency=cfgHomeAgency,Cadets!$G39=cfgPreviewAgency)),Cadets!$F39,"")</f>
        <v/>
      </c>
      <c r="C42" s="20">
        <f>IF($B42="","",IFERROR(SUMIFS(nrES_Rec,nrES_PID,Cadets!$B39,nrES_Seq,cfgCurrentExamNum,nrES_Final,"Yes"),""))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IF($B42="","",sysFlags!$S39)</f>
        <v/>
      </c>
    </row>
    <row r="43">
      <c r="B43" s="20">
        <f>IF(IF(OR(Cadets!$B40="",Cadets!$I40&lt;&gt;"Active"),FALSE,OR(cfgPreviewAgency=cfgHomeAgency,Cadets!$G40=cfgPreviewAgency)),Cadets!$F40,"")</f>
        <v/>
      </c>
      <c r="C43" s="20">
        <f>IF($B43="","",IFERROR(SUMIFS(nrES_Rec,nrES_PID,Cadets!$B40,nrES_Seq,cfgCurrentExamNum,nrES_Final,"Yes"),""))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IF($B43="","",sysFlags!$S40)</f>
        <v/>
      </c>
    </row>
    <row r="44">
      <c r="B44" s="20">
        <f>IF(IF(OR(Cadets!$B41="",Cadets!$I41&lt;&gt;"Active"),FALSE,OR(cfgPreviewAgency=cfgHomeAgency,Cadets!$G41=cfgPreviewAgency)),Cadets!$F41,"")</f>
        <v/>
      </c>
      <c r="C44" s="20">
        <f>IF($B44="","",IFERROR(SUMIFS(nrES_Rec,nrES_PID,Cadets!$B41,nrES_Seq,cfgCurrentExamNum,nrES_Final,"Yes"),""))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IF($B44="","",sysFlags!$S41)</f>
        <v/>
      </c>
    </row>
    <row r="45">
      <c r="B45" s="20">
        <f>IF(IF(OR(Cadets!$B42="",Cadets!$I42&lt;&gt;"Active"),FALSE,OR(cfgPreviewAgency=cfgHomeAgency,Cadets!$G42=cfgPreviewAgency)),Cadets!$F42,"")</f>
        <v/>
      </c>
      <c r="C45" s="20">
        <f>IF($B45="","",IFERROR(SUMIFS(nrES_Rec,nrES_PID,Cadets!$B42,nrES_Seq,cfgCurrentExamNum,nrES_Final,"Yes"),""))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IF($B45="","",sysFlags!$S42)</f>
        <v/>
      </c>
    </row>
    <row r="46">
      <c r="B46" s="20">
        <f>IF(IF(OR(Cadets!$B43="",Cadets!$I43&lt;&gt;"Active"),FALSE,OR(cfgPreviewAgency=cfgHomeAgency,Cadets!$G43=cfgPreviewAgency)),Cadets!$F43,"")</f>
        <v/>
      </c>
      <c r="C46" s="20">
        <f>IF($B46="","",IFERROR(SUMIFS(nrES_Rec,nrES_PID,Cadets!$B43,nrES_Seq,cfgCurrentExamNum,nrES_Final,"Yes"),""))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IF($B46="","",sysFlags!$S43)</f>
        <v/>
      </c>
    </row>
    <row r="47">
      <c r="B47" s="20">
        <f>IF(IF(OR(Cadets!$B44="",Cadets!$I44&lt;&gt;"Active"),FALSE,OR(cfgPreviewAgency=cfgHomeAgency,Cadets!$G44=cfgPreviewAgency)),Cadets!$F44,"")</f>
        <v/>
      </c>
      <c r="C47" s="20">
        <f>IF($B47="","",IFERROR(SUMIFS(nrES_Rec,nrES_PID,Cadets!$B44,nrES_Seq,cfgCurrentExamNum,nrES_Final,"Yes"),""))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IF($B47="","",sysFlags!$S44)</f>
        <v/>
      </c>
    </row>
    <row r="48">
      <c r="B48" s="20">
        <f>IF(IF(OR(Cadets!$B45="",Cadets!$I45&lt;&gt;"Active"),FALSE,OR(cfgPreviewAgency=cfgHomeAgency,Cadets!$G45=cfgPreviewAgency)),Cadets!$F45,"")</f>
        <v/>
      </c>
      <c r="C48" s="20">
        <f>IF($B48="","",IFERROR(SUMIFS(nrES_Rec,nrES_PID,Cadets!$B45,nrES_Seq,cfgCurrentExamNum,nrES_Final,"Yes"),""))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IF($B48="","",sysFlags!$S45)</f>
        <v/>
      </c>
    </row>
    <row r="49">
      <c r="B49" s="20">
        <f>IF(IF(OR(Cadets!$B46="",Cadets!$I46&lt;&gt;"Active"),FALSE,OR(cfgPreviewAgency=cfgHomeAgency,Cadets!$G46=cfgPreviewAgency)),Cadets!$F46,"")</f>
        <v/>
      </c>
      <c r="C49" s="20">
        <f>IF($B49="","",IFERROR(SUMIFS(nrES_Rec,nrES_PID,Cadets!$B46,nrES_Seq,cfgCurrentExamNum,nrES_Final,"Yes"),""))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IF($B49="","",sysFlags!$S46)</f>
        <v/>
      </c>
    </row>
    <row r="50">
      <c r="B50" s="20">
        <f>IF(IF(OR(Cadets!$B47="",Cadets!$I47&lt;&gt;"Active"),FALSE,OR(cfgPreviewAgency=cfgHomeAgency,Cadets!$G47=cfgPreviewAgency)),Cadets!$F47,"")</f>
        <v/>
      </c>
      <c r="C50" s="20">
        <f>IF($B50="","",IFERROR(SUMIFS(nrES_Rec,nrES_PID,Cadets!$B47,nrES_Seq,cfgCurrentExamNum,nrES_Final,"Yes"),""))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IF($B50="","",sysFlags!$S47)</f>
        <v/>
      </c>
    </row>
    <row r="51">
      <c r="B51" s="20">
        <f>IF(IF(OR(Cadets!$B48="",Cadets!$I48&lt;&gt;"Active"),FALSE,OR(cfgPreviewAgency=cfgHomeAgency,Cadets!$G48=cfgPreviewAgency)),Cadets!$F48,"")</f>
        <v/>
      </c>
      <c r="C51" s="20">
        <f>IF($B51="","",IFERROR(SUMIFS(nrES_Rec,nrES_PID,Cadets!$B48,nrES_Seq,cfgCurrentExamNum,nrES_Final,"Yes"),""))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IF($B51="","",sysFlags!$S48)</f>
        <v/>
      </c>
    </row>
    <row r="52">
      <c r="B52" s="20">
        <f>IF(IF(OR(Cadets!$B49="",Cadets!$I49&lt;&gt;"Active"),FALSE,OR(cfgPreviewAgency=cfgHomeAgency,Cadets!$G49=cfgPreviewAgency)),Cadets!$F49,"")</f>
        <v/>
      </c>
      <c r="C52" s="20">
        <f>IF($B52="","",IFERROR(SUMIFS(nrES_Rec,nrES_PID,Cadets!$B49,nrES_Seq,cfgCurrentExamNum,nrES_Final,"Yes"),""))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IF($B52="","",sysFlags!$S49)</f>
        <v/>
      </c>
    </row>
    <row r="53">
      <c r="B53" s="20">
        <f>IF(IF(OR(Cadets!$B50="",Cadets!$I50&lt;&gt;"Active"),FALSE,OR(cfgPreviewAgency=cfgHomeAgency,Cadets!$G50=cfgPreviewAgency)),Cadets!$F50,"")</f>
        <v/>
      </c>
      <c r="C53" s="20">
        <f>IF($B53="","",IFERROR(SUMIFS(nrES_Rec,nrES_PID,Cadets!$B50,nrES_Seq,cfgCurrentExamNum,nrES_Final,"Yes"),""))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IF($B53="","",sysFlags!$S50)</f>
        <v/>
      </c>
    </row>
    <row r="54">
      <c r="B54" s="20">
        <f>IF(IF(OR(Cadets!$B51="",Cadets!$I51&lt;&gt;"Active"),FALSE,OR(cfgPreviewAgency=cfgHomeAgency,Cadets!$G51=cfgPreviewAgency)),Cadets!$F51,"")</f>
        <v/>
      </c>
      <c r="C54" s="20">
        <f>IF($B54="","",IFERROR(SUMIFS(nrES_Rec,nrES_PID,Cadets!$B51,nrES_Seq,cfgCurrentExamNum,nrES_Final,"Yes"),""))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IF($B54="","",sysFlags!$S51)</f>
        <v/>
      </c>
    </row>
    <row r="55">
      <c r="B55" s="20">
        <f>IF(IF(OR(Cadets!$B52="",Cadets!$I52&lt;&gt;"Active"),FALSE,OR(cfgPreviewAgency=cfgHomeAgency,Cadets!$G52=cfgPreviewAgency)),Cadets!$F52,"")</f>
        <v/>
      </c>
      <c r="C55" s="20">
        <f>IF($B55="","",IFERROR(SUMIFS(nrES_Rec,nrES_PID,Cadets!$B52,nrES_Seq,cfgCurrentExamNum,nrES_Final,"Yes"),""))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IF($B55="","",sysFlags!$S52)</f>
        <v/>
      </c>
    </row>
    <row r="56">
      <c r="B56" s="20">
        <f>IF(IF(OR(Cadets!$B53="",Cadets!$I53&lt;&gt;"Active"),FALSE,OR(cfgPreviewAgency=cfgHomeAgency,Cadets!$G53=cfgPreviewAgency)),Cadets!$F53,"")</f>
        <v/>
      </c>
      <c r="C56" s="20">
        <f>IF($B56="","",IFERROR(SUMIFS(nrES_Rec,nrES_PID,Cadets!$B53,nrES_Seq,cfgCurrentExamNum,nrES_Final,"Yes"),""))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IF($B56="","",sysFlags!$S53)</f>
        <v/>
      </c>
    </row>
    <row r="57">
      <c r="B57" s="20">
        <f>IF(IF(OR(Cadets!$B54="",Cadets!$I54&lt;&gt;"Active"),FALSE,OR(cfgPreviewAgency=cfgHomeAgency,Cadets!$G54=cfgPreviewAgency)),Cadets!$F54,"")</f>
        <v/>
      </c>
      <c r="C57" s="20">
        <f>IF($B57="","",IFERROR(SUMIFS(nrES_Rec,nrES_PID,Cadets!$B54,nrES_Seq,cfgCurrentExamNum,nrES_Final,"Yes"),""))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IF($B57="","",sysFlags!$S54)</f>
        <v/>
      </c>
    </row>
    <row r="58">
      <c r="B58" s="20">
        <f>IF(IF(OR(Cadets!$B55="",Cadets!$I55&lt;&gt;"Active"),FALSE,OR(cfgPreviewAgency=cfgHomeAgency,Cadets!$G55=cfgPreviewAgency)),Cadets!$F55,"")</f>
        <v/>
      </c>
      <c r="C58" s="20">
        <f>IF($B58="","",IFERROR(SUMIFS(nrES_Rec,nrES_PID,Cadets!$B55,nrES_Seq,cfgCurrentExamNum,nrES_Final,"Yes"),""))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IF($B58="","",sysFlags!$S55)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fn._xlws.SORT(_xlfn.VSTACK(_xlpm.inc,_xlpm.cns,_xlpm.mem),1)),"— nothing marked for this agency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6.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Blue = edit per academy.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7" t="n">
        <v>145800</v>
      </c>
      <c r="D9" s="2" t="inlineStr">
        <is>
          <t>Academy length in minutes</t>
        </is>
      </c>
      <c r="E9" s="2" t="inlineStr">
        <is>
          <t>cfgTotalScheduledMinutes</t>
        </is>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39"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8" t="n">
        <v>0.6</v>
      </c>
      <c r="D23" s="2" t="inlineStr">
        <is>
          <t>Tier 1 warning at this % of cap</t>
        </is>
      </c>
      <c r="E23" s="2" t="inlineStr">
        <is>
          <t>cfgAttendanceAdvisoryPct</t>
        </is>
      </c>
    </row>
    <row r="24">
      <c r="B24" s="3" t="inlineStr">
        <is>
          <t>Attendance Critical %</t>
        </is>
      </c>
      <c r="C24" s="38"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MAX(SUMPRODUCT(MAX((nrSpellTaken&gt;0)*COLUMN(nrSpellTaken)))-COLUMN(Spelling!$D$1)+1,0)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8"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0">
        <f>ROUND(cfgTotalScheduledMinutes*cfgClassroomCapPct,0)</f>
        <v/>
      </c>
      <c r="D36" s="2" t="inlineStr">
        <is>
          <t>CALCULATED</t>
        </is>
      </c>
      <c r="E36" s="2" t="inlineStr">
        <is>
          <t>cfgClassroomCapMinutes</t>
        </is>
      </c>
    </row>
    <row r="37">
      <c r="B37" s="3" t="inlineStr">
        <is>
          <t>Weights total (must = 100%)</t>
        </is>
      </c>
      <c r="C37" s="41">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Training Staff</t>
        </is>
      </c>
      <c r="C66" s="16" t="n"/>
      <c r="D66" s="16" t="n"/>
      <c r="E66" s="16" t="inlineStr">
        <is>
          <t>Guest/Outside</t>
        </is>
      </c>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Cadre</t>
        </is>
      </c>
      <c r="C67" s="16" t="n"/>
      <c r="D67" s="16" t="n"/>
      <c r="E67" s="16" t="inlineStr">
        <is>
          <t>Guest/Outside</t>
        </is>
      </c>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TJC</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TFD</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Kilgore College</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The Mayfair Building</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n"/>
      <c r="C72" s="16" t="n"/>
      <c r="D72" s="16" t="n"/>
      <c r="E72" s="16" t="n"/>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n"/>
      <c r="C73" s="16" t="n"/>
      <c r="D73" s="16" t="n"/>
      <c r="E73" s="16" t="n"/>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U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7">
        <f>IF($B6="","",COUNTA(M6:T6))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7">
        <f>IF($B7="","",COUNTA(M7:T7))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7">
        <f>IF($B8="","",COUNTA(M8:T8))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7">
        <f>IF($B9="","",COUNTA(M9:T9))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7">
        <f>IF($B10="","",COUNTA(M10:T10))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7">
        <f>IF($B11="","",COUNTA(M11:T11))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7">
        <f>IF($B12="","",COUNTA(M12:T12))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7">
        <f>IF($B13="","",COUNTA(M13:T13))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7">
        <f>IF($B14="","",COUNTA(M14:T14))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7">
        <f>IF($B15="","",COUNTA(M15:T15))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7">
        <f>IF($B16="","",COUNTA(M16:T16))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7">
        <f>IF($B17="","",COUNTA(M17:T17))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7">
        <f>IF($B18="","",COUNTA(M18:T18))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7">
        <f>IF($B19="","",COUNTA(M19:T19))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7">
        <f>IF($B20="","",COUNTA(M20:T20))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7">
        <f>IF($B21="","",COUNTA(M21:T21))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7">
        <f>IF($B22="","",COUNTA(M22:T22))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7">
        <f>IF($B23="","",COUNTA(M23:T23))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7">
        <f>IF($B24="","",COUNTA(M24:T24))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7">
        <f>IF($B25="","",COUNTA(M25:T25))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7">
        <f>IF($B26="","",COUNTA(M26:T26))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7">
        <f>IF($B27="","",COUNTA(M27:T27))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7">
        <f>IF($B28="","",COUNTA(M28:T28))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7">
        <f>IF($B29="","",COUNTA(M29:T29))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7">
        <f>IF($B30="","",COUNTA(M30:T30))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7">
        <f>IF($B31="","",COUNTA(M31:T31))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7">
        <f>IF($B32="","",COUNTA(M32:T32))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7">
        <f>IF($B33="","",COUNTA(M33:T33))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7">
        <f>IF($B34="","",COUNTA(M34:T34))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7">
        <f>IF($B35="","",COUNTA(M35:T35))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7">
        <f>IF($B36="","",COUNTA(M36:T36))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7">
        <f>IF($B37="","",COUNTA(M37:T37))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7">
        <f>IF($B38="","",COUNTA(M38:T38))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7">
        <f>IF($B39="","",COUNTA(M39:T39))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7">
        <f>IF($B40="","",COUNTA(M40:T40))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7">
        <f>IF($B41="","",COUNTA(M41:T41))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7">
        <f>IF($B42="","",COUNTA(M42:T42))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7">
        <f>IF($B43="","",COUNTA(M43:T43))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7">
        <f>IF($B44="","",COUNTA(M44:T44))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7">
        <f>IF($B45="","",COUNTA(M45:T45))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7">
        <f>IF($B46="","",COUNTA(M46:T46))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7">
        <f>IF($B47="","",COUNTA(M47:T47))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7">
        <f>IF($B48="","",COUNTA(M48:T48))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7">
        <f>IF($B49="","",COUNTA(M49:T49))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7">
        <f>IF($B50="","",COUNTA(M50:T50))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7">
        <f>IF($B51="","",COUNTA(M51:T51))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7">
        <f>IF($B52="","",COUNTA(M52:T52))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7">
        <f>IF($B53="","",COUNTA(M53:T53))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7">
        <f>IF($B54="","",COUNTA(M54:T54))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7">
        <f>IF($B55="","",COUNTA(M55:T55))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7">
        <f>IF($B56="","",COUNTA(M56:T56))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7">
        <f>IF($B57="","",COUNTA(M57:T57))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7">
        <f>IF($B58="","",COUNTA(M58:T58))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7">
        <f>IF($B59="","",COUNTA(M59:T59))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7">
        <f>IF($B60="","",COUNTA(M60:T60))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7">
        <f>IF($B61="","",COUNTA(M61:T61))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7">
        <f>IF($B62="","",COUNTA(M62:T62))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7">
        <f>IF($B63="","",COUNTA(M63:T63))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7">
        <f>IF($B64="","",COUNTA(M64:T64))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7">
        <f>IF($B65="","",COUNTA(M65:T65))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7">
        <f>IF($B66="","",COUNTA(M66:T66))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7">
        <f>IF($B67="","",COUNTA(M67:T67))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7">
        <f>IF($B68="","",COUNTA(M68:T68))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7">
        <f>IF($B69="","",COUNTA(M69:T69))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7">
        <f>IF($B70="","",COUNTA(M70:T70))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7">
        <f>IF($B71="","",COUNTA(M71:T71))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7">
        <f>IF($B72="","",COUNTA(M72:T72))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7">
        <f>IF($B73="","",COUNTA(M73:T73))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7">
        <f>IF($B74="","",COUNTA(M74:T74))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7">
        <f>IF($B75="","",COUNTA(M75:T75))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7">
        <f>IF($B76="","",COUNTA(M76:T76))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7">
        <f>IF($B77="","",COUNTA(M77:T77))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7">
        <f>IF($B78="","",COUNTA(M78:T78))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7">
        <f>IF($B79="","",COUNTA(M79:T79))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7">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42"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42"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42"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42"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42"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42"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42"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42"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42"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42"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42"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42"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42"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42"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42"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42"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42"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42"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42"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42"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42"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42"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42"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42"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42"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42"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42"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42"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42"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42"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42"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42"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42"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42"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42"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42"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42"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42"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42"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42"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42"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42"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42"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42"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7"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29">
        <f>IF(OR($B56="",$G56=0),"",ROUND($G56-$F56,2))</f>
        <v/>
      </c>
    </row>
    <row r="57">
      <c r="B57" s="16" t="inlineStr">
        <is>
          <t>Crash Investigation</t>
        </is>
      </c>
      <c r="E57" s="16" t="inlineStr">
        <is>
          <t>22</t>
        </is>
      </c>
      <c r="F57" s="16" t="n">
        <v>12</v>
      </c>
      <c r="G57" s="17">
        <f>IF($B57="","",ROUND(SUMIFS(nrSCH_Hrs,nrSCH_Act,$B57),2))</f>
        <v/>
      </c>
      <c r="H57" s="29">
        <f>IF(OR($B57="",$G57=0),"",ROUND($G57-$F57,2))</f>
        <v/>
      </c>
    </row>
    <row r="58">
      <c r="B58" s="16" t="inlineStr">
        <is>
          <t>TIM</t>
        </is>
      </c>
      <c r="E58" s="16" t="inlineStr">
        <is>
          <t>22</t>
        </is>
      </c>
      <c r="F58" s="16" t="n">
        <v>12</v>
      </c>
      <c r="G58" s="17">
        <f>IF($B58="","",ROUND(SUMIFS(nrSCH_Hrs,nrSCH_Act,$B58),2))</f>
        <v/>
      </c>
      <c r="H58" s="29">
        <f>IF(OR($B58="",$G58=0),"",ROUND($G58-$F58,2))</f>
        <v/>
      </c>
    </row>
    <row r="59">
      <c r="B59" s="16" t="inlineStr">
        <is>
          <t>Criminal Investigations - General Investigations</t>
        </is>
      </c>
      <c r="E59" s="16" t="inlineStr">
        <is>
          <t>32</t>
        </is>
      </c>
      <c r="F59" s="16" t="n">
        <v>16</v>
      </c>
      <c r="G59" s="17">
        <f>IF($B59="","",ROUND(SUMIFS(nrSCH_Hrs,nrSCH_Act,$B59),2))</f>
        <v/>
      </c>
      <c r="H59" s="29">
        <f>IF(OR($B59="",$G59=0),"",ROUND($G59-$F59,2))</f>
        <v/>
      </c>
    </row>
    <row r="60">
      <c r="B60" s="16" t="inlineStr">
        <is>
          <t>Criminal Investigations - Auto Theft</t>
        </is>
      </c>
      <c r="E60" s="16" t="inlineStr">
        <is>
          <t>32</t>
        </is>
      </c>
      <c r="F60" s="16" t="n">
        <v>4</v>
      </c>
      <c r="G60" s="17">
        <f>IF($B60="","",ROUND(SUMIFS(nrSCH_Hrs,nrSCH_Act,$B60),2))</f>
        <v/>
      </c>
      <c r="H60" s="29">
        <f>IF(OR($B60="",$G60=0),"",ROUND($G60-$F60,2))</f>
        <v/>
      </c>
    </row>
    <row r="61">
      <c r="B61" s="16" t="inlineStr">
        <is>
          <t>Criminal Investigations - Crime Scene</t>
        </is>
      </c>
      <c r="E61" s="16" t="inlineStr">
        <is>
          <t>32</t>
        </is>
      </c>
      <c r="F61" s="16" t="n">
        <v>8</v>
      </c>
      <c r="G61" s="17">
        <f>IF($B61="","",ROUND(SUMIFS(nrSCH_Hrs,nrSCH_Act,$B61),2))</f>
        <v/>
      </c>
      <c r="H61" s="29">
        <f>IF(OR($B61="",$G61=0),"",ROUND($G61-$F61,2))</f>
        <v/>
      </c>
    </row>
    <row r="62">
      <c r="B62" s="16" t="inlineStr">
        <is>
          <t>Criminal Investigations - Booking Operations</t>
        </is>
      </c>
      <c r="E62" s="16" t="inlineStr">
        <is>
          <t>32</t>
        </is>
      </c>
      <c r="F62" s="16" t="n">
        <v>8</v>
      </c>
      <c r="G62" s="17">
        <f>IF($B62="","",ROUND(SUMIFS(nrSCH_Hrs,nrSCH_Act,$B62),2))</f>
        <v/>
      </c>
      <c r="H62" s="29">
        <f>IF(OR($B62="",$G62=0),"",ROUND($G62-$F62,2))</f>
        <v/>
      </c>
    </row>
    <row r="63">
      <c r="B63" s="16" t="inlineStr">
        <is>
          <t>Criminal Investigations - Interview Techniques</t>
        </is>
      </c>
      <c r="E63" s="16" t="inlineStr">
        <is>
          <t>32</t>
        </is>
      </c>
      <c r="F63" s="16" t="n">
        <v>4</v>
      </c>
      <c r="G63" s="17">
        <f>IF($B63="","",ROUND(SUMIFS(nrSCH_Hrs,nrSCH_Act,$B63),2))</f>
        <v/>
      </c>
      <c r="H63" s="29">
        <f>IF(OR($B63="",$G63=0),"",ROUND($G63-$F63,2))</f>
        <v/>
      </c>
    </row>
    <row r="64">
      <c r="B64" s="16" t="inlineStr">
        <is>
          <t>Criminal Investigations - Case Management</t>
        </is>
      </c>
      <c r="E64" s="16" t="inlineStr">
        <is>
          <t>32</t>
        </is>
      </c>
      <c r="F64" s="16" t="n">
        <v>4</v>
      </c>
      <c r="G64" s="17">
        <f>IF($B64="","",ROUND(SUMIFS(nrSCH_Hrs,nrSCH_Act,$B64),2))</f>
        <v/>
      </c>
      <c r="H64" s="29">
        <f>IF(OR($B64="",$G64=0),"",ROUND($G64-$F64,2))</f>
        <v/>
      </c>
    </row>
    <row r="65">
      <c r="B65" s="16" t="inlineStr">
        <is>
          <t>Criminal Investigations - Media Relations</t>
        </is>
      </c>
      <c r="E65" s="16" t="inlineStr">
        <is>
          <t>32</t>
        </is>
      </c>
      <c r="F65" s="16" t="n">
        <v>4</v>
      </c>
      <c r="G65" s="17">
        <f>IF($B65="","",ROUND(SUMIFS(nrSCH_Hrs,nrSCH_Act,$B65),2))</f>
        <v/>
      </c>
      <c r="H65" s="29">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42"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42"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42"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42"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42"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42"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42"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42"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42"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42"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42"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42"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42"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42"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42"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42"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42"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42"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42"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42"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42"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42"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42"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42"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42"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42"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42"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42"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42"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42"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42"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42"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42"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42"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42"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42"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42"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42"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42"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42"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IF($H6="","",_xlfn.WORKDAY.INTL(cfgStartDate-1,$H6,"0000011",nrAllClosures))</f>
        <v/>
      </c>
      <c r="J6" s="17">
        <f>IF($H6="","",INT(($I6-(cfgStartDate-WEEKDAY(cfgStartDate,2)+1))/7)+1)</f>
        <v/>
      </c>
      <c r="K6" s="17">
        <f>IF($H6="","",IF($I6&lt;=cfgEndDate,"Yes","No"))</f>
        <v/>
      </c>
      <c r="M6" s="43">
        <f>C6</f>
        <v/>
      </c>
    </row>
    <row r="7">
      <c r="B7" s="3" t="inlineStr">
        <is>
          <t>Martin Luther King Jr. Day</t>
        </is>
      </c>
      <c r="C7" s="19">
        <f>DATE(YEAR(cfgStartDate),1,1)+MOD(8-WEEKDAY(DATE(YEAR(cfgStartDate),1,1),2),7)+14</f>
        <v/>
      </c>
      <c r="D7" s="19">
        <f>DATE(YEAR(cfgStartDate)+1,1,1)+MOD(8-WEEKDAY(DATE(YEAR(cfgStartDate)+1,1,1),2),7)+14</f>
        <v/>
      </c>
      <c r="F7" s="18" t="n"/>
      <c r="H7" s="17" t="n">
        <v>2</v>
      </c>
      <c r="I7" s="19">
        <f>IF($H7="","",_xlfn.WORKDAY.INTL(cfgStartDate-1,$H7,"0000011",nrAllClosures))</f>
        <v/>
      </c>
      <c r="J7" s="17">
        <f>IF($H7="","",INT(($I7-(cfgStartDate-WEEKDAY(cfgStartDate,2)+1))/7)+1)</f>
        <v/>
      </c>
      <c r="K7" s="17">
        <f>IF($H7="","",IF($I7&lt;=cfgEndDate,"Yes","No"))</f>
        <v/>
      </c>
      <c r="M7" s="43">
        <f>C7</f>
        <v/>
      </c>
    </row>
    <row r="8">
      <c r="B8" s="3" t="inlineStr">
        <is>
          <t>Good Friday</t>
        </is>
      </c>
      <c r="C8" s="19">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9">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8" t="n"/>
      <c r="H8" s="17" t="n">
        <v>3</v>
      </c>
      <c r="I8" s="19">
        <f>IF($H8="","",_xlfn.WORKDAY.INTL(cfgStartDate-1,$H8,"0000011",nrAllClosures))</f>
        <v/>
      </c>
      <c r="J8" s="17">
        <f>IF($H8="","",INT(($I8-(cfgStartDate-WEEKDAY(cfgStartDate,2)+1))/7)+1)</f>
        <v/>
      </c>
      <c r="K8" s="17">
        <f>IF($H8="","",IF($I8&lt;=cfgEndDate,"Yes","No"))</f>
        <v/>
      </c>
      <c r="M8" s="43">
        <f>C8</f>
        <v/>
      </c>
    </row>
    <row r="9">
      <c r="B9" s="3" t="inlineStr">
        <is>
          <t>Memorial Day</t>
        </is>
      </c>
      <c r="C9" s="19">
        <f>DATE(YEAR(cfgStartDate),6,0)-MOD(WEEKDAY(DATE(YEAR(cfgStartDate),6,0),2)-1,7)</f>
        <v/>
      </c>
      <c r="D9" s="19">
        <f>DATE(YEAR(cfgStartDate)+1,6,0)-MOD(WEEKDAY(DATE(YEAR(cfgStartDate)+1,6,0),2)-1,7)</f>
        <v/>
      </c>
      <c r="F9" s="18" t="n"/>
      <c r="H9" s="17" t="n">
        <v>4</v>
      </c>
      <c r="I9" s="19">
        <f>IF($H9="","",_xlfn.WORKDAY.INTL(cfgStartDate-1,$H9,"0000011",nrAllClosures))</f>
        <v/>
      </c>
      <c r="J9" s="17">
        <f>IF($H9="","",INT(($I9-(cfgStartDate-WEEKDAY(cfgStartDate,2)+1))/7)+1)</f>
        <v/>
      </c>
      <c r="K9" s="17">
        <f>IF($H9="","",IF($I9&lt;=cfgEndDate,"Yes","No"))</f>
        <v/>
      </c>
      <c r="M9" s="43">
        <f>C9</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IF($H10="","",_xlfn.WORKDAY.INTL(cfgStartDate-1,$H10,"0000011",nrAllClosures))</f>
        <v/>
      </c>
      <c r="J10" s="17">
        <f>IF($H10="","",INT(($I10-(cfgStartDate-WEEKDAY(cfgStartDate,2)+1))/7)+1)</f>
        <v/>
      </c>
      <c r="K10" s="17">
        <f>IF($H10="","",IF($I10&lt;=cfgEndDate,"Yes","No"))</f>
        <v/>
      </c>
      <c r="M10" s="43">
        <f>C10</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IF($H11="","",_xlfn.WORKDAY.INTL(cfgStartDate-1,$H11,"0000011",nrAllClosures))</f>
        <v/>
      </c>
      <c r="J11" s="17">
        <f>IF($H11="","",INT(($I11-(cfgStartDate-WEEKDAY(cfgStartDate,2)+1))/7)+1)</f>
        <v/>
      </c>
      <c r="K11" s="17">
        <f>IF($H11="","",IF($I11&lt;=cfgEndDate,"Yes","No"))</f>
        <v/>
      </c>
      <c r="M11" s="43">
        <f>C11</f>
        <v/>
      </c>
    </row>
    <row r="12">
      <c r="B12" s="3" t="inlineStr">
        <is>
          <t>Labor Day</t>
        </is>
      </c>
      <c r="C12" s="19">
        <f>DATE(YEAR(cfgStartDate),9,1)+MOD(8-WEEKDAY(DATE(YEAR(cfgStartDate),9,1),2),7)</f>
        <v/>
      </c>
      <c r="D12" s="19">
        <f>DATE(YEAR(cfgStartDate)+1,9,1)+MOD(8-WEEKDAY(DATE(YEAR(cfgStartDate)+1,9,1),2),7)</f>
        <v/>
      </c>
      <c r="F12" s="18" t="n"/>
      <c r="H12" s="17" t="n">
        <v>7</v>
      </c>
      <c r="I12" s="19">
        <f>IF($H12="","",_xlfn.WORKDAY.INTL(cfgStartDate-1,$H12,"0000011",nrAllClosures))</f>
        <v/>
      </c>
      <c r="J12" s="17">
        <f>IF($H12="","",INT(($I12-(cfgStartDate-WEEKDAY(cfgStartDate,2)+1))/7)+1)</f>
        <v/>
      </c>
      <c r="K12" s="17">
        <f>IF($H12="","",IF($I12&lt;=cfgEndDate,"Yes","No"))</f>
        <v/>
      </c>
      <c r="M12" s="43">
        <f>C12</f>
        <v/>
      </c>
    </row>
    <row r="13">
      <c r="B13" s="3" t="inlineStr">
        <is>
          <t>Thanksgiving</t>
        </is>
      </c>
      <c r="C13" s="19">
        <f>DATE(YEAR(cfgStartDate),11,1)+MOD(11-WEEKDAY(DATE(YEAR(cfgStartDate),11,1),2),7)+21</f>
        <v/>
      </c>
      <c r="D13" s="19">
        <f>DATE(YEAR(cfgStartDate)+1,11,1)+MOD(11-WEEKDAY(DATE(YEAR(cfgStartDate)+1,11,1),2),7)+21</f>
        <v/>
      </c>
      <c r="F13" s="18" t="n"/>
      <c r="H13" s="17" t="n">
        <v>8</v>
      </c>
      <c r="I13" s="19">
        <f>IF($H13="","",_xlfn.WORKDAY.INTL(cfgStartDate-1,$H13,"0000011",nrAllClosures))</f>
        <v/>
      </c>
      <c r="J13" s="17">
        <f>IF($H13="","",INT(($I13-(cfgStartDate-WEEKDAY(cfgStartDate,2)+1))/7)+1)</f>
        <v/>
      </c>
      <c r="K13" s="17">
        <f>IF($H13="","",IF($I13&lt;=cfgEndDate,"Yes","No"))</f>
        <v/>
      </c>
      <c r="M13" s="43">
        <f>C13</f>
        <v/>
      </c>
    </row>
    <row r="14">
      <c r="B14" s="3" t="inlineStr">
        <is>
          <t>Black Friday</t>
        </is>
      </c>
      <c r="C14" s="19">
        <f>DATE(YEAR(cfgStartDate),11,1)+MOD(11-WEEKDAY(DATE(YEAR(cfgStartDate),11,1),2),7)+22</f>
        <v/>
      </c>
      <c r="D14" s="19">
        <f>DATE(YEAR(cfgStartDate)+1,11,1)+MOD(11-WEEKDAY(DATE(YEAR(cfgStartDate)+1,11,1),2),7)+22</f>
        <v/>
      </c>
      <c r="F14" s="18" t="n"/>
      <c r="H14" s="17" t="n">
        <v>9</v>
      </c>
      <c r="I14" s="19">
        <f>IF($H14="","",_xlfn.WORKDAY.INTL(cfgStartDate-1,$H14,"0000011",nrAllClosures))</f>
        <v/>
      </c>
      <c r="J14" s="17">
        <f>IF($H14="","",INT(($I14-(cfgStartDate-WEEKDAY(cfgStartDate,2)+1))/7)+1)</f>
        <v/>
      </c>
      <c r="K14" s="17">
        <f>IF($H14="","",IF($I14&lt;=cfgEndDate,"Yes","No"))</f>
        <v/>
      </c>
      <c r="M14" s="43">
        <f>C14</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IF($H15="","",_xlfn.WORKDAY.INTL(cfgStartDate-1,$H15,"0000011",nrAllClosures))</f>
        <v/>
      </c>
      <c r="J15" s="17">
        <f>IF($H15="","",INT(($I15-(cfgStartDate-WEEKDAY(cfgStartDate,2)+1))/7)+1)</f>
        <v/>
      </c>
      <c r="K15" s="17">
        <f>IF($H15="","",IF($I15&lt;=cfgEndDate,"Yes","No"))</f>
        <v/>
      </c>
      <c r="M15" s="43">
        <f>C15</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IF($H16="","",_xlfn.WORKDAY.INTL(cfgStartDate-1,$H16,"0000011",nrAllClosures))</f>
        <v/>
      </c>
      <c r="J16" s="17">
        <f>IF($H16="","",INT(($I16-(cfgStartDate-WEEKDAY(cfgStartDate,2)+1))/7)+1)</f>
        <v/>
      </c>
      <c r="K16" s="17">
        <f>IF($H16="","",IF($I16&lt;=cfgEndDate,"Yes","No"))</f>
        <v/>
      </c>
      <c r="M16" s="43">
        <f>C16</f>
        <v/>
      </c>
    </row>
    <row r="17">
      <c r="F17" s="18" t="n"/>
      <c r="H17" s="17" t="n">
        <v>12</v>
      </c>
      <c r="I17" s="19">
        <f>IF($H17="","",_xlfn.WORKDAY.INTL(cfgStartDate-1,$H17,"0000011",nrAllClosures))</f>
        <v/>
      </c>
      <c r="J17" s="17">
        <f>IF($H17="","",INT(($I17-(cfgStartDate-WEEKDAY(cfgStartDate,2)+1))/7)+1)</f>
        <v/>
      </c>
      <c r="K17" s="17">
        <f>IF($H17="","",IF($I17&lt;=cfgEndDate,"Yes","No"))</f>
        <v/>
      </c>
      <c r="M17" s="43">
        <f>D6</f>
        <v/>
      </c>
    </row>
    <row r="18">
      <c r="F18" s="18" t="n"/>
      <c r="H18" s="17" t="n">
        <v>13</v>
      </c>
      <c r="I18" s="19">
        <f>IF($H18="","",_xlfn.WORKDAY.INTL(cfgStartDate-1,$H18,"0000011",nrAllClosures))</f>
        <v/>
      </c>
      <c r="J18" s="17">
        <f>IF($H18="","",INT(($I18-(cfgStartDate-WEEKDAY(cfgStartDate,2)+1))/7)+1)</f>
        <v/>
      </c>
      <c r="K18" s="17">
        <f>IF($H18="","",IF($I18&lt;=cfgEndDate,"Yes","No"))</f>
        <v/>
      </c>
      <c r="M18" s="43">
        <f>D7</f>
        <v/>
      </c>
    </row>
    <row r="19">
      <c r="F19" s="18" t="n"/>
      <c r="H19" s="17" t="n">
        <v>14</v>
      </c>
      <c r="I19" s="19">
        <f>IF($H19="","",_xlfn.WORKDAY.INTL(cfgStartDate-1,$H19,"0000011",nrAllClosures))</f>
        <v/>
      </c>
      <c r="J19" s="17">
        <f>IF($H19="","",INT(($I19-(cfgStartDate-WEEKDAY(cfgStartDate,2)+1))/7)+1)</f>
        <v/>
      </c>
      <c r="K19" s="17">
        <f>IF($H19="","",IF($I19&lt;=cfgEndDate,"Yes","No"))</f>
        <v/>
      </c>
      <c r="M19" s="43">
        <f>D8</f>
        <v/>
      </c>
    </row>
    <row r="20">
      <c r="F20" s="18" t="n"/>
      <c r="H20" s="17" t="n">
        <v>15</v>
      </c>
      <c r="I20" s="19">
        <f>IF($H20="","",_xlfn.WORKDAY.INTL(cfgStartDate-1,$H20,"0000011",nrAllClosures))</f>
        <v/>
      </c>
      <c r="J20" s="17">
        <f>IF($H20="","",INT(($I20-(cfgStartDate-WEEKDAY(cfgStartDate,2)+1))/7)+1)</f>
        <v/>
      </c>
      <c r="K20" s="17">
        <f>IF($H20="","",IF($I20&lt;=cfgEndDate,"Yes","No"))</f>
        <v/>
      </c>
      <c r="M20" s="43">
        <f>D9</f>
        <v/>
      </c>
    </row>
    <row r="21">
      <c r="H21" s="17" t="n">
        <v>16</v>
      </c>
      <c r="I21" s="19">
        <f>IF($H21="","",_xlfn.WORKDAY.INTL(cfgStartDate-1,$H21,"0000011",nrAllClosures))</f>
        <v/>
      </c>
      <c r="J21" s="17">
        <f>IF($H21="","",INT(($I21-(cfgStartDate-WEEKDAY(cfgStartDate,2)+1))/7)+1)</f>
        <v/>
      </c>
      <c r="K21" s="17">
        <f>IF($H21="","",IF($I21&lt;=cfgEndDate,"Yes","No"))</f>
        <v/>
      </c>
      <c r="M21" s="43">
        <f>D10</f>
        <v/>
      </c>
    </row>
    <row r="22">
      <c r="H22" s="17" t="n">
        <v>17</v>
      </c>
      <c r="I22" s="19">
        <f>IF($H22="","",_xlfn.WORKDAY.INTL(cfgStartDate-1,$H22,"0000011",nrAllClosures))</f>
        <v/>
      </c>
      <c r="J22" s="17">
        <f>IF($H22="","",INT(($I22-(cfgStartDate-WEEKDAY(cfgStartDate,2)+1))/7)+1)</f>
        <v/>
      </c>
      <c r="K22" s="17">
        <f>IF($H22="","",IF($I22&lt;=cfgEndDate,"Yes","No"))</f>
        <v/>
      </c>
      <c r="M22" s="43">
        <f>D11</f>
        <v/>
      </c>
    </row>
    <row r="23">
      <c r="H23" s="17" t="n">
        <v>18</v>
      </c>
      <c r="I23" s="19">
        <f>IF($H23="","",_xlfn.WORKDAY.INTL(cfgStartDate-1,$H23,"0000011",nrAllClosures))</f>
        <v/>
      </c>
      <c r="J23" s="17">
        <f>IF($H23="","",INT(($I23-(cfgStartDate-WEEKDAY(cfgStartDate,2)+1))/7)+1)</f>
        <v/>
      </c>
      <c r="K23" s="17">
        <f>IF($H23="","",IF($I23&lt;=cfgEndDate,"Yes","No"))</f>
        <v/>
      </c>
      <c r="M23" s="43">
        <f>D12</f>
        <v/>
      </c>
    </row>
    <row r="24">
      <c r="H24" s="17" t="n">
        <v>19</v>
      </c>
      <c r="I24" s="19">
        <f>IF($H24="","",_xlfn.WORKDAY.INTL(cfgStartDate-1,$H24,"0000011",nrAllClosures))</f>
        <v/>
      </c>
      <c r="J24" s="17">
        <f>IF($H24="","",INT(($I24-(cfgStartDate-WEEKDAY(cfgStartDate,2)+1))/7)+1)</f>
        <v/>
      </c>
      <c r="K24" s="17">
        <f>IF($H24="","",IF($I24&lt;=cfgEndDate,"Yes","No"))</f>
        <v/>
      </c>
      <c r="M24" s="43">
        <f>D13</f>
        <v/>
      </c>
    </row>
    <row r="25">
      <c r="H25" s="17" t="n">
        <v>20</v>
      </c>
      <c r="I25" s="19">
        <f>IF($H25="","",_xlfn.WORKDAY.INTL(cfgStartDate-1,$H25,"0000011",nrAllClosures))</f>
        <v/>
      </c>
      <c r="J25" s="17">
        <f>IF($H25="","",INT(($I25-(cfgStartDate-WEEKDAY(cfgStartDate,2)+1))/7)+1)</f>
        <v/>
      </c>
      <c r="K25" s="17">
        <f>IF($H25="","",IF($I25&lt;=cfgEndDate,"Yes","No"))</f>
        <v/>
      </c>
      <c r="M25" s="43">
        <f>D14</f>
        <v/>
      </c>
    </row>
    <row r="26">
      <c r="H26" s="17" t="n">
        <v>21</v>
      </c>
      <c r="I26" s="19">
        <f>IF($H26="","",_xlfn.WORKDAY.INTL(cfgStartDate-1,$H26,"0000011",nrAllClosures))</f>
        <v/>
      </c>
      <c r="J26" s="17">
        <f>IF($H26="","",INT(($I26-(cfgStartDate-WEEKDAY(cfgStartDate,2)+1))/7)+1)</f>
        <v/>
      </c>
      <c r="K26" s="17">
        <f>IF($H26="","",IF($I26&lt;=cfgEndDate,"Yes","No"))</f>
        <v/>
      </c>
      <c r="M26" s="43">
        <f>D15</f>
        <v/>
      </c>
    </row>
    <row r="27">
      <c r="H27" s="17" t="n">
        <v>22</v>
      </c>
      <c r="I27" s="19">
        <f>IF($H27="","",_xlfn.WORKDAY.INTL(cfgStartDate-1,$H27,"0000011",nrAllClosures))</f>
        <v/>
      </c>
      <c r="J27" s="17">
        <f>IF($H27="","",INT(($I27-(cfgStartDate-WEEKDAY(cfgStartDate,2)+1))/7)+1)</f>
        <v/>
      </c>
      <c r="K27" s="17">
        <f>IF($H27="","",IF($I27&lt;=cfgEndDate,"Yes","No"))</f>
        <v/>
      </c>
      <c r="M27" s="43">
        <f>D16</f>
        <v/>
      </c>
    </row>
    <row r="28">
      <c r="H28" s="17" t="n">
        <v>23</v>
      </c>
      <c r="I28" s="19">
        <f>IF($H28="","",_xlfn.WORKDAY.INTL(cfgStartDate-1,$H28,"0000011",nrAllClosures))</f>
        <v/>
      </c>
      <c r="J28" s="17">
        <f>IF($H28="","",INT(($I28-(cfgStartDate-WEEKDAY(cfgStartDate,2)+1))/7)+1)</f>
        <v/>
      </c>
      <c r="K28" s="17">
        <f>IF($H28="","",IF($I28&lt;=cfgEndDate,"Yes","No"))</f>
        <v/>
      </c>
      <c r="M28" s="43">
        <f>IF(F6="",DATE(1900,1,1),F6)</f>
        <v/>
      </c>
    </row>
    <row r="29">
      <c r="H29" s="17" t="n">
        <v>24</v>
      </c>
      <c r="I29" s="19">
        <f>IF($H29="","",_xlfn.WORKDAY.INTL(cfgStartDate-1,$H29,"0000011",nrAllClosures))</f>
        <v/>
      </c>
      <c r="J29" s="17">
        <f>IF($H29="","",INT(($I29-(cfgStartDate-WEEKDAY(cfgStartDate,2)+1))/7)+1)</f>
        <v/>
      </c>
      <c r="K29" s="17">
        <f>IF($H29="","",IF($I29&lt;=cfgEndDate,"Yes","No"))</f>
        <v/>
      </c>
      <c r="M29" s="43">
        <f>IF(F7="",DATE(1900,1,1),F7)</f>
        <v/>
      </c>
    </row>
    <row r="30">
      <c r="H30" s="17" t="n">
        <v>25</v>
      </c>
      <c r="I30" s="19">
        <f>IF($H30="","",_xlfn.WORKDAY.INTL(cfgStartDate-1,$H30,"0000011",nrAllClosures))</f>
        <v/>
      </c>
      <c r="J30" s="17">
        <f>IF($H30="","",INT(($I30-(cfgStartDate-WEEKDAY(cfgStartDate,2)+1))/7)+1)</f>
        <v/>
      </c>
      <c r="K30" s="17">
        <f>IF($H30="","",IF($I30&lt;=cfgEndDate,"Yes","No"))</f>
        <v/>
      </c>
      <c r="M30" s="43">
        <f>IF(F8="",DATE(1900,1,1),F8)</f>
        <v/>
      </c>
    </row>
    <row r="31">
      <c r="H31" s="17" t="n">
        <v>26</v>
      </c>
      <c r="I31" s="19">
        <f>IF($H31="","",_xlfn.WORKDAY.INTL(cfgStartDate-1,$H31,"0000011",nrAllClosures))</f>
        <v/>
      </c>
      <c r="J31" s="17">
        <f>IF($H31="","",INT(($I31-(cfgStartDate-WEEKDAY(cfgStartDate,2)+1))/7)+1)</f>
        <v/>
      </c>
      <c r="K31" s="17">
        <f>IF($H31="","",IF($I31&lt;=cfgEndDate,"Yes","No"))</f>
        <v/>
      </c>
      <c r="M31" s="43">
        <f>IF(F9="",DATE(1900,1,1),F9)</f>
        <v/>
      </c>
    </row>
    <row r="32">
      <c r="H32" s="17" t="n">
        <v>27</v>
      </c>
      <c r="I32" s="19">
        <f>IF($H32="","",_xlfn.WORKDAY.INTL(cfgStartDate-1,$H32,"0000011",nrAllClosures))</f>
        <v/>
      </c>
      <c r="J32" s="17">
        <f>IF($H32="","",INT(($I32-(cfgStartDate-WEEKDAY(cfgStartDate,2)+1))/7)+1)</f>
        <v/>
      </c>
      <c r="K32" s="17">
        <f>IF($H32="","",IF($I32&lt;=cfgEndDate,"Yes","No"))</f>
        <v/>
      </c>
      <c r="M32" s="43">
        <f>IF(F10="",DATE(1900,1,1),F10)</f>
        <v/>
      </c>
    </row>
    <row r="33">
      <c r="H33" s="17" t="n">
        <v>28</v>
      </c>
      <c r="I33" s="19">
        <f>IF($H33="","",_xlfn.WORKDAY.INTL(cfgStartDate-1,$H33,"0000011",nrAllClosures))</f>
        <v/>
      </c>
      <c r="J33" s="17">
        <f>IF($H33="","",INT(($I33-(cfgStartDate-WEEKDAY(cfgStartDate,2)+1))/7)+1)</f>
        <v/>
      </c>
      <c r="K33" s="17">
        <f>IF($H33="","",IF($I33&lt;=cfgEndDate,"Yes","No"))</f>
        <v/>
      </c>
      <c r="M33" s="43">
        <f>IF(F11="",DATE(1900,1,1),F11)</f>
        <v/>
      </c>
    </row>
    <row r="34">
      <c r="H34" s="17" t="n">
        <v>29</v>
      </c>
      <c r="I34" s="19">
        <f>IF($H34="","",_xlfn.WORKDAY.INTL(cfgStartDate-1,$H34,"0000011",nrAllClosures))</f>
        <v/>
      </c>
      <c r="J34" s="17">
        <f>IF($H34="","",INT(($I34-(cfgStartDate-WEEKDAY(cfgStartDate,2)+1))/7)+1)</f>
        <v/>
      </c>
      <c r="K34" s="17">
        <f>IF($H34="","",IF($I34&lt;=cfgEndDate,"Yes","No"))</f>
        <v/>
      </c>
      <c r="M34" s="43">
        <f>IF(F12="",DATE(1900,1,1),F12)</f>
        <v/>
      </c>
    </row>
    <row r="35">
      <c r="H35" s="17" t="n">
        <v>30</v>
      </c>
      <c r="I35" s="19">
        <f>IF($H35="","",_xlfn.WORKDAY.INTL(cfgStartDate-1,$H35,"0000011",nrAllClosures))</f>
        <v/>
      </c>
      <c r="J35" s="17">
        <f>IF($H35="","",INT(($I35-(cfgStartDate-WEEKDAY(cfgStartDate,2)+1))/7)+1)</f>
        <v/>
      </c>
      <c r="K35" s="17">
        <f>IF($H35="","",IF($I35&lt;=cfgEndDate,"Yes","No"))</f>
        <v/>
      </c>
      <c r="M35" s="43">
        <f>IF(F13="",DATE(1900,1,1),F13)</f>
        <v/>
      </c>
    </row>
    <row r="36">
      <c r="H36" s="17" t="n">
        <v>31</v>
      </c>
      <c r="I36" s="19">
        <f>IF($H36="","",_xlfn.WORKDAY.INTL(cfgStartDate-1,$H36,"0000011",nrAllClosures))</f>
        <v/>
      </c>
      <c r="J36" s="17">
        <f>IF($H36="","",INT(($I36-(cfgStartDate-WEEKDAY(cfgStartDate,2)+1))/7)+1)</f>
        <v/>
      </c>
      <c r="K36" s="17">
        <f>IF($H36="","",IF($I36&lt;=cfgEndDate,"Yes","No"))</f>
        <v/>
      </c>
      <c r="M36" s="43">
        <f>IF(F14="",DATE(1900,1,1),F14)</f>
        <v/>
      </c>
    </row>
    <row r="37">
      <c r="H37" s="17" t="n">
        <v>32</v>
      </c>
      <c r="I37" s="19">
        <f>IF($H37="","",_xlfn.WORKDAY.INTL(cfgStartDate-1,$H37,"0000011",nrAllClosures))</f>
        <v/>
      </c>
      <c r="J37" s="17">
        <f>IF($H37="","",INT(($I37-(cfgStartDate-WEEKDAY(cfgStartDate,2)+1))/7)+1)</f>
        <v/>
      </c>
      <c r="K37" s="17">
        <f>IF($H37="","",IF($I37&lt;=cfgEndDate,"Yes","No"))</f>
        <v/>
      </c>
      <c r="M37" s="43">
        <f>IF(F15="",DATE(1900,1,1),F15)</f>
        <v/>
      </c>
    </row>
    <row r="38">
      <c r="H38" s="17" t="n">
        <v>33</v>
      </c>
      <c r="I38" s="19">
        <f>IF($H38="","",_xlfn.WORKDAY.INTL(cfgStartDate-1,$H38,"0000011",nrAllClosures))</f>
        <v/>
      </c>
      <c r="J38" s="17">
        <f>IF($H38="","",INT(($I38-(cfgStartDate-WEEKDAY(cfgStartDate,2)+1))/7)+1)</f>
        <v/>
      </c>
      <c r="K38" s="17">
        <f>IF($H38="","",IF($I38&lt;=cfgEndDate,"Yes","No"))</f>
        <v/>
      </c>
      <c r="M38" s="43">
        <f>IF(F16="",DATE(1900,1,1),F16)</f>
        <v/>
      </c>
    </row>
    <row r="39">
      <c r="H39" s="17" t="n">
        <v>34</v>
      </c>
      <c r="I39" s="19">
        <f>IF($H39="","",_xlfn.WORKDAY.INTL(cfgStartDate-1,$H39,"0000011",nrAllClosures))</f>
        <v/>
      </c>
      <c r="J39" s="17">
        <f>IF($H39="","",INT(($I39-(cfgStartDate-WEEKDAY(cfgStartDate,2)+1))/7)+1)</f>
        <v/>
      </c>
      <c r="K39" s="17">
        <f>IF($H39="","",IF($I39&lt;=cfgEndDate,"Yes","No"))</f>
        <v/>
      </c>
      <c r="M39" s="43">
        <f>IF(F17="",DATE(1900,1,1),F17)</f>
        <v/>
      </c>
    </row>
    <row r="40">
      <c r="H40" s="17" t="n">
        <v>35</v>
      </c>
      <c r="I40" s="19">
        <f>IF($H40="","",_xlfn.WORKDAY.INTL(cfgStartDate-1,$H40,"0000011",nrAllClosures))</f>
        <v/>
      </c>
      <c r="J40" s="17">
        <f>IF($H40="","",INT(($I40-(cfgStartDate-WEEKDAY(cfgStartDate,2)+1))/7)+1)</f>
        <v/>
      </c>
      <c r="K40" s="17">
        <f>IF($H40="","",IF($I40&lt;=cfgEndDate,"Yes","No"))</f>
        <v/>
      </c>
      <c r="M40" s="43">
        <f>IF(F18="",DATE(1900,1,1),F18)</f>
        <v/>
      </c>
    </row>
    <row r="41">
      <c r="H41" s="17" t="n">
        <v>36</v>
      </c>
      <c r="I41" s="19">
        <f>IF($H41="","",_xlfn.WORKDAY.INTL(cfgStartDate-1,$H41,"0000011",nrAllClosures))</f>
        <v/>
      </c>
      <c r="J41" s="17">
        <f>IF($H41="","",INT(($I41-(cfgStartDate-WEEKDAY(cfgStartDate,2)+1))/7)+1)</f>
        <v/>
      </c>
      <c r="K41" s="17">
        <f>IF($H41="","",IF($I41&lt;=cfgEndDate,"Yes","No"))</f>
        <v/>
      </c>
      <c r="M41" s="43">
        <f>IF(F19="",DATE(1900,1,1),F19)</f>
        <v/>
      </c>
    </row>
    <row r="42">
      <c r="H42" s="17" t="n">
        <v>37</v>
      </c>
      <c r="I42" s="19">
        <f>IF($H42="","",_xlfn.WORKDAY.INTL(cfgStartDate-1,$H42,"0000011",nrAllClosures))</f>
        <v/>
      </c>
      <c r="J42" s="17">
        <f>IF($H42="","",INT(($I42-(cfgStartDate-WEEKDAY(cfgStartDate,2)+1))/7)+1)</f>
        <v/>
      </c>
      <c r="K42" s="17">
        <f>IF($H42="","",IF($I42&lt;=cfgEndDate,"Yes","No"))</f>
        <v/>
      </c>
      <c r="M42" s="43">
        <f>IF(F20="",DATE(1900,1,1),F20)</f>
        <v/>
      </c>
    </row>
    <row r="43">
      <c r="H43" s="17" t="n">
        <v>38</v>
      </c>
      <c r="I43" s="19">
        <f>IF($H43="","",_xlfn.WORKDAY.INTL(cfgStartDate-1,$H43,"0000011",nrAllClosures))</f>
        <v/>
      </c>
      <c r="J43" s="17">
        <f>IF($H43="","",INT(($I43-(cfgStartDate-WEEKDAY(cfgStartDate,2)+1))/7)+1)</f>
        <v/>
      </c>
      <c r="K43" s="17">
        <f>IF($H43="","",IF($I43&lt;=cfgEndDate,"Yes","No"))</f>
        <v/>
      </c>
    </row>
    <row r="44">
      <c r="H44" s="17" t="n">
        <v>39</v>
      </c>
      <c r="I44" s="19">
        <f>IF($H44="","",_xlfn.WORKDAY.INTL(cfgStartDate-1,$H44,"0000011",nrAllClosures))</f>
        <v/>
      </c>
      <c r="J44" s="17">
        <f>IF($H44="","",INT(($I44-(cfgStartDate-WEEKDAY(cfgStartDate,2)+1))/7)+1)</f>
        <v/>
      </c>
      <c r="K44" s="17">
        <f>IF($H44="","",IF($I44&lt;=cfgEndDate,"Yes","No"))</f>
        <v/>
      </c>
    </row>
    <row r="45">
      <c r="H45" s="17" t="n">
        <v>40</v>
      </c>
      <c r="I45" s="19">
        <f>IF($H45="","",_xlfn.WORKDAY.INTL(cfgStartDate-1,$H45,"0000011",nrAllClosures))</f>
        <v/>
      </c>
      <c r="J45" s="17">
        <f>IF($H45="","",INT(($I45-(cfgStartDate-WEEKDAY(cfgStartDate,2)+1))/7)+1)</f>
        <v/>
      </c>
      <c r="K45" s="17">
        <f>IF($H45="","",IF($I45&lt;=cfgEndDate,"Yes","No"))</f>
        <v/>
      </c>
    </row>
    <row r="46">
      <c r="H46" s="17" t="n">
        <v>41</v>
      </c>
      <c r="I46" s="19">
        <f>IF($H46="","",_xlfn.WORKDAY.INTL(cfgStartDate-1,$H46,"0000011",nrAllClosures))</f>
        <v/>
      </c>
      <c r="J46" s="17">
        <f>IF($H46="","",INT(($I46-(cfgStartDate-WEEKDAY(cfgStartDate,2)+1))/7)+1)</f>
        <v/>
      </c>
      <c r="K46" s="17">
        <f>IF($H46="","",IF($I46&lt;=cfgEndDate,"Yes","No"))</f>
        <v/>
      </c>
    </row>
    <row r="47">
      <c r="H47" s="17" t="n">
        <v>42</v>
      </c>
      <c r="I47" s="19">
        <f>IF($H47="","",_xlfn.WORKDAY.INTL(cfgStartDate-1,$H47,"0000011",nrAllClosures))</f>
        <v/>
      </c>
      <c r="J47" s="17">
        <f>IF($H47="","",INT(($I47-(cfgStartDate-WEEKDAY(cfgStartDate,2)+1))/7)+1)</f>
        <v/>
      </c>
      <c r="K47" s="17">
        <f>IF($H47="","",IF($I47&lt;=cfgEndDate,"Yes","No"))</f>
        <v/>
      </c>
    </row>
    <row r="48">
      <c r="H48" s="17" t="n">
        <v>43</v>
      </c>
      <c r="I48" s="19">
        <f>IF($H48="","",_xlfn.WORKDAY.INTL(cfgStartDate-1,$H48,"0000011",nrAllClosures))</f>
        <v/>
      </c>
      <c r="J48" s="17">
        <f>IF($H48="","",INT(($I48-(cfgStartDate-WEEKDAY(cfgStartDate,2)+1))/7)+1)</f>
        <v/>
      </c>
      <c r="K48" s="17">
        <f>IF($H48="","",IF($I48&lt;=cfgEndDate,"Yes","No"))</f>
        <v/>
      </c>
    </row>
    <row r="49">
      <c r="H49" s="17" t="n">
        <v>44</v>
      </c>
      <c r="I49" s="19">
        <f>IF($H49="","",_xlfn.WORKDAY.INTL(cfgStartDate-1,$H49,"0000011",nrAllClosures))</f>
        <v/>
      </c>
      <c r="J49" s="17">
        <f>IF($H49="","",INT(($I49-(cfgStartDate-WEEKDAY(cfgStartDate,2)+1))/7)+1)</f>
        <v/>
      </c>
      <c r="K49" s="17">
        <f>IF($H49="","",IF($I49&lt;=cfgEndDate,"Yes","No"))</f>
        <v/>
      </c>
    </row>
    <row r="50">
      <c r="H50" s="17" t="n">
        <v>45</v>
      </c>
      <c r="I50" s="19">
        <f>IF($H50="","",_xlfn.WORKDAY.INTL(cfgStartDate-1,$H50,"0000011",nrAllClosures))</f>
        <v/>
      </c>
      <c r="J50" s="17">
        <f>IF($H50="","",INT(($I50-(cfgStartDate-WEEKDAY(cfgStartDate,2)+1))/7)+1)</f>
        <v/>
      </c>
      <c r="K50" s="17">
        <f>IF($H50="","",IF($I50&lt;=cfgEndDate,"Yes","No"))</f>
        <v/>
      </c>
    </row>
    <row r="51">
      <c r="H51" s="17" t="n">
        <v>46</v>
      </c>
      <c r="I51" s="19">
        <f>IF($H51="","",_xlfn.WORKDAY.INTL(cfgStartDate-1,$H51,"0000011",nrAllClosures))</f>
        <v/>
      </c>
      <c r="J51" s="17">
        <f>IF($H51="","",INT(($I51-(cfgStartDate-WEEKDAY(cfgStartDate,2)+1))/7)+1)</f>
        <v/>
      </c>
      <c r="K51" s="17">
        <f>IF($H51="","",IF($I51&lt;=cfgEndDate,"Yes","No"))</f>
        <v/>
      </c>
    </row>
    <row r="52">
      <c r="H52" s="17" t="n">
        <v>47</v>
      </c>
      <c r="I52" s="19">
        <f>IF($H52="","",_xlfn.WORKDAY.INTL(cfgStartDate-1,$H52,"0000011",nrAllClosures))</f>
        <v/>
      </c>
      <c r="J52" s="17">
        <f>IF($H52="","",INT(($I52-(cfgStartDate-WEEKDAY(cfgStartDate,2)+1))/7)+1)</f>
        <v/>
      </c>
      <c r="K52" s="17">
        <f>IF($H52="","",IF($I52&lt;=cfgEndDate,"Yes","No"))</f>
        <v/>
      </c>
    </row>
    <row r="53">
      <c r="H53" s="17" t="n">
        <v>48</v>
      </c>
      <c r="I53" s="19">
        <f>IF($H53="","",_xlfn.WORKDAY.INTL(cfgStartDate-1,$H53,"0000011",nrAllClosures))</f>
        <v/>
      </c>
      <c r="J53" s="17">
        <f>IF($H53="","",INT(($I53-(cfgStartDate-WEEKDAY(cfgStartDate,2)+1))/7)+1)</f>
        <v/>
      </c>
      <c r="K53" s="17">
        <f>IF($H53="","",IF($I53&lt;=cfgEndDate,"Yes","No"))</f>
        <v/>
      </c>
    </row>
    <row r="54">
      <c r="H54" s="17" t="n">
        <v>49</v>
      </c>
      <c r="I54" s="19">
        <f>IF($H54="","",_xlfn.WORKDAY.INTL(cfgStartDate-1,$H54,"0000011",nrAllClosures))</f>
        <v/>
      </c>
      <c r="J54" s="17">
        <f>IF($H54="","",INT(($I54-(cfgStartDate-WEEKDAY(cfgStartDate,2)+1))/7)+1)</f>
        <v/>
      </c>
      <c r="K54" s="17">
        <f>IF($H54="","",IF($I54&lt;=cfgEndDate,"Yes","No"))</f>
        <v/>
      </c>
    </row>
    <row r="55">
      <c r="H55" s="17" t="n">
        <v>50</v>
      </c>
      <c r="I55" s="19">
        <f>IF($H55="","",_xlfn.WORKDAY.INTL(cfgStartDate-1,$H55,"0000011",nrAllClosures))</f>
        <v/>
      </c>
      <c r="J55" s="17">
        <f>IF($H55="","",INT(($I55-(cfgStartDate-WEEKDAY(cfgStartDate,2)+1))/7)+1)</f>
        <v/>
      </c>
      <c r="K55" s="17">
        <f>IF($H55="","",IF($I55&lt;=cfgEndDate,"Yes","No"))</f>
        <v/>
      </c>
    </row>
    <row r="56">
      <c r="H56" s="17" t="n">
        <v>51</v>
      </c>
      <c r="I56" s="19">
        <f>IF($H56="","",_xlfn.WORKDAY.INTL(cfgStartDate-1,$H56,"0000011",nrAllClosures))</f>
        <v/>
      </c>
      <c r="J56" s="17">
        <f>IF($H56="","",INT(($I56-(cfgStartDate-WEEKDAY(cfgStartDate,2)+1))/7)+1)</f>
        <v/>
      </c>
      <c r="K56" s="17">
        <f>IF($H56="","",IF($I56&lt;=cfgEndDate,"Yes","No"))</f>
        <v/>
      </c>
    </row>
    <row r="57">
      <c r="H57" s="17" t="n">
        <v>52</v>
      </c>
      <c r="I57" s="19">
        <f>IF($H57="","",_xlfn.WORKDAY.INTL(cfgStartDate-1,$H57,"0000011",nrAllClosures))</f>
        <v/>
      </c>
      <c r="J57" s="17">
        <f>IF($H57="","",INT(($I57-(cfgStartDate-WEEKDAY(cfgStartDate,2)+1))/7)+1)</f>
        <v/>
      </c>
      <c r="K57" s="17">
        <f>IF($H57="","",IF($I57&lt;=cfgEndDate,"Yes","No"))</f>
        <v/>
      </c>
    </row>
    <row r="58">
      <c r="H58" s="17" t="n">
        <v>53</v>
      </c>
      <c r="I58" s="19">
        <f>IF($H58="","",_xlfn.WORKDAY.INTL(cfgStartDate-1,$H58,"0000011",nrAllClosures))</f>
        <v/>
      </c>
      <c r="J58" s="17">
        <f>IF($H58="","",INT(($I58-(cfgStartDate-WEEKDAY(cfgStartDate,2)+1))/7)+1)</f>
        <v/>
      </c>
      <c r="K58" s="17">
        <f>IF($H58="","",IF($I58&lt;=cfgEndDate,"Yes","No"))</f>
        <v/>
      </c>
    </row>
    <row r="59">
      <c r="H59" s="17" t="n">
        <v>54</v>
      </c>
      <c r="I59" s="19">
        <f>IF($H59="","",_xlfn.WORKDAY.INTL(cfgStartDate-1,$H59,"0000011",nrAllClosures))</f>
        <v/>
      </c>
      <c r="J59" s="17">
        <f>IF($H59="","",INT(($I59-(cfgStartDate-WEEKDAY(cfgStartDate,2)+1))/7)+1)</f>
        <v/>
      </c>
      <c r="K59" s="17">
        <f>IF($H59="","",IF($I59&lt;=cfgEndDate,"Yes","No"))</f>
        <v/>
      </c>
    </row>
    <row r="60">
      <c r="H60" s="17" t="n">
        <v>55</v>
      </c>
      <c r="I60" s="19">
        <f>IF($H60="","",_xlfn.WORKDAY.INTL(cfgStartDate-1,$H60,"0000011",nrAllClosures))</f>
        <v/>
      </c>
      <c r="J60" s="17">
        <f>IF($H60="","",INT(($I60-(cfgStartDate-WEEKDAY(cfgStartDate,2)+1))/7)+1)</f>
        <v/>
      </c>
      <c r="K60" s="17">
        <f>IF($H60="","",IF($I60&lt;=cfgEndDate,"Yes","No"))</f>
        <v/>
      </c>
    </row>
    <row r="61">
      <c r="H61" s="17" t="n">
        <v>56</v>
      </c>
      <c r="I61" s="19">
        <f>IF($H61="","",_xlfn.WORKDAY.INTL(cfgStartDate-1,$H61,"0000011",nrAllClosures))</f>
        <v/>
      </c>
      <c r="J61" s="17">
        <f>IF($H61="","",INT(($I61-(cfgStartDate-WEEKDAY(cfgStartDate,2)+1))/7)+1)</f>
        <v/>
      </c>
      <c r="K61" s="17">
        <f>IF($H61="","",IF($I61&lt;=cfgEndDate,"Yes","No"))</f>
        <v/>
      </c>
    </row>
    <row r="62">
      <c r="H62" s="17" t="n">
        <v>57</v>
      </c>
      <c r="I62" s="19">
        <f>IF($H62="","",_xlfn.WORKDAY.INTL(cfgStartDate-1,$H62,"0000011",nrAllClosures))</f>
        <v/>
      </c>
      <c r="J62" s="17">
        <f>IF($H62="","",INT(($I62-(cfgStartDate-WEEKDAY(cfgStartDate,2)+1))/7)+1)</f>
        <v/>
      </c>
      <c r="K62" s="17">
        <f>IF($H62="","",IF($I62&lt;=cfgEndDate,"Yes","No"))</f>
        <v/>
      </c>
    </row>
    <row r="63">
      <c r="H63" s="17" t="n">
        <v>58</v>
      </c>
      <c r="I63" s="19">
        <f>IF($H63="","",_xlfn.WORKDAY.INTL(cfgStartDate-1,$H63,"0000011",nrAllClosures))</f>
        <v/>
      </c>
      <c r="J63" s="17">
        <f>IF($H63="","",INT(($I63-(cfgStartDate-WEEKDAY(cfgStartDate,2)+1))/7)+1)</f>
        <v/>
      </c>
      <c r="K63" s="17">
        <f>IF($H63="","",IF($I63&lt;=cfgEndDate,"Yes","No"))</f>
        <v/>
      </c>
    </row>
    <row r="64">
      <c r="H64" s="17" t="n">
        <v>59</v>
      </c>
      <c r="I64" s="19">
        <f>IF($H64="","",_xlfn.WORKDAY.INTL(cfgStartDate-1,$H64,"0000011",nrAllClosures))</f>
        <v/>
      </c>
      <c r="J64" s="17">
        <f>IF($H64="","",INT(($I64-(cfgStartDate-WEEKDAY(cfgStartDate,2)+1))/7)+1)</f>
        <v/>
      </c>
      <c r="K64" s="17">
        <f>IF($H64="","",IF($I64&lt;=cfgEndDate,"Yes","No"))</f>
        <v/>
      </c>
    </row>
    <row r="65">
      <c r="H65" s="17" t="n">
        <v>60</v>
      </c>
      <c r="I65" s="19">
        <f>IF($H65="","",_xlfn.WORKDAY.INTL(cfgStartDate-1,$H65,"0000011",nrAllClosures))</f>
        <v/>
      </c>
      <c r="J65" s="17">
        <f>IF($H65="","",INT(($I65-(cfgStartDate-WEEKDAY(cfgStartDate,2)+1))/7)+1)</f>
        <v/>
      </c>
      <c r="K65" s="17">
        <f>IF($H65="","",IF($I65&lt;=cfgEndDate,"Yes","No"))</f>
        <v/>
      </c>
    </row>
    <row r="66">
      <c r="H66" s="17" t="n">
        <v>61</v>
      </c>
      <c r="I66" s="19">
        <f>IF($H66="","",_xlfn.WORKDAY.INTL(cfgStartDate-1,$H66,"0000011",nrAllClosures))</f>
        <v/>
      </c>
      <c r="J66" s="17">
        <f>IF($H66="","",INT(($I66-(cfgStartDate-WEEKDAY(cfgStartDate,2)+1))/7)+1)</f>
        <v/>
      </c>
      <c r="K66" s="17">
        <f>IF($H66="","",IF($I66&lt;=cfgEndDate,"Yes","No"))</f>
        <v/>
      </c>
    </row>
    <row r="67">
      <c r="H67" s="17" t="n">
        <v>62</v>
      </c>
      <c r="I67" s="19">
        <f>IF($H67="","",_xlfn.WORKDAY.INTL(cfgStartDate-1,$H67,"0000011",nrAllClosures))</f>
        <v/>
      </c>
      <c r="J67" s="17">
        <f>IF($H67="","",INT(($I67-(cfgStartDate-WEEKDAY(cfgStartDate,2)+1))/7)+1)</f>
        <v/>
      </c>
      <c r="K67" s="17">
        <f>IF($H67="","",IF($I67&lt;=cfgEndDate,"Yes","No"))</f>
        <v/>
      </c>
    </row>
    <row r="68">
      <c r="H68" s="17" t="n">
        <v>63</v>
      </c>
      <c r="I68" s="19">
        <f>IF($H68="","",_xlfn.WORKDAY.INTL(cfgStartDate-1,$H68,"0000011",nrAllClosures))</f>
        <v/>
      </c>
      <c r="J68" s="17">
        <f>IF($H68="","",INT(($I68-(cfgStartDate-WEEKDAY(cfgStartDate,2)+1))/7)+1)</f>
        <v/>
      </c>
      <c r="K68" s="17">
        <f>IF($H68="","",IF($I68&lt;=cfgEndDate,"Yes","No"))</f>
        <v/>
      </c>
    </row>
    <row r="69">
      <c r="H69" s="17" t="n">
        <v>64</v>
      </c>
      <c r="I69" s="19">
        <f>IF($H69="","",_xlfn.WORKDAY.INTL(cfgStartDate-1,$H69,"0000011",nrAllClosures))</f>
        <v/>
      </c>
      <c r="J69" s="17">
        <f>IF($H69="","",INT(($I69-(cfgStartDate-WEEKDAY(cfgStartDate,2)+1))/7)+1)</f>
        <v/>
      </c>
      <c r="K69" s="17">
        <f>IF($H69="","",IF($I69&lt;=cfgEndDate,"Yes","No"))</f>
        <v/>
      </c>
    </row>
    <row r="70">
      <c r="H70" s="17" t="n">
        <v>65</v>
      </c>
      <c r="I70" s="19">
        <f>IF($H70="","",_xlfn.WORKDAY.INTL(cfgStartDate-1,$H70,"0000011",nrAllClosures))</f>
        <v/>
      </c>
      <c r="J70" s="17">
        <f>IF($H70="","",INT(($I70-(cfgStartDate-WEEKDAY(cfgStartDate,2)+1))/7)+1)</f>
        <v/>
      </c>
      <c r="K70" s="17">
        <f>IF($H70="","",IF($I70&lt;=cfgEndDate,"Yes","No"))</f>
        <v/>
      </c>
    </row>
    <row r="71">
      <c r="H71" s="17" t="n">
        <v>66</v>
      </c>
      <c r="I71" s="19">
        <f>IF($H71="","",_xlfn.WORKDAY.INTL(cfgStartDate-1,$H71,"0000011",nrAllClosures))</f>
        <v/>
      </c>
      <c r="J71" s="17">
        <f>IF($H71="","",INT(($I71-(cfgStartDate-WEEKDAY(cfgStartDate,2)+1))/7)+1)</f>
        <v/>
      </c>
      <c r="K71" s="17">
        <f>IF($H71="","",IF($I71&lt;=cfgEndDate,"Yes","No"))</f>
        <v/>
      </c>
    </row>
    <row r="72">
      <c r="H72" s="17" t="n">
        <v>67</v>
      </c>
      <c r="I72" s="19">
        <f>IF($H72="","",_xlfn.WORKDAY.INTL(cfgStartDate-1,$H72,"0000011",nrAllClosures))</f>
        <v/>
      </c>
      <c r="J72" s="17">
        <f>IF($H72="","",INT(($I72-(cfgStartDate-WEEKDAY(cfgStartDate,2)+1))/7)+1)</f>
        <v/>
      </c>
      <c r="K72" s="17">
        <f>IF($H72="","",IF($I72&lt;=cfgEndDate,"Yes","No"))</f>
        <v/>
      </c>
    </row>
    <row r="73">
      <c r="H73" s="17" t="n">
        <v>68</v>
      </c>
      <c r="I73" s="19">
        <f>IF($H73="","",_xlfn.WORKDAY.INTL(cfgStartDate-1,$H73,"0000011",nrAllClosures))</f>
        <v/>
      </c>
      <c r="J73" s="17">
        <f>IF($H73="","",INT(($I73-(cfgStartDate-WEEKDAY(cfgStartDate,2)+1))/7)+1)</f>
        <v/>
      </c>
      <c r="K73" s="17">
        <f>IF($H73="","",IF($I73&lt;=cfgEndDate,"Yes","No"))</f>
        <v/>
      </c>
    </row>
    <row r="74">
      <c r="H74" s="17" t="n">
        <v>69</v>
      </c>
      <c r="I74" s="19">
        <f>IF($H74="","",_xlfn.WORKDAY.INTL(cfgStartDate-1,$H74,"0000011",nrAllClosures))</f>
        <v/>
      </c>
      <c r="J74" s="17">
        <f>IF($H74="","",INT(($I74-(cfgStartDate-WEEKDAY(cfgStartDate,2)+1))/7)+1)</f>
        <v/>
      </c>
      <c r="K74" s="17">
        <f>IF($H74="","",IF($I74&lt;=cfgEndDate,"Yes","No"))</f>
        <v/>
      </c>
    </row>
    <row r="75">
      <c r="H75" s="17" t="n">
        <v>70</v>
      </c>
      <c r="I75" s="19">
        <f>IF($H75="","",_xlfn.WORKDAY.INTL(cfgStartDate-1,$H75,"0000011",nrAllClosures))</f>
        <v/>
      </c>
      <c r="J75" s="17">
        <f>IF($H75="","",INT(($I75-(cfgStartDate-WEEKDAY(cfgStartDate,2)+1))/7)+1)</f>
        <v/>
      </c>
      <c r="K75" s="17">
        <f>IF($H75="","",IF($I75&lt;=cfgEndDate,"Yes","No"))</f>
        <v/>
      </c>
    </row>
    <row r="76">
      <c r="H76" s="17" t="n">
        <v>71</v>
      </c>
      <c r="I76" s="19">
        <f>IF($H76="","",_xlfn.WORKDAY.INTL(cfgStartDate-1,$H76,"0000011",nrAllClosures))</f>
        <v/>
      </c>
      <c r="J76" s="17">
        <f>IF($H76="","",INT(($I76-(cfgStartDate-WEEKDAY(cfgStartDate,2)+1))/7)+1)</f>
        <v/>
      </c>
      <c r="K76" s="17">
        <f>IF($H76="","",IF($I76&lt;=cfgEndDate,"Yes","No"))</f>
        <v/>
      </c>
    </row>
    <row r="77">
      <c r="H77" s="17" t="n">
        <v>72</v>
      </c>
      <c r="I77" s="19">
        <f>IF($H77="","",_xlfn.WORKDAY.INTL(cfgStartDate-1,$H77,"0000011",nrAllClosures))</f>
        <v/>
      </c>
      <c r="J77" s="17">
        <f>IF($H77="","",INT(($I77-(cfgStartDate-WEEKDAY(cfgStartDate,2)+1))/7)+1)</f>
        <v/>
      </c>
      <c r="K77" s="17">
        <f>IF($H77="","",IF($I77&lt;=cfgEndDate,"Yes","No"))</f>
        <v/>
      </c>
    </row>
    <row r="78">
      <c r="H78" s="17" t="n">
        <v>73</v>
      </c>
      <c r="I78" s="19">
        <f>IF($H78="","",_xlfn.WORKDAY.INTL(cfgStartDate-1,$H78,"0000011",nrAllClosures))</f>
        <v/>
      </c>
      <c r="J78" s="17">
        <f>IF($H78="","",INT(($I78-(cfgStartDate-WEEKDAY(cfgStartDate,2)+1))/7)+1)</f>
        <v/>
      </c>
      <c r="K78" s="17">
        <f>IF($H78="","",IF($I78&lt;=cfgEndDate,"Yes","No"))</f>
        <v/>
      </c>
    </row>
    <row r="79">
      <c r="H79" s="17" t="n">
        <v>74</v>
      </c>
      <c r="I79" s="19">
        <f>IF($H79="","",_xlfn.WORKDAY.INTL(cfgStartDate-1,$H79,"0000011",nrAllClosures))</f>
        <v/>
      </c>
      <c r="J79" s="17">
        <f>IF($H79="","",INT(($I79-(cfgStartDate-WEEKDAY(cfgStartDate,2)+1))/7)+1)</f>
        <v/>
      </c>
      <c r="K79" s="17">
        <f>IF($H79="","",IF($I79&lt;=cfgEndDate,"Yes","No"))</f>
        <v/>
      </c>
    </row>
    <row r="80">
      <c r="H80" s="17" t="n">
        <v>75</v>
      </c>
      <c r="I80" s="19">
        <f>IF($H80="","",_xlfn.WORKDAY.INTL(cfgStartDate-1,$H80,"0000011",nrAllClosures))</f>
        <v/>
      </c>
      <c r="J80" s="17">
        <f>IF($H80="","",INT(($I80-(cfgStartDate-WEEKDAY(cfgStartDate,2)+1))/7)+1)</f>
        <v/>
      </c>
      <c r="K80" s="17">
        <f>IF($H80="","",IF($I80&lt;=cfgEndDate,"Yes","No"))</f>
        <v/>
      </c>
    </row>
    <row r="81">
      <c r="H81" s="17" t="n">
        <v>76</v>
      </c>
      <c r="I81" s="19">
        <f>IF($H81="","",_xlfn.WORKDAY.INTL(cfgStartDate-1,$H81,"0000011",nrAllClosures))</f>
        <v/>
      </c>
      <c r="J81" s="17">
        <f>IF($H81="","",INT(($I81-(cfgStartDate-WEEKDAY(cfgStartDate,2)+1))/7)+1)</f>
        <v/>
      </c>
      <c r="K81" s="17">
        <f>IF($H81="","",IF($I81&lt;=cfgEndDate,"Yes","No"))</f>
        <v/>
      </c>
    </row>
    <row r="82">
      <c r="H82" s="17" t="n">
        <v>77</v>
      </c>
      <c r="I82" s="19">
        <f>IF($H82="","",_xlfn.WORKDAY.INTL(cfgStartDate-1,$H82,"0000011",nrAllClosures))</f>
        <v/>
      </c>
      <c r="J82" s="17">
        <f>IF($H82="","",INT(($I82-(cfgStartDate-WEEKDAY(cfgStartDate,2)+1))/7)+1)</f>
        <v/>
      </c>
      <c r="K82" s="17">
        <f>IF($H82="","",IF($I82&lt;=cfgEndDate,"Yes","No"))</f>
        <v/>
      </c>
    </row>
    <row r="83">
      <c r="H83" s="17" t="n">
        <v>78</v>
      </c>
      <c r="I83" s="19">
        <f>IF($H83="","",_xlfn.WORKDAY.INTL(cfgStartDate-1,$H83,"0000011",nrAllClosures))</f>
        <v/>
      </c>
      <c r="J83" s="17">
        <f>IF($H83="","",INT(($I83-(cfgStartDate-WEEKDAY(cfgStartDate,2)+1))/7)+1)</f>
        <v/>
      </c>
      <c r="K83" s="17">
        <f>IF($H83="","",IF($I83&lt;=cfgEndDate,"Yes","No"))</f>
        <v/>
      </c>
    </row>
    <row r="84">
      <c r="H84" s="17" t="n">
        <v>79</v>
      </c>
      <c r="I84" s="19">
        <f>IF($H84="","",_xlfn.WORKDAY.INTL(cfgStartDate-1,$H84,"0000011",nrAllClosures))</f>
        <v/>
      </c>
      <c r="J84" s="17">
        <f>IF($H84="","",INT(($I84-(cfgStartDate-WEEKDAY(cfgStartDate,2)+1))/7)+1)</f>
        <v/>
      </c>
      <c r="K84" s="17">
        <f>IF($H84="","",IF($I84&lt;=cfgEndDate,"Yes","No"))</f>
        <v/>
      </c>
    </row>
    <row r="85">
      <c r="H85" s="17" t="n">
        <v>80</v>
      </c>
      <c r="I85" s="19">
        <f>IF($H85="","",_xlfn.WORKDAY.INTL(cfgStartDate-1,$H85,"0000011",nrAllClosures))</f>
        <v/>
      </c>
      <c r="J85" s="17">
        <f>IF($H85="","",INT(($I85-(cfgStartDate-WEEKDAY(cfgStartDate,2)+1))/7)+1)</f>
        <v/>
      </c>
      <c r="K85" s="17">
        <f>IF($H85="","",IF($I85&lt;=cfgEndDate,"Yes","No"))</f>
        <v/>
      </c>
    </row>
    <row r="86">
      <c r="H86" s="17" t="n">
        <v>81</v>
      </c>
      <c r="I86" s="19">
        <f>IF($H86="","",_xlfn.WORKDAY.INTL(cfgStartDate-1,$H86,"0000011",nrAllClosures))</f>
        <v/>
      </c>
      <c r="J86" s="17">
        <f>IF($H86="","",INT(($I86-(cfgStartDate-WEEKDAY(cfgStartDate,2)+1))/7)+1)</f>
        <v/>
      </c>
      <c r="K86" s="17">
        <f>IF($H86="","",IF($I86&lt;=cfgEndDate,"Yes","No"))</f>
        <v/>
      </c>
    </row>
    <row r="87">
      <c r="H87" s="17" t="n">
        <v>82</v>
      </c>
      <c r="I87" s="19">
        <f>IF($H87="","",_xlfn.WORKDAY.INTL(cfgStartDate-1,$H87,"0000011",nrAllClosures))</f>
        <v/>
      </c>
      <c r="J87" s="17">
        <f>IF($H87="","",INT(($I87-(cfgStartDate-WEEKDAY(cfgStartDate,2)+1))/7)+1)</f>
        <v/>
      </c>
      <c r="K87" s="17">
        <f>IF($H87="","",IF($I87&lt;=cfgEndDate,"Yes","No"))</f>
        <v/>
      </c>
    </row>
    <row r="88">
      <c r="H88" s="17" t="n">
        <v>83</v>
      </c>
      <c r="I88" s="19">
        <f>IF($H88="","",_xlfn.WORKDAY.INTL(cfgStartDate-1,$H88,"0000011",nrAllClosures))</f>
        <v/>
      </c>
      <c r="J88" s="17">
        <f>IF($H88="","",INT(($I88-(cfgStartDate-WEEKDAY(cfgStartDate,2)+1))/7)+1)</f>
        <v/>
      </c>
      <c r="K88" s="17">
        <f>IF($H88="","",IF($I88&lt;=cfgEndDate,"Yes","No"))</f>
        <v/>
      </c>
    </row>
    <row r="89">
      <c r="H89" s="17" t="n">
        <v>84</v>
      </c>
      <c r="I89" s="19">
        <f>IF($H89="","",_xlfn.WORKDAY.INTL(cfgStartDate-1,$H89,"0000011",nrAllClosures))</f>
        <v/>
      </c>
      <c r="J89" s="17">
        <f>IF($H89="","",INT(($I89-(cfgStartDate-WEEKDAY(cfgStartDate,2)+1))/7)+1)</f>
        <v/>
      </c>
      <c r="K89" s="17">
        <f>IF($H89="","",IF($I89&lt;=cfgEndDate,"Yes","No"))</f>
        <v/>
      </c>
    </row>
    <row r="90">
      <c r="H90" s="17" t="n">
        <v>85</v>
      </c>
      <c r="I90" s="19">
        <f>IF($H90="","",_xlfn.WORKDAY.INTL(cfgStartDate-1,$H90,"0000011",nrAllClosures))</f>
        <v/>
      </c>
      <c r="J90" s="17">
        <f>IF($H90="","",INT(($I90-(cfgStartDate-WEEKDAY(cfgStartDate,2)+1))/7)+1)</f>
        <v/>
      </c>
      <c r="K90" s="17">
        <f>IF($H90="","",IF($I90&lt;=cfgEndDate,"Yes","No"))</f>
        <v/>
      </c>
    </row>
    <row r="91">
      <c r="H91" s="17" t="n">
        <v>86</v>
      </c>
      <c r="I91" s="19">
        <f>IF($H91="","",_xlfn.WORKDAY.INTL(cfgStartDate-1,$H91,"0000011",nrAllClosures))</f>
        <v/>
      </c>
      <c r="J91" s="17">
        <f>IF($H91="","",INT(($I91-(cfgStartDate-WEEKDAY(cfgStartDate,2)+1))/7)+1)</f>
        <v/>
      </c>
      <c r="K91" s="17">
        <f>IF($H91="","",IF($I91&lt;=cfgEndDate,"Yes","No"))</f>
        <v/>
      </c>
    </row>
    <row r="92">
      <c r="H92" s="17" t="n">
        <v>87</v>
      </c>
      <c r="I92" s="19">
        <f>IF($H92="","",_xlfn.WORKDAY.INTL(cfgStartDate-1,$H92,"0000011",nrAllClosures))</f>
        <v/>
      </c>
      <c r="J92" s="17">
        <f>IF($H92="","",INT(($I92-(cfgStartDate-WEEKDAY(cfgStartDate,2)+1))/7)+1)</f>
        <v/>
      </c>
      <c r="K92" s="17">
        <f>IF($H92="","",IF($I92&lt;=cfgEndDate,"Yes","No"))</f>
        <v/>
      </c>
    </row>
    <row r="93">
      <c r="H93" s="17" t="n">
        <v>88</v>
      </c>
      <c r="I93" s="19">
        <f>IF($H93="","",_xlfn.WORKDAY.INTL(cfgStartDate-1,$H93,"0000011",nrAllClosures))</f>
        <v/>
      </c>
      <c r="J93" s="17">
        <f>IF($H93="","",INT(($I93-(cfgStartDate-WEEKDAY(cfgStartDate,2)+1))/7)+1)</f>
        <v/>
      </c>
      <c r="K93" s="17">
        <f>IF($H93="","",IF($I93&lt;=cfgEndDate,"Yes","No"))</f>
        <v/>
      </c>
    </row>
    <row r="94">
      <c r="H94" s="17" t="n">
        <v>89</v>
      </c>
      <c r="I94" s="19">
        <f>IF($H94="","",_xlfn.WORKDAY.INTL(cfgStartDate-1,$H94,"0000011",nrAllClosures))</f>
        <v/>
      </c>
      <c r="J94" s="17">
        <f>IF($H94="","",INT(($I94-(cfgStartDate-WEEKDAY(cfgStartDate,2)+1))/7)+1)</f>
        <v/>
      </c>
      <c r="K94" s="17">
        <f>IF($H94="","",IF($I94&lt;=cfgEndDate,"Yes","No"))</f>
        <v/>
      </c>
    </row>
    <row r="95">
      <c r="H95" s="17" t="n">
        <v>90</v>
      </c>
      <c r="I95" s="19">
        <f>IF($H95="","",_xlfn.WORKDAY.INTL(cfgStartDate-1,$H95,"0000011",nrAllClosures))</f>
        <v/>
      </c>
      <c r="J95" s="17">
        <f>IF($H95="","",INT(($I95-(cfgStartDate-WEEKDAY(cfgStartDate,2)+1))/7)+1)</f>
        <v/>
      </c>
      <c r="K95" s="17">
        <f>IF($H95="","",IF($I95&lt;=cfgEndDate,"Yes","No"))</f>
        <v/>
      </c>
    </row>
    <row r="96">
      <c r="H96" s="17" t="n">
        <v>91</v>
      </c>
      <c r="I96" s="19">
        <f>IF($H96="","",_xlfn.WORKDAY.INTL(cfgStartDate-1,$H96,"0000011",nrAllClosures))</f>
        <v/>
      </c>
      <c r="J96" s="17">
        <f>IF($H96="","",INT(($I96-(cfgStartDate-WEEKDAY(cfgStartDate,2)+1))/7)+1)</f>
        <v/>
      </c>
      <c r="K96" s="17">
        <f>IF($H96="","",IF($I96&lt;=cfgEndDate,"Yes","No"))</f>
        <v/>
      </c>
    </row>
    <row r="97">
      <c r="H97" s="17" t="n">
        <v>92</v>
      </c>
      <c r="I97" s="19">
        <f>IF($H97="","",_xlfn.WORKDAY.INTL(cfgStartDate-1,$H97,"0000011",nrAllClosures))</f>
        <v/>
      </c>
      <c r="J97" s="17">
        <f>IF($H97="","",INT(($I97-(cfgStartDate-WEEKDAY(cfgStartDate,2)+1))/7)+1)</f>
        <v/>
      </c>
      <c r="K97" s="17">
        <f>IF($H97="","",IF($I97&lt;=cfgEndDate,"Yes","No"))</f>
        <v/>
      </c>
    </row>
    <row r="98">
      <c r="H98" s="17" t="n">
        <v>93</v>
      </c>
      <c r="I98" s="19">
        <f>IF($H98="","",_xlfn.WORKDAY.INTL(cfgStartDate-1,$H98,"0000011",nrAllClosures))</f>
        <v/>
      </c>
      <c r="J98" s="17">
        <f>IF($H98="","",INT(($I98-(cfgStartDate-WEEKDAY(cfgStartDate,2)+1))/7)+1)</f>
        <v/>
      </c>
      <c r="K98" s="17">
        <f>IF($H98="","",IF($I98&lt;=cfgEndDate,"Yes","No"))</f>
        <v/>
      </c>
    </row>
    <row r="99">
      <c r="H99" s="17" t="n">
        <v>94</v>
      </c>
      <c r="I99" s="19">
        <f>IF($H99="","",_xlfn.WORKDAY.INTL(cfgStartDate-1,$H99,"0000011",nrAllClosures))</f>
        <v/>
      </c>
      <c r="J99" s="17">
        <f>IF($H99="","",INT(($I99-(cfgStartDate-WEEKDAY(cfgStartDate,2)+1))/7)+1)</f>
        <v/>
      </c>
      <c r="K99" s="17">
        <f>IF($H99="","",IF($I99&lt;=cfgEndDate,"Yes","No"))</f>
        <v/>
      </c>
    </row>
    <row r="100">
      <c r="H100" s="17" t="n">
        <v>95</v>
      </c>
      <c r="I100" s="19">
        <f>IF($H100="","",_xlfn.WORKDAY.INTL(cfgStartDate-1,$H100,"0000011",nrAllClosures))</f>
        <v/>
      </c>
      <c r="J100" s="17">
        <f>IF($H100="","",INT(($I100-(cfgStartDate-WEEKDAY(cfgStartDate,2)+1))/7)+1)</f>
        <v/>
      </c>
      <c r="K100" s="17">
        <f>IF($H100="","",IF($I100&lt;=cfgEndDate,"Yes","No"))</f>
        <v/>
      </c>
    </row>
    <row r="101">
      <c r="H101" s="17" t="n">
        <v>96</v>
      </c>
      <c r="I101" s="19">
        <f>IF($H101="","",_xlfn.WORKDAY.INTL(cfgStartDate-1,$H101,"0000011",nrAllClosures))</f>
        <v/>
      </c>
      <c r="J101" s="17">
        <f>IF($H101="","",INT(($I101-(cfgStartDate-WEEKDAY(cfgStartDate,2)+1))/7)+1)</f>
        <v/>
      </c>
      <c r="K101" s="17">
        <f>IF($H101="","",IF($I101&lt;=cfgEndDate,"Yes","No"))</f>
        <v/>
      </c>
    </row>
    <row r="102">
      <c r="H102" s="17" t="n">
        <v>97</v>
      </c>
      <c r="I102" s="19">
        <f>IF($H102="","",_xlfn.WORKDAY.INTL(cfgStartDate-1,$H102,"0000011",nrAllClosures))</f>
        <v/>
      </c>
      <c r="J102" s="17">
        <f>IF($H102="","",INT(($I102-(cfgStartDate-WEEKDAY(cfgStartDate,2)+1))/7)+1)</f>
        <v/>
      </c>
      <c r="K102" s="17">
        <f>IF($H102="","",IF($I102&lt;=cfgEndDate,"Yes","No"))</f>
        <v/>
      </c>
    </row>
    <row r="103">
      <c r="H103" s="17" t="n">
        <v>98</v>
      </c>
      <c r="I103" s="19">
        <f>IF($H103="","",_xlfn.WORKDAY.INTL(cfgStartDate-1,$H103,"0000011",nrAllClosures))</f>
        <v/>
      </c>
      <c r="J103" s="17">
        <f>IF($H103="","",INT(($I103-(cfgStartDate-WEEKDAY(cfgStartDate,2)+1))/7)+1)</f>
        <v/>
      </c>
      <c r="K103" s="17">
        <f>IF($H103="","",IF($I103&lt;=cfgEndDate,"Yes","No"))</f>
        <v/>
      </c>
    </row>
    <row r="104">
      <c r="H104" s="17" t="n">
        <v>99</v>
      </c>
      <c r="I104" s="19">
        <f>IF($H104="","",_xlfn.WORKDAY.INTL(cfgStartDate-1,$H104,"0000011",nrAllClosures))</f>
        <v/>
      </c>
      <c r="J104" s="17">
        <f>IF($H104="","",INT(($I104-(cfgStartDate-WEEKDAY(cfgStartDate,2)+1))/7)+1)</f>
        <v/>
      </c>
      <c r="K104" s="17">
        <f>IF($H104="","",IF($I104&lt;=cfgEndDate,"Yes","No"))</f>
        <v/>
      </c>
    </row>
    <row r="105">
      <c r="H105" s="17" t="n">
        <v>100</v>
      </c>
      <c r="I105" s="19">
        <f>IF($H105="","",_xlfn.WORKDAY.INTL(cfgStartDate-1,$H105,"0000011",nrAllClosures))</f>
        <v/>
      </c>
      <c r="J105" s="17">
        <f>IF($H105="","",INT(($I105-(cfgStartDate-WEEKDAY(cfgStartDate,2)+1))/7)+1)</f>
        <v/>
      </c>
      <c r="K105" s="17">
        <f>IF($H105="","",IF($I105&lt;=cfgEndDate,"Yes","No"))</f>
        <v/>
      </c>
    </row>
    <row r="106">
      <c r="H106" s="17" t="n">
        <v>101</v>
      </c>
      <c r="I106" s="19">
        <f>IF($H106="","",_xlfn.WORKDAY.INTL(cfgStartDate-1,$H106,"0000011",nrAllClosures))</f>
        <v/>
      </c>
      <c r="J106" s="17">
        <f>IF($H106="","",INT(($I106-(cfgStartDate-WEEKDAY(cfgStartDate,2)+1))/7)+1)</f>
        <v/>
      </c>
      <c r="K106" s="17">
        <f>IF($H106="","",IF($I106&lt;=cfgEndDate,"Yes","No"))</f>
        <v/>
      </c>
    </row>
    <row r="107">
      <c r="H107" s="17" t="n">
        <v>102</v>
      </c>
      <c r="I107" s="19">
        <f>IF($H107="","",_xlfn.WORKDAY.INTL(cfgStartDate-1,$H107,"0000011",nrAllClosures))</f>
        <v/>
      </c>
      <c r="J107" s="17">
        <f>IF($H107="","",INT(($I107-(cfgStartDate-WEEKDAY(cfgStartDate,2)+1))/7)+1)</f>
        <v/>
      </c>
      <c r="K107" s="17">
        <f>IF($H107="","",IF($I107&lt;=cfgEndDate,"Yes","No"))</f>
        <v/>
      </c>
    </row>
    <row r="108">
      <c r="H108" s="17" t="n">
        <v>103</v>
      </c>
      <c r="I108" s="19">
        <f>IF($H108="","",_xlfn.WORKDAY.INTL(cfgStartDate-1,$H108,"0000011",nrAllClosures))</f>
        <v/>
      </c>
      <c r="J108" s="17">
        <f>IF($H108="","",INT(($I108-(cfgStartDate-WEEKDAY(cfgStartDate,2)+1))/7)+1)</f>
        <v/>
      </c>
      <c r="K108" s="17">
        <f>IF($H108="","",IF($I108&lt;=cfgEndDate,"Yes","No"))</f>
        <v/>
      </c>
    </row>
    <row r="109">
      <c r="H109" s="17" t="n">
        <v>104</v>
      </c>
      <c r="I109" s="19">
        <f>IF($H109="","",_xlfn.WORKDAY.INTL(cfgStartDate-1,$H109,"0000011",nrAllClosures))</f>
        <v/>
      </c>
      <c r="J109" s="17">
        <f>IF($H109="","",INT(($I109-(cfgStartDate-WEEKDAY(cfgStartDate,2)+1))/7)+1)</f>
        <v/>
      </c>
      <c r="K109" s="17">
        <f>IF($H109="","",IF($I109&lt;=cfgEndDate,"Yes","No"))</f>
        <v/>
      </c>
    </row>
    <row r="110">
      <c r="H110" s="17" t="n">
        <v>105</v>
      </c>
      <c r="I110" s="19">
        <f>IF($H110="","",_xlfn.WORKDAY.INTL(cfgStartDate-1,$H110,"0000011",nrAllClosures))</f>
        <v/>
      </c>
      <c r="J110" s="17">
        <f>IF($H110="","",INT(($I110-(cfgStartDate-WEEKDAY(cfgStartDate,2)+1))/7)+1)</f>
        <v/>
      </c>
      <c r="K110" s="17">
        <f>IF($H110="","",IF($I110&lt;=cfgEndDate,"Yes","No"))</f>
        <v/>
      </c>
    </row>
    <row r="111">
      <c r="H111" s="17" t="n">
        <v>106</v>
      </c>
      <c r="I111" s="19">
        <f>IF($H111="","",_xlfn.WORKDAY.INTL(cfgStartDate-1,$H111,"0000011",nrAllClosures))</f>
        <v/>
      </c>
      <c r="J111" s="17">
        <f>IF($H111="","",INT(($I111-(cfgStartDate-WEEKDAY(cfgStartDate,2)+1))/7)+1)</f>
        <v/>
      </c>
      <c r="K111" s="17">
        <f>IF($H111="","",IF($I111&lt;=cfgEndDate,"Yes","No"))</f>
        <v/>
      </c>
    </row>
    <row r="112">
      <c r="H112" s="17" t="n">
        <v>107</v>
      </c>
      <c r="I112" s="19">
        <f>IF($H112="","",_xlfn.WORKDAY.INTL(cfgStartDate-1,$H112,"0000011",nrAllClosures))</f>
        <v/>
      </c>
      <c r="J112" s="17">
        <f>IF($H112="","",INT(($I112-(cfgStartDate-WEEKDAY(cfgStartDate,2)+1))/7)+1)</f>
        <v/>
      </c>
      <c r="K112" s="17">
        <f>IF($H112="","",IF($I112&lt;=cfgEndDate,"Yes","No"))</f>
        <v/>
      </c>
    </row>
    <row r="113">
      <c r="H113" s="17" t="n">
        <v>108</v>
      </c>
      <c r="I113" s="19">
        <f>IF($H113="","",_xlfn.WORKDAY.INTL(cfgStartDate-1,$H113,"0000011",nrAllClosures))</f>
        <v/>
      </c>
      <c r="J113" s="17">
        <f>IF($H113="","",INT(($I113-(cfgStartDate-WEEKDAY(cfgStartDate,2)+1))/7)+1)</f>
        <v/>
      </c>
      <c r="K113" s="17">
        <f>IF($H113="","",IF($I113&lt;=cfgEndDate,"Yes","No"))</f>
        <v/>
      </c>
    </row>
    <row r="114">
      <c r="H114" s="17" t="n">
        <v>109</v>
      </c>
      <c r="I114" s="19">
        <f>IF($H114="","",_xlfn.WORKDAY.INTL(cfgStartDate-1,$H114,"0000011",nrAllClosures))</f>
        <v/>
      </c>
      <c r="J114" s="17">
        <f>IF($H114="","",INT(($I114-(cfgStartDate-WEEKDAY(cfgStartDate,2)+1))/7)+1)</f>
        <v/>
      </c>
      <c r="K114" s="17">
        <f>IF($H114="","",IF($I114&lt;=cfgEndDate,"Yes","No"))</f>
        <v/>
      </c>
    </row>
    <row r="115">
      <c r="H115" s="17" t="n">
        <v>110</v>
      </c>
      <c r="I115" s="19">
        <f>IF($H115="","",_xlfn.WORKDAY.INTL(cfgStartDate-1,$H115,"0000011",nrAllClosures))</f>
        <v/>
      </c>
      <c r="J115" s="17">
        <f>IF($H115="","",INT(($I115-(cfgStartDate-WEEKDAY(cfgStartDate,2)+1))/7)+1)</f>
        <v/>
      </c>
      <c r="K115" s="17">
        <f>IF($H115="","",IF($I115&lt;=cfgEndDate,"Yes","No"))</f>
        <v/>
      </c>
    </row>
    <row r="116">
      <c r="H116" s="17" t="n">
        <v>111</v>
      </c>
      <c r="I116" s="19">
        <f>IF($H116="","",_xlfn.WORKDAY.INTL(cfgStartDate-1,$H116,"0000011",nrAllClosures))</f>
        <v/>
      </c>
      <c r="J116" s="17">
        <f>IF($H116="","",INT(($I116-(cfgStartDate-WEEKDAY(cfgStartDate,2)+1))/7)+1)</f>
        <v/>
      </c>
      <c r="K116" s="17">
        <f>IF($H116="","",IF($I116&lt;=cfgEndDate,"Yes","No"))</f>
        <v/>
      </c>
    </row>
    <row r="117">
      <c r="H117" s="17" t="n">
        <v>112</v>
      </c>
      <c r="I117" s="19">
        <f>IF($H117="","",_xlfn.WORKDAY.INTL(cfgStartDate-1,$H117,"0000011",nrAllClosures))</f>
        <v/>
      </c>
      <c r="J117" s="17">
        <f>IF($H117="","",INT(($I117-(cfgStartDate-WEEKDAY(cfgStartDate,2)+1))/7)+1)</f>
        <v/>
      </c>
      <c r="K117" s="17">
        <f>IF($H117="","",IF($I117&lt;=cfgEndDate,"Yes","No"))</f>
        <v/>
      </c>
    </row>
    <row r="118">
      <c r="H118" s="17" t="n">
        <v>113</v>
      </c>
      <c r="I118" s="19">
        <f>IF($H118="","",_xlfn.WORKDAY.INTL(cfgStartDate-1,$H118,"0000011",nrAllClosures))</f>
        <v/>
      </c>
      <c r="J118" s="17">
        <f>IF($H118="","",INT(($I118-(cfgStartDate-WEEKDAY(cfgStartDate,2)+1))/7)+1)</f>
        <v/>
      </c>
      <c r="K118" s="17">
        <f>IF($H118="","",IF($I118&lt;=cfgEndDate,"Yes","No"))</f>
        <v/>
      </c>
    </row>
    <row r="119">
      <c r="H119" s="17" t="n">
        <v>114</v>
      </c>
      <c r="I119" s="19">
        <f>IF($H119="","",_xlfn.WORKDAY.INTL(cfgStartDate-1,$H119,"0000011",nrAllClosures))</f>
        <v/>
      </c>
      <c r="J119" s="17">
        <f>IF($H119="","",INT(($I119-(cfgStartDate-WEEKDAY(cfgStartDate,2)+1))/7)+1)</f>
        <v/>
      </c>
      <c r="K119" s="17">
        <f>IF($H119="","",IF($I119&lt;=cfgEndDate,"Yes","No"))</f>
        <v/>
      </c>
    </row>
    <row r="120">
      <c r="H120" s="17" t="n">
        <v>115</v>
      </c>
      <c r="I120" s="19">
        <f>IF($H120="","",_xlfn.WORKDAY.INTL(cfgStartDate-1,$H120,"0000011",nrAllClosures))</f>
        <v/>
      </c>
      <c r="J120" s="17">
        <f>IF($H120="","",INT(($I120-(cfgStartDate-WEEKDAY(cfgStartDate,2)+1))/7)+1)</f>
        <v/>
      </c>
      <c r="K120" s="17">
        <f>IF($H120="","",IF($I120&lt;=cfgEndDate,"Yes","No"))</f>
        <v/>
      </c>
    </row>
    <row r="121">
      <c r="H121" s="17" t="n">
        <v>116</v>
      </c>
      <c r="I121" s="19">
        <f>IF($H121="","",_xlfn.WORKDAY.INTL(cfgStartDate-1,$H121,"0000011",nrAllClosures))</f>
        <v/>
      </c>
      <c r="J121" s="17">
        <f>IF($H121="","",INT(($I121-(cfgStartDate-WEEKDAY(cfgStartDate,2)+1))/7)+1)</f>
        <v/>
      </c>
      <c r="K121" s="17">
        <f>IF($H121="","",IF($I121&lt;=cfgEndDate,"Yes","No"))</f>
        <v/>
      </c>
    </row>
    <row r="122">
      <c r="H122" s="17" t="n">
        <v>117</v>
      </c>
      <c r="I122" s="19">
        <f>IF($H122="","",_xlfn.WORKDAY.INTL(cfgStartDate-1,$H122,"0000011",nrAllClosures))</f>
        <v/>
      </c>
      <c r="J122" s="17">
        <f>IF($H122="","",INT(($I122-(cfgStartDate-WEEKDAY(cfgStartDate,2)+1))/7)+1)</f>
        <v/>
      </c>
      <c r="K122" s="17">
        <f>IF($H122="","",IF($I122&lt;=cfgEndDate,"Yes","No"))</f>
        <v/>
      </c>
    </row>
    <row r="123">
      <c r="H123" s="17" t="n">
        <v>118</v>
      </c>
      <c r="I123" s="19">
        <f>IF($H123="","",_xlfn.WORKDAY.INTL(cfgStartDate-1,$H123,"0000011",nrAllClosures))</f>
        <v/>
      </c>
      <c r="J123" s="17">
        <f>IF($H123="","",INT(($I123-(cfgStartDate-WEEKDAY(cfgStartDate,2)+1))/7)+1)</f>
        <v/>
      </c>
      <c r="K123" s="17">
        <f>IF($H123="","",IF($I123&lt;=cfgEndDate,"Yes","No"))</f>
        <v/>
      </c>
    </row>
    <row r="124">
      <c r="H124" s="17" t="n">
        <v>119</v>
      </c>
      <c r="I124" s="19">
        <f>IF($H124="","",_xlfn.WORKDAY.INTL(cfgStartDate-1,$H124,"0000011",nrAllClosures))</f>
        <v/>
      </c>
      <c r="J124" s="17">
        <f>IF($H124="","",INT(($I124-(cfgStartDate-WEEKDAY(cfgStartDate,2)+1))/7)+1)</f>
        <v/>
      </c>
      <c r="K124" s="17">
        <f>IF($H124="","",IF($I124&lt;=cfgEndDate,"Yes","No"))</f>
        <v/>
      </c>
    </row>
    <row r="125">
      <c r="H125" s="17" t="n">
        <v>120</v>
      </c>
      <c r="I125" s="19">
        <f>IF($H125="","",_xlfn.WORKDAY.INTL(cfgStartDate-1,$H125,"0000011",nrAllClosures))</f>
        <v/>
      </c>
      <c r="J125" s="17">
        <f>IF($H125="","",INT(($I125-(cfgStartDate-WEEKDAY(cfgStartDate,2)+1))/7)+1)</f>
        <v/>
      </c>
      <c r="K125" s="17">
        <f>IF($H125="","",IF($I125&lt;=cfgEndDate,"Yes","No"))</f>
        <v/>
      </c>
    </row>
    <row r="126">
      <c r="H126" s="17" t="n">
        <v>121</v>
      </c>
      <c r="I126" s="19">
        <f>IF($H126="","",_xlfn.WORKDAY.INTL(cfgStartDate-1,$H126,"0000011",nrAllClosures))</f>
        <v/>
      </c>
      <c r="J126" s="17">
        <f>IF($H126="","",INT(($I126-(cfgStartDate-WEEKDAY(cfgStartDate,2)+1))/7)+1)</f>
        <v/>
      </c>
      <c r="K126" s="17">
        <f>IF($H126="","",IF($I126&lt;=cfgEndDate,"Yes","No"))</f>
        <v/>
      </c>
    </row>
    <row r="127">
      <c r="H127" s="17" t="n">
        <v>122</v>
      </c>
      <c r="I127" s="19">
        <f>IF($H127="","",_xlfn.WORKDAY.INTL(cfgStartDate-1,$H127,"0000011",nrAllClosures))</f>
        <v/>
      </c>
      <c r="J127" s="17">
        <f>IF($H127="","",INT(($I127-(cfgStartDate-WEEKDAY(cfgStartDate,2)+1))/7)+1)</f>
        <v/>
      </c>
      <c r="K127" s="17">
        <f>IF($H127="","",IF($I127&lt;=cfgEndDate,"Yes","No"))</f>
        <v/>
      </c>
    </row>
    <row r="128">
      <c r="H128" s="17" t="n">
        <v>123</v>
      </c>
      <c r="I128" s="19">
        <f>IF($H128="","",_xlfn.WORKDAY.INTL(cfgStartDate-1,$H128,"0000011",nrAllClosures))</f>
        <v/>
      </c>
      <c r="J128" s="17">
        <f>IF($H128="","",INT(($I128-(cfgStartDate-WEEKDAY(cfgStartDate,2)+1))/7)+1)</f>
        <v/>
      </c>
      <c r="K128" s="17">
        <f>IF($H128="","",IF($I128&lt;=cfgEndDate,"Yes","No"))</f>
        <v/>
      </c>
    </row>
    <row r="129">
      <c r="H129" s="17" t="n">
        <v>124</v>
      </c>
      <c r="I129" s="19">
        <f>IF($H129="","",_xlfn.WORKDAY.INTL(cfgStartDate-1,$H129,"0000011",nrAllClosures))</f>
        <v/>
      </c>
      <c r="J129" s="17">
        <f>IF($H129="","",INT(($I129-(cfgStartDate-WEEKDAY(cfgStartDate,2)+1))/7)+1)</f>
        <v/>
      </c>
      <c r="K129" s="17">
        <f>IF($H129="","",IF($I129&lt;=cfgEndDate,"Yes","No"))</f>
        <v/>
      </c>
    </row>
    <row r="130">
      <c r="H130" s="17" t="n">
        <v>125</v>
      </c>
      <c r="I130" s="19">
        <f>IF($H130="","",_xlfn.WORKDAY.INTL(cfgStartDate-1,$H130,"0000011",nrAllClosures))</f>
        <v/>
      </c>
      <c r="J130" s="17">
        <f>IF($H130="","",INT(($I130-(cfgStartDate-WEEKDAY(cfgStartDate,2)+1))/7)+1)</f>
        <v/>
      </c>
      <c r="K130" s="17">
        <f>IF($H130="","",IF($I130&lt;=cfgEndDate,"Yes","No"))</f>
        <v/>
      </c>
    </row>
    <row r="131">
      <c r="H131" s="17" t="n">
        <v>126</v>
      </c>
      <c r="I131" s="19">
        <f>IF($H131="","",_xlfn.WORKDAY.INTL(cfgStartDate-1,$H131,"0000011",nrAllClosures))</f>
        <v/>
      </c>
      <c r="J131" s="17">
        <f>IF($H131="","",INT(($I131-(cfgStartDate-WEEKDAY(cfgStartDate,2)+1))/7)+1)</f>
        <v/>
      </c>
      <c r="K131" s="17">
        <f>IF($H131="","",IF($I131&lt;=cfgEndDate,"Yes","No"))</f>
        <v/>
      </c>
    </row>
    <row r="132">
      <c r="H132" s="17" t="n">
        <v>127</v>
      </c>
      <c r="I132" s="19">
        <f>IF($H132="","",_xlfn.WORKDAY.INTL(cfgStartDate-1,$H132,"0000011",nrAllClosures))</f>
        <v/>
      </c>
      <c r="J132" s="17">
        <f>IF($H132="","",INT(($I132-(cfgStartDate-WEEKDAY(cfgStartDate,2)+1))/7)+1)</f>
        <v/>
      </c>
      <c r="K132" s="17">
        <f>IF($H132="","",IF($I132&lt;=cfgEndDate,"Yes","No"))</f>
        <v/>
      </c>
    </row>
    <row r="133">
      <c r="H133" s="17" t="n">
        <v>128</v>
      </c>
      <c r="I133" s="19">
        <f>IF($H133="","",_xlfn.WORKDAY.INTL(cfgStartDate-1,$H133,"0000011",nrAllClosures))</f>
        <v/>
      </c>
      <c r="J133" s="17">
        <f>IF($H133="","",INT(($I133-(cfgStartDate-WEEKDAY(cfgStartDate,2)+1))/7)+1)</f>
        <v/>
      </c>
      <c r="K133" s="17">
        <f>IF($H133="","",IF($I133&lt;=cfgEndDate,"Yes","No"))</f>
        <v/>
      </c>
    </row>
    <row r="134">
      <c r="H134" s="17" t="n">
        <v>129</v>
      </c>
      <c r="I134" s="19">
        <f>IF($H134="","",_xlfn.WORKDAY.INTL(cfgStartDate-1,$H134,"0000011",nrAllClosures))</f>
        <v/>
      </c>
      <c r="J134" s="17">
        <f>IF($H134="","",INT(($I134-(cfgStartDate-WEEKDAY(cfgStartDate,2)+1))/7)+1)</f>
        <v/>
      </c>
      <c r="K134" s="17">
        <f>IF($H134="","",IF($I134&lt;=cfgEndDate,"Yes","No"))</f>
        <v/>
      </c>
    </row>
    <row r="135">
      <c r="H135" s="17" t="n">
        <v>130</v>
      </c>
      <c r="I135" s="19">
        <f>IF($H135="","",_xlfn.WORKDAY.INTL(cfgStartDate-1,$H135,"0000011",nrAllClosures))</f>
        <v/>
      </c>
      <c r="J135" s="17">
        <f>IF($H135="","",INT(($I135-(cfgStartDate-WEEKDAY(cfgStartDate,2)+1))/7)+1)</f>
        <v/>
      </c>
      <c r="K135" s="17">
        <f>IF($H135="","",IF($I135&lt;=cfgEndDate,"Yes","No"))</f>
        <v/>
      </c>
    </row>
    <row r="136">
      <c r="H136" s="17" t="n">
        <v>131</v>
      </c>
      <c r="I136" s="19">
        <f>IF($H136="","",_xlfn.WORKDAY.INTL(cfgStartDate-1,$H136,"0000011",nrAllClosures))</f>
        <v/>
      </c>
      <c r="J136" s="17">
        <f>IF($H136="","",INT(($I136-(cfgStartDate-WEEKDAY(cfgStartDate,2)+1))/7)+1)</f>
        <v/>
      </c>
      <c r="K136" s="17">
        <f>IF($H136="","",IF($I136&lt;=cfgEndDate,"Yes","No"))</f>
        <v/>
      </c>
    </row>
    <row r="137">
      <c r="H137" s="17" t="n">
        <v>132</v>
      </c>
      <c r="I137" s="19">
        <f>IF($H137="","",_xlfn.WORKDAY.INTL(cfgStartDate-1,$H137,"0000011",nrAllClosures))</f>
        <v/>
      </c>
      <c r="J137" s="17">
        <f>IF($H137="","",INT(($I137-(cfgStartDate-WEEKDAY(cfgStartDate,2)+1))/7)+1)</f>
        <v/>
      </c>
      <c r="K137" s="17">
        <f>IF($H137="","",IF($I137&lt;=cfgEndDate,"Yes","No"))</f>
        <v/>
      </c>
    </row>
    <row r="138">
      <c r="H138" s="17" t="n">
        <v>133</v>
      </c>
      <c r="I138" s="19">
        <f>IF($H138="","",_xlfn.WORKDAY.INTL(cfgStartDate-1,$H138,"0000011",nrAllClosures))</f>
        <v/>
      </c>
      <c r="J138" s="17">
        <f>IF($H138="","",INT(($I138-(cfgStartDate-WEEKDAY(cfgStartDate,2)+1))/7)+1)</f>
        <v/>
      </c>
      <c r="K138" s="17">
        <f>IF($H138="","",IF($I138&lt;=cfgEndDate,"Yes","No"))</f>
        <v/>
      </c>
    </row>
    <row r="139">
      <c r="H139" s="17" t="n">
        <v>134</v>
      </c>
      <c r="I139" s="19">
        <f>IF($H139="","",_xlfn.WORKDAY.INTL(cfgStartDate-1,$H139,"0000011",nrAllClosures))</f>
        <v/>
      </c>
      <c r="J139" s="17">
        <f>IF($H139="","",INT(($I139-(cfgStartDate-WEEKDAY(cfgStartDate,2)+1))/7)+1)</f>
        <v/>
      </c>
      <c r="K139" s="17">
        <f>IF($H139="","",IF($I139&lt;=cfgEndDate,"Yes","No"))</f>
        <v/>
      </c>
    </row>
    <row r="140">
      <c r="H140" s="17" t="n">
        <v>135</v>
      </c>
      <c r="I140" s="19">
        <f>IF($H140="","",_xlfn.WORKDAY.INTL(cfgStartDate-1,$H140,"0000011",nrAllClosures))</f>
        <v/>
      </c>
      <c r="J140" s="17">
        <f>IF($H140="","",INT(($I140-(cfgStartDate-WEEKDAY(cfgStartDate,2)+1))/7)+1)</f>
        <v/>
      </c>
      <c r="K140" s="17">
        <f>IF($H140="","",IF($I140&lt;=cfgEndDate,"Yes","No"))</f>
        <v/>
      </c>
    </row>
    <row r="141">
      <c r="H141" s="17" t="n">
        <v>136</v>
      </c>
      <c r="I141" s="19">
        <f>IF($H141="","",_xlfn.WORKDAY.INTL(cfgStartDate-1,$H141,"0000011",nrAllClosures))</f>
        <v/>
      </c>
      <c r="J141" s="17">
        <f>IF($H141="","",INT(($I141-(cfgStartDate-WEEKDAY(cfgStartDate,2)+1))/7)+1)</f>
        <v/>
      </c>
      <c r="K141" s="17">
        <f>IF($H141="","",IF($I141&lt;=cfgEndDate,"Yes","No"))</f>
        <v/>
      </c>
    </row>
    <row r="142">
      <c r="H142" s="17" t="n">
        <v>137</v>
      </c>
      <c r="I142" s="19">
        <f>IF($H142="","",_xlfn.WORKDAY.INTL(cfgStartDate-1,$H142,"0000011",nrAllClosures))</f>
        <v/>
      </c>
      <c r="J142" s="17">
        <f>IF($H142="","",INT(($I142-(cfgStartDate-WEEKDAY(cfgStartDate,2)+1))/7)+1)</f>
        <v/>
      </c>
      <c r="K142" s="17">
        <f>IF($H142="","",IF($I142&lt;=cfgEndDate,"Yes","No"))</f>
        <v/>
      </c>
    </row>
    <row r="143">
      <c r="H143" s="17" t="n">
        <v>138</v>
      </c>
      <c r="I143" s="19">
        <f>IF($H143="","",_xlfn.WORKDAY.INTL(cfgStartDate-1,$H143,"0000011",nrAllClosures))</f>
        <v/>
      </c>
      <c r="J143" s="17">
        <f>IF($H143="","",INT(($I143-(cfgStartDate-WEEKDAY(cfgStartDate,2)+1))/7)+1)</f>
        <v/>
      </c>
      <c r="K143" s="17">
        <f>IF($H143="","",IF($I143&lt;=cfgEndDate,"Yes","No"))</f>
        <v/>
      </c>
    </row>
    <row r="144">
      <c r="H144" s="17" t="n">
        <v>139</v>
      </c>
      <c r="I144" s="19">
        <f>IF($H144="","",_xlfn.WORKDAY.INTL(cfgStartDate-1,$H144,"0000011",nrAllClosures))</f>
        <v/>
      </c>
      <c r="J144" s="17">
        <f>IF($H144="","",INT(($I144-(cfgStartDate-WEEKDAY(cfgStartDate,2)+1))/7)+1)</f>
        <v/>
      </c>
      <c r="K144" s="17">
        <f>IF($H144="","",IF($I144&lt;=cfgEndDate,"Yes","No"))</f>
        <v/>
      </c>
    </row>
    <row r="145">
      <c r="H145" s="17" t="n">
        <v>140</v>
      </c>
      <c r="I145" s="19">
        <f>IF($H145="","",_xlfn.WORKDAY.INTL(cfgStartDate-1,$H145,"0000011",nrAllClosures))</f>
        <v/>
      </c>
      <c r="J145" s="17">
        <f>IF($H145="","",INT(($I145-(cfgStartDate-WEEKDAY(cfgStartDate,2)+1))/7)+1)</f>
        <v/>
      </c>
      <c r="K145" s="17">
        <f>IF($H145="","",IF($I145&lt;=cfgEndDate,"Yes","No"))</f>
        <v/>
      </c>
    </row>
    <row r="146">
      <c r="H146" s="17" t="n">
        <v>141</v>
      </c>
      <c r="I146" s="19">
        <f>IF($H146="","",_xlfn.WORKDAY.INTL(cfgStartDate-1,$H146,"0000011",nrAllClosures))</f>
        <v/>
      </c>
      <c r="J146" s="17">
        <f>IF($H146="","",INT(($I146-(cfgStartDate-WEEKDAY(cfgStartDate,2)+1))/7)+1)</f>
        <v/>
      </c>
      <c r="K146" s="17">
        <f>IF($H146="","",IF($I146&lt;=cfgEndDate,"Yes","No"))</f>
        <v/>
      </c>
    </row>
    <row r="147">
      <c r="H147" s="17" t="n">
        <v>142</v>
      </c>
      <c r="I147" s="19">
        <f>IF($H147="","",_xlfn.WORKDAY.INTL(cfgStartDate-1,$H147,"0000011",nrAllClosures))</f>
        <v/>
      </c>
      <c r="J147" s="17">
        <f>IF($H147="","",INT(($I147-(cfgStartDate-WEEKDAY(cfgStartDate,2)+1))/7)+1)</f>
        <v/>
      </c>
      <c r="K147" s="17">
        <f>IF($H147="","",IF($I147&lt;=cfgEndDate,"Yes","No"))</f>
        <v/>
      </c>
    </row>
    <row r="148">
      <c r="H148" s="17" t="n">
        <v>143</v>
      </c>
      <c r="I148" s="19">
        <f>IF($H148="","",_xlfn.WORKDAY.INTL(cfgStartDate-1,$H148,"0000011",nrAllClosures))</f>
        <v/>
      </c>
      <c r="J148" s="17">
        <f>IF($H148="","",INT(($I148-(cfgStartDate-WEEKDAY(cfgStartDate,2)+1))/7)+1)</f>
        <v/>
      </c>
      <c r="K148" s="17">
        <f>IF($H148="","",IF($I148&lt;=cfgEndDate,"Yes","No"))</f>
        <v/>
      </c>
    </row>
    <row r="149">
      <c r="H149" s="17" t="n">
        <v>144</v>
      </c>
      <c r="I149" s="19">
        <f>IF($H149="","",_xlfn.WORKDAY.INTL(cfgStartDate-1,$H149,"0000011",nrAllClosures))</f>
        <v/>
      </c>
      <c r="J149" s="17">
        <f>IF($H149="","",INT(($I149-(cfgStartDate-WEEKDAY(cfgStartDate,2)+1))/7)+1)</f>
        <v/>
      </c>
      <c r="K149" s="17">
        <f>IF($H149="","",IF($I149&lt;=cfgEndDate,"Yes","No"))</f>
        <v/>
      </c>
    </row>
    <row r="150">
      <c r="H150" s="17" t="n">
        <v>145</v>
      </c>
      <c r="I150" s="19">
        <f>IF($H150="","",_xlfn.WORKDAY.INTL(cfgStartDate-1,$H150,"0000011",nrAllClosures))</f>
        <v/>
      </c>
      <c r="J150" s="17">
        <f>IF($H150="","",INT(($I150-(cfgStartDate-WEEKDAY(cfgStartDate,2)+1))/7)+1)</f>
        <v/>
      </c>
      <c r="K150" s="17">
        <f>IF($H150="","",IF($I150&lt;=cfgEndDate,"Yes","No"))</f>
        <v/>
      </c>
    </row>
    <row r="151">
      <c r="H151" s="17" t="n">
        <v>146</v>
      </c>
      <c r="I151" s="19">
        <f>IF($H151="","",_xlfn.WORKDAY.INTL(cfgStartDate-1,$H151,"0000011",nrAllClosures))</f>
        <v/>
      </c>
      <c r="J151" s="17">
        <f>IF($H151="","",INT(($I151-(cfgStartDate-WEEKDAY(cfgStartDate,2)+1))/7)+1)</f>
        <v/>
      </c>
      <c r="K151" s="17">
        <f>IF($H151="","",IF($I151&lt;=cfgEndDate,"Yes","No"))</f>
        <v/>
      </c>
    </row>
    <row r="152">
      <c r="H152" s="17" t="n">
        <v>147</v>
      </c>
      <c r="I152" s="19">
        <f>IF($H152="","",_xlfn.WORKDAY.INTL(cfgStartDate-1,$H152,"0000011",nrAllClosures))</f>
        <v/>
      </c>
      <c r="J152" s="17">
        <f>IF($H152="","",INT(($I152-(cfgStartDate-WEEKDAY(cfgStartDate,2)+1))/7)+1)</f>
        <v/>
      </c>
      <c r="K152" s="17">
        <f>IF($H152="","",IF($I152&lt;=cfgEndDate,"Yes","No"))</f>
        <v/>
      </c>
    </row>
    <row r="153">
      <c r="H153" s="17" t="n">
        <v>148</v>
      </c>
      <c r="I153" s="19">
        <f>IF($H153="","",_xlfn.WORKDAY.INTL(cfgStartDate-1,$H153,"0000011",nrAllClosures))</f>
        <v/>
      </c>
      <c r="J153" s="17">
        <f>IF($H153="","",INT(($I153-(cfgStartDate-WEEKDAY(cfgStartDate,2)+1))/7)+1)</f>
        <v/>
      </c>
      <c r="K153" s="17">
        <f>IF($H153="","",IF($I153&lt;=cfgEndDate,"Yes","No"))</f>
        <v/>
      </c>
    </row>
    <row r="154">
      <c r="H154" s="17" t="n">
        <v>149</v>
      </c>
      <c r="I154" s="19">
        <f>IF($H154="","",_xlfn.WORKDAY.INTL(cfgStartDate-1,$H154,"0000011",nrAllClosures))</f>
        <v/>
      </c>
      <c r="J154" s="17">
        <f>IF($H154="","",INT(($I154-(cfgStartDate-WEEKDAY(cfgStartDate,2)+1))/7)+1)</f>
        <v/>
      </c>
      <c r="K154" s="17">
        <f>IF($H154="","",IF($I154&lt;=cfgEndDate,"Yes","No"))</f>
        <v/>
      </c>
    </row>
    <row r="155">
      <c r="H155" s="17" t="n">
        <v>150</v>
      </c>
      <c r="I155" s="19">
        <f>IF($H155="","",_xlfn.WORKDAY.INTL(cfgStartDate-1,$H155,"0000011",nrAllClosures))</f>
        <v/>
      </c>
      <c r="J155" s="17">
        <f>IF($H155="","",INT(($I155-(cfgStartDate-WEEKDAY(cfgStartDate,2)+1))/7)+1)</f>
        <v/>
      </c>
      <c r="K155" s="17">
        <f>IF($H155="","",IF($I155&lt;=cfgEndDate,"Yes","No"))</f>
        <v/>
      </c>
    </row>
    <row r="156">
      <c r="H156" s="17" t="n">
        <v>151</v>
      </c>
      <c r="I156" s="19">
        <f>IF($H156="","",_xlfn.WORKDAY.INTL(cfgStartDate-1,$H156,"0000011",nrAllClosures))</f>
        <v/>
      </c>
      <c r="J156" s="17">
        <f>IF($H156="","",INT(($I156-(cfgStartDate-WEEKDAY(cfgStartDate,2)+1))/7)+1)</f>
        <v/>
      </c>
      <c r="K156" s="17">
        <f>IF($H156="","",IF($I156&lt;=cfgEndDate,"Yes","No"))</f>
        <v/>
      </c>
    </row>
    <row r="157">
      <c r="H157" s="17" t="n">
        <v>152</v>
      </c>
      <c r="I157" s="19">
        <f>IF($H157="","",_xlfn.WORKDAY.INTL(cfgStartDate-1,$H157,"0000011",nrAllClosures))</f>
        <v/>
      </c>
      <c r="J157" s="17">
        <f>IF($H157="","",INT(($I157-(cfgStartDate-WEEKDAY(cfgStartDate,2)+1))/7)+1)</f>
        <v/>
      </c>
      <c r="K157" s="17">
        <f>IF($H157="","",IF($I157&lt;=cfgEndDate,"Yes","No"))</f>
        <v/>
      </c>
    </row>
    <row r="158">
      <c r="H158" s="17" t="n">
        <v>153</v>
      </c>
      <c r="I158" s="19">
        <f>IF($H158="","",_xlfn.WORKDAY.INTL(cfgStartDate-1,$H158,"0000011",nrAllClosures))</f>
        <v/>
      </c>
      <c r="J158" s="17">
        <f>IF($H158="","",INT(($I158-(cfgStartDate-WEEKDAY(cfgStartDate,2)+1))/7)+1)</f>
        <v/>
      </c>
      <c r="K158" s="17">
        <f>IF($H158="","",IF($I158&lt;=cfgEndDate,"Yes","No"))</f>
        <v/>
      </c>
    </row>
    <row r="159">
      <c r="H159" s="17" t="n">
        <v>154</v>
      </c>
      <c r="I159" s="19">
        <f>IF($H159="","",_xlfn.WORKDAY.INTL(cfgStartDate-1,$H159,"0000011",nrAllClosures))</f>
        <v/>
      </c>
      <c r="J159" s="17">
        <f>IF($H159="","",INT(($I159-(cfgStartDate-WEEKDAY(cfgStartDate,2)+1))/7)+1)</f>
        <v/>
      </c>
      <c r="K159" s="17">
        <f>IF($H159="","",IF($I159&lt;=cfgEndDate,"Yes","No"))</f>
        <v/>
      </c>
    </row>
    <row r="160">
      <c r="H160" s="17" t="n">
        <v>155</v>
      </c>
      <c r="I160" s="19">
        <f>IF($H160="","",_xlfn.WORKDAY.INTL(cfgStartDate-1,$H160,"0000011",nrAllClosures))</f>
        <v/>
      </c>
      <c r="J160" s="17">
        <f>IF($H160="","",INT(($I160-(cfgStartDate-WEEKDAY(cfgStartDate,2)+1))/7)+1)</f>
        <v/>
      </c>
      <c r="K160" s="17">
        <f>IF($H160="","",IF($I160&lt;=cfgEndDate,"Yes","No"))</f>
        <v/>
      </c>
    </row>
    <row r="161">
      <c r="H161" s="17" t="n">
        <v>156</v>
      </c>
      <c r="I161" s="19">
        <f>IF($H161="","",_xlfn.WORKDAY.INTL(cfgStartDate-1,$H161,"0000011",nrAllClosures))</f>
        <v/>
      </c>
      <c r="J161" s="17">
        <f>IF($H161="","",INT(($I161-(cfgStartDate-WEEKDAY(cfgStartDate,2)+1))/7)+1)</f>
        <v/>
      </c>
      <c r="K161" s="17">
        <f>IF($H161="","",IF($I161&lt;=cfgEndDate,"Yes","No"))</f>
        <v/>
      </c>
    </row>
    <row r="162">
      <c r="H162" s="17" t="n">
        <v>157</v>
      </c>
      <c r="I162" s="19">
        <f>IF($H162="","",_xlfn.WORKDAY.INTL(cfgStartDate-1,$H162,"0000011",nrAllClosures))</f>
        <v/>
      </c>
      <c r="J162" s="17">
        <f>IF($H162="","",INT(($I162-(cfgStartDate-WEEKDAY(cfgStartDate,2)+1))/7)+1)</f>
        <v/>
      </c>
      <c r="K162" s="17">
        <f>IF($H162="","",IF($I162&lt;=cfgEndDate,"Yes","No"))</f>
        <v/>
      </c>
    </row>
    <row r="163">
      <c r="H163" s="17" t="n">
        <v>158</v>
      </c>
      <c r="I163" s="19">
        <f>IF($H163="","",_xlfn.WORKDAY.INTL(cfgStartDate-1,$H163,"0000011",nrAllClosures))</f>
        <v/>
      </c>
      <c r="J163" s="17">
        <f>IF($H163="","",INT(($I163-(cfgStartDate-WEEKDAY(cfgStartDate,2)+1))/7)+1)</f>
        <v/>
      </c>
      <c r="K163" s="17">
        <f>IF($H163="","",IF($I163&lt;=cfgEndDate,"Yes","No"))</f>
        <v/>
      </c>
    </row>
    <row r="164">
      <c r="H164" s="17" t="n">
        <v>159</v>
      </c>
      <c r="I164" s="19">
        <f>IF($H164="","",_xlfn.WORKDAY.INTL(cfgStartDate-1,$H164,"0000011",nrAllClosures))</f>
        <v/>
      </c>
      <c r="J164" s="17">
        <f>IF($H164="","",INT(($I164-(cfgStartDate-WEEKDAY(cfgStartDate,2)+1))/7)+1)</f>
        <v/>
      </c>
      <c r="K164" s="17">
        <f>IF($H164="","",IF($I164&lt;=cfgEndDate,"Yes","No"))</f>
        <v/>
      </c>
    </row>
    <row r="165">
      <c r="H165" s="17" t="n">
        <v>160</v>
      </c>
      <c r="I165" s="19">
        <f>IF($H165="","",_xlfn.WORKDAY.INTL(cfgStartDate-1,$H165,"0000011",nrAllClosures))</f>
        <v/>
      </c>
      <c r="J165" s="17">
        <f>IF($H165="","",INT(($I165-(cfgStartDate-WEEKDAY(cfgStartDate,2)+1))/7)+1)</f>
        <v/>
      </c>
      <c r="K165" s="17">
        <f>IF($H165="","",IF($I165&lt;=cfgEndDate,"Yes","No"))</f>
        <v/>
      </c>
    </row>
    <row r="166">
      <c r="H166" s="17" t="n">
        <v>161</v>
      </c>
      <c r="I166" s="19">
        <f>IF($H166="","",_xlfn.WORKDAY.INTL(cfgStartDate-1,$H166,"0000011",nrAllClosures))</f>
        <v/>
      </c>
      <c r="J166" s="17">
        <f>IF($H166="","",INT(($I166-(cfgStartDate-WEEKDAY(cfgStartDate,2)+1))/7)+1)</f>
        <v/>
      </c>
      <c r="K166" s="17">
        <f>IF($H166="","",IF($I166&lt;=cfgEndDate,"Yes","No"))</f>
        <v/>
      </c>
    </row>
    <row r="167">
      <c r="H167" s="17" t="n">
        <v>162</v>
      </c>
      <c r="I167" s="19">
        <f>IF($H167="","",_xlfn.WORKDAY.INTL(cfgStartDate-1,$H167,"0000011",nrAllClosures))</f>
        <v/>
      </c>
      <c r="J167" s="17">
        <f>IF($H167="","",INT(($I167-(cfgStartDate-WEEKDAY(cfgStartDate,2)+1))/7)+1)</f>
        <v/>
      </c>
      <c r="K167" s="17">
        <f>IF($H167="","",IF($I167&lt;=cfgEndDate,"Yes","No"))</f>
        <v/>
      </c>
    </row>
    <row r="168">
      <c r="H168" s="17" t="n">
        <v>163</v>
      </c>
      <c r="I168" s="19">
        <f>IF($H168="","",_xlfn.WORKDAY.INTL(cfgStartDate-1,$H168,"0000011",nrAllClosures))</f>
        <v/>
      </c>
      <c r="J168" s="17">
        <f>IF($H168="","",INT(($I168-(cfgStartDate-WEEKDAY(cfgStartDate,2)+1))/7)+1)</f>
        <v/>
      </c>
      <c r="K168" s="17">
        <f>IF($H168="","",IF($I168&lt;=cfgEndDate,"Yes","No"))</f>
        <v/>
      </c>
    </row>
    <row r="169">
      <c r="H169" s="17" t="n">
        <v>164</v>
      </c>
      <c r="I169" s="19">
        <f>IF($H169="","",_xlfn.WORKDAY.INTL(cfgStartDate-1,$H169,"0000011",nrAllClosures))</f>
        <v/>
      </c>
      <c r="J169" s="17">
        <f>IF($H169="","",INT(($I169-(cfgStartDate-WEEKDAY(cfgStartDate,2)+1))/7)+1)</f>
        <v/>
      </c>
      <c r="K169" s="17">
        <f>IF($H169="","",IF($I169&lt;=cfgEndDate,"Yes","No"))</f>
        <v/>
      </c>
    </row>
    <row r="170">
      <c r="H170" s="17" t="n">
        <v>165</v>
      </c>
      <c r="I170" s="19">
        <f>IF($H170="","",_xlfn.WORKDAY.INTL(cfgStartDate-1,$H170,"0000011",nrAllClosures))</f>
        <v/>
      </c>
      <c r="J170" s="17">
        <f>IF($H170="","",INT(($I170-(cfgStartDate-WEEKDAY(cfgStartDate,2)+1))/7)+1)</f>
        <v/>
      </c>
      <c r="K170" s="17">
        <f>IF($H170="","",IF($I170&lt;=cfgEndDate,"Yes","No"))</f>
        <v/>
      </c>
    </row>
    <row r="171">
      <c r="H171" s="17" t="n">
        <v>166</v>
      </c>
      <c r="I171" s="19">
        <f>IF($H171="","",_xlfn.WORKDAY.INTL(cfgStartDate-1,$H171,"0000011",nrAllClosures))</f>
        <v/>
      </c>
      <c r="J171" s="17">
        <f>IF($H171="","",INT(($I171-(cfgStartDate-WEEKDAY(cfgStartDate,2)+1))/7)+1)</f>
        <v/>
      </c>
      <c r="K171" s="17">
        <f>IF($H171="","",IF($I171&lt;=cfgEndDate,"Yes","No"))</f>
        <v/>
      </c>
    </row>
    <row r="172">
      <c r="H172" s="17" t="n">
        <v>167</v>
      </c>
      <c r="I172" s="19">
        <f>IF($H172="","",_xlfn.WORKDAY.INTL(cfgStartDate-1,$H172,"0000011",nrAllClosures))</f>
        <v/>
      </c>
      <c r="J172" s="17">
        <f>IF($H172="","",INT(($I172-(cfgStartDate-WEEKDAY(cfgStartDate,2)+1))/7)+1)</f>
        <v/>
      </c>
      <c r="K172" s="17">
        <f>IF($H172="","",IF($I172&lt;=cfgEndDate,"Yes","No"))</f>
        <v/>
      </c>
    </row>
    <row r="173">
      <c r="H173" s="17" t="n">
        <v>168</v>
      </c>
      <c r="I173" s="19">
        <f>IF($H173="","",_xlfn.WORKDAY.INTL(cfgStartDate-1,$H173,"0000011",nrAllClosures))</f>
        <v/>
      </c>
      <c r="J173" s="17">
        <f>IF($H173="","",INT(($I173-(cfgStartDate-WEEKDAY(cfgStartDate,2)+1))/7)+1)</f>
        <v/>
      </c>
      <c r="K173" s="17">
        <f>IF($H173="","",IF($I173&lt;=cfgEndDate,"Yes","No"))</f>
        <v/>
      </c>
    </row>
    <row r="174">
      <c r="H174" s="17" t="n">
        <v>169</v>
      </c>
      <c r="I174" s="19">
        <f>IF($H174="","",_xlfn.WORKDAY.INTL(cfgStartDate-1,$H174,"0000011",nrAllClosures))</f>
        <v/>
      </c>
      <c r="J174" s="17">
        <f>IF($H174="","",INT(($I174-(cfgStartDate-WEEKDAY(cfgStartDate,2)+1))/7)+1)</f>
        <v/>
      </c>
      <c r="K174" s="17">
        <f>IF($H174="","",IF($I174&lt;=cfgEndDate,"Yes","No"))</f>
        <v/>
      </c>
    </row>
    <row r="175">
      <c r="H175" s="17" t="n">
        <v>170</v>
      </c>
      <c r="I175" s="19">
        <f>IF($H175="","",_xlfn.WORKDAY.INTL(cfgStartDate-1,$H175,"0000011",nrAllClosures))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49.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4" t="n"/>
      <c r="E6" s="44"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IF(OR($B6="",$I6=""),"",IF(SUMPRODUCT(--ISNUMBER(SEARCH(nrInstrNames,$I6)))&gt;0,"OK","UNRECOGNIZED"))</f>
        <v/>
      </c>
    </row>
    <row r="7">
      <c r="B7" s="18" t="n"/>
      <c r="C7" s="17">
        <f>IF($B7="","",TEXT($B7,"ddd"))</f>
        <v/>
      </c>
      <c r="D7" s="44" t="n"/>
      <c r="E7" s="44"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IF(OR($B7="",$I7=""),"",IF(SUMPRODUCT(--ISNUMBER(SEARCH(nrInstrNames,$I7)))&gt;0,"OK","UNRECOGNIZED"))</f>
        <v/>
      </c>
    </row>
    <row r="8">
      <c r="B8" s="18" t="n"/>
      <c r="C8" s="17">
        <f>IF($B8="","",TEXT($B8,"ddd"))</f>
        <v/>
      </c>
      <c r="D8" s="44" t="n"/>
      <c r="E8" s="44"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IF(OR($B8="",$I8=""),"",IF(SUMPRODUCT(--ISNUMBER(SEARCH(nrInstrNames,$I8)))&gt;0,"OK","UNRECOGNIZED"))</f>
        <v/>
      </c>
    </row>
    <row r="9">
      <c r="B9" s="18" t="n"/>
      <c r="C9" s="17">
        <f>IF($B9="","",TEXT($B9,"ddd"))</f>
        <v/>
      </c>
      <c r="D9" s="44" t="n"/>
      <c r="E9" s="44"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IF(OR($B9="",$I9=""),"",IF(SUMPRODUCT(--ISNUMBER(SEARCH(nrInstrNames,$I9)))&gt;0,"OK","UNRECOGNIZED"))</f>
        <v/>
      </c>
    </row>
    <row r="10">
      <c r="B10" s="18" t="n"/>
      <c r="C10" s="17">
        <f>IF($B10="","",TEXT($B10,"ddd"))</f>
        <v/>
      </c>
      <c r="D10" s="44" t="n"/>
      <c r="E10" s="44"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IF(OR($B10="",$I10=""),"",IF(SUMPRODUCT(--ISNUMBER(SEARCH(nrInstrNames,$I10)))&gt;0,"OK","UNRECOGNIZED"))</f>
        <v/>
      </c>
    </row>
    <row r="11">
      <c r="B11" s="18" t="n"/>
      <c r="C11" s="17">
        <f>IF($B11="","",TEXT($B11,"ddd"))</f>
        <v/>
      </c>
      <c r="D11" s="44" t="n"/>
      <c r="E11" s="44"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IF(OR($B11="",$I11=""),"",IF(SUMPRODUCT(--ISNUMBER(SEARCH(nrInstrNames,$I11)))&gt;0,"OK","UNRECOGNIZED"))</f>
        <v/>
      </c>
    </row>
    <row r="12">
      <c r="B12" s="18" t="n"/>
      <c r="C12" s="17">
        <f>IF($B12="","",TEXT($B12,"ddd"))</f>
        <v/>
      </c>
      <c r="D12" s="44" t="n"/>
      <c r="E12" s="44"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IF(OR($B12="",$I12=""),"",IF(SUMPRODUCT(--ISNUMBER(SEARCH(nrInstrNames,$I12)))&gt;0,"OK","UNRECOGNIZED"))</f>
        <v/>
      </c>
    </row>
    <row r="13">
      <c r="B13" s="18" t="n"/>
      <c r="C13" s="17">
        <f>IF($B13="","",TEXT($B13,"ddd"))</f>
        <v/>
      </c>
      <c r="D13" s="44" t="n"/>
      <c r="E13" s="44"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IF(OR($B13="",$I13=""),"",IF(SUMPRODUCT(--ISNUMBER(SEARCH(nrInstrNames,$I13)))&gt;0,"OK","UNRECOGNIZED"))</f>
        <v/>
      </c>
    </row>
    <row r="14">
      <c r="B14" s="18" t="n"/>
      <c r="C14" s="17">
        <f>IF($B14="","",TEXT($B14,"ddd"))</f>
        <v/>
      </c>
      <c r="D14" s="44" t="n"/>
      <c r="E14" s="44"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IF(OR($B14="",$I14=""),"",IF(SUMPRODUCT(--ISNUMBER(SEARCH(nrInstrNames,$I14)))&gt;0,"OK","UNRECOGNIZED"))</f>
        <v/>
      </c>
    </row>
    <row r="15">
      <c r="B15" s="18" t="n"/>
      <c r="C15" s="17">
        <f>IF($B15="","",TEXT($B15,"ddd"))</f>
        <v/>
      </c>
      <c r="D15" s="44" t="n"/>
      <c r="E15" s="44"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IF(OR($B15="",$I15=""),"",IF(SUMPRODUCT(--ISNUMBER(SEARCH(nrInstrNames,$I15)))&gt;0,"OK","UNRECOGNIZED"))</f>
        <v/>
      </c>
    </row>
    <row r="16">
      <c r="B16" s="18" t="n"/>
      <c r="C16" s="17">
        <f>IF($B16="","",TEXT($B16,"ddd"))</f>
        <v/>
      </c>
      <c r="D16" s="44" t="n"/>
      <c r="E16" s="44"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IF(OR($B16="",$I16=""),"",IF(SUMPRODUCT(--ISNUMBER(SEARCH(nrInstrNames,$I16)))&gt;0,"OK","UNRECOGNIZED"))</f>
        <v/>
      </c>
    </row>
    <row r="17">
      <c r="B17" s="18" t="n"/>
      <c r="C17" s="17">
        <f>IF($B17="","",TEXT($B17,"ddd"))</f>
        <v/>
      </c>
      <c r="D17" s="44" t="n"/>
      <c r="E17" s="44"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IF(OR($B17="",$I17=""),"",IF(SUMPRODUCT(--ISNUMBER(SEARCH(nrInstrNames,$I17)))&gt;0,"OK","UNRECOGNIZED"))</f>
        <v/>
      </c>
    </row>
    <row r="18">
      <c r="B18" s="18" t="n"/>
      <c r="C18" s="17">
        <f>IF($B18="","",TEXT($B18,"ddd"))</f>
        <v/>
      </c>
      <c r="D18" s="44" t="n"/>
      <c r="E18" s="44"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IF(OR($B18="",$I18=""),"",IF(SUMPRODUCT(--ISNUMBER(SEARCH(nrInstrNames,$I18)))&gt;0,"OK","UNRECOGNIZED"))</f>
        <v/>
      </c>
    </row>
    <row r="19">
      <c r="B19" s="18" t="n"/>
      <c r="C19" s="17">
        <f>IF($B19="","",TEXT($B19,"ddd"))</f>
        <v/>
      </c>
      <c r="D19" s="44" t="n"/>
      <c r="E19" s="44"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IF(OR($B19="",$I19=""),"",IF(SUMPRODUCT(--ISNUMBER(SEARCH(nrInstrNames,$I19)))&gt;0,"OK","UNRECOGNIZED"))</f>
        <v/>
      </c>
    </row>
    <row r="20">
      <c r="B20" s="18" t="n"/>
      <c r="C20" s="17">
        <f>IF($B20="","",TEXT($B20,"ddd"))</f>
        <v/>
      </c>
      <c r="D20" s="44" t="n"/>
      <c r="E20" s="44"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IF(OR($B20="",$I20=""),"",IF(SUMPRODUCT(--ISNUMBER(SEARCH(nrInstrNames,$I20)))&gt;0,"OK","UNRECOGNIZED"))</f>
        <v/>
      </c>
    </row>
    <row r="21">
      <c r="B21" s="18" t="n"/>
      <c r="C21" s="17">
        <f>IF($B21="","",TEXT($B21,"ddd"))</f>
        <v/>
      </c>
      <c r="D21" s="44" t="n"/>
      <c r="E21" s="44"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IF(OR($B21="",$I21=""),"",IF(SUMPRODUCT(--ISNUMBER(SEARCH(nrInstrNames,$I21)))&gt;0,"OK","UNRECOGNIZED"))</f>
        <v/>
      </c>
    </row>
    <row r="22">
      <c r="B22" s="18" t="n"/>
      <c r="C22" s="17">
        <f>IF($B22="","",TEXT($B22,"ddd"))</f>
        <v/>
      </c>
      <c r="D22" s="44" t="n"/>
      <c r="E22" s="44"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IF(OR($B22="",$I22=""),"",IF(SUMPRODUCT(--ISNUMBER(SEARCH(nrInstrNames,$I22)))&gt;0,"OK","UNRECOGNIZED"))</f>
        <v/>
      </c>
    </row>
    <row r="23">
      <c r="B23" s="18" t="n"/>
      <c r="C23" s="17">
        <f>IF($B23="","",TEXT($B23,"ddd"))</f>
        <v/>
      </c>
      <c r="D23" s="44" t="n"/>
      <c r="E23" s="44"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IF(OR($B23="",$I23=""),"",IF(SUMPRODUCT(--ISNUMBER(SEARCH(nrInstrNames,$I23)))&gt;0,"OK","UNRECOGNIZED"))</f>
        <v/>
      </c>
    </row>
    <row r="24">
      <c r="B24" s="18" t="n"/>
      <c r="C24" s="17">
        <f>IF($B24="","",TEXT($B24,"ddd"))</f>
        <v/>
      </c>
      <c r="D24" s="44" t="n"/>
      <c r="E24" s="44"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IF(OR($B24="",$I24=""),"",IF(SUMPRODUCT(--ISNUMBER(SEARCH(nrInstrNames,$I24)))&gt;0,"OK","UNRECOGNIZED"))</f>
        <v/>
      </c>
    </row>
    <row r="25">
      <c r="B25" s="18" t="n"/>
      <c r="C25" s="17">
        <f>IF($B25="","",TEXT($B25,"ddd"))</f>
        <v/>
      </c>
      <c r="D25" s="44" t="n"/>
      <c r="E25" s="44"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IF(OR($B25="",$I25=""),"",IF(SUMPRODUCT(--ISNUMBER(SEARCH(nrInstrNames,$I25)))&gt;0,"OK","UNRECOGNIZED"))</f>
        <v/>
      </c>
    </row>
    <row r="26">
      <c r="B26" s="18" t="n"/>
      <c r="C26" s="17">
        <f>IF($B26="","",TEXT($B26,"ddd"))</f>
        <v/>
      </c>
      <c r="D26" s="44" t="n"/>
      <c r="E26" s="44"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IF(OR($B26="",$I26=""),"",IF(SUMPRODUCT(--ISNUMBER(SEARCH(nrInstrNames,$I26)))&gt;0,"OK","UNRECOGNIZED"))</f>
        <v/>
      </c>
    </row>
    <row r="27">
      <c r="B27" s="18" t="n"/>
      <c r="C27" s="17">
        <f>IF($B27="","",TEXT($B27,"ddd"))</f>
        <v/>
      </c>
      <c r="D27" s="44" t="n"/>
      <c r="E27" s="44"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IF(OR($B27="",$I27=""),"",IF(SUMPRODUCT(--ISNUMBER(SEARCH(nrInstrNames,$I27)))&gt;0,"OK","UNRECOGNIZED"))</f>
        <v/>
      </c>
    </row>
    <row r="28">
      <c r="B28" s="18" t="n"/>
      <c r="C28" s="17">
        <f>IF($B28="","",TEXT($B28,"ddd"))</f>
        <v/>
      </c>
      <c r="D28" s="44" t="n"/>
      <c r="E28" s="44"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IF(OR($B28="",$I28=""),"",IF(SUMPRODUCT(--ISNUMBER(SEARCH(nrInstrNames,$I28)))&gt;0,"OK","UNRECOGNIZED"))</f>
        <v/>
      </c>
    </row>
    <row r="29">
      <c r="B29" s="18" t="n"/>
      <c r="C29" s="17">
        <f>IF($B29="","",TEXT($B29,"ddd"))</f>
        <v/>
      </c>
      <c r="D29" s="44" t="n"/>
      <c r="E29" s="44"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IF(OR($B29="",$I29=""),"",IF(SUMPRODUCT(--ISNUMBER(SEARCH(nrInstrNames,$I29)))&gt;0,"OK","UNRECOGNIZED"))</f>
        <v/>
      </c>
    </row>
    <row r="30">
      <c r="B30" s="18" t="n"/>
      <c r="C30" s="17">
        <f>IF($B30="","",TEXT($B30,"ddd"))</f>
        <v/>
      </c>
      <c r="D30" s="44" t="n"/>
      <c r="E30" s="44"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IF(OR($B30="",$I30=""),"",IF(SUMPRODUCT(--ISNUMBER(SEARCH(nrInstrNames,$I30)))&gt;0,"OK","UNRECOGNIZED"))</f>
        <v/>
      </c>
    </row>
    <row r="31">
      <c r="B31" s="18" t="n"/>
      <c r="C31" s="17">
        <f>IF($B31="","",TEXT($B31,"ddd"))</f>
        <v/>
      </c>
      <c r="D31" s="44" t="n"/>
      <c r="E31" s="44"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IF(OR($B31="",$I31=""),"",IF(SUMPRODUCT(--ISNUMBER(SEARCH(nrInstrNames,$I31)))&gt;0,"OK","UNRECOGNIZED"))</f>
        <v/>
      </c>
    </row>
    <row r="32">
      <c r="B32" s="18" t="n"/>
      <c r="C32" s="17">
        <f>IF($B32="","",TEXT($B32,"ddd"))</f>
        <v/>
      </c>
      <c r="D32" s="44" t="n"/>
      <c r="E32" s="44"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IF(OR($B32="",$I32=""),"",IF(SUMPRODUCT(--ISNUMBER(SEARCH(nrInstrNames,$I32)))&gt;0,"OK","UNRECOGNIZED"))</f>
        <v/>
      </c>
    </row>
    <row r="33">
      <c r="B33" s="18" t="n"/>
      <c r="C33" s="17">
        <f>IF($B33="","",TEXT($B33,"ddd"))</f>
        <v/>
      </c>
      <c r="D33" s="44" t="n"/>
      <c r="E33" s="44"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IF(OR($B33="",$I33=""),"",IF(SUMPRODUCT(--ISNUMBER(SEARCH(nrInstrNames,$I33)))&gt;0,"OK","UNRECOGNIZED"))</f>
        <v/>
      </c>
    </row>
    <row r="34">
      <c r="B34" s="18" t="n"/>
      <c r="C34" s="17">
        <f>IF($B34="","",TEXT($B34,"ddd"))</f>
        <v/>
      </c>
      <c r="D34" s="44" t="n"/>
      <c r="E34" s="44"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IF(OR($B34="",$I34=""),"",IF(SUMPRODUCT(--ISNUMBER(SEARCH(nrInstrNames,$I34)))&gt;0,"OK","UNRECOGNIZED"))</f>
        <v/>
      </c>
    </row>
    <row r="35">
      <c r="B35" s="18" t="n"/>
      <c r="C35" s="17">
        <f>IF($B35="","",TEXT($B35,"ddd"))</f>
        <v/>
      </c>
      <c r="D35" s="44" t="n"/>
      <c r="E35" s="44"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IF(OR($B35="",$I35=""),"",IF(SUMPRODUCT(--ISNUMBER(SEARCH(nrInstrNames,$I35)))&gt;0,"OK","UNRECOGNIZED"))</f>
        <v/>
      </c>
    </row>
    <row r="36">
      <c r="B36" s="18" t="n"/>
      <c r="C36" s="17">
        <f>IF($B36="","",TEXT($B36,"ddd"))</f>
        <v/>
      </c>
      <c r="D36" s="44" t="n"/>
      <c r="E36" s="44"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IF(OR($B36="",$I36=""),"",IF(SUMPRODUCT(--ISNUMBER(SEARCH(nrInstrNames,$I36)))&gt;0,"OK","UNRECOGNIZED"))</f>
        <v/>
      </c>
    </row>
    <row r="37">
      <c r="B37" s="18" t="n"/>
      <c r="C37" s="17">
        <f>IF($B37="","",TEXT($B37,"ddd"))</f>
        <v/>
      </c>
      <c r="D37" s="44" t="n"/>
      <c r="E37" s="44"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IF(OR($B37="",$I37=""),"",IF(SUMPRODUCT(--ISNUMBER(SEARCH(nrInstrNames,$I37)))&gt;0,"OK","UNRECOGNIZED"))</f>
        <v/>
      </c>
    </row>
    <row r="38">
      <c r="B38" s="18" t="n"/>
      <c r="C38" s="17">
        <f>IF($B38="","",TEXT($B38,"ddd"))</f>
        <v/>
      </c>
      <c r="D38" s="44" t="n"/>
      <c r="E38" s="44"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IF(OR($B38="",$I38=""),"",IF(SUMPRODUCT(--ISNUMBER(SEARCH(nrInstrNames,$I38)))&gt;0,"OK","UNRECOGNIZED"))</f>
        <v/>
      </c>
    </row>
    <row r="39">
      <c r="B39" s="18" t="n"/>
      <c r="C39" s="17">
        <f>IF($B39="","",TEXT($B39,"ddd"))</f>
        <v/>
      </c>
      <c r="D39" s="44" t="n"/>
      <c r="E39" s="44"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IF(OR($B39="",$I39=""),"",IF(SUMPRODUCT(--ISNUMBER(SEARCH(nrInstrNames,$I39)))&gt;0,"OK","UNRECOGNIZED"))</f>
        <v/>
      </c>
    </row>
    <row r="40">
      <c r="B40" s="18" t="n"/>
      <c r="C40" s="17">
        <f>IF($B40="","",TEXT($B40,"ddd"))</f>
        <v/>
      </c>
      <c r="D40" s="44" t="n"/>
      <c r="E40" s="44"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IF(OR($B40="",$I40=""),"",IF(SUMPRODUCT(--ISNUMBER(SEARCH(nrInstrNames,$I40)))&gt;0,"OK","UNRECOGNIZED"))</f>
        <v/>
      </c>
    </row>
    <row r="41">
      <c r="B41" s="18" t="n"/>
      <c r="C41" s="17">
        <f>IF($B41="","",TEXT($B41,"ddd"))</f>
        <v/>
      </c>
      <c r="D41" s="44" t="n"/>
      <c r="E41" s="44"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IF(OR($B41="",$I41=""),"",IF(SUMPRODUCT(--ISNUMBER(SEARCH(nrInstrNames,$I41)))&gt;0,"OK","UNRECOGNIZED"))</f>
        <v/>
      </c>
    </row>
    <row r="42">
      <c r="B42" s="18" t="n"/>
      <c r="C42" s="17">
        <f>IF($B42="","",TEXT($B42,"ddd"))</f>
        <v/>
      </c>
      <c r="D42" s="44" t="n"/>
      <c r="E42" s="44"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IF(OR($B42="",$I42=""),"",IF(SUMPRODUCT(--ISNUMBER(SEARCH(nrInstrNames,$I42)))&gt;0,"OK","UNRECOGNIZED"))</f>
        <v/>
      </c>
    </row>
    <row r="43">
      <c r="B43" s="18" t="n"/>
      <c r="C43" s="17">
        <f>IF($B43="","",TEXT($B43,"ddd"))</f>
        <v/>
      </c>
      <c r="D43" s="44" t="n"/>
      <c r="E43" s="44"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IF(OR($B43="",$I43=""),"",IF(SUMPRODUCT(--ISNUMBER(SEARCH(nrInstrNames,$I43)))&gt;0,"OK","UNRECOGNIZED"))</f>
        <v/>
      </c>
    </row>
    <row r="44">
      <c r="B44" s="18" t="n"/>
      <c r="C44" s="17">
        <f>IF($B44="","",TEXT($B44,"ddd"))</f>
        <v/>
      </c>
      <c r="D44" s="44" t="n"/>
      <c r="E44" s="44"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IF(OR($B44="",$I44=""),"",IF(SUMPRODUCT(--ISNUMBER(SEARCH(nrInstrNames,$I44)))&gt;0,"OK","UNRECOGNIZED"))</f>
        <v/>
      </c>
    </row>
    <row r="45">
      <c r="B45" s="18" t="n"/>
      <c r="C45" s="17">
        <f>IF($B45="","",TEXT($B45,"ddd"))</f>
        <v/>
      </c>
      <c r="D45" s="44" t="n"/>
      <c r="E45" s="44"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IF(OR($B45="",$I45=""),"",IF(SUMPRODUCT(--ISNUMBER(SEARCH(nrInstrNames,$I45)))&gt;0,"OK","UNRECOGNIZED"))</f>
        <v/>
      </c>
    </row>
    <row r="46">
      <c r="B46" s="18" t="n"/>
      <c r="C46" s="17">
        <f>IF($B46="","",TEXT($B46,"ddd"))</f>
        <v/>
      </c>
      <c r="D46" s="44" t="n"/>
      <c r="E46" s="44"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IF(OR($B46="",$I46=""),"",IF(SUMPRODUCT(--ISNUMBER(SEARCH(nrInstrNames,$I46)))&gt;0,"OK","UNRECOGNIZED"))</f>
        <v/>
      </c>
    </row>
    <row r="47">
      <c r="B47" s="18" t="n"/>
      <c r="C47" s="17">
        <f>IF($B47="","",TEXT($B47,"ddd"))</f>
        <v/>
      </c>
      <c r="D47" s="44" t="n"/>
      <c r="E47" s="44"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IF(OR($B47="",$I47=""),"",IF(SUMPRODUCT(--ISNUMBER(SEARCH(nrInstrNames,$I47)))&gt;0,"OK","UNRECOGNIZED"))</f>
        <v/>
      </c>
    </row>
    <row r="48">
      <c r="B48" s="18" t="n"/>
      <c r="C48" s="17">
        <f>IF($B48="","",TEXT($B48,"ddd"))</f>
        <v/>
      </c>
      <c r="D48" s="44" t="n"/>
      <c r="E48" s="44"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IF(OR($B48="",$I48=""),"",IF(SUMPRODUCT(--ISNUMBER(SEARCH(nrInstrNames,$I48)))&gt;0,"OK","UNRECOGNIZED"))</f>
        <v/>
      </c>
    </row>
    <row r="49">
      <c r="B49" s="18" t="n"/>
      <c r="C49" s="17">
        <f>IF($B49="","",TEXT($B49,"ddd"))</f>
        <v/>
      </c>
      <c r="D49" s="44" t="n"/>
      <c r="E49" s="44"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IF(OR($B49="",$I49=""),"",IF(SUMPRODUCT(--ISNUMBER(SEARCH(nrInstrNames,$I49)))&gt;0,"OK","UNRECOGNIZED"))</f>
        <v/>
      </c>
    </row>
    <row r="50">
      <c r="B50" s="18" t="n"/>
      <c r="C50" s="17">
        <f>IF($B50="","",TEXT($B50,"ddd"))</f>
        <v/>
      </c>
      <c r="D50" s="44" t="n"/>
      <c r="E50" s="44"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IF(OR($B50="",$I50=""),"",IF(SUMPRODUCT(--ISNUMBER(SEARCH(nrInstrNames,$I50)))&gt;0,"OK","UNRECOGNIZED"))</f>
        <v/>
      </c>
    </row>
    <row r="51">
      <c r="B51" s="18" t="n"/>
      <c r="C51" s="17">
        <f>IF($B51="","",TEXT($B51,"ddd"))</f>
        <v/>
      </c>
      <c r="D51" s="44" t="n"/>
      <c r="E51" s="44"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IF(OR($B51="",$I51=""),"",IF(SUMPRODUCT(--ISNUMBER(SEARCH(nrInstrNames,$I51)))&gt;0,"OK","UNRECOGNIZED"))</f>
        <v/>
      </c>
    </row>
    <row r="52">
      <c r="B52" s="18" t="n"/>
      <c r="C52" s="17">
        <f>IF($B52="","",TEXT($B52,"ddd"))</f>
        <v/>
      </c>
      <c r="D52" s="44" t="n"/>
      <c r="E52" s="44"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IF(OR($B52="",$I52=""),"",IF(SUMPRODUCT(--ISNUMBER(SEARCH(nrInstrNames,$I52)))&gt;0,"OK","UNRECOGNIZED"))</f>
        <v/>
      </c>
    </row>
    <row r="53">
      <c r="B53" s="18" t="n"/>
      <c r="C53" s="17">
        <f>IF($B53="","",TEXT($B53,"ddd"))</f>
        <v/>
      </c>
      <c r="D53" s="44" t="n"/>
      <c r="E53" s="44"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IF(OR($B53="",$I53=""),"",IF(SUMPRODUCT(--ISNUMBER(SEARCH(nrInstrNames,$I53)))&gt;0,"OK","UNRECOGNIZED"))</f>
        <v/>
      </c>
    </row>
    <row r="54">
      <c r="B54" s="18" t="n"/>
      <c r="C54" s="17">
        <f>IF($B54="","",TEXT($B54,"ddd"))</f>
        <v/>
      </c>
      <c r="D54" s="44" t="n"/>
      <c r="E54" s="44"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IF(OR($B54="",$I54=""),"",IF(SUMPRODUCT(--ISNUMBER(SEARCH(nrInstrNames,$I54)))&gt;0,"OK","UNRECOGNIZED"))</f>
        <v/>
      </c>
    </row>
    <row r="55">
      <c r="B55" s="18" t="n"/>
      <c r="C55" s="17">
        <f>IF($B55="","",TEXT($B55,"ddd"))</f>
        <v/>
      </c>
      <c r="D55" s="44" t="n"/>
      <c r="E55" s="44"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IF(OR($B55="",$I55=""),"",IF(SUMPRODUCT(--ISNUMBER(SEARCH(nrInstrNames,$I55)))&gt;0,"OK","UNRECOGNIZED"))</f>
        <v/>
      </c>
    </row>
    <row r="56">
      <c r="B56" s="18" t="n"/>
      <c r="C56" s="17">
        <f>IF($B56="","",TEXT($B56,"ddd"))</f>
        <v/>
      </c>
      <c r="D56" s="44" t="n"/>
      <c r="E56" s="44"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IF(OR($B56="",$I56=""),"",IF(SUMPRODUCT(--ISNUMBER(SEARCH(nrInstrNames,$I56)))&gt;0,"OK","UNRECOGNIZED"))</f>
        <v/>
      </c>
    </row>
    <row r="57">
      <c r="B57" s="18" t="n"/>
      <c r="C57" s="17">
        <f>IF($B57="","",TEXT($B57,"ddd"))</f>
        <v/>
      </c>
      <c r="D57" s="44" t="n"/>
      <c r="E57" s="44"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IF(OR($B57="",$I57=""),"",IF(SUMPRODUCT(--ISNUMBER(SEARCH(nrInstrNames,$I57)))&gt;0,"OK","UNRECOGNIZED"))</f>
        <v/>
      </c>
    </row>
    <row r="58">
      <c r="B58" s="18" t="n"/>
      <c r="C58" s="17">
        <f>IF($B58="","",TEXT($B58,"ddd"))</f>
        <v/>
      </c>
      <c r="D58" s="44" t="n"/>
      <c r="E58" s="44"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IF(OR($B58="",$I58=""),"",IF(SUMPRODUCT(--ISNUMBER(SEARCH(nrInstrNames,$I58)))&gt;0,"OK","UNRECOGNIZED"))</f>
        <v/>
      </c>
    </row>
    <row r="59">
      <c r="B59" s="18" t="n"/>
      <c r="C59" s="17">
        <f>IF($B59="","",TEXT($B59,"ddd"))</f>
        <v/>
      </c>
      <c r="D59" s="44" t="n"/>
      <c r="E59" s="44"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IF(OR($B59="",$I59=""),"",IF(SUMPRODUCT(--ISNUMBER(SEARCH(nrInstrNames,$I59)))&gt;0,"OK","UNRECOGNIZED"))</f>
        <v/>
      </c>
    </row>
    <row r="60">
      <c r="B60" s="18" t="n"/>
      <c r="C60" s="17">
        <f>IF($B60="","",TEXT($B60,"ddd"))</f>
        <v/>
      </c>
      <c r="D60" s="44" t="n"/>
      <c r="E60" s="44"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IF(OR($B60="",$I60=""),"",IF(SUMPRODUCT(--ISNUMBER(SEARCH(nrInstrNames,$I60)))&gt;0,"OK","UNRECOGNIZED"))</f>
        <v/>
      </c>
    </row>
    <row r="61">
      <c r="B61" s="18" t="n"/>
      <c r="C61" s="17">
        <f>IF($B61="","",TEXT($B61,"ddd"))</f>
        <v/>
      </c>
      <c r="D61" s="44" t="n"/>
      <c r="E61" s="44"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IF(OR($B61="",$I61=""),"",IF(SUMPRODUCT(--ISNUMBER(SEARCH(nrInstrNames,$I61)))&gt;0,"OK","UNRECOGNIZED"))</f>
        <v/>
      </c>
    </row>
    <row r="62">
      <c r="B62" s="18" t="n"/>
      <c r="C62" s="17">
        <f>IF($B62="","",TEXT($B62,"ddd"))</f>
        <v/>
      </c>
      <c r="D62" s="44" t="n"/>
      <c r="E62" s="44"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IF(OR($B62="",$I62=""),"",IF(SUMPRODUCT(--ISNUMBER(SEARCH(nrInstrNames,$I62)))&gt;0,"OK","UNRECOGNIZED"))</f>
        <v/>
      </c>
    </row>
    <row r="63">
      <c r="B63" s="18" t="n"/>
      <c r="C63" s="17">
        <f>IF($B63="","",TEXT($B63,"ddd"))</f>
        <v/>
      </c>
      <c r="D63" s="44" t="n"/>
      <c r="E63" s="44"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IF(OR($B63="",$I63=""),"",IF(SUMPRODUCT(--ISNUMBER(SEARCH(nrInstrNames,$I63)))&gt;0,"OK","UNRECOGNIZED"))</f>
        <v/>
      </c>
    </row>
    <row r="64">
      <c r="B64" s="18" t="n"/>
      <c r="C64" s="17">
        <f>IF($B64="","",TEXT($B64,"ddd"))</f>
        <v/>
      </c>
      <c r="D64" s="44" t="n"/>
      <c r="E64" s="44"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IF(OR($B64="",$I64=""),"",IF(SUMPRODUCT(--ISNUMBER(SEARCH(nrInstrNames,$I64)))&gt;0,"OK","UNRECOGNIZED"))</f>
        <v/>
      </c>
    </row>
    <row r="65">
      <c r="B65" s="18" t="n"/>
      <c r="C65" s="17">
        <f>IF($B65="","",TEXT($B65,"ddd"))</f>
        <v/>
      </c>
      <c r="D65" s="44" t="n"/>
      <c r="E65" s="44"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IF(OR($B65="",$I65=""),"",IF(SUMPRODUCT(--ISNUMBER(SEARCH(nrInstrNames,$I65)))&gt;0,"OK","UNRECOGNIZED"))</f>
        <v/>
      </c>
    </row>
    <row r="66">
      <c r="B66" s="18" t="n"/>
      <c r="C66" s="17">
        <f>IF($B66="","",TEXT($B66,"ddd"))</f>
        <v/>
      </c>
      <c r="D66" s="44" t="n"/>
      <c r="E66" s="44"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IF(OR($B66="",$I66=""),"",IF(SUMPRODUCT(--ISNUMBER(SEARCH(nrInstrNames,$I66)))&gt;0,"OK","UNRECOGNIZED"))</f>
        <v/>
      </c>
    </row>
    <row r="67">
      <c r="B67" s="18" t="n"/>
      <c r="C67" s="17">
        <f>IF($B67="","",TEXT($B67,"ddd"))</f>
        <v/>
      </c>
      <c r="D67" s="44" t="n"/>
      <c r="E67" s="44"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IF(OR($B67="",$I67=""),"",IF(SUMPRODUCT(--ISNUMBER(SEARCH(nrInstrNames,$I67)))&gt;0,"OK","UNRECOGNIZED"))</f>
        <v/>
      </c>
    </row>
    <row r="68">
      <c r="B68" s="18" t="n"/>
      <c r="C68" s="17">
        <f>IF($B68="","",TEXT($B68,"ddd"))</f>
        <v/>
      </c>
      <c r="D68" s="44" t="n"/>
      <c r="E68" s="44"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IF(OR($B68="",$I68=""),"",IF(SUMPRODUCT(--ISNUMBER(SEARCH(nrInstrNames,$I68)))&gt;0,"OK","UNRECOGNIZED"))</f>
        <v/>
      </c>
    </row>
    <row r="69">
      <c r="B69" s="18" t="n"/>
      <c r="C69" s="17">
        <f>IF($B69="","",TEXT($B69,"ddd"))</f>
        <v/>
      </c>
      <c r="D69" s="44" t="n"/>
      <c r="E69" s="44"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IF(OR($B69="",$I69=""),"",IF(SUMPRODUCT(--ISNUMBER(SEARCH(nrInstrNames,$I69)))&gt;0,"OK","UNRECOGNIZED"))</f>
        <v/>
      </c>
    </row>
    <row r="70">
      <c r="B70" s="18" t="n"/>
      <c r="C70" s="17">
        <f>IF($B70="","",TEXT($B70,"ddd"))</f>
        <v/>
      </c>
      <c r="D70" s="44" t="n"/>
      <c r="E70" s="44"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IF(OR($B70="",$I70=""),"",IF(SUMPRODUCT(--ISNUMBER(SEARCH(nrInstrNames,$I70)))&gt;0,"OK","UNRECOGNIZED"))</f>
        <v/>
      </c>
    </row>
    <row r="71">
      <c r="B71" s="18" t="n"/>
      <c r="C71" s="17">
        <f>IF($B71="","",TEXT($B71,"ddd"))</f>
        <v/>
      </c>
      <c r="D71" s="44" t="n"/>
      <c r="E71" s="44"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IF(OR($B71="",$I71=""),"",IF(SUMPRODUCT(--ISNUMBER(SEARCH(nrInstrNames,$I71)))&gt;0,"OK","UNRECOGNIZED"))</f>
        <v/>
      </c>
    </row>
    <row r="72">
      <c r="B72" s="18" t="n"/>
      <c r="C72" s="17">
        <f>IF($B72="","",TEXT($B72,"ddd"))</f>
        <v/>
      </c>
      <c r="D72" s="44" t="n"/>
      <c r="E72" s="44"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IF(OR($B72="",$I72=""),"",IF(SUMPRODUCT(--ISNUMBER(SEARCH(nrInstrNames,$I72)))&gt;0,"OK","UNRECOGNIZED"))</f>
        <v/>
      </c>
    </row>
    <row r="73">
      <c r="B73" s="18" t="n"/>
      <c r="C73" s="17">
        <f>IF($B73="","",TEXT($B73,"ddd"))</f>
        <v/>
      </c>
      <c r="D73" s="44" t="n"/>
      <c r="E73" s="44"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IF(OR($B73="",$I73=""),"",IF(SUMPRODUCT(--ISNUMBER(SEARCH(nrInstrNames,$I73)))&gt;0,"OK","UNRECOGNIZED"))</f>
        <v/>
      </c>
    </row>
    <row r="74">
      <c r="B74" s="18" t="n"/>
      <c r="C74" s="17">
        <f>IF($B74="","",TEXT($B74,"ddd"))</f>
        <v/>
      </c>
      <c r="D74" s="44" t="n"/>
      <c r="E74" s="44"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IF(OR($B74="",$I74=""),"",IF(SUMPRODUCT(--ISNUMBER(SEARCH(nrInstrNames,$I74)))&gt;0,"OK","UNRECOGNIZED"))</f>
        <v/>
      </c>
    </row>
    <row r="75">
      <c r="B75" s="18" t="n"/>
      <c r="C75" s="17">
        <f>IF($B75="","",TEXT($B75,"ddd"))</f>
        <v/>
      </c>
      <c r="D75" s="44" t="n"/>
      <c r="E75" s="44"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IF(OR($B75="",$I75=""),"",IF(SUMPRODUCT(--ISNUMBER(SEARCH(nrInstrNames,$I75)))&gt;0,"OK","UNRECOGNIZED"))</f>
        <v/>
      </c>
    </row>
    <row r="76">
      <c r="B76" s="18" t="n"/>
      <c r="C76" s="17">
        <f>IF($B76="","",TEXT($B76,"ddd"))</f>
        <v/>
      </c>
      <c r="D76" s="44" t="n"/>
      <c r="E76" s="44"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IF(OR($B76="",$I76=""),"",IF(SUMPRODUCT(--ISNUMBER(SEARCH(nrInstrNames,$I76)))&gt;0,"OK","UNRECOGNIZED"))</f>
        <v/>
      </c>
    </row>
    <row r="77">
      <c r="B77" s="18" t="n"/>
      <c r="C77" s="17">
        <f>IF($B77="","",TEXT($B77,"ddd"))</f>
        <v/>
      </c>
      <c r="D77" s="44" t="n"/>
      <c r="E77" s="44"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IF(OR($B77="",$I77=""),"",IF(SUMPRODUCT(--ISNUMBER(SEARCH(nrInstrNames,$I77)))&gt;0,"OK","UNRECOGNIZED"))</f>
        <v/>
      </c>
    </row>
    <row r="78">
      <c r="B78" s="18" t="n"/>
      <c r="C78" s="17">
        <f>IF($B78="","",TEXT($B78,"ddd"))</f>
        <v/>
      </c>
      <c r="D78" s="44" t="n"/>
      <c r="E78" s="44"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IF(OR($B78="",$I78=""),"",IF(SUMPRODUCT(--ISNUMBER(SEARCH(nrInstrNames,$I78)))&gt;0,"OK","UNRECOGNIZED"))</f>
        <v/>
      </c>
    </row>
    <row r="79">
      <c r="B79" s="18" t="n"/>
      <c r="C79" s="17">
        <f>IF($B79="","",TEXT($B79,"ddd"))</f>
        <v/>
      </c>
      <c r="D79" s="44" t="n"/>
      <c r="E79" s="44"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IF(OR($B79="",$I79=""),"",IF(SUMPRODUCT(--ISNUMBER(SEARCH(nrInstrNames,$I79)))&gt;0,"OK","UNRECOGNIZED"))</f>
        <v/>
      </c>
    </row>
    <row r="80">
      <c r="B80" s="18" t="n"/>
      <c r="C80" s="17">
        <f>IF($B80="","",TEXT($B80,"ddd"))</f>
        <v/>
      </c>
      <c r="D80" s="44" t="n"/>
      <c r="E80" s="44"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IF(OR($B80="",$I80=""),"",IF(SUMPRODUCT(--ISNUMBER(SEARCH(nrInstrNames,$I80)))&gt;0,"OK","UNRECOGNIZED"))</f>
        <v/>
      </c>
    </row>
    <row r="81">
      <c r="B81" s="18" t="n"/>
      <c r="C81" s="17">
        <f>IF($B81="","",TEXT($B81,"ddd"))</f>
        <v/>
      </c>
      <c r="D81" s="44" t="n"/>
      <c r="E81" s="44"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IF(OR($B81="",$I81=""),"",IF(SUMPRODUCT(--ISNUMBER(SEARCH(nrInstrNames,$I81)))&gt;0,"OK","UNRECOGNIZED"))</f>
        <v/>
      </c>
    </row>
    <row r="82">
      <c r="B82" s="18" t="n"/>
      <c r="C82" s="17">
        <f>IF($B82="","",TEXT($B82,"ddd"))</f>
        <v/>
      </c>
      <c r="D82" s="44" t="n"/>
      <c r="E82" s="44"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IF(OR($B82="",$I82=""),"",IF(SUMPRODUCT(--ISNUMBER(SEARCH(nrInstrNames,$I82)))&gt;0,"OK","UNRECOGNIZED"))</f>
        <v/>
      </c>
    </row>
    <row r="83">
      <c r="B83" s="18" t="n"/>
      <c r="C83" s="17">
        <f>IF($B83="","",TEXT($B83,"ddd"))</f>
        <v/>
      </c>
      <c r="D83" s="44" t="n"/>
      <c r="E83" s="44"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IF(OR($B83="",$I83=""),"",IF(SUMPRODUCT(--ISNUMBER(SEARCH(nrInstrNames,$I83)))&gt;0,"OK","UNRECOGNIZED"))</f>
        <v/>
      </c>
    </row>
    <row r="84">
      <c r="B84" s="18" t="n"/>
      <c r="C84" s="17">
        <f>IF($B84="","",TEXT($B84,"ddd"))</f>
        <v/>
      </c>
      <c r="D84" s="44" t="n"/>
      <c r="E84" s="44"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IF(OR($B84="",$I84=""),"",IF(SUMPRODUCT(--ISNUMBER(SEARCH(nrInstrNames,$I84)))&gt;0,"OK","UNRECOGNIZED"))</f>
        <v/>
      </c>
    </row>
    <row r="85">
      <c r="B85" s="18" t="n"/>
      <c r="C85" s="17">
        <f>IF($B85="","",TEXT($B85,"ddd"))</f>
        <v/>
      </c>
      <c r="D85" s="44" t="n"/>
      <c r="E85" s="44"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IF(OR($B85="",$I85=""),"",IF(SUMPRODUCT(--ISNUMBER(SEARCH(nrInstrNames,$I85)))&gt;0,"OK","UNRECOGNIZED"))</f>
        <v/>
      </c>
    </row>
    <row r="86">
      <c r="B86" s="18" t="n"/>
      <c r="C86" s="17">
        <f>IF($B86="","",TEXT($B86,"ddd"))</f>
        <v/>
      </c>
      <c r="D86" s="44" t="n"/>
      <c r="E86" s="44"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IF(OR($B86="",$I86=""),"",IF(SUMPRODUCT(--ISNUMBER(SEARCH(nrInstrNames,$I86)))&gt;0,"OK","UNRECOGNIZED"))</f>
        <v/>
      </c>
    </row>
    <row r="87">
      <c r="B87" s="18" t="n"/>
      <c r="C87" s="17">
        <f>IF($B87="","",TEXT($B87,"ddd"))</f>
        <v/>
      </c>
      <c r="D87" s="44" t="n"/>
      <c r="E87" s="44"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IF(OR($B87="",$I87=""),"",IF(SUMPRODUCT(--ISNUMBER(SEARCH(nrInstrNames,$I87)))&gt;0,"OK","UNRECOGNIZED"))</f>
        <v/>
      </c>
    </row>
    <row r="88">
      <c r="B88" s="18" t="n"/>
      <c r="C88" s="17">
        <f>IF($B88="","",TEXT($B88,"ddd"))</f>
        <v/>
      </c>
      <c r="D88" s="44" t="n"/>
      <c r="E88" s="44"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IF(OR($B88="",$I88=""),"",IF(SUMPRODUCT(--ISNUMBER(SEARCH(nrInstrNames,$I88)))&gt;0,"OK","UNRECOGNIZED"))</f>
        <v/>
      </c>
    </row>
    <row r="89">
      <c r="B89" s="18" t="n"/>
      <c r="C89" s="17">
        <f>IF($B89="","",TEXT($B89,"ddd"))</f>
        <v/>
      </c>
      <c r="D89" s="44" t="n"/>
      <c r="E89" s="44"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IF(OR($B89="",$I89=""),"",IF(SUMPRODUCT(--ISNUMBER(SEARCH(nrInstrNames,$I89)))&gt;0,"OK","UNRECOGNIZED"))</f>
        <v/>
      </c>
    </row>
    <row r="90">
      <c r="B90" s="18" t="n"/>
      <c r="C90" s="17">
        <f>IF($B90="","",TEXT($B90,"ddd"))</f>
        <v/>
      </c>
      <c r="D90" s="44" t="n"/>
      <c r="E90" s="44"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IF(OR($B90="",$I90=""),"",IF(SUMPRODUCT(--ISNUMBER(SEARCH(nrInstrNames,$I90)))&gt;0,"OK","UNRECOGNIZED"))</f>
        <v/>
      </c>
    </row>
    <row r="91">
      <c r="B91" s="18" t="n"/>
      <c r="C91" s="17">
        <f>IF($B91="","",TEXT($B91,"ddd"))</f>
        <v/>
      </c>
      <c r="D91" s="44" t="n"/>
      <c r="E91" s="44"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IF(OR($B91="",$I91=""),"",IF(SUMPRODUCT(--ISNUMBER(SEARCH(nrInstrNames,$I91)))&gt;0,"OK","UNRECOGNIZED"))</f>
        <v/>
      </c>
    </row>
    <row r="92">
      <c r="B92" s="18" t="n"/>
      <c r="C92" s="17">
        <f>IF($B92="","",TEXT($B92,"ddd"))</f>
        <v/>
      </c>
      <c r="D92" s="44" t="n"/>
      <c r="E92" s="44"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IF(OR($B92="",$I92=""),"",IF(SUMPRODUCT(--ISNUMBER(SEARCH(nrInstrNames,$I92)))&gt;0,"OK","UNRECOGNIZED"))</f>
        <v/>
      </c>
    </row>
    <row r="93">
      <c r="B93" s="18" t="n"/>
      <c r="C93" s="17">
        <f>IF($B93="","",TEXT($B93,"ddd"))</f>
        <v/>
      </c>
      <c r="D93" s="44" t="n"/>
      <c r="E93" s="44"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IF(OR($B93="",$I93=""),"",IF(SUMPRODUCT(--ISNUMBER(SEARCH(nrInstrNames,$I93)))&gt;0,"OK","UNRECOGNIZED"))</f>
        <v/>
      </c>
    </row>
    <row r="94">
      <c r="B94" s="18" t="n"/>
      <c r="C94" s="17">
        <f>IF($B94="","",TEXT($B94,"ddd"))</f>
        <v/>
      </c>
      <c r="D94" s="44" t="n"/>
      <c r="E94" s="44"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IF(OR($B94="",$I94=""),"",IF(SUMPRODUCT(--ISNUMBER(SEARCH(nrInstrNames,$I94)))&gt;0,"OK","UNRECOGNIZED"))</f>
        <v/>
      </c>
    </row>
    <row r="95">
      <c r="B95" s="18" t="n"/>
      <c r="C95" s="17">
        <f>IF($B95="","",TEXT($B95,"ddd"))</f>
        <v/>
      </c>
      <c r="D95" s="44" t="n"/>
      <c r="E95" s="44"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IF(OR($B95="",$I95=""),"",IF(SUMPRODUCT(--ISNUMBER(SEARCH(nrInstrNames,$I95)))&gt;0,"OK","UNRECOGNIZED"))</f>
        <v/>
      </c>
    </row>
    <row r="96">
      <c r="B96" s="18" t="n"/>
      <c r="C96" s="17">
        <f>IF($B96="","",TEXT($B96,"ddd"))</f>
        <v/>
      </c>
      <c r="D96" s="44" t="n"/>
      <c r="E96" s="44"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IF(OR($B96="",$I96=""),"",IF(SUMPRODUCT(--ISNUMBER(SEARCH(nrInstrNames,$I96)))&gt;0,"OK","UNRECOGNIZED"))</f>
        <v/>
      </c>
    </row>
    <row r="97">
      <c r="B97" s="18" t="n"/>
      <c r="C97" s="17">
        <f>IF($B97="","",TEXT($B97,"ddd"))</f>
        <v/>
      </c>
      <c r="D97" s="44" t="n"/>
      <c r="E97" s="44"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IF(OR($B97="",$I97=""),"",IF(SUMPRODUCT(--ISNUMBER(SEARCH(nrInstrNames,$I97)))&gt;0,"OK","UNRECOGNIZED"))</f>
        <v/>
      </c>
    </row>
    <row r="98">
      <c r="B98" s="18" t="n"/>
      <c r="C98" s="17">
        <f>IF($B98="","",TEXT($B98,"ddd"))</f>
        <v/>
      </c>
      <c r="D98" s="44" t="n"/>
      <c r="E98" s="44"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IF(OR($B98="",$I98=""),"",IF(SUMPRODUCT(--ISNUMBER(SEARCH(nrInstrNames,$I98)))&gt;0,"OK","UNRECOGNIZED"))</f>
        <v/>
      </c>
    </row>
    <row r="99">
      <c r="B99" s="18" t="n"/>
      <c r="C99" s="17">
        <f>IF($B99="","",TEXT($B99,"ddd"))</f>
        <v/>
      </c>
      <c r="D99" s="44" t="n"/>
      <c r="E99" s="44"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IF(OR($B99="",$I99=""),"",IF(SUMPRODUCT(--ISNUMBER(SEARCH(nrInstrNames,$I99)))&gt;0,"OK","UNRECOGNIZED"))</f>
        <v/>
      </c>
    </row>
    <row r="100">
      <c r="B100" s="18" t="n"/>
      <c r="C100" s="17">
        <f>IF($B100="","",TEXT($B100,"ddd"))</f>
        <v/>
      </c>
      <c r="D100" s="44" t="n"/>
      <c r="E100" s="44"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IF(OR($B100="",$I100=""),"",IF(SUMPRODUCT(--ISNUMBER(SEARCH(nrInstrNames,$I100)))&gt;0,"OK","UNRECOGNIZED"))</f>
        <v/>
      </c>
    </row>
    <row r="101">
      <c r="B101" s="18" t="n"/>
      <c r="C101" s="17">
        <f>IF($B101="","",TEXT($B101,"ddd"))</f>
        <v/>
      </c>
      <c r="D101" s="44" t="n"/>
      <c r="E101" s="44"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IF(OR($B101="",$I101=""),"",IF(SUMPRODUCT(--ISNUMBER(SEARCH(nrInstrNames,$I101)))&gt;0,"OK","UNRECOGNIZED"))</f>
        <v/>
      </c>
    </row>
    <row r="102">
      <c r="B102" s="18" t="n"/>
      <c r="C102" s="17">
        <f>IF($B102="","",TEXT($B102,"ddd"))</f>
        <v/>
      </c>
      <c r="D102" s="44" t="n"/>
      <c r="E102" s="44"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IF(OR($B102="",$I102=""),"",IF(SUMPRODUCT(--ISNUMBER(SEARCH(nrInstrNames,$I102)))&gt;0,"OK","UNRECOGNIZED"))</f>
        <v/>
      </c>
    </row>
    <row r="103">
      <c r="B103" s="18" t="n"/>
      <c r="C103" s="17">
        <f>IF($B103="","",TEXT($B103,"ddd"))</f>
        <v/>
      </c>
      <c r="D103" s="44" t="n"/>
      <c r="E103" s="44"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IF(OR($B103="",$I103=""),"",IF(SUMPRODUCT(--ISNUMBER(SEARCH(nrInstrNames,$I103)))&gt;0,"OK","UNRECOGNIZED"))</f>
        <v/>
      </c>
    </row>
    <row r="104">
      <c r="B104" s="18" t="n"/>
      <c r="C104" s="17">
        <f>IF($B104="","",TEXT($B104,"ddd"))</f>
        <v/>
      </c>
      <c r="D104" s="44" t="n"/>
      <c r="E104" s="44"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IF(OR($B104="",$I104=""),"",IF(SUMPRODUCT(--ISNUMBER(SEARCH(nrInstrNames,$I104)))&gt;0,"OK","UNRECOGNIZED"))</f>
        <v/>
      </c>
    </row>
    <row r="105">
      <c r="B105" s="18" t="n"/>
      <c r="C105" s="17">
        <f>IF($B105="","",TEXT($B105,"ddd"))</f>
        <v/>
      </c>
      <c r="D105" s="44" t="n"/>
      <c r="E105" s="44"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IF(OR($B105="",$I105=""),"",IF(SUMPRODUCT(--ISNUMBER(SEARCH(nrInstrNames,$I105)))&gt;0,"OK","UNRECOGNIZED"))</f>
        <v/>
      </c>
    </row>
    <row r="106">
      <c r="B106" s="18" t="n"/>
      <c r="C106" s="17">
        <f>IF($B106="","",TEXT($B106,"ddd"))</f>
        <v/>
      </c>
      <c r="D106" s="44" t="n"/>
      <c r="E106" s="44"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IF(OR($B106="",$I106=""),"",IF(SUMPRODUCT(--ISNUMBER(SEARCH(nrInstrNames,$I106)))&gt;0,"OK","UNRECOGNIZED"))</f>
        <v/>
      </c>
    </row>
    <row r="107">
      <c r="B107" s="18" t="n"/>
      <c r="C107" s="17">
        <f>IF($B107="","",TEXT($B107,"ddd"))</f>
        <v/>
      </c>
      <c r="D107" s="44" t="n"/>
      <c r="E107" s="44"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IF(OR($B107="",$I107=""),"",IF(SUMPRODUCT(--ISNUMBER(SEARCH(nrInstrNames,$I107)))&gt;0,"OK","UNRECOGNIZED"))</f>
        <v/>
      </c>
    </row>
    <row r="108">
      <c r="B108" s="18" t="n"/>
      <c r="C108" s="17">
        <f>IF($B108="","",TEXT($B108,"ddd"))</f>
        <v/>
      </c>
      <c r="D108" s="44" t="n"/>
      <c r="E108" s="44"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IF(OR($B108="",$I108=""),"",IF(SUMPRODUCT(--ISNUMBER(SEARCH(nrInstrNames,$I108)))&gt;0,"OK","UNRECOGNIZED"))</f>
        <v/>
      </c>
    </row>
    <row r="109">
      <c r="B109" s="18" t="n"/>
      <c r="C109" s="17">
        <f>IF($B109="","",TEXT($B109,"ddd"))</f>
        <v/>
      </c>
      <c r="D109" s="44" t="n"/>
      <c r="E109" s="44"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IF(OR($B109="",$I109=""),"",IF(SUMPRODUCT(--ISNUMBER(SEARCH(nrInstrNames,$I109)))&gt;0,"OK","UNRECOGNIZED"))</f>
        <v/>
      </c>
    </row>
    <row r="110">
      <c r="B110" s="18" t="n"/>
      <c r="C110" s="17">
        <f>IF($B110="","",TEXT($B110,"ddd"))</f>
        <v/>
      </c>
      <c r="D110" s="44" t="n"/>
      <c r="E110" s="44"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IF(OR($B110="",$I110=""),"",IF(SUMPRODUCT(--ISNUMBER(SEARCH(nrInstrNames,$I110)))&gt;0,"OK","UNRECOGNIZED"))</f>
        <v/>
      </c>
    </row>
    <row r="111">
      <c r="B111" s="18" t="n"/>
      <c r="C111" s="17">
        <f>IF($B111="","",TEXT($B111,"ddd"))</f>
        <v/>
      </c>
      <c r="D111" s="44" t="n"/>
      <c r="E111" s="44"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IF(OR($B111="",$I111=""),"",IF(SUMPRODUCT(--ISNUMBER(SEARCH(nrInstrNames,$I111)))&gt;0,"OK","UNRECOGNIZED"))</f>
        <v/>
      </c>
    </row>
    <row r="112">
      <c r="B112" s="18" t="n"/>
      <c r="C112" s="17">
        <f>IF($B112="","",TEXT($B112,"ddd"))</f>
        <v/>
      </c>
      <c r="D112" s="44" t="n"/>
      <c r="E112" s="44"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IF(OR($B112="",$I112=""),"",IF(SUMPRODUCT(--ISNUMBER(SEARCH(nrInstrNames,$I112)))&gt;0,"OK","UNRECOGNIZED"))</f>
        <v/>
      </c>
    </row>
    <row r="113">
      <c r="B113" s="18" t="n"/>
      <c r="C113" s="17">
        <f>IF($B113="","",TEXT($B113,"ddd"))</f>
        <v/>
      </c>
      <c r="D113" s="44" t="n"/>
      <c r="E113" s="44"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IF(OR($B113="",$I113=""),"",IF(SUMPRODUCT(--ISNUMBER(SEARCH(nrInstrNames,$I113)))&gt;0,"OK","UNRECOGNIZED"))</f>
        <v/>
      </c>
    </row>
    <row r="114">
      <c r="B114" s="18" t="n"/>
      <c r="C114" s="17">
        <f>IF($B114="","",TEXT($B114,"ddd"))</f>
        <v/>
      </c>
      <c r="D114" s="44" t="n"/>
      <c r="E114" s="44"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IF(OR($B114="",$I114=""),"",IF(SUMPRODUCT(--ISNUMBER(SEARCH(nrInstrNames,$I114)))&gt;0,"OK","UNRECOGNIZED"))</f>
        <v/>
      </c>
    </row>
    <row r="115">
      <c r="B115" s="18" t="n"/>
      <c r="C115" s="17">
        <f>IF($B115="","",TEXT($B115,"ddd"))</f>
        <v/>
      </c>
      <c r="D115" s="44" t="n"/>
      <c r="E115" s="44"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IF(OR($B115="",$I115=""),"",IF(SUMPRODUCT(--ISNUMBER(SEARCH(nrInstrNames,$I115)))&gt;0,"OK","UNRECOGNIZED"))</f>
        <v/>
      </c>
    </row>
    <row r="116">
      <c r="B116" s="18" t="n"/>
      <c r="C116" s="17">
        <f>IF($B116="","",TEXT($B116,"ddd"))</f>
        <v/>
      </c>
      <c r="D116" s="44" t="n"/>
      <c r="E116" s="44"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IF(OR($B116="",$I116=""),"",IF(SUMPRODUCT(--ISNUMBER(SEARCH(nrInstrNames,$I116)))&gt;0,"OK","UNRECOGNIZED"))</f>
        <v/>
      </c>
    </row>
    <row r="117">
      <c r="B117" s="18" t="n"/>
      <c r="C117" s="17">
        <f>IF($B117="","",TEXT($B117,"ddd"))</f>
        <v/>
      </c>
      <c r="D117" s="44" t="n"/>
      <c r="E117" s="44"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IF(OR($B117="",$I117=""),"",IF(SUMPRODUCT(--ISNUMBER(SEARCH(nrInstrNames,$I117)))&gt;0,"OK","UNRECOGNIZED"))</f>
        <v/>
      </c>
    </row>
    <row r="118">
      <c r="B118" s="18" t="n"/>
      <c r="C118" s="17">
        <f>IF($B118="","",TEXT($B118,"ddd"))</f>
        <v/>
      </c>
      <c r="D118" s="44" t="n"/>
      <c r="E118" s="44"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IF(OR($B118="",$I118=""),"",IF(SUMPRODUCT(--ISNUMBER(SEARCH(nrInstrNames,$I118)))&gt;0,"OK","UNRECOGNIZED"))</f>
        <v/>
      </c>
    </row>
    <row r="119">
      <c r="B119" s="18" t="n"/>
      <c r="C119" s="17">
        <f>IF($B119="","",TEXT($B119,"ddd"))</f>
        <v/>
      </c>
      <c r="D119" s="44" t="n"/>
      <c r="E119" s="44"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IF(OR($B119="",$I119=""),"",IF(SUMPRODUCT(--ISNUMBER(SEARCH(nrInstrNames,$I119)))&gt;0,"OK","UNRECOGNIZED"))</f>
        <v/>
      </c>
    </row>
    <row r="120">
      <c r="B120" s="18" t="n"/>
      <c r="C120" s="17">
        <f>IF($B120="","",TEXT($B120,"ddd"))</f>
        <v/>
      </c>
      <c r="D120" s="44" t="n"/>
      <c r="E120" s="44"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IF(OR($B120="",$I120=""),"",IF(SUMPRODUCT(--ISNUMBER(SEARCH(nrInstrNames,$I120)))&gt;0,"OK","UNRECOGNIZED"))</f>
        <v/>
      </c>
    </row>
    <row r="121">
      <c r="B121" s="18" t="n"/>
      <c r="C121" s="17">
        <f>IF($B121="","",TEXT($B121,"ddd"))</f>
        <v/>
      </c>
      <c r="D121" s="44" t="n"/>
      <c r="E121" s="44"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IF(OR($B121="",$I121=""),"",IF(SUMPRODUCT(--ISNUMBER(SEARCH(nrInstrNames,$I121)))&gt;0,"OK","UNRECOGNIZED"))</f>
        <v/>
      </c>
    </row>
    <row r="122">
      <c r="B122" s="18" t="n"/>
      <c r="C122" s="17">
        <f>IF($B122="","",TEXT($B122,"ddd"))</f>
        <v/>
      </c>
      <c r="D122" s="44" t="n"/>
      <c r="E122" s="44"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IF(OR($B122="",$I122=""),"",IF(SUMPRODUCT(--ISNUMBER(SEARCH(nrInstrNames,$I122)))&gt;0,"OK","UNRECOGNIZED"))</f>
        <v/>
      </c>
    </row>
    <row r="123">
      <c r="B123" s="18" t="n"/>
      <c r="C123" s="17">
        <f>IF($B123="","",TEXT($B123,"ddd"))</f>
        <v/>
      </c>
      <c r="D123" s="44" t="n"/>
      <c r="E123" s="44"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IF(OR($B123="",$I123=""),"",IF(SUMPRODUCT(--ISNUMBER(SEARCH(nrInstrNames,$I123)))&gt;0,"OK","UNRECOGNIZED"))</f>
        <v/>
      </c>
    </row>
    <row r="124">
      <c r="B124" s="18" t="n"/>
      <c r="C124" s="17">
        <f>IF($B124="","",TEXT($B124,"ddd"))</f>
        <v/>
      </c>
      <c r="D124" s="44" t="n"/>
      <c r="E124" s="44"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IF(OR($B124="",$I124=""),"",IF(SUMPRODUCT(--ISNUMBER(SEARCH(nrInstrNames,$I124)))&gt;0,"OK","UNRECOGNIZED"))</f>
        <v/>
      </c>
    </row>
    <row r="125">
      <c r="B125" s="18" t="n"/>
      <c r="C125" s="17">
        <f>IF($B125="","",TEXT($B125,"ddd"))</f>
        <v/>
      </c>
      <c r="D125" s="44" t="n"/>
      <c r="E125" s="44"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IF(OR($B125="",$I125=""),"",IF(SUMPRODUCT(--ISNUMBER(SEARCH(nrInstrNames,$I125)))&gt;0,"OK","UNRECOGNIZED"))</f>
        <v/>
      </c>
    </row>
    <row r="126">
      <c r="B126" s="18" t="n"/>
      <c r="C126" s="17">
        <f>IF($B126="","",TEXT($B126,"ddd"))</f>
        <v/>
      </c>
      <c r="D126" s="44" t="n"/>
      <c r="E126" s="44"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IF(OR($B126="",$I126=""),"",IF(SUMPRODUCT(--ISNUMBER(SEARCH(nrInstrNames,$I126)))&gt;0,"OK","UNRECOGNIZED"))</f>
        <v/>
      </c>
    </row>
    <row r="127">
      <c r="B127" s="18" t="n"/>
      <c r="C127" s="17">
        <f>IF($B127="","",TEXT($B127,"ddd"))</f>
        <v/>
      </c>
      <c r="D127" s="44" t="n"/>
      <c r="E127" s="44"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IF(OR($B127="",$I127=""),"",IF(SUMPRODUCT(--ISNUMBER(SEARCH(nrInstrNames,$I127)))&gt;0,"OK","UNRECOGNIZED"))</f>
        <v/>
      </c>
    </row>
    <row r="128">
      <c r="B128" s="18" t="n"/>
      <c r="C128" s="17">
        <f>IF($B128="","",TEXT($B128,"ddd"))</f>
        <v/>
      </c>
      <c r="D128" s="44" t="n"/>
      <c r="E128" s="44"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IF(OR($B128="",$I128=""),"",IF(SUMPRODUCT(--ISNUMBER(SEARCH(nrInstrNames,$I128)))&gt;0,"OK","UNRECOGNIZED"))</f>
        <v/>
      </c>
    </row>
    <row r="129">
      <c r="B129" s="18" t="n"/>
      <c r="C129" s="17">
        <f>IF($B129="","",TEXT($B129,"ddd"))</f>
        <v/>
      </c>
      <c r="D129" s="44" t="n"/>
      <c r="E129" s="44"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IF(OR($B129="",$I129=""),"",IF(SUMPRODUCT(--ISNUMBER(SEARCH(nrInstrNames,$I129)))&gt;0,"OK","UNRECOGNIZED"))</f>
        <v/>
      </c>
    </row>
    <row r="130">
      <c r="B130" s="18" t="n"/>
      <c r="C130" s="17">
        <f>IF($B130="","",TEXT($B130,"ddd"))</f>
        <v/>
      </c>
      <c r="D130" s="44" t="n"/>
      <c r="E130" s="44"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IF(OR($B130="",$I130=""),"",IF(SUMPRODUCT(--ISNUMBER(SEARCH(nrInstrNames,$I130)))&gt;0,"OK","UNRECOGNIZED"))</f>
        <v/>
      </c>
    </row>
    <row r="131">
      <c r="B131" s="18" t="n"/>
      <c r="C131" s="17">
        <f>IF($B131="","",TEXT($B131,"ddd"))</f>
        <v/>
      </c>
      <c r="D131" s="44" t="n"/>
      <c r="E131" s="44"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IF(OR($B131="",$I131=""),"",IF(SUMPRODUCT(--ISNUMBER(SEARCH(nrInstrNames,$I131)))&gt;0,"OK","UNRECOGNIZED"))</f>
        <v/>
      </c>
    </row>
    <row r="132">
      <c r="B132" s="18" t="n"/>
      <c r="C132" s="17">
        <f>IF($B132="","",TEXT($B132,"ddd"))</f>
        <v/>
      </c>
      <c r="D132" s="44" t="n"/>
      <c r="E132" s="44"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IF(OR($B132="",$I132=""),"",IF(SUMPRODUCT(--ISNUMBER(SEARCH(nrInstrNames,$I132)))&gt;0,"OK","UNRECOGNIZED"))</f>
        <v/>
      </c>
    </row>
    <row r="133">
      <c r="B133" s="18" t="n"/>
      <c r="C133" s="17">
        <f>IF($B133="","",TEXT($B133,"ddd"))</f>
        <v/>
      </c>
      <c r="D133" s="44" t="n"/>
      <c r="E133" s="44"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IF(OR($B133="",$I133=""),"",IF(SUMPRODUCT(--ISNUMBER(SEARCH(nrInstrNames,$I133)))&gt;0,"OK","UNRECOGNIZED"))</f>
        <v/>
      </c>
    </row>
    <row r="134">
      <c r="B134" s="18" t="n"/>
      <c r="C134" s="17">
        <f>IF($B134="","",TEXT($B134,"ddd"))</f>
        <v/>
      </c>
      <c r="D134" s="44" t="n"/>
      <c r="E134" s="44"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IF(OR($B134="",$I134=""),"",IF(SUMPRODUCT(--ISNUMBER(SEARCH(nrInstrNames,$I134)))&gt;0,"OK","UNRECOGNIZED"))</f>
        <v/>
      </c>
    </row>
    <row r="135">
      <c r="B135" s="18" t="n"/>
      <c r="C135" s="17">
        <f>IF($B135="","",TEXT($B135,"ddd"))</f>
        <v/>
      </c>
      <c r="D135" s="44" t="n"/>
      <c r="E135" s="44"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IF(OR($B135="",$I135=""),"",IF(SUMPRODUCT(--ISNUMBER(SEARCH(nrInstrNames,$I135)))&gt;0,"OK","UNRECOGNIZED"))</f>
        <v/>
      </c>
    </row>
    <row r="136">
      <c r="B136" s="18" t="n"/>
      <c r="C136" s="17">
        <f>IF($B136="","",TEXT($B136,"ddd"))</f>
        <v/>
      </c>
      <c r="D136" s="44" t="n"/>
      <c r="E136" s="44"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IF(OR($B136="",$I136=""),"",IF(SUMPRODUCT(--ISNUMBER(SEARCH(nrInstrNames,$I136)))&gt;0,"OK","UNRECOGNIZED"))</f>
        <v/>
      </c>
    </row>
    <row r="137">
      <c r="B137" s="18" t="n"/>
      <c r="C137" s="17">
        <f>IF($B137="","",TEXT($B137,"ddd"))</f>
        <v/>
      </c>
      <c r="D137" s="44" t="n"/>
      <c r="E137" s="44"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IF(OR($B137="",$I137=""),"",IF(SUMPRODUCT(--ISNUMBER(SEARCH(nrInstrNames,$I137)))&gt;0,"OK","UNRECOGNIZED"))</f>
        <v/>
      </c>
    </row>
    <row r="138">
      <c r="B138" s="18" t="n"/>
      <c r="C138" s="17">
        <f>IF($B138="","",TEXT($B138,"ddd"))</f>
        <v/>
      </c>
      <c r="D138" s="44" t="n"/>
      <c r="E138" s="44"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IF(OR($B138="",$I138=""),"",IF(SUMPRODUCT(--ISNUMBER(SEARCH(nrInstrNames,$I138)))&gt;0,"OK","UNRECOGNIZED"))</f>
        <v/>
      </c>
    </row>
    <row r="139">
      <c r="B139" s="18" t="n"/>
      <c r="C139" s="17">
        <f>IF($B139="","",TEXT($B139,"ddd"))</f>
        <v/>
      </c>
      <c r="D139" s="44" t="n"/>
      <c r="E139" s="44"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IF(OR($B139="",$I139=""),"",IF(SUMPRODUCT(--ISNUMBER(SEARCH(nrInstrNames,$I139)))&gt;0,"OK","UNRECOGNIZED"))</f>
        <v/>
      </c>
    </row>
    <row r="140">
      <c r="B140" s="18" t="n"/>
      <c r="C140" s="17">
        <f>IF($B140="","",TEXT($B140,"ddd"))</f>
        <v/>
      </c>
      <c r="D140" s="44" t="n"/>
      <c r="E140" s="44"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IF(OR($B140="",$I140=""),"",IF(SUMPRODUCT(--ISNUMBER(SEARCH(nrInstrNames,$I140)))&gt;0,"OK","UNRECOGNIZED"))</f>
        <v/>
      </c>
    </row>
    <row r="141">
      <c r="B141" s="18" t="n"/>
      <c r="C141" s="17">
        <f>IF($B141="","",TEXT($B141,"ddd"))</f>
        <v/>
      </c>
      <c r="D141" s="44" t="n"/>
      <c r="E141" s="44"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IF(OR($B141="",$I141=""),"",IF(SUMPRODUCT(--ISNUMBER(SEARCH(nrInstrNames,$I141)))&gt;0,"OK","UNRECOGNIZED"))</f>
        <v/>
      </c>
    </row>
    <row r="142">
      <c r="B142" s="18" t="n"/>
      <c r="C142" s="17">
        <f>IF($B142="","",TEXT($B142,"ddd"))</f>
        <v/>
      </c>
      <c r="D142" s="44" t="n"/>
      <c r="E142" s="44"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IF(OR($B142="",$I142=""),"",IF(SUMPRODUCT(--ISNUMBER(SEARCH(nrInstrNames,$I142)))&gt;0,"OK","UNRECOGNIZED"))</f>
        <v/>
      </c>
    </row>
    <row r="143">
      <c r="B143" s="18" t="n"/>
      <c r="C143" s="17">
        <f>IF($B143="","",TEXT($B143,"ddd"))</f>
        <v/>
      </c>
      <c r="D143" s="44" t="n"/>
      <c r="E143" s="44"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IF(OR($B143="",$I143=""),"",IF(SUMPRODUCT(--ISNUMBER(SEARCH(nrInstrNames,$I143)))&gt;0,"OK","UNRECOGNIZED"))</f>
        <v/>
      </c>
    </row>
    <row r="144">
      <c r="B144" s="18" t="n"/>
      <c r="C144" s="17">
        <f>IF($B144="","",TEXT($B144,"ddd"))</f>
        <v/>
      </c>
      <c r="D144" s="44" t="n"/>
      <c r="E144" s="44"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IF(OR($B144="",$I144=""),"",IF(SUMPRODUCT(--ISNUMBER(SEARCH(nrInstrNames,$I144)))&gt;0,"OK","UNRECOGNIZED"))</f>
        <v/>
      </c>
    </row>
    <row r="145">
      <c r="B145" s="18" t="n"/>
      <c r="C145" s="17">
        <f>IF($B145="","",TEXT($B145,"ddd"))</f>
        <v/>
      </c>
      <c r="D145" s="44" t="n"/>
      <c r="E145" s="44"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IF(OR($B145="",$I145=""),"",IF(SUMPRODUCT(--ISNUMBER(SEARCH(nrInstrNames,$I145)))&gt;0,"OK","UNRECOGNIZED"))</f>
        <v/>
      </c>
    </row>
    <row r="146">
      <c r="B146" s="18" t="n"/>
      <c r="C146" s="17">
        <f>IF($B146="","",TEXT($B146,"ddd"))</f>
        <v/>
      </c>
      <c r="D146" s="44" t="n"/>
      <c r="E146" s="44"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IF(OR($B146="",$I146=""),"",IF(SUMPRODUCT(--ISNUMBER(SEARCH(nrInstrNames,$I146)))&gt;0,"OK","UNRECOGNIZED"))</f>
        <v/>
      </c>
    </row>
    <row r="147">
      <c r="B147" s="18" t="n"/>
      <c r="C147" s="17">
        <f>IF($B147="","",TEXT($B147,"ddd"))</f>
        <v/>
      </c>
      <c r="D147" s="44" t="n"/>
      <c r="E147" s="44"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IF(OR($B147="",$I147=""),"",IF(SUMPRODUCT(--ISNUMBER(SEARCH(nrInstrNames,$I147)))&gt;0,"OK","UNRECOGNIZED"))</f>
        <v/>
      </c>
    </row>
    <row r="148">
      <c r="B148" s="18" t="n"/>
      <c r="C148" s="17">
        <f>IF($B148="","",TEXT($B148,"ddd"))</f>
        <v/>
      </c>
      <c r="D148" s="44" t="n"/>
      <c r="E148" s="44"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IF(OR($B148="",$I148=""),"",IF(SUMPRODUCT(--ISNUMBER(SEARCH(nrInstrNames,$I148)))&gt;0,"OK","UNRECOGNIZED"))</f>
        <v/>
      </c>
    </row>
    <row r="149">
      <c r="B149" s="18" t="n"/>
      <c r="C149" s="17">
        <f>IF($B149="","",TEXT($B149,"ddd"))</f>
        <v/>
      </c>
      <c r="D149" s="44" t="n"/>
      <c r="E149" s="44"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IF(OR($B149="",$I149=""),"",IF(SUMPRODUCT(--ISNUMBER(SEARCH(nrInstrNames,$I149)))&gt;0,"OK","UNRECOGNIZED"))</f>
        <v/>
      </c>
    </row>
    <row r="150">
      <c r="B150" s="18" t="n"/>
      <c r="C150" s="17">
        <f>IF($B150="","",TEXT($B150,"ddd"))</f>
        <v/>
      </c>
      <c r="D150" s="44" t="n"/>
      <c r="E150" s="44"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IF(OR($B150="",$I150=""),"",IF(SUMPRODUCT(--ISNUMBER(SEARCH(nrInstrNames,$I150)))&gt;0,"OK","UNRECOGNIZED"))</f>
        <v/>
      </c>
    </row>
    <row r="151">
      <c r="B151" s="18" t="n"/>
      <c r="C151" s="17">
        <f>IF($B151="","",TEXT($B151,"ddd"))</f>
        <v/>
      </c>
      <c r="D151" s="44" t="n"/>
      <c r="E151" s="44"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IF(OR($B151="",$I151=""),"",IF(SUMPRODUCT(--ISNUMBER(SEARCH(nrInstrNames,$I151)))&gt;0,"OK","UNRECOGNIZED"))</f>
        <v/>
      </c>
    </row>
    <row r="152">
      <c r="B152" s="18" t="n"/>
      <c r="C152" s="17">
        <f>IF($B152="","",TEXT($B152,"ddd"))</f>
        <v/>
      </c>
      <c r="D152" s="44" t="n"/>
      <c r="E152" s="44"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IF(OR($B152="",$I152=""),"",IF(SUMPRODUCT(--ISNUMBER(SEARCH(nrInstrNames,$I152)))&gt;0,"OK","UNRECOGNIZED"))</f>
        <v/>
      </c>
    </row>
    <row r="153">
      <c r="B153" s="18" t="n"/>
      <c r="C153" s="17">
        <f>IF($B153="","",TEXT($B153,"ddd"))</f>
        <v/>
      </c>
      <c r="D153" s="44" t="n"/>
      <c r="E153" s="44"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IF(OR($B153="",$I153=""),"",IF(SUMPRODUCT(--ISNUMBER(SEARCH(nrInstrNames,$I153)))&gt;0,"OK","UNRECOGNIZED"))</f>
        <v/>
      </c>
    </row>
    <row r="154">
      <c r="B154" s="18" t="n"/>
      <c r="C154" s="17">
        <f>IF($B154="","",TEXT($B154,"ddd"))</f>
        <v/>
      </c>
      <c r="D154" s="44" t="n"/>
      <c r="E154" s="44"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IF(OR($B154="",$I154=""),"",IF(SUMPRODUCT(--ISNUMBER(SEARCH(nrInstrNames,$I154)))&gt;0,"OK","UNRECOGNIZED"))</f>
        <v/>
      </c>
    </row>
    <row r="155">
      <c r="B155" s="18" t="n"/>
      <c r="C155" s="17">
        <f>IF($B155="","",TEXT($B155,"ddd"))</f>
        <v/>
      </c>
      <c r="D155" s="44" t="n"/>
      <c r="E155" s="44"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IF(OR($B155="",$I155=""),"",IF(SUMPRODUCT(--ISNUMBER(SEARCH(nrInstrNames,$I155)))&gt;0,"OK","UNRECOGNIZED"))</f>
        <v/>
      </c>
    </row>
    <row r="156">
      <c r="B156" s="18" t="n"/>
      <c r="C156" s="17">
        <f>IF($B156="","",TEXT($B156,"ddd"))</f>
        <v/>
      </c>
      <c r="D156" s="44" t="n"/>
      <c r="E156" s="44"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IF(OR($B156="",$I156=""),"",IF(SUMPRODUCT(--ISNUMBER(SEARCH(nrInstrNames,$I156)))&gt;0,"OK","UNRECOGNIZED"))</f>
        <v/>
      </c>
    </row>
    <row r="157">
      <c r="B157" s="18" t="n"/>
      <c r="C157" s="17">
        <f>IF($B157="","",TEXT($B157,"ddd"))</f>
        <v/>
      </c>
      <c r="D157" s="44" t="n"/>
      <c r="E157" s="44"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IF(OR($B157="",$I157=""),"",IF(SUMPRODUCT(--ISNUMBER(SEARCH(nrInstrNames,$I157)))&gt;0,"OK","UNRECOGNIZED"))</f>
        <v/>
      </c>
    </row>
    <row r="158">
      <c r="B158" s="18" t="n"/>
      <c r="C158" s="17">
        <f>IF($B158="","",TEXT($B158,"ddd"))</f>
        <v/>
      </c>
      <c r="D158" s="44" t="n"/>
      <c r="E158" s="44"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IF(OR($B158="",$I158=""),"",IF(SUMPRODUCT(--ISNUMBER(SEARCH(nrInstrNames,$I158)))&gt;0,"OK","UNRECOGNIZED"))</f>
        <v/>
      </c>
    </row>
    <row r="159">
      <c r="B159" s="18" t="n"/>
      <c r="C159" s="17">
        <f>IF($B159="","",TEXT($B159,"ddd"))</f>
        <v/>
      </c>
      <c r="D159" s="44" t="n"/>
      <c r="E159" s="44"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IF(OR($B159="",$I159=""),"",IF(SUMPRODUCT(--ISNUMBER(SEARCH(nrInstrNames,$I159)))&gt;0,"OK","UNRECOGNIZED"))</f>
        <v/>
      </c>
    </row>
    <row r="160">
      <c r="B160" s="18" t="n"/>
      <c r="C160" s="17">
        <f>IF($B160="","",TEXT($B160,"ddd"))</f>
        <v/>
      </c>
      <c r="D160" s="44" t="n"/>
      <c r="E160" s="44"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IF(OR($B160="",$I160=""),"",IF(SUMPRODUCT(--ISNUMBER(SEARCH(nrInstrNames,$I160)))&gt;0,"OK","UNRECOGNIZED"))</f>
        <v/>
      </c>
    </row>
    <row r="161">
      <c r="B161" s="18" t="n"/>
      <c r="C161" s="17">
        <f>IF($B161="","",TEXT($B161,"ddd"))</f>
        <v/>
      </c>
      <c r="D161" s="44" t="n"/>
      <c r="E161" s="44"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IF(OR($B161="",$I161=""),"",IF(SUMPRODUCT(--ISNUMBER(SEARCH(nrInstrNames,$I161)))&gt;0,"OK","UNRECOGNIZED"))</f>
        <v/>
      </c>
    </row>
    <row r="162">
      <c r="B162" s="18" t="n"/>
      <c r="C162" s="17">
        <f>IF($B162="","",TEXT($B162,"ddd"))</f>
        <v/>
      </c>
      <c r="D162" s="44" t="n"/>
      <c r="E162" s="44"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IF(OR($B162="",$I162=""),"",IF(SUMPRODUCT(--ISNUMBER(SEARCH(nrInstrNames,$I162)))&gt;0,"OK","UNRECOGNIZED"))</f>
        <v/>
      </c>
    </row>
    <row r="163">
      <c r="B163" s="18" t="n"/>
      <c r="C163" s="17">
        <f>IF($B163="","",TEXT($B163,"ddd"))</f>
        <v/>
      </c>
      <c r="D163" s="44" t="n"/>
      <c r="E163" s="44"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IF(OR($B163="",$I163=""),"",IF(SUMPRODUCT(--ISNUMBER(SEARCH(nrInstrNames,$I163)))&gt;0,"OK","UNRECOGNIZED"))</f>
        <v/>
      </c>
    </row>
    <row r="164">
      <c r="B164" s="18" t="n"/>
      <c r="C164" s="17">
        <f>IF($B164="","",TEXT($B164,"ddd"))</f>
        <v/>
      </c>
      <c r="D164" s="44" t="n"/>
      <c r="E164" s="44"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IF(OR($B164="",$I164=""),"",IF(SUMPRODUCT(--ISNUMBER(SEARCH(nrInstrNames,$I164)))&gt;0,"OK","UNRECOGNIZED"))</f>
        <v/>
      </c>
    </row>
    <row r="165">
      <c r="B165" s="18" t="n"/>
      <c r="C165" s="17">
        <f>IF($B165="","",TEXT($B165,"ddd"))</f>
        <v/>
      </c>
      <c r="D165" s="44" t="n"/>
      <c r="E165" s="44"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IF(OR($B165="",$I165=""),"",IF(SUMPRODUCT(--ISNUMBER(SEARCH(nrInstrNames,$I165)))&gt;0,"OK","UNRECOGNIZED"))</f>
        <v/>
      </c>
    </row>
    <row r="166">
      <c r="B166" s="18" t="n"/>
      <c r="C166" s="17">
        <f>IF($B166="","",TEXT($B166,"ddd"))</f>
        <v/>
      </c>
      <c r="D166" s="44" t="n"/>
      <c r="E166" s="44"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IF(OR($B166="",$I166=""),"",IF(SUMPRODUCT(--ISNUMBER(SEARCH(nrInstrNames,$I166)))&gt;0,"OK","UNRECOGNIZED"))</f>
        <v/>
      </c>
    </row>
    <row r="167">
      <c r="B167" s="18" t="n"/>
      <c r="C167" s="17">
        <f>IF($B167="","",TEXT($B167,"ddd"))</f>
        <v/>
      </c>
      <c r="D167" s="44" t="n"/>
      <c r="E167" s="44"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IF(OR($B167="",$I167=""),"",IF(SUMPRODUCT(--ISNUMBER(SEARCH(nrInstrNames,$I167)))&gt;0,"OK","UNRECOGNIZED"))</f>
        <v/>
      </c>
    </row>
    <row r="168">
      <c r="B168" s="18" t="n"/>
      <c r="C168" s="17">
        <f>IF($B168="","",TEXT($B168,"ddd"))</f>
        <v/>
      </c>
      <c r="D168" s="44" t="n"/>
      <c r="E168" s="44"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IF(OR($B168="",$I168=""),"",IF(SUMPRODUCT(--ISNUMBER(SEARCH(nrInstrNames,$I168)))&gt;0,"OK","UNRECOGNIZED"))</f>
        <v/>
      </c>
    </row>
    <row r="169">
      <c r="B169" s="18" t="n"/>
      <c r="C169" s="17">
        <f>IF($B169="","",TEXT($B169,"ddd"))</f>
        <v/>
      </c>
      <c r="D169" s="44" t="n"/>
      <c r="E169" s="44"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IF(OR($B169="",$I169=""),"",IF(SUMPRODUCT(--ISNUMBER(SEARCH(nrInstrNames,$I169)))&gt;0,"OK","UNRECOGNIZED"))</f>
        <v/>
      </c>
    </row>
    <row r="170">
      <c r="B170" s="18" t="n"/>
      <c r="C170" s="17">
        <f>IF($B170="","",TEXT($B170,"ddd"))</f>
        <v/>
      </c>
      <c r="D170" s="44" t="n"/>
      <c r="E170" s="44"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IF(OR($B170="",$I170=""),"",IF(SUMPRODUCT(--ISNUMBER(SEARCH(nrInstrNames,$I170)))&gt;0,"OK","UNRECOGNIZED"))</f>
        <v/>
      </c>
    </row>
    <row r="171">
      <c r="B171" s="18" t="n"/>
      <c r="C171" s="17">
        <f>IF($B171="","",TEXT($B171,"ddd"))</f>
        <v/>
      </c>
      <c r="D171" s="44" t="n"/>
      <c r="E171" s="44"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IF(OR($B171="",$I171=""),"",IF(SUMPRODUCT(--ISNUMBER(SEARCH(nrInstrNames,$I171)))&gt;0,"OK","UNRECOGNIZED"))</f>
        <v/>
      </c>
    </row>
    <row r="172">
      <c r="B172" s="18" t="n"/>
      <c r="C172" s="17">
        <f>IF($B172="","",TEXT($B172,"ddd"))</f>
        <v/>
      </c>
      <c r="D172" s="44" t="n"/>
      <c r="E172" s="44"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IF(OR($B172="",$I172=""),"",IF(SUMPRODUCT(--ISNUMBER(SEARCH(nrInstrNames,$I172)))&gt;0,"OK","UNRECOGNIZED"))</f>
        <v/>
      </c>
    </row>
    <row r="173">
      <c r="B173" s="18" t="n"/>
      <c r="C173" s="17">
        <f>IF($B173="","",TEXT($B173,"ddd"))</f>
        <v/>
      </c>
      <c r="D173" s="44" t="n"/>
      <c r="E173" s="44"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IF(OR($B173="",$I173=""),"",IF(SUMPRODUCT(--ISNUMBER(SEARCH(nrInstrNames,$I173)))&gt;0,"OK","UNRECOGNIZED"))</f>
        <v/>
      </c>
    </row>
    <row r="174">
      <c r="B174" s="18" t="n"/>
      <c r="C174" s="17">
        <f>IF($B174="","",TEXT($B174,"ddd"))</f>
        <v/>
      </c>
      <c r="D174" s="44" t="n"/>
      <c r="E174" s="44"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IF(OR($B174="",$I174=""),"",IF(SUMPRODUCT(--ISNUMBER(SEARCH(nrInstrNames,$I174)))&gt;0,"OK","UNRECOGNIZED"))</f>
        <v/>
      </c>
    </row>
    <row r="175">
      <c r="B175" s="18" t="n"/>
      <c r="C175" s="17">
        <f>IF($B175="","",TEXT($B175,"ddd"))</f>
        <v/>
      </c>
      <c r="D175" s="44" t="n"/>
      <c r="E175" s="44"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IF(OR($B175="",$I175=""),"",IF(SUMPRODUCT(--ISNUMBER(SEARCH(nrInstrNames,$I175)))&gt;0,"OK","UNRECOGNIZED"))</f>
        <v/>
      </c>
    </row>
    <row r="176">
      <c r="B176" s="18" t="n"/>
      <c r="C176" s="17">
        <f>IF($B176="","",TEXT($B176,"ddd"))</f>
        <v/>
      </c>
      <c r="D176" s="44" t="n"/>
      <c r="E176" s="44"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IF(OR($B176="",$I176=""),"",IF(SUMPRODUCT(--ISNUMBER(SEARCH(nrInstrNames,$I176)))&gt;0,"OK","UNRECOGNIZED"))</f>
        <v/>
      </c>
    </row>
    <row r="177">
      <c r="B177" s="18" t="n"/>
      <c r="C177" s="17">
        <f>IF($B177="","",TEXT($B177,"ddd"))</f>
        <v/>
      </c>
      <c r="D177" s="44" t="n"/>
      <c r="E177" s="44"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IF(OR($B177="",$I177=""),"",IF(SUMPRODUCT(--ISNUMBER(SEARCH(nrInstrNames,$I177)))&gt;0,"OK","UNRECOGNIZED"))</f>
        <v/>
      </c>
    </row>
    <row r="178">
      <c r="B178" s="18" t="n"/>
      <c r="C178" s="17">
        <f>IF($B178="","",TEXT($B178,"ddd"))</f>
        <v/>
      </c>
      <c r="D178" s="44" t="n"/>
      <c r="E178" s="44"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IF(OR($B178="",$I178=""),"",IF(SUMPRODUCT(--ISNUMBER(SEARCH(nrInstrNames,$I178)))&gt;0,"OK","UNRECOGNIZED"))</f>
        <v/>
      </c>
    </row>
    <row r="179">
      <c r="B179" s="18" t="n"/>
      <c r="C179" s="17">
        <f>IF($B179="","",TEXT($B179,"ddd"))</f>
        <v/>
      </c>
      <c r="D179" s="44" t="n"/>
      <c r="E179" s="44"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IF(OR($B179="",$I179=""),"",IF(SUMPRODUCT(--ISNUMBER(SEARCH(nrInstrNames,$I179)))&gt;0,"OK","UNRECOGNIZED"))</f>
        <v/>
      </c>
    </row>
    <row r="180">
      <c r="B180" s="18" t="n"/>
      <c r="C180" s="17">
        <f>IF($B180="","",TEXT($B180,"ddd"))</f>
        <v/>
      </c>
      <c r="D180" s="44" t="n"/>
      <c r="E180" s="44"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IF(OR($B180="",$I180=""),"",IF(SUMPRODUCT(--ISNUMBER(SEARCH(nrInstrNames,$I180)))&gt;0,"OK","UNRECOGNIZED"))</f>
        <v/>
      </c>
    </row>
    <row r="181">
      <c r="B181" s="18" t="n"/>
      <c r="C181" s="17">
        <f>IF($B181="","",TEXT($B181,"ddd"))</f>
        <v/>
      </c>
      <c r="D181" s="44" t="n"/>
      <c r="E181" s="44"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IF(OR($B181="",$I181=""),"",IF(SUMPRODUCT(--ISNUMBER(SEARCH(nrInstrNames,$I181)))&gt;0,"OK","UNRECOGNIZED"))</f>
        <v/>
      </c>
    </row>
    <row r="182">
      <c r="B182" s="18" t="n"/>
      <c r="C182" s="17">
        <f>IF($B182="","",TEXT($B182,"ddd"))</f>
        <v/>
      </c>
      <c r="D182" s="44" t="n"/>
      <c r="E182" s="44"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IF(OR($B182="",$I182=""),"",IF(SUMPRODUCT(--ISNUMBER(SEARCH(nrInstrNames,$I182)))&gt;0,"OK","UNRECOGNIZED"))</f>
        <v/>
      </c>
    </row>
    <row r="183">
      <c r="B183" s="18" t="n"/>
      <c r="C183" s="17">
        <f>IF($B183="","",TEXT($B183,"ddd"))</f>
        <v/>
      </c>
      <c r="D183" s="44" t="n"/>
      <c r="E183" s="44"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IF(OR($B183="",$I183=""),"",IF(SUMPRODUCT(--ISNUMBER(SEARCH(nrInstrNames,$I183)))&gt;0,"OK","UNRECOGNIZED"))</f>
        <v/>
      </c>
    </row>
    <row r="184">
      <c r="B184" s="18" t="n"/>
      <c r="C184" s="17">
        <f>IF($B184="","",TEXT($B184,"ddd"))</f>
        <v/>
      </c>
      <c r="D184" s="44" t="n"/>
      <c r="E184" s="44"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IF(OR($B184="",$I184=""),"",IF(SUMPRODUCT(--ISNUMBER(SEARCH(nrInstrNames,$I184)))&gt;0,"OK","UNRECOGNIZED"))</f>
        <v/>
      </c>
    </row>
    <row r="185">
      <c r="B185" s="18" t="n"/>
      <c r="C185" s="17">
        <f>IF($B185="","",TEXT($B185,"ddd"))</f>
        <v/>
      </c>
      <c r="D185" s="44" t="n"/>
      <c r="E185" s="44"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IF(OR($B185="",$I185=""),"",IF(SUMPRODUCT(--ISNUMBER(SEARCH(nrInstrNames,$I185)))&gt;0,"OK","UNRECOGNIZED"))</f>
        <v/>
      </c>
    </row>
    <row r="186">
      <c r="B186" s="18" t="n"/>
      <c r="C186" s="17">
        <f>IF($B186="","",TEXT($B186,"ddd"))</f>
        <v/>
      </c>
      <c r="D186" s="44" t="n"/>
      <c r="E186" s="44"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IF(OR($B186="",$I186=""),"",IF(SUMPRODUCT(--ISNUMBER(SEARCH(nrInstrNames,$I186)))&gt;0,"OK","UNRECOGNIZED"))</f>
        <v/>
      </c>
    </row>
    <row r="187">
      <c r="B187" s="18" t="n"/>
      <c r="C187" s="17">
        <f>IF($B187="","",TEXT($B187,"ddd"))</f>
        <v/>
      </c>
      <c r="D187" s="44" t="n"/>
      <c r="E187" s="44"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IF(OR($B187="",$I187=""),"",IF(SUMPRODUCT(--ISNUMBER(SEARCH(nrInstrNames,$I187)))&gt;0,"OK","UNRECOGNIZED"))</f>
        <v/>
      </c>
    </row>
    <row r="188">
      <c r="B188" s="18" t="n"/>
      <c r="C188" s="17">
        <f>IF($B188="","",TEXT($B188,"ddd"))</f>
        <v/>
      </c>
      <c r="D188" s="44" t="n"/>
      <c r="E188" s="44"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IF(OR($B188="",$I188=""),"",IF(SUMPRODUCT(--ISNUMBER(SEARCH(nrInstrNames,$I188)))&gt;0,"OK","UNRECOGNIZED"))</f>
        <v/>
      </c>
    </row>
    <row r="189">
      <c r="B189" s="18" t="n"/>
      <c r="C189" s="17">
        <f>IF($B189="","",TEXT($B189,"ddd"))</f>
        <v/>
      </c>
      <c r="D189" s="44" t="n"/>
      <c r="E189" s="44"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IF(OR($B189="",$I189=""),"",IF(SUMPRODUCT(--ISNUMBER(SEARCH(nrInstrNames,$I189)))&gt;0,"OK","UNRECOGNIZED"))</f>
        <v/>
      </c>
    </row>
    <row r="190">
      <c r="B190" s="18" t="n"/>
      <c r="C190" s="17">
        <f>IF($B190="","",TEXT($B190,"ddd"))</f>
        <v/>
      </c>
      <c r="D190" s="44" t="n"/>
      <c r="E190" s="44"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IF(OR($B190="",$I190=""),"",IF(SUMPRODUCT(--ISNUMBER(SEARCH(nrInstrNames,$I190)))&gt;0,"OK","UNRECOGNIZED"))</f>
        <v/>
      </c>
    </row>
    <row r="191">
      <c r="B191" s="18" t="n"/>
      <c r="C191" s="17">
        <f>IF($B191="","",TEXT($B191,"ddd"))</f>
        <v/>
      </c>
      <c r="D191" s="44" t="n"/>
      <c r="E191" s="44"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IF(OR($B191="",$I191=""),"",IF(SUMPRODUCT(--ISNUMBER(SEARCH(nrInstrNames,$I191)))&gt;0,"OK","UNRECOGNIZED"))</f>
        <v/>
      </c>
    </row>
    <row r="192">
      <c r="B192" s="18" t="n"/>
      <c r="C192" s="17">
        <f>IF($B192="","",TEXT($B192,"ddd"))</f>
        <v/>
      </c>
      <c r="D192" s="44" t="n"/>
      <c r="E192" s="44"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IF(OR($B192="",$I192=""),"",IF(SUMPRODUCT(--ISNUMBER(SEARCH(nrInstrNames,$I192)))&gt;0,"OK","UNRECOGNIZED"))</f>
        <v/>
      </c>
    </row>
    <row r="193">
      <c r="B193" s="18" t="n"/>
      <c r="C193" s="17">
        <f>IF($B193="","",TEXT($B193,"ddd"))</f>
        <v/>
      </c>
      <c r="D193" s="44" t="n"/>
      <c r="E193" s="44"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IF(OR($B193="",$I193=""),"",IF(SUMPRODUCT(--ISNUMBER(SEARCH(nrInstrNames,$I193)))&gt;0,"OK","UNRECOGNIZED"))</f>
        <v/>
      </c>
    </row>
    <row r="194">
      <c r="B194" s="18" t="n"/>
      <c r="C194" s="17">
        <f>IF($B194="","",TEXT($B194,"ddd"))</f>
        <v/>
      </c>
      <c r="D194" s="44" t="n"/>
      <c r="E194" s="44"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IF(OR($B194="",$I194=""),"",IF(SUMPRODUCT(--ISNUMBER(SEARCH(nrInstrNames,$I194)))&gt;0,"OK","UNRECOGNIZED"))</f>
        <v/>
      </c>
    </row>
    <row r="195">
      <c r="B195" s="18" t="n"/>
      <c r="C195" s="17">
        <f>IF($B195="","",TEXT($B195,"ddd"))</f>
        <v/>
      </c>
      <c r="D195" s="44" t="n"/>
      <c r="E195" s="44"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IF(OR($B195="",$I195=""),"",IF(SUMPRODUCT(--ISNUMBER(SEARCH(nrInstrNames,$I195)))&gt;0,"OK","UNRECOGNIZED"))</f>
        <v/>
      </c>
    </row>
    <row r="196">
      <c r="B196" s="18" t="n"/>
      <c r="C196" s="17">
        <f>IF($B196="","",TEXT($B196,"ddd"))</f>
        <v/>
      </c>
      <c r="D196" s="44" t="n"/>
      <c r="E196" s="44"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IF(OR($B196="",$I196=""),"",IF(SUMPRODUCT(--ISNUMBER(SEARCH(nrInstrNames,$I196)))&gt;0,"OK","UNRECOGNIZED"))</f>
        <v/>
      </c>
    </row>
    <row r="197">
      <c r="B197" s="18" t="n"/>
      <c r="C197" s="17">
        <f>IF($B197="","",TEXT($B197,"ddd"))</f>
        <v/>
      </c>
      <c r="D197" s="44" t="n"/>
      <c r="E197" s="44"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IF(OR($B197="",$I197=""),"",IF(SUMPRODUCT(--ISNUMBER(SEARCH(nrInstrNames,$I197)))&gt;0,"OK","UNRECOGNIZED"))</f>
        <v/>
      </c>
    </row>
    <row r="198">
      <c r="B198" s="18" t="n"/>
      <c r="C198" s="17">
        <f>IF($B198="","",TEXT($B198,"ddd"))</f>
        <v/>
      </c>
      <c r="D198" s="44" t="n"/>
      <c r="E198" s="44"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IF(OR($B198="",$I198=""),"",IF(SUMPRODUCT(--ISNUMBER(SEARCH(nrInstrNames,$I198)))&gt;0,"OK","UNRECOGNIZED"))</f>
        <v/>
      </c>
    </row>
    <row r="199">
      <c r="B199" s="18" t="n"/>
      <c r="C199" s="17">
        <f>IF($B199="","",TEXT($B199,"ddd"))</f>
        <v/>
      </c>
      <c r="D199" s="44" t="n"/>
      <c r="E199" s="44"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IF(OR($B199="",$I199=""),"",IF(SUMPRODUCT(--ISNUMBER(SEARCH(nrInstrNames,$I199)))&gt;0,"OK","UNRECOGNIZED"))</f>
        <v/>
      </c>
    </row>
    <row r="200">
      <c r="B200" s="18" t="n"/>
      <c r="C200" s="17">
        <f>IF($B200="","",TEXT($B200,"ddd"))</f>
        <v/>
      </c>
      <c r="D200" s="44" t="n"/>
      <c r="E200" s="44"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IF(OR($B200="",$I200=""),"",IF(SUMPRODUCT(--ISNUMBER(SEARCH(nrInstrNames,$I200)))&gt;0,"OK","UNRECOGNIZED"))</f>
        <v/>
      </c>
    </row>
    <row r="201">
      <c r="B201" s="18" t="n"/>
      <c r="C201" s="17">
        <f>IF($B201="","",TEXT($B201,"ddd"))</f>
        <v/>
      </c>
      <c r="D201" s="44" t="n"/>
      <c r="E201" s="44"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IF(OR($B201="",$I201=""),"",IF(SUMPRODUCT(--ISNUMBER(SEARCH(nrInstrNames,$I201)))&gt;0,"OK","UNRECOGNIZED"))</f>
        <v/>
      </c>
    </row>
    <row r="202">
      <c r="B202" s="18" t="n"/>
      <c r="C202" s="17">
        <f>IF($B202="","",TEXT($B202,"ddd"))</f>
        <v/>
      </c>
      <c r="D202" s="44" t="n"/>
      <c r="E202" s="44"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IF(OR($B202="",$I202=""),"",IF(SUMPRODUCT(--ISNUMBER(SEARCH(nrInstrNames,$I202)))&gt;0,"OK","UNRECOGNIZED"))</f>
        <v/>
      </c>
    </row>
    <row r="203">
      <c r="B203" s="18" t="n"/>
      <c r="C203" s="17">
        <f>IF($B203="","",TEXT($B203,"ddd"))</f>
        <v/>
      </c>
      <c r="D203" s="44" t="n"/>
      <c r="E203" s="44"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IF(OR($B203="",$I203=""),"",IF(SUMPRODUCT(--ISNUMBER(SEARCH(nrInstrNames,$I203)))&gt;0,"OK","UNRECOGNIZED"))</f>
        <v/>
      </c>
    </row>
    <row r="204">
      <c r="B204" s="18" t="n"/>
      <c r="C204" s="17">
        <f>IF($B204="","",TEXT($B204,"ddd"))</f>
        <v/>
      </c>
      <c r="D204" s="44" t="n"/>
      <c r="E204" s="44"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IF(OR($B204="",$I204=""),"",IF(SUMPRODUCT(--ISNUMBER(SEARCH(nrInstrNames,$I204)))&gt;0,"OK","UNRECOGNIZED"))</f>
        <v/>
      </c>
    </row>
    <row r="205">
      <c r="B205" s="18" t="n"/>
      <c r="C205" s="17">
        <f>IF($B205="","",TEXT($B205,"ddd"))</f>
        <v/>
      </c>
      <c r="D205" s="44" t="n"/>
      <c r="E205" s="44"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IF(OR($B205="",$I205=""),"",IF(SUMPRODUCT(--ISNUMBER(SEARCH(nrInstrNames,$I205)))&gt;0,"OK","UNRECOGNIZED"))</f>
        <v/>
      </c>
    </row>
    <row r="206">
      <c r="B206" s="18" t="n"/>
      <c r="C206" s="17">
        <f>IF($B206="","",TEXT($B206,"ddd"))</f>
        <v/>
      </c>
      <c r="D206" s="44" t="n"/>
      <c r="E206" s="44"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IF(OR($B206="",$I206=""),"",IF(SUMPRODUCT(--ISNUMBER(SEARCH(nrInstrNames,$I206)))&gt;0,"OK","UNRECOGNIZED"))</f>
        <v/>
      </c>
    </row>
    <row r="207">
      <c r="B207" s="18" t="n"/>
      <c r="C207" s="17">
        <f>IF($B207="","",TEXT($B207,"ddd"))</f>
        <v/>
      </c>
      <c r="D207" s="44" t="n"/>
      <c r="E207" s="44"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IF(OR($B207="",$I207=""),"",IF(SUMPRODUCT(--ISNUMBER(SEARCH(nrInstrNames,$I207)))&gt;0,"OK","UNRECOGNIZED"))</f>
        <v/>
      </c>
    </row>
    <row r="208">
      <c r="B208" s="18" t="n"/>
      <c r="C208" s="17">
        <f>IF($B208="","",TEXT($B208,"ddd"))</f>
        <v/>
      </c>
      <c r="D208" s="44" t="n"/>
      <c r="E208" s="44"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IF(OR($B208="",$I208=""),"",IF(SUMPRODUCT(--ISNUMBER(SEARCH(nrInstrNames,$I208)))&gt;0,"OK","UNRECOGNIZED"))</f>
        <v/>
      </c>
    </row>
    <row r="209">
      <c r="B209" s="18" t="n"/>
      <c r="C209" s="17">
        <f>IF($B209="","",TEXT($B209,"ddd"))</f>
        <v/>
      </c>
      <c r="D209" s="44" t="n"/>
      <c r="E209" s="44"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IF(OR($B209="",$I209=""),"",IF(SUMPRODUCT(--ISNUMBER(SEARCH(nrInstrNames,$I209)))&gt;0,"OK","UNRECOGNIZED"))</f>
        <v/>
      </c>
    </row>
    <row r="210">
      <c r="B210" s="18" t="n"/>
      <c r="C210" s="17">
        <f>IF($B210="","",TEXT($B210,"ddd"))</f>
        <v/>
      </c>
      <c r="D210" s="44" t="n"/>
      <c r="E210" s="44"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IF(OR($B210="",$I210=""),"",IF(SUMPRODUCT(--ISNUMBER(SEARCH(nrInstrNames,$I210)))&gt;0,"OK","UNRECOGNIZED"))</f>
        <v/>
      </c>
    </row>
    <row r="211">
      <c r="B211" s="18" t="n"/>
      <c r="C211" s="17">
        <f>IF($B211="","",TEXT($B211,"ddd"))</f>
        <v/>
      </c>
      <c r="D211" s="44" t="n"/>
      <c r="E211" s="44"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IF(OR($B211="",$I211=""),"",IF(SUMPRODUCT(--ISNUMBER(SEARCH(nrInstrNames,$I211)))&gt;0,"OK","UNRECOGNIZED"))</f>
        <v/>
      </c>
    </row>
    <row r="212">
      <c r="B212" s="18" t="n"/>
      <c r="C212" s="17">
        <f>IF($B212="","",TEXT($B212,"ddd"))</f>
        <v/>
      </c>
      <c r="D212" s="44" t="n"/>
      <c r="E212" s="44"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IF(OR($B212="",$I212=""),"",IF(SUMPRODUCT(--ISNUMBER(SEARCH(nrInstrNames,$I212)))&gt;0,"OK","UNRECOGNIZED"))</f>
        <v/>
      </c>
    </row>
    <row r="213">
      <c r="B213" s="18" t="n"/>
      <c r="C213" s="17">
        <f>IF($B213="","",TEXT($B213,"ddd"))</f>
        <v/>
      </c>
      <c r="D213" s="44" t="n"/>
      <c r="E213" s="44"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IF(OR($B213="",$I213=""),"",IF(SUMPRODUCT(--ISNUMBER(SEARCH(nrInstrNames,$I213)))&gt;0,"OK","UNRECOGNIZED"))</f>
        <v/>
      </c>
    </row>
    <row r="214">
      <c r="B214" s="18" t="n"/>
      <c r="C214" s="17">
        <f>IF($B214="","",TEXT($B214,"ddd"))</f>
        <v/>
      </c>
      <c r="D214" s="44" t="n"/>
      <c r="E214" s="44"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IF(OR($B214="",$I214=""),"",IF(SUMPRODUCT(--ISNUMBER(SEARCH(nrInstrNames,$I214)))&gt;0,"OK","UNRECOGNIZED"))</f>
        <v/>
      </c>
    </row>
    <row r="215">
      <c r="B215" s="18" t="n"/>
      <c r="C215" s="17">
        <f>IF($B215="","",TEXT($B215,"ddd"))</f>
        <v/>
      </c>
      <c r="D215" s="44" t="n"/>
      <c r="E215" s="44"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IF(OR($B215="",$I215=""),"",IF(SUMPRODUCT(--ISNUMBER(SEARCH(nrInstrNames,$I215)))&gt;0,"OK","UNRECOGNIZED"))</f>
        <v/>
      </c>
    </row>
    <row r="216">
      <c r="B216" s="18" t="n"/>
      <c r="C216" s="17">
        <f>IF($B216="","",TEXT($B216,"ddd"))</f>
        <v/>
      </c>
      <c r="D216" s="44" t="n"/>
      <c r="E216" s="44"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IF(OR($B216="",$I216=""),"",IF(SUMPRODUCT(--ISNUMBER(SEARCH(nrInstrNames,$I216)))&gt;0,"OK","UNRECOGNIZED"))</f>
        <v/>
      </c>
    </row>
    <row r="217">
      <c r="B217" s="18" t="n"/>
      <c r="C217" s="17">
        <f>IF($B217="","",TEXT($B217,"ddd"))</f>
        <v/>
      </c>
      <c r="D217" s="44" t="n"/>
      <c r="E217" s="44"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IF(OR($B217="",$I217=""),"",IF(SUMPRODUCT(--ISNUMBER(SEARCH(nrInstrNames,$I217)))&gt;0,"OK","UNRECOGNIZED"))</f>
        <v/>
      </c>
    </row>
    <row r="218">
      <c r="B218" s="18" t="n"/>
      <c r="C218" s="17">
        <f>IF($B218="","",TEXT($B218,"ddd"))</f>
        <v/>
      </c>
      <c r="D218" s="44" t="n"/>
      <c r="E218" s="44"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IF(OR($B218="",$I218=""),"",IF(SUMPRODUCT(--ISNUMBER(SEARCH(nrInstrNames,$I218)))&gt;0,"OK","UNRECOGNIZED"))</f>
        <v/>
      </c>
    </row>
    <row r="219">
      <c r="B219" s="18" t="n"/>
      <c r="C219" s="17">
        <f>IF($B219="","",TEXT($B219,"ddd"))</f>
        <v/>
      </c>
      <c r="D219" s="44" t="n"/>
      <c r="E219" s="44"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IF(OR($B219="",$I219=""),"",IF(SUMPRODUCT(--ISNUMBER(SEARCH(nrInstrNames,$I219)))&gt;0,"OK","UNRECOGNIZED"))</f>
        <v/>
      </c>
    </row>
    <row r="220">
      <c r="B220" s="18" t="n"/>
      <c r="C220" s="17">
        <f>IF($B220="","",TEXT($B220,"ddd"))</f>
        <v/>
      </c>
      <c r="D220" s="44" t="n"/>
      <c r="E220" s="44"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IF(OR($B220="",$I220=""),"",IF(SUMPRODUCT(--ISNUMBER(SEARCH(nrInstrNames,$I220)))&gt;0,"OK","UNRECOGNIZED"))</f>
        <v/>
      </c>
    </row>
    <row r="221">
      <c r="B221" s="18" t="n"/>
      <c r="C221" s="17">
        <f>IF($B221="","",TEXT($B221,"ddd"))</f>
        <v/>
      </c>
      <c r="D221" s="44" t="n"/>
      <c r="E221" s="44"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IF(OR($B221="",$I221=""),"",IF(SUMPRODUCT(--ISNUMBER(SEARCH(nrInstrNames,$I221)))&gt;0,"OK","UNRECOGNIZED"))</f>
        <v/>
      </c>
    </row>
    <row r="222">
      <c r="B222" s="18" t="n"/>
      <c r="C222" s="17">
        <f>IF($B222="","",TEXT($B222,"ddd"))</f>
        <v/>
      </c>
      <c r="D222" s="44" t="n"/>
      <c r="E222" s="44"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IF(OR($B222="",$I222=""),"",IF(SUMPRODUCT(--ISNUMBER(SEARCH(nrInstrNames,$I222)))&gt;0,"OK","UNRECOGNIZED"))</f>
        <v/>
      </c>
    </row>
    <row r="223">
      <c r="B223" s="18" t="n"/>
      <c r="C223" s="17">
        <f>IF($B223="","",TEXT($B223,"ddd"))</f>
        <v/>
      </c>
      <c r="D223" s="44" t="n"/>
      <c r="E223" s="44"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IF(OR($B223="",$I223=""),"",IF(SUMPRODUCT(--ISNUMBER(SEARCH(nrInstrNames,$I223)))&gt;0,"OK","UNRECOGNIZED"))</f>
        <v/>
      </c>
    </row>
    <row r="224">
      <c r="B224" s="18" t="n"/>
      <c r="C224" s="17">
        <f>IF($B224="","",TEXT($B224,"ddd"))</f>
        <v/>
      </c>
      <c r="D224" s="44" t="n"/>
      <c r="E224" s="44"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IF(OR($B224="",$I224=""),"",IF(SUMPRODUCT(--ISNUMBER(SEARCH(nrInstrNames,$I224)))&gt;0,"OK","UNRECOGNIZED"))</f>
        <v/>
      </c>
    </row>
    <row r="225">
      <c r="B225" s="18" t="n"/>
      <c r="C225" s="17">
        <f>IF($B225="","",TEXT($B225,"ddd"))</f>
        <v/>
      </c>
      <c r="D225" s="44" t="n"/>
      <c r="E225" s="44"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IF(OR($B225="",$I225=""),"",IF(SUMPRODUCT(--ISNUMBER(SEARCH(nrInstrNames,$I225)))&gt;0,"OK","UNRECOGNIZED"))</f>
        <v/>
      </c>
    </row>
    <row r="226">
      <c r="B226" s="18" t="n"/>
      <c r="C226" s="17">
        <f>IF($B226="","",TEXT($B226,"ddd"))</f>
        <v/>
      </c>
      <c r="D226" s="44" t="n"/>
      <c r="E226" s="44"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IF(OR($B226="",$I226=""),"",IF(SUMPRODUCT(--ISNUMBER(SEARCH(nrInstrNames,$I226)))&gt;0,"OK","UNRECOGNIZED"))</f>
        <v/>
      </c>
    </row>
    <row r="227">
      <c r="B227" s="18" t="n"/>
      <c r="C227" s="17">
        <f>IF($B227="","",TEXT($B227,"ddd"))</f>
        <v/>
      </c>
      <c r="D227" s="44" t="n"/>
      <c r="E227" s="44"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IF(OR($B227="",$I227=""),"",IF(SUMPRODUCT(--ISNUMBER(SEARCH(nrInstrNames,$I227)))&gt;0,"OK","UNRECOGNIZED"))</f>
        <v/>
      </c>
    </row>
    <row r="228">
      <c r="B228" s="18" t="n"/>
      <c r="C228" s="17">
        <f>IF($B228="","",TEXT($B228,"ddd"))</f>
        <v/>
      </c>
      <c r="D228" s="44" t="n"/>
      <c r="E228" s="44"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IF(OR($B228="",$I228=""),"",IF(SUMPRODUCT(--ISNUMBER(SEARCH(nrInstrNames,$I228)))&gt;0,"OK","UNRECOGNIZED"))</f>
        <v/>
      </c>
    </row>
    <row r="229">
      <c r="B229" s="18" t="n"/>
      <c r="C229" s="17">
        <f>IF($B229="","",TEXT($B229,"ddd"))</f>
        <v/>
      </c>
      <c r="D229" s="44" t="n"/>
      <c r="E229" s="44"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IF(OR($B229="",$I229=""),"",IF(SUMPRODUCT(--ISNUMBER(SEARCH(nrInstrNames,$I229)))&gt;0,"OK","UNRECOGNIZED"))</f>
        <v/>
      </c>
    </row>
    <row r="230">
      <c r="B230" s="18" t="n"/>
      <c r="C230" s="17">
        <f>IF($B230="","",TEXT($B230,"ddd"))</f>
        <v/>
      </c>
      <c r="D230" s="44" t="n"/>
      <c r="E230" s="44"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IF(OR($B230="",$I230=""),"",IF(SUMPRODUCT(--ISNUMBER(SEARCH(nrInstrNames,$I230)))&gt;0,"OK","UNRECOGNIZED"))</f>
        <v/>
      </c>
    </row>
    <row r="231">
      <c r="B231" s="18" t="n"/>
      <c r="C231" s="17">
        <f>IF($B231="","",TEXT($B231,"ddd"))</f>
        <v/>
      </c>
      <c r="D231" s="44" t="n"/>
      <c r="E231" s="44"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IF(OR($B231="",$I231=""),"",IF(SUMPRODUCT(--ISNUMBER(SEARCH(nrInstrNames,$I231)))&gt;0,"OK","UNRECOGNIZED"))</f>
        <v/>
      </c>
    </row>
    <row r="232">
      <c r="B232" s="18" t="n"/>
      <c r="C232" s="17">
        <f>IF($B232="","",TEXT($B232,"ddd"))</f>
        <v/>
      </c>
      <c r="D232" s="44" t="n"/>
      <c r="E232" s="44"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IF(OR($B232="",$I232=""),"",IF(SUMPRODUCT(--ISNUMBER(SEARCH(nrInstrNames,$I232)))&gt;0,"OK","UNRECOGNIZED"))</f>
        <v/>
      </c>
    </row>
    <row r="233">
      <c r="B233" s="18" t="n"/>
      <c r="C233" s="17">
        <f>IF($B233="","",TEXT($B233,"ddd"))</f>
        <v/>
      </c>
      <c r="D233" s="44" t="n"/>
      <c r="E233" s="44"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IF(OR($B233="",$I233=""),"",IF(SUMPRODUCT(--ISNUMBER(SEARCH(nrInstrNames,$I233)))&gt;0,"OK","UNRECOGNIZED"))</f>
        <v/>
      </c>
    </row>
    <row r="234">
      <c r="B234" s="18" t="n"/>
      <c r="C234" s="17">
        <f>IF($B234="","",TEXT($B234,"ddd"))</f>
        <v/>
      </c>
      <c r="D234" s="44" t="n"/>
      <c r="E234" s="44"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IF(OR($B234="",$I234=""),"",IF(SUMPRODUCT(--ISNUMBER(SEARCH(nrInstrNames,$I234)))&gt;0,"OK","UNRECOGNIZED"))</f>
        <v/>
      </c>
    </row>
    <row r="235">
      <c r="B235" s="18" t="n"/>
      <c r="C235" s="17">
        <f>IF($B235="","",TEXT($B235,"ddd"))</f>
        <v/>
      </c>
      <c r="D235" s="44" t="n"/>
      <c r="E235" s="44"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IF(OR($B235="",$I235=""),"",IF(SUMPRODUCT(--ISNUMBER(SEARCH(nrInstrNames,$I235)))&gt;0,"OK","UNRECOGNIZED"))</f>
        <v/>
      </c>
    </row>
    <row r="236">
      <c r="B236" s="18" t="n"/>
      <c r="C236" s="17">
        <f>IF($B236="","",TEXT($B236,"ddd"))</f>
        <v/>
      </c>
      <c r="D236" s="44" t="n"/>
      <c r="E236" s="44"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IF(OR($B236="",$I236=""),"",IF(SUMPRODUCT(--ISNUMBER(SEARCH(nrInstrNames,$I236)))&gt;0,"OK","UNRECOGNIZED"))</f>
        <v/>
      </c>
    </row>
    <row r="237">
      <c r="B237" s="18" t="n"/>
      <c r="C237" s="17">
        <f>IF($B237="","",TEXT($B237,"ddd"))</f>
        <v/>
      </c>
      <c r="D237" s="44" t="n"/>
      <c r="E237" s="44"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IF(OR($B237="",$I237=""),"",IF(SUMPRODUCT(--ISNUMBER(SEARCH(nrInstrNames,$I237)))&gt;0,"OK","UNRECOGNIZED"))</f>
        <v/>
      </c>
    </row>
    <row r="238">
      <c r="B238" s="18" t="n"/>
      <c r="C238" s="17">
        <f>IF($B238="","",TEXT($B238,"ddd"))</f>
        <v/>
      </c>
      <c r="D238" s="44" t="n"/>
      <c r="E238" s="44"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IF(OR($B238="",$I238=""),"",IF(SUMPRODUCT(--ISNUMBER(SEARCH(nrInstrNames,$I238)))&gt;0,"OK","UNRECOGNIZED"))</f>
        <v/>
      </c>
    </row>
    <row r="239">
      <c r="B239" s="18" t="n"/>
      <c r="C239" s="17">
        <f>IF($B239="","",TEXT($B239,"ddd"))</f>
        <v/>
      </c>
      <c r="D239" s="44" t="n"/>
      <c r="E239" s="44"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IF(OR($B239="",$I239=""),"",IF(SUMPRODUCT(--ISNUMBER(SEARCH(nrInstrNames,$I239)))&gt;0,"OK","UNRECOGNIZED"))</f>
        <v/>
      </c>
    </row>
    <row r="240">
      <c r="B240" s="18" t="n"/>
      <c r="C240" s="17">
        <f>IF($B240="","",TEXT($B240,"ddd"))</f>
        <v/>
      </c>
      <c r="D240" s="44" t="n"/>
      <c r="E240" s="44"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IF(OR($B240="",$I240=""),"",IF(SUMPRODUCT(--ISNUMBER(SEARCH(nrInstrNames,$I240)))&gt;0,"OK","UNRECOGNIZED"))</f>
        <v/>
      </c>
    </row>
    <row r="241">
      <c r="B241" s="18" t="n"/>
      <c r="C241" s="17">
        <f>IF($B241="","",TEXT($B241,"ddd"))</f>
        <v/>
      </c>
      <c r="D241" s="44" t="n"/>
      <c r="E241" s="44"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IF(OR($B241="",$I241=""),"",IF(SUMPRODUCT(--ISNUMBER(SEARCH(nrInstrNames,$I241)))&gt;0,"OK","UNRECOGNIZED"))</f>
        <v/>
      </c>
    </row>
    <row r="242">
      <c r="B242" s="18" t="n"/>
      <c r="C242" s="17">
        <f>IF($B242="","",TEXT($B242,"ddd"))</f>
        <v/>
      </c>
      <c r="D242" s="44" t="n"/>
      <c r="E242" s="44"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IF(OR($B242="",$I242=""),"",IF(SUMPRODUCT(--ISNUMBER(SEARCH(nrInstrNames,$I242)))&gt;0,"OK","UNRECOGNIZED"))</f>
        <v/>
      </c>
    </row>
    <row r="243">
      <c r="B243" s="18" t="n"/>
      <c r="C243" s="17">
        <f>IF($B243="","",TEXT($B243,"ddd"))</f>
        <v/>
      </c>
      <c r="D243" s="44" t="n"/>
      <c r="E243" s="44"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IF(OR($B243="",$I243=""),"",IF(SUMPRODUCT(--ISNUMBER(SEARCH(nrInstrNames,$I243)))&gt;0,"OK","UNRECOGNIZED"))</f>
        <v/>
      </c>
    </row>
    <row r="244">
      <c r="B244" s="18" t="n"/>
      <c r="C244" s="17">
        <f>IF($B244="","",TEXT($B244,"ddd"))</f>
        <v/>
      </c>
      <c r="D244" s="44" t="n"/>
      <c r="E244" s="44"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IF(OR($B244="",$I244=""),"",IF(SUMPRODUCT(--ISNUMBER(SEARCH(nrInstrNames,$I244)))&gt;0,"OK","UNRECOGNIZED"))</f>
        <v/>
      </c>
    </row>
    <row r="245">
      <c r="B245" s="18" t="n"/>
      <c r="C245" s="17">
        <f>IF($B245="","",TEXT($B245,"ddd"))</f>
        <v/>
      </c>
      <c r="D245" s="44" t="n"/>
      <c r="E245" s="44"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IF(OR($B245="",$I245=""),"",IF(SUMPRODUCT(--ISNUMBER(SEARCH(nrInstrNames,$I245)))&gt;0,"OK","UNRECOGNIZED"))</f>
        <v/>
      </c>
    </row>
    <row r="246">
      <c r="B246" s="18" t="n"/>
      <c r="C246" s="17">
        <f>IF($B246="","",TEXT($B246,"ddd"))</f>
        <v/>
      </c>
      <c r="D246" s="44" t="n"/>
      <c r="E246" s="44"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IF(OR($B246="",$I246=""),"",IF(SUMPRODUCT(--ISNUMBER(SEARCH(nrInstrNames,$I246)))&gt;0,"OK","UNRECOGNIZED"))</f>
        <v/>
      </c>
    </row>
    <row r="247">
      <c r="B247" s="18" t="n"/>
      <c r="C247" s="17">
        <f>IF($B247="","",TEXT($B247,"ddd"))</f>
        <v/>
      </c>
      <c r="D247" s="44" t="n"/>
      <c r="E247" s="44"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IF(OR($B247="",$I247=""),"",IF(SUMPRODUCT(--ISNUMBER(SEARCH(nrInstrNames,$I247)))&gt;0,"OK","UNRECOGNIZED"))</f>
        <v/>
      </c>
    </row>
    <row r="248">
      <c r="B248" s="18" t="n"/>
      <c r="C248" s="17">
        <f>IF($B248="","",TEXT($B248,"ddd"))</f>
        <v/>
      </c>
      <c r="D248" s="44" t="n"/>
      <c r="E248" s="44"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IF(OR($B248="",$I248=""),"",IF(SUMPRODUCT(--ISNUMBER(SEARCH(nrInstrNames,$I248)))&gt;0,"OK","UNRECOGNIZED"))</f>
        <v/>
      </c>
    </row>
    <row r="249">
      <c r="B249" s="18" t="n"/>
      <c r="C249" s="17">
        <f>IF($B249="","",TEXT($B249,"ddd"))</f>
        <v/>
      </c>
      <c r="D249" s="44" t="n"/>
      <c r="E249" s="44"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IF(OR($B249="",$I249=""),"",IF(SUMPRODUCT(--ISNUMBER(SEARCH(nrInstrNames,$I249)))&gt;0,"OK","UNRECOGNIZED"))</f>
        <v/>
      </c>
    </row>
    <row r="250">
      <c r="B250" s="18" t="n"/>
      <c r="C250" s="17">
        <f>IF($B250="","",TEXT($B250,"ddd"))</f>
        <v/>
      </c>
      <c r="D250" s="44" t="n"/>
      <c r="E250" s="44"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IF(OR($B250="",$I250=""),"",IF(SUMPRODUCT(--ISNUMBER(SEARCH(nrInstrNames,$I250)))&gt;0,"OK","UNRECOGNIZED"))</f>
        <v/>
      </c>
    </row>
    <row r="251">
      <c r="B251" s="18" t="n"/>
      <c r="C251" s="17">
        <f>IF($B251="","",TEXT($B251,"ddd"))</f>
        <v/>
      </c>
      <c r="D251" s="44" t="n"/>
      <c r="E251" s="44"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IF(OR($B251="",$I251=""),"",IF(SUMPRODUCT(--ISNUMBER(SEARCH(nrInstrNames,$I251)))&gt;0,"OK","UNRECOGNIZED"))</f>
        <v/>
      </c>
    </row>
    <row r="252">
      <c r="B252" s="18" t="n"/>
      <c r="C252" s="17">
        <f>IF($B252="","",TEXT($B252,"ddd"))</f>
        <v/>
      </c>
      <c r="D252" s="44" t="n"/>
      <c r="E252" s="44"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IF(OR($B252="",$I252=""),"",IF(SUMPRODUCT(--ISNUMBER(SEARCH(nrInstrNames,$I252)))&gt;0,"OK","UNRECOGNIZED"))</f>
        <v/>
      </c>
    </row>
    <row r="253">
      <c r="B253" s="18" t="n"/>
      <c r="C253" s="17">
        <f>IF($B253="","",TEXT($B253,"ddd"))</f>
        <v/>
      </c>
      <c r="D253" s="44" t="n"/>
      <c r="E253" s="44"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IF(OR($B253="",$I253=""),"",IF(SUMPRODUCT(--ISNUMBER(SEARCH(nrInstrNames,$I253)))&gt;0,"OK","UNRECOGNIZED"))</f>
        <v/>
      </c>
    </row>
    <row r="254">
      <c r="B254" s="18" t="n"/>
      <c r="C254" s="17">
        <f>IF($B254="","",TEXT($B254,"ddd"))</f>
        <v/>
      </c>
      <c r="D254" s="44" t="n"/>
      <c r="E254" s="44"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IF(OR($B254="",$I254=""),"",IF(SUMPRODUCT(--ISNUMBER(SEARCH(nrInstrNames,$I254)))&gt;0,"OK","UNRECOGNIZED"))</f>
        <v/>
      </c>
    </row>
    <row r="255">
      <c r="B255" s="18" t="n"/>
      <c r="C255" s="17">
        <f>IF($B255="","",TEXT($B255,"ddd"))</f>
        <v/>
      </c>
      <c r="D255" s="44" t="n"/>
      <c r="E255" s="44"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IF(OR($B255="",$I255=""),"",IF(SUMPRODUCT(--ISNUMBER(SEARCH(nrInstrNames,$I255)))&gt;0,"OK","UNRECOGNIZED"))</f>
        <v/>
      </c>
    </row>
    <row r="256">
      <c r="B256" s="18" t="n"/>
      <c r="C256" s="17">
        <f>IF($B256="","",TEXT($B256,"ddd"))</f>
        <v/>
      </c>
      <c r="D256" s="44" t="n"/>
      <c r="E256" s="44"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IF(OR($B256="",$I256=""),"",IF(SUMPRODUCT(--ISNUMBER(SEARCH(nrInstrNames,$I256)))&gt;0,"OK","UNRECOGNIZED"))</f>
        <v/>
      </c>
    </row>
    <row r="257">
      <c r="B257" s="18" t="n"/>
      <c r="C257" s="17">
        <f>IF($B257="","",TEXT($B257,"ddd"))</f>
        <v/>
      </c>
      <c r="D257" s="44" t="n"/>
      <c r="E257" s="44"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IF(OR($B257="",$I257=""),"",IF(SUMPRODUCT(--ISNUMBER(SEARCH(nrInstrNames,$I257)))&gt;0,"OK","UNRECOGNIZED"))</f>
        <v/>
      </c>
    </row>
    <row r="258">
      <c r="B258" s="18" t="n"/>
      <c r="C258" s="17">
        <f>IF($B258="","",TEXT($B258,"ddd"))</f>
        <v/>
      </c>
      <c r="D258" s="44" t="n"/>
      <c r="E258" s="44"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IF(OR($B258="",$I258=""),"",IF(SUMPRODUCT(--ISNUMBER(SEARCH(nrInstrNames,$I258)))&gt;0,"OK","UNRECOGNIZED"))</f>
        <v/>
      </c>
    </row>
    <row r="259">
      <c r="B259" s="18" t="n"/>
      <c r="C259" s="17">
        <f>IF($B259="","",TEXT($B259,"ddd"))</f>
        <v/>
      </c>
      <c r="D259" s="44" t="n"/>
      <c r="E259" s="44"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IF(OR($B259="",$I259=""),"",IF(SUMPRODUCT(--ISNUMBER(SEARCH(nrInstrNames,$I259)))&gt;0,"OK","UNRECOGNIZED"))</f>
        <v/>
      </c>
    </row>
    <row r="260">
      <c r="B260" s="18" t="n"/>
      <c r="C260" s="17">
        <f>IF($B260="","",TEXT($B260,"ddd"))</f>
        <v/>
      </c>
      <c r="D260" s="44" t="n"/>
      <c r="E260" s="44"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IF(OR($B260="",$I260=""),"",IF(SUMPRODUCT(--ISNUMBER(SEARCH(nrInstrNames,$I260)))&gt;0,"OK","UNRECOGNIZED"))</f>
        <v/>
      </c>
    </row>
    <row r="261">
      <c r="B261" s="18" t="n"/>
      <c r="C261" s="17">
        <f>IF($B261="","",TEXT($B261,"ddd"))</f>
        <v/>
      </c>
      <c r="D261" s="44" t="n"/>
      <c r="E261" s="44"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IF(OR($B261="",$I261=""),"",IF(SUMPRODUCT(--ISNUMBER(SEARCH(nrInstrNames,$I261)))&gt;0,"OK","UNRECOGNIZED"))</f>
        <v/>
      </c>
    </row>
    <row r="262">
      <c r="B262" s="18" t="n"/>
      <c r="C262" s="17">
        <f>IF($B262="","",TEXT($B262,"ddd"))</f>
        <v/>
      </c>
      <c r="D262" s="44" t="n"/>
      <c r="E262" s="44"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IF(OR($B262="",$I262=""),"",IF(SUMPRODUCT(--ISNUMBER(SEARCH(nrInstrNames,$I262)))&gt;0,"OK","UNRECOGNIZED"))</f>
        <v/>
      </c>
    </row>
    <row r="263">
      <c r="B263" s="18" t="n"/>
      <c r="C263" s="17">
        <f>IF($B263="","",TEXT($B263,"ddd"))</f>
        <v/>
      </c>
      <c r="D263" s="44" t="n"/>
      <c r="E263" s="44"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IF(OR($B263="",$I263=""),"",IF(SUMPRODUCT(--ISNUMBER(SEARCH(nrInstrNames,$I263)))&gt;0,"OK","UNRECOGNIZED"))</f>
        <v/>
      </c>
    </row>
    <row r="264">
      <c r="B264" s="18" t="n"/>
      <c r="C264" s="17">
        <f>IF($B264="","",TEXT($B264,"ddd"))</f>
        <v/>
      </c>
      <c r="D264" s="44" t="n"/>
      <c r="E264" s="44"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IF(OR($B264="",$I264=""),"",IF(SUMPRODUCT(--ISNUMBER(SEARCH(nrInstrNames,$I264)))&gt;0,"OK","UNRECOGNIZED"))</f>
        <v/>
      </c>
    </row>
    <row r="265">
      <c r="B265" s="18" t="n"/>
      <c r="C265" s="17">
        <f>IF($B265="","",TEXT($B265,"ddd"))</f>
        <v/>
      </c>
      <c r="D265" s="44" t="n"/>
      <c r="E265" s="44"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IF(OR($B265="",$I265=""),"",IF(SUMPRODUCT(--ISNUMBER(SEARCH(nrInstrNames,$I265)))&gt;0,"OK","UNRECOGNIZED"))</f>
        <v/>
      </c>
    </row>
    <row r="266">
      <c r="B266" s="18" t="n"/>
      <c r="C266" s="17">
        <f>IF($B266="","",TEXT($B266,"ddd"))</f>
        <v/>
      </c>
      <c r="D266" s="44" t="n"/>
      <c r="E266" s="44"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IF(OR($B266="",$I266=""),"",IF(SUMPRODUCT(--ISNUMBER(SEARCH(nrInstrNames,$I266)))&gt;0,"OK","UNRECOGNIZED"))</f>
        <v/>
      </c>
    </row>
    <row r="267">
      <c r="B267" s="18" t="n"/>
      <c r="C267" s="17">
        <f>IF($B267="","",TEXT($B267,"ddd"))</f>
        <v/>
      </c>
      <c r="D267" s="44" t="n"/>
      <c r="E267" s="44"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IF(OR($B267="",$I267=""),"",IF(SUMPRODUCT(--ISNUMBER(SEARCH(nrInstrNames,$I267)))&gt;0,"OK","UNRECOGNIZED"))</f>
        <v/>
      </c>
    </row>
    <row r="268">
      <c r="B268" s="18" t="n"/>
      <c r="C268" s="17">
        <f>IF($B268="","",TEXT($B268,"ddd"))</f>
        <v/>
      </c>
      <c r="D268" s="44" t="n"/>
      <c r="E268" s="44"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IF(OR($B268="",$I268=""),"",IF(SUMPRODUCT(--ISNUMBER(SEARCH(nrInstrNames,$I268)))&gt;0,"OK","UNRECOGNIZED"))</f>
        <v/>
      </c>
    </row>
    <row r="269">
      <c r="B269" s="18" t="n"/>
      <c r="C269" s="17">
        <f>IF($B269="","",TEXT($B269,"ddd"))</f>
        <v/>
      </c>
      <c r="D269" s="44" t="n"/>
      <c r="E269" s="44"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IF(OR($B269="",$I269=""),"",IF(SUMPRODUCT(--ISNUMBER(SEARCH(nrInstrNames,$I269)))&gt;0,"OK","UNRECOGNIZED"))</f>
        <v/>
      </c>
    </row>
    <row r="270">
      <c r="B270" s="18" t="n"/>
      <c r="C270" s="17">
        <f>IF($B270="","",TEXT($B270,"ddd"))</f>
        <v/>
      </c>
      <c r="D270" s="44" t="n"/>
      <c r="E270" s="44"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IF(OR($B270="",$I270=""),"",IF(SUMPRODUCT(--ISNUMBER(SEARCH(nrInstrNames,$I270)))&gt;0,"OK","UNRECOGNIZED"))</f>
        <v/>
      </c>
    </row>
    <row r="271">
      <c r="B271" s="18" t="n"/>
      <c r="C271" s="17">
        <f>IF($B271="","",TEXT($B271,"ddd"))</f>
        <v/>
      </c>
      <c r="D271" s="44" t="n"/>
      <c r="E271" s="44"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IF(OR($B271="",$I271=""),"",IF(SUMPRODUCT(--ISNUMBER(SEARCH(nrInstrNames,$I271)))&gt;0,"OK","UNRECOGNIZED"))</f>
        <v/>
      </c>
    </row>
    <row r="272">
      <c r="B272" s="18" t="n"/>
      <c r="C272" s="17">
        <f>IF($B272="","",TEXT($B272,"ddd"))</f>
        <v/>
      </c>
      <c r="D272" s="44" t="n"/>
      <c r="E272" s="44"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IF(OR($B272="",$I272=""),"",IF(SUMPRODUCT(--ISNUMBER(SEARCH(nrInstrNames,$I272)))&gt;0,"OK","UNRECOGNIZED"))</f>
        <v/>
      </c>
    </row>
    <row r="273">
      <c r="B273" s="18" t="n"/>
      <c r="C273" s="17">
        <f>IF($B273="","",TEXT($B273,"ddd"))</f>
        <v/>
      </c>
      <c r="D273" s="44" t="n"/>
      <c r="E273" s="44"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IF(OR($B273="",$I273=""),"",IF(SUMPRODUCT(--ISNUMBER(SEARCH(nrInstrNames,$I273)))&gt;0,"OK","UNRECOGNIZED"))</f>
        <v/>
      </c>
    </row>
    <row r="274">
      <c r="B274" s="18" t="n"/>
      <c r="C274" s="17">
        <f>IF($B274="","",TEXT($B274,"ddd"))</f>
        <v/>
      </c>
      <c r="D274" s="44" t="n"/>
      <c r="E274" s="44"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IF(OR($B274="",$I274=""),"",IF(SUMPRODUCT(--ISNUMBER(SEARCH(nrInstrNames,$I274)))&gt;0,"OK","UNRECOGNIZED"))</f>
        <v/>
      </c>
    </row>
    <row r="275">
      <c r="B275" s="18" t="n"/>
      <c r="C275" s="17">
        <f>IF($B275="","",TEXT($B275,"ddd"))</f>
        <v/>
      </c>
      <c r="D275" s="44" t="n"/>
      <c r="E275" s="44"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IF(OR($B275="",$I275=""),"",IF(SUMPRODUCT(--ISNUMBER(SEARCH(nrInstrNames,$I275)))&gt;0,"OK","UNRECOGNIZED"))</f>
        <v/>
      </c>
    </row>
    <row r="276">
      <c r="B276" s="18" t="n"/>
      <c r="C276" s="17">
        <f>IF($B276="","",TEXT($B276,"ddd"))</f>
        <v/>
      </c>
      <c r="D276" s="44" t="n"/>
      <c r="E276" s="44"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IF(OR($B276="",$I276=""),"",IF(SUMPRODUCT(--ISNUMBER(SEARCH(nrInstrNames,$I276)))&gt;0,"OK","UNRECOGNIZED"))</f>
        <v/>
      </c>
    </row>
    <row r="277">
      <c r="B277" s="18" t="n"/>
      <c r="C277" s="17">
        <f>IF($B277="","",TEXT($B277,"ddd"))</f>
        <v/>
      </c>
      <c r="D277" s="44" t="n"/>
      <c r="E277" s="44"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IF(OR($B277="",$I277=""),"",IF(SUMPRODUCT(--ISNUMBER(SEARCH(nrInstrNames,$I277)))&gt;0,"OK","UNRECOGNIZED"))</f>
        <v/>
      </c>
    </row>
    <row r="278">
      <c r="B278" s="18" t="n"/>
      <c r="C278" s="17">
        <f>IF($B278="","",TEXT($B278,"ddd"))</f>
        <v/>
      </c>
      <c r="D278" s="44" t="n"/>
      <c r="E278" s="44"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IF(OR($B278="",$I278=""),"",IF(SUMPRODUCT(--ISNUMBER(SEARCH(nrInstrNames,$I278)))&gt;0,"OK","UNRECOGNIZED"))</f>
        <v/>
      </c>
    </row>
    <row r="279">
      <c r="B279" s="18" t="n"/>
      <c r="C279" s="17">
        <f>IF($B279="","",TEXT($B279,"ddd"))</f>
        <v/>
      </c>
      <c r="D279" s="44" t="n"/>
      <c r="E279" s="44"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IF(OR($B279="",$I279=""),"",IF(SUMPRODUCT(--ISNUMBER(SEARCH(nrInstrNames,$I279)))&gt;0,"OK","UNRECOGNIZED"))</f>
        <v/>
      </c>
    </row>
    <row r="280">
      <c r="B280" s="18" t="n"/>
      <c r="C280" s="17">
        <f>IF($B280="","",TEXT($B280,"ddd"))</f>
        <v/>
      </c>
      <c r="D280" s="44" t="n"/>
      <c r="E280" s="44"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IF(OR($B280="",$I280=""),"",IF(SUMPRODUCT(--ISNUMBER(SEARCH(nrInstrNames,$I280)))&gt;0,"OK","UNRECOGNIZED"))</f>
        <v/>
      </c>
    </row>
    <row r="281">
      <c r="B281" s="18" t="n"/>
      <c r="C281" s="17">
        <f>IF($B281="","",TEXT($B281,"ddd"))</f>
        <v/>
      </c>
      <c r="D281" s="44" t="n"/>
      <c r="E281" s="44"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IF(OR($B281="",$I281=""),"",IF(SUMPRODUCT(--ISNUMBER(SEARCH(nrInstrNames,$I281)))&gt;0,"OK","UNRECOGNIZED"))</f>
        <v/>
      </c>
    </row>
    <row r="282">
      <c r="B282" s="18" t="n"/>
      <c r="C282" s="17">
        <f>IF($B282="","",TEXT($B282,"ddd"))</f>
        <v/>
      </c>
      <c r="D282" s="44" t="n"/>
      <c r="E282" s="44"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IF(OR($B282="",$I282=""),"",IF(SUMPRODUCT(--ISNUMBER(SEARCH(nrInstrNames,$I282)))&gt;0,"OK","UNRECOGNIZED"))</f>
        <v/>
      </c>
    </row>
    <row r="283">
      <c r="B283" s="18" t="n"/>
      <c r="C283" s="17">
        <f>IF($B283="","",TEXT($B283,"ddd"))</f>
        <v/>
      </c>
      <c r="D283" s="44" t="n"/>
      <c r="E283" s="44"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IF(OR($B283="",$I283=""),"",IF(SUMPRODUCT(--ISNUMBER(SEARCH(nrInstrNames,$I283)))&gt;0,"OK","UNRECOGNIZED"))</f>
        <v/>
      </c>
    </row>
    <row r="284">
      <c r="B284" s="18" t="n"/>
      <c r="C284" s="17">
        <f>IF($B284="","",TEXT($B284,"ddd"))</f>
        <v/>
      </c>
      <c r="D284" s="44" t="n"/>
      <c r="E284" s="44"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IF(OR($B284="",$I284=""),"",IF(SUMPRODUCT(--ISNUMBER(SEARCH(nrInstrNames,$I284)))&gt;0,"OK","UNRECOGNIZED"))</f>
        <v/>
      </c>
    </row>
    <row r="285">
      <c r="B285" s="18" t="n"/>
      <c r="C285" s="17">
        <f>IF($B285="","",TEXT($B285,"ddd"))</f>
        <v/>
      </c>
      <c r="D285" s="44" t="n"/>
      <c r="E285" s="44"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IF(OR($B285="",$I285=""),"",IF(SUMPRODUCT(--ISNUMBER(SEARCH(nrInstrNames,$I285)))&gt;0,"OK","UNRECOGNIZED"))</f>
        <v/>
      </c>
    </row>
    <row r="286">
      <c r="B286" s="18" t="n"/>
      <c r="C286" s="17">
        <f>IF($B286="","",TEXT($B286,"ddd"))</f>
        <v/>
      </c>
      <c r="D286" s="44" t="n"/>
      <c r="E286" s="44"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IF(OR($B286="",$I286=""),"",IF(SUMPRODUCT(--ISNUMBER(SEARCH(nrInstrNames,$I286)))&gt;0,"OK","UNRECOGNIZED"))</f>
        <v/>
      </c>
    </row>
    <row r="287">
      <c r="B287" s="18" t="n"/>
      <c r="C287" s="17">
        <f>IF($B287="","",TEXT($B287,"ddd"))</f>
        <v/>
      </c>
      <c r="D287" s="44" t="n"/>
      <c r="E287" s="44"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IF(OR($B287="",$I287=""),"",IF(SUMPRODUCT(--ISNUMBER(SEARCH(nrInstrNames,$I287)))&gt;0,"OK","UNRECOGNIZED"))</f>
        <v/>
      </c>
    </row>
    <row r="288">
      <c r="B288" s="18" t="n"/>
      <c r="C288" s="17">
        <f>IF($B288="","",TEXT($B288,"ddd"))</f>
        <v/>
      </c>
      <c r="D288" s="44" t="n"/>
      <c r="E288" s="44"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IF(OR($B288="",$I288=""),"",IF(SUMPRODUCT(--ISNUMBER(SEARCH(nrInstrNames,$I288)))&gt;0,"OK","UNRECOGNIZED"))</f>
        <v/>
      </c>
    </row>
    <row r="289">
      <c r="B289" s="18" t="n"/>
      <c r="C289" s="17">
        <f>IF($B289="","",TEXT($B289,"ddd"))</f>
        <v/>
      </c>
      <c r="D289" s="44" t="n"/>
      <c r="E289" s="44"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IF(OR($B289="",$I289=""),"",IF(SUMPRODUCT(--ISNUMBER(SEARCH(nrInstrNames,$I289)))&gt;0,"OK","UNRECOGNIZED"))</f>
        <v/>
      </c>
    </row>
    <row r="290">
      <c r="B290" s="18" t="n"/>
      <c r="C290" s="17">
        <f>IF($B290="","",TEXT($B290,"ddd"))</f>
        <v/>
      </c>
      <c r="D290" s="44" t="n"/>
      <c r="E290" s="44"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IF(OR($B290="",$I290=""),"",IF(SUMPRODUCT(--ISNUMBER(SEARCH(nrInstrNames,$I290)))&gt;0,"OK","UNRECOGNIZED"))</f>
        <v/>
      </c>
    </row>
    <row r="291">
      <c r="B291" s="18" t="n"/>
      <c r="C291" s="17">
        <f>IF($B291="","",TEXT($B291,"ddd"))</f>
        <v/>
      </c>
      <c r="D291" s="44" t="n"/>
      <c r="E291" s="44"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IF(OR($B291="",$I291=""),"",IF(SUMPRODUCT(--ISNUMBER(SEARCH(nrInstrNames,$I291)))&gt;0,"OK","UNRECOGNIZED"))</f>
        <v/>
      </c>
    </row>
    <row r="292">
      <c r="B292" s="18" t="n"/>
      <c r="C292" s="17">
        <f>IF($B292="","",TEXT($B292,"ddd"))</f>
        <v/>
      </c>
      <c r="D292" s="44" t="n"/>
      <c r="E292" s="44"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IF(OR($B292="",$I292=""),"",IF(SUMPRODUCT(--ISNUMBER(SEARCH(nrInstrNames,$I292)))&gt;0,"OK","UNRECOGNIZED"))</f>
        <v/>
      </c>
    </row>
    <row r="293">
      <c r="B293" s="18" t="n"/>
      <c r="C293" s="17">
        <f>IF($B293="","",TEXT($B293,"ddd"))</f>
        <v/>
      </c>
      <c r="D293" s="44" t="n"/>
      <c r="E293" s="44"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IF(OR($B293="",$I293=""),"",IF(SUMPRODUCT(--ISNUMBER(SEARCH(nrInstrNames,$I293)))&gt;0,"OK","UNRECOGNIZED"))</f>
        <v/>
      </c>
    </row>
    <row r="294">
      <c r="B294" s="18" t="n"/>
      <c r="C294" s="17">
        <f>IF($B294="","",TEXT($B294,"ddd"))</f>
        <v/>
      </c>
      <c r="D294" s="44" t="n"/>
      <c r="E294" s="44"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IF(OR($B294="",$I294=""),"",IF(SUMPRODUCT(--ISNUMBER(SEARCH(nrInstrNames,$I294)))&gt;0,"OK","UNRECOGNIZED"))</f>
        <v/>
      </c>
    </row>
    <row r="295">
      <c r="B295" s="18" t="n"/>
      <c r="C295" s="17">
        <f>IF($B295="","",TEXT($B295,"ddd"))</f>
        <v/>
      </c>
      <c r="D295" s="44" t="n"/>
      <c r="E295" s="44"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IF(OR($B295="",$I295=""),"",IF(SUMPRODUCT(--ISNUMBER(SEARCH(nrInstrNames,$I295)))&gt;0,"OK","UNRECOGNIZED"))</f>
        <v/>
      </c>
    </row>
    <row r="296">
      <c r="B296" s="18" t="n"/>
      <c r="C296" s="17">
        <f>IF($B296="","",TEXT($B296,"ddd"))</f>
        <v/>
      </c>
      <c r="D296" s="44" t="n"/>
      <c r="E296" s="44"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IF(OR($B296="",$I296=""),"",IF(SUMPRODUCT(--ISNUMBER(SEARCH(nrInstrNames,$I296)))&gt;0,"OK","UNRECOGNIZED"))</f>
        <v/>
      </c>
    </row>
    <row r="297">
      <c r="B297" s="18" t="n"/>
      <c r="C297" s="17">
        <f>IF($B297="","",TEXT($B297,"ddd"))</f>
        <v/>
      </c>
      <c r="D297" s="44" t="n"/>
      <c r="E297" s="44"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IF(OR($B297="",$I297=""),"",IF(SUMPRODUCT(--ISNUMBER(SEARCH(nrInstrNames,$I297)))&gt;0,"OK","UNRECOGNIZED"))</f>
        <v/>
      </c>
    </row>
    <row r="298">
      <c r="B298" s="18" t="n"/>
      <c r="C298" s="17">
        <f>IF($B298="","",TEXT($B298,"ddd"))</f>
        <v/>
      </c>
      <c r="D298" s="44" t="n"/>
      <c r="E298" s="44"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IF(OR($B298="",$I298=""),"",IF(SUMPRODUCT(--ISNUMBER(SEARCH(nrInstrNames,$I298)))&gt;0,"OK","UNRECOGNIZED"))</f>
        <v/>
      </c>
    </row>
    <row r="299">
      <c r="B299" s="18" t="n"/>
      <c r="C299" s="17">
        <f>IF($B299="","",TEXT($B299,"ddd"))</f>
        <v/>
      </c>
      <c r="D299" s="44" t="n"/>
      <c r="E299" s="44"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IF(OR($B299="",$I299=""),"",IF(SUMPRODUCT(--ISNUMBER(SEARCH(nrInstrNames,$I299)))&gt;0,"OK","UNRECOGNIZED"))</f>
        <v/>
      </c>
    </row>
    <row r="300">
      <c r="B300" s="18" t="n"/>
      <c r="C300" s="17">
        <f>IF($B300="","",TEXT($B300,"ddd"))</f>
        <v/>
      </c>
      <c r="D300" s="44" t="n"/>
      <c r="E300" s="44"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IF(OR($B300="",$I300=""),"",IF(SUMPRODUCT(--ISNUMBER(SEARCH(nrInstrNames,$I300)))&gt;0,"OK","UNRECOGNIZED"))</f>
        <v/>
      </c>
    </row>
    <row r="301">
      <c r="B301" s="18" t="n"/>
      <c r="C301" s="17">
        <f>IF($B301="","",TEXT($B301,"ddd"))</f>
        <v/>
      </c>
      <c r="D301" s="44" t="n"/>
      <c r="E301" s="44"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IF(OR($B301="",$I301=""),"",IF(SUMPRODUCT(--ISNUMBER(SEARCH(nrInstrNames,$I301)))&gt;0,"OK","UNRECOGNIZED"))</f>
        <v/>
      </c>
    </row>
    <row r="302">
      <c r="B302" s="18" t="n"/>
      <c r="C302" s="17">
        <f>IF($B302="","",TEXT($B302,"ddd"))</f>
        <v/>
      </c>
      <c r="D302" s="44" t="n"/>
      <c r="E302" s="44"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IF(OR($B302="",$I302=""),"",IF(SUMPRODUCT(--ISNUMBER(SEARCH(nrInstrNames,$I302)))&gt;0,"OK","UNRECOGNIZED"))</f>
        <v/>
      </c>
    </row>
    <row r="303">
      <c r="B303" s="18" t="n"/>
      <c r="C303" s="17">
        <f>IF($B303="","",TEXT($B303,"ddd"))</f>
        <v/>
      </c>
      <c r="D303" s="44" t="n"/>
      <c r="E303" s="44"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IF(OR($B303="",$I303=""),"",IF(SUMPRODUCT(--ISNUMBER(SEARCH(nrInstrNames,$I303)))&gt;0,"OK","UNRECOGNIZED"))</f>
        <v/>
      </c>
    </row>
    <row r="304">
      <c r="B304" s="18" t="n"/>
      <c r="C304" s="17">
        <f>IF($B304="","",TEXT($B304,"ddd"))</f>
        <v/>
      </c>
      <c r="D304" s="44" t="n"/>
      <c r="E304" s="44"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IF(OR($B304="",$I304=""),"",IF(SUMPRODUCT(--ISNUMBER(SEARCH(nrInstrNames,$I304)))&gt;0,"OK","UNRECOGNIZED"))</f>
        <v/>
      </c>
    </row>
    <row r="305">
      <c r="B305" s="18" t="n"/>
      <c r="C305" s="17">
        <f>IF($B305="","",TEXT($B305,"ddd"))</f>
        <v/>
      </c>
      <c r="D305" s="44" t="n"/>
      <c r="E305" s="44"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IF(OR($B305="",$I305=""),"",IF(SUMPRODUCT(--ISNUMBER(SEARCH(nrInstrNames,$I305)))&gt;0,"OK","UNRECOGNIZED"))</f>
        <v/>
      </c>
    </row>
    <row r="306">
      <c r="B306" s="18" t="n"/>
      <c r="C306" s="17">
        <f>IF($B306="","",TEXT($B306,"ddd"))</f>
        <v/>
      </c>
      <c r="D306" s="44" t="n"/>
      <c r="E306" s="44"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IF(OR($B306="",$I306=""),"",IF(SUMPRODUCT(--ISNUMBER(SEARCH(nrInstrNames,$I306)))&gt;0,"OK","UNRECOGNIZED"))</f>
        <v/>
      </c>
    </row>
    <row r="307">
      <c r="B307" s="18" t="n"/>
      <c r="C307" s="17">
        <f>IF($B307="","",TEXT($B307,"ddd"))</f>
        <v/>
      </c>
      <c r="D307" s="44" t="n"/>
      <c r="E307" s="44"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IF(OR($B307="",$I307=""),"",IF(SUMPRODUCT(--ISNUMBER(SEARCH(nrInstrNames,$I307)))&gt;0,"OK","UNRECOGNIZED"))</f>
        <v/>
      </c>
    </row>
    <row r="308">
      <c r="B308" s="18" t="n"/>
      <c r="C308" s="17">
        <f>IF($B308="","",TEXT($B308,"ddd"))</f>
        <v/>
      </c>
      <c r="D308" s="44" t="n"/>
      <c r="E308" s="44"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IF(OR($B308="",$I308=""),"",IF(SUMPRODUCT(--ISNUMBER(SEARCH(nrInstrNames,$I308)))&gt;0,"OK","UNRECOGNIZED"))</f>
        <v/>
      </c>
    </row>
    <row r="309">
      <c r="B309" s="18" t="n"/>
      <c r="C309" s="17">
        <f>IF($B309="","",TEXT($B309,"ddd"))</f>
        <v/>
      </c>
      <c r="D309" s="44" t="n"/>
      <c r="E309" s="44"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IF(OR($B309="",$I309=""),"",IF(SUMPRODUCT(--ISNUMBER(SEARCH(nrInstrNames,$I309)))&gt;0,"OK","UNRECOGNIZED"))</f>
        <v/>
      </c>
    </row>
    <row r="310">
      <c r="B310" s="18" t="n"/>
      <c r="C310" s="17">
        <f>IF($B310="","",TEXT($B310,"ddd"))</f>
        <v/>
      </c>
      <c r="D310" s="44" t="n"/>
      <c r="E310" s="44"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IF(OR($B310="",$I310=""),"",IF(SUMPRODUCT(--ISNUMBER(SEARCH(nrInstrNames,$I310)))&gt;0,"OK","UNRECOGNIZED"))</f>
        <v/>
      </c>
    </row>
    <row r="311">
      <c r="B311" s="18" t="n"/>
      <c r="C311" s="17">
        <f>IF($B311="","",TEXT($B311,"ddd"))</f>
        <v/>
      </c>
      <c r="D311" s="44" t="n"/>
      <c r="E311" s="44"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IF(OR($B311="",$I311=""),"",IF(SUMPRODUCT(--ISNUMBER(SEARCH(nrInstrNames,$I311)))&gt;0,"OK","UNRECOGNIZED"))</f>
        <v/>
      </c>
    </row>
    <row r="312">
      <c r="B312" s="18" t="n"/>
      <c r="C312" s="17">
        <f>IF($B312="","",TEXT($B312,"ddd"))</f>
        <v/>
      </c>
      <c r="D312" s="44" t="n"/>
      <c r="E312" s="44"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IF(OR($B312="",$I312=""),"",IF(SUMPRODUCT(--ISNUMBER(SEARCH(nrInstrNames,$I312)))&gt;0,"OK","UNRECOGNIZED"))</f>
        <v/>
      </c>
    </row>
    <row r="313">
      <c r="B313" s="18" t="n"/>
      <c r="C313" s="17">
        <f>IF($B313="","",TEXT($B313,"ddd"))</f>
        <v/>
      </c>
      <c r="D313" s="44" t="n"/>
      <c r="E313" s="44"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IF(OR($B313="",$I313=""),"",IF(SUMPRODUCT(--ISNUMBER(SEARCH(nrInstrNames,$I313)))&gt;0,"OK","UNRECOGNIZED"))</f>
        <v/>
      </c>
    </row>
    <row r="314">
      <c r="B314" s="18" t="n"/>
      <c r="C314" s="17">
        <f>IF($B314="","",TEXT($B314,"ddd"))</f>
        <v/>
      </c>
      <c r="D314" s="44" t="n"/>
      <c r="E314" s="44"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IF(OR($B314="",$I314=""),"",IF(SUMPRODUCT(--ISNUMBER(SEARCH(nrInstrNames,$I314)))&gt;0,"OK","UNRECOGNIZED"))</f>
        <v/>
      </c>
    </row>
    <row r="315">
      <c r="B315" s="18" t="n"/>
      <c r="C315" s="17">
        <f>IF($B315="","",TEXT($B315,"ddd"))</f>
        <v/>
      </c>
      <c r="D315" s="44" t="n"/>
      <c r="E315" s="44"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IF(OR($B315="",$I315=""),"",IF(SUMPRODUCT(--ISNUMBER(SEARCH(nrInstrNames,$I315)))&gt;0,"OK","UNRECOGNIZED"))</f>
        <v/>
      </c>
    </row>
    <row r="316">
      <c r="B316" s="18" t="n"/>
      <c r="C316" s="17">
        <f>IF($B316="","",TEXT($B316,"ddd"))</f>
        <v/>
      </c>
      <c r="D316" s="44" t="n"/>
      <c r="E316" s="44"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IF(OR($B316="",$I316=""),"",IF(SUMPRODUCT(--ISNUMBER(SEARCH(nrInstrNames,$I316)))&gt;0,"OK","UNRECOGNIZED"))</f>
        <v/>
      </c>
    </row>
    <row r="317">
      <c r="B317" s="18" t="n"/>
      <c r="C317" s="17">
        <f>IF($B317="","",TEXT($B317,"ddd"))</f>
        <v/>
      </c>
      <c r="D317" s="44" t="n"/>
      <c r="E317" s="44"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IF(OR($B317="",$I317=""),"",IF(SUMPRODUCT(--ISNUMBER(SEARCH(nrInstrNames,$I317)))&gt;0,"OK","UNRECOGNIZED"))</f>
        <v/>
      </c>
    </row>
    <row r="318">
      <c r="B318" s="18" t="n"/>
      <c r="C318" s="17">
        <f>IF($B318="","",TEXT($B318,"ddd"))</f>
        <v/>
      </c>
      <c r="D318" s="44" t="n"/>
      <c r="E318" s="44"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IF(OR($B318="",$I318=""),"",IF(SUMPRODUCT(--ISNUMBER(SEARCH(nrInstrNames,$I318)))&gt;0,"OK","UNRECOGNIZED"))</f>
        <v/>
      </c>
    </row>
    <row r="319">
      <c r="B319" s="18" t="n"/>
      <c r="C319" s="17">
        <f>IF($B319="","",TEXT($B319,"ddd"))</f>
        <v/>
      </c>
      <c r="D319" s="44" t="n"/>
      <c r="E319" s="44"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IF(OR($B319="",$I319=""),"",IF(SUMPRODUCT(--ISNUMBER(SEARCH(nrInstrNames,$I319)))&gt;0,"OK","UNRECOGNIZED"))</f>
        <v/>
      </c>
    </row>
    <row r="320">
      <c r="B320" s="18" t="n"/>
      <c r="C320" s="17">
        <f>IF($B320="","",TEXT($B320,"ddd"))</f>
        <v/>
      </c>
      <c r="D320" s="44" t="n"/>
      <c r="E320" s="44"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IF(OR($B320="",$I320=""),"",IF(SUMPRODUCT(--ISNUMBER(SEARCH(nrInstrNames,$I320)))&gt;0,"OK","UNRECOGNIZED"))</f>
        <v/>
      </c>
    </row>
    <row r="321">
      <c r="B321" s="18" t="n"/>
      <c r="C321" s="17">
        <f>IF($B321="","",TEXT($B321,"ddd"))</f>
        <v/>
      </c>
      <c r="D321" s="44" t="n"/>
      <c r="E321" s="44"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IF(OR($B321="",$I321=""),"",IF(SUMPRODUCT(--ISNUMBER(SEARCH(nrInstrNames,$I321)))&gt;0,"OK","UNRECOGNIZED"))</f>
        <v/>
      </c>
    </row>
    <row r="322">
      <c r="B322" s="18" t="n"/>
      <c r="C322" s="17">
        <f>IF($B322="","",TEXT($B322,"ddd"))</f>
        <v/>
      </c>
      <c r="D322" s="44" t="n"/>
      <c r="E322" s="44"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IF(OR($B322="",$I322=""),"",IF(SUMPRODUCT(--ISNUMBER(SEARCH(nrInstrNames,$I322)))&gt;0,"OK","UNRECOGNIZED"))</f>
        <v/>
      </c>
    </row>
    <row r="323">
      <c r="B323" s="18" t="n"/>
      <c r="C323" s="17">
        <f>IF($B323="","",TEXT($B323,"ddd"))</f>
        <v/>
      </c>
      <c r="D323" s="44" t="n"/>
      <c r="E323" s="44"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IF(OR($B323="",$I323=""),"",IF(SUMPRODUCT(--ISNUMBER(SEARCH(nrInstrNames,$I323)))&gt;0,"OK","UNRECOGNIZED"))</f>
        <v/>
      </c>
    </row>
    <row r="324">
      <c r="B324" s="18" t="n"/>
      <c r="C324" s="17">
        <f>IF($B324="","",TEXT($B324,"ddd"))</f>
        <v/>
      </c>
      <c r="D324" s="44" t="n"/>
      <c r="E324" s="44"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IF(OR($B324="",$I324=""),"",IF(SUMPRODUCT(--ISNUMBER(SEARCH(nrInstrNames,$I324)))&gt;0,"OK","UNRECOGNIZED"))</f>
        <v/>
      </c>
    </row>
    <row r="325">
      <c r="B325" s="18" t="n"/>
      <c r="C325" s="17">
        <f>IF($B325="","",TEXT($B325,"ddd"))</f>
        <v/>
      </c>
      <c r="D325" s="44" t="n"/>
      <c r="E325" s="44"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IF(OR($B325="",$I325=""),"",IF(SUMPRODUCT(--ISNUMBER(SEARCH(nrInstrNames,$I325)))&gt;0,"OK","UNRECOGNIZED"))</f>
        <v/>
      </c>
    </row>
    <row r="326">
      <c r="B326" s="18" t="n"/>
      <c r="C326" s="17">
        <f>IF($B326="","",TEXT($B326,"ddd"))</f>
        <v/>
      </c>
      <c r="D326" s="44" t="n"/>
      <c r="E326" s="44"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IF(OR($B326="",$I326=""),"",IF(SUMPRODUCT(--ISNUMBER(SEARCH(nrInstrNames,$I326)))&gt;0,"OK","UNRECOGNIZED"))</f>
        <v/>
      </c>
    </row>
    <row r="327">
      <c r="B327" s="18" t="n"/>
      <c r="C327" s="17">
        <f>IF($B327="","",TEXT($B327,"ddd"))</f>
        <v/>
      </c>
      <c r="D327" s="44" t="n"/>
      <c r="E327" s="44"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IF(OR($B327="",$I327=""),"",IF(SUMPRODUCT(--ISNUMBER(SEARCH(nrInstrNames,$I327)))&gt;0,"OK","UNRECOGNIZED"))</f>
        <v/>
      </c>
    </row>
    <row r="328">
      <c r="B328" s="18" t="n"/>
      <c r="C328" s="17">
        <f>IF($B328="","",TEXT($B328,"ddd"))</f>
        <v/>
      </c>
      <c r="D328" s="44" t="n"/>
      <c r="E328" s="44"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IF(OR($B328="",$I328=""),"",IF(SUMPRODUCT(--ISNUMBER(SEARCH(nrInstrNames,$I328)))&gt;0,"OK","UNRECOGNIZED"))</f>
        <v/>
      </c>
    </row>
    <row r="329">
      <c r="B329" s="18" t="n"/>
      <c r="C329" s="17">
        <f>IF($B329="","",TEXT($B329,"ddd"))</f>
        <v/>
      </c>
      <c r="D329" s="44" t="n"/>
      <c r="E329" s="44"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IF(OR($B329="",$I329=""),"",IF(SUMPRODUCT(--ISNUMBER(SEARCH(nrInstrNames,$I329)))&gt;0,"OK","UNRECOGNIZED"))</f>
        <v/>
      </c>
    </row>
    <row r="330">
      <c r="B330" s="18" t="n"/>
      <c r="C330" s="17">
        <f>IF($B330="","",TEXT($B330,"ddd"))</f>
        <v/>
      </c>
      <c r="D330" s="44" t="n"/>
      <c r="E330" s="44"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IF(OR($B330="",$I330=""),"",IF(SUMPRODUCT(--ISNUMBER(SEARCH(nrInstrNames,$I330)))&gt;0,"OK","UNRECOGNIZED"))</f>
        <v/>
      </c>
    </row>
    <row r="331">
      <c r="B331" s="18" t="n"/>
      <c r="C331" s="17">
        <f>IF($B331="","",TEXT($B331,"ddd"))</f>
        <v/>
      </c>
      <c r="D331" s="44" t="n"/>
      <c r="E331" s="44"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IF(OR($B331="",$I331=""),"",IF(SUMPRODUCT(--ISNUMBER(SEARCH(nrInstrNames,$I331)))&gt;0,"OK","UNRECOGNIZED"))</f>
        <v/>
      </c>
    </row>
    <row r="332">
      <c r="B332" s="18" t="n"/>
      <c r="C332" s="17">
        <f>IF($B332="","",TEXT($B332,"ddd"))</f>
        <v/>
      </c>
      <c r="D332" s="44" t="n"/>
      <c r="E332" s="44"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IF(OR($B332="",$I332=""),"",IF(SUMPRODUCT(--ISNUMBER(SEARCH(nrInstrNames,$I332)))&gt;0,"OK","UNRECOGNIZED"))</f>
        <v/>
      </c>
    </row>
    <row r="333">
      <c r="B333" s="18" t="n"/>
      <c r="C333" s="17">
        <f>IF($B333="","",TEXT($B333,"ddd"))</f>
        <v/>
      </c>
      <c r="D333" s="44" t="n"/>
      <c r="E333" s="44"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IF(OR($B333="",$I333=""),"",IF(SUMPRODUCT(--ISNUMBER(SEARCH(nrInstrNames,$I333)))&gt;0,"OK","UNRECOGNIZED"))</f>
        <v/>
      </c>
    </row>
    <row r="334">
      <c r="B334" s="18" t="n"/>
      <c r="C334" s="17">
        <f>IF($B334="","",TEXT($B334,"ddd"))</f>
        <v/>
      </c>
      <c r="D334" s="44" t="n"/>
      <c r="E334" s="44"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IF(OR($B334="",$I334=""),"",IF(SUMPRODUCT(--ISNUMBER(SEARCH(nrInstrNames,$I334)))&gt;0,"OK","UNRECOGNIZED"))</f>
        <v/>
      </c>
    </row>
    <row r="335">
      <c r="B335" s="18" t="n"/>
      <c r="C335" s="17">
        <f>IF($B335="","",TEXT($B335,"ddd"))</f>
        <v/>
      </c>
      <c r="D335" s="44" t="n"/>
      <c r="E335" s="44"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IF(OR($B335="",$I335=""),"",IF(SUMPRODUCT(--ISNUMBER(SEARCH(nrInstrNames,$I335)))&gt;0,"OK","UNRECOGNIZED"))</f>
        <v/>
      </c>
    </row>
    <row r="336">
      <c r="B336" s="18" t="n"/>
      <c r="C336" s="17">
        <f>IF($B336="","",TEXT($B336,"ddd"))</f>
        <v/>
      </c>
      <c r="D336" s="44" t="n"/>
      <c r="E336" s="44"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IF(OR($B336="",$I336=""),"",IF(SUMPRODUCT(--ISNUMBER(SEARCH(nrInstrNames,$I336)))&gt;0,"OK","UNRECOGNIZED"))</f>
        <v/>
      </c>
    </row>
    <row r="337">
      <c r="B337" s="18" t="n"/>
      <c r="C337" s="17">
        <f>IF($B337="","",TEXT($B337,"ddd"))</f>
        <v/>
      </c>
      <c r="D337" s="44" t="n"/>
      <c r="E337" s="44"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IF(OR($B337="",$I337=""),"",IF(SUMPRODUCT(--ISNUMBER(SEARCH(nrInstrNames,$I337)))&gt;0,"OK","UNRECOGNIZED"))</f>
        <v/>
      </c>
    </row>
    <row r="338">
      <c r="B338" s="18" t="n"/>
      <c r="C338" s="17">
        <f>IF($B338="","",TEXT($B338,"ddd"))</f>
        <v/>
      </c>
      <c r="D338" s="44" t="n"/>
      <c r="E338" s="44"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IF(OR($B338="",$I338=""),"",IF(SUMPRODUCT(--ISNUMBER(SEARCH(nrInstrNames,$I338)))&gt;0,"OK","UNRECOGNIZED"))</f>
        <v/>
      </c>
    </row>
    <row r="339">
      <c r="B339" s="18" t="n"/>
      <c r="C339" s="17">
        <f>IF($B339="","",TEXT($B339,"ddd"))</f>
        <v/>
      </c>
      <c r="D339" s="44" t="n"/>
      <c r="E339" s="44"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IF(OR($B339="",$I339=""),"",IF(SUMPRODUCT(--ISNUMBER(SEARCH(nrInstrNames,$I339)))&gt;0,"OK","UNRECOGNIZED"))</f>
        <v/>
      </c>
    </row>
    <row r="340">
      <c r="B340" s="18" t="n"/>
      <c r="C340" s="17">
        <f>IF($B340="","",TEXT($B340,"ddd"))</f>
        <v/>
      </c>
      <c r="D340" s="44" t="n"/>
      <c r="E340" s="44"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IF(OR($B340="",$I340=""),"",IF(SUMPRODUCT(--ISNUMBER(SEARCH(nrInstrNames,$I340)))&gt;0,"OK","UNRECOGNIZED"))</f>
        <v/>
      </c>
    </row>
    <row r="341">
      <c r="B341" s="18" t="n"/>
      <c r="C341" s="17">
        <f>IF($B341="","",TEXT($B341,"ddd"))</f>
        <v/>
      </c>
      <c r="D341" s="44" t="n"/>
      <c r="E341" s="44"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IF(OR($B341="",$I341=""),"",IF(SUMPRODUCT(--ISNUMBER(SEARCH(nrInstrNames,$I341)))&gt;0,"OK","UNRECOGNIZED"))</f>
        <v/>
      </c>
    </row>
    <row r="342">
      <c r="B342" s="18" t="n"/>
      <c r="C342" s="17">
        <f>IF($B342="","",TEXT($B342,"ddd"))</f>
        <v/>
      </c>
      <c r="D342" s="44" t="n"/>
      <c r="E342" s="44"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IF(OR($B342="",$I342=""),"",IF(SUMPRODUCT(--ISNUMBER(SEARCH(nrInstrNames,$I342)))&gt;0,"OK","UNRECOGNIZED"))</f>
        <v/>
      </c>
    </row>
    <row r="343">
      <c r="B343" s="18" t="n"/>
      <c r="C343" s="17">
        <f>IF($B343="","",TEXT($B343,"ddd"))</f>
        <v/>
      </c>
      <c r="D343" s="44" t="n"/>
      <c r="E343" s="44"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IF(OR($B343="",$I343=""),"",IF(SUMPRODUCT(--ISNUMBER(SEARCH(nrInstrNames,$I343)))&gt;0,"OK","UNRECOGNIZED"))</f>
        <v/>
      </c>
    </row>
    <row r="344">
      <c r="B344" s="18" t="n"/>
      <c r="C344" s="17">
        <f>IF($B344="","",TEXT($B344,"ddd"))</f>
        <v/>
      </c>
      <c r="D344" s="44" t="n"/>
      <c r="E344" s="44"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IF(OR($B344="",$I344=""),"",IF(SUMPRODUCT(--ISNUMBER(SEARCH(nrInstrNames,$I344)))&gt;0,"OK","UNRECOGNIZED"))</f>
        <v/>
      </c>
    </row>
    <row r="345">
      <c r="B345" s="18" t="n"/>
      <c r="C345" s="17">
        <f>IF($B345="","",TEXT($B345,"ddd"))</f>
        <v/>
      </c>
      <c r="D345" s="44" t="n"/>
      <c r="E345" s="44"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IF(OR($B345="",$I345=""),"",IF(SUMPRODUCT(--ISNUMBER(SEARCH(nrInstrNames,$I345)))&gt;0,"OK","UNRECOGNIZED"))</f>
        <v/>
      </c>
    </row>
    <row r="346">
      <c r="B346" s="18" t="n"/>
      <c r="C346" s="17">
        <f>IF($B346="","",TEXT($B346,"ddd"))</f>
        <v/>
      </c>
      <c r="D346" s="44" t="n"/>
      <c r="E346" s="44"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IF(OR($B346="",$I346=""),"",IF(SUMPRODUCT(--ISNUMBER(SEARCH(nrInstrNames,$I346)))&gt;0,"OK","UNRECOGNIZED"))</f>
        <v/>
      </c>
    </row>
    <row r="347">
      <c r="B347" s="18" t="n"/>
      <c r="C347" s="17">
        <f>IF($B347="","",TEXT($B347,"ddd"))</f>
        <v/>
      </c>
      <c r="D347" s="44" t="n"/>
      <c r="E347" s="44"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IF(OR($B347="",$I347=""),"",IF(SUMPRODUCT(--ISNUMBER(SEARCH(nrInstrNames,$I347)))&gt;0,"OK","UNRECOGNIZED"))</f>
        <v/>
      </c>
    </row>
    <row r="348">
      <c r="B348" s="18" t="n"/>
      <c r="C348" s="17">
        <f>IF($B348="","",TEXT($B348,"ddd"))</f>
        <v/>
      </c>
      <c r="D348" s="44" t="n"/>
      <c r="E348" s="44"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IF(OR($B348="",$I348=""),"",IF(SUMPRODUCT(--ISNUMBER(SEARCH(nrInstrNames,$I348)))&gt;0,"OK","UNRECOGNIZED"))</f>
        <v/>
      </c>
    </row>
    <row r="349">
      <c r="B349" s="18" t="n"/>
      <c r="C349" s="17">
        <f>IF($B349="","",TEXT($B349,"ddd"))</f>
        <v/>
      </c>
      <c r="D349" s="44" t="n"/>
      <c r="E349" s="44"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IF(OR($B349="",$I349=""),"",IF(SUMPRODUCT(--ISNUMBER(SEARCH(nrInstrNames,$I349)))&gt;0,"OK","UNRECOGNIZED"))</f>
        <v/>
      </c>
    </row>
    <row r="350">
      <c r="B350" s="18" t="n"/>
      <c r="C350" s="17">
        <f>IF($B350="","",TEXT($B350,"ddd"))</f>
        <v/>
      </c>
      <c r="D350" s="44" t="n"/>
      <c r="E350" s="44"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IF(OR($B350="",$I350=""),"",IF(SUMPRODUCT(--ISNUMBER(SEARCH(nrInstrNames,$I350)))&gt;0,"OK","UNRECOGNIZED"))</f>
        <v/>
      </c>
    </row>
    <row r="351">
      <c r="B351" s="18" t="n"/>
      <c r="C351" s="17">
        <f>IF($B351="","",TEXT($B351,"ddd"))</f>
        <v/>
      </c>
      <c r="D351" s="44" t="n"/>
      <c r="E351" s="44"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IF(OR($B351="",$I351=""),"",IF(SUMPRODUCT(--ISNUMBER(SEARCH(nrInstrNames,$I351)))&gt;0,"OK","UNRECOGNIZED"))</f>
        <v/>
      </c>
    </row>
    <row r="352">
      <c r="B352" s="18" t="n"/>
      <c r="C352" s="17">
        <f>IF($B352="","",TEXT($B352,"ddd"))</f>
        <v/>
      </c>
      <c r="D352" s="44" t="n"/>
      <c r="E352" s="44"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IF(OR($B352="",$I352=""),"",IF(SUMPRODUCT(--ISNUMBER(SEARCH(nrInstrNames,$I352)))&gt;0,"OK","UNRECOGNIZED"))</f>
        <v/>
      </c>
    </row>
    <row r="353">
      <c r="B353" s="18" t="n"/>
      <c r="C353" s="17">
        <f>IF($B353="","",TEXT($B353,"ddd"))</f>
        <v/>
      </c>
      <c r="D353" s="44" t="n"/>
      <c r="E353" s="44"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IF(OR($B353="",$I353=""),"",IF(SUMPRODUCT(--ISNUMBER(SEARCH(nrInstrNames,$I353)))&gt;0,"OK","UNRECOGNIZED"))</f>
        <v/>
      </c>
    </row>
    <row r="354">
      <c r="B354" s="18" t="n"/>
      <c r="C354" s="17">
        <f>IF($B354="","",TEXT($B354,"ddd"))</f>
        <v/>
      </c>
      <c r="D354" s="44" t="n"/>
      <c r="E354" s="44"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IF(OR($B354="",$I354=""),"",IF(SUMPRODUCT(--ISNUMBER(SEARCH(nrInstrNames,$I354)))&gt;0,"OK","UNRECOGNIZED"))</f>
        <v/>
      </c>
    </row>
    <row r="355">
      <c r="B355" s="18" t="n"/>
      <c r="C355" s="17">
        <f>IF($B355="","",TEXT($B355,"ddd"))</f>
        <v/>
      </c>
      <c r="D355" s="44" t="n"/>
      <c r="E355" s="44"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IF(OR($B355="",$I355=""),"",IF(SUMPRODUCT(--ISNUMBER(SEARCH(nrInstrNames,$I355)))&gt;0,"OK","UNRECOGNIZED"))</f>
        <v/>
      </c>
    </row>
    <row r="356">
      <c r="B356" s="18" t="n"/>
      <c r="C356" s="17">
        <f>IF($B356="","",TEXT($B356,"ddd"))</f>
        <v/>
      </c>
      <c r="D356" s="44" t="n"/>
      <c r="E356" s="44"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IF(OR($B356="",$I356=""),"",IF(SUMPRODUCT(--ISNUMBER(SEARCH(nrInstrNames,$I356)))&gt;0,"OK","UNRECOGNIZED"))</f>
        <v/>
      </c>
    </row>
    <row r="357">
      <c r="B357" s="18" t="n"/>
      <c r="C357" s="17">
        <f>IF($B357="","",TEXT($B357,"ddd"))</f>
        <v/>
      </c>
      <c r="D357" s="44" t="n"/>
      <c r="E357" s="44"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IF(OR($B357="",$I357=""),"",IF(SUMPRODUCT(--ISNUMBER(SEARCH(nrInstrNames,$I357)))&gt;0,"OK","UNRECOGNIZED"))</f>
        <v/>
      </c>
    </row>
    <row r="358">
      <c r="B358" s="18" t="n"/>
      <c r="C358" s="17">
        <f>IF($B358="","",TEXT($B358,"ddd"))</f>
        <v/>
      </c>
      <c r="D358" s="44" t="n"/>
      <c r="E358" s="44"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IF(OR($B358="",$I358=""),"",IF(SUMPRODUCT(--ISNUMBER(SEARCH(nrInstrNames,$I358)))&gt;0,"OK","UNRECOGNIZED"))</f>
        <v/>
      </c>
    </row>
    <row r="359">
      <c r="B359" s="18" t="n"/>
      <c r="C359" s="17">
        <f>IF($B359="","",TEXT($B359,"ddd"))</f>
        <v/>
      </c>
      <c r="D359" s="44" t="n"/>
      <c r="E359" s="44"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IF(OR($B359="",$I359=""),"",IF(SUMPRODUCT(--ISNUMBER(SEARCH(nrInstrNames,$I359)))&gt;0,"OK","UNRECOGNIZED"))</f>
        <v/>
      </c>
    </row>
    <row r="360">
      <c r="B360" s="18" t="n"/>
      <c r="C360" s="17">
        <f>IF($B360="","",TEXT($B360,"ddd"))</f>
        <v/>
      </c>
      <c r="D360" s="44" t="n"/>
      <c r="E360" s="44"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IF(OR($B360="",$I360=""),"",IF(SUMPRODUCT(--ISNUMBER(SEARCH(nrInstrNames,$I360)))&gt;0,"OK","UNRECOGNIZED"))</f>
        <v/>
      </c>
    </row>
    <row r="361">
      <c r="B361" s="18" t="n"/>
      <c r="C361" s="17">
        <f>IF($B361="","",TEXT($B361,"ddd"))</f>
        <v/>
      </c>
      <c r="D361" s="44" t="n"/>
      <c r="E361" s="44"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IF(OR($B361="",$I361=""),"",IF(SUMPRODUCT(--ISNUMBER(SEARCH(nrInstrNames,$I361)))&gt;0,"OK","UNRECOGNIZED"))</f>
        <v/>
      </c>
    </row>
    <row r="362">
      <c r="B362" s="18" t="n"/>
      <c r="C362" s="17">
        <f>IF($B362="","",TEXT($B362,"ddd"))</f>
        <v/>
      </c>
      <c r="D362" s="44" t="n"/>
      <c r="E362" s="44"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IF(OR($B362="",$I362=""),"",IF(SUMPRODUCT(--ISNUMBER(SEARCH(nrInstrNames,$I362)))&gt;0,"OK","UNRECOGNIZED"))</f>
        <v/>
      </c>
    </row>
    <row r="363">
      <c r="B363" s="18" t="n"/>
      <c r="C363" s="17">
        <f>IF($B363="","",TEXT($B363,"ddd"))</f>
        <v/>
      </c>
      <c r="D363" s="44" t="n"/>
      <c r="E363" s="44"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IF(OR($B363="",$I363=""),"",IF(SUMPRODUCT(--ISNUMBER(SEARCH(nrInstrNames,$I363)))&gt;0,"OK","UNRECOGNIZED"))</f>
        <v/>
      </c>
    </row>
    <row r="364">
      <c r="B364" s="18" t="n"/>
      <c r="C364" s="17">
        <f>IF($B364="","",TEXT($B364,"ddd"))</f>
        <v/>
      </c>
      <c r="D364" s="44" t="n"/>
      <c r="E364" s="44"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IF(OR($B364="",$I364=""),"",IF(SUMPRODUCT(--ISNUMBER(SEARCH(nrInstrNames,$I364)))&gt;0,"OK","UNRECOGNIZED"))</f>
        <v/>
      </c>
    </row>
    <row r="365">
      <c r="B365" s="18" t="n"/>
      <c r="C365" s="17">
        <f>IF($B365="","",TEXT($B365,"ddd"))</f>
        <v/>
      </c>
      <c r="D365" s="44" t="n"/>
      <c r="E365" s="44"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IF(OR($B365="",$I365=""),"",IF(SUMPRODUCT(--ISNUMBER(SEARCH(nrInstrNames,$I365)))&gt;0,"OK","UNRECOGNIZED"))</f>
        <v/>
      </c>
    </row>
    <row r="366">
      <c r="B366" s="18" t="n"/>
      <c r="C366" s="17">
        <f>IF($B366="","",TEXT($B366,"ddd"))</f>
        <v/>
      </c>
      <c r="D366" s="44" t="n"/>
      <c r="E366" s="44"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IF(OR($B366="",$I366=""),"",IF(SUMPRODUCT(--ISNUMBER(SEARCH(nrInstrNames,$I366)))&gt;0,"OK","UNRECOGNIZED"))</f>
        <v/>
      </c>
    </row>
    <row r="367">
      <c r="B367" s="18" t="n"/>
      <c r="C367" s="17">
        <f>IF($B367="","",TEXT($B367,"ddd"))</f>
        <v/>
      </c>
      <c r="D367" s="44" t="n"/>
      <c r="E367" s="44"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IF(OR($B367="",$I367=""),"",IF(SUMPRODUCT(--ISNUMBER(SEARCH(nrInstrNames,$I367)))&gt;0,"OK","UNRECOGNIZED"))</f>
        <v/>
      </c>
    </row>
    <row r="368">
      <c r="B368" s="18" t="n"/>
      <c r="C368" s="17">
        <f>IF($B368="","",TEXT($B368,"ddd"))</f>
        <v/>
      </c>
      <c r="D368" s="44" t="n"/>
      <c r="E368" s="44"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IF(OR($B368="",$I368=""),"",IF(SUMPRODUCT(--ISNUMBER(SEARCH(nrInstrNames,$I368)))&gt;0,"OK","UNRECOGNIZED"))</f>
        <v/>
      </c>
    </row>
    <row r="369">
      <c r="B369" s="18" t="n"/>
      <c r="C369" s="17">
        <f>IF($B369="","",TEXT($B369,"ddd"))</f>
        <v/>
      </c>
      <c r="D369" s="44" t="n"/>
      <c r="E369" s="44"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IF(OR($B369="",$I369=""),"",IF(SUMPRODUCT(--ISNUMBER(SEARCH(nrInstrNames,$I369)))&gt;0,"OK","UNRECOGNIZED"))</f>
        <v/>
      </c>
    </row>
    <row r="370">
      <c r="B370" s="18" t="n"/>
      <c r="C370" s="17">
        <f>IF($B370="","",TEXT($B370,"ddd"))</f>
        <v/>
      </c>
      <c r="D370" s="44" t="n"/>
      <c r="E370" s="44"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IF(OR($B370="",$I370=""),"",IF(SUMPRODUCT(--ISNUMBER(SEARCH(nrInstrNames,$I370)))&gt;0,"OK","UNRECOGNIZED"))</f>
        <v/>
      </c>
    </row>
    <row r="371">
      <c r="B371" s="18" t="n"/>
      <c r="C371" s="17">
        <f>IF($B371="","",TEXT($B371,"ddd"))</f>
        <v/>
      </c>
      <c r="D371" s="44" t="n"/>
      <c r="E371" s="44"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IF(OR($B371="",$I371=""),"",IF(SUMPRODUCT(--ISNUMBER(SEARCH(nrInstrNames,$I371)))&gt;0,"OK","UNRECOGNIZED"))</f>
        <v/>
      </c>
    </row>
    <row r="372">
      <c r="B372" s="18" t="n"/>
      <c r="C372" s="17">
        <f>IF($B372="","",TEXT($B372,"ddd"))</f>
        <v/>
      </c>
      <c r="D372" s="44" t="n"/>
      <c r="E372" s="44"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IF(OR($B372="",$I372=""),"",IF(SUMPRODUCT(--ISNUMBER(SEARCH(nrInstrNames,$I372)))&gt;0,"OK","UNRECOGNIZED"))</f>
        <v/>
      </c>
    </row>
    <row r="373">
      <c r="B373" s="18" t="n"/>
      <c r="C373" s="17">
        <f>IF($B373="","",TEXT($B373,"ddd"))</f>
        <v/>
      </c>
      <c r="D373" s="44" t="n"/>
      <c r="E373" s="44"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IF(OR($B373="",$I373=""),"",IF(SUMPRODUCT(--ISNUMBER(SEARCH(nrInstrNames,$I373)))&gt;0,"OK","UNRECOGNIZED"))</f>
        <v/>
      </c>
    </row>
    <row r="374">
      <c r="B374" s="18" t="n"/>
      <c r="C374" s="17">
        <f>IF($B374="","",TEXT($B374,"ddd"))</f>
        <v/>
      </c>
      <c r="D374" s="44" t="n"/>
      <c r="E374" s="44"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IF(OR($B374="",$I374=""),"",IF(SUMPRODUCT(--ISNUMBER(SEARCH(nrInstrNames,$I374)))&gt;0,"OK","UNRECOGNIZED"))</f>
        <v/>
      </c>
    </row>
    <row r="375">
      <c r="B375" s="18" t="n"/>
      <c r="C375" s="17">
        <f>IF($B375="","",TEXT($B375,"ddd"))</f>
        <v/>
      </c>
      <c r="D375" s="44" t="n"/>
      <c r="E375" s="44"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IF(OR($B375="",$I375=""),"",IF(SUMPRODUCT(--ISNUMBER(SEARCH(nrInstrNames,$I375)))&gt;0,"OK","UNRECOGNIZED"))</f>
        <v/>
      </c>
    </row>
    <row r="376">
      <c r="B376" s="18" t="n"/>
      <c r="C376" s="17">
        <f>IF($B376="","",TEXT($B376,"ddd"))</f>
        <v/>
      </c>
      <c r="D376" s="44" t="n"/>
      <c r="E376" s="44"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IF(OR($B376="",$I376=""),"",IF(SUMPRODUCT(--ISNUMBER(SEARCH(nrInstrNames,$I376)))&gt;0,"OK","UNRECOGNIZED"))</f>
        <v/>
      </c>
    </row>
    <row r="377">
      <c r="B377" s="18" t="n"/>
      <c r="C377" s="17">
        <f>IF($B377="","",TEXT($B377,"ddd"))</f>
        <v/>
      </c>
      <c r="D377" s="44" t="n"/>
      <c r="E377" s="44"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IF(OR($B377="",$I377=""),"",IF(SUMPRODUCT(--ISNUMBER(SEARCH(nrInstrNames,$I377)))&gt;0,"OK","UNRECOGNIZED"))</f>
        <v/>
      </c>
    </row>
    <row r="378">
      <c r="B378" s="18" t="n"/>
      <c r="C378" s="17">
        <f>IF($B378="","",TEXT($B378,"ddd"))</f>
        <v/>
      </c>
      <c r="D378" s="44" t="n"/>
      <c r="E378" s="44"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IF(OR($B378="",$I378=""),"",IF(SUMPRODUCT(--ISNUMBER(SEARCH(nrInstrNames,$I378)))&gt;0,"OK","UNRECOGNIZED"))</f>
        <v/>
      </c>
    </row>
    <row r="379">
      <c r="B379" s="18" t="n"/>
      <c r="C379" s="17">
        <f>IF($B379="","",TEXT($B379,"ddd"))</f>
        <v/>
      </c>
      <c r="D379" s="44" t="n"/>
      <c r="E379" s="44"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IF(OR($B379="",$I379=""),"",IF(SUMPRODUCT(--ISNUMBER(SEARCH(nrInstrNames,$I379)))&gt;0,"OK","UNRECOGNIZED"))</f>
        <v/>
      </c>
    </row>
    <row r="380">
      <c r="B380" s="18" t="n"/>
      <c r="C380" s="17">
        <f>IF($B380="","",TEXT($B380,"ddd"))</f>
        <v/>
      </c>
      <c r="D380" s="44" t="n"/>
      <c r="E380" s="44"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IF(OR($B380="",$I380=""),"",IF(SUMPRODUCT(--ISNUMBER(SEARCH(nrInstrNames,$I380)))&gt;0,"OK","UNRECOGNIZED"))</f>
        <v/>
      </c>
    </row>
    <row r="381">
      <c r="B381" s="18" t="n"/>
      <c r="C381" s="17">
        <f>IF($B381="","",TEXT($B381,"ddd"))</f>
        <v/>
      </c>
      <c r="D381" s="44" t="n"/>
      <c r="E381" s="44"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IF(OR($B381="",$I381=""),"",IF(SUMPRODUCT(--ISNUMBER(SEARCH(nrInstrNames,$I381)))&gt;0,"OK","UNRECOGNIZED"))</f>
        <v/>
      </c>
    </row>
    <row r="382">
      <c r="B382" s="18" t="n"/>
      <c r="C382" s="17">
        <f>IF($B382="","",TEXT($B382,"ddd"))</f>
        <v/>
      </c>
      <c r="D382" s="44" t="n"/>
      <c r="E382" s="44"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IF(OR($B382="",$I382=""),"",IF(SUMPRODUCT(--ISNUMBER(SEARCH(nrInstrNames,$I382)))&gt;0,"OK","UNRECOGNIZED"))</f>
        <v/>
      </c>
    </row>
    <row r="383">
      <c r="B383" s="18" t="n"/>
      <c r="C383" s="17">
        <f>IF($B383="","",TEXT($B383,"ddd"))</f>
        <v/>
      </c>
      <c r="D383" s="44" t="n"/>
      <c r="E383" s="44"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IF(OR($B383="",$I383=""),"",IF(SUMPRODUCT(--ISNUMBER(SEARCH(nrInstrNames,$I383)))&gt;0,"OK","UNRECOGNIZED"))</f>
        <v/>
      </c>
    </row>
    <row r="384">
      <c r="B384" s="18" t="n"/>
      <c r="C384" s="17">
        <f>IF($B384="","",TEXT($B384,"ddd"))</f>
        <v/>
      </c>
      <c r="D384" s="44" t="n"/>
      <c r="E384" s="44"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IF(OR($B384="",$I384=""),"",IF(SUMPRODUCT(--ISNUMBER(SEARCH(nrInstrNames,$I384)))&gt;0,"OK","UNRECOGNIZED"))</f>
        <v/>
      </c>
    </row>
    <row r="385">
      <c r="B385" s="18" t="n"/>
      <c r="C385" s="17">
        <f>IF($B385="","",TEXT($B385,"ddd"))</f>
        <v/>
      </c>
      <c r="D385" s="44" t="n"/>
      <c r="E385" s="44"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IF(OR($B385="",$I385=""),"",IF(SUMPRODUCT(--ISNUMBER(SEARCH(nrInstrNames,$I385)))&gt;0,"OK","UNRECOGNIZED"))</f>
        <v/>
      </c>
    </row>
    <row r="386">
      <c r="B386" s="18" t="n"/>
      <c r="C386" s="17">
        <f>IF($B386="","",TEXT($B386,"ddd"))</f>
        <v/>
      </c>
      <c r="D386" s="44" t="n"/>
      <c r="E386" s="44"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IF(OR($B386="",$I386=""),"",IF(SUMPRODUCT(--ISNUMBER(SEARCH(nrInstrNames,$I386)))&gt;0,"OK","UNRECOGNIZED"))</f>
        <v/>
      </c>
    </row>
    <row r="387">
      <c r="B387" s="18" t="n"/>
      <c r="C387" s="17">
        <f>IF($B387="","",TEXT($B387,"ddd"))</f>
        <v/>
      </c>
      <c r="D387" s="44" t="n"/>
      <c r="E387" s="44"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IF(OR($B387="",$I387=""),"",IF(SUMPRODUCT(--ISNUMBER(SEARCH(nrInstrNames,$I387)))&gt;0,"OK","UNRECOGNIZED"))</f>
        <v/>
      </c>
    </row>
    <row r="388">
      <c r="B388" s="18" t="n"/>
      <c r="C388" s="17">
        <f>IF($B388="","",TEXT($B388,"ddd"))</f>
        <v/>
      </c>
      <c r="D388" s="44" t="n"/>
      <c r="E388" s="44"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IF(OR($B388="",$I388=""),"",IF(SUMPRODUCT(--ISNUMBER(SEARCH(nrInstrNames,$I388)))&gt;0,"OK","UNRECOGNIZED"))</f>
        <v/>
      </c>
    </row>
    <row r="389">
      <c r="B389" s="18" t="n"/>
      <c r="C389" s="17">
        <f>IF($B389="","",TEXT($B389,"ddd"))</f>
        <v/>
      </c>
      <c r="D389" s="44" t="n"/>
      <c r="E389" s="44"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IF(OR($B389="",$I389=""),"",IF(SUMPRODUCT(--ISNUMBER(SEARCH(nrInstrNames,$I389)))&gt;0,"OK","UNRECOGNIZED"))</f>
        <v/>
      </c>
    </row>
    <row r="390">
      <c r="B390" s="18" t="n"/>
      <c r="C390" s="17">
        <f>IF($B390="","",TEXT($B390,"ddd"))</f>
        <v/>
      </c>
      <c r="D390" s="44" t="n"/>
      <c r="E390" s="44"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IF(OR($B390="",$I390=""),"",IF(SUMPRODUCT(--ISNUMBER(SEARCH(nrInstrNames,$I390)))&gt;0,"OK","UNRECOGNIZED"))</f>
        <v/>
      </c>
    </row>
    <row r="391">
      <c r="B391" s="18" t="n"/>
      <c r="C391" s="17">
        <f>IF($B391="","",TEXT($B391,"ddd"))</f>
        <v/>
      </c>
      <c r="D391" s="44" t="n"/>
      <c r="E391" s="44"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IF(OR($B391="",$I391=""),"",IF(SUMPRODUCT(--ISNUMBER(SEARCH(nrInstrNames,$I391)))&gt;0,"OK","UNRECOGNIZED"))</f>
        <v/>
      </c>
    </row>
    <row r="392">
      <c r="B392" s="18" t="n"/>
      <c r="C392" s="17">
        <f>IF($B392="","",TEXT($B392,"ddd"))</f>
        <v/>
      </c>
      <c r="D392" s="44" t="n"/>
      <c r="E392" s="44"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IF(OR($B392="",$I392=""),"",IF(SUMPRODUCT(--ISNUMBER(SEARCH(nrInstrNames,$I392)))&gt;0,"OK","UNRECOGNIZED"))</f>
        <v/>
      </c>
    </row>
    <row r="393">
      <c r="B393" s="18" t="n"/>
      <c r="C393" s="17">
        <f>IF($B393="","",TEXT($B393,"ddd"))</f>
        <v/>
      </c>
      <c r="D393" s="44" t="n"/>
      <c r="E393" s="44"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IF(OR($B393="",$I393=""),"",IF(SUMPRODUCT(--ISNUMBER(SEARCH(nrInstrNames,$I393)))&gt;0,"OK","UNRECOGNIZED"))</f>
        <v/>
      </c>
    </row>
    <row r="394">
      <c r="B394" s="18" t="n"/>
      <c r="C394" s="17">
        <f>IF($B394="","",TEXT($B394,"ddd"))</f>
        <v/>
      </c>
      <c r="D394" s="44" t="n"/>
      <c r="E394" s="44"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IF(OR($B394="",$I394=""),"",IF(SUMPRODUCT(--ISNUMBER(SEARCH(nrInstrNames,$I394)))&gt;0,"OK","UNRECOGNIZED"))</f>
        <v/>
      </c>
    </row>
    <row r="395">
      <c r="B395" s="18" t="n"/>
      <c r="C395" s="17">
        <f>IF($B395="","",TEXT($B395,"ddd"))</f>
        <v/>
      </c>
      <c r="D395" s="44" t="n"/>
      <c r="E395" s="44"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IF(OR($B395="",$I395=""),"",IF(SUMPRODUCT(--ISNUMBER(SEARCH(nrInstrNames,$I395)))&gt;0,"OK","UNRECOGNIZED"))</f>
        <v/>
      </c>
    </row>
    <row r="396">
      <c r="B396" s="18" t="n"/>
      <c r="C396" s="17">
        <f>IF($B396="","",TEXT($B396,"ddd"))</f>
        <v/>
      </c>
      <c r="D396" s="44" t="n"/>
      <c r="E396" s="44"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IF(OR($B396="",$I396=""),"",IF(SUMPRODUCT(--ISNUMBER(SEARCH(nrInstrNames,$I396)))&gt;0,"OK","UNRECOGNIZED"))</f>
        <v/>
      </c>
    </row>
    <row r="397">
      <c r="B397" s="18" t="n"/>
      <c r="C397" s="17">
        <f>IF($B397="","",TEXT($B397,"ddd"))</f>
        <v/>
      </c>
      <c r="D397" s="44" t="n"/>
      <c r="E397" s="44"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IF(OR($B397="",$I397=""),"",IF(SUMPRODUCT(--ISNUMBER(SEARCH(nrInstrNames,$I397)))&gt;0,"OK","UNRECOGNIZED"))</f>
        <v/>
      </c>
    </row>
    <row r="398">
      <c r="B398" s="18" t="n"/>
      <c r="C398" s="17">
        <f>IF($B398="","",TEXT($B398,"ddd"))</f>
        <v/>
      </c>
      <c r="D398" s="44" t="n"/>
      <c r="E398" s="44"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IF(OR($B398="",$I398=""),"",IF(SUMPRODUCT(--ISNUMBER(SEARCH(nrInstrNames,$I398)))&gt;0,"OK","UNRECOGNIZED"))</f>
        <v/>
      </c>
    </row>
    <row r="399">
      <c r="B399" s="18" t="n"/>
      <c r="C399" s="17">
        <f>IF($B399="","",TEXT($B399,"ddd"))</f>
        <v/>
      </c>
      <c r="D399" s="44" t="n"/>
      <c r="E399" s="44"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IF(OR($B399="",$I399=""),"",IF(SUMPRODUCT(--ISNUMBER(SEARCH(nrInstrNames,$I399)))&gt;0,"OK","UNRECOGNIZED"))</f>
        <v/>
      </c>
    </row>
    <row r="400">
      <c r="B400" s="18" t="n"/>
      <c r="C400" s="17">
        <f>IF($B400="","",TEXT($B400,"ddd"))</f>
        <v/>
      </c>
      <c r="D400" s="44" t="n"/>
      <c r="E400" s="44"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IF(OR($B400="",$I400=""),"",IF(SUMPRODUCT(--ISNUMBER(SEARCH(nrInstrNames,$I400)))&gt;0,"OK","UNRECOGNIZED"))</f>
        <v/>
      </c>
    </row>
    <row r="401">
      <c r="B401" s="18" t="n"/>
      <c r="C401" s="17">
        <f>IF($B401="","",TEXT($B401,"ddd"))</f>
        <v/>
      </c>
      <c r="D401" s="44" t="n"/>
      <c r="E401" s="44"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IF(OR($B401="",$I401=""),"",IF(SUMPRODUCT(--ISNUMBER(SEARCH(nrInstrNames,$I401)))&gt;0,"OK","UNRECOGNIZED"))</f>
        <v/>
      </c>
    </row>
    <row r="402">
      <c r="B402" s="18" t="n"/>
      <c r="C402" s="17">
        <f>IF($B402="","",TEXT($B402,"ddd"))</f>
        <v/>
      </c>
      <c r="D402" s="44" t="n"/>
      <c r="E402" s="44"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IF(OR($B402="",$I402=""),"",IF(SUMPRODUCT(--ISNUMBER(SEARCH(nrInstrNames,$I402)))&gt;0,"OK","UNRECOGNIZED"))</f>
        <v/>
      </c>
    </row>
    <row r="403">
      <c r="B403" s="18" t="n"/>
      <c r="C403" s="17">
        <f>IF($B403="","",TEXT($B403,"ddd"))</f>
        <v/>
      </c>
      <c r="D403" s="44" t="n"/>
      <c r="E403" s="44"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IF(OR($B403="",$I403=""),"",IF(SUMPRODUCT(--ISNUMBER(SEARCH(nrInstrNames,$I403)))&gt;0,"OK","UNRECOGNIZED"))</f>
        <v/>
      </c>
    </row>
    <row r="404">
      <c r="B404" s="18" t="n"/>
      <c r="C404" s="17">
        <f>IF($B404="","",TEXT($B404,"ddd"))</f>
        <v/>
      </c>
      <c r="D404" s="44" t="n"/>
      <c r="E404" s="44"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IF(OR($B404="",$I404=""),"",IF(SUMPRODUCT(--ISNUMBER(SEARCH(nrInstrNames,$I404)))&gt;0,"OK","UNRECOGNIZED"))</f>
        <v/>
      </c>
    </row>
    <row r="405">
      <c r="B405" s="18" t="n"/>
      <c r="C405" s="17">
        <f>IF($B405="","",TEXT($B405,"ddd"))</f>
        <v/>
      </c>
      <c r="D405" s="44" t="n"/>
      <c r="E405" s="44"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IF(OR($B405="",$I405=""),"",IF(SUMPRODUCT(--ISNUMBER(SEARCH(nrInstrNames,$I405)))&gt;0,"OK","UNRECOGNIZED"))</f>
        <v/>
      </c>
    </row>
    <row r="406">
      <c r="B406" s="18" t="n"/>
      <c r="C406" s="17">
        <f>IF($B406="","",TEXT($B406,"ddd"))</f>
        <v/>
      </c>
      <c r="D406" s="44" t="n"/>
      <c r="E406" s="44"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IF(OR($B406="",$I406=""),"",IF(SUMPRODUCT(--ISNUMBER(SEARCH(nrInstrNames,$I406)))&gt;0,"OK","UNRECOGNIZED"))</f>
        <v/>
      </c>
    </row>
    <row r="407">
      <c r="B407" s="18" t="n"/>
      <c r="C407" s="17">
        <f>IF($B407="","",TEXT($B407,"ddd"))</f>
        <v/>
      </c>
      <c r="D407" s="44" t="n"/>
      <c r="E407" s="44"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IF(OR($B407="",$I407=""),"",IF(SUMPRODUCT(--ISNUMBER(SEARCH(nrInstrNames,$I407)))&gt;0,"OK","UNRECOGNIZED"))</f>
        <v/>
      </c>
    </row>
    <row r="408">
      <c r="B408" s="18" t="n"/>
      <c r="C408" s="17">
        <f>IF($B408="","",TEXT($B408,"ddd"))</f>
        <v/>
      </c>
      <c r="D408" s="44" t="n"/>
      <c r="E408" s="44"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IF(OR($B408="",$I408=""),"",IF(SUMPRODUCT(--ISNUMBER(SEARCH(nrInstrNames,$I408)))&gt;0,"OK","UNRECOGNIZED"))</f>
        <v/>
      </c>
    </row>
    <row r="409">
      <c r="B409" s="18" t="n"/>
      <c r="C409" s="17">
        <f>IF($B409="","",TEXT($B409,"ddd"))</f>
        <v/>
      </c>
      <c r="D409" s="44" t="n"/>
      <c r="E409" s="44"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IF(OR($B409="",$I409=""),"",IF(SUMPRODUCT(--ISNUMBER(SEARCH(nrInstrNames,$I409)))&gt;0,"OK","UNRECOGNIZED"))</f>
        <v/>
      </c>
    </row>
    <row r="410">
      <c r="B410" s="18" t="n"/>
      <c r="C410" s="17">
        <f>IF($B410="","",TEXT($B410,"ddd"))</f>
        <v/>
      </c>
      <c r="D410" s="44" t="n"/>
      <c r="E410" s="44"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IF(OR($B410="",$I410=""),"",IF(SUMPRODUCT(--ISNUMBER(SEARCH(nrInstrNames,$I410)))&gt;0,"OK","UNRECOGNIZED"))</f>
        <v/>
      </c>
    </row>
    <row r="411">
      <c r="B411" s="18" t="n"/>
      <c r="C411" s="17">
        <f>IF($B411="","",TEXT($B411,"ddd"))</f>
        <v/>
      </c>
      <c r="D411" s="44" t="n"/>
      <c r="E411" s="44"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IF(OR($B411="",$I411=""),"",IF(SUMPRODUCT(--ISNUMBER(SEARCH(nrInstrNames,$I411)))&gt;0,"OK","UNRECOGNIZED"))</f>
        <v/>
      </c>
    </row>
    <row r="412">
      <c r="B412" s="18" t="n"/>
      <c r="C412" s="17">
        <f>IF($B412="","",TEXT($B412,"ddd"))</f>
        <v/>
      </c>
      <c r="D412" s="44" t="n"/>
      <c r="E412" s="44"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IF(OR($B412="",$I412=""),"",IF(SUMPRODUCT(--ISNUMBER(SEARCH(nrInstrNames,$I412)))&gt;0,"OK","UNRECOGNIZED"))</f>
        <v/>
      </c>
    </row>
    <row r="413">
      <c r="B413" s="18" t="n"/>
      <c r="C413" s="17">
        <f>IF($B413="","",TEXT($B413,"ddd"))</f>
        <v/>
      </c>
      <c r="D413" s="44" t="n"/>
      <c r="E413" s="44"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IF(OR($B413="",$I413=""),"",IF(SUMPRODUCT(--ISNUMBER(SEARCH(nrInstrNames,$I413)))&gt;0,"OK","UNRECOGNIZED"))</f>
        <v/>
      </c>
    </row>
    <row r="414">
      <c r="B414" s="18" t="n"/>
      <c r="C414" s="17">
        <f>IF($B414="","",TEXT($B414,"ddd"))</f>
        <v/>
      </c>
      <c r="D414" s="44" t="n"/>
      <c r="E414" s="44"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IF(OR($B414="",$I414=""),"",IF(SUMPRODUCT(--ISNUMBER(SEARCH(nrInstrNames,$I414)))&gt;0,"OK","UNRECOGNIZED"))</f>
        <v/>
      </c>
    </row>
    <row r="415">
      <c r="B415" s="18" t="n"/>
      <c r="C415" s="17">
        <f>IF($B415="","",TEXT($B415,"ddd"))</f>
        <v/>
      </c>
      <c r="D415" s="44" t="n"/>
      <c r="E415" s="44"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IF(OR($B415="",$I415=""),"",IF(SUMPRODUCT(--ISNUMBER(SEARCH(nrInstrNames,$I415)))&gt;0,"OK","UNRECOGNIZED"))</f>
        <v/>
      </c>
    </row>
    <row r="416">
      <c r="B416" s="18" t="n"/>
      <c r="C416" s="17">
        <f>IF($B416="","",TEXT($B416,"ddd"))</f>
        <v/>
      </c>
      <c r="D416" s="44" t="n"/>
      <c r="E416" s="44"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IF(OR($B416="",$I416=""),"",IF(SUMPRODUCT(--ISNUMBER(SEARCH(nrInstrNames,$I416)))&gt;0,"OK","UNRECOGNIZED"))</f>
        <v/>
      </c>
    </row>
    <row r="417">
      <c r="B417" s="18" t="n"/>
      <c r="C417" s="17">
        <f>IF($B417="","",TEXT($B417,"ddd"))</f>
        <v/>
      </c>
      <c r="D417" s="44" t="n"/>
      <c r="E417" s="44"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IF(OR($B417="",$I417=""),"",IF(SUMPRODUCT(--ISNUMBER(SEARCH(nrInstrNames,$I417)))&gt;0,"OK","UNRECOGNIZED"))</f>
        <v/>
      </c>
    </row>
    <row r="418">
      <c r="B418" s="18" t="n"/>
      <c r="C418" s="17">
        <f>IF($B418="","",TEXT($B418,"ddd"))</f>
        <v/>
      </c>
      <c r="D418" s="44" t="n"/>
      <c r="E418" s="44"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IF(OR($B418="",$I418=""),"",IF(SUMPRODUCT(--ISNUMBER(SEARCH(nrInstrNames,$I418)))&gt;0,"OK","UNRECOGNIZED"))</f>
        <v/>
      </c>
    </row>
    <row r="419">
      <c r="B419" s="18" t="n"/>
      <c r="C419" s="17">
        <f>IF($B419="","",TEXT($B419,"ddd"))</f>
        <v/>
      </c>
      <c r="D419" s="44" t="n"/>
      <c r="E419" s="44"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IF(OR($B419="",$I419=""),"",IF(SUMPRODUCT(--ISNUMBER(SEARCH(nrInstrNames,$I419)))&gt;0,"OK","UNRECOGNIZED"))</f>
        <v/>
      </c>
    </row>
    <row r="420">
      <c r="B420" s="18" t="n"/>
      <c r="C420" s="17">
        <f>IF($B420="","",TEXT($B420,"ddd"))</f>
        <v/>
      </c>
      <c r="D420" s="44" t="n"/>
      <c r="E420" s="44"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IF(OR($B420="",$I420=""),"",IF(SUMPRODUCT(--ISNUMBER(SEARCH(nrInstrNames,$I420)))&gt;0,"OK","UNRECOGNIZED"))</f>
        <v/>
      </c>
    </row>
    <row r="421">
      <c r="B421" s="18" t="n"/>
      <c r="C421" s="17">
        <f>IF($B421="","",TEXT($B421,"ddd"))</f>
        <v/>
      </c>
      <c r="D421" s="44" t="n"/>
      <c r="E421" s="44"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IF(OR($B421="",$I421=""),"",IF(SUMPRODUCT(--ISNUMBER(SEARCH(nrInstrNames,$I421)))&gt;0,"OK","UNRECOGNIZED"))</f>
        <v/>
      </c>
    </row>
    <row r="422">
      <c r="B422" s="18" t="n"/>
      <c r="C422" s="17">
        <f>IF($B422="","",TEXT($B422,"ddd"))</f>
        <v/>
      </c>
      <c r="D422" s="44" t="n"/>
      <c r="E422" s="44"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IF(OR($B422="",$I422=""),"",IF(SUMPRODUCT(--ISNUMBER(SEARCH(nrInstrNames,$I422)))&gt;0,"OK","UNRECOGNIZED"))</f>
        <v/>
      </c>
    </row>
    <row r="423">
      <c r="B423" s="18" t="n"/>
      <c r="C423" s="17">
        <f>IF($B423="","",TEXT($B423,"ddd"))</f>
        <v/>
      </c>
      <c r="D423" s="44" t="n"/>
      <c r="E423" s="44"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IF(OR($B423="",$I423=""),"",IF(SUMPRODUCT(--ISNUMBER(SEARCH(nrInstrNames,$I423)))&gt;0,"OK","UNRECOGNIZED"))</f>
        <v/>
      </c>
    </row>
    <row r="424">
      <c r="B424" s="18" t="n"/>
      <c r="C424" s="17">
        <f>IF($B424="","",TEXT($B424,"ddd"))</f>
        <v/>
      </c>
      <c r="D424" s="44" t="n"/>
      <c r="E424" s="44"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IF(OR($B424="",$I424=""),"",IF(SUMPRODUCT(--ISNUMBER(SEARCH(nrInstrNames,$I424)))&gt;0,"OK","UNRECOGNIZED"))</f>
        <v/>
      </c>
    </row>
    <row r="425">
      <c r="B425" s="18" t="n"/>
      <c r="C425" s="17">
        <f>IF($B425="","",TEXT($B425,"ddd"))</f>
        <v/>
      </c>
      <c r="D425" s="44" t="n"/>
      <c r="E425" s="44"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IF(OR($B425="",$I425=""),"",IF(SUMPRODUCT(--ISNUMBER(SEARCH(nrInstrNames,$I425)))&gt;0,"OK","UNRECOGNIZED"))</f>
        <v/>
      </c>
    </row>
    <row r="426">
      <c r="B426" s="18" t="n"/>
      <c r="C426" s="17">
        <f>IF($B426="","",TEXT($B426,"ddd"))</f>
        <v/>
      </c>
      <c r="D426" s="44" t="n"/>
      <c r="E426" s="44"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IF(OR($B426="",$I426=""),"",IF(SUMPRODUCT(--ISNUMBER(SEARCH(nrInstrNames,$I426)))&gt;0,"OK","UNRECOGNIZED"))</f>
        <v/>
      </c>
    </row>
    <row r="427">
      <c r="B427" s="18" t="n"/>
      <c r="C427" s="17">
        <f>IF($B427="","",TEXT($B427,"ddd"))</f>
        <v/>
      </c>
      <c r="D427" s="44" t="n"/>
      <c r="E427" s="44"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IF(OR($B427="",$I427=""),"",IF(SUMPRODUCT(--ISNUMBER(SEARCH(nrInstrNames,$I427)))&gt;0,"OK","UNRECOGNIZED"))</f>
        <v/>
      </c>
    </row>
    <row r="428">
      <c r="B428" s="18" t="n"/>
      <c r="C428" s="17">
        <f>IF($B428="","",TEXT($B428,"ddd"))</f>
        <v/>
      </c>
      <c r="D428" s="44" t="n"/>
      <c r="E428" s="44"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IF(OR($B428="",$I428=""),"",IF(SUMPRODUCT(--ISNUMBER(SEARCH(nrInstrNames,$I428)))&gt;0,"OK","UNRECOGNIZED"))</f>
        <v/>
      </c>
    </row>
    <row r="429">
      <c r="B429" s="18" t="n"/>
      <c r="C429" s="17">
        <f>IF($B429="","",TEXT($B429,"ddd"))</f>
        <v/>
      </c>
      <c r="D429" s="44" t="n"/>
      <c r="E429" s="44"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IF(OR($B429="",$I429=""),"",IF(SUMPRODUCT(--ISNUMBER(SEARCH(nrInstrNames,$I429)))&gt;0,"OK","UNRECOGNIZED"))</f>
        <v/>
      </c>
    </row>
    <row r="430">
      <c r="B430" s="18" t="n"/>
      <c r="C430" s="17">
        <f>IF($B430="","",TEXT($B430,"ddd"))</f>
        <v/>
      </c>
      <c r="D430" s="44" t="n"/>
      <c r="E430" s="44"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IF(OR($B430="",$I430=""),"",IF(SUMPRODUCT(--ISNUMBER(SEARCH(nrInstrNames,$I430)))&gt;0,"OK","UNRECOGNIZED"))</f>
        <v/>
      </c>
    </row>
    <row r="431">
      <c r="B431" s="18" t="n"/>
      <c r="C431" s="17">
        <f>IF($B431="","",TEXT($B431,"ddd"))</f>
        <v/>
      </c>
      <c r="D431" s="44" t="n"/>
      <c r="E431" s="44"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IF(OR($B431="",$I431=""),"",IF(SUMPRODUCT(--ISNUMBER(SEARCH(nrInstrNames,$I431)))&gt;0,"OK","UNRECOGNIZED"))</f>
        <v/>
      </c>
    </row>
    <row r="432">
      <c r="B432" s="18" t="n"/>
      <c r="C432" s="17">
        <f>IF($B432="","",TEXT($B432,"ddd"))</f>
        <v/>
      </c>
      <c r="D432" s="44" t="n"/>
      <c r="E432" s="44"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IF(OR($B432="",$I432=""),"",IF(SUMPRODUCT(--ISNUMBER(SEARCH(nrInstrNames,$I432)))&gt;0,"OK","UNRECOGNIZED"))</f>
        <v/>
      </c>
    </row>
    <row r="433">
      <c r="B433" s="18" t="n"/>
      <c r="C433" s="17">
        <f>IF($B433="","",TEXT($B433,"ddd"))</f>
        <v/>
      </c>
      <c r="D433" s="44" t="n"/>
      <c r="E433" s="44"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IF(OR($B433="",$I433=""),"",IF(SUMPRODUCT(--ISNUMBER(SEARCH(nrInstrNames,$I433)))&gt;0,"OK","UNRECOGNIZED"))</f>
        <v/>
      </c>
    </row>
    <row r="434">
      <c r="B434" s="18" t="n"/>
      <c r="C434" s="17">
        <f>IF($B434="","",TEXT($B434,"ddd"))</f>
        <v/>
      </c>
      <c r="D434" s="44" t="n"/>
      <c r="E434" s="44"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IF(OR($B434="",$I434=""),"",IF(SUMPRODUCT(--ISNUMBER(SEARCH(nrInstrNames,$I434)))&gt;0,"OK","UNRECOGNIZED"))</f>
        <v/>
      </c>
    </row>
    <row r="435">
      <c r="B435" s="18" t="n"/>
      <c r="C435" s="17">
        <f>IF($B435="","",TEXT($B435,"ddd"))</f>
        <v/>
      </c>
      <c r="D435" s="44" t="n"/>
      <c r="E435" s="44"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IF(OR($B435="",$I435=""),"",IF(SUMPRODUCT(--ISNUMBER(SEARCH(nrInstrNames,$I435)))&gt;0,"OK","UNRECOGNIZED"))</f>
        <v/>
      </c>
    </row>
    <row r="436">
      <c r="B436" s="18" t="n"/>
      <c r="C436" s="17">
        <f>IF($B436="","",TEXT($B436,"ddd"))</f>
        <v/>
      </c>
      <c r="D436" s="44" t="n"/>
      <c r="E436" s="44"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IF(OR($B436="",$I436=""),"",IF(SUMPRODUCT(--ISNUMBER(SEARCH(nrInstrNames,$I436)))&gt;0,"OK","UNRECOGNIZED"))</f>
        <v/>
      </c>
    </row>
    <row r="437">
      <c r="B437" s="18" t="n"/>
      <c r="C437" s="17">
        <f>IF($B437="","",TEXT($B437,"ddd"))</f>
        <v/>
      </c>
      <c r="D437" s="44" t="n"/>
      <c r="E437" s="44"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IF(OR($B437="",$I437=""),"",IF(SUMPRODUCT(--ISNUMBER(SEARCH(nrInstrNames,$I437)))&gt;0,"OK","UNRECOGNIZED"))</f>
        <v/>
      </c>
    </row>
    <row r="438">
      <c r="B438" s="18" t="n"/>
      <c r="C438" s="17">
        <f>IF($B438="","",TEXT($B438,"ddd"))</f>
        <v/>
      </c>
      <c r="D438" s="44" t="n"/>
      <c r="E438" s="44"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IF(OR($B438="",$I438=""),"",IF(SUMPRODUCT(--ISNUMBER(SEARCH(nrInstrNames,$I438)))&gt;0,"OK","UNRECOGNIZED"))</f>
        <v/>
      </c>
    </row>
    <row r="439">
      <c r="B439" s="18" t="n"/>
      <c r="C439" s="17">
        <f>IF($B439="","",TEXT($B439,"ddd"))</f>
        <v/>
      </c>
      <c r="D439" s="44" t="n"/>
      <c r="E439" s="44"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IF(OR($B439="",$I439=""),"",IF(SUMPRODUCT(--ISNUMBER(SEARCH(nrInstrNames,$I439)))&gt;0,"OK","UNRECOGNIZED"))</f>
        <v/>
      </c>
    </row>
    <row r="440">
      <c r="B440" s="18" t="n"/>
      <c r="C440" s="17">
        <f>IF($B440="","",TEXT($B440,"ddd"))</f>
        <v/>
      </c>
      <c r="D440" s="44" t="n"/>
      <c r="E440" s="44"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IF(OR($B440="",$I440=""),"",IF(SUMPRODUCT(--ISNUMBER(SEARCH(nrInstrNames,$I440)))&gt;0,"OK","UNRECOGNIZED"))</f>
        <v/>
      </c>
    </row>
    <row r="441">
      <c r="B441" s="18" t="n"/>
      <c r="C441" s="17">
        <f>IF($B441="","",TEXT($B441,"ddd"))</f>
        <v/>
      </c>
      <c r="D441" s="44" t="n"/>
      <c r="E441" s="44"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IF(OR($B441="",$I441=""),"",IF(SUMPRODUCT(--ISNUMBER(SEARCH(nrInstrNames,$I441)))&gt;0,"OK","UNRECOGNIZED"))</f>
        <v/>
      </c>
    </row>
    <row r="442">
      <c r="B442" s="18" t="n"/>
      <c r="C442" s="17">
        <f>IF($B442="","",TEXT($B442,"ddd"))</f>
        <v/>
      </c>
      <c r="D442" s="44" t="n"/>
      <c r="E442" s="44"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IF(OR($B442="",$I442=""),"",IF(SUMPRODUCT(--ISNUMBER(SEARCH(nrInstrNames,$I442)))&gt;0,"OK","UNRECOGNIZED"))</f>
        <v/>
      </c>
    </row>
    <row r="443">
      <c r="B443" s="18" t="n"/>
      <c r="C443" s="17">
        <f>IF($B443="","",TEXT($B443,"ddd"))</f>
        <v/>
      </c>
      <c r="D443" s="44" t="n"/>
      <c r="E443" s="44"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IF(OR($B443="",$I443=""),"",IF(SUMPRODUCT(--ISNUMBER(SEARCH(nrInstrNames,$I443)))&gt;0,"OK","UNRECOGNIZED"))</f>
        <v/>
      </c>
    </row>
    <row r="444">
      <c r="B444" s="18" t="n"/>
      <c r="C444" s="17">
        <f>IF($B444="","",TEXT($B444,"ddd"))</f>
        <v/>
      </c>
      <c r="D444" s="44" t="n"/>
      <c r="E444" s="44"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IF(OR($B444="",$I444=""),"",IF(SUMPRODUCT(--ISNUMBER(SEARCH(nrInstrNames,$I444)))&gt;0,"OK","UNRECOGNIZED"))</f>
        <v/>
      </c>
    </row>
    <row r="445">
      <c r="B445" s="18" t="n"/>
      <c r="C445" s="17">
        <f>IF($B445="","",TEXT($B445,"ddd"))</f>
        <v/>
      </c>
      <c r="D445" s="44" t="n"/>
      <c r="E445" s="44"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IF(OR($B445="",$I445=""),"",IF(SUMPRODUCT(--ISNUMBER(SEARCH(nrInstrNames,$I445)))&gt;0,"OK","UNRECOGNIZED"))</f>
        <v/>
      </c>
    </row>
    <row r="446">
      <c r="B446" s="18" t="n"/>
      <c r="C446" s="17">
        <f>IF($B446="","",TEXT($B446,"ddd"))</f>
        <v/>
      </c>
      <c r="D446" s="44" t="n"/>
      <c r="E446" s="44"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IF(OR($B446="",$I446=""),"",IF(SUMPRODUCT(--ISNUMBER(SEARCH(nrInstrNames,$I446)))&gt;0,"OK","UNRECOGNIZED"))</f>
        <v/>
      </c>
    </row>
    <row r="447">
      <c r="B447" s="18" t="n"/>
      <c r="C447" s="17">
        <f>IF($B447="","",TEXT($B447,"ddd"))</f>
        <v/>
      </c>
      <c r="D447" s="44" t="n"/>
      <c r="E447" s="44"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IF(OR($B447="",$I447=""),"",IF(SUMPRODUCT(--ISNUMBER(SEARCH(nrInstrNames,$I447)))&gt;0,"OK","UNRECOGNIZED"))</f>
        <v/>
      </c>
    </row>
    <row r="448">
      <c r="B448" s="18" t="n"/>
      <c r="C448" s="17">
        <f>IF($B448="","",TEXT($B448,"ddd"))</f>
        <v/>
      </c>
      <c r="D448" s="44" t="n"/>
      <c r="E448" s="44"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IF(OR($B448="",$I448=""),"",IF(SUMPRODUCT(--ISNUMBER(SEARCH(nrInstrNames,$I448)))&gt;0,"OK","UNRECOGNIZED"))</f>
        <v/>
      </c>
    </row>
    <row r="449">
      <c r="B449" s="18" t="n"/>
      <c r="C449" s="17">
        <f>IF($B449="","",TEXT($B449,"ddd"))</f>
        <v/>
      </c>
      <c r="D449" s="44" t="n"/>
      <c r="E449" s="44"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IF(OR($B449="",$I449=""),"",IF(SUMPRODUCT(--ISNUMBER(SEARCH(nrInstrNames,$I449)))&gt;0,"OK","UNRECOGNIZED"))</f>
        <v/>
      </c>
    </row>
    <row r="450">
      <c r="B450" s="18" t="n"/>
      <c r="C450" s="17">
        <f>IF($B450="","",TEXT($B450,"ddd"))</f>
        <v/>
      </c>
      <c r="D450" s="44" t="n"/>
      <c r="E450" s="44"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IF(OR($B450="",$I450=""),"",IF(SUMPRODUCT(--ISNUMBER(SEARCH(nrInstrNames,$I450)))&gt;0,"OK","UNRECOGNIZED"))</f>
        <v/>
      </c>
    </row>
    <row r="451">
      <c r="B451" s="18" t="n"/>
      <c r="C451" s="17">
        <f>IF($B451="","",TEXT($B451,"ddd"))</f>
        <v/>
      </c>
      <c r="D451" s="44" t="n"/>
      <c r="E451" s="44"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IF(OR($B451="",$I451=""),"",IF(SUMPRODUCT(--ISNUMBER(SEARCH(nrInstrNames,$I451)))&gt;0,"OK","UNRECOGNIZED"))</f>
        <v/>
      </c>
    </row>
    <row r="452">
      <c r="B452" s="18" t="n"/>
      <c r="C452" s="17">
        <f>IF($B452="","",TEXT($B452,"ddd"))</f>
        <v/>
      </c>
      <c r="D452" s="44" t="n"/>
      <c r="E452" s="44"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IF(OR($B452="",$I452=""),"",IF(SUMPRODUCT(--ISNUMBER(SEARCH(nrInstrNames,$I452)))&gt;0,"OK","UNRECOGNIZED"))</f>
        <v/>
      </c>
    </row>
    <row r="453">
      <c r="B453" s="18" t="n"/>
      <c r="C453" s="17">
        <f>IF($B453="","",TEXT($B453,"ddd"))</f>
        <v/>
      </c>
      <c r="D453" s="44" t="n"/>
      <c r="E453" s="44"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IF(OR($B453="",$I453=""),"",IF(SUMPRODUCT(--ISNUMBER(SEARCH(nrInstrNames,$I453)))&gt;0,"OK","UNRECOGNIZED"))</f>
        <v/>
      </c>
    </row>
    <row r="454">
      <c r="B454" s="18" t="n"/>
      <c r="C454" s="17">
        <f>IF($B454="","",TEXT($B454,"ddd"))</f>
        <v/>
      </c>
      <c r="D454" s="44" t="n"/>
      <c r="E454" s="44"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IF(OR($B454="",$I454=""),"",IF(SUMPRODUCT(--ISNUMBER(SEARCH(nrInstrNames,$I454)))&gt;0,"OK","UNRECOGNIZED"))</f>
        <v/>
      </c>
    </row>
    <row r="455">
      <c r="B455" s="18" t="n"/>
      <c r="C455" s="17">
        <f>IF($B455="","",TEXT($B455,"ddd"))</f>
        <v/>
      </c>
      <c r="D455" s="44" t="n"/>
      <c r="E455" s="44"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IF(OR($B455="",$I455=""),"",IF(SUMPRODUCT(--ISNUMBER(SEARCH(nrInstrNames,$I455)))&gt;0,"OK","UNRECOGNIZED"))</f>
        <v/>
      </c>
    </row>
    <row r="456">
      <c r="B456" s="18" t="n"/>
      <c r="C456" s="17">
        <f>IF($B456="","",TEXT($B456,"ddd"))</f>
        <v/>
      </c>
      <c r="D456" s="44" t="n"/>
      <c r="E456" s="44"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IF(OR($B456="",$I456=""),"",IF(SUMPRODUCT(--ISNUMBER(SEARCH(nrInstrNames,$I456)))&gt;0,"OK","UNRECOGNIZED"))</f>
        <v/>
      </c>
    </row>
    <row r="457">
      <c r="B457" s="18" t="n"/>
      <c r="C457" s="17">
        <f>IF($B457="","",TEXT($B457,"ddd"))</f>
        <v/>
      </c>
      <c r="D457" s="44" t="n"/>
      <c r="E457" s="44"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IF(OR($B457="",$I457=""),"",IF(SUMPRODUCT(--ISNUMBER(SEARCH(nrInstrNames,$I457)))&gt;0,"OK","UNRECOGNIZED"))</f>
        <v/>
      </c>
    </row>
    <row r="458">
      <c r="B458" s="18" t="n"/>
      <c r="C458" s="17">
        <f>IF($B458="","",TEXT($B458,"ddd"))</f>
        <v/>
      </c>
      <c r="D458" s="44" t="n"/>
      <c r="E458" s="44"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IF(OR($B458="",$I458=""),"",IF(SUMPRODUCT(--ISNUMBER(SEARCH(nrInstrNames,$I458)))&gt;0,"OK","UNRECOGNIZED"))</f>
        <v/>
      </c>
    </row>
    <row r="459">
      <c r="B459" s="18" t="n"/>
      <c r="C459" s="17">
        <f>IF($B459="","",TEXT($B459,"ddd"))</f>
        <v/>
      </c>
      <c r="D459" s="44" t="n"/>
      <c r="E459" s="44"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IF(OR($B459="",$I459=""),"",IF(SUMPRODUCT(--ISNUMBER(SEARCH(nrInstrNames,$I459)))&gt;0,"OK","UNRECOGNIZED"))</f>
        <v/>
      </c>
    </row>
    <row r="460">
      <c r="B460" s="18" t="n"/>
      <c r="C460" s="17">
        <f>IF($B460="","",TEXT($B460,"ddd"))</f>
        <v/>
      </c>
      <c r="D460" s="44" t="n"/>
      <c r="E460" s="44"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IF(OR($B460="",$I460=""),"",IF(SUMPRODUCT(--ISNUMBER(SEARCH(nrInstrNames,$I460)))&gt;0,"OK","UNRECOGNIZED"))</f>
        <v/>
      </c>
    </row>
    <row r="461">
      <c r="B461" s="18" t="n"/>
      <c r="C461" s="17">
        <f>IF($B461="","",TEXT($B461,"ddd"))</f>
        <v/>
      </c>
      <c r="D461" s="44" t="n"/>
      <c r="E461" s="44"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IF(OR($B461="",$I461=""),"",IF(SUMPRODUCT(--ISNUMBER(SEARCH(nrInstrNames,$I461)))&gt;0,"OK","UNRECOGNIZED"))</f>
        <v/>
      </c>
    </row>
    <row r="462">
      <c r="B462" s="18" t="n"/>
      <c r="C462" s="17">
        <f>IF($B462="","",TEXT($B462,"ddd"))</f>
        <v/>
      </c>
      <c r="D462" s="44" t="n"/>
      <c r="E462" s="44"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IF(OR($B462="",$I462=""),"",IF(SUMPRODUCT(--ISNUMBER(SEARCH(nrInstrNames,$I462)))&gt;0,"OK","UNRECOGNIZED"))</f>
        <v/>
      </c>
    </row>
    <row r="463">
      <c r="B463" s="18" t="n"/>
      <c r="C463" s="17">
        <f>IF($B463="","",TEXT($B463,"ddd"))</f>
        <v/>
      </c>
      <c r="D463" s="44" t="n"/>
      <c r="E463" s="44"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IF(OR($B463="",$I463=""),"",IF(SUMPRODUCT(--ISNUMBER(SEARCH(nrInstrNames,$I463)))&gt;0,"OK","UNRECOGNIZED"))</f>
        <v/>
      </c>
    </row>
    <row r="464">
      <c r="B464" s="18" t="n"/>
      <c r="C464" s="17">
        <f>IF($B464="","",TEXT($B464,"ddd"))</f>
        <v/>
      </c>
      <c r="D464" s="44" t="n"/>
      <c r="E464" s="44"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IF(OR($B464="",$I464=""),"",IF(SUMPRODUCT(--ISNUMBER(SEARCH(nrInstrNames,$I464)))&gt;0,"OK","UNRECOGNIZED"))</f>
        <v/>
      </c>
    </row>
    <row r="465">
      <c r="B465" s="18" t="n"/>
      <c r="C465" s="17">
        <f>IF($B465="","",TEXT($B465,"ddd"))</f>
        <v/>
      </c>
      <c r="D465" s="44" t="n"/>
      <c r="E465" s="44"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IF(OR($B465="",$I465=""),"",IF(SUMPRODUCT(--ISNUMBER(SEARCH(nrInstrNames,$I465)))&gt;0,"OK","UNRECOGNIZED"))</f>
        <v/>
      </c>
    </row>
    <row r="466">
      <c r="B466" s="18" t="n"/>
      <c r="C466" s="17">
        <f>IF($B466="","",TEXT($B466,"ddd"))</f>
        <v/>
      </c>
      <c r="D466" s="44" t="n"/>
      <c r="E466" s="44"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IF(OR($B466="",$I466=""),"",IF(SUMPRODUCT(--ISNUMBER(SEARCH(nrInstrNames,$I466)))&gt;0,"OK","UNRECOGNIZED"))</f>
        <v/>
      </c>
    </row>
    <row r="467">
      <c r="B467" s="18" t="n"/>
      <c r="C467" s="17">
        <f>IF($B467="","",TEXT($B467,"ddd"))</f>
        <v/>
      </c>
      <c r="D467" s="44" t="n"/>
      <c r="E467" s="44"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IF(OR($B467="",$I467=""),"",IF(SUMPRODUCT(--ISNUMBER(SEARCH(nrInstrNames,$I467)))&gt;0,"OK","UNRECOGNIZED"))</f>
        <v/>
      </c>
    </row>
    <row r="468">
      <c r="B468" s="18" t="n"/>
      <c r="C468" s="17">
        <f>IF($B468="","",TEXT($B468,"ddd"))</f>
        <v/>
      </c>
      <c r="D468" s="44" t="n"/>
      <c r="E468" s="44"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IF(OR($B468="",$I468=""),"",IF(SUMPRODUCT(--ISNUMBER(SEARCH(nrInstrNames,$I468)))&gt;0,"OK","UNRECOGNIZED"))</f>
        <v/>
      </c>
    </row>
    <row r="469">
      <c r="B469" s="18" t="n"/>
      <c r="C469" s="17">
        <f>IF($B469="","",TEXT($B469,"ddd"))</f>
        <v/>
      </c>
      <c r="D469" s="44" t="n"/>
      <c r="E469" s="44"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IF(OR($B469="",$I469=""),"",IF(SUMPRODUCT(--ISNUMBER(SEARCH(nrInstrNames,$I469)))&gt;0,"OK","UNRECOGNIZED"))</f>
        <v/>
      </c>
    </row>
    <row r="470">
      <c r="B470" s="18" t="n"/>
      <c r="C470" s="17">
        <f>IF($B470="","",TEXT($B470,"ddd"))</f>
        <v/>
      </c>
      <c r="D470" s="44" t="n"/>
      <c r="E470" s="44"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IF(OR($B470="",$I470=""),"",IF(SUMPRODUCT(--ISNUMBER(SEARCH(nrInstrNames,$I470)))&gt;0,"OK","UNRECOGNIZED"))</f>
        <v/>
      </c>
    </row>
    <row r="471">
      <c r="B471" s="18" t="n"/>
      <c r="C471" s="17">
        <f>IF($B471="","",TEXT($B471,"ddd"))</f>
        <v/>
      </c>
      <c r="D471" s="44" t="n"/>
      <c r="E471" s="44"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IF(OR($B471="",$I471=""),"",IF(SUMPRODUCT(--ISNUMBER(SEARCH(nrInstrNames,$I471)))&gt;0,"OK","UNRECOGNIZED"))</f>
        <v/>
      </c>
    </row>
    <row r="472">
      <c r="B472" s="18" t="n"/>
      <c r="C472" s="17">
        <f>IF($B472="","",TEXT($B472,"ddd"))</f>
        <v/>
      </c>
      <c r="D472" s="44" t="n"/>
      <c r="E472" s="44"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IF(OR($B472="",$I472=""),"",IF(SUMPRODUCT(--ISNUMBER(SEARCH(nrInstrNames,$I472)))&gt;0,"OK","UNRECOGNIZED"))</f>
        <v/>
      </c>
    </row>
    <row r="473">
      <c r="B473" s="18" t="n"/>
      <c r="C473" s="17">
        <f>IF($B473="","",TEXT($B473,"ddd"))</f>
        <v/>
      </c>
      <c r="D473" s="44" t="n"/>
      <c r="E473" s="44"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IF(OR($B473="",$I473=""),"",IF(SUMPRODUCT(--ISNUMBER(SEARCH(nrInstrNames,$I473)))&gt;0,"OK","UNRECOGNIZED"))</f>
        <v/>
      </c>
    </row>
    <row r="474">
      <c r="B474" s="18" t="n"/>
      <c r="C474" s="17">
        <f>IF($B474="","",TEXT($B474,"ddd"))</f>
        <v/>
      </c>
      <c r="D474" s="44" t="n"/>
      <c r="E474" s="44"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IF(OR($B474="",$I474=""),"",IF(SUMPRODUCT(--ISNUMBER(SEARCH(nrInstrNames,$I474)))&gt;0,"OK","UNRECOGNIZED"))</f>
        <v/>
      </c>
    </row>
    <row r="475">
      <c r="B475" s="18" t="n"/>
      <c r="C475" s="17">
        <f>IF($B475="","",TEXT($B475,"ddd"))</f>
        <v/>
      </c>
      <c r="D475" s="44" t="n"/>
      <c r="E475" s="44"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IF(OR($B475="",$I475=""),"",IF(SUMPRODUCT(--ISNUMBER(SEARCH(nrInstrNames,$I475)))&gt;0,"OK","UNRECOGNIZED"))</f>
        <v/>
      </c>
    </row>
    <row r="476">
      <c r="B476" s="18" t="n"/>
      <c r="C476" s="17">
        <f>IF($B476="","",TEXT($B476,"ddd"))</f>
        <v/>
      </c>
      <c r="D476" s="44" t="n"/>
      <c r="E476" s="44"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IF(OR($B476="",$I476=""),"",IF(SUMPRODUCT(--ISNUMBER(SEARCH(nrInstrNames,$I476)))&gt;0,"OK","UNRECOGNIZED"))</f>
        <v/>
      </c>
    </row>
    <row r="477">
      <c r="B477" s="18" t="n"/>
      <c r="C477" s="17">
        <f>IF($B477="","",TEXT($B477,"ddd"))</f>
        <v/>
      </c>
      <c r="D477" s="44" t="n"/>
      <c r="E477" s="44"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IF(OR($B477="",$I477=""),"",IF(SUMPRODUCT(--ISNUMBER(SEARCH(nrInstrNames,$I477)))&gt;0,"OK","UNRECOGNIZED"))</f>
        <v/>
      </c>
    </row>
    <row r="478">
      <c r="B478" s="18" t="n"/>
      <c r="C478" s="17">
        <f>IF($B478="","",TEXT($B478,"ddd"))</f>
        <v/>
      </c>
      <c r="D478" s="44" t="n"/>
      <c r="E478" s="44"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IF(OR($B478="",$I478=""),"",IF(SUMPRODUCT(--ISNUMBER(SEARCH(nrInstrNames,$I478)))&gt;0,"OK","UNRECOGNIZED"))</f>
        <v/>
      </c>
    </row>
    <row r="479">
      <c r="B479" s="18" t="n"/>
      <c r="C479" s="17">
        <f>IF($B479="","",TEXT($B479,"ddd"))</f>
        <v/>
      </c>
      <c r="D479" s="44" t="n"/>
      <c r="E479" s="44"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IF(OR($B479="",$I479=""),"",IF(SUMPRODUCT(--ISNUMBER(SEARCH(nrInstrNames,$I479)))&gt;0,"OK","UNRECOGNIZED"))</f>
        <v/>
      </c>
    </row>
    <row r="480">
      <c r="B480" s="18" t="n"/>
      <c r="C480" s="17">
        <f>IF($B480="","",TEXT($B480,"ddd"))</f>
        <v/>
      </c>
      <c r="D480" s="44" t="n"/>
      <c r="E480" s="44"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IF(OR($B480="",$I480=""),"",IF(SUMPRODUCT(--ISNUMBER(SEARCH(nrInstrNames,$I480)))&gt;0,"OK","UNRECOGNIZED"))</f>
        <v/>
      </c>
    </row>
    <row r="481">
      <c r="B481" s="18" t="n"/>
      <c r="C481" s="17">
        <f>IF($B481="","",TEXT($B481,"ddd"))</f>
        <v/>
      </c>
      <c r="D481" s="44" t="n"/>
      <c r="E481" s="44"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IF(OR($B481="",$I481=""),"",IF(SUMPRODUCT(--ISNUMBER(SEARCH(nrInstrNames,$I481)))&gt;0,"OK","UNRECOGNIZED"))</f>
        <v/>
      </c>
    </row>
    <row r="482">
      <c r="B482" s="18" t="n"/>
      <c r="C482" s="17">
        <f>IF($B482="","",TEXT($B482,"ddd"))</f>
        <v/>
      </c>
      <c r="D482" s="44" t="n"/>
      <c r="E482" s="44"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IF(OR($B482="",$I482=""),"",IF(SUMPRODUCT(--ISNUMBER(SEARCH(nrInstrNames,$I482)))&gt;0,"OK","UNRECOGNIZED"))</f>
        <v/>
      </c>
    </row>
    <row r="483">
      <c r="B483" s="18" t="n"/>
      <c r="C483" s="17">
        <f>IF($B483="","",TEXT($B483,"ddd"))</f>
        <v/>
      </c>
      <c r="D483" s="44" t="n"/>
      <c r="E483" s="44"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IF(OR($B483="",$I483=""),"",IF(SUMPRODUCT(--ISNUMBER(SEARCH(nrInstrNames,$I483)))&gt;0,"OK","UNRECOGNIZED"))</f>
        <v/>
      </c>
    </row>
    <row r="484">
      <c r="B484" s="18" t="n"/>
      <c r="C484" s="17">
        <f>IF($B484="","",TEXT($B484,"ddd"))</f>
        <v/>
      </c>
      <c r="D484" s="44" t="n"/>
      <c r="E484" s="44"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IF(OR($B484="",$I484=""),"",IF(SUMPRODUCT(--ISNUMBER(SEARCH(nrInstrNames,$I484)))&gt;0,"OK","UNRECOGNIZED"))</f>
        <v/>
      </c>
    </row>
    <row r="485">
      <c r="B485" s="18" t="n"/>
      <c r="C485" s="17">
        <f>IF($B485="","",TEXT($B485,"ddd"))</f>
        <v/>
      </c>
      <c r="D485" s="44" t="n"/>
      <c r="E485" s="44"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IF(OR($B485="",$I485=""),"",IF(SUMPRODUCT(--ISNUMBER(SEARCH(nrInstrNames,$I485)))&gt;0,"OK","UNRECOGNIZED"))</f>
        <v/>
      </c>
    </row>
    <row r="486">
      <c r="B486" s="18" t="n"/>
      <c r="C486" s="17">
        <f>IF($B486="","",TEXT($B486,"ddd"))</f>
        <v/>
      </c>
      <c r="D486" s="44" t="n"/>
      <c r="E486" s="44"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IF(OR($B486="",$I486=""),"",IF(SUMPRODUCT(--ISNUMBER(SEARCH(nrInstrNames,$I486)))&gt;0,"OK","UNRECOGNIZED"))</f>
        <v/>
      </c>
    </row>
    <row r="487">
      <c r="B487" s="18" t="n"/>
      <c r="C487" s="17">
        <f>IF($B487="","",TEXT($B487,"ddd"))</f>
        <v/>
      </c>
      <c r="D487" s="44" t="n"/>
      <c r="E487" s="44"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IF(OR($B487="",$I487=""),"",IF(SUMPRODUCT(--ISNUMBER(SEARCH(nrInstrNames,$I487)))&gt;0,"OK","UNRECOGNIZED"))</f>
        <v/>
      </c>
    </row>
    <row r="488">
      <c r="B488" s="18" t="n"/>
      <c r="C488" s="17">
        <f>IF($B488="","",TEXT($B488,"ddd"))</f>
        <v/>
      </c>
      <c r="D488" s="44" t="n"/>
      <c r="E488" s="44"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IF(OR($B488="",$I488=""),"",IF(SUMPRODUCT(--ISNUMBER(SEARCH(nrInstrNames,$I488)))&gt;0,"OK","UNRECOGNIZED"))</f>
        <v/>
      </c>
    </row>
    <row r="489">
      <c r="B489" s="18" t="n"/>
      <c r="C489" s="17">
        <f>IF($B489="","",TEXT($B489,"ddd"))</f>
        <v/>
      </c>
      <c r="D489" s="44" t="n"/>
      <c r="E489" s="44"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IF(OR($B489="",$I489=""),"",IF(SUMPRODUCT(--ISNUMBER(SEARCH(nrInstrNames,$I489)))&gt;0,"OK","UNRECOGNIZED"))</f>
        <v/>
      </c>
    </row>
    <row r="490">
      <c r="B490" s="18" t="n"/>
      <c r="C490" s="17">
        <f>IF($B490="","",TEXT($B490,"ddd"))</f>
        <v/>
      </c>
      <c r="D490" s="44" t="n"/>
      <c r="E490" s="44"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IF(OR($B490="",$I490=""),"",IF(SUMPRODUCT(--ISNUMBER(SEARCH(nrInstrNames,$I490)))&gt;0,"OK","UNRECOGNIZED"))</f>
        <v/>
      </c>
    </row>
    <row r="491">
      <c r="B491" s="18" t="n"/>
      <c r="C491" s="17">
        <f>IF($B491="","",TEXT($B491,"ddd"))</f>
        <v/>
      </c>
      <c r="D491" s="44" t="n"/>
      <c r="E491" s="44"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IF(OR($B491="",$I491=""),"",IF(SUMPRODUCT(--ISNUMBER(SEARCH(nrInstrNames,$I491)))&gt;0,"OK","UNRECOGNIZED"))</f>
        <v/>
      </c>
    </row>
    <row r="492">
      <c r="B492" s="18" t="n"/>
      <c r="C492" s="17">
        <f>IF($B492="","",TEXT($B492,"ddd"))</f>
        <v/>
      </c>
      <c r="D492" s="44" t="n"/>
      <c r="E492" s="44"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IF(OR($B492="",$I492=""),"",IF(SUMPRODUCT(--ISNUMBER(SEARCH(nrInstrNames,$I492)))&gt;0,"OK","UNRECOGNIZED"))</f>
        <v/>
      </c>
    </row>
    <row r="493">
      <c r="B493" s="18" t="n"/>
      <c r="C493" s="17">
        <f>IF($B493="","",TEXT($B493,"ddd"))</f>
        <v/>
      </c>
      <c r="D493" s="44" t="n"/>
      <c r="E493" s="44"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IF(OR($B493="",$I493=""),"",IF(SUMPRODUCT(--ISNUMBER(SEARCH(nrInstrNames,$I493)))&gt;0,"OK","UNRECOGNIZED"))</f>
        <v/>
      </c>
    </row>
    <row r="494">
      <c r="B494" s="18" t="n"/>
      <c r="C494" s="17">
        <f>IF($B494="","",TEXT($B494,"ddd"))</f>
        <v/>
      </c>
      <c r="D494" s="44" t="n"/>
      <c r="E494" s="44"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IF(OR($B494="",$I494=""),"",IF(SUMPRODUCT(--ISNUMBER(SEARCH(nrInstrNames,$I494)))&gt;0,"OK","UNRECOGNIZED"))</f>
        <v/>
      </c>
    </row>
    <row r="495">
      <c r="B495" s="18" t="n"/>
      <c r="C495" s="17">
        <f>IF($B495="","",TEXT($B495,"ddd"))</f>
        <v/>
      </c>
      <c r="D495" s="44" t="n"/>
      <c r="E495" s="44"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IF(OR($B495="",$I495=""),"",IF(SUMPRODUCT(--ISNUMBER(SEARCH(nrInstrNames,$I495)))&gt;0,"OK","UNRECOGNIZED"))</f>
        <v/>
      </c>
    </row>
    <row r="496">
      <c r="B496" s="18" t="n"/>
      <c r="C496" s="17">
        <f>IF($B496="","",TEXT($B496,"ddd"))</f>
        <v/>
      </c>
      <c r="D496" s="44" t="n"/>
      <c r="E496" s="44"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IF(OR($B496="",$I496=""),"",IF(SUMPRODUCT(--ISNUMBER(SEARCH(nrInstrNames,$I496)))&gt;0,"OK","UNRECOGNIZED"))</f>
        <v/>
      </c>
    </row>
    <row r="497">
      <c r="B497" s="18" t="n"/>
      <c r="C497" s="17">
        <f>IF($B497="","",TEXT($B497,"ddd"))</f>
        <v/>
      </c>
      <c r="D497" s="44" t="n"/>
      <c r="E497" s="44"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IF(OR($B497="",$I497=""),"",IF(SUMPRODUCT(--ISNUMBER(SEARCH(nrInstrNames,$I497)))&gt;0,"OK","UNRECOGNIZED"))</f>
        <v/>
      </c>
    </row>
    <row r="498">
      <c r="B498" s="18" t="n"/>
      <c r="C498" s="17">
        <f>IF($B498="","",TEXT($B498,"ddd"))</f>
        <v/>
      </c>
      <c r="D498" s="44" t="n"/>
      <c r="E498" s="44"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IF(OR($B498="",$I498=""),"",IF(SUMPRODUCT(--ISNUMBER(SEARCH(nrInstrNames,$I498)))&gt;0,"OK","UNRECOGNIZED"))</f>
        <v/>
      </c>
    </row>
    <row r="499">
      <c r="B499" s="18" t="n"/>
      <c r="C499" s="17">
        <f>IF($B499="","",TEXT($B499,"ddd"))</f>
        <v/>
      </c>
      <c r="D499" s="44" t="n"/>
      <c r="E499" s="44"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IF(OR($B499="",$I499=""),"",IF(SUMPRODUCT(--ISNUMBER(SEARCH(nrInstrNames,$I499)))&gt;0,"OK","UNRECOGNIZED"))</f>
        <v/>
      </c>
    </row>
    <row r="500">
      <c r="B500" s="18" t="n"/>
      <c r="C500" s="17">
        <f>IF($B500="","",TEXT($B500,"ddd"))</f>
        <v/>
      </c>
      <c r="D500" s="44" t="n"/>
      <c r="E500" s="44"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IF(OR($B500="",$I500=""),"",IF(SUMPRODUCT(--ISNUMBER(SEARCH(nrInstrNames,$I500)))&gt;0,"OK","UNRECOGNIZED"))</f>
        <v/>
      </c>
    </row>
    <row r="501">
      <c r="B501" s="18" t="n"/>
      <c r="C501" s="17">
        <f>IF($B501="","",TEXT($B501,"ddd"))</f>
        <v/>
      </c>
      <c r="D501" s="44" t="n"/>
      <c r="E501" s="44"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IF(OR($B501="",$I501=""),"",IF(SUMPRODUCT(--ISNUMBER(SEARCH(nrInstrNames,$I501)))&gt;0,"OK","UNRECOGNIZED"))</f>
        <v/>
      </c>
    </row>
    <row r="502">
      <c r="B502" s="18" t="n"/>
      <c r="C502" s="17">
        <f>IF($B502="","",TEXT($B502,"ddd"))</f>
        <v/>
      </c>
      <c r="D502" s="44" t="n"/>
      <c r="E502" s="44"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IF(OR($B502="",$I502=""),"",IF(SUMPRODUCT(--ISNUMBER(SEARCH(nrInstrNames,$I502)))&gt;0,"OK","UNRECOGNIZED"))</f>
        <v/>
      </c>
    </row>
    <row r="503">
      <c r="B503" s="18" t="n"/>
      <c r="C503" s="17">
        <f>IF($B503="","",TEXT($B503,"ddd"))</f>
        <v/>
      </c>
      <c r="D503" s="44" t="n"/>
      <c r="E503" s="44"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IF(OR($B503="",$I503=""),"",IF(SUMPRODUCT(--ISNUMBER(SEARCH(nrInstrNames,$I503)))&gt;0,"OK","UNRECOGNIZED"))</f>
        <v/>
      </c>
    </row>
    <row r="504">
      <c r="B504" s="18" t="n"/>
      <c r="C504" s="17">
        <f>IF($B504="","",TEXT($B504,"ddd"))</f>
        <v/>
      </c>
      <c r="D504" s="44" t="n"/>
      <c r="E504" s="44"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IF(OR($B504="",$I504=""),"",IF(SUMPRODUCT(--ISNUMBER(SEARCH(nrInstrNames,$I504)))&gt;0,"OK","UNRECOGNIZED"))</f>
        <v/>
      </c>
    </row>
    <row r="505">
      <c r="B505" s="18" t="n"/>
      <c r="C505" s="17">
        <f>IF($B505="","",TEXT($B505,"ddd"))</f>
        <v/>
      </c>
      <c r="D505" s="44" t="n"/>
      <c r="E505" s="44"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IF(OR($B505="",$I505=""),"",IF(SUMPRODUCT(--ISNUMBER(SEARCH(nrInstrNames,$I505)))&gt;0,"OK","UNRECOGNIZED"))</f>
        <v/>
      </c>
    </row>
    <row r="506">
      <c r="B506" s="18" t="n"/>
      <c r="C506" s="17">
        <f>IF($B506="","",TEXT($B506,"ddd"))</f>
        <v/>
      </c>
      <c r="D506" s="44" t="n"/>
      <c r="E506" s="44"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IF(OR($B506="",$I506=""),"",IF(SUMPRODUCT(--ISNUMBER(SEARCH(nrInstrNames,$I506)))&gt;0,"OK","UNRECOGNIZED"))</f>
        <v/>
      </c>
    </row>
    <row r="507">
      <c r="B507" s="18" t="n"/>
      <c r="C507" s="17">
        <f>IF($B507="","",TEXT($B507,"ddd"))</f>
        <v/>
      </c>
      <c r="D507" s="44" t="n"/>
      <c r="E507" s="44"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IF(OR($B507="",$I507=""),"",IF(SUMPRODUCT(--ISNUMBER(SEARCH(nrInstrNames,$I507)))&gt;0,"OK","UNRECOGNIZED"))</f>
        <v/>
      </c>
    </row>
    <row r="508">
      <c r="B508" s="18" t="n"/>
      <c r="C508" s="17">
        <f>IF($B508="","",TEXT($B508,"ddd"))</f>
        <v/>
      </c>
      <c r="D508" s="44" t="n"/>
      <c r="E508" s="44"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IF(OR($B508="",$I508=""),"",IF(SUMPRODUCT(--ISNUMBER(SEARCH(nrInstrNames,$I508)))&gt;0,"OK","UNRECOGNIZED"))</f>
        <v/>
      </c>
    </row>
    <row r="509">
      <c r="B509" s="18" t="n"/>
      <c r="C509" s="17">
        <f>IF($B509="","",TEXT($B509,"ddd"))</f>
        <v/>
      </c>
      <c r="D509" s="44" t="n"/>
      <c r="E509" s="44"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IF(OR($B509="",$I509=""),"",IF(SUMPRODUCT(--ISNUMBER(SEARCH(nrInstrNames,$I509)))&gt;0,"OK","UNRECOGNIZED"))</f>
        <v/>
      </c>
    </row>
    <row r="510">
      <c r="B510" s="18" t="n"/>
      <c r="C510" s="17">
        <f>IF($B510="","",TEXT($B510,"ddd"))</f>
        <v/>
      </c>
      <c r="D510" s="44" t="n"/>
      <c r="E510" s="44"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IF(OR($B510="",$I510=""),"",IF(SUMPRODUCT(--ISNUMBER(SEARCH(nrInstrNames,$I510)))&gt;0,"OK","UNRECOGNIZED"))</f>
        <v/>
      </c>
    </row>
    <row r="511">
      <c r="B511" s="18" t="n"/>
      <c r="C511" s="17">
        <f>IF($B511="","",TEXT($B511,"ddd"))</f>
        <v/>
      </c>
      <c r="D511" s="44" t="n"/>
      <c r="E511" s="44"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IF(OR($B511="",$I511=""),"",IF(SUMPRODUCT(--ISNUMBER(SEARCH(nrInstrNames,$I511)))&gt;0,"OK","UNRECOGNIZED"))</f>
        <v/>
      </c>
    </row>
    <row r="512">
      <c r="B512" s="18" t="n"/>
      <c r="C512" s="17">
        <f>IF($B512="","",TEXT($B512,"ddd"))</f>
        <v/>
      </c>
      <c r="D512" s="44" t="n"/>
      <c r="E512" s="44"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IF(OR($B512="",$I512=""),"",IF(SUMPRODUCT(--ISNUMBER(SEARCH(nrInstrNames,$I512)))&gt;0,"OK","UNRECOGNIZED"))</f>
        <v/>
      </c>
    </row>
    <row r="513">
      <c r="B513" s="18" t="n"/>
      <c r="C513" s="17">
        <f>IF($B513="","",TEXT($B513,"ddd"))</f>
        <v/>
      </c>
      <c r="D513" s="44" t="n"/>
      <c r="E513" s="44"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IF(OR($B513="",$I513=""),"",IF(SUMPRODUCT(--ISNUMBER(SEARCH(nrInstrNames,$I513)))&gt;0,"OK","UNRECOGNIZED"))</f>
        <v/>
      </c>
    </row>
    <row r="514">
      <c r="B514" s="18" t="n"/>
      <c r="C514" s="17">
        <f>IF($B514="","",TEXT($B514,"ddd"))</f>
        <v/>
      </c>
      <c r="D514" s="44" t="n"/>
      <c r="E514" s="44"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IF(OR($B514="",$I514=""),"",IF(SUMPRODUCT(--ISNUMBER(SEARCH(nrInstrNames,$I514)))&gt;0,"OK","UNRECOGNIZED"))</f>
        <v/>
      </c>
    </row>
    <row r="515">
      <c r="B515" s="18" t="n"/>
      <c r="C515" s="17">
        <f>IF($B515="","",TEXT($B515,"ddd"))</f>
        <v/>
      </c>
      <c r="D515" s="44" t="n"/>
      <c r="E515" s="44"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IF(OR($B515="",$I515=""),"",IF(SUMPRODUCT(--ISNUMBER(SEARCH(nrInstrNames,$I515)))&gt;0,"OK","UNRECOGNIZED"))</f>
        <v/>
      </c>
    </row>
    <row r="516">
      <c r="B516" s="18" t="n"/>
      <c r="C516" s="17">
        <f>IF($B516="","",TEXT($B516,"ddd"))</f>
        <v/>
      </c>
      <c r="D516" s="44" t="n"/>
      <c r="E516" s="44"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IF(OR($B516="",$I516=""),"",IF(SUMPRODUCT(--ISNUMBER(SEARCH(nrInstrNames,$I516)))&gt;0,"OK","UNRECOGNIZED"))</f>
        <v/>
      </c>
    </row>
    <row r="517">
      <c r="B517" s="18" t="n"/>
      <c r="C517" s="17">
        <f>IF($B517="","",TEXT($B517,"ddd"))</f>
        <v/>
      </c>
      <c r="D517" s="44" t="n"/>
      <c r="E517" s="44"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IF(OR($B517="",$I517=""),"",IF(SUMPRODUCT(--ISNUMBER(SEARCH(nrInstrNames,$I517)))&gt;0,"OK","UNRECOGNIZED"))</f>
        <v/>
      </c>
    </row>
    <row r="518">
      <c r="B518" s="18" t="n"/>
      <c r="C518" s="17">
        <f>IF($B518="","",TEXT($B518,"ddd"))</f>
        <v/>
      </c>
      <c r="D518" s="44" t="n"/>
      <c r="E518" s="44"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IF(OR($B518="",$I518=""),"",IF(SUMPRODUCT(--ISNUMBER(SEARCH(nrInstrNames,$I518)))&gt;0,"OK","UNRECOGNIZED"))</f>
        <v/>
      </c>
    </row>
    <row r="519">
      <c r="B519" s="18" t="n"/>
      <c r="C519" s="17">
        <f>IF($B519="","",TEXT($B519,"ddd"))</f>
        <v/>
      </c>
      <c r="D519" s="44" t="n"/>
      <c r="E519" s="44"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IF(OR($B519="",$I519=""),"",IF(SUMPRODUCT(--ISNUMBER(SEARCH(nrInstrNames,$I519)))&gt;0,"OK","UNRECOGNIZED"))</f>
        <v/>
      </c>
    </row>
    <row r="520">
      <c r="B520" s="18" t="n"/>
      <c r="C520" s="17">
        <f>IF($B520="","",TEXT($B520,"ddd"))</f>
        <v/>
      </c>
      <c r="D520" s="44" t="n"/>
      <c r="E520" s="44"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IF(OR($B520="",$I520=""),"",IF(SUMPRODUCT(--ISNUMBER(SEARCH(nrInstrNames,$I520)))&gt;0,"OK","UNRECOGNIZED"))</f>
        <v/>
      </c>
    </row>
    <row r="521">
      <c r="B521" s="18" t="n"/>
      <c r="C521" s="17">
        <f>IF($B521="","",TEXT($B521,"ddd"))</f>
        <v/>
      </c>
      <c r="D521" s="44" t="n"/>
      <c r="E521" s="44"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IF(OR($B521="",$I521=""),"",IF(SUMPRODUCT(--ISNUMBER(SEARCH(nrInstrNames,$I521)))&gt;0,"OK","UNRECOGNIZED"))</f>
        <v/>
      </c>
    </row>
    <row r="522">
      <c r="B522" s="18" t="n"/>
      <c r="C522" s="17">
        <f>IF($B522="","",TEXT($B522,"ddd"))</f>
        <v/>
      </c>
      <c r="D522" s="44" t="n"/>
      <c r="E522" s="44"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IF(OR($B522="",$I522=""),"",IF(SUMPRODUCT(--ISNUMBER(SEARCH(nrInstrNames,$I522)))&gt;0,"OK","UNRECOGNIZED"))</f>
        <v/>
      </c>
    </row>
    <row r="523">
      <c r="B523" s="18" t="n"/>
      <c r="C523" s="17">
        <f>IF($B523="","",TEXT($B523,"ddd"))</f>
        <v/>
      </c>
      <c r="D523" s="44" t="n"/>
      <c r="E523" s="44"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IF(OR($B523="",$I523=""),"",IF(SUMPRODUCT(--ISNUMBER(SEARCH(nrInstrNames,$I523)))&gt;0,"OK","UNRECOGNIZED"))</f>
        <v/>
      </c>
    </row>
    <row r="524">
      <c r="B524" s="18" t="n"/>
      <c r="C524" s="17">
        <f>IF($B524="","",TEXT($B524,"ddd"))</f>
        <v/>
      </c>
      <c r="D524" s="44" t="n"/>
      <c r="E524" s="44"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IF(OR($B524="",$I524=""),"",IF(SUMPRODUCT(--ISNUMBER(SEARCH(nrInstrNames,$I524)))&gt;0,"OK","UNRECOGNIZED"))</f>
        <v/>
      </c>
    </row>
    <row r="525">
      <c r="B525" s="18" t="n"/>
      <c r="C525" s="17">
        <f>IF($B525="","",TEXT($B525,"ddd"))</f>
        <v/>
      </c>
      <c r="D525" s="44" t="n"/>
      <c r="E525" s="44"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IF(OR($B525="",$I525=""),"",IF(SUMPRODUCT(--ISNUMBER(SEARCH(nrInstrNames,$I525)))&gt;0,"OK","UNRECOGNIZED"))</f>
        <v/>
      </c>
    </row>
    <row r="526">
      <c r="B526" s="18" t="n"/>
      <c r="C526" s="17">
        <f>IF($B526="","",TEXT($B526,"ddd"))</f>
        <v/>
      </c>
      <c r="D526" s="44" t="n"/>
      <c r="E526" s="44"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IF(OR($B526="",$I526=""),"",IF(SUMPRODUCT(--ISNUMBER(SEARCH(nrInstrNames,$I526)))&gt;0,"OK","UNRECOGNIZED"))</f>
        <v/>
      </c>
    </row>
    <row r="527">
      <c r="B527" s="18" t="n"/>
      <c r="C527" s="17">
        <f>IF($B527="","",TEXT($B527,"ddd"))</f>
        <v/>
      </c>
      <c r="D527" s="44" t="n"/>
      <c r="E527" s="44"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IF(OR($B527="",$I527=""),"",IF(SUMPRODUCT(--ISNUMBER(SEARCH(nrInstrNames,$I527)))&gt;0,"OK","UNRECOGNIZED"))</f>
        <v/>
      </c>
    </row>
    <row r="528">
      <c r="B528" s="18" t="n"/>
      <c r="C528" s="17">
        <f>IF($B528="","",TEXT($B528,"ddd"))</f>
        <v/>
      </c>
      <c r="D528" s="44" t="n"/>
      <c r="E528" s="44"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IF(OR($B528="",$I528=""),"",IF(SUMPRODUCT(--ISNUMBER(SEARCH(nrInstrNames,$I528)))&gt;0,"OK","UNRECOGNIZED"))</f>
        <v/>
      </c>
    </row>
    <row r="529">
      <c r="B529" s="18" t="n"/>
      <c r="C529" s="17">
        <f>IF($B529="","",TEXT($B529,"ddd"))</f>
        <v/>
      </c>
      <c r="D529" s="44" t="n"/>
      <c r="E529" s="44"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IF(OR($B529="",$I529=""),"",IF(SUMPRODUCT(--ISNUMBER(SEARCH(nrInstrNames,$I529)))&gt;0,"OK","UNRECOGNIZED"))</f>
        <v/>
      </c>
    </row>
    <row r="530">
      <c r="B530" s="18" t="n"/>
      <c r="C530" s="17">
        <f>IF($B530="","",TEXT($B530,"ddd"))</f>
        <v/>
      </c>
      <c r="D530" s="44" t="n"/>
      <c r="E530" s="44"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IF(OR($B530="",$I530=""),"",IF(SUMPRODUCT(--ISNUMBER(SEARCH(nrInstrNames,$I530)))&gt;0,"OK","UNRECOGNIZED"))</f>
        <v/>
      </c>
    </row>
    <row r="531">
      <c r="B531" s="18" t="n"/>
      <c r="C531" s="17">
        <f>IF($B531="","",TEXT($B531,"ddd"))</f>
        <v/>
      </c>
      <c r="D531" s="44" t="n"/>
      <c r="E531" s="44"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IF(OR($B531="",$I531=""),"",IF(SUMPRODUCT(--ISNUMBER(SEARCH(nrInstrNames,$I531)))&gt;0,"OK","UNRECOGNIZED"))</f>
        <v/>
      </c>
    </row>
    <row r="532">
      <c r="B532" s="18" t="n"/>
      <c r="C532" s="17">
        <f>IF($B532="","",TEXT($B532,"ddd"))</f>
        <v/>
      </c>
      <c r="D532" s="44" t="n"/>
      <c r="E532" s="44"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IF(OR($B532="",$I532=""),"",IF(SUMPRODUCT(--ISNUMBER(SEARCH(nrInstrNames,$I532)))&gt;0,"OK","UNRECOGNIZED"))</f>
        <v/>
      </c>
    </row>
    <row r="533">
      <c r="B533" s="18" t="n"/>
      <c r="C533" s="17">
        <f>IF($B533="","",TEXT($B533,"ddd"))</f>
        <v/>
      </c>
      <c r="D533" s="44" t="n"/>
      <c r="E533" s="44"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IF(OR($B533="",$I533=""),"",IF(SUMPRODUCT(--ISNUMBER(SEARCH(nrInstrNames,$I533)))&gt;0,"OK","UNRECOGNIZED"))</f>
        <v/>
      </c>
    </row>
    <row r="534">
      <c r="B534" s="18" t="n"/>
      <c r="C534" s="17">
        <f>IF($B534="","",TEXT($B534,"ddd"))</f>
        <v/>
      </c>
      <c r="D534" s="44" t="n"/>
      <c r="E534" s="44"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IF(OR($B534="",$I534=""),"",IF(SUMPRODUCT(--ISNUMBER(SEARCH(nrInstrNames,$I534)))&gt;0,"OK","UNRECOGNIZED"))</f>
        <v/>
      </c>
    </row>
    <row r="535">
      <c r="B535" s="18" t="n"/>
      <c r="C535" s="17">
        <f>IF($B535="","",TEXT($B535,"ddd"))</f>
        <v/>
      </c>
      <c r="D535" s="44" t="n"/>
      <c r="E535" s="44"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IF(OR($B535="",$I535=""),"",IF(SUMPRODUCT(--ISNUMBER(SEARCH(nrInstrNames,$I535)))&gt;0,"OK","UNRECOGNIZED"))</f>
        <v/>
      </c>
    </row>
    <row r="536">
      <c r="B536" s="18" t="n"/>
      <c r="C536" s="17">
        <f>IF($B536="","",TEXT($B536,"ddd"))</f>
        <v/>
      </c>
      <c r="D536" s="44" t="n"/>
      <c r="E536" s="44"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IF(OR($B536="",$I536=""),"",IF(SUMPRODUCT(--ISNUMBER(SEARCH(nrInstrNames,$I536)))&gt;0,"OK","UNRECOGNIZED"))</f>
        <v/>
      </c>
    </row>
    <row r="537">
      <c r="B537" s="18" t="n"/>
      <c r="C537" s="17">
        <f>IF($B537="","",TEXT($B537,"ddd"))</f>
        <v/>
      </c>
      <c r="D537" s="44" t="n"/>
      <c r="E537" s="44"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IF(OR($B537="",$I537=""),"",IF(SUMPRODUCT(--ISNUMBER(SEARCH(nrInstrNames,$I537)))&gt;0,"OK","UNRECOGNIZED"))</f>
        <v/>
      </c>
    </row>
    <row r="538">
      <c r="B538" s="18" t="n"/>
      <c r="C538" s="17">
        <f>IF($B538="","",TEXT($B538,"ddd"))</f>
        <v/>
      </c>
      <c r="D538" s="44" t="n"/>
      <c r="E538" s="44"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IF(OR($B538="",$I538=""),"",IF(SUMPRODUCT(--ISNUMBER(SEARCH(nrInstrNames,$I538)))&gt;0,"OK","UNRECOGNIZED"))</f>
        <v/>
      </c>
    </row>
    <row r="539">
      <c r="B539" s="18" t="n"/>
      <c r="C539" s="17">
        <f>IF($B539="","",TEXT($B539,"ddd"))</f>
        <v/>
      </c>
      <c r="D539" s="44" t="n"/>
      <c r="E539" s="44"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IF(OR($B539="",$I539=""),"",IF(SUMPRODUCT(--ISNUMBER(SEARCH(nrInstrNames,$I539)))&gt;0,"OK","UNRECOGNIZED"))</f>
        <v/>
      </c>
    </row>
    <row r="540">
      <c r="B540" s="18" t="n"/>
      <c r="C540" s="17">
        <f>IF($B540="","",TEXT($B540,"ddd"))</f>
        <v/>
      </c>
      <c r="D540" s="44" t="n"/>
      <c r="E540" s="44"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IF(OR($B540="",$I540=""),"",IF(SUMPRODUCT(--ISNUMBER(SEARCH(nrInstrNames,$I540)))&gt;0,"OK","UNRECOGNIZED"))</f>
        <v/>
      </c>
    </row>
    <row r="541">
      <c r="B541" s="18" t="n"/>
      <c r="C541" s="17">
        <f>IF($B541="","",TEXT($B541,"ddd"))</f>
        <v/>
      </c>
      <c r="D541" s="44" t="n"/>
      <c r="E541" s="44"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IF(OR($B541="",$I541=""),"",IF(SUMPRODUCT(--ISNUMBER(SEARCH(nrInstrNames,$I541)))&gt;0,"OK","UNRECOGNIZED"))</f>
        <v/>
      </c>
    </row>
    <row r="542">
      <c r="B542" s="18" t="n"/>
      <c r="C542" s="17">
        <f>IF($B542="","",TEXT($B542,"ddd"))</f>
        <v/>
      </c>
      <c r="D542" s="44" t="n"/>
      <c r="E542" s="44"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IF(OR($B542="",$I542=""),"",IF(SUMPRODUCT(--ISNUMBER(SEARCH(nrInstrNames,$I542)))&gt;0,"OK","UNRECOGNIZED"))</f>
        <v/>
      </c>
    </row>
    <row r="543">
      <c r="B543" s="18" t="n"/>
      <c r="C543" s="17">
        <f>IF($B543="","",TEXT($B543,"ddd"))</f>
        <v/>
      </c>
      <c r="D543" s="44" t="n"/>
      <c r="E543" s="44"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IF(OR($B543="",$I543=""),"",IF(SUMPRODUCT(--ISNUMBER(SEARCH(nrInstrNames,$I543)))&gt;0,"OK","UNRECOGNIZED"))</f>
        <v/>
      </c>
    </row>
    <row r="544">
      <c r="B544" s="18" t="n"/>
      <c r="C544" s="17">
        <f>IF($B544="","",TEXT($B544,"ddd"))</f>
        <v/>
      </c>
      <c r="D544" s="44" t="n"/>
      <c r="E544" s="44"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IF(OR($B544="",$I544=""),"",IF(SUMPRODUCT(--ISNUMBER(SEARCH(nrInstrNames,$I544)))&gt;0,"OK","UNRECOGNIZED"))</f>
        <v/>
      </c>
    </row>
    <row r="545">
      <c r="B545" s="18" t="n"/>
      <c r="C545" s="17">
        <f>IF($B545="","",TEXT($B545,"ddd"))</f>
        <v/>
      </c>
      <c r="D545" s="44" t="n"/>
      <c r="E545" s="44"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IF(OR($B545="",$I545=""),"",IF(SUMPRODUCT(--ISNUMBER(SEARCH(nrInstrNames,$I545)))&gt;0,"OK","UNRECOGNIZED"))</f>
        <v/>
      </c>
    </row>
    <row r="546">
      <c r="B546" s="18" t="n"/>
      <c r="C546" s="17">
        <f>IF($B546="","",TEXT($B546,"ddd"))</f>
        <v/>
      </c>
      <c r="D546" s="44" t="n"/>
      <c r="E546" s="44"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IF(OR($B546="",$I546=""),"",IF(SUMPRODUCT(--ISNUMBER(SEARCH(nrInstrNames,$I546)))&gt;0,"OK","UNRECOGNIZED"))</f>
        <v/>
      </c>
    </row>
    <row r="547">
      <c r="B547" s="18" t="n"/>
      <c r="C547" s="17">
        <f>IF($B547="","",TEXT($B547,"ddd"))</f>
        <v/>
      </c>
      <c r="D547" s="44" t="n"/>
      <c r="E547" s="44"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IF(OR($B547="",$I547=""),"",IF(SUMPRODUCT(--ISNUMBER(SEARCH(nrInstrNames,$I547)))&gt;0,"OK","UNRECOGNIZED"))</f>
        <v/>
      </c>
    </row>
    <row r="548">
      <c r="B548" s="18" t="n"/>
      <c r="C548" s="17">
        <f>IF($B548="","",TEXT($B548,"ddd"))</f>
        <v/>
      </c>
      <c r="D548" s="44" t="n"/>
      <c r="E548" s="44"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IF(OR($B548="",$I548=""),"",IF(SUMPRODUCT(--ISNUMBER(SEARCH(nrInstrNames,$I548)))&gt;0,"OK","UNRECOGNIZED"))</f>
        <v/>
      </c>
    </row>
    <row r="549">
      <c r="B549" s="18" t="n"/>
      <c r="C549" s="17">
        <f>IF($B549="","",TEXT($B549,"ddd"))</f>
        <v/>
      </c>
      <c r="D549" s="44" t="n"/>
      <c r="E549" s="44"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IF(OR($B549="",$I549=""),"",IF(SUMPRODUCT(--ISNUMBER(SEARCH(nrInstrNames,$I549)))&gt;0,"OK","UNRECOGNIZED"))</f>
        <v/>
      </c>
    </row>
    <row r="550">
      <c r="B550" s="18" t="n"/>
      <c r="C550" s="17">
        <f>IF($B550="","",TEXT($B550,"ddd"))</f>
        <v/>
      </c>
      <c r="D550" s="44" t="n"/>
      <c r="E550" s="44"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IF(OR($B550="",$I550=""),"",IF(SUMPRODUCT(--ISNUMBER(SEARCH(nrInstrNames,$I550)))&gt;0,"OK","UNRECOGNIZED"))</f>
        <v/>
      </c>
    </row>
    <row r="551">
      <c r="B551" s="18" t="n"/>
      <c r="C551" s="17">
        <f>IF($B551="","",TEXT($B551,"ddd"))</f>
        <v/>
      </c>
      <c r="D551" s="44" t="n"/>
      <c r="E551" s="44"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IF(OR($B551="",$I551=""),"",IF(SUMPRODUCT(--ISNUMBER(SEARCH(nrInstrNames,$I551)))&gt;0,"OK","UNRECOGNIZED"))</f>
        <v/>
      </c>
    </row>
    <row r="552">
      <c r="B552" s="18" t="n"/>
      <c r="C552" s="17">
        <f>IF($B552="","",TEXT($B552,"ddd"))</f>
        <v/>
      </c>
      <c r="D552" s="44" t="n"/>
      <c r="E552" s="44"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IF(OR($B552="",$I552=""),"",IF(SUMPRODUCT(--ISNUMBER(SEARCH(nrInstrNames,$I552)))&gt;0,"OK","UNRECOGNIZED"))</f>
        <v/>
      </c>
    </row>
    <row r="553">
      <c r="B553" s="18" t="n"/>
      <c r="C553" s="17">
        <f>IF($B553="","",TEXT($B553,"ddd"))</f>
        <v/>
      </c>
      <c r="D553" s="44" t="n"/>
      <c r="E553" s="44"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IF(OR($B553="",$I553=""),"",IF(SUMPRODUCT(--ISNUMBER(SEARCH(nrInstrNames,$I553)))&gt;0,"OK","UNRECOGNIZED"))</f>
        <v/>
      </c>
    </row>
    <row r="554">
      <c r="B554" s="18" t="n"/>
      <c r="C554" s="17">
        <f>IF($B554="","",TEXT($B554,"ddd"))</f>
        <v/>
      </c>
      <c r="D554" s="44" t="n"/>
      <c r="E554" s="44"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IF(OR($B554="",$I554=""),"",IF(SUMPRODUCT(--ISNUMBER(SEARCH(nrInstrNames,$I554)))&gt;0,"OK","UNRECOGNIZED"))</f>
        <v/>
      </c>
    </row>
    <row r="555">
      <c r="B555" s="18" t="n"/>
      <c r="C555" s="17">
        <f>IF($B555="","",TEXT($B555,"ddd"))</f>
        <v/>
      </c>
      <c r="D555" s="44" t="n"/>
      <c r="E555" s="44"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IF(OR($B555="",$I555=""),"",IF(SUMPRODUCT(--ISNUMBER(SEARCH(nrInstrNames,$I555)))&gt;0,"OK","UNRECOGNIZED"))</f>
        <v/>
      </c>
    </row>
    <row r="556">
      <c r="B556" s="18" t="n"/>
      <c r="C556" s="17">
        <f>IF($B556="","",TEXT($B556,"ddd"))</f>
        <v/>
      </c>
      <c r="D556" s="44" t="n"/>
      <c r="E556" s="44"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IF(OR($B556="",$I556=""),"",IF(SUMPRODUCT(--ISNUMBER(SEARCH(nrInstrNames,$I556)))&gt;0,"OK","UNRECOGNIZED"))</f>
        <v/>
      </c>
    </row>
    <row r="557">
      <c r="B557" s="18" t="n"/>
      <c r="C557" s="17">
        <f>IF($B557="","",TEXT($B557,"ddd"))</f>
        <v/>
      </c>
      <c r="D557" s="44" t="n"/>
      <c r="E557" s="44"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IF(OR($B557="",$I557=""),"",IF(SUMPRODUCT(--ISNUMBER(SEARCH(nrInstrNames,$I557)))&gt;0,"OK","UNRECOGNIZED"))</f>
        <v/>
      </c>
    </row>
    <row r="558">
      <c r="B558" s="18" t="n"/>
      <c r="C558" s="17">
        <f>IF($B558="","",TEXT($B558,"ddd"))</f>
        <v/>
      </c>
      <c r="D558" s="44" t="n"/>
      <c r="E558" s="44"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IF(OR($B558="",$I558=""),"",IF(SUMPRODUCT(--ISNUMBER(SEARCH(nrInstrNames,$I558)))&gt;0,"OK","UNRECOGNIZED"))</f>
        <v/>
      </c>
    </row>
    <row r="559">
      <c r="B559" s="18" t="n"/>
      <c r="C559" s="17">
        <f>IF($B559="","",TEXT($B559,"ddd"))</f>
        <v/>
      </c>
      <c r="D559" s="44" t="n"/>
      <c r="E559" s="44"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IF(OR($B559="",$I559=""),"",IF(SUMPRODUCT(--ISNUMBER(SEARCH(nrInstrNames,$I559)))&gt;0,"OK","UNRECOGNIZED"))</f>
        <v/>
      </c>
    </row>
    <row r="560">
      <c r="B560" s="18" t="n"/>
      <c r="C560" s="17">
        <f>IF($B560="","",TEXT($B560,"ddd"))</f>
        <v/>
      </c>
      <c r="D560" s="44" t="n"/>
      <c r="E560" s="44"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IF(OR($B560="",$I560=""),"",IF(SUMPRODUCT(--ISNUMBER(SEARCH(nrInstrNames,$I560)))&gt;0,"OK","UNRECOGNIZED"))</f>
        <v/>
      </c>
    </row>
    <row r="561">
      <c r="B561" s="18" t="n"/>
      <c r="C561" s="17">
        <f>IF($B561="","",TEXT($B561,"ddd"))</f>
        <v/>
      </c>
      <c r="D561" s="44" t="n"/>
      <c r="E561" s="44"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IF(OR($B561="",$I561=""),"",IF(SUMPRODUCT(--ISNUMBER(SEARCH(nrInstrNames,$I561)))&gt;0,"OK","UNRECOGNIZED"))</f>
        <v/>
      </c>
    </row>
    <row r="562">
      <c r="B562" s="18" t="n"/>
      <c r="C562" s="17">
        <f>IF($B562="","",TEXT($B562,"ddd"))</f>
        <v/>
      </c>
      <c r="D562" s="44" t="n"/>
      <c r="E562" s="44"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IF(OR($B562="",$I562=""),"",IF(SUMPRODUCT(--ISNUMBER(SEARCH(nrInstrNames,$I562)))&gt;0,"OK","UNRECOGNIZED"))</f>
        <v/>
      </c>
    </row>
    <row r="563">
      <c r="B563" s="18" t="n"/>
      <c r="C563" s="17">
        <f>IF($B563="","",TEXT($B563,"ddd"))</f>
        <v/>
      </c>
      <c r="D563" s="44" t="n"/>
      <c r="E563" s="44"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IF(OR($B563="",$I563=""),"",IF(SUMPRODUCT(--ISNUMBER(SEARCH(nrInstrNames,$I563)))&gt;0,"OK","UNRECOGNIZED"))</f>
        <v/>
      </c>
    </row>
    <row r="564">
      <c r="B564" s="18" t="n"/>
      <c r="C564" s="17">
        <f>IF($B564="","",TEXT($B564,"ddd"))</f>
        <v/>
      </c>
      <c r="D564" s="44" t="n"/>
      <c r="E564" s="44"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IF(OR($B564="",$I564=""),"",IF(SUMPRODUCT(--ISNUMBER(SEARCH(nrInstrNames,$I564)))&gt;0,"OK","UNRECOGNIZED"))</f>
        <v/>
      </c>
    </row>
    <row r="565">
      <c r="B565" s="18" t="n"/>
      <c r="C565" s="17">
        <f>IF($B565="","",TEXT($B565,"ddd"))</f>
        <v/>
      </c>
      <c r="D565" s="44" t="n"/>
      <c r="E565" s="44"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IF(OR($B565="",$I565=""),"",IF(SUMPRODUCT(--ISNUMBER(SEARCH(nrInstrNames,$I565)))&gt;0,"OK","UNRECOGNIZED"))</f>
        <v/>
      </c>
    </row>
    <row r="566">
      <c r="B566" s="18" t="n"/>
      <c r="C566" s="17">
        <f>IF($B566="","",TEXT($B566,"ddd"))</f>
        <v/>
      </c>
      <c r="D566" s="44" t="n"/>
      <c r="E566" s="44"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IF(OR($B566="",$I566=""),"",IF(SUMPRODUCT(--ISNUMBER(SEARCH(nrInstrNames,$I566)))&gt;0,"OK","UNRECOGNIZED"))</f>
        <v/>
      </c>
    </row>
    <row r="567">
      <c r="B567" s="18" t="n"/>
      <c r="C567" s="17">
        <f>IF($B567="","",TEXT($B567,"ddd"))</f>
        <v/>
      </c>
      <c r="D567" s="44" t="n"/>
      <c r="E567" s="44"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IF(OR($B567="",$I567=""),"",IF(SUMPRODUCT(--ISNUMBER(SEARCH(nrInstrNames,$I567)))&gt;0,"OK","UNRECOGNIZED"))</f>
        <v/>
      </c>
    </row>
    <row r="568">
      <c r="B568" s="18" t="n"/>
      <c r="C568" s="17">
        <f>IF($B568="","",TEXT($B568,"ddd"))</f>
        <v/>
      </c>
      <c r="D568" s="44" t="n"/>
      <c r="E568" s="44"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IF(OR($B568="",$I568=""),"",IF(SUMPRODUCT(--ISNUMBER(SEARCH(nrInstrNames,$I568)))&gt;0,"OK","UNRECOGNIZED"))</f>
        <v/>
      </c>
    </row>
    <row r="569">
      <c r="B569" s="18" t="n"/>
      <c r="C569" s="17">
        <f>IF($B569="","",TEXT($B569,"ddd"))</f>
        <v/>
      </c>
      <c r="D569" s="44" t="n"/>
      <c r="E569" s="44"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IF(OR($B569="",$I569=""),"",IF(SUMPRODUCT(--ISNUMBER(SEARCH(nrInstrNames,$I569)))&gt;0,"OK","UNRECOGNIZED"))</f>
        <v/>
      </c>
    </row>
    <row r="570">
      <c r="B570" s="18" t="n"/>
      <c r="C570" s="17">
        <f>IF($B570="","",TEXT($B570,"ddd"))</f>
        <v/>
      </c>
      <c r="D570" s="44" t="n"/>
      <c r="E570" s="44"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IF(OR($B570="",$I570=""),"",IF(SUMPRODUCT(--ISNUMBER(SEARCH(nrInstrNames,$I570)))&gt;0,"OK","UNRECOGNIZED"))</f>
        <v/>
      </c>
    </row>
    <row r="571">
      <c r="B571" s="18" t="n"/>
      <c r="C571" s="17">
        <f>IF($B571="","",TEXT($B571,"ddd"))</f>
        <v/>
      </c>
      <c r="D571" s="44" t="n"/>
      <c r="E571" s="44"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IF(OR($B571="",$I571=""),"",IF(SUMPRODUCT(--ISNUMBER(SEARCH(nrInstrNames,$I571)))&gt;0,"OK","UNRECOGNIZED"))</f>
        <v/>
      </c>
    </row>
    <row r="572">
      <c r="B572" s="18" t="n"/>
      <c r="C572" s="17">
        <f>IF($B572="","",TEXT($B572,"ddd"))</f>
        <v/>
      </c>
      <c r="D572" s="44" t="n"/>
      <c r="E572" s="44"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IF(OR($B572="",$I572=""),"",IF(SUMPRODUCT(--ISNUMBER(SEARCH(nrInstrNames,$I572)))&gt;0,"OK","UNRECOGNIZED"))</f>
        <v/>
      </c>
    </row>
    <row r="573">
      <c r="B573" s="18" t="n"/>
      <c r="C573" s="17">
        <f>IF($B573="","",TEXT($B573,"ddd"))</f>
        <v/>
      </c>
      <c r="D573" s="44" t="n"/>
      <c r="E573" s="44"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IF(OR($B573="",$I573=""),"",IF(SUMPRODUCT(--ISNUMBER(SEARCH(nrInstrNames,$I573)))&gt;0,"OK","UNRECOGNIZED"))</f>
        <v/>
      </c>
    </row>
    <row r="574">
      <c r="B574" s="18" t="n"/>
      <c r="C574" s="17">
        <f>IF($B574="","",TEXT($B574,"ddd"))</f>
        <v/>
      </c>
      <c r="D574" s="44" t="n"/>
      <c r="E574" s="44"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IF(OR($B574="",$I574=""),"",IF(SUMPRODUCT(--ISNUMBER(SEARCH(nrInstrNames,$I574)))&gt;0,"OK","UNRECOGNIZED"))</f>
        <v/>
      </c>
    </row>
    <row r="575">
      <c r="B575" s="18" t="n"/>
      <c r="C575" s="17">
        <f>IF($B575="","",TEXT($B575,"ddd"))</f>
        <v/>
      </c>
      <c r="D575" s="44" t="n"/>
      <c r="E575" s="44"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IF(OR($B575="",$I575=""),"",IF(SUMPRODUCT(--ISNUMBER(SEARCH(nrInstrNames,$I575)))&gt;0,"OK","UNRECOGNIZED"))</f>
        <v/>
      </c>
    </row>
    <row r="576">
      <c r="B576" s="18" t="n"/>
      <c r="C576" s="17">
        <f>IF($B576="","",TEXT($B576,"ddd"))</f>
        <v/>
      </c>
      <c r="D576" s="44" t="n"/>
      <c r="E576" s="44"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IF(OR($B576="",$I576=""),"",IF(SUMPRODUCT(--ISNUMBER(SEARCH(nrInstrNames,$I576)))&gt;0,"OK","UNRECOGNIZED"))</f>
        <v/>
      </c>
    </row>
    <row r="577">
      <c r="B577" s="18" t="n"/>
      <c r="C577" s="17">
        <f>IF($B577="","",TEXT($B577,"ddd"))</f>
        <v/>
      </c>
      <c r="D577" s="44" t="n"/>
      <c r="E577" s="44"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IF(OR($B577="",$I577=""),"",IF(SUMPRODUCT(--ISNUMBER(SEARCH(nrInstrNames,$I577)))&gt;0,"OK","UNRECOGNIZED"))</f>
        <v/>
      </c>
    </row>
    <row r="578">
      <c r="B578" s="18" t="n"/>
      <c r="C578" s="17">
        <f>IF($B578="","",TEXT($B578,"ddd"))</f>
        <v/>
      </c>
      <c r="D578" s="44" t="n"/>
      <c r="E578" s="44"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IF(OR($B578="",$I578=""),"",IF(SUMPRODUCT(--ISNUMBER(SEARCH(nrInstrNames,$I578)))&gt;0,"OK","UNRECOGNIZED"))</f>
        <v/>
      </c>
    </row>
    <row r="579">
      <c r="B579" s="18" t="n"/>
      <c r="C579" s="17">
        <f>IF($B579="","",TEXT($B579,"ddd"))</f>
        <v/>
      </c>
      <c r="D579" s="44" t="n"/>
      <c r="E579" s="44"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IF(OR($B579="",$I579=""),"",IF(SUMPRODUCT(--ISNUMBER(SEARCH(nrInstrNames,$I579)))&gt;0,"OK","UNRECOGNIZED"))</f>
        <v/>
      </c>
    </row>
    <row r="580">
      <c r="B580" s="18" t="n"/>
      <c r="C580" s="17">
        <f>IF($B580="","",TEXT($B580,"ddd"))</f>
        <v/>
      </c>
      <c r="D580" s="44" t="n"/>
      <c r="E580" s="44"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IF(OR($B580="",$I580=""),"",IF(SUMPRODUCT(--ISNUMBER(SEARCH(nrInstrNames,$I580)))&gt;0,"OK","UNRECOGNIZED"))</f>
        <v/>
      </c>
    </row>
    <row r="581">
      <c r="B581" s="18" t="n"/>
      <c r="C581" s="17">
        <f>IF($B581="","",TEXT($B581,"ddd"))</f>
        <v/>
      </c>
      <c r="D581" s="44" t="n"/>
      <c r="E581" s="44"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IF(OR($B581="",$I581=""),"",IF(SUMPRODUCT(--ISNUMBER(SEARCH(nrInstrNames,$I581)))&gt;0,"OK","UNRECOGNIZED"))</f>
        <v/>
      </c>
    </row>
    <row r="582">
      <c r="B582" s="18" t="n"/>
      <c r="C582" s="17">
        <f>IF($B582="","",TEXT($B582,"ddd"))</f>
        <v/>
      </c>
      <c r="D582" s="44" t="n"/>
      <c r="E582" s="44"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IF(OR($B582="",$I582=""),"",IF(SUMPRODUCT(--ISNUMBER(SEARCH(nrInstrNames,$I582)))&gt;0,"OK","UNRECOGNIZED"))</f>
        <v/>
      </c>
    </row>
    <row r="583">
      <c r="B583" s="18" t="n"/>
      <c r="C583" s="17">
        <f>IF($B583="","",TEXT($B583,"ddd"))</f>
        <v/>
      </c>
      <c r="D583" s="44" t="n"/>
      <c r="E583" s="44"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IF(OR($B583="",$I583=""),"",IF(SUMPRODUCT(--ISNUMBER(SEARCH(nrInstrNames,$I583)))&gt;0,"OK","UNRECOGNIZED"))</f>
        <v/>
      </c>
    </row>
    <row r="584">
      <c r="B584" s="18" t="n"/>
      <c r="C584" s="17">
        <f>IF($B584="","",TEXT($B584,"ddd"))</f>
        <v/>
      </c>
      <c r="D584" s="44" t="n"/>
      <c r="E584" s="44"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IF(OR($B584="",$I584=""),"",IF(SUMPRODUCT(--ISNUMBER(SEARCH(nrInstrNames,$I584)))&gt;0,"OK","UNRECOGNIZED"))</f>
        <v/>
      </c>
    </row>
    <row r="585">
      <c r="B585" s="18" t="n"/>
      <c r="C585" s="17">
        <f>IF($B585="","",TEXT($B585,"ddd"))</f>
        <v/>
      </c>
      <c r="D585" s="44" t="n"/>
      <c r="E585" s="44"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IF(OR($B585="",$I585=""),"",IF(SUMPRODUCT(--ISNUMBER(SEARCH(nrInstrNames,$I585)))&gt;0,"OK","UNRECOGNIZED"))</f>
        <v/>
      </c>
    </row>
    <row r="586">
      <c r="B586" s="18" t="n"/>
      <c r="C586" s="17">
        <f>IF($B586="","",TEXT($B586,"ddd"))</f>
        <v/>
      </c>
      <c r="D586" s="44" t="n"/>
      <c r="E586" s="44"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IF(OR($B586="",$I586=""),"",IF(SUMPRODUCT(--ISNUMBER(SEARCH(nrInstrNames,$I586)))&gt;0,"OK","UNRECOGNIZED"))</f>
        <v/>
      </c>
    </row>
    <row r="587">
      <c r="B587" s="18" t="n"/>
      <c r="C587" s="17">
        <f>IF($B587="","",TEXT($B587,"ddd"))</f>
        <v/>
      </c>
      <c r="D587" s="44" t="n"/>
      <c r="E587" s="44"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IF(OR($B587="",$I587=""),"",IF(SUMPRODUCT(--ISNUMBER(SEARCH(nrInstrNames,$I587)))&gt;0,"OK","UNRECOGNIZED"))</f>
        <v/>
      </c>
    </row>
    <row r="588">
      <c r="B588" s="18" t="n"/>
      <c r="C588" s="17">
        <f>IF($B588="","",TEXT($B588,"ddd"))</f>
        <v/>
      </c>
      <c r="D588" s="44" t="n"/>
      <c r="E588" s="44"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IF(OR($B588="",$I588=""),"",IF(SUMPRODUCT(--ISNUMBER(SEARCH(nrInstrNames,$I588)))&gt;0,"OK","UNRECOGNIZED"))</f>
        <v/>
      </c>
    </row>
    <row r="589">
      <c r="B589" s="18" t="n"/>
      <c r="C589" s="17">
        <f>IF($B589="","",TEXT($B589,"ddd"))</f>
        <v/>
      </c>
      <c r="D589" s="44" t="n"/>
      <c r="E589" s="44"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IF(OR($B589="",$I589=""),"",IF(SUMPRODUCT(--ISNUMBER(SEARCH(nrInstrNames,$I589)))&gt;0,"OK","UNRECOGNIZED"))</f>
        <v/>
      </c>
    </row>
    <row r="590">
      <c r="B590" s="18" t="n"/>
      <c r="C590" s="17">
        <f>IF($B590="","",TEXT($B590,"ddd"))</f>
        <v/>
      </c>
      <c r="D590" s="44" t="n"/>
      <c r="E590" s="44"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IF(OR($B590="",$I590=""),"",IF(SUMPRODUCT(--ISNUMBER(SEARCH(nrInstrNames,$I590)))&gt;0,"OK","UNRECOGNIZED"))</f>
        <v/>
      </c>
    </row>
    <row r="591">
      <c r="B591" s="18" t="n"/>
      <c r="C591" s="17">
        <f>IF($B591="","",TEXT($B591,"ddd"))</f>
        <v/>
      </c>
      <c r="D591" s="44" t="n"/>
      <c r="E591" s="44"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IF(OR($B591="",$I591=""),"",IF(SUMPRODUCT(--ISNUMBER(SEARCH(nrInstrNames,$I591)))&gt;0,"OK","UNRECOGNIZED"))</f>
        <v/>
      </c>
    </row>
    <row r="592">
      <c r="B592" s="18" t="n"/>
      <c r="C592" s="17">
        <f>IF($B592="","",TEXT($B592,"ddd"))</f>
        <v/>
      </c>
      <c r="D592" s="44" t="n"/>
      <c r="E592" s="44"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IF(OR($B592="",$I592=""),"",IF(SUMPRODUCT(--ISNUMBER(SEARCH(nrInstrNames,$I592)))&gt;0,"OK","UNRECOGNIZED"))</f>
        <v/>
      </c>
    </row>
    <row r="593">
      <c r="B593" s="18" t="n"/>
      <c r="C593" s="17">
        <f>IF($B593="","",TEXT($B593,"ddd"))</f>
        <v/>
      </c>
      <c r="D593" s="44" t="n"/>
      <c r="E593" s="44"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IF(OR($B593="",$I593=""),"",IF(SUMPRODUCT(--ISNUMBER(SEARCH(nrInstrNames,$I593)))&gt;0,"OK","UNRECOGNIZED"))</f>
        <v/>
      </c>
    </row>
    <row r="594">
      <c r="B594" s="18" t="n"/>
      <c r="C594" s="17">
        <f>IF($B594="","",TEXT($B594,"ddd"))</f>
        <v/>
      </c>
      <c r="D594" s="44" t="n"/>
      <c r="E594" s="44"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IF(OR($B594="",$I594=""),"",IF(SUMPRODUCT(--ISNUMBER(SEARCH(nrInstrNames,$I594)))&gt;0,"OK","UNRECOGNIZED"))</f>
        <v/>
      </c>
    </row>
    <row r="595">
      <c r="B595" s="18" t="n"/>
      <c r="C595" s="17">
        <f>IF($B595="","",TEXT($B595,"ddd"))</f>
        <v/>
      </c>
      <c r="D595" s="44" t="n"/>
      <c r="E595" s="44"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IF(OR($B595="",$I595=""),"",IF(SUMPRODUCT(--ISNUMBER(SEARCH(nrInstrNames,$I595)))&gt;0,"OK","UNRECOGNIZED"))</f>
        <v/>
      </c>
    </row>
    <row r="596">
      <c r="B596" s="18" t="n"/>
      <c r="C596" s="17">
        <f>IF($B596="","",TEXT($B596,"ddd"))</f>
        <v/>
      </c>
      <c r="D596" s="44" t="n"/>
      <c r="E596" s="44"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IF(OR($B596="",$I596=""),"",IF(SUMPRODUCT(--ISNUMBER(SEARCH(nrInstrNames,$I596)))&gt;0,"OK","UNRECOGNIZED"))</f>
        <v/>
      </c>
    </row>
    <row r="597">
      <c r="B597" s="18" t="n"/>
      <c r="C597" s="17">
        <f>IF($B597="","",TEXT($B597,"ddd"))</f>
        <v/>
      </c>
      <c r="D597" s="44" t="n"/>
      <c r="E597" s="44"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IF(OR($B597="",$I597=""),"",IF(SUMPRODUCT(--ISNUMBER(SEARCH(nrInstrNames,$I597)))&gt;0,"OK","UNRECOGNIZED"))</f>
        <v/>
      </c>
    </row>
    <row r="598">
      <c r="B598" s="18" t="n"/>
      <c r="C598" s="17">
        <f>IF($B598="","",TEXT($B598,"ddd"))</f>
        <v/>
      </c>
      <c r="D598" s="44" t="n"/>
      <c r="E598" s="44"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IF(OR($B598="",$I598=""),"",IF(SUMPRODUCT(--ISNUMBER(SEARCH(nrInstrNames,$I598)))&gt;0,"OK","UNRECOGNIZED"))</f>
        <v/>
      </c>
    </row>
    <row r="599">
      <c r="B599" s="18" t="n"/>
      <c r="C599" s="17">
        <f>IF($B599="","",TEXT($B599,"ddd"))</f>
        <v/>
      </c>
      <c r="D599" s="44" t="n"/>
      <c r="E599" s="44"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IF(OR($B599="",$I599=""),"",IF(SUMPRODUCT(--ISNUMBER(SEARCH(nrInstrNames,$I599)))&gt;0,"OK","UNRECOGNIZED"))</f>
        <v/>
      </c>
    </row>
    <row r="600">
      <c r="B600" s="18" t="n"/>
      <c r="C600" s="17">
        <f>IF($B600="","",TEXT($B600,"ddd"))</f>
        <v/>
      </c>
      <c r="D600" s="44" t="n"/>
      <c r="E600" s="44"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IF(OR($B600="",$I600=""),"",IF(SUMPRODUCT(--ISNUMBER(SEARCH(nrInstrNames,$I600)))&gt;0,"OK","UNRECOGNIZED"))</f>
        <v/>
      </c>
    </row>
    <row r="601">
      <c r="B601" s="18" t="n"/>
      <c r="C601" s="17">
        <f>IF($B601="","",TEXT($B601,"ddd"))</f>
        <v/>
      </c>
      <c r="D601" s="44" t="n"/>
      <c r="E601" s="44"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IF(OR($B601="",$I601=""),"",IF(SUMPRODUCT(--ISNUMBER(SEARCH(nrInstrNames,$I601)))&gt;0,"OK","UNRECOGNIZED"))</f>
        <v/>
      </c>
    </row>
    <row r="602">
      <c r="B602" s="18" t="n"/>
      <c r="C602" s="17">
        <f>IF($B602="","",TEXT($B602,"ddd"))</f>
        <v/>
      </c>
      <c r="D602" s="44" t="n"/>
      <c r="E602" s="44"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IF(OR($B602="",$I602=""),"",IF(SUMPRODUCT(--ISNUMBER(SEARCH(nrInstrNames,$I602)))&gt;0,"OK","UNRECOGNIZED"))</f>
        <v/>
      </c>
    </row>
    <row r="603">
      <c r="B603" s="18" t="n"/>
      <c r="C603" s="17">
        <f>IF($B603="","",TEXT($B603,"ddd"))</f>
        <v/>
      </c>
      <c r="D603" s="44" t="n"/>
      <c r="E603" s="44"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IF(OR($B603="",$I603=""),"",IF(SUMPRODUCT(--ISNUMBER(SEARCH(nrInstrNames,$I603)))&gt;0,"OK","UNRECOGNIZED"))</f>
        <v/>
      </c>
    </row>
    <row r="604">
      <c r="B604" s="18" t="n"/>
      <c r="C604" s="17">
        <f>IF($B604="","",TEXT($B604,"ddd"))</f>
        <v/>
      </c>
      <c r="D604" s="44" t="n"/>
      <c r="E604" s="44"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IF(OR($B604="",$I604=""),"",IF(SUMPRODUCT(--ISNUMBER(SEARCH(nrInstrNames,$I604)))&gt;0,"OK","UNRECOGNIZED"))</f>
        <v/>
      </c>
    </row>
    <row r="605">
      <c r="B605" s="18" t="n"/>
      <c r="C605" s="17">
        <f>IF($B605="","",TEXT($B605,"ddd"))</f>
        <v/>
      </c>
      <c r="D605" s="44" t="n"/>
      <c r="E605" s="44"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IF(OR($B605="",$I605=""),"",IF(SUMPRODUCT(--ISNUMBER(SEARCH(nrInstrNames,$I605)))&gt;0,"OK","UNRECOGNIZED"))</f>
        <v/>
      </c>
    </row>
    <row r="606">
      <c r="B606" s="18" t="n"/>
      <c r="C606" s="17">
        <f>IF($B606="","",TEXT($B606,"ddd"))</f>
        <v/>
      </c>
      <c r="D606" s="44" t="n"/>
      <c r="E606" s="44"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IF(OR($B606="",$I606=""),"",IF(SUMPRODUCT(--ISNUMBER(SEARCH(nrInstrNames,$I606)))&gt;0,"OK","UNRECOGNIZED"))</f>
        <v/>
      </c>
    </row>
    <row r="607">
      <c r="B607" s="18" t="n"/>
      <c r="C607" s="17">
        <f>IF($B607="","",TEXT($B607,"ddd"))</f>
        <v/>
      </c>
      <c r="D607" s="44" t="n"/>
      <c r="E607" s="44"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IF(OR($B607="",$I607=""),"",IF(SUMPRODUCT(--ISNUMBER(SEARCH(nrInstrNames,$I607)))&gt;0,"OK","UNRECOGNIZED"))</f>
        <v/>
      </c>
    </row>
    <row r="608">
      <c r="B608" s="18" t="n"/>
      <c r="C608" s="17">
        <f>IF($B608="","",TEXT($B608,"ddd"))</f>
        <v/>
      </c>
      <c r="D608" s="44" t="n"/>
      <c r="E608" s="44"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IF(OR($B608="",$I608=""),"",IF(SUMPRODUCT(--ISNUMBER(SEARCH(nrInstrNames,$I608)))&gt;0,"OK","UNRECOGNIZED"))</f>
        <v/>
      </c>
    </row>
    <row r="609">
      <c r="B609" s="18" t="n"/>
      <c r="C609" s="17">
        <f>IF($B609="","",TEXT($B609,"ddd"))</f>
        <v/>
      </c>
      <c r="D609" s="44" t="n"/>
      <c r="E609" s="44"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IF(OR($B609="",$I609=""),"",IF(SUMPRODUCT(--ISNUMBER(SEARCH(nrInstrNames,$I609)))&gt;0,"OK","UNRECOGNIZED"))</f>
        <v/>
      </c>
    </row>
    <row r="610">
      <c r="B610" s="18" t="n"/>
      <c r="C610" s="17">
        <f>IF($B610="","",TEXT($B610,"ddd"))</f>
        <v/>
      </c>
      <c r="D610" s="44" t="n"/>
      <c r="E610" s="44"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IF(OR($B610="",$I610=""),"",IF(SUMPRODUCT(--ISNUMBER(SEARCH(nrInstrNames,$I610)))&gt;0,"OK","UNRECOGNIZED"))</f>
        <v/>
      </c>
    </row>
    <row r="611">
      <c r="B611" s="18" t="n"/>
      <c r="C611" s="17">
        <f>IF($B611="","",TEXT($B611,"ddd"))</f>
        <v/>
      </c>
      <c r="D611" s="44" t="n"/>
      <c r="E611" s="44"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IF(OR($B611="",$I611=""),"",IF(SUMPRODUCT(--ISNUMBER(SEARCH(nrInstrNames,$I611)))&gt;0,"OK","UNRECOGNIZED"))</f>
        <v/>
      </c>
    </row>
    <row r="612">
      <c r="B612" s="18" t="n"/>
      <c r="C612" s="17">
        <f>IF($B612="","",TEXT($B612,"ddd"))</f>
        <v/>
      </c>
      <c r="D612" s="44" t="n"/>
      <c r="E612" s="44"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IF(OR($B612="",$I612=""),"",IF(SUMPRODUCT(--ISNUMBER(SEARCH(nrInstrNames,$I612)))&gt;0,"OK","UNRECOGNIZED"))</f>
        <v/>
      </c>
    </row>
    <row r="613">
      <c r="B613" s="18" t="n"/>
      <c r="C613" s="17">
        <f>IF($B613="","",TEXT($B613,"ddd"))</f>
        <v/>
      </c>
      <c r="D613" s="44" t="n"/>
      <c r="E613" s="44"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IF(OR($B613="",$I613=""),"",IF(SUMPRODUCT(--ISNUMBER(SEARCH(nrInstrNames,$I613)))&gt;0,"OK","UNRECOGNIZED"))</f>
        <v/>
      </c>
    </row>
    <row r="614">
      <c r="B614" s="18" t="n"/>
      <c r="C614" s="17">
        <f>IF($B614="","",TEXT($B614,"ddd"))</f>
        <v/>
      </c>
      <c r="D614" s="44" t="n"/>
      <c r="E614" s="44"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IF(OR($B614="",$I614=""),"",IF(SUMPRODUCT(--ISNUMBER(SEARCH(nrInstrNames,$I614)))&gt;0,"OK","UNRECOGNIZED"))</f>
        <v/>
      </c>
    </row>
    <row r="615">
      <c r="B615" s="18" t="n"/>
      <c r="C615" s="17">
        <f>IF($B615="","",TEXT($B615,"ddd"))</f>
        <v/>
      </c>
      <c r="D615" s="44" t="n"/>
      <c r="E615" s="44"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IF(OR($B615="",$I615=""),"",IF(SUMPRODUCT(--ISNUMBER(SEARCH(nrInstrNames,$I615)))&gt;0,"OK","UNRECOGNIZED"))</f>
        <v/>
      </c>
    </row>
    <row r="616">
      <c r="B616" s="18" t="n"/>
      <c r="C616" s="17">
        <f>IF($B616="","",TEXT($B616,"ddd"))</f>
        <v/>
      </c>
      <c r="D616" s="44" t="n"/>
      <c r="E616" s="44"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IF(OR($B616="",$I616=""),"",IF(SUMPRODUCT(--ISNUMBER(SEARCH(nrInstrNames,$I616)))&gt;0,"OK","UNRECOGNIZED"))</f>
        <v/>
      </c>
    </row>
    <row r="617">
      <c r="B617" s="18" t="n"/>
      <c r="C617" s="17">
        <f>IF($B617="","",TEXT($B617,"ddd"))</f>
        <v/>
      </c>
      <c r="D617" s="44" t="n"/>
      <c r="E617" s="44"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IF(OR($B617="",$I617=""),"",IF(SUMPRODUCT(--ISNUMBER(SEARCH(nrInstrNames,$I617)))&gt;0,"OK","UNRECOGNIZED"))</f>
        <v/>
      </c>
    </row>
    <row r="618">
      <c r="B618" s="18" t="n"/>
      <c r="C618" s="17">
        <f>IF($B618="","",TEXT($B618,"ddd"))</f>
        <v/>
      </c>
      <c r="D618" s="44" t="n"/>
      <c r="E618" s="44"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IF(OR($B618="",$I618=""),"",IF(SUMPRODUCT(--ISNUMBER(SEARCH(nrInstrNames,$I618)))&gt;0,"OK","UNRECOGNIZED"))</f>
        <v/>
      </c>
    </row>
    <row r="619">
      <c r="B619" s="18" t="n"/>
      <c r="C619" s="17">
        <f>IF($B619="","",TEXT($B619,"ddd"))</f>
        <v/>
      </c>
      <c r="D619" s="44" t="n"/>
      <c r="E619" s="44"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IF(OR($B619="",$I619=""),"",IF(SUMPRODUCT(--ISNUMBER(SEARCH(nrInstrNames,$I619)))&gt;0,"OK","UNRECOGNIZED"))</f>
        <v/>
      </c>
    </row>
    <row r="620">
      <c r="B620" s="18" t="n"/>
      <c r="C620" s="17">
        <f>IF($B620="","",TEXT($B620,"ddd"))</f>
        <v/>
      </c>
      <c r="D620" s="44" t="n"/>
      <c r="E620" s="44"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IF(OR($B620="",$I620=""),"",IF(SUMPRODUCT(--ISNUMBER(SEARCH(nrInstrNames,$I620)))&gt;0,"OK","UNRECOGNIZED"))</f>
        <v/>
      </c>
    </row>
    <row r="621">
      <c r="B621" s="18" t="n"/>
      <c r="C621" s="17">
        <f>IF($B621="","",TEXT($B621,"ddd"))</f>
        <v/>
      </c>
      <c r="D621" s="44" t="n"/>
      <c r="E621" s="44"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IF(OR($B621="",$I621=""),"",IF(SUMPRODUCT(--ISNUMBER(SEARCH(nrInstrNames,$I621)))&gt;0,"OK","UNRECOGNIZED"))</f>
        <v/>
      </c>
    </row>
    <row r="622">
      <c r="B622" s="18" t="n"/>
      <c r="C622" s="17">
        <f>IF($B622="","",TEXT($B622,"ddd"))</f>
        <v/>
      </c>
      <c r="D622" s="44" t="n"/>
      <c r="E622" s="44"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IF(OR($B622="",$I622=""),"",IF(SUMPRODUCT(--ISNUMBER(SEARCH(nrInstrNames,$I622)))&gt;0,"OK","UNRECOGNIZED"))</f>
        <v/>
      </c>
    </row>
    <row r="623">
      <c r="B623" s="18" t="n"/>
      <c r="C623" s="17">
        <f>IF($B623="","",TEXT($B623,"ddd"))</f>
        <v/>
      </c>
      <c r="D623" s="44" t="n"/>
      <c r="E623" s="44"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IF(OR($B623="",$I623=""),"",IF(SUMPRODUCT(--ISNUMBER(SEARCH(nrInstrNames,$I623)))&gt;0,"OK","UNRECOGNIZED"))</f>
        <v/>
      </c>
    </row>
    <row r="624">
      <c r="B624" s="18" t="n"/>
      <c r="C624" s="17">
        <f>IF($B624="","",TEXT($B624,"ddd"))</f>
        <v/>
      </c>
      <c r="D624" s="44" t="n"/>
      <c r="E624" s="44"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IF(OR($B624="",$I624=""),"",IF(SUMPRODUCT(--ISNUMBER(SEARCH(nrInstrNames,$I624)))&gt;0,"OK","UNRECOGNIZED"))</f>
        <v/>
      </c>
    </row>
    <row r="625">
      <c r="B625" s="18" t="n"/>
      <c r="C625" s="17">
        <f>IF($B625="","",TEXT($B625,"ddd"))</f>
        <v/>
      </c>
      <c r="D625" s="44" t="n"/>
      <c r="E625" s="44"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IF(OR($B625="",$I625=""),"",IF(SUMPRODUCT(--ISNUMBER(SEARCH(nrInstrNames,$I625)))&gt;0,"OK","UNRECOGNIZED"))</f>
        <v/>
      </c>
    </row>
    <row r="626">
      <c r="B626" s="18" t="n"/>
      <c r="C626" s="17">
        <f>IF($B626="","",TEXT($B626,"ddd"))</f>
        <v/>
      </c>
      <c r="D626" s="44" t="n"/>
      <c r="E626" s="44"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IF(OR($B626="",$I626=""),"",IF(SUMPRODUCT(--ISNUMBER(SEARCH(nrInstrNames,$I626)))&gt;0,"OK","UNRECOGNIZED"))</f>
        <v/>
      </c>
    </row>
    <row r="627">
      <c r="B627" s="18" t="n"/>
      <c r="C627" s="17">
        <f>IF($B627="","",TEXT($B627,"ddd"))</f>
        <v/>
      </c>
      <c r="D627" s="44" t="n"/>
      <c r="E627" s="44"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IF(OR($B627="",$I627=""),"",IF(SUMPRODUCT(--ISNUMBER(SEARCH(nrInstrNames,$I627)))&gt;0,"OK","UNRECOGNIZED"))</f>
        <v/>
      </c>
    </row>
    <row r="628">
      <c r="B628" s="18" t="n"/>
      <c r="C628" s="17">
        <f>IF($B628="","",TEXT($B628,"ddd"))</f>
        <v/>
      </c>
      <c r="D628" s="44" t="n"/>
      <c r="E628" s="44"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IF(OR($B628="",$I628=""),"",IF(SUMPRODUCT(--ISNUMBER(SEARCH(nrInstrNames,$I628)))&gt;0,"OK","UNRECOGNIZED"))</f>
        <v/>
      </c>
    </row>
    <row r="629">
      <c r="B629" s="18" t="n"/>
      <c r="C629" s="17">
        <f>IF($B629="","",TEXT($B629,"ddd"))</f>
        <v/>
      </c>
      <c r="D629" s="44" t="n"/>
      <c r="E629" s="44"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IF(OR($B629="",$I629=""),"",IF(SUMPRODUCT(--ISNUMBER(SEARCH(nrInstrNames,$I629)))&gt;0,"OK","UNRECOGNIZED"))</f>
        <v/>
      </c>
    </row>
    <row r="630">
      <c r="B630" s="18" t="n"/>
      <c r="C630" s="17">
        <f>IF($B630="","",TEXT($B630,"ddd"))</f>
        <v/>
      </c>
      <c r="D630" s="44" t="n"/>
      <c r="E630" s="44"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IF(OR($B630="",$I630=""),"",IF(SUMPRODUCT(--ISNUMBER(SEARCH(nrInstrNames,$I630)))&gt;0,"OK","UNRECOGNIZED"))</f>
        <v/>
      </c>
    </row>
    <row r="631">
      <c r="B631" s="18" t="n"/>
      <c r="C631" s="17">
        <f>IF($B631="","",TEXT($B631,"ddd"))</f>
        <v/>
      </c>
      <c r="D631" s="44" t="n"/>
      <c r="E631" s="44"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IF(OR($B631="",$I631=""),"",IF(SUMPRODUCT(--ISNUMBER(SEARCH(nrInstrNames,$I631)))&gt;0,"OK","UNRECOGNIZED"))</f>
        <v/>
      </c>
    </row>
    <row r="632">
      <c r="B632" s="18" t="n"/>
      <c r="C632" s="17">
        <f>IF($B632="","",TEXT($B632,"ddd"))</f>
        <v/>
      </c>
      <c r="D632" s="44" t="n"/>
      <c r="E632" s="44"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IF(OR($B632="",$I632=""),"",IF(SUMPRODUCT(--ISNUMBER(SEARCH(nrInstrNames,$I632)))&gt;0,"OK","UNRECOGNIZED"))</f>
        <v/>
      </c>
    </row>
    <row r="633">
      <c r="B633" s="18" t="n"/>
      <c r="C633" s="17">
        <f>IF($B633="","",TEXT($B633,"ddd"))</f>
        <v/>
      </c>
      <c r="D633" s="44" t="n"/>
      <c r="E633" s="44"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IF(OR($B633="",$I633=""),"",IF(SUMPRODUCT(--ISNUMBER(SEARCH(nrInstrNames,$I633)))&gt;0,"OK","UNRECOGNIZED"))</f>
        <v/>
      </c>
    </row>
    <row r="634">
      <c r="B634" s="18" t="n"/>
      <c r="C634" s="17">
        <f>IF($B634="","",TEXT($B634,"ddd"))</f>
        <v/>
      </c>
      <c r="D634" s="44" t="n"/>
      <c r="E634" s="44"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IF(OR($B634="",$I634=""),"",IF(SUMPRODUCT(--ISNUMBER(SEARCH(nrInstrNames,$I634)))&gt;0,"OK","UNRECOGNIZED"))</f>
        <v/>
      </c>
    </row>
    <row r="635">
      <c r="B635" s="18" t="n"/>
      <c r="C635" s="17">
        <f>IF($B635="","",TEXT($B635,"ddd"))</f>
        <v/>
      </c>
      <c r="D635" s="44" t="n"/>
      <c r="E635" s="44"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IF(OR($B635="",$I635=""),"",IF(SUMPRODUCT(--ISNUMBER(SEARCH(nrInstrNames,$I635)))&gt;0,"OK","UNRECOGNIZED"))</f>
        <v/>
      </c>
    </row>
    <row r="636">
      <c r="B636" s="18" t="n"/>
      <c r="C636" s="17">
        <f>IF($B636="","",TEXT($B636,"ddd"))</f>
        <v/>
      </c>
      <c r="D636" s="44" t="n"/>
      <c r="E636" s="44"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IF(OR($B636="",$I636=""),"",IF(SUMPRODUCT(--ISNUMBER(SEARCH(nrInstrNames,$I636)))&gt;0,"OK","UNRECOGNIZED"))</f>
        <v/>
      </c>
    </row>
    <row r="637">
      <c r="B637" s="18" t="n"/>
      <c r="C637" s="17">
        <f>IF($B637="","",TEXT($B637,"ddd"))</f>
        <v/>
      </c>
      <c r="D637" s="44" t="n"/>
      <c r="E637" s="44"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IF(OR($B637="",$I637=""),"",IF(SUMPRODUCT(--ISNUMBER(SEARCH(nrInstrNames,$I637)))&gt;0,"OK","UNRECOGNIZED"))</f>
        <v/>
      </c>
    </row>
    <row r="638">
      <c r="B638" s="18" t="n"/>
      <c r="C638" s="17">
        <f>IF($B638="","",TEXT($B638,"ddd"))</f>
        <v/>
      </c>
      <c r="D638" s="44" t="n"/>
      <c r="E638" s="44"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IF(OR($B638="",$I638=""),"",IF(SUMPRODUCT(--ISNUMBER(SEARCH(nrInstrNames,$I638)))&gt;0,"OK","UNRECOGNIZED"))</f>
        <v/>
      </c>
    </row>
    <row r="639">
      <c r="B639" s="18" t="n"/>
      <c r="C639" s="17">
        <f>IF($B639="","",TEXT($B639,"ddd"))</f>
        <v/>
      </c>
      <c r="D639" s="44" t="n"/>
      <c r="E639" s="44"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IF(OR($B639="",$I639=""),"",IF(SUMPRODUCT(--ISNUMBER(SEARCH(nrInstrNames,$I639)))&gt;0,"OK","UNRECOGNIZED"))</f>
        <v/>
      </c>
    </row>
    <row r="640">
      <c r="B640" s="18" t="n"/>
      <c r="C640" s="17">
        <f>IF($B640="","",TEXT($B640,"ddd"))</f>
        <v/>
      </c>
      <c r="D640" s="44" t="n"/>
      <c r="E640" s="44"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IF(OR($B640="",$I640=""),"",IF(SUMPRODUCT(--ISNUMBER(SEARCH(nrInstrNames,$I640)))&gt;0,"OK","UNRECOGNIZED"))</f>
        <v/>
      </c>
    </row>
    <row r="641">
      <c r="B641" s="18" t="n"/>
      <c r="C641" s="17">
        <f>IF($B641="","",TEXT($B641,"ddd"))</f>
        <v/>
      </c>
      <c r="D641" s="44" t="n"/>
      <c r="E641" s="44"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IF(OR($B641="",$I641=""),"",IF(SUMPRODUCT(--ISNUMBER(SEARCH(nrInstrNames,$I641)))&gt;0,"OK","UNRECOGNIZED"))</f>
        <v/>
      </c>
    </row>
    <row r="642">
      <c r="B642" s="18" t="n"/>
      <c r="C642" s="17">
        <f>IF($B642="","",TEXT($B642,"ddd"))</f>
        <v/>
      </c>
      <c r="D642" s="44" t="n"/>
      <c r="E642" s="44"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IF(OR($B642="",$I642=""),"",IF(SUMPRODUCT(--ISNUMBER(SEARCH(nrInstrNames,$I642)))&gt;0,"OK","UNRECOGNIZED"))</f>
        <v/>
      </c>
    </row>
    <row r="643">
      <c r="B643" s="18" t="n"/>
      <c r="C643" s="17">
        <f>IF($B643="","",TEXT($B643,"ddd"))</f>
        <v/>
      </c>
      <c r="D643" s="44" t="n"/>
      <c r="E643" s="44"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IF(OR($B643="",$I643=""),"",IF(SUMPRODUCT(--ISNUMBER(SEARCH(nrInstrNames,$I643)))&gt;0,"OK","UNRECOGNIZED"))</f>
        <v/>
      </c>
    </row>
    <row r="644">
      <c r="B644" s="18" t="n"/>
      <c r="C644" s="17">
        <f>IF($B644="","",TEXT($B644,"ddd"))</f>
        <v/>
      </c>
      <c r="D644" s="44" t="n"/>
      <c r="E644" s="44"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IF(OR($B644="",$I644=""),"",IF(SUMPRODUCT(--ISNUMBER(SEARCH(nrInstrNames,$I644)))&gt;0,"OK","UNRECOGNIZED"))</f>
        <v/>
      </c>
    </row>
    <row r="645">
      <c r="B645" s="18" t="n"/>
      <c r="C645" s="17">
        <f>IF($B645="","",TEXT($B645,"ddd"))</f>
        <v/>
      </c>
      <c r="D645" s="44" t="n"/>
      <c r="E645" s="44"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IF(OR($B645="",$I645=""),"",IF(SUMPRODUCT(--ISNUMBER(SEARCH(nrInstrNames,$I645)))&gt;0,"OK","UNRECOGNIZED"))</f>
        <v/>
      </c>
    </row>
    <row r="646">
      <c r="B646" s="18" t="n"/>
      <c r="C646" s="17">
        <f>IF($B646="","",TEXT($B646,"ddd"))</f>
        <v/>
      </c>
      <c r="D646" s="44" t="n"/>
      <c r="E646" s="44"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IF(OR($B646="",$I646=""),"",IF(SUMPRODUCT(--ISNUMBER(SEARCH(nrInstrNames,$I646)))&gt;0,"OK","UNRECOGNIZED"))</f>
        <v/>
      </c>
    </row>
    <row r="647">
      <c r="B647" s="18" t="n"/>
      <c r="C647" s="17">
        <f>IF($B647="","",TEXT($B647,"ddd"))</f>
        <v/>
      </c>
      <c r="D647" s="44" t="n"/>
      <c r="E647" s="44"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IF(OR($B647="",$I647=""),"",IF(SUMPRODUCT(--ISNUMBER(SEARCH(nrInstrNames,$I647)))&gt;0,"OK","UNRECOGNIZED"))</f>
        <v/>
      </c>
    </row>
    <row r="648">
      <c r="B648" s="18" t="n"/>
      <c r="C648" s="17">
        <f>IF($B648="","",TEXT($B648,"ddd"))</f>
        <v/>
      </c>
      <c r="D648" s="44" t="n"/>
      <c r="E648" s="44"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IF(OR($B648="",$I648=""),"",IF(SUMPRODUCT(--ISNUMBER(SEARCH(nrInstrNames,$I648)))&gt;0,"OK","UNRECOGNIZED"))</f>
        <v/>
      </c>
    </row>
    <row r="649">
      <c r="B649" s="18" t="n"/>
      <c r="C649" s="17">
        <f>IF($B649="","",TEXT($B649,"ddd"))</f>
        <v/>
      </c>
      <c r="D649" s="44" t="n"/>
      <c r="E649" s="44"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IF(OR($B649="",$I649=""),"",IF(SUMPRODUCT(--ISNUMBER(SEARCH(nrInstrNames,$I649)))&gt;0,"OK","UNRECOGNIZED"))</f>
        <v/>
      </c>
    </row>
    <row r="650">
      <c r="B650" s="18" t="n"/>
      <c r="C650" s="17">
        <f>IF($B650="","",TEXT($B650,"ddd"))</f>
        <v/>
      </c>
      <c r="D650" s="44" t="n"/>
      <c r="E650" s="44"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IF(OR($B650="",$I650=""),"",IF(SUMPRODUCT(--ISNUMBER(SEARCH(nrInstrNames,$I650)))&gt;0,"OK","UNRECOGNIZED"))</f>
        <v/>
      </c>
    </row>
    <row r="651">
      <c r="B651" s="18" t="n"/>
      <c r="C651" s="17">
        <f>IF($B651="","",TEXT($B651,"ddd"))</f>
        <v/>
      </c>
      <c r="D651" s="44" t="n"/>
      <c r="E651" s="44"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IF(OR($B651="",$I651=""),"",IF(SUMPRODUCT(--ISNUMBER(SEARCH(nrInstrNames,$I651)))&gt;0,"OK","UNRECOGNIZED"))</f>
        <v/>
      </c>
    </row>
    <row r="652">
      <c r="B652" s="18" t="n"/>
      <c r="C652" s="17">
        <f>IF($B652="","",TEXT($B652,"ddd"))</f>
        <v/>
      </c>
      <c r="D652" s="44" t="n"/>
      <c r="E652" s="44"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IF(OR($B652="",$I652=""),"",IF(SUMPRODUCT(--ISNUMBER(SEARCH(nrInstrNames,$I652)))&gt;0,"OK","UNRECOGNIZED"))</f>
        <v/>
      </c>
    </row>
    <row r="653">
      <c r="B653" s="18" t="n"/>
      <c r="C653" s="17">
        <f>IF($B653="","",TEXT($B653,"ddd"))</f>
        <v/>
      </c>
      <c r="D653" s="44" t="n"/>
      <c r="E653" s="44"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IF(OR($B653="",$I653=""),"",IF(SUMPRODUCT(--ISNUMBER(SEARCH(nrInstrNames,$I653)))&gt;0,"OK","UNRECOGNIZED"))</f>
        <v/>
      </c>
    </row>
    <row r="654">
      <c r="B654" s="18" t="n"/>
      <c r="C654" s="17">
        <f>IF($B654="","",TEXT($B654,"ddd"))</f>
        <v/>
      </c>
      <c r="D654" s="44" t="n"/>
      <c r="E654" s="44"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IF(OR($B654="",$I654=""),"",IF(SUMPRODUCT(--ISNUMBER(SEARCH(nrInstrNames,$I654)))&gt;0,"OK","UNRECOGNIZED"))</f>
        <v/>
      </c>
    </row>
    <row r="655">
      <c r="B655" s="18" t="n"/>
      <c r="C655" s="17">
        <f>IF($B655="","",TEXT($B655,"ddd"))</f>
        <v/>
      </c>
      <c r="D655" s="44" t="n"/>
      <c r="E655" s="44"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IF(OR($B655="",$I655=""),"",IF(SUMPRODUCT(--ISNUMBER(SEARCH(nrInstrNames,$I655)))&gt;0,"OK","UNRECOGNIZED"))</f>
        <v/>
      </c>
    </row>
    <row r="656">
      <c r="B656" s="18" t="n"/>
      <c r="C656" s="17">
        <f>IF($B656="","",TEXT($B656,"ddd"))</f>
        <v/>
      </c>
      <c r="D656" s="44" t="n"/>
      <c r="E656" s="44"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IF(OR($B656="",$I656=""),"",IF(SUMPRODUCT(--ISNUMBER(SEARCH(nrInstrNames,$I656)))&gt;0,"OK","UNRECOGNIZED"))</f>
        <v/>
      </c>
    </row>
    <row r="657">
      <c r="B657" s="18" t="n"/>
      <c r="C657" s="17">
        <f>IF($B657="","",TEXT($B657,"ddd"))</f>
        <v/>
      </c>
      <c r="D657" s="44" t="n"/>
      <c r="E657" s="44"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IF(OR($B657="",$I657=""),"",IF(SUMPRODUCT(--ISNUMBER(SEARCH(nrInstrNames,$I657)))&gt;0,"OK","UNRECOGNIZED"))</f>
        <v/>
      </c>
    </row>
    <row r="658">
      <c r="B658" s="18" t="n"/>
      <c r="C658" s="17">
        <f>IF($B658="","",TEXT($B658,"ddd"))</f>
        <v/>
      </c>
      <c r="D658" s="44" t="n"/>
      <c r="E658" s="44"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IF(OR($B658="",$I658=""),"",IF(SUMPRODUCT(--ISNUMBER(SEARCH(nrInstrNames,$I658)))&gt;0,"OK","UNRECOGNIZED"))</f>
        <v/>
      </c>
    </row>
    <row r="659">
      <c r="B659" s="18" t="n"/>
      <c r="C659" s="17">
        <f>IF($B659="","",TEXT($B659,"ddd"))</f>
        <v/>
      </c>
      <c r="D659" s="44" t="n"/>
      <c r="E659" s="44"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IF(OR($B659="",$I659=""),"",IF(SUMPRODUCT(--ISNUMBER(SEARCH(nrInstrNames,$I659)))&gt;0,"OK","UNRECOGNIZED"))</f>
        <v/>
      </c>
    </row>
    <row r="660">
      <c r="B660" s="18" t="n"/>
      <c r="C660" s="17">
        <f>IF($B660="","",TEXT($B660,"ddd"))</f>
        <v/>
      </c>
      <c r="D660" s="44" t="n"/>
      <c r="E660" s="44"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IF(OR($B660="",$I660=""),"",IF(SUMPRODUCT(--ISNUMBER(SEARCH(nrInstrNames,$I660)))&gt;0,"OK","UNRECOGNIZED"))</f>
        <v/>
      </c>
    </row>
    <row r="661">
      <c r="B661" s="18" t="n"/>
      <c r="C661" s="17">
        <f>IF($B661="","",TEXT($B661,"ddd"))</f>
        <v/>
      </c>
      <c r="D661" s="44" t="n"/>
      <c r="E661" s="44"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IF(OR($B661="",$I661=""),"",IF(SUMPRODUCT(--ISNUMBER(SEARCH(nrInstrNames,$I661)))&gt;0,"OK","UNRECOGNIZED"))</f>
        <v/>
      </c>
    </row>
    <row r="662">
      <c r="B662" s="18" t="n"/>
      <c r="C662" s="17">
        <f>IF($B662="","",TEXT($B662,"ddd"))</f>
        <v/>
      </c>
      <c r="D662" s="44" t="n"/>
      <c r="E662" s="44"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IF(OR($B662="",$I662=""),"",IF(SUMPRODUCT(--ISNUMBER(SEARCH(nrInstrNames,$I662)))&gt;0,"OK","UNRECOGNIZED"))</f>
        <v/>
      </c>
    </row>
    <row r="663">
      <c r="B663" s="18" t="n"/>
      <c r="C663" s="17">
        <f>IF($B663="","",TEXT($B663,"ddd"))</f>
        <v/>
      </c>
      <c r="D663" s="44" t="n"/>
      <c r="E663" s="44"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IF(OR($B663="",$I663=""),"",IF(SUMPRODUCT(--ISNUMBER(SEARCH(nrInstrNames,$I663)))&gt;0,"OK","UNRECOGNIZED"))</f>
        <v/>
      </c>
    </row>
    <row r="664">
      <c r="B664" s="18" t="n"/>
      <c r="C664" s="17">
        <f>IF($B664="","",TEXT($B664,"ddd"))</f>
        <v/>
      </c>
      <c r="D664" s="44" t="n"/>
      <c r="E664" s="44"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IF(OR($B664="",$I664=""),"",IF(SUMPRODUCT(--ISNUMBER(SEARCH(nrInstrNames,$I664)))&gt;0,"OK","UNRECOGNIZED"))</f>
        <v/>
      </c>
    </row>
    <row r="665">
      <c r="B665" s="18" t="n"/>
      <c r="C665" s="17">
        <f>IF($B665="","",TEXT($B665,"ddd"))</f>
        <v/>
      </c>
      <c r="D665" s="44" t="n"/>
      <c r="E665" s="44"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IF(OR($B665="",$I665=""),"",IF(SUMPRODUCT(--ISNUMBER(SEARCH(nrInstrNames,$I665)))&gt;0,"OK","UNRECOGNIZED"))</f>
        <v/>
      </c>
    </row>
    <row r="666">
      <c r="B666" s="18" t="n"/>
      <c r="C666" s="17">
        <f>IF($B666="","",TEXT($B666,"ddd"))</f>
        <v/>
      </c>
      <c r="D666" s="44" t="n"/>
      <c r="E666" s="44"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IF(OR($B666="",$I666=""),"",IF(SUMPRODUCT(--ISNUMBER(SEARCH(nrInstrNames,$I666)))&gt;0,"OK","UNRECOGNIZED"))</f>
        <v/>
      </c>
    </row>
    <row r="667">
      <c r="B667" s="18" t="n"/>
      <c r="C667" s="17">
        <f>IF($B667="","",TEXT($B667,"ddd"))</f>
        <v/>
      </c>
      <c r="D667" s="44" t="n"/>
      <c r="E667" s="44"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IF(OR($B667="",$I667=""),"",IF(SUMPRODUCT(--ISNUMBER(SEARCH(nrInstrNames,$I667)))&gt;0,"OK","UNRECOGNIZED"))</f>
        <v/>
      </c>
    </row>
    <row r="668">
      <c r="B668" s="18" t="n"/>
      <c r="C668" s="17">
        <f>IF($B668="","",TEXT($B668,"ddd"))</f>
        <v/>
      </c>
      <c r="D668" s="44" t="n"/>
      <c r="E668" s="44"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IF(OR($B668="",$I668=""),"",IF(SUMPRODUCT(--ISNUMBER(SEARCH(nrInstrNames,$I668)))&gt;0,"OK","UNRECOGNIZED"))</f>
        <v/>
      </c>
    </row>
    <row r="669">
      <c r="B669" s="18" t="n"/>
      <c r="C669" s="17">
        <f>IF($B669="","",TEXT($B669,"ddd"))</f>
        <v/>
      </c>
      <c r="D669" s="44" t="n"/>
      <c r="E669" s="44"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IF(OR($B669="",$I669=""),"",IF(SUMPRODUCT(--ISNUMBER(SEARCH(nrInstrNames,$I669)))&gt;0,"OK","UNRECOGNIZED"))</f>
        <v/>
      </c>
    </row>
    <row r="670">
      <c r="B670" s="18" t="n"/>
      <c r="C670" s="17">
        <f>IF($B670="","",TEXT($B670,"ddd"))</f>
        <v/>
      </c>
      <c r="D670" s="44" t="n"/>
      <c r="E670" s="44"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IF(OR($B670="",$I670=""),"",IF(SUMPRODUCT(--ISNUMBER(SEARCH(nrInstrNames,$I670)))&gt;0,"OK","UNRECOGNIZED"))</f>
        <v/>
      </c>
    </row>
    <row r="671">
      <c r="B671" s="18" t="n"/>
      <c r="C671" s="17">
        <f>IF($B671="","",TEXT($B671,"ddd"))</f>
        <v/>
      </c>
      <c r="D671" s="44" t="n"/>
      <c r="E671" s="44"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IF(OR($B671="",$I671=""),"",IF(SUMPRODUCT(--ISNUMBER(SEARCH(nrInstrNames,$I671)))&gt;0,"OK","UNRECOGNIZED"))</f>
        <v/>
      </c>
    </row>
    <row r="672">
      <c r="B672" s="18" t="n"/>
      <c r="C672" s="17">
        <f>IF($B672="","",TEXT($B672,"ddd"))</f>
        <v/>
      </c>
      <c r="D672" s="44" t="n"/>
      <c r="E672" s="44"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IF(OR($B672="",$I672=""),"",IF(SUMPRODUCT(--ISNUMBER(SEARCH(nrInstrNames,$I672)))&gt;0,"OK","UNRECOGNIZED"))</f>
        <v/>
      </c>
    </row>
    <row r="673">
      <c r="B673" s="18" t="n"/>
      <c r="C673" s="17">
        <f>IF($B673="","",TEXT($B673,"ddd"))</f>
        <v/>
      </c>
      <c r="D673" s="44" t="n"/>
      <c r="E673" s="44"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IF(OR($B673="",$I673=""),"",IF(SUMPRODUCT(--ISNUMBER(SEARCH(nrInstrNames,$I673)))&gt;0,"OK","UNRECOGNIZED"))</f>
        <v/>
      </c>
    </row>
    <row r="674">
      <c r="B674" s="18" t="n"/>
      <c r="C674" s="17">
        <f>IF($B674="","",TEXT($B674,"ddd"))</f>
        <v/>
      </c>
      <c r="D674" s="44" t="n"/>
      <c r="E674" s="44"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IF(OR($B674="",$I674=""),"",IF(SUMPRODUCT(--ISNUMBER(SEARCH(nrInstrNames,$I674)))&gt;0,"OK","UNRECOGNIZED"))</f>
        <v/>
      </c>
    </row>
    <row r="675">
      <c r="B675" s="18" t="n"/>
      <c r="C675" s="17">
        <f>IF($B675="","",TEXT($B675,"ddd"))</f>
        <v/>
      </c>
      <c r="D675" s="44" t="n"/>
      <c r="E675" s="44"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IF(OR($B675="",$I675=""),"",IF(SUMPRODUCT(--ISNUMBER(SEARCH(nrInstrNames,$I675)))&gt;0,"OK","UNRECOGNIZED"))</f>
        <v/>
      </c>
    </row>
    <row r="676">
      <c r="B676" s="18" t="n"/>
      <c r="C676" s="17">
        <f>IF($B676="","",TEXT($B676,"ddd"))</f>
        <v/>
      </c>
      <c r="D676" s="44" t="n"/>
      <c r="E676" s="44"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IF(OR($B676="",$I676=""),"",IF(SUMPRODUCT(--ISNUMBER(SEARCH(nrInstrNames,$I676)))&gt;0,"OK","UNRECOGNIZED"))</f>
        <v/>
      </c>
    </row>
    <row r="677">
      <c r="B677" s="18" t="n"/>
      <c r="C677" s="17">
        <f>IF($B677="","",TEXT($B677,"ddd"))</f>
        <v/>
      </c>
      <c r="D677" s="44" t="n"/>
      <c r="E677" s="44"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IF(OR($B677="",$I677=""),"",IF(SUMPRODUCT(--ISNUMBER(SEARCH(nrInstrNames,$I677)))&gt;0,"OK","UNRECOGNIZED"))</f>
        <v/>
      </c>
    </row>
    <row r="678">
      <c r="B678" s="18" t="n"/>
      <c r="C678" s="17">
        <f>IF($B678="","",TEXT($B678,"ddd"))</f>
        <v/>
      </c>
      <c r="D678" s="44" t="n"/>
      <c r="E678" s="44"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IF(OR($B678="",$I678=""),"",IF(SUMPRODUCT(--ISNUMBER(SEARCH(nrInstrNames,$I678)))&gt;0,"OK","UNRECOGNIZED"))</f>
        <v/>
      </c>
    </row>
    <row r="679">
      <c r="B679" s="18" t="n"/>
      <c r="C679" s="17">
        <f>IF($B679="","",TEXT($B679,"ddd"))</f>
        <v/>
      </c>
      <c r="D679" s="44" t="n"/>
      <c r="E679" s="44"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IF(OR($B679="",$I679=""),"",IF(SUMPRODUCT(--ISNUMBER(SEARCH(nrInstrNames,$I679)))&gt;0,"OK","UNRECOGNIZED"))</f>
        <v/>
      </c>
    </row>
    <row r="680">
      <c r="B680" s="18" t="n"/>
      <c r="C680" s="17">
        <f>IF($B680="","",TEXT($B680,"ddd"))</f>
        <v/>
      </c>
      <c r="D680" s="44" t="n"/>
      <c r="E680" s="44"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IF(OR($B680="",$I680=""),"",IF(SUMPRODUCT(--ISNUMBER(SEARCH(nrInstrNames,$I680)))&gt;0,"OK","UNRECOGNIZED"))</f>
        <v/>
      </c>
    </row>
    <row r="681">
      <c r="B681" s="18" t="n"/>
      <c r="C681" s="17">
        <f>IF($B681="","",TEXT($B681,"ddd"))</f>
        <v/>
      </c>
      <c r="D681" s="44" t="n"/>
      <c r="E681" s="44"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IF(OR($B681="",$I681=""),"",IF(SUMPRODUCT(--ISNUMBER(SEARCH(nrInstrNames,$I681)))&gt;0,"OK","UNRECOGNIZED"))</f>
        <v/>
      </c>
    </row>
    <row r="682">
      <c r="B682" s="18" t="n"/>
      <c r="C682" s="17">
        <f>IF($B682="","",TEXT($B682,"ddd"))</f>
        <v/>
      </c>
      <c r="D682" s="44" t="n"/>
      <c r="E682" s="44"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IF(OR($B682="",$I682=""),"",IF(SUMPRODUCT(--ISNUMBER(SEARCH(nrInstrNames,$I682)))&gt;0,"OK","UNRECOGNIZED"))</f>
        <v/>
      </c>
    </row>
    <row r="683">
      <c r="B683" s="18" t="n"/>
      <c r="C683" s="17">
        <f>IF($B683="","",TEXT($B683,"ddd"))</f>
        <v/>
      </c>
      <c r="D683" s="44" t="n"/>
      <c r="E683" s="44"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IF(OR($B683="",$I683=""),"",IF(SUMPRODUCT(--ISNUMBER(SEARCH(nrInstrNames,$I683)))&gt;0,"OK","UNRECOGNIZED"))</f>
        <v/>
      </c>
    </row>
    <row r="684">
      <c r="B684" s="18" t="n"/>
      <c r="C684" s="17">
        <f>IF($B684="","",TEXT($B684,"ddd"))</f>
        <v/>
      </c>
      <c r="D684" s="44" t="n"/>
      <c r="E684" s="44"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IF(OR($B684="",$I684=""),"",IF(SUMPRODUCT(--ISNUMBER(SEARCH(nrInstrNames,$I684)))&gt;0,"OK","UNRECOGNIZED"))</f>
        <v/>
      </c>
    </row>
    <row r="685">
      <c r="B685" s="18" t="n"/>
      <c r="C685" s="17">
        <f>IF($B685="","",TEXT($B685,"ddd"))</f>
        <v/>
      </c>
      <c r="D685" s="44" t="n"/>
      <c r="E685" s="44"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IF(OR($B685="",$I685=""),"",IF(SUMPRODUCT(--ISNUMBER(SEARCH(nrInstrNames,$I685)))&gt;0,"OK","UNRECOGNIZED"))</f>
        <v/>
      </c>
    </row>
    <row r="686">
      <c r="B686" s="18" t="n"/>
      <c r="C686" s="17">
        <f>IF($B686="","",TEXT($B686,"ddd"))</f>
        <v/>
      </c>
      <c r="D686" s="44" t="n"/>
      <c r="E686" s="44"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IF(OR($B686="",$I686=""),"",IF(SUMPRODUCT(--ISNUMBER(SEARCH(nrInstrNames,$I686)))&gt;0,"OK","UNRECOGNIZED"))</f>
        <v/>
      </c>
    </row>
    <row r="687">
      <c r="B687" s="18" t="n"/>
      <c r="C687" s="17">
        <f>IF($B687="","",TEXT($B687,"ddd"))</f>
        <v/>
      </c>
      <c r="D687" s="44" t="n"/>
      <c r="E687" s="44"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IF(OR($B687="",$I687=""),"",IF(SUMPRODUCT(--ISNUMBER(SEARCH(nrInstrNames,$I687)))&gt;0,"OK","UNRECOGNIZED"))</f>
        <v/>
      </c>
    </row>
    <row r="688">
      <c r="B688" s="18" t="n"/>
      <c r="C688" s="17">
        <f>IF($B688="","",TEXT($B688,"ddd"))</f>
        <v/>
      </c>
      <c r="D688" s="44" t="n"/>
      <c r="E688" s="44"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IF(OR($B688="",$I688=""),"",IF(SUMPRODUCT(--ISNUMBER(SEARCH(nrInstrNames,$I688)))&gt;0,"OK","UNRECOGNIZED"))</f>
        <v/>
      </c>
    </row>
    <row r="689">
      <c r="B689" s="18" t="n"/>
      <c r="C689" s="17">
        <f>IF($B689="","",TEXT($B689,"ddd"))</f>
        <v/>
      </c>
      <c r="D689" s="44" t="n"/>
      <c r="E689" s="44"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IF(OR($B689="",$I689=""),"",IF(SUMPRODUCT(--ISNUMBER(SEARCH(nrInstrNames,$I689)))&gt;0,"OK","UNRECOGNIZED"))</f>
        <v/>
      </c>
    </row>
    <row r="690">
      <c r="B690" s="18" t="n"/>
      <c r="C690" s="17">
        <f>IF($B690="","",TEXT($B690,"ddd"))</f>
        <v/>
      </c>
      <c r="D690" s="44" t="n"/>
      <c r="E690" s="44"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IF(OR($B690="",$I690=""),"",IF(SUMPRODUCT(--ISNUMBER(SEARCH(nrInstrNames,$I690)))&gt;0,"OK","UNRECOGNIZED"))</f>
        <v/>
      </c>
    </row>
    <row r="691">
      <c r="B691" s="18" t="n"/>
      <c r="C691" s="17">
        <f>IF($B691="","",TEXT($B691,"ddd"))</f>
        <v/>
      </c>
      <c r="D691" s="44" t="n"/>
      <c r="E691" s="44"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IF(OR($B691="",$I691=""),"",IF(SUMPRODUCT(--ISNUMBER(SEARCH(nrInstrNames,$I691)))&gt;0,"OK","UNRECOGNIZED"))</f>
        <v/>
      </c>
    </row>
    <row r="692">
      <c r="B692" s="18" t="n"/>
      <c r="C692" s="17">
        <f>IF($B692="","",TEXT($B692,"ddd"))</f>
        <v/>
      </c>
      <c r="D692" s="44" t="n"/>
      <c r="E692" s="44"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IF(OR($B692="",$I692=""),"",IF(SUMPRODUCT(--ISNUMBER(SEARCH(nrInstrNames,$I692)))&gt;0,"OK","UNRECOGNIZED"))</f>
        <v/>
      </c>
    </row>
    <row r="693">
      <c r="B693" s="18" t="n"/>
      <c r="C693" s="17">
        <f>IF($B693="","",TEXT($B693,"ddd"))</f>
        <v/>
      </c>
      <c r="D693" s="44" t="n"/>
      <c r="E693" s="44"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IF(OR($B693="",$I693=""),"",IF(SUMPRODUCT(--ISNUMBER(SEARCH(nrInstrNames,$I693)))&gt;0,"OK","UNRECOGNIZED"))</f>
        <v/>
      </c>
    </row>
    <row r="694">
      <c r="B694" s="18" t="n"/>
      <c r="C694" s="17">
        <f>IF($B694="","",TEXT($B694,"ddd"))</f>
        <v/>
      </c>
      <c r="D694" s="44" t="n"/>
      <c r="E694" s="44"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IF(OR($B694="",$I694=""),"",IF(SUMPRODUCT(--ISNUMBER(SEARCH(nrInstrNames,$I694)))&gt;0,"OK","UNRECOGNIZED"))</f>
        <v/>
      </c>
    </row>
    <row r="695">
      <c r="B695" s="18" t="n"/>
      <c r="C695" s="17">
        <f>IF($B695="","",TEXT($B695,"ddd"))</f>
        <v/>
      </c>
      <c r="D695" s="44" t="n"/>
      <c r="E695" s="44"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IF(OR($B695="",$I695=""),"",IF(SUMPRODUCT(--ISNUMBER(SEARCH(nrInstrNames,$I695)))&gt;0,"OK","UNRECOGNIZED"))</f>
        <v/>
      </c>
    </row>
    <row r="696">
      <c r="B696" s="18" t="n"/>
      <c r="C696" s="17">
        <f>IF($B696="","",TEXT($B696,"ddd"))</f>
        <v/>
      </c>
      <c r="D696" s="44" t="n"/>
      <c r="E696" s="44"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IF(OR($B696="",$I696=""),"",IF(SUMPRODUCT(--ISNUMBER(SEARCH(nrInstrNames,$I696)))&gt;0,"OK","UNRECOGNIZED"))</f>
        <v/>
      </c>
    </row>
    <row r="697">
      <c r="B697" s="18" t="n"/>
      <c r="C697" s="17">
        <f>IF($B697="","",TEXT($B697,"ddd"))</f>
        <v/>
      </c>
      <c r="D697" s="44" t="n"/>
      <c r="E697" s="44"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IF(OR($B697="",$I697=""),"",IF(SUMPRODUCT(--ISNUMBER(SEARCH(nrInstrNames,$I697)))&gt;0,"OK","UNRECOGNIZED"))</f>
        <v/>
      </c>
    </row>
    <row r="698">
      <c r="B698" s="18" t="n"/>
      <c r="C698" s="17">
        <f>IF($B698="","",TEXT($B698,"ddd"))</f>
        <v/>
      </c>
      <c r="D698" s="44" t="n"/>
      <c r="E698" s="44"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IF(OR($B698="",$I698=""),"",IF(SUMPRODUCT(--ISNUMBER(SEARCH(nrInstrNames,$I698)))&gt;0,"OK","UNRECOGNIZED"))</f>
        <v/>
      </c>
    </row>
    <row r="699">
      <c r="B699" s="18" t="n"/>
      <c r="C699" s="17">
        <f>IF($B699="","",TEXT($B699,"ddd"))</f>
        <v/>
      </c>
      <c r="D699" s="44" t="n"/>
      <c r="E699" s="44"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IF(OR($B699="",$I699=""),"",IF(SUMPRODUCT(--ISNUMBER(SEARCH(nrInstrNames,$I699)))&gt;0,"OK","UNRECOGNIZED"))</f>
        <v/>
      </c>
    </row>
    <row r="700">
      <c r="B700" s="18" t="n"/>
      <c r="C700" s="17">
        <f>IF($B700="","",TEXT($B700,"ddd"))</f>
        <v/>
      </c>
      <c r="D700" s="44" t="n"/>
      <c r="E700" s="44"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IF(OR($B700="",$I700=""),"",IF(SUMPRODUCT(--ISNUMBER(SEARCH(nrInstrNames,$I700)))&gt;0,"OK","UNRECOGNIZED"))</f>
        <v/>
      </c>
    </row>
    <row r="701">
      <c r="B701" s="18" t="n"/>
      <c r="C701" s="17">
        <f>IF($B701="","",TEXT($B701,"ddd"))</f>
        <v/>
      </c>
      <c r="D701" s="44" t="n"/>
      <c r="E701" s="44"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IF(OR($B701="",$I701=""),"",IF(SUMPRODUCT(--ISNUMBER(SEARCH(nrInstrNames,$I701)))&gt;0,"OK","UNRECOGNIZED"))</f>
        <v/>
      </c>
    </row>
    <row r="702">
      <c r="B702" s="18" t="n"/>
      <c r="C702" s="17">
        <f>IF($B702="","",TEXT($B702,"ddd"))</f>
        <v/>
      </c>
      <c r="D702" s="44" t="n"/>
      <c r="E702" s="44"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IF(OR($B702="",$I702=""),"",IF(SUMPRODUCT(--ISNUMBER(SEARCH(nrInstrNames,$I702)))&gt;0,"OK","UNRECOGNIZED"))</f>
        <v/>
      </c>
    </row>
    <row r="703">
      <c r="B703" s="18" t="n"/>
      <c r="C703" s="17">
        <f>IF($B703="","",TEXT($B703,"ddd"))</f>
        <v/>
      </c>
      <c r="D703" s="44" t="n"/>
      <c r="E703" s="44"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IF(OR($B703="",$I703=""),"",IF(SUMPRODUCT(--ISNUMBER(SEARCH(nrInstrNames,$I703)))&gt;0,"OK","UNRECOGNIZED"))</f>
        <v/>
      </c>
    </row>
    <row r="704">
      <c r="B704" s="18" t="n"/>
      <c r="C704" s="17">
        <f>IF($B704="","",TEXT($B704,"ddd"))</f>
        <v/>
      </c>
      <c r="D704" s="44" t="n"/>
      <c r="E704" s="44"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IF(OR($B704="",$I704=""),"",IF(SUMPRODUCT(--ISNUMBER(SEARCH(nrInstrNames,$I704)))&gt;0,"OK","UNRECOGNIZED"))</f>
        <v/>
      </c>
    </row>
    <row r="705">
      <c r="B705" s="18" t="n"/>
      <c r="C705" s="17">
        <f>IF($B705="","",TEXT($B705,"ddd"))</f>
        <v/>
      </c>
      <c r="D705" s="44" t="n"/>
      <c r="E705" s="44"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IF(OR($B705="",$I705=""),"",IF(SUMPRODUCT(--ISNUMBER(SEARCH(nrInstrNames,$I705)))&gt;0,"OK","UNRECOGNIZED"))</f>
        <v/>
      </c>
    </row>
    <row r="706">
      <c r="B706" s="18" t="n"/>
      <c r="C706" s="17">
        <f>IF($B706="","",TEXT($B706,"ddd"))</f>
        <v/>
      </c>
      <c r="D706" s="44" t="n"/>
      <c r="E706" s="44"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IF(OR($B706="",$I706=""),"",IF(SUMPRODUCT(--ISNUMBER(SEARCH(nrInstrNames,$I706)))&gt;0,"OK","UNRECOGNIZED"))</f>
        <v/>
      </c>
    </row>
    <row r="707">
      <c r="B707" s="18" t="n"/>
      <c r="C707" s="17">
        <f>IF($B707="","",TEXT($B707,"ddd"))</f>
        <v/>
      </c>
      <c r="D707" s="44" t="n"/>
      <c r="E707" s="44"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IF(OR($B707="",$I707=""),"",IF(SUMPRODUCT(--ISNUMBER(SEARCH(nrInstrNames,$I707)))&gt;0,"OK","UNRECOGNIZED"))</f>
        <v/>
      </c>
    </row>
    <row r="708">
      <c r="B708" s="18" t="n"/>
      <c r="C708" s="17">
        <f>IF($B708="","",TEXT($B708,"ddd"))</f>
        <v/>
      </c>
      <c r="D708" s="44" t="n"/>
      <c r="E708" s="44"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IF(OR($B708="",$I708=""),"",IF(SUMPRODUCT(--ISNUMBER(SEARCH(nrInstrNames,$I708)))&gt;0,"OK","UNRECOGNIZED"))</f>
        <v/>
      </c>
    </row>
    <row r="709">
      <c r="B709" s="18" t="n"/>
      <c r="C709" s="17">
        <f>IF($B709="","",TEXT($B709,"ddd"))</f>
        <v/>
      </c>
      <c r="D709" s="44" t="n"/>
      <c r="E709" s="44"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IF(OR($B709="",$I709=""),"",IF(SUMPRODUCT(--ISNUMBER(SEARCH(nrInstrNames,$I709)))&gt;0,"OK","UNRECOGNIZED"))</f>
        <v/>
      </c>
    </row>
    <row r="710">
      <c r="B710" s="18" t="n"/>
      <c r="C710" s="17">
        <f>IF($B710="","",TEXT($B710,"ddd"))</f>
        <v/>
      </c>
      <c r="D710" s="44" t="n"/>
      <c r="E710" s="44"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IF(OR($B710="",$I710=""),"",IF(SUMPRODUCT(--ISNUMBER(SEARCH(nrInstrNames,$I710)))&gt;0,"OK","UNRECOGNIZED"))</f>
        <v/>
      </c>
    </row>
    <row r="711">
      <c r="B711" s="18" t="n"/>
      <c r="C711" s="17">
        <f>IF($B711="","",TEXT($B711,"ddd"))</f>
        <v/>
      </c>
      <c r="D711" s="44" t="n"/>
      <c r="E711" s="44"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IF(OR($B711="",$I711=""),"",IF(SUMPRODUCT(--ISNUMBER(SEARCH(nrInstrNames,$I711)))&gt;0,"OK","UNRECOGNIZED"))</f>
        <v/>
      </c>
    </row>
    <row r="712">
      <c r="B712" s="18" t="n"/>
      <c r="C712" s="17">
        <f>IF($B712="","",TEXT($B712,"ddd"))</f>
        <v/>
      </c>
      <c r="D712" s="44" t="n"/>
      <c r="E712" s="44"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IF(OR($B712="",$I712=""),"",IF(SUMPRODUCT(--ISNUMBER(SEARCH(nrInstrNames,$I712)))&gt;0,"OK","UNRECOGNIZED"))</f>
        <v/>
      </c>
    </row>
    <row r="713">
      <c r="B713" s="18" t="n"/>
      <c r="C713" s="17">
        <f>IF($B713="","",TEXT($B713,"ddd"))</f>
        <v/>
      </c>
      <c r="D713" s="44" t="n"/>
      <c r="E713" s="44"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IF(OR($B713="",$I713=""),"",IF(SUMPRODUCT(--ISNUMBER(SEARCH(nrInstrNames,$I713)))&gt;0,"OK","UNRECOGNIZED"))</f>
        <v/>
      </c>
    </row>
    <row r="714">
      <c r="B714" s="18" t="n"/>
      <c r="C714" s="17">
        <f>IF($B714="","",TEXT($B714,"ddd"))</f>
        <v/>
      </c>
      <c r="D714" s="44" t="n"/>
      <c r="E714" s="44"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IF(OR($B714="",$I714=""),"",IF(SUMPRODUCT(--ISNUMBER(SEARCH(nrInstrNames,$I714)))&gt;0,"OK","UNRECOGNIZED"))</f>
        <v/>
      </c>
    </row>
    <row r="715">
      <c r="B715" s="18" t="n"/>
      <c r="C715" s="17">
        <f>IF($B715="","",TEXT($B715,"ddd"))</f>
        <v/>
      </c>
      <c r="D715" s="44" t="n"/>
      <c r="E715" s="44"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IF(OR($B715="",$I715=""),"",IF(SUMPRODUCT(--ISNUMBER(SEARCH(nrInstrNames,$I715)))&gt;0,"OK","UNRECOGNIZED"))</f>
        <v/>
      </c>
    </row>
    <row r="716">
      <c r="B716" s="18" t="n"/>
      <c r="C716" s="17">
        <f>IF($B716="","",TEXT($B716,"ddd"))</f>
        <v/>
      </c>
      <c r="D716" s="44" t="n"/>
      <c r="E716" s="44"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IF(OR($B716="",$I716=""),"",IF(SUMPRODUCT(--ISNUMBER(SEARCH(nrInstrNames,$I716)))&gt;0,"OK","UNRECOGNIZED"))</f>
        <v/>
      </c>
    </row>
    <row r="717">
      <c r="B717" s="18" t="n"/>
      <c r="C717" s="17">
        <f>IF($B717="","",TEXT($B717,"ddd"))</f>
        <v/>
      </c>
      <c r="D717" s="44" t="n"/>
      <c r="E717" s="44"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IF(OR($B717="",$I717=""),"",IF(SUMPRODUCT(--ISNUMBER(SEARCH(nrInstrNames,$I717)))&gt;0,"OK","UNRECOGNIZED"))</f>
        <v/>
      </c>
    </row>
    <row r="718">
      <c r="B718" s="18" t="n"/>
      <c r="C718" s="17">
        <f>IF($B718="","",TEXT($B718,"ddd"))</f>
        <v/>
      </c>
      <c r="D718" s="44" t="n"/>
      <c r="E718" s="44"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IF(OR($B718="",$I718=""),"",IF(SUMPRODUCT(--ISNUMBER(SEARCH(nrInstrNames,$I718)))&gt;0,"OK","UNRECOGNIZED"))</f>
        <v/>
      </c>
    </row>
    <row r="719">
      <c r="B719" s="18" t="n"/>
      <c r="C719" s="17">
        <f>IF($B719="","",TEXT($B719,"ddd"))</f>
        <v/>
      </c>
      <c r="D719" s="44" t="n"/>
      <c r="E719" s="44"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IF(OR($B719="",$I719=""),"",IF(SUMPRODUCT(--ISNUMBER(SEARCH(nrInstrNames,$I719)))&gt;0,"OK","UNRECOGNIZED"))</f>
        <v/>
      </c>
    </row>
    <row r="720">
      <c r="B720" s="18" t="n"/>
      <c r="C720" s="17">
        <f>IF($B720="","",TEXT($B720,"ddd"))</f>
        <v/>
      </c>
      <c r="D720" s="44" t="n"/>
      <c r="E720" s="44"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IF(OR($B720="",$I720=""),"",IF(SUMPRODUCT(--ISNUMBER(SEARCH(nrInstrNames,$I720)))&gt;0,"OK","UNRECOGNIZED"))</f>
        <v/>
      </c>
    </row>
    <row r="721">
      <c r="B721" s="18" t="n"/>
      <c r="C721" s="17">
        <f>IF($B721="","",TEXT($B721,"ddd"))</f>
        <v/>
      </c>
      <c r="D721" s="44" t="n"/>
      <c r="E721" s="44"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IF(OR($B721="",$I721=""),"",IF(SUMPRODUCT(--ISNUMBER(SEARCH(nrInstrNames,$I721)))&gt;0,"OK","UNRECOGNIZED"))</f>
        <v/>
      </c>
    </row>
    <row r="722">
      <c r="B722" s="18" t="n"/>
      <c r="C722" s="17">
        <f>IF($B722="","",TEXT($B722,"ddd"))</f>
        <v/>
      </c>
      <c r="D722" s="44" t="n"/>
      <c r="E722" s="44"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IF(OR($B722="",$I722=""),"",IF(SUMPRODUCT(--ISNUMBER(SEARCH(nrInstrNames,$I722)))&gt;0,"OK","UNRECOGNIZED"))</f>
        <v/>
      </c>
    </row>
    <row r="723">
      <c r="B723" s="18" t="n"/>
      <c r="C723" s="17">
        <f>IF($B723="","",TEXT($B723,"ddd"))</f>
        <v/>
      </c>
      <c r="D723" s="44" t="n"/>
      <c r="E723" s="44"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IF(OR($B723="",$I723=""),"",IF(SUMPRODUCT(--ISNUMBER(SEARCH(nrInstrNames,$I723)))&gt;0,"OK","UNRECOGNIZED"))</f>
        <v/>
      </c>
    </row>
    <row r="724">
      <c r="B724" s="18" t="n"/>
      <c r="C724" s="17">
        <f>IF($B724="","",TEXT($B724,"ddd"))</f>
        <v/>
      </c>
      <c r="D724" s="44" t="n"/>
      <c r="E724" s="44"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IF(OR($B724="",$I724=""),"",IF(SUMPRODUCT(--ISNUMBER(SEARCH(nrInstrNames,$I724)))&gt;0,"OK","UNRECOGNIZED"))</f>
        <v/>
      </c>
    </row>
    <row r="725">
      <c r="B725" s="18" t="n"/>
      <c r="C725" s="17">
        <f>IF($B725="","",TEXT($B725,"ddd"))</f>
        <v/>
      </c>
      <c r="D725" s="44" t="n"/>
      <c r="E725" s="44"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IF(OR($B725="",$I725=""),"",IF(SUMPRODUCT(--ISNUMBER(SEARCH(nrInstrNames,$I725)))&gt;0,"OK","UNRECOGNIZED"))</f>
        <v/>
      </c>
    </row>
    <row r="726">
      <c r="B726" s="18" t="n"/>
      <c r="C726" s="17">
        <f>IF($B726="","",TEXT($B726,"ddd"))</f>
        <v/>
      </c>
      <c r="D726" s="44" t="n"/>
      <c r="E726" s="44"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IF(OR($B726="",$I726=""),"",IF(SUMPRODUCT(--ISNUMBER(SEARCH(nrInstrNames,$I726)))&gt;0,"OK","UNRECOGNIZED"))</f>
        <v/>
      </c>
    </row>
    <row r="727">
      <c r="B727" s="18" t="n"/>
      <c r="C727" s="17">
        <f>IF($B727="","",TEXT($B727,"ddd"))</f>
        <v/>
      </c>
      <c r="D727" s="44" t="n"/>
      <c r="E727" s="44"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IF(OR($B727="",$I727=""),"",IF(SUMPRODUCT(--ISNUMBER(SEARCH(nrInstrNames,$I727)))&gt;0,"OK","UNRECOGNIZED"))</f>
        <v/>
      </c>
    </row>
    <row r="728">
      <c r="B728" s="18" t="n"/>
      <c r="C728" s="17">
        <f>IF($B728="","",TEXT($B728,"ddd"))</f>
        <v/>
      </c>
      <c r="D728" s="44" t="n"/>
      <c r="E728" s="44"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IF(OR($B728="",$I728=""),"",IF(SUMPRODUCT(--ISNUMBER(SEARCH(nrInstrNames,$I728)))&gt;0,"OK","UNRECOGNIZED"))</f>
        <v/>
      </c>
    </row>
    <row r="729">
      <c r="B729" s="18" t="n"/>
      <c r="C729" s="17">
        <f>IF($B729="","",TEXT($B729,"ddd"))</f>
        <v/>
      </c>
      <c r="D729" s="44" t="n"/>
      <c r="E729" s="44"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IF(OR($B729="",$I729=""),"",IF(SUMPRODUCT(--ISNUMBER(SEARCH(nrInstrNames,$I729)))&gt;0,"OK","UNRECOGNIZED"))</f>
        <v/>
      </c>
    </row>
    <row r="730">
      <c r="B730" s="18" t="n"/>
      <c r="C730" s="17">
        <f>IF($B730="","",TEXT($B730,"ddd"))</f>
        <v/>
      </c>
      <c r="D730" s="44" t="n"/>
      <c r="E730" s="44"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IF(OR($B730="",$I730=""),"",IF(SUMPRODUCT(--ISNUMBER(SEARCH(nrInstrNames,$I730)))&gt;0,"OK","UNRECOGNIZED"))</f>
        <v/>
      </c>
    </row>
    <row r="731">
      <c r="B731" s="18" t="n"/>
      <c r="C731" s="17">
        <f>IF($B731="","",TEXT($B731,"ddd"))</f>
        <v/>
      </c>
      <c r="D731" s="44" t="n"/>
      <c r="E731" s="44"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IF(OR($B731="",$I731=""),"",IF(SUMPRODUCT(--ISNUMBER(SEARCH(nrInstrNames,$I731)))&gt;0,"OK","UNRECOGNIZED"))</f>
        <v/>
      </c>
    </row>
    <row r="732">
      <c r="B732" s="18" t="n"/>
      <c r="C732" s="17">
        <f>IF($B732="","",TEXT($B732,"ddd"))</f>
        <v/>
      </c>
      <c r="D732" s="44" t="n"/>
      <c r="E732" s="44"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IF(OR($B732="",$I732=""),"",IF(SUMPRODUCT(--ISNUMBER(SEARCH(nrInstrNames,$I732)))&gt;0,"OK","UNRECOGNIZED"))</f>
        <v/>
      </c>
    </row>
    <row r="733">
      <c r="B733" s="18" t="n"/>
      <c r="C733" s="17">
        <f>IF($B733="","",TEXT($B733,"ddd"))</f>
        <v/>
      </c>
      <c r="D733" s="44" t="n"/>
      <c r="E733" s="44"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IF(OR($B733="",$I733=""),"",IF(SUMPRODUCT(--ISNUMBER(SEARCH(nrInstrNames,$I733)))&gt;0,"OK","UNRECOGNIZED"))</f>
        <v/>
      </c>
    </row>
    <row r="734">
      <c r="B734" s="18" t="n"/>
      <c r="C734" s="17">
        <f>IF($B734="","",TEXT($B734,"ddd"))</f>
        <v/>
      </c>
      <c r="D734" s="44" t="n"/>
      <c r="E734" s="44"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IF(OR($B734="",$I734=""),"",IF(SUMPRODUCT(--ISNUMBER(SEARCH(nrInstrNames,$I734)))&gt;0,"OK","UNRECOGNIZED"))</f>
        <v/>
      </c>
    </row>
    <row r="735">
      <c r="B735" s="18" t="n"/>
      <c r="C735" s="17">
        <f>IF($B735="","",TEXT($B735,"ddd"))</f>
        <v/>
      </c>
      <c r="D735" s="44" t="n"/>
      <c r="E735" s="44"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IF(OR($B735="",$I735=""),"",IF(SUMPRODUCT(--ISNUMBER(SEARCH(nrInstrNames,$I735)))&gt;0,"OK","UNRECOGNIZED"))</f>
        <v/>
      </c>
    </row>
    <row r="736">
      <c r="B736" s="18" t="n"/>
      <c r="C736" s="17">
        <f>IF($B736="","",TEXT($B736,"ddd"))</f>
        <v/>
      </c>
      <c r="D736" s="44" t="n"/>
      <c r="E736" s="44"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IF(OR($B736="",$I736=""),"",IF(SUMPRODUCT(--ISNUMBER(SEARCH(nrInstrNames,$I736)))&gt;0,"OK","UNRECOGNIZED"))</f>
        <v/>
      </c>
    </row>
    <row r="737">
      <c r="B737" s="18" t="n"/>
      <c r="C737" s="17">
        <f>IF($B737="","",TEXT($B737,"ddd"))</f>
        <v/>
      </c>
      <c r="D737" s="44" t="n"/>
      <c r="E737" s="44"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IF(OR($B737="",$I737=""),"",IF(SUMPRODUCT(--ISNUMBER(SEARCH(nrInstrNames,$I737)))&gt;0,"OK","UNRECOGNIZED"))</f>
        <v/>
      </c>
    </row>
    <row r="738">
      <c r="B738" s="18" t="n"/>
      <c r="C738" s="17">
        <f>IF($B738="","",TEXT($B738,"ddd"))</f>
        <v/>
      </c>
      <c r="D738" s="44" t="n"/>
      <c r="E738" s="44"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IF(OR($B738="",$I738=""),"",IF(SUMPRODUCT(--ISNUMBER(SEARCH(nrInstrNames,$I738)))&gt;0,"OK","UNRECOGNIZED"))</f>
        <v/>
      </c>
    </row>
    <row r="739">
      <c r="B739" s="18" t="n"/>
      <c r="C739" s="17">
        <f>IF($B739="","",TEXT($B739,"ddd"))</f>
        <v/>
      </c>
      <c r="D739" s="44" t="n"/>
      <c r="E739" s="44"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IF(OR($B739="",$I739=""),"",IF(SUMPRODUCT(--ISNUMBER(SEARCH(nrInstrNames,$I739)))&gt;0,"OK","UNRECOGNIZED"))</f>
        <v/>
      </c>
    </row>
    <row r="740">
      <c r="B740" s="18" t="n"/>
      <c r="C740" s="17">
        <f>IF($B740="","",TEXT($B740,"ddd"))</f>
        <v/>
      </c>
      <c r="D740" s="44" t="n"/>
      <c r="E740" s="44"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IF(OR($B740="",$I740=""),"",IF(SUMPRODUCT(--ISNUMBER(SEARCH(nrInstrNames,$I740)))&gt;0,"OK","UNRECOGNIZED"))</f>
        <v/>
      </c>
    </row>
    <row r="741">
      <c r="B741" s="18" t="n"/>
      <c r="C741" s="17">
        <f>IF($B741="","",TEXT($B741,"ddd"))</f>
        <v/>
      </c>
      <c r="D741" s="44" t="n"/>
      <c r="E741" s="44"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IF(OR($B741="",$I741=""),"",IF(SUMPRODUCT(--ISNUMBER(SEARCH(nrInstrNames,$I741)))&gt;0,"OK","UNRECOGNIZED"))</f>
        <v/>
      </c>
    </row>
    <row r="742">
      <c r="B742" s="18" t="n"/>
      <c r="C742" s="17">
        <f>IF($B742="","",TEXT($B742,"ddd"))</f>
        <v/>
      </c>
      <c r="D742" s="44" t="n"/>
      <c r="E742" s="44"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IF(OR($B742="",$I742=""),"",IF(SUMPRODUCT(--ISNUMBER(SEARCH(nrInstrNames,$I742)))&gt;0,"OK","UNRECOGNIZED"))</f>
        <v/>
      </c>
    </row>
    <row r="743">
      <c r="B743" s="18" t="n"/>
      <c r="C743" s="17">
        <f>IF($B743="","",TEXT($B743,"ddd"))</f>
        <v/>
      </c>
      <c r="D743" s="44" t="n"/>
      <c r="E743" s="44"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IF(OR($B743="",$I743=""),"",IF(SUMPRODUCT(--ISNUMBER(SEARCH(nrInstrNames,$I743)))&gt;0,"OK","UNRECOGNIZED"))</f>
        <v/>
      </c>
    </row>
    <row r="744">
      <c r="B744" s="18" t="n"/>
      <c r="C744" s="17">
        <f>IF($B744="","",TEXT($B744,"ddd"))</f>
        <v/>
      </c>
      <c r="D744" s="44" t="n"/>
      <c r="E744" s="44"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IF(OR($B744="",$I744=""),"",IF(SUMPRODUCT(--ISNUMBER(SEARCH(nrInstrNames,$I744)))&gt;0,"OK","UNRECOGNIZED"))</f>
        <v/>
      </c>
    </row>
    <row r="745">
      <c r="B745" s="18" t="n"/>
      <c r="C745" s="17">
        <f>IF($B745="","",TEXT($B745,"ddd"))</f>
        <v/>
      </c>
      <c r="D745" s="44" t="n"/>
      <c r="E745" s="44"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IF(OR($B745="",$I745=""),"",IF(SUMPRODUCT(--ISNUMBER(SEARCH(nrInstrNames,$I745)))&gt;0,"OK","UNRECOGNIZED"))</f>
        <v/>
      </c>
    </row>
    <row r="746">
      <c r="B746" s="18" t="n"/>
      <c r="C746" s="17">
        <f>IF($B746="","",TEXT($B746,"ddd"))</f>
        <v/>
      </c>
      <c r="D746" s="44" t="n"/>
      <c r="E746" s="44"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IF(OR($B746="",$I746=""),"",IF(SUMPRODUCT(--ISNUMBER(SEARCH(nrInstrNames,$I746)))&gt;0,"OK","UNRECOGNIZED"))</f>
        <v/>
      </c>
    </row>
    <row r="747">
      <c r="B747" s="18" t="n"/>
      <c r="C747" s="17">
        <f>IF($B747="","",TEXT($B747,"ddd"))</f>
        <v/>
      </c>
      <c r="D747" s="44" t="n"/>
      <c r="E747" s="44"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IF(OR($B747="",$I747=""),"",IF(SUMPRODUCT(--ISNUMBER(SEARCH(nrInstrNames,$I747)))&gt;0,"OK","UNRECOGNIZED"))</f>
        <v/>
      </c>
    </row>
    <row r="748">
      <c r="B748" s="18" t="n"/>
      <c r="C748" s="17">
        <f>IF($B748="","",TEXT($B748,"ddd"))</f>
        <v/>
      </c>
      <c r="D748" s="44" t="n"/>
      <c r="E748" s="44"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IF(OR($B748="",$I748=""),"",IF(SUMPRODUCT(--ISNUMBER(SEARCH(nrInstrNames,$I748)))&gt;0,"OK","UNRECOGNIZED"))</f>
        <v/>
      </c>
    </row>
    <row r="749">
      <c r="B749" s="18" t="n"/>
      <c r="C749" s="17">
        <f>IF($B749="","",TEXT($B749,"ddd"))</f>
        <v/>
      </c>
      <c r="D749" s="44" t="n"/>
      <c r="E749" s="44"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IF(OR($B749="",$I749=""),"",IF(SUMPRODUCT(--ISNUMBER(SEARCH(nrInstrNames,$I749)))&gt;0,"OK","UNRECOGNIZED"))</f>
        <v/>
      </c>
    </row>
    <row r="750">
      <c r="B750" s="18" t="n"/>
      <c r="C750" s="17">
        <f>IF($B750="","",TEXT($B750,"ddd"))</f>
        <v/>
      </c>
      <c r="D750" s="44" t="n"/>
      <c r="E750" s="44"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IF(OR($B750="",$I750=""),"",IF(SUMPRODUCT(--ISNUMBER(SEARCH(nrInstrNames,$I750)))&gt;0,"OK","UNRECOGNIZED"))</f>
        <v/>
      </c>
    </row>
    <row r="751">
      <c r="B751" s="18" t="n"/>
      <c r="C751" s="17">
        <f>IF($B751="","",TEXT($B751,"ddd"))</f>
        <v/>
      </c>
      <c r="D751" s="44" t="n"/>
      <c r="E751" s="44"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IF(OR($B751="",$I751=""),"",IF(SUMPRODUCT(--ISNUMBER(SEARCH(nrInstrNames,$I751)))&gt;0,"OK","UNRECOGNIZED"))</f>
        <v/>
      </c>
    </row>
    <row r="752">
      <c r="B752" s="18" t="n"/>
      <c r="C752" s="17">
        <f>IF($B752="","",TEXT($B752,"ddd"))</f>
        <v/>
      </c>
      <c r="D752" s="44" t="n"/>
      <c r="E752" s="44"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IF(OR($B752="",$I752=""),"",IF(SUMPRODUCT(--ISNUMBER(SEARCH(nrInstrNames,$I752)))&gt;0,"OK","UNRECOGNIZED"))</f>
        <v/>
      </c>
    </row>
    <row r="753">
      <c r="B753" s="18" t="n"/>
      <c r="C753" s="17">
        <f>IF($B753="","",TEXT($B753,"ddd"))</f>
        <v/>
      </c>
      <c r="D753" s="44" t="n"/>
      <c r="E753" s="44"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IF(OR($B753="",$I753=""),"",IF(SUMPRODUCT(--ISNUMBER(SEARCH(nrInstrNames,$I753)))&gt;0,"OK","UNRECOGNIZED"))</f>
        <v/>
      </c>
    </row>
    <row r="754">
      <c r="B754" s="18" t="n"/>
      <c r="C754" s="17">
        <f>IF($B754="","",TEXT($B754,"ddd"))</f>
        <v/>
      </c>
      <c r="D754" s="44" t="n"/>
      <c r="E754" s="44"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IF(OR($B754="",$I754=""),"",IF(SUMPRODUCT(--ISNUMBER(SEARCH(nrInstrNames,$I754)))&gt;0,"OK","UNRECOGNIZED"))</f>
        <v/>
      </c>
    </row>
    <row r="755">
      <c r="B755" s="18" t="n"/>
      <c r="C755" s="17">
        <f>IF($B755="","",TEXT($B755,"ddd"))</f>
        <v/>
      </c>
      <c r="D755" s="44" t="n"/>
      <c r="E755" s="44"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IF(OR($B755="",$I755=""),"",IF(SUMPRODUCT(--ISNUMBER(SEARCH(nrInstrNames,$I755)))&gt;0,"OK","UNRECOGNIZED"))</f>
        <v/>
      </c>
    </row>
    <row r="756">
      <c r="B756" s="18" t="n"/>
      <c r="C756" s="17">
        <f>IF($B756="","",TEXT($B756,"ddd"))</f>
        <v/>
      </c>
      <c r="D756" s="44" t="n"/>
      <c r="E756" s="44"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IF(OR($B756="",$I756=""),"",IF(SUMPRODUCT(--ISNUMBER(SEARCH(nrInstrNames,$I756)))&gt;0,"OK","UNRECOGNIZED"))</f>
        <v/>
      </c>
    </row>
    <row r="757">
      <c r="B757" s="18" t="n"/>
      <c r="C757" s="17">
        <f>IF($B757="","",TEXT($B757,"ddd"))</f>
        <v/>
      </c>
      <c r="D757" s="44" t="n"/>
      <c r="E757" s="44"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IF(OR($B757="",$I757=""),"",IF(SUMPRODUCT(--ISNUMBER(SEARCH(nrInstrNames,$I757)))&gt;0,"OK","UNRECOGNIZED"))</f>
        <v/>
      </c>
    </row>
    <row r="758">
      <c r="B758" s="18" t="n"/>
      <c r="C758" s="17">
        <f>IF($B758="","",TEXT($B758,"ddd"))</f>
        <v/>
      </c>
      <c r="D758" s="44" t="n"/>
      <c r="E758" s="44"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IF(OR($B758="",$I758=""),"",IF(SUMPRODUCT(--ISNUMBER(SEARCH(nrInstrNames,$I758)))&gt;0,"OK","UNRECOGNIZED"))</f>
        <v/>
      </c>
    </row>
    <row r="759">
      <c r="B759" s="18" t="n"/>
      <c r="C759" s="17">
        <f>IF($B759="","",TEXT($B759,"ddd"))</f>
        <v/>
      </c>
      <c r="D759" s="44" t="n"/>
      <c r="E759" s="44"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IF(OR($B759="",$I759=""),"",IF(SUMPRODUCT(--ISNUMBER(SEARCH(nrInstrNames,$I759)))&gt;0,"OK","UNRECOGNIZED"))</f>
        <v/>
      </c>
    </row>
    <row r="760">
      <c r="B760" s="18" t="n"/>
      <c r="C760" s="17">
        <f>IF($B760="","",TEXT($B760,"ddd"))</f>
        <v/>
      </c>
      <c r="D760" s="44" t="n"/>
      <c r="E760" s="44"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IF(OR($B760="",$I760=""),"",IF(SUMPRODUCT(--ISNUMBER(SEARCH(nrInstrNames,$I760)))&gt;0,"OK","UNRECOGNIZED"))</f>
        <v/>
      </c>
    </row>
    <row r="761">
      <c r="B761" s="18" t="n"/>
      <c r="C761" s="17">
        <f>IF($B761="","",TEXT($B761,"ddd"))</f>
        <v/>
      </c>
      <c r="D761" s="44" t="n"/>
      <c r="E761" s="44"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IF(OR($B761="",$I761=""),"",IF(SUMPRODUCT(--ISNUMBER(SEARCH(nrInstrNames,$I761)))&gt;0,"OK","UNRECOGNIZED"))</f>
        <v/>
      </c>
    </row>
    <row r="762">
      <c r="B762" s="18" t="n"/>
      <c r="C762" s="17">
        <f>IF($B762="","",TEXT($B762,"ddd"))</f>
        <v/>
      </c>
      <c r="D762" s="44" t="n"/>
      <c r="E762" s="44"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IF(OR($B762="",$I762=""),"",IF(SUMPRODUCT(--ISNUMBER(SEARCH(nrInstrNames,$I762)))&gt;0,"OK","UNRECOGNIZED"))</f>
        <v/>
      </c>
    </row>
    <row r="763">
      <c r="B763" s="18" t="n"/>
      <c r="C763" s="17">
        <f>IF($B763="","",TEXT($B763,"ddd"))</f>
        <v/>
      </c>
      <c r="D763" s="44" t="n"/>
      <c r="E763" s="44"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IF(OR($B763="",$I763=""),"",IF(SUMPRODUCT(--ISNUMBER(SEARCH(nrInstrNames,$I763)))&gt;0,"OK","UNRECOGNIZED"))</f>
        <v/>
      </c>
    </row>
    <row r="764">
      <c r="B764" s="18" t="n"/>
      <c r="C764" s="17">
        <f>IF($B764="","",TEXT($B764,"ddd"))</f>
        <v/>
      </c>
      <c r="D764" s="44" t="n"/>
      <c r="E764" s="44"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IF(OR($B764="",$I764=""),"",IF(SUMPRODUCT(--ISNUMBER(SEARCH(nrInstrNames,$I764)))&gt;0,"OK","UNRECOGNIZED"))</f>
        <v/>
      </c>
    </row>
    <row r="765">
      <c r="B765" s="18" t="n"/>
      <c r="C765" s="17">
        <f>IF($B765="","",TEXT($B765,"ddd"))</f>
        <v/>
      </c>
      <c r="D765" s="44" t="n"/>
      <c r="E765" s="44"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IF(OR($B765="",$I765=""),"",IF(SUMPRODUCT(--ISNUMBER(SEARCH(nrInstrNames,$I765)))&gt;0,"OK","UNRECOGNIZED"))</f>
        <v/>
      </c>
    </row>
    <row r="766">
      <c r="B766" s="18" t="n"/>
      <c r="C766" s="17">
        <f>IF($B766="","",TEXT($B766,"ddd"))</f>
        <v/>
      </c>
      <c r="D766" s="44" t="n"/>
      <c r="E766" s="44"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IF(OR($B766="",$I766=""),"",IF(SUMPRODUCT(--ISNUMBER(SEARCH(nrInstrNames,$I766)))&gt;0,"OK","UNRECOGNIZED"))</f>
        <v/>
      </c>
    </row>
    <row r="767">
      <c r="B767" s="18" t="n"/>
      <c r="C767" s="17">
        <f>IF($B767="","",TEXT($B767,"ddd"))</f>
        <v/>
      </c>
      <c r="D767" s="44" t="n"/>
      <c r="E767" s="44"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IF(OR($B767="",$I767=""),"",IF(SUMPRODUCT(--ISNUMBER(SEARCH(nrInstrNames,$I767)))&gt;0,"OK","UNRECOGNIZED"))</f>
        <v/>
      </c>
    </row>
    <row r="768">
      <c r="B768" s="18" t="n"/>
      <c r="C768" s="17">
        <f>IF($B768="","",TEXT($B768,"ddd"))</f>
        <v/>
      </c>
      <c r="D768" s="44" t="n"/>
      <c r="E768" s="44"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IF(OR($B768="",$I768=""),"",IF(SUMPRODUCT(--ISNUMBER(SEARCH(nrInstrNames,$I768)))&gt;0,"OK","UNRECOGNIZED"))</f>
        <v/>
      </c>
    </row>
    <row r="769">
      <c r="B769" s="18" t="n"/>
      <c r="C769" s="17">
        <f>IF($B769="","",TEXT($B769,"ddd"))</f>
        <v/>
      </c>
      <c r="D769" s="44" t="n"/>
      <c r="E769" s="44"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IF(OR($B769="",$I769=""),"",IF(SUMPRODUCT(--ISNUMBER(SEARCH(nrInstrNames,$I769)))&gt;0,"OK","UNRECOGNIZED"))</f>
        <v/>
      </c>
    </row>
    <row r="770">
      <c r="B770" s="18" t="n"/>
      <c r="C770" s="17">
        <f>IF($B770="","",TEXT($B770,"ddd"))</f>
        <v/>
      </c>
      <c r="D770" s="44" t="n"/>
      <c r="E770" s="44"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IF(OR($B770="",$I770=""),"",IF(SUMPRODUCT(--ISNUMBER(SEARCH(nrInstrNames,$I770)))&gt;0,"OK","UNRECOGNIZED"))</f>
        <v/>
      </c>
    </row>
    <row r="771">
      <c r="B771" s="18" t="n"/>
      <c r="C771" s="17">
        <f>IF($B771="","",TEXT($B771,"ddd"))</f>
        <v/>
      </c>
      <c r="D771" s="44" t="n"/>
      <c r="E771" s="44"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IF(OR($B771="",$I771=""),"",IF(SUMPRODUCT(--ISNUMBER(SEARCH(nrInstrNames,$I771)))&gt;0,"OK","UNRECOGNIZED"))</f>
        <v/>
      </c>
    </row>
    <row r="772">
      <c r="B772" s="18" t="n"/>
      <c r="C772" s="17">
        <f>IF($B772="","",TEXT($B772,"ddd"))</f>
        <v/>
      </c>
      <c r="D772" s="44" t="n"/>
      <c r="E772" s="44"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IF(OR($B772="",$I772=""),"",IF(SUMPRODUCT(--ISNUMBER(SEARCH(nrInstrNames,$I772)))&gt;0,"OK","UNRECOGNIZED"))</f>
        <v/>
      </c>
    </row>
    <row r="773">
      <c r="B773" s="18" t="n"/>
      <c r="C773" s="17">
        <f>IF($B773="","",TEXT($B773,"ddd"))</f>
        <v/>
      </c>
      <c r="D773" s="44" t="n"/>
      <c r="E773" s="44"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IF(OR($B773="",$I773=""),"",IF(SUMPRODUCT(--ISNUMBER(SEARCH(nrInstrNames,$I773)))&gt;0,"OK","UNRECOGNIZED"))</f>
        <v/>
      </c>
    </row>
    <row r="774">
      <c r="B774" s="18" t="n"/>
      <c r="C774" s="17">
        <f>IF($B774="","",TEXT($B774,"ddd"))</f>
        <v/>
      </c>
      <c r="D774" s="44" t="n"/>
      <c r="E774" s="44"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IF(OR($B774="",$I774=""),"",IF(SUMPRODUCT(--ISNUMBER(SEARCH(nrInstrNames,$I774)))&gt;0,"OK","UNRECOGNIZED"))</f>
        <v/>
      </c>
    </row>
    <row r="775">
      <c r="B775" s="18" t="n"/>
      <c r="C775" s="17">
        <f>IF($B775="","",TEXT($B775,"ddd"))</f>
        <v/>
      </c>
      <c r="D775" s="44" t="n"/>
      <c r="E775" s="44"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IF(OR($B775="",$I775=""),"",IF(SUMPRODUCT(--ISNUMBER(SEARCH(nrInstrNames,$I775)))&gt;0,"OK","UNRECOGNIZED"))</f>
        <v/>
      </c>
    </row>
    <row r="776">
      <c r="B776" s="18" t="n"/>
      <c r="C776" s="17">
        <f>IF($B776="","",TEXT($B776,"ddd"))</f>
        <v/>
      </c>
      <c r="D776" s="44" t="n"/>
      <c r="E776" s="44"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IF(OR($B776="",$I776=""),"",IF(SUMPRODUCT(--ISNUMBER(SEARCH(nrInstrNames,$I776)))&gt;0,"OK","UNRECOGNIZED"))</f>
        <v/>
      </c>
    </row>
    <row r="777">
      <c r="B777" s="18" t="n"/>
      <c r="C777" s="17">
        <f>IF($B777="","",TEXT($B777,"ddd"))</f>
        <v/>
      </c>
      <c r="D777" s="44" t="n"/>
      <c r="E777" s="44"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IF(OR($B777="",$I777=""),"",IF(SUMPRODUCT(--ISNUMBER(SEARCH(nrInstrNames,$I777)))&gt;0,"OK","UNRECOGNIZED"))</f>
        <v/>
      </c>
    </row>
    <row r="778">
      <c r="B778" s="18" t="n"/>
      <c r="C778" s="17">
        <f>IF($B778="","",TEXT($B778,"ddd"))</f>
        <v/>
      </c>
      <c r="D778" s="44" t="n"/>
      <c r="E778" s="44"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IF(OR($B778="",$I778=""),"",IF(SUMPRODUCT(--ISNUMBER(SEARCH(nrInstrNames,$I778)))&gt;0,"OK","UNRECOGNIZED"))</f>
        <v/>
      </c>
    </row>
    <row r="779">
      <c r="B779" s="18" t="n"/>
      <c r="C779" s="17">
        <f>IF($B779="","",TEXT($B779,"ddd"))</f>
        <v/>
      </c>
      <c r="D779" s="44" t="n"/>
      <c r="E779" s="44"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IF(OR($B779="",$I779=""),"",IF(SUMPRODUCT(--ISNUMBER(SEARCH(nrInstrNames,$I779)))&gt;0,"OK","UNRECOGNIZED"))</f>
        <v/>
      </c>
    </row>
    <row r="780">
      <c r="B780" s="18" t="n"/>
      <c r="C780" s="17">
        <f>IF($B780="","",TEXT($B780,"ddd"))</f>
        <v/>
      </c>
      <c r="D780" s="44" t="n"/>
      <c r="E780" s="44"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IF(OR($B780="",$I780=""),"",IF(SUMPRODUCT(--ISNUMBER(SEARCH(nrInstrNames,$I780)))&gt;0,"OK","UNRECOGNIZED"))</f>
        <v/>
      </c>
    </row>
    <row r="781">
      <c r="B781" s="18" t="n"/>
      <c r="C781" s="17">
        <f>IF($B781="","",TEXT($B781,"ddd"))</f>
        <v/>
      </c>
      <c r="D781" s="44" t="n"/>
      <c r="E781" s="44"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IF(OR($B781="",$I781=""),"",IF(SUMPRODUCT(--ISNUMBER(SEARCH(nrInstrNames,$I781)))&gt;0,"OK","UNRECOGNIZED"))</f>
        <v/>
      </c>
    </row>
    <row r="782">
      <c r="B782" s="18" t="n"/>
      <c r="C782" s="17">
        <f>IF($B782="","",TEXT($B782,"ddd"))</f>
        <v/>
      </c>
      <c r="D782" s="44" t="n"/>
      <c r="E782" s="44"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IF(OR($B782="",$I782=""),"",IF(SUMPRODUCT(--ISNUMBER(SEARCH(nrInstrNames,$I782)))&gt;0,"OK","UNRECOGNIZED"))</f>
        <v/>
      </c>
    </row>
    <row r="783">
      <c r="B783" s="18" t="n"/>
      <c r="C783" s="17">
        <f>IF($B783="","",TEXT($B783,"ddd"))</f>
        <v/>
      </c>
      <c r="D783" s="44" t="n"/>
      <c r="E783" s="44"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IF(OR($B783="",$I783=""),"",IF(SUMPRODUCT(--ISNUMBER(SEARCH(nrInstrNames,$I783)))&gt;0,"OK","UNRECOGNIZED"))</f>
        <v/>
      </c>
    </row>
    <row r="784">
      <c r="B784" s="18" t="n"/>
      <c r="C784" s="17">
        <f>IF($B784="","",TEXT($B784,"ddd"))</f>
        <v/>
      </c>
      <c r="D784" s="44" t="n"/>
      <c r="E784" s="44"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IF(OR($B784="",$I784=""),"",IF(SUMPRODUCT(--ISNUMBER(SEARCH(nrInstrNames,$I784)))&gt;0,"OK","UNRECOGNIZED"))</f>
        <v/>
      </c>
    </row>
    <row r="785">
      <c r="B785" s="18" t="n"/>
      <c r="C785" s="17">
        <f>IF($B785="","",TEXT($B785,"ddd"))</f>
        <v/>
      </c>
      <c r="D785" s="44" t="n"/>
      <c r="E785" s="44"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IF(OR($B785="",$I785=""),"",IF(SUMPRODUCT(--ISNUMBER(SEARCH(nrInstrNames,$I785)))&gt;0,"OK","UNRECOGNIZED"))</f>
        <v/>
      </c>
    </row>
    <row r="786">
      <c r="B786" s="18" t="n"/>
      <c r="C786" s="17">
        <f>IF($B786="","",TEXT($B786,"ddd"))</f>
        <v/>
      </c>
      <c r="D786" s="44" t="n"/>
      <c r="E786" s="44"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IF(OR($B786="",$I786=""),"",IF(SUMPRODUCT(--ISNUMBER(SEARCH(nrInstrNames,$I786)))&gt;0,"OK","UNRECOGNIZED"))</f>
        <v/>
      </c>
    </row>
    <row r="787">
      <c r="B787" s="18" t="n"/>
      <c r="C787" s="17">
        <f>IF($B787="","",TEXT($B787,"ddd"))</f>
        <v/>
      </c>
      <c r="D787" s="44" t="n"/>
      <c r="E787" s="44"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IF(OR($B787="",$I787=""),"",IF(SUMPRODUCT(--ISNUMBER(SEARCH(nrInstrNames,$I787)))&gt;0,"OK","UNRECOGNIZED"))</f>
        <v/>
      </c>
    </row>
    <row r="788">
      <c r="B788" s="18" t="n"/>
      <c r="C788" s="17">
        <f>IF($B788="","",TEXT($B788,"ddd"))</f>
        <v/>
      </c>
      <c r="D788" s="44" t="n"/>
      <c r="E788" s="44"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IF(OR($B788="",$I788=""),"",IF(SUMPRODUCT(--ISNUMBER(SEARCH(nrInstrNames,$I788)))&gt;0,"OK","UNRECOGNIZED"))</f>
        <v/>
      </c>
    </row>
    <row r="789">
      <c r="B789" s="18" t="n"/>
      <c r="C789" s="17">
        <f>IF($B789="","",TEXT($B789,"ddd"))</f>
        <v/>
      </c>
      <c r="D789" s="44" t="n"/>
      <c r="E789" s="44"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IF(OR($B789="",$I789=""),"",IF(SUMPRODUCT(--ISNUMBER(SEARCH(nrInstrNames,$I789)))&gt;0,"OK","UNRECOGNIZED"))</f>
        <v/>
      </c>
    </row>
    <row r="790">
      <c r="B790" s="18" t="n"/>
      <c r="C790" s="17">
        <f>IF($B790="","",TEXT($B790,"ddd"))</f>
        <v/>
      </c>
      <c r="D790" s="44" t="n"/>
      <c r="E790" s="44"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IF(OR($B790="",$I790=""),"",IF(SUMPRODUCT(--ISNUMBER(SEARCH(nrInstrNames,$I790)))&gt;0,"OK","UNRECOGNIZED"))</f>
        <v/>
      </c>
    </row>
    <row r="791">
      <c r="B791" s="18" t="n"/>
      <c r="C791" s="17">
        <f>IF($B791="","",TEXT($B791,"ddd"))</f>
        <v/>
      </c>
      <c r="D791" s="44" t="n"/>
      <c r="E791" s="44"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IF(OR($B791="",$I791=""),"",IF(SUMPRODUCT(--ISNUMBER(SEARCH(nrInstrNames,$I791)))&gt;0,"OK","UNRECOGNIZED"))</f>
        <v/>
      </c>
    </row>
    <row r="792">
      <c r="B792" s="18" t="n"/>
      <c r="C792" s="17">
        <f>IF($B792="","",TEXT($B792,"ddd"))</f>
        <v/>
      </c>
      <c r="D792" s="44" t="n"/>
      <c r="E792" s="44"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IF(OR($B792="",$I792=""),"",IF(SUMPRODUCT(--ISNUMBER(SEARCH(nrInstrNames,$I792)))&gt;0,"OK","UNRECOGNIZED"))</f>
        <v/>
      </c>
    </row>
    <row r="793">
      <c r="B793" s="18" t="n"/>
      <c r="C793" s="17">
        <f>IF($B793="","",TEXT($B793,"ddd"))</f>
        <v/>
      </c>
      <c r="D793" s="44" t="n"/>
      <c r="E793" s="44"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IF(OR($B793="",$I793=""),"",IF(SUMPRODUCT(--ISNUMBER(SEARCH(nrInstrNames,$I793)))&gt;0,"OK","UNRECOGNIZED"))</f>
        <v/>
      </c>
    </row>
    <row r="794">
      <c r="B794" s="18" t="n"/>
      <c r="C794" s="17">
        <f>IF($B794="","",TEXT($B794,"ddd"))</f>
        <v/>
      </c>
      <c r="D794" s="44" t="n"/>
      <c r="E794" s="44"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IF(OR($B794="",$I794=""),"",IF(SUMPRODUCT(--ISNUMBER(SEARCH(nrInstrNames,$I794)))&gt;0,"OK","UNRECOGNIZED"))</f>
        <v/>
      </c>
    </row>
    <row r="795">
      <c r="B795" s="18" t="n"/>
      <c r="C795" s="17">
        <f>IF($B795="","",TEXT($B795,"ddd"))</f>
        <v/>
      </c>
      <c r="D795" s="44" t="n"/>
      <c r="E795" s="44"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IF(OR($B795="",$I795=""),"",IF(SUMPRODUCT(--ISNUMBER(SEARCH(nrInstrNames,$I795)))&gt;0,"OK","UNRECOGNIZED"))</f>
        <v/>
      </c>
    </row>
    <row r="796">
      <c r="B796" s="18" t="n"/>
      <c r="C796" s="17">
        <f>IF($B796="","",TEXT($B796,"ddd"))</f>
        <v/>
      </c>
      <c r="D796" s="44" t="n"/>
      <c r="E796" s="44"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IF(OR($B796="",$I796=""),"",IF(SUMPRODUCT(--ISNUMBER(SEARCH(nrInstrNames,$I796)))&gt;0,"OK","UNRECOGNIZED"))</f>
        <v/>
      </c>
    </row>
    <row r="797">
      <c r="B797" s="18" t="n"/>
      <c r="C797" s="17">
        <f>IF($B797="","",TEXT($B797,"ddd"))</f>
        <v/>
      </c>
      <c r="D797" s="44" t="n"/>
      <c r="E797" s="44"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IF(OR($B797="",$I797=""),"",IF(SUMPRODUCT(--ISNUMBER(SEARCH(nrInstrNames,$I797)))&gt;0,"OK","UNRECOGNIZED"))</f>
        <v/>
      </c>
    </row>
    <row r="798">
      <c r="B798" s="18" t="n"/>
      <c r="C798" s="17">
        <f>IF($B798="","",TEXT($B798,"ddd"))</f>
        <v/>
      </c>
      <c r="D798" s="44" t="n"/>
      <c r="E798" s="44"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IF(OR($B798="",$I798=""),"",IF(SUMPRODUCT(--ISNUMBER(SEARCH(nrInstrNames,$I798)))&gt;0,"OK","UNRECOGNIZED"))</f>
        <v/>
      </c>
    </row>
    <row r="799">
      <c r="B799" s="18" t="n"/>
      <c r="C799" s="17">
        <f>IF($B799="","",TEXT($B799,"ddd"))</f>
        <v/>
      </c>
      <c r="D799" s="44" t="n"/>
      <c r="E799" s="44"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IF(OR($B799="",$I799=""),"",IF(SUMPRODUCT(--ISNUMBER(SEARCH(nrInstrNames,$I799)))&gt;0,"OK","UNRECOGNIZED"))</f>
        <v/>
      </c>
    </row>
    <row r="800">
      <c r="B800" s="18" t="n"/>
      <c r="C800" s="17">
        <f>IF($B800="","",TEXT($B800,"ddd"))</f>
        <v/>
      </c>
      <c r="D800" s="44" t="n"/>
      <c r="E800" s="44"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IF(OR($B800="",$I800=""),"",IF(SUMPRODUCT(--ISNUMBER(SEARCH(nrInstrNames,$I800)))&gt;0,"OK","UNRECOGNIZED"))</f>
        <v/>
      </c>
    </row>
    <row r="801">
      <c r="B801" s="18" t="n"/>
      <c r="C801" s="17">
        <f>IF($B801="","",TEXT($B801,"ddd"))</f>
        <v/>
      </c>
      <c r="D801" s="44" t="n"/>
      <c r="E801" s="44"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IF(OR($B801="",$I801=""),"",IF(SUMPRODUCT(--ISNUMBER(SEARCH(nrInstrNames,$I801)))&gt;0,"OK","UNRECOGNIZED"))</f>
        <v/>
      </c>
    </row>
    <row r="802">
      <c r="B802" s="18" t="n"/>
      <c r="C802" s="17">
        <f>IF($B802="","",TEXT($B802,"ddd"))</f>
        <v/>
      </c>
      <c r="D802" s="44" t="n"/>
      <c r="E802" s="44"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IF(OR($B802="",$I802=""),"",IF(SUMPRODUCT(--ISNUMBER(SEARCH(nrInstrNames,$I802)))&gt;0,"OK","UNRECOGNIZED"))</f>
        <v/>
      </c>
    </row>
    <row r="803">
      <c r="B803" s="18" t="n"/>
      <c r="C803" s="17">
        <f>IF($B803="","",TEXT($B803,"ddd"))</f>
        <v/>
      </c>
      <c r="D803" s="44" t="n"/>
      <c r="E803" s="44"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IF(OR($B803="",$I803=""),"",IF(SUMPRODUCT(--ISNUMBER(SEARCH(nrInstrNames,$I803)))&gt;0,"OK","UNRECOGNIZED"))</f>
        <v/>
      </c>
    </row>
    <row r="804">
      <c r="B804" s="18" t="n"/>
      <c r="C804" s="17">
        <f>IF($B804="","",TEXT($B804,"ddd"))</f>
        <v/>
      </c>
      <c r="D804" s="44" t="n"/>
      <c r="E804" s="44"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IF(OR($B804="",$I804=""),"",IF(SUMPRODUCT(--ISNUMBER(SEARCH(nrInstrNames,$I804)))&gt;0,"OK","UNRECOGNIZED"))</f>
        <v/>
      </c>
    </row>
    <row r="805">
      <c r="B805" s="18" t="n"/>
      <c r="C805" s="17">
        <f>IF($B805="","",TEXT($B805,"ddd"))</f>
        <v/>
      </c>
      <c r="D805" s="44" t="n"/>
      <c r="E805" s="44"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IF(OR($B805="",$I805=""),"",IF(SUMPRODUCT(--ISNUMBER(SEARCH(nrInstrNames,$I805)))&gt;0,"OK","UNRECOGNIZED"))</f>
        <v/>
      </c>
    </row>
    <row r="806">
      <c r="B806" s="18" t="n"/>
      <c r="C806" s="17">
        <f>IF($B806="","",TEXT($B806,"ddd"))</f>
        <v/>
      </c>
      <c r="D806" s="44" t="n"/>
      <c r="E806" s="44"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IF(OR($B806="",$I806=""),"",IF(SUMPRODUCT(--ISNUMBER(SEARCH(nrInstrNames,$I806)))&gt;0,"OK","UNRECOGNIZED"))</f>
        <v/>
      </c>
    </row>
    <row r="807">
      <c r="B807" s="18" t="n"/>
      <c r="C807" s="17">
        <f>IF($B807="","",TEXT($B807,"ddd"))</f>
        <v/>
      </c>
      <c r="D807" s="44" t="n"/>
      <c r="E807" s="44"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IF(OR($B807="",$I807=""),"",IF(SUMPRODUCT(--ISNUMBER(SEARCH(nrInstrNames,$I807)))&gt;0,"OK","UNRECOGNIZED"))</f>
        <v/>
      </c>
    </row>
    <row r="808">
      <c r="B808" s="18" t="n"/>
      <c r="C808" s="17">
        <f>IF($B808="","",TEXT($B808,"ddd"))</f>
        <v/>
      </c>
      <c r="D808" s="44" t="n"/>
      <c r="E808" s="44"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IF(OR($B808="",$I808=""),"",IF(SUMPRODUCT(--ISNUMBER(SEARCH(nrInstrNames,$I808)))&gt;0,"OK","UNRECOGNIZED"))</f>
        <v/>
      </c>
    </row>
    <row r="809">
      <c r="B809" s="18" t="n"/>
      <c r="C809" s="17">
        <f>IF($B809="","",TEXT($B809,"ddd"))</f>
        <v/>
      </c>
      <c r="D809" s="44" t="n"/>
      <c r="E809" s="44"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IF(OR($B809="",$I809=""),"",IF(SUMPRODUCT(--ISNUMBER(SEARCH(nrInstrNames,$I809)))&gt;0,"OK","UNRECOGNIZED"))</f>
        <v/>
      </c>
    </row>
    <row r="810">
      <c r="B810" s="18" t="n"/>
      <c r="C810" s="17">
        <f>IF($B810="","",TEXT($B810,"ddd"))</f>
        <v/>
      </c>
      <c r="D810" s="44" t="n"/>
      <c r="E810" s="44"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IF(OR($B810="",$I810=""),"",IF(SUMPRODUCT(--ISNUMBER(SEARCH(nrInstrNames,$I810)))&gt;0,"OK","UNRECOGNIZED"))</f>
        <v/>
      </c>
    </row>
    <row r="811">
      <c r="B811" s="18" t="n"/>
      <c r="C811" s="17">
        <f>IF($B811="","",TEXT($B811,"ddd"))</f>
        <v/>
      </c>
      <c r="D811" s="44" t="n"/>
      <c r="E811" s="44"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IF(OR($B811="",$I811=""),"",IF(SUMPRODUCT(--ISNUMBER(SEARCH(nrInstrNames,$I811)))&gt;0,"OK","UNRECOGNIZED"))</f>
        <v/>
      </c>
    </row>
    <row r="812">
      <c r="B812" s="18" t="n"/>
      <c r="C812" s="17">
        <f>IF($B812="","",TEXT($B812,"ddd"))</f>
        <v/>
      </c>
      <c r="D812" s="44" t="n"/>
      <c r="E812" s="44"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IF(OR($B812="",$I812=""),"",IF(SUMPRODUCT(--ISNUMBER(SEARCH(nrInstrNames,$I812)))&gt;0,"OK","UNRECOGNIZED"))</f>
        <v/>
      </c>
    </row>
    <row r="813">
      <c r="B813" s="18" t="n"/>
      <c r="C813" s="17">
        <f>IF($B813="","",TEXT($B813,"ddd"))</f>
        <v/>
      </c>
      <c r="D813" s="44" t="n"/>
      <c r="E813" s="44"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IF(OR($B813="",$I813=""),"",IF(SUMPRODUCT(--ISNUMBER(SEARCH(nrInstrNames,$I813)))&gt;0,"OK","UNRECOGNIZED"))</f>
        <v/>
      </c>
    </row>
    <row r="814">
      <c r="B814" s="18" t="n"/>
      <c r="C814" s="17">
        <f>IF($B814="","",TEXT($B814,"ddd"))</f>
        <v/>
      </c>
      <c r="D814" s="44" t="n"/>
      <c r="E814" s="44"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IF(OR($B814="",$I814=""),"",IF(SUMPRODUCT(--ISNUMBER(SEARCH(nrInstrNames,$I814)))&gt;0,"OK","UNRECOGNIZED"))</f>
        <v/>
      </c>
    </row>
    <row r="815">
      <c r="B815" s="18" t="n"/>
      <c r="C815" s="17">
        <f>IF($B815="","",TEXT($B815,"ddd"))</f>
        <v/>
      </c>
      <c r="D815" s="44" t="n"/>
      <c r="E815" s="44"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IF(OR($B815="",$I815=""),"",IF(SUMPRODUCT(--ISNUMBER(SEARCH(nrInstrNames,$I815)))&gt;0,"OK","UNRECOGNIZED"))</f>
        <v/>
      </c>
    </row>
    <row r="816">
      <c r="B816" s="18" t="n"/>
      <c r="C816" s="17">
        <f>IF($B816="","",TEXT($B816,"ddd"))</f>
        <v/>
      </c>
      <c r="D816" s="44" t="n"/>
      <c r="E816" s="44"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IF(OR($B816="",$I816=""),"",IF(SUMPRODUCT(--ISNUMBER(SEARCH(nrInstrNames,$I816)))&gt;0,"OK","UNRECOGNIZED"))</f>
        <v/>
      </c>
    </row>
    <row r="817">
      <c r="B817" s="18" t="n"/>
      <c r="C817" s="17">
        <f>IF($B817="","",TEXT($B817,"ddd"))</f>
        <v/>
      </c>
      <c r="D817" s="44" t="n"/>
      <c r="E817" s="44"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IF(OR($B817="",$I817=""),"",IF(SUMPRODUCT(--ISNUMBER(SEARCH(nrInstrNames,$I817)))&gt;0,"OK","UNRECOGNIZED"))</f>
        <v/>
      </c>
    </row>
    <row r="818">
      <c r="B818" s="18" t="n"/>
      <c r="C818" s="17">
        <f>IF($B818="","",TEXT($B818,"ddd"))</f>
        <v/>
      </c>
      <c r="D818" s="44" t="n"/>
      <c r="E818" s="44"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IF(OR($B818="",$I818=""),"",IF(SUMPRODUCT(--ISNUMBER(SEARCH(nrInstrNames,$I818)))&gt;0,"OK","UNRECOGNIZED"))</f>
        <v/>
      </c>
    </row>
    <row r="819">
      <c r="B819" s="18" t="n"/>
      <c r="C819" s="17">
        <f>IF($B819="","",TEXT($B819,"ddd"))</f>
        <v/>
      </c>
      <c r="D819" s="44" t="n"/>
      <c r="E819" s="44"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IF(OR($B819="",$I819=""),"",IF(SUMPRODUCT(--ISNUMBER(SEARCH(nrInstrNames,$I819)))&gt;0,"OK","UNRECOGNIZED"))</f>
        <v/>
      </c>
    </row>
    <row r="820">
      <c r="B820" s="18" t="n"/>
      <c r="C820" s="17">
        <f>IF($B820="","",TEXT($B820,"ddd"))</f>
        <v/>
      </c>
      <c r="D820" s="44" t="n"/>
      <c r="E820" s="44"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IF(OR($B820="",$I820=""),"",IF(SUMPRODUCT(--ISNUMBER(SEARCH(nrInstrNames,$I820)))&gt;0,"OK","UNRECOGNIZED"))</f>
        <v/>
      </c>
    </row>
    <row r="821">
      <c r="B821" s="18" t="n"/>
      <c r="C821" s="17">
        <f>IF($B821="","",TEXT($B821,"ddd"))</f>
        <v/>
      </c>
      <c r="D821" s="44" t="n"/>
      <c r="E821" s="44"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IF(OR($B821="",$I821=""),"",IF(SUMPRODUCT(--ISNUMBER(SEARCH(nrInstrNames,$I821)))&gt;0,"OK","UNRECOGNIZED"))</f>
        <v/>
      </c>
    </row>
    <row r="822">
      <c r="B822" s="18" t="n"/>
      <c r="C822" s="17">
        <f>IF($B822="","",TEXT($B822,"ddd"))</f>
        <v/>
      </c>
      <c r="D822" s="44" t="n"/>
      <c r="E822" s="44"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IF(OR($B822="",$I822=""),"",IF(SUMPRODUCT(--ISNUMBER(SEARCH(nrInstrNames,$I822)))&gt;0,"OK","UNRECOGNIZED"))</f>
        <v/>
      </c>
    </row>
    <row r="823">
      <c r="B823" s="18" t="n"/>
      <c r="C823" s="17">
        <f>IF($B823="","",TEXT($B823,"ddd"))</f>
        <v/>
      </c>
      <c r="D823" s="44" t="n"/>
      <c r="E823" s="44"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IF(OR($B823="",$I823=""),"",IF(SUMPRODUCT(--ISNUMBER(SEARCH(nrInstrNames,$I823)))&gt;0,"OK","UNRECOGNIZED"))</f>
        <v/>
      </c>
    </row>
    <row r="824">
      <c r="B824" s="18" t="n"/>
      <c r="C824" s="17">
        <f>IF($B824="","",TEXT($B824,"ddd"))</f>
        <v/>
      </c>
      <c r="D824" s="44" t="n"/>
      <c r="E824" s="44"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IF(OR($B824="",$I824=""),"",IF(SUMPRODUCT(--ISNUMBER(SEARCH(nrInstrNames,$I824)))&gt;0,"OK","UNRECOGNIZED"))</f>
        <v/>
      </c>
    </row>
    <row r="825">
      <c r="B825" s="18" t="n"/>
      <c r="C825" s="17">
        <f>IF($B825="","",TEXT($B825,"ddd"))</f>
        <v/>
      </c>
      <c r="D825" s="44" t="n"/>
      <c r="E825" s="44"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IF(OR($B825="",$I825=""),"",IF(SUMPRODUCT(--ISNUMBER(SEARCH(nrInstrNames,$I825)))&gt;0,"OK","UNRECOGNIZED"))</f>
        <v/>
      </c>
    </row>
    <row r="826">
      <c r="B826" s="18" t="n"/>
      <c r="C826" s="17">
        <f>IF($B826="","",TEXT($B826,"ddd"))</f>
        <v/>
      </c>
      <c r="D826" s="44" t="n"/>
      <c r="E826" s="44"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IF(OR($B826="",$I826=""),"",IF(SUMPRODUCT(--ISNUMBER(SEARCH(nrInstrNames,$I826)))&gt;0,"OK","UNRECOGNIZED"))</f>
        <v/>
      </c>
    </row>
    <row r="827">
      <c r="B827" s="18" t="n"/>
      <c r="C827" s="17">
        <f>IF($B827="","",TEXT($B827,"ddd"))</f>
        <v/>
      </c>
      <c r="D827" s="44" t="n"/>
      <c r="E827" s="44"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IF(OR($B827="",$I827=""),"",IF(SUMPRODUCT(--ISNUMBER(SEARCH(nrInstrNames,$I827)))&gt;0,"OK","UNRECOGNIZED"))</f>
        <v/>
      </c>
    </row>
    <row r="828">
      <c r="B828" s="18" t="n"/>
      <c r="C828" s="17">
        <f>IF($B828="","",TEXT($B828,"ddd"))</f>
        <v/>
      </c>
      <c r="D828" s="44" t="n"/>
      <c r="E828" s="44"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IF(OR($B828="",$I828=""),"",IF(SUMPRODUCT(--ISNUMBER(SEARCH(nrInstrNames,$I828)))&gt;0,"OK","UNRECOGNIZED"))</f>
        <v/>
      </c>
    </row>
    <row r="829">
      <c r="B829" s="18" t="n"/>
      <c r="C829" s="17">
        <f>IF($B829="","",TEXT($B829,"ddd"))</f>
        <v/>
      </c>
      <c r="D829" s="44" t="n"/>
      <c r="E829" s="44"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IF(OR($B829="",$I829=""),"",IF(SUMPRODUCT(--ISNUMBER(SEARCH(nrInstrNames,$I829)))&gt;0,"OK","UNRECOGNIZED"))</f>
        <v/>
      </c>
    </row>
    <row r="830">
      <c r="B830" s="18" t="n"/>
      <c r="C830" s="17">
        <f>IF($B830="","",TEXT($B830,"ddd"))</f>
        <v/>
      </c>
      <c r="D830" s="44" t="n"/>
      <c r="E830" s="44"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IF(OR($B830="",$I830=""),"",IF(SUMPRODUCT(--ISNUMBER(SEARCH(nrInstrNames,$I830)))&gt;0,"OK","UNRECOGNIZED"))</f>
        <v/>
      </c>
    </row>
    <row r="831">
      <c r="B831" s="18" t="n"/>
      <c r="C831" s="17">
        <f>IF($B831="","",TEXT($B831,"ddd"))</f>
        <v/>
      </c>
      <c r="D831" s="44" t="n"/>
      <c r="E831" s="44"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IF(OR($B831="",$I831=""),"",IF(SUMPRODUCT(--ISNUMBER(SEARCH(nrInstrNames,$I831)))&gt;0,"OK","UNRECOGNIZED"))</f>
        <v/>
      </c>
    </row>
    <row r="832">
      <c r="B832" s="18" t="n"/>
      <c r="C832" s="17">
        <f>IF($B832="","",TEXT($B832,"ddd"))</f>
        <v/>
      </c>
      <c r="D832" s="44" t="n"/>
      <c r="E832" s="44"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IF(OR($B832="",$I832=""),"",IF(SUMPRODUCT(--ISNUMBER(SEARCH(nrInstrNames,$I832)))&gt;0,"OK","UNRECOGNIZED"))</f>
        <v/>
      </c>
    </row>
    <row r="833">
      <c r="B833" s="18" t="n"/>
      <c r="C833" s="17">
        <f>IF($B833="","",TEXT($B833,"ddd"))</f>
        <v/>
      </c>
      <c r="D833" s="44" t="n"/>
      <c r="E833" s="44"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IF(OR($B833="",$I833=""),"",IF(SUMPRODUCT(--ISNUMBER(SEARCH(nrInstrNames,$I833)))&gt;0,"OK","UNRECOGNIZED"))</f>
        <v/>
      </c>
    </row>
    <row r="834">
      <c r="B834" s="18" t="n"/>
      <c r="C834" s="17">
        <f>IF($B834="","",TEXT($B834,"ddd"))</f>
        <v/>
      </c>
      <c r="D834" s="44" t="n"/>
      <c r="E834" s="44"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IF(OR($B834="",$I834=""),"",IF(SUMPRODUCT(--ISNUMBER(SEARCH(nrInstrNames,$I834)))&gt;0,"OK","UNRECOGNIZED"))</f>
        <v/>
      </c>
    </row>
    <row r="835">
      <c r="B835" s="18" t="n"/>
      <c r="C835" s="17">
        <f>IF($B835="","",TEXT($B835,"ddd"))</f>
        <v/>
      </c>
      <c r="D835" s="44" t="n"/>
      <c r="E835" s="44"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IF(OR($B835="",$I835=""),"",IF(SUMPRODUCT(--ISNUMBER(SEARCH(nrInstrNames,$I835)))&gt;0,"OK","UNRECOGNIZED"))</f>
        <v/>
      </c>
    </row>
    <row r="836">
      <c r="B836" s="18" t="n"/>
      <c r="C836" s="17">
        <f>IF($B836="","",TEXT($B836,"ddd"))</f>
        <v/>
      </c>
      <c r="D836" s="44" t="n"/>
      <c r="E836" s="44"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IF(OR($B836="",$I836=""),"",IF(SUMPRODUCT(--ISNUMBER(SEARCH(nrInstrNames,$I836)))&gt;0,"OK","UNRECOGNIZED"))</f>
        <v/>
      </c>
    </row>
    <row r="837">
      <c r="B837" s="18" t="n"/>
      <c r="C837" s="17">
        <f>IF($B837="","",TEXT($B837,"ddd"))</f>
        <v/>
      </c>
      <c r="D837" s="44" t="n"/>
      <c r="E837" s="44"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IF(OR($B837="",$I837=""),"",IF(SUMPRODUCT(--ISNUMBER(SEARCH(nrInstrNames,$I837)))&gt;0,"OK","UNRECOGNIZED"))</f>
        <v/>
      </c>
    </row>
    <row r="838">
      <c r="B838" s="18" t="n"/>
      <c r="C838" s="17">
        <f>IF($B838="","",TEXT($B838,"ddd"))</f>
        <v/>
      </c>
      <c r="D838" s="44" t="n"/>
      <c r="E838" s="44"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IF(OR($B838="",$I838=""),"",IF(SUMPRODUCT(--ISNUMBER(SEARCH(nrInstrNames,$I838)))&gt;0,"OK","UNRECOGNIZED"))</f>
        <v/>
      </c>
    </row>
    <row r="839">
      <c r="B839" s="18" t="n"/>
      <c r="C839" s="17">
        <f>IF($B839="","",TEXT($B839,"ddd"))</f>
        <v/>
      </c>
      <c r="D839" s="44" t="n"/>
      <c r="E839" s="44"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IF(OR($B839="",$I839=""),"",IF(SUMPRODUCT(--ISNUMBER(SEARCH(nrInstrNames,$I839)))&gt;0,"OK","UNRECOGNIZED"))</f>
        <v/>
      </c>
    </row>
    <row r="840">
      <c r="B840" s="18" t="n"/>
      <c r="C840" s="17">
        <f>IF($B840="","",TEXT($B840,"ddd"))</f>
        <v/>
      </c>
      <c r="D840" s="44" t="n"/>
      <c r="E840" s="44"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IF(OR($B840="",$I840=""),"",IF(SUMPRODUCT(--ISNUMBER(SEARCH(nrInstrNames,$I840)))&gt;0,"OK","UNRECOGNIZED"))</f>
        <v/>
      </c>
    </row>
    <row r="841">
      <c r="B841" s="18" t="n"/>
      <c r="C841" s="17">
        <f>IF($B841="","",TEXT($B841,"ddd"))</f>
        <v/>
      </c>
      <c r="D841" s="44" t="n"/>
      <c r="E841" s="44"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IF(OR($B841="",$I841=""),"",IF(SUMPRODUCT(--ISNUMBER(SEARCH(nrInstrNames,$I841)))&gt;0,"OK","UNRECOGNIZED"))</f>
        <v/>
      </c>
    </row>
    <row r="842">
      <c r="B842" s="18" t="n"/>
      <c r="C842" s="17">
        <f>IF($B842="","",TEXT($B842,"ddd"))</f>
        <v/>
      </c>
      <c r="D842" s="44" t="n"/>
      <c r="E842" s="44"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IF(OR($B842="",$I842=""),"",IF(SUMPRODUCT(--ISNUMBER(SEARCH(nrInstrNames,$I842)))&gt;0,"OK","UNRECOGNIZED"))</f>
        <v/>
      </c>
    </row>
    <row r="843">
      <c r="B843" s="18" t="n"/>
      <c r="C843" s="17">
        <f>IF($B843="","",TEXT($B843,"ddd"))</f>
        <v/>
      </c>
      <c r="D843" s="44" t="n"/>
      <c r="E843" s="44"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IF(OR($B843="",$I843=""),"",IF(SUMPRODUCT(--ISNUMBER(SEARCH(nrInstrNames,$I843)))&gt;0,"OK","UNRECOGNIZED"))</f>
        <v/>
      </c>
    </row>
    <row r="844">
      <c r="B844" s="18" t="n"/>
      <c r="C844" s="17">
        <f>IF($B844="","",TEXT($B844,"ddd"))</f>
        <v/>
      </c>
      <c r="D844" s="44" t="n"/>
      <c r="E844" s="44"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IF(OR($B844="",$I844=""),"",IF(SUMPRODUCT(--ISNUMBER(SEARCH(nrInstrNames,$I844)))&gt;0,"OK","UNRECOGNIZED"))</f>
        <v/>
      </c>
    </row>
    <row r="845">
      <c r="B845" s="18" t="n"/>
      <c r="C845" s="17">
        <f>IF($B845="","",TEXT($B845,"ddd"))</f>
        <v/>
      </c>
      <c r="D845" s="44" t="n"/>
      <c r="E845" s="44"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IF(OR($B845="",$I845=""),"",IF(SUMPRODUCT(--ISNUMBER(SEARCH(nrInstrNames,$I845)))&gt;0,"OK","UNRECOGNIZED"))</f>
        <v/>
      </c>
    </row>
    <row r="846">
      <c r="B846" s="18" t="n"/>
      <c r="C846" s="17">
        <f>IF($B846="","",TEXT($B846,"ddd"))</f>
        <v/>
      </c>
      <c r="D846" s="44" t="n"/>
      <c r="E846" s="44"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IF(OR($B846="",$I846=""),"",IF(SUMPRODUCT(--ISNUMBER(SEARCH(nrInstrNames,$I846)))&gt;0,"OK","UNRECOGNIZED"))</f>
        <v/>
      </c>
    </row>
    <row r="847">
      <c r="B847" s="18" t="n"/>
      <c r="C847" s="17">
        <f>IF($B847="","",TEXT($B847,"ddd"))</f>
        <v/>
      </c>
      <c r="D847" s="44" t="n"/>
      <c r="E847" s="44"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IF(OR($B847="",$I847=""),"",IF(SUMPRODUCT(--ISNUMBER(SEARCH(nrInstrNames,$I847)))&gt;0,"OK","UNRECOGNIZED"))</f>
        <v/>
      </c>
    </row>
    <row r="848">
      <c r="B848" s="18" t="n"/>
      <c r="C848" s="17">
        <f>IF($B848="","",TEXT($B848,"ddd"))</f>
        <v/>
      </c>
      <c r="D848" s="44" t="n"/>
      <c r="E848" s="44"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IF(OR($B848="",$I848=""),"",IF(SUMPRODUCT(--ISNUMBER(SEARCH(nrInstrNames,$I848)))&gt;0,"OK","UNRECOGNIZED"))</f>
        <v/>
      </c>
    </row>
    <row r="849">
      <c r="B849" s="18" t="n"/>
      <c r="C849" s="17">
        <f>IF($B849="","",TEXT($B849,"ddd"))</f>
        <v/>
      </c>
      <c r="D849" s="44" t="n"/>
      <c r="E849" s="44"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IF(OR($B849="",$I849=""),"",IF(SUMPRODUCT(--ISNUMBER(SEARCH(nrInstrNames,$I849)))&gt;0,"OK","UNRECOGNIZED"))</f>
        <v/>
      </c>
    </row>
    <row r="850">
      <c r="B850" s="18" t="n"/>
      <c r="C850" s="17">
        <f>IF($B850="","",TEXT($B850,"ddd"))</f>
        <v/>
      </c>
      <c r="D850" s="44" t="n"/>
      <c r="E850" s="44"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IF(OR($B850="",$I850=""),"",IF(SUMPRODUCT(--ISNUMBER(SEARCH(nrInstrNames,$I850)))&gt;0,"OK","UNRECOGNIZED"))</f>
        <v/>
      </c>
    </row>
    <row r="851">
      <c r="B851" s="18" t="n"/>
      <c r="C851" s="17">
        <f>IF($B851="","",TEXT($B851,"ddd"))</f>
        <v/>
      </c>
      <c r="D851" s="44" t="n"/>
      <c r="E851" s="44"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IF(OR($B851="",$I851=""),"",IF(SUMPRODUCT(--ISNUMBER(SEARCH(nrInstrNames,$I851)))&gt;0,"OK","UNRECOGNIZED"))</f>
        <v/>
      </c>
    </row>
    <row r="852">
      <c r="B852" s="18" t="n"/>
      <c r="C852" s="17">
        <f>IF($B852="","",TEXT($B852,"ddd"))</f>
        <v/>
      </c>
      <c r="D852" s="44" t="n"/>
      <c r="E852" s="44"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IF(OR($B852="",$I852=""),"",IF(SUMPRODUCT(--ISNUMBER(SEARCH(nrInstrNames,$I852)))&gt;0,"OK","UNRECOGNIZED"))</f>
        <v/>
      </c>
    </row>
    <row r="853">
      <c r="B853" s="18" t="n"/>
      <c r="C853" s="17">
        <f>IF($B853="","",TEXT($B853,"ddd"))</f>
        <v/>
      </c>
      <c r="D853" s="44" t="n"/>
      <c r="E853" s="44"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IF(OR($B853="",$I853=""),"",IF(SUMPRODUCT(--ISNUMBER(SEARCH(nrInstrNames,$I853)))&gt;0,"OK","UNRECOGNIZED"))</f>
        <v/>
      </c>
    </row>
    <row r="854">
      <c r="B854" s="18" t="n"/>
      <c r="C854" s="17">
        <f>IF($B854="","",TEXT($B854,"ddd"))</f>
        <v/>
      </c>
      <c r="D854" s="44" t="n"/>
      <c r="E854" s="44"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IF(OR($B854="",$I854=""),"",IF(SUMPRODUCT(--ISNUMBER(SEARCH(nrInstrNames,$I854)))&gt;0,"OK","UNRECOGNIZED"))</f>
        <v/>
      </c>
    </row>
    <row r="855">
      <c r="B855" s="18" t="n"/>
      <c r="C855" s="17">
        <f>IF($B855="","",TEXT($B855,"ddd"))</f>
        <v/>
      </c>
      <c r="D855" s="44" t="n"/>
      <c r="E855" s="44"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IF(OR($B855="",$I855=""),"",IF(SUMPRODUCT(--ISNUMBER(SEARCH(nrInstrNames,$I855)))&gt;0,"OK","UNRECOGNIZED"))</f>
        <v/>
      </c>
    </row>
    <row r="856">
      <c r="B856" s="18" t="n"/>
      <c r="C856" s="17">
        <f>IF($B856="","",TEXT($B856,"ddd"))</f>
        <v/>
      </c>
      <c r="D856" s="44" t="n"/>
      <c r="E856" s="44"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IF(OR($B856="",$I856=""),"",IF(SUMPRODUCT(--ISNUMBER(SEARCH(nrInstrNames,$I856)))&gt;0,"OK","UNRECOGNIZED"))</f>
        <v/>
      </c>
    </row>
    <row r="857">
      <c r="B857" s="18" t="n"/>
      <c r="C857" s="17">
        <f>IF($B857="","",TEXT($B857,"ddd"))</f>
        <v/>
      </c>
      <c r="D857" s="44" t="n"/>
      <c r="E857" s="44"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IF(OR($B857="",$I857=""),"",IF(SUMPRODUCT(--ISNUMBER(SEARCH(nrInstrNames,$I857)))&gt;0,"OK","UNRECOGNIZED"))</f>
        <v/>
      </c>
    </row>
    <row r="858">
      <c r="B858" s="18" t="n"/>
      <c r="C858" s="17">
        <f>IF($B858="","",TEXT($B858,"ddd"))</f>
        <v/>
      </c>
      <c r="D858" s="44" t="n"/>
      <c r="E858" s="44"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IF(OR($B858="",$I858=""),"",IF(SUMPRODUCT(--ISNUMBER(SEARCH(nrInstrNames,$I858)))&gt;0,"OK","UNRECOGNIZED"))</f>
        <v/>
      </c>
    </row>
    <row r="859">
      <c r="B859" s="18" t="n"/>
      <c r="C859" s="17">
        <f>IF($B859="","",TEXT($B859,"ddd"))</f>
        <v/>
      </c>
      <c r="D859" s="44" t="n"/>
      <c r="E859" s="44"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IF(OR($B859="",$I859=""),"",IF(SUMPRODUCT(--ISNUMBER(SEARCH(nrInstrNames,$I859)))&gt;0,"OK","UNRECOGNIZED"))</f>
        <v/>
      </c>
    </row>
    <row r="860">
      <c r="B860" s="18" t="n"/>
      <c r="C860" s="17">
        <f>IF($B860="","",TEXT($B860,"ddd"))</f>
        <v/>
      </c>
      <c r="D860" s="44" t="n"/>
      <c r="E860" s="44"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IF(OR($B860="",$I860=""),"",IF(SUMPRODUCT(--ISNUMBER(SEARCH(nrInstrNames,$I860)))&gt;0,"OK","UNRECOGNIZED"))</f>
        <v/>
      </c>
    </row>
    <row r="861">
      <c r="B861" s="18" t="n"/>
      <c r="C861" s="17">
        <f>IF($B861="","",TEXT($B861,"ddd"))</f>
        <v/>
      </c>
      <c r="D861" s="44" t="n"/>
      <c r="E861" s="44"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IF(OR($B861="",$I861=""),"",IF(SUMPRODUCT(--ISNUMBER(SEARCH(nrInstrNames,$I861)))&gt;0,"OK","UNRECOGNIZED"))</f>
        <v/>
      </c>
    </row>
    <row r="862">
      <c r="B862" s="18" t="n"/>
      <c r="C862" s="17">
        <f>IF($B862="","",TEXT($B862,"ddd"))</f>
        <v/>
      </c>
      <c r="D862" s="44" t="n"/>
      <c r="E862" s="44"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IF(OR($B862="",$I862=""),"",IF(SUMPRODUCT(--ISNUMBER(SEARCH(nrInstrNames,$I862)))&gt;0,"OK","UNRECOGNIZED"))</f>
        <v/>
      </c>
    </row>
    <row r="863">
      <c r="B863" s="18" t="n"/>
      <c r="C863" s="17">
        <f>IF($B863="","",TEXT($B863,"ddd"))</f>
        <v/>
      </c>
      <c r="D863" s="44" t="n"/>
      <c r="E863" s="44"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IF(OR($B863="",$I863=""),"",IF(SUMPRODUCT(--ISNUMBER(SEARCH(nrInstrNames,$I863)))&gt;0,"OK","UNRECOGNIZED"))</f>
        <v/>
      </c>
    </row>
    <row r="864">
      <c r="B864" s="18" t="n"/>
      <c r="C864" s="17">
        <f>IF($B864="","",TEXT($B864,"ddd"))</f>
        <v/>
      </c>
      <c r="D864" s="44" t="n"/>
      <c r="E864" s="44"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IF(OR($B864="",$I864=""),"",IF(SUMPRODUCT(--ISNUMBER(SEARCH(nrInstrNames,$I864)))&gt;0,"OK","UNRECOGNIZED"))</f>
        <v/>
      </c>
    </row>
    <row r="865">
      <c r="B865" s="18" t="n"/>
      <c r="C865" s="17">
        <f>IF($B865="","",TEXT($B865,"ddd"))</f>
        <v/>
      </c>
      <c r="D865" s="44" t="n"/>
      <c r="E865" s="44"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IF(OR($B865="",$I865=""),"",IF(SUMPRODUCT(--ISNUMBER(SEARCH(nrInstrNames,$I865)))&gt;0,"OK","UNRECOGNIZED"))</f>
        <v/>
      </c>
    </row>
    <row r="866">
      <c r="B866" s="18" t="n"/>
      <c r="C866" s="17">
        <f>IF($B866="","",TEXT($B866,"ddd"))</f>
        <v/>
      </c>
      <c r="D866" s="44" t="n"/>
      <c r="E866" s="44"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IF(OR($B866="",$I866=""),"",IF(SUMPRODUCT(--ISNUMBER(SEARCH(nrInstrNames,$I866)))&gt;0,"OK","UNRECOGNIZED"))</f>
        <v/>
      </c>
    </row>
    <row r="867">
      <c r="B867" s="18" t="n"/>
      <c r="C867" s="17">
        <f>IF($B867="","",TEXT($B867,"ddd"))</f>
        <v/>
      </c>
      <c r="D867" s="44" t="n"/>
      <c r="E867" s="44"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IF(OR($B867="",$I867=""),"",IF(SUMPRODUCT(--ISNUMBER(SEARCH(nrInstrNames,$I867)))&gt;0,"OK","UNRECOGNIZED"))</f>
        <v/>
      </c>
    </row>
    <row r="868">
      <c r="B868" s="18" t="n"/>
      <c r="C868" s="17">
        <f>IF($B868="","",TEXT($B868,"ddd"))</f>
        <v/>
      </c>
      <c r="D868" s="44" t="n"/>
      <c r="E868" s="44"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IF(OR($B868="",$I868=""),"",IF(SUMPRODUCT(--ISNUMBER(SEARCH(nrInstrNames,$I868)))&gt;0,"OK","UNRECOGNIZED"))</f>
        <v/>
      </c>
    </row>
    <row r="869">
      <c r="B869" s="18" t="n"/>
      <c r="C869" s="17">
        <f>IF($B869="","",TEXT($B869,"ddd"))</f>
        <v/>
      </c>
      <c r="D869" s="44" t="n"/>
      <c r="E869" s="44"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IF(OR($B869="",$I869=""),"",IF(SUMPRODUCT(--ISNUMBER(SEARCH(nrInstrNames,$I869)))&gt;0,"OK","UNRECOGNIZED"))</f>
        <v/>
      </c>
    </row>
    <row r="870">
      <c r="B870" s="18" t="n"/>
      <c r="C870" s="17">
        <f>IF($B870="","",TEXT($B870,"ddd"))</f>
        <v/>
      </c>
      <c r="D870" s="44" t="n"/>
      <c r="E870" s="44"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IF(OR($B870="",$I870=""),"",IF(SUMPRODUCT(--ISNUMBER(SEARCH(nrInstrNames,$I870)))&gt;0,"OK","UNRECOGNIZED"))</f>
        <v/>
      </c>
    </row>
    <row r="871">
      <c r="B871" s="18" t="n"/>
      <c r="C871" s="17">
        <f>IF($B871="","",TEXT($B871,"ddd"))</f>
        <v/>
      </c>
      <c r="D871" s="44" t="n"/>
      <c r="E871" s="44"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IF(OR($B871="",$I871=""),"",IF(SUMPRODUCT(--ISNUMBER(SEARCH(nrInstrNames,$I871)))&gt;0,"OK","UNRECOGNIZED"))</f>
        <v/>
      </c>
    </row>
    <row r="872">
      <c r="B872" s="18" t="n"/>
      <c r="C872" s="17">
        <f>IF($B872="","",TEXT($B872,"ddd"))</f>
        <v/>
      </c>
      <c r="D872" s="44" t="n"/>
      <c r="E872" s="44"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IF(OR($B872="",$I872=""),"",IF(SUMPRODUCT(--ISNUMBER(SEARCH(nrInstrNames,$I872)))&gt;0,"OK","UNRECOGNIZED"))</f>
        <v/>
      </c>
    </row>
    <row r="873">
      <c r="B873" s="18" t="n"/>
      <c r="C873" s="17">
        <f>IF($B873="","",TEXT($B873,"ddd"))</f>
        <v/>
      </c>
      <c r="D873" s="44" t="n"/>
      <c r="E873" s="44"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IF(OR($B873="",$I873=""),"",IF(SUMPRODUCT(--ISNUMBER(SEARCH(nrInstrNames,$I873)))&gt;0,"OK","UNRECOGNIZED"))</f>
        <v/>
      </c>
    </row>
    <row r="874">
      <c r="B874" s="18" t="n"/>
      <c r="C874" s="17">
        <f>IF($B874="","",TEXT($B874,"ddd"))</f>
        <v/>
      </c>
      <c r="D874" s="44" t="n"/>
      <c r="E874" s="44"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IF(OR($B874="",$I874=""),"",IF(SUMPRODUCT(--ISNUMBER(SEARCH(nrInstrNames,$I874)))&gt;0,"OK","UNRECOGNIZED"))</f>
        <v/>
      </c>
    </row>
    <row r="875">
      <c r="B875" s="18" t="n"/>
      <c r="C875" s="17">
        <f>IF($B875="","",TEXT($B875,"ddd"))</f>
        <v/>
      </c>
      <c r="D875" s="44" t="n"/>
      <c r="E875" s="44"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IF(OR($B875="",$I875=""),"",IF(SUMPRODUCT(--ISNUMBER(SEARCH(nrInstrNames,$I875)))&gt;0,"OK","UNRECOGNIZED"))</f>
        <v/>
      </c>
    </row>
    <row r="876">
      <c r="B876" s="18" t="n"/>
      <c r="C876" s="17">
        <f>IF($B876="","",TEXT($B876,"ddd"))</f>
        <v/>
      </c>
      <c r="D876" s="44" t="n"/>
      <c r="E876" s="44"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IF(OR($B876="",$I876=""),"",IF(SUMPRODUCT(--ISNUMBER(SEARCH(nrInstrNames,$I876)))&gt;0,"OK","UNRECOGNIZED"))</f>
        <v/>
      </c>
    </row>
    <row r="877">
      <c r="B877" s="18" t="n"/>
      <c r="C877" s="17">
        <f>IF($B877="","",TEXT($B877,"ddd"))</f>
        <v/>
      </c>
      <c r="D877" s="44" t="n"/>
      <c r="E877" s="44"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IF(OR($B877="",$I877=""),"",IF(SUMPRODUCT(--ISNUMBER(SEARCH(nrInstrNames,$I877)))&gt;0,"OK","UNRECOGNIZED"))</f>
        <v/>
      </c>
    </row>
    <row r="878">
      <c r="B878" s="18" t="n"/>
      <c r="C878" s="17">
        <f>IF($B878="","",TEXT($B878,"ddd"))</f>
        <v/>
      </c>
      <c r="D878" s="44" t="n"/>
      <c r="E878" s="44"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IF(OR($B878="",$I878=""),"",IF(SUMPRODUCT(--ISNUMBER(SEARCH(nrInstrNames,$I878)))&gt;0,"OK","UNRECOGNIZED"))</f>
        <v/>
      </c>
    </row>
    <row r="879">
      <c r="B879" s="18" t="n"/>
      <c r="C879" s="17">
        <f>IF($B879="","",TEXT($B879,"ddd"))</f>
        <v/>
      </c>
      <c r="D879" s="44" t="n"/>
      <c r="E879" s="44"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IF(OR($B879="",$I879=""),"",IF(SUMPRODUCT(--ISNUMBER(SEARCH(nrInstrNames,$I879)))&gt;0,"OK","UNRECOGNIZED"))</f>
        <v/>
      </c>
    </row>
    <row r="880">
      <c r="B880" s="18" t="n"/>
      <c r="C880" s="17">
        <f>IF($B880="","",TEXT($B880,"ddd"))</f>
        <v/>
      </c>
      <c r="D880" s="44" t="n"/>
      <c r="E880" s="44"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IF(OR($B880="",$I880=""),"",IF(SUMPRODUCT(--ISNUMBER(SEARCH(nrInstrNames,$I880)))&gt;0,"OK","UNRECOGNIZED"))</f>
        <v/>
      </c>
    </row>
    <row r="881">
      <c r="B881" s="18" t="n"/>
      <c r="C881" s="17">
        <f>IF($B881="","",TEXT($B881,"ddd"))</f>
        <v/>
      </c>
      <c r="D881" s="44" t="n"/>
      <c r="E881" s="44"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IF(OR($B881="",$I881=""),"",IF(SUMPRODUCT(--ISNUMBER(SEARCH(nrInstrNames,$I881)))&gt;0,"OK","UNRECOGNIZED"))</f>
        <v/>
      </c>
    </row>
    <row r="882">
      <c r="B882" s="18" t="n"/>
      <c r="C882" s="17">
        <f>IF($B882="","",TEXT($B882,"ddd"))</f>
        <v/>
      </c>
      <c r="D882" s="44" t="n"/>
      <c r="E882" s="44"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IF(OR($B882="",$I882=""),"",IF(SUMPRODUCT(--ISNUMBER(SEARCH(nrInstrNames,$I882)))&gt;0,"OK","UNRECOGNIZED"))</f>
        <v/>
      </c>
    </row>
    <row r="883">
      <c r="B883" s="18" t="n"/>
      <c r="C883" s="17">
        <f>IF($B883="","",TEXT($B883,"ddd"))</f>
        <v/>
      </c>
      <c r="D883" s="44" t="n"/>
      <c r="E883" s="44"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IF(OR($B883="",$I883=""),"",IF(SUMPRODUCT(--ISNUMBER(SEARCH(nrInstrNames,$I883)))&gt;0,"OK","UNRECOGNIZED"))</f>
        <v/>
      </c>
    </row>
    <row r="884">
      <c r="B884" s="18" t="n"/>
      <c r="C884" s="17">
        <f>IF($B884="","",TEXT($B884,"ddd"))</f>
        <v/>
      </c>
      <c r="D884" s="44" t="n"/>
      <c r="E884" s="44"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IF(OR($B884="",$I884=""),"",IF(SUMPRODUCT(--ISNUMBER(SEARCH(nrInstrNames,$I884)))&gt;0,"OK","UNRECOGNIZED"))</f>
        <v/>
      </c>
    </row>
    <row r="885">
      <c r="B885" s="18" t="n"/>
      <c r="C885" s="17">
        <f>IF($B885="","",TEXT($B885,"ddd"))</f>
        <v/>
      </c>
      <c r="D885" s="44" t="n"/>
      <c r="E885" s="44"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IF(OR($B885="",$I885=""),"",IF(SUMPRODUCT(--ISNUMBER(SEARCH(nrInstrNames,$I885)))&gt;0,"OK","UNRECOGNIZED"))</f>
        <v/>
      </c>
    </row>
    <row r="886">
      <c r="B886" s="18" t="n"/>
      <c r="C886" s="17">
        <f>IF($B886="","",TEXT($B886,"ddd"))</f>
        <v/>
      </c>
      <c r="D886" s="44" t="n"/>
      <c r="E886" s="44"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IF(OR($B886="",$I886=""),"",IF(SUMPRODUCT(--ISNUMBER(SEARCH(nrInstrNames,$I886)))&gt;0,"OK","UNRECOGNIZED"))</f>
        <v/>
      </c>
    </row>
    <row r="887">
      <c r="B887" s="18" t="n"/>
      <c r="C887" s="17">
        <f>IF($B887="","",TEXT($B887,"ddd"))</f>
        <v/>
      </c>
      <c r="D887" s="44" t="n"/>
      <c r="E887" s="44"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IF(OR($B887="",$I887=""),"",IF(SUMPRODUCT(--ISNUMBER(SEARCH(nrInstrNames,$I887)))&gt;0,"OK","UNRECOGNIZED"))</f>
        <v/>
      </c>
    </row>
    <row r="888">
      <c r="B888" s="18" t="n"/>
      <c r="C888" s="17">
        <f>IF($B888="","",TEXT($B888,"ddd"))</f>
        <v/>
      </c>
      <c r="D888" s="44" t="n"/>
      <c r="E888" s="44"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IF(OR($B888="",$I888=""),"",IF(SUMPRODUCT(--ISNUMBER(SEARCH(nrInstrNames,$I888)))&gt;0,"OK","UNRECOGNIZED"))</f>
        <v/>
      </c>
    </row>
    <row r="889">
      <c r="B889" s="18" t="n"/>
      <c r="C889" s="17">
        <f>IF($B889="","",TEXT($B889,"ddd"))</f>
        <v/>
      </c>
      <c r="D889" s="44" t="n"/>
      <c r="E889" s="44"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IF(OR($B889="",$I889=""),"",IF(SUMPRODUCT(--ISNUMBER(SEARCH(nrInstrNames,$I889)))&gt;0,"OK","UNRECOGNIZED"))</f>
        <v/>
      </c>
    </row>
    <row r="890">
      <c r="B890" s="18" t="n"/>
      <c r="C890" s="17">
        <f>IF($B890="","",TEXT($B890,"ddd"))</f>
        <v/>
      </c>
      <c r="D890" s="44" t="n"/>
      <c r="E890" s="44"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IF(OR($B890="",$I890=""),"",IF(SUMPRODUCT(--ISNUMBER(SEARCH(nrInstrNames,$I890)))&gt;0,"OK","UNRECOGNIZED"))</f>
        <v/>
      </c>
    </row>
    <row r="891">
      <c r="B891" s="18" t="n"/>
      <c r="C891" s="17">
        <f>IF($B891="","",TEXT($B891,"ddd"))</f>
        <v/>
      </c>
      <c r="D891" s="44" t="n"/>
      <c r="E891" s="44"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IF(OR($B891="",$I891=""),"",IF(SUMPRODUCT(--ISNUMBER(SEARCH(nrInstrNames,$I891)))&gt;0,"OK","UNRECOGNIZED"))</f>
        <v/>
      </c>
    </row>
    <row r="892">
      <c r="B892" s="18" t="n"/>
      <c r="C892" s="17">
        <f>IF($B892="","",TEXT($B892,"ddd"))</f>
        <v/>
      </c>
      <c r="D892" s="44" t="n"/>
      <c r="E892" s="44"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IF(OR($B892="",$I892=""),"",IF(SUMPRODUCT(--ISNUMBER(SEARCH(nrInstrNames,$I892)))&gt;0,"OK","UNRECOGNIZED"))</f>
        <v/>
      </c>
    </row>
    <row r="893">
      <c r="B893" s="18" t="n"/>
      <c r="C893" s="17">
        <f>IF($B893="","",TEXT($B893,"ddd"))</f>
        <v/>
      </c>
      <c r="D893" s="44" t="n"/>
      <c r="E893" s="44"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IF(OR($B893="",$I893=""),"",IF(SUMPRODUCT(--ISNUMBER(SEARCH(nrInstrNames,$I893)))&gt;0,"OK","UNRECOGNIZED"))</f>
        <v/>
      </c>
    </row>
    <row r="894">
      <c r="B894" s="18" t="n"/>
      <c r="C894" s="17">
        <f>IF($B894="","",TEXT($B894,"ddd"))</f>
        <v/>
      </c>
      <c r="D894" s="44" t="n"/>
      <c r="E894" s="44"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IF(OR($B894="",$I894=""),"",IF(SUMPRODUCT(--ISNUMBER(SEARCH(nrInstrNames,$I894)))&gt;0,"OK","UNRECOGNIZED"))</f>
        <v/>
      </c>
    </row>
    <row r="895">
      <c r="B895" s="18" t="n"/>
      <c r="C895" s="17">
        <f>IF($B895="","",TEXT($B895,"ddd"))</f>
        <v/>
      </c>
      <c r="D895" s="44" t="n"/>
      <c r="E895" s="44"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IF(OR($B895="",$I895=""),"",IF(SUMPRODUCT(--ISNUMBER(SEARCH(nrInstrNames,$I895)))&gt;0,"OK","UNRECOGNIZED"))</f>
        <v/>
      </c>
    </row>
    <row r="896">
      <c r="B896" s="18" t="n"/>
      <c r="C896" s="17">
        <f>IF($B896="","",TEXT($B896,"ddd"))</f>
        <v/>
      </c>
      <c r="D896" s="44" t="n"/>
      <c r="E896" s="44"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IF(OR($B896="",$I896=""),"",IF(SUMPRODUCT(--ISNUMBER(SEARCH(nrInstrNames,$I896)))&gt;0,"OK","UNRECOGNIZED"))</f>
        <v/>
      </c>
    </row>
    <row r="897">
      <c r="B897" s="18" t="n"/>
      <c r="C897" s="17">
        <f>IF($B897="","",TEXT($B897,"ddd"))</f>
        <v/>
      </c>
      <c r="D897" s="44" t="n"/>
      <c r="E897" s="44"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IF(OR($B897="",$I897=""),"",IF(SUMPRODUCT(--ISNUMBER(SEARCH(nrInstrNames,$I897)))&gt;0,"OK","UNRECOGNIZED"))</f>
        <v/>
      </c>
    </row>
    <row r="898">
      <c r="B898" s="18" t="n"/>
      <c r="C898" s="17">
        <f>IF($B898="","",TEXT($B898,"ddd"))</f>
        <v/>
      </c>
      <c r="D898" s="44" t="n"/>
      <c r="E898" s="44"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IF(OR($B898="",$I898=""),"",IF(SUMPRODUCT(--ISNUMBER(SEARCH(nrInstrNames,$I898)))&gt;0,"OK","UNRECOGNIZED"))</f>
        <v/>
      </c>
    </row>
    <row r="899">
      <c r="B899" s="18" t="n"/>
      <c r="C899" s="17">
        <f>IF($B899="","",TEXT($B899,"ddd"))</f>
        <v/>
      </c>
      <c r="D899" s="44" t="n"/>
      <c r="E899" s="44"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IF(OR($B899="",$I899=""),"",IF(SUMPRODUCT(--ISNUMBER(SEARCH(nrInstrNames,$I899)))&gt;0,"OK","UNRECOGNIZED"))</f>
        <v/>
      </c>
    </row>
    <row r="900">
      <c r="B900" s="18" t="n"/>
      <c r="C900" s="17">
        <f>IF($B900="","",TEXT($B900,"ddd"))</f>
        <v/>
      </c>
      <c r="D900" s="44" t="n"/>
      <c r="E900" s="44"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IF(OR($B900="",$I900=""),"",IF(SUMPRODUCT(--ISNUMBER(SEARCH(nrInstrNames,$I900)))&gt;0,"OK","UNRECOGNIZED"))</f>
        <v/>
      </c>
    </row>
    <row r="901">
      <c r="B901" s="18" t="n"/>
      <c r="C901" s="17">
        <f>IF($B901="","",TEXT($B901,"ddd"))</f>
        <v/>
      </c>
      <c r="D901" s="44" t="n"/>
      <c r="E901" s="44"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IF(OR($B901="",$I901=""),"",IF(SUMPRODUCT(--ISNUMBER(SEARCH(nrInstrNames,$I901)))&gt;0,"OK","UNRECOGNIZED"))</f>
        <v/>
      </c>
    </row>
    <row r="902">
      <c r="B902" s="18" t="n"/>
      <c r="C902" s="17">
        <f>IF($B902="","",TEXT($B902,"ddd"))</f>
        <v/>
      </c>
      <c r="D902" s="44" t="n"/>
      <c r="E902" s="44"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IF(OR($B902="",$I902=""),"",IF(SUMPRODUCT(--ISNUMBER(SEARCH(nrInstrNames,$I902)))&gt;0,"OK","UNRECOGNIZED"))</f>
        <v/>
      </c>
    </row>
    <row r="903">
      <c r="B903" s="18" t="n"/>
      <c r="C903" s="17">
        <f>IF($B903="","",TEXT($B903,"ddd"))</f>
        <v/>
      </c>
      <c r="D903" s="44" t="n"/>
      <c r="E903" s="44"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IF(OR($B903="",$I903=""),"",IF(SUMPRODUCT(--ISNUMBER(SEARCH(nrInstrNames,$I903)))&gt;0,"OK","UNRECOGNIZED"))</f>
        <v/>
      </c>
    </row>
    <row r="904">
      <c r="B904" s="18" t="n"/>
      <c r="C904" s="17">
        <f>IF($B904="","",TEXT($B904,"ddd"))</f>
        <v/>
      </c>
      <c r="D904" s="44" t="n"/>
      <c r="E904" s="44"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IF(OR($B904="",$I904=""),"",IF(SUMPRODUCT(--ISNUMBER(SEARCH(nrInstrNames,$I904)))&gt;0,"OK","UNRECOGNIZED"))</f>
        <v/>
      </c>
    </row>
    <row r="905">
      <c r="B905" s="18" t="n"/>
      <c r="C905" s="17">
        <f>IF($B905="","",TEXT($B905,"ddd"))</f>
        <v/>
      </c>
      <c r="D905" s="44" t="n"/>
      <c r="E905" s="44"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IF(OR($B905="",$I905=""),"",IF(SUMPRODUCT(--ISNUMBER(SEARCH(nrInstrNames,$I905)))&gt;0,"OK","UNRECOGNIZED"))</f>
        <v/>
      </c>
    </row>
  </sheetData>
  <autoFilter ref="B5:N5"/>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50.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f>
        <v/>
      </c>
      <c r="F6" s="17">
        <f>IF($B6="","",COUNTIFS(nrES_PID,$B6,nrES_Type,"Minor",nrES_Final,"Yes"))</f>
        <v/>
      </c>
      <c r="G6" s="17">
        <f>IF($B6="","",Spelling!Q6)</f>
        <v/>
      </c>
      <c r="H6" s="17">
        <f>IF($B6="","",COUNTIFS(nrES_PID,$B6,nrES_Type,"Final",nrES_Final,"Yes"))</f>
        <v/>
      </c>
      <c r="I6" s="17">
        <f>IF(OR($B6="",$E6=0),"",ROUND(AVERAGEIFS(nrES_Rec,nrES_PID,$B6,nrES_Type,"Major",nrES_Final,"Yes"),2))</f>
        <v/>
      </c>
      <c r="J6" s="17">
        <f>IF(OR($B6="",$F6=0),"",ROUND(AVERAGEIFS(nrES_Rec,nrES_PID,$B6,nrES_Type,"Minor",nrES_Final,"Yes"),2))</f>
        <v/>
      </c>
      <c r="K6" s="17">
        <f>IF($B6="","",Spelling!P6)</f>
        <v/>
      </c>
      <c r="L6" s="17">
        <f>IF(OR($B6="",$H6=0),"",ROUND(AVERAGEIFS(nrES_Rec,nrES_PID,$B6,nrES_Type,"Final",nrES_Final,"Yes"),2))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f>
        <v/>
      </c>
      <c r="F7" s="17">
        <f>IF($B7="","",COUNTIFS(nrES_PID,$B7,nrES_Type,"Minor",nrES_Final,"Yes"))</f>
        <v/>
      </c>
      <c r="G7" s="17">
        <f>IF($B7="","",Spelling!Q7)</f>
        <v/>
      </c>
      <c r="H7" s="17">
        <f>IF($B7="","",COUNTIFS(nrES_PID,$B7,nrES_Type,"Final",nrES_Final,"Yes"))</f>
        <v/>
      </c>
      <c r="I7" s="17">
        <f>IF(OR($B7="",$E7=0),"",ROUND(AVERAGEIFS(nrES_Rec,nrES_PID,$B7,nrES_Type,"Major",nrES_Final,"Yes"),2))</f>
        <v/>
      </c>
      <c r="J7" s="17">
        <f>IF(OR($B7="",$F7=0),"",ROUND(AVERAGEIFS(nrES_Rec,nrES_PID,$B7,nrES_Type,"Minor",nrES_Final,"Yes"),2))</f>
        <v/>
      </c>
      <c r="K7" s="17">
        <f>IF($B7="","",Spelling!P7)</f>
        <v/>
      </c>
      <c r="L7" s="17">
        <f>IF(OR($B7="",$H7=0),"",ROUND(AVERAGEIFS(nrES_Rec,nrES_PID,$B7,nrES_Type,"Final",nrES_Final,"Yes"),2))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f>
        <v/>
      </c>
      <c r="F8" s="17">
        <f>IF($B8="","",COUNTIFS(nrES_PID,$B8,nrES_Type,"Minor",nrES_Final,"Yes"))</f>
        <v/>
      </c>
      <c r="G8" s="17">
        <f>IF($B8="","",Spelling!Q8)</f>
        <v/>
      </c>
      <c r="H8" s="17">
        <f>IF($B8="","",COUNTIFS(nrES_PID,$B8,nrES_Type,"Final",nrES_Final,"Yes"))</f>
        <v/>
      </c>
      <c r="I8" s="17">
        <f>IF(OR($B8="",$E8=0),"",ROUND(AVERAGEIFS(nrES_Rec,nrES_PID,$B8,nrES_Type,"Major",nrES_Final,"Yes"),2))</f>
        <v/>
      </c>
      <c r="J8" s="17">
        <f>IF(OR($B8="",$F8=0),"",ROUND(AVERAGEIFS(nrES_Rec,nrES_PID,$B8,nrES_Type,"Minor",nrES_Final,"Yes"),2))</f>
        <v/>
      </c>
      <c r="K8" s="17">
        <f>IF($B8="","",Spelling!P8)</f>
        <v/>
      </c>
      <c r="L8" s="17">
        <f>IF(OR($B8="",$H8=0),"",ROUND(AVERAGEIFS(nrES_Rec,nrES_PID,$B8,nrES_Type,"Final",nrES_Final,"Yes"),2))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f>
        <v/>
      </c>
      <c r="F9" s="17">
        <f>IF($B9="","",COUNTIFS(nrES_PID,$B9,nrES_Type,"Minor",nrES_Final,"Yes"))</f>
        <v/>
      </c>
      <c r="G9" s="17">
        <f>IF($B9="","",Spelling!Q9)</f>
        <v/>
      </c>
      <c r="H9" s="17">
        <f>IF($B9="","",COUNTIFS(nrES_PID,$B9,nrES_Type,"Final",nrES_Final,"Yes"))</f>
        <v/>
      </c>
      <c r="I9" s="17">
        <f>IF(OR($B9="",$E9=0),"",ROUND(AVERAGEIFS(nrES_Rec,nrES_PID,$B9,nrES_Type,"Major",nrES_Final,"Yes"),2))</f>
        <v/>
      </c>
      <c r="J9" s="17">
        <f>IF(OR($B9="",$F9=0),"",ROUND(AVERAGEIFS(nrES_Rec,nrES_PID,$B9,nrES_Type,"Minor",nrES_Final,"Yes"),2))</f>
        <v/>
      </c>
      <c r="K9" s="17">
        <f>IF($B9="","",Spelling!P9)</f>
        <v/>
      </c>
      <c r="L9" s="17">
        <f>IF(OR($B9="",$H9=0),"",ROUND(AVERAGEIFS(nrES_Rec,nrES_PID,$B9,nrES_Type,"Final",nrES_Final,"Yes"),2))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f>
        <v/>
      </c>
      <c r="F10" s="17">
        <f>IF($B10="","",COUNTIFS(nrES_PID,$B10,nrES_Type,"Minor",nrES_Final,"Yes"))</f>
        <v/>
      </c>
      <c r="G10" s="17">
        <f>IF($B10="","",Spelling!Q10)</f>
        <v/>
      </c>
      <c r="H10" s="17">
        <f>IF($B10="","",COUNTIFS(nrES_PID,$B10,nrES_Type,"Final",nrES_Final,"Yes"))</f>
        <v/>
      </c>
      <c r="I10" s="17">
        <f>IF(OR($B10="",$E10=0),"",ROUND(AVERAGEIFS(nrES_Rec,nrES_PID,$B10,nrES_Type,"Major",nrES_Final,"Yes"),2))</f>
        <v/>
      </c>
      <c r="J10" s="17">
        <f>IF(OR($B10="",$F10=0),"",ROUND(AVERAGEIFS(nrES_Rec,nrES_PID,$B10,nrES_Type,"Minor",nrES_Final,"Yes"),2))</f>
        <v/>
      </c>
      <c r="K10" s="17">
        <f>IF($B10="","",Spelling!P10)</f>
        <v/>
      </c>
      <c r="L10" s="17">
        <f>IF(OR($B10="",$H10=0),"",ROUND(AVERAGEIFS(nrES_Rec,nrES_PID,$B10,nrES_Type,"Final",nrES_Final,"Yes"),2))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f>
        <v/>
      </c>
      <c r="F11" s="17">
        <f>IF($B11="","",COUNTIFS(nrES_PID,$B11,nrES_Type,"Minor",nrES_Final,"Yes"))</f>
        <v/>
      </c>
      <c r="G11" s="17">
        <f>IF($B11="","",Spelling!Q11)</f>
        <v/>
      </c>
      <c r="H11" s="17">
        <f>IF($B11="","",COUNTIFS(nrES_PID,$B11,nrES_Type,"Final",nrES_Final,"Yes"))</f>
        <v/>
      </c>
      <c r="I11" s="17">
        <f>IF(OR($B11="",$E11=0),"",ROUND(AVERAGEIFS(nrES_Rec,nrES_PID,$B11,nrES_Type,"Major",nrES_Final,"Yes"),2))</f>
        <v/>
      </c>
      <c r="J11" s="17">
        <f>IF(OR($B11="",$F11=0),"",ROUND(AVERAGEIFS(nrES_Rec,nrES_PID,$B11,nrES_Type,"Minor",nrES_Final,"Yes"),2))</f>
        <v/>
      </c>
      <c r="K11" s="17">
        <f>IF($B11="","",Spelling!P11)</f>
        <v/>
      </c>
      <c r="L11" s="17">
        <f>IF(OR($B11="",$H11=0),"",ROUND(AVERAGEIFS(nrES_Rec,nrES_PID,$B11,nrES_Type,"Final",nrES_Final,"Yes"),2))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f>
        <v/>
      </c>
      <c r="F12" s="17">
        <f>IF($B12="","",COUNTIFS(nrES_PID,$B12,nrES_Type,"Minor",nrES_Final,"Yes"))</f>
        <v/>
      </c>
      <c r="G12" s="17">
        <f>IF($B12="","",Spelling!Q12)</f>
        <v/>
      </c>
      <c r="H12" s="17">
        <f>IF($B12="","",COUNTIFS(nrES_PID,$B12,nrES_Type,"Final",nrES_Final,"Yes"))</f>
        <v/>
      </c>
      <c r="I12" s="17">
        <f>IF(OR($B12="",$E12=0),"",ROUND(AVERAGEIFS(nrES_Rec,nrES_PID,$B12,nrES_Type,"Major",nrES_Final,"Yes"),2))</f>
        <v/>
      </c>
      <c r="J12" s="17">
        <f>IF(OR($B12="",$F12=0),"",ROUND(AVERAGEIFS(nrES_Rec,nrES_PID,$B12,nrES_Type,"Minor",nrES_Final,"Yes"),2))</f>
        <v/>
      </c>
      <c r="K12" s="17">
        <f>IF($B12="","",Spelling!P12)</f>
        <v/>
      </c>
      <c r="L12" s="17">
        <f>IF(OR($B12="",$H12=0),"",ROUND(AVERAGEIFS(nrES_Rec,nrES_PID,$B12,nrES_Type,"Final",nrES_Final,"Yes"),2))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f>
        <v/>
      </c>
      <c r="F13" s="17">
        <f>IF($B13="","",COUNTIFS(nrES_PID,$B13,nrES_Type,"Minor",nrES_Final,"Yes"))</f>
        <v/>
      </c>
      <c r="G13" s="17">
        <f>IF($B13="","",Spelling!Q13)</f>
        <v/>
      </c>
      <c r="H13" s="17">
        <f>IF($B13="","",COUNTIFS(nrES_PID,$B13,nrES_Type,"Final",nrES_Final,"Yes"))</f>
        <v/>
      </c>
      <c r="I13" s="17">
        <f>IF(OR($B13="",$E13=0),"",ROUND(AVERAGEIFS(nrES_Rec,nrES_PID,$B13,nrES_Type,"Major",nrES_Final,"Yes"),2))</f>
        <v/>
      </c>
      <c r="J13" s="17">
        <f>IF(OR($B13="",$F13=0),"",ROUND(AVERAGEIFS(nrES_Rec,nrES_PID,$B13,nrES_Type,"Minor",nrES_Final,"Yes"),2))</f>
        <v/>
      </c>
      <c r="K13" s="17">
        <f>IF($B13="","",Spelling!P13)</f>
        <v/>
      </c>
      <c r="L13" s="17">
        <f>IF(OR($B13="",$H13=0),"",ROUND(AVERAGEIFS(nrES_Rec,nrES_PID,$B13,nrES_Type,"Final",nrES_Final,"Yes"),2))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f>
        <v/>
      </c>
      <c r="F14" s="17">
        <f>IF($B14="","",COUNTIFS(nrES_PID,$B14,nrES_Type,"Minor",nrES_Final,"Yes"))</f>
        <v/>
      </c>
      <c r="G14" s="17">
        <f>IF($B14="","",Spelling!Q14)</f>
        <v/>
      </c>
      <c r="H14" s="17">
        <f>IF($B14="","",COUNTIFS(nrES_PID,$B14,nrES_Type,"Final",nrES_Final,"Yes"))</f>
        <v/>
      </c>
      <c r="I14" s="17">
        <f>IF(OR($B14="",$E14=0),"",ROUND(AVERAGEIFS(nrES_Rec,nrES_PID,$B14,nrES_Type,"Major",nrES_Final,"Yes"),2))</f>
        <v/>
      </c>
      <c r="J14" s="17">
        <f>IF(OR($B14="",$F14=0),"",ROUND(AVERAGEIFS(nrES_Rec,nrES_PID,$B14,nrES_Type,"Minor",nrES_Final,"Yes"),2))</f>
        <v/>
      </c>
      <c r="K14" s="17">
        <f>IF($B14="","",Spelling!P14)</f>
        <v/>
      </c>
      <c r="L14" s="17">
        <f>IF(OR($B14="",$H14=0),"",ROUND(AVERAGEIFS(nrES_Rec,nrES_PID,$B14,nrES_Type,"Final",nrES_Final,"Yes"),2))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f>
        <v/>
      </c>
      <c r="F15" s="17">
        <f>IF($B15="","",COUNTIFS(nrES_PID,$B15,nrES_Type,"Minor",nrES_Final,"Yes"))</f>
        <v/>
      </c>
      <c r="G15" s="17">
        <f>IF($B15="","",Spelling!Q15)</f>
        <v/>
      </c>
      <c r="H15" s="17">
        <f>IF($B15="","",COUNTIFS(nrES_PID,$B15,nrES_Type,"Final",nrES_Final,"Yes"))</f>
        <v/>
      </c>
      <c r="I15" s="17">
        <f>IF(OR($B15="",$E15=0),"",ROUND(AVERAGEIFS(nrES_Rec,nrES_PID,$B15,nrES_Type,"Major",nrES_Final,"Yes"),2))</f>
        <v/>
      </c>
      <c r="J15" s="17">
        <f>IF(OR($B15="",$F15=0),"",ROUND(AVERAGEIFS(nrES_Rec,nrES_PID,$B15,nrES_Type,"Minor",nrES_Final,"Yes"),2))</f>
        <v/>
      </c>
      <c r="K15" s="17">
        <f>IF($B15="","",Spelling!P15)</f>
        <v/>
      </c>
      <c r="L15" s="17">
        <f>IF(OR($B15="",$H15=0),"",ROUND(AVERAGEIFS(nrES_Rec,nrES_PID,$B15,nrES_Type,"Final",nrES_Final,"Yes"),2))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f>
        <v/>
      </c>
      <c r="F16" s="17">
        <f>IF($B16="","",COUNTIFS(nrES_PID,$B16,nrES_Type,"Minor",nrES_Final,"Yes"))</f>
        <v/>
      </c>
      <c r="G16" s="17">
        <f>IF($B16="","",Spelling!Q16)</f>
        <v/>
      </c>
      <c r="H16" s="17">
        <f>IF($B16="","",COUNTIFS(nrES_PID,$B16,nrES_Type,"Final",nrES_Final,"Yes"))</f>
        <v/>
      </c>
      <c r="I16" s="17">
        <f>IF(OR($B16="",$E16=0),"",ROUND(AVERAGEIFS(nrES_Rec,nrES_PID,$B16,nrES_Type,"Major",nrES_Final,"Yes"),2))</f>
        <v/>
      </c>
      <c r="J16" s="17">
        <f>IF(OR($B16="",$F16=0),"",ROUND(AVERAGEIFS(nrES_Rec,nrES_PID,$B16,nrES_Type,"Minor",nrES_Final,"Yes"),2))</f>
        <v/>
      </c>
      <c r="K16" s="17">
        <f>IF($B16="","",Spelling!P16)</f>
        <v/>
      </c>
      <c r="L16" s="17">
        <f>IF(OR($B16="",$H16=0),"",ROUND(AVERAGEIFS(nrES_Rec,nrES_PID,$B16,nrES_Type,"Final",nrES_Final,"Yes"),2))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f>
        <v/>
      </c>
      <c r="F17" s="17">
        <f>IF($B17="","",COUNTIFS(nrES_PID,$B17,nrES_Type,"Minor",nrES_Final,"Yes"))</f>
        <v/>
      </c>
      <c r="G17" s="17">
        <f>IF($B17="","",Spelling!Q17)</f>
        <v/>
      </c>
      <c r="H17" s="17">
        <f>IF($B17="","",COUNTIFS(nrES_PID,$B17,nrES_Type,"Final",nrES_Final,"Yes"))</f>
        <v/>
      </c>
      <c r="I17" s="17">
        <f>IF(OR($B17="",$E17=0),"",ROUND(AVERAGEIFS(nrES_Rec,nrES_PID,$B17,nrES_Type,"Major",nrES_Final,"Yes"),2))</f>
        <v/>
      </c>
      <c r="J17" s="17">
        <f>IF(OR($B17="",$F17=0),"",ROUND(AVERAGEIFS(nrES_Rec,nrES_PID,$B17,nrES_Type,"Minor",nrES_Final,"Yes"),2))</f>
        <v/>
      </c>
      <c r="K17" s="17">
        <f>IF($B17="","",Spelling!P17)</f>
        <v/>
      </c>
      <c r="L17" s="17">
        <f>IF(OR($B17="",$H17=0),"",ROUND(AVERAGEIFS(nrES_Rec,nrES_PID,$B17,nrES_Type,"Final",nrES_Final,"Yes"),2))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f>
        <v/>
      </c>
      <c r="F18" s="17">
        <f>IF($B18="","",COUNTIFS(nrES_PID,$B18,nrES_Type,"Minor",nrES_Final,"Yes"))</f>
        <v/>
      </c>
      <c r="G18" s="17">
        <f>IF($B18="","",Spelling!Q18)</f>
        <v/>
      </c>
      <c r="H18" s="17">
        <f>IF($B18="","",COUNTIFS(nrES_PID,$B18,nrES_Type,"Final",nrES_Final,"Yes"))</f>
        <v/>
      </c>
      <c r="I18" s="17">
        <f>IF(OR($B18="",$E18=0),"",ROUND(AVERAGEIFS(nrES_Rec,nrES_PID,$B18,nrES_Type,"Major",nrES_Final,"Yes"),2))</f>
        <v/>
      </c>
      <c r="J18" s="17">
        <f>IF(OR($B18="",$F18=0),"",ROUND(AVERAGEIFS(nrES_Rec,nrES_PID,$B18,nrES_Type,"Minor",nrES_Final,"Yes"),2))</f>
        <v/>
      </c>
      <c r="K18" s="17">
        <f>IF($B18="","",Spelling!P18)</f>
        <v/>
      </c>
      <c r="L18" s="17">
        <f>IF(OR($B18="",$H18=0),"",ROUND(AVERAGEIFS(nrES_Rec,nrES_PID,$B18,nrES_Type,"Final",nrES_Final,"Yes"),2))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f>
        <v/>
      </c>
      <c r="F19" s="17">
        <f>IF($B19="","",COUNTIFS(nrES_PID,$B19,nrES_Type,"Minor",nrES_Final,"Yes"))</f>
        <v/>
      </c>
      <c r="G19" s="17">
        <f>IF($B19="","",Spelling!Q19)</f>
        <v/>
      </c>
      <c r="H19" s="17">
        <f>IF($B19="","",COUNTIFS(nrES_PID,$B19,nrES_Type,"Final",nrES_Final,"Yes"))</f>
        <v/>
      </c>
      <c r="I19" s="17">
        <f>IF(OR($B19="",$E19=0),"",ROUND(AVERAGEIFS(nrES_Rec,nrES_PID,$B19,nrES_Type,"Major",nrES_Final,"Yes"),2))</f>
        <v/>
      </c>
      <c r="J19" s="17">
        <f>IF(OR($B19="",$F19=0),"",ROUND(AVERAGEIFS(nrES_Rec,nrES_PID,$B19,nrES_Type,"Minor",nrES_Final,"Yes"),2))</f>
        <v/>
      </c>
      <c r="K19" s="17">
        <f>IF($B19="","",Spelling!P19)</f>
        <v/>
      </c>
      <c r="L19" s="17">
        <f>IF(OR($B19="",$H19=0),"",ROUND(AVERAGEIFS(nrES_Rec,nrES_PID,$B19,nrES_Type,"Final",nrES_Final,"Yes"),2))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f>
        <v/>
      </c>
      <c r="F20" s="17">
        <f>IF($B20="","",COUNTIFS(nrES_PID,$B20,nrES_Type,"Minor",nrES_Final,"Yes"))</f>
        <v/>
      </c>
      <c r="G20" s="17">
        <f>IF($B20="","",Spelling!Q20)</f>
        <v/>
      </c>
      <c r="H20" s="17">
        <f>IF($B20="","",COUNTIFS(nrES_PID,$B20,nrES_Type,"Final",nrES_Final,"Yes"))</f>
        <v/>
      </c>
      <c r="I20" s="17">
        <f>IF(OR($B20="",$E20=0),"",ROUND(AVERAGEIFS(nrES_Rec,nrES_PID,$B20,nrES_Type,"Major",nrES_Final,"Yes"),2))</f>
        <v/>
      </c>
      <c r="J20" s="17">
        <f>IF(OR($B20="",$F20=0),"",ROUND(AVERAGEIFS(nrES_Rec,nrES_PID,$B20,nrES_Type,"Minor",nrES_Final,"Yes"),2))</f>
        <v/>
      </c>
      <c r="K20" s="17">
        <f>IF($B20="","",Spelling!P20)</f>
        <v/>
      </c>
      <c r="L20" s="17">
        <f>IF(OR($B20="",$H20=0),"",ROUND(AVERAGEIFS(nrES_Rec,nrES_PID,$B20,nrES_Type,"Final",nrES_Final,"Yes"),2))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f>
        <v/>
      </c>
      <c r="F21" s="17">
        <f>IF($B21="","",COUNTIFS(nrES_PID,$B21,nrES_Type,"Minor",nrES_Final,"Yes"))</f>
        <v/>
      </c>
      <c r="G21" s="17">
        <f>IF($B21="","",Spelling!Q21)</f>
        <v/>
      </c>
      <c r="H21" s="17">
        <f>IF($B21="","",COUNTIFS(nrES_PID,$B21,nrES_Type,"Final",nrES_Final,"Yes"))</f>
        <v/>
      </c>
      <c r="I21" s="17">
        <f>IF(OR($B21="",$E21=0),"",ROUND(AVERAGEIFS(nrES_Rec,nrES_PID,$B21,nrES_Type,"Major",nrES_Final,"Yes"),2))</f>
        <v/>
      </c>
      <c r="J21" s="17">
        <f>IF(OR($B21="",$F21=0),"",ROUND(AVERAGEIFS(nrES_Rec,nrES_PID,$B21,nrES_Type,"Minor",nrES_Final,"Yes"),2))</f>
        <v/>
      </c>
      <c r="K21" s="17">
        <f>IF($B21="","",Spelling!P21)</f>
        <v/>
      </c>
      <c r="L21" s="17">
        <f>IF(OR($B21="",$H21=0),"",ROUND(AVERAGEIFS(nrES_Rec,nrES_PID,$B21,nrES_Type,"Final",nrES_Final,"Yes"),2))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f>
        <v/>
      </c>
      <c r="F22" s="17">
        <f>IF($B22="","",COUNTIFS(nrES_PID,$B22,nrES_Type,"Minor",nrES_Final,"Yes"))</f>
        <v/>
      </c>
      <c r="G22" s="17">
        <f>IF($B22="","",Spelling!Q22)</f>
        <v/>
      </c>
      <c r="H22" s="17">
        <f>IF($B22="","",COUNTIFS(nrES_PID,$B22,nrES_Type,"Final",nrES_Final,"Yes"))</f>
        <v/>
      </c>
      <c r="I22" s="17">
        <f>IF(OR($B22="",$E22=0),"",ROUND(AVERAGEIFS(nrES_Rec,nrES_PID,$B22,nrES_Type,"Major",nrES_Final,"Yes"),2))</f>
        <v/>
      </c>
      <c r="J22" s="17">
        <f>IF(OR($B22="",$F22=0),"",ROUND(AVERAGEIFS(nrES_Rec,nrES_PID,$B22,nrES_Type,"Minor",nrES_Final,"Yes"),2))</f>
        <v/>
      </c>
      <c r="K22" s="17">
        <f>IF($B22="","",Spelling!P22)</f>
        <v/>
      </c>
      <c r="L22" s="17">
        <f>IF(OR($B22="",$H22=0),"",ROUND(AVERAGEIFS(nrES_Rec,nrES_PID,$B22,nrES_Type,"Final",nrES_Final,"Yes"),2))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f>
        <v/>
      </c>
      <c r="F23" s="17">
        <f>IF($B23="","",COUNTIFS(nrES_PID,$B23,nrES_Type,"Minor",nrES_Final,"Yes"))</f>
        <v/>
      </c>
      <c r="G23" s="17">
        <f>IF($B23="","",Spelling!Q23)</f>
        <v/>
      </c>
      <c r="H23" s="17">
        <f>IF($B23="","",COUNTIFS(nrES_PID,$B23,nrES_Type,"Final",nrES_Final,"Yes"))</f>
        <v/>
      </c>
      <c r="I23" s="17">
        <f>IF(OR($B23="",$E23=0),"",ROUND(AVERAGEIFS(nrES_Rec,nrES_PID,$B23,nrES_Type,"Major",nrES_Final,"Yes"),2))</f>
        <v/>
      </c>
      <c r="J23" s="17">
        <f>IF(OR($B23="",$F23=0),"",ROUND(AVERAGEIFS(nrES_Rec,nrES_PID,$B23,nrES_Type,"Minor",nrES_Final,"Yes"),2))</f>
        <v/>
      </c>
      <c r="K23" s="17">
        <f>IF($B23="","",Spelling!P23)</f>
        <v/>
      </c>
      <c r="L23" s="17">
        <f>IF(OR($B23="",$H23=0),"",ROUND(AVERAGEIFS(nrES_Rec,nrES_PID,$B23,nrES_Type,"Final",nrES_Final,"Yes"),2))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f>
        <v/>
      </c>
      <c r="F24" s="17">
        <f>IF($B24="","",COUNTIFS(nrES_PID,$B24,nrES_Type,"Minor",nrES_Final,"Yes"))</f>
        <v/>
      </c>
      <c r="G24" s="17">
        <f>IF($B24="","",Spelling!Q24)</f>
        <v/>
      </c>
      <c r="H24" s="17">
        <f>IF($B24="","",COUNTIFS(nrES_PID,$B24,nrES_Type,"Final",nrES_Final,"Yes"))</f>
        <v/>
      </c>
      <c r="I24" s="17">
        <f>IF(OR($B24="",$E24=0),"",ROUND(AVERAGEIFS(nrES_Rec,nrES_PID,$B24,nrES_Type,"Major",nrES_Final,"Yes"),2))</f>
        <v/>
      </c>
      <c r="J24" s="17">
        <f>IF(OR($B24="",$F24=0),"",ROUND(AVERAGEIFS(nrES_Rec,nrES_PID,$B24,nrES_Type,"Minor",nrES_Final,"Yes"),2))</f>
        <v/>
      </c>
      <c r="K24" s="17">
        <f>IF($B24="","",Spelling!P24)</f>
        <v/>
      </c>
      <c r="L24" s="17">
        <f>IF(OR($B24="",$H24=0),"",ROUND(AVERAGEIFS(nrES_Rec,nrES_PID,$B24,nrES_Type,"Final",nrES_Final,"Yes"),2))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f>
        <v/>
      </c>
      <c r="F25" s="17">
        <f>IF($B25="","",COUNTIFS(nrES_PID,$B25,nrES_Type,"Minor",nrES_Final,"Yes"))</f>
        <v/>
      </c>
      <c r="G25" s="17">
        <f>IF($B25="","",Spelling!Q25)</f>
        <v/>
      </c>
      <c r="H25" s="17">
        <f>IF($B25="","",COUNTIFS(nrES_PID,$B25,nrES_Type,"Final",nrES_Final,"Yes"))</f>
        <v/>
      </c>
      <c r="I25" s="17">
        <f>IF(OR($B25="",$E25=0),"",ROUND(AVERAGEIFS(nrES_Rec,nrES_PID,$B25,nrES_Type,"Major",nrES_Final,"Yes"),2))</f>
        <v/>
      </c>
      <c r="J25" s="17">
        <f>IF(OR($B25="",$F25=0),"",ROUND(AVERAGEIFS(nrES_Rec,nrES_PID,$B25,nrES_Type,"Minor",nrES_Final,"Yes"),2))</f>
        <v/>
      </c>
      <c r="K25" s="17">
        <f>IF($B25="","",Spelling!P25)</f>
        <v/>
      </c>
      <c r="L25" s="17">
        <f>IF(OR($B25="",$H25=0),"",ROUND(AVERAGEIFS(nrES_Rec,nrES_PID,$B25,nrES_Type,"Final",nrES_Final,"Yes"),2))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f>
        <v/>
      </c>
      <c r="F26" s="17">
        <f>IF($B26="","",COUNTIFS(nrES_PID,$B26,nrES_Type,"Minor",nrES_Final,"Yes"))</f>
        <v/>
      </c>
      <c r="G26" s="17">
        <f>IF($B26="","",Spelling!Q26)</f>
        <v/>
      </c>
      <c r="H26" s="17">
        <f>IF($B26="","",COUNTIFS(nrES_PID,$B26,nrES_Type,"Final",nrES_Final,"Yes"))</f>
        <v/>
      </c>
      <c r="I26" s="17">
        <f>IF(OR($B26="",$E26=0),"",ROUND(AVERAGEIFS(nrES_Rec,nrES_PID,$B26,nrES_Type,"Major",nrES_Final,"Yes"),2))</f>
        <v/>
      </c>
      <c r="J26" s="17">
        <f>IF(OR($B26="",$F26=0),"",ROUND(AVERAGEIFS(nrES_Rec,nrES_PID,$B26,nrES_Type,"Minor",nrES_Final,"Yes"),2))</f>
        <v/>
      </c>
      <c r="K26" s="17">
        <f>IF($B26="","",Spelling!P26)</f>
        <v/>
      </c>
      <c r="L26" s="17">
        <f>IF(OR($B26="",$H26=0),"",ROUND(AVERAGEIFS(nrES_Rec,nrES_PID,$B26,nrES_Type,"Final",nrES_Final,"Yes"),2))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f>
        <v/>
      </c>
      <c r="F27" s="17">
        <f>IF($B27="","",COUNTIFS(nrES_PID,$B27,nrES_Type,"Minor",nrES_Final,"Yes"))</f>
        <v/>
      </c>
      <c r="G27" s="17">
        <f>IF($B27="","",Spelling!Q27)</f>
        <v/>
      </c>
      <c r="H27" s="17">
        <f>IF($B27="","",COUNTIFS(nrES_PID,$B27,nrES_Type,"Final",nrES_Final,"Yes"))</f>
        <v/>
      </c>
      <c r="I27" s="17">
        <f>IF(OR($B27="",$E27=0),"",ROUND(AVERAGEIFS(nrES_Rec,nrES_PID,$B27,nrES_Type,"Major",nrES_Final,"Yes"),2))</f>
        <v/>
      </c>
      <c r="J27" s="17">
        <f>IF(OR($B27="",$F27=0),"",ROUND(AVERAGEIFS(nrES_Rec,nrES_PID,$B27,nrES_Type,"Minor",nrES_Final,"Yes"),2))</f>
        <v/>
      </c>
      <c r="K27" s="17">
        <f>IF($B27="","",Spelling!P27)</f>
        <v/>
      </c>
      <c r="L27" s="17">
        <f>IF(OR($B27="",$H27=0),"",ROUND(AVERAGEIFS(nrES_Rec,nrES_PID,$B27,nrES_Type,"Final",nrES_Final,"Yes"),2))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f>
        <v/>
      </c>
      <c r="F28" s="17">
        <f>IF($B28="","",COUNTIFS(nrES_PID,$B28,nrES_Type,"Minor",nrES_Final,"Yes"))</f>
        <v/>
      </c>
      <c r="G28" s="17">
        <f>IF($B28="","",Spelling!Q28)</f>
        <v/>
      </c>
      <c r="H28" s="17">
        <f>IF($B28="","",COUNTIFS(nrES_PID,$B28,nrES_Type,"Final",nrES_Final,"Yes"))</f>
        <v/>
      </c>
      <c r="I28" s="17">
        <f>IF(OR($B28="",$E28=0),"",ROUND(AVERAGEIFS(nrES_Rec,nrES_PID,$B28,nrES_Type,"Major",nrES_Final,"Yes"),2))</f>
        <v/>
      </c>
      <c r="J28" s="17">
        <f>IF(OR($B28="",$F28=0),"",ROUND(AVERAGEIFS(nrES_Rec,nrES_PID,$B28,nrES_Type,"Minor",nrES_Final,"Yes"),2))</f>
        <v/>
      </c>
      <c r="K28" s="17">
        <f>IF($B28="","",Spelling!P28)</f>
        <v/>
      </c>
      <c r="L28" s="17">
        <f>IF(OR($B28="",$H28=0),"",ROUND(AVERAGEIFS(nrES_Rec,nrES_PID,$B28,nrES_Type,"Final",nrES_Final,"Yes"),2))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f>
        <v/>
      </c>
      <c r="F29" s="17">
        <f>IF($B29="","",COUNTIFS(nrES_PID,$B29,nrES_Type,"Minor",nrES_Final,"Yes"))</f>
        <v/>
      </c>
      <c r="G29" s="17">
        <f>IF($B29="","",Spelling!Q29)</f>
        <v/>
      </c>
      <c r="H29" s="17">
        <f>IF($B29="","",COUNTIFS(nrES_PID,$B29,nrES_Type,"Final",nrES_Final,"Yes"))</f>
        <v/>
      </c>
      <c r="I29" s="17">
        <f>IF(OR($B29="",$E29=0),"",ROUND(AVERAGEIFS(nrES_Rec,nrES_PID,$B29,nrES_Type,"Major",nrES_Final,"Yes"),2))</f>
        <v/>
      </c>
      <c r="J29" s="17">
        <f>IF(OR($B29="",$F29=0),"",ROUND(AVERAGEIFS(nrES_Rec,nrES_PID,$B29,nrES_Type,"Minor",nrES_Final,"Yes"),2))</f>
        <v/>
      </c>
      <c r="K29" s="17">
        <f>IF($B29="","",Spelling!P29)</f>
        <v/>
      </c>
      <c r="L29" s="17">
        <f>IF(OR($B29="",$H29=0),"",ROUND(AVERAGEIFS(nrES_Rec,nrES_PID,$B29,nrES_Type,"Final",nrES_Final,"Yes"),2))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f>
        <v/>
      </c>
      <c r="F30" s="17">
        <f>IF($B30="","",COUNTIFS(nrES_PID,$B30,nrES_Type,"Minor",nrES_Final,"Yes"))</f>
        <v/>
      </c>
      <c r="G30" s="17">
        <f>IF($B30="","",Spelling!Q30)</f>
        <v/>
      </c>
      <c r="H30" s="17">
        <f>IF($B30="","",COUNTIFS(nrES_PID,$B30,nrES_Type,"Final",nrES_Final,"Yes"))</f>
        <v/>
      </c>
      <c r="I30" s="17">
        <f>IF(OR($B30="",$E30=0),"",ROUND(AVERAGEIFS(nrES_Rec,nrES_PID,$B30,nrES_Type,"Major",nrES_Final,"Yes"),2))</f>
        <v/>
      </c>
      <c r="J30" s="17">
        <f>IF(OR($B30="",$F30=0),"",ROUND(AVERAGEIFS(nrES_Rec,nrES_PID,$B30,nrES_Type,"Minor",nrES_Final,"Yes"),2))</f>
        <v/>
      </c>
      <c r="K30" s="17">
        <f>IF($B30="","",Spelling!P30)</f>
        <v/>
      </c>
      <c r="L30" s="17">
        <f>IF(OR($B30="",$H30=0),"",ROUND(AVERAGEIFS(nrES_Rec,nrES_PID,$B30,nrES_Type,"Final",nrES_Final,"Yes"),2))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f>
        <v/>
      </c>
      <c r="F31" s="17">
        <f>IF($B31="","",COUNTIFS(nrES_PID,$B31,nrES_Type,"Minor",nrES_Final,"Yes"))</f>
        <v/>
      </c>
      <c r="G31" s="17">
        <f>IF($B31="","",Spelling!Q31)</f>
        <v/>
      </c>
      <c r="H31" s="17">
        <f>IF($B31="","",COUNTIFS(nrES_PID,$B31,nrES_Type,"Final",nrES_Final,"Yes"))</f>
        <v/>
      </c>
      <c r="I31" s="17">
        <f>IF(OR($B31="",$E31=0),"",ROUND(AVERAGEIFS(nrES_Rec,nrES_PID,$B31,nrES_Type,"Major",nrES_Final,"Yes"),2))</f>
        <v/>
      </c>
      <c r="J31" s="17">
        <f>IF(OR($B31="",$F31=0),"",ROUND(AVERAGEIFS(nrES_Rec,nrES_PID,$B31,nrES_Type,"Minor",nrES_Final,"Yes"),2))</f>
        <v/>
      </c>
      <c r="K31" s="17">
        <f>IF($B31="","",Spelling!P31)</f>
        <v/>
      </c>
      <c r="L31" s="17">
        <f>IF(OR($B31="",$H31=0),"",ROUND(AVERAGEIFS(nrES_Rec,nrES_PID,$B31,nrES_Type,"Final",nrES_Final,"Yes"),2))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f>
        <v/>
      </c>
      <c r="F32" s="17">
        <f>IF($B32="","",COUNTIFS(nrES_PID,$B32,nrES_Type,"Minor",nrES_Final,"Yes"))</f>
        <v/>
      </c>
      <c r="G32" s="17">
        <f>IF($B32="","",Spelling!Q32)</f>
        <v/>
      </c>
      <c r="H32" s="17">
        <f>IF($B32="","",COUNTIFS(nrES_PID,$B32,nrES_Type,"Final",nrES_Final,"Yes"))</f>
        <v/>
      </c>
      <c r="I32" s="17">
        <f>IF(OR($B32="",$E32=0),"",ROUND(AVERAGEIFS(nrES_Rec,nrES_PID,$B32,nrES_Type,"Major",nrES_Final,"Yes"),2))</f>
        <v/>
      </c>
      <c r="J32" s="17">
        <f>IF(OR($B32="",$F32=0),"",ROUND(AVERAGEIFS(nrES_Rec,nrES_PID,$B32,nrES_Type,"Minor",nrES_Final,"Yes"),2))</f>
        <v/>
      </c>
      <c r="K32" s="17">
        <f>IF($B32="","",Spelling!P32)</f>
        <v/>
      </c>
      <c r="L32" s="17">
        <f>IF(OR($B32="",$H32=0),"",ROUND(AVERAGEIFS(nrES_Rec,nrES_PID,$B32,nrES_Type,"Final",nrES_Final,"Yes"),2))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f>
        <v/>
      </c>
      <c r="F33" s="17">
        <f>IF($B33="","",COUNTIFS(nrES_PID,$B33,nrES_Type,"Minor",nrES_Final,"Yes"))</f>
        <v/>
      </c>
      <c r="G33" s="17">
        <f>IF($B33="","",Spelling!Q33)</f>
        <v/>
      </c>
      <c r="H33" s="17">
        <f>IF($B33="","",COUNTIFS(nrES_PID,$B33,nrES_Type,"Final",nrES_Final,"Yes"))</f>
        <v/>
      </c>
      <c r="I33" s="17">
        <f>IF(OR($B33="",$E33=0),"",ROUND(AVERAGEIFS(nrES_Rec,nrES_PID,$B33,nrES_Type,"Major",nrES_Final,"Yes"),2))</f>
        <v/>
      </c>
      <c r="J33" s="17">
        <f>IF(OR($B33="",$F33=0),"",ROUND(AVERAGEIFS(nrES_Rec,nrES_PID,$B33,nrES_Type,"Minor",nrES_Final,"Yes"),2))</f>
        <v/>
      </c>
      <c r="K33" s="17">
        <f>IF($B33="","",Spelling!P33)</f>
        <v/>
      </c>
      <c r="L33" s="17">
        <f>IF(OR($B33="",$H33=0),"",ROUND(AVERAGEIFS(nrES_Rec,nrES_PID,$B33,nrES_Type,"Final",nrES_Final,"Yes"),2))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f>
        <v/>
      </c>
      <c r="F34" s="17">
        <f>IF($B34="","",COUNTIFS(nrES_PID,$B34,nrES_Type,"Minor",nrES_Final,"Yes"))</f>
        <v/>
      </c>
      <c r="G34" s="17">
        <f>IF($B34="","",Spelling!Q34)</f>
        <v/>
      </c>
      <c r="H34" s="17">
        <f>IF($B34="","",COUNTIFS(nrES_PID,$B34,nrES_Type,"Final",nrES_Final,"Yes"))</f>
        <v/>
      </c>
      <c r="I34" s="17">
        <f>IF(OR($B34="",$E34=0),"",ROUND(AVERAGEIFS(nrES_Rec,nrES_PID,$B34,nrES_Type,"Major",nrES_Final,"Yes"),2))</f>
        <v/>
      </c>
      <c r="J34" s="17">
        <f>IF(OR($B34="",$F34=0),"",ROUND(AVERAGEIFS(nrES_Rec,nrES_PID,$B34,nrES_Type,"Minor",nrES_Final,"Yes"),2))</f>
        <v/>
      </c>
      <c r="K34" s="17">
        <f>IF($B34="","",Spelling!P34)</f>
        <v/>
      </c>
      <c r="L34" s="17">
        <f>IF(OR($B34="",$H34=0),"",ROUND(AVERAGEIFS(nrES_Rec,nrES_PID,$B34,nrES_Type,"Final",nrES_Final,"Yes"),2))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f>
        <v/>
      </c>
      <c r="F35" s="17">
        <f>IF($B35="","",COUNTIFS(nrES_PID,$B35,nrES_Type,"Minor",nrES_Final,"Yes"))</f>
        <v/>
      </c>
      <c r="G35" s="17">
        <f>IF($B35="","",Spelling!Q35)</f>
        <v/>
      </c>
      <c r="H35" s="17">
        <f>IF($B35="","",COUNTIFS(nrES_PID,$B35,nrES_Type,"Final",nrES_Final,"Yes"))</f>
        <v/>
      </c>
      <c r="I35" s="17">
        <f>IF(OR($B35="",$E35=0),"",ROUND(AVERAGEIFS(nrES_Rec,nrES_PID,$B35,nrES_Type,"Major",nrES_Final,"Yes"),2))</f>
        <v/>
      </c>
      <c r="J35" s="17">
        <f>IF(OR($B35="",$F35=0),"",ROUND(AVERAGEIFS(nrES_Rec,nrES_PID,$B35,nrES_Type,"Minor",nrES_Final,"Yes"),2))</f>
        <v/>
      </c>
      <c r="K35" s="17">
        <f>IF($B35="","",Spelling!P35)</f>
        <v/>
      </c>
      <c r="L35" s="17">
        <f>IF(OR($B35="",$H35=0),"",ROUND(AVERAGEIFS(nrES_Rec,nrES_PID,$B35,nrES_Type,"Final",nrES_Final,"Yes"),2))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f>
        <v/>
      </c>
      <c r="F36" s="17">
        <f>IF($B36="","",COUNTIFS(nrES_PID,$B36,nrES_Type,"Minor",nrES_Final,"Yes"))</f>
        <v/>
      </c>
      <c r="G36" s="17">
        <f>IF($B36="","",Spelling!Q36)</f>
        <v/>
      </c>
      <c r="H36" s="17">
        <f>IF($B36="","",COUNTIFS(nrES_PID,$B36,nrES_Type,"Final",nrES_Final,"Yes"))</f>
        <v/>
      </c>
      <c r="I36" s="17">
        <f>IF(OR($B36="",$E36=0),"",ROUND(AVERAGEIFS(nrES_Rec,nrES_PID,$B36,nrES_Type,"Major",nrES_Final,"Yes"),2))</f>
        <v/>
      </c>
      <c r="J36" s="17">
        <f>IF(OR($B36="",$F36=0),"",ROUND(AVERAGEIFS(nrES_Rec,nrES_PID,$B36,nrES_Type,"Minor",nrES_Final,"Yes"),2))</f>
        <v/>
      </c>
      <c r="K36" s="17">
        <f>IF($B36="","",Spelling!P36)</f>
        <v/>
      </c>
      <c r="L36" s="17">
        <f>IF(OR($B36="",$H36=0),"",ROUND(AVERAGEIFS(nrES_Rec,nrES_PID,$B36,nrES_Type,"Final",nrES_Final,"Yes"),2))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f>
        <v/>
      </c>
      <c r="F37" s="17">
        <f>IF($B37="","",COUNTIFS(nrES_PID,$B37,nrES_Type,"Minor",nrES_Final,"Yes"))</f>
        <v/>
      </c>
      <c r="G37" s="17">
        <f>IF($B37="","",Spelling!Q37)</f>
        <v/>
      </c>
      <c r="H37" s="17">
        <f>IF($B37="","",COUNTIFS(nrES_PID,$B37,nrES_Type,"Final",nrES_Final,"Yes"))</f>
        <v/>
      </c>
      <c r="I37" s="17">
        <f>IF(OR($B37="",$E37=0),"",ROUND(AVERAGEIFS(nrES_Rec,nrES_PID,$B37,nrES_Type,"Major",nrES_Final,"Yes"),2))</f>
        <v/>
      </c>
      <c r="J37" s="17">
        <f>IF(OR($B37="",$F37=0),"",ROUND(AVERAGEIFS(nrES_Rec,nrES_PID,$B37,nrES_Type,"Minor",nrES_Final,"Yes"),2))</f>
        <v/>
      </c>
      <c r="K37" s="17">
        <f>IF($B37="","",Spelling!P37)</f>
        <v/>
      </c>
      <c r="L37" s="17">
        <f>IF(OR($B37="",$H37=0),"",ROUND(AVERAGEIFS(nrES_Rec,nrES_PID,$B37,nrES_Type,"Final",nrES_Final,"Yes"),2))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f>
        <v/>
      </c>
      <c r="F38" s="17">
        <f>IF($B38="","",COUNTIFS(nrES_PID,$B38,nrES_Type,"Minor",nrES_Final,"Yes"))</f>
        <v/>
      </c>
      <c r="G38" s="17">
        <f>IF($B38="","",Spelling!Q38)</f>
        <v/>
      </c>
      <c r="H38" s="17">
        <f>IF($B38="","",COUNTIFS(nrES_PID,$B38,nrES_Type,"Final",nrES_Final,"Yes"))</f>
        <v/>
      </c>
      <c r="I38" s="17">
        <f>IF(OR($B38="",$E38=0),"",ROUND(AVERAGEIFS(nrES_Rec,nrES_PID,$B38,nrES_Type,"Major",nrES_Final,"Yes"),2))</f>
        <v/>
      </c>
      <c r="J38" s="17">
        <f>IF(OR($B38="",$F38=0),"",ROUND(AVERAGEIFS(nrES_Rec,nrES_PID,$B38,nrES_Type,"Minor",nrES_Final,"Yes"),2))</f>
        <v/>
      </c>
      <c r="K38" s="17">
        <f>IF($B38="","",Spelling!P38)</f>
        <v/>
      </c>
      <c r="L38" s="17">
        <f>IF(OR($B38="",$H38=0),"",ROUND(AVERAGEIFS(nrES_Rec,nrES_PID,$B38,nrES_Type,"Final",nrES_Final,"Yes"),2))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f>
        <v/>
      </c>
      <c r="F39" s="17">
        <f>IF($B39="","",COUNTIFS(nrES_PID,$B39,nrES_Type,"Minor",nrES_Final,"Yes"))</f>
        <v/>
      </c>
      <c r="G39" s="17">
        <f>IF($B39="","",Spelling!Q39)</f>
        <v/>
      </c>
      <c r="H39" s="17">
        <f>IF($B39="","",COUNTIFS(nrES_PID,$B39,nrES_Type,"Final",nrES_Final,"Yes"))</f>
        <v/>
      </c>
      <c r="I39" s="17">
        <f>IF(OR($B39="",$E39=0),"",ROUND(AVERAGEIFS(nrES_Rec,nrES_PID,$B39,nrES_Type,"Major",nrES_Final,"Yes"),2))</f>
        <v/>
      </c>
      <c r="J39" s="17">
        <f>IF(OR($B39="",$F39=0),"",ROUND(AVERAGEIFS(nrES_Rec,nrES_PID,$B39,nrES_Type,"Minor",nrES_Final,"Yes"),2))</f>
        <v/>
      </c>
      <c r="K39" s="17">
        <f>IF($B39="","",Spelling!P39)</f>
        <v/>
      </c>
      <c r="L39" s="17">
        <f>IF(OR($B39="",$H39=0),"",ROUND(AVERAGEIFS(nrES_Rec,nrES_PID,$B39,nrES_Type,"Final",nrES_Final,"Yes"),2))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f>
        <v/>
      </c>
      <c r="F40" s="17">
        <f>IF($B40="","",COUNTIFS(nrES_PID,$B40,nrES_Type,"Minor",nrES_Final,"Yes"))</f>
        <v/>
      </c>
      <c r="G40" s="17">
        <f>IF($B40="","",Spelling!Q40)</f>
        <v/>
      </c>
      <c r="H40" s="17">
        <f>IF($B40="","",COUNTIFS(nrES_PID,$B40,nrES_Type,"Final",nrES_Final,"Yes"))</f>
        <v/>
      </c>
      <c r="I40" s="17">
        <f>IF(OR($B40="",$E40=0),"",ROUND(AVERAGEIFS(nrES_Rec,nrES_PID,$B40,nrES_Type,"Major",nrES_Final,"Yes"),2))</f>
        <v/>
      </c>
      <c r="J40" s="17">
        <f>IF(OR($B40="",$F40=0),"",ROUND(AVERAGEIFS(nrES_Rec,nrES_PID,$B40,nrES_Type,"Minor",nrES_Final,"Yes"),2))</f>
        <v/>
      </c>
      <c r="K40" s="17">
        <f>IF($B40="","",Spelling!P40)</f>
        <v/>
      </c>
      <c r="L40" s="17">
        <f>IF(OR($B40="",$H40=0),"",ROUND(AVERAGEIFS(nrES_Rec,nrES_PID,$B40,nrES_Type,"Final",nrES_Final,"Yes"),2))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f>
        <v/>
      </c>
      <c r="F41" s="17">
        <f>IF($B41="","",COUNTIFS(nrES_PID,$B41,nrES_Type,"Minor",nrES_Final,"Yes"))</f>
        <v/>
      </c>
      <c r="G41" s="17">
        <f>IF($B41="","",Spelling!Q41)</f>
        <v/>
      </c>
      <c r="H41" s="17">
        <f>IF($B41="","",COUNTIFS(nrES_PID,$B41,nrES_Type,"Final",nrES_Final,"Yes"))</f>
        <v/>
      </c>
      <c r="I41" s="17">
        <f>IF(OR($B41="",$E41=0),"",ROUND(AVERAGEIFS(nrES_Rec,nrES_PID,$B41,nrES_Type,"Major",nrES_Final,"Yes"),2))</f>
        <v/>
      </c>
      <c r="J41" s="17">
        <f>IF(OR($B41="",$F41=0),"",ROUND(AVERAGEIFS(nrES_Rec,nrES_PID,$B41,nrES_Type,"Minor",nrES_Final,"Yes"),2))</f>
        <v/>
      </c>
      <c r="K41" s="17">
        <f>IF($B41="","",Spelling!P41)</f>
        <v/>
      </c>
      <c r="L41" s="17">
        <f>IF(OR($B41="",$H41=0),"",ROUND(AVERAGEIFS(nrES_Rec,nrES_PID,$B41,nrES_Type,"Final",nrES_Final,"Yes"),2))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f>
        <v/>
      </c>
      <c r="F42" s="17">
        <f>IF($B42="","",COUNTIFS(nrES_PID,$B42,nrES_Type,"Minor",nrES_Final,"Yes"))</f>
        <v/>
      </c>
      <c r="G42" s="17">
        <f>IF($B42="","",Spelling!Q42)</f>
        <v/>
      </c>
      <c r="H42" s="17">
        <f>IF($B42="","",COUNTIFS(nrES_PID,$B42,nrES_Type,"Final",nrES_Final,"Yes"))</f>
        <v/>
      </c>
      <c r="I42" s="17">
        <f>IF(OR($B42="",$E42=0),"",ROUND(AVERAGEIFS(nrES_Rec,nrES_PID,$B42,nrES_Type,"Major",nrES_Final,"Yes"),2))</f>
        <v/>
      </c>
      <c r="J42" s="17">
        <f>IF(OR($B42="",$F42=0),"",ROUND(AVERAGEIFS(nrES_Rec,nrES_PID,$B42,nrES_Type,"Minor",nrES_Final,"Yes"),2))</f>
        <v/>
      </c>
      <c r="K42" s="17">
        <f>IF($B42="","",Spelling!P42)</f>
        <v/>
      </c>
      <c r="L42" s="17">
        <f>IF(OR($B42="",$H42=0),"",ROUND(AVERAGEIFS(nrES_Rec,nrES_PID,$B42,nrES_Type,"Final",nrES_Final,"Yes"),2))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f>
        <v/>
      </c>
      <c r="F43" s="17">
        <f>IF($B43="","",COUNTIFS(nrES_PID,$B43,nrES_Type,"Minor",nrES_Final,"Yes"))</f>
        <v/>
      </c>
      <c r="G43" s="17">
        <f>IF($B43="","",Spelling!Q43)</f>
        <v/>
      </c>
      <c r="H43" s="17">
        <f>IF($B43="","",COUNTIFS(nrES_PID,$B43,nrES_Type,"Final",nrES_Final,"Yes"))</f>
        <v/>
      </c>
      <c r="I43" s="17">
        <f>IF(OR($B43="",$E43=0),"",ROUND(AVERAGEIFS(nrES_Rec,nrES_PID,$B43,nrES_Type,"Major",nrES_Final,"Yes"),2))</f>
        <v/>
      </c>
      <c r="J43" s="17">
        <f>IF(OR($B43="",$F43=0),"",ROUND(AVERAGEIFS(nrES_Rec,nrES_PID,$B43,nrES_Type,"Minor",nrES_Final,"Yes"),2))</f>
        <v/>
      </c>
      <c r="K43" s="17">
        <f>IF($B43="","",Spelling!P43)</f>
        <v/>
      </c>
      <c r="L43" s="17">
        <f>IF(OR($B43="",$H43=0),"",ROUND(AVERAGEIFS(nrES_Rec,nrES_PID,$B43,nrES_Type,"Final",nrES_Final,"Yes"),2))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f>
        <v/>
      </c>
      <c r="F44" s="17">
        <f>IF($B44="","",COUNTIFS(nrES_PID,$B44,nrES_Type,"Minor",nrES_Final,"Yes"))</f>
        <v/>
      </c>
      <c r="G44" s="17">
        <f>IF($B44="","",Spelling!Q44)</f>
        <v/>
      </c>
      <c r="H44" s="17">
        <f>IF($B44="","",COUNTIFS(nrES_PID,$B44,nrES_Type,"Final",nrES_Final,"Yes"))</f>
        <v/>
      </c>
      <c r="I44" s="17">
        <f>IF(OR($B44="",$E44=0),"",ROUND(AVERAGEIFS(nrES_Rec,nrES_PID,$B44,nrES_Type,"Major",nrES_Final,"Yes"),2))</f>
        <v/>
      </c>
      <c r="J44" s="17">
        <f>IF(OR($B44="",$F44=0),"",ROUND(AVERAGEIFS(nrES_Rec,nrES_PID,$B44,nrES_Type,"Minor",nrES_Final,"Yes"),2))</f>
        <v/>
      </c>
      <c r="K44" s="17">
        <f>IF($B44="","",Spelling!P44)</f>
        <v/>
      </c>
      <c r="L44" s="17">
        <f>IF(OR($B44="",$H44=0),"",ROUND(AVERAGEIFS(nrES_Rec,nrES_PID,$B44,nrES_Type,"Final",nrES_Final,"Yes"),2))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f>
        <v/>
      </c>
      <c r="F45" s="17">
        <f>IF($B45="","",COUNTIFS(nrES_PID,$B45,nrES_Type,"Minor",nrES_Final,"Yes"))</f>
        <v/>
      </c>
      <c r="G45" s="17">
        <f>IF($B45="","",Spelling!Q45)</f>
        <v/>
      </c>
      <c r="H45" s="17">
        <f>IF($B45="","",COUNTIFS(nrES_PID,$B45,nrES_Type,"Final",nrES_Final,"Yes"))</f>
        <v/>
      </c>
      <c r="I45" s="17">
        <f>IF(OR($B45="",$E45=0),"",ROUND(AVERAGEIFS(nrES_Rec,nrES_PID,$B45,nrES_Type,"Major",nrES_Final,"Yes"),2))</f>
        <v/>
      </c>
      <c r="J45" s="17">
        <f>IF(OR($B45="",$F45=0),"",ROUND(AVERAGEIFS(nrES_Rec,nrES_PID,$B45,nrES_Type,"Minor",nrES_Final,"Yes"),2))</f>
        <v/>
      </c>
      <c r="K45" s="17">
        <f>IF($B45="","",Spelling!P45)</f>
        <v/>
      </c>
      <c r="L45" s="17">
        <f>IF(OR($B45="",$H45=0),"",ROUND(AVERAGEIFS(nrES_Rec,nrES_PID,$B45,nrES_Type,"Final",nrES_Final,"Yes"),2))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f>
        <v/>
      </c>
      <c r="F46" s="17">
        <f>IF($B46="","",COUNTIFS(nrES_PID,$B46,nrES_Type,"Minor",nrES_Final,"Yes"))</f>
        <v/>
      </c>
      <c r="G46" s="17">
        <f>IF($B46="","",Spelling!Q46)</f>
        <v/>
      </c>
      <c r="H46" s="17">
        <f>IF($B46="","",COUNTIFS(nrES_PID,$B46,nrES_Type,"Final",nrES_Final,"Yes"))</f>
        <v/>
      </c>
      <c r="I46" s="17">
        <f>IF(OR($B46="",$E46=0),"",ROUND(AVERAGEIFS(nrES_Rec,nrES_PID,$B46,nrES_Type,"Major",nrES_Final,"Yes"),2))</f>
        <v/>
      </c>
      <c r="J46" s="17">
        <f>IF(OR($B46="",$F46=0),"",ROUND(AVERAGEIFS(nrES_Rec,nrES_PID,$B46,nrES_Type,"Minor",nrES_Final,"Yes"),2))</f>
        <v/>
      </c>
      <c r="K46" s="17">
        <f>IF($B46="","",Spelling!P46)</f>
        <v/>
      </c>
      <c r="L46" s="17">
        <f>IF(OR($B46="",$H46=0),"",ROUND(AVERAGEIFS(nrES_Rec,nrES_PID,$B46,nrES_Type,"Final",nrES_Final,"Yes"),2))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f>
        <v/>
      </c>
      <c r="F47" s="17">
        <f>IF($B47="","",COUNTIFS(nrES_PID,$B47,nrES_Type,"Minor",nrES_Final,"Yes"))</f>
        <v/>
      </c>
      <c r="G47" s="17">
        <f>IF($B47="","",Spelling!Q47)</f>
        <v/>
      </c>
      <c r="H47" s="17">
        <f>IF($B47="","",COUNTIFS(nrES_PID,$B47,nrES_Type,"Final",nrES_Final,"Yes"))</f>
        <v/>
      </c>
      <c r="I47" s="17">
        <f>IF(OR($B47="",$E47=0),"",ROUND(AVERAGEIFS(nrES_Rec,nrES_PID,$B47,nrES_Type,"Major",nrES_Final,"Yes"),2))</f>
        <v/>
      </c>
      <c r="J47" s="17">
        <f>IF(OR($B47="",$F47=0),"",ROUND(AVERAGEIFS(nrES_Rec,nrES_PID,$B47,nrES_Type,"Minor",nrES_Final,"Yes"),2))</f>
        <v/>
      </c>
      <c r="K47" s="17">
        <f>IF($B47="","",Spelling!P47)</f>
        <v/>
      </c>
      <c r="L47" s="17">
        <f>IF(OR($B47="",$H47=0),"",ROUND(AVERAGEIFS(nrES_Rec,nrES_PID,$B47,nrES_Type,"Final",nrES_Final,"Yes"),2))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f>
        <v/>
      </c>
      <c r="F48" s="17">
        <f>IF($B48="","",COUNTIFS(nrES_PID,$B48,nrES_Type,"Minor",nrES_Final,"Yes"))</f>
        <v/>
      </c>
      <c r="G48" s="17">
        <f>IF($B48="","",Spelling!Q48)</f>
        <v/>
      </c>
      <c r="H48" s="17">
        <f>IF($B48="","",COUNTIFS(nrES_PID,$B48,nrES_Type,"Final",nrES_Final,"Yes"))</f>
        <v/>
      </c>
      <c r="I48" s="17">
        <f>IF(OR($B48="",$E48=0),"",ROUND(AVERAGEIFS(nrES_Rec,nrES_PID,$B48,nrES_Type,"Major",nrES_Final,"Yes"),2))</f>
        <v/>
      </c>
      <c r="J48" s="17">
        <f>IF(OR($B48="",$F48=0),"",ROUND(AVERAGEIFS(nrES_Rec,nrES_PID,$B48,nrES_Type,"Minor",nrES_Final,"Yes"),2))</f>
        <v/>
      </c>
      <c r="K48" s="17">
        <f>IF($B48="","",Spelling!P48)</f>
        <v/>
      </c>
      <c r="L48" s="17">
        <f>IF(OR($B48="",$H48=0),"",ROUND(AVERAGEIFS(nrES_Rec,nrES_PID,$B48,nrES_Type,"Final",nrES_Final,"Yes"),2))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f>
        <v/>
      </c>
      <c r="F49" s="17">
        <f>IF($B49="","",COUNTIFS(nrES_PID,$B49,nrES_Type,"Minor",nrES_Final,"Yes"))</f>
        <v/>
      </c>
      <c r="G49" s="17">
        <f>IF($B49="","",Spelling!Q49)</f>
        <v/>
      </c>
      <c r="H49" s="17">
        <f>IF($B49="","",COUNTIFS(nrES_PID,$B49,nrES_Type,"Final",nrES_Final,"Yes"))</f>
        <v/>
      </c>
      <c r="I49" s="17">
        <f>IF(OR($B49="",$E49=0),"",ROUND(AVERAGEIFS(nrES_Rec,nrES_PID,$B49,nrES_Type,"Major",nrES_Final,"Yes"),2))</f>
        <v/>
      </c>
      <c r="J49" s="17">
        <f>IF(OR($B49="",$F49=0),"",ROUND(AVERAGEIFS(nrES_Rec,nrES_PID,$B49,nrES_Type,"Minor",nrES_Final,"Yes"),2))</f>
        <v/>
      </c>
      <c r="K49" s="17">
        <f>IF($B49="","",Spelling!P49)</f>
        <v/>
      </c>
      <c r="L49" s="17">
        <f>IF(OR($B49="",$H49=0),"",ROUND(AVERAGEIFS(nrES_Rec,nrES_PID,$B49,nrES_Type,"Final",nrES_Final,"Yes"),2))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f>
        <v/>
      </c>
      <c r="F50" s="17">
        <f>IF($B50="","",COUNTIFS(nrES_PID,$B50,nrES_Type,"Minor",nrES_Final,"Yes"))</f>
        <v/>
      </c>
      <c r="G50" s="17">
        <f>IF($B50="","",Spelling!Q50)</f>
        <v/>
      </c>
      <c r="H50" s="17">
        <f>IF($B50="","",COUNTIFS(nrES_PID,$B50,nrES_Type,"Final",nrES_Final,"Yes"))</f>
        <v/>
      </c>
      <c r="I50" s="17">
        <f>IF(OR($B50="",$E50=0),"",ROUND(AVERAGEIFS(nrES_Rec,nrES_PID,$B50,nrES_Type,"Major",nrES_Final,"Yes"),2))</f>
        <v/>
      </c>
      <c r="J50" s="17">
        <f>IF(OR($B50="",$F50=0),"",ROUND(AVERAGEIFS(nrES_Rec,nrES_PID,$B50,nrES_Type,"Minor",nrES_Final,"Yes"),2))</f>
        <v/>
      </c>
      <c r="K50" s="17">
        <f>IF($B50="","",Spelling!P50)</f>
        <v/>
      </c>
      <c r="L50" s="17">
        <f>IF(OR($B50="",$H50=0),"",ROUND(AVERAGEIFS(nrES_Rec,nrES_PID,$B50,nrES_Type,"Final",nrES_Final,"Yes"),2))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f>
        <v/>
      </c>
      <c r="F51" s="17">
        <f>IF($B51="","",COUNTIFS(nrES_PID,$B51,nrES_Type,"Minor",nrES_Final,"Yes"))</f>
        <v/>
      </c>
      <c r="G51" s="17">
        <f>IF($B51="","",Spelling!Q51)</f>
        <v/>
      </c>
      <c r="H51" s="17">
        <f>IF($B51="","",COUNTIFS(nrES_PID,$B51,nrES_Type,"Final",nrES_Final,"Yes"))</f>
        <v/>
      </c>
      <c r="I51" s="17">
        <f>IF(OR($B51="",$E51=0),"",ROUND(AVERAGEIFS(nrES_Rec,nrES_PID,$B51,nrES_Type,"Major",nrES_Final,"Yes"),2))</f>
        <v/>
      </c>
      <c r="J51" s="17">
        <f>IF(OR($B51="",$F51=0),"",ROUND(AVERAGEIFS(nrES_Rec,nrES_PID,$B51,nrES_Type,"Minor",nrES_Final,"Yes"),2))</f>
        <v/>
      </c>
      <c r="K51" s="17">
        <f>IF($B51="","",Spelling!P51)</f>
        <v/>
      </c>
      <c r="L51" s="17">
        <f>IF(OR($B51="",$H51=0),"",ROUND(AVERAGEIFS(nrES_Rec,nrES_PID,$B51,nrES_Type,"Final",nrES_Final,"Yes"),2))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f>
        <v/>
      </c>
      <c r="F52" s="17">
        <f>IF($B52="","",COUNTIFS(nrES_PID,$B52,nrES_Type,"Minor",nrES_Final,"Yes"))</f>
        <v/>
      </c>
      <c r="G52" s="17">
        <f>IF($B52="","",Spelling!Q52)</f>
        <v/>
      </c>
      <c r="H52" s="17">
        <f>IF($B52="","",COUNTIFS(nrES_PID,$B52,nrES_Type,"Final",nrES_Final,"Yes"))</f>
        <v/>
      </c>
      <c r="I52" s="17">
        <f>IF(OR($B52="",$E52=0),"",ROUND(AVERAGEIFS(nrES_Rec,nrES_PID,$B52,nrES_Type,"Major",nrES_Final,"Yes"),2))</f>
        <v/>
      </c>
      <c r="J52" s="17">
        <f>IF(OR($B52="",$F52=0),"",ROUND(AVERAGEIFS(nrES_Rec,nrES_PID,$B52,nrES_Type,"Minor",nrES_Final,"Yes"),2))</f>
        <v/>
      </c>
      <c r="K52" s="17">
        <f>IF($B52="","",Spelling!P52)</f>
        <v/>
      </c>
      <c r="L52" s="17">
        <f>IF(OR($B52="",$H52=0),"",ROUND(AVERAGEIFS(nrES_Rec,nrES_PID,$B52,nrES_Type,"Final",nrES_Final,"Yes"),2))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f>
        <v/>
      </c>
      <c r="F53" s="17">
        <f>IF($B53="","",COUNTIFS(nrES_PID,$B53,nrES_Type,"Minor",nrES_Final,"Yes"))</f>
        <v/>
      </c>
      <c r="G53" s="17">
        <f>IF($B53="","",Spelling!Q53)</f>
        <v/>
      </c>
      <c r="H53" s="17">
        <f>IF($B53="","",COUNTIFS(nrES_PID,$B53,nrES_Type,"Final",nrES_Final,"Yes"))</f>
        <v/>
      </c>
      <c r="I53" s="17">
        <f>IF(OR($B53="",$E53=0),"",ROUND(AVERAGEIFS(nrES_Rec,nrES_PID,$B53,nrES_Type,"Major",nrES_Final,"Yes"),2))</f>
        <v/>
      </c>
      <c r="J53" s="17">
        <f>IF(OR($B53="",$F53=0),"",ROUND(AVERAGEIFS(nrES_Rec,nrES_PID,$B53,nrES_Type,"Minor",nrES_Final,"Yes"),2))</f>
        <v/>
      </c>
      <c r="K53" s="17">
        <f>IF($B53="","",Spelling!P53)</f>
        <v/>
      </c>
      <c r="L53" s="17">
        <f>IF(OR($B53="",$H53=0),"",ROUND(AVERAGEIFS(nrES_Rec,nrES_PID,$B53,nrES_Type,"Final",nrES_Final,"Yes"),2))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f>
        <v/>
      </c>
      <c r="F54" s="17">
        <f>IF($B54="","",COUNTIFS(nrES_PID,$B54,nrES_Type,"Minor",nrES_Final,"Yes"))</f>
        <v/>
      </c>
      <c r="G54" s="17">
        <f>IF($B54="","",Spelling!Q54)</f>
        <v/>
      </c>
      <c r="H54" s="17">
        <f>IF($B54="","",COUNTIFS(nrES_PID,$B54,nrES_Type,"Final",nrES_Final,"Yes"))</f>
        <v/>
      </c>
      <c r="I54" s="17">
        <f>IF(OR($B54="",$E54=0),"",ROUND(AVERAGEIFS(nrES_Rec,nrES_PID,$B54,nrES_Type,"Major",nrES_Final,"Yes"),2))</f>
        <v/>
      </c>
      <c r="J54" s="17">
        <f>IF(OR($B54="",$F54=0),"",ROUND(AVERAGEIFS(nrES_Rec,nrES_PID,$B54,nrES_Type,"Minor",nrES_Final,"Yes"),2))</f>
        <v/>
      </c>
      <c r="K54" s="17">
        <f>IF($B54="","",Spelling!P54)</f>
        <v/>
      </c>
      <c r="L54" s="17">
        <f>IF(OR($B54="",$H54=0),"",ROUND(AVERAGEIFS(nrES_Rec,nrES_PID,$B54,nrES_Type,"Final",nrES_Final,"Yes"),2))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f>
        <v/>
      </c>
      <c r="F55" s="17">
        <f>IF($B55="","",COUNTIFS(nrES_PID,$B55,nrES_Type,"Minor",nrES_Final,"Yes"))</f>
        <v/>
      </c>
      <c r="G55" s="17">
        <f>IF($B55="","",Spelling!Q55)</f>
        <v/>
      </c>
      <c r="H55" s="17">
        <f>IF($B55="","",COUNTIFS(nrES_PID,$B55,nrES_Type,"Final",nrES_Final,"Yes"))</f>
        <v/>
      </c>
      <c r="I55" s="17">
        <f>IF(OR($B55="",$E55=0),"",ROUND(AVERAGEIFS(nrES_Rec,nrES_PID,$B55,nrES_Type,"Major",nrES_Final,"Yes"),2))</f>
        <v/>
      </c>
      <c r="J55" s="17">
        <f>IF(OR($B55="",$F55=0),"",ROUND(AVERAGEIFS(nrES_Rec,nrES_PID,$B55,nrES_Type,"Minor",nrES_Final,"Yes"),2))</f>
        <v/>
      </c>
      <c r="K55" s="17">
        <f>IF($B55="","",Spelling!P55)</f>
        <v/>
      </c>
      <c r="L55" s="17">
        <f>IF(OR($B55="",$H55=0),"",ROUND(AVERAGEIFS(nrES_Rec,nrES_PID,$B55,nrES_Type,"Final",nrES_Final,"Yes"),2))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Owed' = missed minutes not yet made up — must reach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IF($B6="","",SUMIFS(nrMK_Min,nrMK_PID,$B6,nrMK_Credit,"Yes",nrMK_Type,"Classroom"))</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IF($B6="","",SUMIFS(nrMK_Sess,nrMK_PID,$B6,nrMK_Credit,"Yes",nrMK_Type,"PT"))</f>
        <v/>
      </c>
      <c r="O6" s="17">
        <f>IF($B6="","",MAX(0,$M6-$N6))</f>
        <v/>
      </c>
      <c r="P6" s="17">
        <f>IF($B6="","",cfgPTCapSessions)</f>
        <v/>
      </c>
      <c r="Q6" s="17">
        <f>IF($B6="","",IF($P6=0,0,$O6/$P6))</f>
        <v/>
      </c>
      <c r="R6" s="17">
        <f>IF($B6="","",IF($Q6&gt;=1,"At Cap",IF($Q6&gt;=cfgAttendanceCriticalPct,"Critical",IF($Q6&gt;=cfgAttendanceAdvisoryPct,"Advisory","OK"))))</f>
        <v/>
      </c>
      <c r="S6" s="17">
        <f>IF($B6="","",IF($P6=0,"Yes",IF($O6&lt;$P6,"Yes","No")))</f>
        <v/>
      </c>
      <c r="T6" s="17">
        <f>IF($B6="","",IF($L6=0,"Yes","No"))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IF($B7="","",SUMIFS(nrMK_Min,nrMK_PID,$B7,nrMK_Credit,"Yes",nrMK_Type,"Classroom"))</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IF($B7="","",SUMIFS(nrMK_Sess,nrMK_PID,$B7,nrMK_Credit,"Yes",nrMK_Type,"PT"))</f>
        <v/>
      </c>
      <c r="O7" s="17">
        <f>IF($B7="","",MAX(0,$M7-$N7))</f>
        <v/>
      </c>
      <c r="P7" s="17">
        <f>IF($B7="","",cfgPTCapSessions)</f>
        <v/>
      </c>
      <c r="Q7" s="17">
        <f>IF($B7="","",IF($P7=0,0,$O7/$P7))</f>
        <v/>
      </c>
      <c r="R7" s="17">
        <f>IF($B7="","",IF($Q7&gt;=1,"At Cap",IF($Q7&gt;=cfgAttendanceCriticalPct,"Critical",IF($Q7&gt;=cfgAttendanceAdvisoryPct,"Advisory","OK"))))</f>
        <v/>
      </c>
      <c r="S7" s="17">
        <f>IF($B7="","",IF($P7=0,"Yes",IF($O7&lt;$P7,"Yes","No")))</f>
        <v/>
      </c>
      <c r="T7" s="17">
        <f>IF($B7="","",IF($L7=0,"Yes","No"))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IF($B8="","",SUMIFS(nrMK_Min,nrMK_PID,$B8,nrMK_Credit,"Yes",nrMK_Type,"Classroom"))</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IF($B8="","",SUMIFS(nrMK_Sess,nrMK_PID,$B8,nrMK_Credit,"Yes",nrMK_Type,"PT"))</f>
        <v/>
      </c>
      <c r="O8" s="17">
        <f>IF($B8="","",MAX(0,$M8-$N8))</f>
        <v/>
      </c>
      <c r="P8" s="17">
        <f>IF($B8="","",cfgPTCapSessions)</f>
        <v/>
      </c>
      <c r="Q8" s="17">
        <f>IF($B8="","",IF($P8=0,0,$O8/$P8))</f>
        <v/>
      </c>
      <c r="R8" s="17">
        <f>IF($B8="","",IF($Q8&gt;=1,"At Cap",IF($Q8&gt;=cfgAttendanceCriticalPct,"Critical",IF($Q8&gt;=cfgAttendanceAdvisoryPct,"Advisory","OK"))))</f>
        <v/>
      </c>
      <c r="S8" s="17">
        <f>IF($B8="","",IF($P8=0,"Yes",IF($O8&lt;$P8,"Yes","No")))</f>
        <v/>
      </c>
      <c r="T8" s="17">
        <f>IF($B8="","",IF($L8=0,"Yes","No"))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IF($B9="","",SUMIFS(nrMK_Min,nrMK_PID,$B9,nrMK_Credit,"Yes",nrMK_Type,"Classroom"))</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IF($B9="","",SUMIFS(nrMK_Sess,nrMK_PID,$B9,nrMK_Credit,"Yes",nrMK_Type,"PT"))</f>
        <v/>
      </c>
      <c r="O9" s="17">
        <f>IF($B9="","",MAX(0,$M9-$N9))</f>
        <v/>
      </c>
      <c r="P9" s="17">
        <f>IF($B9="","",cfgPTCapSessions)</f>
        <v/>
      </c>
      <c r="Q9" s="17">
        <f>IF($B9="","",IF($P9=0,0,$O9/$P9))</f>
        <v/>
      </c>
      <c r="R9" s="17">
        <f>IF($B9="","",IF($Q9&gt;=1,"At Cap",IF($Q9&gt;=cfgAttendanceCriticalPct,"Critical",IF($Q9&gt;=cfgAttendanceAdvisoryPct,"Advisory","OK"))))</f>
        <v/>
      </c>
      <c r="S9" s="17">
        <f>IF($B9="","",IF($P9=0,"Yes",IF($O9&lt;$P9,"Yes","No")))</f>
        <v/>
      </c>
      <c r="T9" s="17">
        <f>IF($B9="","",IF($L9=0,"Yes","No"))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IF($B10="","",SUMIFS(nrMK_Min,nrMK_PID,$B10,nrMK_Credit,"Yes",nrMK_Type,"Classroom"))</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IF($B10="","",SUMIFS(nrMK_Sess,nrMK_PID,$B10,nrMK_Credit,"Yes",nrMK_Type,"PT"))</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IF($B10="","",IF($L10=0,"Yes","No"))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IF($B11="","",SUMIFS(nrMK_Min,nrMK_PID,$B11,nrMK_Credit,"Yes",nrMK_Type,"Classroom"))</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IF($B11="","",SUMIFS(nrMK_Sess,nrMK_PID,$B11,nrMK_Credit,"Yes",nrMK_Type,"PT"))</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IF($B11="","",IF($L11=0,"Yes","No"))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IF($B12="","",SUMIFS(nrMK_Min,nrMK_PID,$B12,nrMK_Credit,"Yes",nrMK_Type,"Classroom"))</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IF($B12="","",SUMIFS(nrMK_Sess,nrMK_PID,$B12,nrMK_Credit,"Yes",nrMK_Type,"PT"))</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IF($B12="","",IF($L12=0,"Yes","No"))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IF($B13="","",SUMIFS(nrMK_Min,nrMK_PID,$B13,nrMK_Credit,"Yes",nrMK_Type,"Classroom"))</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IF($B13="","",SUMIFS(nrMK_Sess,nrMK_PID,$B13,nrMK_Credit,"Yes",nrMK_Type,"PT"))</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IF($B13="","",IF($L13=0,"Yes","No"))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IF($B14="","",SUMIFS(nrMK_Min,nrMK_PID,$B14,nrMK_Credit,"Yes",nrMK_Type,"Classroom"))</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IF($B14="","",SUMIFS(nrMK_Sess,nrMK_PID,$B14,nrMK_Credit,"Yes",nrMK_Type,"PT"))</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IF($B14="","",IF($L14=0,"Yes","No"))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IF($B15="","",SUMIFS(nrMK_Min,nrMK_PID,$B15,nrMK_Credit,"Yes",nrMK_Type,"Classroom"))</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IF($B15="","",SUMIFS(nrMK_Sess,nrMK_PID,$B15,nrMK_Credit,"Yes",nrMK_Type,"PT"))</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IF($B15="","",IF($L15=0,"Yes","No"))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IF($B16="","",SUMIFS(nrMK_Min,nrMK_PID,$B16,nrMK_Credit,"Yes",nrMK_Type,"Classroom"))</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IF($B16="","",SUMIFS(nrMK_Sess,nrMK_PID,$B16,nrMK_Credit,"Yes",nrMK_Type,"PT"))</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IF($B16="","",IF($L16=0,"Yes","No"))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IF($B17="","",SUMIFS(nrMK_Min,nrMK_PID,$B17,nrMK_Credit,"Yes",nrMK_Type,"Classroom"))</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IF($B17="","",SUMIFS(nrMK_Sess,nrMK_PID,$B17,nrMK_Credit,"Yes",nrMK_Type,"PT"))</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IF($B17="","",IF($L17=0,"Yes","No"))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IF($B18="","",SUMIFS(nrMK_Min,nrMK_PID,$B18,nrMK_Credit,"Yes",nrMK_Type,"Classroom"))</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IF($B18="","",SUMIFS(nrMK_Sess,nrMK_PID,$B18,nrMK_Credit,"Yes",nrMK_Type,"PT"))</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IF($B18="","",IF($L18=0,"Yes","No"))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IF($B19="","",SUMIFS(nrMK_Min,nrMK_PID,$B19,nrMK_Credit,"Yes",nrMK_Type,"Classroom"))</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IF($B19="","",SUMIFS(nrMK_Sess,nrMK_PID,$B19,nrMK_Credit,"Yes",nrMK_Type,"PT"))</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IF($B19="","",IF($L19=0,"Yes","No"))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IF($B20="","",SUMIFS(nrMK_Min,nrMK_PID,$B20,nrMK_Credit,"Yes",nrMK_Type,"Classroom"))</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IF($B20="","",SUMIFS(nrMK_Sess,nrMK_PID,$B20,nrMK_Credit,"Yes",nrMK_Type,"PT"))</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IF($B20="","",IF($L20=0,"Yes","No"))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IF($B21="","",SUMIFS(nrMK_Min,nrMK_PID,$B21,nrMK_Credit,"Yes",nrMK_Type,"Classroom"))</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IF($B21="","",SUMIFS(nrMK_Sess,nrMK_PID,$B21,nrMK_Credit,"Yes",nrMK_Type,"PT"))</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IF($B21="","",IF($L21=0,"Yes","No"))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IF($B22="","",SUMIFS(nrMK_Min,nrMK_PID,$B22,nrMK_Credit,"Yes",nrMK_Type,"Classroom"))</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IF($B22="","",SUMIFS(nrMK_Sess,nrMK_PID,$B22,nrMK_Credit,"Yes",nrMK_Type,"PT"))</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IF($B22="","",IF($L22=0,"Yes","No"))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IF($B23="","",SUMIFS(nrMK_Min,nrMK_PID,$B23,nrMK_Credit,"Yes",nrMK_Type,"Classroom"))</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IF($B23="","",SUMIFS(nrMK_Sess,nrMK_PID,$B23,nrMK_Credit,"Yes",nrMK_Type,"PT"))</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IF($B23="","",IF($L23=0,"Yes","No"))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IF($B24="","",SUMIFS(nrMK_Min,nrMK_PID,$B24,nrMK_Credit,"Yes",nrMK_Type,"Classroom"))</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IF($B24="","",SUMIFS(nrMK_Sess,nrMK_PID,$B24,nrMK_Credit,"Yes",nrMK_Type,"PT"))</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IF($B24="","",IF($L24=0,"Yes","No"))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IF($B25="","",SUMIFS(nrMK_Min,nrMK_PID,$B25,nrMK_Credit,"Yes",nrMK_Type,"Classroom"))</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IF($B25="","",SUMIFS(nrMK_Sess,nrMK_PID,$B25,nrMK_Credit,"Yes",nrMK_Type,"PT"))</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IF($B25="","",IF($L25=0,"Yes","No"))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IF($B26="","",SUMIFS(nrMK_Min,nrMK_PID,$B26,nrMK_Credit,"Yes",nrMK_Type,"Classroom"))</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IF($B26="","",SUMIFS(nrMK_Sess,nrMK_PID,$B26,nrMK_Credit,"Yes",nrMK_Type,"PT"))</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IF($B26="","",IF($L26=0,"Yes","No"))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IF($B27="","",SUMIFS(nrMK_Min,nrMK_PID,$B27,nrMK_Credit,"Yes",nrMK_Type,"Classroom"))</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IF($B27="","",SUMIFS(nrMK_Sess,nrMK_PID,$B27,nrMK_Credit,"Yes",nrMK_Type,"PT"))</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IF($B27="","",IF($L27=0,"Yes","No"))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IF($B28="","",SUMIFS(nrMK_Min,nrMK_PID,$B28,nrMK_Credit,"Yes",nrMK_Type,"Classroom"))</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IF($B28="","",SUMIFS(nrMK_Sess,nrMK_PID,$B28,nrMK_Credit,"Yes",nrMK_Type,"PT"))</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IF($B28="","",IF($L28=0,"Yes","No"))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IF($B29="","",SUMIFS(nrMK_Min,nrMK_PID,$B29,nrMK_Credit,"Yes",nrMK_Type,"Classroom"))</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IF($B29="","",SUMIFS(nrMK_Sess,nrMK_PID,$B29,nrMK_Credit,"Yes",nrMK_Type,"PT"))</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IF($B29="","",IF($L29=0,"Yes","No"))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IF($B30="","",SUMIFS(nrMK_Min,nrMK_PID,$B30,nrMK_Credit,"Yes",nrMK_Type,"Classroom"))</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IF($B30="","",SUMIFS(nrMK_Sess,nrMK_PID,$B30,nrMK_Credit,"Yes",nrMK_Type,"PT"))</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IF($B30="","",IF($L30=0,"Yes","No"))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IF($B31="","",SUMIFS(nrMK_Min,nrMK_PID,$B31,nrMK_Credit,"Yes",nrMK_Type,"Classroom"))</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IF($B31="","",SUMIFS(nrMK_Sess,nrMK_PID,$B31,nrMK_Credit,"Yes",nrMK_Type,"PT"))</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IF($B31="","",IF($L31=0,"Yes","No"))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IF($B32="","",SUMIFS(nrMK_Min,nrMK_PID,$B32,nrMK_Credit,"Yes",nrMK_Type,"Classroom"))</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IF($B32="","",SUMIFS(nrMK_Sess,nrMK_PID,$B32,nrMK_Credit,"Yes",nrMK_Type,"PT"))</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IF($B32="","",IF($L32=0,"Yes","No"))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IF($B33="","",SUMIFS(nrMK_Min,nrMK_PID,$B33,nrMK_Credit,"Yes",nrMK_Type,"Classroom"))</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IF($B33="","",SUMIFS(nrMK_Sess,nrMK_PID,$B33,nrMK_Credit,"Yes",nrMK_Type,"PT"))</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IF($B33="","",IF($L33=0,"Yes","No"))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IF($B34="","",SUMIFS(nrMK_Min,nrMK_PID,$B34,nrMK_Credit,"Yes",nrMK_Type,"Classroom"))</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IF($B34="","",SUMIFS(nrMK_Sess,nrMK_PID,$B34,nrMK_Credit,"Yes",nrMK_Type,"PT"))</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IF($B34="","",IF($L34=0,"Yes","No"))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IF($B35="","",SUMIFS(nrMK_Min,nrMK_PID,$B35,nrMK_Credit,"Yes",nrMK_Type,"Classroom"))</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IF($B35="","",SUMIFS(nrMK_Sess,nrMK_PID,$B35,nrMK_Credit,"Yes",nrMK_Type,"PT"))</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IF($B35="","",IF($L35=0,"Yes","No"))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IF($B36="","",SUMIFS(nrMK_Min,nrMK_PID,$B36,nrMK_Credit,"Yes",nrMK_Type,"Classroom"))</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IF($B36="","",SUMIFS(nrMK_Sess,nrMK_PID,$B36,nrMK_Credit,"Yes",nrMK_Type,"PT"))</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IF($B36="","",IF($L36=0,"Yes","No"))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IF($B37="","",SUMIFS(nrMK_Min,nrMK_PID,$B37,nrMK_Credit,"Yes",nrMK_Type,"Classroom"))</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IF($B37="","",SUMIFS(nrMK_Sess,nrMK_PID,$B37,nrMK_Credit,"Yes",nrMK_Type,"PT"))</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IF($B37="","",IF($L37=0,"Yes","No"))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IF($B38="","",SUMIFS(nrMK_Min,nrMK_PID,$B38,nrMK_Credit,"Yes",nrMK_Type,"Classroom"))</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IF($B38="","",SUMIFS(nrMK_Sess,nrMK_PID,$B38,nrMK_Credit,"Yes",nrMK_Type,"PT"))</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IF($B38="","",IF($L38=0,"Yes","No"))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IF($B39="","",SUMIFS(nrMK_Min,nrMK_PID,$B39,nrMK_Credit,"Yes",nrMK_Type,"Classroom"))</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IF($B39="","",SUMIFS(nrMK_Sess,nrMK_PID,$B39,nrMK_Credit,"Yes",nrMK_Type,"PT"))</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IF($B39="","",IF($L39=0,"Yes","No"))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IF($B40="","",SUMIFS(nrMK_Min,nrMK_PID,$B40,nrMK_Credit,"Yes",nrMK_Type,"Classroom"))</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IF($B40="","",SUMIFS(nrMK_Sess,nrMK_PID,$B40,nrMK_Credit,"Yes",nrMK_Type,"PT"))</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IF($B40="","",IF($L40=0,"Yes","No"))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IF($B41="","",SUMIFS(nrMK_Min,nrMK_PID,$B41,nrMK_Credit,"Yes",nrMK_Type,"Classroom"))</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IF($B41="","",SUMIFS(nrMK_Sess,nrMK_PID,$B41,nrMK_Credit,"Yes",nrMK_Type,"PT"))</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IF($B41="","",IF($L41=0,"Yes","No"))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IF($B42="","",SUMIFS(nrMK_Min,nrMK_PID,$B42,nrMK_Credit,"Yes",nrMK_Type,"Classroom"))</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IF($B42="","",SUMIFS(nrMK_Sess,nrMK_PID,$B42,nrMK_Credit,"Yes",nrMK_Type,"PT"))</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IF($B42="","",IF($L42=0,"Yes","No"))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IF($B43="","",SUMIFS(nrMK_Min,nrMK_PID,$B43,nrMK_Credit,"Yes",nrMK_Type,"Classroom"))</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IF($B43="","",SUMIFS(nrMK_Sess,nrMK_PID,$B43,nrMK_Credit,"Yes",nrMK_Type,"PT"))</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IF($B43="","",IF($L43=0,"Yes","No"))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IF($B44="","",SUMIFS(nrMK_Min,nrMK_PID,$B44,nrMK_Credit,"Yes",nrMK_Type,"Classroom"))</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IF($B44="","",SUMIFS(nrMK_Sess,nrMK_PID,$B44,nrMK_Credit,"Yes",nrMK_Type,"PT"))</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IF($B44="","",IF($L44=0,"Yes","No"))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IF($B45="","",SUMIFS(nrMK_Min,nrMK_PID,$B45,nrMK_Credit,"Yes",nrMK_Type,"Classroom"))</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IF($B45="","",SUMIFS(nrMK_Sess,nrMK_PID,$B45,nrMK_Credit,"Yes",nrMK_Type,"PT"))</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IF($B45="","",IF($L45=0,"Yes","No"))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IF($B46="","",SUMIFS(nrMK_Min,nrMK_PID,$B46,nrMK_Credit,"Yes",nrMK_Type,"Classroom"))</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IF($B46="","",SUMIFS(nrMK_Sess,nrMK_PID,$B46,nrMK_Credit,"Yes",nrMK_Type,"PT"))</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IF($B46="","",IF($L46=0,"Yes","No"))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IF($B47="","",SUMIFS(nrMK_Min,nrMK_PID,$B47,nrMK_Credit,"Yes",nrMK_Type,"Classroom"))</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IF($B47="","",SUMIFS(nrMK_Sess,nrMK_PID,$B47,nrMK_Credit,"Yes",nrMK_Type,"PT"))</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IF($B47="","",IF($L47=0,"Yes","No"))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IF($B48="","",SUMIFS(nrMK_Min,nrMK_PID,$B48,nrMK_Credit,"Yes",nrMK_Type,"Classroom"))</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IF($B48="","",SUMIFS(nrMK_Sess,nrMK_PID,$B48,nrMK_Credit,"Yes",nrMK_Type,"PT"))</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IF($B48="","",IF($L48=0,"Yes","No"))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IF($B49="","",SUMIFS(nrMK_Min,nrMK_PID,$B49,nrMK_Credit,"Yes",nrMK_Type,"Classroom"))</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IF($B49="","",SUMIFS(nrMK_Sess,nrMK_PID,$B49,nrMK_Credit,"Yes",nrMK_Type,"PT"))</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IF($B49="","",IF($L49=0,"Yes","No"))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IF($B50="","",SUMIFS(nrMK_Min,nrMK_PID,$B50,nrMK_Credit,"Yes",nrMK_Type,"Classroom"))</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IF($B50="","",SUMIFS(nrMK_Sess,nrMK_PID,$B50,nrMK_Credit,"Yes",nrMK_Type,"PT"))</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IF($B50="","",IF($L50=0,"Yes","No"))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IF($B51="","",SUMIFS(nrMK_Min,nrMK_PID,$B51,nrMK_Credit,"Yes",nrMK_Type,"Classroom"))</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IF($B51="","",SUMIFS(nrMK_Sess,nrMK_PID,$B51,nrMK_Credit,"Yes",nrMK_Type,"PT"))</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IF($B51="","",IF($L51=0,"Yes","No"))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IF($B52="","",SUMIFS(nrMK_Min,nrMK_PID,$B52,nrMK_Credit,"Yes",nrMK_Type,"Classroom"))</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IF($B52="","",SUMIFS(nrMK_Sess,nrMK_PID,$B52,nrMK_Credit,"Yes",nrMK_Type,"PT"))</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IF($B52="","",IF($L52=0,"Yes","No"))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IF($B53="","",SUMIFS(nrMK_Min,nrMK_PID,$B53,nrMK_Credit,"Yes",nrMK_Type,"Classroom"))</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IF($B53="","",SUMIFS(nrMK_Sess,nrMK_PID,$B53,nrMK_Credit,"Yes",nrMK_Type,"PT"))</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IF($B53="","",IF($L53=0,"Yes","No"))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IF($B54="","",SUMIFS(nrMK_Min,nrMK_PID,$B54,nrMK_Credit,"Yes",nrMK_Type,"Classroom"))</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IF($B54="","",SUMIFS(nrMK_Sess,nrMK_PID,$B54,nrMK_Credit,"Yes",nrMK_Type,"PT"))</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IF($B54="","",IF($L54=0,"Yes","No"))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IF($B55="","",SUMIFS(nrMK_Min,nrMK_PID,$B55,nrMK_Credit,"Yes",nrMK_Type,"Classroom"))</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IF($B55="","",SUMIFS(nrMK_Sess,nrMK_PID,$B55,nrMK_Credit,"Yes",nrMK_Type,"PT"))</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IF($B55="","",IF($L55=0,"Yes","No"))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ChainReviewCnt</t>
        </is>
      </c>
      <c r="L5" s="12" t="inlineStr">
        <is>
          <t>Incidents Elig</t>
        </is>
      </c>
      <c r="M5" s="12" t="inlineStr">
        <is>
          <t>Counseling Cnt</t>
        </is>
      </c>
      <c r="N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9" max="19"/>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Flag Count</t>
        </is>
      </c>
      <c r="S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IF($B6="","",IF(COUNTIFS(nrES_PID,$B6,nrES_RetStat,"OVERDUE")&gt;0,1,0))</f>
        <v/>
      </c>
      <c r="M6" s="17">
        <f>IF($B6="","",IF(OR(PT!$K6="No",PT!$AB6="No"),1,0))</f>
        <v/>
      </c>
      <c r="N6" s="17">
        <f>IF($B6="","",IF(COUNTIFS(nrMD_PID,$B6,nrMD_Status,"RESTRICTION EXPIRED")&gt;0,1,0))</f>
        <v/>
      </c>
      <c r="O6" s="17">
        <f>IF($B6="","",IF(Certifications!$U6&lt;&gt;"",1,0))</f>
        <v/>
      </c>
      <c r="P6" s="17">
        <f>IF($B6="","",IF(COUNTIFS(nrME_PID,$B6,nrME_Status,"OVERDUE")&gt;0,1,0))</f>
        <v/>
      </c>
      <c r="Q6" s="17">
        <f>IF($B6="","",IF(SUMPRODUCT((nrAT_PID=$B6)*(nrAT_Cleared="OPEN"))&gt;0,1,0))</f>
        <v/>
      </c>
      <c r="R6" s="17">
        <f>IF($B6="","",SUM($E6:$Q6))</f>
        <v/>
      </c>
      <c r="S6" s="17">
        <f>IF($B6="","",IF($R6=0,"",_xlfn.TEXTJOIN(";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"&amp;Certifications!$U6,""),IF($P6=1,"OVERDUE MEMO",""),IF($Q6=1,SUMPRODUCT((nrAT_PID=$B6)*(nrAT_Cleared="OPEN"))&amp;" uncleared missed-time event(s)",""))))</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IF($B7="","",IF(COUNTIFS(nrES_PID,$B7,nrES_RetStat,"OVERDUE")&gt;0,1,0))</f>
        <v/>
      </c>
      <c r="M7" s="17">
        <f>IF($B7="","",IF(OR(PT!$K7="No",PT!$AB7="No"),1,0))</f>
        <v/>
      </c>
      <c r="N7" s="17">
        <f>IF($B7="","",IF(COUNTIFS(nrMD_PID,$B7,nrMD_Status,"RESTRICTION EXPIRED")&gt;0,1,0))</f>
        <v/>
      </c>
      <c r="O7" s="17">
        <f>IF($B7="","",IF(Certifications!$U7&lt;&gt;"",1,0))</f>
        <v/>
      </c>
      <c r="P7" s="17">
        <f>IF($B7="","",IF(COUNTIFS(nrME_PID,$B7,nrME_Status,"OVERDUE")&gt;0,1,0))</f>
        <v/>
      </c>
      <c r="Q7" s="17">
        <f>IF($B7="","",IF(SUMPRODUCT((nrAT_PID=$B7)*(nrAT_Cleared="OPEN"))&gt;0,1,0))</f>
        <v/>
      </c>
      <c r="R7" s="17">
        <f>IF($B7="","",SUM($E7:$Q7))</f>
        <v/>
      </c>
      <c r="S7" s="17">
        <f>IF($B7="","",IF($R7=0,"",_xlfn.TEXTJOIN(";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"&amp;Certifications!$U7,""),IF($P7=1,"OVERDUE MEMO",""),IF($Q7=1,SUMPRODUCT((nrAT_PID=$B7)*(nrAT_Cleared="OPEN"))&amp;" uncleared missed-time event(s)",""))))</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IF($B8="","",IF(COUNTIFS(nrES_PID,$B8,nrES_RetStat,"OVERDUE")&gt;0,1,0))</f>
        <v/>
      </c>
      <c r="M8" s="17">
        <f>IF($B8="","",IF(OR(PT!$K8="No",PT!$AB8="No"),1,0))</f>
        <v/>
      </c>
      <c r="N8" s="17">
        <f>IF($B8="","",IF(COUNTIFS(nrMD_PID,$B8,nrMD_Status,"RESTRICTION EXPIRED")&gt;0,1,0))</f>
        <v/>
      </c>
      <c r="O8" s="17">
        <f>IF($B8="","",IF(Certifications!$U8&lt;&gt;"",1,0))</f>
        <v/>
      </c>
      <c r="P8" s="17">
        <f>IF($B8="","",IF(COUNTIFS(nrME_PID,$B8,nrME_Status,"OVERDUE")&gt;0,1,0))</f>
        <v/>
      </c>
      <c r="Q8" s="17">
        <f>IF($B8="","",IF(SUMPRODUCT((nrAT_PID=$B8)*(nrAT_Cleared="OPEN"))&gt;0,1,0))</f>
        <v/>
      </c>
      <c r="R8" s="17">
        <f>IF($B8="","",SUM($E8:$Q8))</f>
        <v/>
      </c>
      <c r="S8" s="17">
        <f>IF($B8="","",IF($R8=0,"",_xlfn.TEXTJOIN(";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"&amp;Certifications!$U8,""),IF($P8=1,"OVERDUE MEMO",""),IF($Q8=1,SUMPRODUCT((nrAT_PID=$B8)*(nrAT_Cleared="OPEN"))&amp;" uncleared missed-time event(s)",""))))</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IF($B9="","",IF(COUNTIFS(nrES_PID,$B9,nrES_RetStat,"OVERDUE")&gt;0,1,0))</f>
        <v/>
      </c>
      <c r="M9" s="17">
        <f>IF($B9="","",IF(OR(PT!$K9="No",PT!$AB9="No"),1,0))</f>
        <v/>
      </c>
      <c r="N9" s="17">
        <f>IF($B9="","",IF(COUNTIFS(nrMD_PID,$B9,nrMD_Status,"RESTRICTION EXPIRED")&gt;0,1,0))</f>
        <v/>
      </c>
      <c r="O9" s="17">
        <f>IF($B9="","",IF(Certifications!$U9&lt;&gt;"",1,0))</f>
        <v/>
      </c>
      <c r="P9" s="17">
        <f>IF($B9="","",IF(COUNTIFS(nrME_PID,$B9,nrME_Status,"OVERDUE")&gt;0,1,0))</f>
        <v/>
      </c>
      <c r="Q9" s="17">
        <f>IF($B9="","",IF(SUMPRODUCT((nrAT_PID=$B9)*(nrAT_Cleared="OPEN"))&gt;0,1,0))</f>
        <v/>
      </c>
      <c r="R9" s="17">
        <f>IF($B9="","",SUM($E9:$Q9))</f>
        <v/>
      </c>
      <c r="S9" s="17">
        <f>IF($B9="","",IF($R9=0,"",_xlfn.TEXTJOIN(";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"&amp;Certifications!$U9,""),IF($P9=1,"OVERDUE MEMO",""),IF($Q9=1,SUMPRODUCT((nrAT_PID=$B9)*(nrAT_Cleared="OPEN"))&amp;" uncleared missed-time event(s)",""))))</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IF($B10="","",IF(COUNTIFS(nrES_PID,$B10,nrES_RetStat,"OVERDUE")&gt;0,1,0))</f>
        <v/>
      </c>
      <c r="M10" s="17">
        <f>IF($B10="","",IF(OR(PT!$K10="No",PT!$AB10="No"),1,0))</f>
        <v/>
      </c>
      <c r="N10" s="17">
        <f>IF($B10="","",IF(COUNTIFS(nrMD_PID,$B10,nrMD_Status,"RESTRICTION EXPIRED")&gt;0,1,0))</f>
        <v/>
      </c>
      <c r="O10" s="17">
        <f>IF($B10="","",IF(Certifications!$U10&lt;&gt;"",1,0))</f>
        <v/>
      </c>
      <c r="P10" s="17">
        <f>IF($B10="","",IF(COUNTIFS(nrME_PID,$B10,nrME_Status,"OVERDUE")&gt;0,1,0))</f>
        <v/>
      </c>
      <c r="Q10" s="17">
        <f>IF($B10="","",IF(SUMPRODUCT((nrAT_PID=$B10)*(nrAT_Cleared="OPEN"))&gt;0,1,0))</f>
        <v/>
      </c>
      <c r="R10" s="17">
        <f>IF($B10="","",SUM($E10:$Q10))</f>
        <v/>
      </c>
      <c r="S10" s="17">
        <f>IF($B10="","",IF($R10=0,"",_xlfn.TEXTJOIN(";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"&amp;Certifications!$U10,""),IF($P10=1,"OVERDUE MEMO",""),IF($Q10=1,SUMPRODUCT((nrAT_PID=$B10)*(nrAT_Cleared="OPEN"))&amp;" uncleared missed-time event(s)",""))))</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IF($B11="","",IF(COUNTIFS(nrES_PID,$B11,nrES_RetStat,"OVERDUE")&gt;0,1,0))</f>
        <v/>
      </c>
      <c r="M11" s="17">
        <f>IF($B11="","",IF(OR(PT!$K11="No",PT!$AB11="No"),1,0))</f>
        <v/>
      </c>
      <c r="N11" s="17">
        <f>IF($B11="","",IF(COUNTIFS(nrMD_PID,$B11,nrMD_Status,"RESTRICTION EXPIRED")&gt;0,1,0))</f>
        <v/>
      </c>
      <c r="O11" s="17">
        <f>IF($B11="","",IF(Certifications!$U11&lt;&gt;"",1,0))</f>
        <v/>
      </c>
      <c r="P11" s="17">
        <f>IF($B11="","",IF(COUNTIFS(nrME_PID,$B11,nrME_Status,"OVERDUE")&gt;0,1,0))</f>
        <v/>
      </c>
      <c r="Q11" s="17">
        <f>IF($B11="","",IF(SUMPRODUCT((nrAT_PID=$B11)*(nrAT_Cleared="OPEN"))&gt;0,1,0))</f>
        <v/>
      </c>
      <c r="R11" s="17">
        <f>IF($B11="","",SUM($E11:$Q11))</f>
        <v/>
      </c>
      <c r="S11" s="17">
        <f>IF($B11="","",IF($R11=0,"",_xlfn.TEXTJOIN(";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"&amp;Certifications!$U11,""),IF($P11=1,"OVERDUE MEMO",""),IF($Q11=1,SUMPRODUCT((nrAT_PID=$B11)*(nrAT_Cleared="OPEN"))&amp;" uncleared missed-time event(s)",""))))</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IF($B12="","",IF(COUNTIFS(nrES_PID,$B12,nrES_RetStat,"OVERDUE")&gt;0,1,0))</f>
        <v/>
      </c>
      <c r="M12" s="17">
        <f>IF($B12="","",IF(OR(PT!$K12="No",PT!$AB12="No"),1,0))</f>
        <v/>
      </c>
      <c r="N12" s="17">
        <f>IF($B12="","",IF(COUNTIFS(nrMD_PID,$B12,nrMD_Status,"RESTRICTION EXPIRED")&gt;0,1,0))</f>
        <v/>
      </c>
      <c r="O12" s="17">
        <f>IF($B12="","",IF(Certifications!$U12&lt;&gt;"",1,0))</f>
        <v/>
      </c>
      <c r="P12" s="17">
        <f>IF($B12="","",IF(COUNTIFS(nrME_PID,$B12,nrME_Status,"OVERDUE")&gt;0,1,0))</f>
        <v/>
      </c>
      <c r="Q12" s="17">
        <f>IF($B12="","",IF(SUMPRODUCT((nrAT_PID=$B12)*(nrAT_Cleared="OPEN"))&gt;0,1,0))</f>
        <v/>
      </c>
      <c r="R12" s="17">
        <f>IF($B12="","",SUM($E12:$Q12))</f>
        <v/>
      </c>
      <c r="S12" s="17">
        <f>IF($B12="","",IF($R12=0,"",_xlfn.TEXTJOIN(";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"&amp;Certifications!$U12,""),IF($P12=1,"OVERDUE MEMO",""),IF($Q12=1,SUMPRODUCT((nrAT_PID=$B12)*(nrAT_Cleared="OPEN"))&amp;" uncleared missed-time event(s)",""))))</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IF($B13="","",IF(COUNTIFS(nrES_PID,$B13,nrES_RetStat,"OVERDUE")&gt;0,1,0))</f>
        <v/>
      </c>
      <c r="M13" s="17">
        <f>IF($B13="","",IF(OR(PT!$K13="No",PT!$AB13="No"),1,0))</f>
        <v/>
      </c>
      <c r="N13" s="17">
        <f>IF($B13="","",IF(COUNTIFS(nrMD_PID,$B13,nrMD_Status,"RESTRICTION EXPIRED")&gt;0,1,0))</f>
        <v/>
      </c>
      <c r="O13" s="17">
        <f>IF($B13="","",IF(Certifications!$U13&lt;&gt;"",1,0))</f>
        <v/>
      </c>
      <c r="P13" s="17">
        <f>IF($B13="","",IF(COUNTIFS(nrME_PID,$B13,nrME_Status,"OVERDUE")&gt;0,1,0))</f>
        <v/>
      </c>
      <c r="Q13" s="17">
        <f>IF($B13="","",IF(SUMPRODUCT((nrAT_PID=$B13)*(nrAT_Cleared="OPEN"))&gt;0,1,0))</f>
        <v/>
      </c>
      <c r="R13" s="17">
        <f>IF($B13="","",SUM($E13:$Q13))</f>
        <v/>
      </c>
      <c r="S13" s="17">
        <f>IF($B13="","",IF($R13=0,"",_xlfn.TEXTJOIN(";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"&amp;Certifications!$U13,""),IF($P13=1,"OVERDUE MEMO",""),IF($Q13=1,SUMPRODUCT((nrAT_PID=$B13)*(nrAT_Cleared="OPEN"))&amp;" uncleared missed-time event(s)",""))))</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IF($B14="","",IF(COUNTIFS(nrES_PID,$B14,nrES_RetStat,"OVERDUE")&gt;0,1,0))</f>
        <v/>
      </c>
      <c r="M14" s="17">
        <f>IF($B14="","",IF(OR(PT!$K14="No",PT!$AB14="No"),1,0))</f>
        <v/>
      </c>
      <c r="N14" s="17">
        <f>IF($B14="","",IF(COUNTIFS(nrMD_PID,$B14,nrMD_Status,"RESTRICTION EXPIRED")&gt;0,1,0))</f>
        <v/>
      </c>
      <c r="O14" s="17">
        <f>IF($B14="","",IF(Certifications!$U14&lt;&gt;"",1,0))</f>
        <v/>
      </c>
      <c r="P14" s="17">
        <f>IF($B14="","",IF(COUNTIFS(nrME_PID,$B14,nrME_Status,"OVERDUE")&gt;0,1,0))</f>
        <v/>
      </c>
      <c r="Q14" s="17">
        <f>IF($B14="","",IF(SUMPRODUCT((nrAT_PID=$B14)*(nrAT_Cleared="OPEN"))&gt;0,1,0))</f>
        <v/>
      </c>
      <c r="R14" s="17">
        <f>IF($B14="","",SUM($E14:$Q14))</f>
        <v/>
      </c>
      <c r="S14" s="17">
        <f>IF($B14="","",IF($R14=0,"",_xlfn.TEXTJOIN(";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"&amp;Certifications!$U14,""),IF($P14=1,"OVERDUE MEMO",""),IF($Q14=1,SUMPRODUCT((nrAT_PID=$B14)*(nrAT_Cleared="OPEN"))&amp;" uncleared missed-time event(s)",""))))</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IF($B15="","",IF(COUNTIFS(nrES_PID,$B15,nrES_RetStat,"OVERDUE")&gt;0,1,0))</f>
        <v/>
      </c>
      <c r="M15" s="17">
        <f>IF($B15="","",IF(OR(PT!$K15="No",PT!$AB15="No"),1,0))</f>
        <v/>
      </c>
      <c r="N15" s="17">
        <f>IF($B15="","",IF(COUNTIFS(nrMD_PID,$B15,nrMD_Status,"RESTRICTION EXPIRED")&gt;0,1,0))</f>
        <v/>
      </c>
      <c r="O15" s="17">
        <f>IF($B15="","",IF(Certifications!$U15&lt;&gt;"",1,0))</f>
        <v/>
      </c>
      <c r="P15" s="17">
        <f>IF($B15="","",IF(COUNTIFS(nrME_PID,$B15,nrME_Status,"OVERDUE")&gt;0,1,0))</f>
        <v/>
      </c>
      <c r="Q15" s="17">
        <f>IF($B15="","",IF(SUMPRODUCT((nrAT_PID=$B15)*(nrAT_Cleared="OPEN"))&gt;0,1,0))</f>
        <v/>
      </c>
      <c r="R15" s="17">
        <f>IF($B15="","",SUM($E15:$Q15))</f>
        <v/>
      </c>
      <c r="S15" s="17">
        <f>IF($B15="","",IF($R15=0,"",_xlfn.TEXTJOIN(";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"&amp;Certifications!$U15,""),IF($P15=1,"OVERDUE MEMO",""),IF($Q15=1,SUMPRODUCT((nrAT_PID=$B15)*(nrAT_Cleared="OPEN"))&amp;" uncleared missed-time event(s)",""))))</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IF($B16="","",IF(COUNTIFS(nrES_PID,$B16,nrES_RetStat,"OVERDUE")&gt;0,1,0))</f>
        <v/>
      </c>
      <c r="M16" s="17">
        <f>IF($B16="","",IF(OR(PT!$K16="No",PT!$AB16="No"),1,0))</f>
        <v/>
      </c>
      <c r="N16" s="17">
        <f>IF($B16="","",IF(COUNTIFS(nrMD_PID,$B16,nrMD_Status,"RESTRICTION EXPIRED")&gt;0,1,0))</f>
        <v/>
      </c>
      <c r="O16" s="17">
        <f>IF($B16="","",IF(Certifications!$U16&lt;&gt;"",1,0))</f>
        <v/>
      </c>
      <c r="P16" s="17">
        <f>IF($B16="","",IF(COUNTIFS(nrME_PID,$B16,nrME_Status,"OVERDUE")&gt;0,1,0))</f>
        <v/>
      </c>
      <c r="Q16" s="17">
        <f>IF($B16="","",IF(SUMPRODUCT((nrAT_PID=$B16)*(nrAT_Cleared="OPEN"))&gt;0,1,0))</f>
        <v/>
      </c>
      <c r="R16" s="17">
        <f>IF($B16="","",SUM($E16:$Q16))</f>
        <v/>
      </c>
      <c r="S16" s="17">
        <f>IF($B16="","",IF($R16=0,"",_xlfn.TEXTJOIN(";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"&amp;Certifications!$U16,""),IF($P16=1,"OVERDUE MEMO",""),IF($Q16=1,SUMPRODUCT((nrAT_PID=$B16)*(nrAT_Cleared="OPEN"))&amp;" uncleared missed-time event(s)",""))))</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IF($B17="","",IF(COUNTIFS(nrES_PID,$B17,nrES_RetStat,"OVERDUE")&gt;0,1,0))</f>
        <v/>
      </c>
      <c r="M17" s="17">
        <f>IF($B17="","",IF(OR(PT!$K17="No",PT!$AB17="No"),1,0))</f>
        <v/>
      </c>
      <c r="N17" s="17">
        <f>IF($B17="","",IF(COUNTIFS(nrMD_PID,$B17,nrMD_Status,"RESTRICTION EXPIRED")&gt;0,1,0))</f>
        <v/>
      </c>
      <c r="O17" s="17">
        <f>IF($B17="","",IF(Certifications!$U17&lt;&gt;"",1,0))</f>
        <v/>
      </c>
      <c r="P17" s="17">
        <f>IF($B17="","",IF(COUNTIFS(nrME_PID,$B17,nrME_Status,"OVERDUE")&gt;0,1,0))</f>
        <v/>
      </c>
      <c r="Q17" s="17">
        <f>IF($B17="","",IF(SUMPRODUCT((nrAT_PID=$B17)*(nrAT_Cleared="OPEN"))&gt;0,1,0))</f>
        <v/>
      </c>
      <c r="R17" s="17">
        <f>IF($B17="","",SUM($E17:$Q17))</f>
        <v/>
      </c>
      <c r="S17" s="17">
        <f>IF($B17="","",IF($R17=0,"",_xlfn.TEXTJOIN(";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"&amp;Certifications!$U17,""),IF($P17=1,"OVERDUE MEMO",""),IF($Q17=1,SUMPRODUCT((nrAT_PID=$B17)*(nrAT_Cleared="OPEN"))&amp;" uncleared missed-time event(s)",""))))</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IF($B18="","",IF(COUNTIFS(nrES_PID,$B18,nrES_RetStat,"OVERDUE")&gt;0,1,0))</f>
        <v/>
      </c>
      <c r="M18" s="17">
        <f>IF($B18="","",IF(OR(PT!$K18="No",PT!$AB18="No"),1,0))</f>
        <v/>
      </c>
      <c r="N18" s="17">
        <f>IF($B18="","",IF(COUNTIFS(nrMD_PID,$B18,nrMD_Status,"RESTRICTION EXPIRED")&gt;0,1,0))</f>
        <v/>
      </c>
      <c r="O18" s="17">
        <f>IF($B18="","",IF(Certifications!$U18&lt;&gt;"",1,0))</f>
        <v/>
      </c>
      <c r="P18" s="17">
        <f>IF($B18="","",IF(COUNTIFS(nrME_PID,$B18,nrME_Status,"OVERDUE")&gt;0,1,0))</f>
        <v/>
      </c>
      <c r="Q18" s="17">
        <f>IF($B18="","",IF(SUMPRODUCT((nrAT_PID=$B18)*(nrAT_Cleared="OPEN"))&gt;0,1,0))</f>
        <v/>
      </c>
      <c r="R18" s="17">
        <f>IF($B18="","",SUM($E18:$Q18))</f>
        <v/>
      </c>
      <c r="S18" s="17">
        <f>IF($B18="","",IF($R18=0,"",_xlfn.TEXTJOIN(";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"&amp;Certifications!$U18,""),IF($P18=1,"OVERDUE MEMO",""),IF($Q18=1,SUMPRODUCT((nrAT_PID=$B18)*(nrAT_Cleared="OPEN"))&amp;" uncleared missed-time event(s)",""))))</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IF($B19="","",IF(COUNTIFS(nrES_PID,$B19,nrES_RetStat,"OVERDUE")&gt;0,1,0))</f>
        <v/>
      </c>
      <c r="M19" s="17">
        <f>IF($B19="","",IF(OR(PT!$K19="No",PT!$AB19="No"),1,0))</f>
        <v/>
      </c>
      <c r="N19" s="17">
        <f>IF($B19="","",IF(COUNTIFS(nrMD_PID,$B19,nrMD_Status,"RESTRICTION EXPIRED")&gt;0,1,0))</f>
        <v/>
      </c>
      <c r="O19" s="17">
        <f>IF($B19="","",IF(Certifications!$U19&lt;&gt;"",1,0))</f>
        <v/>
      </c>
      <c r="P19" s="17">
        <f>IF($B19="","",IF(COUNTIFS(nrME_PID,$B19,nrME_Status,"OVERDUE")&gt;0,1,0))</f>
        <v/>
      </c>
      <c r="Q19" s="17">
        <f>IF($B19="","",IF(SUMPRODUCT((nrAT_PID=$B19)*(nrAT_Cleared="OPEN"))&gt;0,1,0))</f>
        <v/>
      </c>
      <c r="R19" s="17">
        <f>IF($B19="","",SUM($E19:$Q19))</f>
        <v/>
      </c>
      <c r="S19" s="17">
        <f>IF($B19="","",IF($R19=0,"",_xlfn.TEXTJOIN(";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"&amp;Certifications!$U19,""),IF($P19=1,"OVERDUE MEMO",""),IF($Q19=1,SUMPRODUCT((nrAT_PID=$B19)*(nrAT_Cleared="OPEN"))&amp;" uncleared missed-time event(s)",""))))</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IF($B20="","",IF(COUNTIFS(nrES_PID,$B20,nrES_RetStat,"OVERDUE")&gt;0,1,0))</f>
        <v/>
      </c>
      <c r="M20" s="17">
        <f>IF($B20="","",IF(OR(PT!$K20="No",PT!$AB20="No"),1,0))</f>
        <v/>
      </c>
      <c r="N20" s="17">
        <f>IF($B20="","",IF(COUNTIFS(nrMD_PID,$B20,nrMD_Status,"RESTRICTION EXPIRED")&gt;0,1,0))</f>
        <v/>
      </c>
      <c r="O20" s="17">
        <f>IF($B20="","",IF(Certifications!$U20&lt;&gt;"",1,0))</f>
        <v/>
      </c>
      <c r="P20" s="17">
        <f>IF($B20="","",IF(COUNTIFS(nrME_PID,$B20,nrME_Status,"OVERDUE")&gt;0,1,0))</f>
        <v/>
      </c>
      <c r="Q20" s="17">
        <f>IF($B20="","",IF(SUMPRODUCT((nrAT_PID=$B20)*(nrAT_Cleared="OPEN"))&gt;0,1,0))</f>
        <v/>
      </c>
      <c r="R20" s="17">
        <f>IF($B20="","",SUM($E20:$Q20))</f>
        <v/>
      </c>
      <c r="S20" s="17">
        <f>IF($B20="","",IF($R20=0,"",_xlfn.TEXTJOIN(";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"&amp;Certifications!$U20,""),IF($P20=1,"OVERDUE MEMO",""),IF($Q20=1,SUMPRODUCT((nrAT_PID=$B20)*(nrAT_Cleared="OPEN"))&amp;" uncleared missed-time event(s)",""))))</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IF($B21="","",IF(COUNTIFS(nrES_PID,$B21,nrES_RetStat,"OVERDUE")&gt;0,1,0))</f>
        <v/>
      </c>
      <c r="M21" s="17">
        <f>IF($B21="","",IF(OR(PT!$K21="No",PT!$AB21="No"),1,0))</f>
        <v/>
      </c>
      <c r="N21" s="17">
        <f>IF($B21="","",IF(COUNTIFS(nrMD_PID,$B21,nrMD_Status,"RESTRICTION EXPIRED")&gt;0,1,0))</f>
        <v/>
      </c>
      <c r="O21" s="17">
        <f>IF($B21="","",IF(Certifications!$U21&lt;&gt;"",1,0))</f>
        <v/>
      </c>
      <c r="P21" s="17">
        <f>IF($B21="","",IF(COUNTIFS(nrME_PID,$B21,nrME_Status,"OVERDUE")&gt;0,1,0))</f>
        <v/>
      </c>
      <c r="Q21" s="17">
        <f>IF($B21="","",IF(SUMPRODUCT((nrAT_PID=$B21)*(nrAT_Cleared="OPEN"))&gt;0,1,0))</f>
        <v/>
      </c>
      <c r="R21" s="17">
        <f>IF($B21="","",SUM($E21:$Q21))</f>
        <v/>
      </c>
      <c r="S21" s="17">
        <f>IF($B21="","",IF($R21=0,"",_xlfn.TEXTJOIN(";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"&amp;Certifications!$U21,""),IF($P21=1,"OVERDUE MEMO",""),IF($Q21=1,SUMPRODUCT((nrAT_PID=$B21)*(nrAT_Cleared="OPEN"))&amp;" uncleared missed-time event(s)",""))))</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IF($B22="","",IF(COUNTIFS(nrES_PID,$B22,nrES_RetStat,"OVERDUE")&gt;0,1,0))</f>
        <v/>
      </c>
      <c r="M22" s="17">
        <f>IF($B22="","",IF(OR(PT!$K22="No",PT!$AB22="No"),1,0))</f>
        <v/>
      </c>
      <c r="N22" s="17">
        <f>IF($B22="","",IF(COUNTIFS(nrMD_PID,$B22,nrMD_Status,"RESTRICTION EXPIRED")&gt;0,1,0))</f>
        <v/>
      </c>
      <c r="O22" s="17">
        <f>IF($B22="","",IF(Certifications!$U22&lt;&gt;"",1,0))</f>
        <v/>
      </c>
      <c r="P22" s="17">
        <f>IF($B22="","",IF(COUNTIFS(nrME_PID,$B22,nrME_Status,"OVERDUE")&gt;0,1,0))</f>
        <v/>
      </c>
      <c r="Q22" s="17">
        <f>IF($B22="","",IF(SUMPRODUCT((nrAT_PID=$B22)*(nrAT_Cleared="OPEN"))&gt;0,1,0))</f>
        <v/>
      </c>
      <c r="R22" s="17">
        <f>IF($B22="","",SUM($E22:$Q22))</f>
        <v/>
      </c>
      <c r="S22" s="17">
        <f>IF($B22="","",IF($R22=0,"",_xlfn.TEXTJOIN(";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"&amp;Certifications!$U22,""),IF($P22=1,"OVERDUE MEMO",""),IF($Q22=1,SUMPRODUCT((nrAT_PID=$B22)*(nrAT_Cleared="OPEN"))&amp;" uncleared missed-time event(s)",""))))</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IF($B23="","",IF(COUNTIFS(nrES_PID,$B23,nrES_RetStat,"OVERDUE")&gt;0,1,0))</f>
        <v/>
      </c>
      <c r="M23" s="17">
        <f>IF($B23="","",IF(OR(PT!$K23="No",PT!$AB23="No"),1,0))</f>
        <v/>
      </c>
      <c r="N23" s="17">
        <f>IF($B23="","",IF(COUNTIFS(nrMD_PID,$B23,nrMD_Status,"RESTRICTION EXPIRED")&gt;0,1,0))</f>
        <v/>
      </c>
      <c r="O23" s="17">
        <f>IF($B23="","",IF(Certifications!$U23&lt;&gt;"",1,0))</f>
        <v/>
      </c>
      <c r="P23" s="17">
        <f>IF($B23="","",IF(COUNTIFS(nrME_PID,$B23,nrME_Status,"OVERDUE")&gt;0,1,0))</f>
        <v/>
      </c>
      <c r="Q23" s="17">
        <f>IF($B23="","",IF(SUMPRODUCT((nrAT_PID=$B23)*(nrAT_Cleared="OPEN"))&gt;0,1,0))</f>
        <v/>
      </c>
      <c r="R23" s="17">
        <f>IF($B23="","",SUM($E23:$Q23))</f>
        <v/>
      </c>
      <c r="S23" s="17">
        <f>IF($B23="","",IF($R23=0,"",_xlfn.TEXTJOIN(";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"&amp;Certifications!$U23,""),IF($P23=1,"OVERDUE MEMO",""),IF($Q23=1,SUMPRODUCT((nrAT_PID=$B23)*(nrAT_Cleared="OPEN"))&amp;" uncleared missed-time event(s)",""))))</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IF($B24="","",IF(COUNTIFS(nrES_PID,$B24,nrES_RetStat,"OVERDUE")&gt;0,1,0))</f>
        <v/>
      </c>
      <c r="M24" s="17">
        <f>IF($B24="","",IF(OR(PT!$K24="No",PT!$AB24="No"),1,0))</f>
        <v/>
      </c>
      <c r="N24" s="17">
        <f>IF($B24="","",IF(COUNTIFS(nrMD_PID,$B24,nrMD_Status,"RESTRICTION EXPIRED")&gt;0,1,0))</f>
        <v/>
      </c>
      <c r="O24" s="17">
        <f>IF($B24="","",IF(Certifications!$U24&lt;&gt;"",1,0))</f>
        <v/>
      </c>
      <c r="P24" s="17">
        <f>IF($B24="","",IF(COUNTIFS(nrME_PID,$B24,nrME_Status,"OVERDUE")&gt;0,1,0))</f>
        <v/>
      </c>
      <c r="Q24" s="17">
        <f>IF($B24="","",IF(SUMPRODUCT((nrAT_PID=$B24)*(nrAT_Cleared="OPEN"))&gt;0,1,0))</f>
        <v/>
      </c>
      <c r="R24" s="17">
        <f>IF($B24="","",SUM($E24:$Q24))</f>
        <v/>
      </c>
      <c r="S24" s="17">
        <f>IF($B24="","",IF($R24=0,"",_xlfn.TEXTJOIN(";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"&amp;Certifications!$U24,""),IF($P24=1,"OVERDUE MEMO",""),IF($Q24=1,SUMPRODUCT((nrAT_PID=$B24)*(nrAT_Cleared="OPEN"))&amp;" uncleared missed-time event(s)",""))))</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IF($B25="","",IF(COUNTIFS(nrES_PID,$B25,nrES_RetStat,"OVERDUE")&gt;0,1,0))</f>
        <v/>
      </c>
      <c r="M25" s="17">
        <f>IF($B25="","",IF(OR(PT!$K25="No",PT!$AB25="No"),1,0))</f>
        <v/>
      </c>
      <c r="N25" s="17">
        <f>IF($B25="","",IF(COUNTIFS(nrMD_PID,$B25,nrMD_Status,"RESTRICTION EXPIRED")&gt;0,1,0))</f>
        <v/>
      </c>
      <c r="O25" s="17">
        <f>IF($B25="","",IF(Certifications!$U25&lt;&gt;"",1,0))</f>
        <v/>
      </c>
      <c r="P25" s="17">
        <f>IF($B25="","",IF(COUNTIFS(nrME_PID,$B25,nrME_Status,"OVERDUE")&gt;0,1,0))</f>
        <v/>
      </c>
      <c r="Q25" s="17">
        <f>IF($B25="","",IF(SUMPRODUCT((nrAT_PID=$B25)*(nrAT_Cleared="OPEN"))&gt;0,1,0))</f>
        <v/>
      </c>
      <c r="R25" s="17">
        <f>IF($B25="","",SUM($E25:$Q25))</f>
        <v/>
      </c>
      <c r="S25" s="17">
        <f>IF($B25="","",IF($R25=0,"",_xlfn.TEXTJOIN(";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"&amp;Certifications!$U25,""),IF($P25=1,"OVERDUE MEMO",""),IF($Q25=1,SUMPRODUCT((nrAT_PID=$B25)*(nrAT_Cleared="OPEN"))&amp;" uncleared missed-time event(s)",""))))</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IF($B26="","",IF(COUNTIFS(nrES_PID,$B26,nrES_RetStat,"OVERDUE")&gt;0,1,0))</f>
        <v/>
      </c>
      <c r="M26" s="17">
        <f>IF($B26="","",IF(OR(PT!$K26="No",PT!$AB26="No"),1,0))</f>
        <v/>
      </c>
      <c r="N26" s="17">
        <f>IF($B26="","",IF(COUNTIFS(nrMD_PID,$B26,nrMD_Status,"RESTRICTION EXPIRED")&gt;0,1,0))</f>
        <v/>
      </c>
      <c r="O26" s="17">
        <f>IF($B26="","",IF(Certifications!$U26&lt;&gt;"",1,0))</f>
        <v/>
      </c>
      <c r="P26" s="17">
        <f>IF($B26="","",IF(COUNTIFS(nrME_PID,$B26,nrME_Status,"OVERDUE")&gt;0,1,0))</f>
        <v/>
      </c>
      <c r="Q26" s="17">
        <f>IF($B26="","",IF(SUMPRODUCT((nrAT_PID=$B26)*(nrAT_Cleared="OPEN"))&gt;0,1,0))</f>
        <v/>
      </c>
      <c r="R26" s="17">
        <f>IF($B26="","",SUM($E26:$Q26))</f>
        <v/>
      </c>
      <c r="S26" s="17">
        <f>IF($B26="","",IF($R26=0,"",_xlfn.TEXTJOIN(";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"&amp;Certifications!$U26,""),IF($P26=1,"OVERDUE MEMO",""),IF($Q26=1,SUMPRODUCT((nrAT_PID=$B26)*(nrAT_Cleared="OPEN"))&amp;" uncleared missed-time event(s)",""))))</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IF($B27="","",IF(COUNTIFS(nrES_PID,$B27,nrES_RetStat,"OVERDUE")&gt;0,1,0))</f>
        <v/>
      </c>
      <c r="M27" s="17">
        <f>IF($B27="","",IF(OR(PT!$K27="No",PT!$AB27="No"),1,0))</f>
        <v/>
      </c>
      <c r="N27" s="17">
        <f>IF($B27="","",IF(COUNTIFS(nrMD_PID,$B27,nrMD_Status,"RESTRICTION EXPIRED")&gt;0,1,0))</f>
        <v/>
      </c>
      <c r="O27" s="17">
        <f>IF($B27="","",IF(Certifications!$U27&lt;&gt;"",1,0))</f>
        <v/>
      </c>
      <c r="P27" s="17">
        <f>IF($B27="","",IF(COUNTIFS(nrME_PID,$B27,nrME_Status,"OVERDUE")&gt;0,1,0))</f>
        <v/>
      </c>
      <c r="Q27" s="17">
        <f>IF($B27="","",IF(SUMPRODUCT((nrAT_PID=$B27)*(nrAT_Cleared="OPEN"))&gt;0,1,0))</f>
        <v/>
      </c>
      <c r="R27" s="17">
        <f>IF($B27="","",SUM($E27:$Q27))</f>
        <v/>
      </c>
      <c r="S27" s="17">
        <f>IF($B27="","",IF($R27=0,"",_xlfn.TEXTJOIN(";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"&amp;Certifications!$U27,""),IF($P27=1,"OVERDUE MEMO",""),IF($Q27=1,SUMPRODUCT((nrAT_PID=$B27)*(nrAT_Cleared="OPEN"))&amp;" uncleared missed-time event(s)",""))))</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IF($B28="","",IF(COUNTIFS(nrES_PID,$B28,nrES_RetStat,"OVERDUE")&gt;0,1,0))</f>
        <v/>
      </c>
      <c r="M28" s="17">
        <f>IF($B28="","",IF(OR(PT!$K28="No",PT!$AB28="No"),1,0))</f>
        <v/>
      </c>
      <c r="N28" s="17">
        <f>IF($B28="","",IF(COUNTIFS(nrMD_PID,$B28,nrMD_Status,"RESTRICTION EXPIRED")&gt;0,1,0))</f>
        <v/>
      </c>
      <c r="O28" s="17">
        <f>IF($B28="","",IF(Certifications!$U28&lt;&gt;"",1,0))</f>
        <v/>
      </c>
      <c r="P28" s="17">
        <f>IF($B28="","",IF(COUNTIFS(nrME_PID,$B28,nrME_Status,"OVERDUE")&gt;0,1,0))</f>
        <v/>
      </c>
      <c r="Q28" s="17">
        <f>IF($B28="","",IF(SUMPRODUCT((nrAT_PID=$B28)*(nrAT_Cleared="OPEN"))&gt;0,1,0))</f>
        <v/>
      </c>
      <c r="R28" s="17">
        <f>IF($B28="","",SUM($E28:$Q28))</f>
        <v/>
      </c>
      <c r="S28" s="17">
        <f>IF($B28="","",IF($R28=0,"",_xlfn.TEXTJOIN(";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"&amp;Certifications!$U28,""),IF($P28=1,"OVERDUE MEMO",""),IF($Q28=1,SUMPRODUCT((nrAT_PID=$B28)*(nrAT_Cleared="OPEN"))&amp;" uncleared missed-time event(s)",""))))</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IF($B29="","",IF(COUNTIFS(nrES_PID,$B29,nrES_RetStat,"OVERDUE")&gt;0,1,0))</f>
        <v/>
      </c>
      <c r="M29" s="17">
        <f>IF($B29="","",IF(OR(PT!$K29="No",PT!$AB29="No"),1,0))</f>
        <v/>
      </c>
      <c r="N29" s="17">
        <f>IF($B29="","",IF(COUNTIFS(nrMD_PID,$B29,nrMD_Status,"RESTRICTION EXPIRED")&gt;0,1,0))</f>
        <v/>
      </c>
      <c r="O29" s="17">
        <f>IF($B29="","",IF(Certifications!$U29&lt;&gt;"",1,0))</f>
        <v/>
      </c>
      <c r="P29" s="17">
        <f>IF($B29="","",IF(COUNTIFS(nrME_PID,$B29,nrME_Status,"OVERDUE")&gt;0,1,0))</f>
        <v/>
      </c>
      <c r="Q29" s="17">
        <f>IF($B29="","",IF(SUMPRODUCT((nrAT_PID=$B29)*(nrAT_Cleared="OPEN"))&gt;0,1,0))</f>
        <v/>
      </c>
      <c r="R29" s="17">
        <f>IF($B29="","",SUM($E29:$Q29))</f>
        <v/>
      </c>
      <c r="S29" s="17">
        <f>IF($B29="","",IF($R29=0,"",_xlfn.TEXTJOIN(";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"&amp;Certifications!$U29,""),IF($P29=1,"OVERDUE MEMO",""),IF($Q29=1,SUMPRODUCT((nrAT_PID=$B29)*(nrAT_Cleared="OPEN"))&amp;" uncleared missed-time event(s)",""))))</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IF($B30="","",IF(COUNTIFS(nrES_PID,$B30,nrES_RetStat,"OVERDUE")&gt;0,1,0))</f>
        <v/>
      </c>
      <c r="M30" s="17">
        <f>IF($B30="","",IF(OR(PT!$K30="No",PT!$AB30="No"),1,0))</f>
        <v/>
      </c>
      <c r="N30" s="17">
        <f>IF($B30="","",IF(COUNTIFS(nrMD_PID,$B30,nrMD_Status,"RESTRICTION EXPIRED")&gt;0,1,0))</f>
        <v/>
      </c>
      <c r="O30" s="17">
        <f>IF($B30="","",IF(Certifications!$U30&lt;&gt;"",1,0))</f>
        <v/>
      </c>
      <c r="P30" s="17">
        <f>IF($B30="","",IF(COUNTIFS(nrME_PID,$B30,nrME_Status,"OVERDUE")&gt;0,1,0))</f>
        <v/>
      </c>
      <c r="Q30" s="17">
        <f>IF($B30="","",IF(SUMPRODUCT((nrAT_PID=$B30)*(nrAT_Cleared="OPEN"))&gt;0,1,0))</f>
        <v/>
      </c>
      <c r="R30" s="17">
        <f>IF($B30="","",SUM($E30:$Q30))</f>
        <v/>
      </c>
      <c r="S30" s="17">
        <f>IF($B30="","",IF($R30=0,"",_xlfn.TEXTJOIN(";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"&amp;Certifications!$U30,""),IF($P30=1,"OVERDUE MEMO",""),IF($Q30=1,SUMPRODUCT((nrAT_PID=$B30)*(nrAT_Cleared="OPEN"))&amp;" uncleared missed-time event(s)",""))))</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IF($B31="","",IF(COUNTIFS(nrES_PID,$B31,nrES_RetStat,"OVERDUE")&gt;0,1,0))</f>
        <v/>
      </c>
      <c r="M31" s="17">
        <f>IF($B31="","",IF(OR(PT!$K31="No",PT!$AB31="No"),1,0))</f>
        <v/>
      </c>
      <c r="N31" s="17">
        <f>IF($B31="","",IF(COUNTIFS(nrMD_PID,$B31,nrMD_Status,"RESTRICTION EXPIRED")&gt;0,1,0))</f>
        <v/>
      </c>
      <c r="O31" s="17">
        <f>IF($B31="","",IF(Certifications!$U31&lt;&gt;"",1,0))</f>
        <v/>
      </c>
      <c r="P31" s="17">
        <f>IF($B31="","",IF(COUNTIFS(nrME_PID,$B31,nrME_Status,"OVERDUE")&gt;0,1,0))</f>
        <v/>
      </c>
      <c r="Q31" s="17">
        <f>IF($B31="","",IF(SUMPRODUCT((nrAT_PID=$B31)*(nrAT_Cleared="OPEN"))&gt;0,1,0))</f>
        <v/>
      </c>
      <c r="R31" s="17">
        <f>IF($B31="","",SUM($E31:$Q31))</f>
        <v/>
      </c>
      <c r="S31" s="17">
        <f>IF($B31="","",IF($R31=0,"",_xlfn.TEXTJOIN(";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"&amp;Certifications!$U31,""),IF($P31=1,"OVERDUE MEMO",""),IF($Q31=1,SUMPRODUCT((nrAT_PID=$B31)*(nrAT_Cleared="OPEN"))&amp;" uncleared missed-time event(s)",""))))</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IF($B32="","",IF(COUNTIFS(nrES_PID,$B32,nrES_RetStat,"OVERDUE")&gt;0,1,0))</f>
        <v/>
      </c>
      <c r="M32" s="17">
        <f>IF($B32="","",IF(OR(PT!$K32="No",PT!$AB32="No"),1,0))</f>
        <v/>
      </c>
      <c r="N32" s="17">
        <f>IF($B32="","",IF(COUNTIFS(nrMD_PID,$B32,nrMD_Status,"RESTRICTION EXPIRED")&gt;0,1,0))</f>
        <v/>
      </c>
      <c r="O32" s="17">
        <f>IF($B32="","",IF(Certifications!$U32&lt;&gt;"",1,0))</f>
        <v/>
      </c>
      <c r="P32" s="17">
        <f>IF($B32="","",IF(COUNTIFS(nrME_PID,$B32,nrME_Status,"OVERDUE")&gt;0,1,0))</f>
        <v/>
      </c>
      <c r="Q32" s="17">
        <f>IF($B32="","",IF(SUMPRODUCT((nrAT_PID=$B32)*(nrAT_Cleared="OPEN"))&gt;0,1,0))</f>
        <v/>
      </c>
      <c r="R32" s="17">
        <f>IF($B32="","",SUM($E32:$Q32))</f>
        <v/>
      </c>
      <c r="S32" s="17">
        <f>IF($B32="","",IF($R32=0,"",_xlfn.TEXTJOIN(";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"&amp;Certifications!$U32,""),IF($P32=1,"OVERDUE MEMO",""),IF($Q32=1,SUMPRODUCT((nrAT_PID=$B32)*(nrAT_Cleared="OPEN"))&amp;" uncleared missed-time event(s)",""))))</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IF($B33="","",IF(COUNTIFS(nrES_PID,$B33,nrES_RetStat,"OVERDUE")&gt;0,1,0))</f>
        <v/>
      </c>
      <c r="M33" s="17">
        <f>IF($B33="","",IF(OR(PT!$K33="No",PT!$AB33="No"),1,0))</f>
        <v/>
      </c>
      <c r="N33" s="17">
        <f>IF($B33="","",IF(COUNTIFS(nrMD_PID,$B33,nrMD_Status,"RESTRICTION EXPIRED")&gt;0,1,0))</f>
        <v/>
      </c>
      <c r="O33" s="17">
        <f>IF($B33="","",IF(Certifications!$U33&lt;&gt;"",1,0))</f>
        <v/>
      </c>
      <c r="P33" s="17">
        <f>IF($B33="","",IF(COUNTIFS(nrME_PID,$B33,nrME_Status,"OVERDUE")&gt;0,1,0))</f>
        <v/>
      </c>
      <c r="Q33" s="17">
        <f>IF($B33="","",IF(SUMPRODUCT((nrAT_PID=$B33)*(nrAT_Cleared="OPEN"))&gt;0,1,0))</f>
        <v/>
      </c>
      <c r="R33" s="17">
        <f>IF($B33="","",SUM($E33:$Q33))</f>
        <v/>
      </c>
      <c r="S33" s="17">
        <f>IF($B33="","",IF($R33=0,"",_xlfn.TEXTJOIN(";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"&amp;Certifications!$U33,""),IF($P33=1,"OVERDUE MEMO",""),IF($Q33=1,SUMPRODUCT((nrAT_PID=$B33)*(nrAT_Cleared="OPEN"))&amp;" uncleared missed-time event(s)",""))))</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IF($B34="","",IF(COUNTIFS(nrES_PID,$B34,nrES_RetStat,"OVERDUE")&gt;0,1,0))</f>
        <v/>
      </c>
      <c r="M34" s="17">
        <f>IF($B34="","",IF(OR(PT!$K34="No",PT!$AB34="No"),1,0))</f>
        <v/>
      </c>
      <c r="N34" s="17">
        <f>IF($B34="","",IF(COUNTIFS(nrMD_PID,$B34,nrMD_Status,"RESTRICTION EXPIRED")&gt;0,1,0))</f>
        <v/>
      </c>
      <c r="O34" s="17">
        <f>IF($B34="","",IF(Certifications!$U34&lt;&gt;"",1,0))</f>
        <v/>
      </c>
      <c r="P34" s="17">
        <f>IF($B34="","",IF(COUNTIFS(nrME_PID,$B34,nrME_Status,"OVERDUE")&gt;0,1,0))</f>
        <v/>
      </c>
      <c r="Q34" s="17">
        <f>IF($B34="","",IF(SUMPRODUCT((nrAT_PID=$B34)*(nrAT_Cleared="OPEN"))&gt;0,1,0))</f>
        <v/>
      </c>
      <c r="R34" s="17">
        <f>IF($B34="","",SUM($E34:$Q34))</f>
        <v/>
      </c>
      <c r="S34" s="17">
        <f>IF($B34="","",IF($R34=0,"",_xlfn.TEXTJOIN(";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"&amp;Certifications!$U34,""),IF($P34=1,"OVERDUE MEMO",""),IF($Q34=1,SUMPRODUCT((nrAT_PID=$B34)*(nrAT_Cleared="OPEN"))&amp;" uncleared missed-time event(s)",""))))</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IF($B35="","",IF(COUNTIFS(nrES_PID,$B35,nrES_RetStat,"OVERDUE")&gt;0,1,0))</f>
        <v/>
      </c>
      <c r="M35" s="17">
        <f>IF($B35="","",IF(OR(PT!$K35="No",PT!$AB35="No"),1,0))</f>
        <v/>
      </c>
      <c r="N35" s="17">
        <f>IF($B35="","",IF(COUNTIFS(nrMD_PID,$B35,nrMD_Status,"RESTRICTION EXPIRED")&gt;0,1,0))</f>
        <v/>
      </c>
      <c r="O35" s="17">
        <f>IF($B35="","",IF(Certifications!$U35&lt;&gt;"",1,0))</f>
        <v/>
      </c>
      <c r="P35" s="17">
        <f>IF($B35="","",IF(COUNTIFS(nrME_PID,$B35,nrME_Status,"OVERDUE")&gt;0,1,0))</f>
        <v/>
      </c>
      <c r="Q35" s="17">
        <f>IF($B35="","",IF(SUMPRODUCT((nrAT_PID=$B35)*(nrAT_Cleared="OPEN"))&gt;0,1,0))</f>
        <v/>
      </c>
      <c r="R35" s="17">
        <f>IF($B35="","",SUM($E35:$Q35))</f>
        <v/>
      </c>
      <c r="S35" s="17">
        <f>IF($B35="","",IF($R35=0,"",_xlfn.TEXTJOIN(";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"&amp;Certifications!$U35,""),IF($P35=1,"OVERDUE MEMO",""),IF($Q35=1,SUMPRODUCT((nrAT_PID=$B35)*(nrAT_Cleared="OPEN"))&amp;" uncleared missed-time event(s)",""))))</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IF($B36="","",IF(COUNTIFS(nrES_PID,$B36,nrES_RetStat,"OVERDUE")&gt;0,1,0))</f>
        <v/>
      </c>
      <c r="M36" s="17">
        <f>IF($B36="","",IF(OR(PT!$K36="No",PT!$AB36="No"),1,0))</f>
        <v/>
      </c>
      <c r="N36" s="17">
        <f>IF($B36="","",IF(COUNTIFS(nrMD_PID,$B36,nrMD_Status,"RESTRICTION EXPIRED")&gt;0,1,0))</f>
        <v/>
      </c>
      <c r="O36" s="17">
        <f>IF($B36="","",IF(Certifications!$U36&lt;&gt;"",1,0))</f>
        <v/>
      </c>
      <c r="P36" s="17">
        <f>IF($B36="","",IF(COUNTIFS(nrME_PID,$B36,nrME_Status,"OVERDUE")&gt;0,1,0))</f>
        <v/>
      </c>
      <c r="Q36" s="17">
        <f>IF($B36="","",IF(SUMPRODUCT((nrAT_PID=$B36)*(nrAT_Cleared="OPEN"))&gt;0,1,0))</f>
        <v/>
      </c>
      <c r="R36" s="17">
        <f>IF($B36="","",SUM($E36:$Q36))</f>
        <v/>
      </c>
      <c r="S36" s="17">
        <f>IF($B36="","",IF($R36=0,"",_xlfn.TEXTJOIN(";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"&amp;Certifications!$U36,""),IF($P36=1,"OVERDUE MEMO",""),IF($Q36=1,SUMPRODUCT((nrAT_PID=$B36)*(nrAT_Cleared="OPEN"))&amp;" uncleared missed-time event(s)",""))))</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IF($B37="","",IF(COUNTIFS(nrES_PID,$B37,nrES_RetStat,"OVERDUE")&gt;0,1,0))</f>
        <v/>
      </c>
      <c r="M37" s="17">
        <f>IF($B37="","",IF(OR(PT!$K37="No",PT!$AB37="No"),1,0))</f>
        <v/>
      </c>
      <c r="N37" s="17">
        <f>IF($B37="","",IF(COUNTIFS(nrMD_PID,$B37,nrMD_Status,"RESTRICTION EXPIRED")&gt;0,1,0))</f>
        <v/>
      </c>
      <c r="O37" s="17">
        <f>IF($B37="","",IF(Certifications!$U37&lt;&gt;"",1,0))</f>
        <v/>
      </c>
      <c r="P37" s="17">
        <f>IF($B37="","",IF(COUNTIFS(nrME_PID,$B37,nrME_Status,"OVERDUE")&gt;0,1,0))</f>
        <v/>
      </c>
      <c r="Q37" s="17">
        <f>IF($B37="","",IF(SUMPRODUCT((nrAT_PID=$B37)*(nrAT_Cleared="OPEN"))&gt;0,1,0))</f>
        <v/>
      </c>
      <c r="R37" s="17">
        <f>IF($B37="","",SUM($E37:$Q37))</f>
        <v/>
      </c>
      <c r="S37" s="17">
        <f>IF($B37="","",IF($R37=0,"",_xlfn.TEXTJOIN(";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"&amp;Certifications!$U37,""),IF($P37=1,"OVERDUE MEMO",""),IF($Q37=1,SUMPRODUCT((nrAT_PID=$B37)*(nrAT_Cleared="OPEN"))&amp;" uncleared missed-time event(s)",""))))</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IF($B38="","",IF(COUNTIFS(nrES_PID,$B38,nrES_RetStat,"OVERDUE")&gt;0,1,0))</f>
        <v/>
      </c>
      <c r="M38" s="17">
        <f>IF($B38="","",IF(OR(PT!$K38="No",PT!$AB38="No"),1,0))</f>
        <v/>
      </c>
      <c r="N38" s="17">
        <f>IF($B38="","",IF(COUNTIFS(nrMD_PID,$B38,nrMD_Status,"RESTRICTION EXPIRED")&gt;0,1,0))</f>
        <v/>
      </c>
      <c r="O38" s="17">
        <f>IF($B38="","",IF(Certifications!$U38&lt;&gt;"",1,0))</f>
        <v/>
      </c>
      <c r="P38" s="17">
        <f>IF($B38="","",IF(COUNTIFS(nrME_PID,$B38,nrME_Status,"OVERDUE")&gt;0,1,0))</f>
        <v/>
      </c>
      <c r="Q38" s="17">
        <f>IF($B38="","",IF(SUMPRODUCT((nrAT_PID=$B38)*(nrAT_Cleared="OPEN"))&gt;0,1,0))</f>
        <v/>
      </c>
      <c r="R38" s="17">
        <f>IF($B38="","",SUM($E38:$Q38))</f>
        <v/>
      </c>
      <c r="S38" s="17">
        <f>IF($B38="","",IF($R38=0,"",_xlfn.TEXTJOIN(";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"&amp;Certifications!$U38,""),IF($P38=1,"OVERDUE MEMO",""),IF($Q38=1,SUMPRODUCT((nrAT_PID=$B38)*(nrAT_Cleared="OPEN"))&amp;" uncleared missed-time event(s)",""))))</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IF($B39="","",IF(COUNTIFS(nrES_PID,$B39,nrES_RetStat,"OVERDUE")&gt;0,1,0))</f>
        <v/>
      </c>
      <c r="M39" s="17">
        <f>IF($B39="","",IF(OR(PT!$K39="No",PT!$AB39="No"),1,0))</f>
        <v/>
      </c>
      <c r="N39" s="17">
        <f>IF($B39="","",IF(COUNTIFS(nrMD_PID,$B39,nrMD_Status,"RESTRICTION EXPIRED")&gt;0,1,0))</f>
        <v/>
      </c>
      <c r="O39" s="17">
        <f>IF($B39="","",IF(Certifications!$U39&lt;&gt;"",1,0))</f>
        <v/>
      </c>
      <c r="P39" s="17">
        <f>IF($B39="","",IF(COUNTIFS(nrME_PID,$B39,nrME_Status,"OVERDUE")&gt;0,1,0))</f>
        <v/>
      </c>
      <c r="Q39" s="17">
        <f>IF($B39="","",IF(SUMPRODUCT((nrAT_PID=$B39)*(nrAT_Cleared="OPEN"))&gt;0,1,0))</f>
        <v/>
      </c>
      <c r="R39" s="17">
        <f>IF($B39="","",SUM($E39:$Q39))</f>
        <v/>
      </c>
      <c r="S39" s="17">
        <f>IF($B39="","",IF($R39=0,"",_xlfn.TEXTJOIN(";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"&amp;Certifications!$U39,""),IF($P39=1,"OVERDUE MEMO",""),IF($Q39=1,SUMPRODUCT((nrAT_PID=$B39)*(nrAT_Cleared="OPEN"))&amp;" uncleared missed-time event(s)",""))))</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IF($B40="","",IF(COUNTIFS(nrES_PID,$B40,nrES_RetStat,"OVERDUE")&gt;0,1,0))</f>
        <v/>
      </c>
      <c r="M40" s="17">
        <f>IF($B40="","",IF(OR(PT!$K40="No",PT!$AB40="No"),1,0))</f>
        <v/>
      </c>
      <c r="N40" s="17">
        <f>IF($B40="","",IF(COUNTIFS(nrMD_PID,$B40,nrMD_Status,"RESTRICTION EXPIRED")&gt;0,1,0))</f>
        <v/>
      </c>
      <c r="O40" s="17">
        <f>IF($B40="","",IF(Certifications!$U40&lt;&gt;"",1,0))</f>
        <v/>
      </c>
      <c r="P40" s="17">
        <f>IF($B40="","",IF(COUNTIFS(nrME_PID,$B40,nrME_Status,"OVERDUE")&gt;0,1,0))</f>
        <v/>
      </c>
      <c r="Q40" s="17">
        <f>IF($B40="","",IF(SUMPRODUCT((nrAT_PID=$B40)*(nrAT_Cleared="OPEN"))&gt;0,1,0))</f>
        <v/>
      </c>
      <c r="R40" s="17">
        <f>IF($B40="","",SUM($E40:$Q40))</f>
        <v/>
      </c>
      <c r="S40" s="17">
        <f>IF($B40="","",IF($R40=0,"",_xlfn.TEXTJOIN(";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"&amp;Certifications!$U40,""),IF($P40=1,"OVERDUE MEMO",""),IF($Q40=1,SUMPRODUCT((nrAT_PID=$B40)*(nrAT_Cleared="OPEN"))&amp;" uncleared missed-time event(s)",""))))</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IF($B41="","",IF(COUNTIFS(nrES_PID,$B41,nrES_RetStat,"OVERDUE")&gt;0,1,0))</f>
        <v/>
      </c>
      <c r="M41" s="17">
        <f>IF($B41="","",IF(OR(PT!$K41="No",PT!$AB41="No"),1,0))</f>
        <v/>
      </c>
      <c r="N41" s="17">
        <f>IF($B41="","",IF(COUNTIFS(nrMD_PID,$B41,nrMD_Status,"RESTRICTION EXPIRED")&gt;0,1,0))</f>
        <v/>
      </c>
      <c r="O41" s="17">
        <f>IF($B41="","",IF(Certifications!$U41&lt;&gt;"",1,0))</f>
        <v/>
      </c>
      <c r="P41" s="17">
        <f>IF($B41="","",IF(COUNTIFS(nrME_PID,$B41,nrME_Status,"OVERDUE")&gt;0,1,0))</f>
        <v/>
      </c>
      <c r="Q41" s="17">
        <f>IF($B41="","",IF(SUMPRODUCT((nrAT_PID=$B41)*(nrAT_Cleared="OPEN"))&gt;0,1,0))</f>
        <v/>
      </c>
      <c r="R41" s="17">
        <f>IF($B41="","",SUM($E41:$Q41))</f>
        <v/>
      </c>
      <c r="S41" s="17">
        <f>IF($B41="","",IF($R41=0,"",_xlfn.TEXTJOIN(";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"&amp;Certifications!$U41,""),IF($P41=1,"OVERDUE MEMO",""),IF($Q41=1,SUMPRODUCT((nrAT_PID=$B41)*(nrAT_Cleared="OPEN"))&amp;" uncleared missed-time event(s)",""))))</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IF($B42="","",IF(COUNTIFS(nrES_PID,$B42,nrES_RetStat,"OVERDUE")&gt;0,1,0))</f>
        <v/>
      </c>
      <c r="M42" s="17">
        <f>IF($B42="","",IF(OR(PT!$K42="No",PT!$AB42="No"),1,0))</f>
        <v/>
      </c>
      <c r="N42" s="17">
        <f>IF($B42="","",IF(COUNTIFS(nrMD_PID,$B42,nrMD_Status,"RESTRICTION EXPIRED")&gt;0,1,0))</f>
        <v/>
      </c>
      <c r="O42" s="17">
        <f>IF($B42="","",IF(Certifications!$U42&lt;&gt;"",1,0))</f>
        <v/>
      </c>
      <c r="P42" s="17">
        <f>IF($B42="","",IF(COUNTIFS(nrME_PID,$B42,nrME_Status,"OVERDUE")&gt;0,1,0))</f>
        <v/>
      </c>
      <c r="Q42" s="17">
        <f>IF($B42="","",IF(SUMPRODUCT((nrAT_PID=$B42)*(nrAT_Cleared="OPEN"))&gt;0,1,0))</f>
        <v/>
      </c>
      <c r="R42" s="17">
        <f>IF($B42="","",SUM($E42:$Q42))</f>
        <v/>
      </c>
      <c r="S42" s="17">
        <f>IF($B42="","",IF($R42=0,"",_xlfn.TEXTJOIN(";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"&amp;Certifications!$U42,""),IF($P42=1,"OVERDUE MEMO",""),IF($Q42=1,SUMPRODUCT((nrAT_PID=$B42)*(nrAT_Cleared="OPEN"))&amp;" uncleared missed-time event(s)",""))))</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IF($B43="","",IF(COUNTIFS(nrES_PID,$B43,nrES_RetStat,"OVERDUE")&gt;0,1,0))</f>
        <v/>
      </c>
      <c r="M43" s="17">
        <f>IF($B43="","",IF(OR(PT!$K43="No",PT!$AB43="No"),1,0))</f>
        <v/>
      </c>
      <c r="N43" s="17">
        <f>IF($B43="","",IF(COUNTIFS(nrMD_PID,$B43,nrMD_Status,"RESTRICTION EXPIRED")&gt;0,1,0))</f>
        <v/>
      </c>
      <c r="O43" s="17">
        <f>IF($B43="","",IF(Certifications!$U43&lt;&gt;"",1,0))</f>
        <v/>
      </c>
      <c r="P43" s="17">
        <f>IF($B43="","",IF(COUNTIFS(nrME_PID,$B43,nrME_Status,"OVERDUE")&gt;0,1,0))</f>
        <v/>
      </c>
      <c r="Q43" s="17">
        <f>IF($B43="","",IF(SUMPRODUCT((nrAT_PID=$B43)*(nrAT_Cleared="OPEN"))&gt;0,1,0))</f>
        <v/>
      </c>
      <c r="R43" s="17">
        <f>IF($B43="","",SUM($E43:$Q43))</f>
        <v/>
      </c>
      <c r="S43" s="17">
        <f>IF($B43="","",IF($R43=0,"",_xlfn.TEXTJOIN(";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"&amp;Certifications!$U43,""),IF($P43=1,"OVERDUE MEMO",""),IF($Q43=1,SUMPRODUCT((nrAT_PID=$B43)*(nrAT_Cleared="OPEN"))&amp;" uncleared missed-time event(s)",""))))</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IF($B44="","",IF(COUNTIFS(nrES_PID,$B44,nrES_RetStat,"OVERDUE")&gt;0,1,0))</f>
        <v/>
      </c>
      <c r="M44" s="17">
        <f>IF($B44="","",IF(OR(PT!$K44="No",PT!$AB44="No"),1,0))</f>
        <v/>
      </c>
      <c r="N44" s="17">
        <f>IF($B44="","",IF(COUNTIFS(nrMD_PID,$B44,nrMD_Status,"RESTRICTION EXPIRED")&gt;0,1,0))</f>
        <v/>
      </c>
      <c r="O44" s="17">
        <f>IF($B44="","",IF(Certifications!$U44&lt;&gt;"",1,0))</f>
        <v/>
      </c>
      <c r="P44" s="17">
        <f>IF($B44="","",IF(COUNTIFS(nrME_PID,$B44,nrME_Status,"OVERDUE")&gt;0,1,0))</f>
        <v/>
      </c>
      <c r="Q44" s="17">
        <f>IF($B44="","",IF(SUMPRODUCT((nrAT_PID=$B44)*(nrAT_Cleared="OPEN"))&gt;0,1,0))</f>
        <v/>
      </c>
      <c r="R44" s="17">
        <f>IF($B44="","",SUM($E44:$Q44))</f>
        <v/>
      </c>
      <c r="S44" s="17">
        <f>IF($B44="","",IF($R44=0,"",_xlfn.TEXTJOIN(";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"&amp;Certifications!$U44,""),IF($P44=1,"OVERDUE MEMO",""),IF($Q44=1,SUMPRODUCT((nrAT_PID=$B44)*(nrAT_Cleared="OPEN"))&amp;" uncleared missed-time event(s)",""))))</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IF($B45="","",IF(COUNTIFS(nrES_PID,$B45,nrES_RetStat,"OVERDUE")&gt;0,1,0))</f>
        <v/>
      </c>
      <c r="M45" s="17">
        <f>IF($B45="","",IF(OR(PT!$K45="No",PT!$AB45="No"),1,0))</f>
        <v/>
      </c>
      <c r="N45" s="17">
        <f>IF($B45="","",IF(COUNTIFS(nrMD_PID,$B45,nrMD_Status,"RESTRICTION EXPIRED")&gt;0,1,0))</f>
        <v/>
      </c>
      <c r="O45" s="17">
        <f>IF($B45="","",IF(Certifications!$U45&lt;&gt;"",1,0))</f>
        <v/>
      </c>
      <c r="P45" s="17">
        <f>IF($B45="","",IF(COUNTIFS(nrME_PID,$B45,nrME_Status,"OVERDUE")&gt;0,1,0))</f>
        <v/>
      </c>
      <c r="Q45" s="17">
        <f>IF($B45="","",IF(SUMPRODUCT((nrAT_PID=$B45)*(nrAT_Cleared="OPEN"))&gt;0,1,0))</f>
        <v/>
      </c>
      <c r="R45" s="17">
        <f>IF($B45="","",SUM($E45:$Q45))</f>
        <v/>
      </c>
      <c r="S45" s="17">
        <f>IF($B45="","",IF($R45=0,"",_xlfn.TEXTJOIN(";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"&amp;Certifications!$U45,""),IF($P45=1,"OVERDUE MEMO",""),IF($Q45=1,SUMPRODUCT((nrAT_PID=$B45)*(nrAT_Cleared="OPEN"))&amp;" uncleared missed-time event(s)",""))))</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IF($B46="","",IF(COUNTIFS(nrES_PID,$B46,nrES_RetStat,"OVERDUE")&gt;0,1,0))</f>
        <v/>
      </c>
      <c r="M46" s="17">
        <f>IF($B46="","",IF(OR(PT!$K46="No",PT!$AB46="No"),1,0))</f>
        <v/>
      </c>
      <c r="N46" s="17">
        <f>IF($B46="","",IF(COUNTIFS(nrMD_PID,$B46,nrMD_Status,"RESTRICTION EXPIRED")&gt;0,1,0))</f>
        <v/>
      </c>
      <c r="O46" s="17">
        <f>IF($B46="","",IF(Certifications!$U46&lt;&gt;"",1,0))</f>
        <v/>
      </c>
      <c r="P46" s="17">
        <f>IF($B46="","",IF(COUNTIFS(nrME_PID,$B46,nrME_Status,"OVERDUE")&gt;0,1,0))</f>
        <v/>
      </c>
      <c r="Q46" s="17">
        <f>IF($B46="","",IF(SUMPRODUCT((nrAT_PID=$B46)*(nrAT_Cleared="OPEN"))&gt;0,1,0))</f>
        <v/>
      </c>
      <c r="R46" s="17">
        <f>IF($B46="","",SUM($E46:$Q46))</f>
        <v/>
      </c>
      <c r="S46" s="17">
        <f>IF($B46="","",IF($R46=0,"",_xlfn.TEXTJOIN(";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"&amp;Certifications!$U46,""),IF($P46=1,"OVERDUE MEMO",""),IF($Q46=1,SUMPRODUCT((nrAT_PID=$B46)*(nrAT_Cleared="OPEN"))&amp;" uncleared missed-time event(s)",""))))</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IF($B47="","",IF(COUNTIFS(nrES_PID,$B47,nrES_RetStat,"OVERDUE")&gt;0,1,0))</f>
        <v/>
      </c>
      <c r="M47" s="17">
        <f>IF($B47="","",IF(OR(PT!$K47="No",PT!$AB47="No"),1,0))</f>
        <v/>
      </c>
      <c r="N47" s="17">
        <f>IF($B47="","",IF(COUNTIFS(nrMD_PID,$B47,nrMD_Status,"RESTRICTION EXPIRED")&gt;0,1,0))</f>
        <v/>
      </c>
      <c r="O47" s="17">
        <f>IF($B47="","",IF(Certifications!$U47&lt;&gt;"",1,0))</f>
        <v/>
      </c>
      <c r="P47" s="17">
        <f>IF($B47="","",IF(COUNTIFS(nrME_PID,$B47,nrME_Status,"OVERDUE")&gt;0,1,0))</f>
        <v/>
      </c>
      <c r="Q47" s="17">
        <f>IF($B47="","",IF(SUMPRODUCT((nrAT_PID=$B47)*(nrAT_Cleared="OPEN"))&gt;0,1,0))</f>
        <v/>
      </c>
      <c r="R47" s="17">
        <f>IF($B47="","",SUM($E47:$Q47))</f>
        <v/>
      </c>
      <c r="S47" s="17">
        <f>IF($B47="","",IF($R47=0,"",_xlfn.TEXTJOIN(";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"&amp;Certifications!$U47,""),IF($P47=1,"OVERDUE MEMO",""),IF($Q47=1,SUMPRODUCT((nrAT_PID=$B47)*(nrAT_Cleared="OPEN"))&amp;" uncleared missed-time event(s)",""))))</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IF($B48="","",IF(COUNTIFS(nrES_PID,$B48,nrES_RetStat,"OVERDUE")&gt;0,1,0))</f>
        <v/>
      </c>
      <c r="M48" s="17">
        <f>IF($B48="","",IF(OR(PT!$K48="No",PT!$AB48="No"),1,0))</f>
        <v/>
      </c>
      <c r="N48" s="17">
        <f>IF($B48="","",IF(COUNTIFS(nrMD_PID,$B48,nrMD_Status,"RESTRICTION EXPIRED")&gt;0,1,0))</f>
        <v/>
      </c>
      <c r="O48" s="17">
        <f>IF($B48="","",IF(Certifications!$U48&lt;&gt;"",1,0))</f>
        <v/>
      </c>
      <c r="P48" s="17">
        <f>IF($B48="","",IF(COUNTIFS(nrME_PID,$B48,nrME_Status,"OVERDUE")&gt;0,1,0))</f>
        <v/>
      </c>
      <c r="Q48" s="17">
        <f>IF($B48="","",IF(SUMPRODUCT((nrAT_PID=$B48)*(nrAT_Cleared="OPEN"))&gt;0,1,0))</f>
        <v/>
      </c>
      <c r="R48" s="17">
        <f>IF($B48="","",SUM($E48:$Q48))</f>
        <v/>
      </c>
      <c r="S48" s="17">
        <f>IF($B48="","",IF($R48=0,"",_xlfn.TEXTJOIN(";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"&amp;Certifications!$U48,""),IF($P48=1,"OVERDUE MEMO",""),IF($Q48=1,SUMPRODUCT((nrAT_PID=$B48)*(nrAT_Cleared="OPEN"))&amp;" uncleared missed-time event(s)",""))))</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IF($B49="","",IF(COUNTIFS(nrES_PID,$B49,nrES_RetStat,"OVERDUE")&gt;0,1,0))</f>
        <v/>
      </c>
      <c r="M49" s="17">
        <f>IF($B49="","",IF(OR(PT!$K49="No",PT!$AB49="No"),1,0))</f>
        <v/>
      </c>
      <c r="N49" s="17">
        <f>IF($B49="","",IF(COUNTIFS(nrMD_PID,$B49,nrMD_Status,"RESTRICTION EXPIRED")&gt;0,1,0))</f>
        <v/>
      </c>
      <c r="O49" s="17">
        <f>IF($B49="","",IF(Certifications!$U49&lt;&gt;"",1,0))</f>
        <v/>
      </c>
      <c r="P49" s="17">
        <f>IF($B49="","",IF(COUNTIFS(nrME_PID,$B49,nrME_Status,"OVERDUE")&gt;0,1,0))</f>
        <v/>
      </c>
      <c r="Q49" s="17">
        <f>IF($B49="","",IF(SUMPRODUCT((nrAT_PID=$B49)*(nrAT_Cleared="OPEN"))&gt;0,1,0))</f>
        <v/>
      </c>
      <c r="R49" s="17">
        <f>IF($B49="","",SUM($E49:$Q49))</f>
        <v/>
      </c>
      <c r="S49" s="17">
        <f>IF($B49="","",IF($R49=0,"",_xlfn.TEXTJOIN(";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"&amp;Certifications!$U49,""),IF($P49=1,"OVERDUE MEMO",""),IF($Q49=1,SUMPRODUCT((nrAT_PID=$B49)*(nrAT_Cleared="OPEN"))&amp;" uncleared missed-time event(s)",""))))</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IF($B50="","",IF(COUNTIFS(nrES_PID,$B50,nrES_RetStat,"OVERDUE")&gt;0,1,0))</f>
        <v/>
      </c>
      <c r="M50" s="17">
        <f>IF($B50="","",IF(OR(PT!$K50="No",PT!$AB50="No"),1,0))</f>
        <v/>
      </c>
      <c r="N50" s="17">
        <f>IF($B50="","",IF(COUNTIFS(nrMD_PID,$B50,nrMD_Status,"RESTRICTION EXPIRED")&gt;0,1,0))</f>
        <v/>
      </c>
      <c r="O50" s="17">
        <f>IF($B50="","",IF(Certifications!$U50&lt;&gt;"",1,0))</f>
        <v/>
      </c>
      <c r="P50" s="17">
        <f>IF($B50="","",IF(COUNTIFS(nrME_PID,$B50,nrME_Status,"OVERDUE")&gt;0,1,0))</f>
        <v/>
      </c>
      <c r="Q50" s="17">
        <f>IF($B50="","",IF(SUMPRODUCT((nrAT_PID=$B50)*(nrAT_Cleared="OPEN"))&gt;0,1,0))</f>
        <v/>
      </c>
      <c r="R50" s="17">
        <f>IF($B50="","",SUM($E50:$Q50))</f>
        <v/>
      </c>
      <c r="S50" s="17">
        <f>IF($B50="","",IF($R50=0,"",_xlfn.TEXTJOIN(";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"&amp;Certifications!$U50,""),IF($P50=1,"OVERDUE MEMO",""),IF($Q50=1,SUMPRODUCT((nrAT_PID=$B50)*(nrAT_Cleared="OPEN"))&amp;" uncleared missed-time event(s)",""))))</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IF($B51="","",IF(COUNTIFS(nrES_PID,$B51,nrES_RetStat,"OVERDUE")&gt;0,1,0))</f>
        <v/>
      </c>
      <c r="M51" s="17">
        <f>IF($B51="","",IF(OR(PT!$K51="No",PT!$AB51="No"),1,0))</f>
        <v/>
      </c>
      <c r="N51" s="17">
        <f>IF($B51="","",IF(COUNTIFS(nrMD_PID,$B51,nrMD_Status,"RESTRICTION EXPIRED")&gt;0,1,0))</f>
        <v/>
      </c>
      <c r="O51" s="17">
        <f>IF($B51="","",IF(Certifications!$U51&lt;&gt;"",1,0))</f>
        <v/>
      </c>
      <c r="P51" s="17">
        <f>IF($B51="","",IF(COUNTIFS(nrME_PID,$B51,nrME_Status,"OVERDUE")&gt;0,1,0))</f>
        <v/>
      </c>
      <c r="Q51" s="17">
        <f>IF($B51="","",IF(SUMPRODUCT((nrAT_PID=$B51)*(nrAT_Cleared="OPEN"))&gt;0,1,0))</f>
        <v/>
      </c>
      <c r="R51" s="17">
        <f>IF($B51="","",SUM($E51:$Q51))</f>
        <v/>
      </c>
      <c r="S51" s="17">
        <f>IF($B51="","",IF($R51=0,"",_xlfn.TEXTJOIN(";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"&amp;Certifications!$U51,""),IF($P51=1,"OVERDUE MEMO",""),IF($Q51=1,SUMPRODUCT((nrAT_PID=$B51)*(nrAT_Cleared="OPEN"))&amp;" uncleared missed-time event(s)",""))))</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IF($B52="","",IF(COUNTIFS(nrES_PID,$B52,nrES_RetStat,"OVERDUE")&gt;0,1,0))</f>
        <v/>
      </c>
      <c r="M52" s="17">
        <f>IF($B52="","",IF(OR(PT!$K52="No",PT!$AB52="No"),1,0))</f>
        <v/>
      </c>
      <c r="N52" s="17">
        <f>IF($B52="","",IF(COUNTIFS(nrMD_PID,$B52,nrMD_Status,"RESTRICTION EXPIRED")&gt;0,1,0))</f>
        <v/>
      </c>
      <c r="O52" s="17">
        <f>IF($B52="","",IF(Certifications!$U52&lt;&gt;"",1,0))</f>
        <v/>
      </c>
      <c r="P52" s="17">
        <f>IF($B52="","",IF(COUNTIFS(nrME_PID,$B52,nrME_Status,"OVERDUE")&gt;0,1,0))</f>
        <v/>
      </c>
      <c r="Q52" s="17">
        <f>IF($B52="","",IF(SUMPRODUCT((nrAT_PID=$B52)*(nrAT_Cleared="OPEN"))&gt;0,1,0))</f>
        <v/>
      </c>
      <c r="R52" s="17">
        <f>IF($B52="","",SUM($E52:$Q52))</f>
        <v/>
      </c>
      <c r="S52" s="17">
        <f>IF($B52="","",IF($R52=0,"",_xlfn.TEXTJOIN(";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"&amp;Certifications!$U52,""),IF($P52=1,"OVERDUE MEMO",""),IF($Q52=1,SUMPRODUCT((nrAT_PID=$B52)*(nrAT_Cleared="OPEN"))&amp;" uncleared missed-time event(s)",""))))</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IF($B53="","",IF(COUNTIFS(nrES_PID,$B53,nrES_RetStat,"OVERDUE")&gt;0,1,0))</f>
        <v/>
      </c>
      <c r="M53" s="17">
        <f>IF($B53="","",IF(OR(PT!$K53="No",PT!$AB53="No"),1,0))</f>
        <v/>
      </c>
      <c r="N53" s="17">
        <f>IF($B53="","",IF(COUNTIFS(nrMD_PID,$B53,nrMD_Status,"RESTRICTION EXPIRED")&gt;0,1,0))</f>
        <v/>
      </c>
      <c r="O53" s="17">
        <f>IF($B53="","",IF(Certifications!$U53&lt;&gt;"",1,0))</f>
        <v/>
      </c>
      <c r="P53" s="17">
        <f>IF($B53="","",IF(COUNTIFS(nrME_PID,$B53,nrME_Status,"OVERDUE")&gt;0,1,0))</f>
        <v/>
      </c>
      <c r="Q53" s="17">
        <f>IF($B53="","",IF(SUMPRODUCT((nrAT_PID=$B53)*(nrAT_Cleared="OPEN"))&gt;0,1,0))</f>
        <v/>
      </c>
      <c r="R53" s="17">
        <f>IF($B53="","",SUM($E53:$Q53))</f>
        <v/>
      </c>
      <c r="S53" s="17">
        <f>IF($B53="","",IF($R53=0,"",_xlfn.TEXTJOIN(";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"&amp;Certifications!$U53,""),IF($P53=1,"OVERDUE MEMO",""),IF($Q53=1,SUMPRODUCT((nrAT_PID=$B53)*(nrAT_Cleared="OPEN"))&amp;" uncleared missed-time event(s)",""))))</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IF($B54="","",IF(COUNTIFS(nrES_PID,$B54,nrES_RetStat,"OVERDUE")&gt;0,1,0))</f>
        <v/>
      </c>
      <c r="M54" s="17">
        <f>IF($B54="","",IF(OR(PT!$K54="No",PT!$AB54="No"),1,0))</f>
        <v/>
      </c>
      <c r="N54" s="17">
        <f>IF($B54="","",IF(COUNTIFS(nrMD_PID,$B54,nrMD_Status,"RESTRICTION EXPIRED")&gt;0,1,0))</f>
        <v/>
      </c>
      <c r="O54" s="17">
        <f>IF($B54="","",IF(Certifications!$U54&lt;&gt;"",1,0))</f>
        <v/>
      </c>
      <c r="P54" s="17">
        <f>IF($B54="","",IF(COUNTIFS(nrME_PID,$B54,nrME_Status,"OVERDUE")&gt;0,1,0))</f>
        <v/>
      </c>
      <c r="Q54" s="17">
        <f>IF($B54="","",IF(SUMPRODUCT((nrAT_PID=$B54)*(nrAT_Cleared="OPEN"))&gt;0,1,0))</f>
        <v/>
      </c>
      <c r="R54" s="17">
        <f>IF($B54="","",SUM($E54:$Q54))</f>
        <v/>
      </c>
      <c r="S54" s="17">
        <f>IF($B54="","",IF($R54=0,"",_xlfn.TEXTJOIN(";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"&amp;Certifications!$U54,""),IF($P54=1,"OVERDUE MEMO",""),IF($Q54=1,SUMPRODUCT((nrAT_PID=$B54)*(nrAT_Cleared="OPEN"))&amp;" uncleared missed-time event(s)",""))))</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IF($B55="","",IF(COUNTIFS(nrES_PID,$B55,nrES_RetStat,"OVERDUE")&gt;0,1,0))</f>
        <v/>
      </c>
      <c r="M55" s="17">
        <f>IF($B55="","",IF(OR(PT!$K55="No",PT!$AB55="No"),1,0))</f>
        <v/>
      </c>
      <c r="N55" s="17">
        <f>IF($B55="","",IF(COUNTIFS(nrMD_PID,$B55,nrMD_Status,"RESTRICTION EXPIRED")&gt;0,1,0))</f>
        <v/>
      </c>
      <c r="O55" s="17">
        <f>IF($B55="","",IF(Certifications!$U55&lt;&gt;"",1,0))</f>
        <v/>
      </c>
      <c r="P55" s="17">
        <f>IF($B55="","",IF(COUNTIFS(nrME_PID,$B55,nrME_Status,"OVERDUE")&gt;0,1,0))</f>
        <v/>
      </c>
      <c r="Q55" s="17">
        <f>IF($B55="","",IF(SUMPRODUCT((nrAT_PID=$B55)*(nrAT_Cleared="OPEN"))&gt;0,1,0))</f>
        <v/>
      </c>
      <c r="R55" s="17">
        <f>IF($B55="","",SUM($E55:$Q55))</f>
        <v/>
      </c>
      <c r="S55" s="17">
        <f>IF($B55="","",IF($R55=0,"",_xlfn.TEXTJOIN(";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"&amp;Certifications!$U55,""),IF($P55=1,"OVERDUE MEMO",""),IF($Q55=1,SUMPRODUCT((nrAT_PID=$B55)*(nrAT_Cleared="OPEN"))&amp;" uncleared missed-time event(s)",""))))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under attendance caps, makeup complete, skills qualified, writing current, final PT passed,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IF($B6="","",IF(PT!$AB6="No","No","Yes"))</f>
        <v/>
      </c>
      <c r="M6" s="17">
        <f>IF($B6="","",IF(OR(sysGrades!$P6&gt;0,sysSkills!$J6="Yes",sysIncidents!$J6&gt;0),"Yes","No"))</f>
        <v/>
      </c>
      <c r="N6" s="17">
        <f>IF($B6="","",IF(AND($E6="Yes",$F6="Yes",$G6="Yes",$H6="Yes",$I6="Yes",$J6="Yes",$K6="Yes",$L6="Yes",$M6="No"),"Yes","No"))</f>
        <v/>
      </c>
      <c r="O6" s="17">
        <f>IF($B6="","",IF($N6="Yes","Eligible",TRIM(IF($E6&lt;&gt;"Yes","Academic; ","")&amp;IF($F6&lt;&gt;"Yes","Classroom; ","")&amp;IF($G6&lt;&gt;"Yes","PT sessions; ","")&amp;IF($H6&lt;&gt;"Yes","Skills; ","")&amp;IF($I6&lt;&gt;"Yes","Incidents; ","")&amp;IF($J6&lt;&gt;"Yes","Writing; ","")&amp;IF($K6&lt;&gt;"Yes","Makeup owed; ","")&amp;IF($L6&lt;&gt;"Yes","Final PT; ","")&amp;IF($M6="Yes","Dismissal review; ",""))))</f>
        <v/>
      </c>
      <c r="P6" s="17">
        <f>IF($B6="","",IF(PT!$AB6="No","No","Yes"))</f>
        <v/>
      </c>
      <c r="Q6" s="17">
        <f>IF($B6="","",IF(Certifications!$T6="Yes","Yes","No"))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IF($B7="","",IF(PT!$AB7="No","No","Yes"))</f>
        <v/>
      </c>
      <c r="M7" s="17">
        <f>IF($B7="","",IF(OR(sysGrades!$P7&gt;0,sysSkills!$J7="Yes",sysIncidents!$J7&gt;0),"Yes","No"))</f>
        <v/>
      </c>
      <c r="N7" s="17">
        <f>IF($B7="","",IF(AND($E7="Yes",$F7="Yes",$G7="Yes",$H7="Yes",$I7="Yes",$J7="Yes",$K7="Yes",$L7="Yes",$M7="No"),"Yes","No"))</f>
        <v/>
      </c>
      <c r="O7" s="17">
        <f>IF($B7="","",IF($N7="Yes","Eligible",TRIM(IF($E7&lt;&gt;"Yes","Academic; ","")&amp;IF($F7&lt;&gt;"Yes","Classroom; ","")&amp;IF($G7&lt;&gt;"Yes","PT sessions; ","")&amp;IF($H7&lt;&gt;"Yes","Skills; ","")&amp;IF($I7&lt;&gt;"Yes","Incidents; ","")&amp;IF($J7&lt;&gt;"Yes","Writing; ","")&amp;IF($K7&lt;&gt;"Yes","Makeup owed; ","")&amp;IF($L7&lt;&gt;"Yes","Final PT; ","")&amp;IF($M7="Yes","Dismissal review; ",""))))</f>
        <v/>
      </c>
      <c r="P7" s="17">
        <f>IF($B7="","",IF(PT!$AB7="No","No","Yes"))</f>
        <v/>
      </c>
      <c r="Q7" s="17">
        <f>IF($B7="","",IF(Certifications!$T7="Yes","Yes","No"))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IF($B8="","",IF(PT!$AB8="No","No","Yes"))</f>
        <v/>
      </c>
      <c r="M8" s="17">
        <f>IF($B8="","",IF(OR(sysGrades!$P8&gt;0,sysSkills!$J8="Yes",sysIncidents!$J8&gt;0),"Yes","No"))</f>
        <v/>
      </c>
      <c r="N8" s="17">
        <f>IF($B8="","",IF(AND($E8="Yes",$F8="Yes",$G8="Yes",$H8="Yes",$I8="Yes",$J8="Yes",$K8="Yes",$L8="Yes",$M8="No"),"Yes","No"))</f>
        <v/>
      </c>
      <c r="O8" s="17">
        <f>IF($B8="","",IF($N8="Yes","Eligible",TRIM(IF($E8&lt;&gt;"Yes","Academic; ","")&amp;IF($F8&lt;&gt;"Yes","Classroom; ","")&amp;IF($G8&lt;&gt;"Yes","PT sessions; ","")&amp;IF($H8&lt;&gt;"Yes","Skills; ","")&amp;IF($I8&lt;&gt;"Yes","Incidents; ","")&amp;IF($J8&lt;&gt;"Yes","Writing; ","")&amp;IF($K8&lt;&gt;"Yes","Makeup owed; ","")&amp;IF($L8&lt;&gt;"Yes","Final PT; ","")&amp;IF($M8="Yes","Dismissal review; ",""))))</f>
        <v/>
      </c>
      <c r="P8" s="17">
        <f>IF($B8="","",IF(PT!$AB8="No","No","Yes"))</f>
        <v/>
      </c>
      <c r="Q8" s="17">
        <f>IF($B8="","",IF(Certifications!$T8="Yes","Yes","No"))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IF($B9="","",IF(PT!$AB9="No","No","Yes"))</f>
        <v/>
      </c>
      <c r="M9" s="17">
        <f>IF($B9="","",IF(OR(sysGrades!$P9&gt;0,sysSkills!$J9="Yes",sysIncidents!$J9&gt;0),"Yes","No"))</f>
        <v/>
      </c>
      <c r="N9" s="17">
        <f>IF($B9="","",IF(AND($E9="Yes",$F9="Yes",$G9="Yes",$H9="Yes",$I9="Yes",$J9="Yes",$K9="Yes",$L9="Yes",$M9="No"),"Yes","No"))</f>
        <v/>
      </c>
      <c r="O9" s="17">
        <f>IF($B9="","",IF($N9="Yes","Eligible",TRIM(IF($E9&lt;&gt;"Yes","Academic; ","")&amp;IF($F9&lt;&gt;"Yes","Classroom; ","")&amp;IF($G9&lt;&gt;"Yes","PT sessions; ","")&amp;IF($H9&lt;&gt;"Yes","Skills; ","")&amp;IF($I9&lt;&gt;"Yes","Incidents; ","")&amp;IF($J9&lt;&gt;"Yes","Writing; ","")&amp;IF($K9&lt;&gt;"Yes","Makeup owed; ","")&amp;IF($L9&lt;&gt;"Yes","Final PT; ","")&amp;IF($M9="Yes","Dismissal review; ",""))))</f>
        <v/>
      </c>
      <c r="P9" s="17">
        <f>IF($B9="","",IF(PT!$AB9="No","No","Yes"))</f>
        <v/>
      </c>
      <c r="Q9" s="17">
        <f>IF($B9="","",IF(Certifications!$T9="Yes","Yes","No"))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IF($B10="","",IF(PT!$AB10="No","No","Yes"))</f>
        <v/>
      </c>
      <c r="M10" s="17">
        <f>IF($B10="","",IF(OR(sysGrades!$P10&gt;0,sysSkills!$J10="Yes",sysIncidents!$J10&gt;0),"Yes","No"))</f>
        <v/>
      </c>
      <c r="N10" s="17">
        <f>IF($B10="","",IF(AND($E10="Yes",$F10="Yes",$G10="Yes",$H10="Yes",$I10="Yes",$J10="Yes",$K10="Yes",$L10="Yes",$M10="No"),"Yes","No"))</f>
        <v/>
      </c>
      <c r="O10" s="17">
        <f>IF($B10="","",IF($N10="Yes","Eligible",TRIM(IF($E10&lt;&gt;"Yes","Academic; ","")&amp;IF($F10&lt;&gt;"Yes","Classroom; ","")&amp;IF($G10&lt;&gt;"Yes","PT sessions; ","")&amp;IF($H10&lt;&gt;"Yes","Skills; ","")&amp;IF($I10&lt;&gt;"Yes","Incidents; ","")&amp;IF($J10&lt;&gt;"Yes","Writing; ","")&amp;IF($K10&lt;&gt;"Yes","Makeup owed; ","")&amp;IF($L10&lt;&gt;"Yes","Final PT; ","")&amp;IF($M10="Yes","Dismissal review; ",""))))</f>
        <v/>
      </c>
      <c r="P10" s="17">
        <f>IF($B10="","",IF(PT!$AB10="No","No","Yes"))</f>
        <v/>
      </c>
      <c r="Q10" s="17">
        <f>IF($B10="","",IF(Certifications!$T10="Yes","Yes","No"))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IF($B11="","",IF(PT!$AB11="No","No","Yes"))</f>
        <v/>
      </c>
      <c r="M11" s="17">
        <f>IF($B11="","",IF(OR(sysGrades!$P11&gt;0,sysSkills!$J11="Yes",sysIncidents!$J11&gt;0),"Yes","No"))</f>
        <v/>
      </c>
      <c r="N11" s="17">
        <f>IF($B11="","",IF(AND($E11="Yes",$F11="Yes",$G11="Yes",$H11="Yes",$I11="Yes",$J11="Yes",$K11="Yes",$L11="Yes",$M11="No"),"Yes","No"))</f>
        <v/>
      </c>
      <c r="O11" s="17">
        <f>IF($B11="","",IF($N11="Yes","Eligible",TRIM(IF($E11&lt;&gt;"Yes","Academic; ","")&amp;IF($F11&lt;&gt;"Yes","Classroom; ","")&amp;IF($G11&lt;&gt;"Yes","PT sessions; ","")&amp;IF($H11&lt;&gt;"Yes","Skills; ","")&amp;IF($I11&lt;&gt;"Yes","Incidents; ","")&amp;IF($J11&lt;&gt;"Yes","Writing; ","")&amp;IF($K11&lt;&gt;"Yes","Makeup owed; ","")&amp;IF($L11&lt;&gt;"Yes","Final PT; ","")&amp;IF($M11="Yes","Dismissal review; ",""))))</f>
        <v/>
      </c>
      <c r="P11" s="17">
        <f>IF($B11="","",IF(PT!$AB11="No","No","Yes"))</f>
        <v/>
      </c>
      <c r="Q11" s="17">
        <f>IF($B11="","",IF(Certifications!$T11="Yes","Yes","No"))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IF($B12="","",IF(PT!$AB12="No","No","Yes"))</f>
        <v/>
      </c>
      <c r="M12" s="17">
        <f>IF($B12="","",IF(OR(sysGrades!$P12&gt;0,sysSkills!$J12="Yes",sysIncidents!$J12&gt;0),"Yes","No"))</f>
        <v/>
      </c>
      <c r="N12" s="17">
        <f>IF($B12="","",IF(AND($E12="Yes",$F12="Yes",$G12="Yes",$H12="Yes",$I12="Yes",$J12="Yes",$K12="Yes",$L12="Yes",$M12="No"),"Yes","No"))</f>
        <v/>
      </c>
      <c r="O12" s="17">
        <f>IF($B12="","",IF($N12="Yes","Eligible",TRIM(IF($E12&lt;&gt;"Yes","Academic; ","")&amp;IF($F12&lt;&gt;"Yes","Classroom; ","")&amp;IF($G12&lt;&gt;"Yes","PT sessions; ","")&amp;IF($H12&lt;&gt;"Yes","Skills; ","")&amp;IF($I12&lt;&gt;"Yes","Incidents; ","")&amp;IF($J12&lt;&gt;"Yes","Writing; ","")&amp;IF($K12&lt;&gt;"Yes","Makeup owed; ","")&amp;IF($L12&lt;&gt;"Yes","Final PT; ","")&amp;IF($M12="Yes","Dismissal review; ",""))))</f>
        <v/>
      </c>
      <c r="P12" s="17">
        <f>IF($B12="","",IF(PT!$AB12="No","No","Yes"))</f>
        <v/>
      </c>
      <c r="Q12" s="17">
        <f>IF($B12="","",IF(Certifications!$T12="Yes","Yes","No"))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IF($B13="","",IF(PT!$AB13="No","No","Yes"))</f>
        <v/>
      </c>
      <c r="M13" s="17">
        <f>IF($B13="","",IF(OR(sysGrades!$P13&gt;0,sysSkills!$J13="Yes",sysIncidents!$J13&gt;0),"Yes","No"))</f>
        <v/>
      </c>
      <c r="N13" s="17">
        <f>IF($B13="","",IF(AND($E13="Yes",$F13="Yes",$G13="Yes",$H13="Yes",$I13="Yes",$J13="Yes",$K13="Yes",$L13="Yes",$M13="No"),"Yes","No"))</f>
        <v/>
      </c>
      <c r="O13" s="17">
        <f>IF($B13="","",IF($N13="Yes","Eligible",TRIM(IF($E13&lt;&gt;"Yes","Academic; ","")&amp;IF($F13&lt;&gt;"Yes","Classroom; ","")&amp;IF($G13&lt;&gt;"Yes","PT sessions; ","")&amp;IF($H13&lt;&gt;"Yes","Skills; ","")&amp;IF($I13&lt;&gt;"Yes","Incidents; ","")&amp;IF($J13&lt;&gt;"Yes","Writing; ","")&amp;IF($K13&lt;&gt;"Yes","Makeup owed; ","")&amp;IF($L13&lt;&gt;"Yes","Final PT; ","")&amp;IF($M13="Yes","Dismissal review; ",""))))</f>
        <v/>
      </c>
      <c r="P13" s="17">
        <f>IF($B13="","",IF(PT!$AB13="No","No","Yes"))</f>
        <v/>
      </c>
      <c r="Q13" s="17">
        <f>IF($B13="","",IF(Certifications!$T13="Yes","Yes","No"))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IF($B14="","",IF(PT!$AB14="No","No","Yes"))</f>
        <v/>
      </c>
      <c r="M14" s="17">
        <f>IF($B14="","",IF(OR(sysGrades!$P14&gt;0,sysSkills!$J14="Yes",sysIncidents!$J14&gt;0),"Yes","No"))</f>
        <v/>
      </c>
      <c r="N14" s="17">
        <f>IF($B14="","",IF(AND($E14="Yes",$F14="Yes",$G14="Yes",$H14="Yes",$I14="Yes",$J14="Yes",$K14="Yes",$L14="Yes",$M14="No"),"Yes","No"))</f>
        <v/>
      </c>
      <c r="O14" s="17">
        <f>IF($B14="","",IF($N14="Yes","Eligible",TRIM(IF($E14&lt;&gt;"Yes","Academic; ","")&amp;IF($F14&lt;&gt;"Yes","Classroom; ","")&amp;IF($G14&lt;&gt;"Yes","PT sessions; ","")&amp;IF($H14&lt;&gt;"Yes","Skills; ","")&amp;IF($I14&lt;&gt;"Yes","Incidents; ","")&amp;IF($J14&lt;&gt;"Yes","Writing; ","")&amp;IF($K14&lt;&gt;"Yes","Makeup owed; ","")&amp;IF($L14&lt;&gt;"Yes","Final PT; ","")&amp;IF($M14="Yes","Dismissal review; ",""))))</f>
        <v/>
      </c>
      <c r="P14" s="17">
        <f>IF($B14="","",IF(PT!$AB14="No","No","Yes"))</f>
        <v/>
      </c>
      <c r="Q14" s="17">
        <f>IF($B14="","",IF(Certifications!$T14="Yes","Yes","No"))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IF($B15="","",IF(PT!$AB15="No","No","Yes"))</f>
        <v/>
      </c>
      <c r="M15" s="17">
        <f>IF($B15="","",IF(OR(sysGrades!$P15&gt;0,sysSkills!$J15="Yes",sysIncidents!$J15&gt;0),"Yes","No"))</f>
        <v/>
      </c>
      <c r="N15" s="17">
        <f>IF($B15="","",IF(AND($E15="Yes",$F15="Yes",$G15="Yes",$H15="Yes",$I15="Yes",$J15="Yes",$K15="Yes",$L15="Yes",$M15="No"),"Yes","No"))</f>
        <v/>
      </c>
      <c r="O15" s="17">
        <f>IF($B15="","",IF($N15="Yes","Eligible",TRIM(IF($E15&lt;&gt;"Yes","Academic; ","")&amp;IF($F15&lt;&gt;"Yes","Classroom; ","")&amp;IF($G15&lt;&gt;"Yes","PT sessions; ","")&amp;IF($H15&lt;&gt;"Yes","Skills; ","")&amp;IF($I15&lt;&gt;"Yes","Incidents; ","")&amp;IF($J15&lt;&gt;"Yes","Writing; ","")&amp;IF($K15&lt;&gt;"Yes","Makeup owed; ","")&amp;IF($L15&lt;&gt;"Yes","Final PT; ","")&amp;IF($M15="Yes","Dismissal review; ",""))))</f>
        <v/>
      </c>
      <c r="P15" s="17">
        <f>IF($B15="","",IF(PT!$AB15="No","No","Yes"))</f>
        <v/>
      </c>
      <c r="Q15" s="17">
        <f>IF($B15="","",IF(Certifications!$T15="Yes","Yes","No"))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IF($B16="","",IF(PT!$AB16="No","No","Yes"))</f>
        <v/>
      </c>
      <c r="M16" s="17">
        <f>IF($B16="","",IF(OR(sysGrades!$P16&gt;0,sysSkills!$J16="Yes",sysIncidents!$J16&gt;0),"Yes","No"))</f>
        <v/>
      </c>
      <c r="N16" s="17">
        <f>IF($B16="","",IF(AND($E16="Yes",$F16="Yes",$G16="Yes",$H16="Yes",$I16="Yes",$J16="Yes",$K16="Yes",$L16="Yes",$M16="No"),"Yes","No"))</f>
        <v/>
      </c>
      <c r="O16" s="17">
        <f>IF($B16="","",IF($N16="Yes","Eligible",TRIM(IF($E16&lt;&gt;"Yes","Academic; ","")&amp;IF($F16&lt;&gt;"Yes","Classroom; ","")&amp;IF($G16&lt;&gt;"Yes","PT sessions; ","")&amp;IF($H16&lt;&gt;"Yes","Skills; ","")&amp;IF($I16&lt;&gt;"Yes","Incidents; ","")&amp;IF($J16&lt;&gt;"Yes","Writing; ","")&amp;IF($K16&lt;&gt;"Yes","Makeup owed; ","")&amp;IF($L16&lt;&gt;"Yes","Final PT; ","")&amp;IF($M16="Yes","Dismissal review; ",""))))</f>
        <v/>
      </c>
      <c r="P16" s="17">
        <f>IF($B16="","",IF(PT!$AB16="No","No","Yes"))</f>
        <v/>
      </c>
      <c r="Q16" s="17">
        <f>IF($B16="","",IF(Certifications!$T16="Yes","Yes","No"))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IF($B17="","",IF(PT!$AB17="No","No","Yes"))</f>
        <v/>
      </c>
      <c r="M17" s="17">
        <f>IF($B17="","",IF(OR(sysGrades!$P17&gt;0,sysSkills!$J17="Yes",sysIncidents!$J17&gt;0),"Yes","No"))</f>
        <v/>
      </c>
      <c r="N17" s="17">
        <f>IF($B17="","",IF(AND($E17="Yes",$F17="Yes",$G17="Yes",$H17="Yes",$I17="Yes",$J17="Yes",$K17="Yes",$L17="Yes",$M17="No"),"Yes","No"))</f>
        <v/>
      </c>
      <c r="O17" s="17">
        <f>IF($B17="","",IF($N17="Yes","Eligible",TRIM(IF($E17&lt;&gt;"Yes","Academic; ","")&amp;IF($F17&lt;&gt;"Yes","Classroom; ","")&amp;IF($G17&lt;&gt;"Yes","PT sessions; ","")&amp;IF($H17&lt;&gt;"Yes","Skills; ","")&amp;IF($I17&lt;&gt;"Yes","Incidents; ","")&amp;IF($J17&lt;&gt;"Yes","Writing; ","")&amp;IF($K17&lt;&gt;"Yes","Makeup owed; ","")&amp;IF($L17&lt;&gt;"Yes","Final PT; ","")&amp;IF($M17="Yes","Dismissal review; ",""))))</f>
        <v/>
      </c>
      <c r="P17" s="17">
        <f>IF($B17="","",IF(PT!$AB17="No","No","Yes"))</f>
        <v/>
      </c>
      <c r="Q17" s="17">
        <f>IF($B17="","",IF(Certifications!$T17="Yes","Yes","No"))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IF($B18="","",IF(PT!$AB18="No","No","Yes"))</f>
        <v/>
      </c>
      <c r="M18" s="17">
        <f>IF($B18="","",IF(OR(sysGrades!$P18&gt;0,sysSkills!$J18="Yes",sysIncidents!$J18&gt;0),"Yes","No"))</f>
        <v/>
      </c>
      <c r="N18" s="17">
        <f>IF($B18="","",IF(AND($E18="Yes",$F18="Yes",$G18="Yes",$H18="Yes",$I18="Yes",$J18="Yes",$K18="Yes",$L18="Yes",$M18="No"),"Yes","No"))</f>
        <v/>
      </c>
      <c r="O18" s="17">
        <f>IF($B18="","",IF($N18="Yes","Eligible",TRIM(IF($E18&lt;&gt;"Yes","Academic; ","")&amp;IF($F18&lt;&gt;"Yes","Classroom; ","")&amp;IF($G18&lt;&gt;"Yes","PT sessions; ","")&amp;IF($H18&lt;&gt;"Yes","Skills; ","")&amp;IF($I18&lt;&gt;"Yes","Incidents; ","")&amp;IF($J18&lt;&gt;"Yes","Writing; ","")&amp;IF($K18&lt;&gt;"Yes","Makeup owed; ","")&amp;IF($L18&lt;&gt;"Yes","Final PT; ","")&amp;IF($M18="Yes","Dismissal review; ",""))))</f>
        <v/>
      </c>
      <c r="P18" s="17">
        <f>IF($B18="","",IF(PT!$AB18="No","No","Yes"))</f>
        <v/>
      </c>
      <c r="Q18" s="17">
        <f>IF($B18="","",IF(Certifications!$T18="Yes","Yes","No"))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IF($B19="","",IF(PT!$AB19="No","No","Yes"))</f>
        <v/>
      </c>
      <c r="M19" s="17">
        <f>IF($B19="","",IF(OR(sysGrades!$P19&gt;0,sysSkills!$J19="Yes",sysIncidents!$J19&gt;0),"Yes","No"))</f>
        <v/>
      </c>
      <c r="N19" s="17">
        <f>IF($B19="","",IF(AND($E19="Yes",$F19="Yes",$G19="Yes",$H19="Yes",$I19="Yes",$J19="Yes",$K19="Yes",$L19="Yes",$M19="No"),"Yes","No"))</f>
        <v/>
      </c>
      <c r="O19" s="17">
        <f>IF($B19="","",IF($N19="Yes","Eligible",TRIM(IF($E19&lt;&gt;"Yes","Academic; ","")&amp;IF($F19&lt;&gt;"Yes","Classroom; ","")&amp;IF($G19&lt;&gt;"Yes","PT sessions; ","")&amp;IF($H19&lt;&gt;"Yes","Skills; ","")&amp;IF($I19&lt;&gt;"Yes","Incidents; ","")&amp;IF($J19&lt;&gt;"Yes","Writing; ","")&amp;IF($K19&lt;&gt;"Yes","Makeup owed; ","")&amp;IF($L19&lt;&gt;"Yes","Final PT; ","")&amp;IF($M19="Yes","Dismissal review; ",""))))</f>
        <v/>
      </c>
      <c r="P19" s="17">
        <f>IF($B19="","",IF(PT!$AB19="No","No","Yes"))</f>
        <v/>
      </c>
      <c r="Q19" s="17">
        <f>IF($B19="","",IF(Certifications!$T19="Yes","Yes","No"))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IF($B20="","",IF(PT!$AB20="No","No","Yes"))</f>
        <v/>
      </c>
      <c r="M20" s="17">
        <f>IF($B20="","",IF(OR(sysGrades!$P20&gt;0,sysSkills!$J20="Yes",sysIncidents!$J20&gt;0),"Yes","No"))</f>
        <v/>
      </c>
      <c r="N20" s="17">
        <f>IF($B20="","",IF(AND($E20="Yes",$F20="Yes",$G20="Yes",$H20="Yes",$I20="Yes",$J20="Yes",$K20="Yes",$L20="Yes",$M20="No"),"Yes","No"))</f>
        <v/>
      </c>
      <c r="O20" s="17">
        <f>IF($B20="","",IF($N20="Yes","Eligible",TRIM(IF($E20&lt;&gt;"Yes","Academic; ","")&amp;IF($F20&lt;&gt;"Yes","Classroom; ","")&amp;IF($G20&lt;&gt;"Yes","PT sessions; ","")&amp;IF($H20&lt;&gt;"Yes","Skills; ","")&amp;IF($I20&lt;&gt;"Yes","Incidents; ","")&amp;IF($J20&lt;&gt;"Yes","Writing; ","")&amp;IF($K20&lt;&gt;"Yes","Makeup owed; ","")&amp;IF($L20&lt;&gt;"Yes","Final PT; ","")&amp;IF($M20="Yes","Dismissal review; ",""))))</f>
        <v/>
      </c>
      <c r="P20" s="17">
        <f>IF($B20="","",IF(PT!$AB20="No","No","Yes"))</f>
        <v/>
      </c>
      <c r="Q20" s="17">
        <f>IF($B20="","",IF(Certifications!$T20="Yes","Yes","No"))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IF($B21="","",IF(PT!$AB21="No","No","Yes"))</f>
        <v/>
      </c>
      <c r="M21" s="17">
        <f>IF($B21="","",IF(OR(sysGrades!$P21&gt;0,sysSkills!$J21="Yes",sysIncidents!$J21&gt;0),"Yes","No"))</f>
        <v/>
      </c>
      <c r="N21" s="17">
        <f>IF($B21="","",IF(AND($E21="Yes",$F21="Yes",$G21="Yes",$H21="Yes",$I21="Yes",$J21="Yes",$K21="Yes",$L21="Yes",$M21="No"),"Yes","No"))</f>
        <v/>
      </c>
      <c r="O21" s="17">
        <f>IF($B21="","",IF($N21="Yes","Eligible",TRIM(IF($E21&lt;&gt;"Yes","Academic; ","")&amp;IF($F21&lt;&gt;"Yes","Classroom; ","")&amp;IF($G21&lt;&gt;"Yes","PT sessions; ","")&amp;IF($H21&lt;&gt;"Yes","Skills; ","")&amp;IF($I21&lt;&gt;"Yes","Incidents; ","")&amp;IF($J21&lt;&gt;"Yes","Writing; ","")&amp;IF($K21&lt;&gt;"Yes","Makeup owed; ","")&amp;IF($L21&lt;&gt;"Yes","Final PT; ","")&amp;IF($M21="Yes","Dismissal review; ",""))))</f>
        <v/>
      </c>
      <c r="P21" s="17">
        <f>IF($B21="","",IF(PT!$AB21="No","No","Yes"))</f>
        <v/>
      </c>
      <c r="Q21" s="17">
        <f>IF($B21="","",IF(Certifications!$T21="Yes","Yes","No"))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IF($B22="","",IF(PT!$AB22="No","No","Yes"))</f>
        <v/>
      </c>
      <c r="M22" s="17">
        <f>IF($B22="","",IF(OR(sysGrades!$P22&gt;0,sysSkills!$J22="Yes",sysIncidents!$J22&gt;0),"Yes","No"))</f>
        <v/>
      </c>
      <c r="N22" s="17">
        <f>IF($B22="","",IF(AND($E22="Yes",$F22="Yes",$G22="Yes",$H22="Yes",$I22="Yes",$J22="Yes",$K22="Yes",$L22="Yes",$M22="No"),"Yes","No"))</f>
        <v/>
      </c>
      <c r="O22" s="17">
        <f>IF($B22="","",IF($N22="Yes","Eligible",TRIM(IF($E22&lt;&gt;"Yes","Academic; ","")&amp;IF($F22&lt;&gt;"Yes","Classroom; ","")&amp;IF($G22&lt;&gt;"Yes","PT sessions; ","")&amp;IF($H22&lt;&gt;"Yes","Skills; ","")&amp;IF($I22&lt;&gt;"Yes","Incidents; ","")&amp;IF($J22&lt;&gt;"Yes","Writing; ","")&amp;IF($K22&lt;&gt;"Yes","Makeup owed; ","")&amp;IF($L22&lt;&gt;"Yes","Final PT; ","")&amp;IF($M22="Yes","Dismissal review; ",""))))</f>
        <v/>
      </c>
      <c r="P22" s="17">
        <f>IF($B22="","",IF(PT!$AB22="No","No","Yes"))</f>
        <v/>
      </c>
      <c r="Q22" s="17">
        <f>IF($B22="","",IF(Certifications!$T22="Yes","Yes","No"))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IF($B23="","",IF(PT!$AB23="No","No","Yes"))</f>
        <v/>
      </c>
      <c r="M23" s="17">
        <f>IF($B23="","",IF(OR(sysGrades!$P23&gt;0,sysSkills!$J23="Yes",sysIncidents!$J23&gt;0),"Yes","No"))</f>
        <v/>
      </c>
      <c r="N23" s="17">
        <f>IF($B23="","",IF(AND($E23="Yes",$F23="Yes",$G23="Yes",$H23="Yes",$I23="Yes",$J23="Yes",$K23="Yes",$L23="Yes",$M23="No"),"Yes","No"))</f>
        <v/>
      </c>
      <c r="O23" s="17">
        <f>IF($B23="","",IF($N23="Yes","Eligible",TRIM(IF($E23&lt;&gt;"Yes","Academic; ","")&amp;IF($F23&lt;&gt;"Yes","Classroom; ","")&amp;IF($G23&lt;&gt;"Yes","PT sessions; ","")&amp;IF($H23&lt;&gt;"Yes","Skills; ","")&amp;IF($I23&lt;&gt;"Yes","Incidents; ","")&amp;IF($J23&lt;&gt;"Yes","Writing; ","")&amp;IF($K23&lt;&gt;"Yes","Makeup owed; ","")&amp;IF($L23&lt;&gt;"Yes","Final PT; ","")&amp;IF($M23="Yes","Dismissal review; ",""))))</f>
        <v/>
      </c>
      <c r="P23" s="17">
        <f>IF($B23="","",IF(PT!$AB23="No","No","Yes"))</f>
        <v/>
      </c>
      <c r="Q23" s="17">
        <f>IF($B23="","",IF(Certifications!$T23="Yes","Yes","No"))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IF($B24="","",IF(PT!$AB24="No","No","Yes"))</f>
        <v/>
      </c>
      <c r="M24" s="17">
        <f>IF($B24="","",IF(OR(sysGrades!$P24&gt;0,sysSkills!$J24="Yes",sysIncidents!$J24&gt;0),"Yes","No"))</f>
        <v/>
      </c>
      <c r="N24" s="17">
        <f>IF($B24="","",IF(AND($E24="Yes",$F24="Yes",$G24="Yes",$H24="Yes",$I24="Yes",$J24="Yes",$K24="Yes",$L24="Yes",$M24="No"),"Yes","No"))</f>
        <v/>
      </c>
      <c r="O24" s="17">
        <f>IF($B24="","",IF($N24="Yes","Eligible",TRIM(IF($E24&lt;&gt;"Yes","Academic; ","")&amp;IF($F24&lt;&gt;"Yes","Classroom; ","")&amp;IF($G24&lt;&gt;"Yes","PT sessions; ","")&amp;IF($H24&lt;&gt;"Yes","Skills; ","")&amp;IF($I24&lt;&gt;"Yes","Incidents; ","")&amp;IF($J24&lt;&gt;"Yes","Writing; ","")&amp;IF($K24&lt;&gt;"Yes","Makeup owed; ","")&amp;IF($L24&lt;&gt;"Yes","Final PT; ","")&amp;IF($M24="Yes","Dismissal review; ",""))))</f>
        <v/>
      </c>
      <c r="P24" s="17">
        <f>IF($B24="","",IF(PT!$AB24="No","No","Yes"))</f>
        <v/>
      </c>
      <c r="Q24" s="17">
        <f>IF($B24="","",IF(Certifications!$T24="Yes","Yes","No"))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IF($B25="","",IF(PT!$AB25="No","No","Yes"))</f>
        <v/>
      </c>
      <c r="M25" s="17">
        <f>IF($B25="","",IF(OR(sysGrades!$P25&gt;0,sysSkills!$J25="Yes",sysIncidents!$J25&gt;0),"Yes","No"))</f>
        <v/>
      </c>
      <c r="N25" s="17">
        <f>IF($B25="","",IF(AND($E25="Yes",$F25="Yes",$G25="Yes",$H25="Yes",$I25="Yes",$J25="Yes",$K25="Yes",$L25="Yes",$M25="No"),"Yes","No"))</f>
        <v/>
      </c>
      <c r="O25" s="17">
        <f>IF($B25="","",IF($N25="Yes","Eligible",TRIM(IF($E25&lt;&gt;"Yes","Academic; ","")&amp;IF($F25&lt;&gt;"Yes","Classroom; ","")&amp;IF($G25&lt;&gt;"Yes","PT sessions; ","")&amp;IF($H25&lt;&gt;"Yes","Skills; ","")&amp;IF($I25&lt;&gt;"Yes","Incidents; ","")&amp;IF($J25&lt;&gt;"Yes","Writing; ","")&amp;IF($K25&lt;&gt;"Yes","Makeup owed; ","")&amp;IF($L25&lt;&gt;"Yes","Final PT; ","")&amp;IF($M25="Yes","Dismissal review; ",""))))</f>
        <v/>
      </c>
      <c r="P25" s="17">
        <f>IF($B25="","",IF(PT!$AB25="No","No","Yes"))</f>
        <v/>
      </c>
      <c r="Q25" s="17">
        <f>IF($B25="","",IF(Certifications!$T25="Yes","Yes","No"))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IF($B26="","",IF(PT!$AB26="No","No","Yes"))</f>
        <v/>
      </c>
      <c r="M26" s="17">
        <f>IF($B26="","",IF(OR(sysGrades!$P26&gt;0,sysSkills!$J26="Yes",sysIncidents!$J26&gt;0),"Yes","No"))</f>
        <v/>
      </c>
      <c r="N26" s="17">
        <f>IF($B26="","",IF(AND($E26="Yes",$F26="Yes",$G26="Yes",$H26="Yes",$I26="Yes",$J26="Yes",$K26="Yes",$L26="Yes",$M26="No"),"Yes","No"))</f>
        <v/>
      </c>
      <c r="O26" s="17">
        <f>IF($B26="","",IF($N26="Yes","Eligible",TRIM(IF($E26&lt;&gt;"Yes","Academic; ","")&amp;IF($F26&lt;&gt;"Yes","Classroom; ","")&amp;IF($G26&lt;&gt;"Yes","PT sessions; ","")&amp;IF($H26&lt;&gt;"Yes","Skills; ","")&amp;IF($I26&lt;&gt;"Yes","Incidents; ","")&amp;IF($J26&lt;&gt;"Yes","Writing; ","")&amp;IF($K26&lt;&gt;"Yes","Makeup owed; ","")&amp;IF($L26&lt;&gt;"Yes","Final PT; ","")&amp;IF($M26="Yes","Dismissal review; ",""))))</f>
        <v/>
      </c>
      <c r="P26" s="17">
        <f>IF($B26="","",IF(PT!$AB26="No","No","Yes"))</f>
        <v/>
      </c>
      <c r="Q26" s="17">
        <f>IF($B26="","",IF(Certifications!$T26="Yes","Yes","No"))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IF($B27="","",IF(PT!$AB27="No","No","Yes"))</f>
        <v/>
      </c>
      <c r="M27" s="17">
        <f>IF($B27="","",IF(OR(sysGrades!$P27&gt;0,sysSkills!$J27="Yes",sysIncidents!$J27&gt;0),"Yes","No"))</f>
        <v/>
      </c>
      <c r="N27" s="17">
        <f>IF($B27="","",IF(AND($E27="Yes",$F27="Yes",$G27="Yes",$H27="Yes",$I27="Yes",$J27="Yes",$K27="Yes",$L27="Yes",$M27="No"),"Yes","No"))</f>
        <v/>
      </c>
      <c r="O27" s="17">
        <f>IF($B27="","",IF($N27="Yes","Eligible",TRIM(IF($E27&lt;&gt;"Yes","Academic; ","")&amp;IF($F27&lt;&gt;"Yes","Classroom; ","")&amp;IF($G27&lt;&gt;"Yes","PT sessions; ","")&amp;IF($H27&lt;&gt;"Yes","Skills; ","")&amp;IF($I27&lt;&gt;"Yes","Incidents; ","")&amp;IF($J27&lt;&gt;"Yes","Writing; ","")&amp;IF($K27&lt;&gt;"Yes","Makeup owed; ","")&amp;IF($L27&lt;&gt;"Yes","Final PT; ","")&amp;IF($M27="Yes","Dismissal review; ",""))))</f>
        <v/>
      </c>
      <c r="P27" s="17">
        <f>IF($B27="","",IF(PT!$AB27="No","No","Yes"))</f>
        <v/>
      </c>
      <c r="Q27" s="17">
        <f>IF($B27="","",IF(Certifications!$T27="Yes","Yes","No"))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IF($B28="","",IF(PT!$AB28="No","No","Yes"))</f>
        <v/>
      </c>
      <c r="M28" s="17">
        <f>IF($B28="","",IF(OR(sysGrades!$P28&gt;0,sysSkills!$J28="Yes",sysIncidents!$J28&gt;0),"Yes","No"))</f>
        <v/>
      </c>
      <c r="N28" s="17">
        <f>IF($B28="","",IF(AND($E28="Yes",$F28="Yes",$G28="Yes",$H28="Yes",$I28="Yes",$J28="Yes",$K28="Yes",$L28="Yes",$M28="No"),"Yes","No"))</f>
        <v/>
      </c>
      <c r="O28" s="17">
        <f>IF($B28="","",IF($N28="Yes","Eligible",TRIM(IF($E28&lt;&gt;"Yes","Academic; ","")&amp;IF($F28&lt;&gt;"Yes","Classroom; ","")&amp;IF($G28&lt;&gt;"Yes","PT sessions; ","")&amp;IF($H28&lt;&gt;"Yes","Skills; ","")&amp;IF($I28&lt;&gt;"Yes","Incidents; ","")&amp;IF($J28&lt;&gt;"Yes","Writing; ","")&amp;IF($K28&lt;&gt;"Yes","Makeup owed; ","")&amp;IF($L28&lt;&gt;"Yes","Final PT; ","")&amp;IF($M28="Yes","Dismissal review; ",""))))</f>
        <v/>
      </c>
      <c r="P28" s="17">
        <f>IF($B28="","",IF(PT!$AB28="No","No","Yes"))</f>
        <v/>
      </c>
      <c r="Q28" s="17">
        <f>IF($B28="","",IF(Certifications!$T28="Yes","Yes","No"))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IF($B29="","",IF(PT!$AB29="No","No","Yes"))</f>
        <v/>
      </c>
      <c r="M29" s="17">
        <f>IF($B29="","",IF(OR(sysGrades!$P29&gt;0,sysSkills!$J29="Yes",sysIncidents!$J29&gt;0),"Yes","No"))</f>
        <v/>
      </c>
      <c r="N29" s="17">
        <f>IF($B29="","",IF(AND($E29="Yes",$F29="Yes",$G29="Yes",$H29="Yes",$I29="Yes",$J29="Yes",$K29="Yes",$L29="Yes",$M29="No"),"Yes","No"))</f>
        <v/>
      </c>
      <c r="O29" s="17">
        <f>IF($B29="","",IF($N29="Yes","Eligible",TRIM(IF($E29&lt;&gt;"Yes","Academic; ","")&amp;IF($F29&lt;&gt;"Yes","Classroom; ","")&amp;IF($G29&lt;&gt;"Yes","PT sessions; ","")&amp;IF($H29&lt;&gt;"Yes","Skills; ","")&amp;IF($I29&lt;&gt;"Yes","Incidents; ","")&amp;IF($J29&lt;&gt;"Yes","Writing; ","")&amp;IF($K29&lt;&gt;"Yes","Makeup owed; ","")&amp;IF($L29&lt;&gt;"Yes","Final PT; ","")&amp;IF($M29="Yes","Dismissal review; ",""))))</f>
        <v/>
      </c>
      <c r="P29" s="17">
        <f>IF($B29="","",IF(PT!$AB29="No","No","Yes"))</f>
        <v/>
      </c>
      <c r="Q29" s="17">
        <f>IF($B29="","",IF(Certifications!$T29="Yes","Yes","No"))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IF($B30="","",IF(PT!$AB30="No","No","Yes"))</f>
        <v/>
      </c>
      <c r="M30" s="17">
        <f>IF($B30="","",IF(OR(sysGrades!$P30&gt;0,sysSkills!$J30="Yes",sysIncidents!$J30&gt;0),"Yes","No"))</f>
        <v/>
      </c>
      <c r="N30" s="17">
        <f>IF($B30="","",IF(AND($E30="Yes",$F30="Yes",$G30="Yes",$H30="Yes",$I30="Yes",$J30="Yes",$K30="Yes",$L30="Yes",$M30="No"),"Yes","No"))</f>
        <v/>
      </c>
      <c r="O30" s="17">
        <f>IF($B30="","",IF($N30="Yes","Eligible",TRIM(IF($E30&lt;&gt;"Yes","Academic; ","")&amp;IF($F30&lt;&gt;"Yes","Classroom; ","")&amp;IF($G30&lt;&gt;"Yes","PT sessions; ","")&amp;IF($H30&lt;&gt;"Yes","Skills; ","")&amp;IF($I30&lt;&gt;"Yes","Incidents; ","")&amp;IF($J30&lt;&gt;"Yes","Writing; ","")&amp;IF($K30&lt;&gt;"Yes","Makeup owed; ","")&amp;IF($L30&lt;&gt;"Yes","Final PT; ","")&amp;IF($M30="Yes","Dismissal review; ",""))))</f>
        <v/>
      </c>
      <c r="P30" s="17">
        <f>IF($B30="","",IF(PT!$AB30="No","No","Yes"))</f>
        <v/>
      </c>
      <c r="Q30" s="17">
        <f>IF($B30="","",IF(Certifications!$T30="Yes","Yes","No"))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IF($B31="","",IF(PT!$AB31="No","No","Yes"))</f>
        <v/>
      </c>
      <c r="M31" s="17">
        <f>IF($B31="","",IF(OR(sysGrades!$P31&gt;0,sysSkills!$J31="Yes",sysIncidents!$J31&gt;0),"Yes","No"))</f>
        <v/>
      </c>
      <c r="N31" s="17">
        <f>IF($B31="","",IF(AND($E31="Yes",$F31="Yes",$G31="Yes",$H31="Yes",$I31="Yes",$J31="Yes",$K31="Yes",$L31="Yes",$M31="No"),"Yes","No"))</f>
        <v/>
      </c>
      <c r="O31" s="17">
        <f>IF($B31="","",IF($N31="Yes","Eligible",TRIM(IF($E31&lt;&gt;"Yes","Academic; ","")&amp;IF($F31&lt;&gt;"Yes","Classroom; ","")&amp;IF($G31&lt;&gt;"Yes","PT sessions; ","")&amp;IF($H31&lt;&gt;"Yes","Skills; ","")&amp;IF($I31&lt;&gt;"Yes","Incidents; ","")&amp;IF($J31&lt;&gt;"Yes","Writing; ","")&amp;IF($K31&lt;&gt;"Yes","Makeup owed; ","")&amp;IF($L31&lt;&gt;"Yes","Final PT; ","")&amp;IF($M31="Yes","Dismissal review; ",""))))</f>
        <v/>
      </c>
      <c r="P31" s="17">
        <f>IF($B31="","",IF(PT!$AB31="No","No","Yes"))</f>
        <v/>
      </c>
      <c r="Q31" s="17">
        <f>IF($B31="","",IF(Certifications!$T31="Yes","Yes","No"))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IF($B32="","",IF(PT!$AB32="No","No","Yes"))</f>
        <v/>
      </c>
      <c r="M32" s="17">
        <f>IF($B32="","",IF(OR(sysGrades!$P32&gt;0,sysSkills!$J32="Yes",sysIncidents!$J32&gt;0),"Yes","No"))</f>
        <v/>
      </c>
      <c r="N32" s="17">
        <f>IF($B32="","",IF(AND($E32="Yes",$F32="Yes",$G32="Yes",$H32="Yes",$I32="Yes",$J32="Yes",$K32="Yes",$L32="Yes",$M32="No"),"Yes","No"))</f>
        <v/>
      </c>
      <c r="O32" s="17">
        <f>IF($B32="","",IF($N32="Yes","Eligible",TRIM(IF($E32&lt;&gt;"Yes","Academic; ","")&amp;IF($F32&lt;&gt;"Yes","Classroom; ","")&amp;IF($G32&lt;&gt;"Yes","PT sessions; ","")&amp;IF($H32&lt;&gt;"Yes","Skills; ","")&amp;IF($I32&lt;&gt;"Yes","Incidents; ","")&amp;IF($J32&lt;&gt;"Yes","Writing; ","")&amp;IF($K32&lt;&gt;"Yes","Makeup owed; ","")&amp;IF($L32&lt;&gt;"Yes","Final PT; ","")&amp;IF($M32="Yes","Dismissal review; ",""))))</f>
        <v/>
      </c>
      <c r="P32" s="17">
        <f>IF($B32="","",IF(PT!$AB32="No","No","Yes"))</f>
        <v/>
      </c>
      <c r="Q32" s="17">
        <f>IF($B32="","",IF(Certifications!$T32="Yes","Yes","No"))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IF($B33="","",IF(PT!$AB33="No","No","Yes"))</f>
        <v/>
      </c>
      <c r="M33" s="17">
        <f>IF($B33="","",IF(OR(sysGrades!$P33&gt;0,sysSkills!$J33="Yes",sysIncidents!$J33&gt;0),"Yes","No"))</f>
        <v/>
      </c>
      <c r="N33" s="17">
        <f>IF($B33="","",IF(AND($E33="Yes",$F33="Yes",$G33="Yes",$H33="Yes",$I33="Yes",$J33="Yes",$K33="Yes",$L33="Yes",$M33="No"),"Yes","No"))</f>
        <v/>
      </c>
      <c r="O33" s="17">
        <f>IF($B33="","",IF($N33="Yes","Eligible",TRIM(IF($E33&lt;&gt;"Yes","Academic; ","")&amp;IF($F33&lt;&gt;"Yes","Classroom; ","")&amp;IF($G33&lt;&gt;"Yes","PT sessions; ","")&amp;IF($H33&lt;&gt;"Yes","Skills; ","")&amp;IF($I33&lt;&gt;"Yes","Incidents; ","")&amp;IF($J33&lt;&gt;"Yes","Writing; ","")&amp;IF($K33&lt;&gt;"Yes","Makeup owed; ","")&amp;IF($L33&lt;&gt;"Yes","Final PT; ","")&amp;IF($M33="Yes","Dismissal review; ",""))))</f>
        <v/>
      </c>
      <c r="P33" s="17">
        <f>IF($B33="","",IF(PT!$AB33="No","No","Yes"))</f>
        <v/>
      </c>
      <c r="Q33" s="17">
        <f>IF($B33="","",IF(Certifications!$T33="Yes","Yes","No"))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IF($B34="","",IF(PT!$AB34="No","No","Yes"))</f>
        <v/>
      </c>
      <c r="M34" s="17">
        <f>IF($B34="","",IF(OR(sysGrades!$P34&gt;0,sysSkills!$J34="Yes",sysIncidents!$J34&gt;0),"Yes","No"))</f>
        <v/>
      </c>
      <c r="N34" s="17">
        <f>IF($B34="","",IF(AND($E34="Yes",$F34="Yes",$G34="Yes",$H34="Yes",$I34="Yes",$J34="Yes",$K34="Yes",$L34="Yes",$M34="No"),"Yes","No"))</f>
        <v/>
      </c>
      <c r="O34" s="17">
        <f>IF($B34="","",IF($N34="Yes","Eligible",TRIM(IF($E34&lt;&gt;"Yes","Academic; ","")&amp;IF($F34&lt;&gt;"Yes","Classroom; ","")&amp;IF($G34&lt;&gt;"Yes","PT sessions; ","")&amp;IF($H34&lt;&gt;"Yes","Skills; ","")&amp;IF($I34&lt;&gt;"Yes","Incidents; ","")&amp;IF($J34&lt;&gt;"Yes","Writing; ","")&amp;IF($K34&lt;&gt;"Yes","Makeup owed; ","")&amp;IF($L34&lt;&gt;"Yes","Final PT; ","")&amp;IF($M34="Yes","Dismissal review; ",""))))</f>
        <v/>
      </c>
      <c r="P34" s="17">
        <f>IF($B34="","",IF(PT!$AB34="No","No","Yes"))</f>
        <v/>
      </c>
      <c r="Q34" s="17">
        <f>IF($B34="","",IF(Certifications!$T34="Yes","Yes","No"))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IF($B35="","",IF(PT!$AB35="No","No","Yes"))</f>
        <v/>
      </c>
      <c r="M35" s="17">
        <f>IF($B35="","",IF(OR(sysGrades!$P35&gt;0,sysSkills!$J35="Yes",sysIncidents!$J35&gt;0),"Yes","No"))</f>
        <v/>
      </c>
      <c r="N35" s="17">
        <f>IF($B35="","",IF(AND($E35="Yes",$F35="Yes",$G35="Yes",$H35="Yes",$I35="Yes",$J35="Yes",$K35="Yes",$L35="Yes",$M35="No"),"Yes","No"))</f>
        <v/>
      </c>
      <c r="O35" s="17">
        <f>IF($B35="","",IF($N35="Yes","Eligible",TRIM(IF($E35&lt;&gt;"Yes","Academic; ","")&amp;IF($F35&lt;&gt;"Yes","Classroom; ","")&amp;IF($G35&lt;&gt;"Yes","PT sessions; ","")&amp;IF($H35&lt;&gt;"Yes","Skills; ","")&amp;IF($I35&lt;&gt;"Yes","Incidents; ","")&amp;IF($J35&lt;&gt;"Yes","Writing; ","")&amp;IF($K35&lt;&gt;"Yes","Makeup owed; ","")&amp;IF($L35&lt;&gt;"Yes","Final PT; ","")&amp;IF($M35="Yes","Dismissal review; ",""))))</f>
        <v/>
      </c>
      <c r="P35" s="17">
        <f>IF($B35="","",IF(PT!$AB35="No","No","Yes"))</f>
        <v/>
      </c>
      <c r="Q35" s="17">
        <f>IF($B35="","",IF(Certifications!$T35="Yes","Yes","No"))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IF($B36="","",IF(PT!$AB36="No","No","Yes"))</f>
        <v/>
      </c>
      <c r="M36" s="17">
        <f>IF($B36="","",IF(OR(sysGrades!$P36&gt;0,sysSkills!$J36="Yes",sysIncidents!$J36&gt;0),"Yes","No"))</f>
        <v/>
      </c>
      <c r="N36" s="17">
        <f>IF($B36="","",IF(AND($E36="Yes",$F36="Yes",$G36="Yes",$H36="Yes",$I36="Yes",$J36="Yes",$K36="Yes",$L36="Yes",$M36="No"),"Yes","No"))</f>
        <v/>
      </c>
      <c r="O36" s="17">
        <f>IF($B36="","",IF($N36="Yes","Eligible",TRIM(IF($E36&lt;&gt;"Yes","Academic; ","")&amp;IF($F36&lt;&gt;"Yes","Classroom; ","")&amp;IF($G36&lt;&gt;"Yes","PT sessions; ","")&amp;IF($H36&lt;&gt;"Yes","Skills; ","")&amp;IF($I36&lt;&gt;"Yes","Incidents; ","")&amp;IF($J36&lt;&gt;"Yes","Writing; ","")&amp;IF($K36&lt;&gt;"Yes","Makeup owed; ","")&amp;IF($L36&lt;&gt;"Yes","Final PT; ","")&amp;IF($M36="Yes","Dismissal review; ",""))))</f>
        <v/>
      </c>
      <c r="P36" s="17">
        <f>IF($B36="","",IF(PT!$AB36="No","No","Yes"))</f>
        <v/>
      </c>
      <c r="Q36" s="17">
        <f>IF($B36="","",IF(Certifications!$T36="Yes","Yes","No"))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IF($B37="","",IF(PT!$AB37="No","No","Yes"))</f>
        <v/>
      </c>
      <c r="M37" s="17">
        <f>IF($B37="","",IF(OR(sysGrades!$P37&gt;0,sysSkills!$J37="Yes",sysIncidents!$J37&gt;0),"Yes","No"))</f>
        <v/>
      </c>
      <c r="N37" s="17">
        <f>IF($B37="","",IF(AND($E37="Yes",$F37="Yes",$G37="Yes",$H37="Yes",$I37="Yes",$J37="Yes",$K37="Yes",$L37="Yes",$M37="No"),"Yes","No"))</f>
        <v/>
      </c>
      <c r="O37" s="17">
        <f>IF($B37="","",IF($N37="Yes","Eligible",TRIM(IF($E37&lt;&gt;"Yes","Academic; ","")&amp;IF($F37&lt;&gt;"Yes","Classroom; ","")&amp;IF($G37&lt;&gt;"Yes","PT sessions; ","")&amp;IF($H37&lt;&gt;"Yes","Skills; ","")&amp;IF($I37&lt;&gt;"Yes","Incidents; ","")&amp;IF($J37&lt;&gt;"Yes","Writing; ","")&amp;IF($K37&lt;&gt;"Yes","Makeup owed; ","")&amp;IF($L37&lt;&gt;"Yes","Final PT; ","")&amp;IF($M37="Yes","Dismissal review; ",""))))</f>
        <v/>
      </c>
      <c r="P37" s="17">
        <f>IF($B37="","",IF(PT!$AB37="No","No","Yes"))</f>
        <v/>
      </c>
      <c r="Q37" s="17">
        <f>IF($B37="","",IF(Certifications!$T37="Yes","Yes","No"))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IF($B38="","",IF(PT!$AB38="No","No","Yes"))</f>
        <v/>
      </c>
      <c r="M38" s="17">
        <f>IF($B38="","",IF(OR(sysGrades!$P38&gt;0,sysSkills!$J38="Yes",sysIncidents!$J38&gt;0),"Yes","No"))</f>
        <v/>
      </c>
      <c r="N38" s="17">
        <f>IF($B38="","",IF(AND($E38="Yes",$F38="Yes",$G38="Yes",$H38="Yes",$I38="Yes",$J38="Yes",$K38="Yes",$L38="Yes",$M38="No"),"Yes","No"))</f>
        <v/>
      </c>
      <c r="O38" s="17">
        <f>IF($B38="","",IF($N38="Yes","Eligible",TRIM(IF($E38&lt;&gt;"Yes","Academic; ","")&amp;IF($F38&lt;&gt;"Yes","Classroom; ","")&amp;IF($G38&lt;&gt;"Yes","PT sessions; ","")&amp;IF($H38&lt;&gt;"Yes","Skills; ","")&amp;IF($I38&lt;&gt;"Yes","Incidents; ","")&amp;IF($J38&lt;&gt;"Yes","Writing; ","")&amp;IF($K38&lt;&gt;"Yes","Makeup owed; ","")&amp;IF($L38&lt;&gt;"Yes","Final PT; ","")&amp;IF($M38="Yes","Dismissal review; ",""))))</f>
        <v/>
      </c>
      <c r="P38" s="17">
        <f>IF($B38="","",IF(PT!$AB38="No","No","Yes"))</f>
        <v/>
      </c>
      <c r="Q38" s="17">
        <f>IF($B38="","",IF(Certifications!$T38="Yes","Yes","No"))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IF($B39="","",IF(PT!$AB39="No","No","Yes"))</f>
        <v/>
      </c>
      <c r="M39" s="17">
        <f>IF($B39="","",IF(OR(sysGrades!$P39&gt;0,sysSkills!$J39="Yes",sysIncidents!$J39&gt;0),"Yes","No"))</f>
        <v/>
      </c>
      <c r="N39" s="17">
        <f>IF($B39="","",IF(AND($E39="Yes",$F39="Yes",$G39="Yes",$H39="Yes",$I39="Yes",$J39="Yes",$K39="Yes",$L39="Yes",$M39="No"),"Yes","No"))</f>
        <v/>
      </c>
      <c r="O39" s="17">
        <f>IF($B39="","",IF($N39="Yes","Eligible",TRIM(IF($E39&lt;&gt;"Yes","Academic; ","")&amp;IF($F39&lt;&gt;"Yes","Classroom; ","")&amp;IF($G39&lt;&gt;"Yes","PT sessions; ","")&amp;IF($H39&lt;&gt;"Yes","Skills; ","")&amp;IF($I39&lt;&gt;"Yes","Incidents; ","")&amp;IF($J39&lt;&gt;"Yes","Writing; ","")&amp;IF($K39&lt;&gt;"Yes","Makeup owed; ","")&amp;IF($L39&lt;&gt;"Yes","Final PT; ","")&amp;IF($M39="Yes","Dismissal review; ",""))))</f>
        <v/>
      </c>
      <c r="P39" s="17">
        <f>IF($B39="","",IF(PT!$AB39="No","No","Yes"))</f>
        <v/>
      </c>
      <c r="Q39" s="17">
        <f>IF($B39="","",IF(Certifications!$T39="Yes","Yes","No"))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IF($B40="","",IF(PT!$AB40="No","No","Yes"))</f>
        <v/>
      </c>
      <c r="M40" s="17">
        <f>IF($B40="","",IF(OR(sysGrades!$P40&gt;0,sysSkills!$J40="Yes",sysIncidents!$J40&gt;0),"Yes","No"))</f>
        <v/>
      </c>
      <c r="N40" s="17">
        <f>IF($B40="","",IF(AND($E40="Yes",$F40="Yes",$G40="Yes",$H40="Yes",$I40="Yes",$J40="Yes",$K40="Yes",$L40="Yes",$M40="No"),"Yes","No"))</f>
        <v/>
      </c>
      <c r="O40" s="17">
        <f>IF($B40="","",IF($N40="Yes","Eligible",TRIM(IF($E40&lt;&gt;"Yes","Academic; ","")&amp;IF($F40&lt;&gt;"Yes","Classroom; ","")&amp;IF($G40&lt;&gt;"Yes","PT sessions; ","")&amp;IF($H40&lt;&gt;"Yes","Skills; ","")&amp;IF($I40&lt;&gt;"Yes","Incidents; ","")&amp;IF($J40&lt;&gt;"Yes","Writing; ","")&amp;IF($K40&lt;&gt;"Yes","Makeup owed; ","")&amp;IF($L40&lt;&gt;"Yes","Final PT; ","")&amp;IF($M40="Yes","Dismissal review; ",""))))</f>
        <v/>
      </c>
      <c r="P40" s="17">
        <f>IF($B40="","",IF(PT!$AB40="No","No","Yes"))</f>
        <v/>
      </c>
      <c r="Q40" s="17">
        <f>IF($B40="","",IF(Certifications!$T40="Yes","Yes","No"))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IF($B41="","",IF(PT!$AB41="No","No","Yes"))</f>
        <v/>
      </c>
      <c r="M41" s="17">
        <f>IF($B41="","",IF(OR(sysGrades!$P41&gt;0,sysSkills!$J41="Yes",sysIncidents!$J41&gt;0),"Yes","No"))</f>
        <v/>
      </c>
      <c r="N41" s="17">
        <f>IF($B41="","",IF(AND($E41="Yes",$F41="Yes",$G41="Yes",$H41="Yes",$I41="Yes",$J41="Yes",$K41="Yes",$L41="Yes",$M41="No"),"Yes","No"))</f>
        <v/>
      </c>
      <c r="O41" s="17">
        <f>IF($B41="","",IF($N41="Yes","Eligible",TRIM(IF($E41&lt;&gt;"Yes","Academic; ","")&amp;IF($F41&lt;&gt;"Yes","Classroom; ","")&amp;IF($G41&lt;&gt;"Yes","PT sessions; ","")&amp;IF($H41&lt;&gt;"Yes","Skills; ","")&amp;IF($I41&lt;&gt;"Yes","Incidents; ","")&amp;IF($J41&lt;&gt;"Yes","Writing; ","")&amp;IF($K41&lt;&gt;"Yes","Makeup owed; ","")&amp;IF($L41&lt;&gt;"Yes","Final PT; ","")&amp;IF($M41="Yes","Dismissal review; ",""))))</f>
        <v/>
      </c>
      <c r="P41" s="17">
        <f>IF($B41="","",IF(PT!$AB41="No","No","Yes"))</f>
        <v/>
      </c>
      <c r="Q41" s="17">
        <f>IF($B41="","",IF(Certifications!$T41="Yes","Yes","No"))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IF($B42="","",IF(PT!$AB42="No","No","Yes"))</f>
        <v/>
      </c>
      <c r="M42" s="17">
        <f>IF($B42="","",IF(OR(sysGrades!$P42&gt;0,sysSkills!$J42="Yes",sysIncidents!$J42&gt;0),"Yes","No"))</f>
        <v/>
      </c>
      <c r="N42" s="17">
        <f>IF($B42="","",IF(AND($E42="Yes",$F42="Yes",$G42="Yes",$H42="Yes",$I42="Yes",$J42="Yes",$K42="Yes",$L42="Yes",$M42="No"),"Yes","No"))</f>
        <v/>
      </c>
      <c r="O42" s="17">
        <f>IF($B42="","",IF($N42="Yes","Eligible",TRIM(IF($E42&lt;&gt;"Yes","Academic; ","")&amp;IF($F42&lt;&gt;"Yes","Classroom; ","")&amp;IF($G42&lt;&gt;"Yes","PT sessions; ","")&amp;IF($H42&lt;&gt;"Yes","Skills; ","")&amp;IF($I42&lt;&gt;"Yes","Incidents; ","")&amp;IF($J42&lt;&gt;"Yes","Writing; ","")&amp;IF($K42&lt;&gt;"Yes","Makeup owed; ","")&amp;IF($L42&lt;&gt;"Yes","Final PT; ","")&amp;IF($M42="Yes","Dismissal review; ",""))))</f>
        <v/>
      </c>
      <c r="P42" s="17">
        <f>IF($B42="","",IF(PT!$AB42="No","No","Yes"))</f>
        <v/>
      </c>
      <c r="Q42" s="17">
        <f>IF($B42="","",IF(Certifications!$T42="Yes","Yes","No"))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IF($B43="","",IF(PT!$AB43="No","No","Yes"))</f>
        <v/>
      </c>
      <c r="M43" s="17">
        <f>IF($B43="","",IF(OR(sysGrades!$P43&gt;0,sysSkills!$J43="Yes",sysIncidents!$J43&gt;0),"Yes","No"))</f>
        <v/>
      </c>
      <c r="N43" s="17">
        <f>IF($B43="","",IF(AND($E43="Yes",$F43="Yes",$G43="Yes",$H43="Yes",$I43="Yes",$J43="Yes",$K43="Yes",$L43="Yes",$M43="No"),"Yes","No"))</f>
        <v/>
      </c>
      <c r="O43" s="17">
        <f>IF($B43="","",IF($N43="Yes","Eligible",TRIM(IF($E43&lt;&gt;"Yes","Academic; ","")&amp;IF($F43&lt;&gt;"Yes","Classroom; ","")&amp;IF($G43&lt;&gt;"Yes","PT sessions; ","")&amp;IF($H43&lt;&gt;"Yes","Skills; ","")&amp;IF($I43&lt;&gt;"Yes","Incidents; ","")&amp;IF($J43&lt;&gt;"Yes","Writing; ","")&amp;IF($K43&lt;&gt;"Yes","Makeup owed; ","")&amp;IF($L43&lt;&gt;"Yes","Final PT; ","")&amp;IF($M43="Yes","Dismissal review; ",""))))</f>
        <v/>
      </c>
      <c r="P43" s="17">
        <f>IF($B43="","",IF(PT!$AB43="No","No","Yes"))</f>
        <v/>
      </c>
      <c r="Q43" s="17">
        <f>IF($B43="","",IF(Certifications!$T43="Yes","Yes","No"))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IF($B44="","",IF(PT!$AB44="No","No","Yes"))</f>
        <v/>
      </c>
      <c r="M44" s="17">
        <f>IF($B44="","",IF(OR(sysGrades!$P44&gt;0,sysSkills!$J44="Yes",sysIncidents!$J44&gt;0),"Yes","No"))</f>
        <v/>
      </c>
      <c r="N44" s="17">
        <f>IF($B44="","",IF(AND($E44="Yes",$F44="Yes",$G44="Yes",$H44="Yes",$I44="Yes",$J44="Yes",$K44="Yes",$L44="Yes",$M44="No"),"Yes","No"))</f>
        <v/>
      </c>
      <c r="O44" s="17">
        <f>IF($B44="","",IF($N44="Yes","Eligible",TRIM(IF($E44&lt;&gt;"Yes","Academic; ","")&amp;IF($F44&lt;&gt;"Yes","Classroom; ","")&amp;IF($G44&lt;&gt;"Yes","PT sessions; ","")&amp;IF($H44&lt;&gt;"Yes","Skills; ","")&amp;IF($I44&lt;&gt;"Yes","Incidents; ","")&amp;IF($J44&lt;&gt;"Yes","Writing; ","")&amp;IF($K44&lt;&gt;"Yes","Makeup owed; ","")&amp;IF($L44&lt;&gt;"Yes","Final PT; ","")&amp;IF($M44="Yes","Dismissal review; ",""))))</f>
        <v/>
      </c>
      <c r="P44" s="17">
        <f>IF($B44="","",IF(PT!$AB44="No","No","Yes"))</f>
        <v/>
      </c>
      <c r="Q44" s="17">
        <f>IF($B44="","",IF(Certifications!$T44="Yes","Yes","No"))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IF($B45="","",IF(PT!$AB45="No","No","Yes"))</f>
        <v/>
      </c>
      <c r="M45" s="17">
        <f>IF($B45="","",IF(OR(sysGrades!$P45&gt;0,sysSkills!$J45="Yes",sysIncidents!$J45&gt;0),"Yes","No"))</f>
        <v/>
      </c>
      <c r="N45" s="17">
        <f>IF($B45="","",IF(AND($E45="Yes",$F45="Yes",$G45="Yes",$H45="Yes",$I45="Yes",$J45="Yes",$K45="Yes",$L45="Yes",$M45="No"),"Yes","No"))</f>
        <v/>
      </c>
      <c r="O45" s="17">
        <f>IF($B45="","",IF($N45="Yes","Eligible",TRIM(IF($E45&lt;&gt;"Yes","Academic; ","")&amp;IF($F45&lt;&gt;"Yes","Classroom; ","")&amp;IF($G45&lt;&gt;"Yes","PT sessions; ","")&amp;IF($H45&lt;&gt;"Yes","Skills; ","")&amp;IF($I45&lt;&gt;"Yes","Incidents; ","")&amp;IF($J45&lt;&gt;"Yes","Writing; ","")&amp;IF($K45&lt;&gt;"Yes","Makeup owed; ","")&amp;IF($L45&lt;&gt;"Yes","Final PT; ","")&amp;IF($M45="Yes","Dismissal review; ",""))))</f>
        <v/>
      </c>
      <c r="P45" s="17">
        <f>IF($B45="","",IF(PT!$AB45="No","No","Yes"))</f>
        <v/>
      </c>
      <c r="Q45" s="17">
        <f>IF($B45="","",IF(Certifications!$T45="Yes","Yes","No"))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IF($B46="","",IF(PT!$AB46="No","No","Yes"))</f>
        <v/>
      </c>
      <c r="M46" s="17">
        <f>IF($B46="","",IF(OR(sysGrades!$P46&gt;0,sysSkills!$J46="Yes",sysIncidents!$J46&gt;0),"Yes","No"))</f>
        <v/>
      </c>
      <c r="N46" s="17">
        <f>IF($B46="","",IF(AND($E46="Yes",$F46="Yes",$G46="Yes",$H46="Yes",$I46="Yes",$J46="Yes",$K46="Yes",$L46="Yes",$M46="No"),"Yes","No"))</f>
        <v/>
      </c>
      <c r="O46" s="17">
        <f>IF($B46="","",IF($N46="Yes","Eligible",TRIM(IF($E46&lt;&gt;"Yes","Academic; ","")&amp;IF($F46&lt;&gt;"Yes","Classroom; ","")&amp;IF($G46&lt;&gt;"Yes","PT sessions; ","")&amp;IF($H46&lt;&gt;"Yes","Skills; ","")&amp;IF($I46&lt;&gt;"Yes","Incidents; ","")&amp;IF($J46&lt;&gt;"Yes","Writing; ","")&amp;IF($K46&lt;&gt;"Yes","Makeup owed; ","")&amp;IF($L46&lt;&gt;"Yes","Final PT; ","")&amp;IF($M46="Yes","Dismissal review; ",""))))</f>
        <v/>
      </c>
      <c r="P46" s="17">
        <f>IF($B46="","",IF(PT!$AB46="No","No","Yes"))</f>
        <v/>
      </c>
      <c r="Q46" s="17">
        <f>IF($B46="","",IF(Certifications!$T46="Yes","Yes","No"))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IF($B47="","",IF(PT!$AB47="No","No","Yes"))</f>
        <v/>
      </c>
      <c r="M47" s="17">
        <f>IF($B47="","",IF(OR(sysGrades!$P47&gt;0,sysSkills!$J47="Yes",sysIncidents!$J47&gt;0),"Yes","No"))</f>
        <v/>
      </c>
      <c r="N47" s="17">
        <f>IF($B47="","",IF(AND($E47="Yes",$F47="Yes",$G47="Yes",$H47="Yes",$I47="Yes",$J47="Yes",$K47="Yes",$L47="Yes",$M47="No"),"Yes","No"))</f>
        <v/>
      </c>
      <c r="O47" s="17">
        <f>IF($B47="","",IF($N47="Yes","Eligible",TRIM(IF($E47&lt;&gt;"Yes","Academic; ","")&amp;IF($F47&lt;&gt;"Yes","Classroom; ","")&amp;IF($G47&lt;&gt;"Yes","PT sessions; ","")&amp;IF($H47&lt;&gt;"Yes","Skills; ","")&amp;IF($I47&lt;&gt;"Yes","Incidents; ","")&amp;IF($J47&lt;&gt;"Yes","Writing; ","")&amp;IF($K47&lt;&gt;"Yes","Makeup owed; ","")&amp;IF($L47&lt;&gt;"Yes","Final PT; ","")&amp;IF($M47="Yes","Dismissal review; ",""))))</f>
        <v/>
      </c>
      <c r="P47" s="17">
        <f>IF($B47="","",IF(PT!$AB47="No","No","Yes"))</f>
        <v/>
      </c>
      <c r="Q47" s="17">
        <f>IF($B47="","",IF(Certifications!$T47="Yes","Yes","No"))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IF($B48="","",IF(PT!$AB48="No","No","Yes"))</f>
        <v/>
      </c>
      <c r="M48" s="17">
        <f>IF($B48="","",IF(OR(sysGrades!$P48&gt;0,sysSkills!$J48="Yes",sysIncidents!$J48&gt;0),"Yes","No"))</f>
        <v/>
      </c>
      <c r="N48" s="17">
        <f>IF($B48="","",IF(AND($E48="Yes",$F48="Yes",$G48="Yes",$H48="Yes",$I48="Yes",$J48="Yes",$K48="Yes",$L48="Yes",$M48="No"),"Yes","No"))</f>
        <v/>
      </c>
      <c r="O48" s="17">
        <f>IF($B48="","",IF($N48="Yes","Eligible",TRIM(IF($E48&lt;&gt;"Yes","Academic; ","")&amp;IF($F48&lt;&gt;"Yes","Classroom; ","")&amp;IF($G48&lt;&gt;"Yes","PT sessions; ","")&amp;IF($H48&lt;&gt;"Yes","Skills; ","")&amp;IF($I48&lt;&gt;"Yes","Incidents; ","")&amp;IF($J48&lt;&gt;"Yes","Writing; ","")&amp;IF($K48&lt;&gt;"Yes","Makeup owed; ","")&amp;IF($L48&lt;&gt;"Yes","Final PT; ","")&amp;IF($M48="Yes","Dismissal review; ",""))))</f>
        <v/>
      </c>
      <c r="P48" s="17">
        <f>IF($B48="","",IF(PT!$AB48="No","No","Yes"))</f>
        <v/>
      </c>
      <c r="Q48" s="17">
        <f>IF($B48="","",IF(Certifications!$T48="Yes","Yes","No"))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IF($B49="","",IF(PT!$AB49="No","No","Yes"))</f>
        <v/>
      </c>
      <c r="M49" s="17">
        <f>IF($B49="","",IF(OR(sysGrades!$P49&gt;0,sysSkills!$J49="Yes",sysIncidents!$J49&gt;0),"Yes","No"))</f>
        <v/>
      </c>
      <c r="N49" s="17">
        <f>IF($B49="","",IF(AND($E49="Yes",$F49="Yes",$G49="Yes",$H49="Yes",$I49="Yes",$J49="Yes",$K49="Yes",$L49="Yes",$M49="No"),"Yes","No"))</f>
        <v/>
      </c>
      <c r="O49" s="17">
        <f>IF($B49="","",IF($N49="Yes","Eligible",TRIM(IF($E49&lt;&gt;"Yes","Academic; ","")&amp;IF($F49&lt;&gt;"Yes","Classroom; ","")&amp;IF($G49&lt;&gt;"Yes","PT sessions; ","")&amp;IF($H49&lt;&gt;"Yes","Skills; ","")&amp;IF($I49&lt;&gt;"Yes","Incidents; ","")&amp;IF($J49&lt;&gt;"Yes","Writing; ","")&amp;IF($K49&lt;&gt;"Yes","Makeup owed; ","")&amp;IF($L49&lt;&gt;"Yes","Final PT; ","")&amp;IF($M49="Yes","Dismissal review; ",""))))</f>
        <v/>
      </c>
      <c r="P49" s="17">
        <f>IF($B49="","",IF(PT!$AB49="No","No","Yes"))</f>
        <v/>
      </c>
      <c r="Q49" s="17">
        <f>IF($B49="","",IF(Certifications!$T49="Yes","Yes","No"))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IF($B50="","",IF(PT!$AB50="No","No","Yes"))</f>
        <v/>
      </c>
      <c r="M50" s="17">
        <f>IF($B50="","",IF(OR(sysGrades!$P50&gt;0,sysSkills!$J50="Yes",sysIncidents!$J50&gt;0),"Yes","No"))</f>
        <v/>
      </c>
      <c r="N50" s="17">
        <f>IF($B50="","",IF(AND($E50="Yes",$F50="Yes",$G50="Yes",$H50="Yes",$I50="Yes",$J50="Yes",$K50="Yes",$L50="Yes",$M50="No"),"Yes","No"))</f>
        <v/>
      </c>
      <c r="O50" s="17">
        <f>IF($B50="","",IF($N50="Yes","Eligible",TRIM(IF($E50&lt;&gt;"Yes","Academic; ","")&amp;IF($F50&lt;&gt;"Yes","Classroom; ","")&amp;IF($G50&lt;&gt;"Yes","PT sessions; ","")&amp;IF($H50&lt;&gt;"Yes","Skills; ","")&amp;IF($I50&lt;&gt;"Yes","Incidents; ","")&amp;IF($J50&lt;&gt;"Yes","Writing; ","")&amp;IF($K50&lt;&gt;"Yes","Makeup owed; ","")&amp;IF($L50&lt;&gt;"Yes","Final PT; ","")&amp;IF($M50="Yes","Dismissal review; ",""))))</f>
        <v/>
      </c>
      <c r="P50" s="17">
        <f>IF($B50="","",IF(PT!$AB50="No","No","Yes"))</f>
        <v/>
      </c>
      <c r="Q50" s="17">
        <f>IF($B50="","",IF(Certifications!$T50="Yes","Yes","No"))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IF($B51="","",IF(PT!$AB51="No","No","Yes"))</f>
        <v/>
      </c>
      <c r="M51" s="17">
        <f>IF($B51="","",IF(OR(sysGrades!$P51&gt;0,sysSkills!$J51="Yes",sysIncidents!$J51&gt;0),"Yes","No"))</f>
        <v/>
      </c>
      <c r="N51" s="17">
        <f>IF($B51="","",IF(AND($E51="Yes",$F51="Yes",$G51="Yes",$H51="Yes",$I51="Yes",$J51="Yes",$K51="Yes",$L51="Yes",$M51="No"),"Yes","No"))</f>
        <v/>
      </c>
      <c r="O51" s="17">
        <f>IF($B51="","",IF($N51="Yes","Eligible",TRIM(IF($E51&lt;&gt;"Yes","Academic; ","")&amp;IF($F51&lt;&gt;"Yes","Classroom; ","")&amp;IF($G51&lt;&gt;"Yes","PT sessions; ","")&amp;IF($H51&lt;&gt;"Yes","Skills; ","")&amp;IF($I51&lt;&gt;"Yes","Incidents; ","")&amp;IF($J51&lt;&gt;"Yes","Writing; ","")&amp;IF($K51&lt;&gt;"Yes","Makeup owed; ","")&amp;IF($L51&lt;&gt;"Yes","Final PT; ","")&amp;IF($M51="Yes","Dismissal review; ",""))))</f>
        <v/>
      </c>
      <c r="P51" s="17">
        <f>IF($B51="","",IF(PT!$AB51="No","No","Yes"))</f>
        <v/>
      </c>
      <c r="Q51" s="17">
        <f>IF($B51="","",IF(Certifications!$T51="Yes","Yes","No"))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IF($B52="","",IF(PT!$AB52="No","No","Yes"))</f>
        <v/>
      </c>
      <c r="M52" s="17">
        <f>IF($B52="","",IF(OR(sysGrades!$P52&gt;0,sysSkills!$J52="Yes",sysIncidents!$J52&gt;0),"Yes","No"))</f>
        <v/>
      </c>
      <c r="N52" s="17">
        <f>IF($B52="","",IF(AND($E52="Yes",$F52="Yes",$G52="Yes",$H52="Yes",$I52="Yes",$J52="Yes",$K52="Yes",$L52="Yes",$M52="No"),"Yes","No"))</f>
        <v/>
      </c>
      <c r="O52" s="17">
        <f>IF($B52="","",IF($N52="Yes","Eligible",TRIM(IF($E52&lt;&gt;"Yes","Academic; ","")&amp;IF($F52&lt;&gt;"Yes","Classroom; ","")&amp;IF($G52&lt;&gt;"Yes","PT sessions; ","")&amp;IF($H52&lt;&gt;"Yes","Skills; ","")&amp;IF($I52&lt;&gt;"Yes","Incidents; ","")&amp;IF($J52&lt;&gt;"Yes","Writing; ","")&amp;IF($K52&lt;&gt;"Yes","Makeup owed; ","")&amp;IF($L52&lt;&gt;"Yes","Final PT; ","")&amp;IF($M52="Yes","Dismissal review; ",""))))</f>
        <v/>
      </c>
      <c r="P52" s="17">
        <f>IF($B52="","",IF(PT!$AB52="No","No","Yes"))</f>
        <v/>
      </c>
      <c r="Q52" s="17">
        <f>IF($B52="","",IF(Certifications!$T52="Yes","Yes","No"))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IF($B53="","",IF(PT!$AB53="No","No","Yes"))</f>
        <v/>
      </c>
      <c r="M53" s="17">
        <f>IF($B53="","",IF(OR(sysGrades!$P53&gt;0,sysSkills!$J53="Yes",sysIncidents!$J53&gt;0),"Yes","No"))</f>
        <v/>
      </c>
      <c r="N53" s="17">
        <f>IF($B53="","",IF(AND($E53="Yes",$F53="Yes",$G53="Yes",$H53="Yes",$I53="Yes",$J53="Yes",$K53="Yes",$L53="Yes",$M53="No"),"Yes","No"))</f>
        <v/>
      </c>
      <c r="O53" s="17">
        <f>IF($B53="","",IF($N53="Yes","Eligible",TRIM(IF($E53&lt;&gt;"Yes","Academic; ","")&amp;IF($F53&lt;&gt;"Yes","Classroom; ","")&amp;IF($G53&lt;&gt;"Yes","PT sessions; ","")&amp;IF($H53&lt;&gt;"Yes","Skills; ","")&amp;IF($I53&lt;&gt;"Yes","Incidents; ","")&amp;IF($J53&lt;&gt;"Yes","Writing; ","")&amp;IF($K53&lt;&gt;"Yes","Makeup owed; ","")&amp;IF($L53&lt;&gt;"Yes","Final PT; ","")&amp;IF($M53="Yes","Dismissal review; ",""))))</f>
        <v/>
      </c>
      <c r="P53" s="17">
        <f>IF($B53="","",IF(PT!$AB53="No","No","Yes"))</f>
        <v/>
      </c>
      <c r="Q53" s="17">
        <f>IF($B53="","",IF(Certifications!$T53="Yes","Yes","No"))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IF($B54="","",IF(PT!$AB54="No","No","Yes"))</f>
        <v/>
      </c>
      <c r="M54" s="17">
        <f>IF($B54="","",IF(OR(sysGrades!$P54&gt;0,sysSkills!$J54="Yes",sysIncidents!$J54&gt;0),"Yes","No"))</f>
        <v/>
      </c>
      <c r="N54" s="17">
        <f>IF($B54="","",IF(AND($E54="Yes",$F54="Yes",$G54="Yes",$H54="Yes",$I54="Yes",$J54="Yes",$K54="Yes",$L54="Yes",$M54="No"),"Yes","No"))</f>
        <v/>
      </c>
      <c r="O54" s="17">
        <f>IF($B54="","",IF($N54="Yes","Eligible",TRIM(IF($E54&lt;&gt;"Yes","Academic; ","")&amp;IF($F54&lt;&gt;"Yes","Classroom; ","")&amp;IF($G54&lt;&gt;"Yes","PT sessions; ","")&amp;IF($H54&lt;&gt;"Yes","Skills; ","")&amp;IF($I54&lt;&gt;"Yes","Incidents; ","")&amp;IF($J54&lt;&gt;"Yes","Writing; ","")&amp;IF($K54&lt;&gt;"Yes","Makeup owed; ","")&amp;IF($L54&lt;&gt;"Yes","Final PT; ","")&amp;IF($M54="Yes","Dismissal review; ",""))))</f>
        <v/>
      </c>
      <c r="P54" s="17">
        <f>IF($B54="","",IF(PT!$AB54="No","No","Yes"))</f>
        <v/>
      </c>
      <c r="Q54" s="17">
        <f>IF($B54="","",IF(Certifications!$T54="Yes","Yes","No"))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IF($B55="","",IF(PT!$AB55="No","No","Yes"))</f>
        <v/>
      </c>
      <c r="M55" s="17">
        <f>IF($B55="","",IF(OR(sysGrades!$P55&gt;0,sysSkills!$J55="Yes",sysIncidents!$J55&gt;0),"Yes","No"))</f>
        <v/>
      </c>
      <c r="N55" s="17">
        <f>IF($B55="","",IF(AND($E55="Yes",$F55="Yes",$G55="Yes",$H55="Yes",$I55="Yes",$J55="Yes",$K55="Yes",$L55="Yes",$M55="No"),"Yes","No"))</f>
        <v/>
      </c>
      <c r="O55" s="17">
        <f>IF($B55="","",IF($N55="Yes","Eligible",TRIM(IF($E55&lt;&gt;"Yes","Academic; ","")&amp;IF($F55&lt;&gt;"Yes","Classroom; ","")&amp;IF($G55&lt;&gt;"Yes","PT sessions; ","")&amp;IF($H55&lt;&gt;"Yes","Skills; ","")&amp;IF($I55&lt;&gt;"Yes","Incidents; ","")&amp;IF($J55&lt;&gt;"Yes","Writing; ","")&amp;IF($K55&lt;&gt;"Yes","Makeup owed; ","")&amp;IF($L55&lt;&gt;"Yes","Final PT; ","")&amp;IF($M55="Yes","Dismissal review; ",""))))</f>
        <v/>
      </c>
      <c r="P55" s="17">
        <f>IF($B55="","",IF(PT!$AB55="No","No","Yes"))</f>
        <v/>
      </c>
      <c r="Q55" s="17">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0">
        <f>IF($E6&lt;&gt;"",$E6,$C6)</f>
        <v/>
      </c>
      <c r="G6" s="16" t="n"/>
    </row>
    <row r="7" ht="30" customHeight="1">
      <c r="B7" s="3" t="inlineStr">
        <is>
          <t>Physical Fitness</t>
        </is>
      </c>
      <c r="C7" s="17">
        <f>IFERROR(INDEX(rngCadetNames,MATCH(MAX(nrPT_FinalPts),nrPT_FinalPts,0)),"")</f>
        <v/>
      </c>
      <c r="D7" s="15">
        <f>"Top final PT points: "&amp;IFERROR(MAX(nrPT_FinalPts),"n/a")</f>
        <v/>
      </c>
      <c r="E7" s="16" t="n"/>
      <c r="F7" s="30">
        <f>IF($E7&lt;&gt;"",$E7,$C7)</f>
        <v/>
      </c>
      <c r="G7" s="16" t="n"/>
    </row>
    <row r="8" ht="30" customHeight="1">
      <c r="B8" s="3" t="inlineStr">
        <is>
          <t>Top Gun</t>
        </is>
      </c>
      <c r="C8" s="17">
        <f>IFERROR(INDEX(rngCadetNames,MATCH(MAX(nrSKfirearmsAvg),nrSKfirearmsAvg,0)),"")</f>
        <v/>
      </c>
      <c r="D8" s="15">
        <f>"Top firearms average: "&amp;IFERROR(ROUND(MAX(nrSKfirearmsAvg),2),"n/a")</f>
        <v/>
      </c>
      <c r="E8" s="16" t="n"/>
      <c r="F8" s="30">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0">
        <f>IF($E9&lt;&gt;"",$E9,$C9)</f>
        <v/>
      </c>
      <c r="G9" s="16"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H19"/>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9">
        <f>nrCHtotalDelivered</f>
        <v/>
      </c>
      <c r="D6" s="20">
        <f>cfgRequiredHours</f>
        <v/>
      </c>
      <c r="E6" s="30">
        <f>IF(N(nrCHtotalDelivered)&lt;N(cfgRequiredHours),"SHORT",IF(N(nrCHtotalDelivered)&gt;N(cfgRequiredHours),"OVER - report excess as #101","OK"))</f>
        <v/>
      </c>
      <c r="F6" s="15">
        <f>"Report the BPOC at exactly 736 hrs; excess must go to Addendum course #101"</f>
        <v/>
      </c>
      <c r="H6" s="2" t="n">
        <v>736</v>
      </c>
    </row>
    <row r="7">
      <c r="B7" s="3" t="inlineStr">
        <is>
          <t>Chapters short of TCOLE minimum</t>
        </is>
      </c>
      <c r="C7" s="29">
        <f>SUMPRODUCT((nrCHdeliv&lt;&gt;"")*(nrCHdeliv&gt;0)*(nrCHdeliv&lt;nrCHmin))</f>
        <v/>
      </c>
      <c r="D7" s="20" t="n">
        <v>0</v>
      </c>
      <c r="E7" s="30">
        <f>IF(SUMPRODUCT((nrCHdeliv&lt;&gt;"")*(nrCHdeliv&gt;0)*(nrCHdeliv&lt;nrCHmin))=0,"OK","CHECK")</f>
        <v/>
      </c>
      <c r="F7" s="15">
        <f>"Rule 218.1(C)(4): failure to meet minimum course length = denial of training"</f>
        <v/>
      </c>
    </row>
    <row r="8">
      <c r="B8" s="3" t="inlineStr">
        <is>
          <t>Chapter training files incomplete</t>
        </is>
      </c>
      <c r="C8" s="29">
        <f>SUMPRODUCT((nrCHname&lt;&gt;"")*(nrCHfileOK="No"))</f>
        <v/>
      </c>
      <c r="D8" s="20" t="n">
        <v>0</v>
      </c>
      <c r="E8" s="30">
        <f>IF(SUMPRODUCT((nrCHname&lt;&gt;"")*(nrCHfileOK="No"))=0,"OK","CHECK")</f>
        <v/>
      </c>
      <c r="F8" s="15">
        <f>"SME lesson plan, instructor bio, sign-ins w/ PID, assessment, grade sheet, eval"</f>
        <v/>
      </c>
    </row>
    <row r="9">
      <c r="B9" s="3" t="inlineStr">
        <is>
          <t>Special TCOLE chapter requirements unmet</t>
        </is>
      </c>
      <c r="C9" s="29">
        <f>SUMPRODUCT((nrCHspecial&lt;&gt;"")*(nrCHspecialMet&lt;&gt;"Yes")*(nrCHspecialMet&lt;&gt;"N/A"))</f>
        <v/>
      </c>
      <c r="D9" s="20" t="n">
        <v>0</v>
      </c>
      <c r="E9" s="30">
        <f>IF(SUMPRODUCT((nrCHspecial&lt;&gt;"")*(nrCHspecialMet&lt;&gt;"Yes")*(nrCHspecialMet&lt;&gt;"N/A"))=0,"OK","CHECK")</f>
        <v/>
      </c>
      <c r="F9" s="15">
        <f>"TIM, SFST, ALERRT, CPR/AED, TCIC #4800, Crime Stoppers, Seven Step, canine scenarios, CIT lead, SIT 3232"</f>
        <v/>
      </c>
    </row>
    <row r="10">
      <c r="B10" s="3" t="inlineStr">
        <is>
          <t>Chapters without evals collected</t>
        </is>
      </c>
      <c r="C10" s="29">
        <f>SUMPRODUCT((nrCHname&lt;&gt;"")*(nrCHevals&lt;&gt;"On File")*(nrCHevals&lt;&gt;"N/A"))</f>
        <v/>
      </c>
      <c r="D10" s="20" t="n">
        <v>0</v>
      </c>
      <c r="E10" s="30">
        <f>IF(SUMPRODUCT((nrCHname&lt;&gt;"")*(nrCHevals&lt;&gt;"On File")*(nrCHevals&lt;&gt;"N/A"))=0,"OK","CHECK")</f>
        <v/>
      </c>
      <c r="F10" s="15">
        <f>"Course critiques per chapter (print from Print Center)"</f>
        <v/>
      </c>
    </row>
    <row r="11">
      <c r="B11" s="3" t="inlineStr">
        <is>
          <t>Program requirements unchecked (Audit sheet)</t>
        </is>
      </c>
      <c r="C11" s="29">
        <f>SUMPRODUCT((nrPRGitems&lt;&gt;"")*(nrPRGmet&lt;&gt;"Yes"))</f>
        <v/>
      </c>
      <c r="D11" s="20" t="n">
        <v>0</v>
      </c>
      <c r="E11" s="30">
        <f>IF(SUMPRODUCT((nrPRGitems&lt;&gt;"")*(nrPRGmet&lt;&gt;"Yes"))=0,"OK","CHECK")</f>
        <v/>
      </c>
      <c r="F11" s="15">
        <f>"Rule 215.9 distribution, TCLEDDS roster, 736 exact reporting, facility, assessments"</f>
        <v/>
      </c>
    </row>
    <row r="12">
      <c r="B12" s="3" t="inlineStr">
        <is>
          <t>Teaching instructors lacking documentation</t>
        </is>
      </c>
      <c r="C12" s="29">
        <f>SUMPRODUCT((nrInstrOnSched="Yes")*(nrInstrReady="No"))</f>
        <v/>
      </c>
      <c r="D12" s="20" t="n">
        <v>0</v>
      </c>
      <c r="E12" s="30">
        <f>IF(SUMPRODUCT((nrInstrOnSched="Yes")*(nrInstrReady="No"))=0,"OK","CHECK")</f>
        <v/>
      </c>
      <c r="F12" s="15">
        <f>"IRG: every instructor/co-teacher teaching an LO needs bio + TCOLE cert or SME letter"</f>
        <v/>
      </c>
    </row>
    <row r="13">
      <c r="B13" s="3" t="inlineStr">
        <is>
          <t>Schedule blocks with unrecognized instructor</t>
        </is>
      </c>
      <c r="C13" s="29">
        <f>COUNTIF(nrSCH_InstrOK,"UNRECOGNIZED")</f>
        <v/>
      </c>
      <c r="D13" s="20" t="n">
        <v>0</v>
      </c>
      <c r="E13" s="30">
        <f>IF(COUNTIF(nrSCH_InstrOK,"UNRECOGNIZED")=0,"OK","CHECK")</f>
        <v/>
      </c>
      <c r="F13" s="15">
        <f>"Instructor text matches nobody on the Instructors roster - fix spelling or add them"</f>
        <v/>
      </c>
    </row>
    <row r="14">
      <c r="B14" s="3" t="inlineStr">
        <is>
          <t>Overdue retests</t>
        </is>
      </c>
      <c r="C14" s="29">
        <f>COUNTIF(nrES_RetStat,"OVERDUE")</f>
        <v/>
      </c>
      <c r="D14" s="20" t="n">
        <v>0</v>
      </c>
      <c r="E14" s="30">
        <f>IF(COUNTIF(nrES_RetStat,"OVERDUE")=0,"OK","ACT NOW")</f>
        <v/>
      </c>
      <c r="F14" s="15">
        <f>"Policy 300.5: retest within 5 class days"</f>
        <v/>
      </c>
    </row>
    <row r="15">
      <c r="B15" s="3" t="inlineStr">
        <is>
          <t>Cadets with makeup owed</t>
        </is>
      </c>
      <c r="C15" s="29">
        <f>SUMPRODUCT((nrATTmakeupOK="No")*1)</f>
        <v/>
      </c>
      <c r="D15" s="20" t="n">
        <v>0</v>
      </c>
      <c r="E15" s="30">
        <f>IF(SUMPRODUCT((nrATTmakeupOK="No")*1)=0,"OK","CHECK")</f>
        <v/>
      </c>
      <c r="F15" s="15">
        <f>"Missed minutes not yet made up"</f>
        <v/>
      </c>
    </row>
    <row r="16">
      <c r="B16" s="3" t="inlineStr">
        <is>
          <t>Active cadets failing a category</t>
        </is>
      </c>
      <c r="C16" s="29">
        <f>SUMPRODUCT((nrCadetStatus="Active")*(nrGRacademic="No"))</f>
        <v/>
      </c>
      <c r="D16" s="20" t="n">
        <v>0</v>
      </c>
      <c r="E16" s="30">
        <f>IF(SUMPRODUCT((nrCadetStatus="Active")*(nrGRacademic="No"))=0,"OK","CHECK")</f>
        <v/>
      </c>
      <c r="F16" s="15">
        <f>"70 in each category (policy 300.2)"</f>
        <v/>
      </c>
    </row>
    <row r="17">
      <c r="B17" s="3" t="inlineStr">
        <is>
          <t>Spelling interventions open</t>
        </is>
      </c>
      <c r="C17" s="29">
        <f>COUNTIF(nrSpellFlag,"INTERVENTION")</f>
        <v/>
      </c>
      <c r="D17" s="20" t="n">
        <v>0</v>
      </c>
      <c r="E17" s="30">
        <f>IF(COUNTIF(nrSpellFlag,"INTERVENTION")=0,"OK","CHECK")</f>
        <v/>
      </c>
      <c r="F17" s="15">
        <f>"Document intervention on Counseling log (300.4.B)"</f>
        <v/>
      </c>
    </row>
    <row r="18">
      <c r="B18" s="3" t="inlineStr">
        <is>
          <t>Cadets missing certification copies</t>
        </is>
      </c>
      <c r="C18" s="29">
        <f>SUMPRODUCT((nrCadetStatus="Active")*(nrCERTmissing&lt;&gt;""))</f>
        <v/>
      </c>
      <c r="D18" s="20" t="n">
        <v>0</v>
      </c>
      <c r="E18" s="30">
        <f>IF(SUMPRODUCT((nrCadetStatus="Active")*(nrCERTmissing&lt;&gt;""))=0,"OK","CHECK")</f>
        <v/>
      </c>
      <c r="F18" s="15">
        <f>"TIM, SFST, TCIC, CPR/AED, ALERRT, ICS copies - see Certifications sheet"</f>
        <v/>
      </c>
    </row>
    <row r="19">
      <c r="B19" s="3" t="inlineStr">
        <is>
          <t>Firearms: both courses of fire not passed</t>
        </is>
      </c>
      <c r="C19" s="29">
        <f>SUMPRODUCT((nrCadetStatus="Active")*(nrSKbothCoF="No"))</f>
        <v/>
      </c>
      <c r="D19" s="20" t="n">
        <v>0</v>
      </c>
      <c r="E19" s="30">
        <f>IF(SUMPRODUCT((nrCadetStatus="Active")*(nrSKbothCoF="No"))=0,"OK","CHECK")</f>
        <v/>
      </c>
      <c r="F19" s="15">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9">
    <cfRule type="expression" priority="1" dxfId="1">
      <formula>$E6&lt;&gt;"OK"</formula>
    </cfRule>
    <cfRule type="expression" priority="2" dxfId="2">
      <formula>$E6="OK"</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IFERROR(_xlfn.TOCOL(_xlfn.VSTACK(Incidents!$B$6:$B$405,Attendance!$B$6:$B$805,Counseling!$B$6:$B$405),1),"")</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59.xml><?xml version="1.0" encoding="utf-8"?>
<worksheet xmlns="http://schemas.openxmlformats.org/spreadsheetml/2006/main">
  <sheetPr>
    <tabColor rgb="001E7145"/>
    <outlinePr summaryBelow="1" summaryRight="1"/>
    <pageSetUpPr/>
  </sheetPr>
  <dimension ref="A1:C279"/>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cfgAttendanceAdvisoryPct</t>
        </is>
      </c>
      <c r="C7" s="2" t="inlineStr">
        <is>
          <t>'Settings'!$C$23</t>
        </is>
      </c>
    </row>
    <row r="8">
      <c r="B8" s="14" t="inlineStr">
        <is>
          <t>cfgAttendanceCriticalPct</t>
        </is>
      </c>
      <c r="C8" s="2" t="inlineStr">
        <is>
          <t>'Settings'!$C$24</t>
        </is>
      </c>
    </row>
    <row r="9">
      <c r="B9" s="14" t="inlineStr">
        <is>
          <t>cfgClassroomCapMinutes</t>
        </is>
      </c>
      <c r="C9" s="2" t="inlineStr">
        <is>
          <t>'Settings'!$C$36</t>
        </is>
      </c>
    </row>
    <row r="10">
      <c r="B10" s="14" t="inlineStr">
        <is>
          <t>cfgClassroomCapPct</t>
        </is>
      </c>
      <c r="C10" s="2" t="inlineStr">
        <is>
          <t>'Settings'!$C$21</t>
        </is>
      </c>
    </row>
    <row r="11">
      <c r="B11" s="14" t="inlineStr">
        <is>
          <t>cfgCurrentExamNum</t>
        </is>
      </c>
      <c r="C11" s="2" t="inlineStr">
        <is>
          <t>'Settings'!$C$26</t>
        </is>
      </c>
    </row>
    <row r="12">
      <c r="B12" s="14" t="inlineStr">
        <is>
          <t>cfgCurrentSpellingNum</t>
        </is>
      </c>
      <c r="C12" s="2" t="inlineStr">
        <is>
          <t>'Settings'!$C$27</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'Settings'!$C$33</t>
        </is>
      </c>
    </row>
    <row r="16">
      <c r="B16" s="14" t="inlineStr">
        <is>
          <t>cfgFlagCategoryMargin</t>
        </is>
      </c>
      <c r="C16" s="2" t="inlineStr">
        <is>
          <t>'Settings'!$C$32</t>
        </is>
      </c>
    </row>
    <row r="17">
      <c r="B17" s="14" t="inlineStr">
        <is>
          <t>cfgFlagConsecFails</t>
        </is>
      </c>
      <c r="C17" s="2" t="inlineStr">
        <is>
          <t>'Settings'!$C$30</t>
        </is>
      </c>
    </row>
    <row r="18">
      <c r="B18" s="14" t="inlineStr">
        <is>
          <t>cfgFlagGradeDrop</t>
        </is>
      </c>
      <c r="C18" s="2" t="inlineStr">
        <is>
          <t>'Settings'!$C$31</t>
        </is>
      </c>
    </row>
    <row r="19">
      <c r="B19" s="14" t="inlineStr">
        <is>
          <t>cfgFlagOpenIncidents</t>
        </is>
      </c>
      <c r="C19" s="2" t="inlineStr">
        <is>
          <t>'Settings'!$C$34</t>
        </is>
      </c>
    </row>
    <row r="20">
      <c r="B20" s="14" t="inlineStr">
        <is>
          <t>cfgFlagOverdueWriting</t>
        </is>
      </c>
      <c r="C20" s="2" t="inlineStr">
        <is>
          <t>'Settings'!$C$35</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'Settings'!$C$25</t>
        </is>
      </c>
    </row>
    <row r="24">
      <c r="B24" s="14" t="inlineStr">
        <is>
          <t>cfgMemoDueClassDays</t>
        </is>
      </c>
      <c r="C24" s="2" t="inlineStr">
        <is>
          <t>'Settings'!$C$15</t>
        </is>
      </c>
    </row>
    <row r="25">
      <c r="B25" s="14" t="inlineStr">
        <is>
          <t>cfgPTCapSessions</t>
        </is>
      </c>
      <c r="C25" s="2" t="inlineStr">
        <is>
          <t>'Settings'!$C$22</t>
        </is>
      </c>
    </row>
    <row r="26">
      <c r="B26" s="14" t="inlineStr">
        <is>
          <t>cfgPTFinalMinPoints</t>
        </is>
      </c>
      <c r="C26" s="2" t="inlineStr">
        <is>
          <t>'Settings'!$C$29</t>
        </is>
      </c>
    </row>
    <row r="27">
      <c r="B27" s="14" t="inlineStr">
        <is>
          <t>cfgPacketChapter</t>
        </is>
      </c>
      <c r="C27" s="2" t="inlineStr">
        <is>
          <t>'ChapterPacket'!$C$5</t>
        </is>
      </c>
    </row>
    <row r="28">
      <c r="B28" s="14" t="inlineStr">
        <is>
          <t>cfgPassingScore</t>
        </is>
      </c>
      <c r="C28" s="2" t="inlineStr">
        <is>
          <t>'Settings'!$C$10</t>
        </is>
      </c>
    </row>
    <row r="29">
      <c r="B29" s="14" t="inlineStr">
        <is>
          <t>cfgPreviewAgency</t>
        </is>
      </c>
      <c r="C29" s="2" t="inlineStr">
        <is>
          <t>'EmailPreview'!$C$5</t>
        </is>
      </c>
    </row>
    <row r="30">
      <c r="B30" s="14" t="inlineStr">
        <is>
          <t>cfgProfileCadet</t>
        </is>
      </c>
      <c r="C30" s="2" t="inlineStr">
        <is>
          <t>'CadetProfile'!$C$5</t>
        </is>
      </c>
    </row>
    <row r="31">
      <c r="B31" s="14" t="inlineStr">
        <is>
          <t>cfgRequiredHours</t>
        </is>
      </c>
      <c r="C31" s="2" t="inlineStr">
        <is>
          <t>'sysAudit'!$H$6</t>
        </is>
      </c>
    </row>
    <row r="32">
      <c r="B32" s="14" t="inlineStr">
        <is>
          <t>cfgRetakeRecordedCap</t>
        </is>
      </c>
      <c r="C32" s="2" t="inlineStr">
        <is>
          <t>'Settings'!$C$12</t>
        </is>
      </c>
    </row>
    <row r="33">
      <c r="B33" s="14" t="inlineStr">
        <is>
          <t>cfgRetestClassDays</t>
        </is>
      </c>
      <c r="C33" s="2" t="inlineStr">
        <is>
          <t>'Settings'!$C$14</t>
        </is>
      </c>
    </row>
    <row r="34">
      <c r="B34" s="14" t="inlineStr">
        <is>
          <t>cfgSignInDate</t>
        </is>
      </c>
      <c r="C34" s="2" t="inlineStr">
        <is>
          <t>'SignIn'!$C$5</t>
        </is>
      </c>
    </row>
    <row r="35">
      <c r="B35" s="14" t="inlineStr">
        <is>
          <t>cfgSpellInterventionAvg</t>
        </is>
      </c>
      <c r="C35" s="2" t="inlineStr">
        <is>
          <t>'Settings'!$C$20</t>
        </is>
      </c>
    </row>
    <row r="36">
      <c r="B36" s="14" t="inlineStr">
        <is>
          <t>cfgSpellPrintMode</t>
        </is>
      </c>
      <c r="C36" s="2" t="inlineStr">
        <is>
          <t>'SpellingPrint'!$E$5</t>
        </is>
      </c>
    </row>
    <row r="37">
      <c r="B37" s="14" t="inlineStr">
        <is>
          <t>cfgSpellPrintNum</t>
        </is>
      </c>
      <c r="C37" s="2" t="inlineStr">
        <is>
          <t>'SpellingPrint'!$C$5</t>
        </is>
      </c>
    </row>
    <row r="38">
      <c r="B38" s="14" t="inlineStr">
        <is>
          <t>cfgStartDate</t>
        </is>
      </c>
      <c r="C38" s="2" t="inlineStr">
        <is>
          <t>'Settings'!$C$7</t>
        </is>
      </c>
    </row>
    <row r="39">
      <c r="B39" s="14" t="inlineStr">
        <is>
          <t>cfgThresholdAfterExam</t>
        </is>
      </c>
      <c r="C39" s="2" t="inlineStr">
        <is>
          <t>'Settings'!$C$13</t>
        </is>
      </c>
    </row>
    <row r="40">
      <c r="B40" s="14" t="inlineStr">
        <is>
          <t>cfgThresholdScore</t>
        </is>
      </c>
      <c r="C40" s="2" t="inlineStr">
        <is>
          <t>'Settings'!$C$11</t>
        </is>
      </c>
    </row>
    <row r="41">
      <c r="B41" s="14" t="inlineStr">
        <is>
          <t>cfgTotalScheduledMinutes</t>
        </is>
      </c>
      <c r="C41" s="2" t="inlineStr">
        <is>
          <t>'Settings'!$C$9</t>
        </is>
      </c>
    </row>
    <row r="42">
      <c r="B42" s="14" t="inlineStr">
        <is>
          <t>cfgTranscriptCadet</t>
        </is>
      </c>
      <c r="C42" s="2" t="inlineStr">
        <is>
          <t>'Transcript'!$C$5</t>
        </is>
      </c>
    </row>
    <row r="43">
      <c r="B43" s="14" t="inlineStr">
        <is>
          <t>cfgWeightFinal</t>
        </is>
      </c>
      <c r="C43" s="2" t="inlineStr">
        <is>
          <t>'Settings'!$C$19</t>
        </is>
      </c>
    </row>
    <row r="44">
      <c r="B44" s="14" t="inlineStr">
        <is>
          <t>cfgWeightMajor</t>
        </is>
      </c>
      <c r="C44" s="2" t="inlineStr">
        <is>
          <t>'Settings'!$C$16</t>
        </is>
      </c>
    </row>
    <row r="45">
      <c r="B45" s="14" t="inlineStr">
        <is>
          <t>cfgWeightMinor</t>
        </is>
      </c>
      <c r="C45" s="2" t="inlineStr">
        <is>
          <t>'Settings'!$C$17</t>
        </is>
      </c>
    </row>
    <row r="46">
      <c r="B46" s="14" t="inlineStr">
        <is>
          <t>cfgWeightSpelling</t>
        </is>
      </c>
      <c r="C46" s="2" t="inlineStr">
        <is>
          <t>'Settings'!$C$18</t>
        </is>
      </c>
    </row>
    <row r="47">
      <c r="B47" s="14" t="inlineStr">
        <is>
          <t>cfgWeightsTotal</t>
        </is>
      </c>
      <c r="C47" s="2" t="inlineStr">
        <is>
          <t>'Settings'!$C$37</t>
        </is>
      </c>
    </row>
    <row r="48">
      <c r="B48" s="14" t="inlineStr">
        <is>
          <t>cfgWritingDueTime</t>
        </is>
      </c>
      <c r="C48" s="2" t="inlineStr">
        <is>
          <t>'Settings'!$C$28</t>
        </is>
      </c>
    </row>
    <row r="49">
      <c r="B49" s="14" t="inlineStr">
        <is>
          <t>lstAssignmentType</t>
        </is>
      </c>
      <c r="C49" s="2" t="inlineStr">
        <is>
          <t>'Lists'!$O$6:$O$10</t>
        </is>
      </c>
    </row>
    <row r="50">
      <c r="B50" s="14" t="inlineStr">
        <is>
          <t>lstAttemptNum</t>
        </is>
      </c>
      <c r="C50" s="2" t="inlineStr">
        <is>
          <t>'Lists'!$Q$6:$Q$10</t>
        </is>
      </c>
    </row>
    <row r="51">
      <c r="B51" s="14" t="inlineStr">
        <is>
          <t>lstAttendanceEvent</t>
        </is>
      </c>
      <c r="C51" s="2" t="inlineStr">
        <is>
          <t>'Lists'!$E$6:$E$14</t>
        </is>
      </c>
    </row>
    <row r="52">
      <c r="B52" s="14" t="inlineStr">
        <is>
          <t>lstAward</t>
        </is>
      </c>
      <c r="C52" s="2" t="inlineStr">
        <is>
          <t>'Lists'!$V$6:$V$9</t>
        </is>
      </c>
    </row>
    <row r="53">
      <c r="B53" s="14" t="inlineStr">
        <is>
          <t>lstCadetStatus</t>
        </is>
      </c>
      <c r="C53" s="2" t="inlineStr">
        <is>
          <t>'Lists'!$C$6:$C$9</t>
        </is>
      </c>
    </row>
    <row r="54">
      <c r="B54" s="14" t="inlineStr">
        <is>
          <t>lstCounselingType</t>
        </is>
      </c>
      <c r="C54" s="2" t="inlineStr">
        <is>
          <t>'Lists'!$S$6:$S$13</t>
        </is>
      </c>
    </row>
    <row r="55">
      <c r="B55" s="14" t="inlineStr">
        <is>
          <t>lstDocumentation</t>
        </is>
      </c>
      <c r="C55" s="2" t="inlineStr">
        <is>
          <t>'Lists'!$G$6:$G$8</t>
        </is>
      </c>
    </row>
    <row r="56">
      <c r="B56" s="14" t="inlineStr">
        <is>
          <t>lstExamType</t>
        </is>
      </c>
      <c r="C56" s="2" t="inlineStr">
        <is>
          <t>'Lists'!$D$6:$D$9</t>
        </is>
      </c>
    </row>
    <row r="57">
      <c r="B57" s="14" t="inlineStr">
        <is>
          <t>lstExcused</t>
        </is>
      </c>
      <c r="C57" s="2" t="inlineStr">
        <is>
          <t>'Lists'!$H$6:$H$7</t>
        </is>
      </c>
    </row>
    <row r="58">
      <c r="B58" s="14" t="inlineStr">
        <is>
          <t>lstIncidentDirection</t>
        </is>
      </c>
      <c r="C58" s="2" t="inlineStr">
        <is>
          <t>'Lists'!$L$6:$L$8</t>
        </is>
      </c>
    </row>
    <row r="59">
      <c r="B59" s="14" t="inlineStr">
        <is>
          <t>lstInstructorType</t>
        </is>
      </c>
      <c r="C59" s="2" t="inlineStr">
        <is>
          <t>'Lists'!$W$6:$W$9</t>
        </is>
      </c>
    </row>
    <row r="60">
      <c r="B60" s="14" t="inlineStr">
        <is>
          <t>lstIssuetype</t>
        </is>
      </c>
      <c r="C60" s="2" t="inlineStr">
        <is>
          <t>'Lists'!$R$6:$R$12</t>
        </is>
      </c>
    </row>
    <row r="61">
      <c r="B61" s="14" t="inlineStr">
        <is>
          <t>lstMakeupType</t>
        </is>
      </c>
      <c r="C61" s="2" t="inlineStr">
        <is>
          <t>'Lists'!$I$6:$I$9</t>
        </is>
      </c>
    </row>
    <row r="62">
      <c r="B62" s="14" t="inlineStr">
        <is>
          <t>lstMaterialsStatus</t>
        </is>
      </c>
      <c r="C62" s="2" t="inlineStr">
        <is>
          <t>'Lists'!$X$6:$X$9</t>
        </is>
      </c>
    </row>
    <row r="63">
      <c r="B63" s="14" t="inlineStr">
        <is>
          <t>lstMedicalStatus</t>
        </is>
      </c>
      <c r="C63" s="2" t="inlineStr">
        <is>
          <t>'Lists'!$T$6:$T$9</t>
        </is>
      </c>
    </row>
    <row r="64">
      <c r="B64" s="14" t="inlineStr">
        <is>
          <t>lstPtSession</t>
        </is>
      </c>
      <c r="C64" s="2" t="inlineStr">
        <is>
          <t>'Lists'!$U$6:$U$8</t>
        </is>
      </c>
    </row>
    <row r="65">
      <c r="B65" s="14" t="inlineStr">
        <is>
          <t>lstReason</t>
        </is>
      </c>
      <c r="C65" s="2" t="inlineStr">
        <is>
          <t>'Lists'!$F$6:$F$12</t>
        </is>
      </c>
    </row>
    <row r="66">
      <c r="B66" s="14" t="inlineStr">
        <is>
          <t>lstRequirementSource</t>
        </is>
      </c>
      <c r="C66" s="2" t="inlineStr">
        <is>
          <t>'Lists'!$Y$6:$Y$7</t>
        </is>
      </c>
    </row>
    <row r="67">
      <c r="B67" s="14" t="inlineStr">
        <is>
          <t>lstResolution</t>
        </is>
      </c>
      <c r="C67" s="2" t="inlineStr">
        <is>
          <t>'Lists'!$N$6:$N$9</t>
        </is>
      </c>
    </row>
    <row r="68">
      <c r="B68" s="14" t="inlineStr">
        <is>
          <t>lstReviewOutcome</t>
        </is>
      </c>
      <c r="C68" s="2" t="inlineStr">
        <is>
          <t>'Lists'!$AA$6:$AA$9</t>
        </is>
      </c>
    </row>
    <row r="69">
      <c r="B69" s="14" t="inlineStr">
        <is>
          <t>lstReviewType</t>
        </is>
      </c>
      <c r="C69" s="2" t="inlineStr">
        <is>
          <t>'Lists'!$Z$6:$Z$8</t>
        </is>
      </c>
    </row>
    <row r="70">
      <c r="B70" s="14" t="inlineStr">
        <is>
          <t>lstScoringMode</t>
        </is>
      </c>
      <c r="C70" s="2" t="inlineStr">
        <is>
          <t>'Lists'!$J$6:$J$7</t>
        </is>
      </c>
    </row>
    <row r="71">
      <c r="B71" s="14" t="inlineStr">
        <is>
          <t>lstSeverity</t>
        </is>
      </c>
      <c r="C71" s="2" t="inlineStr">
        <is>
          <t>'Lists'!$M$6:$M$10</t>
        </is>
      </c>
    </row>
    <row r="72">
      <c r="B72" s="14" t="inlineStr">
        <is>
          <t>lstSkillResult</t>
        </is>
      </c>
      <c r="C72" s="2" t="inlineStr">
        <is>
          <t>'Lists'!$K$6:$K$8</t>
        </is>
      </c>
    </row>
    <row r="73">
      <c r="B73" s="14" t="inlineStr">
        <is>
          <t>lstSubmission</t>
        </is>
      </c>
      <c r="C73" s="2" t="inlineStr">
        <is>
          <t>'Lists'!$P$6:$P$9</t>
        </is>
      </c>
    </row>
    <row r="74">
      <c r="B74" s="14" t="inlineStr">
        <is>
          <t>lstYesNo</t>
        </is>
      </c>
      <c r="C74" s="2" t="inlineStr">
        <is>
          <t>'Lists'!$B$6:$B$7</t>
        </is>
      </c>
    </row>
    <row r="75">
      <c r="B75" s="14" t="inlineStr">
        <is>
          <t>nrATTclElig</t>
        </is>
      </c>
      <c r="C75" s="2" t="inlineStr">
        <is>
          <t>'sysAttendance'!$K$6:$K$55</t>
        </is>
      </c>
    </row>
    <row r="76">
      <c r="B76" s="14" t="inlineStr">
        <is>
          <t>nrATTclOwed</t>
        </is>
      </c>
      <c r="C76" s="2" t="inlineStr">
        <is>
          <t>'sysAttendance'!$L$6:$L$55</t>
        </is>
      </c>
    </row>
    <row r="77">
      <c r="B77" s="14" t="inlineStr">
        <is>
          <t>nrATTclPct</t>
        </is>
      </c>
      <c r="C77" s="2" t="inlineStr">
        <is>
          <t>'sysAttendance'!$I$6:$I$55</t>
        </is>
      </c>
    </row>
    <row r="78">
      <c r="B78" s="14" t="inlineStr">
        <is>
          <t>nrATTclTier</t>
        </is>
      </c>
      <c r="C78" s="2" t="inlineStr">
        <is>
          <t>'sysAttendance'!$J$6:$J$55</t>
        </is>
      </c>
    </row>
    <row r="79">
      <c r="B79" s="14" t="inlineStr">
        <is>
          <t>nrATTmakeupOK</t>
        </is>
      </c>
      <c r="C79" s="2" t="inlineStr">
        <is>
          <t>'sysAttendance'!$T$6:$T$55</t>
        </is>
      </c>
    </row>
    <row r="80">
      <c r="B80" s="14" t="inlineStr">
        <is>
          <t>nrATTptElig</t>
        </is>
      </c>
      <c r="C80" s="2" t="inlineStr">
        <is>
          <t>'sysAttendance'!$S$6:$S$55</t>
        </is>
      </c>
    </row>
    <row r="81">
      <c r="B81" s="14" t="inlineStr">
        <is>
          <t>nrATTptPct</t>
        </is>
      </c>
      <c r="C81" s="2" t="inlineStr">
        <is>
          <t>'sysAttendance'!$Q$6:$Q$55</t>
        </is>
      </c>
    </row>
    <row r="82">
      <c r="B82" s="14" t="inlineStr">
        <is>
          <t>nrATTptTier</t>
        </is>
      </c>
      <c r="C82" s="2" t="inlineStr">
        <is>
          <t>'sysAttendance'!$R$6:$R$55</t>
        </is>
      </c>
    </row>
    <row r="83">
      <c r="B83" s="14" t="inlineStr">
        <is>
          <t>nrAT_Balance</t>
        </is>
      </c>
      <c r="C83" s="2" t="inlineStr">
        <is>
          <t>'Attendance'!$R$6:$R$805</t>
        </is>
      </c>
    </row>
    <row r="84">
      <c r="B84" s="14" t="inlineStr">
        <is>
          <t>nrAT_Cleared</t>
        </is>
      </c>
      <c r="C84" s="2" t="inlineStr">
        <is>
          <t>'Attendance'!$S$6:$S$805</t>
        </is>
      </c>
    </row>
    <row r="85">
      <c r="B85" s="14" t="inlineStr">
        <is>
          <t>nrAT_Counts</t>
        </is>
      </c>
      <c r="C85" s="2" t="inlineStr">
        <is>
          <t>'Attendance'!$N$6:$N$805</t>
        </is>
      </c>
    </row>
    <row r="86">
      <c r="B86" s="14" t="inlineStr">
        <is>
          <t>nrAT_Date</t>
        </is>
      </c>
      <c r="C86" s="2" t="inlineStr">
        <is>
          <t>'Attendance'!$C$6:$C$805</t>
        </is>
      </c>
    </row>
    <row r="87">
      <c r="B87" s="14" t="inlineStr">
        <is>
          <t>nrAT_Excused</t>
        </is>
      </c>
      <c r="C87" s="2" t="inlineStr">
        <is>
          <t>'Attendance'!$M$6:$M$805</t>
        </is>
      </c>
    </row>
    <row r="88">
      <c r="B88" s="14" t="inlineStr">
        <is>
          <t>nrAT_ID</t>
        </is>
      </c>
      <c r="C88" s="2" t="inlineStr">
        <is>
          <t>'Attendance'!$B$6:$B$805</t>
        </is>
      </c>
    </row>
    <row r="89">
      <c r="B89" s="14" t="inlineStr">
        <is>
          <t>nrAT_IsPT</t>
        </is>
      </c>
      <c r="C89" s="2" t="inlineStr">
        <is>
          <t>'Attendance'!$K$6:$K$805</t>
        </is>
      </c>
    </row>
    <row r="90">
      <c r="B90" s="14" t="inlineStr">
        <is>
          <t>nrAT_Min</t>
        </is>
      </c>
      <c r="C90" s="2" t="inlineStr">
        <is>
          <t>'Attendance'!$I$6:$I$805</t>
        </is>
      </c>
    </row>
    <row r="91">
      <c r="B91" s="14" t="inlineStr">
        <is>
          <t>nrAT_PID</t>
        </is>
      </c>
      <c r="C91" s="2" t="inlineStr">
        <is>
          <t>'Attendance'!$E$6:$E$805</t>
        </is>
      </c>
    </row>
    <row r="92">
      <c r="B92" s="14" t="inlineStr">
        <is>
          <t>nrAT_Sess</t>
        </is>
      </c>
      <c r="C92" s="2" t="inlineStr">
        <is>
          <t>'Attendance'!$J$6:$J$805</t>
        </is>
      </c>
    </row>
    <row r="93">
      <c r="B93" s="14" t="inlineStr">
        <is>
          <t>nrAT_Type</t>
        </is>
      </c>
      <c r="C93" s="2" t="inlineStr">
        <is>
          <t>'Attendance'!$G$6:$G$805</t>
        </is>
      </c>
    </row>
    <row r="94">
      <c r="B94" s="14" t="inlineStr">
        <is>
          <t>nrAUDcheck</t>
        </is>
      </c>
      <c r="C94" s="2" t="inlineStr">
        <is>
          <t>'sysAudit'!$B$6:$B$19</t>
        </is>
      </c>
    </row>
    <row r="95">
      <c r="B95" s="14" t="inlineStr">
        <is>
          <t>nrAUDstatus</t>
        </is>
      </c>
      <c r="C95" s="2" t="inlineStr">
        <is>
          <t>'sysAudit'!$E$6:$E$19</t>
        </is>
      </c>
    </row>
    <row r="96">
      <c r="B96" s="14" t="inlineStr">
        <is>
          <t>nrAWfinal</t>
        </is>
      </c>
      <c r="C96" s="2" t="inlineStr">
        <is>
          <t>'sysAwards'!$F$6:$F$9</t>
        </is>
      </c>
    </row>
    <row r="97">
      <c r="B97" s="14" t="inlineStr">
        <is>
          <t>nrAWnames</t>
        </is>
      </c>
      <c r="C97" s="2" t="inlineStr">
        <is>
          <t>'sysAwards'!$B$6:$B$9</t>
        </is>
      </c>
    </row>
    <row r="98">
      <c r="B98" s="14" t="inlineStr">
        <is>
          <t>nrAgencyLastEmail</t>
        </is>
      </c>
      <c r="C98" s="2" t="inlineStr">
        <is>
          <t>'Agencies'!$I$6:$I$50</t>
        </is>
      </c>
    </row>
    <row r="99">
      <c r="B99" s="14" t="inlineStr">
        <is>
          <t>nrAllClosures</t>
        </is>
      </c>
      <c r="C99" s="2" t="inlineStr">
        <is>
          <t>'Control'!$M$6:$M$42</t>
        </is>
      </c>
    </row>
    <row r="100">
      <c r="B100" s="14" t="inlineStr">
        <is>
          <t>nrAllRefIDs</t>
        </is>
      </c>
      <c r="C100" s="2" t="inlineStr">
        <is>
          <t>'sysListsHelper'!$D$6:$D$1621</t>
        </is>
      </c>
    </row>
    <row r="101">
      <c r="B101" s="14" t="inlineStr">
        <is>
          <t>nrBankGrid</t>
        </is>
      </c>
      <c r="C101" s="2" t="inlineStr">
        <is>
          <t>'InstructorBanks'!$C$6:$L$80</t>
        </is>
      </c>
    </row>
    <row r="102">
      <c r="B102" s="14" t="inlineStr">
        <is>
          <t>nrBankSel</t>
        </is>
      </c>
      <c r="C102" s="2" t="inlineStr">
        <is>
          <t>'InstructorBanks'!$M$6:$T$80</t>
        </is>
      </c>
    </row>
    <row r="103">
      <c r="B103" s="14" t="inlineStr">
        <is>
          <t>nrBankTopics</t>
        </is>
      </c>
      <c r="C103" s="2" t="inlineStr">
        <is>
          <t>'InstructorBanks'!$B$6:$B$80</t>
        </is>
      </c>
    </row>
    <row r="104">
      <c r="B104" s="14" t="inlineStr">
        <is>
          <t>nrCDdate</t>
        </is>
      </c>
      <c r="C104" s="2" t="inlineStr">
        <is>
          <t>'Control'!$I$6:$I$175</t>
        </is>
      </c>
    </row>
    <row r="105">
      <c r="B105" s="14" t="inlineStr">
        <is>
          <t>nrCDinsession</t>
        </is>
      </c>
      <c r="C105" s="2" t="inlineStr">
        <is>
          <t>'Control'!$K$6:$K$175</t>
        </is>
      </c>
    </row>
    <row r="106">
      <c r="B106" s="14" t="inlineStr">
        <is>
          <t>nrCDnum</t>
        </is>
      </c>
      <c r="C106" s="2" t="inlineStr">
        <is>
          <t>'Control'!$H$6:$H$175</t>
        </is>
      </c>
    </row>
    <row r="107">
      <c r="B107" s="14" t="inlineStr">
        <is>
          <t>nrCDweek</t>
        </is>
      </c>
      <c r="C107" s="2" t="inlineStr">
        <is>
          <t>'Control'!$J$6:$J$175</t>
        </is>
      </c>
    </row>
    <row r="108">
      <c r="B108" s="14" t="inlineStr">
        <is>
          <t>nrCERTall</t>
        </is>
      </c>
      <c r="C108" s="2" t="inlineStr">
        <is>
          <t>'Certifications'!$T$6:$T$55</t>
        </is>
      </c>
    </row>
    <row r="109">
      <c r="B109" s="14" t="inlineStr">
        <is>
          <t>nrCERTmissing</t>
        </is>
      </c>
      <c r="C109" s="2" t="inlineStr">
        <is>
          <t>'Certifications'!$U$6:$U$55</t>
        </is>
      </c>
    </row>
    <row r="110">
      <c r="B110" s="14" t="inlineStr">
        <is>
          <t>nrCHassess</t>
        </is>
      </c>
      <c r="C110" s="2" t="inlineStr">
        <is>
          <t>'ChapterMaster'!$O$6:$O$49</t>
        </is>
      </c>
    </row>
    <row r="111">
      <c r="B111" s="14" t="inlineStr">
        <is>
          <t>nrCHbio</t>
        </is>
      </c>
      <c r="C111" s="2" t="inlineStr">
        <is>
          <t>'ChapterMaster'!$M$6:$M$49</t>
        </is>
      </c>
    </row>
    <row r="112">
      <c r="B112" s="14" t="inlineStr">
        <is>
          <t>nrCHdeliv</t>
        </is>
      </c>
      <c r="C112" s="2" t="inlineStr">
        <is>
          <t>'ChapterMaster'!$G$6:$G$49</t>
        </is>
      </c>
    </row>
    <row r="113">
      <c r="B113" s="14" t="inlineStr">
        <is>
          <t>nrCHevals</t>
        </is>
      </c>
      <c r="C113" s="2" t="inlineStr">
        <is>
          <t>'ChapterMaster'!$Q$6:$Q$49</t>
        </is>
      </c>
    </row>
    <row r="114">
      <c r="B114" s="14" t="inlineStr">
        <is>
          <t>nrCHfileOK</t>
        </is>
      </c>
      <c r="C114" s="2" t="inlineStr">
        <is>
          <t>'ChapterMaster'!$U$6:$U$49</t>
        </is>
      </c>
    </row>
    <row r="115">
      <c r="B115" s="14" t="inlineStr">
        <is>
          <t>nrCHfirst</t>
        </is>
      </c>
      <c r="C115" s="2" t="inlineStr">
        <is>
          <t>'ChapterMaster'!$I$6:$I$49</t>
        </is>
      </c>
    </row>
    <row r="116">
      <c r="B116" s="14" t="inlineStr">
        <is>
          <t>nrCHgrade</t>
        </is>
      </c>
      <c r="C116" s="2" t="inlineStr">
        <is>
          <t>'ChapterMaster'!$P$6:$P$49</t>
        </is>
      </c>
    </row>
    <row r="117">
      <c r="B117" s="14" t="inlineStr">
        <is>
          <t>nrCHhandoutOpt</t>
        </is>
      </c>
      <c r="C117" s="2" t="inlineStr">
        <is>
          <t>'ChapterMaster'!$R$6:$R$49</t>
        </is>
      </c>
    </row>
    <row r="118">
      <c r="B118" s="14" t="inlineStr">
        <is>
          <t>nrCHinstr</t>
        </is>
      </c>
      <c r="C118" s="2" t="inlineStr">
        <is>
          <t>'ChapterMaster'!$K$6:$K$49</t>
        </is>
      </c>
    </row>
    <row r="119">
      <c r="B119" s="14" t="inlineStr">
        <is>
          <t>nrCHlesson</t>
        </is>
      </c>
      <c r="C119" s="2" t="inlineStr">
        <is>
          <t>'ChapterMaster'!$L$6:$L$49</t>
        </is>
      </c>
    </row>
    <row r="120">
      <c r="B120" s="14" t="inlineStr">
        <is>
          <t>nrCHmin</t>
        </is>
      </c>
      <c r="C120" s="2" t="inlineStr">
        <is>
          <t>'ChapterMaster'!$E$6:$E$49</t>
        </is>
      </c>
    </row>
    <row r="121">
      <c r="B121" s="14" t="inlineStr">
        <is>
          <t>nrCHmod</t>
        </is>
      </c>
      <c r="C121" s="2" t="inlineStr">
        <is>
          <t>'ChapterMaster'!$B$6:$B$49</t>
        </is>
      </c>
    </row>
    <row r="122">
      <c r="B122" s="14" t="inlineStr">
        <is>
          <t>nrCHname</t>
        </is>
      </c>
      <c r="C122" s="2" t="inlineStr">
        <is>
          <t>'ChapterMaster'!$D$6:$D$49</t>
        </is>
      </c>
    </row>
    <row r="123">
      <c r="B123" s="14" t="inlineStr">
        <is>
          <t>nrCHnum</t>
        </is>
      </c>
      <c r="C123" s="2" t="inlineStr">
        <is>
          <t>'ChapterMaster'!$C$6:$C$49</t>
        </is>
      </c>
    </row>
    <row r="124">
      <c r="B124" s="14" t="inlineStr">
        <is>
          <t>nrCHplan</t>
        </is>
      </c>
      <c r="C124" s="2" t="inlineStr">
        <is>
          <t>'ChapterMaster'!$F$6:$F$49</t>
        </is>
      </c>
    </row>
    <row r="125">
      <c r="B125" s="14" t="inlineStr">
        <is>
          <t>nrCHsignin</t>
        </is>
      </c>
      <c r="C125" s="2" t="inlineStr">
        <is>
          <t>'ChapterMaster'!$N$6:$N$49</t>
        </is>
      </c>
    </row>
    <row r="126">
      <c r="B126" s="14" t="inlineStr">
        <is>
          <t>nrCHspecial</t>
        </is>
      </c>
      <c r="C126" s="2" t="inlineStr">
        <is>
          <t>'ChapterMaster'!$S$6:$S$49</t>
        </is>
      </c>
    </row>
    <row r="127">
      <c r="B127" s="14" t="inlineStr">
        <is>
          <t>nrCHspecialMet</t>
        </is>
      </c>
      <c r="C127" s="2" t="inlineStr">
        <is>
          <t>'ChapterMaster'!$T$6:$T$49</t>
        </is>
      </c>
    </row>
    <row r="128">
      <c r="B128" s="14" t="inlineStr">
        <is>
          <t>nrCHtotalDelivered</t>
        </is>
      </c>
      <c r="C128" s="2" t="inlineStr">
        <is>
          <t>'ChapterMaster'!$G$51</t>
        </is>
      </c>
    </row>
    <row r="129">
      <c r="B129" s="14" t="inlineStr">
        <is>
          <t>nrCKblocking</t>
        </is>
      </c>
      <c r="C129" s="2" t="inlineStr">
        <is>
          <t>'sysChecks'!$O$6:$O$55</t>
        </is>
      </c>
    </row>
    <row r="130">
      <c r="B130" s="14" t="inlineStr">
        <is>
          <t>nrCKfinalExamElig</t>
        </is>
      </c>
      <c r="C130" s="2" t="inlineStr">
        <is>
          <t>'sysChecks'!$P$6:$P$55</t>
        </is>
      </c>
    </row>
    <row r="131">
      <c r="B131" s="14" t="inlineStr">
        <is>
          <t>nrCKgradElig</t>
        </is>
      </c>
      <c r="C131" s="2" t="inlineStr">
        <is>
          <t>'sysChecks'!$N$6:$N$55</t>
        </is>
      </c>
    </row>
    <row r="132">
      <c r="B132" s="14" t="inlineStr">
        <is>
          <t>nrCO_Date</t>
        </is>
      </c>
      <c r="C132" s="2" t="inlineStr">
        <is>
          <t>'Counseling'!$C$6:$C$405</t>
        </is>
      </c>
    </row>
    <row r="133">
      <c r="B133" s="14" t="inlineStr">
        <is>
          <t>nrCO_Desc</t>
        </is>
      </c>
      <c r="C133" s="2" t="inlineStr">
        <is>
          <t>'Counseling'!$H$6:$H$405</t>
        </is>
      </c>
    </row>
    <row r="134">
      <c r="B134" s="14" t="inlineStr">
        <is>
          <t>nrCO_PID</t>
        </is>
      </c>
      <c r="C134" s="2" t="inlineStr">
        <is>
          <t>'Counseling'!$E$6:$E$405</t>
        </is>
      </c>
    </row>
    <row r="135">
      <c r="B135" s="14" t="inlineStr">
        <is>
          <t>nrCO_Report</t>
        </is>
      </c>
      <c r="C135" s="2" t="inlineStr">
        <is>
          <t>'Counseling'!$J$6:$J$405</t>
        </is>
      </c>
    </row>
    <row r="136">
      <c r="B136" s="14" t="inlineStr">
        <is>
          <t>nrCO_Status</t>
        </is>
      </c>
      <c r="C136" s="2" t="inlineStr">
        <is>
          <t>'Counseling'!$M$6:$M$405</t>
        </is>
      </c>
    </row>
    <row r="137">
      <c r="B137" s="14" t="inlineStr">
        <is>
          <t>nrCO_Type</t>
        </is>
      </c>
      <c r="C137" s="2" t="inlineStr">
        <is>
          <t>'Counseling'!$F$6:$F$405</t>
        </is>
      </c>
    </row>
    <row r="138">
      <c r="B138" s="14" t="inlineStr">
        <is>
          <t>nrCadetAgency</t>
        </is>
      </c>
      <c r="C138" s="2" t="inlineStr">
        <is>
          <t>'Cadets'!$H$6:$H$55</t>
        </is>
      </c>
    </row>
    <row r="139">
      <c r="B139" s="14" t="inlineStr">
        <is>
          <t>nrCadetAgencyID</t>
        </is>
      </c>
      <c r="C139" s="2" t="inlineStr">
        <is>
          <t>'Cadets'!$G$6:$G$55</t>
        </is>
      </c>
    </row>
    <row r="140">
      <c r="B140" s="14" t="inlineStr">
        <is>
          <t>nrCadetStatus</t>
        </is>
      </c>
      <c r="C140" s="2" t="inlineStr">
        <is>
          <t>'Cadets'!$I$6:$I$55</t>
        </is>
      </c>
    </row>
    <row r="141">
      <c r="B141" s="14" t="inlineStr">
        <is>
          <t>nrDL_Date</t>
        </is>
      </c>
      <c r="C141" s="2" t="inlineStr">
        <is>
          <t>'DailyLog'!$B$6:$B$175</t>
        </is>
      </c>
    </row>
    <row r="142">
      <c r="B142" s="14" t="inlineStr">
        <is>
          <t>nrELagency</t>
        </is>
      </c>
      <c r="C142" s="2" t="inlineStr">
        <is>
          <t>'EmailLog'!$C$6:$C$505</t>
        </is>
      </c>
    </row>
    <row r="143">
      <c r="B143" s="14" t="inlineStr">
        <is>
          <t>nrELdate</t>
        </is>
      </c>
      <c r="C143" s="2" t="inlineStr">
        <is>
          <t>'EmailLog'!$B$6:$B$505</t>
        </is>
      </c>
    </row>
    <row r="144">
      <c r="B144" s="14" t="inlineStr">
        <is>
          <t>nrEPVgrid</t>
        </is>
      </c>
      <c r="C144" s="2" t="inlineStr">
        <is>
          <t>'EmailPreview'!$B$9:$J$58</t>
        </is>
      </c>
    </row>
    <row r="145">
      <c r="B145" s="14" t="inlineStr">
        <is>
          <t>nrEPVsinceRow</t>
        </is>
      </c>
      <c r="C145" s="2" t="inlineStr">
        <is>
          <t>'EmailPreview'!$B$62</t>
        </is>
      </c>
    </row>
    <row r="146">
      <c r="B146" s="14" t="inlineStr">
        <is>
          <t>nrES_Att</t>
        </is>
      </c>
      <c r="C146" s="2" t="inlineStr">
        <is>
          <t>'ExamScores'!$K$6:$K$1505</t>
        </is>
      </c>
    </row>
    <row r="147">
      <c r="B147" s="14" t="inlineStr">
        <is>
          <t>nrES_Code</t>
        </is>
      </c>
      <c r="C147" s="2" t="inlineStr">
        <is>
          <t>'ExamScores'!$F$6:$F$1505</t>
        </is>
      </c>
    </row>
    <row r="148">
      <c r="B148" s="14" t="inlineStr">
        <is>
          <t>nrES_Date</t>
        </is>
      </c>
      <c r="C148" s="2" t="inlineStr">
        <is>
          <t>'ExamScores'!$S$6:$S$1505</t>
        </is>
      </c>
    </row>
    <row r="149">
      <c r="B149" s="14" t="inlineStr">
        <is>
          <t>nrES_Dis</t>
        </is>
      </c>
      <c r="C149" s="2" t="inlineStr">
        <is>
          <t>'ExamScores'!$R$6:$R$1505</t>
        </is>
      </c>
    </row>
    <row r="150">
      <c r="B150" s="14" t="inlineStr">
        <is>
          <t>nrES_Final</t>
        </is>
      </c>
      <c r="C150" s="2" t="inlineStr">
        <is>
          <t>'ExamScores'!$P$6:$P$1505</t>
        </is>
      </c>
    </row>
    <row r="151">
      <c r="B151" s="14" t="inlineStr">
        <is>
          <t>nrES_PID</t>
        </is>
      </c>
      <c r="C151" s="2" t="inlineStr">
        <is>
          <t>'ExamScores'!$D$6:$D$1505</t>
        </is>
      </c>
    </row>
    <row r="152">
      <c r="B152" s="14" t="inlineStr">
        <is>
          <t>nrES_Raw</t>
        </is>
      </c>
      <c r="C152" s="2" t="inlineStr">
        <is>
          <t>'ExamScores'!$L$6:$L$1505</t>
        </is>
      </c>
    </row>
    <row r="153">
      <c r="B153" s="14" t="inlineStr">
        <is>
          <t>nrES_Rec</t>
        </is>
      </c>
      <c r="C153" s="2" t="inlineStr">
        <is>
          <t>'ExamScores'!$M$6:$M$1505</t>
        </is>
      </c>
    </row>
    <row r="154">
      <c r="B154" s="14" t="inlineStr">
        <is>
          <t>nrES_RetDue</t>
        </is>
      </c>
      <c r="C154" s="2" t="inlineStr">
        <is>
          <t>'ExamScores'!$T$6:$T$1505</t>
        </is>
      </c>
    </row>
    <row r="155">
      <c r="B155" s="14" t="inlineStr">
        <is>
          <t>nrES_RetReq</t>
        </is>
      </c>
      <c r="C155" s="2" t="inlineStr">
        <is>
          <t>'ExamScores'!$Q$6:$Q$1505</t>
        </is>
      </c>
    </row>
    <row r="156">
      <c r="B156" s="14" t="inlineStr">
        <is>
          <t>nrES_RetStat</t>
        </is>
      </c>
      <c r="C156" s="2" t="inlineStr">
        <is>
          <t>'ExamScores'!$U$6:$U$1505</t>
        </is>
      </c>
    </row>
    <row r="157">
      <c r="B157" s="14" t="inlineStr">
        <is>
          <t>nrES_Seq</t>
        </is>
      </c>
      <c r="C157" s="2" t="inlineStr">
        <is>
          <t>'ExamScores'!$I$6:$I$1505</t>
        </is>
      </c>
    </row>
    <row r="158">
      <c r="B158" s="14" t="inlineStr">
        <is>
          <t>nrES_Type</t>
        </is>
      </c>
      <c r="C158" s="2" t="inlineStr">
        <is>
          <t>'ExamScores'!$H$6:$H$1505</t>
        </is>
      </c>
    </row>
    <row r="159">
      <c r="B159" s="14" t="inlineStr">
        <is>
          <t>nrExtraClosures</t>
        </is>
      </c>
      <c r="C159" s="2" t="inlineStr">
        <is>
          <t>'Control'!$F$6:$F$20</t>
        </is>
      </c>
    </row>
    <row r="160">
      <c r="B160" s="14" t="inlineStr">
        <is>
          <t>nrFLcount</t>
        </is>
      </c>
      <c r="C160" s="2" t="inlineStr">
        <is>
          <t>'sysFlags'!$R$6:$R$55</t>
        </is>
      </c>
    </row>
    <row r="161">
      <c r="B161" s="14" t="inlineStr">
        <is>
          <t>nrFLreasons</t>
        </is>
      </c>
      <c r="C161" s="2" t="inlineStr">
        <is>
          <t>'sysFlags'!$S$6:$S$55</t>
        </is>
      </c>
    </row>
    <row r="162">
      <c r="B162" s="14" t="inlineStr">
        <is>
          <t>nrGRacademic</t>
        </is>
      </c>
      <c r="C162" s="2" t="inlineStr">
        <is>
          <t>'sysGrades'!$V$6:$V$55</t>
        </is>
      </c>
    </row>
    <row r="163">
      <c r="B163" s="14" t="inlineStr">
        <is>
          <t>nrGRconsec</t>
        </is>
      </c>
      <c r="C163" s="2" t="inlineStr">
        <is>
          <t>'sysGrades'!$AC$6:$AC$55</t>
        </is>
      </c>
    </row>
    <row r="164">
      <c r="B164" s="14" t="inlineStr">
        <is>
          <t>nrGRcurrent</t>
        </is>
      </c>
      <c r="C164" s="2" t="inlineStr">
        <is>
          <t>'sysGrades'!$M$6:$M$55</t>
        </is>
      </c>
    </row>
    <row r="165">
      <c r="B165" s="14" t="inlineStr">
        <is>
          <t>nrGRdisrev</t>
        </is>
      </c>
      <c r="C165" s="2" t="inlineStr">
        <is>
          <t>'sysGrades'!$P$6:$P$55</t>
        </is>
      </c>
    </row>
    <row r="166">
      <c r="B166" s="14" t="inlineStr">
        <is>
          <t>nrGRfinal</t>
        </is>
      </c>
      <c r="C166" s="2" t="inlineStr">
        <is>
          <t>'sysGrades'!$N$6:$N$55</t>
        </is>
      </c>
    </row>
    <row r="167">
      <c r="B167" s="14" t="inlineStr">
        <is>
          <t>nrGRgradedrop</t>
        </is>
      </c>
      <c r="C167" s="2" t="inlineStr">
        <is>
          <t>'sysGrades'!$AB$6:$AB$55</t>
        </is>
      </c>
    </row>
    <row r="168">
      <c r="B168" s="14" t="inlineStr">
        <is>
          <t>nrGRmajavg</t>
        </is>
      </c>
      <c r="C168" s="2" t="inlineStr">
        <is>
          <t>'sysGrades'!$I$6:$I$55</t>
        </is>
      </c>
    </row>
    <row r="169">
      <c r="B169" s="14" t="inlineStr">
        <is>
          <t>nrGRminavg</t>
        </is>
      </c>
      <c r="C169" s="2" t="inlineStr">
        <is>
          <t>'sysGrades'!$J$6:$J$55</t>
        </is>
      </c>
    </row>
    <row r="170">
      <c r="B170" s="14" t="inlineStr">
        <is>
          <t>nrGRrank</t>
        </is>
      </c>
      <c r="C170" s="2" t="inlineStr">
        <is>
          <t>'sysGrades'!$U$6:$U$55</t>
        </is>
      </c>
    </row>
    <row r="171">
      <c r="B171" s="14" t="inlineStr">
        <is>
          <t>nrGRretakes</t>
        </is>
      </c>
      <c r="C171" s="2" t="inlineStr">
        <is>
          <t>'sysGrades'!$O$6:$O$55</t>
        </is>
      </c>
    </row>
    <row r="172">
      <c r="B172" s="14" t="inlineStr">
        <is>
          <t>nrHolidays1</t>
        </is>
      </c>
      <c r="C172" s="2" t="inlineStr">
        <is>
          <t>'Control'!$C$6:$C$16</t>
        </is>
      </c>
    </row>
    <row r="173">
      <c r="B173" s="14" t="inlineStr">
        <is>
          <t>nrHolidays2</t>
        </is>
      </c>
      <c r="C173" s="2" t="inlineStr">
        <is>
          <t>'Control'!$D$6:$D$16</t>
        </is>
      </c>
    </row>
    <row r="174">
      <c r="B174" s="14" t="inlineStr">
        <is>
          <t>nrINCelig</t>
        </is>
      </c>
      <c r="C174" s="2" t="inlineStr">
        <is>
          <t>'sysIncidents'!$K$6:$K$55</t>
        </is>
      </c>
    </row>
    <row r="175">
      <c r="B175" s="14" t="inlineStr">
        <is>
          <t>nrINCopenNeg</t>
        </is>
      </c>
      <c r="C175" s="2" t="inlineStr">
        <is>
          <t>'sysIncidents'!$H$6:$H$55</t>
        </is>
      </c>
    </row>
    <row r="176">
      <c r="B176" s="14" t="inlineStr">
        <is>
          <t>nrIN_Chain</t>
        </is>
      </c>
      <c r="C176" s="2" t="inlineStr">
        <is>
          <t>'Incidents'!$L$6:$L$405</t>
        </is>
      </c>
    </row>
    <row r="177">
      <c r="B177" s="14" t="inlineStr">
        <is>
          <t>nrIN_Date</t>
        </is>
      </c>
      <c r="C177" s="2" t="inlineStr">
        <is>
          <t>'Incidents'!$C$6:$C$405</t>
        </is>
      </c>
    </row>
    <row r="178">
      <c r="B178" s="14" t="inlineStr">
        <is>
          <t>nrIN_Desc</t>
        </is>
      </c>
      <c r="C178" s="2" t="inlineStr">
        <is>
          <t>'Incidents'!$I$6:$I$405</t>
        </is>
      </c>
    </row>
    <row r="179">
      <c r="B179" s="14" t="inlineStr">
        <is>
          <t>nrIN_Dir</t>
        </is>
      </c>
      <c r="C179" s="2" t="inlineStr">
        <is>
          <t>'Incidents'!$F$6:$F$405</t>
        </is>
      </c>
    </row>
    <row r="180">
      <c r="B180" s="14" t="inlineStr">
        <is>
          <t>nrIN_PID</t>
        </is>
      </c>
      <c r="C180" s="2" t="inlineStr">
        <is>
          <t>'Incidents'!$E$6:$E$405</t>
        </is>
      </c>
    </row>
    <row r="181">
      <c r="B181" s="14" t="inlineStr">
        <is>
          <t>nrIN_Report</t>
        </is>
      </c>
      <c r="C181" s="2" t="inlineStr">
        <is>
          <t>'Incidents'!$O$6:$O$405</t>
        </is>
      </c>
    </row>
    <row r="182">
      <c r="B182" s="14" t="inlineStr">
        <is>
          <t>nrIN_Res</t>
        </is>
      </c>
      <c r="C182" s="2" t="inlineStr">
        <is>
          <t>'Incidents'!$M$6:$M$405</t>
        </is>
      </c>
    </row>
    <row r="183">
      <c r="B183" s="14" t="inlineStr">
        <is>
          <t>nrIN_Sev</t>
        </is>
      </c>
      <c r="C183" s="2" t="inlineStr">
        <is>
          <t>'Incidents'!$G$6:$G$405</t>
        </is>
      </c>
    </row>
    <row r="184">
      <c r="B184" s="14" t="inlineStr">
        <is>
          <t>nrInstrChTaught</t>
        </is>
      </c>
      <c r="C184" s="2" t="inlineStr">
        <is>
          <t>'Instructors'!$M$6:$M$95</t>
        </is>
      </c>
    </row>
    <row r="185">
      <c r="B185" s="14" t="inlineStr">
        <is>
          <t>nrInstrNames</t>
        </is>
      </c>
      <c r="C185" s="2" t="inlineStr">
        <is>
          <t>'Instructors'!$B$6:$B$95</t>
        </is>
      </c>
    </row>
    <row r="186">
      <c r="B186" s="14" t="inlineStr">
        <is>
          <t>nrInstrOnSched</t>
        </is>
      </c>
      <c r="C186" s="2" t="inlineStr">
        <is>
          <t>'Instructors'!$L$6:$L$95</t>
        </is>
      </c>
    </row>
    <row r="187">
      <c r="B187" s="14" t="inlineStr">
        <is>
          <t>nrInstrReady</t>
        </is>
      </c>
      <c r="C187" s="2" t="inlineStr">
        <is>
          <t>'Instructors'!$K$6:$K$95</t>
        </is>
      </c>
    </row>
    <row r="188">
      <c r="B188" s="14" t="inlineStr">
        <is>
          <t>nrMD_PID</t>
        </is>
      </c>
      <c r="C188" s="2" t="inlineStr">
        <is>
          <t>'Medical'!$E$6:$E$205</t>
        </is>
      </c>
    </row>
    <row r="189">
      <c r="B189" s="14" t="inlineStr">
        <is>
          <t>nrMD_Restr</t>
        </is>
      </c>
      <c r="C189" s="2" t="inlineStr">
        <is>
          <t>'Medical'!$H$6:$H$205</t>
        </is>
      </c>
    </row>
    <row r="190">
      <c r="B190" s="14" t="inlineStr">
        <is>
          <t>nrMD_Status</t>
        </is>
      </c>
      <c r="C190" s="2" t="inlineStr">
        <is>
          <t>'Medical'!$M$6:$M$205</t>
        </is>
      </c>
    </row>
    <row r="191">
      <c r="B191" s="14" t="inlineStr">
        <is>
          <t>nrME_Assigned</t>
        </is>
      </c>
      <c r="C191" s="2" t="inlineStr">
        <is>
          <t>'Memos'!$C$6:$C$305</t>
        </is>
      </c>
    </row>
    <row r="192">
      <c r="B192" s="14" t="inlineStr">
        <is>
          <t>nrME_Cadet</t>
        </is>
      </c>
      <c r="C192" s="2" t="inlineStr">
        <is>
          <t>'Memos'!$D$6:$D$305</t>
        </is>
      </c>
    </row>
    <row r="193">
      <c r="B193" s="14" t="inlineStr">
        <is>
          <t>nrME_Due</t>
        </is>
      </c>
      <c r="C193" s="2" t="inlineStr">
        <is>
          <t>'Memos'!$J$6:$J$305</t>
        </is>
      </c>
    </row>
    <row r="194">
      <c r="B194" s="14" t="inlineStr">
        <is>
          <t>nrME_PID</t>
        </is>
      </c>
      <c r="C194" s="2" t="inlineStr">
        <is>
          <t>'Memos'!$E$6:$E$305</t>
        </is>
      </c>
    </row>
    <row r="195">
      <c r="B195" s="14" t="inlineStr">
        <is>
          <t>nrME_Received</t>
        </is>
      </c>
      <c r="C195" s="2" t="inlineStr">
        <is>
          <t>'Memos'!$K$6:$K$305</t>
        </is>
      </c>
    </row>
    <row r="196">
      <c r="B196" s="14" t="inlineStr">
        <is>
          <t>nrME_Ref</t>
        </is>
      </c>
      <c r="C196" s="2" t="inlineStr">
        <is>
          <t>'Memos'!$F$6:$F$305</t>
        </is>
      </c>
    </row>
    <row r="197">
      <c r="B197" s="14" t="inlineStr">
        <is>
          <t>nrME_Report</t>
        </is>
      </c>
      <c r="C197" s="2" t="inlineStr">
        <is>
          <t>'Memos'!$M$6:$M$305</t>
        </is>
      </c>
    </row>
    <row r="198">
      <c r="B198" s="14" t="inlineStr">
        <is>
          <t>nrME_Status</t>
        </is>
      </c>
      <c r="C198" s="2" t="inlineStr">
        <is>
          <t>'Memos'!$L$6:$L$305</t>
        </is>
      </c>
    </row>
    <row r="199">
      <c r="B199" s="14" t="inlineStr">
        <is>
          <t>nrME_Subject</t>
        </is>
      </c>
      <c r="C199" s="2" t="inlineStr">
        <is>
          <t>'Memos'!$G$6:$G$305</t>
        </is>
      </c>
    </row>
    <row r="200">
      <c r="B200" s="14" t="inlineStr">
        <is>
          <t>nrMK_Credit</t>
        </is>
      </c>
      <c r="C200" s="2" t="inlineStr">
        <is>
          <t>'Makeup'!$L$6:$L$505</t>
        </is>
      </c>
    </row>
    <row r="201">
      <c r="B201" s="14" t="inlineStr">
        <is>
          <t>nrMK_Date</t>
        </is>
      </c>
      <c r="C201" s="2" t="inlineStr">
        <is>
          <t>'Makeup'!$C$6:$C$505</t>
        </is>
      </c>
    </row>
    <row r="202">
      <c r="B202" s="14" t="inlineStr">
        <is>
          <t>nrMK_Link</t>
        </is>
      </c>
      <c r="C202" s="2" t="inlineStr">
        <is>
          <t>'Makeup'!$I$6:$I$505</t>
        </is>
      </c>
    </row>
    <row r="203">
      <c r="B203" s="14" t="inlineStr">
        <is>
          <t>nrMK_Min</t>
        </is>
      </c>
      <c r="C203" s="2" t="inlineStr">
        <is>
          <t>'Makeup'!$G$6:$G$505</t>
        </is>
      </c>
    </row>
    <row r="204">
      <c r="B204" s="14" t="inlineStr">
        <is>
          <t>nrMK_PID</t>
        </is>
      </c>
      <c r="C204" s="2" t="inlineStr">
        <is>
          <t>'Makeup'!$E$6:$E$505</t>
        </is>
      </c>
    </row>
    <row r="205">
      <c r="B205" s="14" t="inlineStr">
        <is>
          <t>nrMK_Sess</t>
        </is>
      </c>
      <c r="C205" s="2" t="inlineStr">
        <is>
          <t>'Makeup'!$H$6:$H$505</t>
        </is>
      </c>
    </row>
    <row r="206">
      <c r="B206" s="14" t="inlineStr">
        <is>
          <t>nrMK_Type</t>
        </is>
      </c>
      <c r="C206" s="2" t="inlineStr">
        <is>
          <t>'Makeup'!$F$6:$F$505</t>
        </is>
      </c>
    </row>
    <row r="207">
      <c r="B207" s="14" t="inlineStr">
        <is>
          <t>nrPRGitems</t>
        </is>
      </c>
      <c r="C207" s="2" t="inlineStr">
        <is>
          <t>'Audit'!$B$30:$B$41</t>
        </is>
      </c>
    </row>
    <row r="208">
      <c r="B208" s="14" t="inlineStr">
        <is>
          <t>nrPRGmet</t>
        </is>
      </c>
      <c r="C208" s="2" t="inlineStr">
        <is>
          <t>'Audit'!$F$30:$F$41</t>
        </is>
      </c>
    </row>
    <row r="209">
      <c r="B209" s="14" t="inlineStr">
        <is>
          <t>nrPTRubricEvents</t>
        </is>
      </c>
      <c r="C209" s="2" t="inlineStr">
        <is>
          <t>'Settings'!$B$43:$B$49</t>
        </is>
      </c>
    </row>
    <row r="210">
      <c r="B210" s="14" t="inlineStr">
        <is>
          <t>nrPTRubricPoints</t>
        </is>
      </c>
      <c r="C210" s="2" t="inlineStr">
        <is>
          <t>'Settings'!$D$43:$H$49</t>
        </is>
      </c>
    </row>
    <row r="211">
      <c r="B211" s="14" t="inlineStr">
        <is>
          <t>nrPT_BasePass</t>
        </is>
      </c>
      <c r="C211" s="2" t="inlineStr">
        <is>
          <t>'PT'!$K$6:$K$55</t>
        </is>
      </c>
    </row>
    <row r="212">
      <c r="B212" s="14" t="inlineStr">
        <is>
          <t>nrPT_FinalPass</t>
        </is>
      </c>
      <c r="C212" s="2" t="inlineStr">
        <is>
          <t>'PT'!$AB$6:$AB$55</t>
        </is>
      </c>
    </row>
    <row r="213">
      <c r="B213" s="14" t="inlineStr">
        <is>
          <t>nrPT_FinalPts</t>
        </is>
      </c>
      <c r="C213" s="2" t="inlineStr">
        <is>
          <t>'PT'!$AA$6:$AA$55</t>
        </is>
      </c>
    </row>
    <row r="214">
      <c r="B214" s="14" t="inlineStr">
        <is>
          <t>nrPT_Improve</t>
        </is>
      </c>
      <c r="C214" s="2" t="inlineStr">
        <is>
          <t>'PT'!$AC$6:$AC$55</t>
        </is>
      </c>
    </row>
    <row r="215">
      <c r="B215" s="14" t="inlineStr">
        <is>
          <t>nrSCH_Act</t>
        </is>
      </c>
      <c r="C215" s="2" t="inlineStr">
        <is>
          <t>'Schedule'!$G$6:$G$905</t>
        </is>
      </c>
    </row>
    <row r="216">
      <c r="B216" s="14" t="inlineStr">
        <is>
          <t>nrSCH_ChNum</t>
        </is>
      </c>
      <c r="C216" s="2" t="inlineStr">
        <is>
          <t>'Schedule'!$H$6:$H$905</t>
        </is>
      </c>
    </row>
    <row r="217">
      <c r="B217" s="14" t="inlineStr">
        <is>
          <t>nrSCH_Date</t>
        </is>
      </c>
      <c r="C217" s="2" t="inlineStr">
        <is>
          <t>'Schedule'!$B$6:$B$905</t>
        </is>
      </c>
    </row>
    <row r="218">
      <c r="B218" s="14" t="inlineStr">
        <is>
          <t>nrSCH_End</t>
        </is>
      </c>
      <c r="C218" s="2" t="inlineStr">
        <is>
          <t>'Schedule'!$E$6:$E$905</t>
        </is>
      </c>
    </row>
    <row r="219">
      <c r="B219" s="14" t="inlineStr">
        <is>
          <t>nrSCH_Hrs</t>
        </is>
      </c>
      <c r="C219" s="2" t="inlineStr">
        <is>
          <t>'Schedule'!$F$6:$F$905</t>
        </is>
      </c>
    </row>
    <row r="220">
      <c r="B220" s="14" t="inlineStr">
        <is>
          <t>nrSCH_Instr</t>
        </is>
      </c>
      <c r="C220" s="2" t="inlineStr">
        <is>
          <t>'Schedule'!$I$6:$I$905</t>
        </is>
      </c>
    </row>
    <row r="221">
      <c r="B221" s="14" t="inlineStr">
        <is>
          <t>nrSCH_InstrOK</t>
        </is>
      </c>
      <c r="C221" s="2" t="inlineStr">
        <is>
          <t>'Schedule'!$N$6:$N$905</t>
        </is>
      </c>
    </row>
    <row r="222">
      <c r="B222" s="14" t="inlineStr">
        <is>
          <t>nrSCH_Loc</t>
        </is>
      </c>
      <c r="C222" s="2" t="inlineStr">
        <is>
          <t>'Schedule'!$J$6:$J$905</t>
        </is>
      </c>
    </row>
    <row r="223">
      <c r="B223" s="14" t="inlineStr">
        <is>
          <t>nrSCH_Start</t>
        </is>
      </c>
      <c r="C223" s="2" t="inlineStr">
        <is>
          <t>'Schedule'!$D$6:$D$905</t>
        </is>
      </c>
    </row>
    <row r="224">
      <c r="B224" s="14" t="inlineStr">
        <is>
          <t>nrSEstatus</t>
        </is>
      </c>
      <c r="C224" s="2" t="inlineStr">
        <is>
          <t>'StateExam'!$K$6:$K$55</t>
        </is>
      </c>
    </row>
    <row r="225">
      <c r="B225" s="14" t="inlineStr">
        <is>
          <t>nrSGclassavg</t>
        </is>
      </c>
      <c r="C225" s="2" t="inlineStr">
        <is>
          <t>'ScoresGrid'!$D$57:$AB$57</t>
        </is>
      </c>
    </row>
    <row r="226">
      <c r="B226" s="14" t="inlineStr">
        <is>
          <t>nrSK_Att</t>
        </is>
      </c>
      <c r="C226" s="2" t="inlineStr">
        <is>
          <t>'Skills'!$I$6:$I$605</t>
        </is>
      </c>
    </row>
    <row r="227">
      <c r="B227" s="14" t="inlineStr">
        <is>
          <t>nrSK_Cat</t>
        </is>
      </c>
      <c r="C227" s="2" t="inlineStr">
        <is>
          <t>'Skills'!$E$6:$E$605</t>
        </is>
      </c>
    </row>
    <row r="228">
      <c r="B228" s="14" t="inlineStr">
        <is>
          <t>nrSK_CoF</t>
        </is>
      </c>
      <c r="C228" s="2" t="inlineStr">
        <is>
          <t>'Skills'!$R$6:$R$605</t>
        </is>
      </c>
    </row>
    <row r="229">
      <c r="B229" s="14" t="inlineStr">
        <is>
          <t>nrSK_Dis</t>
        </is>
      </c>
      <c r="C229" s="2" t="inlineStr">
        <is>
          <t>'Skills'!$P$6:$P$605</t>
        </is>
      </c>
    </row>
    <row r="230">
      <c r="B230" s="14" t="inlineStr">
        <is>
          <t>nrSK_PID</t>
        </is>
      </c>
      <c r="C230" s="2" t="inlineStr">
        <is>
          <t>'Skills'!$D$6:$D$605</t>
        </is>
      </c>
    </row>
    <row r="231">
      <c r="B231" s="14" t="inlineStr">
        <is>
          <t>nrSK_Res</t>
        </is>
      </c>
      <c r="C231" s="2" t="inlineStr">
        <is>
          <t>'Skills'!$J$6:$J$605</t>
        </is>
      </c>
    </row>
    <row r="232">
      <c r="B232" s="14" t="inlineStr">
        <is>
          <t>nrSK_Score</t>
        </is>
      </c>
      <c r="C232" s="2" t="inlineStr">
        <is>
          <t>'Skills'!$K$6:$K$605</t>
        </is>
      </c>
    </row>
    <row r="233">
      <c r="B233" s="14" t="inlineStr">
        <is>
          <t>nrSK_Status</t>
        </is>
      </c>
      <c r="C233" s="2" t="inlineStr">
        <is>
          <t>'Skills'!$O$6:$O$605</t>
        </is>
      </c>
    </row>
    <row r="234">
      <c r="B234" s="14" t="inlineStr">
        <is>
          <t>nrSKbothCoF</t>
        </is>
      </c>
      <c r="C234" s="2" t="inlineStr">
        <is>
          <t>'sysSkills'!$P$6:$P$55</t>
        </is>
      </c>
    </row>
    <row r="235">
      <c r="B235" s="14" t="inlineStr">
        <is>
          <t>nrSKelig</t>
        </is>
      </c>
      <c r="C235" s="2" t="inlineStr">
        <is>
          <t>'sysSkills'!$K$6:$K$55</t>
        </is>
      </c>
    </row>
    <row r="236">
      <c r="B236" s="14" t="inlineStr">
        <is>
          <t>nrSKfailedout</t>
        </is>
      </c>
      <c r="C236" s="2" t="inlineStr">
        <is>
          <t>'sysSkills'!$J$6:$J$55</t>
        </is>
      </c>
    </row>
    <row r="237">
      <c r="B237" s="14" t="inlineStr">
        <is>
          <t>nrSKfirearmsAvg</t>
        </is>
      </c>
      <c r="C237" s="2" t="inlineStr">
        <is>
          <t>'sysSkills'!$L$6:$L$55</t>
        </is>
      </c>
    </row>
    <row r="238">
      <c r="B238" s="14" t="inlineStr">
        <is>
          <t>nrSUBname</t>
        </is>
      </c>
      <c r="C238" s="2" t="inlineStr">
        <is>
          <t>'ChapterMaster'!$B$56:$B$70</t>
        </is>
      </c>
    </row>
    <row r="239">
      <c r="B239" s="14" t="inlineStr">
        <is>
          <t>nrSUBparent</t>
        </is>
      </c>
      <c r="C239" s="2" t="inlineStr">
        <is>
          <t>'ChapterMaster'!$E$56:$E$70</t>
        </is>
      </c>
    </row>
    <row r="240">
      <c r="B240" s="14" t="inlineStr">
        <is>
          <t>nrSUBtarget</t>
        </is>
      </c>
      <c r="C240" s="2" t="inlineStr">
        <is>
          <t>'ChapterMaster'!$F$56:$F$70</t>
        </is>
      </c>
    </row>
    <row r="241">
      <c r="B241" s="14" t="inlineStr">
        <is>
          <t>nrScheduleItems</t>
        </is>
      </c>
      <c r="C241" s="2" t="inlineStr">
        <is>
          <t>'sysListsHelper'!$B$6:$B$89</t>
        </is>
      </c>
    </row>
    <row r="242">
      <c r="B242" s="14" t="inlineStr">
        <is>
          <t>nrSpellAvg</t>
        </is>
      </c>
      <c r="C242" s="2" t="inlineStr">
        <is>
          <t>'Spelling'!$P$6:$P$55</t>
        </is>
      </c>
    </row>
    <row r="243">
      <c r="B243" s="14" t="inlineStr">
        <is>
          <t>nrSpellClassAvg</t>
        </is>
      </c>
      <c r="C243" s="2" t="inlineStr">
        <is>
          <t>'Spelling'!$D$58:$O$58</t>
        </is>
      </c>
    </row>
    <row r="244">
      <c r="B244" s="14" t="inlineStr">
        <is>
          <t>nrSpellCounts</t>
        </is>
      </c>
      <c r="C244" s="2" t="inlineStr">
        <is>
          <t>'Spelling'!$D$57:$O$57</t>
        </is>
      </c>
    </row>
    <row r="245">
      <c r="B245" s="14" t="inlineStr">
        <is>
          <t>nrSpellFlag</t>
        </is>
      </c>
      <c r="C245" s="2" t="inlineStr">
        <is>
          <t>'Spelling'!$R$6:$R$55</t>
        </is>
      </c>
    </row>
    <row r="246">
      <c r="B246" s="14" t="inlineStr">
        <is>
          <t>nrSpellTaken</t>
        </is>
      </c>
      <c r="C246" s="2" t="inlineStr">
        <is>
          <t>'Spelling'!$Q$6:$Q$55</t>
        </is>
      </c>
    </row>
    <row r="247">
      <c r="B247" s="14" t="inlineStr">
        <is>
          <t>nrSpellTestNums</t>
        </is>
      </c>
      <c r="C247" s="2" t="inlineStr">
        <is>
          <t>'Spelling'!$D$59:$O$59</t>
        </is>
      </c>
    </row>
    <row r="248">
      <c r="B248" s="14" t="inlineStr">
        <is>
          <t>nrSpellWords</t>
        </is>
      </c>
      <c r="C248" s="2" t="inlineStr">
        <is>
          <t>'SpellingMaster'!$C$6:$N$30</t>
        </is>
      </c>
    </row>
    <row r="249">
      <c r="B249" s="14" t="inlineStr">
        <is>
          <t>nrWRcomplete</t>
        </is>
      </c>
      <c r="C249" s="2" t="inlineStr">
        <is>
          <t>'Writing'!$AR$6:$AR$55</t>
        </is>
      </c>
    </row>
    <row r="250">
      <c r="B250" s="14" t="inlineStr">
        <is>
          <t>nrWRcurrent</t>
        </is>
      </c>
      <c r="C250" s="2" t="inlineStr">
        <is>
          <t>'Writing'!$AT$6:$AT$55</t>
        </is>
      </c>
    </row>
    <row r="251">
      <c r="B251" s="14" t="inlineStr">
        <is>
          <t>nrWRoverdue</t>
        </is>
      </c>
      <c r="C251" s="2" t="inlineStr">
        <is>
          <t>'Writing'!$AS$6:$AS$55</t>
        </is>
      </c>
    </row>
    <row r="252">
      <c r="B252" s="14" t="inlineStr">
        <is>
          <t>rngAgencyActive</t>
        </is>
      </c>
      <c r="C252" s="2" t="inlineStr">
        <is>
          <t>'Agencies'!$H$6:$H$50</t>
        </is>
      </c>
    </row>
    <row r="253">
      <c r="B253" s="14" t="inlineStr">
        <is>
          <t>rngAgencyEmails</t>
        </is>
      </c>
      <c r="C253" s="2" t="inlineStr">
        <is>
          <t>'Agencies'!$E$6:$E$50</t>
        </is>
      </c>
    </row>
    <row r="254">
      <c r="B254" s="14" t="inlineStr">
        <is>
          <t>rngAgencyIDs</t>
        </is>
      </c>
      <c r="C254" s="2" t="inlineStr">
        <is>
          <t>'Agencies'!$B$6:$B$50</t>
        </is>
      </c>
    </row>
    <row r="255">
      <c r="B255" s="14" t="inlineStr">
        <is>
          <t>rngAgencyNames</t>
        </is>
      </c>
      <c r="C255" s="2" t="inlineStr">
        <is>
          <t>'Agencies'!$C$6:$C$50</t>
        </is>
      </c>
    </row>
    <row r="256">
      <c r="B256" s="14" t="inlineStr">
        <is>
          <t>rngCadetNames</t>
        </is>
      </c>
      <c r="C256" s="2" t="inlineStr">
        <is>
          <t>'Cadets'!$F$6:$F$55</t>
        </is>
      </c>
    </row>
    <row r="257">
      <c r="B257" s="14" t="inlineStr">
        <is>
          <t>rngCadetPIDs</t>
        </is>
      </c>
      <c r="C257" s="2" t="inlineStr">
        <is>
          <t>'Cadets'!$B$6:$B$55</t>
        </is>
      </c>
    </row>
    <row r="258">
      <c r="B258" s="14" t="inlineStr">
        <is>
          <t>rngEMcode</t>
        </is>
      </c>
      <c r="C258" s="2" t="inlineStr">
        <is>
          <t>'ExamMaster'!$B$6:$B$30</t>
        </is>
      </c>
    </row>
    <row r="259">
      <c r="B259" s="14" t="inlineStr">
        <is>
          <t>rngEMname</t>
        </is>
      </c>
      <c r="C259" s="2" t="inlineStr">
        <is>
          <t>'ExamMaster'!$C$6:$C$30</t>
        </is>
      </c>
    </row>
    <row r="260">
      <c r="B260" s="14" t="inlineStr">
        <is>
          <t>rngEMpass</t>
        </is>
      </c>
      <c r="C260" s="2" t="inlineStr">
        <is>
          <t>'ExamMaster'!$E$6:$E$30</t>
        </is>
      </c>
    </row>
    <row r="261">
      <c r="B261" s="14" t="inlineStr">
        <is>
          <t>rngEMseq</t>
        </is>
      </c>
      <c r="C261" s="2" t="inlineStr">
        <is>
          <t>'ExamMaster'!$F$6:$F$30</t>
        </is>
      </c>
    </row>
    <row r="262">
      <c r="B262" s="14" t="inlineStr">
        <is>
          <t>rngEMtype</t>
        </is>
      </c>
      <c r="C262" s="2" t="inlineStr">
        <is>
          <t>'ExamMaster'!$D$6:$D$30</t>
        </is>
      </c>
    </row>
    <row r="263">
      <c r="B263" s="14" t="inlineStr">
        <is>
          <t>rngEPch</t>
        </is>
      </c>
      <c r="C263" s="2" t="inlineStr">
        <is>
          <t>'ExamPlan'!$H$6:$H$30</t>
        </is>
      </c>
    </row>
    <row r="264">
      <c r="B264" s="14" t="inlineStr">
        <is>
          <t>rngEPcode</t>
        </is>
      </c>
      <c r="C264" s="2" t="inlineStr">
        <is>
          <t>'ExamPlan'!$C$6:$C$30</t>
        </is>
      </c>
    </row>
    <row r="265">
      <c r="B265" s="14" t="inlineStr">
        <is>
          <t>rngEPdate</t>
        </is>
      </c>
      <c r="C265" s="2" t="inlineStr">
        <is>
          <t>'ExamPlan'!$I$6:$I$30</t>
        </is>
      </c>
    </row>
    <row r="266">
      <c r="B266" s="14" t="inlineStr">
        <is>
          <t>rngEPname</t>
        </is>
      </c>
      <c r="C266" s="2" t="inlineStr">
        <is>
          <t>'ExamPlan'!$D$6:$D$30</t>
        </is>
      </c>
    </row>
    <row r="267">
      <c r="B267" s="14" t="inlineStr">
        <is>
          <t>rngEPpass</t>
        </is>
      </c>
      <c r="C267" s="2" t="inlineStr">
        <is>
          <t>'ExamPlan'!$F$6:$F$30</t>
        </is>
      </c>
    </row>
    <row r="268">
      <c r="B268" s="14" t="inlineStr">
        <is>
          <t>rngEPseq</t>
        </is>
      </c>
      <c r="C268" s="2" t="inlineStr">
        <is>
          <t>'ExamPlan'!$G$6:$G$30</t>
        </is>
      </c>
    </row>
    <row r="269">
      <c r="B269" s="14" t="inlineStr">
        <is>
          <t>rngEPtype</t>
        </is>
      </c>
      <c r="C269" s="2" t="inlineStr">
        <is>
          <t>'ExamPlan'!$E$6:$E$30</t>
        </is>
      </c>
    </row>
    <row r="270">
      <c r="B270" s="14" t="inlineStr">
        <is>
          <t>rngEPuse</t>
        </is>
      </c>
      <c r="C270" s="2" t="inlineStr">
        <is>
          <t>'ExamPlan'!$B$6:$B$30</t>
        </is>
      </c>
    </row>
    <row r="271">
      <c r="B271" s="14" t="inlineStr">
        <is>
          <t>rngSM_cat</t>
        </is>
      </c>
      <c r="C271" s="2" t="inlineStr">
        <is>
          <t>'SkillsMaster'!$B$6:$B$15</t>
        </is>
      </c>
    </row>
    <row r="272">
      <c r="B272" s="14" t="inlineStr">
        <is>
          <t>rngSM_max</t>
        </is>
      </c>
      <c r="C272" s="2" t="inlineStr">
        <is>
          <t>'SkillsMaster'!$C$6:$C$15</t>
        </is>
      </c>
    </row>
    <row r="273">
      <c r="B273" s="14" t="inlineStr">
        <is>
          <t>rngSM_mode</t>
        </is>
      </c>
      <c r="C273" s="2" t="inlineStr">
        <is>
          <t>'SkillsMaster'!$D$6:$D$15</t>
        </is>
      </c>
    </row>
    <row r="274">
      <c r="B274" s="14" t="inlineStr">
        <is>
          <t>rngSM_pass</t>
        </is>
      </c>
      <c r="C274" s="2" t="inlineStr">
        <is>
          <t>'SkillsMaster'!$E$6:$E$15</t>
        </is>
      </c>
    </row>
    <row r="275">
      <c r="B275" s="14" t="inlineStr">
        <is>
          <t>rngWMassigned</t>
        </is>
      </c>
      <c r="C275" s="2" t="inlineStr">
        <is>
          <t>'WritingMaster'!$K$6:$K$45</t>
        </is>
      </c>
    </row>
    <row r="276">
      <c r="B276" s="14" t="inlineStr">
        <is>
          <t>rngWMdue</t>
        </is>
      </c>
      <c r="C276" s="2" t="inlineStr">
        <is>
          <t>'WritingMaster'!$L$6:$L$45</t>
        </is>
      </c>
    </row>
    <row r="277">
      <c r="B277" s="14" t="inlineStr">
        <is>
          <t>rngWMnum</t>
        </is>
      </c>
      <c r="C277" s="2" t="inlineStr">
        <is>
          <t>'WritingMaster'!$B$6:$B$45</t>
        </is>
      </c>
    </row>
    <row r="278">
      <c r="B278" s="14" t="inlineStr">
        <is>
          <t>rngWMprompt</t>
        </is>
      </c>
      <c r="C278" s="2" t="inlineStr">
        <is>
          <t>'WritingMaster'!$M$6:$M$45</t>
        </is>
      </c>
    </row>
    <row r="279">
      <c r="B279" s="14" t="inlineStr">
        <is>
          <t>rngWMtitle</t>
        </is>
      </c>
      <c r="C279"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2026-08-20T15:24:42Z</dcterms:created>
  <dcterms:modified xsi:type="dcterms:W3CDTF">2026-08-20T15:24:47Z</dcterms:modified>
</cp:coreProperties>
</file>