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nrAB_Date">'AdvisoryBoard'!$B$6:$B$55</definedName>
    <definedName name="nrAB_Minutes">'AdvisoryBoard'!$G$6:$G$55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'sysAudit'!$E$6:$E$21</definedName>
    <definedName name="nrAUDcheck">'sysAudit'!$B$6:$B$21</definedName>
    <definedName name="nrSGclassavg">'ScoresGrid'!$D$57:$AB$57</definedName>
    <definedName name="cfgProfileCadet">'CadetProfile'!$C$5</definedName>
    <definedName name="cfgTranscriptCadet">'Transcript'!$C$5</definedName>
    <definedName name="nrPRGitems">'Audit'!$B$32:$B$49</definedName>
    <definedName name="nrPRGmet">'Audit'!$F$32:$F$49</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Titles" localSheetId="27">'Audit'!$52:$52</definedName>
    <definedName name="_xlnm.Print_Area" localSheetId="27">'Audit'!$B$5:$J$102</definedName>
    <definedName name="_xlnm.Print_Titles" localSheetId="28">'Addendum'!$8:$8</definedName>
    <definedName name="_xlnm.Print_Area" localSheetId="28">'Addendum'!$B$5:$G$60</definedName>
    <definedName name="_xlnm.Print_Area" localSheetId="29">'ChapterPacket'!$B$5:$I$65</definedName>
    <definedName name="_xlnm.Print_Titles" localSheetId="30">'ExamSheet'!$10:$10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'Schedule'!$B$5:$N$5</definedName>
    <definedName name="_xlnm.Print_Titles" localSheetId="49">'Schedule'!$5:$5</definedName>
    <definedName name="_xlnm.Print_Area" localSheetId="49">'Schedule'!$B$5:$M$406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IFERROR(_xlfn._xlws.FILTER(_xlfn.HSTACK(TEXT(nrSCH_Start,"h:mm AM/PM"),TEXT(nrSCH_End,"h:mm AM/PM"),nrSCH_Act,nrSCH_Instr,nrSCH_Loc),nrSCH_Date=TODAY()),"—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IFERROR(_xlfn._xlws.FILTER(_xlfn.HSTACK(TEXT(nrSCH_Start,"h:mm AM/PM"),TEXT(nrSCH_End,"h:mm AM/PM"),nrSCH_Act,nrSCH_Instr,nrSCH_Loc),nrSCH_Date=TODAY()),"No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Overdue retests</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IFERROR(_xlfn.SORTBY(_xlfn._xlws.FILTER(_xlfn.HSTACK(rngCadetNames,nrCadetAgency,nrFLcount,nrFLreasons),(nrFLcount&gt;0)*(nrCadetStatus="Active")),_xlfn._xlws.FILTER(nrFLcount,(nrFLcount&gt;0)*(nrCadetStatus="Active")),-1),"No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IFERROR(_xlfn._xlws.FILTER(_xlfn.HSTACK(rngCadetNames,nrCadetAgency,nrCERTmissing),(nrCERTmissing&lt;&gt;"")*(nrCadetStatus="Active")),"All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IFERROR(_xlfn._xlws.FILTER(_xlfn.HSTACK(nrAT_ID,Attendance!$D$6:$D$805,TEXT(nrAT_Date,"mm/dd"),Attendance!$G$6:$G$805,Attendance!$H$6:$H$805,nrAT_Balance),(nrAT_Cleared="OPEN")),"All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IFERROR(_xlfn._xlws.FILTER(_xlfn.HSTACK(Memos!$B$6:$B$305,nrME_Cadet,TEXT(nrME_Assigned,"mm/dd"),nrME_Ref,nrME_Subject,TEXT(nrME_Due,"mm/dd"),nrME_Status),(nrME_Cadet&lt;&gt;"")*(nrME_Received="")),"No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Board meeting log: date, attendees, decisions, minutes-scanned flag. Auditors ask for this.</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VBA install (see docs/Setup).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IF($Q6&lt;&gt;"Yes","",IF(COUNTIFS(nrES_PID,$D6,nrES_Code,$F6,nrES_Att,2)&gt;0,"Retested",IF(OR($T6="",NOT(ISNUMBER($T6))),"Pending",IF(TODAY()&gt;$T6,"OVERDUE","Due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IF($Q7&lt;&gt;"Yes","",IF(COUNTIFS(nrES_PID,$D7,nrES_Code,$F7,nrES_Att,2)&gt;0,"Retested",IF(OR($T7="",NOT(ISNUMBER($T7))),"Pending",IF(TODAY()&gt;$T7,"OVERDUE","Due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IF($Q8&lt;&gt;"Yes","",IF(COUNTIFS(nrES_PID,$D8,nrES_Code,$F8,nrES_Att,2)&gt;0,"Retested",IF(OR($T8="",NOT(ISNUMBER($T8))),"Pending",IF(TODAY()&gt;$T8,"OVERDUE","Due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IF($Q9&lt;&gt;"Yes","",IF(COUNTIFS(nrES_PID,$D9,nrES_Code,$F9,nrES_Att,2)&gt;0,"Retested",IF(OR($T9="",NOT(ISNUMBER($T9))),"Pending",IF(TODAY()&gt;$T9,"OVERDUE","Due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IF($Q10&lt;&gt;"Yes","",IF(COUNTIFS(nrES_PID,$D10,nrES_Code,$F10,nrES_Att,2)&gt;0,"Retested",IF(OR($T10="",NOT(ISNUMBER($T10))),"Pending",IF(TODAY()&gt;$T10,"OVERDUE","Due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IF($Q11&lt;&gt;"Yes","",IF(COUNTIFS(nrES_PID,$D11,nrES_Code,$F11,nrES_Att,2)&gt;0,"Retested",IF(OR($T11="",NOT(ISNUMBER($T11))),"Pending",IF(TODAY()&gt;$T11,"OVERDUE","Due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IF($Q12&lt;&gt;"Yes","",IF(COUNTIFS(nrES_PID,$D12,nrES_Code,$F12,nrES_Att,2)&gt;0,"Retested",IF(OR($T12="",NOT(ISNUMBER($T12))),"Pending",IF(TODAY()&gt;$T12,"OVERDUE","Due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IF($Q13&lt;&gt;"Yes","",IF(COUNTIFS(nrES_PID,$D13,nrES_Code,$F13,nrES_Att,2)&gt;0,"Retested",IF(OR($T13="",NOT(ISNUMBER($T13))),"Pending",IF(TODAY()&gt;$T13,"OVERDUE","Due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IF($Q14&lt;&gt;"Yes","",IF(COUNTIFS(nrES_PID,$D14,nrES_Code,$F14,nrES_Att,2)&gt;0,"Retested",IF(OR($T14="",NOT(ISNUMBER($T14))),"Pending",IF(TODAY()&gt;$T14,"OVERDUE","Due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IF($Q15&lt;&gt;"Yes","",IF(COUNTIFS(nrES_PID,$D15,nrES_Code,$F15,nrES_Att,2)&gt;0,"Retested",IF(OR($T15="",NOT(ISNUMBER($T15))),"Pending",IF(TODAY()&gt;$T15,"OVERDUE","Due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IF($Q16&lt;&gt;"Yes","",IF(COUNTIFS(nrES_PID,$D16,nrES_Code,$F16,nrES_Att,2)&gt;0,"Retested",IF(OR($T16="",NOT(ISNUMBER($T16))),"Pending",IF(TODAY()&gt;$T16,"OVERDUE","Due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IF($Q17&lt;&gt;"Yes","",IF(COUNTIFS(nrES_PID,$D17,nrES_Code,$F17,nrES_Att,2)&gt;0,"Retested",IF(OR($T17="",NOT(ISNUMBER($T17))),"Pending",IF(TODAY()&gt;$T17,"OVERDUE","Due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IF($Q18&lt;&gt;"Yes","",IF(COUNTIFS(nrES_PID,$D18,nrES_Code,$F18,nrES_Att,2)&gt;0,"Retested",IF(OR($T18="",NOT(ISNUMBER($T18))),"Pending",IF(TODAY()&gt;$T18,"OVERDUE","Due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IF($Q19&lt;&gt;"Yes","",IF(COUNTIFS(nrES_PID,$D19,nrES_Code,$F19,nrES_Att,2)&gt;0,"Retested",IF(OR($T19="",NOT(ISNUMBER($T19))),"Pending",IF(TODAY()&gt;$T19,"OVERDUE","Due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IF($Q20&lt;&gt;"Yes","",IF(COUNTIFS(nrES_PID,$D20,nrES_Code,$F20,nrES_Att,2)&gt;0,"Retested",IF(OR($T20="",NOT(ISNUMBER($T20))),"Pending",IF(TODAY()&gt;$T20,"OVERDUE","Due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IF($Q21&lt;&gt;"Yes","",IF(COUNTIFS(nrES_PID,$D21,nrES_Code,$F21,nrES_Att,2)&gt;0,"Retested",IF(OR($T21="",NOT(ISNUMBER($T21))),"Pending",IF(TODAY()&gt;$T21,"OVERDUE","Due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IF($Q22&lt;&gt;"Yes","",IF(COUNTIFS(nrES_PID,$D22,nrES_Code,$F22,nrES_Att,2)&gt;0,"Retested",IF(OR($T22="",NOT(ISNUMBER($T22))),"Pending",IF(TODAY()&gt;$T22,"OVERDUE","Due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IF($Q23&lt;&gt;"Yes","",IF(COUNTIFS(nrES_PID,$D23,nrES_Code,$F23,nrES_Att,2)&gt;0,"Retested",IF(OR($T23="",NOT(ISNUMBER($T23))),"Pending",IF(TODAY()&gt;$T23,"OVERDUE","Due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IF($Q24&lt;&gt;"Yes","",IF(COUNTIFS(nrES_PID,$D24,nrES_Code,$F24,nrES_Att,2)&gt;0,"Retested",IF(OR($T24="",NOT(ISNUMBER($T24))),"Pending",IF(TODAY()&gt;$T24,"OVERDUE","Due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IF($Q25&lt;&gt;"Yes","",IF(COUNTIFS(nrES_PID,$D25,nrES_Code,$F25,nrES_Att,2)&gt;0,"Retested",IF(OR($T25="",NOT(ISNUMBER($T25))),"Pending",IF(TODAY()&gt;$T25,"OVERDUE","Due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IF($Q26&lt;&gt;"Yes","",IF(COUNTIFS(nrES_PID,$D26,nrES_Code,$F26,nrES_Att,2)&gt;0,"Retested",IF(OR($T26="",NOT(ISNUMBER($T26))),"Pending",IF(TODAY()&gt;$T26,"OVERDUE","Due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IF($Q27&lt;&gt;"Yes","",IF(COUNTIFS(nrES_PID,$D27,nrES_Code,$F27,nrES_Att,2)&gt;0,"Retested",IF(OR($T27="",NOT(ISNUMBER($T27))),"Pending",IF(TODAY()&gt;$T27,"OVERDUE","Due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IF($Q28&lt;&gt;"Yes","",IF(COUNTIFS(nrES_PID,$D28,nrES_Code,$F28,nrES_Att,2)&gt;0,"Retested",IF(OR($T28="",NOT(ISNUMBER($T28))),"Pending",IF(TODAY()&gt;$T28,"OVERDUE","Due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IF($Q29&lt;&gt;"Yes","",IF(COUNTIFS(nrES_PID,$D29,nrES_Code,$F29,nrES_Att,2)&gt;0,"Retested",IF(OR($T29="",NOT(ISNUMBER($T29))),"Pending",IF(TODAY()&gt;$T29,"OVERDUE","Due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IF($Q30&lt;&gt;"Yes","",IF(COUNTIFS(nrES_PID,$D30,nrES_Code,$F30,nrES_Att,2)&gt;0,"Retested",IF(OR($T30="",NOT(ISNUMBER($T30))),"Pending",IF(TODAY()&gt;$T30,"OVERDUE","Due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IF($Q31&lt;&gt;"Yes","",IF(COUNTIFS(nrES_PID,$D31,nrES_Code,$F31,nrES_Att,2)&gt;0,"Retested",IF(OR($T31="",NOT(ISNUMBER($T31))),"Pending",IF(TODAY()&gt;$T31,"OVERDUE","Due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IF($Q32&lt;&gt;"Yes","",IF(COUNTIFS(nrES_PID,$D32,nrES_Code,$F32,nrES_Att,2)&gt;0,"Retested",IF(OR($T32="",NOT(ISNUMBER($T32))),"Pending",IF(TODAY()&gt;$T32,"OVERDUE","Due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IF($Q33&lt;&gt;"Yes","",IF(COUNTIFS(nrES_PID,$D33,nrES_Code,$F33,nrES_Att,2)&gt;0,"Retested",IF(OR($T33="",NOT(ISNUMBER($T33))),"Pending",IF(TODAY()&gt;$T33,"OVERDUE","Due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IF($Q34&lt;&gt;"Yes","",IF(COUNTIFS(nrES_PID,$D34,nrES_Code,$F34,nrES_Att,2)&gt;0,"Retested",IF(OR($T34="",NOT(ISNUMBER($T34))),"Pending",IF(TODAY()&gt;$T34,"OVERDUE","Due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IF($Q35&lt;&gt;"Yes","",IF(COUNTIFS(nrES_PID,$D35,nrES_Code,$F35,nrES_Att,2)&gt;0,"Retested",IF(OR($T35="",NOT(ISNUMBER($T35))),"Pending",IF(TODAY()&gt;$T35,"OVERDUE","Due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IF($Q36&lt;&gt;"Yes","",IF(COUNTIFS(nrES_PID,$D36,nrES_Code,$F36,nrES_Att,2)&gt;0,"Retested",IF(OR($T36="",NOT(ISNUMBER($T36))),"Pending",IF(TODAY()&gt;$T36,"OVERDUE","Due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IF($Q37&lt;&gt;"Yes","",IF(COUNTIFS(nrES_PID,$D37,nrES_Code,$F37,nrES_Att,2)&gt;0,"Retested",IF(OR($T37="",NOT(ISNUMBER($T37))),"Pending",IF(TODAY()&gt;$T37,"OVERDUE","Due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IF($Q38&lt;&gt;"Yes","",IF(COUNTIFS(nrES_PID,$D38,nrES_Code,$F38,nrES_Att,2)&gt;0,"Retested",IF(OR($T38="",NOT(ISNUMBER($T38))),"Pending",IF(TODAY()&gt;$T38,"OVERDUE","Due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IF($Q39&lt;&gt;"Yes","",IF(COUNTIFS(nrES_PID,$D39,nrES_Code,$F39,nrES_Att,2)&gt;0,"Retested",IF(OR($T39="",NOT(ISNUMBER($T39))),"Pending",IF(TODAY()&gt;$T39,"OVERDUE","Due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IF($Q40&lt;&gt;"Yes","",IF(COUNTIFS(nrES_PID,$D40,nrES_Code,$F40,nrES_Att,2)&gt;0,"Retested",IF(OR($T40="",NOT(ISNUMBER($T40))),"Pending",IF(TODAY()&gt;$T40,"OVERDUE","Due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IF($Q41&lt;&gt;"Yes","",IF(COUNTIFS(nrES_PID,$D41,nrES_Code,$F41,nrES_Att,2)&gt;0,"Retested",IF(OR($T41="",NOT(ISNUMBER($T41))),"Pending",IF(TODAY()&gt;$T41,"OVERDUE","Due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IF($Q42&lt;&gt;"Yes","",IF(COUNTIFS(nrES_PID,$D42,nrES_Code,$F42,nrES_Att,2)&gt;0,"Retested",IF(OR($T42="",NOT(ISNUMBER($T42))),"Pending",IF(TODAY()&gt;$T42,"OVERDUE","Due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IF($Q43&lt;&gt;"Yes","",IF(COUNTIFS(nrES_PID,$D43,nrES_Code,$F43,nrES_Att,2)&gt;0,"Retested",IF(OR($T43="",NOT(ISNUMBER($T43))),"Pending",IF(TODAY()&gt;$T43,"OVERDUE","Due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IF($Q44&lt;&gt;"Yes","",IF(COUNTIFS(nrES_PID,$D44,nrES_Code,$F44,nrES_Att,2)&gt;0,"Retested",IF(OR($T44="",NOT(ISNUMBER($T44))),"Pending",IF(TODAY()&gt;$T44,"OVERDUE","Due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IF($Q45&lt;&gt;"Yes","",IF(COUNTIFS(nrES_PID,$D45,nrES_Code,$F45,nrES_Att,2)&gt;0,"Retested",IF(OR($T45="",NOT(ISNUMBER($T45))),"Pending",IF(TODAY()&gt;$T45,"OVERDUE","Due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IF($Q46&lt;&gt;"Yes","",IF(COUNTIFS(nrES_PID,$D46,nrES_Code,$F46,nrES_Att,2)&gt;0,"Retested",IF(OR($T46="",NOT(ISNUMBER($T46))),"Pending",IF(TODAY()&gt;$T46,"OVERDUE","Due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IF($Q47&lt;&gt;"Yes","",IF(COUNTIFS(nrES_PID,$D47,nrES_Code,$F47,nrES_Att,2)&gt;0,"Retested",IF(OR($T47="",NOT(ISNUMBER($T47))),"Pending",IF(TODAY()&gt;$T47,"OVERDUE","Due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IF($Q48&lt;&gt;"Yes","",IF(COUNTIFS(nrES_PID,$D48,nrES_Code,$F48,nrES_Att,2)&gt;0,"Retested",IF(OR($T48="",NOT(ISNUMBER($T48))),"Pending",IF(TODAY()&gt;$T48,"OVERDUE","Due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IF($Q49&lt;&gt;"Yes","",IF(COUNTIFS(nrES_PID,$D49,nrES_Code,$F49,nrES_Att,2)&gt;0,"Retested",IF(OR($T49="",NOT(ISNUMBER($T49))),"Pending",IF(TODAY()&gt;$T49,"OVERDUE","Due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IF($Q50&lt;&gt;"Yes","",IF(COUNTIFS(nrES_PID,$D50,nrES_Code,$F50,nrES_Att,2)&gt;0,"Retested",IF(OR($T50="",NOT(ISNUMBER($T50))),"Pending",IF(TODAY()&gt;$T50,"OVERDUE","Due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IF($Q51&lt;&gt;"Yes","",IF(COUNTIFS(nrES_PID,$D51,nrES_Code,$F51,nrES_Att,2)&gt;0,"Retested",IF(OR($T51="",NOT(ISNUMBER($T51))),"Pending",IF(TODAY()&gt;$T51,"OVERDUE","Due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IF($Q52&lt;&gt;"Yes","",IF(COUNTIFS(nrES_PID,$D52,nrES_Code,$F52,nrES_Att,2)&gt;0,"Retested",IF(OR($T52="",NOT(ISNUMBER($T52))),"Pending",IF(TODAY()&gt;$T52,"OVERDUE","Due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IF($Q53&lt;&gt;"Yes","",IF(COUNTIFS(nrES_PID,$D53,nrES_Code,$F53,nrES_Att,2)&gt;0,"Retested",IF(OR($T53="",NOT(ISNUMBER($T53))),"Pending",IF(TODAY()&gt;$T53,"OVERDUE","Due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IF($Q54&lt;&gt;"Yes","",IF(COUNTIFS(nrES_PID,$D54,nrES_Code,$F54,nrES_Att,2)&gt;0,"Retested",IF(OR($T54="",NOT(ISNUMBER($T54))),"Pending",IF(TODAY()&gt;$T54,"OVERDUE","Due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IF($Q55&lt;&gt;"Yes","",IF(COUNTIFS(nrES_PID,$D55,nrES_Code,$F55,nrES_Att,2)&gt;0,"Retested",IF(OR($T55="",NOT(ISNUMBER($T55))),"Pending",IF(TODAY()&gt;$T55,"OVERDUE","Due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IF($Q56&lt;&gt;"Yes","",IF(COUNTIFS(nrES_PID,$D56,nrES_Code,$F56,nrES_Att,2)&gt;0,"Retested",IF(OR($T56="",NOT(ISNUMBER($T56))),"Pending",IF(TODAY()&gt;$T56,"OVERDUE","Due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IF($Q57&lt;&gt;"Yes","",IF(COUNTIFS(nrES_PID,$D57,nrES_Code,$F57,nrES_Att,2)&gt;0,"Retested",IF(OR($T57="",NOT(ISNUMBER($T57))),"Pending",IF(TODAY()&gt;$T57,"OVERDUE","Due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IF($Q58&lt;&gt;"Yes","",IF(COUNTIFS(nrES_PID,$D58,nrES_Code,$F58,nrES_Att,2)&gt;0,"Retested",IF(OR($T58="",NOT(ISNUMBER($T58))),"Pending",IF(TODAY()&gt;$T58,"OVERDUE","Due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IF($Q59&lt;&gt;"Yes","",IF(COUNTIFS(nrES_PID,$D59,nrES_Code,$F59,nrES_Att,2)&gt;0,"Retested",IF(OR($T59="",NOT(ISNUMBER($T59))),"Pending",IF(TODAY()&gt;$T59,"OVERDUE","Due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IF($Q60&lt;&gt;"Yes","",IF(COUNTIFS(nrES_PID,$D60,nrES_Code,$F60,nrES_Att,2)&gt;0,"Retested",IF(OR($T60="",NOT(ISNUMBER($T60))),"Pending",IF(TODAY()&gt;$T60,"OVERDUE","Due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IF($Q61&lt;&gt;"Yes","",IF(COUNTIFS(nrES_PID,$D61,nrES_Code,$F61,nrES_Att,2)&gt;0,"Retested",IF(OR($T61="",NOT(ISNUMBER($T61))),"Pending",IF(TODAY()&gt;$T61,"OVERDUE","Due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IF($Q62&lt;&gt;"Yes","",IF(COUNTIFS(nrES_PID,$D62,nrES_Code,$F62,nrES_Att,2)&gt;0,"Retested",IF(OR($T62="",NOT(ISNUMBER($T62))),"Pending",IF(TODAY()&gt;$T62,"OVERDUE","Due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IF($Q63&lt;&gt;"Yes","",IF(COUNTIFS(nrES_PID,$D63,nrES_Code,$F63,nrES_Att,2)&gt;0,"Retested",IF(OR($T63="",NOT(ISNUMBER($T63))),"Pending",IF(TODAY()&gt;$T63,"OVERDUE","Due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IF($Q64&lt;&gt;"Yes","",IF(COUNTIFS(nrES_PID,$D64,nrES_Code,$F64,nrES_Att,2)&gt;0,"Retested",IF(OR($T64="",NOT(ISNUMBER($T64))),"Pending",IF(TODAY()&gt;$T64,"OVERDUE","Due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IF($Q65&lt;&gt;"Yes","",IF(COUNTIFS(nrES_PID,$D65,nrES_Code,$F65,nrES_Att,2)&gt;0,"Retested",IF(OR($T65="",NOT(ISNUMBER($T65))),"Pending",IF(TODAY()&gt;$T65,"OVERDUE","Due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IF($Q66&lt;&gt;"Yes","",IF(COUNTIFS(nrES_PID,$D66,nrES_Code,$F66,nrES_Att,2)&gt;0,"Retested",IF(OR($T66="",NOT(ISNUMBER($T66))),"Pending",IF(TODAY()&gt;$T66,"OVERDUE","Due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IF($Q67&lt;&gt;"Yes","",IF(COUNTIFS(nrES_PID,$D67,nrES_Code,$F67,nrES_Att,2)&gt;0,"Retested",IF(OR($T67="",NOT(ISNUMBER($T67))),"Pending",IF(TODAY()&gt;$T67,"OVERDUE","Due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IF($Q68&lt;&gt;"Yes","",IF(COUNTIFS(nrES_PID,$D68,nrES_Code,$F68,nrES_Att,2)&gt;0,"Retested",IF(OR($T68="",NOT(ISNUMBER($T68))),"Pending",IF(TODAY()&gt;$T68,"OVERDUE","Due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IF($Q69&lt;&gt;"Yes","",IF(COUNTIFS(nrES_PID,$D69,nrES_Code,$F69,nrES_Att,2)&gt;0,"Retested",IF(OR($T69="",NOT(ISNUMBER($T69))),"Pending",IF(TODAY()&gt;$T69,"OVERDUE","Due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IF($Q70&lt;&gt;"Yes","",IF(COUNTIFS(nrES_PID,$D70,nrES_Code,$F70,nrES_Att,2)&gt;0,"Retested",IF(OR($T70="",NOT(ISNUMBER($T70))),"Pending",IF(TODAY()&gt;$T70,"OVERDUE","Due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IF($Q71&lt;&gt;"Yes","",IF(COUNTIFS(nrES_PID,$D71,nrES_Code,$F71,nrES_Att,2)&gt;0,"Retested",IF(OR($T71="",NOT(ISNUMBER($T71))),"Pending",IF(TODAY()&gt;$T71,"OVERDUE","Due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IF($Q72&lt;&gt;"Yes","",IF(COUNTIFS(nrES_PID,$D72,nrES_Code,$F72,nrES_Att,2)&gt;0,"Retested",IF(OR($T72="",NOT(ISNUMBER($T72))),"Pending",IF(TODAY()&gt;$T72,"OVERDUE","Due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IF($Q73&lt;&gt;"Yes","",IF(COUNTIFS(nrES_PID,$D73,nrES_Code,$F73,nrES_Att,2)&gt;0,"Retested",IF(OR($T73="",NOT(ISNUMBER($T73))),"Pending",IF(TODAY()&gt;$T73,"OVERDUE","Due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IF($Q74&lt;&gt;"Yes","",IF(COUNTIFS(nrES_PID,$D74,nrES_Code,$F74,nrES_Att,2)&gt;0,"Retested",IF(OR($T74="",NOT(ISNUMBER($T74))),"Pending",IF(TODAY()&gt;$T74,"OVERDUE","Due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IF($Q75&lt;&gt;"Yes","",IF(COUNTIFS(nrES_PID,$D75,nrES_Code,$F75,nrES_Att,2)&gt;0,"Retested",IF(OR($T75="",NOT(ISNUMBER($T75))),"Pending",IF(TODAY()&gt;$T75,"OVERDUE","Due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IF($Q76&lt;&gt;"Yes","",IF(COUNTIFS(nrES_PID,$D76,nrES_Code,$F76,nrES_Att,2)&gt;0,"Retested",IF(OR($T76="",NOT(ISNUMBER($T76))),"Pending",IF(TODAY()&gt;$T76,"OVERDUE","Due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IF($Q77&lt;&gt;"Yes","",IF(COUNTIFS(nrES_PID,$D77,nrES_Code,$F77,nrES_Att,2)&gt;0,"Retested",IF(OR($T77="",NOT(ISNUMBER($T77))),"Pending",IF(TODAY()&gt;$T77,"OVERDUE","Due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IF($Q78&lt;&gt;"Yes","",IF(COUNTIFS(nrES_PID,$D78,nrES_Code,$F78,nrES_Att,2)&gt;0,"Retested",IF(OR($T78="",NOT(ISNUMBER($T78))),"Pending",IF(TODAY()&gt;$T78,"OVERDUE","Due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IF($Q79&lt;&gt;"Yes","",IF(COUNTIFS(nrES_PID,$D79,nrES_Code,$F79,nrES_Att,2)&gt;0,"Retested",IF(OR($T79="",NOT(ISNUMBER($T79))),"Pending",IF(TODAY()&gt;$T79,"OVERDUE","Due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IF($Q80&lt;&gt;"Yes","",IF(COUNTIFS(nrES_PID,$D80,nrES_Code,$F80,nrES_Att,2)&gt;0,"Retested",IF(OR($T80="",NOT(ISNUMBER($T80))),"Pending",IF(TODAY()&gt;$T80,"OVERDUE","Due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IF($Q81&lt;&gt;"Yes","",IF(COUNTIFS(nrES_PID,$D81,nrES_Code,$F81,nrES_Att,2)&gt;0,"Retested",IF(OR($T81="",NOT(ISNUMBER($T81))),"Pending",IF(TODAY()&gt;$T81,"OVERDUE","Due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IF($Q82&lt;&gt;"Yes","",IF(COUNTIFS(nrES_PID,$D82,nrES_Code,$F82,nrES_Att,2)&gt;0,"Retested",IF(OR($T82="",NOT(ISNUMBER($T82))),"Pending",IF(TODAY()&gt;$T82,"OVERDUE","Due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IF($Q83&lt;&gt;"Yes","",IF(COUNTIFS(nrES_PID,$D83,nrES_Code,$F83,nrES_Att,2)&gt;0,"Retested",IF(OR($T83="",NOT(ISNUMBER($T83))),"Pending",IF(TODAY()&gt;$T83,"OVERDUE","Due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IF($Q84&lt;&gt;"Yes","",IF(COUNTIFS(nrES_PID,$D84,nrES_Code,$F84,nrES_Att,2)&gt;0,"Retested",IF(OR($T84="",NOT(ISNUMBER($T84))),"Pending",IF(TODAY()&gt;$T84,"OVERDUE","Due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IF($Q85&lt;&gt;"Yes","",IF(COUNTIFS(nrES_PID,$D85,nrES_Code,$F85,nrES_Att,2)&gt;0,"Retested",IF(OR($T85="",NOT(ISNUMBER($T85))),"Pending",IF(TODAY()&gt;$T85,"OVERDUE","Due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IF($Q86&lt;&gt;"Yes","",IF(COUNTIFS(nrES_PID,$D86,nrES_Code,$F86,nrES_Att,2)&gt;0,"Retested",IF(OR($T86="",NOT(ISNUMBER($T86))),"Pending",IF(TODAY()&gt;$T86,"OVERDUE","Due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IF($Q87&lt;&gt;"Yes","",IF(COUNTIFS(nrES_PID,$D87,nrES_Code,$F87,nrES_Att,2)&gt;0,"Retested",IF(OR($T87="",NOT(ISNUMBER($T87))),"Pending",IF(TODAY()&gt;$T87,"OVERDUE","Due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IF($Q88&lt;&gt;"Yes","",IF(COUNTIFS(nrES_PID,$D88,nrES_Code,$F88,nrES_Att,2)&gt;0,"Retested",IF(OR($T88="",NOT(ISNUMBER($T88))),"Pending",IF(TODAY()&gt;$T88,"OVERDUE","Due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IF($Q89&lt;&gt;"Yes","",IF(COUNTIFS(nrES_PID,$D89,nrES_Code,$F89,nrES_Att,2)&gt;0,"Retested",IF(OR($T89="",NOT(ISNUMBER($T89))),"Pending",IF(TODAY()&gt;$T89,"OVERDUE","Due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IF($Q90&lt;&gt;"Yes","",IF(COUNTIFS(nrES_PID,$D90,nrES_Code,$F90,nrES_Att,2)&gt;0,"Retested",IF(OR($T90="",NOT(ISNUMBER($T90))),"Pending",IF(TODAY()&gt;$T90,"OVERDUE","Due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IF($Q91&lt;&gt;"Yes","",IF(COUNTIFS(nrES_PID,$D91,nrES_Code,$F91,nrES_Att,2)&gt;0,"Retested",IF(OR($T91="",NOT(ISNUMBER($T91))),"Pending",IF(TODAY()&gt;$T91,"OVERDUE","Due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IF($Q92&lt;&gt;"Yes","",IF(COUNTIFS(nrES_PID,$D92,nrES_Code,$F92,nrES_Att,2)&gt;0,"Retested",IF(OR($T92="",NOT(ISNUMBER($T92))),"Pending",IF(TODAY()&gt;$T92,"OVERDUE","Due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IF($Q93&lt;&gt;"Yes","",IF(COUNTIFS(nrES_PID,$D93,nrES_Code,$F93,nrES_Att,2)&gt;0,"Retested",IF(OR($T93="",NOT(ISNUMBER($T93))),"Pending",IF(TODAY()&gt;$T93,"OVERDUE","Due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IF($Q94&lt;&gt;"Yes","",IF(COUNTIFS(nrES_PID,$D94,nrES_Code,$F94,nrES_Att,2)&gt;0,"Retested",IF(OR($T94="",NOT(ISNUMBER($T94))),"Pending",IF(TODAY()&gt;$T94,"OVERDUE","Due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IF($Q95&lt;&gt;"Yes","",IF(COUNTIFS(nrES_PID,$D95,nrES_Code,$F95,nrES_Att,2)&gt;0,"Retested",IF(OR($T95="",NOT(ISNUMBER($T95))),"Pending",IF(TODAY()&gt;$T95,"OVERDUE","Due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IF($Q96&lt;&gt;"Yes","",IF(COUNTIFS(nrES_PID,$D96,nrES_Code,$F96,nrES_Att,2)&gt;0,"Retested",IF(OR($T96="",NOT(ISNUMBER($T96))),"Pending",IF(TODAY()&gt;$T96,"OVERDUE","Due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IF($Q97&lt;&gt;"Yes","",IF(COUNTIFS(nrES_PID,$D97,nrES_Code,$F97,nrES_Att,2)&gt;0,"Retested",IF(OR($T97="",NOT(ISNUMBER($T97))),"Pending",IF(TODAY()&gt;$T97,"OVERDUE","Due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IF($Q98&lt;&gt;"Yes","",IF(COUNTIFS(nrES_PID,$D98,nrES_Code,$F98,nrES_Att,2)&gt;0,"Retested",IF(OR($T98="",NOT(ISNUMBER($T98))),"Pending",IF(TODAY()&gt;$T98,"OVERDUE","Due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IF($Q99&lt;&gt;"Yes","",IF(COUNTIFS(nrES_PID,$D99,nrES_Code,$F99,nrES_Att,2)&gt;0,"Retested",IF(OR($T99="",NOT(ISNUMBER($T99))),"Pending",IF(TODAY()&gt;$T99,"OVERDUE","Due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IF($Q100&lt;&gt;"Yes","",IF(COUNTIFS(nrES_PID,$D100,nrES_Code,$F100,nrES_Att,2)&gt;0,"Retested",IF(OR($T100="",NOT(ISNUMBER($T100))),"Pending",IF(TODAY()&gt;$T100,"OVERDUE","Due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IF($Q101&lt;&gt;"Yes","",IF(COUNTIFS(nrES_PID,$D101,nrES_Code,$F101,nrES_Att,2)&gt;0,"Retested",IF(OR($T101="",NOT(ISNUMBER($T101))),"Pending",IF(TODAY()&gt;$T101,"OVERDUE","Due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IF($Q102&lt;&gt;"Yes","",IF(COUNTIFS(nrES_PID,$D102,nrES_Code,$F102,nrES_Att,2)&gt;0,"Retested",IF(OR($T102="",NOT(ISNUMBER($T102))),"Pending",IF(TODAY()&gt;$T102,"OVERDUE","Due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IF($Q103&lt;&gt;"Yes","",IF(COUNTIFS(nrES_PID,$D103,nrES_Code,$F103,nrES_Att,2)&gt;0,"Retested",IF(OR($T103="",NOT(ISNUMBER($T103))),"Pending",IF(TODAY()&gt;$T103,"OVERDUE","Due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IF($Q104&lt;&gt;"Yes","",IF(COUNTIFS(nrES_PID,$D104,nrES_Code,$F104,nrES_Att,2)&gt;0,"Retested",IF(OR($T104="",NOT(ISNUMBER($T104))),"Pending",IF(TODAY()&gt;$T104,"OVERDUE","Due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IF($Q105&lt;&gt;"Yes","",IF(COUNTIFS(nrES_PID,$D105,nrES_Code,$F105,nrES_Att,2)&gt;0,"Retested",IF(OR($T105="",NOT(ISNUMBER($T105))),"Pending",IF(TODAY()&gt;$T105,"OVERDUE","Due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IF($Q106&lt;&gt;"Yes","",IF(COUNTIFS(nrES_PID,$D106,nrES_Code,$F106,nrES_Att,2)&gt;0,"Retested",IF(OR($T106="",NOT(ISNUMBER($T106))),"Pending",IF(TODAY()&gt;$T106,"OVERDUE","Due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IF($Q107&lt;&gt;"Yes","",IF(COUNTIFS(nrES_PID,$D107,nrES_Code,$F107,nrES_Att,2)&gt;0,"Retested",IF(OR($T107="",NOT(ISNUMBER($T107))),"Pending",IF(TODAY()&gt;$T107,"OVERDUE","Due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IF($Q108&lt;&gt;"Yes","",IF(COUNTIFS(nrES_PID,$D108,nrES_Code,$F108,nrES_Att,2)&gt;0,"Retested",IF(OR($T108="",NOT(ISNUMBER($T108))),"Pending",IF(TODAY()&gt;$T108,"OVERDUE","Due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IF($Q109&lt;&gt;"Yes","",IF(COUNTIFS(nrES_PID,$D109,nrES_Code,$F109,nrES_Att,2)&gt;0,"Retested",IF(OR($T109="",NOT(ISNUMBER($T109))),"Pending",IF(TODAY()&gt;$T109,"OVERDUE","Due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IF($Q110&lt;&gt;"Yes","",IF(COUNTIFS(nrES_PID,$D110,nrES_Code,$F110,nrES_Att,2)&gt;0,"Retested",IF(OR($T110="",NOT(ISNUMBER($T110))),"Pending",IF(TODAY()&gt;$T110,"OVERDUE","Due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IF($Q111&lt;&gt;"Yes","",IF(COUNTIFS(nrES_PID,$D111,nrES_Code,$F111,nrES_Att,2)&gt;0,"Retested",IF(OR($T111="",NOT(ISNUMBER($T111))),"Pending",IF(TODAY()&gt;$T111,"OVERDUE","Due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IF($Q112&lt;&gt;"Yes","",IF(COUNTIFS(nrES_PID,$D112,nrES_Code,$F112,nrES_Att,2)&gt;0,"Retested",IF(OR($T112="",NOT(ISNUMBER($T112))),"Pending",IF(TODAY()&gt;$T112,"OVERDUE","Due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IF($Q113&lt;&gt;"Yes","",IF(COUNTIFS(nrES_PID,$D113,nrES_Code,$F113,nrES_Att,2)&gt;0,"Retested",IF(OR($T113="",NOT(ISNUMBER($T113))),"Pending",IF(TODAY()&gt;$T113,"OVERDUE","Due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IF($Q114&lt;&gt;"Yes","",IF(COUNTIFS(nrES_PID,$D114,nrES_Code,$F114,nrES_Att,2)&gt;0,"Retested",IF(OR($T114="",NOT(ISNUMBER($T114))),"Pending",IF(TODAY()&gt;$T114,"OVERDUE","Due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IF($Q115&lt;&gt;"Yes","",IF(COUNTIFS(nrES_PID,$D115,nrES_Code,$F115,nrES_Att,2)&gt;0,"Retested",IF(OR($T115="",NOT(ISNUMBER($T115))),"Pending",IF(TODAY()&gt;$T115,"OVERDUE","Due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IF($Q116&lt;&gt;"Yes","",IF(COUNTIFS(nrES_PID,$D116,nrES_Code,$F116,nrES_Att,2)&gt;0,"Retested",IF(OR($T116="",NOT(ISNUMBER($T116))),"Pending",IF(TODAY()&gt;$T116,"OVERDUE","Due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IF($Q117&lt;&gt;"Yes","",IF(COUNTIFS(nrES_PID,$D117,nrES_Code,$F117,nrES_Att,2)&gt;0,"Retested",IF(OR($T117="",NOT(ISNUMBER($T117))),"Pending",IF(TODAY()&gt;$T117,"OVERDUE","Due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IF($Q118&lt;&gt;"Yes","",IF(COUNTIFS(nrES_PID,$D118,nrES_Code,$F118,nrES_Att,2)&gt;0,"Retested",IF(OR($T118="",NOT(ISNUMBER($T118))),"Pending",IF(TODAY()&gt;$T118,"OVERDUE","Due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IF($Q119&lt;&gt;"Yes","",IF(COUNTIFS(nrES_PID,$D119,nrES_Code,$F119,nrES_Att,2)&gt;0,"Retested",IF(OR($T119="",NOT(ISNUMBER($T119))),"Pending",IF(TODAY()&gt;$T119,"OVERDUE","Due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IF($Q120&lt;&gt;"Yes","",IF(COUNTIFS(nrES_PID,$D120,nrES_Code,$F120,nrES_Att,2)&gt;0,"Retested",IF(OR($T120="",NOT(ISNUMBER($T120))),"Pending",IF(TODAY()&gt;$T120,"OVERDUE","Due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IF($Q121&lt;&gt;"Yes","",IF(COUNTIFS(nrES_PID,$D121,nrES_Code,$F121,nrES_Att,2)&gt;0,"Retested",IF(OR($T121="",NOT(ISNUMBER($T121))),"Pending",IF(TODAY()&gt;$T121,"OVERDUE","Due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IF($Q122&lt;&gt;"Yes","",IF(COUNTIFS(nrES_PID,$D122,nrES_Code,$F122,nrES_Att,2)&gt;0,"Retested",IF(OR($T122="",NOT(ISNUMBER($T122))),"Pending",IF(TODAY()&gt;$T122,"OVERDUE","Due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IF($Q123&lt;&gt;"Yes","",IF(COUNTIFS(nrES_PID,$D123,nrES_Code,$F123,nrES_Att,2)&gt;0,"Retested",IF(OR($T123="",NOT(ISNUMBER($T123))),"Pending",IF(TODAY()&gt;$T123,"OVERDUE","Due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IF($Q124&lt;&gt;"Yes","",IF(COUNTIFS(nrES_PID,$D124,nrES_Code,$F124,nrES_Att,2)&gt;0,"Retested",IF(OR($T124="",NOT(ISNUMBER($T124))),"Pending",IF(TODAY()&gt;$T124,"OVERDUE","Due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IF($Q125&lt;&gt;"Yes","",IF(COUNTIFS(nrES_PID,$D125,nrES_Code,$F125,nrES_Att,2)&gt;0,"Retested",IF(OR($T125="",NOT(ISNUMBER($T125))),"Pending",IF(TODAY()&gt;$T125,"OVERDUE","Due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IF($Q126&lt;&gt;"Yes","",IF(COUNTIFS(nrES_PID,$D126,nrES_Code,$F126,nrES_Att,2)&gt;0,"Retested",IF(OR($T126="",NOT(ISNUMBER($T126))),"Pending",IF(TODAY()&gt;$T126,"OVERDUE","Due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IF($Q127&lt;&gt;"Yes","",IF(COUNTIFS(nrES_PID,$D127,nrES_Code,$F127,nrES_Att,2)&gt;0,"Retested",IF(OR($T127="",NOT(ISNUMBER($T127))),"Pending",IF(TODAY()&gt;$T127,"OVERDUE","Due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IF($Q128&lt;&gt;"Yes","",IF(COUNTIFS(nrES_PID,$D128,nrES_Code,$F128,nrES_Att,2)&gt;0,"Retested",IF(OR($T128="",NOT(ISNUMBER($T128))),"Pending",IF(TODAY()&gt;$T128,"OVERDUE","Due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IF($Q129&lt;&gt;"Yes","",IF(COUNTIFS(nrES_PID,$D129,nrES_Code,$F129,nrES_Att,2)&gt;0,"Retested",IF(OR($T129="",NOT(ISNUMBER($T129))),"Pending",IF(TODAY()&gt;$T129,"OVERDUE","Due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IF($Q130&lt;&gt;"Yes","",IF(COUNTIFS(nrES_PID,$D130,nrES_Code,$F130,nrES_Att,2)&gt;0,"Retested",IF(OR($T130="",NOT(ISNUMBER($T130))),"Pending",IF(TODAY()&gt;$T130,"OVERDUE","Due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IF($Q131&lt;&gt;"Yes","",IF(COUNTIFS(nrES_PID,$D131,nrES_Code,$F131,nrES_Att,2)&gt;0,"Retested",IF(OR($T131="",NOT(ISNUMBER($T131))),"Pending",IF(TODAY()&gt;$T131,"OVERDUE","Due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IF($Q132&lt;&gt;"Yes","",IF(COUNTIFS(nrES_PID,$D132,nrES_Code,$F132,nrES_Att,2)&gt;0,"Retested",IF(OR($T132="",NOT(ISNUMBER($T132))),"Pending",IF(TODAY()&gt;$T132,"OVERDUE","Due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IF($Q133&lt;&gt;"Yes","",IF(COUNTIFS(nrES_PID,$D133,nrES_Code,$F133,nrES_Att,2)&gt;0,"Retested",IF(OR($T133="",NOT(ISNUMBER($T133))),"Pending",IF(TODAY()&gt;$T133,"OVERDUE","Due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IF($Q134&lt;&gt;"Yes","",IF(COUNTIFS(nrES_PID,$D134,nrES_Code,$F134,nrES_Att,2)&gt;0,"Retested",IF(OR($T134="",NOT(ISNUMBER($T134))),"Pending",IF(TODAY()&gt;$T134,"OVERDUE","Due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IF($Q135&lt;&gt;"Yes","",IF(COUNTIFS(nrES_PID,$D135,nrES_Code,$F135,nrES_Att,2)&gt;0,"Retested",IF(OR($T135="",NOT(ISNUMBER($T135))),"Pending",IF(TODAY()&gt;$T135,"OVERDUE","Due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IF($Q136&lt;&gt;"Yes","",IF(COUNTIFS(nrES_PID,$D136,nrES_Code,$F136,nrES_Att,2)&gt;0,"Retested",IF(OR($T136="",NOT(ISNUMBER($T136))),"Pending",IF(TODAY()&gt;$T136,"OVERDUE","Due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IF($Q137&lt;&gt;"Yes","",IF(COUNTIFS(nrES_PID,$D137,nrES_Code,$F137,nrES_Att,2)&gt;0,"Retested",IF(OR($T137="",NOT(ISNUMBER($T137))),"Pending",IF(TODAY()&gt;$T137,"OVERDUE","Due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IF($Q138&lt;&gt;"Yes","",IF(COUNTIFS(nrES_PID,$D138,nrES_Code,$F138,nrES_Att,2)&gt;0,"Retested",IF(OR($T138="",NOT(ISNUMBER($T138))),"Pending",IF(TODAY()&gt;$T138,"OVERDUE","Due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IF($Q139&lt;&gt;"Yes","",IF(COUNTIFS(nrES_PID,$D139,nrES_Code,$F139,nrES_Att,2)&gt;0,"Retested",IF(OR($T139="",NOT(ISNUMBER($T139))),"Pending",IF(TODAY()&gt;$T139,"OVERDUE","Due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IF($Q140&lt;&gt;"Yes","",IF(COUNTIFS(nrES_PID,$D140,nrES_Code,$F140,nrES_Att,2)&gt;0,"Retested",IF(OR($T140="",NOT(ISNUMBER($T140))),"Pending",IF(TODAY()&gt;$T140,"OVERDUE","Due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IF($Q141&lt;&gt;"Yes","",IF(COUNTIFS(nrES_PID,$D141,nrES_Code,$F141,nrES_Att,2)&gt;0,"Retested",IF(OR($T141="",NOT(ISNUMBER($T141))),"Pending",IF(TODAY()&gt;$T141,"OVERDUE","Due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IF($Q142&lt;&gt;"Yes","",IF(COUNTIFS(nrES_PID,$D142,nrES_Code,$F142,nrES_Att,2)&gt;0,"Retested",IF(OR($T142="",NOT(ISNUMBER($T142))),"Pending",IF(TODAY()&gt;$T142,"OVERDUE","Due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IF($Q143&lt;&gt;"Yes","",IF(COUNTIFS(nrES_PID,$D143,nrES_Code,$F143,nrES_Att,2)&gt;0,"Retested",IF(OR($T143="",NOT(ISNUMBER($T143))),"Pending",IF(TODAY()&gt;$T143,"OVERDUE","Due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IF($Q144&lt;&gt;"Yes","",IF(COUNTIFS(nrES_PID,$D144,nrES_Code,$F144,nrES_Att,2)&gt;0,"Retested",IF(OR($T144="",NOT(ISNUMBER($T144))),"Pending",IF(TODAY()&gt;$T144,"OVERDUE","Due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IF($Q145&lt;&gt;"Yes","",IF(COUNTIFS(nrES_PID,$D145,nrES_Code,$F145,nrES_Att,2)&gt;0,"Retested",IF(OR($T145="",NOT(ISNUMBER($T145))),"Pending",IF(TODAY()&gt;$T145,"OVERDUE","Due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IF($Q146&lt;&gt;"Yes","",IF(COUNTIFS(nrES_PID,$D146,nrES_Code,$F146,nrES_Att,2)&gt;0,"Retested",IF(OR($T146="",NOT(ISNUMBER($T146))),"Pending",IF(TODAY()&gt;$T146,"OVERDUE","Due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IF($Q147&lt;&gt;"Yes","",IF(COUNTIFS(nrES_PID,$D147,nrES_Code,$F147,nrES_Att,2)&gt;0,"Retested",IF(OR($T147="",NOT(ISNUMBER($T147))),"Pending",IF(TODAY()&gt;$T147,"OVERDUE","Due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IF($Q148&lt;&gt;"Yes","",IF(COUNTIFS(nrES_PID,$D148,nrES_Code,$F148,nrES_Att,2)&gt;0,"Retested",IF(OR($T148="",NOT(ISNUMBER($T148))),"Pending",IF(TODAY()&gt;$T148,"OVERDUE","Due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IF($Q149&lt;&gt;"Yes","",IF(COUNTIFS(nrES_PID,$D149,nrES_Code,$F149,nrES_Att,2)&gt;0,"Retested",IF(OR($T149="",NOT(ISNUMBER($T149))),"Pending",IF(TODAY()&gt;$T149,"OVERDUE","Due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IF($Q150&lt;&gt;"Yes","",IF(COUNTIFS(nrES_PID,$D150,nrES_Code,$F150,nrES_Att,2)&gt;0,"Retested",IF(OR($T150="",NOT(ISNUMBER($T150))),"Pending",IF(TODAY()&gt;$T150,"OVERDUE","Due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IF($Q151&lt;&gt;"Yes","",IF(COUNTIFS(nrES_PID,$D151,nrES_Code,$F151,nrES_Att,2)&gt;0,"Retested",IF(OR($T151="",NOT(ISNUMBER($T151))),"Pending",IF(TODAY()&gt;$T151,"OVERDUE","Due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IF($Q152&lt;&gt;"Yes","",IF(COUNTIFS(nrES_PID,$D152,nrES_Code,$F152,nrES_Att,2)&gt;0,"Retested",IF(OR($T152="",NOT(ISNUMBER($T152))),"Pending",IF(TODAY()&gt;$T152,"OVERDUE","Due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IF($Q153&lt;&gt;"Yes","",IF(COUNTIFS(nrES_PID,$D153,nrES_Code,$F153,nrES_Att,2)&gt;0,"Retested",IF(OR($T153="",NOT(ISNUMBER($T153))),"Pending",IF(TODAY()&gt;$T153,"OVERDUE","Due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IF($Q154&lt;&gt;"Yes","",IF(COUNTIFS(nrES_PID,$D154,nrES_Code,$F154,nrES_Att,2)&gt;0,"Retested",IF(OR($T154="",NOT(ISNUMBER($T154))),"Pending",IF(TODAY()&gt;$T154,"OVERDUE","Due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IF($Q155&lt;&gt;"Yes","",IF(COUNTIFS(nrES_PID,$D155,nrES_Code,$F155,nrES_Att,2)&gt;0,"Retested",IF(OR($T155="",NOT(ISNUMBER($T155))),"Pending",IF(TODAY()&gt;$T155,"OVERDUE","Due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IF($Q156&lt;&gt;"Yes","",IF(COUNTIFS(nrES_PID,$D156,nrES_Code,$F156,nrES_Att,2)&gt;0,"Retested",IF(OR($T156="",NOT(ISNUMBER($T156))),"Pending",IF(TODAY()&gt;$T156,"OVERDUE","Due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IF($Q157&lt;&gt;"Yes","",IF(COUNTIFS(nrES_PID,$D157,nrES_Code,$F157,nrES_Att,2)&gt;0,"Retested",IF(OR($T157="",NOT(ISNUMBER($T157))),"Pending",IF(TODAY()&gt;$T157,"OVERDUE","Due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IF($Q158&lt;&gt;"Yes","",IF(COUNTIFS(nrES_PID,$D158,nrES_Code,$F158,nrES_Att,2)&gt;0,"Retested",IF(OR($T158="",NOT(ISNUMBER($T158))),"Pending",IF(TODAY()&gt;$T158,"OVERDUE","Due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IF($Q159&lt;&gt;"Yes","",IF(COUNTIFS(nrES_PID,$D159,nrES_Code,$F159,nrES_Att,2)&gt;0,"Retested",IF(OR($T159="",NOT(ISNUMBER($T159))),"Pending",IF(TODAY()&gt;$T159,"OVERDUE","Due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IF($Q160&lt;&gt;"Yes","",IF(COUNTIFS(nrES_PID,$D160,nrES_Code,$F160,nrES_Att,2)&gt;0,"Retested",IF(OR($T160="",NOT(ISNUMBER($T160))),"Pending",IF(TODAY()&gt;$T160,"OVERDUE","Due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IF($Q161&lt;&gt;"Yes","",IF(COUNTIFS(nrES_PID,$D161,nrES_Code,$F161,nrES_Att,2)&gt;0,"Retested",IF(OR($T161="",NOT(ISNUMBER($T161))),"Pending",IF(TODAY()&gt;$T161,"OVERDUE","Due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IF($Q162&lt;&gt;"Yes","",IF(COUNTIFS(nrES_PID,$D162,nrES_Code,$F162,nrES_Att,2)&gt;0,"Retested",IF(OR($T162="",NOT(ISNUMBER($T162))),"Pending",IF(TODAY()&gt;$T162,"OVERDUE","Due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IF($Q163&lt;&gt;"Yes","",IF(COUNTIFS(nrES_PID,$D163,nrES_Code,$F163,nrES_Att,2)&gt;0,"Retested",IF(OR($T163="",NOT(ISNUMBER($T163))),"Pending",IF(TODAY()&gt;$T163,"OVERDUE","Due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IF($Q164&lt;&gt;"Yes","",IF(COUNTIFS(nrES_PID,$D164,nrES_Code,$F164,nrES_Att,2)&gt;0,"Retested",IF(OR($T164="",NOT(ISNUMBER($T164))),"Pending",IF(TODAY()&gt;$T164,"OVERDUE","Due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IF($Q165&lt;&gt;"Yes","",IF(COUNTIFS(nrES_PID,$D165,nrES_Code,$F165,nrES_Att,2)&gt;0,"Retested",IF(OR($T165="",NOT(ISNUMBER($T165))),"Pending",IF(TODAY()&gt;$T165,"OVERDUE","Due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IF($Q166&lt;&gt;"Yes","",IF(COUNTIFS(nrES_PID,$D166,nrES_Code,$F166,nrES_Att,2)&gt;0,"Retested",IF(OR($T166="",NOT(ISNUMBER($T166))),"Pending",IF(TODAY()&gt;$T166,"OVERDUE","Due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IF($Q167&lt;&gt;"Yes","",IF(COUNTIFS(nrES_PID,$D167,nrES_Code,$F167,nrES_Att,2)&gt;0,"Retested",IF(OR($T167="",NOT(ISNUMBER($T167))),"Pending",IF(TODAY()&gt;$T167,"OVERDUE","Due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IF($Q168&lt;&gt;"Yes","",IF(COUNTIFS(nrES_PID,$D168,nrES_Code,$F168,nrES_Att,2)&gt;0,"Retested",IF(OR($T168="",NOT(ISNUMBER($T168))),"Pending",IF(TODAY()&gt;$T168,"OVERDUE","Due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IF($Q169&lt;&gt;"Yes","",IF(COUNTIFS(nrES_PID,$D169,nrES_Code,$F169,nrES_Att,2)&gt;0,"Retested",IF(OR($T169="",NOT(ISNUMBER($T169))),"Pending",IF(TODAY()&gt;$T169,"OVERDUE","Due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IF($Q170&lt;&gt;"Yes","",IF(COUNTIFS(nrES_PID,$D170,nrES_Code,$F170,nrES_Att,2)&gt;0,"Retested",IF(OR($T170="",NOT(ISNUMBER($T170))),"Pending",IF(TODAY()&gt;$T170,"OVERDUE","Due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IF($Q171&lt;&gt;"Yes","",IF(COUNTIFS(nrES_PID,$D171,nrES_Code,$F171,nrES_Att,2)&gt;0,"Retested",IF(OR($T171="",NOT(ISNUMBER($T171))),"Pending",IF(TODAY()&gt;$T171,"OVERDUE","Due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IF($Q172&lt;&gt;"Yes","",IF(COUNTIFS(nrES_PID,$D172,nrES_Code,$F172,nrES_Att,2)&gt;0,"Retested",IF(OR($T172="",NOT(ISNUMBER($T172))),"Pending",IF(TODAY()&gt;$T172,"OVERDUE","Due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IF($Q173&lt;&gt;"Yes","",IF(COUNTIFS(nrES_PID,$D173,nrES_Code,$F173,nrES_Att,2)&gt;0,"Retested",IF(OR($T173="",NOT(ISNUMBER($T173))),"Pending",IF(TODAY()&gt;$T173,"OVERDUE","Due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IF($Q174&lt;&gt;"Yes","",IF(COUNTIFS(nrES_PID,$D174,nrES_Code,$F174,nrES_Att,2)&gt;0,"Retested",IF(OR($T174="",NOT(ISNUMBER($T174))),"Pending",IF(TODAY()&gt;$T174,"OVERDUE","Due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IF($Q175&lt;&gt;"Yes","",IF(COUNTIFS(nrES_PID,$D175,nrES_Code,$F175,nrES_Att,2)&gt;0,"Retested",IF(OR($T175="",NOT(ISNUMBER($T175))),"Pending",IF(TODAY()&gt;$T175,"OVERDUE","Due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IF($Q176&lt;&gt;"Yes","",IF(COUNTIFS(nrES_PID,$D176,nrES_Code,$F176,nrES_Att,2)&gt;0,"Retested",IF(OR($T176="",NOT(ISNUMBER($T176))),"Pending",IF(TODAY()&gt;$T176,"OVERDUE","Due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IF($Q177&lt;&gt;"Yes","",IF(COUNTIFS(nrES_PID,$D177,nrES_Code,$F177,nrES_Att,2)&gt;0,"Retested",IF(OR($T177="",NOT(ISNUMBER($T177))),"Pending",IF(TODAY()&gt;$T177,"OVERDUE","Due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IF($Q178&lt;&gt;"Yes","",IF(COUNTIFS(nrES_PID,$D178,nrES_Code,$F178,nrES_Att,2)&gt;0,"Retested",IF(OR($T178="",NOT(ISNUMBER($T178))),"Pending",IF(TODAY()&gt;$T178,"OVERDUE","Due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IF($Q179&lt;&gt;"Yes","",IF(COUNTIFS(nrES_PID,$D179,nrES_Code,$F179,nrES_Att,2)&gt;0,"Retested",IF(OR($T179="",NOT(ISNUMBER($T179))),"Pending",IF(TODAY()&gt;$T179,"OVERDUE","Due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IF($Q180&lt;&gt;"Yes","",IF(COUNTIFS(nrES_PID,$D180,nrES_Code,$F180,nrES_Att,2)&gt;0,"Retested",IF(OR($T180="",NOT(ISNUMBER($T180))),"Pending",IF(TODAY()&gt;$T180,"OVERDUE","Due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IF($Q181&lt;&gt;"Yes","",IF(COUNTIFS(nrES_PID,$D181,nrES_Code,$F181,nrES_Att,2)&gt;0,"Retested",IF(OR($T181="",NOT(ISNUMBER($T181))),"Pending",IF(TODAY()&gt;$T181,"OVERDUE","Due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IF($Q182&lt;&gt;"Yes","",IF(COUNTIFS(nrES_PID,$D182,nrES_Code,$F182,nrES_Att,2)&gt;0,"Retested",IF(OR($T182="",NOT(ISNUMBER($T182))),"Pending",IF(TODAY()&gt;$T182,"OVERDUE","Due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IF($Q183&lt;&gt;"Yes","",IF(COUNTIFS(nrES_PID,$D183,nrES_Code,$F183,nrES_Att,2)&gt;0,"Retested",IF(OR($T183="",NOT(ISNUMBER($T183))),"Pending",IF(TODAY()&gt;$T183,"OVERDUE","Due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IF($Q184&lt;&gt;"Yes","",IF(COUNTIFS(nrES_PID,$D184,nrES_Code,$F184,nrES_Att,2)&gt;0,"Retested",IF(OR($T184="",NOT(ISNUMBER($T184))),"Pending",IF(TODAY()&gt;$T184,"OVERDUE","Due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IF($Q185&lt;&gt;"Yes","",IF(COUNTIFS(nrES_PID,$D185,nrES_Code,$F185,nrES_Att,2)&gt;0,"Retested",IF(OR($T185="",NOT(ISNUMBER($T185))),"Pending",IF(TODAY()&gt;$T185,"OVERDUE","Due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IF($Q186&lt;&gt;"Yes","",IF(COUNTIFS(nrES_PID,$D186,nrES_Code,$F186,nrES_Att,2)&gt;0,"Retested",IF(OR($T186="",NOT(ISNUMBER($T186))),"Pending",IF(TODAY()&gt;$T186,"OVERDUE","Due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IF($Q187&lt;&gt;"Yes","",IF(COUNTIFS(nrES_PID,$D187,nrES_Code,$F187,nrES_Att,2)&gt;0,"Retested",IF(OR($T187="",NOT(ISNUMBER($T187))),"Pending",IF(TODAY()&gt;$T187,"OVERDUE","Due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IF($Q188&lt;&gt;"Yes","",IF(COUNTIFS(nrES_PID,$D188,nrES_Code,$F188,nrES_Att,2)&gt;0,"Retested",IF(OR($T188="",NOT(ISNUMBER($T188))),"Pending",IF(TODAY()&gt;$T188,"OVERDUE","Due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IF($Q189&lt;&gt;"Yes","",IF(COUNTIFS(nrES_PID,$D189,nrES_Code,$F189,nrES_Att,2)&gt;0,"Retested",IF(OR($T189="",NOT(ISNUMBER($T189))),"Pending",IF(TODAY()&gt;$T189,"OVERDUE","Due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IF($Q190&lt;&gt;"Yes","",IF(COUNTIFS(nrES_PID,$D190,nrES_Code,$F190,nrES_Att,2)&gt;0,"Retested",IF(OR($T190="",NOT(ISNUMBER($T190))),"Pending",IF(TODAY()&gt;$T190,"OVERDUE","Due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IF($Q191&lt;&gt;"Yes","",IF(COUNTIFS(nrES_PID,$D191,nrES_Code,$F191,nrES_Att,2)&gt;0,"Retested",IF(OR($T191="",NOT(ISNUMBER($T191))),"Pending",IF(TODAY()&gt;$T191,"OVERDUE","Due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IF($Q192&lt;&gt;"Yes","",IF(COUNTIFS(nrES_PID,$D192,nrES_Code,$F192,nrES_Att,2)&gt;0,"Retested",IF(OR($T192="",NOT(ISNUMBER($T192))),"Pending",IF(TODAY()&gt;$T192,"OVERDUE","Due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IF($Q193&lt;&gt;"Yes","",IF(COUNTIFS(nrES_PID,$D193,nrES_Code,$F193,nrES_Att,2)&gt;0,"Retested",IF(OR($T193="",NOT(ISNUMBER($T193))),"Pending",IF(TODAY()&gt;$T193,"OVERDUE","Due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IF($Q194&lt;&gt;"Yes","",IF(COUNTIFS(nrES_PID,$D194,nrES_Code,$F194,nrES_Att,2)&gt;0,"Retested",IF(OR($T194="",NOT(ISNUMBER($T194))),"Pending",IF(TODAY()&gt;$T194,"OVERDUE","Due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IF($Q195&lt;&gt;"Yes","",IF(COUNTIFS(nrES_PID,$D195,nrES_Code,$F195,nrES_Att,2)&gt;0,"Retested",IF(OR($T195="",NOT(ISNUMBER($T195))),"Pending",IF(TODAY()&gt;$T195,"OVERDUE","Due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IF($Q196&lt;&gt;"Yes","",IF(COUNTIFS(nrES_PID,$D196,nrES_Code,$F196,nrES_Att,2)&gt;0,"Retested",IF(OR($T196="",NOT(ISNUMBER($T196))),"Pending",IF(TODAY()&gt;$T196,"OVERDUE","Due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IF($Q197&lt;&gt;"Yes","",IF(COUNTIFS(nrES_PID,$D197,nrES_Code,$F197,nrES_Att,2)&gt;0,"Retested",IF(OR($T197="",NOT(ISNUMBER($T197))),"Pending",IF(TODAY()&gt;$T197,"OVERDUE","Due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IF($Q198&lt;&gt;"Yes","",IF(COUNTIFS(nrES_PID,$D198,nrES_Code,$F198,nrES_Att,2)&gt;0,"Retested",IF(OR($T198="",NOT(ISNUMBER($T198))),"Pending",IF(TODAY()&gt;$T198,"OVERDUE","Due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IF($Q199&lt;&gt;"Yes","",IF(COUNTIFS(nrES_PID,$D199,nrES_Code,$F199,nrES_Att,2)&gt;0,"Retested",IF(OR($T199="",NOT(ISNUMBER($T199))),"Pending",IF(TODAY()&gt;$T199,"OVERDUE","Due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IF($Q200&lt;&gt;"Yes","",IF(COUNTIFS(nrES_PID,$D200,nrES_Code,$F200,nrES_Att,2)&gt;0,"Retested",IF(OR($T200="",NOT(ISNUMBER($T200))),"Pending",IF(TODAY()&gt;$T200,"OVERDUE","Due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IF($Q201&lt;&gt;"Yes","",IF(COUNTIFS(nrES_PID,$D201,nrES_Code,$F201,nrES_Att,2)&gt;0,"Retested",IF(OR($T201="",NOT(ISNUMBER($T201))),"Pending",IF(TODAY()&gt;$T201,"OVERDUE","Due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IF($Q202&lt;&gt;"Yes","",IF(COUNTIFS(nrES_PID,$D202,nrES_Code,$F202,nrES_Att,2)&gt;0,"Retested",IF(OR($T202="",NOT(ISNUMBER($T202))),"Pending",IF(TODAY()&gt;$T202,"OVERDUE","Due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IF($Q203&lt;&gt;"Yes","",IF(COUNTIFS(nrES_PID,$D203,nrES_Code,$F203,nrES_Att,2)&gt;0,"Retested",IF(OR($T203="",NOT(ISNUMBER($T203))),"Pending",IF(TODAY()&gt;$T203,"OVERDUE","Due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IF($Q204&lt;&gt;"Yes","",IF(COUNTIFS(nrES_PID,$D204,nrES_Code,$F204,nrES_Att,2)&gt;0,"Retested",IF(OR($T204="",NOT(ISNUMBER($T204))),"Pending",IF(TODAY()&gt;$T204,"OVERDUE","Due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IF($Q205&lt;&gt;"Yes","",IF(COUNTIFS(nrES_PID,$D205,nrES_Code,$F205,nrES_Att,2)&gt;0,"Retested",IF(OR($T205="",NOT(ISNUMBER($T205))),"Pending",IF(TODAY()&gt;$T205,"OVERDUE","Due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IF($Q206&lt;&gt;"Yes","",IF(COUNTIFS(nrES_PID,$D206,nrES_Code,$F206,nrES_Att,2)&gt;0,"Retested",IF(OR($T206="",NOT(ISNUMBER($T206))),"Pending",IF(TODAY()&gt;$T206,"OVERDUE","Due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IF($Q207&lt;&gt;"Yes","",IF(COUNTIFS(nrES_PID,$D207,nrES_Code,$F207,nrES_Att,2)&gt;0,"Retested",IF(OR($T207="",NOT(ISNUMBER($T207))),"Pending",IF(TODAY()&gt;$T207,"OVERDUE","Due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IF($Q208&lt;&gt;"Yes","",IF(COUNTIFS(nrES_PID,$D208,nrES_Code,$F208,nrES_Att,2)&gt;0,"Retested",IF(OR($T208="",NOT(ISNUMBER($T208))),"Pending",IF(TODAY()&gt;$T208,"OVERDUE","Due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IF($Q209&lt;&gt;"Yes","",IF(COUNTIFS(nrES_PID,$D209,nrES_Code,$F209,nrES_Att,2)&gt;0,"Retested",IF(OR($T209="",NOT(ISNUMBER($T209))),"Pending",IF(TODAY()&gt;$T209,"OVERDUE","Due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IF($Q210&lt;&gt;"Yes","",IF(COUNTIFS(nrES_PID,$D210,nrES_Code,$F210,nrES_Att,2)&gt;0,"Retested",IF(OR($T210="",NOT(ISNUMBER($T210))),"Pending",IF(TODAY()&gt;$T210,"OVERDUE","Due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IF($Q211&lt;&gt;"Yes","",IF(COUNTIFS(nrES_PID,$D211,nrES_Code,$F211,nrES_Att,2)&gt;0,"Retested",IF(OR($T211="",NOT(ISNUMBER($T211))),"Pending",IF(TODAY()&gt;$T211,"OVERDUE","Due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IF($Q212&lt;&gt;"Yes","",IF(COUNTIFS(nrES_PID,$D212,nrES_Code,$F212,nrES_Att,2)&gt;0,"Retested",IF(OR($T212="",NOT(ISNUMBER($T212))),"Pending",IF(TODAY()&gt;$T212,"OVERDUE","Due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IF($Q213&lt;&gt;"Yes","",IF(COUNTIFS(nrES_PID,$D213,nrES_Code,$F213,nrES_Att,2)&gt;0,"Retested",IF(OR($T213="",NOT(ISNUMBER($T213))),"Pending",IF(TODAY()&gt;$T213,"OVERDUE","Due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IF($Q214&lt;&gt;"Yes","",IF(COUNTIFS(nrES_PID,$D214,nrES_Code,$F214,nrES_Att,2)&gt;0,"Retested",IF(OR($T214="",NOT(ISNUMBER($T214))),"Pending",IF(TODAY()&gt;$T214,"OVERDUE","Due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IF($Q215&lt;&gt;"Yes","",IF(COUNTIFS(nrES_PID,$D215,nrES_Code,$F215,nrES_Att,2)&gt;0,"Retested",IF(OR($T215="",NOT(ISNUMBER($T215))),"Pending",IF(TODAY()&gt;$T215,"OVERDUE","Due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IF($Q216&lt;&gt;"Yes","",IF(COUNTIFS(nrES_PID,$D216,nrES_Code,$F216,nrES_Att,2)&gt;0,"Retested",IF(OR($T216="",NOT(ISNUMBER($T216))),"Pending",IF(TODAY()&gt;$T216,"OVERDUE","Due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IF($Q217&lt;&gt;"Yes","",IF(COUNTIFS(nrES_PID,$D217,nrES_Code,$F217,nrES_Att,2)&gt;0,"Retested",IF(OR($T217="",NOT(ISNUMBER($T217))),"Pending",IF(TODAY()&gt;$T217,"OVERDUE","Due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IF($Q218&lt;&gt;"Yes","",IF(COUNTIFS(nrES_PID,$D218,nrES_Code,$F218,nrES_Att,2)&gt;0,"Retested",IF(OR($T218="",NOT(ISNUMBER($T218))),"Pending",IF(TODAY()&gt;$T218,"OVERDUE","Due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IF($Q219&lt;&gt;"Yes","",IF(COUNTIFS(nrES_PID,$D219,nrES_Code,$F219,nrES_Att,2)&gt;0,"Retested",IF(OR($T219="",NOT(ISNUMBER($T219))),"Pending",IF(TODAY()&gt;$T219,"OVERDUE","Due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IF($Q220&lt;&gt;"Yes","",IF(COUNTIFS(nrES_PID,$D220,nrES_Code,$F220,nrES_Att,2)&gt;0,"Retested",IF(OR($T220="",NOT(ISNUMBER($T220))),"Pending",IF(TODAY()&gt;$T220,"OVERDUE","Due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IF($Q221&lt;&gt;"Yes","",IF(COUNTIFS(nrES_PID,$D221,nrES_Code,$F221,nrES_Att,2)&gt;0,"Retested",IF(OR($T221="",NOT(ISNUMBER($T221))),"Pending",IF(TODAY()&gt;$T221,"OVERDUE","Due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IF($Q222&lt;&gt;"Yes","",IF(COUNTIFS(nrES_PID,$D222,nrES_Code,$F222,nrES_Att,2)&gt;0,"Retested",IF(OR($T222="",NOT(ISNUMBER($T222))),"Pending",IF(TODAY()&gt;$T222,"OVERDUE","Due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IF($Q223&lt;&gt;"Yes","",IF(COUNTIFS(nrES_PID,$D223,nrES_Code,$F223,nrES_Att,2)&gt;0,"Retested",IF(OR($T223="",NOT(ISNUMBER($T223))),"Pending",IF(TODAY()&gt;$T223,"OVERDUE","Due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IF($Q224&lt;&gt;"Yes","",IF(COUNTIFS(nrES_PID,$D224,nrES_Code,$F224,nrES_Att,2)&gt;0,"Retested",IF(OR($T224="",NOT(ISNUMBER($T224))),"Pending",IF(TODAY()&gt;$T224,"OVERDUE","Due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IF($Q225&lt;&gt;"Yes","",IF(COUNTIFS(nrES_PID,$D225,nrES_Code,$F225,nrES_Att,2)&gt;0,"Retested",IF(OR($T225="",NOT(ISNUMBER($T225))),"Pending",IF(TODAY()&gt;$T225,"OVERDUE","Due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IF($Q226&lt;&gt;"Yes","",IF(COUNTIFS(nrES_PID,$D226,nrES_Code,$F226,nrES_Att,2)&gt;0,"Retested",IF(OR($T226="",NOT(ISNUMBER($T226))),"Pending",IF(TODAY()&gt;$T226,"OVERDUE","Due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IF($Q227&lt;&gt;"Yes","",IF(COUNTIFS(nrES_PID,$D227,nrES_Code,$F227,nrES_Att,2)&gt;0,"Retested",IF(OR($T227="",NOT(ISNUMBER($T227))),"Pending",IF(TODAY()&gt;$T227,"OVERDUE","Due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IF($Q228&lt;&gt;"Yes","",IF(COUNTIFS(nrES_PID,$D228,nrES_Code,$F228,nrES_Att,2)&gt;0,"Retested",IF(OR($T228="",NOT(ISNUMBER($T228))),"Pending",IF(TODAY()&gt;$T228,"OVERDUE","Due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IF($Q229&lt;&gt;"Yes","",IF(COUNTIFS(nrES_PID,$D229,nrES_Code,$F229,nrES_Att,2)&gt;0,"Retested",IF(OR($T229="",NOT(ISNUMBER($T229))),"Pending",IF(TODAY()&gt;$T229,"OVERDUE","Due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IF($Q230&lt;&gt;"Yes","",IF(COUNTIFS(nrES_PID,$D230,nrES_Code,$F230,nrES_Att,2)&gt;0,"Retested",IF(OR($T230="",NOT(ISNUMBER($T230))),"Pending",IF(TODAY()&gt;$T230,"OVERDUE","Due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IF($Q231&lt;&gt;"Yes","",IF(COUNTIFS(nrES_PID,$D231,nrES_Code,$F231,nrES_Att,2)&gt;0,"Retested",IF(OR($T231="",NOT(ISNUMBER($T231))),"Pending",IF(TODAY()&gt;$T231,"OVERDUE","Due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IF($Q232&lt;&gt;"Yes","",IF(COUNTIFS(nrES_PID,$D232,nrES_Code,$F232,nrES_Att,2)&gt;0,"Retested",IF(OR($T232="",NOT(ISNUMBER($T232))),"Pending",IF(TODAY()&gt;$T232,"OVERDUE","Due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IF($Q233&lt;&gt;"Yes","",IF(COUNTIFS(nrES_PID,$D233,nrES_Code,$F233,nrES_Att,2)&gt;0,"Retested",IF(OR($T233="",NOT(ISNUMBER($T233))),"Pending",IF(TODAY()&gt;$T233,"OVERDUE","Due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IF($Q234&lt;&gt;"Yes","",IF(COUNTIFS(nrES_PID,$D234,nrES_Code,$F234,nrES_Att,2)&gt;0,"Retested",IF(OR($T234="",NOT(ISNUMBER($T234))),"Pending",IF(TODAY()&gt;$T234,"OVERDUE","Due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IF($Q235&lt;&gt;"Yes","",IF(COUNTIFS(nrES_PID,$D235,nrES_Code,$F235,nrES_Att,2)&gt;0,"Retested",IF(OR($T235="",NOT(ISNUMBER($T235))),"Pending",IF(TODAY()&gt;$T235,"OVERDUE","Due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IF($Q236&lt;&gt;"Yes","",IF(COUNTIFS(nrES_PID,$D236,nrES_Code,$F236,nrES_Att,2)&gt;0,"Retested",IF(OR($T236="",NOT(ISNUMBER($T236))),"Pending",IF(TODAY()&gt;$T236,"OVERDUE","Due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IF($Q237&lt;&gt;"Yes","",IF(COUNTIFS(nrES_PID,$D237,nrES_Code,$F237,nrES_Att,2)&gt;0,"Retested",IF(OR($T237="",NOT(ISNUMBER($T237))),"Pending",IF(TODAY()&gt;$T237,"OVERDUE","Due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IF($Q238&lt;&gt;"Yes","",IF(COUNTIFS(nrES_PID,$D238,nrES_Code,$F238,nrES_Att,2)&gt;0,"Retested",IF(OR($T238="",NOT(ISNUMBER($T238))),"Pending",IF(TODAY()&gt;$T238,"OVERDUE","Due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IF($Q239&lt;&gt;"Yes","",IF(COUNTIFS(nrES_PID,$D239,nrES_Code,$F239,nrES_Att,2)&gt;0,"Retested",IF(OR($T239="",NOT(ISNUMBER($T239))),"Pending",IF(TODAY()&gt;$T239,"OVERDUE","Due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IF($Q240&lt;&gt;"Yes","",IF(COUNTIFS(nrES_PID,$D240,nrES_Code,$F240,nrES_Att,2)&gt;0,"Retested",IF(OR($T240="",NOT(ISNUMBER($T240))),"Pending",IF(TODAY()&gt;$T240,"OVERDUE","Due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IF($Q241&lt;&gt;"Yes","",IF(COUNTIFS(nrES_PID,$D241,nrES_Code,$F241,nrES_Att,2)&gt;0,"Retested",IF(OR($T241="",NOT(ISNUMBER($T241))),"Pending",IF(TODAY()&gt;$T241,"OVERDUE","Due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IF($Q242&lt;&gt;"Yes","",IF(COUNTIFS(nrES_PID,$D242,nrES_Code,$F242,nrES_Att,2)&gt;0,"Retested",IF(OR($T242="",NOT(ISNUMBER($T242))),"Pending",IF(TODAY()&gt;$T242,"OVERDUE","Due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IF($Q243&lt;&gt;"Yes","",IF(COUNTIFS(nrES_PID,$D243,nrES_Code,$F243,nrES_Att,2)&gt;0,"Retested",IF(OR($T243="",NOT(ISNUMBER($T243))),"Pending",IF(TODAY()&gt;$T243,"OVERDUE","Due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IF($Q244&lt;&gt;"Yes","",IF(COUNTIFS(nrES_PID,$D244,nrES_Code,$F244,nrES_Att,2)&gt;0,"Retested",IF(OR($T244="",NOT(ISNUMBER($T244))),"Pending",IF(TODAY()&gt;$T244,"OVERDUE","Due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IF($Q245&lt;&gt;"Yes","",IF(COUNTIFS(nrES_PID,$D245,nrES_Code,$F245,nrES_Att,2)&gt;0,"Retested",IF(OR($T245="",NOT(ISNUMBER($T245))),"Pending",IF(TODAY()&gt;$T245,"OVERDUE","Due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IF($Q246&lt;&gt;"Yes","",IF(COUNTIFS(nrES_PID,$D246,nrES_Code,$F246,nrES_Att,2)&gt;0,"Retested",IF(OR($T246="",NOT(ISNUMBER($T246))),"Pending",IF(TODAY()&gt;$T246,"OVERDUE","Due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IF($Q247&lt;&gt;"Yes","",IF(COUNTIFS(nrES_PID,$D247,nrES_Code,$F247,nrES_Att,2)&gt;0,"Retested",IF(OR($T247="",NOT(ISNUMBER($T247))),"Pending",IF(TODAY()&gt;$T247,"OVERDUE","Due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IF($Q248&lt;&gt;"Yes","",IF(COUNTIFS(nrES_PID,$D248,nrES_Code,$F248,nrES_Att,2)&gt;0,"Retested",IF(OR($T248="",NOT(ISNUMBER($T248))),"Pending",IF(TODAY()&gt;$T248,"OVERDUE","Due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IF($Q249&lt;&gt;"Yes","",IF(COUNTIFS(nrES_PID,$D249,nrES_Code,$F249,nrES_Att,2)&gt;0,"Retested",IF(OR($T249="",NOT(ISNUMBER($T249))),"Pending",IF(TODAY()&gt;$T249,"OVERDUE","Due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IF($Q250&lt;&gt;"Yes","",IF(COUNTIFS(nrES_PID,$D250,nrES_Code,$F250,nrES_Att,2)&gt;0,"Retested",IF(OR($T250="",NOT(ISNUMBER($T250))),"Pending",IF(TODAY()&gt;$T250,"OVERDUE","Due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IF($Q251&lt;&gt;"Yes","",IF(COUNTIFS(nrES_PID,$D251,nrES_Code,$F251,nrES_Att,2)&gt;0,"Retested",IF(OR($T251="",NOT(ISNUMBER($T251))),"Pending",IF(TODAY()&gt;$T251,"OVERDUE","Due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IF($Q252&lt;&gt;"Yes","",IF(COUNTIFS(nrES_PID,$D252,nrES_Code,$F252,nrES_Att,2)&gt;0,"Retested",IF(OR($T252="",NOT(ISNUMBER($T252))),"Pending",IF(TODAY()&gt;$T252,"OVERDUE","Due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IF($Q253&lt;&gt;"Yes","",IF(COUNTIFS(nrES_PID,$D253,nrES_Code,$F253,nrES_Att,2)&gt;0,"Retested",IF(OR($T253="",NOT(ISNUMBER($T253))),"Pending",IF(TODAY()&gt;$T253,"OVERDUE","Due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IF($Q254&lt;&gt;"Yes","",IF(COUNTIFS(nrES_PID,$D254,nrES_Code,$F254,nrES_Att,2)&gt;0,"Retested",IF(OR($T254="",NOT(ISNUMBER($T254))),"Pending",IF(TODAY()&gt;$T254,"OVERDUE","Due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IF($Q255&lt;&gt;"Yes","",IF(COUNTIFS(nrES_PID,$D255,nrES_Code,$F255,nrES_Att,2)&gt;0,"Retested",IF(OR($T255="",NOT(ISNUMBER($T255))),"Pending",IF(TODAY()&gt;$T255,"OVERDUE","Due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IF($Q256&lt;&gt;"Yes","",IF(COUNTIFS(nrES_PID,$D256,nrES_Code,$F256,nrES_Att,2)&gt;0,"Retested",IF(OR($T256="",NOT(ISNUMBER($T256))),"Pending",IF(TODAY()&gt;$T256,"OVERDUE","Due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IF($Q257&lt;&gt;"Yes","",IF(COUNTIFS(nrES_PID,$D257,nrES_Code,$F257,nrES_Att,2)&gt;0,"Retested",IF(OR($T257="",NOT(ISNUMBER($T257))),"Pending",IF(TODAY()&gt;$T257,"OVERDUE","Due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IF($Q258&lt;&gt;"Yes","",IF(COUNTIFS(nrES_PID,$D258,nrES_Code,$F258,nrES_Att,2)&gt;0,"Retested",IF(OR($T258="",NOT(ISNUMBER($T258))),"Pending",IF(TODAY()&gt;$T258,"OVERDUE","Due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IF($Q259&lt;&gt;"Yes","",IF(COUNTIFS(nrES_PID,$D259,nrES_Code,$F259,nrES_Att,2)&gt;0,"Retested",IF(OR($T259="",NOT(ISNUMBER($T259))),"Pending",IF(TODAY()&gt;$T259,"OVERDUE","Due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IF($Q260&lt;&gt;"Yes","",IF(COUNTIFS(nrES_PID,$D260,nrES_Code,$F260,nrES_Att,2)&gt;0,"Retested",IF(OR($T260="",NOT(ISNUMBER($T260))),"Pending",IF(TODAY()&gt;$T260,"OVERDUE","Due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IF($Q261&lt;&gt;"Yes","",IF(COUNTIFS(nrES_PID,$D261,nrES_Code,$F261,nrES_Att,2)&gt;0,"Retested",IF(OR($T261="",NOT(ISNUMBER($T261))),"Pending",IF(TODAY()&gt;$T261,"OVERDUE","Due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IF($Q262&lt;&gt;"Yes","",IF(COUNTIFS(nrES_PID,$D262,nrES_Code,$F262,nrES_Att,2)&gt;0,"Retested",IF(OR($T262="",NOT(ISNUMBER($T262))),"Pending",IF(TODAY()&gt;$T262,"OVERDUE","Due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IF($Q263&lt;&gt;"Yes","",IF(COUNTIFS(nrES_PID,$D263,nrES_Code,$F263,nrES_Att,2)&gt;0,"Retested",IF(OR($T263="",NOT(ISNUMBER($T263))),"Pending",IF(TODAY()&gt;$T263,"OVERDUE","Due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IF($Q264&lt;&gt;"Yes","",IF(COUNTIFS(nrES_PID,$D264,nrES_Code,$F264,nrES_Att,2)&gt;0,"Retested",IF(OR($T264="",NOT(ISNUMBER($T264))),"Pending",IF(TODAY()&gt;$T264,"OVERDUE","Due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IF($Q265&lt;&gt;"Yes","",IF(COUNTIFS(nrES_PID,$D265,nrES_Code,$F265,nrES_Att,2)&gt;0,"Retested",IF(OR($T265="",NOT(ISNUMBER($T265))),"Pending",IF(TODAY()&gt;$T265,"OVERDUE","Due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IF($Q266&lt;&gt;"Yes","",IF(COUNTIFS(nrES_PID,$D266,nrES_Code,$F266,nrES_Att,2)&gt;0,"Retested",IF(OR($T266="",NOT(ISNUMBER($T266))),"Pending",IF(TODAY()&gt;$T266,"OVERDUE","Due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IF($Q267&lt;&gt;"Yes","",IF(COUNTIFS(nrES_PID,$D267,nrES_Code,$F267,nrES_Att,2)&gt;0,"Retested",IF(OR($T267="",NOT(ISNUMBER($T267))),"Pending",IF(TODAY()&gt;$T267,"OVERDUE","Due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IF($Q268&lt;&gt;"Yes","",IF(COUNTIFS(nrES_PID,$D268,nrES_Code,$F268,nrES_Att,2)&gt;0,"Retested",IF(OR($T268="",NOT(ISNUMBER($T268))),"Pending",IF(TODAY()&gt;$T268,"OVERDUE","Due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IF($Q269&lt;&gt;"Yes","",IF(COUNTIFS(nrES_PID,$D269,nrES_Code,$F269,nrES_Att,2)&gt;0,"Retested",IF(OR($T269="",NOT(ISNUMBER($T269))),"Pending",IF(TODAY()&gt;$T269,"OVERDUE","Due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IF($Q270&lt;&gt;"Yes","",IF(COUNTIFS(nrES_PID,$D270,nrES_Code,$F270,nrES_Att,2)&gt;0,"Retested",IF(OR($T270="",NOT(ISNUMBER($T270))),"Pending",IF(TODAY()&gt;$T270,"OVERDUE","Due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IF($Q271&lt;&gt;"Yes","",IF(COUNTIFS(nrES_PID,$D271,nrES_Code,$F271,nrES_Att,2)&gt;0,"Retested",IF(OR($T271="",NOT(ISNUMBER($T271))),"Pending",IF(TODAY()&gt;$T271,"OVERDUE","Due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IF($Q272&lt;&gt;"Yes","",IF(COUNTIFS(nrES_PID,$D272,nrES_Code,$F272,nrES_Att,2)&gt;0,"Retested",IF(OR($T272="",NOT(ISNUMBER($T272))),"Pending",IF(TODAY()&gt;$T272,"OVERDUE","Due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IF($Q273&lt;&gt;"Yes","",IF(COUNTIFS(nrES_PID,$D273,nrES_Code,$F273,nrES_Att,2)&gt;0,"Retested",IF(OR($T273="",NOT(ISNUMBER($T273))),"Pending",IF(TODAY()&gt;$T273,"OVERDUE","Due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IF($Q274&lt;&gt;"Yes","",IF(COUNTIFS(nrES_PID,$D274,nrES_Code,$F274,nrES_Att,2)&gt;0,"Retested",IF(OR($T274="",NOT(ISNUMBER($T274))),"Pending",IF(TODAY()&gt;$T274,"OVERDUE","Due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IF($Q275&lt;&gt;"Yes","",IF(COUNTIFS(nrES_PID,$D275,nrES_Code,$F275,nrES_Att,2)&gt;0,"Retested",IF(OR($T275="",NOT(ISNUMBER($T275))),"Pending",IF(TODAY()&gt;$T275,"OVERDUE","Due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IF($Q276&lt;&gt;"Yes","",IF(COUNTIFS(nrES_PID,$D276,nrES_Code,$F276,nrES_Att,2)&gt;0,"Retested",IF(OR($T276="",NOT(ISNUMBER($T276))),"Pending",IF(TODAY()&gt;$T276,"OVERDUE","Due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IF($Q277&lt;&gt;"Yes","",IF(COUNTIFS(nrES_PID,$D277,nrES_Code,$F277,nrES_Att,2)&gt;0,"Retested",IF(OR($T277="",NOT(ISNUMBER($T277))),"Pending",IF(TODAY()&gt;$T277,"OVERDUE","Due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IF($Q278&lt;&gt;"Yes","",IF(COUNTIFS(nrES_PID,$D278,nrES_Code,$F278,nrES_Att,2)&gt;0,"Retested",IF(OR($T278="",NOT(ISNUMBER($T278))),"Pending",IF(TODAY()&gt;$T278,"OVERDUE","Due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IF($Q279&lt;&gt;"Yes","",IF(COUNTIFS(nrES_PID,$D279,nrES_Code,$F279,nrES_Att,2)&gt;0,"Retested",IF(OR($T279="",NOT(ISNUMBER($T279))),"Pending",IF(TODAY()&gt;$T279,"OVERDUE","Due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IF($Q280&lt;&gt;"Yes","",IF(COUNTIFS(nrES_PID,$D280,nrES_Code,$F280,nrES_Att,2)&gt;0,"Retested",IF(OR($T280="",NOT(ISNUMBER($T280))),"Pending",IF(TODAY()&gt;$T280,"OVERDUE","Due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IF($Q281&lt;&gt;"Yes","",IF(COUNTIFS(nrES_PID,$D281,nrES_Code,$F281,nrES_Att,2)&gt;0,"Retested",IF(OR($T281="",NOT(ISNUMBER($T281))),"Pending",IF(TODAY()&gt;$T281,"OVERDUE","Due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IF($Q282&lt;&gt;"Yes","",IF(COUNTIFS(nrES_PID,$D282,nrES_Code,$F282,nrES_Att,2)&gt;0,"Retested",IF(OR($T282="",NOT(ISNUMBER($T282))),"Pending",IF(TODAY()&gt;$T282,"OVERDUE","Due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IF($Q283&lt;&gt;"Yes","",IF(COUNTIFS(nrES_PID,$D283,nrES_Code,$F283,nrES_Att,2)&gt;0,"Retested",IF(OR($T283="",NOT(ISNUMBER($T283))),"Pending",IF(TODAY()&gt;$T283,"OVERDUE","Due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IF($Q284&lt;&gt;"Yes","",IF(COUNTIFS(nrES_PID,$D284,nrES_Code,$F284,nrES_Att,2)&gt;0,"Retested",IF(OR($T284="",NOT(ISNUMBER($T284))),"Pending",IF(TODAY()&gt;$T284,"OVERDUE","Due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IF($Q285&lt;&gt;"Yes","",IF(COUNTIFS(nrES_PID,$D285,nrES_Code,$F285,nrES_Att,2)&gt;0,"Retested",IF(OR($T285="",NOT(ISNUMBER($T285))),"Pending",IF(TODAY()&gt;$T285,"OVERDUE","Due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IF($Q286&lt;&gt;"Yes","",IF(COUNTIFS(nrES_PID,$D286,nrES_Code,$F286,nrES_Att,2)&gt;0,"Retested",IF(OR($T286="",NOT(ISNUMBER($T286))),"Pending",IF(TODAY()&gt;$T286,"OVERDUE","Due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IF($Q287&lt;&gt;"Yes","",IF(COUNTIFS(nrES_PID,$D287,nrES_Code,$F287,nrES_Att,2)&gt;0,"Retested",IF(OR($T287="",NOT(ISNUMBER($T287))),"Pending",IF(TODAY()&gt;$T287,"OVERDUE","Due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IF($Q288&lt;&gt;"Yes","",IF(COUNTIFS(nrES_PID,$D288,nrES_Code,$F288,nrES_Att,2)&gt;0,"Retested",IF(OR($T288="",NOT(ISNUMBER($T288))),"Pending",IF(TODAY()&gt;$T288,"OVERDUE","Due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IF($Q289&lt;&gt;"Yes","",IF(COUNTIFS(nrES_PID,$D289,nrES_Code,$F289,nrES_Att,2)&gt;0,"Retested",IF(OR($T289="",NOT(ISNUMBER($T289))),"Pending",IF(TODAY()&gt;$T289,"OVERDUE","Due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IF($Q290&lt;&gt;"Yes","",IF(COUNTIFS(nrES_PID,$D290,nrES_Code,$F290,nrES_Att,2)&gt;0,"Retested",IF(OR($T290="",NOT(ISNUMBER($T290))),"Pending",IF(TODAY()&gt;$T290,"OVERDUE","Due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IF($Q291&lt;&gt;"Yes","",IF(COUNTIFS(nrES_PID,$D291,nrES_Code,$F291,nrES_Att,2)&gt;0,"Retested",IF(OR($T291="",NOT(ISNUMBER($T291))),"Pending",IF(TODAY()&gt;$T291,"OVERDUE","Due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IF($Q292&lt;&gt;"Yes","",IF(COUNTIFS(nrES_PID,$D292,nrES_Code,$F292,nrES_Att,2)&gt;0,"Retested",IF(OR($T292="",NOT(ISNUMBER($T292))),"Pending",IF(TODAY()&gt;$T292,"OVERDUE","Due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IF($Q293&lt;&gt;"Yes","",IF(COUNTIFS(nrES_PID,$D293,nrES_Code,$F293,nrES_Att,2)&gt;0,"Retested",IF(OR($T293="",NOT(ISNUMBER($T293))),"Pending",IF(TODAY()&gt;$T293,"OVERDUE","Due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IF($Q294&lt;&gt;"Yes","",IF(COUNTIFS(nrES_PID,$D294,nrES_Code,$F294,nrES_Att,2)&gt;0,"Retested",IF(OR($T294="",NOT(ISNUMBER($T294))),"Pending",IF(TODAY()&gt;$T294,"OVERDUE","Due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IF($Q295&lt;&gt;"Yes","",IF(COUNTIFS(nrES_PID,$D295,nrES_Code,$F295,nrES_Att,2)&gt;0,"Retested",IF(OR($T295="",NOT(ISNUMBER($T295))),"Pending",IF(TODAY()&gt;$T295,"OVERDUE","Due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IF($Q296&lt;&gt;"Yes","",IF(COUNTIFS(nrES_PID,$D296,nrES_Code,$F296,nrES_Att,2)&gt;0,"Retested",IF(OR($T296="",NOT(ISNUMBER($T296))),"Pending",IF(TODAY()&gt;$T296,"OVERDUE","Due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IF($Q297&lt;&gt;"Yes","",IF(COUNTIFS(nrES_PID,$D297,nrES_Code,$F297,nrES_Att,2)&gt;0,"Retested",IF(OR($T297="",NOT(ISNUMBER($T297))),"Pending",IF(TODAY()&gt;$T297,"OVERDUE","Due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IF($Q298&lt;&gt;"Yes","",IF(COUNTIFS(nrES_PID,$D298,nrES_Code,$F298,nrES_Att,2)&gt;0,"Retested",IF(OR($T298="",NOT(ISNUMBER($T298))),"Pending",IF(TODAY()&gt;$T298,"OVERDUE","Due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IF($Q299&lt;&gt;"Yes","",IF(COUNTIFS(nrES_PID,$D299,nrES_Code,$F299,nrES_Att,2)&gt;0,"Retested",IF(OR($T299="",NOT(ISNUMBER($T299))),"Pending",IF(TODAY()&gt;$T299,"OVERDUE","Due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IF($Q300&lt;&gt;"Yes","",IF(COUNTIFS(nrES_PID,$D300,nrES_Code,$F300,nrES_Att,2)&gt;0,"Retested",IF(OR($T300="",NOT(ISNUMBER($T300))),"Pending",IF(TODAY()&gt;$T300,"OVERDUE","Due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IF($Q301&lt;&gt;"Yes","",IF(COUNTIFS(nrES_PID,$D301,nrES_Code,$F301,nrES_Att,2)&gt;0,"Retested",IF(OR($T301="",NOT(ISNUMBER($T301))),"Pending",IF(TODAY()&gt;$T301,"OVERDUE","Due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IF($Q302&lt;&gt;"Yes","",IF(COUNTIFS(nrES_PID,$D302,nrES_Code,$F302,nrES_Att,2)&gt;0,"Retested",IF(OR($T302="",NOT(ISNUMBER($T302))),"Pending",IF(TODAY()&gt;$T302,"OVERDUE","Due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IF($Q303&lt;&gt;"Yes","",IF(COUNTIFS(nrES_PID,$D303,nrES_Code,$F303,nrES_Att,2)&gt;0,"Retested",IF(OR($T303="",NOT(ISNUMBER($T303))),"Pending",IF(TODAY()&gt;$T303,"OVERDUE","Due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IF($Q304&lt;&gt;"Yes","",IF(COUNTIFS(nrES_PID,$D304,nrES_Code,$F304,nrES_Att,2)&gt;0,"Retested",IF(OR($T304="",NOT(ISNUMBER($T304))),"Pending",IF(TODAY()&gt;$T304,"OVERDUE","Due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IF($Q305&lt;&gt;"Yes","",IF(COUNTIFS(nrES_PID,$D305,nrES_Code,$F305,nrES_Att,2)&gt;0,"Retested",IF(OR($T305="",NOT(ISNUMBER($T305))),"Pending",IF(TODAY()&gt;$T305,"OVERDUE","Due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IF($Q306&lt;&gt;"Yes","",IF(COUNTIFS(nrES_PID,$D306,nrES_Code,$F306,nrES_Att,2)&gt;0,"Retested",IF(OR($T306="",NOT(ISNUMBER($T306))),"Pending",IF(TODAY()&gt;$T306,"OVERDUE","Due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IF($Q307&lt;&gt;"Yes","",IF(COUNTIFS(nrES_PID,$D307,nrES_Code,$F307,nrES_Att,2)&gt;0,"Retested",IF(OR($T307="",NOT(ISNUMBER($T307))),"Pending",IF(TODAY()&gt;$T307,"OVERDUE","Due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IF($Q308&lt;&gt;"Yes","",IF(COUNTIFS(nrES_PID,$D308,nrES_Code,$F308,nrES_Att,2)&gt;0,"Retested",IF(OR($T308="",NOT(ISNUMBER($T308))),"Pending",IF(TODAY()&gt;$T308,"OVERDUE","Due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IF($Q309&lt;&gt;"Yes","",IF(COUNTIFS(nrES_PID,$D309,nrES_Code,$F309,nrES_Att,2)&gt;0,"Retested",IF(OR($T309="",NOT(ISNUMBER($T309))),"Pending",IF(TODAY()&gt;$T309,"OVERDUE","Due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IF($Q310&lt;&gt;"Yes","",IF(COUNTIFS(nrES_PID,$D310,nrES_Code,$F310,nrES_Att,2)&gt;0,"Retested",IF(OR($T310="",NOT(ISNUMBER($T310))),"Pending",IF(TODAY()&gt;$T310,"OVERDUE","Due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IF($Q311&lt;&gt;"Yes","",IF(COUNTIFS(nrES_PID,$D311,nrES_Code,$F311,nrES_Att,2)&gt;0,"Retested",IF(OR($T311="",NOT(ISNUMBER($T311))),"Pending",IF(TODAY()&gt;$T311,"OVERDUE","Due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IF($Q312&lt;&gt;"Yes","",IF(COUNTIFS(nrES_PID,$D312,nrES_Code,$F312,nrES_Att,2)&gt;0,"Retested",IF(OR($T312="",NOT(ISNUMBER($T312))),"Pending",IF(TODAY()&gt;$T312,"OVERDUE","Due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IF($Q313&lt;&gt;"Yes","",IF(COUNTIFS(nrES_PID,$D313,nrES_Code,$F313,nrES_Att,2)&gt;0,"Retested",IF(OR($T313="",NOT(ISNUMBER($T313))),"Pending",IF(TODAY()&gt;$T313,"OVERDUE","Due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IF($Q314&lt;&gt;"Yes","",IF(COUNTIFS(nrES_PID,$D314,nrES_Code,$F314,nrES_Att,2)&gt;0,"Retested",IF(OR($T314="",NOT(ISNUMBER($T314))),"Pending",IF(TODAY()&gt;$T314,"OVERDUE","Due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IF($Q315&lt;&gt;"Yes","",IF(COUNTIFS(nrES_PID,$D315,nrES_Code,$F315,nrES_Att,2)&gt;0,"Retested",IF(OR($T315="",NOT(ISNUMBER($T315))),"Pending",IF(TODAY()&gt;$T315,"OVERDUE","Due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IF($Q316&lt;&gt;"Yes","",IF(COUNTIFS(nrES_PID,$D316,nrES_Code,$F316,nrES_Att,2)&gt;0,"Retested",IF(OR($T316="",NOT(ISNUMBER($T316))),"Pending",IF(TODAY()&gt;$T316,"OVERDUE","Due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IF($Q317&lt;&gt;"Yes","",IF(COUNTIFS(nrES_PID,$D317,nrES_Code,$F317,nrES_Att,2)&gt;0,"Retested",IF(OR($T317="",NOT(ISNUMBER($T317))),"Pending",IF(TODAY()&gt;$T317,"OVERDUE","Due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IF($Q318&lt;&gt;"Yes","",IF(COUNTIFS(nrES_PID,$D318,nrES_Code,$F318,nrES_Att,2)&gt;0,"Retested",IF(OR($T318="",NOT(ISNUMBER($T318))),"Pending",IF(TODAY()&gt;$T318,"OVERDUE","Due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IF($Q319&lt;&gt;"Yes","",IF(COUNTIFS(nrES_PID,$D319,nrES_Code,$F319,nrES_Att,2)&gt;0,"Retested",IF(OR($T319="",NOT(ISNUMBER($T319))),"Pending",IF(TODAY()&gt;$T319,"OVERDUE","Due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IF($Q320&lt;&gt;"Yes","",IF(COUNTIFS(nrES_PID,$D320,nrES_Code,$F320,nrES_Att,2)&gt;0,"Retested",IF(OR($T320="",NOT(ISNUMBER($T320))),"Pending",IF(TODAY()&gt;$T320,"OVERDUE","Due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IF($Q321&lt;&gt;"Yes","",IF(COUNTIFS(nrES_PID,$D321,nrES_Code,$F321,nrES_Att,2)&gt;0,"Retested",IF(OR($T321="",NOT(ISNUMBER($T321))),"Pending",IF(TODAY()&gt;$T321,"OVERDUE","Due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IF($Q322&lt;&gt;"Yes","",IF(COUNTIFS(nrES_PID,$D322,nrES_Code,$F322,nrES_Att,2)&gt;0,"Retested",IF(OR($T322="",NOT(ISNUMBER($T322))),"Pending",IF(TODAY()&gt;$T322,"OVERDUE","Due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IF($Q323&lt;&gt;"Yes","",IF(COUNTIFS(nrES_PID,$D323,nrES_Code,$F323,nrES_Att,2)&gt;0,"Retested",IF(OR($T323="",NOT(ISNUMBER($T323))),"Pending",IF(TODAY()&gt;$T323,"OVERDUE","Due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IF($Q324&lt;&gt;"Yes","",IF(COUNTIFS(nrES_PID,$D324,nrES_Code,$F324,nrES_Att,2)&gt;0,"Retested",IF(OR($T324="",NOT(ISNUMBER($T324))),"Pending",IF(TODAY()&gt;$T324,"OVERDUE","Due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IF($Q325&lt;&gt;"Yes","",IF(COUNTIFS(nrES_PID,$D325,nrES_Code,$F325,nrES_Att,2)&gt;0,"Retested",IF(OR($T325="",NOT(ISNUMBER($T325))),"Pending",IF(TODAY()&gt;$T325,"OVERDUE","Due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IF($Q326&lt;&gt;"Yes","",IF(COUNTIFS(nrES_PID,$D326,nrES_Code,$F326,nrES_Att,2)&gt;0,"Retested",IF(OR($T326="",NOT(ISNUMBER($T326))),"Pending",IF(TODAY()&gt;$T326,"OVERDUE","Due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IF($Q327&lt;&gt;"Yes","",IF(COUNTIFS(nrES_PID,$D327,nrES_Code,$F327,nrES_Att,2)&gt;0,"Retested",IF(OR($T327="",NOT(ISNUMBER($T327))),"Pending",IF(TODAY()&gt;$T327,"OVERDUE","Due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IF($Q328&lt;&gt;"Yes","",IF(COUNTIFS(nrES_PID,$D328,nrES_Code,$F328,nrES_Att,2)&gt;0,"Retested",IF(OR($T328="",NOT(ISNUMBER($T328))),"Pending",IF(TODAY()&gt;$T328,"OVERDUE","Due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IF($Q329&lt;&gt;"Yes","",IF(COUNTIFS(nrES_PID,$D329,nrES_Code,$F329,nrES_Att,2)&gt;0,"Retested",IF(OR($T329="",NOT(ISNUMBER($T329))),"Pending",IF(TODAY()&gt;$T329,"OVERDUE","Due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IF($Q330&lt;&gt;"Yes","",IF(COUNTIFS(nrES_PID,$D330,nrES_Code,$F330,nrES_Att,2)&gt;0,"Retested",IF(OR($T330="",NOT(ISNUMBER($T330))),"Pending",IF(TODAY()&gt;$T330,"OVERDUE","Due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IF($Q331&lt;&gt;"Yes","",IF(COUNTIFS(nrES_PID,$D331,nrES_Code,$F331,nrES_Att,2)&gt;0,"Retested",IF(OR($T331="",NOT(ISNUMBER($T331))),"Pending",IF(TODAY()&gt;$T331,"OVERDUE","Due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IF($Q332&lt;&gt;"Yes","",IF(COUNTIFS(nrES_PID,$D332,nrES_Code,$F332,nrES_Att,2)&gt;0,"Retested",IF(OR($T332="",NOT(ISNUMBER($T332))),"Pending",IF(TODAY()&gt;$T332,"OVERDUE","Due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IF($Q333&lt;&gt;"Yes","",IF(COUNTIFS(nrES_PID,$D333,nrES_Code,$F333,nrES_Att,2)&gt;0,"Retested",IF(OR($T333="",NOT(ISNUMBER($T333))),"Pending",IF(TODAY()&gt;$T333,"OVERDUE","Due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IF($Q334&lt;&gt;"Yes","",IF(COUNTIFS(nrES_PID,$D334,nrES_Code,$F334,nrES_Att,2)&gt;0,"Retested",IF(OR($T334="",NOT(ISNUMBER($T334))),"Pending",IF(TODAY()&gt;$T334,"OVERDUE","Due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IF($Q335&lt;&gt;"Yes","",IF(COUNTIFS(nrES_PID,$D335,nrES_Code,$F335,nrES_Att,2)&gt;0,"Retested",IF(OR($T335="",NOT(ISNUMBER($T335))),"Pending",IF(TODAY()&gt;$T335,"OVERDUE","Due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IF($Q336&lt;&gt;"Yes","",IF(COUNTIFS(nrES_PID,$D336,nrES_Code,$F336,nrES_Att,2)&gt;0,"Retested",IF(OR($T336="",NOT(ISNUMBER($T336))),"Pending",IF(TODAY()&gt;$T336,"OVERDUE","Due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IF($Q337&lt;&gt;"Yes","",IF(COUNTIFS(nrES_PID,$D337,nrES_Code,$F337,nrES_Att,2)&gt;0,"Retested",IF(OR($T337="",NOT(ISNUMBER($T337))),"Pending",IF(TODAY()&gt;$T337,"OVERDUE","Due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IF($Q338&lt;&gt;"Yes","",IF(COUNTIFS(nrES_PID,$D338,nrES_Code,$F338,nrES_Att,2)&gt;0,"Retested",IF(OR($T338="",NOT(ISNUMBER($T338))),"Pending",IF(TODAY()&gt;$T338,"OVERDUE","Due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IF($Q339&lt;&gt;"Yes","",IF(COUNTIFS(nrES_PID,$D339,nrES_Code,$F339,nrES_Att,2)&gt;0,"Retested",IF(OR($T339="",NOT(ISNUMBER($T339))),"Pending",IF(TODAY()&gt;$T339,"OVERDUE","Due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IF($Q340&lt;&gt;"Yes","",IF(COUNTIFS(nrES_PID,$D340,nrES_Code,$F340,nrES_Att,2)&gt;0,"Retested",IF(OR($T340="",NOT(ISNUMBER($T340))),"Pending",IF(TODAY()&gt;$T340,"OVERDUE","Due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IF($Q341&lt;&gt;"Yes","",IF(COUNTIFS(nrES_PID,$D341,nrES_Code,$F341,nrES_Att,2)&gt;0,"Retested",IF(OR($T341="",NOT(ISNUMBER($T341))),"Pending",IF(TODAY()&gt;$T341,"OVERDUE","Due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IF($Q342&lt;&gt;"Yes","",IF(COUNTIFS(nrES_PID,$D342,nrES_Code,$F342,nrES_Att,2)&gt;0,"Retested",IF(OR($T342="",NOT(ISNUMBER($T342))),"Pending",IF(TODAY()&gt;$T342,"OVERDUE","Due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IF($Q343&lt;&gt;"Yes","",IF(COUNTIFS(nrES_PID,$D343,nrES_Code,$F343,nrES_Att,2)&gt;0,"Retested",IF(OR($T343="",NOT(ISNUMBER($T343))),"Pending",IF(TODAY()&gt;$T343,"OVERDUE","Due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IF($Q344&lt;&gt;"Yes","",IF(COUNTIFS(nrES_PID,$D344,nrES_Code,$F344,nrES_Att,2)&gt;0,"Retested",IF(OR($T344="",NOT(ISNUMBER($T344))),"Pending",IF(TODAY()&gt;$T344,"OVERDUE","Due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IF($Q345&lt;&gt;"Yes","",IF(COUNTIFS(nrES_PID,$D345,nrES_Code,$F345,nrES_Att,2)&gt;0,"Retested",IF(OR($T345="",NOT(ISNUMBER($T345))),"Pending",IF(TODAY()&gt;$T345,"OVERDUE","Due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IF($Q346&lt;&gt;"Yes","",IF(COUNTIFS(nrES_PID,$D346,nrES_Code,$F346,nrES_Att,2)&gt;0,"Retested",IF(OR($T346="",NOT(ISNUMBER($T346))),"Pending",IF(TODAY()&gt;$T346,"OVERDUE","Due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IF($Q347&lt;&gt;"Yes","",IF(COUNTIFS(nrES_PID,$D347,nrES_Code,$F347,nrES_Att,2)&gt;0,"Retested",IF(OR($T347="",NOT(ISNUMBER($T347))),"Pending",IF(TODAY()&gt;$T347,"OVERDUE","Due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IF($Q348&lt;&gt;"Yes","",IF(COUNTIFS(nrES_PID,$D348,nrES_Code,$F348,nrES_Att,2)&gt;0,"Retested",IF(OR($T348="",NOT(ISNUMBER($T348))),"Pending",IF(TODAY()&gt;$T348,"OVERDUE","Due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IF($Q349&lt;&gt;"Yes","",IF(COUNTIFS(nrES_PID,$D349,nrES_Code,$F349,nrES_Att,2)&gt;0,"Retested",IF(OR($T349="",NOT(ISNUMBER($T349))),"Pending",IF(TODAY()&gt;$T349,"OVERDUE","Due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IF($Q350&lt;&gt;"Yes","",IF(COUNTIFS(nrES_PID,$D350,nrES_Code,$F350,nrES_Att,2)&gt;0,"Retested",IF(OR($T350="",NOT(ISNUMBER($T350))),"Pending",IF(TODAY()&gt;$T350,"OVERDUE","Due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IF($Q351&lt;&gt;"Yes","",IF(COUNTIFS(nrES_PID,$D351,nrES_Code,$F351,nrES_Att,2)&gt;0,"Retested",IF(OR($T351="",NOT(ISNUMBER($T351))),"Pending",IF(TODAY()&gt;$T351,"OVERDUE","Due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IF($Q352&lt;&gt;"Yes","",IF(COUNTIFS(nrES_PID,$D352,nrES_Code,$F352,nrES_Att,2)&gt;0,"Retested",IF(OR($T352="",NOT(ISNUMBER($T352))),"Pending",IF(TODAY()&gt;$T352,"OVERDUE","Due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IF($Q353&lt;&gt;"Yes","",IF(COUNTIFS(nrES_PID,$D353,nrES_Code,$F353,nrES_Att,2)&gt;0,"Retested",IF(OR($T353="",NOT(ISNUMBER($T353))),"Pending",IF(TODAY()&gt;$T353,"OVERDUE","Due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IF($Q354&lt;&gt;"Yes","",IF(COUNTIFS(nrES_PID,$D354,nrES_Code,$F354,nrES_Att,2)&gt;0,"Retested",IF(OR($T354="",NOT(ISNUMBER($T354))),"Pending",IF(TODAY()&gt;$T354,"OVERDUE","Due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IF($Q355&lt;&gt;"Yes","",IF(COUNTIFS(nrES_PID,$D355,nrES_Code,$F355,nrES_Att,2)&gt;0,"Retested",IF(OR($T355="",NOT(ISNUMBER($T355))),"Pending",IF(TODAY()&gt;$T355,"OVERDUE","Due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IF($Q356&lt;&gt;"Yes","",IF(COUNTIFS(nrES_PID,$D356,nrES_Code,$F356,nrES_Att,2)&gt;0,"Retested",IF(OR($T356="",NOT(ISNUMBER($T356))),"Pending",IF(TODAY()&gt;$T356,"OVERDUE","Due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IF($Q357&lt;&gt;"Yes","",IF(COUNTIFS(nrES_PID,$D357,nrES_Code,$F357,nrES_Att,2)&gt;0,"Retested",IF(OR($T357="",NOT(ISNUMBER($T357))),"Pending",IF(TODAY()&gt;$T357,"OVERDUE","Due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IF($Q358&lt;&gt;"Yes","",IF(COUNTIFS(nrES_PID,$D358,nrES_Code,$F358,nrES_Att,2)&gt;0,"Retested",IF(OR($T358="",NOT(ISNUMBER($T358))),"Pending",IF(TODAY()&gt;$T358,"OVERDUE","Due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IF($Q359&lt;&gt;"Yes","",IF(COUNTIFS(nrES_PID,$D359,nrES_Code,$F359,nrES_Att,2)&gt;0,"Retested",IF(OR($T359="",NOT(ISNUMBER($T359))),"Pending",IF(TODAY()&gt;$T359,"OVERDUE","Due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IF($Q360&lt;&gt;"Yes","",IF(COUNTIFS(nrES_PID,$D360,nrES_Code,$F360,nrES_Att,2)&gt;0,"Retested",IF(OR($T360="",NOT(ISNUMBER($T360))),"Pending",IF(TODAY()&gt;$T360,"OVERDUE","Due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IF($Q361&lt;&gt;"Yes","",IF(COUNTIFS(nrES_PID,$D361,nrES_Code,$F361,nrES_Att,2)&gt;0,"Retested",IF(OR($T361="",NOT(ISNUMBER($T361))),"Pending",IF(TODAY()&gt;$T361,"OVERDUE","Due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IF($Q362&lt;&gt;"Yes","",IF(COUNTIFS(nrES_PID,$D362,nrES_Code,$F362,nrES_Att,2)&gt;0,"Retested",IF(OR($T362="",NOT(ISNUMBER($T362))),"Pending",IF(TODAY()&gt;$T362,"OVERDUE","Due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IF($Q363&lt;&gt;"Yes","",IF(COUNTIFS(nrES_PID,$D363,nrES_Code,$F363,nrES_Att,2)&gt;0,"Retested",IF(OR($T363="",NOT(ISNUMBER($T363))),"Pending",IF(TODAY()&gt;$T363,"OVERDUE","Due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IF($Q364&lt;&gt;"Yes","",IF(COUNTIFS(nrES_PID,$D364,nrES_Code,$F364,nrES_Att,2)&gt;0,"Retested",IF(OR($T364="",NOT(ISNUMBER($T364))),"Pending",IF(TODAY()&gt;$T364,"OVERDUE","Due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IF($Q365&lt;&gt;"Yes","",IF(COUNTIFS(nrES_PID,$D365,nrES_Code,$F365,nrES_Att,2)&gt;0,"Retested",IF(OR($T365="",NOT(ISNUMBER($T365))),"Pending",IF(TODAY()&gt;$T365,"OVERDUE","Due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IF($Q366&lt;&gt;"Yes","",IF(COUNTIFS(nrES_PID,$D366,nrES_Code,$F366,nrES_Att,2)&gt;0,"Retested",IF(OR($T366="",NOT(ISNUMBER($T366))),"Pending",IF(TODAY()&gt;$T366,"OVERDUE","Due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IF($Q367&lt;&gt;"Yes","",IF(COUNTIFS(nrES_PID,$D367,nrES_Code,$F367,nrES_Att,2)&gt;0,"Retested",IF(OR($T367="",NOT(ISNUMBER($T367))),"Pending",IF(TODAY()&gt;$T367,"OVERDUE","Due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IF($Q368&lt;&gt;"Yes","",IF(COUNTIFS(nrES_PID,$D368,nrES_Code,$F368,nrES_Att,2)&gt;0,"Retested",IF(OR($T368="",NOT(ISNUMBER($T368))),"Pending",IF(TODAY()&gt;$T368,"OVERDUE","Due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IF($Q369&lt;&gt;"Yes","",IF(COUNTIFS(nrES_PID,$D369,nrES_Code,$F369,nrES_Att,2)&gt;0,"Retested",IF(OR($T369="",NOT(ISNUMBER($T369))),"Pending",IF(TODAY()&gt;$T369,"OVERDUE","Due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IF($Q370&lt;&gt;"Yes","",IF(COUNTIFS(nrES_PID,$D370,nrES_Code,$F370,nrES_Att,2)&gt;0,"Retested",IF(OR($T370="",NOT(ISNUMBER($T370))),"Pending",IF(TODAY()&gt;$T370,"OVERDUE","Due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IF($Q371&lt;&gt;"Yes","",IF(COUNTIFS(nrES_PID,$D371,nrES_Code,$F371,nrES_Att,2)&gt;0,"Retested",IF(OR($T371="",NOT(ISNUMBER($T371))),"Pending",IF(TODAY()&gt;$T371,"OVERDUE","Due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IF($Q372&lt;&gt;"Yes","",IF(COUNTIFS(nrES_PID,$D372,nrES_Code,$F372,nrES_Att,2)&gt;0,"Retested",IF(OR($T372="",NOT(ISNUMBER($T372))),"Pending",IF(TODAY()&gt;$T372,"OVERDUE","Due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IF($Q373&lt;&gt;"Yes","",IF(COUNTIFS(nrES_PID,$D373,nrES_Code,$F373,nrES_Att,2)&gt;0,"Retested",IF(OR($T373="",NOT(ISNUMBER($T373))),"Pending",IF(TODAY()&gt;$T373,"OVERDUE","Due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IF($Q374&lt;&gt;"Yes","",IF(COUNTIFS(nrES_PID,$D374,nrES_Code,$F374,nrES_Att,2)&gt;0,"Retested",IF(OR($T374="",NOT(ISNUMBER($T374))),"Pending",IF(TODAY()&gt;$T374,"OVERDUE","Due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IF($Q375&lt;&gt;"Yes","",IF(COUNTIFS(nrES_PID,$D375,nrES_Code,$F375,nrES_Att,2)&gt;0,"Retested",IF(OR($T375="",NOT(ISNUMBER($T375))),"Pending",IF(TODAY()&gt;$T375,"OVERDUE","Due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IF($Q376&lt;&gt;"Yes","",IF(COUNTIFS(nrES_PID,$D376,nrES_Code,$F376,nrES_Att,2)&gt;0,"Retested",IF(OR($T376="",NOT(ISNUMBER($T376))),"Pending",IF(TODAY()&gt;$T376,"OVERDUE","Due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IF($Q377&lt;&gt;"Yes","",IF(COUNTIFS(nrES_PID,$D377,nrES_Code,$F377,nrES_Att,2)&gt;0,"Retested",IF(OR($T377="",NOT(ISNUMBER($T377))),"Pending",IF(TODAY()&gt;$T377,"OVERDUE","Due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IF($Q378&lt;&gt;"Yes","",IF(COUNTIFS(nrES_PID,$D378,nrES_Code,$F378,nrES_Att,2)&gt;0,"Retested",IF(OR($T378="",NOT(ISNUMBER($T378))),"Pending",IF(TODAY()&gt;$T378,"OVERDUE","Due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IF($Q379&lt;&gt;"Yes","",IF(COUNTIFS(nrES_PID,$D379,nrES_Code,$F379,nrES_Att,2)&gt;0,"Retested",IF(OR($T379="",NOT(ISNUMBER($T379))),"Pending",IF(TODAY()&gt;$T379,"OVERDUE","Due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IF($Q380&lt;&gt;"Yes","",IF(COUNTIFS(nrES_PID,$D380,nrES_Code,$F380,nrES_Att,2)&gt;0,"Retested",IF(OR($T380="",NOT(ISNUMBER($T380))),"Pending",IF(TODAY()&gt;$T380,"OVERDUE","Due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IF($Q381&lt;&gt;"Yes","",IF(COUNTIFS(nrES_PID,$D381,nrES_Code,$F381,nrES_Att,2)&gt;0,"Retested",IF(OR($T381="",NOT(ISNUMBER($T381))),"Pending",IF(TODAY()&gt;$T381,"OVERDUE","Due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IF($Q382&lt;&gt;"Yes","",IF(COUNTIFS(nrES_PID,$D382,nrES_Code,$F382,nrES_Att,2)&gt;0,"Retested",IF(OR($T382="",NOT(ISNUMBER($T382))),"Pending",IF(TODAY()&gt;$T382,"OVERDUE","Due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IF($Q383&lt;&gt;"Yes","",IF(COUNTIFS(nrES_PID,$D383,nrES_Code,$F383,nrES_Att,2)&gt;0,"Retested",IF(OR($T383="",NOT(ISNUMBER($T383))),"Pending",IF(TODAY()&gt;$T383,"OVERDUE","Due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IF($Q384&lt;&gt;"Yes","",IF(COUNTIFS(nrES_PID,$D384,nrES_Code,$F384,nrES_Att,2)&gt;0,"Retested",IF(OR($T384="",NOT(ISNUMBER($T384))),"Pending",IF(TODAY()&gt;$T384,"OVERDUE","Due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IF($Q385&lt;&gt;"Yes","",IF(COUNTIFS(nrES_PID,$D385,nrES_Code,$F385,nrES_Att,2)&gt;0,"Retested",IF(OR($T385="",NOT(ISNUMBER($T385))),"Pending",IF(TODAY()&gt;$T385,"OVERDUE","Due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IF($Q386&lt;&gt;"Yes","",IF(COUNTIFS(nrES_PID,$D386,nrES_Code,$F386,nrES_Att,2)&gt;0,"Retested",IF(OR($T386="",NOT(ISNUMBER($T386))),"Pending",IF(TODAY()&gt;$T386,"OVERDUE","Due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IF($Q387&lt;&gt;"Yes","",IF(COUNTIFS(nrES_PID,$D387,nrES_Code,$F387,nrES_Att,2)&gt;0,"Retested",IF(OR($T387="",NOT(ISNUMBER($T387))),"Pending",IF(TODAY()&gt;$T387,"OVERDUE","Due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IF($Q388&lt;&gt;"Yes","",IF(COUNTIFS(nrES_PID,$D388,nrES_Code,$F388,nrES_Att,2)&gt;0,"Retested",IF(OR($T388="",NOT(ISNUMBER($T388))),"Pending",IF(TODAY()&gt;$T388,"OVERDUE","Due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IF($Q389&lt;&gt;"Yes","",IF(COUNTIFS(nrES_PID,$D389,nrES_Code,$F389,nrES_Att,2)&gt;0,"Retested",IF(OR($T389="",NOT(ISNUMBER($T389))),"Pending",IF(TODAY()&gt;$T389,"OVERDUE","Due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IF($Q390&lt;&gt;"Yes","",IF(COUNTIFS(nrES_PID,$D390,nrES_Code,$F390,nrES_Att,2)&gt;0,"Retested",IF(OR($T390="",NOT(ISNUMBER($T390))),"Pending",IF(TODAY()&gt;$T390,"OVERDUE","Due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IF($Q391&lt;&gt;"Yes","",IF(COUNTIFS(nrES_PID,$D391,nrES_Code,$F391,nrES_Att,2)&gt;0,"Retested",IF(OR($T391="",NOT(ISNUMBER($T391))),"Pending",IF(TODAY()&gt;$T391,"OVERDUE","Due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IF($Q392&lt;&gt;"Yes","",IF(COUNTIFS(nrES_PID,$D392,nrES_Code,$F392,nrES_Att,2)&gt;0,"Retested",IF(OR($T392="",NOT(ISNUMBER($T392))),"Pending",IF(TODAY()&gt;$T392,"OVERDUE","Due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IF($Q393&lt;&gt;"Yes","",IF(COUNTIFS(nrES_PID,$D393,nrES_Code,$F393,nrES_Att,2)&gt;0,"Retested",IF(OR($T393="",NOT(ISNUMBER($T393))),"Pending",IF(TODAY()&gt;$T393,"OVERDUE","Due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IF($Q394&lt;&gt;"Yes","",IF(COUNTIFS(nrES_PID,$D394,nrES_Code,$F394,nrES_Att,2)&gt;0,"Retested",IF(OR($T394="",NOT(ISNUMBER($T394))),"Pending",IF(TODAY()&gt;$T394,"OVERDUE","Due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IF($Q395&lt;&gt;"Yes","",IF(COUNTIFS(nrES_PID,$D395,nrES_Code,$F395,nrES_Att,2)&gt;0,"Retested",IF(OR($T395="",NOT(ISNUMBER($T395))),"Pending",IF(TODAY()&gt;$T395,"OVERDUE","Due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IF($Q396&lt;&gt;"Yes","",IF(COUNTIFS(nrES_PID,$D396,nrES_Code,$F396,nrES_Att,2)&gt;0,"Retested",IF(OR($T396="",NOT(ISNUMBER($T396))),"Pending",IF(TODAY()&gt;$T396,"OVERDUE","Due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IF($Q397&lt;&gt;"Yes","",IF(COUNTIFS(nrES_PID,$D397,nrES_Code,$F397,nrES_Att,2)&gt;0,"Retested",IF(OR($T397="",NOT(ISNUMBER($T397))),"Pending",IF(TODAY()&gt;$T397,"OVERDUE","Due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IF($Q398&lt;&gt;"Yes","",IF(COUNTIFS(nrES_PID,$D398,nrES_Code,$F398,nrES_Att,2)&gt;0,"Retested",IF(OR($T398="",NOT(ISNUMBER($T398))),"Pending",IF(TODAY()&gt;$T398,"OVERDUE","Due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IF($Q399&lt;&gt;"Yes","",IF(COUNTIFS(nrES_PID,$D399,nrES_Code,$F399,nrES_Att,2)&gt;0,"Retested",IF(OR($T399="",NOT(ISNUMBER($T399))),"Pending",IF(TODAY()&gt;$T399,"OVERDUE","Due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IF($Q400&lt;&gt;"Yes","",IF(COUNTIFS(nrES_PID,$D400,nrES_Code,$F400,nrES_Att,2)&gt;0,"Retested",IF(OR($T400="",NOT(ISNUMBER($T400))),"Pending",IF(TODAY()&gt;$T400,"OVERDUE","Due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IF($Q401&lt;&gt;"Yes","",IF(COUNTIFS(nrES_PID,$D401,nrES_Code,$F401,nrES_Att,2)&gt;0,"Retested",IF(OR($T401="",NOT(ISNUMBER($T401))),"Pending",IF(TODAY()&gt;$T401,"OVERDUE","Due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IF($Q402&lt;&gt;"Yes","",IF(COUNTIFS(nrES_PID,$D402,nrES_Code,$F402,nrES_Att,2)&gt;0,"Retested",IF(OR($T402="",NOT(ISNUMBER($T402))),"Pending",IF(TODAY()&gt;$T402,"OVERDUE","Due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IF($Q403&lt;&gt;"Yes","",IF(COUNTIFS(nrES_PID,$D403,nrES_Code,$F403,nrES_Att,2)&gt;0,"Retested",IF(OR($T403="",NOT(ISNUMBER($T403))),"Pending",IF(TODAY()&gt;$T403,"OVERDUE","Due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IF($Q404&lt;&gt;"Yes","",IF(COUNTIFS(nrES_PID,$D404,nrES_Code,$F404,nrES_Att,2)&gt;0,"Retested",IF(OR($T404="",NOT(ISNUMBER($T404))),"Pending",IF(TODAY()&gt;$T404,"OVERDUE","Due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IF($Q405&lt;&gt;"Yes","",IF(COUNTIFS(nrES_PID,$D405,nrES_Code,$F405,nrES_Att,2)&gt;0,"Retested",IF(OR($T405="",NOT(ISNUMBER($T405))),"Pending",IF(TODAY()&gt;$T405,"OVERDUE","Due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IF($Q406&lt;&gt;"Yes","",IF(COUNTIFS(nrES_PID,$D406,nrES_Code,$F406,nrES_Att,2)&gt;0,"Retested",IF(OR($T406="",NOT(ISNUMBER($T406))),"Pending",IF(TODAY()&gt;$T406,"OVERDUE","Due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IF($Q407&lt;&gt;"Yes","",IF(COUNTIFS(nrES_PID,$D407,nrES_Code,$F407,nrES_Att,2)&gt;0,"Retested",IF(OR($T407="",NOT(ISNUMBER($T407))),"Pending",IF(TODAY()&gt;$T407,"OVERDUE","Due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IF($Q408&lt;&gt;"Yes","",IF(COUNTIFS(nrES_PID,$D408,nrES_Code,$F408,nrES_Att,2)&gt;0,"Retested",IF(OR($T408="",NOT(ISNUMBER($T408))),"Pending",IF(TODAY()&gt;$T408,"OVERDUE","Due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IF($Q409&lt;&gt;"Yes","",IF(COUNTIFS(nrES_PID,$D409,nrES_Code,$F409,nrES_Att,2)&gt;0,"Retested",IF(OR($T409="",NOT(ISNUMBER($T409))),"Pending",IF(TODAY()&gt;$T409,"OVERDUE","Due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IF($Q410&lt;&gt;"Yes","",IF(COUNTIFS(nrES_PID,$D410,nrES_Code,$F410,nrES_Att,2)&gt;0,"Retested",IF(OR($T410="",NOT(ISNUMBER($T410))),"Pending",IF(TODAY()&gt;$T410,"OVERDUE","Due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IF($Q411&lt;&gt;"Yes","",IF(COUNTIFS(nrES_PID,$D411,nrES_Code,$F411,nrES_Att,2)&gt;0,"Retested",IF(OR($T411="",NOT(ISNUMBER($T411))),"Pending",IF(TODAY()&gt;$T411,"OVERDUE","Due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IF($Q412&lt;&gt;"Yes","",IF(COUNTIFS(nrES_PID,$D412,nrES_Code,$F412,nrES_Att,2)&gt;0,"Retested",IF(OR($T412="",NOT(ISNUMBER($T412))),"Pending",IF(TODAY()&gt;$T412,"OVERDUE","Due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IF($Q413&lt;&gt;"Yes","",IF(COUNTIFS(nrES_PID,$D413,nrES_Code,$F413,nrES_Att,2)&gt;0,"Retested",IF(OR($T413="",NOT(ISNUMBER($T413))),"Pending",IF(TODAY()&gt;$T413,"OVERDUE","Due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IF($Q414&lt;&gt;"Yes","",IF(COUNTIFS(nrES_PID,$D414,nrES_Code,$F414,nrES_Att,2)&gt;0,"Retested",IF(OR($T414="",NOT(ISNUMBER($T414))),"Pending",IF(TODAY()&gt;$T414,"OVERDUE","Due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IF($Q415&lt;&gt;"Yes","",IF(COUNTIFS(nrES_PID,$D415,nrES_Code,$F415,nrES_Att,2)&gt;0,"Retested",IF(OR($T415="",NOT(ISNUMBER($T415))),"Pending",IF(TODAY()&gt;$T415,"OVERDUE","Due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IF($Q416&lt;&gt;"Yes","",IF(COUNTIFS(nrES_PID,$D416,nrES_Code,$F416,nrES_Att,2)&gt;0,"Retested",IF(OR($T416="",NOT(ISNUMBER($T416))),"Pending",IF(TODAY()&gt;$T416,"OVERDUE","Due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IF($Q417&lt;&gt;"Yes","",IF(COUNTIFS(nrES_PID,$D417,nrES_Code,$F417,nrES_Att,2)&gt;0,"Retested",IF(OR($T417="",NOT(ISNUMBER($T417))),"Pending",IF(TODAY()&gt;$T417,"OVERDUE","Due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IF($Q418&lt;&gt;"Yes","",IF(COUNTIFS(nrES_PID,$D418,nrES_Code,$F418,nrES_Att,2)&gt;0,"Retested",IF(OR($T418="",NOT(ISNUMBER($T418))),"Pending",IF(TODAY()&gt;$T418,"OVERDUE","Due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IF($Q419&lt;&gt;"Yes","",IF(COUNTIFS(nrES_PID,$D419,nrES_Code,$F419,nrES_Att,2)&gt;0,"Retested",IF(OR($T419="",NOT(ISNUMBER($T419))),"Pending",IF(TODAY()&gt;$T419,"OVERDUE","Due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IF($Q420&lt;&gt;"Yes","",IF(COUNTIFS(nrES_PID,$D420,nrES_Code,$F420,nrES_Att,2)&gt;0,"Retested",IF(OR($T420="",NOT(ISNUMBER($T420))),"Pending",IF(TODAY()&gt;$T420,"OVERDUE","Due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IF($Q421&lt;&gt;"Yes","",IF(COUNTIFS(nrES_PID,$D421,nrES_Code,$F421,nrES_Att,2)&gt;0,"Retested",IF(OR($T421="",NOT(ISNUMBER($T421))),"Pending",IF(TODAY()&gt;$T421,"OVERDUE","Due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IF($Q422&lt;&gt;"Yes","",IF(COUNTIFS(nrES_PID,$D422,nrES_Code,$F422,nrES_Att,2)&gt;0,"Retested",IF(OR($T422="",NOT(ISNUMBER($T422))),"Pending",IF(TODAY()&gt;$T422,"OVERDUE","Due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IF($Q423&lt;&gt;"Yes","",IF(COUNTIFS(nrES_PID,$D423,nrES_Code,$F423,nrES_Att,2)&gt;0,"Retested",IF(OR($T423="",NOT(ISNUMBER($T423))),"Pending",IF(TODAY()&gt;$T423,"OVERDUE","Due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IF($Q424&lt;&gt;"Yes","",IF(COUNTIFS(nrES_PID,$D424,nrES_Code,$F424,nrES_Att,2)&gt;0,"Retested",IF(OR($T424="",NOT(ISNUMBER($T424))),"Pending",IF(TODAY()&gt;$T424,"OVERDUE","Due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IF($Q425&lt;&gt;"Yes","",IF(COUNTIFS(nrES_PID,$D425,nrES_Code,$F425,nrES_Att,2)&gt;0,"Retested",IF(OR($T425="",NOT(ISNUMBER($T425))),"Pending",IF(TODAY()&gt;$T425,"OVERDUE","Due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IF($Q426&lt;&gt;"Yes","",IF(COUNTIFS(nrES_PID,$D426,nrES_Code,$F426,nrES_Att,2)&gt;0,"Retested",IF(OR($T426="",NOT(ISNUMBER($T426))),"Pending",IF(TODAY()&gt;$T426,"OVERDUE","Due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IF($Q427&lt;&gt;"Yes","",IF(COUNTIFS(nrES_PID,$D427,nrES_Code,$F427,nrES_Att,2)&gt;0,"Retested",IF(OR($T427="",NOT(ISNUMBER($T427))),"Pending",IF(TODAY()&gt;$T427,"OVERDUE","Due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IF($Q428&lt;&gt;"Yes","",IF(COUNTIFS(nrES_PID,$D428,nrES_Code,$F428,nrES_Att,2)&gt;0,"Retested",IF(OR($T428="",NOT(ISNUMBER($T428))),"Pending",IF(TODAY()&gt;$T428,"OVERDUE","Due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IF($Q429&lt;&gt;"Yes","",IF(COUNTIFS(nrES_PID,$D429,nrES_Code,$F429,nrES_Att,2)&gt;0,"Retested",IF(OR($T429="",NOT(ISNUMBER($T429))),"Pending",IF(TODAY()&gt;$T429,"OVERDUE","Due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IF($Q430&lt;&gt;"Yes","",IF(COUNTIFS(nrES_PID,$D430,nrES_Code,$F430,nrES_Att,2)&gt;0,"Retested",IF(OR($T430="",NOT(ISNUMBER($T430))),"Pending",IF(TODAY()&gt;$T430,"OVERDUE","Due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IF($Q431&lt;&gt;"Yes","",IF(COUNTIFS(nrES_PID,$D431,nrES_Code,$F431,nrES_Att,2)&gt;0,"Retested",IF(OR($T431="",NOT(ISNUMBER($T431))),"Pending",IF(TODAY()&gt;$T431,"OVERDUE","Due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IF($Q432&lt;&gt;"Yes","",IF(COUNTIFS(nrES_PID,$D432,nrES_Code,$F432,nrES_Att,2)&gt;0,"Retested",IF(OR($T432="",NOT(ISNUMBER($T432))),"Pending",IF(TODAY()&gt;$T432,"OVERDUE","Due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IF($Q433&lt;&gt;"Yes","",IF(COUNTIFS(nrES_PID,$D433,nrES_Code,$F433,nrES_Att,2)&gt;0,"Retested",IF(OR($T433="",NOT(ISNUMBER($T433))),"Pending",IF(TODAY()&gt;$T433,"OVERDUE","Due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IF($Q434&lt;&gt;"Yes","",IF(COUNTIFS(nrES_PID,$D434,nrES_Code,$F434,nrES_Att,2)&gt;0,"Retested",IF(OR($T434="",NOT(ISNUMBER($T434))),"Pending",IF(TODAY()&gt;$T434,"OVERDUE","Due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IF($Q435&lt;&gt;"Yes","",IF(COUNTIFS(nrES_PID,$D435,nrES_Code,$F435,nrES_Att,2)&gt;0,"Retested",IF(OR($T435="",NOT(ISNUMBER($T435))),"Pending",IF(TODAY()&gt;$T435,"OVERDUE","Due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IF($Q436&lt;&gt;"Yes","",IF(COUNTIFS(nrES_PID,$D436,nrES_Code,$F436,nrES_Att,2)&gt;0,"Retested",IF(OR($T436="",NOT(ISNUMBER($T436))),"Pending",IF(TODAY()&gt;$T436,"OVERDUE","Due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IF($Q437&lt;&gt;"Yes","",IF(COUNTIFS(nrES_PID,$D437,nrES_Code,$F437,nrES_Att,2)&gt;0,"Retested",IF(OR($T437="",NOT(ISNUMBER($T437))),"Pending",IF(TODAY()&gt;$T437,"OVERDUE","Due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IF($Q438&lt;&gt;"Yes","",IF(COUNTIFS(nrES_PID,$D438,nrES_Code,$F438,nrES_Att,2)&gt;0,"Retested",IF(OR($T438="",NOT(ISNUMBER($T438))),"Pending",IF(TODAY()&gt;$T438,"OVERDUE","Due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IF($Q439&lt;&gt;"Yes","",IF(COUNTIFS(nrES_PID,$D439,nrES_Code,$F439,nrES_Att,2)&gt;0,"Retested",IF(OR($T439="",NOT(ISNUMBER($T439))),"Pending",IF(TODAY()&gt;$T439,"OVERDUE","Due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IF($Q440&lt;&gt;"Yes","",IF(COUNTIFS(nrES_PID,$D440,nrES_Code,$F440,nrES_Att,2)&gt;0,"Retested",IF(OR($T440="",NOT(ISNUMBER($T440))),"Pending",IF(TODAY()&gt;$T440,"OVERDUE","Due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IF($Q441&lt;&gt;"Yes","",IF(COUNTIFS(nrES_PID,$D441,nrES_Code,$F441,nrES_Att,2)&gt;0,"Retested",IF(OR($T441="",NOT(ISNUMBER($T441))),"Pending",IF(TODAY()&gt;$T441,"OVERDUE","Due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IF($Q442&lt;&gt;"Yes","",IF(COUNTIFS(nrES_PID,$D442,nrES_Code,$F442,nrES_Att,2)&gt;0,"Retested",IF(OR($T442="",NOT(ISNUMBER($T442))),"Pending",IF(TODAY()&gt;$T442,"OVERDUE","Due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IF($Q443&lt;&gt;"Yes","",IF(COUNTIFS(nrES_PID,$D443,nrES_Code,$F443,nrES_Att,2)&gt;0,"Retested",IF(OR($T443="",NOT(ISNUMBER($T443))),"Pending",IF(TODAY()&gt;$T443,"OVERDUE","Due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IF($Q444&lt;&gt;"Yes","",IF(COUNTIFS(nrES_PID,$D444,nrES_Code,$F444,nrES_Att,2)&gt;0,"Retested",IF(OR($T444="",NOT(ISNUMBER($T444))),"Pending",IF(TODAY()&gt;$T444,"OVERDUE","Due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IF($Q445&lt;&gt;"Yes","",IF(COUNTIFS(nrES_PID,$D445,nrES_Code,$F445,nrES_Att,2)&gt;0,"Retested",IF(OR($T445="",NOT(ISNUMBER($T445))),"Pending",IF(TODAY()&gt;$T445,"OVERDUE","Due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IF($Q446&lt;&gt;"Yes","",IF(COUNTIFS(nrES_PID,$D446,nrES_Code,$F446,nrES_Att,2)&gt;0,"Retested",IF(OR($T446="",NOT(ISNUMBER($T446))),"Pending",IF(TODAY()&gt;$T446,"OVERDUE","Due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IF($Q447&lt;&gt;"Yes","",IF(COUNTIFS(nrES_PID,$D447,nrES_Code,$F447,nrES_Att,2)&gt;0,"Retested",IF(OR($T447="",NOT(ISNUMBER($T447))),"Pending",IF(TODAY()&gt;$T447,"OVERDUE","Due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IF($Q448&lt;&gt;"Yes","",IF(COUNTIFS(nrES_PID,$D448,nrES_Code,$F448,nrES_Att,2)&gt;0,"Retested",IF(OR($T448="",NOT(ISNUMBER($T448))),"Pending",IF(TODAY()&gt;$T448,"OVERDUE","Due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IF($Q449&lt;&gt;"Yes","",IF(COUNTIFS(nrES_PID,$D449,nrES_Code,$F449,nrES_Att,2)&gt;0,"Retested",IF(OR($T449="",NOT(ISNUMBER($T449))),"Pending",IF(TODAY()&gt;$T449,"OVERDUE","Due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IF($Q450&lt;&gt;"Yes","",IF(COUNTIFS(nrES_PID,$D450,nrES_Code,$F450,nrES_Att,2)&gt;0,"Retested",IF(OR($T450="",NOT(ISNUMBER($T450))),"Pending",IF(TODAY()&gt;$T450,"OVERDUE","Due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IF($Q451&lt;&gt;"Yes","",IF(COUNTIFS(nrES_PID,$D451,nrES_Code,$F451,nrES_Att,2)&gt;0,"Retested",IF(OR($T451="",NOT(ISNUMBER($T451))),"Pending",IF(TODAY()&gt;$T451,"OVERDUE","Due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IF($Q452&lt;&gt;"Yes","",IF(COUNTIFS(nrES_PID,$D452,nrES_Code,$F452,nrES_Att,2)&gt;0,"Retested",IF(OR($T452="",NOT(ISNUMBER($T452))),"Pending",IF(TODAY()&gt;$T452,"OVERDUE","Due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IF($Q453&lt;&gt;"Yes","",IF(COUNTIFS(nrES_PID,$D453,nrES_Code,$F453,nrES_Att,2)&gt;0,"Retested",IF(OR($T453="",NOT(ISNUMBER($T453))),"Pending",IF(TODAY()&gt;$T453,"OVERDUE","Due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IF($Q454&lt;&gt;"Yes","",IF(COUNTIFS(nrES_PID,$D454,nrES_Code,$F454,nrES_Att,2)&gt;0,"Retested",IF(OR($T454="",NOT(ISNUMBER($T454))),"Pending",IF(TODAY()&gt;$T454,"OVERDUE","Due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IF($Q455&lt;&gt;"Yes","",IF(COUNTIFS(nrES_PID,$D455,nrES_Code,$F455,nrES_Att,2)&gt;0,"Retested",IF(OR($T455="",NOT(ISNUMBER($T455))),"Pending",IF(TODAY()&gt;$T455,"OVERDUE","Due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IF($Q456&lt;&gt;"Yes","",IF(COUNTIFS(nrES_PID,$D456,nrES_Code,$F456,nrES_Att,2)&gt;0,"Retested",IF(OR($T456="",NOT(ISNUMBER($T456))),"Pending",IF(TODAY()&gt;$T456,"OVERDUE","Due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IF($Q457&lt;&gt;"Yes","",IF(COUNTIFS(nrES_PID,$D457,nrES_Code,$F457,nrES_Att,2)&gt;0,"Retested",IF(OR($T457="",NOT(ISNUMBER($T457))),"Pending",IF(TODAY()&gt;$T457,"OVERDUE","Due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IF($Q458&lt;&gt;"Yes","",IF(COUNTIFS(nrES_PID,$D458,nrES_Code,$F458,nrES_Att,2)&gt;0,"Retested",IF(OR($T458="",NOT(ISNUMBER($T458))),"Pending",IF(TODAY()&gt;$T458,"OVERDUE","Due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IF($Q459&lt;&gt;"Yes","",IF(COUNTIFS(nrES_PID,$D459,nrES_Code,$F459,nrES_Att,2)&gt;0,"Retested",IF(OR($T459="",NOT(ISNUMBER($T459))),"Pending",IF(TODAY()&gt;$T459,"OVERDUE","Due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IF($Q460&lt;&gt;"Yes","",IF(COUNTIFS(nrES_PID,$D460,nrES_Code,$F460,nrES_Att,2)&gt;0,"Retested",IF(OR($T460="",NOT(ISNUMBER($T460))),"Pending",IF(TODAY()&gt;$T460,"OVERDUE","Due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IF($Q461&lt;&gt;"Yes","",IF(COUNTIFS(nrES_PID,$D461,nrES_Code,$F461,nrES_Att,2)&gt;0,"Retested",IF(OR($T461="",NOT(ISNUMBER($T461))),"Pending",IF(TODAY()&gt;$T461,"OVERDUE","Due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IF($Q462&lt;&gt;"Yes","",IF(COUNTIFS(nrES_PID,$D462,nrES_Code,$F462,nrES_Att,2)&gt;0,"Retested",IF(OR($T462="",NOT(ISNUMBER($T462))),"Pending",IF(TODAY()&gt;$T462,"OVERDUE","Due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IF($Q463&lt;&gt;"Yes","",IF(COUNTIFS(nrES_PID,$D463,nrES_Code,$F463,nrES_Att,2)&gt;0,"Retested",IF(OR($T463="",NOT(ISNUMBER($T463))),"Pending",IF(TODAY()&gt;$T463,"OVERDUE","Due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IF($Q464&lt;&gt;"Yes","",IF(COUNTIFS(nrES_PID,$D464,nrES_Code,$F464,nrES_Att,2)&gt;0,"Retested",IF(OR($T464="",NOT(ISNUMBER($T464))),"Pending",IF(TODAY()&gt;$T464,"OVERDUE","Due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IF($Q465&lt;&gt;"Yes","",IF(COUNTIFS(nrES_PID,$D465,nrES_Code,$F465,nrES_Att,2)&gt;0,"Retested",IF(OR($T465="",NOT(ISNUMBER($T465))),"Pending",IF(TODAY()&gt;$T465,"OVERDUE","Due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IF($Q466&lt;&gt;"Yes","",IF(COUNTIFS(nrES_PID,$D466,nrES_Code,$F466,nrES_Att,2)&gt;0,"Retested",IF(OR($T466="",NOT(ISNUMBER($T466))),"Pending",IF(TODAY()&gt;$T466,"OVERDUE","Due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IF($Q467&lt;&gt;"Yes","",IF(COUNTIFS(nrES_PID,$D467,nrES_Code,$F467,nrES_Att,2)&gt;0,"Retested",IF(OR($T467="",NOT(ISNUMBER($T467))),"Pending",IF(TODAY()&gt;$T467,"OVERDUE","Due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IF($Q468&lt;&gt;"Yes","",IF(COUNTIFS(nrES_PID,$D468,nrES_Code,$F468,nrES_Att,2)&gt;0,"Retested",IF(OR($T468="",NOT(ISNUMBER($T468))),"Pending",IF(TODAY()&gt;$T468,"OVERDUE","Due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IF($Q469&lt;&gt;"Yes","",IF(COUNTIFS(nrES_PID,$D469,nrES_Code,$F469,nrES_Att,2)&gt;0,"Retested",IF(OR($T469="",NOT(ISNUMBER($T469))),"Pending",IF(TODAY()&gt;$T469,"OVERDUE","Due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IF($Q470&lt;&gt;"Yes","",IF(COUNTIFS(nrES_PID,$D470,nrES_Code,$F470,nrES_Att,2)&gt;0,"Retested",IF(OR($T470="",NOT(ISNUMBER($T470))),"Pending",IF(TODAY()&gt;$T470,"OVERDUE","Due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IF($Q471&lt;&gt;"Yes","",IF(COUNTIFS(nrES_PID,$D471,nrES_Code,$F471,nrES_Att,2)&gt;0,"Retested",IF(OR($T471="",NOT(ISNUMBER($T471))),"Pending",IF(TODAY()&gt;$T471,"OVERDUE","Due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IF($Q472&lt;&gt;"Yes","",IF(COUNTIFS(nrES_PID,$D472,nrES_Code,$F472,nrES_Att,2)&gt;0,"Retested",IF(OR($T472="",NOT(ISNUMBER($T472))),"Pending",IF(TODAY()&gt;$T472,"OVERDUE","Due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IF($Q473&lt;&gt;"Yes","",IF(COUNTIFS(nrES_PID,$D473,nrES_Code,$F473,nrES_Att,2)&gt;0,"Retested",IF(OR($T473="",NOT(ISNUMBER($T473))),"Pending",IF(TODAY()&gt;$T473,"OVERDUE","Due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IF($Q474&lt;&gt;"Yes","",IF(COUNTIFS(nrES_PID,$D474,nrES_Code,$F474,nrES_Att,2)&gt;0,"Retested",IF(OR($T474="",NOT(ISNUMBER($T474))),"Pending",IF(TODAY()&gt;$T474,"OVERDUE","Due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IF($Q475&lt;&gt;"Yes","",IF(COUNTIFS(nrES_PID,$D475,nrES_Code,$F475,nrES_Att,2)&gt;0,"Retested",IF(OR($T475="",NOT(ISNUMBER($T475))),"Pending",IF(TODAY()&gt;$T475,"OVERDUE","Due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IF($Q476&lt;&gt;"Yes","",IF(COUNTIFS(nrES_PID,$D476,nrES_Code,$F476,nrES_Att,2)&gt;0,"Retested",IF(OR($T476="",NOT(ISNUMBER($T476))),"Pending",IF(TODAY()&gt;$T476,"OVERDUE","Due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IF($Q477&lt;&gt;"Yes","",IF(COUNTIFS(nrES_PID,$D477,nrES_Code,$F477,nrES_Att,2)&gt;0,"Retested",IF(OR($T477="",NOT(ISNUMBER($T477))),"Pending",IF(TODAY()&gt;$T477,"OVERDUE","Due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IF($Q478&lt;&gt;"Yes","",IF(COUNTIFS(nrES_PID,$D478,nrES_Code,$F478,nrES_Att,2)&gt;0,"Retested",IF(OR($T478="",NOT(ISNUMBER($T478))),"Pending",IF(TODAY()&gt;$T478,"OVERDUE","Due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IF($Q479&lt;&gt;"Yes","",IF(COUNTIFS(nrES_PID,$D479,nrES_Code,$F479,nrES_Att,2)&gt;0,"Retested",IF(OR($T479="",NOT(ISNUMBER($T479))),"Pending",IF(TODAY()&gt;$T479,"OVERDUE","Due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IF($Q480&lt;&gt;"Yes","",IF(COUNTIFS(nrES_PID,$D480,nrES_Code,$F480,nrES_Att,2)&gt;0,"Retested",IF(OR($T480="",NOT(ISNUMBER($T480))),"Pending",IF(TODAY()&gt;$T480,"OVERDUE","Due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IF($Q481&lt;&gt;"Yes","",IF(COUNTIFS(nrES_PID,$D481,nrES_Code,$F481,nrES_Att,2)&gt;0,"Retested",IF(OR($T481="",NOT(ISNUMBER($T481))),"Pending",IF(TODAY()&gt;$T481,"OVERDUE","Due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IF($Q482&lt;&gt;"Yes","",IF(COUNTIFS(nrES_PID,$D482,nrES_Code,$F482,nrES_Att,2)&gt;0,"Retested",IF(OR($T482="",NOT(ISNUMBER($T482))),"Pending",IF(TODAY()&gt;$T482,"OVERDUE","Due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IF($Q483&lt;&gt;"Yes","",IF(COUNTIFS(nrES_PID,$D483,nrES_Code,$F483,nrES_Att,2)&gt;0,"Retested",IF(OR($T483="",NOT(ISNUMBER($T483))),"Pending",IF(TODAY()&gt;$T483,"OVERDUE","Due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IF($Q484&lt;&gt;"Yes","",IF(COUNTIFS(nrES_PID,$D484,nrES_Code,$F484,nrES_Att,2)&gt;0,"Retested",IF(OR($T484="",NOT(ISNUMBER($T484))),"Pending",IF(TODAY()&gt;$T484,"OVERDUE","Due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IF($Q485&lt;&gt;"Yes","",IF(COUNTIFS(nrES_PID,$D485,nrES_Code,$F485,nrES_Att,2)&gt;0,"Retested",IF(OR($T485="",NOT(ISNUMBER($T485))),"Pending",IF(TODAY()&gt;$T485,"OVERDUE","Due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IF($Q486&lt;&gt;"Yes","",IF(COUNTIFS(nrES_PID,$D486,nrES_Code,$F486,nrES_Att,2)&gt;0,"Retested",IF(OR($T486="",NOT(ISNUMBER($T486))),"Pending",IF(TODAY()&gt;$T486,"OVERDUE","Due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IF($Q487&lt;&gt;"Yes","",IF(COUNTIFS(nrES_PID,$D487,nrES_Code,$F487,nrES_Att,2)&gt;0,"Retested",IF(OR($T487="",NOT(ISNUMBER($T487))),"Pending",IF(TODAY()&gt;$T487,"OVERDUE","Due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IF($Q488&lt;&gt;"Yes","",IF(COUNTIFS(nrES_PID,$D488,nrES_Code,$F488,nrES_Att,2)&gt;0,"Retested",IF(OR($T488="",NOT(ISNUMBER($T488))),"Pending",IF(TODAY()&gt;$T488,"OVERDUE","Due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IF($Q489&lt;&gt;"Yes","",IF(COUNTIFS(nrES_PID,$D489,nrES_Code,$F489,nrES_Att,2)&gt;0,"Retested",IF(OR($T489="",NOT(ISNUMBER($T489))),"Pending",IF(TODAY()&gt;$T489,"OVERDUE","Due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IF($Q490&lt;&gt;"Yes","",IF(COUNTIFS(nrES_PID,$D490,nrES_Code,$F490,nrES_Att,2)&gt;0,"Retested",IF(OR($T490="",NOT(ISNUMBER($T490))),"Pending",IF(TODAY()&gt;$T490,"OVERDUE","Due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IF($Q491&lt;&gt;"Yes","",IF(COUNTIFS(nrES_PID,$D491,nrES_Code,$F491,nrES_Att,2)&gt;0,"Retested",IF(OR($T491="",NOT(ISNUMBER($T491))),"Pending",IF(TODAY()&gt;$T491,"OVERDUE","Due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IF($Q492&lt;&gt;"Yes","",IF(COUNTIFS(nrES_PID,$D492,nrES_Code,$F492,nrES_Att,2)&gt;0,"Retested",IF(OR($T492="",NOT(ISNUMBER($T492))),"Pending",IF(TODAY()&gt;$T492,"OVERDUE","Due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IF($Q493&lt;&gt;"Yes","",IF(COUNTIFS(nrES_PID,$D493,nrES_Code,$F493,nrES_Att,2)&gt;0,"Retested",IF(OR($T493="",NOT(ISNUMBER($T493))),"Pending",IF(TODAY()&gt;$T493,"OVERDUE","Due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IF($Q494&lt;&gt;"Yes","",IF(COUNTIFS(nrES_PID,$D494,nrES_Code,$F494,nrES_Att,2)&gt;0,"Retested",IF(OR($T494="",NOT(ISNUMBER($T494))),"Pending",IF(TODAY()&gt;$T494,"OVERDUE","Due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IF($Q495&lt;&gt;"Yes","",IF(COUNTIFS(nrES_PID,$D495,nrES_Code,$F495,nrES_Att,2)&gt;0,"Retested",IF(OR($T495="",NOT(ISNUMBER($T495))),"Pending",IF(TODAY()&gt;$T495,"OVERDUE","Due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IF($Q496&lt;&gt;"Yes","",IF(COUNTIFS(nrES_PID,$D496,nrES_Code,$F496,nrES_Att,2)&gt;0,"Retested",IF(OR($T496="",NOT(ISNUMBER($T496))),"Pending",IF(TODAY()&gt;$T496,"OVERDUE","Due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IF($Q497&lt;&gt;"Yes","",IF(COUNTIFS(nrES_PID,$D497,nrES_Code,$F497,nrES_Att,2)&gt;0,"Retested",IF(OR($T497="",NOT(ISNUMBER($T497))),"Pending",IF(TODAY()&gt;$T497,"OVERDUE","Due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IF($Q498&lt;&gt;"Yes","",IF(COUNTIFS(nrES_PID,$D498,nrES_Code,$F498,nrES_Att,2)&gt;0,"Retested",IF(OR($T498="",NOT(ISNUMBER($T498))),"Pending",IF(TODAY()&gt;$T498,"OVERDUE","Due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IF($Q499&lt;&gt;"Yes","",IF(COUNTIFS(nrES_PID,$D499,nrES_Code,$F499,nrES_Att,2)&gt;0,"Retested",IF(OR($T499="",NOT(ISNUMBER($T499))),"Pending",IF(TODAY()&gt;$T499,"OVERDUE","Due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IF($Q500&lt;&gt;"Yes","",IF(COUNTIFS(nrES_PID,$D500,nrES_Code,$F500,nrES_Att,2)&gt;0,"Retested",IF(OR($T500="",NOT(ISNUMBER($T500))),"Pending",IF(TODAY()&gt;$T500,"OVERDUE","Due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IF($Q501&lt;&gt;"Yes","",IF(COUNTIFS(nrES_PID,$D501,nrES_Code,$F501,nrES_Att,2)&gt;0,"Retested",IF(OR($T501="",NOT(ISNUMBER($T501))),"Pending",IF(TODAY()&gt;$T501,"OVERDUE","Due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IF($Q502&lt;&gt;"Yes","",IF(COUNTIFS(nrES_PID,$D502,nrES_Code,$F502,nrES_Att,2)&gt;0,"Retested",IF(OR($T502="",NOT(ISNUMBER($T502))),"Pending",IF(TODAY()&gt;$T502,"OVERDUE","Due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IF($Q503&lt;&gt;"Yes","",IF(COUNTIFS(nrES_PID,$D503,nrES_Code,$F503,nrES_Att,2)&gt;0,"Retested",IF(OR($T503="",NOT(ISNUMBER($T503))),"Pending",IF(TODAY()&gt;$T503,"OVERDUE","Due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IF($Q504&lt;&gt;"Yes","",IF(COUNTIFS(nrES_PID,$D504,nrES_Code,$F504,nrES_Att,2)&gt;0,"Retested",IF(OR($T504="",NOT(ISNUMBER($T504))),"Pending",IF(TODAY()&gt;$T504,"OVERDUE","Due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IF($Q505&lt;&gt;"Yes","",IF(COUNTIFS(nrES_PID,$D505,nrES_Code,$F505,nrES_Att,2)&gt;0,"Retested",IF(OR($T505="",NOT(ISNUMBER($T505))),"Pending",IF(TODAY()&gt;$T505,"OVERDUE","Due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IF($Q506&lt;&gt;"Yes","",IF(COUNTIFS(nrES_PID,$D506,nrES_Code,$F506,nrES_Att,2)&gt;0,"Retested",IF(OR($T506="",NOT(ISNUMBER($T506))),"Pending",IF(TODAY()&gt;$T506,"OVERDUE","Due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IF($Q507&lt;&gt;"Yes","",IF(COUNTIFS(nrES_PID,$D507,nrES_Code,$F507,nrES_Att,2)&gt;0,"Retested",IF(OR($T507="",NOT(ISNUMBER($T507))),"Pending",IF(TODAY()&gt;$T507,"OVERDUE","Due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IF($Q508&lt;&gt;"Yes","",IF(COUNTIFS(nrES_PID,$D508,nrES_Code,$F508,nrES_Att,2)&gt;0,"Retested",IF(OR($T508="",NOT(ISNUMBER($T508))),"Pending",IF(TODAY()&gt;$T508,"OVERDUE","Due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IF($Q509&lt;&gt;"Yes","",IF(COUNTIFS(nrES_PID,$D509,nrES_Code,$F509,nrES_Att,2)&gt;0,"Retested",IF(OR($T509="",NOT(ISNUMBER($T509))),"Pending",IF(TODAY()&gt;$T509,"OVERDUE","Due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IF($Q510&lt;&gt;"Yes","",IF(COUNTIFS(nrES_PID,$D510,nrES_Code,$F510,nrES_Att,2)&gt;0,"Retested",IF(OR($T510="",NOT(ISNUMBER($T510))),"Pending",IF(TODAY()&gt;$T510,"OVERDUE","Due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IF($Q511&lt;&gt;"Yes","",IF(COUNTIFS(nrES_PID,$D511,nrES_Code,$F511,nrES_Att,2)&gt;0,"Retested",IF(OR($T511="",NOT(ISNUMBER($T511))),"Pending",IF(TODAY()&gt;$T511,"OVERDUE","Due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IF($Q512&lt;&gt;"Yes","",IF(COUNTIFS(nrES_PID,$D512,nrES_Code,$F512,nrES_Att,2)&gt;0,"Retested",IF(OR($T512="",NOT(ISNUMBER($T512))),"Pending",IF(TODAY()&gt;$T512,"OVERDUE","Due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IF($Q513&lt;&gt;"Yes","",IF(COUNTIFS(nrES_PID,$D513,nrES_Code,$F513,nrES_Att,2)&gt;0,"Retested",IF(OR($T513="",NOT(ISNUMBER($T513))),"Pending",IF(TODAY()&gt;$T513,"OVERDUE","Due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IF($Q514&lt;&gt;"Yes","",IF(COUNTIFS(nrES_PID,$D514,nrES_Code,$F514,nrES_Att,2)&gt;0,"Retested",IF(OR($T514="",NOT(ISNUMBER($T514))),"Pending",IF(TODAY()&gt;$T514,"OVERDUE","Due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IF($Q515&lt;&gt;"Yes","",IF(COUNTIFS(nrES_PID,$D515,nrES_Code,$F515,nrES_Att,2)&gt;0,"Retested",IF(OR($T515="",NOT(ISNUMBER($T515))),"Pending",IF(TODAY()&gt;$T515,"OVERDUE","Due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IF($Q516&lt;&gt;"Yes","",IF(COUNTIFS(nrES_PID,$D516,nrES_Code,$F516,nrES_Att,2)&gt;0,"Retested",IF(OR($T516="",NOT(ISNUMBER($T516))),"Pending",IF(TODAY()&gt;$T516,"OVERDUE","Due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IF($Q517&lt;&gt;"Yes","",IF(COUNTIFS(nrES_PID,$D517,nrES_Code,$F517,nrES_Att,2)&gt;0,"Retested",IF(OR($T517="",NOT(ISNUMBER($T517))),"Pending",IF(TODAY()&gt;$T517,"OVERDUE","Due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IF($Q518&lt;&gt;"Yes","",IF(COUNTIFS(nrES_PID,$D518,nrES_Code,$F518,nrES_Att,2)&gt;0,"Retested",IF(OR($T518="",NOT(ISNUMBER($T518))),"Pending",IF(TODAY()&gt;$T518,"OVERDUE","Due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IF($Q519&lt;&gt;"Yes","",IF(COUNTIFS(nrES_PID,$D519,nrES_Code,$F519,nrES_Att,2)&gt;0,"Retested",IF(OR($T519="",NOT(ISNUMBER($T519))),"Pending",IF(TODAY()&gt;$T519,"OVERDUE","Due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IF($Q520&lt;&gt;"Yes","",IF(COUNTIFS(nrES_PID,$D520,nrES_Code,$F520,nrES_Att,2)&gt;0,"Retested",IF(OR($T520="",NOT(ISNUMBER($T520))),"Pending",IF(TODAY()&gt;$T520,"OVERDUE","Due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IF($Q521&lt;&gt;"Yes","",IF(COUNTIFS(nrES_PID,$D521,nrES_Code,$F521,nrES_Att,2)&gt;0,"Retested",IF(OR($T521="",NOT(ISNUMBER($T521))),"Pending",IF(TODAY()&gt;$T521,"OVERDUE","Due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IF($Q522&lt;&gt;"Yes","",IF(COUNTIFS(nrES_PID,$D522,nrES_Code,$F522,nrES_Att,2)&gt;0,"Retested",IF(OR($T522="",NOT(ISNUMBER($T522))),"Pending",IF(TODAY()&gt;$T522,"OVERDUE","Due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IF($Q523&lt;&gt;"Yes","",IF(COUNTIFS(nrES_PID,$D523,nrES_Code,$F523,nrES_Att,2)&gt;0,"Retested",IF(OR($T523="",NOT(ISNUMBER($T523))),"Pending",IF(TODAY()&gt;$T523,"OVERDUE","Due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IF($Q524&lt;&gt;"Yes","",IF(COUNTIFS(nrES_PID,$D524,nrES_Code,$F524,nrES_Att,2)&gt;0,"Retested",IF(OR($T524="",NOT(ISNUMBER($T524))),"Pending",IF(TODAY()&gt;$T524,"OVERDUE","Due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IF($Q525&lt;&gt;"Yes","",IF(COUNTIFS(nrES_PID,$D525,nrES_Code,$F525,nrES_Att,2)&gt;0,"Retested",IF(OR($T525="",NOT(ISNUMBER($T525))),"Pending",IF(TODAY()&gt;$T525,"OVERDUE","Due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IF($Q526&lt;&gt;"Yes","",IF(COUNTIFS(nrES_PID,$D526,nrES_Code,$F526,nrES_Att,2)&gt;0,"Retested",IF(OR($T526="",NOT(ISNUMBER($T526))),"Pending",IF(TODAY()&gt;$T526,"OVERDUE","Due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IF($Q527&lt;&gt;"Yes","",IF(COUNTIFS(nrES_PID,$D527,nrES_Code,$F527,nrES_Att,2)&gt;0,"Retested",IF(OR($T527="",NOT(ISNUMBER($T527))),"Pending",IF(TODAY()&gt;$T527,"OVERDUE","Due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IF($Q528&lt;&gt;"Yes","",IF(COUNTIFS(nrES_PID,$D528,nrES_Code,$F528,nrES_Att,2)&gt;0,"Retested",IF(OR($T528="",NOT(ISNUMBER($T528))),"Pending",IF(TODAY()&gt;$T528,"OVERDUE","Due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IF($Q529&lt;&gt;"Yes","",IF(COUNTIFS(nrES_PID,$D529,nrES_Code,$F529,nrES_Att,2)&gt;0,"Retested",IF(OR($T529="",NOT(ISNUMBER($T529))),"Pending",IF(TODAY()&gt;$T529,"OVERDUE","Due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IF($Q530&lt;&gt;"Yes","",IF(COUNTIFS(nrES_PID,$D530,nrES_Code,$F530,nrES_Att,2)&gt;0,"Retested",IF(OR($T530="",NOT(ISNUMBER($T530))),"Pending",IF(TODAY()&gt;$T530,"OVERDUE","Due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IF($Q531&lt;&gt;"Yes","",IF(COUNTIFS(nrES_PID,$D531,nrES_Code,$F531,nrES_Att,2)&gt;0,"Retested",IF(OR($T531="",NOT(ISNUMBER($T531))),"Pending",IF(TODAY()&gt;$T531,"OVERDUE","Due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IF($Q532&lt;&gt;"Yes","",IF(COUNTIFS(nrES_PID,$D532,nrES_Code,$F532,nrES_Att,2)&gt;0,"Retested",IF(OR($T532="",NOT(ISNUMBER($T532))),"Pending",IF(TODAY()&gt;$T532,"OVERDUE","Due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IF($Q533&lt;&gt;"Yes","",IF(COUNTIFS(nrES_PID,$D533,nrES_Code,$F533,nrES_Att,2)&gt;0,"Retested",IF(OR($T533="",NOT(ISNUMBER($T533))),"Pending",IF(TODAY()&gt;$T533,"OVERDUE","Due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IF($Q534&lt;&gt;"Yes","",IF(COUNTIFS(nrES_PID,$D534,nrES_Code,$F534,nrES_Att,2)&gt;0,"Retested",IF(OR($T534="",NOT(ISNUMBER($T534))),"Pending",IF(TODAY()&gt;$T534,"OVERDUE","Due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IF($Q535&lt;&gt;"Yes","",IF(COUNTIFS(nrES_PID,$D535,nrES_Code,$F535,nrES_Att,2)&gt;0,"Retested",IF(OR($T535="",NOT(ISNUMBER($T535))),"Pending",IF(TODAY()&gt;$T535,"OVERDUE","Due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IF($Q536&lt;&gt;"Yes","",IF(COUNTIFS(nrES_PID,$D536,nrES_Code,$F536,nrES_Att,2)&gt;0,"Retested",IF(OR($T536="",NOT(ISNUMBER($T536))),"Pending",IF(TODAY()&gt;$T536,"OVERDUE","Due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IF($Q537&lt;&gt;"Yes","",IF(COUNTIFS(nrES_PID,$D537,nrES_Code,$F537,nrES_Att,2)&gt;0,"Retested",IF(OR($T537="",NOT(ISNUMBER($T537))),"Pending",IF(TODAY()&gt;$T537,"OVERDUE","Due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IF($Q538&lt;&gt;"Yes","",IF(COUNTIFS(nrES_PID,$D538,nrES_Code,$F538,nrES_Att,2)&gt;0,"Retested",IF(OR($T538="",NOT(ISNUMBER($T538))),"Pending",IF(TODAY()&gt;$T538,"OVERDUE","Due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IF($Q539&lt;&gt;"Yes","",IF(COUNTIFS(nrES_PID,$D539,nrES_Code,$F539,nrES_Att,2)&gt;0,"Retested",IF(OR($T539="",NOT(ISNUMBER($T539))),"Pending",IF(TODAY()&gt;$T539,"OVERDUE","Due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IF($Q540&lt;&gt;"Yes","",IF(COUNTIFS(nrES_PID,$D540,nrES_Code,$F540,nrES_Att,2)&gt;0,"Retested",IF(OR($T540="",NOT(ISNUMBER($T540))),"Pending",IF(TODAY()&gt;$T540,"OVERDUE","Due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IF($Q541&lt;&gt;"Yes","",IF(COUNTIFS(nrES_PID,$D541,nrES_Code,$F541,nrES_Att,2)&gt;0,"Retested",IF(OR($T541="",NOT(ISNUMBER($T541))),"Pending",IF(TODAY()&gt;$T541,"OVERDUE","Due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IF($Q542&lt;&gt;"Yes","",IF(COUNTIFS(nrES_PID,$D542,nrES_Code,$F542,nrES_Att,2)&gt;0,"Retested",IF(OR($T542="",NOT(ISNUMBER($T542))),"Pending",IF(TODAY()&gt;$T542,"OVERDUE","Due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IF($Q543&lt;&gt;"Yes","",IF(COUNTIFS(nrES_PID,$D543,nrES_Code,$F543,nrES_Att,2)&gt;0,"Retested",IF(OR($T543="",NOT(ISNUMBER($T543))),"Pending",IF(TODAY()&gt;$T543,"OVERDUE","Due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IF($Q544&lt;&gt;"Yes","",IF(COUNTIFS(nrES_PID,$D544,nrES_Code,$F544,nrES_Att,2)&gt;0,"Retested",IF(OR($T544="",NOT(ISNUMBER($T544))),"Pending",IF(TODAY()&gt;$T544,"OVERDUE","Due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IF($Q545&lt;&gt;"Yes","",IF(COUNTIFS(nrES_PID,$D545,nrES_Code,$F545,nrES_Att,2)&gt;0,"Retested",IF(OR($T545="",NOT(ISNUMBER($T545))),"Pending",IF(TODAY()&gt;$T545,"OVERDUE","Due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IF($Q546&lt;&gt;"Yes","",IF(COUNTIFS(nrES_PID,$D546,nrES_Code,$F546,nrES_Att,2)&gt;0,"Retested",IF(OR($T546="",NOT(ISNUMBER($T546))),"Pending",IF(TODAY()&gt;$T546,"OVERDUE","Due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IF($Q547&lt;&gt;"Yes","",IF(COUNTIFS(nrES_PID,$D547,nrES_Code,$F547,nrES_Att,2)&gt;0,"Retested",IF(OR($T547="",NOT(ISNUMBER($T547))),"Pending",IF(TODAY()&gt;$T547,"OVERDUE","Due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IF($Q548&lt;&gt;"Yes","",IF(COUNTIFS(nrES_PID,$D548,nrES_Code,$F548,nrES_Att,2)&gt;0,"Retested",IF(OR($T548="",NOT(ISNUMBER($T548))),"Pending",IF(TODAY()&gt;$T548,"OVERDUE","Due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IF($Q549&lt;&gt;"Yes","",IF(COUNTIFS(nrES_PID,$D549,nrES_Code,$F549,nrES_Att,2)&gt;0,"Retested",IF(OR($T549="",NOT(ISNUMBER($T549))),"Pending",IF(TODAY()&gt;$T549,"OVERDUE","Due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IF($Q550&lt;&gt;"Yes","",IF(COUNTIFS(nrES_PID,$D550,nrES_Code,$F550,nrES_Att,2)&gt;0,"Retested",IF(OR($T550="",NOT(ISNUMBER($T550))),"Pending",IF(TODAY()&gt;$T550,"OVERDUE","Due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IF($Q551&lt;&gt;"Yes","",IF(COUNTIFS(nrES_PID,$D551,nrES_Code,$F551,nrES_Att,2)&gt;0,"Retested",IF(OR($T551="",NOT(ISNUMBER($T551))),"Pending",IF(TODAY()&gt;$T551,"OVERDUE","Due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IF($Q552&lt;&gt;"Yes","",IF(COUNTIFS(nrES_PID,$D552,nrES_Code,$F552,nrES_Att,2)&gt;0,"Retested",IF(OR($T552="",NOT(ISNUMBER($T552))),"Pending",IF(TODAY()&gt;$T552,"OVERDUE","Due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IF($Q553&lt;&gt;"Yes","",IF(COUNTIFS(nrES_PID,$D553,nrES_Code,$F553,nrES_Att,2)&gt;0,"Retested",IF(OR($T553="",NOT(ISNUMBER($T553))),"Pending",IF(TODAY()&gt;$T553,"OVERDUE","Due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IF($Q554&lt;&gt;"Yes","",IF(COUNTIFS(nrES_PID,$D554,nrES_Code,$F554,nrES_Att,2)&gt;0,"Retested",IF(OR($T554="",NOT(ISNUMBER($T554))),"Pending",IF(TODAY()&gt;$T554,"OVERDUE","Due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IF($Q555&lt;&gt;"Yes","",IF(COUNTIFS(nrES_PID,$D555,nrES_Code,$F555,nrES_Att,2)&gt;0,"Retested",IF(OR($T555="",NOT(ISNUMBER($T555))),"Pending",IF(TODAY()&gt;$T555,"OVERDUE","Due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IF($Q556&lt;&gt;"Yes","",IF(COUNTIFS(nrES_PID,$D556,nrES_Code,$F556,nrES_Att,2)&gt;0,"Retested",IF(OR($T556="",NOT(ISNUMBER($T556))),"Pending",IF(TODAY()&gt;$T556,"OVERDUE","Due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IF($Q557&lt;&gt;"Yes","",IF(COUNTIFS(nrES_PID,$D557,nrES_Code,$F557,nrES_Att,2)&gt;0,"Retested",IF(OR($T557="",NOT(ISNUMBER($T557))),"Pending",IF(TODAY()&gt;$T557,"OVERDUE","Due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IF($Q558&lt;&gt;"Yes","",IF(COUNTIFS(nrES_PID,$D558,nrES_Code,$F558,nrES_Att,2)&gt;0,"Retested",IF(OR($T558="",NOT(ISNUMBER($T558))),"Pending",IF(TODAY()&gt;$T558,"OVERDUE","Due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IF($Q559&lt;&gt;"Yes","",IF(COUNTIFS(nrES_PID,$D559,nrES_Code,$F559,nrES_Att,2)&gt;0,"Retested",IF(OR($T559="",NOT(ISNUMBER($T559))),"Pending",IF(TODAY()&gt;$T559,"OVERDUE","Due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IF($Q560&lt;&gt;"Yes","",IF(COUNTIFS(nrES_PID,$D560,nrES_Code,$F560,nrES_Att,2)&gt;0,"Retested",IF(OR($T560="",NOT(ISNUMBER($T560))),"Pending",IF(TODAY()&gt;$T560,"OVERDUE","Due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IF($Q561&lt;&gt;"Yes","",IF(COUNTIFS(nrES_PID,$D561,nrES_Code,$F561,nrES_Att,2)&gt;0,"Retested",IF(OR($T561="",NOT(ISNUMBER($T561))),"Pending",IF(TODAY()&gt;$T561,"OVERDUE","Due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IF($Q562&lt;&gt;"Yes","",IF(COUNTIFS(nrES_PID,$D562,nrES_Code,$F562,nrES_Att,2)&gt;0,"Retested",IF(OR($T562="",NOT(ISNUMBER($T562))),"Pending",IF(TODAY()&gt;$T562,"OVERDUE","Due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IF($Q563&lt;&gt;"Yes","",IF(COUNTIFS(nrES_PID,$D563,nrES_Code,$F563,nrES_Att,2)&gt;0,"Retested",IF(OR($T563="",NOT(ISNUMBER($T563))),"Pending",IF(TODAY()&gt;$T563,"OVERDUE","Due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IF($Q564&lt;&gt;"Yes","",IF(COUNTIFS(nrES_PID,$D564,nrES_Code,$F564,nrES_Att,2)&gt;0,"Retested",IF(OR($T564="",NOT(ISNUMBER($T564))),"Pending",IF(TODAY()&gt;$T564,"OVERDUE","Due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IF($Q565&lt;&gt;"Yes","",IF(COUNTIFS(nrES_PID,$D565,nrES_Code,$F565,nrES_Att,2)&gt;0,"Retested",IF(OR($T565="",NOT(ISNUMBER($T565))),"Pending",IF(TODAY()&gt;$T565,"OVERDUE","Due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IF($Q566&lt;&gt;"Yes","",IF(COUNTIFS(nrES_PID,$D566,nrES_Code,$F566,nrES_Att,2)&gt;0,"Retested",IF(OR($T566="",NOT(ISNUMBER($T566))),"Pending",IF(TODAY()&gt;$T566,"OVERDUE","Due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IF($Q567&lt;&gt;"Yes","",IF(COUNTIFS(nrES_PID,$D567,nrES_Code,$F567,nrES_Att,2)&gt;0,"Retested",IF(OR($T567="",NOT(ISNUMBER($T567))),"Pending",IF(TODAY()&gt;$T567,"OVERDUE","Due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IF($Q568&lt;&gt;"Yes","",IF(COUNTIFS(nrES_PID,$D568,nrES_Code,$F568,nrES_Att,2)&gt;0,"Retested",IF(OR($T568="",NOT(ISNUMBER($T568))),"Pending",IF(TODAY()&gt;$T568,"OVERDUE","Due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IF($Q569&lt;&gt;"Yes","",IF(COUNTIFS(nrES_PID,$D569,nrES_Code,$F569,nrES_Att,2)&gt;0,"Retested",IF(OR($T569="",NOT(ISNUMBER($T569))),"Pending",IF(TODAY()&gt;$T569,"OVERDUE","Due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IF($Q570&lt;&gt;"Yes","",IF(COUNTIFS(nrES_PID,$D570,nrES_Code,$F570,nrES_Att,2)&gt;0,"Retested",IF(OR($T570="",NOT(ISNUMBER($T570))),"Pending",IF(TODAY()&gt;$T570,"OVERDUE","Due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IF($Q571&lt;&gt;"Yes","",IF(COUNTIFS(nrES_PID,$D571,nrES_Code,$F571,nrES_Att,2)&gt;0,"Retested",IF(OR($T571="",NOT(ISNUMBER($T571))),"Pending",IF(TODAY()&gt;$T571,"OVERDUE","Due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IF($Q572&lt;&gt;"Yes","",IF(COUNTIFS(nrES_PID,$D572,nrES_Code,$F572,nrES_Att,2)&gt;0,"Retested",IF(OR($T572="",NOT(ISNUMBER($T572))),"Pending",IF(TODAY()&gt;$T572,"OVERDUE","Due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IF($Q573&lt;&gt;"Yes","",IF(COUNTIFS(nrES_PID,$D573,nrES_Code,$F573,nrES_Att,2)&gt;0,"Retested",IF(OR($T573="",NOT(ISNUMBER($T573))),"Pending",IF(TODAY()&gt;$T573,"OVERDUE","Due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IF($Q574&lt;&gt;"Yes","",IF(COUNTIFS(nrES_PID,$D574,nrES_Code,$F574,nrES_Att,2)&gt;0,"Retested",IF(OR($T574="",NOT(ISNUMBER($T574))),"Pending",IF(TODAY()&gt;$T574,"OVERDUE","Due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IF($Q575&lt;&gt;"Yes","",IF(COUNTIFS(nrES_PID,$D575,nrES_Code,$F575,nrES_Att,2)&gt;0,"Retested",IF(OR($T575="",NOT(ISNUMBER($T575))),"Pending",IF(TODAY()&gt;$T575,"OVERDUE","Due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IF($Q576&lt;&gt;"Yes","",IF(COUNTIFS(nrES_PID,$D576,nrES_Code,$F576,nrES_Att,2)&gt;0,"Retested",IF(OR($T576="",NOT(ISNUMBER($T576))),"Pending",IF(TODAY()&gt;$T576,"OVERDUE","Due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IF($Q577&lt;&gt;"Yes","",IF(COUNTIFS(nrES_PID,$D577,nrES_Code,$F577,nrES_Att,2)&gt;0,"Retested",IF(OR($T577="",NOT(ISNUMBER($T577))),"Pending",IF(TODAY()&gt;$T577,"OVERDUE","Due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IF($Q578&lt;&gt;"Yes","",IF(COUNTIFS(nrES_PID,$D578,nrES_Code,$F578,nrES_Att,2)&gt;0,"Retested",IF(OR($T578="",NOT(ISNUMBER($T578))),"Pending",IF(TODAY()&gt;$T578,"OVERDUE","Due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IF($Q579&lt;&gt;"Yes","",IF(COUNTIFS(nrES_PID,$D579,nrES_Code,$F579,nrES_Att,2)&gt;0,"Retested",IF(OR($T579="",NOT(ISNUMBER($T579))),"Pending",IF(TODAY()&gt;$T579,"OVERDUE","Due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IF($Q580&lt;&gt;"Yes","",IF(COUNTIFS(nrES_PID,$D580,nrES_Code,$F580,nrES_Att,2)&gt;0,"Retested",IF(OR($T580="",NOT(ISNUMBER($T580))),"Pending",IF(TODAY()&gt;$T580,"OVERDUE","Due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IF($Q581&lt;&gt;"Yes","",IF(COUNTIFS(nrES_PID,$D581,nrES_Code,$F581,nrES_Att,2)&gt;0,"Retested",IF(OR($T581="",NOT(ISNUMBER($T581))),"Pending",IF(TODAY()&gt;$T581,"OVERDUE","Due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IF($Q582&lt;&gt;"Yes","",IF(COUNTIFS(nrES_PID,$D582,nrES_Code,$F582,nrES_Att,2)&gt;0,"Retested",IF(OR($T582="",NOT(ISNUMBER($T582))),"Pending",IF(TODAY()&gt;$T582,"OVERDUE","Due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IF($Q583&lt;&gt;"Yes","",IF(COUNTIFS(nrES_PID,$D583,nrES_Code,$F583,nrES_Att,2)&gt;0,"Retested",IF(OR($T583="",NOT(ISNUMBER($T583))),"Pending",IF(TODAY()&gt;$T583,"OVERDUE","Due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IF($Q584&lt;&gt;"Yes","",IF(COUNTIFS(nrES_PID,$D584,nrES_Code,$F584,nrES_Att,2)&gt;0,"Retested",IF(OR($T584="",NOT(ISNUMBER($T584))),"Pending",IF(TODAY()&gt;$T584,"OVERDUE","Due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IF($Q585&lt;&gt;"Yes","",IF(COUNTIFS(nrES_PID,$D585,nrES_Code,$F585,nrES_Att,2)&gt;0,"Retested",IF(OR($T585="",NOT(ISNUMBER($T585))),"Pending",IF(TODAY()&gt;$T585,"OVERDUE","Due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IF($Q586&lt;&gt;"Yes","",IF(COUNTIFS(nrES_PID,$D586,nrES_Code,$F586,nrES_Att,2)&gt;0,"Retested",IF(OR($T586="",NOT(ISNUMBER($T586))),"Pending",IF(TODAY()&gt;$T586,"OVERDUE","Due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IF($Q587&lt;&gt;"Yes","",IF(COUNTIFS(nrES_PID,$D587,nrES_Code,$F587,nrES_Att,2)&gt;0,"Retested",IF(OR($T587="",NOT(ISNUMBER($T587))),"Pending",IF(TODAY()&gt;$T587,"OVERDUE","Due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IF($Q588&lt;&gt;"Yes","",IF(COUNTIFS(nrES_PID,$D588,nrES_Code,$F588,nrES_Att,2)&gt;0,"Retested",IF(OR($T588="",NOT(ISNUMBER($T588))),"Pending",IF(TODAY()&gt;$T588,"OVERDUE","Due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IF($Q589&lt;&gt;"Yes","",IF(COUNTIFS(nrES_PID,$D589,nrES_Code,$F589,nrES_Att,2)&gt;0,"Retested",IF(OR($T589="",NOT(ISNUMBER($T589))),"Pending",IF(TODAY()&gt;$T589,"OVERDUE","Due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IF($Q590&lt;&gt;"Yes","",IF(COUNTIFS(nrES_PID,$D590,nrES_Code,$F590,nrES_Att,2)&gt;0,"Retested",IF(OR($T590="",NOT(ISNUMBER($T590))),"Pending",IF(TODAY()&gt;$T590,"OVERDUE","Due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IF($Q591&lt;&gt;"Yes","",IF(COUNTIFS(nrES_PID,$D591,nrES_Code,$F591,nrES_Att,2)&gt;0,"Retested",IF(OR($T591="",NOT(ISNUMBER($T591))),"Pending",IF(TODAY()&gt;$T591,"OVERDUE","Due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IF($Q592&lt;&gt;"Yes","",IF(COUNTIFS(nrES_PID,$D592,nrES_Code,$F592,nrES_Att,2)&gt;0,"Retested",IF(OR($T592="",NOT(ISNUMBER($T592))),"Pending",IF(TODAY()&gt;$T592,"OVERDUE","Due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IF($Q593&lt;&gt;"Yes","",IF(COUNTIFS(nrES_PID,$D593,nrES_Code,$F593,nrES_Att,2)&gt;0,"Retested",IF(OR($T593="",NOT(ISNUMBER($T593))),"Pending",IF(TODAY()&gt;$T593,"OVERDUE","Due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IF($Q594&lt;&gt;"Yes","",IF(COUNTIFS(nrES_PID,$D594,nrES_Code,$F594,nrES_Att,2)&gt;0,"Retested",IF(OR($T594="",NOT(ISNUMBER($T594))),"Pending",IF(TODAY()&gt;$T594,"OVERDUE","Due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IF($Q595&lt;&gt;"Yes","",IF(COUNTIFS(nrES_PID,$D595,nrES_Code,$F595,nrES_Att,2)&gt;0,"Retested",IF(OR($T595="",NOT(ISNUMBER($T595))),"Pending",IF(TODAY()&gt;$T595,"OVERDUE","Due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IF($Q596&lt;&gt;"Yes","",IF(COUNTIFS(nrES_PID,$D596,nrES_Code,$F596,nrES_Att,2)&gt;0,"Retested",IF(OR($T596="",NOT(ISNUMBER($T596))),"Pending",IF(TODAY()&gt;$T596,"OVERDUE","Due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IF($Q597&lt;&gt;"Yes","",IF(COUNTIFS(nrES_PID,$D597,nrES_Code,$F597,nrES_Att,2)&gt;0,"Retested",IF(OR($T597="",NOT(ISNUMBER($T597))),"Pending",IF(TODAY()&gt;$T597,"OVERDUE","Due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IF($Q598&lt;&gt;"Yes","",IF(COUNTIFS(nrES_PID,$D598,nrES_Code,$F598,nrES_Att,2)&gt;0,"Retested",IF(OR($T598="",NOT(ISNUMBER($T598))),"Pending",IF(TODAY()&gt;$T598,"OVERDUE","Due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IF($Q599&lt;&gt;"Yes","",IF(COUNTIFS(nrES_PID,$D599,nrES_Code,$F599,nrES_Att,2)&gt;0,"Retested",IF(OR($T599="",NOT(ISNUMBER($T599))),"Pending",IF(TODAY()&gt;$T599,"OVERDUE","Due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IF($Q600&lt;&gt;"Yes","",IF(COUNTIFS(nrES_PID,$D600,nrES_Code,$F600,nrES_Att,2)&gt;0,"Retested",IF(OR($T600="",NOT(ISNUMBER($T600))),"Pending",IF(TODAY()&gt;$T600,"OVERDUE","Due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IF($Q601&lt;&gt;"Yes","",IF(COUNTIFS(nrES_PID,$D601,nrES_Code,$F601,nrES_Att,2)&gt;0,"Retested",IF(OR($T601="",NOT(ISNUMBER($T601))),"Pending",IF(TODAY()&gt;$T601,"OVERDUE","Due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IF($Q602&lt;&gt;"Yes","",IF(COUNTIFS(nrES_PID,$D602,nrES_Code,$F602,nrES_Att,2)&gt;0,"Retested",IF(OR($T602="",NOT(ISNUMBER($T602))),"Pending",IF(TODAY()&gt;$T602,"OVERDUE","Due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IF($Q603&lt;&gt;"Yes","",IF(COUNTIFS(nrES_PID,$D603,nrES_Code,$F603,nrES_Att,2)&gt;0,"Retested",IF(OR($T603="",NOT(ISNUMBER($T603))),"Pending",IF(TODAY()&gt;$T603,"OVERDUE","Due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IF($Q604&lt;&gt;"Yes","",IF(COUNTIFS(nrES_PID,$D604,nrES_Code,$F604,nrES_Att,2)&gt;0,"Retested",IF(OR($T604="",NOT(ISNUMBER($T604))),"Pending",IF(TODAY()&gt;$T604,"OVERDUE","Due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IF($Q605&lt;&gt;"Yes","",IF(COUNTIFS(nrES_PID,$D605,nrES_Code,$F605,nrES_Att,2)&gt;0,"Retested",IF(OR($T605="",NOT(ISNUMBER($T605))),"Pending",IF(TODAY()&gt;$T605,"OVERDUE","Due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IF($Q606&lt;&gt;"Yes","",IF(COUNTIFS(nrES_PID,$D606,nrES_Code,$F606,nrES_Att,2)&gt;0,"Retested",IF(OR($T606="",NOT(ISNUMBER($T606))),"Pending",IF(TODAY()&gt;$T606,"OVERDUE","Due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IF($Q607&lt;&gt;"Yes","",IF(COUNTIFS(nrES_PID,$D607,nrES_Code,$F607,nrES_Att,2)&gt;0,"Retested",IF(OR($T607="",NOT(ISNUMBER($T607))),"Pending",IF(TODAY()&gt;$T607,"OVERDUE","Due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IF($Q608&lt;&gt;"Yes","",IF(COUNTIFS(nrES_PID,$D608,nrES_Code,$F608,nrES_Att,2)&gt;0,"Retested",IF(OR($T608="",NOT(ISNUMBER($T608))),"Pending",IF(TODAY()&gt;$T608,"OVERDUE","Due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IF($Q609&lt;&gt;"Yes","",IF(COUNTIFS(nrES_PID,$D609,nrES_Code,$F609,nrES_Att,2)&gt;0,"Retested",IF(OR($T609="",NOT(ISNUMBER($T609))),"Pending",IF(TODAY()&gt;$T609,"OVERDUE","Due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IF($Q610&lt;&gt;"Yes","",IF(COUNTIFS(nrES_PID,$D610,nrES_Code,$F610,nrES_Att,2)&gt;0,"Retested",IF(OR($T610="",NOT(ISNUMBER($T610))),"Pending",IF(TODAY()&gt;$T610,"OVERDUE","Due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IF($Q611&lt;&gt;"Yes","",IF(COUNTIFS(nrES_PID,$D611,nrES_Code,$F611,nrES_Att,2)&gt;0,"Retested",IF(OR($T611="",NOT(ISNUMBER($T611))),"Pending",IF(TODAY()&gt;$T611,"OVERDUE","Due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IF($Q612&lt;&gt;"Yes","",IF(COUNTIFS(nrES_PID,$D612,nrES_Code,$F612,nrES_Att,2)&gt;0,"Retested",IF(OR($T612="",NOT(ISNUMBER($T612))),"Pending",IF(TODAY()&gt;$T612,"OVERDUE","Due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IF($Q613&lt;&gt;"Yes","",IF(COUNTIFS(nrES_PID,$D613,nrES_Code,$F613,nrES_Att,2)&gt;0,"Retested",IF(OR($T613="",NOT(ISNUMBER($T613))),"Pending",IF(TODAY()&gt;$T613,"OVERDUE","Due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IF($Q614&lt;&gt;"Yes","",IF(COUNTIFS(nrES_PID,$D614,nrES_Code,$F614,nrES_Att,2)&gt;0,"Retested",IF(OR($T614="",NOT(ISNUMBER($T614))),"Pending",IF(TODAY()&gt;$T614,"OVERDUE","Due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IF($Q615&lt;&gt;"Yes","",IF(COUNTIFS(nrES_PID,$D615,nrES_Code,$F615,nrES_Att,2)&gt;0,"Retested",IF(OR($T615="",NOT(ISNUMBER($T615))),"Pending",IF(TODAY()&gt;$T615,"OVERDUE","Due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IF($Q616&lt;&gt;"Yes","",IF(COUNTIFS(nrES_PID,$D616,nrES_Code,$F616,nrES_Att,2)&gt;0,"Retested",IF(OR($T616="",NOT(ISNUMBER($T616))),"Pending",IF(TODAY()&gt;$T616,"OVERDUE","Due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IF($Q617&lt;&gt;"Yes","",IF(COUNTIFS(nrES_PID,$D617,nrES_Code,$F617,nrES_Att,2)&gt;0,"Retested",IF(OR($T617="",NOT(ISNUMBER($T617))),"Pending",IF(TODAY()&gt;$T617,"OVERDUE","Due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IF($Q618&lt;&gt;"Yes","",IF(COUNTIFS(nrES_PID,$D618,nrES_Code,$F618,nrES_Att,2)&gt;0,"Retested",IF(OR($T618="",NOT(ISNUMBER($T618))),"Pending",IF(TODAY()&gt;$T618,"OVERDUE","Due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IF($Q619&lt;&gt;"Yes","",IF(COUNTIFS(nrES_PID,$D619,nrES_Code,$F619,nrES_Att,2)&gt;0,"Retested",IF(OR($T619="",NOT(ISNUMBER($T619))),"Pending",IF(TODAY()&gt;$T619,"OVERDUE","Due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IF($Q620&lt;&gt;"Yes","",IF(COUNTIFS(nrES_PID,$D620,nrES_Code,$F620,nrES_Att,2)&gt;0,"Retested",IF(OR($T620="",NOT(ISNUMBER($T620))),"Pending",IF(TODAY()&gt;$T620,"OVERDUE","Due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IF($Q621&lt;&gt;"Yes","",IF(COUNTIFS(nrES_PID,$D621,nrES_Code,$F621,nrES_Att,2)&gt;0,"Retested",IF(OR($T621="",NOT(ISNUMBER($T621))),"Pending",IF(TODAY()&gt;$T621,"OVERDUE","Due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IF($Q622&lt;&gt;"Yes","",IF(COUNTIFS(nrES_PID,$D622,nrES_Code,$F622,nrES_Att,2)&gt;0,"Retested",IF(OR($T622="",NOT(ISNUMBER($T622))),"Pending",IF(TODAY()&gt;$T622,"OVERDUE","Due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IF($Q623&lt;&gt;"Yes","",IF(COUNTIFS(nrES_PID,$D623,nrES_Code,$F623,nrES_Att,2)&gt;0,"Retested",IF(OR($T623="",NOT(ISNUMBER($T623))),"Pending",IF(TODAY()&gt;$T623,"OVERDUE","Due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IF($Q624&lt;&gt;"Yes","",IF(COUNTIFS(nrES_PID,$D624,nrES_Code,$F624,nrES_Att,2)&gt;0,"Retested",IF(OR($T624="",NOT(ISNUMBER($T624))),"Pending",IF(TODAY()&gt;$T624,"OVERDUE","Due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IF($Q625&lt;&gt;"Yes","",IF(COUNTIFS(nrES_PID,$D625,nrES_Code,$F625,nrES_Att,2)&gt;0,"Retested",IF(OR($T625="",NOT(ISNUMBER($T625))),"Pending",IF(TODAY()&gt;$T625,"OVERDUE","Due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IF($Q626&lt;&gt;"Yes","",IF(COUNTIFS(nrES_PID,$D626,nrES_Code,$F626,nrES_Att,2)&gt;0,"Retested",IF(OR($T626="",NOT(ISNUMBER($T626))),"Pending",IF(TODAY()&gt;$T626,"OVERDUE","Due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IF($Q627&lt;&gt;"Yes","",IF(COUNTIFS(nrES_PID,$D627,nrES_Code,$F627,nrES_Att,2)&gt;0,"Retested",IF(OR($T627="",NOT(ISNUMBER($T627))),"Pending",IF(TODAY()&gt;$T627,"OVERDUE","Due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IF($Q628&lt;&gt;"Yes","",IF(COUNTIFS(nrES_PID,$D628,nrES_Code,$F628,nrES_Att,2)&gt;0,"Retested",IF(OR($T628="",NOT(ISNUMBER($T628))),"Pending",IF(TODAY()&gt;$T628,"OVERDUE","Due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IF($Q629&lt;&gt;"Yes","",IF(COUNTIFS(nrES_PID,$D629,nrES_Code,$F629,nrES_Att,2)&gt;0,"Retested",IF(OR($T629="",NOT(ISNUMBER($T629))),"Pending",IF(TODAY()&gt;$T629,"OVERDUE","Due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IF($Q630&lt;&gt;"Yes","",IF(COUNTIFS(nrES_PID,$D630,nrES_Code,$F630,nrES_Att,2)&gt;0,"Retested",IF(OR($T630="",NOT(ISNUMBER($T630))),"Pending",IF(TODAY()&gt;$T630,"OVERDUE","Due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IF($Q631&lt;&gt;"Yes","",IF(COUNTIFS(nrES_PID,$D631,nrES_Code,$F631,nrES_Att,2)&gt;0,"Retested",IF(OR($T631="",NOT(ISNUMBER($T631))),"Pending",IF(TODAY()&gt;$T631,"OVERDUE","Due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IF($Q632&lt;&gt;"Yes","",IF(COUNTIFS(nrES_PID,$D632,nrES_Code,$F632,nrES_Att,2)&gt;0,"Retested",IF(OR($T632="",NOT(ISNUMBER($T632))),"Pending",IF(TODAY()&gt;$T632,"OVERDUE","Due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IF($Q633&lt;&gt;"Yes","",IF(COUNTIFS(nrES_PID,$D633,nrES_Code,$F633,nrES_Att,2)&gt;0,"Retested",IF(OR($T633="",NOT(ISNUMBER($T633))),"Pending",IF(TODAY()&gt;$T633,"OVERDUE","Due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IF($Q634&lt;&gt;"Yes","",IF(COUNTIFS(nrES_PID,$D634,nrES_Code,$F634,nrES_Att,2)&gt;0,"Retested",IF(OR($T634="",NOT(ISNUMBER($T634))),"Pending",IF(TODAY()&gt;$T634,"OVERDUE","Due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IF($Q635&lt;&gt;"Yes","",IF(COUNTIFS(nrES_PID,$D635,nrES_Code,$F635,nrES_Att,2)&gt;0,"Retested",IF(OR($T635="",NOT(ISNUMBER($T635))),"Pending",IF(TODAY()&gt;$T635,"OVERDUE","Due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IF($Q636&lt;&gt;"Yes","",IF(COUNTIFS(nrES_PID,$D636,nrES_Code,$F636,nrES_Att,2)&gt;0,"Retested",IF(OR($T636="",NOT(ISNUMBER($T636))),"Pending",IF(TODAY()&gt;$T636,"OVERDUE","Due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IF($Q637&lt;&gt;"Yes","",IF(COUNTIFS(nrES_PID,$D637,nrES_Code,$F637,nrES_Att,2)&gt;0,"Retested",IF(OR($T637="",NOT(ISNUMBER($T637))),"Pending",IF(TODAY()&gt;$T637,"OVERDUE","Due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IF($Q638&lt;&gt;"Yes","",IF(COUNTIFS(nrES_PID,$D638,nrES_Code,$F638,nrES_Att,2)&gt;0,"Retested",IF(OR($T638="",NOT(ISNUMBER($T638))),"Pending",IF(TODAY()&gt;$T638,"OVERDUE","Due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IF($Q639&lt;&gt;"Yes","",IF(COUNTIFS(nrES_PID,$D639,nrES_Code,$F639,nrES_Att,2)&gt;0,"Retested",IF(OR($T639="",NOT(ISNUMBER($T639))),"Pending",IF(TODAY()&gt;$T639,"OVERDUE","Due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IF($Q640&lt;&gt;"Yes","",IF(COUNTIFS(nrES_PID,$D640,nrES_Code,$F640,nrES_Att,2)&gt;0,"Retested",IF(OR($T640="",NOT(ISNUMBER($T640))),"Pending",IF(TODAY()&gt;$T640,"OVERDUE","Due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IF($Q641&lt;&gt;"Yes","",IF(COUNTIFS(nrES_PID,$D641,nrES_Code,$F641,nrES_Att,2)&gt;0,"Retested",IF(OR($T641="",NOT(ISNUMBER($T641))),"Pending",IF(TODAY()&gt;$T641,"OVERDUE","Due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IF($Q642&lt;&gt;"Yes","",IF(COUNTIFS(nrES_PID,$D642,nrES_Code,$F642,nrES_Att,2)&gt;0,"Retested",IF(OR($T642="",NOT(ISNUMBER($T642))),"Pending",IF(TODAY()&gt;$T642,"OVERDUE","Due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IF($Q643&lt;&gt;"Yes","",IF(COUNTIFS(nrES_PID,$D643,nrES_Code,$F643,nrES_Att,2)&gt;0,"Retested",IF(OR($T643="",NOT(ISNUMBER($T643))),"Pending",IF(TODAY()&gt;$T643,"OVERDUE","Due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IF($Q644&lt;&gt;"Yes","",IF(COUNTIFS(nrES_PID,$D644,nrES_Code,$F644,nrES_Att,2)&gt;0,"Retested",IF(OR($T644="",NOT(ISNUMBER($T644))),"Pending",IF(TODAY()&gt;$T644,"OVERDUE","Due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IF($Q645&lt;&gt;"Yes","",IF(COUNTIFS(nrES_PID,$D645,nrES_Code,$F645,nrES_Att,2)&gt;0,"Retested",IF(OR($T645="",NOT(ISNUMBER($T645))),"Pending",IF(TODAY()&gt;$T645,"OVERDUE","Due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IF($Q646&lt;&gt;"Yes","",IF(COUNTIFS(nrES_PID,$D646,nrES_Code,$F646,nrES_Att,2)&gt;0,"Retested",IF(OR($T646="",NOT(ISNUMBER($T646))),"Pending",IF(TODAY()&gt;$T646,"OVERDUE","Due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IF($Q647&lt;&gt;"Yes","",IF(COUNTIFS(nrES_PID,$D647,nrES_Code,$F647,nrES_Att,2)&gt;0,"Retested",IF(OR($T647="",NOT(ISNUMBER($T647))),"Pending",IF(TODAY()&gt;$T647,"OVERDUE","Due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IF($Q648&lt;&gt;"Yes","",IF(COUNTIFS(nrES_PID,$D648,nrES_Code,$F648,nrES_Att,2)&gt;0,"Retested",IF(OR($T648="",NOT(ISNUMBER($T648))),"Pending",IF(TODAY()&gt;$T648,"OVERDUE","Due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IF($Q649&lt;&gt;"Yes","",IF(COUNTIFS(nrES_PID,$D649,nrES_Code,$F649,nrES_Att,2)&gt;0,"Retested",IF(OR($T649="",NOT(ISNUMBER($T649))),"Pending",IF(TODAY()&gt;$T649,"OVERDUE","Due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IF($Q650&lt;&gt;"Yes","",IF(COUNTIFS(nrES_PID,$D650,nrES_Code,$F650,nrES_Att,2)&gt;0,"Retested",IF(OR($T650="",NOT(ISNUMBER($T650))),"Pending",IF(TODAY()&gt;$T650,"OVERDUE","Due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IF($Q651&lt;&gt;"Yes","",IF(COUNTIFS(nrES_PID,$D651,nrES_Code,$F651,nrES_Att,2)&gt;0,"Retested",IF(OR($T651="",NOT(ISNUMBER($T651))),"Pending",IF(TODAY()&gt;$T651,"OVERDUE","Due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IF($Q652&lt;&gt;"Yes","",IF(COUNTIFS(nrES_PID,$D652,nrES_Code,$F652,nrES_Att,2)&gt;0,"Retested",IF(OR($T652="",NOT(ISNUMBER($T652))),"Pending",IF(TODAY()&gt;$T652,"OVERDUE","Due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IF($Q653&lt;&gt;"Yes","",IF(COUNTIFS(nrES_PID,$D653,nrES_Code,$F653,nrES_Att,2)&gt;0,"Retested",IF(OR($T653="",NOT(ISNUMBER($T653))),"Pending",IF(TODAY()&gt;$T653,"OVERDUE","Due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IF($Q654&lt;&gt;"Yes","",IF(COUNTIFS(nrES_PID,$D654,nrES_Code,$F654,nrES_Att,2)&gt;0,"Retested",IF(OR($T654="",NOT(ISNUMBER($T654))),"Pending",IF(TODAY()&gt;$T654,"OVERDUE","Due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IF($Q655&lt;&gt;"Yes","",IF(COUNTIFS(nrES_PID,$D655,nrES_Code,$F655,nrES_Att,2)&gt;0,"Retested",IF(OR($T655="",NOT(ISNUMBER($T655))),"Pending",IF(TODAY()&gt;$T655,"OVERDUE","Due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IF($Q656&lt;&gt;"Yes","",IF(COUNTIFS(nrES_PID,$D656,nrES_Code,$F656,nrES_Att,2)&gt;0,"Retested",IF(OR($T656="",NOT(ISNUMBER($T656))),"Pending",IF(TODAY()&gt;$T656,"OVERDUE","Due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IF($Q657&lt;&gt;"Yes","",IF(COUNTIFS(nrES_PID,$D657,nrES_Code,$F657,nrES_Att,2)&gt;0,"Retested",IF(OR($T657="",NOT(ISNUMBER($T657))),"Pending",IF(TODAY()&gt;$T657,"OVERDUE","Due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IF($Q658&lt;&gt;"Yes","",IF(COUNTIFS(nrES_PID,$D658,nrES_Code,$F658,nrES_Att,2)&gt;0,"Retested",IF(OR($T658="",NOT(ISNUMBER($T658))),"Pending",IF(TODAY()&gt;$T658,"OVERDUE","Due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IF($Q659&lt;&gt;"Yes","",IF(COUNTIFS(nrES_PID,$D659,nrES_Code,$F659,nrES_Att,2)&gt;0,"Retested",IF(OR($T659="",NOT(ISNUMBER($T659))),"Pending",IF(TODAY()&gt;$T659,"OVERDUE","Due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IF($Q660&lt;&gt;"Yes","",IF(COUNTIFS(nrES_PID,$D660,nrES_Code,$F660,nrES_Att,2)&gt;0,"Retested",IF(OR($T660="",NOT(ISNUMBER($T660))),"Pending",IF(TODAY()&gt;$T660,"OVERDUE","Due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IF($Q661&lt;&gt;"Yes","",IF(COUNTIFS(nrES_PID,$D661,nrES_Code,$F661,nrES_Att,2)&gt;0,"Retested",IF(OR($T661="",NOT(ISNUMBER($T661))),"Pending",IF(TODAY()&gt;$T661,"OVERDUE","Due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IF($Q662&lt;&gt;"Yes","",IF(COUNTIFS(nrES_PID,$D662,nrES_Code,$F662,nrES_Att,2)&gt;0,"Retested",IF(OR($T662="",NOT(ISNUMBER($T662))),"Pending",IF(TODAY()&gt;$T662,"OVERDUE","Due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IF($Q663&lt;&gt;"Yes","",IF(COUNTIFS(nrES_PID,$D663,nrES_Code,$F663,nrES_Att,2)&gt;0,"Retested",IF(OR($T663="",NOT(ISNUMBER($T663))),"Pending",IF(TODAY()&gt;$T663,"OVERDUE","Due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IF($Q664&lt;&gt;"Yes","",IF(COUNTIFS(nrES_PID,$D664,nrES_Code,$F664,nrES_Att,2)&gt;0,"Retested",IF(OR($T664="",NOT(ISNUMBER($T664))),"Pending",IF(TODAY()&gt;$T664,"OVERDUE","Due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IF($Q665&lt;&gt;"Yes","",IF(COUNTIFS(nrES_PID,$D665,nrES_Code,$F665,nrES_Att,2)&gt;0,"Retested",IF(OR($T665="",NOT(ISNUMBER($T665))),"Pending",IF(TODAY()&gt;$T665,"OVERDUE","Due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IF($Q666&lt;&gt;"Yes","",IF(COUNTIFS(nrES_PID,$D666,nrES_Code,$F666,nrES_Att,2)&gt;0,"Retested",IF(OR($T666="",NOT(ISNUMBER($T666))),"Pending",IF(TODAY()&gt;$T666,"OVERDUE","Due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IF($Q667&lt;&gt;"Yes","",IF(COUNTIFS(nrES_PID,$D667,nrES_Code,$F667,nrES_Att,2)&gt;0,"Retested",IF(OR($T667="",NOT(ISNUMBER($T667))),"Pending",IF(TODAY()&gt;$T667,"OVERDUE","Due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IF($Q668&lt;&gt;"Yes","",IF(COUNTIFS(nrES_PID,$D668,nrES_Code,$F668,nrES_Att,2)&gt;0,"Retested",IF(OR($T668="",NOT(ISNUMBER($T668))),"Pending",IF(TODAY()&gt;$T668,"OVERDUE","Due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IF($Q669&lt;&gt;"Yes","",IF(COUNTIFS(nrES_PID,$D669,nrES_Code,$F669,nrES_Att,2)&gt;0,"Retested",IF(OR($T669="",NOT(ISNUMBER($T669))),"Pending",IF(TODAY()&gt;$T669,"OVERDUE","Due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IF($Q670&lt;&gt;"Yes","",IF(COUNTIFS(nrES_PID,$D670,nrES_Code,$F670,nrES_Att,2)&gt;0,"Retested",IF(OR($T670="",NOT(ISNUMBER($T670))),"Pending",IF(TODAY()&gt;$T670,"OVERDUE","Due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IF($Q671&lt;&gt;"Yes","",IF(COUNTIFS(nrES_PID,$D671,nrES_Code,$F671,nrES_Att,2)&gt;0,"Retested",IF(OR($T671="",NOT(ISNUMBER($T671))),"Pending",IF(TODAY()&gt;$T671,"OVERDUE","Due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IF($Q672&lt;&gt;"Yes","",IF(COUNTIFS(nrES_PID,$D672,nrES_Code,$F672,nrES_Att,2)&gt;0,"Retested",IF(OR($T672="",NOT(ISNUMBER($T672))),"Pending",IF(TODAY()&gt;$T672,"OVERDUE","Due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IF($Q673&lt;&gt;"Yes","",IF(COUNTIFS(nrES_PID,$D673,nrES_Code,$F673,nrES_Att,2)&gt;0,"Retested",IF(OR($T673="",NOT(ISNUMBER($T673))),"Pending",IF(TODAY()&gt;$T673,"OVERDUE","Due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IF($Q674&lt;&gt;"Yes","",IF(COUNTIFS(nrES_PID,$D674,nrES_Code,$F674,nrES_Att,2)&gt;0,"Retested",IF(OR($T674="",NOT(ISNUMBER($T674))),"Pending",IF(TODAY()&gt;$T674,"OVERDUE","Due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IF($Q675&lt;&gt;"Yes","",IF(COUNTIFS(nrES_PID,$D675,nrES_Code,$F675,nrES_Att,2)&gt;0,"Retested",IF(OR($T675="",NOT(ISNUMBER($T675))),"Pending",IF(TODAY()&gt;$T675,"OVERDUE","Due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IF($Q676&lt;&gt;"Yes","",IF(COUNTIFS(nrES_PID,$D676,nrES_Code,$F676,nrES_Att,2)&gt;0,"Retested",IF(OR($T676="",NOT(ISNUMBER($T676))),"Pending",IF(TODAY()&gt;$T676,"OVERDUE","Due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IF($Q677&lt;&gt;"Yes","",IF(COUNTIFS(nrES_PID,$D677,nrES_Code,$F677,nrES_Att,2)&gt;0,"Retested",IF(OR($T677="",NOT(ISNUMBER($T677))),"Pending",IF(TODAY()&gt;$T677,"OVERDUE","Due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IF($Q678&lt;&gt;"Yes","",IF(COUNTIFS(nrES_PID,$D678,nrES_Code,$F678,nrES_Att,2)&gt;0,"Retested",IF(OR($T678="",NOT(ISNUMBER($T678))),"Pending",IF(TODAY()&gt;$T678,"OVERDUE","Due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IF($Q679&lt;&gt;"Yes","",IF(COUNTIFS(nrES_PID,$D679,nrES_Code,$F679,nrES_Att,2)&gt;0,"Retested",IF(OR($T679="",NOT(ISNUMBER($T679))),"Pending",IF(TODAY()&gt;$T679,"OVERDUE","Due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IF($Q680&lt;&gt;"Yes","",IF(COUNTIFS(nrES_PID,$D680,nrES_Code,$F680,nrES_Att,2)&gt;0,"Retested",IF(OR($T680="",NOT(ISNUMBER($T680))),"Pending",IF(TODAY()&gt;$T680,"OVERDUE","Due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IF($Q681&lt;&gt;"Yes","",IF(COUNTIFS(nrES_PID,$D681,nrES_Code,$F681,nrES_Att,2)&gt;0,"Retested",IF(OR($T681="",NOT(ISNUMBER($T681))),"Pending",IF(TODAY()&gt;$T681,"OVERDUE","Due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IF($Q682&lt;&gt;"Yes","",IF(COUNTIFS(nrES_PID,$D682,nrES_Code,$F682,nrES_Att,2)&gt;0,"Retested",IF(OR($T682="",NOT(ISNUMBER($T682))),"Pending",IF(TODAY()&gt;$T682,"OVERDUE","Due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IF($Q683&lt;&gt;"Yes","",IF(COUNTIFS(nrES_PID,$D683,nrES_Code,$F683,nrES_Att,2)&gt;0,"Retested",IF(OR($T683="",NOT(ISNUMBER($T683))),"Pending",IF(TODAY()&gt;$T683,"OVERDUE","Due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IF($Q684&lt;&gt;"Yes","",IF(COUNTIFS(nrES_PID,$D684,nrES_Code,$F684,nrES_Att,2)&gt;0,"Retested",IF(OR($T684="",NOT(ISNUMBER($T684))),"Pending",IF(TODAY()&gt;$T684,"OVERDUE","Due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IF($Q685&lt;&gt;"Yes","",IF(COUNTIFS(nrES_PID,$D685,nrES_Code,$F685,nrES_Att,2)&gt;0,"Retested",IF(OR($T685="",NOT(ISNUMBER($T685))),"Pending",IF(TODAY()&gt;$T685,"OVERDUE","Due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IF($Q686&lt;&gt;"Yes","",IF(COUNTIFS(nrES_PID,$D686,nrES_Code,$F686,nrES_Att,2)&gt;0,"Retested",IF(OR($T686="",NOT(ISNUMBER($T686))),"Pending",IF(TODAY()&gt;$T686,"OVERDUE","Due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IF($Q687&lt;&gt;"Yes","",IF(COUNTIFS(nrES_PID,$D687,nrES_Code,$F687,nrES_Att,2)&gt;0,"Retested",IF(OR($T687="",NOT(ISNUMBER($T687))),"Pending",IF(TODAY()&gt;$T687,"OVERDUE","Due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IF($Q688&lt;&gt;"Yes","",IF(COUNTIFS(nrES_PID,$D688,nrES_Code,$F688,nrES_Att,2)&gt;0,"Retested",IF(OR($T688="",NOT(ISNUMBER($T688))),"Pending",IF(TODAY()&gt;$T688,"OVERDUE","Due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IF($Q689&lt;&gt;"Yes","",IF(COUNTIFS(nrES_PID,$D689,nrES_Code,$F689,nrES_Att,2)&gt;0,"Retested",IF(OR($T689="",NOT(ISNUMBER($T689))),"Pending",IF(TODAY()&gt;$T689,"OVERDUE","Due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IF($Q690&lt;&gt;"Yes","",IF(COUNTIFS(nrES_PID,$D690,nrES_Code,$F690,nrES_Att,2)&gt;0,"Retested",IF(OR($T690="",NOT(ISNUMBER($T690))),"Pending",IF(TODAY()&gt;$T690,"OVERDUE","Due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IF($Q691&lt;&gt;"Yes","",IF(COUNTIFS(nrES_PID,$D691,nrES_Code,$F691,nrES_Att,2)&gt;0,"Retested",IF(OR($T691="",NOT(ISNUMBER($T691))),"Pending",IF(TODAY()&gt;$T691,"OVERDUE","Due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IF($Q692&lt;&gt;"Yes","",IF(COUNTIFS(nrES_PID,$D692,nrES_Code,$F692,nrES_Att,2)&gt;0,"Retested",IF(OR($T692="",NOT(ISNUMBER($T692))),"Pending",IF(TODAY()&gt;$T692,"OVERDUE","Due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IF($Q693&lt;&gt;"Yes","",IF(COUNTIFS(nrES_PID,$D693,nrES_Code,$F693,nrES_Att,2)&gt;0,"Retested",IF(OR($T693="",NOT(ISNUMBER($T693))),"Pending",IF(TODAY()&gt;$T693,"OVERDUE","Due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IF($Q694&lt;&gt;"Yes","",IF(COUNTIFS(nrES_PID,$D694,nrES_Code,$F694,nrES_Att,2)&gt;0,"Retested",IF(OR($T694="",NOT(ISNUMBER($T694))),"Pending",IF(TODAY()&gt;$T694,"OVERDUE","Due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IF($Q695&lt;&gt;"Yes","",IF(COUNTIFS(nrES_PID,$D695,nrES_Code,$F695,nrES_Att,2)&gt;0,"Retested",IF(OR($T695="",NOT(ISNUMBER($T695))),"Pending",IF(TODAY()&gt;$T695,"OVERDUE","Due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IF($Q696&lt;&gt;"Yes","",IF(COUNTIFS(nrES_PID,$D696,nrES_Code,$F696,nrES_Att,2)&gt;0,"Retested",IF(OR($T696="",NOT(ISNUMBER($T696))),"Pending",IF(TODAY()&gt;$T696,"OVERDUE","Due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IF($Q697&lt;&gt;"Yes","",IF(COUNTIFS(nrES_PID,$D697,nrES_Code,$F697,nrES_Att,2)&gt;0,"Retested",IF(OR($T697="",NOT(ISNUMBER($T697))),"Pending",IF(TODAY()&gt;$T697,"OVERDUE","Due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IF($Q698&lt;&gt;"Yes","",IF(COUNTIFS(nrES_PID,$D698,nrES_Code,$F698,nrES_Att,2)&gt;0,"Retested",IF(OR($T698="",NOT(ISNUMBER($T698))),"Pending",IF(TODAY()&gt;$T698,"OVERDUE","Due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IF($Q699&lt;&gt;"Yes","",IF(COUNTIFS(nrES_PID,$D699,nrES_Code,$F699,nrES_Att,2)&gt;0,"Retested",IF(OR($T699="",NOT(ISNUMBER($T699))),"Pending",IF(TODAY()&gt;$T699,"OVERDUE","Due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IF($Q700&lt;&gt;"Yes","",IF(COUNTIFS(nrES_PID,$D700,nrES_Code,$F700,nrES_Att,2)&gt;0,"Retested",IF(OR($T700="",NOT(ISNUMBER($T700))),"Pending",IF(TODAY()&gt;$T700,"OVERDUE","Due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IF($Q701&lt;&gt;"Yes","",IF(COUNTIFS(nrES_PID,$D701,nrES_Code,$F701,nrES_Att,2)&gt;0,"Retested",IF(OR($T701="",NOT(ISNUMBER($T701))),"Pending",IF(TODAY()&gt;$T701,"OVERDUE","Due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IF($Q702&lt;&gt;"Yes","",IF(COUNTIFS(nrES_PID,$D702,nrES_Code,$F702,nrES_Att,2)&gt;0,"Retested",IF(OR($T702="",NOT(ISNUMBER($T702))),"Pending",IF(TODAY()&gt;$T702,"OVERDUE","Due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IF($Q703&lt;&gt;"Yes","",IF(COUNTIFS(nrES_PID,$D703,nrES_Code,$F703,nrES_Att,2)&gt;0,"Retested",IF(OR($T703="",NOT(ISNUMBER($T703))),"Pending",IF(TODAY()&gt;$T703,"OVERDUE","Due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IF($Q704&lt;&gt;"Yes","",IF(COUNTIFS(nrES_PID,$D704,nrES_Code,$F704,nrES_Att,2)&gt;0,"Retested",IF(OR($T704="",NOT(ISNUMBER($T704))),"Pending",IF(TODAY()&gt;$T704,"OVERDUE","Due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IF($Q705&lt;&gt;"Yes","",IF(COUNTIFS(nrES_PID,$D705,nrES_Code,$F705,nrES_Att,2)&gt;0,"Retested",IF(OR($T705="",NOT(ISNUMBER($T705))),"Pending",IF(TODAY()&gt;$T705,"OVERDUE","Due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IF($Q706&lt;&gt;"Yes","",IF(COUNTIFS(nrES_PID,$D706,nrES_Code,$F706,nrES_Att,2)&gt;0,"Retested",IF(OR($T706="",NOT(ISNUMBER($T706))),"Pending",IF(TODAY()&gt;$T706,"OVERDUE","Due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IF($Q707&lt;&gt;"Yes","",IF(COUNTIFS(nrES_PID,$D707,nrES_Code,$F707,nrES_Att,2)&gt;0,"Retested",IF(OR($T707="",NOT(ISNUMBER($T707))),"Pending",IF(TODAY()&gt;$T707,"OVERDUE","Due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IF($Q708&lt;&gt;"Yes","",IF(COUNTIFS(nrES_PID,$D708,nrES_Code,$F708,nrES_Att,2)&gt;0,"Retested",IF(OR($T708="",NOT(ISNUMBER($T708))),"Pending",IF(TODAY()&gt;$T708,"OVERDUE","Due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IF($Q709&lt;&gt;"Yes","",IF(COUNTIFS(nrES_PID,$D709,nrES_Code,$F709,nrES_Att,2)&gt;0,"Retested",IF(OR($T709="",NOT(ISNUMBER($T709))),"Pending",IF(TODAY()&gt;$T709,"OVERDUE","Due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IF($Q710&lt;&gt;"Yes","",IF(COUNTIFS(nrES_PID,$D710,nrES_Code,$F710,nrES_Att,2)&gt;0,"Retested",IF(OR($T710="",NOT(ISNUMBER($T710))),"Pending",IF(TODAY()&gt;$T710,"OVERDUE","Due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IF($Q711&lt;&gt;"Yes","",IF(COUNTIFS(nrES_PID,$D711,nrES_Code,$F711,nrES_Att,2)&gt;0,"Retested",IF(OR($T711="",NOT(ISNUMBER($T711))),"Pending",IF(TODAY()&gt;$T711,"OVERDUE","Due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IF($Q712&lt;&gt;"Yes","",IF(COUNTIFS(nrES_PID,$D712,nrES_Code,$F712,nrES_Att,2)&gt;0,"Retested",IF(OR($T712="",NOT(ISNUMBER($T712))),"Pending",IF(TODAY()&gt;$T712,"OVERDUE","Due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IF($Q713&lt;&gt;"Yes","",IF(COUNTIFS(nrES_PID,$D713,nrES_Code,$F713,nrES_Att,2)&gt;0,"Retested",IF(OR($T713="",NOT(ISNUMBER($T713))),"Pending",IF(TODAY()&gt;$T713,"OVERDUE","Due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IF($Q714&lt;&gt;"Yes","",IF(COUNTIFS(nrES_PID,$D714,nrES_Code,$F714,nrES_Att,2)&gt;0,"Retested",IF(OR($T714="",NOT(ISNUMBER($T714))),"Pending",IF(TODAY()&gt;$T714,"OVERDUE","Due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IF($Q715&lt;&gt;"Yes","",IF(COUNTIFS(nrES_PID,$D715,nrES_Code,$F715,nrES_Att,2)&gt;0,"Retested",IF(OR($T715="",NOT(ISNUMBER($T715))),"Pending",IF(TODAY()&gt;$T715,"OVERDUE","Due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IF($Q716&lt;&gt;"Yes","",IF(COUNTIFS(nrES_PID,$D716,nrES_Code,$F716,nrES_Att,2)&gt;0,"Retested",IF(OR($T716="",NOT(ISNUMBER($T716))),"Pending",IF(TODAY()&gt;$T716,"OVERDUE","Due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IF($Q717&lt;&gt;"Yes","",IF(COUNTIFS(nrES_PID,$D717,nrES_Code,$F717,nrES_Att,2)&gt;0,"Retested",IF(OR($T717="",NOT(ISNUMBER($T717))),"Pending",IF(TODAY()&gt;$T717,"OVERDUE","Due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IF($Q718&lt;&gt;"Yes","",IF(COUNTIFS(nrES_PID,$D718,nrES_Code,$F718,nrES_Att,2)&gt;0,"Retested",IF(OR($T718="",NOT(ISNUMBER($T718))),"Pending",IF(TODAY()&gt;$T718,"OVERDUE","Due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IF($Q719&lt;&gt;"Yes","",IF(COUNTIFS(nrES_PID,$D719,nrES_Code,$F719,nrES_Att,2)&gt;0,"Retested",IF(OR($T719="",NOT(ISNUMBER($T719))),"Pending",IF(TODAY()&gt;$T719,"OVERDUE","Due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IF($Q720&lt;&gt;"Yes","",IF(COUNTIFS(nrES_PID,$D720,nrES_Code,$F720,nrES_Att,2)&gt;0,"Retested",IF(OR($T720="",NOT(ISNUMBER($T720))),"Pending",IF(TODAY()&gt;$T720,"OVERDUE","Due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IF($Q721&lt;&gt;"Yes","",IF(COUNTIFS(nrES_PID,$D721,nrES_Code,$F721,nrES_Att,2)&gt;0,"Retested",IF(OR($T721="",NOT(ISNUMBER($T721))),"Pending",IF(TODAY()&gt;$T721,"OVERDUE","Due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IF($Q722&lt;&gt;"Yes","",IF(COUNTIFS(nrES_PID,$D722,nrES_Code,$F722,nrES_Att,2)&gt;0,"Retested",IF(OR($T722="",NOT(ISNUMBER($T722))),"Pending",IF(TODAY()&gt;$T722,"OVERDUE","Due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IF($Q723&lt;&gt;"Yes","",IF(COUNTIFS(nrES_PID,$D723,nrES_Code,$F723,nrES_Att,2)&gt;0,"Retested",IF(OR($T723="",NOT(ISNUMBER($T723))),"Pending",IF(TODAY()&gt;$T723,"OVERDUE","Due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IF($Q724&lt;&gt;"Yes","",IF(COUNTIFS(nrES_PID,$D724,nrES_Code,$F724,nrES_Att,2)&gt;0,"Retested",IF(OR($T724="",NOT(ISNUMBER($T724))),"Pending",IF(TODAY()&gt;$T724,"OVERDUE","Due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IF($Q725&lt;&gt;"Yes","",IF(COUNTIFS(nrES_PID,$D725,nrES_Code,$F725,nrES_Att,2)&gt;0,"Retested",IF(OR($T725="",NOT(ISNUMBER($T725))),"Pending",IF(TODAY()&gt;$T725,"OVERDUE","Due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IF($Q726&lt;&gt;"Yes","",IF(COUNTIFS(nrES_PID,$D726,nrES_Code,$F726,nrES_Att,2)&gt;0,"Retested",IF(OR($T726="",NOT(ISNUMBER($T726))),"Pending",IF(TODAY()&gt;$T726,"OVERDUE","Due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IF($Q727&lt;&gt;"Yes","",IF(COUNTIFS(nrES_PID,$D727,nrES_Code,$F727,nrES_Att,2)&gt;0,"Retested",IF(OR($T727="",NOT(ISNUMBER($T727))),"Pending",IF(TODAY()&gt;$T727,"OVERDUE","Due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IF($Q728&lt;&gt;"Yes","",IF(COUNTIFS(nrES_PID,$D728,nrES_Code,$F728,nrES_Att,2)&gt;0,"Retested",IF(OR($T728="",NOT(ISNUMBER($T728))),"Pending",IF(TODAY()&gt;$T728,"OVERDUE","Due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IF($Q729&lt;&gt;"Yes","",IF(COUNTIFS(nrES_PID,$D729,nrES_Code,$F729,nrES_Att,2)&gt;0,"Retested",IF(OR($T729="",NOT(ISNUMBER($T729))),"Pending",IF(TODAY()&gt;$T729,"OVERDUE","Due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IF($Q730&lt;&gt;"Yes","",IF(COUNTIFS(nrES_PID,$D730,nrES_Code,$F730,nrES_Att,2)&gt;0,"Retested",IF(OR($T730="",NOT(ISNUMBER($T730))),"Pending",IF(TODAY()&gt;$T730,"OVERDUE","Due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IF($Q731&lt;&gt;"Yes","",IF(COUNTIFS(nrES_PID,$D731,nrES_Code,$F731,nrES_Att,2)&gt;0,"Retested",IF(OR($T731="",NOT(ISNUMBER($T731))),"Pending",IF(TODAY()&gt;$T731,"OVERDUE","Due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IF($Q732&lt;&gt;"Yes","",IF(COUNTIFS(nrES_PID,$D732,nrES_Code,$F732,nrES_Att,2)&gt;0,"Retested",IF(OR($T732="",NOT(ISNUMBER($T732))),"Pending",IF(TODAY()&gt;$T732,"OVERDUE","Due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IF($Q733&lt;&gt;"Yes","",IF(COUNTIFS(nrES_PID,$D733,nrES_Code,$F733,nrES_Att,2)&gt;0,"Retested",IF(OR($T733="",NOT(ISNUMBER($T733))),"Pending",IF(TODAY()&gt;$T733,"OVERDUE","Due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IF($Q734&lt;&gt;"Yes","",IF(COUNTIFS(nrES_PID,$D734,nrES_Code,$F734,nrES_Att,2)&gt;0,"Retested",IF(OR($T734="",NOT(ISNUMBER($T734))),"Pending",IF(TODAY()&gt;$T734,"OVERDUE","Due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IF($Q735&lt;&gt;"Yes","",IF(COUNTIFS(nrES_PID,$D735,nrES_Code,$F735,nrES_Att,2)&gt;0,"Retested",IF(OR($T735="",NOT(ISNUMBER($T735))),"Pending",IF(TODAY()&gt;$T735,"OVERDUE","Due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IF($Q736&lt;&gt;"Yes","",IF(COUNTIFS(nrES_PID,$D736,nrES_Code,$F736,nrES_Att,2)&gt;0,"Retested",IF(OR($T736="",NOT(ISNUMBER($T736))),"Pending",IF(TODAY()&gt;$T736,"OVERDUE","Due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IF($Q737&lt;&gt;"Yes","",IF(COUNTIFS(nrES_PID,$D737,nrES_Code,$F737,nrES_Att,2)&gt;0,"Retested",IF(OR($T737="",NOT(ISNUMBER($T737))),"Pending",IF(TODAY()&gt;$T737,"OVERDUE","Due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IF($Q738&lt;&gt;"Yes","",IF(COUNTIFS(nrES_PID,$D738,nrES_Code,$F738,nrES_Att,2)&gt;0,"Retested",IF(OR($T738="",NOT(ISNUMBER($T738))),"Pending",IF(TODAY()&gt;$T738,"OVERDUE","Due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IF($Q739&lt;&gt;"Yes","",IF(COUNTIFS(nrES_PID,$D739,nrES_Code,$F739,nrES_Att,2)&gt;0,"Retested",IF(OR($T739="",NOT(ISNUMBER($T739))),"Pending",IF(TODAY()&gt;$T739,"OVERDUE","Due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IF($Q740&lt;&gt;"Yes","",IF(COUNTIFS(nrES_PID,$D740,nrES_Code,$F740,nrES_Att,2)&gt;0,"Retested",IF(OR($T740="",NOT(ISNUMBER($T740))),"Pending",IF(TODAY()&gt;$T740,"OVERDUE","Due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IF($Q741&lt;&gt;"Yes","",IF(COUNTIFS(nrES_PID,$D741,nrES_Code,$F741,nrES_Att,2)&gt;0,"Retested",IF(OR($T741="",NOT(ISNUMBER($T741))),"Pending",IF(TODAY()&gt;$T741,"OVERDUE","Due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IF($Q742&lt;&gt;"Yes","",IF(COUNTIFS(nrES_PID,$D742,nrES_Code,$F742,nrES_Att,2)&gt;0,"Retested",IF(OR($T742="",NOT(ISNUMBER($T742))),"Pending",IF(TODAY()&gt;$T742,"OVERDUE","Due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IF($Q743&lt;&gt;"Yes","",IF(COUNTIFS(nrES_PID,$D743,nrES_Code,$F743,nrES_Att,2)&gt;0,"Retested",IF(OR($T743="",NOT(ISNUMBER($T743))),"Pending",IF(TODAY()&gt;$T743,"OVERDUE","Due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IF($Q744&lt;&gt;"Yes","",IF(COUNTIFS(nrES_PID,$D744,nrES_Code,$F744,nrES_Att,2)&gt;0,"Retested",IF(OR($T744="",NOT(ISNUMBER($T744))),"Pending",IF(TODAY()&gt;$T744,"OVERDUE","Due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IF($Q745&lt;&gt;"Yes","",IF(COUNTIFS(nrES_PID,$D745,nrES_Code,$F745,nrES_Att,2)&gt;0,"Retested",IF(OR($T745="",NOT(ISNUMBER($T745))),"Pending",IF(TODAY()&gt;$T745,"OVERDUE","Due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IF($Q746&lt;&gt;"Yes","",IF(COUNTIFS(nrES_PID,$D746,nrES_Code,$F746,nrES_Att,2)&gt;0,"Retested",IF(OR($T746="",NOT(ISNUMBER($T746))),"Pending",IF(TODAY()&gt;$T746,"OVERDUE","Due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IF($Q747&lt;&gt;"Yes","",IF(COUNTIFS(nrES_PID,$D747,nrES_Code,$F747,nrES_Att,2)&gt;0,"Retested",IF(OR($T747="",NOT(ISNUMBER($T747))),"Pending",IF(TODAY()&gt;$T747,"OVERDUE","Due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IF($Q748&lt;&gt;"Yes","",IF(COUNTIFS(nrES_PID,$D748,nrES_Code,$F748,nrES_Att,2)&gt;0,"Retested",IF(OR($T748="",NOT(ISNUMBER($T748))),"Pending",IF(TODAY()&gt;$T748,"OVERDUE","Due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IF($Q749&lt;&gt;"Yes","",IF(COUNTIFS(nrES_PID,$D749,nrES_Code,$F749,nrES_Att,2)&gt;0,"Retested",IF(OR($T749="",NOT(ISNUMBER($T749))),"Pending",IF(TODAY()&gt;$T749,"OVERDUE","Due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IF($Q750&lt;&gt;"Yes","",IF(COUNTIFS(nrES_PID,$D750,nrES_Code,$F750,nrES_Att,2)&gt;0,"Retested",IF(OR($T750="",NOT(ISNUMBER($T750))),"Pending",IF(TODAY()&gt;$T750,"OVERDUE","Due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IF($Q751&lt;&gt;"Yes","",IF(COUNTIFS(nrES_PID,$D751,nrES_Code,$F751,nrES_Att,2)&gt;0,"Retested",IF(OR($T751="",NOT(ISNUMBER($T751))),"Pending",IF(TODAY()&gt;$T751,"OVERDUE","Due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IF($Q752&lt;&gt;"Yes","",IF(COUNTIFS(nrES_PID,$D752,nrES_Code,$F752,nrES_Att,2)&gt;0,"Retested",IF(OR($T752="",NOT(ISNUMBER($T752))),"Pending",IF(TODAY()&gt;$T752,"OVERDUE","Due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IF($Q753&lt;&gt;"Yes","",IF(COUNTIFS(nrES_PID,$D753,nrES_Code,$F753,nrES_Att,2)&gt;0,"Retested",IF(OR($T753="",NOT(ISNUMBER($T753))),"Pending",IF(TODAY()&gt;$T753,"OVERDUE","Due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IF($Q754&lt;&gt;"Yes","",IF(COUNTIFS(nrES_PID,$D754,nrES_Code,$F754,nrES_Att,2)&gt;0,"Retested",IF(OR($T754="",NOT(ISNUMBER($T754))),"Pending",IF(TODAY()&gt;$T754,"OVERDUE","Due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IF($Q755&lt;&gt;"Yes","",IF(COUNTIFS(nrES_PID,$D755,nrES_Code,$F755,nrES_Att,2)&gt;0,"Retested",IF(OR($T755="",NOT(ISNUMBER($T755))),"Pending",IF(TODAY()&gt;$T755,"OVERDUE","Due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IF($Q756&lt;&gt;"Yes","",IF(COUNTIFS(nrES_PID,$D756,nrES_Code,$F756,nrES_Att,2)&gt;0,"Retested",IF(OR($T756="",NOT(ISNUMBER($T756))),"Pending",IF(TODAY()&gt;$T756,"OVERDUE","Due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IF($Q757&lt;&gt;"Yes","",IF(COUNTIFS(nrES_PID,$D757,nrES_Code,$F757,nrES_Att,2)&gt;0,"Retested",IF(OR($T757="",NOT(ISNUMBER($T757))),"Pending",IF(TODAY()&gt;$T757,"OVERDUE","Due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IF($Q758&lt;&gt;"Yes","",IF(COUNTIFS(nrES_PID,$D758,nrES_Code,$F758,nrES_Att,2)&gt;0,"Retested",IF(OR($T758="",NOT(ISNUMBER($T758))),"Pending",IF(TODAY()&gt;$T758,"OVERDUE","Due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IF($Q759&lt;&gt;"Yes","",IF(COUNTIFS(nrES_PID,$D759,nrES_Code,$F759,nrES_Att,2)&gt;0,"Retested",IF(OR($T759="",NOT(ISNUMBER($T759))),"Pending",IF(TODAY()&gt;$T759,"OVERDUE","Due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IF($Q760&lt;&gt;"Yes","",IF(COUNTIFS(nrES_PID,$D760,nrES_Code,$F760,nrES_Att,2)&gt;0,"Retested",IF(OR($T760="",NOT(ISNUMBER($T760))),"Pending",IF(TODAY()&gt;$T760,"OVERDUE","Due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IF($Q761&lt;&gt;"Yes","",IF(COUNTIFS(nrES_PID,$D761,nrES_Code,$F761,nrES_Att,2)&gt;0,"Retested",IF(OR($T761="",NOT(ISNUMBER($T761))),"Pending",IF(TODAY()&gt;$T761,"OVERDUE","Due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IF($Q762&lt;&gt;"Yes","",IF(COUNTIFS(nrES_PID,$D762,nrES_Code,$F762,nrES_Att,2)&gt;0,"Retested",IF(OR($T762="",NOT(ISNUMBER($T762))),"Pending",IF(TODAY()&gt;$T762,"OVERDUE","Due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IF($Q763&lt;&gt;"Yes","",IF(COUNTIFS(nrES_PID,$D763,nrES_Code,$F763,nrES_Att,2)&gt;0,"Retested",IF(OR($T763="",NOT(ISNUMBER($T763))),"Pending",IF(TODAY()&gt;$T763,"OVERDUE","Due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IF($Q764&lt;&gt;"Yes","",IF(COUNTIFS(nrES_PID,$D764,nrES_Code,$F764,nrES_Att,2)&gt;0,"Retested",IF(OR($T764="",NOT(ISNUMBER($T764))),"Pending",IF(TODAY()&gt;$T764,"OVERDUE","Due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IF($Q765&lt;&gt;"Yes","",IF(COUNTIFS(nrES_PID,$D765,nrES_Code,$F765,nrES_Att,2)&gt;0,"Retested",IF(OR($T765="",NOT(ISNUMBER($T765))),"Pending",IF(TODAY()&gt;$T765,"OVERDUE","Due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IF($Q766&lt;&gt;"Yes","",IF(COUNTIFS(nrES_PID,$D766,nrES_Code,$F766,nrES_Att,2)&gt;0,"Retested",IF(OR($T766="",NOT(ISNUMBER($T766))),"Pending",IF(TODAY()&gt;$T766,"OVERDUE","Due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IF($Q767&lt;&gt;"Yes","",IF(COUNTIFS(nrES_PID,$D767,nrES_Code,$F767,nrES_Att,2)&gt;0,"Retested",IF(OR($T767="",NOT(ISNUMBER($T767))),"Pending",IF(TODAY()&gt;$T767,"OVERDUE","Due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IF($Q768&lt;&gt;"Yes","",IF(COUNTIFS(nrES_PID,$D768,nrES_Code,$F768,nrES_Att,2)&gt;0,"Retested",IF(OR($T768="",NOT(ISNUMBER($T768))),"Pending",IF(TODAY()&gt;$T768,"OVERDUE","Due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IF($Q769&lt;&gt;"Yes","",IF(COUNTIFS(nrES_PID,$D769,nrES_Code,$F769,nrES_Att,2)&gt;0,"Retested",IF(OR($T769="",NOT(ISNUMBER($T769))),"Pending",IF(TODAY()&gt;$T769,"OVERDUE","Due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IF($Q770&lt;&gt;"Yes","",IF(COUNTIFS(nrES_PID,$D770,nrES_Code,$F770,nrES_Att,2)&gt;0,"Retested",IF(OR($T770="",NOT(ISNUMBER($T770))),"Pending",IF(TODAY()&gt;$T770,"OVERDUE","Due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IF($Q771&lt;&gt;"Yes","",IF(COUNTIFS(nrES_PID,$D771,nrES_Code,$F771,nrES_Att,2)&gt;0,"Retested",IF(OR($T771="",NOT(ISNUMBER($T771))),"Pending",IF(TODAY()&gt;$T771,"OVERDUE","Due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IF($Q772&lt;&gt;"Yes","",IF(COUNTIFS(nrES_PID,$D772,nrES_Code,$F772,nrES_Att,2)&gt;0,"Retested",IF(OR($T772="",NOT(ISNUMBER($T772))),"Pending",IF(TODAY()&gt;$T772,"OVERDUE","Due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IF($Q773&lt;&gt;"Yes","",IF(COUNTIFS(nrES_PID,$D773,nrES_Code,$F773,nrES_Att,2)&gt;0,"Retested",IF(OR($T773="",NOT(ISNUMBER($T773))),"Pending",IF(TODAY()&gt;$T773,"OVERDUE","Due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IF($Q774&lt;&gt;"Yes","",IF(COUNTIFS(nrES_PID,$D774,nrES_Code,$F774,nrES_Att,2)&gt;0,"Retested",IF(OR($T774="",NOT(ISNUMBER($T774))),"Pending",IF(TODAY()&gt;$T774,"OVERDUE","Due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IF($Q775&lt;&gt;"Yes","",IF(COUNTIFS(nrES_PID,$D775,nrES_Code,$F775,nrES_Att,2)&gt;0,"Retested",IF(OR($T775="",NOT(ISNUMBER($T775))),"Pending",IF(TODAY()&gt;$T775,"OVERDUE","Due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IF($Q776&lt;&gt;"Yes","",IF(COUNTIFS(nrES_PID,$D776,nrES_Code,$F776,nrES_Att,2)&gt;0,"Retested",IF(OR($T776="",NOT(ISNUMBER($T776))),"Pending",IF(TODAY()&gt;$T776,"OVERDUE","Due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IF($Q777&lt;&gt;"Yes","",IF(COUNTIFS(nrES_PID,$D777,nrES_Code,$F777,nrES_Att,2)&gt;0,"Retested",IF(OR($T777="",NOT(ISNUMBER($T777))),"Pending",IF(TODAY()&gt;$T777,"OVERDUE","Due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IF($Q778&lt;&gt;"Yes","",IF(COUNTIFS(nrES_PID,$D778,nrES_Code,$F778,nrES_Att,2)&gt;0,"Retested",IF(OR($T778="",NOT(ISNUMBER($T778))),"Pending",IF(TODAY()&gt;$T778,"OVERDUE","Due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IF($Q779&lt;&gt;"Yes","",IF(COUNTIFS(nrES_PID,$D779,nrES_Code,$F779,nrES_Att,2)&gt;0,"Retested",IF(OR($T779="",NOT(ISNUMBER($T779))),"Pending",IF(TODAY()&gt;$T779,"OVERDUE","Due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IF($Q780&lt;&gt;"Yes","",IF(COUNTIFS(nrES_PID,$D780,nrES_Code,$F780,nrES_Att,2)&gt;0,"Retested",IF(OR($T780="",NOT(ISNUMBER($T780))),"Pending",IF(TODAY()&gt;$T780,"OVERDUE","Due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IF($Q781&lt;&gt;"Yes","",IF(COUNTIFS(nrES_PID,$D781,nrES_Code,$F781,nrES_Att,2)&gt;0,"Retested",IF(OR($T781="",NOT(ISNUMBER($T781))),"Pending",IF(TODAY()&gt;$T781,"OVERDUE","Due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IF($Q782&lt;&gt;"Yes","",IF(COUNTIFS(nrES_PID,$D782,nrES_Code,$F782,nrES_Att,2)&gt;0,"Retested",IF(OR($T782="",NOT(ISNUMBER($T782))),"Pending",IF(TODAY()&gt;$T782,"OVERDUE","Due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IF($Q783&lt;&gt;"Yes","",IF(COUNTIFS(nrES_PID,$D783,nrES_Code,$F783,nrES_Att,2)&gt;0,"Retested",IF(OR($T783="",NOT(ISNUMBER($T783))),"Pending",IF(TODAY()&gt;$T783,"OVERDUE","Due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IF($Q784&lt;&gt;"Yes","",IF(COUNTIFS(nrES_PID,$D784,nrES_Code,$F784,nrES_Att,2)&gt;0,"Retested",IF(OR($T784="",NOT(ISNUMBER($T784))),"Pending",IF(TODAY()&gt;$T784,"OVERDUE","Due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IF($Q785&lt;&gt;"Yes","",IF(COUNTIFS(nrES_PID,$D785,nrES_Code,$F785,nrES_Att,2)&gt;0,"Retested",IF(OR($T785="",NOT(ISNUMBER($T785))),"Pending",IF(TODAY()&gt;$T785,"OVERDUE","Due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IF($Q786&lt;&gt;"Yes","",IF(COUNTIFS(nrES_PID,$D786,nrES_Code,$F786,nrES_Att,2)&gt;0,"Retested",IF(OR($T786="",NOT(ISNUMBER($T786))),"Pending",IF(TODAY()&gt;$T786,"OVERDUE","Due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IF($Q787&lt;&gt;"Yes","",IF(COUNTIFS(nrES_PID,$D787,nrES_Code,$F787,nrES_Att,2)&gt;0,"Retested",IF(OR($T787="",NOT(ISNUMBER($T787))),"Pending",IF(TODAY()&gt;$T787,"OVERDUE","Due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IF($Q788&lt;&gt;"Yes","",IF(COUNTIFS(nrES_PID,$D788,nrES_Code,$F788,nrES_Att,2)&gt;0,"Retested",IF(OR($T788="",NOT(ISNUMBER($T788))),"Pending",IF(TODAY()&gt;$T788,"OVERDUE","Due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IF($Q789&lt;&gt;"Yes","",IF(COUNTIFS(nrES_PID,$D789,nrES_Code,$F789,nrES_Att,2)&gt;0,"Retested",IF(OR($T789="",NOT(ISNUMBER($T789))),"Pending",IF(TODAY()&gt;$T789,"OVERDUE","Due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IF($Q790&lt;&gt;"Yes","",IF(COUNTIFS(nrES_PID,$D790,nrES_Code,$F790,nrES_Att,2)&gt;0,"Retested",IF(OR($T790="",NOT(ISNUMBER($T790))),"Pending",IF(TODAY()&gt;$T790,"OVERDUE","Due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IF($Q791&lt;&gt;"Yes","",IF(COUNTIFS(nrES_PID,$D791,nrES_Code,$F791,nrES_Att,2)&gt;0,"Retested",IF(OR($T791="",NOT(ISNUMBER($T791))),"Pending",IF(TODAY()&gt;$T791,"OVERDUE","Due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IF($Q792&lt;&gt;"Yes","",IF(COUNTIFS(nrES_PID,$D792,nrES_Code,$F792,nrES_Att,2)&gt;0,"Retested",IF(OR($T792="",NOT(ISNUMBER($T792))),"Pending",IF(TODAY()&gt;$T792,"OVERDUE","Due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IF($Q793&lt;&gt;"Yes","",IF(COUNTIFS(nrES_PID,$D793,nrES_Code,$F793,nrES_Att,2)&gt;0,"Retested",IF(OR($T793="",NOT(ISNUMBER($T793))),"Pending",IF(TODAY()&gt;$T793,"OVERDUE","Due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IF($Q794&lt;&gt;"Yes","",IF(COUNTIFS(nrES_PID,$D794,nrES_Code,$F794,nrES_Att,2)&gt;0,"Retested",IF(OR($T794="",NOT(ISNUMBER($T794))),"Pending",IF(TODAY()&gt;$T794,"OVERDUE","Due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IF($Q795&lt;&gt;"Yes","",IF(COUNTIFS(nrES_PID,$D795,nrES_Code,$F795,nrES_Att,2)&gt;0,"Retested",IF(OR($T795="",NOT(ISNUMBER($T795))),"Pending",IF(TODAY()&gt;$T795,"OVERDUE","Due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IF($Q796&lt;&gt;"Yes","",IF(COUNTIFS(nrES_PID,$D796,nrES_Code,$F796,nrES_Att,2)&gt;0,"Retested",IF(OR($T796="",NOT(ISNUMBER($T796))),"Pending",IF(TODAY()&gt;$T796,"OVERDUE","Due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IF($Q797&lt;&gt;"Yes","",IF(COUNTIFS(nrES_PID,$D797,nrES_Code,$F797,nrES_Att,2)&gt;0,"Retested",IF(OR($T797="",NOT(ISNUMBER($T797))),"Pending",IF(TODAY()&gt;$T797,"OVERDUE","Due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IF($Q798&lt;&gt;"Yes","",IF(COUNTIFS(nrES_PID,$D798,nrES_Code,$F798,nrES_Att,2)&gt;0,"Retested",IF(OR($T798="",NOT(ISNUMBER($T798))),"Pending",IF(TODAY()&gt;$T798,"OVERDUE","Due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IF($Q799&lt;&gt;"Yes","",IF(COUNTIFS(nrES_PID,$D799,nrES_Code,$F799,nrES_Att,2)&gt;0,"Retested",IF(OR($T799="",NOT(ISNUMBER($T799))),"Pending",IF(TODAY()&gt;$T799,"OVERDUE","Due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IF($Q800&lt;&gt;"Yes","",IF(COUNTIFS(nrES_PID,$D800,nrES_Code,$F800,nrES_Att,2)&gt;0,"Retested",IF(OR($T800="",NOT(ISNUMBER($T800))),"Pending",IF(TODAY()&gt;$T800,"OVERDUE","Due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IF($Q801&lt;&gt;"Yes","",IF(COUNTIFS(nrES_PID,$D801,nrES_Code,$F801,nrES_Att,2)&gt;0,"Retested",IF(OR($T801="",NOT(ISNUMBER($T801))),"Pending",IF(TODAY()&gt;$T801,"OVERDUE","Due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IF($Q802&lt;&gt;"Yes","",IF(COUNTIFS(nrES_PID,$D802,nrES_Code,$F802,nrES_Att,2)&gt;0,"Retested",IF(OR($T802="",NOT(ISNUMBER($T802))),"Pending",IF(TODAY()&gt;$T802,"OVERDUE","Due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IF($Q803&lt;&gt;"Yes","",IF(COUNTIFS(nrES_PID,$D803,nrES_Code,$F803,nrES_Att,2)&gt;0,"Retested",IF(OR($T803="",NOT(ISNUMBER($T803))),"Pending",IF(TODAY()&gt;$T803,"OVERDUE","Due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IF($Q804&lt;&gt;"Yes","",IF(COUNTIFS(nrES_PID,$D804,nrES_Code,$F804,nrES_Att,2)&gt;0,"Retested",IF(OR($T804="",NOT(ISNUMBER($T804))),"Pending",IF(TODAY()&gt;$T804,"OVERDUE","Due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IF($Q805&lt;&gt;"Yes","",IF(COUNTIFS(nrES_PID,$D805,nrES_Code,$F805,nrES_Att,2)&gt;0,"Retested",IF(OR($T805="",NOT(ISNUMBER($T805))),"Pending",IF(TODAY()&gt;$T805,"OVERDUE","Due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IF($Q806&lt;&gt;"Yes","",IF(COUNTIFS(nrES_PID,$D806,nrES_Code,$F806,nrES_Att,2)&gt;0,"Retested",IF(OR($T806="",NOT(ISNUMBER($T806))),"Pending",IF(TODAY()&gt;$T806,"OVERDUE","Due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IF($Q807&lt;&gt;"Yes","",IF(COUNTIFS(nrES_PID,$D807,nrES_Code,$F807,nrES_Att,2)&gt;0,"Retested",IF(OR($T807="",NOT(ISNUMBER($T807))),"Pending",IF(TODAY()&gt;$T807,"OVERDUE","Due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IF($Q808&lt;&gt;"Yes","",IF(COUNTIFS(nrES_PID,$D808,nrES_Code,$F808,nrES_Att,2)&gt;0,"Retested",IF(OR($T808="",NOT(ISNUMBER($T808))),"Pending",IF(TODAY()&gt;$T808,"OVERDUE","Due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IF($Q809&lt;&gt;"Yes","",IF(COUNTIFS(nrES_PID,$D809,nrES_Code,$F809,nrES_Att,2)&gt;0,"Retested",IF(OR($T809="",NOT(ISNUMBER($T809))),"Pending",IF(TODAY()&gt;$T809,"OVERDUE","Due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IF($Q810&lt;&gt;"Yes","",IF(COUNTIFS(nrES_PID,$D810,nrES_Code,$F810,nrES_Att,2)&gt;0,"Retested",IF(OR($T810="",NOT(ISNUMBER($T810))),"Pending",IF(TODAY()&gt;$T810,"OVERDUE","Due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IF($Q811&lt;&gt;"Yes","",IF(COUNTIFS(nrES_PID,$D811,nrES_Code,$F811,nrES_Att,2)&gt;0,"Retested",IF(OR($T811="",NOT(ISNUMBER($T811))),"Pending",IF(TODAY()&gt;$T811,"OVERDUE","Due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IF($Q812&lt;&gt;"Yes","",IF(COUNTIFS(nrES_PID,$D812,nrES_Code,$F812,nrES_Att,2)&gt;0,"Retested",IF(OR($T812="",NOT(ISNUMBER($T812))),"Pending",IF(TODAY()&gt;$T812,"OVERDUE","Due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IF($Q813&lt;&gt;"Yes","",IF(COUNTIFS(nrES_PID,$D813,nrES_Code,$F813,nrES_Att,2)&gt;0,"Retested",IF(OR($T813="",NOT(ISNUMBER($T813))),"Pending",IF(TODAY()&gt;$T813,"OVERDUE","Due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IF($Q814&lt;&gt;"Yes","",IF(COUNTIFS(nrES_PID,$D814,nrES_Code,$F814,nrES_Att,2)&gt;0,"Retested",IF(OR($T814="",NOT(ISNUMBER($T814))),"Pending",IF(TODAY()&gt;$T814,"OVERDUE","Due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IF($Q815&lt;&gt;"Yes","",IF(COUNTIFS(nrES_PID,$D815,nrES_Code,$F815,nrES_Att,2)&gt;0,"Retested",IF(OR($T815="",NOT(ISNUMBER($T815))),"Pending",IF(TODAY()&gt;$T815,"OVERDUE","Due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IF($Q816&lt;&gt;"Yes","",IF(COUNTIFS(nrES_PID,$D816,nrES_Code,$F816,nrES_Att,2)&gt;0,"Retested",IF(OR($T816="",NOT(ISNUMBER($T816))),"Pending",IF(TODAY()&gt;$T816,"OVERDUE","Due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IF($Q817&lt;&gt;"Yes","",IF(COUNTIFS(nrES_PID,$D817,nrES_Code,$F817,nrES_Att,2)&gt;0,"Retested",IF(OR($T817="",NOT(ISNUMBER($T817))),"Pending",IF(TODAY()&gt;$T817,"OVERDUE","Due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IF($Q818&lt;&gt;"Yes","",IF(COUNTIFS(nrES_PID,$D818,nrES_Code,$F818,nrES_Att,2)&gt;0,"Retested",IF(OR($T818="",NOT(ISNUMBER($T818))),"Pending",IF(TODAY()&gt;$T818,"OVERDUE","Due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IF($Q819&lt;&gt;"Yes","",IF(COUNTIFS(nrES_PID,$D819,nrES_Code,$F819,nrES_Att,2)&gt;0,"Retested",IF(OR($T819="",NOT(ISNUMBER($T819))),"Pending",IF(TODAY()&gt;$T819,"OVERDUE","Due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IF($Q820&lt;&gt;"Yes","",IF(COUNTIFS(nrES_PID,$D820,nrES_Code,$F820,nrES_Att,2)&gt;0,"Retested",IF(OR($T820="",NOT(ISNUMBER($T820))),"Pending",IF(TODAY()&gt;$T820,"OVERDUE","Due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IF($Q821&lt;&gt;"Yes","",IF(COUNTIFS(nrES_PID,$D821,nrES_Code,$F821,nrES_Att,2)&gt;0,"Retested",IF(OR($T821="",NOT(ISNUMBER($T821))),"Pending",IF(TODAY()&gt;$T821,"OVERDUE","Due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IF($Q822&lt;&gt;"Yes","",IF(COUNTIFS(nrES_PID,$D822,nrES_Code,$F822,nrES_Att,2)&gt;0,"Retested",IF(OR($T822="",NOT(ISNUMBER($T822))),"Pending",IF(TODAY()&gt;$T822,"OVERDUE","Due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IF($Q823&lt;&gt;"Yes","",IF(COUNTIFS(nrES_PID,$D823,nrES_Code,$F823,nrES_Att,2)&gt;0,"Retested",IF(OR($T823="",NOT(ISNUMBER($T823))),"Pending",IF(TODAY()&gt;$T823,"OVERDUE","Due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IF($Q824&lt;&gt;"Yes","",IF(COUNTIFS(nrES_PID,$D824,nrES_Code,$F824,nrES_Att,2)&gt;0,"Retested",IF(OR($T824="",NOT(ISNUMBER($T824))),"Pending",IF(TODAY()&gt;$T824,"OVERDUE","Due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IF($Q825&lt;&gt;"Yes","",IF(COUNTIFS(nrES_PID,$D825,nrES_Code,$F825,nrES_Att,2)&gt;0,"Retested",IF(OR($T825="",NOT(ISNUMBER($T825))),"Pending",IF(TODAY()&gt;$T825,"OVERDUE","Due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IF($Q826&lt;&gt;"Yes","",IF(COUNTIFS(nrES_PID,$D826,nrES_Code,$F826,nrES_Att,2)&gt;0,"Retested",IF(OR($T826="",NOT(ISNUMBER($T826))),"Pending",IF(TODAY()&gt;$T826,"OVERDUE","Due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IF($Q827&lt;&gt;"Yes","",IF(COUNTIFS(nrES_PID,$D827,nrES_Code,$F827,nrES_Att,2)&gt;0,"Retested",IF(OR($T827="",NOT(ISNUMBER($T827))),"Pending",IF(TODAY()&gt;$T827,"OVERDUE","Due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IF($Q828&lt;&gt;"Yes","",IF(COUNTIFS(nrES_PID,$D828,nrES_Code,$F828,nrES_Att,2)&gt;0,"Retested",IF(OR($T828="",NOT(ISNUMBER($T828))),"Pending",IF(TODAY()&gt;$T828,"OVERDUE","Due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IF($Q829&lt;&gt;"Yes","",IF(COUNTIFS(nrES_PID,$D829,nrES_Code,$F829,nrES_Att,2)&gt;0,"Retested",IF(OR($T829="",NOT(ISNUMBER($T829))),"Pending",IF(TODAY()&gt;$T829,"OVERDUE","Due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IF($Q830&lt;&gt;"Yes","",IF(COUNTIFS(nrES_PID,$D830,nrES_Code,$F830,nrES_Att,2)&gt;0,"Retested",IF(OR($T830="",NOT(ISNUMBER($T830))),"Pending",IF(TODAY()&gt;$T830,"OVERDUE","Due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IF($Q831&lt;&gt;"Yes","",IF(COUNTIFS(nrES_PID,$D831,nrES_Code,$F831,nrES_Att,2)&gt;0,"Retested",IF(OR($T831="",NOT(ISNUMBER($T831))),"Pending",IF(TODAY()&gt;$T831,"OVERDUE","Due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IF($Q832&lt;&gt;"Yes","",IF(COUNTIFS(nrES_PID,$D832,nrES_Code,$F832,nrES_Att,2)&gt;0,"Retested",IF(OR($T832="",NOT(ISNUMBER($T832))),"Pending",IF(TODAY()&gt;$T832,"OVERDUE","Due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IF($Q833&lt;&gt;"Yes","",IF(COUNTIFS(nrES_PID,$D833,nrES_Code,$F833,nrES_Att,2)&gt;0,"Retested",IF(OR($T833="",NOT(ISNUMBER($T833))),"Pending",IF(TODAY()&gt;$T833,"OVERDUE","Due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IF($Q834&lt;&gt;"Yes","",IF(COUNTIFS(nrES_PID,$D834,nrES_Code,$F834,nrES_Att,2)&gt;0,"Retested",IF(OR($T834="",NOT(ISNUMBER($T834))),"Pending",IF(TODAY()&gt;$T834,"OVERDUE","Due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IF($Q835&lt;&gt;"Yes","",IF(COUNTIFS(nrES_PID,$D835,nrES_Code,$F835,nrES_Att,2)&gt;0,"Retested",IF(OR($T835="",NOT(ISNUMBER($T835))),"Pending",IF(TODAY()&gt;$T835,"OVERDUE","Due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IF($Q836&lt;&gt;"Yes","",IF(COUNTIFS(nrES_PID,$D836,nrES_Code,$F836,nrES_Att,2)&gt;0,"Retested",IF(OR($T836="",NOT(ISNUMBER($T836))),"Pending",IF(TODAY()&gt;$T836,"OVERDUE","Due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IF($Q837&lt;&gt;"Yes","",IF(COUNTIFS(nrES_PID,$D837,nrES_Code,$F837,nrES_Att,2)&gt;0,"Retested",IF(OR($T837="",NOT(ISNUMBER($T837))),"Pending",IF(TODAY()&gt;$T837,"OVERDUE","Due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IF($Q838&lt;&gt;"Yes","",IF(COUNTIFS(nrES_PID,$D838,nrES_Code,$F838,nrES_Att,2)&gt;0,"Retested",IF(OR($T838="",NOT(ISNUMBER($T838))),"Pending",IF(TODAY()&gt;$T838,"OVERDUE","Due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IF($Q839&lt;&gt;"Yes","",IF(COUNTIFS(nrES_PID,$D839,nrES_Code,$F839,nrES_Att,2)&gt;0,"Retested",IF(OR($T839="",NOT(ISNUMBER($T839))),"Pending",IF(TODAY()&gt;$T839,"OVERDUE","Due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IF($Q840&lt;&gt;"Yes","",IF(COUNTIFS(nrES_PID,$D840,nrES_Code,$F840,nrES_Att,2)&gt;0,"Retested",IF(OR($T840="",NOT(ISNUMBER($T840))),"Pending",IF(TODAY()&gt;$T840,"OVERDUE","Due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IF($Q841&lt;&gt;"Yes","",IF(COUNTIFS(nrES_PID,$D841,nrES_Code,$F841,nrES_Att,2)&gt;0,"Retested",IF(OR($T841="",NOT(ISNUMBER($T841))),"Pending",IF(TODAY()&gt;$T841,"OVERDUE","Due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IF($Q842&lt;&gt;"Yes","",IF(COUNTIFS(nrES_PID,$D842,nrES_Code,$F842,nrES_Att,2)&gt;0,"Retested",IF(OR($T842="",NOT(ISNUMBER($T842))),"Pending",IF(TODAY()&gt;$T842,"OVERDUE","Due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IF($Q843&lt;&gt;"Yes","",IF(COUNTIFS(nrES_PID,$D843,nrES_Code,$F843,nrES_Att,2)&gt;0,"Retested",IF(OR($T843="",NOT(ISNUMBER($T843))),"Pending",IF(TODAY()&gt;$T843,"OVERDUE","Due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IF($Q844&lt;&gt;"Yes","",IF(COUNTIFS(nrES_PID,$D844,nrES_Code,$F844,nrES_Att,2)&gt;0,"Retested",IF(OR($T844="",NOT(ISNUMBER($T844))),"Pending",IF(TODAY()&gt;$T844,"OVERDUE","Due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IF($Q845&lt;&gt;"Yes","",IF(COUNTIFS(nrES_PID,$D845,nrES_Code,$F845,nrES_Att,2)&gt;0,"Retested",IF(OR($T845="",NOT(ISNUMBER($T845))),"Pending",IF(TODAY()&gt;$T845,"OVERDUE","Due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IF($Q846&lt;&gt;"Yes","",IF(COUNTIFS(nrES_PID,$D846,nrES_Code,$F846,nrES_Att,2)&gt;0,"Retested",IF(OR($T846="",NOT(ISNUMBER($T846))),"Pending",IF(TODAY()&gt;$T846,"OVERDUE","Due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IF($Q847&lt;&gt;"Yes","",IF(COUNTIFS(nrES_PID,$D847,nrES_Code,$F847,nrES_Att,2)&gt;0,"Retested",IF(OR($T847="",NOT(ISNUMBER($T847))),"Pending",IF(TODAY()&gt;$T847,"OVERDUE","Due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IF($Q848&lt;&gt;"Yes","",IF(COUNTIFS(nrES_PID,$D848,nrES_Code,$F848,nrES_Att,2)&gt;0,"Retested",IF(OR($T848="",NOT(ISNUMBER($T848))),"Pending",IF(TODAY()&gt;$T848,"OVERDUE","Due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IF($Q849&lt;&gt;"Yes","",IF(COUNTIFS(nrES_PID,$D849,nrES_Code,$F849,nrES_Att,2)&gt;0,"Retested",IF(OR($T849="",NOT(ISNUMBER($T849))),"Pending",IF(TODAY()&gt;$T849,"OVERDUE","Due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IF($Q850&lt;&gt;"Yes","",IF(COUNTIFS(nrES_PID,$D850,nrES_Code,$F850,nrES_Att,2)&gt;0,"Retested",IF(OR($T850="",NOT(ISNUMBER($T850))),"Pending",IF(TODAY()&gt;$T850,"OVERDUE","Due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IF($Q851&lt;&gt;"Yes","",IF(COUNTIFS(nrES_PID,$D851,nrES_Code,$F851,nrES_Att,2)&gt;0,"Retested",IF(OR($T851="",NOT(ISNUMBER($T851))),"Pending",IF(TODAY()&gt;$T851,"OVERDUE","Due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IF($Q852&lt;&gt;"Yes","",IF(COUNTIFS(nrES_PID,$D852,nrES_Code,$F852,nrES_Att,2)&gt;0,"Retested",IF(OR($T852="",NOT(ISNUMBER($T852))),"Pending",IF(TODAY()&gt;$T852,"OVERDUE","Due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IF($Q853&lt;&gt;"Yes","",IF(COUNTIFS(nrES_PID,$D853,nrES_Code,$F853,nrES_Att,2)&gt;0,"Retested",IF(OR($T853="",NOT(ISNUMBER($T853))),"Pending",IF(TODAY()&gt;$T853,"OVERDUE","Due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IF($Q854&lt;&gt;"Yes","",IF(COUNTIFS(nrES_PID,$D854,nrES_Code,$F854,nrES_Att,2)&gt;0,"Retested",IF(OR($T854="",NOT(ISNUMBER($T854))),"Pending",IF(TODAY()&gt;$T854,"OVERDUE","Due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IF($Q855&lt;&gt;"Yes","",IF(COUNTIFS(nrES_PID,$D855,nrES_Code,$F855,nrES_Att,2)&gt;0,"Retested",IF(OR($T855="",NOT(ISNUMBER($T855))),"Pending",IF(TODAY()&gt;$T855,"OVERDUE","Due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IF($Q856&lt;&gt;"Yes","",IF(COUNTIFS(nrES_PID,$D856,nrES_Code,$F856,nrES_Att,2)&gt;0,"Retested",IF(OR($T856="",NOT(ISNUMBER($T856))),"Pending",IF(TODAY()&gt;$T856,"OVERDUE","Due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IF($Q857&lt;&gt;"Yes","",IF(COUNTIFS(nrES_PID,$D857,nrES_Code,$F857,nrES_Att,2)&gt;0,"Retested",IF(OR($T857="",NOT(ISNUMBER($T857))),"Pending",IF(TODAY()&gt;$T857,"OVERDUE","Due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IF($Q858&lt;&gt;"Yes","",IF(COUNTIFS(nrES_PID,$D858,nrES_Code,$F858,nrES_Att,2)&gt;0,"Retested",IF(OR($T858="",NOT(ISNUMBER($T858))),"Pending",IF(TODAY()&gt;$T858,"OVERDUE","Due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IF($Q859&lt;&gt;"Yes","",IF(COUNTIFS(nrES_PID,$D859,nrES_Code,$F859,nrES_Att,2)&gt;0,"Retested",IF(OR($T859="",NOT(ISNUMBER($T859))),"Pending",IF(TODAY()&gt;$T859,"OVERDUE","Due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IF($Q860&lt;&gt;"Yes","",IF(COUNTIFS(nrES_PID,$D860,nrES_Code,$F860,nrES_Att,2)&gt;0,"Retested",IF(OR($T860="",NOT(ISNUMBER($T860))),"Pending",IF(TODAY()&gt;$T860,"OVERDUE","Due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IF($Q861&lt;&gt;"Yes","",IF(COUNTIFS(nrES_PID,$D861,nrES_Code,$F861,nrES_Att,2)&gt;0,"Retested",IF(OR($T861="",NOT(ISNUMBER($T861))),"Pending",IF(TODAY()&gt;$T861,"OVERDUE","Due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IF($Q862&lt;&gt;"Yes","",IF(COUNTIFS(nrES_PID,$D862,nrES_Code,$F862,nrES_Att,2)&gt;0,"Retested",IF(OR($T862="",NOT(ISNUMBER($T862))),"Pending",IF(TODAY()&gt;$T862,"OVERDUE","Due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IF($Q863&lt;&gt;"Yes","",IF(COUNTIFS(nrES_PID,$D863,nrES_Code,$F863,nrES_Att,2)&gt;0,"Retested",IF(OR($T863="",NOT(ISNUMBER($T863))),"Pending",IF(TODAY()&gt;$T863,"OVERDUE","Due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IF($Q864&lt;&gt;"Yes","",IF(COUNTIFS(nrES_PID,$D864,nrES_Code,$F864,nrES_Att,2)&gt;0,"Retested",IF(OR($T864="",NOT(ISNUMBER($T864))),"Pending",IF(TODAY()&gt;$T864,"OVERDUE","Due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IF($Q865&lt;&gt;"Yes","",IF(COUNTIFS(nrES_PID,$D865,nrES_Code,$F865,nrES_Att,2)&gt;0,"Retested",IF(OR($T865="",NOT(ISNUMBER($T865))),"Pending",IF(TODAY()&gt;$T865,"OVERDUE","Due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IF($Q866&lt;&gt;"Yes","",IF(COUNTIFS(nrES_PID,$D866,nrES_Code,$F866,nrES_Att,2)&gt;0,"Retested",IF(OR($T866="",NOT(ISNUMBER($T866))),"Pending",IF(TODAY()&gt;$T866,"OVERDUE","Due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IF($Q867&lt;&gt;"Yes","",IF(COUNTIFS(nrES_PID,$D867,nrES_Code,$F867,nrES_Att,2)&gt;0,"Retested",IF(OR($T867="",NOT(ISNUMBER($T867))),"Pending",IF(TODAY()&gt;$T867,"OVERDUE","Due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IF($Q868&lt;&gt;"Yes","",IF(COUNTIFS(nrES_PID,$D868,nrES_Code,$F868,nrES_Att,2)&gt;0,"Retested",IF(OR($T868="",NOT(ISNUMBER($T868))),"Pending",IF(TODAY()&gt;$T868,"OVERDUE","Due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IF($Q869&lt;&gt;"Yes","",IF(COUNTIFS(nrES_PID,$D869,nrES_Code,$F869,nrES_Att,2)&gt;0,"Retested",IF(OR($T869="",NOT(ISNUMBER($T869))),"Pending",IF(TODAY()&gt;$T869,"OVERDUE","Due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IF($Q870&lt;&gt;"Yes","",IF(COUNTIFS(nrES_PID,$D870,nrES_Code,$F870,nrES_Att,2)&gt;0,"Retested",IF(OR($T870="",NOT(ISNUMBER($T870))),"Pending",IF(TODAY()&gt;$T870,"OVERDUE","Due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IF($Q871&lt;&gt;"Yes","",IF(COUNTIFS(nrES_PID,$D871,nrES_Code,$F871,nrES_Att,2)&gt;0,"Retested",IF(OR($T871="",NOT(ISNUMBER($T871))),"Pending",IF(TODAY()&gt;$T871,"OVERDUE","Due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IF($Q872&lt;&gt;"Yes","",IF(COUNTIFS(nrES_PID,$D872,nrES_Code,$F872,nrES_Att,2)&gt;0,"Retested",IF(OR($T872="",NOT(ISNUMBER($T872))),"Pending",IF(TODAY()&gt;$T872,"OVERDUE","Due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IF($Q873&lt;&gt;"Yes","",IF(COUNTIFS(nrES_PID,$D873,nrES_Code,$F873,nrES_Att,2)&gt;0,"Retested",IF(OR($T873="",NOT(ISNUMBER($T873))),"Pending",IF(TODAY()&gt;$T873,"OVERDUE","Due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IF($Q874&lt;&gt;"Yes","",IF(COUNTIFS(nrES_PID,$D874,nrES_Code,$F874,nrES_Att,2)&gt;0,"Retested",IF(OR($T874="",NOT(ISNUMBER($T874))),"Pending",IF(TODAY()&gt;$T874,"OVERDUE","Due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IF($Q875&lt;&gt;"Yes","",IF(COUNTIFS(nrES_PID,$D875,nrES_Code,$F875,nrES_Att,2)&gt;0,"Retested",IF(OR($T875="",NOT(ISNUMBER($T875))),"Pending",IF(TODAY()&gt;$T875,"OVERDUE","Due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IF($Q876&lt;&gt;"Yes","",IF(COUNTIFS(nrES_PID,$D876,nrES_Code,$F876,nrES_Att,2)&gt;0,"Retested",IF(OR($T876="",NOT(ISNUMBER($T876))),"Pending",IF(TODAY()&gt;$T876,"OVERDUE","Due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IF($Q877&lt;&gt;"Yes","",IF(COUNTIFS(nrES_PID,$D877,nrES_Code,$F877,nrES_Att,2)&gt;0,"Retested",IF(OR($T877="",NOT(ISNUMBER($T877))),"Pending",IF(TODAY()&gt;$T877,"OVERDUE","Due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IF($Q878&lt;&gt;"Yes","",IF(COUNTIFS(nrES_PID,$D878,nrES_Code,$F878,nrES_Att,2)&gt;0,"Retested",IF(OR($T878="",NOT(ISNUMBER($T878))),"Pending",IF(TODAY()&gt;$T878,"OVERDUE","Due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IF($Q879&lt;&gt;"Yes","",IF(COUNTIFS(nrES_PID,$D879,nrES_Code,$F879,nrES_Att,2)&gt;0,"Retested",IF(OR($T879="",NOT(ISNUMBER($T879))),"Pending",IF(TODAY()&gt;$T879,"OVERDUE","Due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IF($Q880&lt;&gt;"Yes","",IF(COUNTIFS(nrES_PID,$D880,nrES_Code,$F880,nrES_Att,2)&gt;0,"Retested",IF(OR($T880="",NOT(ISNUMBER($T880))),"Pending",IF(TODAY()&gt;$T880,"OVERDUE","Due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IF($Q881&lt;&gt;"Yes","",IF(COUNTIFS(nrES_PID,$D881,nrES_Code,$F881,nrES_Att,2)&gt;0,"Retested",IF(OR($T881="",NOT(ISNUMBER($T881))),"Pending",IF(TODAY()&gt;$T881,"OVERDUE","Due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IF($Q882&lt;&gt;"Yes","",IF(COUNTIFS(nrES_PID,$D882,nrES_Code,$F882,nrES_Att,2)&gt;0,"Retested",IF(OR($T882="",NOT(ISNUMBER($T882))),"Pending",IF(TODAY()&gt;$T882,"OVERDUE","Due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IF($Q883&lt;&gt;"Yes","",IF(COUNTIFS(nrES_PID,$D883,nrES_Code,$F883,nrES_Att,2)&gt;0,"Retested",IF(OR($T883="",NOT(ISNUMBER($T883))),"Pending",IF(TODAY()&gt;$T883,"OVERDUE","Due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IF($Q884&lt;&gt;"Yes","",IF(COUNTIFS(nrES_PID,$D884,nrES_Code,$F884,nrES_Att,2)&gt;0,"Retested",IF(OR($T884="",NOT(ISNUMBER($T884))),"Pending",IF(TODAY()&gt;$T884,"OVERDUE","Due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IF($Q885&lt;&gt;"Yes","",IF(COUNTIFS(nrES_PID,$D885,nrES_Code,$F885,nrES_Att,2)&gt;0,"Retested",IF(OR($T885="",NOT(ISNUMBER($T885))),"Pending",IF(TODAY()&gt;$T885,"OVERDUE","Due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IF($Q886&lt;&gt;"Yes","",IF(COUNTIFS(nrES_PID,$D886,nrES_Code,$F886,nrES_Att,2)&gt;0,"Retested",IF(OR($T886="",NOT(ISNUMBER($T886))),"Pending",IF(TODAY()&gt;$T886,"OVERDUE","Due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IF($Q887&lt;&gt;"Yes","",IF(COUNTIFS(nrES_PID,$D887,nrES_Code,$F887,nrES_Att,2)&gt;0,"Retested",IF(OR($T887="",NOT(ISNUMBER($T887))),"Pending",IF(TODAY()&gt;$T887,"OVERDUE","Due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IF($Q888&lt;&gt;"Yes","",IF(COUNTIFS(nrES_PID,$D888,nrES_Code,$F888,nrES_Att,2)&gt;0,"Retested",IF(OR($T888="",NOT(ISNUMBER($T888))),"Pending",IF(TODAY()&gt;$T888,"OVERDUE","Due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IF($Q889&lt;&gt;"Yes","",IF(COUNTIFS(nrES_PID,$D889,nrES_Code,$F889,nrES_Att,2)&gt;0,"Retested",IF(OR($T889="",NOT(ISNUMBER($T889))),"Pending",IF(TODAY()&gt;$T889,"OVERDUE","Due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IF($Q890&lt;&gt;"Yes","",IF(COUNTIFS(nrES_PID,$D890,nrES_Code,$F890,nrES_Att,2)&gt;0,"Retested",IF(OR($T890="",NOT(ISNUMBER($T890))),"Pending",IF(TODAY()&gt;$T890,"OVERDUE","Due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IF($Q891&lt;&gt;"Yes","",IF(COUNTIFS(nrES_PID,$D891,nrES_Code,$F891,nrES_Att,2)&gt;0,"Retested",IF(OR($T891="",NOT(ISNUMBER($T891))),"Pending",IF(TODAY()&gt;$T891,"OVERDUE","Due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IF($Q892&lt;&gt;"Yes","",IF(COUNTIFS(nrES_PID,$D892,nrES_Code,$F892,nrES_Att,2)&gt;0,"Retested",IF(OR($T892="",NOT(ISNUMBER($T892))),"Pending",IF(TODAY()&gt;$T892,"OVERDUE","Due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IF($Q893&lt;&gt;"Yes","",IF(COUNTIFS(nrES_PID,$D893,nrES_Code,$F893,nrES_Att,2)&gt;0,"Retested",IF(OR($T893="",NOT(ISNUMBER($T893))),"Pending",IF(TODAY()&gt;$T893,"OVERDUE","Due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IF($Q894&lt;&gt;"Yes","",IF(COUNTIFS(nrES_PID,$D894,nrES_Code,$F894,nrES_Att,2)&gt;0,"Retested",IF(OR($T894="",NOT(ISNUMBER($T894))),"Pending",IF(TODAY()&gt;$T894,"OVERDUE","Due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IF($Q895&lt;&gt;"Yes","",IF(COUNTIFS(nrES_PID,$D895,nrES_Code,$F895,nrES_Att,2)&gt;0,"Retested",IF(OR($T895="",NOT(ISNUMBER($T895))),"Pending",IF(TODAY()&gt;$T895,"OVERDUE","Due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IF($Q896&lt;&gt;"Yes","",IF(COUNTIFS(nrES_PID,$D896,nrES_Code,$F896,nrES_Att,2)&gt;0,"Retested",IF(OR($T896="",NOT(ISNUMBER($T896))),"Pending",IF(TODAY()&gt;$T896,"OVERDUE","Due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IF($Q897&lt;&gt;"Yes","",IF(COUNTIFS(nrES_PID,$D897,nrES_Code,$F897,nrES_Att,2)&gt;0,"Retested",IF(OR($T897="",NOT(ISNUMBER($T897))),"Pending",IF(TODAY()&gt;$T897,"OVERDUE","Due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IF($Q898&lt;&gt;"Yes","",IF(COUNTIFS(nrES_PID,$D898,nrES_Code,$F898,nrES_Att,2)&gt;0,"Retested",IF(OR($T898="",NOT(ISNUMBER($T898))),"Pending",IF(TODAY()&gt;$T898,"OVERDUE","Due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IF($Q899&lt;&gt;"Yes","",IF(COUNTIFS(nrES_PID,$D899,nrES_Code,$F899,nrES_Att,2)&gt;0,"Retested",IF(OR($T899="",NOT(ISNUMBER($T899))),"Pending",IF(TODAY()&gt;$T899,"OVERDUE","Due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IF($Q900&lt;&gt;"Yes","",IF(COUNTIFS(nrES_PID,$D900,nrES_Code,$F900,nrES_Att,2)&gt;0,"Retested",IF(OR($T900="",NOT(ISNUMBER($T900))),"Pending",IF(TODAY()&gt;$T900,"OVERDUE","Due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IF($Q901&lt;&gt;"Yes","",IF(COUNTIFS(nrES_PID,$D901,nrES_Code,$F901,nrES_Att,2)&gt;0,"Retested",IF(OR($T901="",NOT(ISNUMBER($T901))),"Pending",IF(TODAY()&gt;$T901,"OVERDUE","Due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IF($Q902&lt;&gt;"Yes","",IF(COUNTIFS(nrES_PID,$D902,nrES_Code,$F902,nrES_Att,2)&gt;0,"Retested",IF(OR($T902="",NOT(ISNUMBER($T902))),"Pending",IF(TODAY()&gt;$T902,"OVERDUE","Due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IF($Q903&lt;&gt;"Yes","",IF(COUNTIFS(nrES_PID,$D903,nrES_Code,$F903,nrES_Att,2)&gt;0,"Retested",IF(OR($T903="",NOT(ISNUMBER($T903))),"Pending",IF(TODAY()&gt;$T903,"OVERDUE","Due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IF($Q904&lt;&gt;"Yes","",IF(COUNTIFS(nrES_PID,$D904,nrES_Code,$F904,nrES_Att,2)&gt;0,"Retested",IF(OR($T904="",NOT(ISNUMBER($T904))),"Pending",IF(TODAY()&gt;$T904,"OVERDUE","Due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IF($Q905&lt;&gt;"Yes","",IF(COUNTIFS(nrES_PID,$D905,nrES_Code,$F905,nrES_Att,2)&gt;0,"Retested",IF(OR($T905="",NOT(ISNUMBER($T905))),"Pending",IF(TODAY()&gt;$T905,"OVERDUE","Due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IF($Q906&lt;&gt;"Yes","",IF(COUNTIFS(nrES_PID,$D906,nrES_Code,$F906,nrES_Att,2)&gt;0,"Retested",IF(OR($T906="",NOT(ISNUMBER($T906))),"Pending",IF(TODAY()&gt;$T906,"OVERDUE","Due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IF($Q907&lt;&gt;"Yes","",IF(COUNTIFS(nrES_PID,$D907,nrES_Code,$F907,nrES_Att,2)&gt;0,"Retested",IF(OR($T907="",NOT(ISNUMBER($T907))),"Pending",IF(TODAY()&gt;$T907,"OVERDUE","Due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IF($Q908&lt;&gt;"Yes","",IF(COUNTIFS(nrES_PID,$D908,nrES_Code,$F908,nrES_Att,2)&gt;0,"Retested",IF(OR($T908="",NOT(ISNUMBER($T908))),"Pending",IF(TODAY()&gt;$T908,"OVERDUE","Due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IF($Q909&lt;&gt;"Yes","",IF(COUNTIFS(nrES_PID,$D909,nrES_Code,$F909,nrES_Att,2)&gt;0,"Retested",IF(OR($T909="",NOT(ISNUMBER($T909))),"Pending",IF(TODAY()&gt;$T909,"OVERDUE","Due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IF($Q910&lt;&gt;"Yes","",IF(COUNTIFS(nrES_PID,$D910,nrES_Code,$F910,nrES_Att,2)&gt;0,"Retested",IF(OR($T910="",NOT(ISNUMBER($T910))),"Pending",IF(TODAY()&gt;$T910,"OVERDUE","Due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IF($Q911&lt;&gt;"Yes","",IF(COUNTIFS(nrES_PID,$D911,nrES_Code,$F911,nrES_Att,2)&gt;0,"Retested",IF(OR($T911="",NOT(ISNUMBER($T911))),"Pending",IF(TODAY()&gt;$T911,"OVERDUE","Due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IF($Q912&lt;&gt;"Yes","",IF(COUNTIFS(nrES_PID,$D912,nrES_Code,$F912,nrES_Att,2)&gt;0,"Retested",IF(OR($T912="",NOT(ISNUMBER($T912))),"Pending",IF(TODAY()&gt;$T912,"OVERDUE","Due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IF($Q913&lt;&gt;"Yes","",IF(COUNTIFS(nrES_PID,$D913,nrES_Code,$F913,nrES_Att,2)&gt;0,"Retested",IF(OR($T913="",NOT(ISNUMBER($T913))),"Pending",IF(TODAY()&gt;$T913,"OVERDUE","Due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IF($Q914&lt;&gt;"Yes","",IF(COUNTIFS(nrES_PID,$D914,nrES_Code,$F914,nrES_Att,2)&gt;0,"Retested",IF(OR($T914="",NOT(ISNUMBER($T914))),"Pending",IF(TODAY()&gt;$T914,"OVERDUE","Due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IF($Q915&lt;&gt;"Yes","",IF(COUNTIFS(nrES_PID,$D915,nrES_Code,$F915,nrES_Att,2)&gt;0,"Retested",IF(OR($T915="",NOT(ISNUMBER($T915))),"Pending",IF(TODAY()&gt;$T915,"OVERDUE","Due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IF($Q916&lt;&gt;"Yes","",IF(COUNTIFS(nrES_PID,$D916,nrES_Code,$F916,nrES_Att,2)&gt;0,"Retested",IF(OR($T916="",NOT(ISNUMBER($T916))),"Pending",IF(TODAY()&gt;$T916,"OVERDUE","Due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IF($Q917&lt;&gt;"Yes","",IF(COUNTIFS(nrES_PID,$D917,nrES_Code,$F917,nrES_Att,2)&gt;0,"Retested",IF(OR($T917="",NOT(ISNUMBER($T917))),"Pending",IF(TODAY()&gt;$T917,"OVERDUE","Due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IF($Q918&lt;&gt;"Yes","",IF(COUNTIFS(nrES_PID,$D918,nrES_Code,$F918,nrES_Att,2)&gt;0,"Retested",IF(OR($T918="",NOT(ISNUMBER($T918))),"Pending",IF(TODAY()&gt;$T918,"OVERDUE","Due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IF($Q919&lt;&gt;"Yes","",IF(COUNTIFS(nrES_PID,$D919,nrES_Code,$F919,nrES_Att,2)&gt;0,"Retested",IF(OR($T919="",NOT(ISNUMBER($T919))),"Pending",IF(TODAY()&gt;$T919,"OVERDUE","Due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IF($Q920&lt;&gt;"Yes","",IF(COUNTIFS(nrES_PID,$D920,nrES_Code,$F920,nrES_Att,2)&gt;0,"Retested",IF(OR($T920="",NOT(ISNUMBER($T920))),"Pending",IF(TODAY()&gt;$T920,"OVERDUE","Due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IF($Q921&lt;&gt;"Yes","",IF(COUNTIFS(nrES_PID,$D921,nrES_Code,$F921,nrES_Att,2)&gt;0,"Retested",IF(OR($T921="",NOT(ISNUMBER($T921))),"Pending",IF(TODAY()&gt;$T921,"OVERDUE","Due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IF($Q922&lt;&gt;"Yes","",IF(COUNTIFS(nrES_PID,$D922,nrES_Code,$F922,nrES_Att,2)&gt;0,"Retested",IF(OR($T922="",NOT(ISNUMBER($T922))),"Pending",IF(TODAY()&gt;$T922,"OVERDUE","Due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IF($Q923&lt;&gt;"Yes","",IF(COUNTIFS(nrES_PID,$D923,nrES_Code,$F923,nrES_Att,2)&gt;0,"Retested",IF(OR($T923="",NOT(ISNUMBER($T923))),"Pending",IF(TODAY()&gt;$T923,"OVERDUE","Due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IF($Q924&lt;&gt;"Yes","",IF(COUNTIFS(nrES_PID,$D924,nrES_Code,$F924,nrES_Att,2)&gt;0,"Retested",IF(OR($T924="",NOT(ISNUMBER($T924))),"Pending",IF(TODAY()&gt;$T924,"OVERDUE","Due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IF($Q925&lt;&gt;"Yes","",IF(COUNTIFS(nrES_PID,$D925,nrES_Code,$F925,nrES_Att,2)&gt;0,"Retested",IF(OR($T925="",NOT(ISNUMBER($T925))),"Pending",IF(TODAY()&gt;$T925,"OVERDUE","Due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IF($Q926&lt;&gt;"Yes","",IF(COUNTIFS(nrES_PID,$D926,nrES_Code,$F926,nrES_Att,2)&gt;0,"Retested",IF(OR($T926="",NOT(ISNUMBER($T926))),"Pending",IF(TODAY()&gt;$T926,"OVERDUE","Due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IF($Q927&lt;&gt;"Yes","",IF(COUNTIFS(nrES_PID,$D927,nrES_Code,$F927,nrES_Att,2)&gt;0,"Retested",IF(OR($T927="",NOT(ISNUMBER($T927))),"Pending",IF(TODAY()&gt;$T927,"OVERDUE","Due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IF($Q928&lt;&gt;"Yes","",IF(COUNTIFS(nrES_PID,$D928,nrES_Code,$F928,nrES_Att,2)&gt;0,"Retested",IF(OR($T928="",NOT(ISNUMBER($T928))),"Pending",IF(TODAY()&gt;$T928,"OVERDUE","Due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IF($Q929&lt;&gt;"Yes","",IF(COUNTIFS(nrES_PID,$D929,nrES_Code,$F929,nrES_Att,2)&gt;0,"Retested",IF(OR($T929="",NOT(ISNUMBER($T929))),"Pending",IF(TODAY()&gt;$T929,"OVERDUE","Due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IF($Q930&lt;&gt;"Yes","",IF(COUNTIFS(nrES_PID,$D930,nrES_Code,$F930,nrES_Att,2)&gt;0,"Retested",IF(OR($T930="",NOT(ISNUMBER($T930))),"Pending",IF(TODAY()&gt;$T930,"OVERDUE","Due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IF($Q931&lt;&gt;"Yes","",IF(COUNTIFS(nrES_PID,$D931,nrES_Code,$F931,nrES_Att,2)&gt;0,"Retested",IF(OR($T931="",NOT(ISNUMBER($T931))),"Pending",IF(TODAY()&gt;$T931,"OVERDUE","Due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IF($Q932&lt;&gt;"Yes","",IF(COUNTIFS(nrES_PID,$D932,nrES_Code,$F932,nrES_Att,2)&gt;0,"Retested",IF(OR($T932="",NOT(ISNUMBER($T932))),"Pending",IF(TODAY()&gt;$T932,"OVERDUE","Due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IF($Q933&lt;&gt;"Yes","",IF(COUNTIFS(nrES_PID,$D933,nrES_Code,$F933,nrES_Att,2)&gt;0,"Retested",IF(OR($T933="",NOT(ISNUMBER($T933))),"Pending",IF(TODAY()&gt;$T933,"OVERDUE","Due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IF($Q934&lt;&gt;"Yes","",IF(COUNTIFS(nrES_PID,$D934,nrES_Code,$F934,nrES_Att,2)&gt;0,"Retested",IF(OR($T934="",NOT(ISNUMBER($T934))),"Pending",IF(TODAY()&gt;$T934,"OVERDUE","Due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IF($Q935&lt;&gt;"Yes","",IF(COUNTIFS(nrES_PID,$D935,nrES_Code,$F935,nrES_Att,2)&gt;0,"Retested",IF(OR($T935="",NOT(ISNUMBER($T935))),"Pending",IF(TODAY()&gt;$T935,"OVERDUE","Due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IF($Q936&lt;&gt;"Yes","",IF(COUNTIFS(nrES_PID,$D936,nrES_Code,$F936,nrES_Att,2)&gt;0,"Retested",IF(OR($T936="",NOT(ISNUMBER($T936))),"Pending",IF(TODAY()&gt;$T936,"OVERDUE","Due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IF($Q937&lt;&gt;"Yes","",IF(COUNTIFS(nrES_PID,$D937,nrES_Code,$F937,nrES_Att,2)&gt;0,"Retested",IF(OR($T937="",NOT(ISNUMBER($T937))),"Pending",IF(TODAY()&gt;$T937,"OVERDUE","Due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IF($Q938&lt;&gt;"Yes","",IF(COUNTIFS(nrES_PID,$D938,nrES_Code,$F938,nrES_Att,2)&gt;0,"Retested",IF(OR($T938="",NOT(ISNUMBER($T938))),"Pending",IF(TODAY()&gt;$T938,"OVERDUE","Due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IF($Q939&lt;&gt;"Yes","",IF(COUNTIFS(nrES_PID,$D939,nrES_Code,$F939,nrES_Att,2)&gt;0,"Retested",IF(OR($T939="",NOT(ISNUMBER($T939))),"Pending",IF(TODAY()&gt;$T939,"OVERDUE","Due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IF($Q940&lt;&gt;"Yes","",IF(COUNTIFS(nrES_PID,$D940,nrES_Code,$F940,nrES_Att,2)&gt;0,"Retested",IF(OR($T940="",NOT(ISNUMBER($T940))),"Pending",IF(TODAY()&gt;$T940,"OVERDUE","Due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IF($Q941&lt;&gt;"Yes","",IF(COUNTIFS(nrES_PID,$D941,nrES_Code,$F941,nrES_Att,2)&gt;0,"Retested",IF(OR($T941="",NOT(ISNUMBER($T941))),"Pending",IF(TODAY()&gt;$T941,"OVERDUE","Due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IF($Q942&lt;&gt;"Yes","",IF(COUNTIFS(nrES_PID,$D942,nrES_Code,$F942,nrES_Att,2)&gt;0,"Retested",IF(OR($T942="",NOT(ISNUMBER($T942))),"Pending",IF(TODAY()&gt;$T942,"OVERDUE","Due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IF($Q943&lt;&gt;"Yes","",IF(COUNTIFS(nrES_PID,$D943,nrES_Code,$F943,nrES_Att,2)&gt;0,"Retested",IF(OR($T943="",NOT(ISNUMBER($T943))),"Pending",IF(TODAY()&gt;$T943,"OVERDUE","Due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IF($Q944&lt;&gt;"Yes","",IF(COUNTIFS(nrES_PID,$D944,nrES_Code,$F944,nrES_Att,2)&gt;0,"Retested",IF(OR($T944="",NOT(ISNUMBER($T944))),"Pending",IF(TODAY()&gt;$T944,"OVERDUE","Due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IF($Q945&lt;&gt;"Yes","",IF(COUNTIFS(nrES_PID,$D945,nrES_Code,$F945,nrES_Att,2)&gt;0,"Retested",IF(OR($T945="",NOT(ISNUMBER($T945))),"Pending",IF(TODAY()&gt;$T945,"OVERDUE","Due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IF($Q946&lt;&gt;"Yes","",IF(COUNTIFS(nrES_PID,$D946,nrES_Code,$F946,nrES_Att,2)&gt;0,"Retested",IF(OR($T946="",NOT(ISNUMBER($T946))),"Pending",IF(TODAY()&gt;$T946,"OVERDUE","Due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IF($Q947&lt;&gt;"Yes","",IF(COUNTIFS(nrES_PID,$D947,nrES_Code,$F947,nrES_Att,2)&gt;0,"Retested",IF(OR($T947="",NOT(ISNUMBER($T947))),"Pending",IF(TODAY()&gt;$T947,"OVERDUE","Due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IF($Q948&lt;&gt;"Yes","",IF(COUNTIFS(nrES_PID,$D948,nrES_Code,$F948,nrES_Att,2)&gt;0,"Retested",IF(OR($T948="",NOT(ISNUMBER($T948))),"Pending",IF(TODAY()&gt;$T948,"OVERDUE","Due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IF($Q949&lt;&gt;"Yes","",IF(COUNTIFS(nrES_PID,$D949,nrES_Code,$F949,nrES_Att,2)&gt;0,"Retested",IF(OR($T949="",NOT(ISNUMBER($T949))),"Pending",IF(TODAY()&gt;$T949,"OVERDUE","Due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IF($Q950&lt;&gt;"Yes","",IF(COUNTIFS(nrES_PID,$D950,nrES_Code,$F950,nrES_Att,2)&gt;0,"Retested",IF(OR($T950="",NOT(ISNUMBER($T950))),"Pending",IF(TODAY()&gt;$T950,"OVERDUE","Due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IF($Q951&lt;&gt;"Yes","",IF(COUNTIFS(nrES_PID,$D951,nrES_Code,$F951,nrES_Att,2)&gt;0,"Retested",IF(OR($T951="",NOT(ISNUMBER($T951))),"Pending",IF(TODAY()&gt;$T951,"OVERDUE","Due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IF($Q952&lt;&gt;"Yes","",IF(COUNTIFS(nrES_PID,$D952,nrES_Code,$F952,nrES_Att,2)&gt;0,"Retested",IF(OR($T952="",NOT(ISNUMBER($T952))),"Pending",IF(TODAY()&gt;$T952,"OVERDUE","Due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IF($Q953&lt;&gt;"Yes","",IF(COUNTIFS(nrES_PID,$D953,nrES_Code,$F953,nrES_Att,2)&gt;0,"Retested",IF(OR($T953="",NOT(ISNUMBER($T953))),"Pending",IF(TODAY()&gt;$T953,"OVERDUE","Due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IF($Q954&lt;&gt;"Yes","",IF(COUNTIFS(nrES_PID,$D954,nrES_Code,$F954,nrES_Att,2)&gt;0,"Retested",IF(OR($T954="",NOT(ISNUMBER($T954))),"Pending",IF(TODAY()&gt;$T954,"OVERDUE","Due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IF($Q955&lt;&gt;"Yes","",IF(COUNTIFS(nrES_PID,$D955,nrES_Code,$F955,nrES_Att,2)&gt;0,"Retested",IF(OR($T955="",NOT(ISNUMBER($T955))),"Pending",IF(TODAY()&gt;$T955,"OVERDUE","Due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IF($Q956&lt;&gt;"Yes","",IF(COUNTIFS(nrES_PID,$D956,nrES_Code,$F956,nrES_Att,2)&gt;0,"Retested",IF(OR($T956="",NOT(ISNUMBER($T956))),"Pending",IF(TODAY()&gt;$T956,"OVERDUE","Due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IF($Q957&lt;&gt;"Yes","",IF(COUNTIFS(nrES_PID,$D957,nrES_Code,$F957,nrES_Att,2)&gt;0,"Retested",IF(OR($T957="",NOT(ISNUMBER($T957))),"Pending",IF(TODAY()&gt;$T957,"OVERDUE","Due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IF($Q958&lt;&gt;"Yes","",IF(COUNTIFS(nrES_PID,$D958,nrES_Code,$F958,nrES_Att,2)&gt;0,"Retested",IF(OR($T958="",NOT(ISNUMBER($T958))),"Pending",IF(TODAY()&gt;$T958,"OVERDUE","Due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IF($Q959&lt;&gt;"Yes","",IF(COUNTIFS(nrES_PID,$D959,nrES_Code,$F959,nrES_Att,2)&gt;0,"Retested",IF(OR($T959="",NOT(ISNUMBER($T959))),"Pending",IF(TODAY()&gt;$T959,"OVERDUE","Due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IF($Q960&lt;&gt;"Yes","",IF(COUNTIFS(nrES_PID,$D960,nrES_Code,$F960,nrES_Att,2)&gt;0,"Retested",IF(OR($T960="",NOT(ISNUMBER($T960))),"Pending",IF(TODAY()&gt;$T960,"OVERDUE","Due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IF($Q961&lt;&gt;"Yes","",IF(COUNTIFS(nrES_PID,$D961,nrES_Code,$F961,nrES_Att,2)&gt;0,"Retested",IF(OR($T961="",NOT(ISNUMBER($T961))),"Pending",IF(TODAY()&gt;$T961,"OVERDUE","Due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IF($Q962&lt;&gt;"Yes","",IF(COUNTIFS(nrES_PID,$D962,nrES_Code,$F962,nrES_Att,2)&gt;0,"Retested",IF(OR($T962="",NOT(ISNUMBER($T962))),"Pending",IF(TODAY()&gt;$T962,"OVERDUE","Due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IF($Q963&lt;&gt;"Yes","",IF(COUNTIFS(nrES_PID,$D963,nrES_Code,$F963,nrES_Att,2)&gt;0,"Retested",IF(OR($T963="",NOT(ISNUMBER($T963))),"Pending",IF(TODAY()&gt;$T963,"OVERDUE","Due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IF($Q964&lt;&gt;"Yes","",IF(COUNTIFS(nrES_PID,$D964,nrES_Code,$F964,nrES_Att,2)&gt;0,"Retested",IF(OR($T964="",NOT(ISNUMBER($T964))),"Pending",IF(TODAY()&gt;$T964,"OVERDUE","Due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IF($Q965&lt;&gt;"Yes","",IF(COUNTIFS(nrES_PID,$D965,nrES_Code,$F965,nrES_Att,2)&gt;0,"Retested",IF(OR($T965="",NOT(ISNUMBER($T965))),"Pending",IF(TODAY()&gt;$T965,"OVERDUE","Due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IF($Q966&lt;&gt;"Yes","",IF(COUNTIFS(nrES_PID,$D966,nrES_Code,$F966,nrES_Att,2)&gt;0,"Retested",IF(OR($T966="",NOT(ISNUMBER($T966))),"Pending",IF(TODAY()&gt;$T966,"OVERDUE","Due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IF($Q967&lt;&gt;"Yes","",IF(COUNTIFS(nrES_PID,$D967,nrES_Code,$F967,nrES_Att,2)&gt;0,"Retested",IF(OR($T967="",NOT(ISNUMBER($T967))),"Pending",IF(TODAY()&gt;$T967,"OVERDUE","Due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IF($Q968&lt;&gt;"Yes","",IF(COUNTIFS(nrES_PID,$D968,nrES_Code,$F968,nrES_Att,2)&gt;0,"Retested",IF(OR($T968="",NOT(ISNUMBER($T968))),"Pending",IF(TODAY()&gt;$T968,"OVERDUE","Due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IF($Q969&lt;&gt;"Yes","",IF(COUNTIFS(nrES_PID,$D969,nrES_Code,$F969,nrES_Att,2)&gt;0,"Retested",IF(OR($T969="",NOT(ISNUMBER($T969))),"Pending",IF(TODAY()&gt;$T969,"OVERDUE","Due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IF($Q970&lt;&gt;"Yes","",IF(COUNTIFS(nrES_PID,$D970,nrES_Code,$F970,nrES_Att,2)&gt;0,"Retested",IF(OR($T970="",NOT(ISNUMBER($T970))),"Pending",IF(TODAY()&gt;$T970,"OVERDUE","Due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IF($Q971&lt;&gt;"Yes","",IF(COUNTIFS(nrES_PID,$D971,nrES_Code,$F971,nrES_Att,2)&gt;0,"Retested",IF(OR($T971="",NOT(ISNUMBER($T971))),"Pending",IF(TODAY()&gt;$T971,"OVERDUE","Due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IF($Q972&lt;&gt;"Yes","",IF(COUNTIFS(nrES_PID,$D972,nrES_Code,$F972,nrES_Att,2)&gt;0,"Retested",IF(OR($T972="",NOT(ISNUMBER($T972))),"Pending",IF(TODAY()&gt;$T972,"OVERDUE","Due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IF($Q973&lt;&gt;"Yes","",IF(COUNTIFS(nrES_PID,$D973,nrES_Code,$F973,nrES_Att,2)&gt;0,"Retested",IF(OR($T973="",NOT(ISNUMBER($T973))),"Pending",IF(TODAY()&gt;$T973,"OVERDUE","Due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IF($Q974&lt;&gt;"Yes","",IF(COUNTIFS(nrES_PID,$D974,nrES_Code,$F974,nrES_Att,2)&gt;0,"Retested",IF(OR($T974="",NOT(ISNUMBER($T974))),"Pending",IF(TODAY()&gt;$T974,"OVERDUE","Due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IF($Q975&lt;&gt;"Yes","",IF(COUNTIFS(nrES_PID,$D975,nrES_Code,$F975,nrES_Att,2)&gt;0,"Retested",IF(OR($T975="",NOT(ISNUMBER($T975))),"Pending",IF(TODAY()&gt;$T975,"OVERDUE","Due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IF($Q976&lt;&gt;"Yes","",IF(COUNTIFS(nrES_PID,$D976,nrES_Code,$F976,nrES_Att,2)&gt;0,"Retested",IF(OR($T976="",NOT(ISNUMBER($T976))),"Pending",IF(TODAY()&gt;$T976,"OVERDUE","Due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IF($Q977&lt;&gt;"Yes","",IF(COUNTIFS(nrES_PID,$D977,nrES_Code,$F977,nrES_Att,2)&gt;0,"Retested",IF(OR($T977="",NOT(ISNUMBER($T977))),"Pending",IF(TODAY()&gt;$T977,"OVERDUE","Due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IF($Q978&lt;&gt;"Yes","",IF(COUNTIFS(nrES_PID,$D978,nrES_Code,$F978,nrES_Att,2)&gt;0,"Retested",IF(OR($T978="",NOT(ISNUMBER($T978))),"Pending",IF(TODAY()&gt;$T978,"OVERDUE","Due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IF($Q979&lt;&gt;"Yes","",IF(COUNTIFS(nrES_PID,$D979,nrES_Code,$F979,nrES_Att,2)&gt;0,"Retested",IF(OR($T979="",NOT(ISNUMBER($T979))),"Pending",IF(TODAY()&gt;$T979,"OVERDUE","Due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IF($Q980&lt;&gt;"Yes","",IF(COUNTIFS(nrES_PID,$D980,nrES_Code,$F980,nrES_Att,2)&gt;0,"Retested",IF(OR($T980="",NOT(ISNUMBER($T980))),"Pending",IF(TODAY()&gt;$T980,"OVERDUE","Due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IF($Q981&lt;&gt;"Yes","",IF(COUNTIFS(nrES_PID,$D981,nrES_Code,$F981,nrES_Att,2)&gt;0,"Retested",IF(OR($T981="",NOT(ISNUMBER($T981))),"Pending",IF(TODAY()&gt;$T981,"OVERDUE","Due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IF($Q982&lt;&gt;"Yes","",IF(COUNTIFS(nrES_PID,$D982,nrES_Code,$F982,nrES_Att,2)&gt;0,"Retested",IF(OR($T982="",NOT(ISNUMBER($T982))),"Pending",IF(TODAY()&gt;$T982,"OVERDUE","Due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IF($Q983&lt;&gt;"Yes","",IF(COUNTIFS(nrES_PID,$D983,nrES_Code,$F983,nrES_Att,2)&gt;0,"Retested",IF(OR($T983="",NOT(ISNUMBER($T983))),"Pending",IF(TODAY()&gt;$T983,"OVERDUE","Due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IF($Q984&lt;&gt;"Yes","",IF(COUNTIFS(nrES_PID,$D984,nrES_Code,$F984,nrES_Att,2)&gt;0,"Retested",IF(OR($T984="",NOT(ISNUMBER($T984))),"Pending",IF(TODAY()&gt;$T984,"OVERDUE","Due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IF($Q985&lt;&gt;"Yes","",IF(COUNTIFS(nrES_PID,$D985,nrES_Code,$F985,nrES_Att,2)&gt;0,"Retested",IF(OR($T985="",NOT(ISNUMBER($T985))),"Pending",IF(TODAY()&gt;$T985,"OVERDUE","Due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IF($Q986&lt;&gt;"Yes","",IF(COUNTIFS(nrES_PID,$D986,nrES_Code,$F986,nrES_Att,2)&gt;0,"Retested",IF(OR($T986="",NOT(ISNUMBER($T986))),"Pending",IF(TODAY()&gt;$T986,"OVERDUE","Due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IF($Q987&lt;&gt;"Yes","",IF(COUNTIFS(nrES_PID,$D987,nrES_Code,$F987,nrES_Att,2)&gt;0,"Retested",IF(OR($T987="",NOT(ISNUMBER($T987))),"Pending",IF(TODAY()&gt;$T987,"OVERDUE","Due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IF($Q988&lt;&gt;"Yes","",IF(COUNTIFS(nrES_PID,$D988,nrES_Code,$F988,nrES_Att,2)&gt;0,"Retested",IF(OR($T988="",NOT(ISNUMBER($T988))),"Pending",IF(TODAY()&gt;$T988,"OVERDUE","Due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IF($Q989&lt;&gt;"Yes","",IF(COUNTIFS(nrES_PID,$D989,nrES_Code,$F989,nrES_Att,2)&gt;0,"Retested",IF(OR($T989="",NOT(ISNUMBER($T989))),"Pending",IF(TODAY()&gt;$T989,"OVERDUE","Due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IF($Q990&lt;&gt;"Yes","",IF(COUNTIFS(nrES_PID,$D990,nrES_Code,$F990,nrES_Att,2)&gt;0,"Retested",IF(OR($T990="",NOT(ISNUMBER($T990))),"Pending",IF(TODAY()&gt;$T990,"OVERDUE","Due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IF($Q991&lt;&gt;"Yes","",IF(COUNTIFS(nrES_PID,$D991,nrES_Code,$F991,nrES_Att,2)&gt;0,"Retested",IF(OR($T991="",NOT(ISNUMBER($T991))),"Pending",IF(TODAY()&gt;$T991,"OVERDUE","Due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IF($Q992&lt;&gt;"Yes","",IF(COUNTIFS(nrES_PID,$D992,nrES_Code,$F992,nrES_Att,2)&gt;0,"Retested",IF(OR($T992="",NOT(ISNUMBER($T992))),"Pending",IF(TODAY()&gt;$T992,"OVERDUE","Due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IF($Q993&lt;&gt;"Yes","",IF(COUNTIFS(nrES_PID,$D993,nrES_Code,$F993,nrES_Att,2)&gt;0,"Retested",IF(OR($T993="",NOT(ISNUMBER($T993))),"Pending",IF(TODAY()&gt;$T993,"OVERDUE","Due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IF($Q994&lt;&gt;"Yes","",IF(COUNTIFS(nrES_PID,$D994,nrES_Code,$F994,nrES_Att,2)&gt;0,"Retested",IF(OR($T994="",NOT(ISNUMBER($T994))),"Pending",IF(TODAY()&gt;$T994,"OVERDUE","Due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IF($Q995&lt;&gt;"Yes","",IF(COUNTIFS(nrES_PID,$D995,nrES_Code,$F995,nrES_Att,2)&gt;0,"Retested",IF(OR($T995="",NOT(ISNUMBER($T995))),"Pending",IF(TODAY()&gt;$T995,"OVERDUE","Due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IF($Q996&lt;&gt;"Yes","",IF(COUNTIFS(nrES_PID,$D996,nrES_Code,$F996,nrES_Att,2)&gt;0,"Retested",IF(OR($T996="",NOT(ISNUMBER($T996))),"Pending",IF(TODAY()&gt;$T996,"OVERDUE","Due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IF($Q997&lt;&gt;"Yes","",IF(COUNTIFS(nrES_PID,$D997,nrES_Code,$F997,nrES_Att,2)&gt;0,"Retested",IF(OR($T997="",NOT(ISNUMBER($T997))),"Pending",IF(TODAY()&gt;$T997,"OVERDUE","Due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IF($Q998&lt;&gt;"Yes","",IF(COUNTIFS(nrES_PID,$D998,nrES_Code,$F998,nrES_Att,2)&gt;0,"Retested",IF(OR($T998="",NOT(ISNUMBER($T998))),"Pending",IF(TODAY()&gt;$T998,"OVERDUE","Due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IF($Q999&lt;&gt;"Yes","",IF(COUNTIFS(nrES_PID,$D999,nrES_Code,$F999,nrES_Att,2)&gt;0,"Retested",IF(OR($T999="",NOT(ISNUMBER($T999))),"Pending",IF(TODAY()&gt;$T999,"OVERDUE","Due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IF($Q1000&lt;&gt;"Yes","",IF(COUNTIFS(nrES_PID,$D1000,nrES_Code,$F1000,nrES_Att,2)&gt;0,"Retested",IF(OR($T1000="",NOT(ISNUMBER($T1000))),"Pending",IF(TODAY()&gt;$T1000,"OVERDUE","Due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IF($Q1001&lt;&gt;"Yes","",IF(COUNTIFS(nrES_PID,$D1001,nrES_Code,$F1001,nrES_Att,2)&gt;0,"Retested",IF(OR($T1001="",NOT(ISNUMBER($T1001))),"Pending",IF(TODAY()&gt;$T1001,"OVERDUE","Due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IF($Q1002&lt;&gt;"Yes","",IF(COUNTIFS(nrES_PID,$D1002,nrES_Code,$F1002,nrES_Att,2)&gt;0,"Retested",IF(OR($T1002="",NOT(ISNUMBER($T1002))),"Pending",IF(TODAY()&gt;$T1002,"OVERDUE","Due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IF($Q1003&lt;&gt;"Yes","",IF(COUNTIFS(nrES_PID,$D1003,nrES_Code,$F1003,nrES_Att,2)&gt;0,"Retested",IF(OR($T1003="",NOT(ISNUMBER($T1003))),"Pending",IF(TODAY()&gt;$T1003,"OVERDUE","Due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IF($Q1004&lt;&gt;"Yes","",IF(COUNTIFS(nrES_PID,$D1004,nrES_Code,$F1004,nrES_Att,2)&gt;0,"Retested",IF(OR($T1004="",NOT(ISNUMBER($T1004))),"Pending",IF(TODAY()&gt;$T1004,"OVERDUE","Due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IF($Q1005&lt;&gt;"Yes","",IF(COUNTIFS(nrES_PID,$D1005,nrES_Code,$F1005,nrES_Att,2)&gt;0,"Retested",IF(OR($T1005="",NOT(ISNUMBER($T1005))),"Pending",IF(TODAY()&gt;$T1005,"OVERDUE","Due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IF($Q1006&lt;&gt;"Yes","",IF(COUNTIFS(nrES_PID,$D1006,nrES_Code,$F1006,nrES_Att,2)&gt;0,"Retested",IF(OR($T1006="",NOT(ISNUMBER($T1006))),"Pending",IF(TODAY()&gt;$T1006,"OVERDUE","Due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IF($Q1007&lt;&gt;"Yes","",IF(COUNTIFS(nrES_PID,$D1007,nrES_Code,$F1007,nrES_Att,2)&gt;0,"Retested",IF(OR($T1007="",NOT(ISNUMBER($T1007))),"Pending",IF(TODAY()&gt;$T1007,"OVERDUE","Due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IF($Q1008&lt;&gt;"Yes","",IF(COUNTIFS(nrES_PID,$D1008,nrES_Code,$F1008,nrES_Att,2)&gt;0,"Retested",IF(OR($T1008="",NOT(ISNUMBER($T1008))),"Pending",IF(TODAY()&gt;$T1008,"OVERDUE","Due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IF($Q1009&lt;&gt;"Yes","",IF(COUNTIFS(nrES_PID,$D1009,nrES_Code,$F1009,nrES_Att,2)&gt;0,"Retested",IF(OR($T1009="",NOT(ISNUMBER($T1009))),"Pending",IF(TODAY()&gt;$T1009,"OVERDUE","Due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IF($Q1010&lt;&gt;"Yes","",IF(COUNTIFS(nrES_PID,$D1010,nrES_Code,$F1010,nrES_Att,2)&gt;0,"Retested",IF(OR($T1010="",NOT(ISNUMBER($T1010))),"Pending",IF(TODAY()&gt;$T1010,"OVERDUE","Due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IF($Q1011&lt;&gt;"Yes","",IF(COUNTIFS(nrES_PID,$D1011,nrES_Code,$F1011,nrES_Att,2)&gt;0,"Retested",IF(OR($T1011="",NOT(ISNUMBER($T1011))),"Pending",IF(TODAY()&gt;$T1011,"OVERDUE","Due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IF($Q1012&lt;&gt;"Yes","",IF(COUNTIFS(nrES_PID,$D1012,nrES_Code,$F1012,nrES_Att,2)&gt;0,"Retested",IF(OR($T1012="",NOT(ISNUMBER($T1012))),"Pending",IF(TODAY()&gt;$T1012,"OVERDUE","Due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IF($Q1013&lt;&gt;"Yes","",IF(COUNTIFS(nrES_PID,$D1013,nrES_Code,$F1013,nrES_Att,2)&gt;0,"Retested",IF(OR($T1013="",NOT(ISNUMBER($T1013))),"Pending",IF(TODAY()&gt;$T1013,"OVERDUE","Due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IF($Q1014&lt;&gt;"Yes","",IF(COUNTIFS(nrES_PID,$D1014,nrES_Code,$F1014,nrES_Att,2)&gt;0,"Retested",IF(OR($T1014="",NOT(ISNUMBER($T1014))),"Pending",IF(TODAY()&gt;$T1014,"OVERDUE","Due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IF($Q1015&lt;&gt;"Yes","",IF(COUNTIFS(nrES_PID,$D1015,nrES_Code,$F1015,nrES_Att,2)&gt;0,"Retested",IF(OR($T1015="",NOT(ISNUMBER($T1015))),"Pending",IF(TODAY()&gt;$T1015,"OVERDUE","Due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IF($Q1016&lt;&gt;"Yes","",IF(COUNTIFS(nrES_PID,$D1016,nrES_Code,$F1016,nrES_Att,2)&gt;0,"Retested",IF(OR($T1016="",NOT(ISNUMBER($T1016))),"Pending",IF(TODAY()&gt;$T1016,"OVERDUE","Due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IF($Q1017&lt;&gt;"Yes","",IF(COUNTIFS(nrES_PID,$D1017,nrES_Code,$F1017,nrES_Att,2)&gt;0,"Retested",IF(OR($T1017="",NOT(ISNUMBER($T1017))),"Pending",IF(TODAY()&gt;$T1017,"OVERDUE","Due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IF($Q1018&lt;&gt;"Yes","",IF(COUNTIFS(nrES_PID,$D1018,nrES_Code,$F1018,nrES_Att,2)&gt;0,"Retested",IF(OR($T1018="",NOT(ISNUMBER($T1018))),"Pending",IF(TODAY()&gt;$T1018,"OVERDUE","Due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IF($Q1019&lt;&gt;"Yes","",IF(COUNTIFS(nrES_PID,$D1019,nrES_Code,$F1019,nrES_Att,2)&gt;0,"Retested",IF(OR($T1019="",NOT(ISNUMBER($T1019))),"Pending",IF(TODAY()&gt;$T1019,"OVERDUE","Due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IF($Q1020&lt;&gt;"Yes","",IF(COUNTIFS(nrES_PID,$D1020,nrES_Code,$F1020,nrES_Att,2)&gt;0,"Retested",IF(OR($T1020="",NOT(ISNUMBER($T1020))),"Pending",IF(TODAY()&gt;$T1020,"OVERDUE","Due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IF($Q1021&lt;&gt;"Yes","",IF(COUNTIFS(nrES_PID,$D1021,nrES_Code,$F1021,nrES_Att,2)&gt;0,"Retested",IF(OR($T1021="",NOT(ISNUMBER($T1021))),"Pending",IF(TODAY()&gt;$T1021,"OVERDUE","Due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IF($Q1022&lt;&gt;"Yes","",IF(COUNTIFS(nrES_PID,$D1022,nrES_Code,$F1022,nrES_Att,2)&gt;0,"Retested",IF(OR($T1022="",NOT(ISNUMBER($T1022))),"Pending",IF(TODAY()&gt;$T1022,"OVERDUE","Due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IF($Q1023&lt;&gt;"Yes","",IF(COUNTIFS(nrES_PID,$D1023,nrES_Code,$F1023,nrES_Att,2)&gt;0,"Retested",IF(OR($T1023="",NOT(ISNUMBER($T1023))),"Pending",IF(TODAY()&gt;$T1023,"OVERDUE","Due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IF($Q1024&lt;&gt;"Yes","",IF(COUNTIFS(nrES_PID,$D1024,nrES_Code,$F1024,nrES_Att,2)&gt;0,"Retested",IF(OR($T1024="",NOT(ISNUMBER($T1024))),"Pending",IF(TODAY()&gt;$T1024,"OVERDUE","Due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IF($Q1025&lt;&gt;"Yes","",IF(COUNTIFS(nrES_PID,$D1025,nrES_Code,$F1025,nrES_Att,2)&gt;0,"Retested",IF(OR($T1025="",NOT(ISNUMBER($T1025))),"Pending",IF(TODAY()&gt;$T1025,"OVERDUE","Due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IF($Q1026&lt;&gt;"Yes","",IF(COUNTIFS(nrES_PID,$D1026,nrES_Code,$F1026,nrES_Att,2)&gt;0,"Retested",IF(OR($T1026="",NOT(ISNUMBER($T1026))),"Pending",IF(TODAY()&gt;$T1026,"OVERDUE","Due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IF($Q1027&lt;&gt;"Yes","",IF(COUNTIFS(nrES_PID,$D1027,nrES_Code,$F1027,nrES_Att,2)&gt;0,"Retested",IF(OR($T1027="",NOT(ISNUMBER($T1027))),"Pending",IF(TODAY()&gt;$T1027,"OVERDUE","Due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IF($Q1028&lt;&gt;"Yes","",IF(COUNTIFS(nrES_PID,$D1028,nrES_Code,$F1028,nrES_Att,2)&gt;0,"Retested",IF(OR($T1028="",NOT(ISNUMBER($T1028))),"Pending",IF(TODAY()&gt;$T1028,"OVERDUE","Due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IF($Q1029&lt;&gt;"Yes","",IF(COUNTIFS(nrES_PID,$D1029,nrES_Code,$F1029,nrES_Att,2)&gt;0,"Retested",IF(OR($T1029="",NOT(ISNUMBER($T1029))),"Pending",IF(TODAY()&gt;$T1029,"OVERDUE","Due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IF($Q1030&lt;&gt;"Yes","",IF(COUNTIFS(nrES_PID,$D1030,nrES_Code,$F1030,nrES_Att,2)&gt;0,"Retested",IF(OR($T1030="",NOT(ISNUMBER($T1030))),"Pending",IF(TODAY()&gt;$T1030,"OVERDUE","Due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IF($Q1031&lt;&gt;"Yes","",IF(COUNTIFS(nrES_PID,$D1031,nrES_Code,$F1031,nrES_Att,2)&gt;0,"Retested",IF(OR($T1031="",NOT(ISNUMBER($T1031))),"Pending",IF(TODAY()&gt;$T1031,"OVERDUE","Due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IF($Q1032&lt;&gt;"Yes","",IF(COUNTIFS(nrES_PID,$D1032,nrES_Code,$F1032,nrES_Att,2)&gt;0,"Retested",IF(OR($T1032="",NOT(ISNUMBER($T1032))),"Pending",IF(TODAY()&gt;$T1032,"OVERDUE","Due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IF($Q1033&lt;&gt;"Yes","",IF(COUNTIFS(nrES_PID,$D1033,nrES_Code,$F1033,nrES_Att,2)&gt;0,"Retested",IF(OR($T1033="",NOT(ISNUMBER($T1033))),"Pending",IF(TODAY()&gt;$T1033,"OVERDUE","Due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IF($Q1034&lt;&gt;"Yes","",IF(COUNTIFS(nrES_PID,$D1034,nrES_Code,$F1034,nrES_Att,2)&gt;0,"Retested",IF(OR($T1034="",NOT(ISNUMBER($T1034))),"Pending",IF(TODAY()&gt;$T1034,"OVERDUE","Due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IF($Q1035&lt;&gt;"Yes","",IF(COUNTIFS(nrES_PID,$D1035,nrES_Code,$F1035,nrES_Att,2)&gt;0,"Retested",IF(OR($T1035="",NOT(ISNUMBER($T1035))),"Pending",IF(TODAY()&gt;$T1035,"OVERDUE","Due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IF($Q1036&lt;&gt;"Yes","",IF(COUNTIFS(nrES_PID,$D1036,nrES_Code,$F1036,nrES_Att,2)&gt;0,"Retested",IF(OR($T1036="",NOT(ISNUMBER($T1036))),"Pending",IF(TODAY()&gt;$T1036,"OVERDUE","Due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IF($Q1037&lt;&gt;"Yes","",IF(COUNTIFS(nrES_PID,$D1037,nrES_Code,$F1037,nrES_Att,2)&gt;0,"Retested",IF(OR($T1037="",NOT(ISNUMBER($T1037))),"Pending",IF(TODAY()&gt;$T1037,"OVERDUE","Due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IF($Q1038&lt;&gt;"Yes","",IF(COUNTIFS(nrES_PID,$D1038,nrES_Code,$F1038,nrES_Att,2)&gt;0,"Retested",IF(OR($T1038="",NOT(ISNUMBER($T1038))),"Pending",IF(TODAY()&gt;$T1038,"OVERDUE","Due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IF($Q1039&lt;&gt;"Yes","",IF(COUNTIFS(nrES_PID,$D1039,nrES_Code,$F1039,nrES_Att,2)&gt;0,"Retested",IF(OR($T1039="",NOT(ISNUMBER($T1039))),"Pending",IF(TODAY()&gt;$T1039,"OVERDUE","Due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IF($Q1040&lt;&gt;"Yes","",IF(COUNTIFS(nrES_PID,$D1040,nrES_Code,$F1040,nrES_Att,2)&gt;0,"Retested",IF(OR($T1040="",NOT(ISNUMBER($T1040))),"Pending",IF(TODAY()&gt;$T1040,"OVERDUE","Due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IF($Q1041&lt;&gt;"Yes","",IF(COUNTIFS(nrES_PID,$D1041,nrES_Code,$F1041,nrES_Att,2)&gt;0,"Retested",IF(OR($T1041="",NOT(ISNUMBER($T1041))),"Pending",IF(TODAY()&gt;$T1041,"OVERDUE","Due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IF($Q1042&lt;&gt;"Yes","",IF(COUNTIFS(nrES_PID,$D1042,nrES_Code,$F1042,nrES_Att,2)&gt;0,"Retested",IF(OR($T1042="",NOT(ISNUMBER($T1042))),"Pending",IF(TODAY()&gt;$T1042,"OVERDUE","Due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IF($Q1043&lt;&gt;"Yes","",IF(COUNTIFS(nrES_PID,$D1043,nrES_Code,$F1043,nrES_Att,2)&gt;0,"Retested",IF(OR($T1043="",NOT(ISNUMBER($T1043))),"Pending",IF(TODAY()&gt;$T1043,"OVERDUE","Due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IF($Q1044&lt;&gt;"Yes","",IF(COUNTIFS(nrES_PID,$D1044,nrES_Code,$F1044,nrES_Att,2)&gt;0,"Retested",IF(OR($T1044="",NOT(ISNUMBER($T1044))),"Pending",IF(TODAY()&gt;$T1044,"OVERDUE","Due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IF($Q1045&lt;&gt;"Yes","",IF(COUNTIFS(nrES_PID,$D1045,nrES_Code,$F1045,nrES_Att,2)&gt;0,"Retested",IF(OR($T1045="",NOT(ISNUMBER($T1045))),"Pending",IF(TODAY()&gt;$T1045,"OVERDUE","Due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IF($Q1046&lt;&gt;"Yes","",IF(COUNTIFS(nrES_PID,$D1046,nrES_Code,$F1046,nrES_Att,2)&gt;0,"Retested",IF(OR($T1046="",NOT(ISNUMBER($T1046))),"Pending",IF(TODAY()&gt;$T1046,"OVERDUE","Due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IF($Q1047&lt;&gt;"Yes","",IF(COUNTIFS(nrES_PID,$D1047,nrES_Code,$F1047,nrES_Att,2)&gt;0,"Retested",IF(OR($T1047="",NOT(ISNUMBER($T1047))),"Pending",IF(TODAY()&gt;$T1047,"OVERDUE","Due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IF($Q1048&lt;&gt;"Yes","",IF(COUNTIFS(nrES_PID,$D1048,nrES_Code,$F1048,nrES_Att,2)&gt;0,"Retested",IF(OR($T1048="",NOT(ISNUMBER($T1048))),"Pending",IF(TODAY()&gt;$T1048,"OVERDUE","Due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IF($Q1049&lt;&gt;"Yes","",IF(COUNTIFS(nrES_PID,$D1049,nrES_Code,$F1049,nrES_Att,2)&gt;0,"Retested",IF(OR($T1049="",NOT(ISNUMBER($T1049))),"Pending",IF(TODAY()&gt;$T1049,"OVERDUE","Due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IF($Q1050&lt;&gt;"Yes","",IF(COUNTIFS(nrES_PID,$D1050,nrES_Code,$F1050,nrES_Att,2)&gt;0,"Retested",IF(OR($T1050="",NOT(ISNUMBER($T1050))),"Pending",IF(TODAY()&gt;$T1050,"OVERDUE","Due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IF($Q1051&lt;&gt;"Yes","",IF(COUNTIFS(nrES_PID,$D1051,nrES_Code,$F1051,nrES_Att,2)&gt;0,"Retested",IF(OR($T1051="",NOT(ISNUMBER($T1051))),"Pending",IF(TODAY()&gt;$T1051,"OVERDUE","Due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IF($Q1052&lt;&gt;"Yes","",IF(COUNTIFS(nrES_PID,$D1052,nrES_Code,$F1052,nrES_Att,2)&gt;0,"Retested",IF(OR($T1052="",NOT(ISNUMBER($T1052))),"Pending",IF(TODAY()&gt;$T1052,"OVERDUE","Due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IF($Q1053&lt;&gt;"Yes","",IF(COUNTIFS(nrES_PID,$D1053,nrES_Code,$F1053,nrES_Att,2)&gt;0,"Retested",IF(OR($T1053="",NOT(ISNUMBER($T1053))),"Pending",IF(TODAY()&gt;$T1053,"OVERDUE","Due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IF($Q1054&lt;&gt;"Yes","",IF(COUNTIFS(nrES_PID,$D1054,nrES_Code,$F1054,nrES_Att,2)&gt;0,"Retested",IF(OR($T1054="",NOT(ISNUMBER($T1054))),"Pending",IF(TODAY()&gt;$T1054,"OVERDUE","Due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IF($Q1055&lt;&gt;"Yes","",IF(COUNTIFS(nrES_PID,$D1055,nrES_Code,$F1055,nrES_Att,2)&gt;0,"Retested",IF(OR($T1055="",NOT(ISNUMBER($T1055))),"Pending",IF(TODAY()&gt;$T1055,"OVERDUE","Due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IF($Q1056&lt;&gt;"Yes","",IF(COUNTIFS(nrES_PID,$D1056,nrES_Code,$F1056,nrES_Att,2)&gt;0,"Retested",IF(OR($T1056="",NOT(ISNUMBER($T1056))),"Pending",IF(TODAY()&gt;$T1056,"OVERDUE","Due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IF($Q1057&lt;&gt;"Yes","",IF(COUNTIFS(nrES_PID,$D1057,nrES_Code,$F1057,nrES_Att,2)&gt;0,"Retested",IF(OR($T1057="",NOT(ISNUMBER($T1057))),"Pending",IF(TODAY()&gt;$T1057,"OVERDUE","Due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IF($Q1058&lt;&gt;"Yes","",IF(COUNTIFS(nrES_PID,$D1058,nrES_Code,$F1058,nrES_Att,2)&gt;0,"Retested",IF(OR($T1058="",NOT(ISNUMBER($T1058))),"Pending",IF(TODAY()&gt;$T1058,"OVERDUE","Due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IF($Q1059&lt;&gt;"Yes","",IF(COUNTIFS(nrES_PID,$D1059,nrES_Code,$F1059,nrES_Att,2)&gt;0,"Retested",IF(OR($T1059="",NOT(ISNUMBER($T1059))),"Pending",IF(TODAY()&gt;$T1059,"OVERDUE","Due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IF($Q1060&lt;&gt;"Yes","",IF(COUNTIFS(nrES_PID,$D1060,nrES_Code,$F1060,nrES_Att,2)&gt;0,"Retested",IF(OR($T1060="",NOT(ISNUMBER($T1060))),"Pending",IF(TODAY()&gt;$T1060,"OVERDUE","Due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IF($Q1061&lt;&gt;"Yes","",IF(COUNTIFS(nrES_PID,$D1061,nrES_Code,$F1061,nrES_Att,2)&gt;0,"Retested",IF(OR($T1061="",NOT(ISNUMBER($T1061))),"Pending",IF(TODAY()&gt;$T1061,"OVERDUE","Due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IF($Q1062&lt;&gt;"Yes","",IF(COUNTIFS(nrES_PID,$D1062,nrES_Code,$F1062,nrES_Att,2)&gt;0,"Retested",IF(OR($T1062="",NOT(ISNUMBER($T1062))),"Pending",IF(TODAY()&gt;$T1062,"OVERDUE","Due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IF($Q1063&lt;&gt;"Yes","",IF(COUNTIFS(nrES_PID,$D1063,nrES_Code,$F1063,nrES_Att,2)&gt;0,"Retested",IF(OR($T1063="",NOT(ISNUMBER($T1063))),"Pending",IF(TODAY()&gt;$T1063,"OVERDUE","Due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IF($Q1064&lt;&gt;"Yes","",IF(COUNTIFS(nrES_PID,$D1064,nrES_Code,$F1064,nrES_Att,2)&gt;0,"Retested",IF(OR($T1064="",NOT(ISNUMBER($T1064))),"Pending",IF(TODAY()&gt;$T1064,"OVERDUE","Due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IF($Q1065&lt;&gt;"Yes","",IF(COUNTIFS(nrES_PID,$D1065,nrES_Code,$F1065,nrES_Att,2)&gt;0,"Retested",IF(OR($T1065="",NOT(ISNUMBER($T1065))),"Pending",IF(TODAY()&gt;$T1065,"OVERDUE","Due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IF($Q1066&lt;&gt;"Yes","",IF(COUNTIFS(nrES_PID,$D1066,nrES_Code,$F1066,nrES_Att,2)&gt;0,"Retested",IF(OR($T1066="",NOT(ISNUMBER($T1066))),"Pending",IF(TODAY()&gt;$T1066,"OVERDUE","Due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IF($Q1067&lt;&gt;"Yes","",IF(COUNTIFS(nrES_PID,$D1067,nrES_Code,$F1067,nrES_Att,2)&gt;0,"Retested",IF(OR($T1067="",NOT(ISNUMBER($T1067))),"Pending",IF(TODAY()&gt;$T1067,"OVERDUE","Due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IF($Q1068&lt;&gt;"Yes","",IF(COUNTIFS(nrES_PID,$D1068,nrES_Code,$F1068,nrES_Att,2)&gt;0,"Retested",IF(OR($T1068="",NOT(ISNUMBER($T1068))),"Pending",IF(TODAY()&gt;$T1068,"OVERDUE","Due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IF($Q1069&lt;&gt;"Yes","",IF(COUNTIFS(nrES_PID,$D1069,nrES_Code,$F1069,nrES_Att,2)&gt;0,"Retested",IF(OR($T1069="",NOT(ISNUMBER($T1069))),"Pending",IF(TODAY()&gt;$T1069,"OVERDUE","Due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IF($Q1070&lt;&gt;"Yes","",IF(COUNTIFS(nrES_PID,$D1070,nrES_Code,$F1070,nrES_Att,2)&gt;0,"Retested",IF(OR($T1070="",NOT(ISNUMBER($T1070))),"Pending",IF(TODAY()&gt;$T1070,"OVERDUE","Due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IF($Q1071&lt;&gt;"Yes","",IF(COUNTIFS(nrES_PID,$D1071,nrES_Code,$F1071,nrES_Att,2)&gt;0,"Retested",IF(OR($T1071="",NOT(ISNUMBER($T1071))),"Pending",IF(TODAY()&gt;$T1071,"OVERDUE","Due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IF($Q1072&lt;&gt;"Yes","",IF(COUNTIFS(nrES_PID,$D1072,nrES_Code,$F1072,nrES_Att,2)&gt;0,"Retested",IF(OR($T1072="",NOT(ISNUMBER($T1072))),"Pending",IF(TODAY()&gt;$T1072,"OVERDUE","Due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IF($Q1073&lt;&gt;"Yes","",IF(COUNTIFS(nrES_PID,$D1073,nrES_Code,$F1073,nrES_Att,2)&gt;0,"Retested",IF(OR($T1073="",NOT(ISNUMBER($T1073))),"Pending",IF(TODAY()&gt;$T1073,"OVERDUE","Due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IF($Q1074&lt;&gt;"Yes","",IF(COUNTIFS(nrES_PID,$D1074,nrES_Code,$F1074,nrES_Att,2)&gt;0,"Retested",IF(OR($T1074="",NOT(ISNUMBER($T1074))),"Pending",IF(TODAY()&gt;$T1074,"OVERDUE","Due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IF($Q1075&lt;&gt;"Yes","",IF(COUNTIFS(nrES_PID,$D1075,nrES_Code,$F1075,nrES_Att,2)&gt;0,"Retested",IF(OR($T1075="",NOT(ISNUMBER($T1075))),"Pending",IF(TODAY()&gt;$T1075,"OVERDUE","Due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IF($Q1076&lt;&gt;"Yes","",IF(COUNTIFS(nrES_PID,$D1076,nrES_Code,$F1076,nrES_Att,2)&gt;0,"Retested",IF(OR($T1076="",NOT(ISNUMBER($T1076))),"Pending",IF(TODAY()&gt;$T1076,"OVERDUE","Due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IF($Q1077&lt;&gt;"Yes","",IF(COUNTIFS(nrES_PID,$D1077,nrES_Code,$F1077,nrES_Att,2)&gt;0,"Retested",IF(OR($T1077="",NOT(ISNUMBER($T1077))),"Pending",IF(TODAY()&gt;$T1077,"OVERDUE","Due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IF($Q1078&lt;&gt;"Yes","",IF(COUNTIFS(nrES_PID,$D1078,nrES_Code,$F1078,nrES_Att,2)&gt;0,"Retested",IF(OR($T1078="",NOT(ISNUMBER($T1078))),"Pending",IF(TODAY()&gt;$T1078,"OVERDUE","Due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IF($Q1079&lt;&gt;"Yes","",IF(COUNTIFS(nrES_PID,$D1079,nrES_Code,$F1079,nrES_Att,2)&gt;0,"Retested",IF(OR($T1079="",NOT(ISNUMBER($T1079))),"Pending",IF(TODAY()&gt;$T1079,"OVERDUE","Due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IF($Q1080&lt;&gt;"Yes","",IF(COUNTIFS(nrES_PID,$D1080,nrES_Code,$F1080,nrES_Att,2)&gt;0,"Retested",IF(OR($T1080="",NOT(ISNUMBER($T1080))),"Pending",IF(TODAY()&gt;$T1080,"OVERDUE","Due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IF($Q1081&lt;&gt;"Yes","",IF(COUNTIFS(nrES_PID,$D1081,nrES_Code,$F1081,nrES_Att,2)&gt;0,"Retested",IF(OR($T1081="",NOT(ISNUMBER($T1081))),"Pending",IF(TODAY()&gt;$T1081,"OVERDUE","Due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IF($Q1082&lt;&gt;"Yes","",IF(COUNTIFS(nrES_PID,$D1082,nrES_Code,$F1082,nrES_Att,2)&gt;0,"Retested",IF(OR($T1082="",NOT(ISNUMBER($T1082))),"Pending",IF(TODAY()&gt;$T1082,"OVERDUE","Due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IF($Q1083&lt;&gt;"Yes","",IF(COUNTIFS(nrES_PID,$D1083,nrES_Code,$F1083,nrES_Att,2)&gt;0,"Retested",IF(OR($T1083="",NOT(ISNUMBER($T1083))),"Pending",IF(TODAY()&gt;$T1083,"OVERDUE","Due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IF($Q1084&lt;&gt;"Yes","",IF(COUNTIFS(nrES_PID,$D1084,nrES_Code,$F1084,nrES_Att,2)&gt;0,"Retested",IF(OR($T1084="",NOT(ISNUMBER($T1084))),"Pending",IF(TODAY()&gt;$T1084,"OVERDUE","Due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IF($Q1085&lt;&gt;"Yes","",IF(COUNTIFS(nrES_PID,$D1085,nrES_Code,$F1085,nrES_Att,2)&gt;0,"Retested",IF(OR($T1085="",NOT(ISNUMBER($T1085))),"Pending",IF(TODAY()&gt;$T1085,"OVERDUE","Due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IF($Q1086&lt;&gt;"Yes","",IF(COUNTIFS(nrES_PID,$D1086,nrES_Code,$F1086,nrES_Att,2)&gt;0,"Retested",IF(OR($T1086="",NOT(ISNUMBER($T1086))),"Pending",IF(TODAY()&gt;$T1086,"OVERDUE","Due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IF($Q1087&lt;&gt;"Yes","",IF(COUNTIFS(nrES_PID,$D1087,nrES_Code,$F1087,nrES_Att,2)&gt;0,"Retested",IF(OR($T1087="",NOT(ISNUMBER($T1087))),"Pending",IF(TODAY()&gt;$T1087,"OVERDUE","Due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IF($Q1088&lt;&gt;"Yes","",IF(COUNTIFS(nrES_PID,$D1088,nrES_Code,$F1088,nrES_Att,2)&gt;0,"Retested",IF(OR($T1088="",NOT(ISNUMBER($T1088))),"Pending",IF(TODAY()&gt;$T1088,"OVERDUE","Due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IF($Q1089&lt;&gt;"Yes","",IF(COUNTIFS(nrES_PID,$D1089,nrES_Code,$F1089,nrES_Att,2)&gt;0,"Retested",IF(OR($T1089="",NOT(ISNUMBER($T1089))),"Pending",IF(TODAY()&gt;$T1089,"OVERDUE","Due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IF($Q1090&lt;&gt;"Yes","",IF(COUNTIFS(nrES_PID,$D1090,nrES_Code,$F1090,nrES_Att,2)&gt;0,"Retested",IF(OR($T1090="",NOT(ISNUMBER($T1090))),"Pending",IF(TODAY()&gt;$T1090,"OVERDUE","Due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IF($Q1091&lt;&gt;"Yes","",IF(COUNTIFS(nrES_PID,$D1091,nrES_Code,$F1091,nrES_Att,2)&gt;0,"Retested",IF(OR($T1091="",NOT(ISNUMBER($T1091))),"Pending",IF(TODAY()&gt;$T1091,"OVERDUE","Due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IF($Q1092&lt;&gt;"Yes","",IF(COUNTIFS(nrES_PID,$D1092,nrES_Code,$F1092,nrES_Att,2)&gt;0,"Retested",IF(OR($T1092="",NOT(ISNUMBER($T1092))),"Pending",IF(TODAY()&gt;$T1092,"OVERDUE","Due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IF($Q1093&lt;&gt;"Yes","",IF(COUNTIFS(nrES_PID,$D1093,nrES_Code,$F1093,nrES_Att,2)&gt;0,"Retested",IF(OR($T1093="",NOT(ISNUMBER($T1093))),"Pending",IF(TODAY()&gt;$T1093,"OVERDUE","Due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IF($Q1094&lt;&gt;"Yes","",IF(COUNTIFS(nrES_PID,$D1094,nrES_Code,$F1094,nrES_Att,2)&gt;0,"Retested",IF(OR($T1094="",NOT(ISNUMBER($T1094))),"Pending",IF(TODAY()&gt;$T1094,"OVERDUE","Due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IF($Q1095&lt;&gt;"Yes","",IF(COUNTIFS(nrES_PID,$D1095,nrES_Code,$F1095,nrES_Att,2)&gt;0,"Retested",IF(OR($T1095="",NOT(ISNUMBER($T1095))),"Pending",IF(TODAY()&gt;$T1095,"OVERDUE","Due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IF($Q1096&lt;&gt;"Yes","",IF(COUNTIFS(nrES_PID,$D1096,nrES_Code,$F1096,nrES_Att,2)&gt;0,"Retested",IF(OR($T1096="",NOT(ISNUMBER($T1096))),"Pending",IF(TODAY()&gt;$T1096,"OVERDUE","Due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IF($Q1097&lt;&gt;"Yes","",IF(COUNTIFS(nrES_PID,$D1097,nrES_Code,$F1097,nrES_Att,2)&gt;0,"Retested",IF(OR($T1097="",NOT(ISNUMBER($T1097))),"Pending",IF(TODAY()&gt;$T1097,"OVERDUE","Due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IF($Q1098&lt;&gt;"Yes","",IF(COUNTIFS(nrES_PID,$D1098,nrES_Code,$F1098,nrES_Att,2)&gt;0,"Retested",IF(OR($T1098="",NOT(ISNUMBER($T1098))),"Pending",IF(TODAY()&gt;$T1098,"OVERDUE","Due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IF($Q1099&lt;&gt;"Yes","",IF(COUNTIFS(nrES_PID,$D1099,nrES_Code,$F1099,nrES_Att,2)&gt;0,"Retested",IF(OR($T1099="",NOT(ISNUMBER($T1099))),"Pending",IF(TODAY()&gt;$T1099,"OVERDUE","Due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IF($Q1100&lt;&gt;"Yes","",IF(COUNTIFS(nrES_PID,$D1100,nrES_Code,$F1100,nrES_Att,2)&gt;0,"Retested",IF(OR($T1100="",NOT(ISNUMBER($T1100))),"Pending",IF(TODAY()&gt;$T1100,"OVERDUE","Due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IF($Q1101&lt;&gt;"Yes","",IF(COUNTIFS(nrES_PID,$D1101,nrES_Code,$F1101,nrES_Att,2)&gt;0,"Retested",IF(OR($T1101="",NOT(ISNUMBER($T1101))),"Pending",IF(TODAY()&gt;$T1101,"OVERDUE","Due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IF($Q1102&lt;&gt;"Yes","",IF(COUNTIFS(nrES_PID,$D1102,nrES_Code,$F1102,nrES_Att,2)&gt;0,"Retested",IF(OR($T1102="",NOT(ISNUMBER($T1102))),"Pending",IF(TODAY()&gt;$T1102,"OVERDUE","Due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IF($Q1103&lt;&gt;"Yes","",IF(COUNTIFS(nrES_PID,$D1103,nrES_Code,$F1103,nrES_Att,2)&gt;0,"Retested",IF(OR($T1103="",NOT(ISNUMBER($T1103))),"Pending",IF(TODAY()&gt;$T1103,"OVERDUE","Due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IF($Q1104&lt;&gt;"Yes","",IF(COUNTIFS(nrES_PID,$D1104,nrES_Code,$F1104,nrES_Att,2)&gt;0,"Retested",IF(OR($T1104="",NOT(ISNUMBER($T1104))),"Pending",IF(TODAY()&gt;$T1104,"OVERDUE","Due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IF($Q1105&lt;&gt;"Yes","",IF(COUNTIFS(nrES_PID,$D1105,nrES_Code,$F1105,nrES_Att,2)&gt;0,"Retested",IF(OR($T1105="",NOT(ISNUMBER($T1105))),"Pending",IF(TODAY()&gt;$T1105,"OVERDUE","Due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IF($Q1106&lt;&gt;"Yes","",IF(COUNTIFS(nrES_PID,$D1106,nrES_Code,$F1106,nrES_Att,2)&gt;0,"Retested",IF(OR($T1106="",NOT(ISNUMBER($T1106))),"Pending",IF(TODAY()&gt;$T1106,"OVERDUE","Due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IF($Q1107&lt;&gt;"Yes","",IF(COUNTIFS(nrES_PID,$D1107,nrES_Code,$F1107,nrES_Att,2)&gt;0,"Retested",IF(OR($T1107="",NOT(ISNUMBER($T1107))),"Pending",IF(TODAY()&gt;$T1107,"OVERDUE","Due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IF($Q1108&lt;&gt;"Yes","",IF(COUNTIFS(nrES_PID,$D1108,nrES_Code,$F1108,nrES_Att,2)&gt;0,"Retested",IF(OR($T1108="",NOT(ISNUMBER($T1108))),"Pending",IF(TODAY()&gt;$T1108,"OVERDUE","Due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IF($Q1109&lt;&gt;"Yes","",IF(COUNTIFS(nrES_PID,$D1109,nrES_Code,$F1109,nrES_Att,2)&gt;0,"Retested",IF(OR($T1109="",NOT(ISNUMBER($T1109))),"Pending",IF(TODAY()&gt;$T1109,"OVERDUE","Due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IF($Q1110&lt;&gt;"Yes","",IF(COUNTIFS(nrES_PID,$D1110,nrES_Code,$F1110,nrES_Att,2)&gt;0,"Retested",IF(OR($T1110="",NOT(ISNUMBER($T1110))),"Pending",IF(TODAY()&gt;$T1110,"OVERDUE","Due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IF($Q1111&lt;&gt;"Yes","",IF(COUNTIFS(nrES_PID,$D1111,nrES_Code,$F1111,nrES_Att,2)&gt;0,"Retested",IF(OR($T1111="",NOT(ISNUMBER($T1111))),"Pending",IF(TODAY()&gt;$T1111,"OVERDUE","Due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IF($Q1112&lt;&gt;"Yes","",IF(COUNTIFS(nrES_PID,$D1112,nrES_Code,$F1112,nrES_Att,2)&gt;0,"Retested",IF(OR($T1112="",NOT(ISNUMBER($T1112))),"Pending",IF(TODAY()&gt;$T1112,"OVERDUE","Due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IF($Q1113&lt;&gt;"Yes","",IF(COUNTIFS(nrES_PID,$D1113,nrES_Code,$F1113,nrES_Att,2)&gt;0,"Retested",IF(OR($T1113="",NOT(ISNUMBER($T1113))),"Pending",IF(TODAY()&gt;$T1113,"OVERDUE","Due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IF($Q1114&lt;&gt;"Yes","",IF(COUNTIFS(nrES_PID,$D1114,nrES_Code,$F1114,nrES_Att,2)&gt;0,"Retested",IF(OR($T1114="",NOT(ISNUMBER($T1114))),"Pending",IF(TODAY()&gt;$T1114,"OVERDUE","Due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IF($Q1115&lt;&gt;"Yes","",IF(COUNTIFS(nrES_PID,$D1115,nrES_Code,$F1115,nrES_Att,2)&gt;0,"Retested",IF(OR($T1115="",NOT(ISNUMBER($T1115))),"Pending",IF(TODAY()&gt;$T1115,"OVERDUE","Due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IF($Q1116&lt;&gt;"Yes","",IF(COUNTIFS(nrES_PID,$D1116,nrES_Code,$F1116,nrES_Att,2)&gt;0,"Retested",IF(OR($T1116="",NOT(ISNUMBER($T1116))),"Pending",IF(TODAY()&gt;$T1116,"OVERDUE","Due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IF($Q1117&lt;&gt;"Yes","",IF(COUNTIFS(nrES_PID,$D1117,nrES_Code,$F1117,nrES_Att,2)&gt;0,"Retested",IF(OR($T1117="",NOT(ISNUMBER($T1117))),"Pending",IF(TODAY()&gt;$T1117,"OVERDUE","Due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IF($Q1118&lt;&gt;"Yes","",IF(COUNTIFS(nrES_PID,$D1118,nrES_Code,$F1118,nrES_Att,2)&gt;0,"Retested",IF(OR($T1118="",NOT(ISNUMBER($T1118))),"Pending",IF(TODAY()&gt;$T1118,"OVERDUE","Due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IF($Q1119&lt;&gt;"Yes","",IF(COUNTIFS(nrES_PID,$D1119,nrES_Code,$F1119,nrES_Att,2)&gt;0,"Retested",IF(OR($T1119="",NOT(ISNUMBER($T1119))),"Pending",IF(TODAY()&gt;$T1119,"OVERDUE","Due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IF($Q1120&lt;&gt;"Yes","",IF(COUNTIFS(nrES_PID,$D1120,nrES_Code,$F1120,nrES_Att,2)&gt;0,"Retested",IF(OR($T1120="",NOT(ISNUMBER($T1120))),"Pending",IF(TODAY()&gt;$T1120,"OVERDUE","Due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IF($Q1121&lt;&gt;"Yes","",IF(COUNTIFS(nrES_PID,$D1121,nrES_Code,$F1121,nrES_Att,2)&gt;0,"Retested",IF(OR($T1121="",NOT(ISNUMBER($T1121))),"Pending",IF(TODAY()&gt;$T1121,"OVERDUE","Due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IF($Q1122&lt;&gt;"Yes","",IF(COUNTIFS(nrES_PID,$D1122,nrES_Code,$F1122,nrES_Att,2)&gt;0,"Retested",IF(OR($T1122="",NOT(ISNUMBER($T1122))),"Pending",IF(TODAY()&gt;$T1122,"OVERDUE","Due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IF($Q1123&lt;&gt;"Yes","",IF(COUNTIFS(nrES_PID,$D1123,nrES_Code,$F1123,nrES_Att,2)&gt;0,"Retested",IF(OR($T1123="",NOT(ISNUMBER($T1123))),"Pending",IF(TODAY()&gt;$T1123,"OVERDUE","Due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IF($Q1124&lt;&gt;"Yes","",IF(COUNTIFS(nrES_PID,$D1124,nrES_Code,$F1124,nrES_Att,2)&gt;0,"Retested",IF(OR($T1124="",NOT(ISNUMBER($T1124))),"Pending",IF(TODAY()&gt;$T1124,"OVERDUE","Due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IF($Q1125&lt;&gt;"Yes","",IF(COUNTIFS(nrES_PID,$D1125,nrES_Code,$F1125,nrES_Att,2)&gt;0,"Retested",IF(OR($T1125="",NOT(ISNUMBER($T1125))),"Pending",IF(TODAY()&gt;$T1125,"OVERDUE","Due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IF($Q1126&lt;&gt;"Yes","",IF(COUNTIFS(nrES_PID,$D1126,nrES_Code,$F1126,nrES_Att,2)&gt;0,"Retested",IF(OR($T1126="",NOT(ISNUMBER($T1126))),"Pending",IF(TODAY()&gt;$T1126,"OVERDUE","Due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IF($Q1127&lt;&gt;"Yes","",IF(COUNTIFS(nrES_PID,$D1127,nrES_Code,$F1127,nrES_Att,2)&gt;0,"Retested",IF(OR($T1127="",NOT(ISNUMBER($T1127))),"Pending",IF(TODAY()&gt;$T1127,"OVERDUE","Due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IF($Q1128&lt;&gt;"Yes","",IF(COUNTIFS(nrES_PID,$D1128,nrES_Code,$F1128,nrES_Att,2)&gt;0,"Retested",IF(OR($T1128="",NOT(ISNUMBER($T1128))),"Pending",IF(TODAY()&gt;$T1128,"OVERDUE","Due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IF($Q1129&lt;&gt;"Yes","",IF(COUNTIFS(nrES_PID,$D1129,nrES_Code,$F1129,nrES_Att,2)&gt;0,"Retested",IF(OR($T1129="",NOT(ISNUMBER($T1129))),"Pending",IF(TODAY()&gt;$T1129,"OVERDUE","Due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IF($Q1130&lt;&gt;"Yes","",IF(COUNTIFS(nrES_PID,$D1130,nrES_Code,$F1130,nrES_Att,2)&gt;0,"Retested",IF(OR($T1130="",NOT(ISNUMBER($T1130))),"Pending",IF(TODAY()&gt;$T1130,"OVERDUE","Due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IF($Q1131&lt;&gt;"Yes","",IF(COUNTIFS(nrES_PID,$D1131,nrES_Code,$F1131,nrES_Att,2)&gt;0,"Retested",IF(OR($T1131="",NOT(ISNUMBER($T1131))),"Pending",IF(TODAY()&gt;$T1131,"OVERDUE","Due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IF($Q1132&lt;&gt;"Yes","",IF(COUNTIFS(nrES_PID,$D1132,nrES_Code,$F1132,nrES_Att,2)&gt;0,"Retested",IF(OR($T1132="",NOT(ISNUMBER($T1132))),"Pending",IF(TODAY()&gt;$T1132,"OVERDUE","Due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IF($Q1133&lt;&gt;"Yes","",IF(COUNTIFS(nrES_PID,$D1133,nrES_Code,$F1133,nrES_Att,2)&gt;0,"Retested",IF(OR($T1133="",NOT(ISNUMBER($T1133))),"Pending",IF(TODAY()&gt;$T1133,"OVERDUE","Due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IF($Q1134&lt;&gt;"Yes","",IF(COUNTIFS(nrES_PID,$D1134,nrES_Code,$F1134,nrES_Att,2)&gt;0,"Retested",IF(OR($T1134="",NOT(ISNUMBER($T1134))),"Pending",IF(TODAY()&gt;$T1134,"OVERDUE","Due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IF($Q1135&lt;&gt;"Yes","",IF(COUNTIFS(nrES_PID,$D1135,nrES_Code,$F1135,nrES_Att,2)&gt;0,"Retested",IF(OR($T1135="",NOT(ISNUMBER($T1135))),"Pending",IF(TODAY()&gt;$T1135,"OVERDUE","Due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IF($Q1136&lt;&gt;"Yes","",IF(COUNTIFS(nrES_PID,$D1136,nrES_Code,$F1136,nrES_Att,2)&gt;0,"Retested",IF(OR($T1136="",NOT(ISNUMBER($T1136))),"Pending",IF(TODAY()&gt;$T1136,"OVERDUE","Due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IF($Q1137&lt;&gt;"Yes","",IF(COUNTIFS(nrES_PID,$D1137,nrES_Code,$F1137,nrES_Att,2)&gt;0,"Retested",IF(OR($T1137="",NOT(ISNUMBER($T1137))),"Pending",IF(TODAY()&gt;$T1137,"OVERDUE","Due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IF($Q1138&lt;&gt;"Yes","",IF(COUNTIFS(nrES_PID,$D1138,nrES_Code,$F1138,nrES_Att,2)&gt;0,"Retested",IF(OR($T1138="",NOT(ISNUMBER($T1138))),"Pending",IF(TODAY()&gt;$T1138,"OVERDUE","Due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IF($Q1139&lt;&gt;"Yes","",IF(COUNTIFS(nrES_PID,$D1139,nrES_Code,$F1139,nrES_Att,2)&gt;0,"Retested",IF(OR($T1139="",NOT(ISNUMBER($T1139))),"Pending",IF(TODAY()&gt;$T1139,"OVERDUE","Due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IF($Q1140&lt;&gt;"Yes","",IF(COUNTIFS(nrES_PID,$D1140,nrES_Code,$F1140,nrES_Att,2)&gt;0,"Retested",IF(OR($T1140="",NOT(ISNUMBER($T1140))),"Pending",IF(TODAY()&gt;$T1140,"OVERDUE","Due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IF($Q1141&lt;&gt;"Yes","",IF(COUNTIFS(nrES_PID,$D1141,nrES_Code,$F1141,nrES_Att,2)&gt;0,"Retested",IF(OR($T1141="",NOT(ISNUMBER($T1141))),"Pending",IF(TODAY()&gt;$T1141,"OVERDUE","Due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IF($Q1142&lt;&gt;"Yes","",IF(COUNTIFS(nrES_PID,$D1142,nrES_Code,$F1142,nrES_Att,2)&gt;0,"Retested",IF(OR($T1142="",NOT(ISNUMBER($T1142))),"Pending",IF(TODAY()&gt;$T1142,"OVERDUE","Due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IF($Q1143&lt;&gt;"Yes","",IF(COUNTIFS(nrES_PID,$D1143,nrES_Code,$F1143,nrES_Att,2)&gt;0,"Retested",IF(OR($T1143="",NOT(ISNUMBER($T1143))),"Pending",IF(TODAY()&gt;$T1143,"OVERDUE","Due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IF($Q1144&lt;&gt;"Yes","",IF(COUNTIFS(nrES_PID,$D1144,nrES_Code,$F1144,nrES_Att,2)&gt;0,"Retested",IF(OR($T1144="",NOT(ISNUMBER($T1144))),"Pending",IF(TODAY()&gt;$T1144,"OVERDUE","Due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IF($Q1145&lt;&gt;"Yes","",IF(COUNTIFS(nrES_PID,$D1145,nrES_Code,$F1145,nrES_Att,2)&gt;0,"Retested",IF(OR($T1145="",NOT(ISNUMBER($T1145))),"Pending",IF(TODAY()&gt;$T1145,"OVERDUE","Due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IF($Q1146&lt;&gt;"Yes","",IF(COUNTIFS(nrES_PID,$D1146,nrES_Code,$F1146,nrES_Att,2)&gt;0,"Retested",IF(OR($T1146="",NOT(ISNUMBER($T1146))),"Pending",IF(TODAY()&gt;$T1146,"OVERDUE","Due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IF($Q1147&lt;&gt;"Yes","",IF(COUNTIFS(nrES_PID,$D1147,nrES_Code,$F1147,nrES_Att,2)&gt;0,"Retested",IF(OR($T1147="",NOT(ISNUMBER($T1147))),"Pending",IF(TODAY()&gt;$T1147,"OVERDUE","Due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IF($Q1148&lt;&gt;"Yes","",IF(COUNTIFS(nrES_PID,$D1148,nrES_Code,$F1148,nrES_Att,2)&gt;0,"Retested",IF(OR($T1148="",NOT(ISNUMBER($T1148))),"Pending",IF(TODAY()&gt;$T1148,"OVERDUE","Due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IF($Q1149&lt;&gt;"Yes","",IF(COUNTIFS(nrES_PID,$D1149,nrES_Code,$F1149,nrES_Att,2)&gt;0,"Retested",IF(OR($T1149="",NOT(ISNUMBER($T1149))),"Pending",IF(TODAY()&gt;$T1149,"OVERDUE","Due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IF($Q1150&lt;&gt;"Yes","",IF(COUNTIFS(nrES_PID,$D1150,nrES_Code,$F1150,nrES_Att,2)&gt;0,"Retested",IF(OR($T1150="",NOT(ISNUMBER($T1150))),"Pending",IF(TODAY()&gt;$T1150,"OVERDUE","Due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IF($Q1151&lt;&gt;"Yes","",IF(COUNTIFS(nrES_PID,$D1151,nrES_Code,$F1151,nrES_Att,2)&gt;0,"Retested",IF(OR($T1151="",NOT(ISNUMBER($T1151))),"Pending",IF(TODAY()&gt;$T1151,"OVERDUE","Due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IF($Q1152&lt;&gt;"Yes","",IF(COUNTIFS(nrES_PID,$D1152,nrES_Code,$F1152,nrES_Att,2)&gt;0,"Retested",IF(OR($T1152="",NOT(ISNUMBER($T1152))),"Pending",IF(TODAY()&gt;$T1152,"OVERDUE","Due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IF($Q1153&lt;&gt;"Yes","",IF(COUNTIFS(nrES_PID,$D1153,nrES_Code,$F1153,nrES_Att,2)&gt;0,"Retested",IF(OR($T1153="",NOT(ISNUMBER($T1153))),"Pending",IF(TODAY()&gt;$T1153,"OVERDUE","Due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IF($Q1154&lt;&gt;"Yes","",IF(COUNTIFS(nrES_PID,$D1154,nrES_Code,$F1154,nrES_Att,2)&gt;0,"Retested",IF(OR($T1154="",NOT(ISNUMBER($T1154))),"Pending",IF(TODAY()&gt;$T1154,"OVERDUE","Due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IF($Q1155&lt;&gt;"Yes","",IF(COUNTIFS(nrES_PID,$D1155,nrES_Code,$F1155,nrES_Att,2)&gt;0,"Retested",IF(OR($T1155="",NOT(ISNUMBER($T1155))),"Pending",IF(TODAY()&gt;$T1155,"OVERDUE","Due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IF($Q1156&lt;&gt;"Yes","",IF(COUNTIFS(nrES_PID,$D1156,nrES_Code,$F1156,nrES_Att,2)&gt;0,"Retested",IF(OR($T1156="",NOT(ISNUMBER($T1156))),"Pending",IF(TODAY()&gt;$T1156,"OVERDUE","Due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IF($Q1157&lt;&gt;"Yes","",IF(COUNTIFS(nrES_PID,$D1157,nrES_Code,$F1157,nrES_Att,2)&gt;0,"Retested",IF(OR($T1157="",NOT(ISNUMBER($T1157))),"Pending",IF(TODAY()&gt;$T1157,"OVERDUE","Due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IF($Q1158&lt;&gt;"Yes","",IF(COUNTIFS(nrES_PID,$D1158,nrES_Code,$F1158,nrES_Att,2)&gt;0,"Retested",IF(OR($T1158="",NOT(ISNUMBER($T1158))),"Pending",IF(TODAY()&gt;$T1158,"OVERDUE","Due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IF($Q1159&lt;&gt;"Yes","",IF(COUNTIFS(nrES_PID,$D1159,nrES_Code,$F1159,nrES_Att,2)&gt;0,"Retested",IF(OR($T1159="",NOT(ISNUMBER($T1159))),"Pending",IF(TODAY()&gt;$T1159,"OVERDUE","Due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IF($Q1160&lt;&gt;"Yes","",IF(COUNTIFS(nrES_PID,$D1160,nrES_Code,$F1160,nrES_Att,2)&gt;0,"Retested",IF(OR($T1160="",NOT(ISNUMBER($T1160))),"Pending",IF(TODAY()&gt;$T1160,"OVERDUE","Due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IF($Q1161&lt;&gt;"Yes","",IF(COUNTIFS(nrES_PID,$D1161,nrES_Code,$F1161,nrES_Att,2)&gt;0,"Retested",IF(OR($T1161="",NOT(ISNUMBER($T1161))),"Pending",IF(TODAY()&gt;$T1161,"OVERDUE","Due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IF($Q1162&lt;&gt;"Yes","",IF(COUNTIFS(nrES_PID,$D1162,nrES_Code,$F1162,nrES_Att,2)&gt;0,"Retested",IF(OR($T1162="",NOT(ISNUMBER($T1162))),"Pending",IF(TODAY()&gt;$T1162,"OVERDUE","Due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IF($Q1163&lt;&gt;"Yes","",IF(COUNTIFS(nrES_PID,$D1163,nrES_Code,$F1163,nrES_Att,2)&gt;0,"Retested",IF(OR($T1163="",NOT(ISNUMBER($T1163))),"Pending",IF(TODAY()&gt;$T1163,"OVERDUE","Due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IF($Q1164&lt;&gt;"Yes","",IF(COUNTIFS(nrES_PID,$D1164,nrES_Code,$F1164,nrES_Att,2)&gt;0,"Retested",IF(OR($T1164="",NOT(ISNUMBER($T1164))),"Pending",IF(TODAY()&gt;$T1164,"OVERDUE","Due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IF($Q1165&lt;&gt;"Yes","",IF(COUNTIFS(nrES_PID,$D1165,nrES_Code,$F1165,nrES_Att,2)&gt;0,"Retested",IF(OR($T1165="",NOT(ISNUMBER($T1165))),"Pending",IF(TODAY()&gt;$T1165,"OVERDUE","Due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IF($Q1166&lt;&gt;"Yes","",IF(COUNTIFS(nrES_PID,$D1166,nrES_Code,$F1166,nrES_Att,2)&gt;0,"Retested",IF(OR($T1166="",NOT(ISNUMBER($T1166))),"Pending",IF(TODAY()&gt;$T1166,"OVERDUE","Due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IF($Q1167&lt;&gt;"Yes","",IF(COUNTIFS(nrES_PID,$D1167,nrES_Code,$F1167,nrES_Att,2)&gt;0,"Retested",IF(OR($T1167="",NOT(ISNUMBER($T1167))),"Pending",IF(TODAY()&gt;$T1167,"OVERDUE","Due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IF($Q1168&lt;&gt;"Yes","",IF(COUNTIFS(nrES_PID,$D1168,nrES_Code,$F1168,nrES_Att,2)&gt;0,"Retested",IF(OR($T1168="",NOT(ISNUMBER($T1168))),"Pending",IF(TODAY()&gt;$T1168,"OVERDUE","Due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IF($Q1169&lt;&gt;"Yes","",IF(COUNTIFS(nrES_PID,$D1169,nrES_Code,$F1169,nrES_Att,2)&gt;0,"Retested",IF(OR($T1169="",NOT(ISNUMBER($T1169))),"Pending",IF(TODAY()&gt;$T1169,"OVERDUE","Due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IF($Q1170&lt;&gt;"Yes","",IF(COUNTIFS(nrES_PID,$D1170,nrES_Code,$F1170,nrES_Att,2)&gt;0,"Retested",IF(OR($T1170="",NOT(ISNUMBER($T1170))),"Pending",IF(TODAY()&gt;$T1170,"OVERDUE","Due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IF($Q1171&lt;&gt;"Yes","",IF(COUNTIFS(nrES_PID,$D1171,nrES_Code,$F1171,nrES_Att,2)&gt;0,"Retested",IF(OR($T1171="",NOT(ISNUMBER($T1171))),"Pending",IF(TODAY()&gt;$T1171,"OVERDUE","Due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IF($Q1172&lt;&gt;"Yes","",IF(COUNTIFS(nrES_PID,$D1172,nrES_Code,$F1172,nrES_Att,2)&gt;0,"Retested",IF(OR($T1172="",NOT(ISNUMBER($T1172))),"Pending",IF(TODAY()&gt;$T1172,"OVERDUE","Due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IF($Q1173&lt;&gt;"Yes","",IF(COUNTIFS(nrES_PID,$D1173,nrES_Code,$F1173,nrES_Att,2)&gt;0,"Retested",IF(OR($T1173="",NOT(ISNUMBER($T1173))),"Pending",IF(TODAY()&gt;$T1173,"OVERDUE","Due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IF($Q1174&lt;&gt;"Yes","",IF(COUNTIFS(nrES_PID,$D1174,nrES_Code,$F1174,nrES_Att,2)&gt;0,"Retested",IF(OR($T1174="",NOT(ISNUMBER($T1174))),"Pending",IF(TODAY()&gt;$T1174,"OVERDUE","Due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IF($Q1175&lt;&gt;"Yes","",IF(COUNTIFS(nrES_PID,$D1175,nrES_Code,$F1175,nrES_Att,2)&gt;0,"Retested",IF(OR($T1175="",NOT(ISNUMBER($T1175))),"Pending",IF(TODAY()&gt;$T1175,"OVERDUE","Due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IF($Q1176&lt;&gt;"Yes","",IF(COUNTIFS(nrES_PID,$D1176,nrES_Code,$F1176,nrES_Att,2)&gt;0,"Retested",IF(OR($T1176="",NOT(ISNUMBER($T1176))),"Pending",IF(TODAY()&gt;$T1176,"OVERDUE","Due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IF($Q1177&lt;&gt;"Yes","",IF(COUNTIFS(nrES_PID,$D1177,nrES_Code,$F1177,nrES_Att,2)&gt;0,"Retested",IF(OR($T1177="",NOT(ISNUMBER($T1177))),"Pending",IF(TODAY()&gt;$T1177,"OVERDUE","Due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IF($Q1178&lt;&gt;"Yes","",IF(COUNTIFS(nrES_PID,$D1178,nrES_Code,$F1178,nrES_Att,2)&gt;0,"Retested",IF(OR($T1178="",NOT(ISNUMBER($T1178))),"Pending",IF(TODAY()&gt;$T1178,"OVERDUE","Due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IF($Q1179&lt;&gt;"Yes","",IF(COUNTIFS(nrES_PID,$D1179,nrES_Code,$F1179,nrES_Att,2)&gt;0,"Retested",IF(OR($T1179="",NOT(ISNUMBER($T1179))),"Pending",IF(TODAY()&gt;$T1179,"OVERDUE","Due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IF($Q1180&lt;&gt;"Yes","",IF(COUNTIFS(nrES_PID,$D1180,nrES_Code,$F1180,nrES_Att,2)&gt;0,"Retested",IF(OR($T1180="",NOT(ISNUMBER($T1180))),"Pending",IF(TODAY()&gt;$T1180,"OVERDUE","Due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IF($Q1181&lt;&gt;"Yes","",IF(COUNTIFS(nrES_PID,$D1181,nrES_Code,$F1181,nrES_Att,2)&gt;0,"Retested",IF(OR($T1181="",NOT(ISNUMBER($T1181))),"Pending",IF(TODAY()&gt;$T1181,"OVERDUE","Due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IF($Q1182&lt;&gt;"Yes","",IF(COUNTIFS(nrES_PID,$D1182,nrES_Code,$F1182,nrES_Att,2)&gt;0,"Retested",IF(OR($T1182="",NOT(ISNUMBER($T1182))),"Pending",IF(TODAY()&gt;$T1182,"OVERDUE","Due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IF($Q1183&lt;&gt;"Yes","",IF(COUNTIFS(nrES_PID,$D1183,nrES_Code,$F1183,nrES_Att,2)&gt;0,"Retested",IF(OR($T1183="",NOT(ISNUMBER($T1183))),"Pending",IF(TODAY()&gt;$T1183,"OVERDUE","Due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IF($Q1184&lt;&gt;"Yes","",IF(COUNTIFS(nrES_PID,$D1184,nrES_Code,$F1184,nrES_Att,2)&gt;0,"Retested",IF(OR($T1184="",NOT(ISNUMBER($T1184))),"Pending",IF(TODAY()&gt;$T1184,"OVERDUE","Due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IF($Q1185&lt;&gt;"Yes","",IF(COUNTIFS(nrES_PID,$D1185,nrES_Code,$F1185,nrES_Att,2)&gt;0,"Retested",IF(OR($T1185="",NOT(ISNUMBER($T1185))),"Pending",IF(TODAY()&gt;$T1185,"OVERDUE","Due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IF($Q1186&lt;&gt;"Yes","",IF(COUNTIFS(nrES_PID,$D1186,nrES_Code,$F1186,nrES_Att,2)&gt;0,"Retested",IF(OR($T1186="",NOT(ISNUMBER($T1186))),"Pending",IF(TODAY()&gt;$T1186,"OVERDUE","Due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IF($Q1187&lt;&gt;"Yes","",IF(COUNTIFS(nrES_PID,$D1187,nrES_Code,$F1187,nrES_Att,2)&gt;0,"Retested",IF(OR($T1187="",NOT(ISNUMBER($T1187))),"Pending",IF(TODAY()&gt;$T1187,"OVERDUE","Due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IF($Q1188&lt;&gt;"Yes","",IF(COUNTIFS(nrES_PID,$D1188,nrES_Code,$F1188,nrES_Att,2)&gt;0,"Retested",IF(OR($T1188="",NOT(ISNUMBER($T1188))),"Pending",IF(TODAY()&gt;$T1188,"OVERDUE","Due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IF($Q1189&lt;&gt;"Yes","",IF(COUNTIFS(nrES_PID,$D1189,nrES_Code,$F1189,nrES_Att,2)&gt;0,"Retested",IF(OR($T1189="",NOT(ISNUMBER($T1189))),"Pending",IF(TODAY()&gt;$T1189,"OVERDUE","Due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IF($Q1190&lt;&gt;"Yes","",IF(COUNTIFS(nrES_PID,$D1190,nrES_Code,$F1190,nrES_Att,2)&gt;0,"Retested",IF(OR($T1190="",NOT(ISNUMBER($T1190))),"Pending",IF(TODAY()&gt;$T1190,"OVERDUE","Due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IF($Q1191&lt;&gt;"Yes","",IF(COUNTIFS(nrES_PID,$D1191,nrES_Code,$F1191,nrES_Att,2)&gt;0,"Retested",IF(OR($T1191="",NOT(ISNUMBER($T1191))),"Pending",IF(TODAY()&gt;$T1191,"OVERDUE","Due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IF($Q1192&lt;&gt;"Yes","",IF(COUNTIFS(nrES_PID,$D1192,nrES_Code,$F1192,nrES_Att,2)&gt;0,"Retested",IF(OR($T1192="",NOT(ISNUMBER($T1192))),"Pending",IF(TODAY()&gt;$T1192,"OVERDUE","Due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IF($Q1193&lt;&gt;"Yes","",IF(COUNTIFS(nrES_PID,$D1193,nrES_Code,$F1193,nrES_Att,2)&gt;0,"Retested",IF(OR($T1193="",NOT(ISNUMBER($T1193))),"Pending",IF(TODAY()&gt;$T1193,"OVERDUE","Due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IF($Q1194&lt;&gt;"Yes","",IF(COUNTIFS(nrES_PID,$D1194,nrES_Code,$F1194,nrES_Att,2)&gt;0,"Retested",IF(OR($T1194="",NOT(ISNUMBER($T1194))),"Pending",IF(TODAY()&gt;$T1194,"OVERDUE","Due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IF($Q1195&lt;&gt;"Yes","",IF(COUNTIFS(nrES_PID,$D1195,nrES_Code,$F1195,nrES_Att,2)&gt;0,"Retested",IF(OR($T1195="",NOT(ISNUMBER($T1195))),"Pending",IF(TODAY()&gt;$T1195,"OVERDUE","Due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IF($Q1196&lt;&gt;"Yes","",IF(COUNTIFS(nrES_PID,$D1196,nrES_Code,$F1196,nrES_Att,2)&gt;0,"Retested",IF(OR($T1196="",NOT(ISNUMBER($T1196))),"Pending",IF(TODAY()&gt;$T1196,"OVERDUE","Due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IF($Q1197&lt;&gt;"Yes","",IF(COUNTIFS(nrES_PID,$D1197,nrES_Code,$F1197,nrES_Att,2)&gt;0,"Retested",IF(OR($T1197="",NOT(ISNUMBER($T1197))),"Pending",IF(TODAY()&gt;$T1197,"OVERDUE","Due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IF($Q1198&lt;&gt;"Yes","",IF(COUNTIFS(nrES_PID,$D1198,nrES_Code,$F1198,nrES_Att,2)&gt;0,"Retested",IF(OR($T1198="",NOT(ISNUMBER($T1198))),"Pending",IF(TODAY()&gt;$T1198,"OVERDUE","Due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IF($Q1199&lt;&gt;"Yes","",IF(COUNTIFS(nrES_PID,$D1199,nrES_Code,$F1199,nrES_Att,2)&gt;0,"Retested",IF(OR($T1199="",NOT(ISNUMBER($T1199))),"Pending",IF(TODAY()&gt;$T1199,"OVERDUE","Due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IF($Q1200&lt;&gt;"Yes","",IF(COUNTIFS(nrES_PID,$D1200,nrES_Code,$F1200,nrES_Att,2)&gt;0,"Retested",IF(OR($T1200="",NOT(ISNUMBER($T1200))),"Pending",IF(TODAY()&gt;$T1200,"OVERDUE","Due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IF($Q1201&lt;&gt;"Yes","",IF(COUNTIFS(nrES_PID,$D1201,nrES_Code,$F1201,nrES_Att,2)&gt;0,"Retested",IF(OR($T1201="",NOT(ISNUMBER($T1201))),"Pending",IF(TODAY()&gt;$T1201,"OVERDUE","Due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IF($Q1202&lt;&gt;"Yes","",IF(COUNTIFS(nrES_PID,$D1202,nrES_Code,$F1202,nrES_Att,2)&gt;0,"Retested",IF(OR($T1202="",NOT(ISNUMBER($T1202))),"Pending",IF(TODAY()&gt;$T1202,"OVERDUE","Due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IF($Q1203&lt;&gt;"Yes","",IF(COUNTIFS(nrES_PID,$D1203,nrES_Code,$F1203,nrES_Att,2)&gt;0,"Retested",IF(OR($T1203="",NOT(ISNUMBER($T1203))),"Pending",IF(TODAY()&gt;$T1203,"OVERDUE","Due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IF($Q1204&lt;&gt;"Yes","",IF(COUNTIFS(nrES_PID,$D1204,nrES_Code,$F1204,nrES_Att,2)&gt;0,"Retested",IF(OR($T1204="",NOT(ISNUMBER($T1204))),"Pending",IF(TODAY()&gt;$T1204,"OVERDUE","Due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IF($Q1205&lt;&gt;"Yes","",IF(COUNTIFS(nrES_PID,$D1205,nrES_Code,$F1205,nrES_Att,2)&gt;0,"Retested",IF(OR($T1205="",NOT(ISNUMBER($T1205))),"Pending",IF(TODAY()&gt;$T1205,"OVERDUE","Due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IF($Q1206&lt;&gt;"Yes","",IF(COUNTIFS(nrES_PID,$D1206,nrES_Code,$F1206,nrES_Att,2)&gt;0,"Retested",IF(OR($T1206="",NOT(ISNUMBER($T1206))),"Pending",IF(TODAY()&gt;$T1206,"OVERDUE","Due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IF($Q1207&lt;&gt;"Yes","",IF(COUNTIFS(nrES_PID,$D1207,nrES_Code,$F1207,nrES_Att,2)&gt;0,"Retested",IF(OR($T1207="",NOT(ISNUMBER($T1207))),"Pending",IF(TODAY()&gt;$T1207,"OVERDUE","Due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IF($Q1208&lt;&gt;"Yes","",IF(COUNTIFS(nrES_PID,$D1208,nrES_Code,$F1208,nrES_Att,2)&gt;0,"Retested",IF(OR($T1208="",NOT(ISNUMBER($T1208))),"Pending",IF(TODAY()&gt;$T1208,"OVERDUE","Due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IF($Q1209&lt;&gt;"Yes","",IF(COUNTIFS(nrES_PID,$D1209,nrES_Code,$F1209,nrES_Att,2)&gt;0,"Retested",IF(OR($T1209="",NOT(ISNUMBER($T1209))),"Pending",IF(TODAY()&gt;$T1209,"OVERDUE","Due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IF($Q1210&lt;&gt;"Yes","",IF(COUNTIFS(nrES_PID,$D1210,nrES_Code,$F1210,nrES_Att,2)&gt;0,"Retested",IF(OR($T1210="",NOT(ISNUMBER($T1210))),"Pending",IF(TODAY()&gt;$T1210,"OVERDUE","Due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IF($Q1211&lt;&gt;"Yes","",IF(COUNTIFS(nrES_PID,$D1211,nrES_Code,$F1211,nrES_Att,2)&gt;0,"Retested",IF(OR($T1211="",NOT(ISNUMBER($T1211))),"Pending",IF(TODAY()&gt;$T1211,"OVERDUE","Due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IF($Q1212&lt;&gt;"Yes","",IF(COUNTIFS(nrES_PID,$D1212,nrES_Code,$F1212,nrES_Att,2)&gt;0,"Retested",IF(OR($T1212="",NOT(ISNUMBER($T1212))),"Pending",IF(TODAY()&gt;$T1212,"OVERDUE","Due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IF($Q1213&lt;&gt;"Yes","",IF(COUNTIFS(nrES_PID,$D1213,nrES_Code,$F1213,nrES_Att,2)&gt;0,"Retested",IF(OR($T1213="",NOT(ISNUMBER($T1213))),"Pending",IF(TODAY()&gt;$T1213,"OVERDUE","Due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IF($Q1214&lt;&gt;"Yes","",IF(COUNTIFS(nrES_PID,$D1214,nrES_Code,$F1214,nrES_Att,2)&gt;0,"Retested",IF(OR($T1214="",NOT(ISNUMBER($T1214))),"Pending",IF(TODAY()&gt;$T1214,"OVERDUE","Due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IF($Q1215&lt;&gt;"Yes","",IF(COUNTIFS(nrES_PID,$D1215,nrES_Code,$F1215,nrES_Att,2)&gt;0,"Retested",IF(OR($T1215="",NOT(ISNUMBER($T1215))),"Pending",IF(TODAY()&gt;$T1215,"OVERDUE","Due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IF($Q1216&lt;&gt;"Yes","",IF(COUNTIFS(nrES_PID,$D1216,nrES_Code,$F1216,nrES_Att,2)&gt;0,"Retested",IF(OR($T1216="",NOT(ISNUMBER($T1216))),"Pending",IF(TODAY()&gt;$T1216,"OVERDUE","Due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IF($Q1217&lt;&gt;"Yes","",IF(COUNTIFS(nrES_PID,$D1217,nrES_Code,$F1217,nrES_Att,2)&gt;0,"Retested",IF(OR($T1217="",NOT(ISNUMBER($T1217))),"Pending",IF(TODAY()&gt;$T1217,"OVERDUE","Due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IF($Q1218&lt;&gt;"Yes","",IF(COUNTIFS(nrES_PID,$D1218,nrES_Code,$F1218,nrES_Att,2)&gt;0,"Retested",IF(OR($T1218="",NOT(ISNUMBER($T1218))),"Pending",IF(TODAY()&gt;$T1218,"OVERDUE","Due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IF($Q1219&lt;&gt;"Yes","",IF(COUNTIFS(nrES_PID,$D1219,nrES_Code,$F1219,nrES_Att,2)&gt;0,"Retested",IF(OR($T1219="",NOT(ISNUMBER($T1219))),"Pending",IF(TODAY()&gt;$T1219,"OVERDUE","Due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IF($Q1220&lt;&gt;"Yes","",IF(COUNTIFS(nrES_PID,$D1220,nrES_Code,$F1220,nrES_Att,2)&gt;0,"Retested",IF(OR($T1220="",NOT(ISNUMBER($T1220))),"Pending",IF(TODAY()&gt;$T1220,"OVERDUE","Due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IF($Q1221&lt;&gt;"Yes","",IF(COUNTIFS(nrES_PID,$D1221,nrES_Code,$F1221,nrES_Att,2)&gt;0,"Retested",IF(OR($T1221="",NOT(ISNUMBER($T1221))),"Pending",IF(TODAY()&gt;$T1221,"OVERDUE","Due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IF($Q1222&lt;&gt;"Yes","",IF(COUNTIFS(nrES_PID,$D1222,nrES_Code,$F1222,nrES_Att,2)&gt;0,"Retested",IF(OR($T1222="",NOT(ISNUMBER($T1222))),"Pending",IF(TODAY()&gt;$T1222,"OVERDUE","Due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IF($Q1223&lt;&gt;"Yes","",IF(COUNTIFS(nrES_PID,$D1223,nrES_Code,$F1223,nrES_Att,2)&gt;0,"Retested",IF(OR($T1223="",NOT(ISNUMBER($T1223))),"Pending",IF(TODAY()&gt;$T1223,"OVERDUE","Due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IF($Q1224&lt;&gt;"Yes","",IF(COUNTIFS(nrES_PID,$D1224,nrES_Code,$F1224,nrES_Att,2)&gt;0,"Retested",IF(OR($T1224="",NOT(ISNUMBER($T1224))),"Pending",IF(TODAY()&gt;$T1224,"OVERDUE","Due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IF($Q1225&lt;&gt;"Yes","",IF(COUNTIFS(nrES_PID,$D1225,nrES_Code,$F1225,nrES_Att,2)&gt;0,"Retested",IF(OR($T1225="",NOT(ISNUMBER($T1225))),"Pending",IF(TODAY()&gt;$T1225,"OVERDUE","Due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IF($Q1226&lt;&gt;"Yes","",IF(COUNTIFS(nrES_PID,$D1226,nrES_Code,$F1226,nrES_Att,2)&gt;0,"Retested",IF(OR($T1226="",NOT(ISNUMBER($T1226))),"Pending",IF(TODAY()&gt;$T1226,"OVERDUE","Due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IF($Q1227&lt;&gt;"Yes","",IF(COUNTIFS(nrES_PID,$D1227,nrES_Code,$F1227,nrES_Att,2)&gt;0,"Retested",IF(OR($T1227="",NOT(ISNUMBER($T1227))),"Pending",IF(TODAY()&gt;$T1227,"OVERDUE","Due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IF($Q1228&lt;&gt;"Yes","",IF(COUNTIFS(nrES_PID,$D1228,nrES_Code,$F1228,nrES_Att,2)&gt;0,"Retested",IF(OR($T1228="",NOT(ISNUMBER($T1228))),"Pending",IF(TODAY()&gt;$T1228,"OVERDUE","Due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IF($Q1229&lt;&gt;"Yes","",IF(COUNTIFS(nrES_PID,$D1229,nrES_Code,$F1229,nrES_Att,2)&gt;0,"Retested",IF(OR($T1229="",NOT(ISNUMBER($T1229))),"Pending",IF(TODAY()&gt;$T1229,"OVERDUE","Due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IF($Q1230&lt;&gt;"Yes","",IF(COUNTIFS(nrES_PID,$D1230,nrES_Code,$F1230,nrES_Att,2)&gt;0,"Retested",IF(OR($T1230="",NOT(ISNUMBER($T1230))),"Pending",IF(TODAY()&gt;$T1230,"OVERDUE","Due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IF($Q1231&lt;&gt;"Yes","",IF(COUNTIFS(nrES_PID,$D1231,nrES_Code,$F1231,nrES_Att,2)&gt;0,"Retested",IF(OR($T1231="",NOT(ISNUMBER($T1231))),"Pending",IF(TODAY()&gt;$T1231,"OVERDUE","Due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IF($Q1232&lt;&gt;"Yes","",IF(COUNTIFS(nrES_PID,$D1232,nrES_Code,$F1232,nrES_Att,2)&gt;0,"Retested",IF(OR($T1232="",NOT(ISNUMBER($T1232))),"Pending",IF(TODAY()&gt;$T1232,"OVERDUE","Due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IF($Q1233&lt;&gt;"Yes","",IF(COUNTIFS(nrES_PID,$D1233,nrES_Code,$F1233,nrES_Att,2)&gt;0,"Retested",IF(OR($T1233="",NOT(ISNUMBER($T1233))),"Pending",IF(TODAY()&gt;$T1233,"OVERDUE","Due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IF($Q1234&lt;&gt;"Yes","",IF(COUNTIFS(nrES_PID,$D1234,nrES_Code,$F1234,nrES_Att,2)&gt;0,"Retested",IF(OR($T1234="",NOT(ISNUMBER($T1234))),"Pending",IF(TODAY()&gt;$T1234,"OVERDUE","Due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IF($Q1235&lt;&gt;"Yes","",IF(COUNTIFS(nrES_PID,$D1235,nrES_Code,$F1235,nrES_Att,2)&gt;0,"Retested",IF(OR($T1235="",NOT(ISNUMBER($T1235))),"Pending",IF(TODAY()&gt;$T1235,"OVERDUE","Due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IF($Q1236&lt;&gt;"Yes","",IF(COUNTIFS(nrES_PID,$D1236,nrES_Code,$F1236,nrES_Att,2)&gt;0,"Retested",IF(OR($T1236="",NOT(ISNUMBER($T1236))),"Pending",IF(TODAY()&gt;$T1236,"OVERDUE","Due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IF($Q1237&lt;&gt;"Yes","",IF(COUNTIFS(nrES_PID,$D1237,nrES_Code,$F1237,nrES_Att,2)&gt;0,"Retested",IF(OR($T1237="",NOT(ISNUMBER($T1237))),"Pending",IF(TODAY()&gt;$T1237,"OVERDUE","Due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IF($Q1238&lt;&gt;"Yes","",IF(COUNTIFS(nrES_PID,$D1238,nrES_Code,$F1238,nrES_Att,2)&gt;0,"Retested",IF(OR($T1238="",NOT(ISNUMBER($T1238))),"Pending",IF(TODAY()&gt;$T1238,"OVERDUE","Due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IF($Q1239&lt;&gt;"Yes","",IF(COUNTIFS(nrES_PID,$D1239,nrES_Code,$F1239,nrES_Att,2)&gt;0,"Retested",IF(OR($T1239="",NOT(ISNUMBER($T1239))),"Pending",IF(TODAY()&gt;$T1239,"OVERDUE","Due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IF($Q1240&lt;&gt;"Yes","",IF(COUNTIFS(nrES_PID,$D1240,nrES_Code,$F1240,nrES_Att,2)&gt;0,"Retested",IF(OR($T1240="",NOT(ISNUMBER($T1240))),"Pending",IF(TODAY()&gt;$T1240,"OVERDUE","Due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IF($Q1241&lt;&gt;"Yes","",IF(COUNTIFS(nrES_PID,$D1241,nrES_Code,$F1241,nrES_Att,2)&gt;0,"Retested",IF(OR($T1241="",NOT(ISNUMBER($T1241))),"Pending",IF(TODAY()&gt;$T1241,"OVERDUE","Due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IF($Q1242&lt;&gt;"Yes","",IF(COUNTIFS(nrES_PID,$D1242,nrES_Code,$F1242,nrES_Att,2)&gt;0,"Retested",IF(OR($T1242="",NOT(ISNUMBER($T1242))),"Pending",IF(TODAY()&gt;$T1242,"OVERDUE","Due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IF($Q1243&lt;&gt;"Yes","",IF(COUNTIFS(nrES_PID,$D1243,nrES_Code,$F1243,nrES_Att,2)&gt;0,"Retested",IF(OR($T1243="",NOT(ISNUMBER($T1243))),"Pending",IF(TODAY()&gt;$T1243,"OVERDUE","Due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IF($Q1244&lt;&gt;"Yes","",IF(COUNTIFS(nrES_PID,$D1244,nrES_Code,$F1244,nrES_Att,2)&gt;0,"Retested",IF(OR($T1244="",NOT(ISNUMBER($T1244))),"Pending",IF(TODAY()&gt;$T1244,"OVERDUE","Due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IF($Q1245&lt;&gt;"Yes","",IF(COUNTIFS(nrES_PID,$D1245,nrES_Code,$F1245,nrES_Att,2)&gt;0,"Retested",IF(OR($T1245="",NOT(ISNUMBER($T1245))),"Pending",IF(TODAY()&gt;$T1245,"OVERDUE","Due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IF($Q1246&lt;&gt;"Yes","",IF(COUNTIFS(nrES_PID,$D1246,nrES_Code,$F1246,nrES_Att,2)&gt;0,"Retested",IF(OR($T1246="",NOT(ISNUMBER($T1246))),"Pending",IF(TODAY()&gt;$T1246,"OVERDUE","Due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IF($Q1247&lt;&gt;"Yes","",IF(COUNTIFS(nrES_PID,$D1247,nrES_Code,$F1247,nrES_Att,2)&gt;0,"Retested",IF(OR($T1247="",NOT(ISNUMBER($T1247))),"Pending",IF(TODAY()&gt;$T1247,"OVERDUE","Due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IF($Q1248&lt;&gt;"Yes","",IF(COUNTIFS(nrES_PID,$D1248,nrES_Code,$F1248,nrES_Att,2)&gt;0,"Retested",IF(OR($T1248="",NOT(ISNUMBER($T1248))),"Pending",IF(TODAY()&gt;$T1248,"OVERDUE","Due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IF($Q1249&lt;&gt;"Yes","",IF(COUNTIFS(nrES_PID,$D1249,nrES_Code,$F1249,nrES_Att,2)&gt;0,"Retested",IF(OR($T1249="",NOT(ISNUMBER($T1249))),"Pending",IF(TODAY()&gt;$T1249,"OVERDUE","Due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IF($Q1250&lt;&gt;"Yes","",IF(COUNTIFS(nrES_PID,$D1250,nrES_Code,$F1250,nrES_Att,2)&gt;0,"Retested",IF(OR($T1250="",NOT(ISNUMBER($T1250))),"Pending",IF(TODAY()&gt;$T1250,"OVERDUE","Due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IF($Q1251&lt;&gt;"Yes","",IF(COUNTIFS(nrES_PID,$D1251,nrES_Code,$F1251,nrES_Att,2)&gt;0,"Retested",IF(OR($T1251="",NOT(ISNUMBER($T1251))),"Pending",IF(TODAY()&gt;$T1251,"OVERDUE","Due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IF($Q1252&lt;&gt;"Yes","",IF(COUNTIFS(nrES_PID,$D1252,nrES_Code,$F1252,nrES_Att,2)&gt;0,"Retested",IF(OR($T1252="",NOT(ISNUMBER($T1252))),"Pending",IF(TODAY()&gt;$T1252,"OVERDUE","Due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IF($Q1253&lt;&gt;"Yes","",IF(COUNTIFS(nrES_PID,$D1253,nrES_Code,$F1253,nrES_Att,2)&gt;0,"Retested",IF(OR($T1253="",NOT(ISNUMBER($T1253))),"Pending",IF(TODAY()&gt;$T1253,"OVERDUE","Due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IF($Q1254&lt;&gt;"Yes","",IF(COUNTIFS(nrES_PID,$D1254,nrES_Code,$F1254,nrES_Att,2)&gt;0,"Retested",IF(OR($T1254="",NOT(ISNUMBER($T1254))),"Pending",IF(TODAY()&gt;$T1254,"OVERDUE","Due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IF($Q1255&lt;&gt;"Yes","",IF(COUNTIFS(nrES_PID,$D1255,nrES_Code,$F1255,nrES_Att,2)&gt;0,"Retested",IF(OR($T1255="",NOT(ISNUMBER($T1255))),"Pending",IF(TODAY()&gt;$T1255,"OVERDUE","Due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IF($Q1256&lt;&gt;"Yes","",IF(COUNTIFS(nrES_PID,$D1256,nrES_Code,$F1256,nrES_Att,2)&gt;0,"Retested",IF(OR($T1256="",NOT(ISNUMBER($T1256))),"Pending",IF(TODAY()&gt;$T1256,"OVERDUE","Due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IF($Q1257&lt;&gt;"Yes","",IF(COUNTIFS(nrES_PID,$D1257,nrES_Code,$F1257,nrES_Att,2)&gt;0,"Retested",IF(OR($T1257="",NOT(ISNUMBER($T1257))),"Pending",IF(TODAY()&gt;$T1257,"OVERDUE","Due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IF($Q1258&lt;&gt;"Yes","",IF(COUNTIFS(nrES_PID,$D1258,nrES_Code,$F1258,nrES_Att,2)&gt;0,"Retested",IF(OR($T1258="",NOT(ISNUMBER($T1258))),"Pending",IF(TODAY()&gt;$T1258,"OVERDUE","Due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IF($Q1259&lt;&gt;"Yes","",IF(COUNTIFS(nrES_PID,$D1259,nrES_Code,$F1259,nrES_Att,2)&gt;0,"Retested",IF(OR($T1259="",NOT(ISNUMBER($T1259))),"Pending",IF(TODAY()&gt;$T1259,"OVERDUE","Due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IF($Q1260&lt;&gt;"Yes","",IF(COUNTIFS(nrES_PID,$D1260,nrES_Code,$F1260,nrES_Att,2)&gt;0,"Retested",IF(OR($T1260="",NOT(ISNUMBER($T1260))),"Pending",IF(TODAY()&gt;$T1260,"OVERDUE","Due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IF($Q1261&lt;&gt;"Yes","",IF(COUNTIFS(nrES_PID,$D1261,nrES_Code,$F1261,nrES_Att,2)&gt;0,"Retested",IF(OR($T1261="",NOT(ISNUMBER($T1261))),"Pending",IF(TODAY()&gt;$T1261,"OVERDUE","Due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IF($Q1262&lt;&gt;"Yes","",IF(COUNTIFS(nrES_PID,$D1262,nrES_Code,$F1262,nrES_Att,2)&gt;0,"Retested",IF(OR($T1262="",NOT(ISNUMBER($T1262))),"Pending",IF(TODAY()&gt;$T1262,"OVERDUE","Due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IF($Q1263&lt;&gt;"Yes","",IF(COUNTIFS(nrES_PID,$D1263,nrES_Code,$F1263,nrES_Att,2)&gt;0,"Retested",IF(OR($T1263="",NOT(ISNUMBER($T1263))),"Pending",IF(TODAY()&gt;$T1263,"OVERDUE","Due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IF($Q1264&lt;&gt;"Yes","",IF(COUNTIFS(nrES_PID,$D1264,nrES_Code,$F1264,nrES_Att,2)&gt;0,"Retested",IF(OR($T1264="",NOT(ISNUMBER($T1264))),"Pending",IF(TODAY()&gt;$T1264,"OVERDUE","Due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IF($Q1265&lt;&gt;"Yes","",IF(COUNTIFS(nrES_PID,$D1265,nrES_Code,$F1265,nrES_Att,2)&gt;0,"Retested",IF(OR($T1265="",NOT(ISNUMBER($T1265))),"Pending",IF(TODAY()&gt;$T1265,"OVERDUE","Due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IF($Q1266&lt;&gt;"Yes","",IF(COUNTIFS(nrES_PID,$D1266,nrES_Code,$F1266,nrES_Att,2)&gt;0,"Retested",IF(OR($T1266="",NOT(ISNUMBER($T1266))),"Pending",IF(TODAY()&gt;$T1266,"OVERDUE","Due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IF($Q1267&lt;&gt;"Yes","",IF(COUNTIFS(nrES_PID,$D1267,nrES_Code,$F1267,nrES_Att,2)&gt;0,"Retested",IF(OR($T1267="",NOT(ISNUMBER($T1267))),"Pending",IF(TODAY()&gt;$T1267,"OVERDUE","Due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IF($Q1268&lt;&gt;"Yes","",IF(COUNTIFS(nrES_PID,$D1268,nrES_Code,$F1268,nrES_Att,2)&gt;0,"Retested",IF(OR($T1268="",NOT(ISNUMBER($T1268))),"Pending",IF(TODAY()&gt;$T1268,"OVERDUE","Due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IF($Q1269&lt;&gt;"Yes","",IF(COUNTIFS(nrES_PID,$D1269,nrES_Code,$F1269,nrES_Att,2)&gt;0,"Retested",IF(OR($T1269="",NOT(ISNUMBER($T1269))),"Pending",IF(TODAY()&gt;$T1269,"OVERDUE","Due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IF($Q1270&lt;&gt;"Yes","",IF(COUNTIFS(nrES_PID,$D1270,nrES_Code,$F1270,nrES_Att,2)&gt;0,"Retested",IF(OR($T1270="",NOT(ISNUMBER($T1270))),"Pending",IF(TODAY()&gt;$T1270,"OVERDUE","Due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IF($Q1271&lt;&gt;"Yes","",IF(COUNTIFS(nrES_PID,$D1271,nrES_Code,$F1271,nrES_Att,2)&gt;0,"Retested",IF(OR($T1271="",NOT(ISNUMBER($T1271))),"Pending",IF(TODAY()&gt;$T1271,"OVERDUE","Due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IF($Q1272&lt;&gt;"Yes","",IF(COUNTIFS(nrES_PID,$D1272,nrES_Code,$F1272,nrES_Att,2)&gt;0,"Retested",IF(OR($T1272="",NOT(ISNUMBER($T1272))),"Pending",IF(TODAY()&gt;$T1272,"OVERDUE","Due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IF($Q1273&lt;&gt;"Yes","",IF(COUNTIFS(nrES_PID,$D1273,nrES_Code,$F1273,nrES_Att,2)&gt;0,"Retested",IF(OR($T1273="",NOT(ISNUMBER($T1273))),"Pending",IF(TODAY()&gt;$T1273,"OVERDUE","Due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IF($Q1274&lt;&gt;"Yes","",IF(COUNTIFS(nrES_PID,$D1274,nrES_Code,$F1274,nrES_Att,2)&gt;0,"Retested",IF(OR($T1274="",NOT(ISNUMBER($T1274))),"Pending",IF(TODAY()&gt;$T1274,"OVERDUE","Due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IF($Q1275&lt;&gt;"Yes","",IF(COUNTIFS(nrES_PID,$D1275,nrES_Code,$F1275,nrES_Att,2)&gt;0,"Retested",IF(OR($T1275="",NOT(ISNUMBER($T1275))),"Pending",IF(TODAY()&gt;$T1275,"OVERDUE","Due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IF($Q1276&lt;&gt;"Yes","",IF(COUNTIFS(nrES_PID,$D1276,nrES_Code,$F1276,nrES_Att,2)&gt;0,"Retested",IF(OR($T1276="",NOT(ISNUMBER($T1276))),"Pending",IF(TODAY()&gt;$T1276,"OVERDUE","Due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IF($Q1277&lt;&gt;"Yes","",IF(COUNTIFS(nrES_PID,$D1277,nrES_Code,$F1277,nrES_Att,2)&gt;0,"Retested",IF(OR($T1277="",NOT(ISNUMBER($T1277))),"Pending",IF(TODAY()&gt;$T1277,"OVERDUE","Due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IF($Q1278&lt;&gt;"Yes","",IF(COUNTIFS(nrES_PID,$D1278,nrES_Code,$F1278,nrES_Att,2)&gt;0,"Retested",IF(OR($T1278="",NOT(ISNUMBER($T1278))),"Pending",IF(TODAY()&gt;$T1278,"OVERDUE","Due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IF($Q1279&lt;&gt;"Yes","",IF(COUNTIFS(nrES_PID,$D1279,nrES_Code,$F1279,nrES_Att,2)&gt;0,"Retested",IF(OR($T1279="",NOT(ISNUMBER($T1279))),"Pending",IF(TODAY()&gt;$T1279,"OVERDUE","Due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IF($Q1280&lt;&gt;"Yes","",IF(COUNTIFS(nrES_PID,$D1280,nrES_Code,$F1280,nrES_Att,2)&gt;0,"Retested",IF(OR($T1280="",NOT(ISNUMBER($T1280))),"Pending",IF(TODAY()&gt;$T1280,"OVERDUE","Due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IF($Q1281&lt;&gt;"Yes","",IF(COUNTIFS(nrES_PID,$D1281,nrES_Code,$F1281,nrES_Att,2)&gt;0,"Retested",IF(OR($T1281="",NOT(ISNUMBER($T1281))),"Pending",IF(TODAY()&gt;$T1281,"OVERDUE","Due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IF($Q1282&lt;&gt;"Yes","",IF(COUNTIFS(nrES_PID,$D1282,nrES_Code,$F1282,nrES_Att,2)&gt;0,"Retested",IF(OR($T1282="",NOT(ISNUMBER($T1282))),"Pending",IF(TODAY()&gt;$T1282,"OVERDUE","Due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IF($Q1283&lt;&gt;"Yes","",IF(COUNTIFS(nrES_PID,$D1283,nrES_Code,$F1283,nrES_Att,2)&gt;0,"Retested",IF(OR($T1283="",NOT(ISNUMBER($T1283))),"Pending",IF(TODAY()&gt;$T1283,"OVERDUE","Due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IF($Q1284&lt;&gt;"Yes","",IF(COUNTIFS(nrES_PID,$D1284,nrES_Code,$F1284,nrES_Att,2)&gt;0,"Retested",IF(OR($T1284="",NOT(ISNUMBER($T1284))),"Pending",IF(TODAY()&gt;$T1284,"OVERDUE","Due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IF($Q1285&lt;&gt;"Yes","",IF(COUNTIFS(nrES_PID,$D1285,nrES_Code,$F1285,nrES_Att,2)&gt;0,"Retested",IF(OR($T1285="",NOT(ISNUMBER($T1285))),"Pending",IF(TODAY()&gt;$T1285,"OVERDUE","Due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IF($Q1286&lt;&gt;"Yes","",IF(COUNTIFS(nrES_PID,$D1286,nrES_Code,$F1286,nrES_Att,2)&gt;0,"Retested",IF(OR($T1286="",NOT(ISNUMBER($T1286))),"Pending",IF(TODAY()&gt;$T1286,"OVERDUE","Due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IF($Q1287&lt;&gt;"Yes","",IF(COUNTIFS(nrES_PID,$D1287,nrES_Code,$F1287,nrES_Att,2)&gt;0,"Retested",IF(OR($T1287="",NOT(ISNUMBER($T1287))),"Pending",IF(TODAY()&gt;$T1287,"OVERDUE","Due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IF($Q1288&lt;&gt;"Yes","",IF(COUNTIFS(nrES_PID,$D1288,nrES_Code,$F1288,nrES_Att,2)&gt;0,"Retested",IF(OR($T1288="",NOT(ISNUMBER($T1288))),"Pending",IF(TODAY()&gt;$T1288,"OVERDUE","Due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IF($Q1289&lt;&gt;"Yes","",IF(COUNTIFS(nrES_PID,$D1289,nrES_Code,$F1289,nrES_Att,2)&gt;0,"Retested",IF(OR($T1289="",NOT(ISNUMBER($T1289))),"Pending",IF(TODAY()&gt;$T1289,"OVERDUE","Due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IF($Q1290&lt;&gt;"Yes","",IF(COUNTIFS(nrES_PID,$D1290,nrES_Code,$F1290,nrES_Att,2)&gt;0,"Retested",IF(OR($T1290="",NOT(ISNUMBER($T1290))),"Pending",IF(TODAY()&gt;$T1290,"OVERDUE","Due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IF($Q1291&lt;&gt;"Yes","",IF(COUNTIFS(nrES_PID,$D1291,nrES_Code,$F1291,nrES_Att,2)&gt;0,"Retested",IF(OR($T1291="",NOT(ISNUMBER($T1291))),"Pending",IF(TODAY()&gt;$T1291,"OVERDUE","Due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IF($Q1292&lt;&gt;"Yes","",IF(COUNTIFS(nrES_PID,$D1292,nrES_Code,$F1292,nrES_Att,2)&gt;0,"Retested",IF(OR($T1292="",NOT(ISNUMBER($T1292))),"Pending",IF(TODAY()&gt;$T1292,"OVERDUE","Due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IF($Q1293&lt;&gt;"Yes","",IF(COUNTIFS(nrES_PID,$D1293,nrES_Code,$F1293,nrES_Att,2)&gt;0,"Retested",IF(OR($T1293="",NOT(ISNUMBER($T1293))),"Pending",IF(TODAY()&gt;$T1293,"OVERDUE","Due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IF($Q1294&lt;&gt;"Yes","",IF(COUNTIFS(nrES_PID,$D1294,nrES_Code,$F1294,nrES_Att,2)&gt;0,"Retested",IF(OR($T1294="",NOT(ISNUMBER($T1294))),"Pending",IF(TODAY()&gt;$T1294,"OVERDUE","Due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IF($Q1295&lt;&gt;"Yes","",IF(COUNTIFS(nrES_PID,$D1295,nrES_Code,$F1295,nrES_Att,2)&gt;0,"Retested",IF(OR($T1295="",NOT(ISNUMBER($T1295))),"Pending",IF(TODAY()&gt;$T1295,"OVERDUE","Due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IF($Q1296&lt;&gt;"Yes","",IF(COUNTIFS(nrES_PID,$D1296,nrES_Code,$F1296,nrES_Att,2)&gt;0,"Retested",IF(OR($T1296="",NOT(ISNUMBER($T1296))),"Pending",IF(TODAY()&gt;$T1296,"OVERDUE","Due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IF($Q1297&lt;&gt;"Yes","",IF(COUNTIFS(nrES_PID,$D1297,nrES_Code,$F1297,nrES_Att,2)&gt;0,"Retested",IF(OR($T1297="",NOT(ISNUMBER($T1297))),"Pending",IF(TODAY()&gt;$T1297,"OVERDUE","Due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IF($Q1298&lt;&gt;"Yes","",IF(COUNTIFS(nrES_PID,$D1298,nrES_Code,$F1298,nrES_Att,2)&gt;0,"Retested",IF(OR($T1298="",NOT(ISNUMBER($T1298))),"Pending",IF(TODAY()&gt;$T1298,"OVERDUE","Due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IF($Q1299&lt;&gt;"Yes","",IF(COUNTIFS(nrES_PID,$D1299,nrES_Code,$F1299,nrES_Att,2)&gt;0,"Retested",IF(OR($T1299="",NOT(ISNUMBER($T1299))),"Pending",IF(TODAY()&gt;$T1299,"OVERDUE","Due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IF($Q1300&lt;&gt;"Yes","",IF(COUNTIFS(nrES_PID,$D1300,nrES_Code,$F1300,nrES_Att,2)&gt;0,"Retested",IF(OR($T1300="",NOT(ISNUMBER($T1300))),"Pending",IF(TODAY()&gt;$T1300,"OVERDUE","Due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IF($Q1301&lt;&gt;"Yes","",IF(COUNTIFS(nrES_PID,$D1301,nrES_Code,$F1301,nrES_Att,2)&gt;0,"Retested",IF(OR($T1301="",NOT(ISNUMBER($T1301))),"Pending",IF(TODAY()&gt;$T1301,"OVERDUE","Due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IF($Q1302&lt;&gt;"Yes","",IF(COUNTIFS(nrES_PID,$D1302,nrES_Code,$F1302,nrES_Att,2)&gt;0,"Retested",IF(OR($T1302="",NOT(ISNUMBER($T1302))),"Pending",IF(TODAY()&gt;$T1302,"OVERDUE","Due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IF($Q1303&lt;&gt;"Yes","",IF(COUNTIFS(nrES_PID,$D1303,nrES_Code,$F1303,nrES_Att,2)&gt;0,"Retested",IF(OR($T1303="",NOT(ISNUMBER($T1303))),"Pending",IF(TODAY()&gt;$T1303,"OVERDUE","Due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IF($Q1304&lt;&gt;"Yes","",IF(COUNTIFS(nrES_PID,$D1304,nrES_Code,$F1304,nrES_Att,2)&gt;0,"Retested",IF(OR($T1304="",NOT(ISNUMBER($T1304))),"Pending",IF(TODAY()&gt;$T1304,"OVERDUE","Due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IF($Q1305&lt;&gt;"Yes","",IF(COUNTIFS(nrES_PID,$D1305,nrES_Code,$F1305,nrES_Att,2)&gt;0,"Retested",IF(OR($T1305="",NOT(ISNUMBER($T1305))),"Pending",IF(TODAY()&gt;$T1305,"OVERDUE","Due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IF($Q1306&lt;&gt;"Yes","",IF(COUNTIFS(nrES_PID,$D1306,nrES_Code,$F1306,nrES_Att,2)&gt;0,"Retested",IF(OR($T1306="",NOT(ISNUMBER($T1306))),"Pending",IF(TODAY()&gt;$T1306,"OVERDUE","Due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IF($Q1307&lt;&gt;"Yes","",IF(COUNTIFS(nrES_PID,$D1307,nrES_Code,$F1307,nrES_Att,2)&gt;0,"Retested",IF(OR($T1307="",NOT(ISNUMBER($T1307))),"Pending",IF(TODAY()&gt;$T1307,"OVERDUE","Due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IF($Q1308&lt;&gt;"Yes","",IF(COUNTIFS(nrES_PID,$D1308,nrES_Code,$F1308,nrES_Att,2)&gt;0,"Retested",IF(OR($T1308="",NOT(ISNUMBER($T1308))),"Pending",IF(TODAY()&gt;$T1308,"OVERDUE","Due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IF($Q1309&lt;&gt;"Yes","",IF(COUNTIFS(nrES_PID,$D1309,nrES_Code,$F1309,nrES_Att,2)&gt;0,"Retested",IF(OR($T1309="",NOT(ISNUMBER($T1309))),"Pending",IF(TODAY()&gt;$T1309,"OVERDUE","Due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IF($Q1310&lt;&gt;"Yes","",IF(COUNTIFS(nrES_PID,$D1310,nrES_Code,$F1310,nrES_Att,2)&gt;0,"Retested",IF(OR($T1310="",NOT(ISNUMBER($T1310))),"Pending",IF(TODAY()&gt;$T1310,"OVERDUE","Due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IF($Q1311&lt;&gt;"Yes","",IF(COUNTIFS(nrES_PID,$D1311,nrES_Code,$F1311,nrES_Att,2)&gt;0,"Retested",IF(OR($T1311="",NOT(ISNUMBER($T1311))),"Pending",IF(TODAY()&gt;$T1311,"OVERDUE","Due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IF($Q1312&lt;&gt;"Yes","",IF(COUNTIFS(nrES_PID,$D1312,nrES_Code,$F1312,nrES_Att,2)&gt;0,"Retested",IF(OR($T1312="",NOT(ISNUMBER($T1312))),"Pending",IF(TODAY()&gt;$T1312,"OVERDUE","Due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IF($Q1313&lt;&gt;"Yes","",IF(COUNTIFS(nrES_PID,$D1313,nrES_Code,$F1313,nrES_Att,2)&gt;0,"Retested",IF(OR($T1313="",NOT(ISNUMBER($T1313))),"Pending",IF(TODAY()&gt;$T1313,"OVERDUE","Due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IF($Q1314&lt;&gt;"Yes","",IF(COUNTIFS(nrES_PID,$D1314,nrES_Code,$F1314,nrES_Att,2)&gt;0,"Retested",IF(OR($T1314="",NOT(ISNUMBER($T1314))),"Pending",IF(TODAY()&gt;$T1314,"OVERDUE","Due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IF($Q1315&lt;&gt;"Yes","",IF(COUNTIFS(nrES_PID,$D1315,nrES_Code,$F1315,nrES_Att,2)&gt;0,"Retested",IF(OR($T1315="",NOT(ISNUMBER($T1315))),"Pending",IF(TODAY()&gt;$T1315,"OVERDUE","Due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IF($Q1316&lt;&gt;"Yes","",IF(COUNTIFS(nrES_PID,$D1316,nrES_Code,$F1316,nrES_Att,2)&gt;0,"Retested",IF(OR($T1316="",NOT(ISNUMBER($T1316))),"Pending",IF(TODAY()&gt;$T1316,"OVERDUE","Due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IF($Q1317&lt;&gt;"Yes","",IF(COUNTIFS(nrES_PID,$D1317,nrES_Code,$F1317,nrES_Att,2)&gt;0,"Retested",IF(OR($T1317="",NOT(ISNUMBER($T1317))),"Pending",IF(TODAY()&gt;$T1317,"OVERDUE","Due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IF($Q1318&lt;&gt;"Yes","",IF(COUNTIFS(nrES_PID,$D1318,nrES_Code,$F1318,nrES_Att,2)&gt;0,"Retested",IF(OR($T1318="",NOT(ISNUMBER($T1318))),"Pending",IF(TODAY()&gt;$T1318,"OVERDUE","Due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IF($Q1319&lt;&gt;"Yes","",IF(COUNTIFS(nrES_PID,$D1319,nrES_Code,$F1319,nrES_Att,2)&gt;0,"Retested",IF(OR($T1319="",NOT(ISNUMBER($T1319))),"Pending",IF(TODAY()&gt;$T1319,"OVERDUE","Due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IF($Q1320&lt;&gt;"Yes","",IF(COUNTIFS(nrES_PID,$D1320,nrES_Code,$F1320,nrES_Att,2)&gt;0,"Retested",IF(OR($T1320="",NOT(ISNUMBER($T1320))),"Pending",IF(TODAY()&gt;$T1320,"OVERDUE","Due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IF($Q1321&lt;&gt;"Yes","",IF(COUNTIFS(nrES_PID,$D1321,nrES_Code,$F1321,nrES_Att,2)&gt;0,"Retested",IF(OR($T1321="",NOT(ISNUMBER($T1321))),"Pending",IF(TODAY()&gt;$T1321,"OVERDUE","Due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IF($Q1322&lt;&gt;"Yes","",IF(COUNTIFS(nrES_PID,$D1322,nrES_Code,$F1322,nrES_Att,2)&gt;0,"Retested",IF(OR($T1322="",NOT(ISNUMBER($T1322))),"Pending",IF(TODAY()&gt;$T1322,"OVERDUE","Due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IF($Q1323&lt;&gt;"Yes","",IF(COUNTIFS(nrES_PID,$D1323,nrES_Code,$F1323,nrES_Att,2)&gt;0,"Retested",IF(OR($T1323="",NOT(ISNUMBER($T1323))),"Pending",IF(TODAY()&gt;$T1323,"OVERDUE","Due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IF($Q1324&lt;&gt;"Yes","",IF(COUNTIFS(nrES_PID,$D1324,nrES_Code,$F1324,nrES_Att,2)&gt;0,"Retested",IF(OR($T1324="",NOT(ISNUMBER($T1324))),"Pending",IF(TODAY()&gt;$T1324,"OVERDUE","Due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IF($Q1325&lt;&gt;"Yes","",IF(COUNTIFS(nrES_PID,$D1325,nrES_Code,$F1325,nrES_Att,2)&gt;0,"Retested",IF(OR($T1325="",NOT(ISNUMBER($T1325))),"Pending",IF(TODAY()&gt;$T1325,"OVERDUE","Due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IF($Q1326&lt;&gt;"Yes","",IF(COUNTIFS(nrES_PID,$D1326,nrES_Code,$F1326,nrES_Att,2)&gt;0,"Retested",IF(OR($T1326="",NOT(ISNUMBER($T1326))),"Pending",IF(TODAY()&gt;$T1326,"OVERDUE","Due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IF($Q1327&lt;&gt;"Yes","",IF(COUNTIFS(nrES_PID,$D1327,nrES_Code,$F1327,nrES_Att,2)&gt;0,"Retested",IF(OR($T1327="",NOT(ISNUMBER($T1327))),"Pending",IF(TODAY()&gt;$T1327,"OVERDUE","Due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IF($Q1328&lt;&gt;"Yes","",IF(COUNTIFS(nrES_PID,$D1328,nrES_Code,$F1328,nrES_Att,2)&gt;0,"Retested",IF(OR($T1328="",NOT(ISNUMBER($T1328))),"Pending",IF(TODAY()&gt;$T1328,"OVERDUE","Due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IF($Q1329&lt;&gt;"Yes","",IF(COUNTIFS(nrES_PID,$D1329,nrES_Code,$F1329,nrES_Att,2)&gt;0,"Retested",IF(OR($T1329="",NOT(ISNUMBER($T1329))),"Pending",IF(TODAY()&gt;$T1329,"OVERDUE","Due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IF($Q1330&lt;&gt;"Yes","",IF(COUNTIFS(nrES_PID,$D1330,nrES_Code,$F1330,nrES_Att,2)&gt;0,"Retested",IF(OR($T1330="",NOT(ISNUMBER($T1330))),"Pending",IF(TODAY()&gt;$T1330,"OVERDUE","Due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IF($Q1331&lt;&gt;"Yes","",IF(COUNTIFS(nrES_PID,$D1331,nrES_Code,$F1331,nrES_Att,2)&gt;0,"Retested",IF(OR($T1331="",NOT(ISNUMBER($T1331))),"Pending",IF(TODAY()&gt;$T1331,"OVERDUE","Due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IF($Q1332&lt;&gt;"Yes","",IF(COUNTIFS(nrES_PID,$D1332,nrES_Code,$F1332,nrES_Att,2)&gt;0,"Retested",IF(OR($T1332="",NOT(ISNUMBER($T1332))),"Pending",IF(TODAY()&gt;$T1332,"OVERDUE","Due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IF($Q1333&lt;&gt;"Yes","",IF(COUNTIFS(nrES_PID,$D1333,nrES_Code,$F1333,nrES_Att,2)&gt;0,"Retested",IF(OR($T1333="",NOT(ISNUMBER($T1333))),"Pending",IF(TODAY()&gt;$T1333,"OVERDUE","Due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IF($Q1334&lt;&gt;"Yes","",IF(COUNTIFS(nrES_PID,$D1334,nrES_Code,$F1334,nrES_Att,2)&gt;0,"Retested",IF(OR($T1334="",NOT(ISNUMBER($T1334))),"Pending",IF(TODAY()&gt;$T1334,"OVERDUE","Due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IF($Q1335&lt;&gt;"Yes","",IF(COUNTIFS(nrES_PID,$D1335,nrES_Code,$F1335,nrES_Att,2)&gt;0,"Retested",IF(OR($T1335="",NOT(ISNUMBER($T1335))),"Pending",IF(TODAY()&gt;$T1335,"OVERDUE","Due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IF($Q1336&lt;&gt;"Yes","",IF(COUNTIFS(nrES_PID,$D1336,nrES_Code,$F1336,nrES_Att,2)&gt;0,"Retested",IF(OR($T1336="",NOT(ISNUMBER($T1336))),"Pending",IF(TODAY()&gt;$T1336,"OVERDUE","Due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IF($Q1337&lt;&gt;"Yes","",IF(COUNTIFS(nrES_PID,$D1337,nrES_Code,$F1337,nrES_Att,2)&gt;0,"Retested",IF(OR($T1337="",NOT(ISNUMBER($T1337))),"Pending",IF(TODAY()&gt;$T1337,"OVERDUE","Due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IF($Q1338&lt;&gt;"Yes","",IF(COUNTIFS(nrES_PID,$D1338,nrES_Code,$F1338,nrES_Att,2)&gt;0,"Retested",IF(OR($T1338="",NOT(ISNUMBER($T1338))),"Pending",IF(TODAY()&gt;$T1338,"OVERDUE","Due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IF($Q1339&lt;&gt;"Yes","",IF(COUNTIFS(nrES_PID,$D1339,nrES_Code,$F1339,nrES_Att,2)&gt;0,"Retested",IF(OR($T1339="",NOT(ISNUMBER($T1339))),"Pending",IF(TODAY()&gt;$T1339,"OVERDUE","Due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IF($Q1340&lt;&gt;"Yes","",IF(COUNTIFS(nrES_PID,$D1340,nrES_Code,$F1340,nrES_Att,2)&gt;0,"Retested",IF(OR($T1340="",NOT(ISNUMBER($T1340))),"Pending",IF(TODAY()&gt;$T1340,"OVERDUE","Due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IF($Q1341&lt;&gt;"Yes","",IF(COUNTIFS(nrES_PID,$D1341,nrES_Code,$F1341,nrES_Att,2)&gt;0,"Retested",IF(OR($T1341="",NOT(ISNUMBER($T1341))),"Pending",IF(TODAY()&gt;$T1341,"OVERDUE","Due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IF($Q1342&lt;&gt;"Yes","",IF(COUNTIFS(nrES_PID,$D1342,nrES_Code,$F1342,nrES_Att,2)&gt;0,"Retested",IF(OR($T1342="",NOT(ISNUMBER($T1342))),"Pending",IF(TODAY()&gt;$T1342,"OVERDUE","Due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IF($Q1343&lt;&gt;"Yes","",IF(COUNTIFS(nrES_PID,$D1343,nrES_Code,$F1343,nrES_Att,2)&gt;0,"Retested",IF(OR($T1343="",NOT(ISNUMBER($T1343))),"Pending",IF(TODAY()&gt;$T1343,"OVERDUE","Due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IF($Q1344&lt;&gt;"Yes","",IF(COUNTIFS(nrES_PID,$D1344,nrES_Code,$F1344,nrES_Att,2)&gt;0,"Retested",IF(OR($T1344="",NOT(ISNUMBER($T1344))),"Pending",IF(TODAY()&gt;$T1344,"OVERDUE","Due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IF($Q1345&lt;&gt;"Yes","",IF(COUNTIFS(nrES_PID,$D1345,nrES_Code,$F1345,nrES_Att,2)&gt;0,"Retested",IF(OR($T1345="",NOT(ISNUMBER($T1345))),"Pending",IF(TODAY()&gt;$T1345,"OVERDUE","Due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IF($Q1346&lt;&gt;"Yes","",IF(COUNTIFS(nrES_PID,$D1346,nrES_Code,$F1346,nrES_Att,2)&gt;0,"Retested",IF(OR($T1346="",NOT(ISNUMBER($T1346))),"Pending",IF(TODAY()&gt;$T1346,"OVERDUE","Due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IF($Q1347&lt;&gt;"Yes","",IF(COUNTIFS(nrES_PID,$D1347,nrES_Code,$F1347,nrES_Att,2)&gt;0,"Retested",IF(OR($T1347="",NOT(ISNUMBER($T1347))),"Pending",IF(TODAY()&gt;$T1347,"OVERDUE","Due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IF($Q1348&lt;&gt;"Yes","",IF(COUNTIFS(nrES_PID,$D1348,nrES_Code,$F1348,nrES_Att,2)&gt;0,"Retested",IF(OR($T1348="",NOT(ISNUMBER($T1348))),"Pending",IF(TODAY()&gt;$T1348,"OVERDUE","Due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IF($Q1349&lt;&gt;"Yes","",IF(COUNTIFS(nrES_PID,$D1349,nrES_Code,$F1349,nrES_Att,2)&gt;0,"Retested",IF(OR($T1349="",NOT(ISNUMBER($T1349))),"Pending",IF(TODAY()&gt;$T1349,"OVERDUE","Due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IF($Q1350&lt;&gt;"Yes","",IF(COUNTIFS(nrES_PID,$D1350,nrES_Code,$F1350,nrES_Att,2)&gt;0,"Retested",IF(OR($T1350="",NOT(ISNUMBER($T1350))),"Pending",IF(TODAY()&gt;$T1350,"OVERDUE","Due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IF($Q1351&lt;&gt;"Yes","",IF(COUNTIFS(nrES_PID,$D1351,nrES_Code,$F1351,nrES_Att,2)&gt;0,"Retested",IF(OR($T1351="",NOT(ISNUMBER($T1351))),"Pending",IF(TODAY()&gt;$T1351,"OVERDUE","Due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IF($Q1352&lt;&gt;"Yes","",IF(COUNTIFS(nrES_PID,$D1352,nrES_Code,$F1352,nrES_Att,2)&gt;0,"Retested",IF(OR($T1352="",NOT(ISNUMBER($T1352))),"Pending",IF(TODAY()&gt;$T1352,"OVERDUE","Due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IF($Q1353&lt;&gt;"Yes","",IF(COUNTIFS(nrES_PID,$D1353,nrES_Code,$F1353,nrES_Att,2)&gt;0,"Retested",IF(OR($T1353="",NOT(ISNUMBER($T1353))),"Pending",IF(TODAY()&gt;$T1353,"OVERDUE","Due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IF($Q1354&lt;&gt;"Yes","",IF(COUNTIFS(nrES_PID,$D1354,nrES_Code,$F1354,nrES_Att,2)&gt;0,"Retested",IF(OR($T1354="",NOT(ISNUMBER($T1354))),"Pending",IF(TODAY()&gt;$T1354,"OVERDUE","Due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IF($Q1355&lt;&gt;"Yes","",IF(COUNTIFS(nrES_PID,$D1355,nrES_Code,$F1355,nrES_Att,2)&gt;0,"Retested",IF(OR($T1355="",NOT(ISNUMBER($T1355))),"Pending",IF(TODAY()&gt;$T1355,"OVERDUE","Due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IF($Q1356&lt;&gt;"Yes","",IF(COUNTIFS(nrES_PID,$D1356,nrES_Code,$F1356,nrES_Att,2)&gt;0,"Retested",IF(OR($T1356="",NOT(ISNUMBER($T1356))),"Pending",IF(TODAY()&gt;$T1356,"OVERDUE","Due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IF($Q1357&lt;&gt;"Yes","",IF(COUNTIFS(nrES_PID,$D1357,nrES_Code,$F1357,nrES_Att,2)&gt;0,"Retested",IF(OR($T1357="",NOT(ISNUMBER($T1357))),"Pending",IF(TODAY()&gt;$T1357,"OVERDUE","Due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IF($Q1358&lt;&gt;"Yes","",IF(COUNTIFS(nrES_PID,$D1358,nrES_Code,$F1358,nrES_Att,2)&gt;0,"Retested",IF(OR($T1358="",NOT(ISNUMBER($T1358))),"Pending",IF(TODAY()&gt;$T1358,"OVERDUE","Due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IF($Q1359&lt;&gt;"Yes","",IF(COUNTIFS(nrES_PID,$D1359,nrES_Code,$F1359,nrES_Att,2)&gt;0,"Retested",IF(OR($T1359="",NOT(ISNUMBER($T1359))),"Pending",IF(TODAY()&gt;$T1359,"OVERDUE","Due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IF($Q1360&lt;&gt;"Yes","",IF(COUNTIFS(nrES_PID,$D1360,nrES_Code,$F1360,nrES_Att,2)&gt;0,"Retested",IF(OR($T1360="",NOT(ISNUMBER($T1360))),"Pending",IF(TODAY()&gt;$T1360,"OVERDUE","Due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IF($Q1361&lt;&gt;"Yes","",IF(COUNTIFS(nrES_PID,$D1361,nrES_Code,$F1361,nrES_Att,2)&gt;0,"Retested",IF(OR($T1361="",NOT(ISNUMBER($T1361))),"Pending",IF(TODAY()&gt;$T1361,"OVERDUE","Due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IF($Q1362&lt;&gt;"Yes","",IF(COUNTIFS(nrES_PID,$D1362,nrES_Code,$F1362,nrES_Att,2)&gt;0,"Retested",IF(OR($T1362="",NOT(ISNUMBER($T1362))),"Pending",IF(TODAY()&gt;$T1362,"OVERDUE","Due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IF($Q1363&lt;&gt;"Yes","",IF(COUNTIFS(nrES_PID,$D1363,nrES_Code,$F1363,nrES_Att,2)&gt;0,"Retested",IF(OR($T1363="",NOT(ISNUMBER($T1363))),"Pending",IF(TODAY()&gt;$T1363,"OVERDUE","Due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IF($Q1364&lt;&gt;"Yes","",IF(COUNTIFS(nrES_PID,$D1364,nrES_Code,$F1364,nrES_Att,2)&gt;0,"Retested",IF(OR($T1364="",NOT(ISNUMBER($T1364))),"Pending",IF(TODAY()&gt;$T1364,"OVERDUE","Due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IF($Q1365&lt;&gt;"Yes","",IF(COUNTIFS(nrES_PID,$D1365,nrES_Code,$F1365,nrES_Att,2)&gt;0,"Retested",IF(OR($T1365="",NOT(ISNUMBER($T1365))),"Pending",IF(TODAY()&gt;$T1365,"OVERDUE","Due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IF($Q1366&lt;&gt;"Yes","",IF(COUNTIFS(nrES_PID,$D1366,nrES_Code,$F1366,nrES_Att,2)&gt;0,"Retested",IF(OR($T1366="",NOT(ISNUMBER($T1366))),"Pending",IF(TODAY()&gt;$T1366,"OVERDUE","Due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IF($Q1367&lt;&gt;"Yes","",IF(COUNTIFS(nrES_PID,$D1367,nrES_Code,$F1367,nrES_Att,2)&gt;0,"Retested",IF(OR($T1367="",NOT(ISNUMBER($T1367))),"Pending",IF(TODAY()&gt;$T1367,"OVERDUE","Due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IF($Q1368&lt;&gt;"Yes","",IF(COUNTIFS(nrES_PID,$D1368,nrES_Code,$F1368,nrES_Att,2)&gt;0,"Retested",IF(OR($T1368="",NOT(ISNUMBER($T1368))),"Pending",IF(TODAY()&gt;$T1368,"OVERDUE","Due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IF($Q1369&lt;&gt;"Yes","",IF(COUNTIFS(nrES_PID,$D1369,nrES_Code,$F1369,nrES_Att,2)&gt;0,"Retested",IF(OR($T1369="",NOT(ISNUMBER($T1369))),"Pending",IF(TODAY()&gt;$T1369,"OVERDUE","Due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IF($Q1370&lt;&gt;"Yes","",IF(COUNTIFS(nrES_PID,$D1370,nrES_Code,$F1370,nrES_Att,2)&gt;0,"Retested",IF(OR($T1370="",NOT(ISNUMBER($T1370))),"Pending",IF(TODAY()&gt;$T1370,"OVERDUE","Due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IF($Q1371&lt;&gt;"Yes","",IF(COUNTIFS(nrES_PID,$D1371,nrES_Code,$F1371,nrES_Att,2)&gt;0,"Retested",IF(OR($T1371="",NOT(ISNUMBER($T1371))),"Pending",IF(TODAY()&gt;$T1371,"OVERDUE","Due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IF($Q1372&lt;&gt;"Yes","",IF(COUNTIFS(nrES_PID,$D1372,nrES_Code,$F1372,nrES_Att,2)&gt;0,"Retested",IF(OR($T1372="",NOT(ISNUMBER($T1372))),"Pending",IF(TODAY()&gt;$T1372,"OVERDUE","Due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IF($Q1373&lt;&gt;"Yes","",IF(COUNTIFS(nrES_PID,$D1373,nrES_Code,$F1373,nrES_Att,2)&gt;0,"Retested",IF(OR($T1373="",NOT(ISNUMBER($T1373))),"Pending",IF(TODAY()&gt;$T1373,"OVERDUE","Due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IF($Q1374&lt;&gt;"Yes","",IF(COUNTIFS(nrES_PID,$D1374,nrES_Code,$F1374,nrES_Att,2)&gt;0,"Retested",IF(OR($T1374="",NOT(ISNUMBER($T1374))),"Pending",IF(TODAY()&gt;$T1374,"OVERDUE","Due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IF($Q1375&lt;&gt;"Yes","",IF(COUNTIFS(nrES_PID,$D1375,nrES_Code,$F1375,nrES_Att,2)&gt;0,"Retested",IF(OR($T1375="",NOT(ISNUMBER($T1375))),"Pending",IF(TODAY()&gt;$T1375,"OVERDUE","Due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IF($Q1376&lt;&gt;"Yes","",IF(COUNTIFS(nrES_PID,$D1376,nrES_Code,$F1376,nrES_Att,2)&gt;0,"Retested",IF(OR($T1376="",NOT(ISNUMBER($T1376))),"Pending",IF(TODAY()&gt;$T1376,"OVERDUE","Due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IF($Q1377&lt;&gt;"Yes","",IF(COUNTIFS(nrES_PID,$D1377,nrES_Code,$F1377,nrES_Att,2)&gt;0,"Retested",IF(OR($T1377="",NOT(ISNUMBER($T1377))),"Pending",IF(TODAY()&gt;$T1377,"OVERDUE","Due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IF($Q1378&lt;&gt;"Yes","",IF(COUNTIFS(nrES_PID,$D1378,nrES_Code,$F1378,nrES_Att,2)&gt;0,"Retested",IF(OR($T1378="",NOT(ISNUMBER($T1378))),"Pending",IF(TODAY()&gt;$T1378,"OVERDUE","Due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IF($Q1379&lt;&gt;"Yes","",IF(COUNTIFS(nrES_PID,$D1379,nrES_Code,$F1379,nrES_Att,2)&gt;0,"Retested",IF(OR($T1379="",NOT(ISNUMBER($T1379))),"Pending",IF(TODAY()&gt;$T1379,"OVERDUE","Due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IF($Q1380&lt;&gt;"Yes","",IF(COUNTIFS(nrES_PID,$D1380,nrES_Code,$F1380,nrES_Att,2)&gt;0,"Retested",IF(OR($T1380="",NOT(ISNUMBER($T1380))),"Pending",IF(TODAY()&gt;$T1380,"OVERDUE","Due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IF($Q1381&lt;&gt;"Yes","",IF(COUNTIFS(nrES_PID,$D1381,nrES_Code,$F1381,nrES_Att,2)&gt;0,"Retested",IF(OR($T1381="",NOT(ISNUMBER($T1381))),"Pending",IF(TODAY()&gt;$T1381,"OVERDUE","Due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IF($Q1382&lt;&gt;"Yes","",IF(COUNTIFS(nrES_PID,$D1382,nrES_Code,$F1382,nrES_Att,2)&gt;0,"Retested",IF(OR($T1382="",NOT(ISNUMBER($T1382))),"Pending",IF(TODAY()&gt;$T1382,"OVERDUE","Due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IF($Q1383&lt;&gt;"Yes","",IF(COUNTIFS(nrES_PID,$D1383,nrES_Code,$F1383,nrES_Att,2)&gt;0,"Retested",IF(OR($T1383="",NOT(ISNUMBER($T1383))),"Pending",IF(TODAY()&gt;$T1383,"OVERDUE","Due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IF($Q1384&lt;&gt;"Yes","",IF(COUNTIFS(nrES_PID,$D1384,nrES_Code,$F1384,nrES_Att,2)&gt;0,"Retested",IF(OR($T1384="",NOT(ISNUMBER($T1384))),"Pending",IF(TODAY()&gt;$T1384,"OVERDUE","Due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IF($Q1385&lt;&gt;"Yes","",IF(COUNTIFS(nrES_PID,$D1385,nrES_Code,$F1385,nrES_Att,2)&gt;0,"Retested",IF(OR($T1385="",NOT(ISNUMBER($T1385))),"Pending",IF(TODAY()&gt;$T1385,"OVERDUE","Due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IF($Q1386&lt;&gt;"Yes","",IF(COUNTIFS(nrES_PID,$D1386,nrES_Code,$F1386,nrES_Att,2)&gt;0,"Retested",IF(OR($T1386="",NOT(ISNUMBER($T1386))),"Pending",IF(TODAY()&gt;$T1386,"OVERDUE","Due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IF($Q1387&lt;&gt;"Yes","",IF(COUNTIFS(nrES_PID,$D1387,nrES_Code,$F1387,nrES_Att,2)&gt;0,"Retested",IF(OR($T1387="",NOT(ISNUMBER($T1387))),"Pending",IF(TODAY()&gt;$T1387,"OVERDUE","Due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IF($Q1388&lt;&gt;"Yes","",IF(COUNTIFS(nrES_PID,$D1388,nrES_Code,$F1388,nrES_Att,2)&gt;0,"Retested",IF(OR($T1388="",NOT(ISNUMBER($T1388))),"Pending",IF(TODAY()&gt;$T1388,"OVERDUE","Due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IF($Q1389&lt;&gt;"Yes","",IF(COUNTIFS(nrES_PID,$D1389,nrES_Code,$F1389,nrES_Att,2)&gt;0,"Retested",IF(OR($T1389="",NOT(ISNUMBER($T1389))),"Pending",IF(TODAY()&gt;$T1389,"OVERDUE","Due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IF($Q1390&lt;&gt;"Yes","",IF(COUNTIFS(nrES_PID,$D1390,nrES_Code,$F1390,nrES_Att,2)&gt;0,"Retested",IF(OR($T1390="",NOT(ISNUMBER($T1390))),"Pending",IF(TODAY()&gt;$T1390,"OVERDUE","Due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IF($Q1391&lt;&gt;"Yes","",IF(COUNTIFS(nrES_PID,$D1391,nrES_Code,$F1391,nrES_Att,2)&gt;0,"Retested",IF(OR($T1391="",NOT(ISNUMBER($T1391))),"Pending",IF(TODAY()&gt;$T1391,"OVERDUE","Due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IF($Q1392&lt;&gt;"Yes","",IF(COUNTIFS(nrES_PID,$D1392,nrES_Code,$F1392,nrES_Att,2)&gt;0,"Retested",IF(OR($T1392="",NOT(ISNUMBER($T1392))),"Pending",IF(TODAY()&gt;$T1392,"OVERDUE","Due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IF($Q1393&lt;&gt;"Yes","",IF(COUNTIFS(nrES_PID,$D1393,nrES_Code,$F1393,nrES_Att,2)&gt;0,"Retested",IF(OR($T1393="",NOT(ISNUMBER($T1393))),"Pending",IF(TODAY()&gt;$T1393,"OVERDUE","Due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IF($Q1394&lt;&gt;"Yes","",IF(COUNTIFS(nrES_PID,$D1394,nrES_Code,$F1394,nrES_Att,2)&gt;0,"Retested",IF(OR($T1394="",NOT(ISNUMBER($T1394))),"Pending",IF(TODAY()&gt;$T1394,"OVERDUE","Due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IF($Q1395&lt;&gt;"Yes","",IF(COUNTIFS(nrES_PID,$D1395,nrES_Code,$F1395,nrES_Att,2)&gt;0,"Retested",IF(OR($T1395="",NOT(ISNUMBER($T1395))),"Pending",IF(TODAY()&gt;$T1395,"OVERDUE","Due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IF($Q1396&lt;&gt;"Yes","",IF(COUNTIFS(nrES_PID,$D1396,nrES_Code,$F1396,nrES_Att,2)&gt;0,"Retested",IF(OR($T1396="",NOT(ISNUMBER($T1396))),"Pending",IF(TODAY()&gt;$T1396,"OVERDUE","Due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IF($Q1397&lt;&gt;"Yes","",IF(COUNTIFS(nrES_PID,$D1397,nrES_Code,$F1397,nrES_Att,2)&gt;0,"Retested",IF(OR($T1397="",NOT(ISNUMBER($T1397))),"Pending",IF(TODAY()&gt;$T1397,"OVERDUE","Due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IF($Q1398&lt;&gt;"Yes","",IF(COUNTIFS(nrES_PID,$D1398,nrES_Code,$F1398,nrES_Att,2)&gt;0,"Retested",IF(OR($T1398="",NOT(ISNUMBER($T1398))),"Pending",IF(TODAY()&gt;$T1398,"OVERDUE","Due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IF($Q1399&lt;&gt;"Yes","",IF(COUNTIFS(nrES_PID,$D1399,nrES_Code,$F1399,nrES_Att,2)&gt;0,"Retested",IF(OR($T1399="",NOT(ISNUMBER($T1399))),"Pending",IF(TODAY()&gt;$T1399,"OVERDUE","Due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IF($Q1400&lt;&gt;"Yes","",IF(COUNTIFS(nrES_PID,$D1400,nrES_Code,$F1400,nrES_Att,2)&gt;0,"Retested",IF(OR($T1400="",NOT(ISNUMBER($T1400))),"Pending",IF(TODAY()&gt;$T1400,"OVERDUE","Due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IF($Q1401&lt;&gt;"Yes","",IF(COUNTIFS(nrES_PID,$D1401,nrES_Code,$F1401,nrES_Att,2)&gt;0,"Retested",IF(OR($T1401="",NOT(ISNUMBER($T1401))),"Pending",IF(TODAY()&gt;$T1401,"OVERDUE","Due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IF($Q1402&lt;&gt;"Yes","",IF(COUNTIFS(nrES_PID,$D1402,nrES_Code,$F1402,nrES_Att,2)&gt;0,"Retested",IF(OR($T1402="",NOT(ISNUMBER($T1402))),"Pending",IF(TODAY()&gt;$T1402,"OVERDUE","Due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IF($Q1403&lt;&gt;"Yes","",IF(COUNTIFS(nrES_PID,$D1403,nrES_Code,$F1403,nrES_Att,2)&gt;0,"Retested",IF(OR($T1403="",NOT(ISNUMBER($T1403))),"Pending",IF(TODAY()&gt;$T1403,"OVERDUE","Due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IF($Q1404&lt;&gt;"Yes","",IF(COUNTIFS(nrES_PID,$D1404,nrES_Code,$F1404,nrES_Att,2)&gt;0,"Retested",IF(OR($T1404="",NOT(ISNUMBER($T1404))),"Pending",IF(TODAY()&gt;$T1404,"OVERDUE","Due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IF($Q1405&lt;&gt;"Yes","",IF(COUNTIFS(nrES_PID,$D1405,nrES_Code,$F1405,nrES_Att,2)&gt;0,"Retested",IF(OR($T1405="",NOT(ISNUMBER($T1405))),"Pending",IF(TODAY()&gt;$T1405,"OVERDUE","Due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IF($Q1406&lt;&gt;"Yes","",IF(COUNTIFS(nrES_PID,$D1406,nrES_Code,$F1406,nrES_Att,2)&gt;0,"Retested",IF(OR($T1406="",NOT(ISNUMBER($T1406))),"Pending",IF(TODAY()&gt;$T1406,"OVERDUE","Due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IF($Q1407&lt;&gt;"Yes","",IF(COUNTIFS(nrES_PID,$D1407,nrES_Code,$F1407,nrES_Att,2)&gt;0,"Retested",IF(OR($T1407="",NOT(ISNUMBER($T1407))),"Pending",IF(TODAY()&gt;$T1407,"OVERDUE","Due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IF($Q1408&lt;&gt;"Yes","",IF(COUNTIFS(nrES_PID,$D1408,nrES_Code,$F1408,nrES_Att,2)&gt;0,"Retested",IF(OR($T1408="",NOT(ISNUMBER($T1408))),"Pending",IF(TODAY()&gt;$T1408,"OVERDUE","Due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IF($Q1409&lt;&gt;"Yes","",IF(COUNTIFS(nrES_PID,$D1409,nrES_Code,$F1409,nrES_Att,2)&gt;0,"Retested",IF(OR($T1409="",NOT(ISNUMBER($T1409))),"Pending",IF(TODAY()&gt;$T1409,"OVERDUE","Due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IF($Q1410&lt;&gt;"Yes","",IF(COUNTIFS(nrES_PID,$D1410,nrES_Code,$F1410,nrES_Att,2)&gt;0,"Retested",IF(OR($T1410="",NOT(ISNUMBER($T1410))),"Pending",IF(TODAY()&gt;$T1410,"OVERDUE","Due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IF($Q1411&lt;&gt;"Yes","",IF(COUNTIFS(nrES_PID,$D1411,nrES_Code,$F1411,nrES_Att,2)&gt;0,"Retested",IF(OR($T1411="",NOT(ISNUMBER($T1411))),"Pending",IF(TODAY()&gt;$T1411,"OVERDUE","Due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IF($Q1412&lt;&gt;"Yes","",IF(COUNTIFS(nrES_PID,$D1412,nrES_Code,$F1412,nrES_Att,2)&gt;0,"Retested",IF(OR($T1412="",NOT(ISNUMBER($T1412))),"Pending",IF(TODAY()&gt;$T1412,"OVERDUE","Due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IF($Q1413&lt;&gt;"Yes","",IF(COUNTIFS(nrES_PID,$D1413,nrES_Code,$F1413,nrES_Att,2)&gt;0,"Retested",IF(OR($T1413="",NOT(ISNUMBER($T1413))),"Pending",IF(TODAY()&gt;$T1413,"OVERDUE","Due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IF($Q1414&lt;&gt;"Yes","",IF(COUNTIFS(nrES_PID,$D1414,nrES_Code,$F1414,nrES_Att,2)&gt;0,"Retested",IF(OR($T1414="",NOT(ISNUMBER($T1414))),"Pending",IF(TODAY()&gt;$T1414,"OVERDUE","Due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IF($Q1415&lt;&gt;"Yes","",IF(COUNTIFS(nrES_PID,$D1415,nrES_Code,$F1415,nrES_Att,2)&gt;0,"Retested",IF(OR($T1415="",NOT(ISNUMBER($T1415))),"Pending",IF(TODAY()&gt;$T1415,"OVERDUE","Due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IF($Q1416&lt;&gt;"Yes","",IF(COUNTIFS(nrES_PID,$D1416,nrES_Code,$F1416,nrES_Att,2)&gt;0,"Retested",IF(OR($T1416="",NOT(ISNUMBER($T1416))),"Pending",IF(TODAY()&gt;$T1416,"OVERDUE","Due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IF($Q1417&lt;&gt;"Yes","",IF(COUNTIFS(nrES_PID,$D1417,nrES_Code,$F1417,nrES_Att,2)&gt;0,"Retested",IF(OR($T1417="",NOT(ISNUMBER($T1417))),"Pending",IF(TODAY()&gt;$T1417,"OVERDUE","Due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IF($Q1418&lt;&gt;"Yes","",IF(COUNTIFS(nrES_PID,$D1418,nrES_Code,$F1418,nrES_Att,2)&gt;0,"Retested",IF(OR($T1418="",NOT(ISNUMBER($T1418))),"Pending",IF(TODAY()&gt;$T1418,"OVERDUE","Due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IF($Q1419&lt;&gt;"Yes","",IF(COUNTIFS(nrES_PID,$D1419,nrES_Code,$F1419,nrES_Att,2)&gt;0,"Retested",IF(OR($T1419="",NOT(ISNUMBER($T1419))),"Pending",IF(TODAY()&gt;$T1419,"OVERDUE","Due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IF($Q1420&lt;&gt;"Yes","",IF(COUNTIFS(nrES_PID,$D1420,nrES_Code,$F1420,nrES_Att,2)&gt;0,"Retested",IF(OR($T1420="",NOT(ISNUMBER($T1420))),"Pending",IF(TODAY()&gt;$T1420,"OVERDUE","Due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IF($Q1421&lt;&gt;"Yes","",IF(COUNTIFS(nrES_PID,$D1421,nrES_Code,$F1421,nrES_Att,2)&gt;0,"Retested",IF(OR($T1421="",NOT(ISNUMBER($T1421))),"Pending",IF(TODAY()&gt;$T1421,"OVERDUE","Due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IF($Q1422&lt;&gt;"Yes","",IF(COUNTIFS(nrES_PID,$D1422,nrES_Code,$F1422,nrES_Att,2)&gt;0,"Retested",IF(OR($T1422="",NOT(ISNUMBER($T1422))),"Pending",IF(TODAY()&gt;$T1422,"OVERDUE","Due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IF($Q1423&lt;&gt;"Yes","",IF(COUNTIFS(nrES_PID,$D1423,nrES_Code,$F1423,nrES_Att,2)&gt;0,"Retested",IF(OR($T1423="",NOT(ISNUMBER($T1423))),"Pending",IF(TODAY()&gt;$T1423,"OVERDUE","Due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IF($Q1424&lt;&gt;"Yes","",IF(COUNTIFS(nrES_PID,$D1424,nrES_Code,$F1424,nrES_Att,2)&gt;0,"Retested",IF(OR($T1424="",NOT(ISNUMBER($T1424))),"Pending",IF(TODAY()&gt;$T1424,"OVERDUE","Due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IF($Q1425&lt;&gt;"Yes","",IF(COUNTIFS(nrES_PID,$D1425,nrES_Code,$F1425,nrES_Att,2)&gt;0,"Retested",IF(OR($T1425="",NOT(ISNUMBER($T1425))),"Pending",IF(TODAY()&gt;$T1425,"OVERDUE","Due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IF($Q1426&lt;&gt;"Yes","",IF(COUNTIFS(nrES_PID,$D1426,nrES_Code,$F1426,nrES_Att,2)&gt;0,"Retested",IF(OR($T1426="",NOT(ISNUMBER($T1426))),"Pending",IF(TODAY()&gt;$T1426,"OVERDUE","Due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IF($Q1427&lt;&gt;"Yes","",IF(COUNTIFS(nrES_PID,$D1427,nrES_Code,$F1427,nrES_Att,2)&gt;0,"Retested",IF(OR($T1427="",NOT(ISNUMBER($T1427))),"Pending",IF(TODAY()&gt;$T1427,"OVERDUE","Due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IF($Q1428&lt;&gt;"Yes","",IF(COUNTIFS(nrES_PID,$D1428,nrES_Code,$F1428,nrES_Att,2)&gt;0,"Retested",IF(OR($T1428="",NOT(ISNUMBER($T1428))),"Pending",IF(TODAY()&gt;$T1428,"OVERDUE","Due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IF($Q1429&lt;&gt;"Yes","",IF(COUNTIFS(nrES_PID,$D1429,nrES_Code,$F1429,nrES_Att,2)&gt;0,"Retested",IF(OR($T1429="",NOT(ISNUMBER($T1429))),"Pending",IF(TODAY()&gt;$T1429,"OVERDUE","Due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IF($Q1430&lt;&gt;"Yes","",IF(COUNTIFS(nrES_PID,$D1430,nrES_Code,$F1430,nrES_Att,2)&gt;0,"Retested",IF(OR($T1430="",NOT(ISNUMBER($T1430))),"Pending",IF(TODAY()&gt;$T1430,"OVERDUE","Due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IF($Q1431&lt;&gt;"Yes","",IF(COUNTIFS(nrES_PID,$D1431,nrES_Code,$F1431,nrES_Att,2)&gt;0,"Retested",IF(OR($T1431="",NOT(ISNUMBER($T1431))),"Pending",IF(TODAY()&gt;$T1431,"OVERDUE","Due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IF($Q1432&lt;&gt;"Yes","",IF(COUNTIFS(nrES_PID,$D1432,nrES_Code,$F1432,nrES_Att,2)&gt;0,"Retested",IF(OR($T1432="",NOT(ISNUMBER($T1432))),"Pending",IF(TODAY()&gt;$T1432,"OVERDUE","Due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IF($Q1433&lt;&gt;"Yes","",IF(COUNTIFS(nrES_PID,$D1433,nrES_Code,$F1433,nrES_Att,2)&gt;0,"Retested",IF(OR($T1433="",NOT(ISNUMBER($T1433))),"Pending",IF(TODAY()&gt;$T1433,"OVERDUE","Due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IF($Q1434&lt;&gt;"Yes","",IF(COUNTIFS(nrES_PID,$D1434,nrES_Code,$F1434,nrES_Att,2)&gt;0,"Retested",IF(OR($T1434="",NOT(ISNUMBER($T1434))),"Pending",IF(TODAY()&gt;$T1434,"OVERDUE","Due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IF($Q1435&lt;&gt;"Yes","",IF(COUNTIFS(nrES_PID,$D1435,nrES_Code,$F1435,nrES_Att,2)&gt;0,"Retested",IF(OR($T1435="",NOT(ISNUMBER($T1435))),"Pending",IF(TODAY()&gt;$T1435,"OVERDUE","Due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IF($Q1436&lt;&gt;"Yes","",IF(COUNTIFS(nrES_PID,$D1436,nrES_Code,$F1436,nrES_Att,2)&gt;0,"Retested",IF(OR($T1436="",NOT(ISNUMBER($T1436))),"Pending",IF(TODAY()&gt;$T1436,"OVERDUE","Due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IF($Q1437&lt;&gt;"Yes","",IF(COUNTIFS(nrES_PID,$D1437,nrES_Code,$F1437,nrES_Att,2)&gt;0,"Retested",IF(OR($T1437="",NOT(ISNUMBER($T1437))),"Pending",IF(TODAY()&gt;$T1437,"OVERDUE","Due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IF($Q1438&lt;&gt;"Yes","",IF(COUNTIFS(nrES_PID,$D1438,nrES_Code,$F1438,nrES_Att,2)&gt;0,"Retested",IF(OR($T1438="",NOT(ISNUMBER($T1438))),"Pending",IF(TODAY()&gt;$T1438,"OVERDUE","Due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IF($Q1439&lt;&gt;"Yes","",IF(COUNTIFS(nrES_PID,$D1439,nrES_Code,$F1439,nrES_Att,2)&gt;0,"Retested",IF(OR($T1439="",NOT(ISNUMBER($T1439))),"Pending",IF(TODAY()&gt;$T1439,"OVERDUE","Due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IF($Q1440&lt;&gt;"Yes","",IF(COUNTIFS(nrES_PID,$D1440,nrES_Code,$F1440,nrES_Att,2)&gt;0,"Retested",IF(OR($T1440="",NOT(ISNUMBER($T1440))),"Pending",IF(TODAY()&gt;$T1440,"OVERDUE","Due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IF($Q1441&lt;&gt;"Yes","",IF(COUNTIFS(nrES_PID,$D1441,nrES_Code,$F1441,nrES_Att,2)&gt;0,"Retested",IF(OR($T1441="",NOT(ISNUMBER($T1441))),"Pending",IF(TODAY()&gt;$T1441,"OVERDUE","Due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IF($Q1442&lt;&gt;"Yes","",IF(COUNTIFS(nrES_PID,$D1442,nrES_Code,$F1442,nrES_Att,2)&gt;0,"Retested",IF(OR($T1442="",NOT(ISNUMBER($T1442))),"Pending",IF(TODAY()&gt;$T1442,"OVERDUE","Due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IF($Q1443&lt;&gt;"Yes","",IF(COUNTIFS(nrES_PID,$D1443,nrES_Code,$F1443,nrES_Att,2)&gt;0,"Retested",IF(OR($T1443="",NOT(ISNUMBER($T1443))),"Pending",IF(TODAY()&gt;$T1443,"OVERDUE","Due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IF($Q1444&lt;&gt;"Yes","",IF(COUNTIFS(nrES_PID,$D1444,nrES_Code,$F1444,nrES_Att,2)&gt;0,"Retested",IF(OR($T1444="",NOT(ISNUMBER($T1444))),"Pending",IF(TODAY()&gt;$T1444,"OVERDUE","Due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IF($Q1445&lt;&gt;"Yes","",IF(COUNTIFS(nrES_PID,$D1445,nrES_Code,$F1445,nrES_Att,2)&gt;0,"Retested",IF(OR($T1445="",NOT(ISNUMBER($T1445))),"Pending",IF(TODAY()&gt;$T1445,"OVERDUE","Due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IF($Q1446&lt;&gt;"Yes","",IF(COUNTIFS(nrES_PID,$D1446,nrES_Code,$F1446,nrES_Att,2)&gt;0,"Retested",IF(OR($T1446="",NOT(ISNUMBER($T1446))),"Pending",IF(TODAY()&gt;$T1446,"OVERDUE","Due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IF($Q1447&lt;&gt;"Yes","",IF(COUNTIFS(nrES_PID,$D1447,nrES_Code,$F1447,nrES_Att,2)&gt;0,"Retested",IF(OR($T1447="",NOT(ISNUMBER($T1447))),"Pending",IF(TODAY()&gt;$T1447,"OVERDUE","Due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IF($Q1448&lt;&gt;"Yes","",IF(COUNTIFS(nrES_PID,$D1448,nrES_Code,$F1448,nrES_Att,2)&gt;0,"Retested",IF(OR($T1448="",NOT(ISNUMBER($T1448))),"Pending",IF(TODAY()&gt;$T1448,"OVERDUE","Due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IF($Q1449&lt;&gt;"Yes","",IF(COUNTIFS(nrES_PID,$D1449,nrES_Code,$F1449,nrES_Att,2)&gt;0,"Retested",IF(OR($T1449="",NOT(ISNUMBER($T1449))),"Pending",IF(TODAY()&gt;$T1449,"OVERDUE","Due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IF($Q1450&lt;&gt;"Yes","",IF(COUNTIFS(nrES_PID,$D1450,nrES_Code,$F1450,nrES_Att,2)&gt;0,"Retested",IF(OR($T1450="",NOT(ISNUMBER($T1450))),"Pending",IF(TODAY()&gt;$T1450,"OVERDUE","Due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IF($Q1451&lt;&gt;"Yes","",IF(COUNTIFS(nrES_PID,$D1451,nrES_Code,$F1451,nrES_Att,2)&gt;0,"Retested",IF(OR($T1451="",NOT(ISNUMBER($T1451))),"Pending",IF(TODAY()&gt;$T1451,"OVERDUE","Due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IF($Q1452&lt;&gt;"Yes","",IF(COUNTIFS(nrES_PID,$D1452,nrES_Code,$F1452,nrES_Att,2)&gt;0,"Retested",IF(OR($T1452="",NOT(ISNUMBER($T1452))),"Pending",IF(TODAY()&gt;$T1452,"OVERDUE","Due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IF($Q1453&lt;&gt;"Yes","",IF(COUNTIFS(nrES_PID,$D1453,nrES_Code,$F1453,nrES_Att,2)&gt;0,"Retested",IF(OR($T1453="",NOT(ISNUMBER($T1453))),"Pending",IF(TODAY()&gt;$T1453,"OVERDUE","Due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IF($Q1454&lt;&gt;"Yes","",IF(COUNTIFS(nrES_PID,$D1454,nrES_Code,$F1454,nrES_Att,2)&gt;0,"Retested",IF(OR($T1454="",NOT(ISNUMBER($T1454))),"Pending",IF(TODAY()&gt;$T1454,"OVERDUE","Due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IF($Q1455&lt;&gt;"Yes","",IF(COUNTIFS(nrES_PID,$D1455,nrES_Code,$F1455,nrES_Att,2)&gt;0,"Retested",IF(OR($T1455="",NOT(ISNUMBER($T1455))),"Pending",IF(TODAY()&gt;$T1455,"OVERDUE","Due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IF($Q1456&lt;&gt;"Yes","",IF(COUNTIFS(nrES_PID,$D1456,nrES_Code,$F1456,nrES_Att,2)&gt;0,"Retested",IF(OR($T1456="",NOT(ISNUMBER($T1456))),"Pending",IF(TODAY()&gt;$T1456,"OVERDUE","Due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IF($Q1457&lt;&gt;"Yes","",IF(COUNTIFS(nrES_PID,$D1457,nrES_Code,$F1457,nrES_Att,2)&gt;0,"Retested",IF(OR($T1457="",NOT(ISNUMBER($T1457))),"Pending",IF(TODAY()&gt;$T1457,"OVERDUE","Due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IF($Q1458&lt;&gt;"Yes","",IF(COUNTIFS(nrES_PID,$D1458,nrES_Code,$F1458,nrES_Att,2)&gt;0,"Retested",IF(OR($T1458="",NOT(ISNUMBER($T1458))),"Pending",IF(TODAY()&gt;$T1458,"OVERDUE","Due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IF($Q1459&lt;&gt;"Yes","",IF(COUNTIFS(nrES_PID,$D1459,nrES_Code,$F1459,nrES_Att,2)&gt;0,"Retested",IF(OR($T1459="",NOT(ISNUMBER($T1459))),"Pending",IF(TODAY()&gt;$T1459,"OVERDUE","Due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IF($Q1460&lt;&gt;"Yes","",IF(COUNTIFS(nrES_PID,$D1460,nrES_Code,$F1460,nrES_Att,2)&gt;0,"Retested",IF(OR($T1460="",NOT(ISNUMBER($T1460))),"Pending",IF(TODAY()&gt;$T1460,"OVERDUE","Due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IF($Q1461&lt;&gt;"Yes","",IF(COUNTIFS(nrES_PID,$D1461,nrES_Code,$F1461,nrES_Att,2)&gt;0,"Retested",IF(OR($T1461="",NOT(ISNUMBER($T1461))),"Pending",IF(TODAY()&gt;$T1461,"OVERDUE","Due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IF($Q1462&lt;&gt;"Yes","",IF(COUNTIFS(nrES_PID,$D1462,nrES_Code,$F1462,nrES_Att,2)&gt;0,"Retested",IF(OR($T1462="",NOT(ISNUMBER($T1462))),"Pending",IF(TODAY()&gt;$T1462,"OVERDUE","Due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IF($Q1463&lt;&gt;"Yes","",IF(COUNTIFS(nrES_PID,$D1463,nrES_Code,$F1463,nrES_Att,2)&gt;0,"Retested",IF(OR($T1463="",NOT(ISNUMBER($T1463))),"Pending",IF(TODAY()&gt;$T1463,"OVERDUE","Due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IF($Q1464&lt;&gt;"Yes","",IF(COUNTIFS(nrES_PID,$D1464,nrES_Code,$F1464,nrES_Att,2)&gt;0,"Retested",IF(OR($T1464="",NOT(ISNUMBER($T1464))),"Pending",IF(TODAY()&gt;$T1464,"OVERDUE","Due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IF($Q1465&lt;&gt;"Yes","",IF(COUNTIFS(nrES_PID,$D1465,nrES_Code,$F1465,nrES_Att,2)&gt;0,"Retested",IF(OR($T1465="",NOT(ISNUMBER($T1465))),"Pending",IF(TODAY()&gt;$T1465,"OVERDUE","Due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IF($Q1466&lt;&gt;"Yes","",IF(COUNTIFS(nrES_PID,$D1466,nrES_Code,$F1466,nrES_Att,2)&gt;0,"Retested",IF(OR($T1466="",NOT(ISNUMBER($T1466))),"Pending",IF(TODAY()&gt;$T1466,"OVERDUE","Due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IF($Q1467&lt;&gt;"Yes","",IF(COUNTIFS(nrES_PID,$D1467,nrES_Code,$F1467,nrES_Att,2)&gt;0,"Retested",IF(OR($T1467="",NOT(ISNUMBER($T1467))),"Pending",IF(TODAY()&gt;$T1467,"OVERDUE","Due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IF($Q1468&lt;&gt;"Yes","",IF(COUNTIFS(nrES_PID,$D1468,nrES_Code,$F1468,nrES_Att,2)&gt;0,"Retested",IF(OR($T1468="",NOT(ISNUMBER($T1468))),"Pending",IF(TODAY()&gt;$T1468,"OVERDUE","Due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IF($Q1469&lt;&gt;"Yes","",IF(COUNTIFS(nrES_PID,$D1469,nrES_Code,$F1469,nrES_Att,2)&gt;0,"Retested",IF(OR($T1469="",NOT(ISNUMBER($T1469))),"Pending",IF(TODAY()&gt;$T1469,"OVERDUE","Due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IF($Q1470&lt;&gt;"Yes","",IF(COUNTIFS(nrES_PID,$D1470,nrES_Code,$F1470,nrES_Att,2)&gt;0,"Retested",IF(OR($T1470="",NOT(ISNUMBER($T1470))),"Pending",IF(TODAY()&gt;$T1470,"OVERDUE","Due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IF($Q1471&lt;&gt;"Yes","",IF(COUNTIFS(nrES_PID,$D1471,nrES_Code,$F1471,nrES_Att,2)&gt;0,"Retested",IF(OR($T1471="",NOT(ISNUMBER($T1471))),"Pending",IF(TODAY()&gt;$T1471,"OVERDUE","Due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IF($Q1472&lt;&gt;"Yes","",IF(COUNTIFS(nrES_PID,$D1472,nrES_Code,$F1472,nrES_Att,2)&gt;0,"Retested",IF(OR($T1472="",NOT(ISNUMBER($T1472))),"Pending",IF(TODAY()&gt;$T1472,"OVERDUE","Due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IF($Q1473&lt;&gt;"Yes","",IF(COUNTIFS(nrES_PID,$D1473,nrES_Code,$F1473,nrES_Att,2)&gt;0,"Retested",IF(OR($T1473="",NOT(ISNUMBER($T1473))),"Pending",IF(TODAY()&gt;$T1473,"OVERDUE","Due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IF($Q1474&lt;&gt;"Yes","",IF(COUNTIFS(nrES_PID,$D1474,nrES_Code,$F1474,nrES_Att,2)&gt;0,"Retested",IF(OR($T1474="",NOT(ISNUMBER($T1474))),"Pending",IF(TODAY()&gt;$T1474,"OVERDUE","Due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IF($Q1475&lt;&gt;"Yes","",IF(COUNTIFS(nrES_PID,$D1475,nrES_Code,$F1475,nrES_Att,2)&gt;0,"Retested",IF(OR($T1475="",NOT(ISNUMBER($T1475))),"Pending",IF(TODAY()&gt;$T1475,"OVERDUE","Due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IF($Q1476&lt;&gt;"Yes","",IF(COUNTIFS(nrES_PID,$D1476,nrES_Code,$F1476,nrES_Att,2)&gt;0,"Retested",IF(OR($T1476="",NOT(ISNUMBER($T1476))),"Pending",IF(TODAY()&gt;$T1476,"OVERDUE","Due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IF($Q1477&lt;&gt;"Yes","",IF(COUNTIFS(nrES_PID,$D1477,nrES_Code,$F1477,nrES_Att,2)&gt;0,"Retested",IF(OR($T1477="",NOT(ISNUMBER($T1477))),"Pending",IF(TODAY()&gt;$T1477,"OVERDUE","Due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IF($Q1478&lt;&gt;"Yes","",IF(COUNTIFS(nrES_PID,$D1478,nrES_Code,$F1478,nrES_Att,2)&gt;0,"Retested",IF(OR($T1478="",NOT(ISNUMBER($T1478))),"Pending",IF(TODAY()&gt;$T1478,"OVERDUE","Due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IF($Q1479&lt;&gt;"Yes","",IF(COUNTIFS(nrES_PID,$D1479,nrES_Code,$F1479,nrES_Att,2)&gt;0,"Retested",IF(OR($T1479="",NOT(ISNUMBER($T1479))),"Pending",IF(TODAY()&gt;$T1479,"OVERDUE","Due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IF($Q1480&lt;&gt;"Yes","",IF(COUNTIFS(nrES_PID,$D1480,nrES_Code,$F1480,nrES_Att,2)&gt;0,"Retested",IF(OR($T1480="",NOT(ISNUMBER($T1480))),"Pending",IF(TODAY()&gt;$T1480,"OVERDUE","Due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IF($Q1481&lt;&gt;"Yes","",IF(COUNTIFS(nrES_PID,$D1481,nrES_Code,$F1481,nrES_Att,2)&gt;0,"Retested",IF(OR($T1481="",NOT(ISNUMBER($T1481))),"Pending",IF(TODAY()&gt;$T1481,"OVERDUE","Due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IF($Q1482&lt;&gt;"Yes","",IF(COUNTIFS(nrES_PID,$D1482,nrES_Code,$F1482,nrES_Att,2)&gt;0,"Retested",IF(OR($T1482="",NOT(ISNUMBER($T1482))),"Pending",IF(TODAY()&gt;$T1482,"OVERDUE","Due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IF($Q1483&lt;&gt;"Yes","",IF(COUNTIFS(nrES_PID,$D1483,nrES_Code,$F1483,nrES_Att,2)&gt;0,"Retested",IF(OR($T1483="",NOT(ISNUMBER($T1483))),"Pending",IF(TODAY()&gt;$T1483,"OVERDUE","Due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IF($Q1484&lt;&gt;"Yes","",IF(COUNTIFS(nrES_PID,$D1484,nrES_Code,$F1484,nrES_Att,2)&gt;0,"Retested",IF(OR($T1484="",NOT(ISNUMBER($T1484))),"Pending",IF(TODAY()&gt;$T1484,"OVERDUE","Due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IF($Q1485&lt;&gt;"Yes","",IF(COUNTIFS(nrES_PID,$D1485,nrES_Code,$F1485,nrES_Att,2)&gt;0,"Retested",IF(OR($T1485="",NOT(ISNUMBER($T1485))),"Pending",IF(TODAY()&gt;$T1485,"OVERDUE","Due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IF($Q1486&lt;&gt;"Yes","",IF(COUNTIFS(nrES_PID,$D1486,nrES_Code,$F1486,nrES_Att,2)&gt;0,"Retested",IF(OR($T1486="",NOT(ISNUMBER($T1486))),"Pending",IF(TODAY()&gt;$T1486,"OVERDUE","Due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IF($Q1487&lt;&gt;"Yes","",IF(COUNTIFS(nrES_PID,$D1487,nrES_Code,$F1487,nrES_Att,2)&gt;0,"Retested",IF(OR($T1487="",NOT(ISNUMBER($T1487))),"Pending",IF(TODAY()&gt;$T1487,"OVERDUE","Due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IF($Q1488&lt;&gt;"Yes","",IF(COUNTIFS(nrES_PID,$D1488,nrES_Code,$F1488,nrES_Att,2)&gt;0,"Retested",IF(OR($T1488="",NOT(ISNUMBER($T1488))),"Pending",IF(TODAY()&gt;$T1488,"OVERDUE","Due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IF($Q1489&lt;&gt;"Yes","",IF(COUNTIFS(nrES_PID,$D1489,nrES_Code,$F1489,nrES_Att,2)&gt;0,"Retested",IF(OR($T1489="",NOT(ISNUMBER($T1489))),"Pending",IF(TODAY()&gt;$T1489,"OVERDUE","Due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IF($Q1490&lt;&gt;"Yes","",IF(COUNTIFS(nrES_PID,$D1490,nrES_Code,$F1490,nrES_Att,2)&gt;0,"Retested",IF(OR($T1490="",NOT(ISNUMBER($T1490))),"Pending",IF(TODAY()&gt;$T1490,"OVERDUE","Due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IF($Q1491&lt;&gt;"Yes","",IF(COUNTIFS(nrES_PID,$D1491,nrES_Code,$F1491,nrES_Att,2)&gt;0,"Retested",IF(OR($T1491="",NOT(ISNUMBER($T1491))),"Pending",IF(TODAY()&gt;$T1491,"OVERDUE","Due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IF($Q1492&lt;&gt;"Yes","",IF(COUNTIFS(nrES_PID,$D1492,nrES_Code,$F1492,nrES_Att,2)&gt;0,"Retested",IF(OR($T1492="",NOT(ISNUMBER($T1492))),"Pending",IF(TODAY()&gt;$T1492,"OVERDUE","Due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IF($Q1493&lt;&gt;"Yes","",IF(COUNTIFS(nrES_PID,$D1493,nrES_Code,$F1493,nrES_Att,2)&gt;0,"Retested",IF(OR($T1493="",NOT(ISNUMBER($T1493))),"Pending",IF(TODAY()&gt;$T1493,"OVERDUE","Due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IF($Q1494&lt;&gt;"Yes","",IF(COUNTIFS(nrES_PID,$D1494,nrES_Code,$F1494,nrES_Att,2)&gt;0,"Retested",IF(OR($T1494="",NOT(ISNUMBER($T1494))),"Pending",IF(TODAY()&gt;$T1494,"OVERDUE","Due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IF($Q1495&lt;&gt;"Yes","",IF(COUNTIFS(nrES_PID,$D1495,nrES_Code,$F1495,nrES_Att,2)&gt;0,"Retested",IF(OR($T1495="",NOT(ISNUMBER($T1495))),"Pending",IF(TODAY()&gt;$T1495,"OVERDUE","Due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IF($Q1496&lt;&gt;"Yes","",IF(COUNTIFS(nrES_PID,$D1496,nrES_Code,$F1496,nrES_Att,2)&gt;0,"Retested",IF(OR($T1496="",NOT(ISNUMBER($T1496))),"Pending",IF(TODAY()&gt;$T1496,"OVERDUE","Due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IF($Q1497&lt;&gt;"Yes","",IF(COUNTIFS(nrES_PID,$D1497,nrES_Code,$F1497,nrES_Att,2)&gt;0,"Retested",IF(OR($T1497="",NOT(ISNUMBER($T1497))),"Pending",IF(TODAY()&gt;$T1497,"OVERDUE","Due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IF($Q1498&lt;&gt;"Yes","",IF(COUNTIFS(nrES_PID,$D1498,nrES_Code,$F1498,nrES_Att,2)&gt;0,"Retested",IF(OR($T1498="",NOT(ISNUMBER($T1498))),"Pending",IF(TODAY()&gt;$T1498,"OVERDUE","Due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IF($Q1499&lt;&gt;"Yes","",IF(COUNTIFS(nrES_PID,$D1499,nrES_Code,$F1499,nrES_Att,2)&gt;0,"Retested",IF(OR($T1499="",NOT(ISNUMBER($T1499))),"Pending",IF(TODAY()&gt;$T1499,"OVERDUE","Due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IF($Q1500&lt;&gt;"Yes","",IF(COUNTIFS(nrES_PID,$D1500,nrES_Code,$F1500,nrES_Att,2)&gt;0,"Retested",IF(OR($T1500="",NOT(ISNUMBER($T1500))),"Pending",IF(TODAY()&gt;$T1500,"OVERDUE","Due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IF($Q1501&lt;&gt;"Yes","",IF(COUNTIFS(nrES_PID,$D1501,nrES_Code,$F1501,nrES_Att,2)&gt;0,"Retested",IF(OR($T1501="",NOT(ISNUMBER($T1501))),"Pending",IF(TODAY()&gt;$T1501,"OVERDUE","Due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IF($Q1502&lt;&gt;"Yes","",IF(COUNTIFS(nrES_PID,$D1502,nrES_Code,$F1502,nrES_Att,2)&gt;0,"Retested",IF(OR($T1502="",NOT(ISNUMBER($T1502))),"Pending",IF(TODAY()&gt;$T1502,"OVERDUE","Due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IF($Q1503&lt;&gt;"Yes","",IF(COUNTIFS(nrES_PID,$D1503,nrES_Code,$F1503,nrES_Att,2)&gt;0,"Retested",IF(OR($T1503="",NOT(ISNUMBER($T1503))),"Pending",IF(TODAY()&gt;$T1503,"OVERDUE","Due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IF($Q1504&lt;&gt;"Yes","",IF(COUNTIFS(nrES_PID,$D1504,nrES_Code,$F1504,nrES_Att,2)&gt;0,"Retested",IF(OR($T1504="",NOT(ISNUMBER($T1504))),"Pending",IF(TODAY()&gt;$T1504,"OVERDUE","Due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IF($Q1505&lt;&gt;"Yes","",IF(COUNTIFS(nrES_PID,$D1505,nrES_Code,$F1505,nrES_Att,2)&gt;0,"Retested",IF(OR($T1505="",NOT(ISNUMBER($T1505))),"Pending",IF(TODAY()&gt;$T1505,"OVERDUE","Due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IF(OR($B6="",N($I6)=0),"",SUMIFS(nrMK_Min,nrMK_Link,$B6,nrMK_Credit,"Yes"))</f>
        <v/>
      </c>
      <c r="Q6" s="17">
        <f>IF(OR($B6="",N($J6)=0),"",SUMIFS(nrMK_Sess,nrMK_Link,$B6,nrMK_Credit,"Yes"))</f>
        <v/>
      </c>
      <c r="R6" s="17">
        <f>IF(OR($B6="",$N6&lt;&gt;"Yes"),"",IF(N($I6)&gt;0,N($I6)-N($P6),IF(N($J6)&gt;0,N($J6)-N($Q6),"")))</f>
        <v/>
      </c>
      <c r="S6" s="17">
        <f>IF(OR($B6="",$R6=""),"",IF($R6&lt;=0,"CLEARED "&amp;IFERROR(TEXT(_xlfn.MAXIFS(nrMK_Date,nrMK_Link,$B6,nrMK_Credit,"Yes"),"mm/dd"),""),"OPEN"))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IF(OR($B7="",N($I7)=0),"",SUMIFS(nrMK_Min,nrMK_Link,$B7,nrMK_Credit,"Yes"))</f>
        <v/>
      </c>
      <c r="Q7" s="17">
        <f>IF(OR($B7="",N($J7)=0),"",SUMIFS(nrMK_Sess,nrMK_Link,$B7,nrMK_Credit,"Yes"))</f>
        <v/>
      </c>
      <c r="R7" s="17">
        <f>IF(OR($B7="",$N7&lt;&gt;"Yes"),"",IF(N($I7)&gt;0,N($I7)-N($P7),IF(N($J7)&gt;0,N($J7)-N($Q7),"")))</f>
        <v/>
      </c>
      <c r="S7" s="17">
        <f>IF(OR($B7="",$R7=""),"",IF($R7&lt;=0,"CLEARED "&amp;IFERROR(TEXT(_xlfn.MAXIFS(nrMK_Date,nrMK_Link,$B7,nrMK_Credit,"Yes"),"mm/dd"),""),"OPEN"))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IF(OR($B8="",N($I8)=0),"",SUMIFS(nrMK_Min,nrMK_Link,$B8,nrMK_Credit,"Yes"))</f>
        <v/>
      </c>
      <c r="Q8" s="17">
        <f>IF(OR($B8="",N($J8)=0),"",SUMIFS(nrMK_Sess,nrMK_Link,$B8,nrMK_Credit,"Yes"))</f>
        <v/>
      </c>
      <c r="R8" s="17">
        <f>IF(OR($B8="",$N8&lt;&gt;"Yes"),"",IF(N($I8)&gt;0,N($I8)-N($P8),IF(N($J8)&gt;0,N($J8)-N($Q8),"")))</f>
        <v/>
      </c>
      <c r="S8" s="17">
        <f>IF(OR($B8="",$R8=""),"",IF($R8&lt;=0,"CLEARED "&amp;IFERROR(TEXT(_xlfn.MAXIFS(nrMK_Date,nrMK_Link,$B8,nrMK_Credit,"Yes"),"mm/dd"),""),"OPEN"))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IF(OR($B9="",N($I9)=0),"",SUMIFS(nrMK_Min,nrMK_Link,$B9,nrMK_Credit,"Yes"))</f>
        <v/>
      </c>
      <c r="Q9" s="17">
        <f>IF(OR($B9="",N($J9)=0),"",SUMIFS(nrMK_Sess,nrMK_Link,$B9,nrMK_Credit,"Yes"))</f>
        <v/>
      </c>
      <c r="R9" s="17">
        <f>IF(OR($B9="",$N9&lt;&gt;"Yes"),"",IF(N($I9)&gt;0,N($I9)-N($P9),IF(N($J9)&gt;0,N($J9)-N($Q9),"")))</f>
        <v/>
      </c>
      <c r="S9" s="17">
        <f>IF(OR($B9="",$R9=""),"",IF($R9&lt;=0,"CLEARED "&amp;IFERROR(TEXT(_xlfn.MAXIFS(nrMK_Date,nrMK_Link,$B9,nrMK_Credit,"Yes"),"mm/dd"),""),"OPEN"))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IF(OR($B10="",N($I10)=0),"",SUMIFS(nrMK_Min,nrMK_Link,$B10,nrMK_Credit,"Yes"))</f>
        <v/>
      </c>
      <c r="Q10" s="17">
        <f>IF(OR($B10="",N($J10)=0),"",SUMIFS(nrMK_Sess,nrMK_Link,$B10,nrMK_Credit,"Yes"))</f>
        <v/>
      </c>
      <c r="R10" s="17">
        <f>IF(OR($B10="",$N10&lt;&gt;"Yes"),"",IF(N($I10)&gt;0,N($I10)-N($P10),IF(N($J10)&gt;0,N($J10)-N($Q10),"")))</f>
        <v/>
      </c>
      <c r="S10" s="17">
        <f>IF(OR($B10="",$R10=""),"",IF($R10&lt;=0,"CLEARED "&amp;IFERROR(TEXT(_xlfn.MAXIFS(nrMK_Date,nrMK_Link,$B10,nrMK_Credit,"Yes"),"mm/dd"),""),"OPEN"))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IF(OR($B11="",N($I11)=0),"",SUMIFS(nrMK_Min,nrMK_Link,$B11,nrMK_Credit,"Yes"))</f>
        <v/>
      </c>
      <c r="Q11" s="17">
        <f>IF(OR($B11="",N($J11)=0),"",SUMIFS(nrMK_Sess,nrMK_Link,$B11,nrMK_Credit,"Yes"))</f>
        <v/>
      </c>
      <c r="R11" s="17">
        <f>IF(OR($B11="",$N11&lt;&gt;"Yes"),"",IF(N($I11)&gt;0,N($I11)-N($P11),IF(N($J11)&gt;0,N($J11)-N($Q11),"")))</f>
        <v/>
      </c>
      <c r="S11" s="17">
        <f>IF(OR($B11="",$R11=""),"",IF($R11&lt;=0,"CLEARED "&amp;IFERROR(TEXT(_xlfn.MAXIFS(nrMK_Date,nrMK_Link,$B11,nrMK_Credit,"Yes"),"mm/dd"),""),"OPEN"))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IF(OR($B12="",N($I12)=0),"",SUMIFS(nrMK_Min,nrMK_Link,$B12,nrMK_Credit,"Yes"))</f>
        <v/>
      </c>
      <c r="Q12" s="17">
        <f>IF(OR($B12="",N($J12)=0),"",SUMIFS(nrMK_Sess,nrMK_Link,$B12,nrMK_Credit,"Yes"))</f>
        <v/>
      </c>
      <c r="R12" s="17">
        <f>IF(OR($B12="",$N12&lt;&gt;"Yes"),"",IF(N($I12)&gt;0,N($I12)-N($P12),IF(N($J12)&gt;0,N($J12)-N($Q12),"")))</f>
        <v/>
      </c>
      <c r="S12" s="17">
        <f>IF(OR($B12="",$R12=""),"",IF($R12&lt;=0,"CLEARED "&amp;IFERROR(TEXT(_xlfn.MAXIFS(nrMK_Date,nrMK_Link,$B12,nrMK_Credit,"Yes"),"mm/dd"),""),"OPEN"))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IF(OR($B13="",N($I13)=0),"",SUMIFS(nrMK_Min,nrMK_Link,$B13,nrMK_Credit,"Yes"))</f>
        <v/>
      </c>
      <c r="Q13" s="17">
        <f>IF(OR($B13="",N($J13)=0),"",SUMIFS(nrMK_Sess,nrMK_Link,$B13,nrMK_Credit,"Yes"))</f>
        <v/>
      </c>
      <c r="R13" s="17">
        <f>IF(OR($B13="",$N13&lt;&gt;"Yes"),"",IF(N($I13)&gt;0,N($I13)-N($P13),IF(N($J13)&gt;0,N($J13)-N($Q13),"")))</f>
        <v/>
      </c>
      <c r="S13" s="17">
        <f>IF(OR($B13="",$R13=""),"",IF($R13&lt;=0,"CLEARED "&amp;IFERROR(TEXT(_xlfn.MAXIFS(nrMK_Date,nrMK_Link,$B13,nrMK_Credit,"Yes"),"mm/dd"),""),"OPEN"))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IF(OR($B14="",N($I14)=0),"",SUMIFS(nrMK_Min,nrMK_Link,$B14,nrMK_Credit,"Yes"))</f>
        <v/>
      </c>
      <c r="Q14" s="17">
        <f>IF(OR($B14="",N($J14)=0),"",SUMIFS(nrMK_Sess,nrMK_Link,$B14,nrMK_Credit,"Yes"))</f>
        <v/>
      </c>
      <c r="R14" s="17">
        <f>IF(OR($B14="",$N14&lt;&gt;"Yes"),"",IF(N($I14)&gt;0,N($I14)-N($P14),IF(N($J14)&gt;0,N($J14)-N($Q14),"")))</f>
        <v/>
      </c>
      <c r="S14" s="17">
        <f>IF(OR($B14="",$R14=""),"",IF($R14&lt;=0,"CLEARED "&amp;IFERROR(TEXT(_xlfn.MAXIFS(nrMK_Date,nrMK_Link,$B14,nrMK_Credit,"Yes"),"mm/dd"),""),"OPEN"))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IF(OR($B15="",N($I15)=0),"",SUMIFS(nrMK_Min,nrMK_Link,$B15,nrMK_Credit,"Yes"))</f>
        <v/>
      </c>
      <c r="Q15" s="17">
        <f>IF(OR($B15="",N($J15)=0),"",SUMIFS(nrMK_Sess,nrMK_Link,$B15,nrMK_Credit,"Yes"))</f>
        <v/>
      </c>
      <c r="R15" s="17">
        <f>IF(OR($B15="",$N15&lt;&gt;"Yes"),"",IF(N($I15)&gt;0,N($I15)-N($P15),IF(N($J15)&gt;0,N($J15)-N($Q15),"")))</f>
        <v/>
      </c>
      <c r="S15" s="17">
        <f>IF(OR($B15="",$R15=""),"",IF($R15&lt;=0,"CLEARED "&amp;IFERROR(TEXT(_xlfn.MAXIFS(nrMK_Date,nrMK_Link,$B15,nrMK_Credit,"Yes"),"mm/dd"),""),"OPEN"))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IF(OR($B16="",N($I16)=0),"",SUMIFS(nrMK_Min,nrMK_Link,$B16,nrMK_Credit,"Yes"))</f>
        <v/>
      </c>
      <c r="Q16" s="17">
        <f>IF(OR($B16="",N($J16)=0),"",SUMIFS(nrMK_Sess,nrMK_Link,$B16,nrMK_Credit,"Yes"))</f>
        <v/>
      </c>
      <c r="R16" s="17">
        <f>IF(OR($B16="",$N16&lt;&gt;"Yes"),"",IF(N($I16)&gt;0,N($I16)-N($P16),IF(N($J16)&gt;0,N($J16)-N($Q16),"")))</f>
        <v/>
      </c>
      <c r="S16" s="17">
        <f>IF(OR($B16="",$R16=""),"",IF($R16&lt;=0,"CLEARED "&amp;IFERROR(TEXT(_xlfn.MAXIFS(nrMK_Date,nrMK_Link,$B16,nrMK_Credit,"Yes"),"mm/dd"),""),"OPEN"))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IF(OR($B17="",N($I17)=0),"",SUMIFS(nrMK_Min,nrMK_Link,$B17,nrMK_Credit,"Yes"))</f>
        <v/>
      </c>
      <c r="Q17" s="17">
        <f>IF(OR($B17="",N($J17)=0),"",SUMIFS(nrMK_Sess,nrMK_Link,$B17,nrMK_Credit,"Yes"))</f>
        <v/>
      </c>
      <c r="R17" s="17">
        <f>IF(OR($B17="",$N17&lt;&gt;"Yes"),"",IF(N($I17)&gt;0,N($I17)-N($P17),IF(N($J17)&gt;0,N($J17)-N($Q17),"")))</f>
        <v/>
      </c>
      <c r="S17" s="17">
        <f>IF(OR($B17="",$R17=""),"",IF($R17&lt;=0,"CLEARED "&amp;IFERROR(TEXT(_xlfn.MAXIFS(nrMK_Date,nrMK_Link,$B17,nrMK_Credit,"Yes"),"mm/dd"),""),"OPEN"))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IF(OR($B18="",N($I18)=0),"",SUMIFS(nrMK_Min,nrMK_Link,$B18,nrMK_Credit,"Yes"))</f>
        <v/>
      </c>
      <c r="Q18" s="17">
        <f>IF(OR($B18="",N($J18)=0),"",SUMIFS(nrMK_Sess,nrMK_Link,$B18,nrMK_Credit,"Yes"))</f>
        <v/>
      </c>
      <c r="R18" s="17">
        <f>IF(OR($B18="",$N18&lt;&gt;"Yes"),"",IF(N($I18)&gt;0,N($I18)-N($P18),IF(N($J18)&gt;0,N($J18)-N($Q18),"")))</f>
        <v/>
      </c>
      <c r="S18" s="17">
        <f>IF(OR($B18="",$R18=""),"",IF($R18&lt;=0,"CLEARED "&amp;IFERROR(TEXT(_xlfn.MAXIFS(nrMK_Date,nrMK_Link,$B18,nrMK_Credit,"Yes"),"mm/dd"),""),"OPEN"))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IF(OR($B19="",N($I19)=0),"",SUMIFS(nrMK_Min,nrMK_Link,$B19,nrMK_Credit,"Yes"))</f>
        <v/>
      </c>
      <c r="Q19" s="17">
        <f>IF(OR($B19="",N($J19)=0),"",SUMIFS(nrMK_Sess,nrMK_Link,$B19,nrMK_Credit,"Yes"))</f>
        <v/>
      </c>
      <c r="R19" s="17">
        <f>IF(OR($B19="",$N19&lt;&gt;"Yes"),"",IF(N($I19)&gt;0,N($I19)-N($P19),IF(N($J19)&gt;0,N($J19)-N($Q19),"")))</f>
        <v/>
      </c>
      <c r="S19" s="17">
        <f>IF(OR($B19="",$R19=""),"",IF($R19&lt;=0,"CLEARED "&amp;IFERROR(TEXT(_xlfn.MAXIFS(nrMK_Date,nrMK_Link,$B19,nrMK_Credit,"Yes"),"mm/dd"),""),"OPEN"))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IF(OR($B20="",N($I20)=0),"",SUMIFS(nrMK_Min,nrMK_Link,$B20,nrMK_Credit,"Yes"))</f>
        <v/>
      </c>
      <c r="Q20" s="17">
        <f>IF(OR($B20="",N($J20)=0),"",SUMIFS(nrMK_Sess,nrMK_Link,$B20,nrMK_Credit,"Yes"))</f>
        <v/>
      </c>
      <c r="R20" s="17">
        <f>IF(OR($B20="",$N20&lt;&gt;"Yes"),"",IF(N($I20)&gt;0,N($I20)-N($P20),IF(N($J20)&gt;0,N($J20)-N($Q20),"")))</f>
        <v/>
      </c>
      <c r="S20" s="17">
        <f>IF(OR($B20="",$R20=""),"",IF($R20&lt;=0,"CLEARED "&amp;IFERROR(TEXT(_xlfn.MAXIFS(nrMK_Date,nrMK_Link,$B20,nrMK_Credit,"Yes"),"mm/dd"),""),"OPEN"))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IF(OR($B21="",N($I21)=0),"",SUMIFS(nrMK_Min,nrMK_Link,$B21,nrMK_Credit,"Yes"))</f>
        <v/>
      </c>
      <c r="Q21" s="17">
        <f>IF(OR($B21="",N($J21)=0),"",SUMIFS(nrMK_Sess,nrMK_Link,$B21,nrMK_Credit,"Yes"))</f>
        <v/>
      </c>
      <c r="R21" s="17">
        <f>IF(OR($B21="",$N21&lt;&gt;"Yes"),"",IF(N($I21)&gt;0,N($I21)-N($P21),IF(N($J21)&gt;0,N($J21)-N($Q21),"")))</f>
        <v/>
      </c>
      <c r="S21" s="17">
        <f>IF(OR($B21="",$R21=""),"",IF($R21&lt;=0,"CLEARED "&amp;IFERROR(TEXT(_xlfn.MAXIFS(nrMK_Date,nrMK_Link,$B21,nrMK_Credit,"Yes"),"mm/dd"),""),"OPEN"))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IF(OR($B22="",N($I22)=0),"",SUMIFS(nrMK_Min,nrMK_Link,$B22,nrMK_Credit,"Yes"))</f>
        <v/>
      </c>
      <c r="Q22" s="17">
        <f>IF(OR($B22="",N($J22)=0),"",SUMIFS(nrMK_Sess,nrMK_Link,$B22,nrMK_Credit,"Yes"))</f>
        <v/>
      </c>
      <c r="R22" s="17">
        <f>IF(OR($B22="",$N22&lt;&gt;"Yes"),"",IF(N($I22)&gt;0,N($I22)-N($P22),IF(N($J22)&gt;0,N($J22)-N($Q22),"")))</f>
        <v/>
      </c>
      <c r="S22" s="17">
        <f>IF(OR($B22="",$R22=""),"",IF($R22&lt;=0,"CLEARED "&amp;IFERROR(TEXT(_xlfn.MAXIFS(nrMK_Date,nrMK_Link,$B22,nrMK_Credit,"Yes"),"mm/dd"),""),"OPEN"))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IF(OR($B23="",N($I23)=0),"",SUMIFS(nrMK_Min,nrMK_Link,$B23,nrMK_Credit,"Yes"))</f>
        <v/>
      </c>
      <c r="Q23" s="17">
        <f>IF(OR($B23="",N($J23)=0),"",SUMIFS(nrMK_Sess,nrMK_Link,$B23,nrMK_Credit,"Yes"))</f>
        <v/>
      </c>
      <c r="R23" s="17">
        <f>IF(OR($B23="",$N23&lt;&gt;"Yes"),"",IF(N($I23)&gt;0,N($I23)-N($P23),IF(N($J23)&gt;0,N($J23)-N($Q23),"")))</f>
        <v/>
      </c>
      <c r="S23" s="17">
        <f>IF(OR($B23="",$R23=""),"",IF($R23&lt;=0,"CLEARED "&amp;IFERROR(TEXT(_xlfn.MAXIFS(nrMK_Date,nrMK_Link,$B23,nrMK_Credit,"Yes"),"mm/dd"),""),"OPEN"))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IF(OR($B24="",N($I24)=0),"",SUMIFS(nrMK_Min,nrMK_Link,$B24,nrMK_Credit,"Yes"))</f>
        <v/>
      </c>
      <c r="Q24" s="17">
        <f>IF(OR($B24="",N($J24)=0),"",SUMIFS(nrMK_Sess,nrMK_Link,$B24,nrMK_Credit,"Yes"))</f>
        <v/>
      </c>
      <c r="R24" s="17">
        <f>IF(OR($B24="",$N24&lt;&gt;"Yes"),"",IF(N($I24)&gt;0,N($I24)-N($P24),IF(N($J24)&gt;0,N($J24)-N($Q24),"")))</f>
        <v/>
      </c>
      <c r="S24" s="17">
        <f>IF(OR($B24="",$R24=""),"",IF($R24&lt;=0,"CLEARED "&amp;IFERROR(TEXT(_xlfn.MAXIFS(nrMK_Date,nrMK_Link,$B24,nrMK_Credit,"Yes"),"mm/dd"),""),"OPEN"))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IF(OR($B25="",N($I25)=0),"",SUMIFS(nrMK_Min,nrMK_Link,$B25,nrMK_Credit,"Yes"))</f>
        <v/>
      </c>
      <c r="Q25" s="17">
        <f>IF(OR($B25="",N($J25)=0),"",SUMIFS(nrMK_Sess,nrMK_Link,$B25,nrMK_Credit,"Yes"))</f>
        <v/>
      </c>
      <c r="R25" s="17">
        <f>IF(OR($B25="",$N25&lt;&gt;"Yes"),"",IF(N($I25)&gt;0,N($I25)-N($P25),IF(N($J25)&gt;0,N($J25)-N($Q25),"")))</f>
        <v/>
      </c>
      <c r="S25" s="17">
        <f>IF(OR($B25="",$R25=""),"",IF($R25&lt;=0,"CLEARED "&amp;IFERROR(TEXT(_xlfn.MAXIFS(nrMK_Date,nrMK_Link,$B25,nrMK_Credit,"Yes"),"mm/dd"),""),"OPEN"))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IF(OR($B26="",N($I26)=0),"",SUMIFS(nrMK_Min,nrMK_Link,$B26,nrMK_Credit,"Yes"))</f>
        <v/>
      </c>
      <c r="Q26" s="17">
        <f>IF(OR($B26="",N($J26)=0),"",SUMIFS(nrMK_Sess,nrMK_Link,$B26,nrMK_Credit,"Yes"))</f>
        <v/>
      </c>
      <c r="R26" s="17">
        <f>IF(OR($B26="",$N26&lt;&gt;"Yes"),"",IF(N($I26)&gt;0,N($I26)-N($P26),IF(N($J26)&gt;0,N($J26)-N($Q26),"")))</f>
        <v/>
      </c>
      <c r="S26" s="17">
        <f>IF(OR($B26="",$R26=""),"",IF($R26&lt;=0,"CLEARED "&amp;IFERROR(TEXT(_xlfn.MAXIFS(nrMK_Date,nrMK_Link,$B26,nrMK_Credit,"Yes"),"mm/dd"),""),"OPEN"))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IF(OR($B27="",N($I27)=0),"",SUMIFS(nrMK_Min,nrMK_Link,$B27,nrMK_Credit,"Yes"))</f>
        <v/>
      </c>
      <c r="Q27" s="17">
        <f>IF(OR($B27="",N($J27)=0),"",SUMIFS(nrMK_Sess,nrMK_Link,$B27,nrMK_Credit,"Yes"))</f>
        <v/>
      </c>
      <c r="R27" s="17">
        <f>IF(OR($B27="",$N27&lt;&gt;"Yes"),"",IF(N($I27)&gt;0,N($I27)-N($P27),IF(N($J27)&gt;0,N($J27)-N($Q27),"")))</f>
        <v/>
      </c>
      <c r="S27" s="17">
        <f>IF(OR($B27="",$R27=""),"",IF($R27&lt;=0,"CLEARED "&amp;IFERROR(TEXT(_xlfn.MAXIFS(nrMK_Date,nrMK_Link,$B27,nrMK_Credit,"Yes"),"mm/dd"),""),"OPEN"))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IF(OR($B28="",N($I28)=0),"",SUMIFS(nrMK_Min,nrMK_Link,$B28,nrMK_Credit,"Yes"))</f>
        <v/>
      </c>
      <c r="Q28" s="17">
        <f>IF(OR($B28="",N($J28)=0),"",SUMIFS(nrMK_Sess,nrMK_Link,$B28,nrMK_Credit,"Yes"))</f>
        <v/>
      </c>
      <c r="R28" s="17">
        <f>IF(OR($B28="",$N28&lt;&gt;"Yes"),"",IF(N($I28)&gt;0,N($I28)-N($P28),IF(N($J28)&gt;0,N($J28)-N($Q28),"")))</f>
        <v/>
      </c>
      <c r="S28" s="17">
        <f>IF(OR($B28="",$R28=""),"",IF($R28&lt;=0,"CLEARED "&amp;IFERROR(TEXT(_xlfn.MAXIFS(nrMK_Date,nrMK_Link,$B28,nrMK_Credit,"Yes"),"mm/dd"),""),"OPEN"))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IF(OR($B29="",N($I29)=0),"",SUMIFS(nrMK_Min,nrMK_Link,$B29,nrMK_Credit,"Yes"))</f>
        <v/>
      </c>
      <c r="Q29" s="17">
        <f>IF(OR($B29="",N($J29)=0),"",SUMIFS(nrMK_Sess,nrMK_Link,$B29,nrMK_Credit,"Yes"))</f>
        <v/>
      </c>
      <c r="R29" s="17">
        <f>IF(OR($B29="",$N29&lt;&gt;"Yes"),"",IF(N($I29)&gt;0,N($I29)-N($P29),IF(N($J29)&gt;0,N($J29)-N($Q29),"")))</f>
        <v/>
      </c>
      <c r="S29" s="17">
        <f>IF(OR($B29="",$R29=""),"",IF($R29&lt;=0,"CLEARED "&amp;IFERROR(TEXT(_xlfn.MAXIFS(nrMK_Date,nrMK_Link,$B29,nrMK_Credit,"Yes"),"mm/dd"),""),"OPEN"))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IF(OR($B30="",N($I30)=0),"",SUMIFS(nrMK_Min,nrMK_Link,$B30,nrMK_Credit,"Yes"))</f>
        <v/>
      </c>
      <c r="Q30" s="17">
        <f>IF(OR($B30="",N($J30)=0),"",SUMIFS(nrMK_Sess,nrMK_Link,$B30,nrMK_Credit,"Yes"))</f>
        <v/>
      </c>
      <c r="R30" s="17">
        <f>IF(OR($B30="",$N30&lt;&gt;"Yes"),"",IF(N($I30)&gt;0,N($I30)-N($P30),IF(N($J30)&gt;0,N($J30)-N($Q30),"")))</f>
        <v/>
      </c>
      <c r="S30" s="17">
        <f>IF(OR($B30="",$R30=""),"",IF($R30&lt;=0,"CLEARED "&amp;IFERROR(TEXT(_xlfn.MAXIFS(nrMK_Date,nrMK_Link,$B30,nrMK_Credit,"Yes"),"mm/dd"),""),"OPEN"))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IF(OR($B31="",N($I31)=0),"",SUMIFS(nrMK_Min,nrMK_Link,$B31,nrMK_Credit,"Yes"))</f>
        <v/>
      </c>
      <c r="Q31" s="17">
        <f>IF(OR($B31="",N($J31)=0),"",SUMIFS(nrMK_Sess,nrMK_Link,$B31,nrMK_Credit,"Yes"))</f>
        <v/>
      </c>
      <c r="R31" s="17">
        <f>IF(OR($B31="",$N31&lt;&gt;"Yes"),"",IF(N($I31)&gt;0,N($I31)-N($P31),IF(N($J31)&gt;0,N($J31)-N($Q31),"")))</f>
        <v/>
      </c>
      <c r="S31" s="17">
        <f>IF(OR($B31="",$R31=""),"",IF($R31&lt;=0,"CLEARED "&amp;IFERROR(TEXT(_xlfn.MAXIFS(nrMK_Date,nrMK_Link,$B31,nrMK_Credit,"Yes"),"mm/dd"),""),"OPEN"))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IF(OR($B32="",N($I32)=0),"",SUMIFS(nrMK_Min,nrMK_Link,$B32,nrMK_Credit,"Yes"))</f>
        <v/>
      </c>
      <c r="Q32" s="17">
        <f>IF(OR($B32="",N($J32)=0),"",SUMIFS(nrMK_Sess,nrMK_Link,$B32,nrMK_Credit,"Yes"))</f>
        <v/>
      </c>
      <c r="R32" s="17">
        <f>IF(OR($B32="",$N32&lt;&gt;"Yes"),"",IF(N($I32)&gt;0,N($I32)-N($P32),IF(N($J32)&gt;0,N($J32)-N($Q32),"")))</f>
        <v/>
      </c>
      <c r="S32" s="17">
        <f>IF(OR($B32="",$R32=""),"",IF($R32&lt;=0,"CLEARED "&amp;IFERROR(TEXT(_xlfn.MAXIFS(nrMK_Date,nrMK_Link,$B32,nrMK_Credit,"Yes"),"mm/dd"),""),"OPEN"))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IF(OR($B33="",N($I33)=0),"",SUMIFS(nrMK_Min,nrMK_Link,$B33,nrMK_Credit,"Yes"))</f>
        <v/>
      </c>
      <c r="Q33" s="17">
        <f>IF(OR($B33="",N($J33)=0),"",SUMIFS(nrMK_Sess,nrMK_Link,$B33,nrMK_Credit,"Yes"))</f>
        <v/>
      </c>
      <c r="R33" s="17">
        <f>IF(OR($B33="",$N33&lt;&gt;"Yes"),"",IF(N($I33)&gt;0,N($I33)-N($P33),IF(N($J33)&gt;0,N($J33)-N($Q33),"")))</f>
        <v/>
      </c>
      <c r="S33" s="17">
        <f>IF(OR($B33="",$R33=""),"",IF($R33&lt;=0,"CLEARED "&amp;IFERROR(TEXT(_xlfn.MAXIFS(nrMK_Date,nrMK_Link,$B33,nrMK_Credit,"Yes"),"mm/dd"),""),"OPEN"))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IF(OR($B34="",N($I34)=0),"",SUMIFS(nrMK_Min,nrMK_Link,$B34,nrMK_Credit,"Yes"))</f>
        <v/>
      </c>
      <c r="Q34" s="17">
        <f>IF(OR($B34="",N($J34)=0),"",SUMIFS(nrMK_Sess,nrMK_Link,$B34,nrMK_Credit,"Yes"))</f>
        <v/>
      </c>
      <c r="R34" s="17">
        <f>IF(OR($B34="",$N34&lt;&gt;"Yes"),"",IF(N($I34)&gt;0,N($I34)-N($P34),IF(N($J34)&gt;0,N($J34)-N($Q34),"")))</f>
        <v/>
      </c>
      <c r="S34" s="17">
        <f>IF(OR($B34="",$R34=""),"",IF($R34&lt;=0,"CLEARED "&amp;IFERROR(TEXT(_xlfn.MAXIFS(nrMK_Date,nrMK_Link,$B34,nrMK_Credit,"Yes"),"mm/dd"),""),"OPEN"))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IF(OR($B35="",N($I35)=0),"",SUMIFS(nrMK_Min,nrMK_Link,$B35,nrMK_Credit,"Yes"))</f>
        <v/>
      </c>
      <c r="Q35" s="17">
        <f>IF(OR($B35="",N($J35)=0),"",SUMIFS(nrMK_Sess,nrMK_Link,$B35,nrMK_Credit,"Yes"))</f>
        <v/>
      </c>
      <c r="R35" s="17">
        <f>IF(OR($B35="",$N35&lt;&gt;"Yes"),"",IF(N($I35)&gt;0,N($I35)-N($P35),IF(N($J35)&gt;0,N($J35)-N($Q35),"")))</f>
        <v/>
      </c>
      <c r="S35" s="17">
        <f>IF(OR($B35="",$R35=""),"",IF($R35&lt;=0,"CLEARED "&amp;IFERROR(TEXT(_xlfn.MAXIFS(nrMK_Date,nrMK_Link,$B35,nrMK_Credit,"Yes"),"mm/dd"),""),"OPEN"))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IF(OR($B36="",N($I36)=0),"",SUMIFS(nrMK_Min,nrMK_Link,$B36,nrMK_Credit,"Yes"))</f>
        <v/>
      </c>
      <c r="Q36" s="17">
        <f>IF(OR($B36="",N($J36)=0),"",SUMIFS(nrMK_Sess,nrMK_Link,$B36,nrMK_Credit,"Yes"))</f>
        <v/>
      </c>
      <c r="R36" s="17">
        <f>IF(OR($B36="",$N36&lt;&gt;"Yes"),"",IF(N($I36)&gt;0,N($I36)-N($P36),IF(N($J36)&gt;0,N($J36)-N($Q36),"")))</f>
        <v/>
      </c>
      <c r="S36" s="17">
        <f>IF(OR($B36="",$R36=""),"",IF($R36&lt;=0,"CLEARED "&amp;IFERROR(TEXT(_xlfn.MAXIFS(nrMK_Date,nrMK_Link,$B36,nrMK_Credit,"Yes"),"mm/dd"),""),"OPEN"))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IF(OR($B37="",N($I37)=0),"",SUMIFS(nrMK_Min,nrMK_Link,$B37,nrMK_Credit,"Yes"))</f>
        <v/>
      </c>
      <c r="Q37" s="17">
        <f>IF(OR($B37="",N($J37)=0),"",SUMIFS(nrMK_Sess,nrMK_Link,$B37,nrMK_Credit,"Yes"))</f>
        <v/>
      </c>
      <c r="R37" s="17">
        <f>IF(OR($B37="",$N37&lt;&gt;"Yes"),"",IF(N($I37)&gt;0,N($I37)-N($P37),IF(N($J37)&gt;0,N($J37)-N($Q37),"")))</f>
        <v/>
      </c>
      <c r="S37" s="17">
        <f>IF(OR($B37="",$R37=""),"",IF($R37&lt;=0,"CLEARED "&amp;IFERROR(TEXT(_xlfn.MAXIFS(nrMK_Date,nrMK_Link,$B37,nrMK_Credit,"Yes"),"mm/dd"),""),"OPEN"))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IF(OR($B38="",N($I38)=0),"",SUMIFS(nrMK_Min,nrMK_Link,$B38,nrMK_Credit,"Yes"))</f>
        <v/>
      </c>
      <c r="Q38" s="17">
        <f>IF(OR($B38="",N($J38)=0),"",SUMIFS(nrMK_Sess,nrMK_Link,$B38,nrMK_Credit,"Yes"))</f>
        <v/>
      </c>
      <c r="R38" s="17">
        <f>IF(OR($B38="",$N38&lt;&gt;"Yes"),"",IF(N($I38)&gt;0,N($I38)-N($P38),IF(N($J38)&gt;0,N($J38)-N($Q38),"")))</f>
        <v/>
      </c>
      <c r="S38" s="17">
        <f>IF(OR($B38="",$R38=""),"",IF($R38&lt;=0,"CLEARED "&amp;IFERROR(TEXT(_xlfn.MAXIFS(nrMK_Date,nrMK_Link,$B38,nrMK_Credit,"Yes"),"mm/dd"),""),"OPEN"))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IF(OR($B39="",N($I39)=0),"",SUMIFS(nrMK_Min,nrMK_Link,$B39,nrMK_Credit,"Yes"))</f>
        <v/>
      </c>
      <c r="Q39" s="17">
        <f>IF(OR($B39="",N($J39)=0),"",SUMIFS(nrMK_Sess,nrMK_Link,$B39,nrMK_Credit,"Yes"))</f>
        <v/>
      </c>
      <c r="R39" s="17">
        <f>IF(OR($B39="",$N39&lt;&gt;"Yes"),"",IF(N($I39)&gt;0,N($I39)-N($P39),IF(N($J39)&gt;0,N($J39)-N($Q39),"")))</f>
        <v/>
      </c>
      <c r="S39" s="17">
        <f>IF(OR($B39="",$R39=""),"",IF($R39&lt;=0,"CLEARED "&amp;IFERROR(TEXT(_xlfn.MAXIFS(nrMK_Date,nrMK_Link,$B39,nrMK_Credit,"Yes"),"mm/dd"),""),"OPEN"))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IF(OR($B40="",N($I40)=0),"",SUMIFS(nrMK_Min,nrMK_Link,$B40,nrMK_Credit,"Yes"))</f>
        <v/>
      </c>
      <c r="Q40" s="17">
        <f>IF(OR($B40="",N($J40)=0),"",SUMIFS(nrMK_Sess,nrMK_Link,$B40,nrMK_Credit,"Yes"))</f>
        <v/>
      </c>
      <c r="R40" s="17">
        <f>IF(OR($B40="",$N40&lt;&gt;"Yes"),"",IF(N($I40)&gt;0,N($I40)-N($P40),IF(N($J40)&gt;0,N($J40)-N($Q40),"")))</f>
        <v/>
      </c>
      <c r="S40" s="17">
        <f>IF(OR($B40="",$R40=""),"",IF($R40&lt;=0,"CLEARED "&amp;IFERROR(TEXT(_xlfn.MAXIFS(nrMK_Date,nrMK_Link,$B40,nrMK_Credit,"Yes"),"mm/dd"),""),"OPEN"))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IF(OR($B41="",N($I41)=0),"",SUMIFS(nrMK_Min,nrMK_Link,$B41,nrMK_Credit,"Yes"))</f>
        <v/>
      </c>
      <c r="Q41" s="17">
        <f>IF(OR($B41="",N($J41)=0),"",SUMIFS(nrMK_Sess,nrMK_Link,$B41,nrMK_Credit,"Yes"))</f>
        <v/>
      </c>
      <c r="R41" s="17">
        <f>IF(OR($B41="",$N41&lt;&gt;"Yes"),"",IF(N($I41)&gt;0,N($I41)-N($P41),IF(N($J41)&gt;0,N($J41)-N($Q41),"")))</f>
        <v/>
      </c>
      <c r="S41" s="17">
        <f>IF(OR($B41="",$R41=""),"",IF($R41&lt;=0,"CLEARED "&amp;IFERROR(TEXT(_xlfn.MAXIFS(nrMK_Date,nrMK_Link,$B41,nrMK_Credit,"Yes"),"mm/dd"),""),"OPEN"))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IF(OR($B42="",N($I42)=0),"",SUMIFS(nrMK_Min,nrMK_Link,$B42,nrMK_Credit,"Yes"))</f>
        <v/>
      </c>
      <c r="Q42" s="17">
        <f>IF(OR($B42="",N($J42)=0),"",SUMIFS(nrMK_Sess,nrMK_Link,$B42,nrMK_Credit,"Yes"))</f>
        <v/>
      </c>
      <c r="R42" s="17">
        <f>IF(OR($B42="",$N42&lt;&gt;"Yes"),"",IF(N($I42)&gt;0,N($I42)-N($P42),IF(N($J42)&gt;0,N($J42)-N($Q42),"")))</f>
        <v/>
      </c>
      <c r="S42" s="17">
        <f>IF(OR($B42="",$R42=""),"",IF($R42&lt;=0,"CLEARED "&amp;IFERROR(TEXT(_xlfn.MAXIFS(nrMK_Date,nrMK_Link,$B42,nrMK_Credit,"Yes"),"mm/dd"),""),"OPEN"))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IF(OR($B43="",N($I43)=0),"",SUMIFS(nrMK_Min,nrMK_Link,$B43,nrMK_Credit,"Yes"))</f>
        <v/>
      </c>
      <c r="Q43" s="17">
        <f>IF(OR($B43="",N($J43)=0),"",SUMIFS(nrMK_Sess,nrMK_Link,$B43,nrMK_Credit,"Yes"))</f>
        <v/>
      </c>
      <c r="R43" s="17">
        <f>IF(OR($B43="",$N43&lt;&gt;"Yes"),"",IF(N($I43)&gt;0,N($I43)-N($P43),IF(N($J43)&gt;0,N($J43)-N($Q43),"")))</f>
        <v/>
      </c>
      <c r="S43" s="17">
        <f>IF(OR($B43="",$R43=""),"",IF($R43&lt;=0,"CLEARED "&amp;IFERROR(TEXT(_xlfn.MAXIFS(nrMK_Date,nrMK_Link,$B43,nrMK_Credit,"Yes"),"mm/dd"),""),"OPEN"))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IF(OR($B44="",N($I44)=0),"",SUMIFS(nrMK_Min,nrMK_Link,$B44,nrMK_Credit,"Yes"))</f>
        <v/>
      </c>
      <c r="Q44" s="17">
        <f>IF(OR($B44="",N($J44)=0),"",SUMIFS(nrMK_Sess,nrMK_Link,$B44,nrMK_Credit,"Yes"))</f>
        <v/>
      </c>
      <c r="R44" s="17">
        <f>IF(OR($B44="",$N44&lt;&gt;"Yes"),"",IF(N($I44)&gt;0,N($I44)-N($P44),IF(N($J44)&gt;0,N($J44)-N($Q44),"")))</f>
        <v/>
      </c>
      <c r="S44" s="17">
        <f>IF(OR($B44="",$R44=""),"",IF($R44&lt;=0,"CLEARED "&amp;IFERROR(TEXT(_xlfn.MAXIFS(nrMK_Date,nrMK_Link,$B44,nrMK_Credit,"Yes"),"mm/dd"),""),"OPEN"))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IF(OR($B45="",N($I45)=0),"",SUMIFS(nrMK_Min,nrMK_Link,$B45,nrMK_Credit,"Yes"))</f>
        <v/>
      </c>
      <c r="Q45" s="17">
        <f>IF(OR($B45="",N($J45)=0),"",SUMIFS(nrMK_Sess,nrMK_Link,$B45,nrMK_Credit,"Yes"))</f>
        <v/>
      </c>
      <c r="R45" s="17">
        <f>IF(OR($B45="",$N45&lt;&gt;"Yes"),"",IF(N($I45)&gt;0,N($I45)-N($P45),IF(N($J45)&gt;0,N($J45)-N($Q45),"")))</f>
        <v/>
      </c>
      <c r="S45" s="17">
        <f>IF(OR($B45="",$R45=""),"",IF($R45&lt;=0,"CLEARED "&amp;IFERROR(TEXT(_xlfn.MAXIFS(nrMK_Date,nrMK_Link,$B45,nrMK_Credit,"Yes"),"mm/dd"),""),"OPEN"))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IF(OR($B46="",N($I46)=0),"",SUMIFS(nrMK_Min,nrMK_Link,$B46,nrMK_Credit,"Yes"))</f>
        <v/>
      </c>
      <c r="Q46" s="17">
        <f>IF(OR($B46="",N($J46)=0),"",SUMIFS(nrMK_Sess,nrMK_Link,$B46,nrMK_Credit,"Yes"))</f>
        <v/>
      </c>
      <c r="R46" s="17">
        <f>IF(OR($B46="",$N46&lt;&gt;"Yes"),"",IF(N($I46)&gt;0,N($I46)-N($P46),IF(N($J46)&gt;0,N($J46)-N($Q46),"")))</f>
        <v/>
      </c>
      <c r="S46" s="17">
        <f>IF(OR($B46="",$R46=""),"",IF($R46&lt;=0,"CLEARED "&amp;IFERROR(TEXT(_xlfn.MAXIFS(nrMK_Date,nrMK_Link,$B46,nrMK_Credit,"Yes"),"mm/dd"),""),"OPEN"))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IF(OR($B47="",N($I47)=0),"",SUMIFS(nrMK_Min,nrMK_Link,$B47,nrMK_Credit,"Yes"))</f>
        <v/>
      </c>
      <c r="Q47" s="17">
        <f>IF(OR($B47="",N($J47)=0),"",SUMIFS(nrMK_Sess,nrMK_Link,$B47,nrMK_Credit,"Yes"))</f>
        <v/>
      </c>
      <c r="R47" s="17">
        <f>IF(OR($B47="",$N47&lt;&gt;"Yes"),"",IF(N($I47)&gt;0,N($I47)-N($P47),IF(N($J47)&gt;0,N($J47)-N($Q47),"")))</f>
        <v/>
      </c>
      <c r="S47" s="17">
        <f>IF(OR($B47="",$R47=""),"",IF($R47&lt;=0,"CLEARED "&amp;IFERROR(TEXT(_xlfn.MAXIFS(nrMK_Date,nrMK_Link,$B47,nrMK_Credit,"Yes"),"mm/dd"),""),"OPEN"))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IF(OR($B48="",N($I48)=0),"",SUMIFS(nrMK_Min,nrMK_Link,$B48,nrMK_Credit,"Yes"))</f>
        <v/>
      </c>
      <c r="Q48" s="17">
        <f>IF(OR($B48="",N($J48)=0),"",SUMIFS(nrMK_Sess,nrMK_Link,$B48,nrMK_Credit,"Yes"))</f>
        <v/>
      </c>
      <c r="R48" s="17">
        <f>IF(OR($B48="",$N48&lt;&gt;"Yes"),"",IF(N($I48)&gt;0,N($I48)-N($P48),IF(N($J48)&gt;0,N($J48)-N($Q48),"")))</f>
        <v/>
      </c>
      <c r="S48" s="17">
        <f>IF(OR($B48="",$R48=""),"",IF($R48&lt;=0,"CLEARED "&amp;IFERROR(TEXT(_xlfn.MAXIFS(nrMK_Date,nrMK_Link,$B48,nrMK_Credit,"Yes"),"mm/dd"),""),"OPEN"))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IF(OR($B49="",N($I49)=0),"",SUMIFS(nrMK_Min,nrMK_Link,$B49,nrMK_Credit,"Yes"))</f>
        <v/>
      </c>
      <c r="Q49" s="17">
        <f>IF(OR($B49="",N($J49)=0),"",SUMIFS(nrMK_Sess,nrMK_Link,$B49,nrMK_Credit,"Yes"))</f>
        <v/>
      </c>
      <c r="R49" s="17">
        <f>IF(OR($B49="",$N49&lt;&gt;"Yes"),"",IF(N($I49)&gt;0,N($I49)-N($P49),IF(N($J49)&gt;0,N($J49)-N($Q49),"")))</f>
        <v/>
      </c>
      <c r="S49" s="17">
        <f>IF(OR($B49="",$R49=""),"",IF($R49&lt;=0,"CLEARED "&amp;IFERROR(TEXT(_xlfn.MAXIFS(nrMK_Date,nrMK_Link,$B49,nrMK_Credit,"Yes"),"mm/dd"),""),"OPEN"))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IF(OR($B50="",N($I50)=0),"",SUMIFS(nrMK_Min,nrMK_Link,$B50,nrMK_Credit,"Yes"))</f>
        <v/>
      </c>
      <c r="Q50" s="17">
        <f>IF(OR($B50="",N($J50)=0),"",SUMIFS(nrMK_Sess,nrMK_Link,$B50,nrMK_Credit,"Yes"))</f>
        <v/>
      </c>
      <c r="R50" s="17">
        <f>IF(OR($B50="",$N50&lt;&gt;"Yes"),"",IF(N($I50)&gt;0,N($I50)-N($P50),IF(N($J50)&gt;0,N($J50)-N($Q50),"")))</f>
        <v/>
      </c>
      <c r="S50" s="17">
        <f>IF(OR($B50="",$R50=""),"",IF($R50&lt;=0,"CLEARED "&amp;IFERROR(TEXT(_xlfn.MAXIFS(nrMK_Date,nrMK_Link,$B50,nrMK_Credit,"Yes"),"mm/dd"),""),"OPEN"))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IF(OR($B51="",N($I51)=0),"",SUMIFS(nrMK_Min,nrMK_Link,$B51,nrMK_Credit,"Yes"))</f>
        <v/>
      </c>
      <c r="Q51" s="17">
        <f>IF(OR($B51="",N($J51)=0),"",SUMIFS(nrMK_Sess,nrMK_Link,$B51,nrMK_Credit,"Yes"))</f>
        <v/>
      </c>
      <c r="R51" s="17">
        <f>IF(OR($B51="",$N51&lt;&gt;"Yes"),"",IF(N($I51)&gt;0,N($I51)-N($P51),IF(N($J51)&gt;0,N($J51)-N($Q51),"")))</f>
        <v/>
      </c>
      <c r="S51" s="17">
        <f>IF(OR($B51="",$R51=""),"",IF($R51&lt;=0,"CLEARED "&amp;IFERROR(TEXT(_xlfn.MAXIFS(nrMK_Date,nrMK_Link,$B51,nrMK_Credit,"Yes"),"mm/dd"),""),"OPEN"))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IF(OR($B52="",N($I52)=0),"",SUMIFS(nrMK_Min,nrMK_Link,$B52,nrMK_Credit,"Yes"))</f>
        <v/>
      </c>
      <c r="Q52" s="17">
        <f>IF(OR($B52="",N($J52)=0),"",SUMIFS(nrMK_Sess,nrMK_Link,$B52,nrMK_Credit,"Yes"))</f>
        <v/>
      </c>
      <c r="R52" s="17">
        <f>IF(OR($B52="",$N52&lt;&gt;"Yes"),"",IF(N($I52)&gt;0,N($I52)-N($P52),IF(N($J52)&gt;0,N($J52)-N($Q52),"")))</f>
        <v/>
      </c>
      <c r="S52" s="17">
        <f>IF(OR($B52="",$R52=""),"",IF($R52&lt;=0,"CLEARED "&amp;IFERROR(TEXT(_xlfn.MAXIFS(nrMK_Date,nrMK_Link,$B52,nrMK_Credit,"Yes"),"mm/dd"),""),"OPEN"))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IF(OR($B53="",N($I53)=0),"",SUMIFS(nrMK_Min,nrMK_Link,$B53,nrMK_Credit,"Yes"))</f>
        <v/>
      </c>
      <c r="Q53" s="17">
        <f>IF(OR($B53="",N($J53)=0),"",SUMIFS(nrMK_Sess,nrMK_Link,$B53,nrMK_Credit,"Yes"))</f>
        <v/>
      </c>
      <c r="R53" s="17">
        <f>IF(OR($B53="",$N53&lt;&gt;"Yes"),"",IF(N($I53)&gt;0,N($I53)-N($P53),IF(N($J53)&gt;0,N($J53)-N($Q53),"")))</f>
        <v/>
      </c>
      <c r="S53" s="17">
        <f>IF(OR($B53="",$R53=""),"",IF($R53&lt;=0,"CLEARED "&amp;IFERROR(TEXT(_xlfn.MAXIFS(nrMK_Date,nrMK_Link,$B53,nrMK_Credit,"Yes"),"mm/dd"),""),"OPEN"))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IF(OR($B54="",N($I54)=0),"",SUMIFS(nrMK_Min,nrMK_Link,$B54,nrMK_Credit,"Yes"))</f>
        <v/>
      </c>
      <c r="Q54" s="17">
        <f>IF(OR($B54="",N($J54)=0),"",SUMIFS(nrMK_Sess,nrMK_Link,$B54,nrMK_Credit,"Yes"))</f>
        <v/>
      </c>
      <c r="R54" s="17">
        <f>IF(OR($B54="",$N54&lt;&gt;"Yes"),"",IF(N($I54)&gt;0,N($I54)-N($P54),IF(N($J54)&gt;0,N($J54)-N($Q54),"")))</f>
        <v/>
      </c>
      <c r="S54" s="17">
        <f>IF(OR($B54="",$R54=""),"",IF($R54&lt;=0,"CLEARED "&amp;IFERROR(TEXT(_xlfn.MAXIFS(nrMK_Date,nrMK_Link,$B54,nrMK_Credit,"Yes"),"mm/dd"),""),"OPEN"))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IF(OR($B55="",N($I55)=0),"",SUMIFS(nrMK_Min,nrMK_Link,$B55,nrMK_Credit,"Yes"))</f>
        <v/>
      </c>
      <c r="Q55" s="17">
        <f>IF(OR($B55="",N($J55)=0),"",SUMIFS(nrMK_Sess,nrMK_Link,$B55,nrMK_Credit,"Yes"))</f>
        <v/>
      </c>
      <c r="R55" s="17">
        <f>IF(OR($B55="",$N55&lt;&gt;"Yes"),"",IF(N($I55)&gt;0,N($I55)-N($P55),IF(N($J55)&gt;0,N($J55)-N($Q55),"")))</f>
        <v/>
      </c>
      <c r="S55" s="17">
        <f>IF(OR($B55="",$R55=""),"",IF($R55&lt;=0,"CLEARED "&amp;IFERROR(TEXT(_xlfn.MAXIFS(nrMK_Date,nrMK_Link,$B55,nrMK_Credit,"Yes"),"mm/dd"),""),"OPEN"))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IF(OR($B56="",N($I56)=0),"",SUMIFS(nrMK_Min,nrMK_Link,$B56,nrMK_Credit,"Yes"))</f>
        <v/>
      </c>
      <c r="Q56" s="17">
        <f>IF(OR($B56="",N($J56)=0),"",SUMIFS(nrMK_Sess,nrMK_Link,$B56,nrMK_Credit,"Yes"))</f>
        <v/>
      </c>
      <c r="R56" s="17">
        <f>IF(OR($B56="",$N56&lt;&gt;"Yes"),"",IF(N($I56)&gt;0,N($I56)-N($P56),IF(N($J56)&gt;0,N($J56)-N($Q56),"")))</f>
        <v/>
      </c>
      <c r="S56" s="17">
        <f>IF(OR($B56="",$R56=""),"",IF($R56&lt;=0,"CLEARED "&amp;IFERROR(TEXT(_xlfn.MAXIFS(nrMK_Date,nrMK_Link,$B56,nrMK_Credit,"Yes"),"mm/dd"),""),"OPEN"))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IF(OR($B57="",N($I57)=0),"",SUMIFS(nrMK_Min,nrMK_Link,$B57,nrMK_Credit,"Yes"))</f>
        <v/>
      </c>
      <c r="Q57" s="17">
        <f>IF(OR($B57="",N($J57)=0),"",SUMIFS(nrMK_Sess,nrMK_Link,$B57,nrMK_Credit,"Yes"))</f>
        <v/>
      </c>
      <c r="R57" s="17">
        <f>IF(OR($B57="",$N57&lt;&gt;"Yes"),"",IF(N($I57)&gt;0,N($I57)-N($P57),IF(N($J57)&gt;0,N($J57)-N($Q57),"")))</f>
        <v/>
      </c>
      <c r="S57" s="17">
        <f>IF(OR($B57="",$R57=""),"",IF($R57&lt;=0,"CLEARED "&amp;IFERROR(TEXT(_xlfn.MAXIFS(nrMK_Date,nrMK_Link,$B57,nrMK_Credit,"Yes"),"mm/dd"),""),"OPEN"))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IF(OR($B58="",N($I58)=0),"",SUMIFS(nrMK_Min,nrMK_Link,$B58,nrMK_Credit,"Yes"))</f>
        <v/>
      </c>
      <c r="Q58" s="17">
        <f>IF(OR($B58="",N($J58)=0),"",SUMIFS(nrMK_Sess,nrMK_Link,$B58,nrMK_Credit,"Yes"))</f>
        <v/>
      </c>
      <c r="R58" s="17">
        <f>IF(OR($B58="",$N58&lt;&gt;"Yes"),"",IF(N($I58)&gt;0,N($I58)-N($P58),IF(N($J58)&gt;0,N($J58)-N($Q58),"")))</f>
        <v/>
      </c>
      <c r="S58" s="17">
        <f>IF(OR($B58="",$R58=""),"",IF($R58&lt;=0,"CLEARED "&amp;IFERROR(TEXT(_xlfn.MAXIFS(nrMK_Date,nrMK_Link,$B58,nrMK_Credit,"Yes"),"mm/dd"),""),"OPEN"))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IF(OR($B59="",N($I59)=0),"",SUMIFS(nrMK_Min,nrMK_Link,$B59,nrMK_Credit,"Yes"))</f>
        <v/>
      </c>
      <c r="Q59" s="17">
        <f>IF(OR($B59="",N($J59)=0),"",SUMIFS(nrMK_Sess,nrMK_Link,$B59,nrMK_Credit,"Yes"))</f>
        <v/>
      </c>
      <c r="R59" s="17">
        <f>IF(OR($B59="",$N59&lt;&gt;"Yes"),"",IF(N($I59)&gt;0,N($I59)-N($P59),IF(N($J59)&gt;0,N($J59)-N($Q59),"")))</f>
        <v/>
      </c>
      <c r="S59" s="17">
        <f>IF(OR($B59="",$R59=""),"",IF($R59&lt;=0,"CLEARED "&amp;IFERROR(TEXT(_xlfn.MAXIFS(nrMK_Date,nrMK_Link,$B59,nrMK_Credit,"Yes"),"mm/dd"),""),"OPEN"))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IF(OR($B60="",N($I60)=0),"",SUMIFS(nrMK_Min,nrMK_Link,$B60,nrMK_Credit,"Yes"))</f>
        <v/>
      </c>
      <c r="Q60" s="17">
        <f>IF(OR($B60="",N($J60)=0),"",SUMIFS(nrMK_Sess,nrMK_Link,$B60,nrMK_Credit,"Yes"))</f>
        <v/>
      </c>
      <c r="R60" s="17">
        <f>IF(OR($B60="",$N60&lt;&gt;"Yes"),"",IF(N($I60)&gt;0,N($I60)-N($P60),IF(N($J60)&gt;0,N($J60)-N($Q60),"")))</f>
        <v/>
      </c>
      <c r="S60" s="17">
        <f>IF(OR($B60="",$R60=""),"",IF($R60&lt;=0,"CLEARED "&amp;IFERROR(TEXT(_xlfn.MAXIFS(nrMK_Date,nrMK_Link,$B60,nrMK_Credit,"Yes"),"mm/dd"),""),"OPEN"))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IF(OR($B61="",N($I61)=0),"",SUMIFS(nrMK_Min,nrMK_Link,$B61,nrMK_Credit,"Yes"))</f>
        <v/>
      </c>
      <c r="Q61" s="17">
        <f>IF(OR($B61="",N($J61)=0),"",SUMIFS(nrMK_Sess,nrMK_Link,$B61,nrMK_Credit,"Yes"))</f>
        <v/>
      </c>
      <c r="R61" s="17">
        <f>IF(OR($B61="",$N61&lt;&gt;"Yes"),"",IF(N($I61)&gt;0,N($I61)-N($P61),IF(N($J61)&gt;0,N($J61)-N($Q61),"")))</f>
        <v/>
      </c>
      <c r="S61" s="17">
        <f>IF(OR($B61="",$R61=""),"",IF($R61&lt;=0,"CLEARED "&amp;IFERROR(TEXT(_xlfn.MAXIFS(nrMK_Date,nrMK_Link,$B61,nrMK_Credit,"Yes"),"mm/dd"),""),"OPEN"))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IF(OR($B62="",N($I62)=0),"",SUMIFS(nrMK_Min,nrMK_Link,$B62,nrMK_Credit,"Yes"))</f>
        <v/>
      </c>
      <c r="Q62" s="17">
        <f>IF(OR($B62="",N($J62)=0),"",SUMIFS(nrMK_Sess,nrMK_Link,$B62,nrMK_Credit,"Yes"))</f>
        <v/>
      </c>
      <c r="R62" s="17">
        <f>IF(OR($B62="",$N62&lt;&gt;"Yes"),"",IF(N($I62)&gt;0,N($I62)-N($P62),IF(N($J62)&gt;0,N($J62)-N($Q62),"")))</f>
        <v/>
      </c>
      <c r="S62" s="17">
        <f>IF(OR($B62="",$R62=""),"",IF($R62&lt;=0,"CLEARED "&amp;IFERROR(TEXT(_xlfn.MAXIFS(nrMK_Date,nrMK_Link,$B62,nrMK_Credit,"Yes"),"mm/dd"),""),"OPEN"))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IF(OR($B63="",N($I63)=0),"",SUMIFS(nrMK_Min,nrMK_Link,$B63,nrMK_Credit,"Yes"))</f>
        <v/>
      </c>
      <c r="Q63" s="17">
        <f>IF(OR($B63="",N($J63)=0),"",SUMIFS(nrMK_Sess,nrMK_Link,$B63,nrMK_Credit,"Yes"))</f>
        <v/>
      </c>
      <c r="R63" s="17">
        <f>IF(OR($B63="",$N63&lt;&gt;"Yes"),"",IF(N($I63)&gt;0,N($I63)-N($P63),IF(N($J63)&gt;0,N($J63)-N($Q63),"")))</f>
        <v/>
      </c>
      <c r="S63" s="17">
        <f>IF(OR($B63="",$R63=""),"",IF($R63&lt;=0,"CLEARED "&amp;IFERROR(TEXT(_xlfn.MAXIFS(nrMK_Date,nrMK_Link,$B63,nrMK_Credit,"Yes"),"mm/dd"),""),"OPEN"))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IF(OR($B64="",N($I64)=0),"",SUMIFS(nrMK_Min,nrMK_Link,$B64,nrMK_Credit,"Yes"))</f>
        <v/>
      </c>
      <c r="Q64" s="17">
        <f>IF(OR($B64="",N($J64)=0),"",SUMIFS(nrMK_Sess,nrMK_Link,$B64,nrMK_Credit,"Yes"))</f>
        <v/>
      </c>
      <c r="R64" s="17">
        <f>IF(OR($B64="",$N64&lt;&gt;"Yes"),"",IF(N($I64)&gt;0,N($I64)-N($P64),IF(N($J64)&gt;0,N($J64)-N($Q64),"")))</f>
        <v/>
      </c>
      <c r="S64" s="17">
        <f>IF(OR($B64="",$R64=""),"",IF($R64&lt;=0,"CLEARED "&amp;IFERROR(TEXT(_xlfn.MAXIFS(nrMK_Date,nrMK_Link,$B64,nrMK_Credit,"Yes"),"mm/dd"),""),"OPEN"))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IF(OR($B65="",N($I65)=0),"",SUMIFS(nrMK_Min,nrMK_Link,$B65,nrMK_Credit,"Yes"))</f>
        <v/>
      </c>
      <c r="Q65" s="17">
        <f>IF(OR($B65="",N($J65)=0),"",SUMIFS(nrMK_Sess,nrMK_Link,$B65,nrMK_Credit,"Yes"))</f>
        <v/>
      </c>
      <c r="R65" s="17">
        <f>IF(OR($B65="",$N65&lt;&gt;"Yes"),"",IF(N($I65)&gt;0,N($I65)-N($P65),IF(N($J65)&gt;0,N($J65)-N($Q65),"")))</f>
        <v/>
      </c>
      <c r="S65" s="17">
        <f>IF(OR($B65="",$R65=""),"",IF($R65&lt;=0,"CLEARED "&amp;IFERROR(TEXT(_xlfn.MAXIFS(nrMK_Date,nrMK_Link,$B65,nrMK_Credit,"Yes"),"mm/dd"),""),"OPEN"))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IF(OR($B66="",N($I66)=0),"",SUMIFS(nrMK_Min,nrMK_Link,$B66,nrMK_Credit,"Yes"))</f>
        <v/>
      </c>
      <c r="Q66" s="17">
        <f>IF(OR($B66="",N($J66)=0),"",SUMIFS(nrMK_Sess,nrMK_Link,$B66,nrMK_Credit,"Yes"))</f>
        <v/>
      </c>
      <c r="R66" s="17">
        <f>IF(OR($B66="",$N66&lt;&gt;"Yes"),"",IF(N($I66)&gt;0,N($I66)-N($P66),IF(N($J66)&gt;0,N($J66)-N($Q66),"")))</f>
        <v/>
      </c>
      <c r="S66" s="17">
        <f>IF(OR($B66="",$R66=""),"",IF($R66&lt;=0,"CLEARED "&amp;IFERROR(TEXT(_xlfn.MAXIFS(nrMK_Date,nrMK_Link,$B66,nrMK_Credit,"Yes"),"mm/dd"),""),"OPEN"))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IF(OR($B67="",N($I67)=0),"",SUMIFS(nrMK_Min,nrMK_Link,$B67,nrMK_Credit,"Yes"))</f>
        <v/>
      </c>
      <c r="Q67" s="17">
        <f>IF(OR($B67="",N($J67)=0),"",SUMIFS(nrMK_Sess,nrMK_Link,$B67,nrMK_Credit,"Yes"))</f>
        <v/>
      </c>
      <c r="R67" s="17">
        <f>IF(OR($B67="",$N67&lt;&gt;"Yes"),"",IF(N($I67)&gt;0,N($I67)-N($P67),IF(N($J67)&gt;0,N($J67)-N($Q67),"")))</f>
        <v/>
      </c>
      <c r="S67" s="17">
        <f>IF(OR($B67="",$R67=""),"",IF($R67&lt;=0,"CLEARED "&amp;IFERROR(TEXT(_xlfn.MAXIFS(nrMK_Date,nrMK_Link,$B67,nrMK_Credit,"Yes"),"mm/dd"),""),"OPEN"))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IF(OR($B68="",N($I68)=0),"",SUMIFS(nrMK_Min,nrMK_Link,$B68,nrMK_Credit,"Yes"))</f>
        <v/>
      </c>
      <c r="Q68" s="17">
        <f>IF(OR($B68="",N($J68)=0),"",SUMIFS(nrMK_Sess,nrMK_Link,$B68,nrMK_Credit,"Yes"))</f>
        <v/>
      </c>
      <c r="R68" s="17">
        <f>IF(OR($B68="",$N68&lt;&gt;"Yes"),"",IF(N($I68)&gt;0,N($I68)-N($P68),IF(N($J68)&gt;0,N($J68)-N($Q68),"")))</f>
        <v/>
      </c>
      <c r="S68" s="17">
        <f>IF(OR($B68="",$R68=""),"",IF($R68&lt;=0,"CLEARED "&amp;IFERROR(TEXT(_xlfn.MAXIFS(nrMK_Date,nrMK_Link,$B68,nrMK_Credit,"Yes"),"mm/dd"),""),"OPEN"))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IF(OR($B69="",N($I69)=0),"",SUMIFS(nrMK_Min,nrMK_Link,$B69,nrMK_Credit,"Yes"))</f>
        <v/>
      </c>
      <c r="Q69" s="17">
        <f>IF(OR($B69="",N($J69)=0),"",SUMIFS(nrMK_Sess,nrMK_Link,$B69,nrMK_Credit,"Yes"))</f>
        <v/>
      </c>
      <c r="R69" s="17">
        <f>IF(OR($B69="",$N69&lt;&gt;"Yes"),"",IF(N($I69)&gt;0,N($I69)-N($P69),IF(N($J69)&gt;0,N($J69)-N($Q69),"")))</f>
        <v/>
      </c>
      <c r="S69" s="17">
        <f>IF(OR($B69="",$R69=""),"",IF($R69&lt;=0,"CLEARED "&amp;IFERROR(TEXT(_xlfn.MAXIFS(nrMK_Date,nrMK_Link,$B69,nrMK_Credit,"Yes"),"mm/dd"),""),"OPEN"))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IF(OR($B70="",N($I70)=0),"",SUMIFS(nrMK_Min,nrMK_Link,$B70,nrMK_Credit,"Yes"))</f>
        <v/>
      </c>
      <c r="Q70" s="17">
        <f>IF(OR($B70="",N($J70)=0),"",SUMIFS(nrMK_Sess,nrMK_Link,$B70,nrMK_Credit,"Yes"))</f>
        <v/>
      </c>
      <c r="R70" s="17">
        <f>IF(OR($B70="",$N70&lt;&gt;"Yes"),"",IF(N($I70)&gt;0,N($I70)-N($P70),IF(N($J70)&gt;0,N($J70)-N($Q70),"")))</f>
        <v/>
      </c>
      <c r="S70" s="17">
        <f>IF(OR($B70="",$R70=""),"",IF($R70&lt;=0,"CLEARED "&amp;IFERROR(TEXT(_xlfn.MAXIFS(nrMK_Date,nrMK_Link,$B70,nrMK_Credit,"Yes"),"mm/dd"),""),"OPEN"))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IF(OR($B71="",N($I71)=0),"",SUMIFS(nrMK_Min,nrMK_Link,$B71,nrMK_Credit,"Yes"))</f>
        <v/>
      </c>
      <c r="Q71" s="17">
        <f>IF(OR($B71="",N($J71)=0),"",SUMIFS(nrMK_Sess,nrMK_Link,$B71,nrMK_Credit,"Yes"))</f>
        <v/>
      </c>
      <c r="R71" s="17">
        <f>IF(OR($B71="",$N71&lt;&gt;"Yes"),"",IF(N($I71)&gt;0,N($I71)-N($P71),IF(N($J71)&gt;0,N($J71)-N($Q71),"")))</f>
        <v/>
      </c>
      <c r="S71" s="17">
        <f>IF(OR($B71="",$R71=""),"",IF($R71&lt;=0,"CLEARED "&amp;IFERROR(TEXT(_xlfn.MAXIFS(nrMK_Date,nrMK_Link,$B71,nrMK_Credit,"Yes"),"mm/dd"),""),"OPEN"))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IF(OR($B72="",N($I72)=0),"",SUMIFS(nrMK_Min,nrMK_Link,$B72,nrMK_Credit,"Yes"))</f>
        <v/>
      </c>
      <c r="Q72" s="17">
        <f>IF(OR($B72="",N($J72)=0),"",SUMIFS(nrMK_Sess,nrMK_Link,$B72,nrMK_Credit,"Yes"))</f>
        <v/>
      </c>
      <c r="R72" s="17">
        <f>IF(OR($B72="",$N72&lt;&gt;"Yes"),"",IF(N($I72)&gt;0,N($I72)-N($P72),IF(N($J72)&gt;0,N($J72)-N($Q72),"")))</f>
        <v/>
      </c>
      <c r="S72" s="17">
        <f>IF(OR($B72="",$R72=""),"",IF($R72&lt;=0,"CLEARED "&amp;IFERROR(TEXT(_xlfn.MAXIFS(nrMK_Date,nrMK_Link,$B72,nrMK_Credit,"Yes"),"mm/dd"),""),"OPEN"))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IF(OR($B73="",N($I73)=0),"",SUMIFS(nrMK_Min,nrMK_Link,$B73,nrMK_Credit,"Yes"))</f>
        <v/>
      </c>
      <c r="Q73" s="17">
        <f>IF(OR($B73="",N($J73)=0),"",SUMIFS(nrMK_Sess,nrMK_Link,$B73,nrMK_Credit,"Yes"))</f>
        <v/>
      </c>
      <c r="R73" s="17">
        <f>IF(OR($B73="",$N73&lt;&gt;"Yes"),"",IF(N($I73)&gt;0,N($I73)-N($P73),IF(N($J73)&gt;0,N($J73)-N($Q73),"")))</f>
        <v/>
      </c>
      <c r="S73" s="17">
        <f>IF(OR($B73="",$R73=""),"",IF($R73&lt;=0,"CLEARED "&amp;IFERROR(TEXT(_xlfn.MAXIFS(nrMK_Date,nrMK_Link,$B73,nrMK_Credit,"Yes"),"mm/dd"),""),"OPEN"))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IF(OR($B74="",N($I74)=0),"",SUMIFS(nrMK_Min,nrMK_Link,$B74,nrMK_Credit,"Yes"))</f>
        <v/>
      </c>
      <c r="Q74" s="17">
        <f>IF(OR($B74="",N($J74)=0),"",SUMIFS(nrMK_Sess,nrMK_Link,$B74,nrMK_Credit,"Yes"))</f>
        <v/>
      </c>
      <c r="R74" s="17">
        <f>IF(OR($B74="",$N74&lt;&gt;"Yes"),"",IF(N($I74)&gt;0,N($I74)-N($P74),IF(N($J74)&gt;0,N($J74)-N($Q74),"")))</f>
        <v/>
      </c>
      <c r="S74" s="17">
        <f>IF(OR($B74="",$R74=""),"",IF($R74&lt;=0,"CLEARED "&amp;IFERROR(TEXT(_xlfn.MAXIFS(nrMK_Date,nrMK_Link,$B74,nrMK_Credit,"Yes"),"mm/dd"),""),"OPEN"))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IF(OR($B75="",N($I75)=0),"",SUMIFS(nrMK_Min,nrMK_Link,$B75,nrMK_Credit,"Yes"))</f>
        <v/>
      </c>
      <c r="Q75" s="17">
        <f>IF(OR($B75="",N($J75)=0),"",SUMIFS(nrMK_Sess,nrMK_Link,$B75,nrMK_Credit,"Yes"))</f>
        <v/>
      </c>
      <c r="R75" s="17">
        <f>IF(OR($B75="",$N75&lt;&gt;"Yes"),"",IF(N($I75)&gt;0,N($I75)-N($P75),IF(N($J75)&gt;0,N($J75)-N($Q75),"")))</f>
        <v/>
      </c>
      <c r="S75" s="17">
        <f>IF(OR($B75="",$R75=""),"",IF($R75&lt;=0,"CLEARED "&amp;IFERROR(TEXT(_xlfn.MAXIFS(nrMK_Date,nrMK_Link,$B75,nrMK_Credit,"Yes"),"mm/dd"),""),"OPEN"))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IF(OR($B76="",N($I76)=0),"",SUMIFS(nrMK_Min,nrMK_Link,$B76,nrMK_Credit,"Yes"))</f>
        <v/>
      </c>
      <c r="Q76" s="17">
        <f>IF(OR($B76="",N($J76)=0),"",SUMIFS(nrMK_Sess,nrMK_Link,$B76,nrMK_Credit,"Yes"))</f>
        <v/>
      </c>
      <c r="R76" s="17">
        <f>IF(OR($B76="",$N76&lt;&gt;"Yes"),"",IF(N($I76)&gt;0,N($I76)-N($P76),IF(N($J76)&gt;0,N($J76)-N($Q76),"")))</f>
        <v/>
      </c>
      <c r="S76" s="17">
        <f>IF(OR($B76="",$R76=""),"",IF($R76&lt;=0,"CLEARED "&amp;IFERROR(TEXT(_xlfn.MAXIFS(nrMK_Date,nrMK_Link,$B76,nrMK_Credit,"Yes"),"mm/dd"),""),"OPEN"))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IF(OR($B77="",N($I77)=0),"",SUMIFS(nrMK_Min,nrMK_Link,$B77,nrMK_Credit,"Yes"))</f>
        <v/>
      </c>
      <c r="Q77" s="17">
        <f>IF(OR($B77="",N($J77)=0),"",SUMIFS(nrMK_Sess,nrMK_Link,$B77,nrMK_Credit,"Yes"))</f>
        <v/>
      </c>
      <c r="R77" s="17">
        <f>IF(OR($B77="",$N77&lt;&gt;"Yes"),"",IF(N($I77)&gt;0,N($I77)-N($P77),IF(N($J77)&gt;0,N($J77)-N($Q77),"")))</f>
        <v/>
      </c>
      <c r="S77" s="17">
        <f>IF(OR($B77="",$R77=""),"",IF($R77&lt;=0,"CLEARED "&amp;IFERROR(TEXT(_xlfn.MAXIFS(nrMK_Date,nrMK_Link,$B77,nrMK_Credit,"Yes"),"mm/dd"),""),"OPEN"))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IF(OR($B78="",N($I78)=0),"",SUMIFS(nrMK_Min,nrMK_Link,$B78,nrMK_Credit,"Yes"))</f>
        <v/>
      </c>
      <c r="Q78" s="17">
        <f>IF(OR($B78="",N($J78)=0),"",SUMIFS(nrMK_Sess,nrMK_Link,$B78,nrMK_Credit,"Yes"))</f>
        <v/>
      </c>
      <c r="R78" s="17">
        <f>IF(OR($B78="",$N78&lt;&gt;"Yes"),"",IF(N($I78)&gt;0,N($I78)-N($P78),IF(N($J78)&gt;0,N($J78)-N($Q78),"")))</f>
        <v/>
      </c>
      <c r="S78" s="17">
        <f>IF(OR($B78="",$R78=""),"",IF($R78&lt;=0,"CLEARED "&amp;IFERROR(TEXT(_xlfn.MAXIFS(nrMK_Date,nrMK_Link,$B78,nrMK_Credit,"Yes"),"mm/dd"),""),"OPEN"))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IF(OR($B79="",N($I79)=0),"",SUMIFS(nrMK_Min,nrMK_Link,$B79,nrMK_Credit,"Yes"))</f>
        <v/>
      </c>
      <c r="Q79" s="17">
        <f>IF(OR($B79="",N($J79)=0),"",SUMIFS(nrMK_Sess,nrMK_Link,$B79,nrMK_Credit,"Yes"))</f>
        <v/>
      </c>
      <c r="R79" s="17">
        <f>IF(OR($B79="",$N79&lt;&gt;"Yes"),"",IF(N($I79)&gt;0,N($I79)-N($P79),IF(N($J79)&gt;0,N($J79)-N($Q79),"")))</f>
        <v/>
      </c>
      <c r="S79" s="17">
        <f>IF(OR($B79="",$R79=""),"",IF($R79&lt;=0,"CLEARED "&amp;IFERROR(TEXT(_xlfn.MAXIFS(nrMK_Date,nrMK_Link,$B79,nrMK_Credit,"Yes"),"mm/dd"),""),"OPEN"))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IF(OR($B80="",N($I80)=0),"",SUMIFS(nrMK_Min,nrMK_Link,$B80,nrMK_Credit,"Yes"))</f>
        <v/>
      </c>
      <c r="Q80" s="17">
        <f>IF(OR($B80="",N($J80)=0),"",SUMIFS(nrMK_Sess,nrMK_Link,$B80,nrMK_Credit,"Yes"))</f>
        <v/>
      </c>
      <c r="R80" s="17">
        <f>IF(OR($B80="",$N80&lt;&gt;"Yes"),"",IF(N($I80)&gt;0,N($I80)-N($P80),IF(N($J80)&gt;0,N($J80)-N($Q80),"")))</f>
        <v/>
      </c>
      <c r="S80" s="17">
        <f>IF(OR($B80="",$R80=""),"",IF($R80&lt;=0,"CLEARED "&amp;IFERROR(TEXT(_xlfn.MAXIFS(nrMK_Date,nrMK_Link,$B80,nrMK_Credit,"Yes"),"mm/dd"),""),"OPEN"))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IF(OR($B81="",N($I81)=0),"",SUMIFS(nrMK_Min,nrMK_Link,$B81,nrMK_Credit,"Yes"))</f>
        <v/>
      </c>
      <c r="Q81" s="17">
        <f>IF(OR($B81="",N($J81)=0),"",SUMIFS(nrMK_Sess,nrMK_Link,$B81,nrMK_Credit,"Yes"))</f>
        <v/>
      </c>
      <c r="R81" s="17">
        <f>IF(OR($B81="",$N81&lt;&gt;"Yes"),"",IF(N($I81)&gt;0,N($I81)-N($P81),IF(N($J81)&gt;0,N($J81)-N($Q81),"")))</f>
        <v/>
      </c>
      <c r="S81" s="17">
        <f>IF(OR($B81="",$R81=""),"",IF($R81&lt;=0,"CLEARED "&amp;IFERROR(TEXT(_xlfn.MAXIFS(nrMK_Date,nrMK_Link,$B81,nrMK_Credit,"Yes"),"mm/dd"),""),"OPEN"))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IF(OR($B82="",N($I82)=0),"",SUMIFS(nrMK_Min,nrMK_Link,$B82,nrMK_Credit,"Yes"))</f>
        <v/>
      </c>
      <c r="Q82" s="17">
        <f>IF(OR($B82="",N($J82)=0),"",SUMIFS(nrMK_Sess,nrMK_Link,$B82,nrMK_Credit,"Yes"))</f>
        <v/>
      </c>
      <c r="R82" s="17">
        <f>IF(OR($B82="",$N82&lt;&gt;"Yes"),"",IF(N($I82)&gt;0,N($I82)-N($P82),IF(N($J82)&gt;0,N($J82)-N($Q82),"")))</f>
        <v/>
      </c>
      <c r="S82" s="17">
        <f>IF(OR($B82="",$R82=""),"",IF($R82&lt;=0,"CLEARED "&amp;IFERROR(TEXT(_xlfn.MAXIFS(nrMK_Date,nrMK_Link,$B82,nrMK_Credit,"Yes"),"mm/dd"),""),"OPEN"))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IF(OR($B83="",N($I83)=0),"",SUMIFS(nrMK_Min,nrMK_Link,$B83,nrMK_Credit,"Yes"))</f>
        <v/>
      </c>
      <c r="Q83" s="17">
        <f>IF(OR($B83="",N($J83)=0),"",SUMIFS(nrMK_Sess,nrMK_Link,$B83,nrMK_Credit,"Yes"))</f>
        <v/>
      </c>
      <c r="R83" s="17">
        <f>IF(OR($B83="",$N83&lt;&gt;"Yes"),"",IF(N($I83)&gt;0,N($I83)-N($P83),IF(N($J83)&gt;0,N($J83)-N($Q83),"")))</f>
        <v/>
      </c>
      <c r="S83" s="17">
        <f>IF(OR($B83="",$R83=""),"",IF($R83&lt;=0,"CLEARED "&amp;IFERROR(TEXT(_xlfn.MAXIFS(nrMK_Date,nrMK_Link,$B83,nrMK_Credit,"Yes"),"mm/dd"),""),"OPEN"))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IF(OR($B84="",N($I84)=0),"",SUMIFS(nrMK_Min,nrMK_Link,$B84,nrMK_Credit,"Yes"))</f>
        <v/>
      </c>
      <c r="Q84" s="17">
        <f>IF(OR($B84="",N($J84)=0),"",SUMIFS(nrMK_Sess,nrMK_Link,$B84,nrMK_Credit,"Yes"))</f>
        <v/>
      </c>
      <c r="R84" s="17">
        <f>IF(OR($B84="",$N84&lt;&gt;"Yes"),"",IF(N($I84)&gt;0,N($I84)-N($P84),IF(N($J84)&gt;0,N($J84)-N($Q84),"")))</f>
        <v/>
      </c>
      <c r="S84" s="17">
        <f>IF(OR($B84="",$R84=""),"",IF($R84&lt;=0,"CLEARED "&amp;IFERROR(TEXT(_xlfn.MAXIFS(nrMK_Date,nrMK_Link,$B84,nrMK_Credit,"Yes"),"mm/dd"),""),"OPEN"))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IF(OR($B85="",N($I85)=0),"",SUMIFS(nrMK_Min,nrMK_Link,$B85,nrMK_Credit,"Yes"))</f>
        <v/>
      </c>
      <c r="Q85" s="17">
        <f>IF(OR($B85="",N($J85)=0),"",SUMIFS(nrMK_Sess,nrMK_Link,$B85,nrMK_Credit,"Yes"))</f>
        <v/>
      </c>
      <c r="R85" s="17">
        <f>IF(OR($B85="",$N85&lt;&gt;"Yes"),"",IF(N($I85)&gt;0,N($I85)-N($P85),IF(N($J85)&gt;0,N($J85)-N($Q85),"")))</f>
        <v/>
      </c>
      <c r="S85" s="17">
        <f>IF(OR($B85="",$R85=""),"",IF($R85&lt;=0,"CLEARED "&amp;IFERROR(TEXT(_xlfn.MAXIFS(nrMK_Date,nrMK_Link,$B85,nrMK_Credit,"Yes"),"mm/dd"),""),"OPEN"))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IF(OR($B86="",N($I86)=0),"",SUMIFS(nrMK_Min,nrMK_Link,$B86,nrMK_Credit,"Yes"))</f>
        <v/>
      </c>
      <c r="Q86" s="17">
        <f>IF(OR($B86="",N($J86)=0),"",SUMIFS(nrMK_Sess,nrMK_Link,$B86,nrMK_Credit,"Yes"))</f>
        <v/>
      </c>
      <c r="R86" s="17">
        <f>IF(OR($B86="",$N86&lt;&gt;"Yes"),"",IF(N($I86)&gt;0,N($I86)-N($P86),IF(N($J86)&gt;0,N($J86)-N($Q86),"")))</f>
        <v/>
      </c>
      <c r="S86" s="17">
        <f>IF(OR($B86="",$R86=""),"",IF($R86&lt;=0,"CLEARED "&amp;IFERROR(TEXT(_xlfn.MAXIFS(nrMK_Date,nrMK_Link,$B86,nrMK_Credit,"Yes"),"mm/dd"),""),"OPEN"))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IF(OR($B87="",N($I87)=0),"",SUMIFS(nrMK_Min,nrMK_Link,$B87,nrMK_Credit,"Yes"))</f>
        <v/>
      </c>
      <c r="Q87" s="17">
        <f>IF(OR($B87="",N($J87)=0),"",SUMIFS(nrMK_Sess,nrMK_Link,$B87,nrMK_Credit,"Yes"))</f>
        <v/>
      </c>
      <c r="R87" s="17">
        <f>IF(OR($B87="",$N87&lt;&gt;"Yes"),"",IF(N($I87)&gt;0,N($I87)-N($P87),IF(N($J87)&gt;0,N($J87)-N($Q87),"")))</f>
        <v/>
      </c>
      <c r="S87" s="17">
        <f>IF(OR($B87="",$R87=""),"",IF($R87&lt;=0,"CLEARED "&amp;IFERROR(TEXT(_xlfn.MAXIFS(nrMK_Date,nrMK_Link,$B87,nrMK_Credit,"Yes"),"mm/dd"),""),"OPEN"))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IF(OR($B88="",N($I88)=0),"",SUMIFS(nrMK_Min,nrMK_Link,$B88,nrMK_Credit,"Yes"))</f>
        <v/>
      </c>
      <c r="Q88" s="17">
        <f>IF(OR($B88="",N($J88)=0),"",SUMIFS(nrMK_Sess,nrMK_Link,$B88,nrMK_Credit,"Yes"))</f>
        <v/>
      </c>
      <c r="R88" s="17">
        <f>IF(OR($B88="",$N88&lt;&gt;"Yes"),"",IF(N($I88)&gt;0,N($I88)-N($P88),IF(N($J88)&gt;0,N($J88)-N($Q88),"")))</f>
        <v/>
      </c>
      <c r="S88" s="17">
        <f>IF(OR($B88="",$R88=""),"",IF($R88&lt;=0,"CLEARED "&amp;IFERROR(TEXT(_xlfn.MAXIFS(nrMK_Date,nrMK_Link,$B88,nrMK_Credit,"Yes"),"mm/dd"),""),"OPEN"))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IF(OR($B89="",N($I89)=0),"",SUMIFS(nrMK_Min,nrMK_Link,$B89,nrMK_Credit,"Yes"))</f>
        <v/>
      </c>
      <c r="Q89" s="17">
        <f>IF(OR($B89="",N($J89)=0),"",SUMIFS(nrMK_Sess,nrMK_Link,$B89,nrMK_Credit,"Yes"))</f>
        <v/>
      </c>
      <c r="R89" s="17">
        <f>IF(OR($B89="",$N89&lt;&gt;"Yes"),"",IF(N($I89)&gt;0,N($I89)-N($P89),IF(N($J89)&gt;0,N($J89)-N($Q89),"")))</f>
        <v/>
      </c>
      <c r="S89" s="17">
        <f>IF(OR($B89="",$R89=""),"",IF($R89&lt;=0,"CLEARED "&amp;IFERROR(TEXT(_xlfn.MAXIFS(nrMK_Date,nrMK_Link,$B89,nrMK_Credit,"Yes"),"mm/dd"),""),"OPEN"))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IF(OR($B90="",N($I90)=0),"",SUMIFS(nrMK_Min,nrMK_Link,$B90,nrMK_Credit,"Yes"))</f>
        <v/>
      </c>
      <c r="Q90" s="17">
        <f>IF(OR($B90="",N($J90)=0),"",SUMIFS(nrMK_Sess,nrMK_Link,$B90,nrMK_Credit,"Yes"))</f>
        <v/>
      </c>
      <c r="R90" s="17">
        <f>IF(OR($B90="",$N90&lt;&gt;"Yes"),"",IF(N($I90)&gt;0,N($I90)-N($P90),IF(N($J90)&gt;0,N($J90)-N($Q90),"")))</f>
        <v/>
      </c>
      <c r="S90" s="17">
        <f>IF(OR($B90="",$R90=""),"",IF($R90&lt;=0,"CLEARED "&amp;IFERROR(TEXT(_xlfn.MAXIFS(nrMK_Date,nrMK_Link,$B90,nrMK_Credit,"Yes"),"mm/dd"),""),"OPEN"))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IF(OR($B91="",N($I91)=0),"",SUMIFS(nrMK_Min,nrMK_Link,$B91,nrMK_Credit,"Yes"))</f>
        <v/>
      </c>
      <c r="Q91" s="17">
        <f>IF(OR($B91="",N($J91)=0),"",SUMIFS(nrMK_Sess,nrMK_Link,$B91,nrMK_Credit,"Yes"))</f>
        <v/>
      </c>
      <c r="R91" s="17">
        <f>IF(OR($B91="",$N91&lt;&gt;"Yes"),"",IF(N($I91)&gt;0,N($I91)-N($P91),IF(N($J91)&gt;0,N($J91)-N($Q91),"")))</f>
        <v/>
      </c>
      <c r="S91" s="17">
        <f>IF(OR($B91="",$R91=""),"",IF($R91&lt;=0,"CLEARED "&amp;IFERROR(TEXT(_xlfn.MAXIFS(nrMK_Date,nrMK_Link,$B91,nrMK_Credit,"Yes"),"mm/dd"),""),"OPEN"))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IF(OR($B92="",N($I92)=0),"",SUMIFS(nrMK_Min,nrMK_Link,$B92,nrMK_Credit,"Yes"))</f>
        <v/>
      </c>
      <c r="Q92" s="17">
        <f>IF(OR($B92="",N($J92)=0),"",SUMIFS(nrMK_Sess,nrMK_Link,$B92,nrMK_Credit,"Yes"))</f>
        <v/>
      </c>
      <c r="R92" s="17">
        <f>IF(OR($B92="",$N92&lt;&gt;"Yes"),"",IF(N($I92)&gt;0,N($I92)-N($P92),IF(N($J92)&gt;0,N($J92)-N($Q92),"")))</f>
        <v/>
      </c>
      <c r="S92" s="17">
        <f>IF(OR($B92="",$R92=""),"",IF($R92&lt;=0,"CLEARED "&amp;IFERROR(TEXT(_xlfn.MAXIFS(nrMK_Date,nrMK_Link,$B92,nrMK_Credit,"Yes"),"mm/dd"),""),"OPEN"))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IF(OR($B93="",N($I93)=0),"",SUMIFS(nrMK_Min,nrMK_Link,$B93,nrMK_Credit,"Yes"))</f>
        <v/>
      </c>
      <c r="Q93" s="17">
        <f>IF(OR($B93="",N($J93)=0),"",SUMIFS(nrMK_Sess,nrMK_Link,$B93,nrMK_Credit,"Yes"))</f>
        <v/>
      </c>
      <c r="R93" s="17">
        <f>IF(OR($B93="",$N93&lt;&gt;"Yes"),"",IF(N($I93)&gt;0,N($I93)-N($P93),IF(N($J93)&gt;0,N($J93)-N($Q93),"")))</f>
        <v/>
      </c>
      <c r="S93" s="17">
        <f>IF(OR($B93="",$R93=""),"",IF($R93&lt;=0,"CLEARED "&amp;IFERROR(TEXT(_xlfn.MAXIFS(nrMK_Date,nrMK_Link,$B93,nrMK_Credit,"Yes"),"mm/dd"),""),"OPEN"))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IF(OR($B94="",N($I94)=0),"",SUMIFS(nrMK_Min,nrMK_Link,$B94,nrMK_Credit,"Yes"))</f>
        <v/>
      </c>
      <c r="Q94" s="17">
        <f>IF(OR($B94="",N($J94)=0),"",SUMIFS(nrMK_Sess,nrMK_Link,$B94,nrMK_Credit,"Yes"))</f>
        <v/>
      </c>
      <c r="R94" s="17">
        <f>IF(OR($B94="",$N94&lt;&gt;"Yes"),"",IF(N($I94)&gt;0,N($I94)-N($P94),IF(N($J94)&gt;0,N($J94)-N($Q94),"")))</f>
        <v/>
      </c>
      <c r="S94" s="17">
        <f>IF(OR($B94="",$R94=""),"",IF($R94&lt;=0,"CLEARED "&amp;IFERROR(TEXT(_xlfn.MAXIFS(nrMK_Date,nrMK_Link,$B94,nrMK_Credit,"Yes"),"mm/dd"),""),"OPEN"))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IF(OR($B95="",N($I95)=0),"",SUMIFS(nrMK_Min,nrMK_Link,$B95,nrMK_Credit,"Yes"))</f>
        <v/>
      </c>
      <c r="Q95" s="17">
        <f>IF(OR($B95="",N($J95)=0),"",SUMIFS(nrMK_Sess,nrMK_Link,$B95,nrMK_Credit,"Yes"))</f>
        <v/>
      </c>
      <c r="R95" s="17">
        <f>IF(OR($B95="",$N95&lt;&gt;"Yes"),"",IF(N($I95)&gt;0,N($I95)-N($P95),IF(N($J95)&gt;0,N($J95)-N($Q95),"")))</f>
        <v/>
      </c>
      <c r="S95" s="17">
        <f>IF(OR($B95="",$R95=""),"",IF($R95&lt;=0,"CLEARED "&amp;IFERROR(TEXT(_xlfn.MAXIFS(nrMK_Date,nrMK_Link,$B95,nrMK_Credit,"Yes"),"mm/dd"),""),"OPEN"))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IF(OR($B96="",N($I96)=0),"",SUMIFS(nrMK_Min,nrMK_Link,$B96,nrMK_Credit,"Yes"))</f>
        <v/>
      </c>
      <c r="Q96" s="17">
        <f>IF(OR($B96="",N($J96)=0),"",SUMIFS(nrMK_Sess,nrMK_Link,$B96,nrMK_Credit,"Yes"))</f>
        <v/>
      </c>
      <c r="R96" s="17">
        <f>IF(OR($B96="",$N96&lt;&gt;"Yes"),"",IF(N($I96)&gt;0,N($I96)-N($P96),IF(N($J96)&gt;0,N($J96)-N($Q96),"")))</f>
        <v/>
      </c>
      <c r="S96" s="17">
        <f>IF(OR($B96="",$R96=""),"",IF($R96&lt;=0,"CLEARED "&amp;IFERROR(TEXT(_xlfn.MAXIFS(nrMK_Date,nrMK_Link,$B96,nrMK_Credit,"Yes"),"mm/dd"),""),"OPEN"))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IF(OR($B97="",N($I97)=0),"",SUMIFS(nrMK_Min,nrMK_Link,$B97,nrMK_Credit,"Yes"))</f>
        <v/>
      </c>
      <c r="Q97" s="17">
        <f>IF(OR($B97="",N($J97)=0),"",SUMIFS(nrMK_Sess,nrMK_Link,$B97,nrMK_Credit,"Yes"))</f>
        <v/>
      </c>
      <c r="R97" s="17">
        <f>IF(OR($B97="",$N97&lt;&gt;"Yes"),"",IF(N($I97)&gt;0,N($I97)-N($P97),IF(N($J97)&gt;0,N($J97)-N($Q97),"")))</f>
        <v/>
      </c>
      <c r="S97" s="17">
        <f>IF(OR($B97="",$R97=""),"",IF($R97&lt;=0,"CLEARED "&amp;IFERROR(TEXT(_xlfn.MAXIFS(nrMK_Date,nrMK_Link,$B97,nrMK_Credit,"Yes"),"mm/dd"),""),"OPEN"))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IF(OR($B98="",N($I98)=0),"",SUMIFS(nrMK_Min,nrMK_Link,$B98,nrMK_Credit,"Yes"))</f>
        <v/>
      </c>
      <c r="Q98" s="17">
        <f>IF(OR($B98="",N($J98)=0),"",SUMIFS(nrMK_Sess,nrMK_Link,$B98,nrMK_Credit,"Yes"))</f>
        <v/>
      </c>
      <c r="R98" s="17">
        <f>IF(OR($B98="",$N98&lt;&gt;"Yes"),"",IF(N($I98)&gt;0,N($I98)-N($P98),IF(N($J98)&gt;0,N($J98)-N($Q98),"")))</f>
        <v/>
      </c>
      <c r="S98" s="17">
        <f>IF(OR($B98="",$R98=""),"",IF($R98&lt;=0,"CLEARED "&amp;IFERROR(TEXT(_xlfn.MAXIFS(nrMK_Date,nrMK_Link,$B98,nrMK_Credit,"Yes"),"mm/dd"),""),"OPEN"))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IF(OR($B99="",N($I99)=0),"",SUMIFS(nrMK_Min,nrMK_Link,$B99,nrMK_Credit,"Yes"))</f>
        <v/>
      </c>
      <c r="Q99" s="17">
        <f>IF(OR($B99="",N($J99)=0),"",SUMIFS(nrMK_Sess,nrMK_Link,$B99,nrMK_Credit,"Yes"))</f>
        <v/>
      </c>
      <c r="R99" s="17">
        <f>IF(OR($B99="",$N99&lt;&gt;"Yes"),"",IF(N($I99)&gt;0,N($I99)-N($P99),IF(N($J99)&gt;0,N($J99)-N($Q99),"")))</f>
        <v/>
      </c>
      <c r="S99" s="17">
        <f>IF(OR($B99="",$R99=""),"",IF($R99&lt;=0,"CLEARED "&amp;IFERROR(TEXT(_xlfn.MAXIFS(nrMK_Date,nrMK_Link,$B99,nrMK_Credit,"Yes"),"mm/dd"),""),"OPEN"))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IF(OR($B100="",N($I100)=0),"",SUMIFS(nrMK_Min,nrMK_Link,$B100,nrMK_Credit,"Yes"))</f>
        <v/>
      </c>
      <c r="Q100" s="17">
        <f>IF(OR($B100="",N($J100)=0),"",SUMIFS(nrMK_Sess,nrMK_Link,$B100,nrMK_Credit,"Yes"))</f>
        <v/>
      </c>
      <c r="R100" s="17">
        <f>IF(OR($B100="",$N100&lt;&gt;"Yes"),"",IF(N($I100)&gt;0,N($I100)-N($P100),IF(N($J100)&gt;0,N($J100)-N($Q100),"")))</f>
        <v/>
      </c>
      <c r="S100" s="17">
        <f>IF(OR($B100="",$R100=""),"",IF($R100&lt;=0,"CLEARED "&amp;IFERROR(TEXT(_xlfn.MAXIFS(nrMK_Date,nrMK_Link,$B100,nrMK_Credit,"Yes"),"mm/dd"),""),"OPEN"))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IF(OR($B101="",N($I101)=0),"",SUMIFS(nrMK_Min,nrMK_Link,$B101,nrMK_Credit,"Yes"))</f>
        <v/>
      </c>
      <c r="Q101" s="17">
        <f>IF(OR($B101="",N($J101)=0),"",SUMIFS(nrMK_Sess,nrMK_Link,$B101,nrMK_Credit,"Yes"))</f>
        <v/>
      </c>
      <c r="R101" s="17">
        <f>IF(OR($B101="",$N101&lt;&gt;"Yes"),"",IF(N($I101)&gt;0,N($I101)-N($P101),IF(N($J101)&gt;0,N($J101)-N($Q101),"")))</f>
        <v/>
      </c>
      <c r="S101" s="17">
        <f>IF(OR($B101="",$R101=""),"",IF($R101&lt;=0,"CLEARED "&amp;IFERROR(TEXT(_xlfn.MAXIFS(nrMK_Date,nrMK_Link,$B101,nrMK_Credit,"Yes"),"mm/dd"),""),"OPEN"))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IF(OR($B102="",N($I102)=0),"",SUMIFS(nrMK_Min,nrMK_Link,$B102,nrMK_Credit,"Yes"))</f>
        <v/>
      </c>
      <c r="Q102" s="17">
        <f>IF(OR($B102="",N($J102)=0),"",SUMIFS(nrMK_Sess,nrMK_Link,$B102,nrMK_Credit,"Yes"))</f>
        <v/>
      </c>
      <c r="R102" s="17">
        <f>IF(OR($B102="",$N102&lt;&gt;"Yes"),"",IF(N($I102)&gt;0,N($I102)-N($P102),IF(N($J102)&gt;0,N($J102)-N($Q102),"")))</f>
        <v/>
      </c>
      <c r="S102" s="17">
        <f>IF(OR($B102="",$R102=""),"",IF($R102&lt;=0,"CLEARED "&amp;IFERROR(TEXT(_xlfn.MAXIFS(nrMK_Date,nrMK_Link,$B102,nrMK_Credit,"Yes"),"mm/dd"),""),"OPEN"))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IF(OR($B103="",N($I103)=0),"",SUMIFS(nrMK_Min,nrMK_Link,$B103,nrMK_Credit,"Yes"))</f>
        <v/>
      </c>
      <c r="Q103" s="17">
        <f>IF(OR($B103="",N($J103)=0),"",SUMIFS(nrMK_Sess,nrMK_Link,$B103,nrMK_Credit,"Yes"))</f>
        <v/>
      </c>
      <c r="R103" s="17">
        <f>IF(OR($B103="",$N103&lt;&gt;"Yes"),"",IF(N($I103)&gt;0,N($I103)-N($P103),IF(N($J103)&gt;0,N($J103)-N($Q103),"")))</f>
        <v/>
      </c>
      <c r="S103" s="17">
        <f>IF(OR($B103="",$R103=""),"",IF($R103&lt;=0,"CLEARED "&amp;IFERROR(TEXT(_xlfn.MAXIFS(nrMK_Date,nrMK_Link,$B103,nrMK_Credit,"Yes"),"mm/dd"),""),"OPEN"))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IF(OR($B104="",N($I104)=0),"",SUMIFS(nrMK_Min,nrMK_Link,$B104,nrMK_Credit,"Yes"))</f>
        <v/>
      </c>
      <c r="Q104" s="17">
        <f>IF(OR($B104="",N($J104)=0),"",SUMIFS(nrMK_Sess,nrMK_Link,$B104,nrMK_Credit,"Yes"))</f>
        <v/>
      </c>
      <c r="R104" s="17">
        <f>IF(OR($B104="",$N104&lt;&gt;"Yes"),"",IF(N($I104)&gt;0,N($I104)-N($P104),IF(N($J104)&gt;0,N($J104)-N($Q104),"")))</f>
        <v/>
      </c>
      <c r="S104" s="17">
        <f>IF(OR($B104="",$R104=""),"",IF($R104&lt;=0,"CLEARED "&amp;IFERROR(TEXT(_xlfn.MAXIFS(nrMK_Date,nrMK_Link,$B104,nrMK_Credit,"Yes"),"mm/dd"),""),"OPEN"))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IF(OR($B105="",N($I105)=0),"",SUMIFS(nrMK_Min,nrMK_Link,$B105,nrMK_Credit,"Yes"))</f>
        <v/>
      </c>
      <c r="Q105" s="17">
        <f>IF(OR($B105="",N($J105)=0),"",SUMIFS(nrMK_Sess,nrMK_Link,$B105,nrMK_Credit,"Yes"))</f>
        <v/>
      </c>
      <c r="R105" s="17">
        <f>IF(OR($B105="",$N105&lt;&gt;"Yes"),"",IF(N($I105)&gt;0,N($I105)-N($P105),IF(N($J105)&gt;0,N($J105)-N($Q105),"")))</f>
        <v/>
      </c>
      <c r="S105" s="17">
        <f>IF(OR($B105="",$R105=""),"",IF($R105&lt;=0,"CLEARED "&amp;IFERROR(TEXT(_xlfn.MAXIFS(nrMK_Date,nrMK_Link,$B105,nrMK_Credit,"Yes"),"mm/dd"),""),"OPEN"))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IF(OR($B106="",N($I106)=0),"",SUMIFS(nrMK_Min,nrMK_Link,$B106,nrMK_Credit,"Yes"))</f>
        <v/>
      </c>
      <c r="Q106" s="17">
        <f>IF(OR($B106="",N($J106)=0),"",SUMIFS(nrMK_Sess,nrMK_Link,$B106,nrMK_Credit,"Yes"))</f>
        <v/>
      </c>
      <c r="R106" s="17">
        <f>IF(OR($B106="",$N106&lt;&gt;"Yes"),"",IF(N($I106)&gt;0,N($I106)-N($P106),IF(N($J106)&gt;0,N($J106)-N($Q106),"")))</f>
        <v/>
      </c>
      <c r="S106" s="17">
        <f>IF(OR($B106="",$R106=""),"",IF($R106&lt;=0,"CLEARED "&amp;IFERROR(TEXT(_xlfn.MAXIFS(nrMK_Date,nrMK_Link,$B106,nrMK_Credit,"Yes"),"mm/dd"),""),"OPEN"))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IF(OR($B107="",N($I107)=0),"",SUMIFS(nrMK_Min,nrMK_Link,$B107,nrMK_Credit,"Yes"))</f>
        <v/>
      </c>
      <c r="Q107" s="17">
        <f>IF(OR($B107="",N($J107)=0),"",SUMIFS(nrMK_Sess,nrMK_Link,$B107,nrMK_Credit,"Yes"))</f>
        <v/>
      </c>
      <c r="R107" s="17">
        <f>IF(OR($B107="",$N107&lt;&gt;"Yes"),"",IF(N($I107)&gt;0,N($I107)-N($P107),IF(N($J107)&gt;0,N($J107)-N($Q107),"")))</f>
        <v/>
      </c>
      <c r="S107" s="17">
        <f>IF(OR($B107="",$R107=""),"",IF($R107&lt;=0,"CLEARED "&amp;IFERROR(TEXT(_xlfn.MAXIFS(nrMK_Date,nrMK_Link,$B107,nrMK_Credit,"Yes"),"mm/dd"),""),"OPEN"))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IF(OR($B108="",N($I108)=0),"",SUMIFS(nrMK_Min,nrMK_Link,$B108,nrMK_Credit,"Yes"))</f>
        <v/>
      </c>
      <c r="Q108" s="17">
        <f>IF(OR($B108="",N($J108)=0),"",SUMIFS(nrMK_Sess,nrMK_Link,$B108,nrMK_Credit,"Yes"))</f>
        <v/>
      </c>
      <c r="R108" s="17">
        <f>IF(OR($B108="",$N108&lt;&gt;"Yes"),"",IF(N($I108)&gt;0,N($I108)-N($P108),IF(N($J108)&gt;0,N($J108)-N($Q108),"")))</f>
        <v/>
      </c>
      <c r="S108" s="17">
        <f>IF(OR($B108="",$R108=""),"",IF($R108&lt;=0,"CLEARED "&amp;IFERROR(TEXT(_xlfn.MAXIFS(nrMK_Date,nrMK_Link,$B108,nrMK_Credit,"Yes"),"mm/dd"),""),"OPEN"))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IF(OR($B109="",N($I109)=0),"",SUMIFS(nrMK_Min,nrMK_Link,$B109,nrMK_Credit,"Yes"))</f>
        <v/>
      </c>
      <c r="Q109" s="17">
        <f>IF(OR($B109="",N($J109)=0),"",SUMIFS(nrMK_Sess,nrMK_Link,$B109,nrMK_Credit,"Yes"))</f>
        <v/>
      </c>
      <c r="R109" s="17">
        <f>IF(OR($B109="",$N109&lt;&gt;"Yes"),"",IF(N($I109)&gt;0,N($I109)-N($P109),IF(N($J109)&gt;0,N($J109)-N($Q109),"")))</f>
        <v/>
      </c>
      <c r="S109" s="17">
        <f>IF(OR($B109="",$R109=""),"",IF($R109&lt;=0,"CLEARED "&amp;IFERROR(TEXT(_xlfn.MAXIFS(nrMK_Date,nrMK_Link,$B109,nrMK_Credit,"Yes"),"mm/dd"),""),"OPEN"))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IF(OR($B110="",N($I110)=0),"",SUMIFS(nrMK_Min,nrMK_Link,$B110,nrMK_Credit,"Yes"))</f>
        <v/>
      </c>
      <c r="Q110" s="17">
        <f>IF(OR($B110="",N($J110)=0),"",SUMIFS(nrMK_Sess,nrMK_Link,$B110,nrMK_Credit,"Yes"))</f>
        <v/>
      </c>
      <c r="R110" s="17">
        <f>IF(OR($B110="",$N110&lt;&gt;"Yes"),"",IF(N($I110)&gt;0,N($I110)-N($P110),IF(N($J110)&gt;0,N($J110)-N($Q110),"")))</f>
        <v/>
      </c>
      <c r="S110" s="17">
        <f>IF(OR($B110="",$R110=""),"",IF($R110&lt;=0,"CLEARED "&amp;IFERROR(TEXT(_xlfn.MAXIFS(nrMK_Date,nrMK_Link,$B110,nrMK_Credit,"Yes"),"mm/dd"),""),"OPEN"))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IF(OR($B111="",N($I111)=0),"",SUMIFS(nrMK_Min,nrMK_Link,$B111,nrMK_Credit,"Yes"))</f>
        <v/>
      </c>
      <c r="Q111" s="17">
        <f>IF(OR($B111="",N($J111)=0),"",SUMIFS(nrMK_Sess,nrMK_Link,$B111,nrMK_Credit,"Yes"))</f>
        <v/>
      </c>
      <c r="R111" s="17">
        <f>IF(OR($B111="",$N111&lt;&gt;"Yes"),"",IF(N($I111)&gt;0,N($I111)-N($P111),IF(N($J111)&gt;0,N($J111)-N($Q111),"")))</f>
        <v/>
      </c>
      <c r="S111" s="17">
        <f>IF(OR($B111="",$R111=""),"",IF($R111&lt;=0,"CLEARED "&amp;IFERROR(TEXT(_xlfn.MAXIFS(nrMK_Date,nrMK_Link,$B111,nrMK_Credit,"Yes"),"mm/dd"),""),"OPEN"))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IF(OR($B112="",N($I112)=0),"",SUMIFS(nrMK_Min,nrMK_Link,$B112,nrMK_Credit,"Yes"))</f>
        <v/>
      </c>
      <c r="Q112" s="17">
        <f>IF(OR($B112="",N($J112)=0),"",SUMIFS(nrMK_Sess,nrMK_Link,$B112,nrMK_Credit,"Yes"))</f>
        <v/>
      </c>
      <c r="R112" s="17">
        <f>IF(OR($B112="",$N112&lt;&gt;"Yes"),"",IF(N($I112)&gt;0,N($I112)-N($P112),IF(N($J112)&gt;0,N($J112)-N($Q112),"")))</f>
        <v/>
      </c>
      <c r="S112" s="17">
        <f>IF(OR($B112="",$R112=""),"",IF($R112&lt;=0,"CLEARED "&amp;IFERROR(TEXT(_xlfn.MAXIFS(nrMK_Date,nrMK_Link,$B112,nrMK_Credit,"Yes"),"mm/dd"),""),"OPEN"))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IF(OR($B113="",N($I113)=0),"",SUMIFS(nrMK_Min,nrMK_Link,$B113,nrMK_Credit,"Yes"))</f>
        <v/>
      </c>
      <c r="Q113" s="17">
        <f>IF(OR($B113="",N($J113)=0),"",SUMIFS(nrMK_Sess,nrMK_Link,$B113,nrMK_Credit,"Yes"))</f>
        <v/>
      </c>
      <c r="R113" s="17">
        <f>IF(OR($B113="",$N113&lt;&gt;"Yes"),"",IF(N($I113)&gt;0,N($I113)-N($P113),IF(N($J113)&gt;0,N($J113)-N($Q113),"")))</f>
        <v/>
      </c>
      <c r="S113" s="17">
        <f>IF(OR($B113="",$R113=""),"",IF($R113&lt;=0,"CLEARED "&amp;IFERROR(TEXT(_xlfn.MAXIFS(nrMK_Date,nrMK_Link,$B113,nrMK_Credit,"Yes"),"mm/dd"),""),"OPEN"))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IF(OR($B114="",N($I114)=0),"",SUMIFS(nrMK_Min,nrMK_Link,$B114,nrMK_Credit,"Yes"))</f>
        <v/>
      </c>
      <c r="Q114" s="17">
        <f>IF(OR($B114="",N($J114)=0),"",SUMIFS(nrMK_Sess,nrMK_Link,$B114,nrMK_Credit,"Yes"))</f>
        <v/>
      </c>
      <c r="R114" s="17">
        <f>IF(OR($B114="",$N114&lt;&gt;"Yes"),"",IF(N($I114)&gt;0,N($I114)-N($P114),IF(N($J114)&gt;0,N($J114)-N($Q114),"")))</f>
        <v/>
      </c>
      <c r="S114" s="17">
        <f>IF(OR($B114="",$R114=""),"",IF($R114&lt;=0,"CLEARED "&amp;IFERROR(TEXT(_xlfn.MAXIFS(nrMK_Date,nrMK_Link,$B114,nrMK_Credit,"Yes"),"mm/dd"),""),"OPEN"))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IF(OR($B115="",N($I115)=0),"",SUMIFS(nrMK_Min,nrMK_Link,$B115,nrMK_Credit,"Yes"))</f>
        <v/>
      </c>
      <c r="Q115" s="17">
        <f>IF(OR($B115="",N($J115)=0),"",SUMIFS(nrMK_Sess,nrMK_Link,$B115,nrMK_Credit,"Yes"))</f>
        <v/>
      </c>
      <c r="R115" s="17">
        <f>IF(OR($B115="",$N115&lt;&gt;"Yes"),"",IF(N($I115)&gt;0,N($I115)-N($P115),IF(N($J115)&gt;0,N($J115)-N($Q115),"")))</f>
        <v/>
      </c>
      <c r="S115" s="17">
        <f>IF(OR($B115="",$R115=""),"",IF($R115&lt;=0,"CLEARED "&amp;IFERROR(TEXT(_xlfn.MAXIFS(nrMK_Date,nrMK_Link,$B115,nrMK_Credit,"Yes"),"mm/dd"),""),"OPEN"))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IF(OR($B116="",N($I116)=0),"",SUMIFS(nrMK_Min,nrMK_Link,$B116,nrMK_Credit,"Yes"))</f>
        <v/>
      </c>
      <c r="Q116" s="17">
        <f>IF(OR($B116="",N($J116)=0),"",SUMIFS(nrMK_Sess,nrMK_Link,$B116,nrMK_Credit,"Yes"))</f>
        <v/>
      </c>
      <c r="R116" s="17">
        <f>IF(OR($B116="",$N116&lt;&gt;"Yes"),"",IF(N($I116)&gt;0,N($I116)-N($P116),IF(N($J116)&gt;0,N($J116)-N($Q116),"")))</f>
        <v/>
      </c>
      <c r="S116" s="17">
        <f>IF(OR($B116="",$R116=""),"",IF($R116&lt;=0,"CLEARED "&amp;IFERROR(TEXT(_xlfn.MAXIFS(nrMK_Date,nrMK_Link,$B116,nrMK_Credit,"Yes"),"mm/dd"),""),"OPEN"))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IF(OR($B117="",N($I117)=0),"",SUMIFS(nrMK_Min,nrMK_Link,$B117,nrMK_Credit,"Yes"))</f>
        <v/>
      </c>
      <c r="Q117" s="17">
        <f>IF(OR($B117="",N($J117)=0),"",SUMIFS(nrMK_Sess,nrMK_Link,$B117,nrMK_Credit,"Yes"))</f>
        <v/>
      </c>
      <c r="R117" s="17">
        <f>IF(OR($B117="",$N117&lt;&gt;"Yes"),"",IF(N($I117)&gt;0,N($I117)-N($P117),IF(N($J117)&gt;0,N($J117)-N($Q117),"")))</f>
        <v/>
      </c>
      <c r="S117" s="17">
        <f>IF(OR($B117="",$R117=""),"",IF($R117&lt;=0,"CLEARED "&amp;IFERROR(TEXT(_xlfn.MAXIFS(nrMK_Date,nrMK_Link,$B117,nrMK_Credit,"Yes"),"mm/dd"),""),"OPEN"))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IF(OR($B118="",N($I118)=0),"",SUMIFS(nrMK_Min,nrMK_Link,$B118,nrMK_Credit,"Yes"))</f>
        <v/>
      </c>
      <c r="Q118" s="17">
        <f>IF(OR($B118="",N($J118)=0),"",SUMIFS(nrMK_Sess,nrMK_Link,$B118,nrMK_Credit,"Yes"))</f>
        <v/>
      </c>
      <c r="R118" s="17">
        <f>IF(OR($B118="",$N118&lt;&gt;"Yes"),"",IF(N($I118)&gt;0,N($I118)-N($P118),IF(N($J118)&gt;0,N($J118)-N($Q118),"")))</f>
        <v/>
      </c>
      <c r="S118" s="17">
        <f>IF(OR($B118="",$R118=""),"",IF($R118&lt;=0,"CLEARED "&amp;IFERROR(TEXT(_xlfn.MAXIFS(nrMK_Date,nrMK_Link,$B118,nrMK_Credit,"Yes"),"mm/dd"),""),"OPEN"))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IF(OR($B119="",N($I119)=0),"",SUMIFS(nrMK_Min,nrMK_Link,$B119,nrMK_Credit,"Yes"))</f>
        <v/>
      </c>
      <c r="Q119" s="17">
        <f>IF(OR($B119="",N($J119)=0),"",SUMIFS(nrMK_Sess,nrMK_Link,$B119,nrMK_Credit,"Yes"))</f>
        <v/>
      </c>
      <c r="R119" s="17">
        <f>IF(OR($B119="",$N119&lt;&gt;"Yes"),"",IF(N($I119)&gt;0,N($I119)-N($P119),IF(N($J119)&gt;0,N($J119)-N($Q119),"")))</f>
        <v/>
      </c>
      <c r="S119" s="17">
        <f>IF(OR($B119="",$R119=""),"",IF($R119&lt;=0,"CLEARED "&amp;IFERROR(TEXT(_xlfn.MAXIFS(nrMK_Date,nrMK_Link,$B119,nrMK_Credit,"Yes"),"mm/dd"),""),"OPEN"))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IF(OR($B120="",N($I120)=0),"",SUMIFS(nrMK_Min,nrMK_Link,$B120,nrMK_Credit,"Yes"))</f>
        <v/>
      </c>
      <c r="Q120" s="17">
        <f>IF(OR($B120="",N($J120)=0),"",SUMIFS(nrMK_Sess,nrMK_Link,$B120,nrMK_Credit,"Yes"))</f>
        <v/>
      </c>
      <c r="R120" s="17">
        <f>IF(OR($B120="",$N120&lt;&gt;"Yes"),"",IF(N($I120)&gt;0,N($I120)-N($P120),IF(N($J120)&gt;0,N($J120)-N($Q120),"")))</f>
        <v/>
      </c>
      <c r="S120" s="17">
        <f>IF(OR($B120="",$R120=""),"",IF($R120&lt;=0,"CLEARED "&amp;IFERROR(TEXT(_xlfn.MAXIFS(nrMK_Date,nrMK_Link,$B120,nrMK_Credit,"Yes"),"mm/dd"),""),"OPEN"))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IF(OR($B121="",N($I121)=0),"",SUMIFS(nrMK_Min,nrMK_Link,$B121,nrMK_Credit,"Yes"))</f>
        <v/>
      </c>
      <c r="Q121" s="17">
        <f>IF(OR($B121="",N($J121)=0),"",SUMIFS(nrMK_Sess,nrMK_Link,$B121,nrMK_Credit,"Yes"))</f>
        <v/>
      </c>
      <c r="R121" s="17">
        <f>IF(OR($B121="",$N121&lt;&gt;"Yes"),"",IF(N($I121)&gt;0,N($I121)-N($P121),IF(N($J121)&gt;0,N($J121)-N($Q121),"")))</f>
        <v/>
      </c>
      <c r="S121" s="17">
        <f>IF(OR($B121="",$R121=""),"",IF($R121&lt;=0,"CLEARED "&amp;IFERROR(TEXT(_xlfn.MAXIFS(nrMK_Date,nrMK_Link,$B121,nrMK_Credit,"Yes"),"mm/dd"),""),"OPEN"))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IF(OR($B122="",N($I122)=0),"",SUMIFS(nrMK_Min,nrMK_Link,$B122,nrMK_Credit,"Yes"))</f>
        <v/>
      </c>
      <c r="Q122" s="17">
        <f>IF(OR($B122="",N($J122)=0),"",SUMIFS(nrMK_Sess,nrMK_Link,$B122,nrMK_Credit,"Yes"))</f>
        <v/>
      </c>
      <c r="R122" s="17">
        <f>IF(OR($B122="",$N122&lt;&gt;"Yes"),"",IF(N($I122)&gt;0,N($I122)-N($P122),IF(N($J122)&gt;0,N($J122)-N($Q122),"")))</f>
        <v/>
      </c>
      <c r="S122" s="17">
        <f>IF(OR($B122="",$R122=""),"",IF($R122&lt;=0,"CLEARED "&amp;IFERROR(TEXT(_xlfn.MAXIFS(nrMK_Date,nrMK_Link,$B122,nrMK_Credit,"Yes"),"mm/dd"),""),"OPEN"))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IF(OR($B123="",N($I123)=0),"",SUMIFS(nrMK_Min,nrMK_Link,$B123,nrMK_Credit,"Yes"))</f>
        <v/>
      </c>
      <c r="Q123" s="17">
        <f>IF(OR($B123="",N($J123)=0),"",SUMIFS(nrMK_Sess,nrMK_Link,$B123,nrMK_Credit,"Yes"))</f>
        <v/>
      </c>
      <c r="R123" s="17">
        <f>IF(OR($B123="",$N123&lt;&gt;"Yes"),"",IF(N($I123)&gt;0,N($I123)-N($P123),IF(N($J123)&gt;0,N($J123)-N($Q123),"")))</f>
        <v/>
      </c>
      <c r="S123" s="17">
        <f>IF(OR($B123="",$R123=""),"",IF($R123&lt;=0,"CLEARED "&amp;IFERROR(TEXT(_xlfn.MAXIFS(nrMK_Date,nrMK_Link,$B123,nrMK_Credit,"Yes"),"mm/dd"),""),"OPEN"))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IF(OR($B124="",N($I124)=0),"",SUMIFS(nrMK_Min,nrMK_Link,$B124,nrMK_Credit,"Yes"))</f>
        <v/>
      </c>
      <c r="Q124" s="17">
        <f>IF(OR($B124="",N($J124)=0),"",SUMIFS(nrMK_Sess,nrMK_Link,$B124,nrMK_Credit,"Yes"))</f>
        <v/>
      </c>
      <c r="R124" s="17">
        <f>IF(OR($B124="",$N124&lt;&gt;"Yes"),"",IF(N($I124)&gt;0,N($I124)-N($P124),IF(N($J124)&gt;0,N($J124)-N($Q124),"")))</f>
        <v/>
      </c>
      <c r="S124" s="17">
        <f>IF(OR($B124="",$R124=""),"",IF($R124&lt;=0,"CLEARED "&amp;IFERROR(TEXT(_xlfn.MAXIFS(nrMK_Date,nrMK_Link,$B124,nrMK_Credit,"Yes"),"mm/dd"),""),"OPEN"))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IF(OR($B125="",N($I125)=0),"",SUMIFS(nrMK_Min,nrMK_Link,$B125,nrMK_Credit,"Yes"))</f>
        <v/>
      </c>
      <c r="Q125" s="17">
        <f>IF(OR($B125="",N($J125)=0),"",SUMIFS(nrMK_Sess,nrMK_Link,$B125,nrMK_Credit,"Yes"))</f>
        <v/>
      </c>
      <c r="R125" s="17">
        <f>IF(OR($B125="",$N125&lt;&gt;"Yes"),"",IF(N($I125)&gt;0,N($I125)-N($P125),IF(N($J125)&gt;0,N($J125)-N($Q125),"")))</f>
        <v/>
      </c>
      <c r="S125" s="17">
        <f>IF(OR($B125="",$R125=""),"",IF($R125&lt;=0,"CLEARED "&amp;IFERROR(TEXT(_xlfn.MAXIFS(nrMK_Date,nrMK_Link,$B125,nrMK_Credit,"Yes"),"mm/dd"),""),"OPEN"))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IF(OR($B126="",N($I126)=0),"",SUMIFS(nrMK_Min,nrMK_Link,$B126,nrMK_Credit,"Yes"))</f>
        <v/>
      </c>
      <c r="Q126" s="17">
        <f>IF(OR($B126="",N($J126)=0),"",SUMIFS(nrMK_Sess,nrMK_Link,$B126,nrMK_Credit,"Yes"))</f>
        <v/>
      </c>
      <c r="R126" s="17">
        <f>IF(OR($B126="",$N126&lt;&gt;"Yes"),"",IF(N($I126)&gt;0,N($I126)-N($P126),IF(N($J126)&gt;0,N($J126)-N($Q126),"")))</f>
        <v/>
      </c>
      <c r="S126" s="17">
        <f>IF(OR($B126="",$R126=""),"",IF($R126&lt;=0,"CLEARED "&amp;IFERROR(TEXT(_xlfn.MAXIFS(nrMK_Date,nrMK_Link,$B126,nrMK_Credit,"Yes"),"mm/dd"),""),"OPEN"))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IF(OR($B127="",N($I127)=0),"",SUMIFS(nrMK_Min,nrMK_Link,$B127,nrMK_Credit,"Yes"))</f>
        <v/>
      </c>
      <c r="Q127" s="17">
        <f>IF(OR($B127="",N($J127)=0),"",SUMIFS(nrMK_Sess,nrMK_Link,$B127,nrMK_Credit,"Yes"))</f>
        <v/>
      </c>
      <c r="R127" s="17">
        <f>IF(OR($B127="",$N127&lt;&gt;"Yes"),"",IF(N($I127)&gt;0,N($I127)-N($P127),IF(N($J127)&gt;0,N($J127)-N($Q127),"")))</f>
        <v/>
      </c>
      <c r="S127" s="17">
        <f>IF(OR($B127="",$R127=""),"",IF($R127&lt;=0,"CLEARED "&amp;IFERROR(TEXT(_xlfn.MAXIFS(nrMK_Date,nrMK_Link,$B127,nrMK_Credit,"Yes"),"mm/dd"),""),"OPEN"))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IF(OR($B128="",N($I128)=0),"",SUMIFS(nrMK_Min,nrMK_Link,$B128,nrMK_Credit,"Yes"))</f>
        <v/>
      </c>
      <c r="Q128" s="17">
        <f>IF(OR($B128="",N($J128)=0),"",SUMIFS(nrMK_Sess,nrMK_Link,$B128,nrMK_Credit,"Yes"))</f>
        <v/>
      </c>
      <c r="R128" s="17">
        <f>IF(OR($B128="",$N128&lt;&gt;"Yes"),"",IF(N($I128)&gt;0,N($I128)-N($P128),IF(N($J128)&gt;0,N($J128)-N($Q128),"")))</f>
        <v/>
      </c>
      <c r="S128" s="17">
        <f>IF(OR($B128="",$R128=""),"",IF($R128&lt;=0,"CLEARED "&amp;IFERROR(TEXT(_xlfn.MAXIFS(nrMK_Date,nrMK_Link,$B128,nrMK_Credit,"Yes"),"mm/dd"),""),"OPEN"))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IF(OR($B129="",N($I129)=0),"",SUMIFS(nrMK_Min,nrMK_Link,$B129,nrMK_Credit,"Yes"))</f>
        <v/>
      </c>
      <c r="Q129" s="17">
        <f>IF(OR($B129="",N($J129)=0),"",SUMIFS(nrMK_Sess,nrMK_Link,$B129,nrMK_Credit,"Yes"))</f>
        <v/>
      </c>
      <c r="R129" s="17">
        <f>IF(OR($B129="",$N129&lt;&gt;"Yes"),"",IF(N($I129)&gt;0,N($I129)-N($P129),IF(N($J129)&gt;0,N($J129)-N($Q129),"")))</f>
        <v/>
      </c>
      <c r="S129" s="17">
        <f>IF(OR($B129="",$R129=""),"",IF($R129&lt;=0,"CLEARED "&amp;IFERROR(TEXT(_xlfn.MAXIFS(nrMK_Date,nrMK_Link,$B129,nrMK_Credit,"Yes"),"mm/dd"),""),"OPEN"))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IF(OR($B130="",N($I130)=0),"",SUMIFS(nrMK_Min,nrMK_Link,$B130,nrMK_Credit,"Yes"))</f>
        <v/>
      </c>
      <c r="Q130" s="17">
        <f>IF(OR($B130="",N($J130)=0),"",SUMIFS(nrMK_Sess,nrMK_Link,$B130,nrMK_Credit,"Yes"))</f>
        <v/>
      </c>
      <c r="R130" s="17">
        <f>IF(OR($B130="",$N130&lt;&gt;"Yes"),"",IF(N($I130)&gt;0,N($I130)-N($P130),IF(N($J130)&gt;0,N($J130)-N($Q130),"")))</f>
        <v/>
      </c>
      <c r="S130" s="17">
        <f>IF(OR($B130="",$R130=""),"",IF($R130&lt;=0,"CLEARED "&amp;IFERROR(TEXT(_xlfn.MAXIFS(nrMK_Date,nrMK_Link,$B130,nrMK_Credit,"Yes"),"mm/dd"),""),"OPEN"))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IF(OR($B131="",N($I131)=0),"",SUMIFS(nrMK_Min,nrMK_Link,$B131,nrMK_Credit,"Yes"))</f>
        <v/>
      </c>
      <c r="Q131" s="17">
        <f>IF(OR($B131="",N($J131)=0),"",SUMIFS(nrMK_Sess,nrMK_Link,$B131,nrMK_Credit,"Yes"))</f>
        <v/>
      </c>
      <c r="R131" s="17">
        <f>IF(OR($B131="",$N131&lt;&gt;"Yes"),"",IF(N($I131)&gt;0,N($I131)-N($P131),IF(N($J131)&gt;0,N($J131)-N($Q131),"")))</f>
        <v/>
      </c>
      <c r="S131" s="17">
        <f>IF(OR($B131="",$R131=""),"",IF($R131&lt;=0,"CLEARED "&amp;IFERROR(TEXT(_xlfn.MAXIFS(nrMK_Date,nrMK_Link,$B131,nrMK_Credit,"Yes"),"mm/dd"),""),"OPEN"))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IF(OR($B132="",N($I132)=0),"",SUMIFS(nrMK_Min,nrMK_Link,$B132,nrMK_Credit,"Yes"))</f>
        <v/>
      </c>
      <c r="Q132" s="17">
        <f>IF(OR($B132="",N($J132)=0),"",SUMIFS(nrMK_Sess,nrMK_Link,$B132,nrMK_Credit,"Yes"))</f>
        <v/>
      </c>
      <c r="R132" s="17">
        <f>IF(OR($B132="",$N132&lt;&gt;"Yes"),"",IF(N($I132)&gt;0,N($I132)-N($P132),IF(N($J132)&gt;0,N($J132)-N($Q132),"")))</f>
        <v/>
      </c>
      <c r="S132" s="17">
        <f>IF(OR($B132="",$R132=""),"",IF($R132&lt;=0,"CLEARED "&amp;IFERROR(TEXT(_xlfn.MAXIFS(nrMK_Date,nrMK_Link,$B132,nrMK_Credit,"Yes"),"mm/dd"),""),"OPEN"))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IF(OR($B133="",N($I133)=0),"",SUMIFS(nrMK_Min,nrMK_Link,$B133,nrMK_Credit,"Yes"))</f>
        <v/>
      </c>
      <c r="Q133" s="17">
        <f>IF(OR($B133="",N($J133)=0),"",SUMIFS(nrMK_Sess,nrMK_Link,$B133,nrMK_Credit,"Yes"))</f>
        <v/>
      </c>
      <c r="R133" s="17">
        <f>IF(OR($B133="",$N133&lt;&gt;"Yes"),"",IF(N($I133)&gt;0,N($I133)-N($P133),IF(N($J133)&gt;0,N($J133)-N($Q133),"")))</f>
        <v/>
      </c>
      <c r="S133" s="17">
        <f>IF(OR($B133="",$R133=""),"",IF($R133&lt;=0,"CLEARED "&amp;IFERROR(TEXT(_xlfn.MAXIFS(nrMK_Date,nrMK_Link,$B133,nrMK_Credit,"Yes"),"mm/dd"),""),"OPEN"))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IF(OR($B134="",N($I134)=0),"",SUMIFS(nrMK_Min,nrMK_Link,$B134,nrMK_Credit,"Yes"))</f>
        <v/>
      </c>
      <c r="Q134" s="17">
        <f>IF(OR($B134="",N($J134)=0),"",SUMIFS(nrMK_Sess,nrMK_Link,$B134,nrMK_Credit,"Yes"))</f>
        <v/>
      </c>
      <c r="R134" s="17">
        <f>IF(OR($B134="",$N134&lt;&gt;"Yes"),"",IF(N($I134)&gt;0,N($I134)-N($P134),IF(N($J134)&gt;0,N($J134)-N($Q134),"")))</f>
        <v/>
      </c>
      <c r="S134" s="17">
        <f>IF(OR($B134="",$R134=""),"",IF($R134&lt;=0,"CLEARED "&amp;IFERROR(TEXT(_xlfn.MAXIFS(nrMK_Date,nrMK_Link,$B134,nrMK_Credit,"Yes"),"mm/dd"),""),"OPEN"))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IF(OR($B135="",N($I135)=0),"",SUMIFS(nrMK_Min,nrMK_Link,$B135,nrMK_Credit,"Yes"))</f>
        <v/>
      </c>
      <c r="Q135" s="17">
        <f>IF(OR($B135="",N($J135)=0),"",SUMIFS(nrMK_Sess,nrMK_Link,$B135,nrMK_Credit,"Yes"))</f>
        <v/>
      </c>
      <c r="R135" s="17">
        <f>IF(OR($B135="",$N135&lt;&gt;"Yes"),"",IF(N($I135)&gt;0,N($I135)-N($P135),IF(N($J135)&gt;0,N($J135)-N($Q135),"")))</f>
        <v/>
      </c>
      <c r="S135" s="17">
        <f>IF(OR($B135="",$R135=""),"",IF($R135&lt;=0,"CLEARED "&amp;IFERROR(TEXT(_xlfn.MAXIFS(nrMK_Date,nrMK_Link,$B135,nrMK_Credit,"Yes"),"mm/dd"),""),"OPEN"))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IF(OR($B136="",N($I136)=0),"",SUMIFS(nrMK_Min,nrMK_Link,$B136,nrMK_Credit,"Yes"))</f>
        <v/>
      </c>
      <c r="Q136" s="17">
        <f>IF(OR($B136="",N($J136)=0),"",SUMIFS(nrMK_Sess,nrMK_Link,$B136,nrMK_Credit,"Yes"))</f>
        <v/>
      </c>
      <c r="R136" s="17">
        <f>IF(OR($B136="",$N136&lt;&gt;"Yes"),"",IF(N($I136)&gt;0,N($I136)-N($P136),IF(N($J136)&gt;0,N($J136)-N($Q136),"")))</f>
        <v/>
      </c>
      <c r="S136" s="17">
        <f>IF(OR($B136="",$R136=""),"",IF($R136&lt;=0,"CLEARED "&amp;IFERROR(TEXT(_xlfn.MAXIFS(nrMK_Date,nrMK_Link,$B136,nrMK_Credit,"Yes"),"mm/dd"),""),"OPEN"))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IF(OR($B137="",N($I137)=0),"",SUMIFS(nrMK_Min,nrMK_Link,$B137,nrMK_Credit,"Yes"))</f>
        <v/>
      </c>
      <c r="Q137" s="17">
        <f>IF(OR($B137="",N($J137)=0),"",SUMIFS(nrMK_Sess,nrMK_Link,$B137,nrMK_Credit,"Yes"))</f>
        <v/>
      </c>
      <c r="R137" s="17">
        <f>IF(OR($B137="",$N137&lt;&gt;"Yes"),"",IF(N($I137)&gt;0,N($I137)-N($P137),IF(N($J137)&gt;0,N($J137)-N($Q137),"")))</f>
        <v/>
      </c>
      <c r="S137" s="17">
        <f>IF(OR($B137="",$R137=""),"",IF($R137&lt;=0,"CLEARED "&amp;IFERROR(TEXT(_xlfn.MAXIFS(nrMK_Date,nrMK_Link,$B137,nrMK_Credit,"Yes"),"mm/dd"),""),"OPEN"))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IF(OR($B138="",N($I138)=0),"",SUMIFS(nrMK_Min,nrMK_Link,$B138,nrMK_Credit,"Yes"))</f>
        <v/>
      </c>
      <c r="Q138" s="17">
        <f>IF(OR($B138="",N($J138)=0),"",SUMIFS(nrMK_Sess,nrMK_Link,$B138,nrMK_Credit,"Yes"))</f>
        <v/>
      </c>
      <c r="R138" s="17">
        <f>IF(OR($B138="",$N138&lt;&gt;"Yes"),"",IF(N($I138)&gt;0,N($I138)-N($P138),IF(N($J138)&gt;0,N($J138)-N($Q138),"")))</f>
        <v/>
      </c>
      <c r="S138" s="17">
        <f>IF(OR($B138="",$R138=""),"",IF($R138&lt;=0,"CLEARED "&amp;IFERROR(TEXT(_xlfn.MAXIFS(nrMK_Date,nrMK_Link,$B138,nrMK_Credit,"Yes"),"mm/dd"),""),"OPEN"))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IF(OR($B139="",N($I139)=0),"",SUMIFS(nrMK_Min,nrMK_Link,$B139,nrMK_Credit,"Yes"))</f>
        <v/>
      </c>
      <c r="Q139" s="17">
        <f>IF(OR($B139="",N($J139)=0),"",SUMIFS(nrMK_Sess,nrMK_Link,$B139,nrMK_Credit,"Yes"))</f>
        <v/>
      </c>
      <c r="R139" s="17">
        <f>IF(OR($B139="",$N139&lt;&gt;"Yes"),"",IF(N($I139)&gt;0,N($I139)-N($P139),IF(N($J139)&gt;0,N($J139)-N($Q139),"")))</f>
        <v/>
      </c>
      <c r="S139" s="17">
        <f>IF(OR($B139="",$R139=""),"",IF($R139&lt;=0,"CLEARED "&amp;IFERROR(TEXT(_xlfn.MAXIFS(nrMK_Date,nrMK_Link,$B139,nrMK_Credit,"Yes"),"mm/dd"),""),"OPEN"))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IF(OR($B140="",N($I140)=0),"",SUMIFS(nrMK_Min,nrMK_Link,$B140,nrMK_Credit,"Yes"))</f>
        <v/>
      </c>
      <c r="Q140" s="17">
        <f>IF(OR($B140="",N($J140)=0),"",SUMIFS(nrMK_Sess,nrMK_Link,$B140,nrMK_Credit,"Yes"))</f>
        <v/>
      </c>
      <c r="R140" s="17">
        <f>IF(OR($B140="",$N140&lt;&gt;"Yes"),"",IF(N($I140)&gt;0,N($I140)-N($P140),IF(N($J140)&gt;0,N($J140)-N($Q140),"")))</f>
        <v/>
      </c>
      <c r="S140" s="17">
        <f>IF(OR($B140="",$R140=""),"",IF($R140&lt;=0,"CLEARED "&amp;IFERROR(TEXT(_xlfn.MAXIFS(nrMK_Date,nrMK_Link,$B140,nrMK_Credit,"Yes"),"mm/dd"),""),"OPEN"))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IF(OR($B141="",N($I141)=0),"",SUMIFS(nrMK_Min,nrMK_Link,$B141,nrMK_Credit,"Yes"))</f>
        <v/>
      </c>
      <c r="Q141" s="17">
        <f>IF(OR($B141="",N($J141)=0),"",SUMIFS(nrMK_Sess,nrMK_Link,$B141,nrMK_Credit,"Yes"))</f>
        <v/>
      </c>
      <c r="R141" s="17">
        <f>IF(OR($B141="",$N141&lt;&gt;"Yes"),"",IF(N($I141)&gt;0,N($I141)-N($P141),IF(N($J141)&gt;0,N($J141)-N($Q141),"")))</f>
        <v/>
      </c>
      <c r="S141" s="17">
        <f>IF(OR($B141="",$R141=""),"",IF($R141&lt;=0,"CLEARED "&amp;IFERROR(TEXT(_xlfn.MAXIFS(nrMK_Date,nrMK_Link,$B141,nrMK_Credit,"Yes"),"mm/dd"),""),"OPEN"))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IF(OR($B142="",N($I142)=0),"",SUMIFS(nrMK_Min,nrMK_Link,$B142,nrMK_Credit,"Yes"))</f>
        <v/>
      </c>
      <c r="Q142" s="17">
        <f>IF(OR($B142="",N($J142)=0),"",SUMIFS(nrMK_Sess,nrMK_Link,$B142,nrMK_Credit,"Yes"))</f>
        <v/>
      </c>
      <c r="R142" s="17">
        <f>IF(OR($B142="",$N142&lt;&gt;"Yes"),"",IF(N($I142)&gt;0,N($I142)-N($P142),IF(N($J142)&gt;0,N($J142)-N($Q142),"")))</f>
        <v/>
      </c>
      <c r="S142" s="17">
        <f>IF(OR($B142="",$R142=""),"",IF($R142&lt;=0,"CLEARED "&amp;IFERROR(TEXT(_xlfn.MAXIFS(nrMK_Date,nrMK_Link,$B142,nrMK_Credit,"Yes"),"mm/dd"),""),"OPEN"))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IF(OR($B143="",N($I143)=0),"",SUMIFS(nrMK_Min,nrMK_Link,$B143,nrMK_Credit,"Yes"))</f>
        <v/>
      </c>
      <c r="Q143" s="17">
        <f>IF(OR($B143="",N($J143)=0),"",SUMIFS(nrMK_Sess,nrMK_Link,$B143,nrMK_Credit,"Yes"))</f>
        <v/>
      </c>
      <c r="R143" s="17">
        <f>IF(OR($B143="",$N143&lt;&gt;"Yes"),"",IF(N($I143)&gt;0,N($I143)-N($P143),IF(N($J143)&gt;0,N($J143)-N($Q143),"")))</f>
        <v/>
      </c>
      <c r="S143" s="17">
        <f>IF(OR($B143="",$R143=""),"",IF($R143&lt;=0,"CLEARED "&amp;IFERROR(TEXT(_xlfn.MAXIFS(nrMK_Date,nrMK_Link,$B143,nrMK_Credit,"Yes"),"mm/dd"),""),"OPEN"))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IF(OR($B144="",N($I144)=0),"",SUMIFS(nrMK_Min,nrMK_Link,$B144,nrMK_Credit,"Yes"))</f>
        <v/>
      </c>
      <c r="Q144" s="17">
        <f>IF(OR($B144="",N($J144)=0),"",SUMIFS(nrMK_Sess,nrMK_Link,$B144,nrMK_Credit,"Yes"))</f>
        <v/>
      </c>
      <c r="R144" s="17">
        <f>IF(OR($B144="",$N144&lt;&gt;"Yes"),"",IF(N($I144)&gt;0,N($I144)-N($P144),IF(N($J144)&gt;0,N($J144)-N($Q144),"")))</f>
        <v/>
      </c>
      <c r="S144" s="17">
        <f>IF(OR($B144="",$R144=""),"",IF($R144&lt;=0,"CLEARED "&amp;IFERROR(TEXT(_xlfn.MAXIFS(nrMK_Date,nrMK_Link,$B144,nrMK_Credit,"Yes"),"mm/dd"),""),"OPEN"))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IF(OR($B145="",N($I145)=0),"",SUMIFS(nrMK_Min,nrMK_Link,$B145,nrMK_Credit,"Yes"))</f>
        <v/>
      </c>
      <c r="Q145" s="17">
        <f>IF(OR($B145="",N($J145)=0),"",SUMIFS(nrMK_Sess,nrMK_Link,$B145,nrMK_Credit,"Yes"))</f>
        <v/>
      </c>
      <c r="R145" s="17">
        <f>IF(OR($B145="",$N145&lt;&gt;"Yes"),"",IF(N($I145)&gt;0,N($I145)-N($P145),IF(N($J145)&gt;0,N($J145)-N($Q145),"")))</f>
        <v/>
      </c>
      <c r="S145" s="17">
        <f>IF(OR($B145="",$R145=""),"",IF($R145&lt;=0,"CLEARED "&amp;IFERROR(TEXT(_xlfn.MAXIFS(nrMK_Date,nrMK_Link,$B145,nrMK_Credit,"Yes"),"mm/dd"),""),"OPEN"))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IF(OR($B146="",N($I146)=0),"",SUMIFS(nrMK_Min,nrMK_Link,$B146,nrMK_Credit,"Yes"))</f>
        <v/>
      </c>
      <c r="Q146" s="17">
        <f>IF(OR($B146="",N($J146)=0),"",SUMIFS(nrMK_Sess,nrMK_Link,$B146,nrMK_Credit,"Yes"))</f>
        <v/>
      </c>
      <c r="R146" s="17">
        <f>IF(OR($B146="",$N146&lt;&gt;"Yes"),"",IF(N($I146)&gt;0,N($I146)-N($P146),IF(N($J146)&gt;0,N($J146)-N($Q146),"")))</f>
        <v/>
      </c>
      <c r="S146" s="17">
        <f>IF(OR($B146="",$R146=""),"",IF($R146&lt;=0,"CLEARED "&amp;IFERROR(TEXT(_xlfn.MAXIFS(nrMK_Date,nrMK_Link,$B146,nrMK_Credit,"Yes"),"mm/dd"),""),"OPEN"))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IF(OR($B147="",N($I147)=0),"",SUMIFS(nrMK_Min,nrMK_Link,$B147,nrMK_Credit,"Yes"))</f>
        <v/>
      </c>
      <c r="Q147" s="17">
        <f>IF(OR($B147="",N($J147)=0),"",SUMIFS(nrMK_Sess,nrMK_Link,$B147,nrMK_Credit,"Yes"))</f>
        <v/>
      </c>
      <c r="R147" s="17">
        <f>IF(OR($B147="",$N147&lt;&gt;"Yes"),"",IF(N($I147)&gt;0,N($I147)-N($P147),IF(N($J147)&gt;0,N($J147)-N($Q147),"")))</f>
        <v/>
      </c>
      <c r="S147" s="17">
        <f>IF(OR($B147="",$R147=""),"",IF($R147&lt;=0,"CLEARED "&amp;IFERROR(TEXT(_xlfn.MAXIFS(nrMK_Date,nrMK_Link,$B147,nrMK_Credit,"Yes"),"mm/dd"),""),"OPEN"))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IF(OR($B148="",N($I148)=0),"",SUMIFS(nrMK_Min,nrMK_Link,$B148,nrMK_Credit,"Yes"))</f>
        <v/>
      </c>
      <c r="Q148" s="17">
        <f>IF(OR($B148="",N($J148)=0),"",SUMIFS(nrMK_Sess,nrMK_Link,$B148,nrMK_Credit,"Yes"))</f>
        <v/>
      </c>
      <c r="R148" s="17">
        <f>IF(OR($B148="",$N148&lt;&gt;"Yes"),"",IF(N($I148)&gt;0,N($I148)-N($P148),IF(N($J148)&gt;0,N($J148)-N($Q148),"")))</f>
        <v/>
      </c>
      <c r="S148" s="17">
        <f>IF(OR($B148="",$R148=""),"",IF($R148&lt;=0,"CLEARED "&amp;IFERROR(TEXT(_xlfn.MAXIFS(nrMK_Date,nrMK_Link,$B148,nrMK_Credit,"Yes"),"mm/dd"),""),"OPEN"))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IF(OR($B149="",N($I149)=0),"",SUMIFS(nrMK_Min,nrMK_Link,$B149,nrMK_Credit,"Yes"))</f>
        <v/>
      </c>
      <c r="Q149" s="17">
        <f>IF(OR($B149="",N($J149)=0),"",SUMIFS(nrMK_Sess,nrMK_Link,$B149,nrMK_Credit,"Yes"))</f>
        <v/>
      </c>
      <c r="R149" s="17">
        <f>IF(OR($B149="",$N149&lt;&gt;"Yes"),"",IF(N($I149)&gt;0,N($I149)-N($P149),IF(N($J149)&gt;0,N($J149)-N($Q149),"")))</f>
        <v/>
      </c>
      <c r="S149" s="17">
        <f>IF(OR($B149="",$R149=""),"",IF($R149&lt;=0,"CLEARED "&amp;IFERROR(TEXT(_xlfn.MAXIFS(nrMK_Date,nrMK_Link,$B149,nrMK_Credit,"Yes"),"mm/dd"),""),"OPEN"))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IF(OR($B150="",N($I150)=0),"",SUMIFS(nrMK_Min,nrMK_Link,$B150,nrMK_Credit,"Yes"))</f>
        <v/>
      </c>
      <c r="Q150" s="17">
        <f>IF(OR($B150="",N($J150)=0),"",SUMIFS(nrMK_Sess,nrMK_Link,$B150,nrMK_Credit,"Yes"))</f>
        <v/>
      </c>
      <c r="R150" s="17">
        <f>IF(OR($B150="",$N150&lt;&gt;"Yes"),"",IF(N($I150)&gt;0,N($I150)-N($P150),IF(N($J150)&gt;0,N($J150)-N($Q150),"")))</f>
        <v/>
      </c>
      <c r="S150" s="17">
        <f>IF(OR($B150="",$R150=""),"",IF($R150&lt;=0,"CLEARED "&amp;IFERROR(TEXT(_xlfn.MAXIFS(nrMK_Date,nrMK_Link,$B150,nrMK_Credit,"Yes"),"mm/dd"),""),"OPEN"))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IF(OR($B151="",N($I151)=0),"",SUMIFS(nrMK_Min,nrMK_Link,$B151,nrMK_Credit,"Yes"))</f>
        <v/>
      </c>
      <c r="Q151" s="17">
        <f>IF(OR($B151="",N($J151)=0),"",SUMIFS(nrMK_Sess,nrMK_Link,$B151,nrMK_Credit,"Yes"))</f>
        <v/>
      </c>
      <c r="R151" s="17">
        <f>IF(OR($B151="",$N151&lt;&gt;"Yes"),"",IF(N($I151)&gt;0,N($I151)-N($P151),IF(N($J151)&gt;0,N($J151)-N($Q151),"")))</f>
        <v/>
      </c>
      <c r="S151" s="17">
        <f>IF(OR($B151="",$R151=""),"",IF($R151&lt;=0,"CLEARED "&amp;IFERROR(TEXT(_xlfn.MAXIFS(nrMK_Date,nrMK_Link,$B151,nrMK_Credit,"Yes"),"mm/dd"),""),"OPEN"))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IF(OR($B152="",N($I152)=0),"",SUMIFS(nrMK_Min,nrMK_Link,$B152,nrMK_Credit,"Yes"))</f>
        <v/>
      </c>
      <c r="Q152" s="17">
        <f>IF(OR($B152="",N($J152)=0),"",SUMIFS(nrMK_Sess,nrMK_Link,$B152,nrMK_Credit,"Yes"))</f>
        <v/>
      </c>
      <c r="R152" s="17">
        <f>IF(OR($B152="",$N152&lt;&gt;"Yes"),"",IF(N($I152)&gt;0,N($I152)-N($P152),IF(N($J152)&gt;0,N($J152)-N($Q152),"")))</f>
        <v/>
      </c>
      <c r="S152" s="17">
        <f>IF(OR($B152="",$R152=""),"",IF($R152&lt;=0,"CLEARED "&amp;IFERROR(TEXT(_xlfn.MAXIFS(nrMK_Date,nrMK_Link,$B152,nrMK_Credit,"Yes"),"mm/dd"),""),"OPEN"))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IF(OR($B153="",N($I153)=0),"",SUMIFS(nrMK_Min,nrMK_Link,$B153,nrMK_Credit,"Yes"))</f>
        <v/>
      </c>
      <c r="Q153" s="17">
        <f>IF(OR($B153="",N($J153)=0),"",SUMIFS(nrMK_Sess,nrMK_Link,$B153,nrMK_Credit,"Yes"))</f>
        <v/>
      </c>
      <c r="R153" s="17">
        <f>IF(OR($B153="",$N153&lt;&gt;"Yes"),"",IF(N($I153)&gt;0,N($I153)-N($P153),IF(N($J153)&gt;0,N($J153)-N($Q153),"")))</f>
        <v/>
      </c>
      <c r="S153" s="17">
        <f>IF(OR($B153="",$R153=""),"",IF($R153&lt;=0,"CLEARED "&amp;IFERROR(TEXT(_xlfn.MAXIFS(nrMK_Date,nrMK_Link,$B153,nrMK_Credit,"Yes"),"mm/dd"),""),"OPEN"))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IF(OR($B154="",N($I154)=0),"",SUMIFS(nrMK_Min,nrMK_Link,$B154,nrMK_Credit,"Yes"))</f>
        <v/>
      </c>
      <c r="Q154" s="17">
        <f>IF(OR($B154="",N($J154)=0),"",SUMIFS(nrMK_Sess,nrMK_Link,$B154,nrMK_Credit,"Yes"))</f>
        <v/>
      </c>
      <c r="R154" s="17">
        <f>IF(OR($B154="",$N154&lt;&gt;"Yes"),"",IF(N($I154)&gt;0,N($I154)-N($P154),IF(N($J154)&gt;0,N($J154)-N($Q154),"")))</f>
        <v/>
      </c>
      <c r="S154" s="17">
        <f>IF(OR($B154="",$R154=""),"",IF($R154&lt;=0,"CLEARED "&amp;IFERROR(TEXT(_xlfn.MAXIFS(nrMK_Date,nrMK_Link,$B154,nrMK_Credit,"Yes"),"mm/dd"),""),"OPEN"))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IF(OR($B155="",N($I155)=0),"",SUMIFS(nrMK_Min,nrMK_Link,$B155,nrMK_Credit,"Yes"))</f>
        <v/>
      </c>
      <c r="Q155" s="17">
        <f>IF(OR($B155="",N($J155)=0),"",SUMIFS(nrMK_Sess,nrMK_Link,$B155,nrMK_Credit,"Yes"))</f>
        <v/>
      </c>
      <c r="R155" s="17">
        <f>IF(OR($B155="",$N155&lt;&gt;"Yes"),"",IF(N($I155)&gt;0,N($I155)-N($P155),IF(N($J155)&gt;0,N($J155)-N($Q155),"")))</f>
        <v/>
      </c>
      <c r="S155" s="17">
        <f>IF(OR($B155="",$R155=""),"",IF($R155&lt;=0,"CLEARED "&amp;IFERROR(TEXT(_xlfn.MAXIFS(nrMK_Date,nrMK_Link,$B155,nrMK_Credit,"Yes"),"mm/dd"),""),"OPEN"))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IF(OR($B156="",N($I156)=0),"",SUMIFS(nrMK_Min,nrMK_Link,$B156,nrMK_Credit,"Yes"))</f>
        <v/>
      </c>
      <c r="Q156" s="17">
        <f>IF(OR($B156="",N($J156)=0),"",SUMIFS(nrMK_Sess,nrMK_Link,$B156,nrMK_Credit,"Yes"))</f>
        <v/>
      </c>
      <c r="R156" s="17">
        <f>IF(OR($B156="",$N156&lt;&gt;"Yes"),"",IF(N($I156)&gt;0,N($I156)-N($P156),IF(N($J156)&gt;0,N($J156)-N($Q156),"")))</f>
        <v/>
      </c>
      <c r="S156" s="17">
        <f>IF(OR($B156="",$R156=""),"",IF($R156&lt;=0,"CLEARED "&amp;IFERROR(TEXT(_xlfn.MAXIFS(nrMK_Date,nrMK_Link,$B156,nrMK_Credit,"Yes"),"mm/dd"),""),"OPEN"))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IF(OR($B157="",N($I157)=0),"",SUMIFS(nrMK_Min,nrMK_Link,$B157,nrMK_Credit,"Yes"))</f>
        <v/>
      </c>
      <c r="Q157" s="17">
        <f>IF(OR($B157="",N($J157)=0),"",SUMIFS(nrMK_Sess,nrMK_Link,$B157,nrMK_Credit,"Yes"))</f>
        <v/>
      </c>
      <c r="R157" s="17">
        <f>IF(OR($B157="",$N157&lt;&gt;"Yes"),"",IF(N($I157)&gt;0,N($I157)-N($P157),IF(N($J157)&gt;0,N($J157)-N($Q157),"")))</f>
        <v/>
      </c>
      <c r="S157" s="17">
        <f>IF(OR($B157="",$R157=""),"",IF($R157&lt;=0,"CLEARED "&amp;IFERROR(TEXT(_xlfn.MAXIFS(nrMK_Date,nrMK_Link,$B157,nrMK_Credit,"Yes"),"mm/dd"),""),"OPEN"))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IF(OR($B158="",N($I158)=0),"",SUMIFS(nrMK_Min,nrMK_Link,$B158,nrMK_Credit,"Yes"))</f>
        <v/>
      </c>
      <c r="Q158" s="17">
        <f>IF(OR($B158="",N($J158)=0),"",SUMIFS(nrMK_Sess,nrMK_Link,$B158,nrMK_Credit,"Yes"))</f>
        <v/>
      </c>
      <c r="R158" s="17">
        <f>IF(OR($B158="",$N158&lt;&gt;"Yes"),"",IF(N($I158)&gt;0,N($I158)-N($P158),IF(N($J158)&gt;0,N($J158)-N($Q158),"")))</f>
        <v/>
      </c>
      <c r="S158" s="17">
        <f>IF(OR($B158="",$R158=""),"",IF($R158&lt;=0,"CLEARED "&amp;IFERROR(TEXT(_xlfn.MAXIFS(nrMK_Date,nrMK_Link,$B158,nrMK_Credit,"Yes"),"mm/dd"),""),"OPEN"))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IF(OR($B159="",N($I159)=0),"",SUMIFS(nrMK_Min,nrMK_Link,$B159,nrMK_Credit,"Yes"))</f>
        <v/>
      </c>
      <c r="Q159" s="17">
        <f>IF(OR($B159="",N($J159)=0),"",SUMIFS(nrMK_Sess,nrMK_Link,$B159,nrMK_Credit,"Yes"))</f>
        <v/>
      </c>
      <c r="R159" s="17">
        <f>IF(OR($B159="",$N159&lt;&gt;"Yes"),"",IF(N($I159)&gt;0,N($I159)-N($P159),IF(N($J159)&gt;0,N($J159)-N($Q159),"")))</f>
        <v/>
      </c>
      <c r="S159" s="17">
        <f>IF(OR($B159="",$R159=""),"",IF($R159&lt;=0,"CLEARED "&amp;IFERROR(TEXT(_xlfn.MAXIFS(nrMK_Date,nrMK_Link,$B159,nrMK_Credit,"Yes"),"mm/dd"),""),"OPEN"))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IF(OR($B160="",N($I160)=0),"",SUMIFS(nrMK_Min,nrMK_Link,$B160,nrMK_Credit,"Yes"))</f>
        <v/>
      </c>
      <c r="Q160" s="17">
        <f>IF(OR($B160="",N($J160)=0),"",SUMIFS(nrMK_Sess,nrMK_Link,$B160,nrMK_Credit,"Yes"))</f>
        <v/>
      </c>
      <c r="R160" s="17">
        <f>IF(OR($B160="",$N160&lt;&gt;"Yes"),"",IF(N($I160)&gt;0,N($I160)-N($P160),IF(N($J160)&gt;0,N($J160)-N($Q160),"")))</f>
        <v/>
      </c>
      <c r="S160" s="17">
        <f>IF(OR($B160="",$R160=""),"",IF($R160&lt;=0,"CLEARED "&amp;IFERROR(TEXT(_xlfn.MAXIFS(nrMK_Date,nrMK_Link,$B160,nrMK_Credit,"Yes"),"mm/dd"),""),"OPEN"))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IF(OR($B161="",N($I161)=0),"",SUMIFS(nrMK_Min,nrMK_Link,$B161,nrMK_Credit,"Yes"))</f>
        <v/>
      </c>
      <c r="Q161" s="17">
        <f>IF(OR($B161="",N($J161)=0),"",SUMIFS(nrMK_Sess,nrMK_Link,$B161,nrMK_Credit,"Yes"))</f>
        <v/>
      </c>
      <c r="R161" s="17">
        <f>IF(OR($B161="",$N161&lt;&gt;"Yes"),"",IF(N($I161)&gt;0,N($I161)-N($P161),IF(N($J161)&gt;0,N($J161)-N($Q161),"")))</f>
        <v/>
      </c>
      <c r="S161" s="17">
        <f>IF(OR($B161="",$R161=""),"",IF($R161&lt;=0,"CLEARED "&amp;IFERROR(TEXT(_xlfn.MAXIFS(nrMK_Date,nrMK_Link,$B161,nrMK_Credit,"Yes"),"mm/dd"),""),"OPEN"))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IF(OR($B162="",N($I162)=0),"",SUMIFS(nrMK_Min,nrMK_Link,$B162,nrMK_Credit,"Yes"))</f>
        <v/>
      </c>
      <c r="Q162" s="17">
        <f>IF(OR($B162="",N($J162)=0),"",SUMIFS(nrMK_Sess,nrMK_Link,$B162,nrMK_Credit,"Yes"))</f>
        <v/>
      </c>
      <c r="R162" s="17">
        <f>IF(OR($B162="",$N162&lt;&gt;"Yes"),"",IF(N($I162)&gt;0,N($I162)-N($P162),IF(N($J162)&gt;0,N($J162)-N($Q162),"")))</f>
        <v/>
      </c>
      <c r="S162" s="17">
        <f>IF(OR($B162="",$R162=""),"",IF($R162&lt;=0,"CLEARED "&amp;IFERROR(TEXT(_xlfn.MAXIFS(nrMK_Date,nrMK_Link,$B162,nrMK_Credit,"Yes"),"mm/dd"),""),"OPEN"))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IF(OR($B163="",N($I163)=0),"",SUMIFS(nrMK_Min,nrMK_Link,$B163,nrMK_Credit,"Yes"))</f>
        <v/>
      </c>
      <c r="Q163" s="17">
        <f>IF(OR($B163="",N($J163)=0),"",SUMIFS(nrMK_Sess,nrMK_Link,$B163,nrMK_Credit,"Yes"))</f>
        <v/>
      </c>
      <c r="R163" s="17">
        <f>IF(OR($B163="",$N163&lt;&gt;"Yes"),"",IF(N($I163)&gt;0,N($I163)-N($P163),IF(N($J163)&gt;0,N($J163)-N($Q163),"")))</f>
        <v/>
      </c>
      <c r="S163" s="17">
        <f>IF(OR($B163="",$R163=""),"",IF($R163&lt;=0,"CLEARED "&amp;IFERROR(TEXT(_xlfn.MAXIFS(nrMK_Date,nrMK_Link,$B163,nrMK_Credit,"Yes"),"mm/dd"),""),"OPEN"))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IF(OR($B164="",N($I164)=0),"",SUMIFS(nrMK_Min,nrMK_Link,$B164,nrMK_Credit,"Yes"))</f>
        <v/>
      </c>
      <c r="Q164" s="17">
        <f>IF(OR($B164="",N($J164)=0),"",SUMIFS(nrMK_Sess,nrMK_Link,$B164,nrMK_Credit,"Yes"))</f>
        <v/>
      </c>
      <c r="R164" s="17">
        <f>IF(OR($B164="",$N164&lt;&gt;"Yes"),"",IF(N($I164)&gt;0,N($I164)-N($P164),IF(N($J164)&gt;0,N($J164)-N($Q164),"")))</f>
        <v/>
      </c>
      <c r="S164" s="17">
        <f>IF(OR($B164="",$R164=""),"",IF($R164&lt;=0,"CLEARED "&amp;IFERROR(TEXT(_xlfn.MAXIFS(nrMK_Date,nrMK_Link,$B164,nrMK_Credit,"Yes"),"mm/dd"),""),"OPEN"))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IF(OR($B165="",N($I165)=0),"",SUMIFS(nrMK_Min,nrMK_Link,$B165,nrMK_Credit,"Yes"))</f>
        <v/>
      </c>
      <c r="Q165" s="17">
        <f>IF(OR($B165="",N($J165)=0),"",SUMIFS(nrMK_Sess,nrMK_Link,$B165,nrMK_Credit,"Yes"))</f>
        <v/>
      </c>
      <c r="R165" s="17">
        <f>IF(OR($B165="",$N165&lt;&gt;"Yes"),"",IF(N($I165)&gt;0,N($I165)-N($P165),IF(N($J165)&gt;0,N($J165)-N($Q165),"")))</f>
        <v/>
      </c>
      <c r="S165" s="17">
        <f>IF(OR($B165="",$R165=""),"",IF($R165&lt;=0,"CLEARED "&amp;IFERROR(TEXT(_xlfn.MAXIFS(nrMK_Date,nrMK_Link,$B165,nrMK_Credit,"Yes"),"mm/dd"),""),"OPEN"))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IF(OR($B166="",N($I166)=0),"",SUMIFS(nrMK_Min,nrMK_Link,$B166,nrMK_Credit,"Yes"))</f>
        <v/>
      </c>
      <c r="Q166" s="17">
        <f>IF(OR($B166="",N($J166)=0),"",SUMIFS(nrMK_Sess,nrMK_Link,$B166,nrMK_Credit,"Yes"))</f>
        <v/>
      </c>
      <c r="R166" s="17">
        <f>IF(OR($B166="",$N166&lt;&gt;"Yes"),"",IF(N($I166)&gt;0,N($I166)-N($P166),IF(N($J166)&gt;0,N($J166)-N($Q166),"")))</f>
        <v/>
      </c>
      <c r="S166" s="17">
        <f>IF(OR($B166="",$R166=""),"",IF($R166&lt;=0,"CLEARED "&amp;IFERROR(TEXT(_xlfn.MAXIFS(nrMK_Date,nrMK_Link,$B166,nrMK_Credit,"Yes"),"mm/dd"),""),"OPEN"))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IF(OR($B167="",N($I167)=0),"",SUMIFS(nrMK_Min,nrMK_Link,$B167,nrMK_Credit,"Yes"))</f>
        <v/>
      </c>
      <c r="Q167" s="17">
        <f>IF(OR($B167="",N($J167)=0),"",SUMIFS(nrMK_Sess,nrMK_Link,$B167,nrMK_Credit,"Yes"))</f>
        <v/>
      </c>
      <c r="R167" s="17">
        <f>IF(OR($B167="",$N167&lt;&gt;"Yes"),"",IF(N($I167)&gt;0,N($I167)-N($P167),IF(N($J167)&gt;0,N($J167)-N($Q167),"")))</f>
        <v/>
      </c>
      <c r="S167" s="17">
        <f>IF(OR($B167="",$R167=""),"",IF($R167&lt;=0,"CLEARED "&amp;IFERROR(TEXT(_xlfn.MAXIFS(nrMK_Date,nrMK_Link,$B167,nrMK_Credit,"Yes"),"mm/dd"),""),"OPEN"))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IF(OR($B168="",N($I168)=0),"",SUMIFS(nrMK_Min,nrMK_Link,$B168,nrMK_Credit,"Yes"))</f>
        <v/>
      </c>
      <c r="Q168" s="17">
        <f>IF(OR($B168="",N($J168)=0),"",SUMIFS(nrMK_Sess,nrMK_Link,$B168,nrMK_Credit,"Yes"))</f>
        <v/>
      </c>
      <c r="R168" s="17">
        <f>IF(OR($B168="",$N168&lt;&gt;"Yes"),"",IF(N($I168)&gt;0,N($I168)-N($P168),IF(N($J168)&gt;0,N($J168)-N($Q168),"")))</f>
        <v/>
      </c>
      <c r="S168" s="17">
        <f>IF(OR($B168="",$R168=""),"",IF($R168&lt;=0,"CLEARED "&amp;IFERROR(TEXT(_xlfn.MAXIFS(nrMK_Date,nrMK_Link,$B168,nrMK_Credit,"Yes"),"mm/dd"),""),"OPEN"))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IF(OR($B169="",N($I169)=0),"",SUMIFS(nrMK_Min,nrMK_Link,$B169,nrMK_Credit,"Yes"))</f>
        <v/>
      </c>
      <c r="Q169" s="17">
        <f>IF(OR($B169="",N($J169)=0),"",SUMIFS(nrMK_Sess,nrMK_Link,$B169,nrMK_Credit,"Yes"))</f>
        <v/>
      </c>
      <c r="R169" s="17">
        <f>IF(OR($B169="",$N169&lt;&gt;"Yes"),"",IF(N($I169)&gt;0,N($I169)-N($P169),IF(N($J169)&gt;0,N($J169)-N($Q169),"")))</f>
        <v/>
      </c>
      <c r="S169" s="17">
        <f>IF(OR($B169="",$R169=""),"",IF($R169&lt;=0,"CLEARED "&amp;IFERROR(TEXT(_xlfn.MAXIFS(nrMK_Date,nrMK_Link,$B169,nrMK_Credit,"Yes"),"mm/dd"),""),"OPEN"))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IF(OR($B170="",N($I170)=0),"",SUMIFS(nrMK_Min,nrMK_Link,$B170,nrMK_Credit,"Yes"))</f>
        <v/>
      </c>
      <c r="Q170" s="17">
        <f>IF(OR($B170="",N($J170)=0),"",SUMIFS(nrMK_Sess,nrMK_Link,$B170,nrMK_Credit,"Yes"))</f>
        <v/>
      </c>
      <c r="R170" s="17">
        <f>IF(OR($B170="",$N170&lt;&gt;"Yes"),"",IF(N($I170)&gt;0,N($I170)-N($P170),IF(N($J170)&gt;0,N($J170)-N($Q170),"")))</f>
        <v/>
      </c>
      <c r="S170" s="17">
        <f>IF(OR($B170="",$R170=""),"",IF($R170&lt;=0,"CLEARED "&amp;IFERROR(TEXT(_xlfn.MAXIFS(nrMK_Date,nrMK_Link,$B170,nrMK_Credit,"Yes"),"mm/dd"),""),"OPEN"))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IF(OR($B171="",N($I171)=0),"",SUMIFS(nrMK_Min,nrMK_Link,$B171,nrMK_Credit,"Yes"))</f>
        <v/>
      </c>
      <c r="Q171" s="17">
        <f>IF(OR($B171="",N($J171)=0),"",SUMIFS(nrMK_Sess,nrMK_Link,$B171,nrMK_Credit,"Yes"))</f>
        <v/>
      </c>
      <c r="R171" s="17">
        <f>IF(OR($B171="",$N171&lt;&gt;"Yes"),"",IF(N($I171)&gt;0,N($I171)-N($P171),IF(N($J171)&gt;0,N($J171)-N($Q171),"")))</f>
        <v/>
      </c>
      <c r="S171" s="17">
        <f>IF(OR($B171="",$R171=""),"",IF($R171&lt;=0,"CLEARED "&amp;IFERROR(TEXT(_xlfn.MAXIFS(nrMK_Date,nrMK_Link,$B171,nrMK_Credit,"Yes"),"mm/dd"),""),"OPEN"))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IF(OR($B172="",N($I172)=0),"",SUMIFS(nrMK_Min,nrMK_Link,$B172,nrMK_Credit,"Yes"))</f>
        <v/>
      </c>
      <c r="Q172" s="17">
        <f>IF(OR($B172="",N($J172)=0),"",SUMIFS(nrMK_Sess,nrMK_Link,$B172,nrMK_Credit,"Yes"))</f>
        <v/>
      </c>
      <c r="R172" s="17">
        <f>IF(OR($B172="",$N172&lt;&gt;"Yes"),"",IF(N($I172)&gt;0,N($I172)-N($P172),IF(N($J172)&gt;0,N($J172)-N($Q172),"")))</f>
        <v/>
      </c>
      <c r="S172" s="17">
        <f>IF(OR($B172="",$R172=""),"",IF($R172&lt;=0,"CLEARED "&amp;IFERROR(TEXT(_xlfn.MAXIFS(nrMK_Date,nrMK_Link,$B172,nrMK_Credit,"Yes"),"mm/dd"),""),"OPEN"))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IF(OR($B173="",N($I173)=0),"",SUMIFS(nrMK_Min,nrMK_Link,$B173,nrMK_Credit,"Yes"))</f>
        <v/>
      </c>
      <c r="Q173" s="17">
        <f>IF(OR($B173="",N($J173)=0),"",SUMIFS(nrMK_Sess,nrMK_Link,$B173,nrMK_Credit,"Yes"))</f>
        <v/>
      </c>
      <c r="R173" s="17">
        <f>IF(OR($B173="",$N173&lt;&gt;"Yes"),"",IF(N($I173)&gt;0,N($I173)-N($P173),IF(N($J173)&gt;0,N($J173)-N($Q173),"")))</f>
        <v/>
      </c>
      <c r="S173" s="17">
        <f>IF(OR($B173="",$R173=""),"",IF($R173&lt;=0,"CLEARED "&amp;IFERROR(TEXT(_xlfn.MAXIFS(nrMK_Date,nrMK_Link,$B173,nrMK_Credit,"Yes"),"mm/dd"),""),"OPEN"))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IF(OR($B174="",N($I174)=0),"",SUMIFS(nrMK_Min,nrMK_Link,$B174,nrMK_Credit,"Yes"))</f>
        <v/>
      </c>
      <c r="Q174" s="17">
        <f>IF(OR($B174="",N($J174)=0),"",SUMIFS(nrMK_Sess,nrMK_Link,$B174,nrMK_Credit,"Yes"))</f>
        <v/>
      </c>
      <c r="R174" s="17">
        <f>IF(OR($B174="",$N174&lt;&gt;"Yes"),"",IF(N($I174)&gt;0,N($I174)-N($P174),IF(N($J174)&gt;0,N($J174)-N($Q174),"")))</f>
        <v/>
      </c>
      <c r="S174" s="17">
        <f>IF(OR($B174="",$R174=""),"",IF($R174&lt;=0,"CLEARED "&amp;IFERROR(TEXT(_xlfn.MAXIFS(nrMK_Date,nrMK_Link,$B174,nrMK_Credit,"Yes"),"mm/dd"),""),"OPEN"))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IF(OR($B175="",N($I175)=0),"",SUMIFS(nrMK_Min,nrMK_Link,$B175,nrMK_Credit,"Yes"))</f>
        <v/>
      </c>
      <c r="Q175" s="17">
        <f>IF(OR($B175="",N($J175)=0),"",SUMIFS(nrMK_Sess,nrMK_Link,$B175,nrMK_Credit,"Yes"))</f>
        <v/>
      </c>
      <c r="R175" s="17">
        <f>IF(OR($B175="",$N175&lt;&gt;"Yes"),"",IF(N($I175)&gt;0,N($I175)-N($P175),IF(N($J175)&gt;0,N($J175)-N($Q175),"")))</f>
        <v/>
      </c>
      <c r="S175" s="17">
        <f>IF(OR($B175="",$R175=""),"",IF($R175&lt;=0,"CLEARED "&amp;IFERROR(TEXT(_xlfn.MAXIFS(nrMK_Date,nrMK_Link,$B175,nrMK_Credit,"Yes"),"mm/dd"),""),"OPEN"))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IF(OR($B176="",N($I176)=0),"",SUMIFS(nrMK_Min,nrMK_Link,$B176,nrMK_Credit,"Yes"))</f>
        <v/>
      </c>
      <c r="Q176" s="17">
        <f>IF(OR($B176="",N($J176)=0),"",SUMIFS(nrMK_Sess,nrMK_Link,$B176,nrMK_Credit,"Yes"))</f>
        <v/>
      </c>
      <c r="R176" s="17">
        <f>IF(OR($B176="",$N176&lt;&gt;"Yes"),"",IF(N($I176)&gt;0,N($I176)-N($P176),IF(N($J176)&gt;0,N($J176)-N($Q176),"")))</f>
        <v/>
      </c>
      <c r="S176" s="17">
        <f>IF(OR($B176="",$R176=""),"",IF($R176&lt;=0,"CLEARED "&amp;IFERROR(TEXT(_xlfn.MAXIFS(nrMK_Date,nrMK_Link,$B176,nrMK_Credit,"Yes"),"mm/dd"),""),"OPEN"))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IF(OR($B177="",N($I177)=0),"",SUMIFS(nrMK_Min,nrMK_Link,$B177,nrMK_Credit,"Yes"))</f>
        <v/>
      </c>
      <c r="Q177" s="17">
        <f>IF(OR($B177="",N($J177)=0),"",SUMIFS(nrMK_Sess,nrMK_Link,$B177,nrMK_Credit,"Yes"))</f>
        <v/>
      </c>
      <c r="R177" s="17">
        <f>IF(OR($B177="",$N177&lt;&gt;"Yes"),"",IF(N($I177)&gt;0,N($I177)-N($P177),IF(N($J177)&gt;0,N($J177)-N($Q177),"")))</f>
        <v/>
      </c>
      <c r="S177" s="17">
        <f>IF(OR($B177="",$R177=""),"",IF($R177&lt;=0,"CLEARED "&amp;IFERROR(TEXT(_xlfn.MAXIFS(nrMK_Date,nrMK_Link,$B177,nrMK_Credit,"Yes"),"mm/dd"),""),"OPEN"))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IF(OR($B178="",N($I178)=0),"",SUMIFS(nrMK_Min,nrMK_Link,$B178,nrMK_Credit,"Yes"))</f>
        <v/>
      </c>
      <c r="Q178" s="17">
        <f>IF(OR($B178="",N($J178)=0),"",SUMIFS(nrMK_Sess,nrMK_Link,$B178,nrMK_Credit,"Yes"))</f>
        <v/>
      </c>
      <c r="R178" s="17">
        <f>IF(OR($B178="",$N178&lt;&gt;"Yes"),"",IF(N($I178)&gt;0,N($I178)-N($P178),IF(N($J178)&gt;0,N($J178)-N($Q178),"")))</f>
        <v/>
      </c>
      <c r="S178" s="17">
        <f>IF(OR($B178="",$R178=""),"",IF($R178&lt;=0,"CLEARED "&amp;IFERROR(TEXT(_xlfn.MAXIFS(nrMK_Date,nrMK_Link,$B178,nrMK_Credit,"Yes"),"mm/dd"),""),"OPEN"))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IF(OR($B179="",N($I179)=0),"",SUMIFS(nrMK_Min,nrMK_Link,$B179,nrMK_Credit,"Yes"))</f>
        <v/>
      </c>
      <c r="Q179" s="17">
        <f>IF(OR($B179="",N($J179)=0),"",SUMIFS(nrMK_Sess,nrMK_Link,$B179,nrMK_Credit,"Yes"))</f>
        <v/>
      </c>
      <c r="R179" s="17">
        <f>IF(OR($B179="",$N179&lt;&gt;"Yes"),"",IF(N($I179)&gt;0,N($I179)-N($P179),IF(N($J179)&gt;0,N($J179)-N($Q179),"")))</f>
        <v/>
      </c>
      <c r="S179" s="17">
        <f>IF(OR($B179="",$R179=""),"",IF($R179&lt;=0,"CLEARED "&amp;IFERROR(TEXT(_xlfn.MAXIFS(nrMK_Date,nrMK_Link,$B179,nrMK_Credit,"Yes"),"mm/dd"),""),"OPEN"))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IF(OR($B180="",N($I180)=0),"",SUMIFS(nrMK_Min,nrMK_Link,$B180,nrMK_Credit,"Yes"))</f>
        <v/>
      </c>
      <c r="Q180" s="17">
        <f>IF(OR($B180="",N($J180)=0),"",SUMIFS(nrMK_Sess,nrMK_Link,$B180,nrMK_Credit,"Yes"))</f>
        <v/>
      </c>
      <c r="R180" s="17">
        <f>IF(OR($B180="",$N180&lt;&gt;"Yes"),"",IF(N($I180)&gt;0,N($I180)-N($P180),IF(N($J180)&gt;0,N($J180)-N($Q180),"")))</f>
        <v/>
      </c>
      <c r="S180" s="17">
        <f>IF(OR($B180="",$R180=""),"",IF($R180&lt;=0,"CLEARED "&amp;IFERROR(TEXT(_xlfn.MAXIFS(nrMK_Date,nrMK_Link,$B180,nrMK_Credit,"Yes"),"mm/dd"),""),"OPEN"))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IF(OR($B181="",N($I181)=0),"",SUMIFS(nrMK_Min,nrMK_Link,$B181,nrMK_Credit,"Yes"))</f>
        <v/>
      </c>
      <c r="Q181" s="17">
        <f>IF(OR($B181="",N($J181)=0),"",SUMIFS(nrMK_Sess,nrMK_Link,$B181,nrMK_Credit,"Yes"))</f>
        <v/>
      </c>
      <c r="R181" s="17">
        <f>IF(OR($B181="",$N181&lt;&gt;"Yes"),"",IF(N($I181)&gt;0,N($I181)-N($P181),IF(N($J181)&gt;0,N($J181)-N($Q181),"")))</f>
        <v/>
      </c>
      <c r="S181" s="17">
        <f>IF(OR($B181="",$R181=""),"",IF($R181&lt;=0,"CLEARED "&amp;IFERROR(TEXT(_xlfn.MAXIFS(nrMK_Date,nrMK_Link,$B181,nrMK_Credit,"Yes"),"mm/dd"),""),"OPEN"))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IF(OR($B182="",N($I182)=0),"",SUMIFS(nrMK_Min,nrMK_Link,$B182,nrMK_Credit,"Yes"))</f>
        <v/>
      </c>
      <c r="Q182" s="17">
        <f>IF(OR($B182="",N($J182)=0),"",SUMIFS(nrMK_Sess,nrMK_Link,$B182,nrMK_Credit,"Yes"))</f>
        <v/>
      </c>
      <c r="R182" s="17">
        <f>IF(OR($B182="",$N182&lt;&gt;"Yes"),"",IF(N($I182)&gt;0,N($I182)-N($P182),IF(N($J182)&gt;0,N($J182)-N($Q182),"")))</f>
        <v/>
      </c>
      <c r="S182" s="17">
        <f>IF(OR($B182="",$R182=""),"",IF($R182&lt;=0,"CLEARED "&amp;IFERROR(TEXT(_xlfn.MAXIFS(nrMK_Date,nrMK_Link,$B182,nrMK_Credit,"Yes"),"mm/dd"),""),"OPEN"))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IF(OR($B183="",N($I183)=0),"",SUMIFS(nrMK_Min,nrMK_Link,$B183,nrMK_Credit,"Yes"))</f>
        <v/>
      </c>
      <c r="Q183" s="17">
        <f>IF(OR($B183="",N($J183)=0),"",SUMIFS(nrMK_Sess,nrMK_Link,$B183,nrMK_Credit,"Yes"))</f>
        <v/>
      </c>
      <c r="R183" s="17">
        <f>IF(OR($B183="",$N183&lt;&gt;"Yes"),"",IF(N($I183)&gt;0,N($I183)-N($P183),IF(N($J183)&gt;0,N($J183)-N($Q183),"")))</f>
        <v/>
      </c>
      <c r="S183" s="17">
        <f>IF(OR($B183="",$R183=""),"",IF($R183&lt;=0,"CLEARED "&amp;IFERROR(TEXT(_xlfn.MAXIFS(nrMK_Date,nrMK_Link,$B183,nrMK_Credit,"Yes"),"mm/dd"),""),"OPEN"))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IF(OR($B184="",N($I184)=0),"",SUMIFS(nrMK_Min,nrMK_Link,$B184,nrMK_Credit,"Yes"))</f>
        <v/>
      </c>
      <c r="Q184" s="17">
        <f>IF(OR($B184="",N($J184)=0),"",SUMIFS(nrMK_Sess,nrMK_Link,$B184,nrMK_Credit,"Yes"))</f>
        <v/>
      </c>
      <c r="R184" s="17">
        <f>IF(OR($B184="",$N184&lt;&gt;"Yes"),"",IF(N($I184)&gt;0,N($I184)-N($P184),IF(N($J184)&gt;0,N($J184)-N($Q184),"")))</f>
        <v/>
      </c>
      <c r="S184" s="17">
        <f>IF(OR($B184="",$R184=""),"",IF($R184&lt;=0,"CLEARED "&amp;IFERROR(TEXT(_xlfn.MAXIFS(nrMK_Date,nrMK_Link,$B184,nrMK_Credit,"Yes"),"mm/dd"),""),"OPEN"))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IF(OR($B185="",N($I185)=0),"",SUMIFS(nrMK_Min,nrMK_Link,$B185,nrMK_Credit,"Yes"))</f>
        <v/>
      </c>
      <c r="Q185" s="17">
        <f>IF(OR($B185="",N($J185)=0),"",SUMIFS(nrMK_Sess,nrMK_Link,$B185,nrMK_Credit,"Yes"))</f>
        <v/>
      </c>
      <c r="R185" s="17">
        <f>IF(OR($B185="",$N185&lt;&gt;"Yes"),"",IF(N($I185)&gt;0,N($I185)-N($P185),IF(N($J185)&gt;0,N($J185)-N($Q185),"")))</f>
        <v/>
      </c>
      <c r="S185" s="17">
        <f>IF(OR($B185="",$R185=""),"",IF($R185&lt;=0,"CLEARED "&amp;IFERROR(TEXT(_xlfn.MAXIFS(nrMK_Date,nrMK_Link,$B185,nrMK_Credit,"Yes"),"mm/dd"),""),"OPEN"))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IF(OR($B186="",N($I186)=0),"",SUMIFS(nrMK_Min,nrMK_Link,$B186,nrMK_Credit,"Yes"))</f>
        <v/>
      </c>
      <c r="Q186" s="17">
        <f>IF(OR($B186="",N($J186)=0),"",SUMIFS(nrMK_Sess,nrMK_Link,$B186,nrMK_Credit,"Yes"))</f>
        <v/>
      </c>
      <c r="R186" s="17">
        <f>IF(OR($B186="",$N186&lt;&gt;"Yes"),"",IF(N($I186)&gt;0,N($I186)-N($P186),IF(N($J186)&gt;0,N($J186)-N($Q186),"")))</f>
        <v/>
      </c>
      <c r="S186" s="17">
        <f>IF(OR($B186="",$R186=""),"",IF($R186&lt;=0,"CLEARED "&amp;IFERROR(TEXT(_xlfn.MAXIFS(nrMK_Date,nrMK_Link,$B186,nrMK_Credit,"Yes"),"mm/dd"),""),"OPEN"))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IF(OR($B187="",N($I187)=0),"",SUMIFS(nrMK_Min,nrMK_Link,$B187,nrMK_Credit,"Yes"))</f>
        <v/>
      </c>
      <c r="Q187" s="17">
        <f>IF(OR($B187="",N($J187)=0),"",SUMIFS(nrMK_Sess,nrMK_Link,$B187,nrMK_Credit,"Yes"))</f>
        <v/>
      </c>
      <c r="R187" s="17">
        <f>IF(OR($B187="",$N187&lt;&gt;"Yes"),"",IF(N($I187)&gt;0,N($I187)-N($P187),IF(N($J187)&gt;0,N($J187)-N($Q187),"")))</f>
        <v/>
      </c>
      <c r="S187" s="17">
        <f>IF(OR($B187="",$R187=""),"",IF($R187&lt;=0,"CLEARED "&amp;IFERROR(TEXT(_xlfn.MAXIFS(nrMK_Date,nrMK_Link,$B187,nrMK_Credit,"Yes"),"mm/dd"),""),"OPEN"))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IF(OR($B188="",N($I188)=0),"",SUMIFS(nrMK_Min,nrMK_Link,$B188,nrMK_Credit,"Yes"))</f>
        <v/>
      </c>
      <c r="Q188" s="17">
        <f>IF(OR($B188="",N($J188)=0),"",SUMIFS(nrMK_Sess,nrMK_Link,$B188,nrMK_Credit,"Yes"))</f>
        <v/>
      </c>
      <c r="R188" s="17">
        <f>IF(OR($B188="",$N188&lt;&gt;"Yes"),"",IF(N($I188)&gt;0,N($I188)-N($P188),IF(N($J188)&gt;0,N($J188)-N($Q188),"")))</f>
        <v/>
      </c>
      <c r="S188" s="17">
        <f>IF(OR($B188="",$R188=""),"",IF($R188&lt;=0,"CLEARED "&amp;IFERROR(TEXT(_xlfn.MAXIFS(nrMK_Date,nrMK_Link,$B188,nrMK_Credit,"Yes"),"mm/dd"),""),"OPEN"))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IF(OR($B189="",N($I189)=0),"",SUMIFS(nrMK_Min,nrMK_Link,$B189,nrMK_Credit,"Yes"))</f>
        <v/>
      </c>
      <c r="Q189" s="17">
        <f>IF(OR($B189="",N($J189)=0),"",SUMIFS(nrMK_Sess,nrMK_Link,$B189,nrMK_Credit,"Yes"))</f>
        <v/>
      </c>
      <c r="R189" s="17">
        <f>IF(OR($B189="",$N189&lt;&gt;"Yes"),"",IF(N($I189)&gt;0,N($I189)-N($P189),IF(N($J189)&gt;0,N($J189)-N($Q189),"")))</f>
        <v/>
      </c>
      <c r="S189" s="17">
        <f>IF(OR($B189="",$R189=""),"",IF($R189&lt;=0,"CLEARED "&amp;IFERROR(TEXT(_xlfn.MAXIFS(nrMK_Date,nrMK_Link,$B189,nrMK_Credit,"Yes"),"mm/dd"),""),"OPEN"))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IF(OR($B190="",N($I190)=0),"",SUMIFS(nrMK_Min,nrMK_Link,$B190,nrMK_Credit,"Yes"))</f>
        <v/>
      </c>
      <c r="Q190" s="17">
        <f>IF(OR($B190="",N($J190)=0),"",SUMIFS(nrMK_Sess,nrMK_Link,$B190,nrMK_Credit,"Yes"))</f>
        <v/>
      </c>
      <c r="R190" s="17">
        <f>IF(OR($B190="",$N190&lt;&gt;"Yes"),"",IF(N($I190)&gt;0,N($I190)-N($P190),IF(N($J190)&gt;0,N($J190)-N($Q190),"")))</f>
        <v/>
      </c>
      <c r="S190" s="17">
        <f>IF(OR($B190="",$R190=""),"",IF($R190&lt;=0,"CLEARED "&amp;IFERROR(TEXT(_xlfn.MAXIFS(nrMK_Date,nrMK_Link,$B190,nrMK_Credit,"Yes"),"mm/dd"),""),"OPEN"))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IF(OR($B191="",N($I191)=0),"",SUMIFS(nrMK_Min,nrMK_Link,$B191,nrMK_Credit,"Yes"))</f>
        <v/>
      </c>
      <c r="Q191" s="17">
        <f>IF(OR($B191="",N($J191)=0),"",SUMIFS(nrMK_Sess,nrMK_Link,$B191,nrMK_Credit,"Yes"))</f>
        <v/>
      </c>
      <c r="R191" s="17">
        <f>IF(OR($B191="",$N191&lt;&gt;"Yes"),"",IF(N($I191)&gt;0,N($I191)-N($P191),IF(N($J191)&gt;0,N($J191)-N($Q191),"")))</f>
        <v/>
      </c>
      <c r="S191" s="17">
        <f>IF(OR($B191="",$R191=""),"",IF($R191&lt;=0,"CLEARED "&amp;IFERROR(TEXT(_xlfn.MAXIFS(nrMK_Date,nrMK_Link,$B191,nrMK_Credit,"Yes"),"mm/dd"),""),"OPEN"))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IF(OR($B192="",N($I192)=0),"",SUMIFS(nrMK_Min,nrMK_Link,$B192,nrMK_Credit,"Yes"))</f>
        <v/>
      </c>
      <c r="Q192" s="17">
        <f>IF(OR($B192="",N($J192)=0),"",SUMIFS(nrMK_Sess,nrMK_Link,$B192,nrMK_Credit,"Yes"))</f>
        <v/>
      </c>
      <c r="R192" s="17">
        <f>IF(OR($B192="",$N192&lt;&gt;"Yes"),"",IF(N($I192)&gt;0,N($I192)-N($P192),IF(N($J192)&gt;0,N($J192)-N($Q192),"")))</f>
        <v/>
      </c>
      <c r="S192" s="17">
        <f>IF(OR($B192="",$R192=""),"",IF($R192&lt;=0,"CLEARED "&amp;IFERROR(TEXT(_xlfn.MAXIFS(nrMK_Date,nrMK_Link,$B192,nrMK_Credit,"Yes"),"mm/dd"),""),"OPEN"))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IF(OR($B193="",N($I193)=0),"",SUMIFS(nrMK_Min,nrMK_Link,$B193,nrMK_Credit,"Yes"))</f>
        <v/>
      </c>
      <c r="Q193" s="17">
        <f>IF(OR($B193="",N($J193)=0),"",SUMIFS(nrMK_Sess,nrMK_Link,$B193,nrMK_Credit,"Yes"))</f>
        <v/>
      </c>
      <c r="R193" s="17">
        <f>IF(OR($B193="",$N193&lt;&gt;"Yes"),"",IF(N($I193)&gt;0,N($I193)-N($P193),IF(N($J193)&gt;0,N($J193)-N($Q193),"")))</f>
        <v/>
      </c>
      <c r="S193" s="17">
        <f>IF(OR($B193="",$R193=""),"",IF($R193&lt;=0,"CLEARED "&amp;IFERROR(TEXT(_xlfn.MAXIFS(nrMK_Date,nrMK_Link,$B193,nrMK_Credit,"Yes"),"mm/dd"),""),"OPEN"))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IF(OR($B194="",N($I194)=0),"",SUMIFS(nrMK_Min,nrMK_Link,$B194,nrMK_Credit,"Yes"))</f>
        <v/>
      </c>
      <c r="Q194" s="17">
        <f>IF(OR($B194="",N($J194)=0),"",SUMIFS(nrMK_Sess,nrMK_Link,$B194,nrMK_Credit,"Yes"))</f>
        <v/>
      </c>
      <c r="R194" s="17">
        <f>IF(OR($B194="",$N194&lt;&gt;"Yes"),"",IF(N($I194)&gt;0,N($I194)-N($P194),IF(N($J194)&gt;0,N($J194)-N($Q194),"")))</f>
        <v/>
      </c>
      <c r="S194" s="17">
        <f>IF(OR($B194="",$R194=""),"",IF($R194&lt;=0,"CLEARED "&amp;IFERROR(TEXT(_xlfn.MAXIFS(nrMK_Date,nrMK_Link,$B194,nrMK_Credit,"Yes"),"mm/dd"),""),"OPEN"))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IF(OR($B195="",N($I195)=0),"",SUMIFS(nrMK_Min,nrMK_Link,$B195,nrMK_Credit,"Yes"))</f>
        <v/>
      </c>
      <c r="Q195" s="17">
        <f>IF(OR($B195="",N($J195)=0),"",SUMIFS(nrMK_Sess,nrMK_Link,$B195,nrMK_Credit,"Yes"))</f>
        <v/>
      </c>
      <c r="R195" s="17">
        <f>IF(OR($B195="",$N195&lt;&gt;"Yes"),"",IF(N($I195)&gt;0,N($I195)-N($P195),IF(N($J195)&gt;0,N($J195)-N($Q195),"")))</f>
        <v/>
      </c>
      <c r="S195" s="17">
        <f>IF(OR($B195="",$R195=""),"",IF($R195&lt;=0,"CLEARED "&amp;IFERROR(TEXT(_xlfn.MAXIFS(nrMK_Date,nrMK_Link,$B195,nrMK_Credit,"Yes"),"mm/dd"),""),"OPEN"))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IF(OR($B196="",N($I196)=0),"",SUMIFS(nrMK_Min,nrMK_Link,$B196,nrMK_Credit,"Yes"))</f>
        <v/>
      </c>
      <c r="Q196" s="17">
        <f>IF(OR($B196="",N($J196)=0),"",SUMIFS(nrMK_Sess,nrMK_Link,$B196,nrMK_Credit,"Yes"))</f>
        <v/>
      </c>
      <c r="R196" s="17">
        <f>IF(OR($B196="",$N196&lt;&gt;"Yes"),"",IF(N($I196)&gt;0,N($I196)-N($P196),IF(N($J196)&gt;0,N($J196)-N($Q196),"")))</f>
        <v/>
      </c>
      <c r="S196" s="17">
        <f>IF(OR($B196="",$R196=""),"",IF($R196&lt;=0,"CLEARED "&amp;IFERROR(TEXT(_xlfn.MAXIFS(nrMK_Date,nrMK_Link,$B196,nrMK_Credit,"Yes"),"mm/dd"),""),"OPEN"))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IF(OR($B197="",N($I197)=0),"",SUMIFS(nrMK_Min,nrMK_Link,$B197,nrMK_Credit,"Yes"))</f>
        <v/>
      </c>
      <c r="Q197" s="17">
        <f>IF(OR($B197="",N($J197)=0),"",SUMIFS(nrMK_Sess,nrMK_Link,$B197,nrMK_Credit,"Yes"))</f>
        <v/>
      </c>
      <c r="R197" s="17">
        <f>IF(OR($B197="",$N197&lt;&gt;"Yes"),"",IF(N($I197)&gt;0,N($I197)-N($P197),IF(N($J197)&gt;0,N($J197)-N($Q197),"")))</f>
        <v/>
      </c>
      <c r="S197" s="17">
        <f>IF(OR($B197="",$R197=""),"",IF($R197&lt;=0,"CLEARED "&amp;IFERROR(TEXT(_xlfn.MAXIFS(nrMK_Date,nrMK_Link,$B197,nrMK_Credit,"Yes"),"mm/dd"),""),"OPEN"))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IF(OR($B198="",N($I198)=0),"",SUMIFS(nrMK_Min,nrMK_Link,$B198,nrMK_Credit,"Yes"))</f>
        <v/>
      </c>
      <c r="Q198" s="17">
        <f>IF(OR($B198="",N($J198)=0),"",SUMIFS(nrMK_Sess,nrMK_Link,$B198,nrMK_Credit,"Yes"))</f>
        <v/>
      </c>
      <c r="R198" s="17">
        <f>IF(OR($B198="",$N198&lt;&gt;"Yes"),"",IF(N($I198)&gt;0,N($I198)-N($P198),IF(N($J198)&gt;0,N($J198)-N($Q198),"")))</f>
        <v/>
      </c>
      <c r="S198" s="17">
        <f>IF(OR($B198="",$R198=""),"",IF($R198&lt;=0,"CLEARED "&amp;IFERROR(TEXT(_xlfn.MAXIFS(nrMK_Date,nrMK_Link,$B198,nrMK_Credit,"Yes"),"mm/dd"),""),"OPEN"))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IF(OR($B199="",N($I199)=0),"",SUMIFS(nrMK_Min,nrMK_Link,$B199,nrMK_Credit,"Yes"))</f>
        <v/>
      </c>
      <c r="Q199" s="17">
        <f>IF(OR($B199="",N($J199)=0),"",SUMIFS(nrMK_Sess,nrMK_Link,$B199,nrMK_Credit,"Yes"))</f>
        <v/>
      </c>
      <c r="R199" s="17">
        <f>IF(OR($B199="",$N199&lt;&gt;"Yes"),"",IF(N($I199)&gt;0,N($I199)-N($P199),IF(N($J199)&gt;0,N($J199)-N($Q199),"")))</f>
        <v/>
      </c>
      <c r="S199" s="17">
        <f>IF(OR($B199="",$R199=""),"",IF($R199&lt;=0,"CLEARED "&amp;IFERROR(TEXT(_xlfn.MAXIFS(nrMK_Date,nrMK_Link,$B199,nrMK_Credit,"Yes"),"mm/dd"),""),"OPEN"))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IF(OR($B200="",N($I200)=0),"",SUMIFS(nrMK_Min,nrMK_Link,$B200,nrMK_Credit,"Yes"))</f>
        <v/>
      </c>
      <c r="Q200" s="17">
        <f>IF(OR($B200="",N($J200)=0),"",SUMIFS(nrMK_Sess,nrMK_Link,$B200,nrMK_Credit,"Yes"))</f>
        <v/>
      </c>
      <c r="R200" s="17">
        <f>IF(OR($B200="",$N200&lt;&gt;"Yes"),"",IF(N($I200)&gt;0,N($I200)-N($P200),IF(N($J200)&gt;0,N($J200)-N($Q200),"")))</f>
        <v/>
      </c>
      <c r="S200" s="17">
        <f>IF(OR($B200="",$R200=""),"",IF($R200&lt;=0,"CLEARED "&amp;IFERROR(TEXT(_xlfn.MAXIFS(nrMK_Date,nrMK_Link,$B200,nrMK_Credit,"Yes"),"mm/dd"),""),"OPEN"))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IF(OR($B201="",N($I201)=0),"",SUMIFS(nrMK_Min,nrMK_Link,$B201,nrMK_Credit,"Yes"))</f>
        <v/>
      </c>
      <c r="Q201" s="17">
        <f>IF(OR($B201="",N($J201)=0),"",SUMIFS(nrMK_Sess,nrMK_Link,$B201,nrMK_Credit,"Yes"))</f>
        <v/>
      </c>
      <c r="R201" s="17">
        <f>IF(OR($B201="",$N201&lt;&gt;"Yes"),"",IF(N($I201)&gt;0,N($I201)-N($P201),IF(N($J201)&gt;0,N($J201)-N($Q201),"")))</f>
        <v/>
      </c>
      <c r="S201" s="17">
        <f>IF(OR($B201="",$R201=""),"",IF($R201&lt;=0,"CLEARED "&amp;IFERROR(TEXT(_xlfn.MAXIFS(nrMK_Date,nrMK_Link,$B201,nrMK_Credit,"Yes"),"mm/dd"),""),"OPEN"))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IF(OR($B202="",N($I202)=0),"",SUMIFS(nrMK_Min,nrMK_Link,$B202,nrMK_Credit,"Yes"))</f>
        <v/>
      </c>
      <c r="Q202" s="17">
        <f>IF(OR($B202="",N($J202)=0),"",SUMIFS(nrMK_Sess,nrMK_Link,$B202,nrMK_Credit,"Yes"))</f>
        <v/>
      </c>
      <c r="R202" s="17">
        <f>IF(OR($B202="",$N202&lt;&gt;"Yes"),"",IF(N($I202)&gt;0,N($I202)-N($P202),IF(N($J202)&gt;0,N($J202)-N($Q202),"")))</f>
        <v/>
      </c>
      <c r="S202" s="17">
        <f>IF(OR($B202="",$R202=""),"",IF($R202&lt;=0,"CLEARED "&amp;IFERROR(TEXT(_xlfn.MAXIFS(nrMK_Date,nrMK_Link,$B202,nrMK_Credit,"Yes"),"mm/dd"),""),"OPEN"))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IF(OR($B203="",N($I203)=0),"",SUMIFS(nrMK_Min,nrMK_Link,$B203,nrMK_Credit,"Yes"))</f>
        <v/>
      </c>
      <c r="Q203" s="17">
        <f>IF(OR($B203="",N($J203)=0),"",SUMIFS(nrMK_Sess,nrMK_Link,$B203,nrMK_Credit,"Yes"))</f>
        <v/>
      </c>
      <c r="R203" s="17">
        <f>IF(OR($B203="",$N203&lt;&gt;"Yes"),"",IF(N($I203)&gt;0,N($I203)-N($P203),IF(N($J203)&gt;0,N($J203)-N($Q203),"")))</f>
        <v/>
      </c>
      <c r="S203" s="17">
        <f>IF(OR($B203="",$R203=""),"",IF($R203&lt;=0,"CLEARED "&amp;IFERROR(TEXT(_xlfn.MAXIFS(nrMK_Date,nrMK_Link,$B203,nrMK_Credit,"Yes"),"mm/dd"),""),"OPEN"))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IF(OR($B204="",N($I204)=0),"",SUMIFS(nrMK_Min,nrMK_Link,$B204,nrMK_Credit,"Yes"))</f>
        <v/>
      </c>
      <c r="Q204" s="17">
        <f>IF(OR($B204="",N($J204)=0),"",SUMIFS(nrMK_Sess,nrMK_Link,$B204,nrMK_Credit,"Yes"))</f>
        <v/>
      </c>
      <c r="R204" s="17">
        <f>IF(OR($B204="",$N204&lt;&gt;"Yes"),"",IF(N($I204)&gt;0,N($I204)-N($P204),IF(N($J204)&gt;0,N($J204)-N($Q204),"")))</f>
        <v/>
      </c>
      <c r="S204" s="17">
        <f>IF(OR($B204="",$R204=""),"",IF($R204&lt;=0,"CLEARED "&amp;IFERROR(TEXT(_xlfn.MAXIFS(nrMK_Date,nrMK_Link,$B204,nrMK_Credit,"Yes"),"mm/dd"),""),"OPEN"))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IF(OR($B205="",N($I205)=0),"",SUMIFS(nrMK_Min,nrMK_Link,$B205,nrMK_Credit,"Yes"))</f>
        <v/>
      </c>
      <c r="Q205" s="17">
        <f>IF(OR($B205="",N($J205)=0),"",SUMIFS(nrMK_Sess,nrMK_Link,$B205,nrMK_Credit,"Yes"))</f>
        <v/>
      </c>
      <c r="R205" s="17">
        <f>IF(OR($B205="",$N205&lt;&gt;"Yes"),"",IF(N($I205)&gt;0,N($I205)-N($P205),IF(N($J205)&gt;0,N($J205)-N($Q205),"")))</f>
        <v/>
      </c>
      <c r="S205" s="17">
        <f>IF(OR($B205="",$R205=""),"",IF($R205&lt;=0,"CLEARED "&amp;IFERROR(TEXT(_xlfn.MAXIFS(nrMK_Date,nrMK_Link,$B205,nrMK_Credit,"Yes"),"mm/dd"),""),"OPEN"))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IF(OR($B206="",N($I206)=0),"",SUMIFS(nrMK_Min,nrMK_Link,$B206,nrMK_Credit,"Yes"))</f>
        <v/>
      </c>
      <c r="Q206" s="17">
        <f>IF(OR($B206="",N($J206)=0),"",SUMIFS(nrMK_Sess,nrMK_Link,$B206,nrMK_Credit,"Yes"))</f>
        <v/>
      </c>
      <c r="R206" s="17">
        <f>IF(OR($B206="",$N206&lt;&gt;"Yes"),"",IF(N($I206)&gt;0,N($I206)-N($P206),IF(N($J206)&gt;0,N($J206)-N($Q206),"")))</f>
        <v/>
      </c>
      <c r="S206" s="17">
        <f>IF(OR($B206="",$R206=""),"",IF($R206&lt;=0,"CLEARED "&amp;IFERROR(TEXT(_xlfn.MAXIFS(nrMK_Date,nrMK_Link,$B206,nrMK_Credit,"Yes"),"mm/dd"),""),"OPEN"))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IF(OR($B207="",N($I207)=0),"",SUMIFS(nrMK_Min,nrMK_Link,$B207,nrMK_Credit,"Yes"))</f>
        <v/>
      </c>
      <c r="Q207" s="17">
        <f>IF(OR($B207="",N($J207)=0),"",SUMIFS(nrMK_Sess,nrMK_Link,$B207,nrMK_Credit,"Yes"))</f>
        <v/>
      </c>
      <c r="R207" s="17">
        <f>IF(OR($B207="",$N207&lt;&gt;"Yes"),"",IF(N($I207)&gt;0,N($I207)-N($P207),IF(N($J207)&gt;0,N($J207)-N($Q207),"")))</f>
        <v/>
      </c>
      <c r="S207" s="17">
        <f>IF(OR($B207="",$R207=""),"",IF($R207&lt;=0,"CLEARED "&amp;IFERROR(TEXT(_xlfn.MAXIFS(nrMK_Date,nrMK_Link,$B207,nrMK_Credit,"Yes"),"mm/dd"),""),"OPEN"))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IF(OR($B208="",N($I208)=0),"",SUMIFS(nrMK_Min,nrMK_Link,$B208,nrMK_Credit,"Yes"))</f>
        <v/>
      </c>
      <c r="Q208" s="17">
        <f>IF(OR($B208="",N($J208)=0),"",SUMIFS(nrMK_Sess,nrMK_Link,$B208,nrMK_Credit,"Yes"))</f>
        <v/>
      </c>
      <c r="R208" s="17">
        <f>IF(OR($B208="",$N208&lt;&gt;"Yes"),"",IF(N($I208)&gt;0,N($I208)-N($P208),IF(N($J208)&gt;0,N($J208)-N($Q208),"")))</f>
        <v/>
      </c>
      <c r="S208" s="17">
        <f>IF(OR($B208="",$R208=""),"",IF($R208&lt;=0,"CLEARED "&amp;IFERROR(TEXT(_xlfn.MAXIFS(nrMK_Date,nrMK_Link,$B208,nrMK_Credit,"Yes"),"mm/dd"),""),"OPEN"))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IF(OR($B209="",N($I209)=0),"",SUMIFS(nrMK_Min,nrMK_Link,$B209,nrMK_Credit,"Yes"))</f>
        <v/>
      </c>
      <c r="Q209" s="17">
        <f>IF(OR($B209="",N($J209)=0),"",SUMIFS(nrMK_Sess,nrMK_Link,$B209,nrMK_Credit,"Yes"))</f>
        <v/>
      </c>
      <c r="R209" s="17">
        <f>IF(OR($B209="",$N209&lt;&gt;"Yes"),"",IF(N($I209)&gt;0,N($I209)-N($P209),IF(N($J209)&gt;0,N($J209)-N($Q209),"")))</f>
        <v/>
      </c>
      <c r="S209" s="17">
        <f>IF(OR($B209="",$R209=""),"",IF($R209&lt;=0,"CLEARED "&amp;IFERROR(TEXT(_xlfn.MAXIFS(nrMK_Date,nrMK_Link,$B209,nrMK_Credit,"Yes"),"mm/dd"),""),"OPEN"))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IF(OR($B210="",N($I210)=0),"",SUMIFS(nrMK_Min,nrMK_Link,$B210,nrMK_Credit,"Yes"))</f>
        <v/>
      </c>
      <c r="Q210" s="17">
        <f>IF(OR($B210="",N($J210)=0),"",SUMIFS(nrMK_Sess,nrMK_Link,$B210,nrMK_Credit,"Yes"))</f>
        <v/>
      </c>
      <c r="R210" s="17">
        <f>IF(OR($B210="",$N210&lt;&gt;"Yes"),"",IF(N($I210)&gt;0,N($I210)-N($P210),IF(N($J210)&gt;0,N($J210)-N($Q210),"")))</f>
        <v/>
      </c>
      <c r="S210" s="17">
        <f>IF(OR($B210="",$R210=""),"",IF($R210&lt;=0,"CLEARED "&amp;IFERROR(TEXT(_xlfn.MAXIFS(nrMK_Date,nrMK_Link,$B210,nrMK_Credit,"Yes"),"mm/dd"),""),"OPEN"))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IF(OR($B211="",N($I211)=0),"",SUMIFS(nrMK_Min,nrMK_Link,$B211,nrMK_Credit,"Yes"))</f>
        <v/>
      </c>
      <c r="Q211" s="17">
        <f>IF(OR($B211="",N($J211)=0),"",SUMIFS(nrMK_Sess,nrMK_Link,$B211,nrMK_Credit,"Yes"))</f>
        <v/>
      </c>
      <c r="R211" s="17">
        <f>IF(OR($B211="",$N211&lt;&gt;"Yes"),"",IF(N($I211)&gt;0,N($I211)-N($P211),IF(N($J211)&gt;0,N($J211)-N($Q211),"")))</f>
        <v/>
      </c>
      <c r="S211" s="17">
        <f>IF(OR($B211="",$R211=""),"",IF($R211&lt;=0,"CLEARED "&amp;IFERROR(TEXT(_xlfn.MAXIFS(nrMK_Date,nrMK_Link,$B211,nrMK_Credit,"Yes"),"mm/dd"),""),"OPEN"))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IF(OR($B212="",N($I212)=0),"",SUMIFS(nrMK_Min,nrMK_Link,$B212,nrMK_Credit,"Yes"))</f>
        <v/>
      </c>
      <c r="Q212" s="17">
        <f>IF(OR($B212="",N($J212)=0),"",SUMIFS(nrMK_Sess,nrMK_Link,$B212,nrMK_Credit,"Yes"))</f>
        <v/>
      </c>
      <c r="R212" s="17">
        <f>IF(OR($B212="",$N212&lt;&gt;"Yes"),"",IF(N($I212)&gt;0,N($I212)-N($P212),IF(N($J212)&gt;0,N($J212)-N($Q212),"")))</f>
        <v/>
      </c>
      <c r="S212" s="17">
        <f>IF(OR($B212="",$R212=""),"",IF($R212&lt;=0,"CLEARED "&amp;IFERROR(TEXT(_xlfn.MAXIFS(nrMK_Date,nrMK_Link,$B212,nrMK_Credit,"Yes"),"mm/dd"),""),"OPEN"))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IF(OR($B213="",N($I213)=0),"",SUMIFS(nrMK_Min,nrMK_Link,$B213,nrMK_Credit,"Yes"))</f>
        <v/>
      </c>
      <c r="Q213" s="17">
        <f>IF(OR($B213="",N($J213)=0),"",SUMIFS(nrMK_Sess,nrMK_Link,$B213,nrMK_Credit,"Yes"))</f>
        <v/>
      </c>
      <c r="R213" s="17">
        <f>IF(OR($B213="",$N213&lt;&gt;"Yes"),"",IF(N($I213)&gt;0,N($I213)-N($P213),IF(N($J213)&gt;0,N($J213)-N($Q213),"")))</f>
        <v/>
      </c>
      <c r="S213" s="17">
        <f>IF(OR($B213="",$R213=""),"",IF($R213&lt;=0,"CLEARED "&amp;IFERROR(TEXT(_xlfn.MAXIFS(nrMK_Date,nrMK_Link,$B213,nrMK_Credit,"Yes"),"mm/dd"),""),"OPEN"))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IF(OR($B214="",N($I214)=0),"",SUMIFS(nrMK_Min,nrMK_Link,$B214,nrMK_Credit,"Yes"))</f>
        <v/>
      </c>
      <c r="Q214" s="17">
        <f>IF(OR($B214="",N($J214)=0),"",SUMIFS(nrMK_Sess,nrMK_Link,$B214,nrMK_Credit,"Yes"))</f>
        <v/>
      </c>
      <c r="R214" s="17">
        <f>IF(OR($B214="",$N214&lt;&gt;"Yes"),"",IF(N($I214)&gt;0,N($I214)-N($P214),IF(N($J214)&gt;0,N($J214)-N($Q214),"")))</f>
        <v/>
      </c>
      <c r="S214" s="17">
        <f>IF(OR($B214="",$R214=""),"",IF($R214&lt;=0,"CLEARED "&amp;IFERROR(TEXT(_xlfn.MAXIFS(nrMK_Date,nrMK_Link,$B214,nrMK_Credit,"Yes"),"mm/dd"),""),"OPEN"))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IF(OR($B215="",N($I215)=0),"",SUMIFS(nrMK_Min,nrMK_Link,$B215,nrMK_Credit,"Yes"))</f>
        <v/>
      </c>
      <c r="Q215" s="17">
        <f>IF(OR($B215="",N($J215)=0),"",SUMIFS(nrMK_Sess,nrMK_Link,$B215,nrMK_Credit,"Yes"))</f>
        <v/>
      </c>
      <c r="R215" s="17">
        <f>IF(OR($B215="",$N215&lt;&gt;"Yes"),"",IF(N($I215)&gt;0,N($I215)-N($P215),IF(N($J215)&gt;0,N($J215)-N($Q215),"")))</f>
        <v/>
      </c>
      <c r="S215" s="17">
        <f>IF(OR($B215="",$R215=""),"",IF($R215&lt;=0,"CLEARED "&amp;IFERROR(TEXT(_xlfn.MAXIFS(nrMK_Date,nrMK_Link,$B215,nrMK_Credit,"Yes"),"mm/dd"),""),"OPEN"))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IF(OR($B216="",N($I216)=0),"",SUMIFS(nrMK_Min,nrMK_Link,$B216,nrMK_Credit,"Yes"))</f>
        <v/>
      </c>
      <c r="Q216" s="17">
        <f>IF(OR($B216="",N($J216)=0),"",SUMIFS(nrMK_Sess,nrMK_Link,$B216,nrMK_Credit,"Yes"))</f>
        <v/>
      </c>
      <c r="R216" s="17">
        <f>IF(OR($B216="",$N216&lt;&gt;"Yes"),"",IF(N($I216)&gt;0,N($I216)-N($P216),IF(N($J216)&gt;0,N($J216)-N($Q216),"")))</f>
        <v/>
      </c>
      <c r="S216" s="17">
        <f>IF(OR($B216="",$R216=""),"",IF($R216&lt;=0,"CLEARED "&amp;IFERROR(TEXT(_xlfn.MAXIFS(nrMK_Date,nrMK_Link,$B216,nrMK_Credit,"Yes"),"mm/dd"),""),"OPEN"))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IF(OR($B217="",N($I217)=0),"",SUMIFS(nrMK_Min,nrMK_Link,$B217,nrMK_Credit,"Yes"))</f>
        <v/>
      </c>
      <c r="Q217" s="17">
        <f>IF(OR($B217="",N($J217)=0),"",SUMIFS(nrMK_Sess,nrMK_Link,$B217,nrMK_Credit,"Yes"))</f>
        <v/>
      </c>
      <c r="R217" s="17">
        <f>IF(OR($B217="",$N217&lt;&gt;"Yes"),"",IF(N($I217)&gt;0,N($I217)-N($P217),IF(N($J217)&gt;0,N($J217)-N($Q217),"")))</f>
        <v/>
      </c>
      <c r="S217" s="17">
        <f>IF(OR($B217="",$R217=""),"",IF($R217&lt;=0,"CLEARED "&amp;IFERROR(TEXT(_xlfn.MAXIFS(nrMK_Date,nrMK_Link,$B217,nrMK_Credit,"Yes"),"mm/dd"),""),"OPEN"))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IF(OR($B218="",N($I218)=0),"",SUMIFS(nrMK_Min,nrMK_Link,$B218,nrMK_Credit,"Yes"))</f>
        <v/>
      </c>
      <c r="Q218" s="17">
        <f>IF(OR($B218="",N($J218)=0),"",SUMIFS(nrMK_Sess,nrMK_Link,$B218,nrMK_Credit,"Yes"))</f>
        <v/>
      </c>
      <c r="R218" s="17">
        <f>IF(OR($B218="",$N218&lt;&gt;"Yes"),"",IF(N($I218)&gt;0,N($I218)-N($P218),IF(N($J218)&gt;0,N($J218)-N($Q218),"")))</f>
        <v/>
      </c>
      <c r="S218" s="17">
        <f>IF(OR($B218="",$R218=""),"",IF($R218&lt;=0,"CLEARED "&amp;IFERROR(TEXT(_xlfn.MAXIFS(nrMK_Date,nrMK_Link,$B218,nrMK_Credit,"Yes"),"mm/dd"),""),"OPEN"))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IF(OR($B219="",N($I219)=0),"",SUMIFS(nrMK_Min,nrMK_Link,$B219,nrMK_Credit,"Yes"))</f>
        <v/>
      </c>
      <c r="Q219" s="17">
        <f>IF(OR($B219="",N($J219)=0),"",SUMIFS(nrMK_Sess,nrMK_Link,$B219,nrMK_Credit,"Yes"))</f>
        <v/>
      </c>
      <c r="R219" s="17">
        <f>IF(OR($B219="",$N219&lt;&gt;"Yes"),"",IF(N($I219)&gt;0,N($I219)-N($P219),IF(N($J219)&gt;0,N($J219)-N($Q219),"")))</f>
        <v/>
      </c>
      <c r="S219" s="17">
        <f>IF(OR($B219="",$R219=""),"",IF($R219&lt;=0,"CLEARED "&amp;IFERROR(TEXT(_xlfn.MAXIFS(nrMK_Date,nrMK_Link,$B219,nrMK_Credit,"Yes"),"mm/dd"),""),"OPEN"))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IF(OR($B220="",N($I220)=0),"",SUMIFS(nrMK_Min,nrMK_Link,$B220,nrMK_Credit,"Yes"))</f>
        <v/>
      </c>
      <c r="Q220" s="17">
        <f>IF(OR($B220="",N($J220)=0),"",SUMIFS(nrMK_Sess,nrMK_Link,$B220,nrMK_Credit,"Yes"))</f>
        <v/>
      </c>
      <c r="R220" s="17">
        <f>IF(OR($B220="",$N220&lt;&gt;"Yes"),"",IF(N($I220)&gt;0,N($I220)-N($P220),IF(N($J220)&gt;0,N($J220)-N($Q220),"")))</f>
        <v/>
      </c>
      <c r="S220" s="17">
        <f>IF(OR($B220="",$R220=""),"",IF($R220&lt;=0,"CLEARED "&amp;IFERROR(TEXT(_xlfn.MAXIFS(nrMK_Date,nrMK_Link,$B220,nrMK_Credit,"Yes"),"mm/dd"),""),"OPEN"))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IF(OR($B221="",N($I221)=0),"",SUMIFS(nrMK_Min,nrMK_Link,$B221,nrMK_Credit,"Yes"))</f>
        <v/>
      </c>
      <c r="Q221" s="17">
        <f>IF(OR($B221="",N($J221)=0),"",SUMIFS(nrMK_Sess,nrMK_Link,$B221,nrMK_Credit,"Yes"))</f>
        <v/>
      </c>
      <c r="R221" s="17">
        <f>IF(OR($B221="",$N221&lt;&gt;"Yes"),"",IF(N($I221)&gt;0,N($I221)-N($P221),IF(N($J221)&gt;0,N($J221)-N($Q221),"")))</f>
        <v/>
      </c>
      <c r="S221" s="17">
        <f>IF(OR($B221="",$R221=""),"",IF($R221&lt;=0,"CLEARED "&amp;IFERROR(TEXT(_xlfn.MAXIFS(nrMK_Date,nrMK_Link,$B221,nrMK_Credit,"Yes"),"mm/dd"),""),"OPEN"))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IF(OR($B222="",N($I222)=0),"",SUMIFS(nrMK_Min,nrMK_Link,$B222,nrMK_Credit,"Yes"))</f>
        <v/>
      </c>
      <c r="Q222" s="17">
        <f>IF(OR($B222="",N($J222)=0),"",SUMIFS(nrMK_Sess,nrMK_Link,$B222,nrMK_Credit,"Yes"))</f>
        <v/>
      </c>
      <c r="R222" s="17">
        <f>IF(OR($B222="",$N222&lt;&gt;"Yes"),"",IF(N($I222)&gt;0,N($I222)-N($P222),IF(N($J222)&gt;0,N($J222)-N($Q222),"")))</f>
        <v/>
      </c>
      <c r="S222" s="17">
        <f>IF(OR($B222="",$R222=""),"",IF($R222&lt;=0,"CLEARED "&amp;IFERROR(TEXT(_xlfn.MAXIFS(nrMK_Date,nrMK_Link,$B222,nrMK_Credit,"Yes"),"mm/dd"),""),"OPEN"))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IF(OR($B223="",N($I223)=0),"",SUMIFS(nrMK_Min,nrMK_Link,$B223,nrMK_Credit,"Yes"))</f>
        <v/>
      </c>
      <c r="Q223" s="17">
        <f>IF(OR($B223="",N($J223)=0),"",SUMIFS(nrMK_Sess,nrMK_Link,$B223,nrMK_Credit,"Yes"))</f>
        <v/>
      </c>
      <c r="R223" s="17">
        <f>IF(OR($B223="",$N223&lt;&gt;"Yes"),"",IF(N($I223)&gt;0,N($I223)-N($P223),IF(N($J223)&gt;0,N($J223)-N($Q223),"")))</f>
        <v/>
      </c>
      <c r="S223" s="17">
        <f>IF(OR($B223="",$R223=""),"",IF($R223&lt;=0,"CLEARED "&amp;IFERROR(TEXT(_xlfn.MAXIFS(nrMK_Date,nrMK_Link,$B223,nrMK_Credit,"Yes"),"mm/dd"),""),"OPEN"))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IF(OR($B224="",N($I224)=0),"",SUMIFS(nrMK_Min,nrMK_Link,$B224,nrMK_Credit,"Yes"))</f>
        <v/>
      </c>
      <c r="Q224" s="17">
        <f>IF(OR($B224="",N($J224)=0),"",SUMIFS(nrMK_Sess,nrMK_Link,$B224,nrMK_Credit,"Yes"))</f>
        <v/>
      </c>
      <c r="R224" s="17">
        <f>IF(OR($B224="",$N224&lt;&gt;"Yes"),"",IF(N($I224)&gt;0,N($I224)-N($P224),IF(N($J224)&gt;0,N($J224)-N($Q224),"")))</f>
        <v/>
      </c>
      <c r="S224" s="17">
        <f>IF(OR($B224="",$R224=""),"",IF($R224&lt;=0,"CLEARED "&amp;IFERROR(TEXT(_xlfn.MAXIFS(nrMK_Date,nrMK_Link,$B224,nrMK_Credit,"Yes"),"mm/dd"),""),"OPEN"))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IF(OR($B225="",N($I225)=0),"",SUMIFS(nrMK_Min,nrMK_Link,$B225,nrMK_Credit,"Yes"))</f>
        <v/>
      </c>
      <c r="Q225" s="17">
        <f>IF(OR($B225="",N($J225)=0),"",SUMIFS(nrMK_Sess,nrMK_Link,$B225,nrMK_Credit,"Yes"))</f>
        <v/>
      </c>
      <c r="R225" s="17">
        <f>IF(OR($B225="",$N225&lt;&gt;"Yes"),"",IF(N($I225)&gt;0,N($I225)-N($P225),IF(N($J225)&gt;0,N($J225)-N($Q225),"")))</f>
        <v/>
      </c>
      <c r="S225" s="17">
        <f>IF(OR($B225="",$R225=""),"",IF($R225&lt;=0,"CLEARED "&amp;IFERROR(TEXT(_xlfn.MAXIFS(nrMK_Date,nrMK_Link,$B225,nrMK_Credit,"Yes"),"mm/dd"),""),"OPEN"))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IF(OR($B226="",N($I226)=0),"",SUMIFS(nrMK_Min,nrMK_Link,$B226,nrMK_Credit,"Yes"))</f>
        <v/>
      </c>
      <c r="Q226" s="17">
        <f>IF(OR($B226="",N($J226)=0),"",SUMIFS(nrMK_Sess,nrMK_Link,$B226,nrMK_Credit,"Yes"))</f>
        <v/>
      </c>
      <c r="R226" s="17">
        <f>IF(OR($B226="",$N226&lt;&gt;"Yes"),"",IF(N($I226)&gt;0,N($I226)-N($P226),IF(N($J226)&gt;0,N($J226)-N($Q226),"")))</f>
        <v/>
      </c>
      <c r="S226" s="17">
        <f>IF(OR($B226="",$R226=""),"",IF($R226&lt;=0,"CLEARED "&amp;IFERROR(TEXT(_xlfn.MAXIFS(nrMK_Date,nrMK_Link,$B226,nrMK_Credit,"Yes"),"mm/dd"),""),"OPEN"))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IF(OR($B227="",N($I227)=0),"",SUMIFS(nrMK_Min,nrMK_Link,$B227,nrMK_Credit,"Yes"))</f>
        <v/>
      </c>
      <c r="Q227" s="17">
        <f>IF(OR($B227="",N($J227)=0),"",SUMIFS(nrMK_Sess,nrMK_Link,$B227,nrMK_Credit,"Yes"))</f>
        <v/>
      </c>
      <c r="R227" s="17">
        <f>IF(OR($B227="",$N227&lt;&gt;"Yes"),"",IF(N($I227)&gt;0,N($I227)-N($P227),IF(N($J227)&gt;0,N($J227)-N($Q227),"")))</f>
        <v/>
      </c>
      <c r="S227" s="17">
        <f>IF(OR($B227="",$R227=""),"",IF($R227&lt;=0,"CLEARED "&amp;IFERROR(TEXT(_xlfn.MAXIFS(nrMK_Date,nrMK_Link,$B227,nrMK_Credit,"Yes"),"mm/dd"),""),"OPEN"))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IF(OR($B228="",N($I228)=0),"",SUMIFS(nrMK_Min,nrMK_Link,$B228,nrMK_Credit,"Yes"))</f>
        <v/>
      </c>
      <c r="Q228" s="17">
        <f>IF(OR($B228="",N($J228)=0),"",SUMIFS(nrMK_Sess,nrMK_Link,$B228,nrMK_Credit,"Yes"))</f>
        <v/>
      </c>
      <c r="R228" s="17">
        <f>IF(OR($B228="",$N228&lt;&gt;"Yes"),"",IF(N($I228)&gt;0,N($I228)-N($P228),IF(N($J228)&gt;0,N($J228)-N($Q228),"")))</f>
        <v/>
      </c>
      <c r="S228" s="17">
        <f>IF(OR($B228="",$R228=""),"",IF($R228&lt;=0,"CLEARED "&amp;IFERROR(TEXT(_xlfn.MAXIFS(nrMK_Date,nrMK_Link,$B228,nrMK_Credit,"Yes"),"mm/dd"),""),"OPEN"))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IF(OR($B229="",N($I229)=0),"",SUMIFS(nrMK_Min,nrMK_Link,$B229,nrMK_Credit,"Yes"))</f>
        <v/>
      </c>
      <c r="Q229" s="17">
        <f>IF(OR($B229="",N($J229)=0),"",SUMIFS(nrMK_Sess,nrMK_Link,$B229,nrMK_Credit,"Yes"))</f>
        <v/>
      </c>
      <c r="R229" s="17">
        <f>IF(OR($B229="",$N229&lt;&gt;"Yes"),"",IF(N($I229)&gt;0,N($I229)-N($P229),IF(N($J229)&gt;0,N($J229)-N($Q229),"")))</f>
        <v/>
      </c>
      <c r="S229" s="17">
        <f>IF(OR($B229="",$R229=""),"",IF($R229&lt;=0,"CLEARED "&amp;IFERROR(TEXT(_xlfn.MAXIFS(nrMK_Date,nrMK_Link,$B229,nrMK_Credit,"Yes"),"mm/dd"),""),"OPEN"))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IF(OR($B230="",N($I230)=0),"",SUMIFS(nrMK_Min,nrMK_Link,$B230,nrMK_Credit,"Yes"))</f>
        <v/>
      </c>
      <c r="Q230" s="17">
        <f>IF(OR($B230="",N($J230)=0),"",SUMIFS(nrMK_Sess,nrMK_Link,$B230,nrMK_Credit,"Yes"))</f>
        <v/>
      </c>
      <c r="R230" s="17">
        <f>IF(OR($B230="",$N230&lt;&gt;"Yes"),"",IF(N($I230)&gt;0,N($I230)-N($P230),IF(N($J230)&gt;0,N($J230)-N($Q230),"")))</f>
        <v/>
      </c>
      <c r="S230" s="17">
        <f>IF(OR($B230="",$R230=""),"",IF($R230&lt;=0,"CLEARED "&amp;IFERROR(TEXT(_xlfn.MAXIFS(nrMK_Date,nrMK_Link,$B230,nrMK_Credit,"Yes"),"mm/dd"),""),"OPEN"))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IF(OR($B231="",N($I231)=0),"",SUMIFS(nrMK_Min,nrMK_Link,$B231,nrMK_Credit,"Yes"))</f>
        <v/>
      </c>
      <c r="Q231" s="17">
        <f>IF(OR($B231="",N($J231)=0),"",SUMIFS(nrMK_Sess,nrMK_Link,$B231,nrMK_Credit,"Yes"))</f>
        <v/>
      </c>
      <c r="R231" s="17">
        <f>IF(OR($B231="",$N231&lt;&gt;"Yes"),"",IF(N($I231)&gt;0,N($I231)-N($P231),IF(N($J231)&gt;0,N($J231)-N($Q231),"")))</f>
        <v/>
      </c>
      <c r="S231" s="17">
        <f>IF(OR($B231="",$R231=""),"",IF($R231&lt;=0,"CLEARED "&amp;IFERROR(TEXT(_xlfn.MAXIFS(nrMK_Date,nrMK_Link,$B231,nrMK_Credit,"Yes"),"mm/dd"),""),"OPEN"))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IF(OR($B232="",N($I232)=0),"",SUMIFS(nrMK_Min,nrMK_Link,$B232,nrMK_Credit,"Yes"))</f>
        <v/>
      </c>
      <c r="Q232" s="17">
        <f>IF(OR($B232="",N($J232)=0),"",SUMIFS(nrMK_Sess,nrMK_Link,$B232,nrMK_Credit,"Yes"))</f>
        <v/>
      </c>
      <c r="R232" s="17">
        <f>IF(OR($B232="",$N232&lt;&gt;"Yes"),"",IF(N($I232)&gt;0,N($I232)-N($P232),IF(N($J232)&gt;0,N($J232)-N($Q232),"")))</f>
        <v/>
      </c>
      <c r="S232" s="17">
        <f>IF(OR($B232="",$R232=""),"",IF($R232&lt;=0,"CLEARED "&amp;IFERROR(TEXT(_xlfn.MAXIFS(nrMK_Date,nrMK_Link,$B232,nrMK_Credit,"Yes"),"mm/dd"),""),"OPEN"))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IF(OR($B233="",N($I233)=0),"",SUMIFS(nrMK_Min,nrMK_Link,$B233,nrMK_Credit,"Yes"))</f>
        <v/>
      </c>
      <c r="Q233" s="17">
        <f>IF(OR($B233="",N($J233)=0),"",SUMIFS(nrMK_Sess,nrMK_Link,$B233,nrMK_Credit,"Yes"))</f>
        <v/>
      </c>
      <c r="R233" s="17">
        <f>IF(OR($B233="",$N233&lt;&gt;"Yes"),"",IF(N($I233)&gt;0,N($I233)-N($P233),IF(N($J233)&gt;0,N($J233)-N($Q233),"")))</f>
        <v/>
      </c>
      <c r="S233" s="17">
        <f>IF(OR($B233="",$R233=""),"",IF($R233&lt;=0,"CLEARED "&amp;IFERROR(TEXT(_xlfn.MAXIFS(nrMK_Date,nrMK_Link,$B233,nrMK_Credit,"Yes"),"mm/dd"),""),"OPEN"))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IF(OR($B234="",N($I234)=0),"",SUMIFS(nrMK_Min,nrMK_Link,$B234,nrMK_Credit,"Yes"))</f>
        <v/>
      </c>
      <c r="Q234" s="17">
        <f>IF(OR($B234="",N($J234)=0),"",SUMIFS(nrMK_Sess,nrMK_Link,$B234,nrMK_Credit,"Yes"))</f>
        <v/>
      </c>
      <c r="R234" s="17">
        <f>IF(OR($B234="",$N234&lt;&gt;"Yes"),"",IF(N($I234)&gt;0,N($I234)-N($P234),IF(N($J234)&gt;0,N($J234)-N($Q234),"")))</f>
        <v/>
      </c>
      <c r="S234" s="17">
        <f>IF(OR($B234="",$R234=""),"",IF($R234&lt;=0,"CLEARED "&amp;IFERROR(TEXT(_xlfn.MAXIFS(nrMK_Date,nrMK_Link,$B234,nrMK_Credit,"Yes"),"mm/dd"),""),"OPEN"))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IF(OR($B235="",N($I235)=0),"",SUMIFS(nrMK_Min,nrMK_Link,$B235,nrMK_Credit,"Yes"))</f>
        <v/>
      </c>
      <c r="Q235" s="17">
        <f>IF(OR($B235="",N($J235)=0),"",SUMIFS(nrMK_Sess,nrMK_Link,$B235,nrMK_Credit,"Yes"))</f>
        <v/>
      </c>
      <c r="R235" s="17">
        <f>IF(OR($B235="",$N235&lt;&gt;"Yes"),"",IF(N($I235)&gt;0,N($I235)-N($P235),IF(N($J235)&gt;0,N($J235)-N($Q235),"")))</f>
        <v/>
      </c>
      <c r="S235" s="17">
        <f>IF(OR($B235="",$R235=""),"",IF($R235&lt;=0,"CLEARED "&amp;IFERROR(TEXT(_xlfn.MAXIFS(nrMK_Date,nrMK_Link,$B235,nrMK_Credit,"Yes"),"mm/dd"),""),"OPEN"))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IF(OR($B236="",N($I236)=0),"",SUMIFS(nrMK_Min,nrMK_Link,$B236,nrMK_Credit,"Yes"))</f>
        <v/>
      </c>
      <c r="Q236" s="17">
        <f>IF(OR($B236="",N($J236)=0),"",SUMIFS(nrMK_Sess,nrMK_Link,$B236,nrMK_Credit,"Yes"))</f>
        <v/>
      </c>
      <c r="R236" s="17">
        <f>IF(OR($B236="",$N236&lt;&gt;"Yes"),"",IF(N($I236)&gt;0,N($I236)-N($P236),IF(N($J236)&gt;0,N($J236)-N($Q236),"")))</f>
        <v/>
      </c>
      <c r="S236" s="17">
        <f>IF(OR($B236="",$R236=""),"",IF($R236&lt;=0,"CLEARED "&amp;IFERROR(TEXT(_xlfn.MAXIFS(nrMK_Date,nrMK_Link,$B236,nrMK_Credit,"Yes"),"mm/dd"),""),"OPEN"))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IF(OR($B237="",N($I237)=0),"",SUMIFS(nrMK_Min,nrMK_Link,$B237,nrMK_Credit,"Yes"))</f>
        <v/>
      </c>
      <c r="Q237" s="17">
        <f>IF(OR($B237="",N($J237)=0),"",SUMIFS(nrMK_Sess,nrMK_Link,$B237,nrMK_Credit,"Yes"))</f>
        <v/>
      </c>
      <c r="R237" s="17">
        <f>IF(OR($B237="",$N237&lt;&gt;"Yes"),"",IF(N($I237)&gt;0,N($I237)-N($P237),IF(N($J237)&gt;0,N($J237)-N($Q237),"")))</f>
        <v/>
      </c>
      <c r="S237" s="17">
        <f>IF(OR($B237="",$R237=""),"",IF($R237&lt;=0,"CLEARED "&amp;IFERROR(TEXT(_xlfn.MAXIFS(nrMK_Date,nrMK_Link,$B237,nrMK_Credit,"Yes"),"mm/dd"),""),"OPEN"))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IF(OR($B238="",N($I238)=0),"",SUMIFS(nrMK_Min,nrMK_Link,$B238,nrMK_Credit,"Yes"))</f>
        <v/>
      </c>
      <c r="Q238" s="17">
        <f>IF(OR($B238="",N($J238)=0),"",SUMIFS(nrMK_Sess,nrMK_Link,$B238,nrMK_Credit,"Yes"))</f>
        <v/>
      </c>
      <c r="R238" s="17">
        <f>IF(OR($B238="",$N238&lt;&gt;"Yes"),"",IF(N($I238)&gt;0,N($I238)-N($P238),IF(N($J238)&gt;0,N($J238)-N($Q238),"")))</f>
        <v/>
      </c>
      <c r="S238" s="17">
        <f>IF(OR($B238="",$R238=""),"",IF($R238&lt;=0,"CLEARED "&amp;IFERROR(TEXT(_xlfn.MAXIFS(nrMK_Date,nrMK_Link,$B238,nrMK_Credit,"Yes"),"mm/dd"),""),"OPEN"))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IF(OR($B239="",N($I239)=0),"",SUMIFS(nrMK_Min,nrMK_Link,$B239,nrMK_Credit,"Yes"))</f>
        <v/>
      </c>
      <c r="Q239" s="17">
        <f>IF(OR($B239="",N($J239)=0),"",SUMIFS(nrMK_Sess,nrMK_Link,$B239,nrMK_Credit,"Yes"))</f>
        <v/>
      </c>
      <c r="R239" s="17">
        <f>IF(OR($B239="",$N239&lt;&gt;"Yes"),"",IF(N($I239)&gt;0,N($I239)-N($P239),IF(N($J239)&gt;0,N($J239)-N($Q239),"")))</f>
        <v/>
      </c>
      <c r="S239" s="17">
        <f>IF(OR($B239="",$R239=""),"",IF($R239&lt;=0,"CLEARED "&amp;IFERROR(TEXT(_xlfn.MAXIFS(nrMK_Date,nrMK_Link,$B239,nrMK_Credit,"Yes"),"mm/dd"),""),"OPEN"))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IF(OR($B240="",N($I240)=0),"",SUMIFS(nrMK_Min,nrMK_Link,$B240,nrMK_Credit,"Yes"))</f>
        <v/>
      </c>
      <c r="Q240" s="17">
        <f>IF(OR($B240="",N($J240)=0),"",SUMIFS(nrMK_Sess,nrMK_Link,$B240,nrMK_Credit,"Yes"))</f>
        <v/>
      </c>
      <c r="R240" s="17">
        <f>IF(OR($B240="",$N240&lt;&gt;"Yes"),"",IF(N($I240)&gt;0,N($I240)-N($P240),IF(N($J240)&gt;0,N($J240)-N($Q240),"")))</f>
        <v/>
      </c>
      <c r="S240" s="17">
        <f>IF(OR($B240="",$R240=""),"",IF($R240&lt;=0,"CLEARED "&amp;IFERROR(TEXT(_xlfn.MAXIFS(nrMK_Date,nrMK_Link,$B240,nrMK_Credit,"Yes"),"mm/dd"),""),"OPEN"))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IF(OR($B241="",N($I241)=0),"",SUMIFS(nrMK_Min,nrMK_Link,$B241,nrMK_Credit,"Yes"))</f>
        <v/>
      </c>
      <c r="Q241" s="17">
        <f>IF(OR($B241="",N($J241)=0),"",SUMIFS(nrMK_Sess,nrMK_Link,$B241,nrMK_Credit,"Yes"))</f>
        <v/>
      </c>
      <c r="R241" s="17">
        <f>IF(OR($B241="",$N241&lt;&gt;"Yes"),"",IF(N($I241)&gt;0,N($I241)-N($P241),IF(N($J241)&gt;0,N($J241)-N($Q241),"")))</f>
        <v/>
      </c>
      <c r="S241" s="17">
        <f>IF(OR($B241="",$R241=""),"",IF($R241&lt;=0,"CLEARED "&amp;IFERROR(TEXT(_xlfn.MAXIFS(nrMK_Date,nrMK_Link,$B241,nrMK_Credit,"Yes"),"mm/dd"),""),"OPEN"))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IF(OR($B242="",N($I242)=0),"",SUMIFS(nrMK_Min,nrMK_Link,$B242,nrMK_Credit,"Yes"))</f>
        <v/>
      </c>
      <c r="Q242" s="17">
        <f>IF(OR($B242="",N($J242)=0),"",SUMIFS(nrMK_Sess,nrMK_Link,$B242,nrMK_Credit,"Yes"))</f>
        <v/>
      </c>
      <c r="R242" s="17">
        <f>IF(OR($B242="",$N242&lt;&gt;"Yes"),"",IF(N($I242)&gt;0,N($I242)-N($P242),IF(N($J242)&gt;0,N($J242)-N($Q242),"")))</f>
        <v/>
      </c>
      <c r="S242" s="17">
        <f>IF(OR($B242="",$R242=""),"",IF($R242&lt;=0,"CLEARED "&amp;IFERROR(TEXT(_xlfn.MAXIFS(nrMK_Date,nrMK_Link,$B242,nrMK_Credit,"Yes"),"mm/dd"),""),"OPEN"))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IF(OR($B243="",N($I243)=0),"",SUMIFS(nrMK_Min,nrMK_Link,$B243,nrMK_Credit,"Yes"))</f>
        <v/>
      </c>
      <c r="Q243" s="17">
        <f>IF(OR($B243="",N($J243)=0),"",SUMIFS(nrMK_Sess,nrMK_Link,$B243,nrMK_Credit,"Yes"))</f>
        <v/>
      </c>
      <c r="R243" s="17">
        <f>IF(OR($B243="",$N243&lt;&gt;"Yes"),"",IF(N($I243)&gt;0,N($I243)-N($P243),IF(N($J243)&gt;0,N($J243)-N($Q243),"")))</f>
        <v/>
      </c>
      <c r="S243" s="17">
        <f>IF(OR($B243="",$R243=""),"",IF($R243&lt;=0,"CLEARED "&amp;IFERROR(TEXT(_xlfn.MAXIFS(nrMK_Date,nrMK_Link,$B243,nrMK_Credit,"Yes"),"mm/dd"),""),"OPEN"))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IF(OR($B244="",N($I244)=0),"",SUMIFS(nrMK_Min,nrMK_Link,$B244,nrMK_Credit,"Yes"))</f>
        <v/>
      </c>
      <c r="Q244" s="17">
        <f>IF(OR($B244="",N($J244)=0),"",SUMIFS(nrMK_Sess,nrMK_Link,$B244,nrMK_Credit,"Yes"))</f>
        <v/>
      </c>
      <c r="R244" s="17">
        <f>IF(OR($B244="",$N244&lt;&gt;"Yes"),"",IF(N($I244)&gt;0,N($I244)-N($P244),IF(N($J244)&gt;0,N($J244)-N($Q244),"")))</f>
        <v/>
      </c>
      <c r="S244" s="17">
        <f>IF(OR($B244="",$R244=""),"",IF($R244&lt;=0,"CLEARED "&amp;IFERROR(TEXT(_xlfn.MAXIFS(nrMK_Date,nrMK_Link,$B244,nrMK_Credit,"Yes"),"mm/dd"),""),"OPEN"))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IF(OR($B245="",N($I245)=0),"",SUMIFS(nrMK_Min,nrMK_Link,$B245,nrMK_Credit,"Yes"))</f>
        <v/>
      </c>
      <c r="Q245" s="17">
        <f>IF(OR($B245="",N($J245)=0),"",SUMIFS(nrMK_Sess,nrMK_Link,$B245,nrMK_Credit,"Yes"))</f>
        <v/>
      </c>
      <c r="R245" s="17">
        <f>IF(OR($B245="",$N245&lt;&gt;"Yes"),"",IF(N($I245)&gt;0,N($I245)-N($P245),IF(N($J245)&gt;0,N($J245)-N($Q245),"")))</f>
        <v/>
      </c>
      <c r="S245" s="17">
        <f>IF(OR($B245="",$R245=""),"",IF($R245&lt;=0,"CLEARED "&amp;IFERROR(TEXT(_xlfn.MAXIFS(nrMK_Date,nrMK_Link,$B245,nrMK_Credit,"Yes"),"mm/dd"),""),"OPEN"))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IF(OR($B246="",N($I246)=0),"",SUMIFS(nrMK_Min,nrMK_Link,$B246,nrMK_Credit,"Yes"))</f>
        <v/>
      </c>
      <c r="Q246" s="17">
        <f>IF(OR($B246="",N($J246)=0),"",SUMIFS(nrMK_Sess,nrMK_Link,$B246,nrMK_Credit,"Yes"))</f>
        <v/>
      </c>
      <c r="R246" s="17">
        <f>IF(OR($B246="",$N246&lt;&gt;"Yes"),"",IF(N($I246)&gt;0,N($I246)-N($P246),IF(N($J246)&gt;0,N($J246)-N($Q246),"")))</f>
        <v/>
      </c>
      <c r="S246" s="17">
        <f>IF(OR($B246="",$R246=""),"",IF($R246&lt;=0,"CLEARED "&amp;IFERROR(TEXT(_xlfn.MAXIFS(nrMK_Date,nrMK_Link,$B246,nrMK_Credit,"Yes"),"mm/dd"),""),"OPEN"))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IF(OR($B247="",N($I247)=0),"",SUMIFS(nrMK_Min,nrMK_Link,$B247,nrMK_Credit,"Yes"))</f>
        <v/>
      </c>
      <c r="Q247" s="17">
        <f>IF(OR($B247="",N($J247)=0),"",SUMIFS(nrMK_Sess,nrMK_Link,$B247,nrMK_Credit,"Yes"))</f>
        <v/>
      </c>
      <c r="R247" s="17">
        <f>IF(OR($B247="",$N247&lt;&gt;"Yes"),"",IF(N($I247)&gt;0,N($I247)-N($P247),IF(N($J247)&gt;0,N($J247)-N($Q247),"")))</f>
        <v/>
      </c>
      <c r="S247" s="17">
        <f>IF(OR($B247="",$R247=""),"",IF($R247&lt;=0,"CLEARED "&amp;IFERROR(TEXT(_xlfn.MAXIFS(nrMK_Date,nrMK_Link,$B247,nrMK_Credit,"Yes"),"mm/dd"),""),"OPEN"))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IF(OR($B248="",N($I248)=0),"",SUMIFS(nrMK_Min,nrMK_Link,$B248,nrMK_Credit,"Yes"))</f>
        <v/>
      </c>
      <c r="Q248" s="17">
        <f>IF(OR($B248="",N($J248)=0),"",SUMIFS(nrMK_Sess,nrMK_Link,$B248,nrMK_Credit,"Yes"))</f>
        <v/>
      </c>
      <c r="R248" s="17">
        <f>IF(OR($B248="",$N248&lt;&gt;"Yes"),"",IF(N($I248)&gt;0,N($I248)-N($P248),IF(N($J248)&gt;0,N($J248)-N($Q248),"")))</f>
        <v/>
      </c>
      <c r="S248" s="17">
        <f>IF(OR($B248="",$R248=""),"",IF($R248&lt;=0,"CLEARED "&amp;IFERROR(TEXT(_xlfn.MAXIFS(nrMK_Date,nrMK_Link,$B248,nrMK_Credit,"Yes"),"mm/dd"),""),"OPEN"))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IF(OR($B249="",N($I249)=0),"",SUMIFS(nrMK_Min,nrMK_Link,$B249,nrMK_Credit,"Yes"))</f>
        <v/>
      </c>
      <c r="Q249" s="17">
        <f>IF(OR($B249="",N($J249)=0),"",SUMIFS(nrMK_Sess,nrMK_Link,$B249,nrMK_Credit,"Yes"))</f>
        <v/>
      </c>
      <c r="R249" s="17">
        <f>IF(OR($B249="",$N249&lt;&gt;"Yes"),"",IF(N($I249)&gt;0,N($I249)-N($P249),IF(N($J249)&gt;0,N($J249)-N($Q249),"")))</f>
        <v/>
      </c>
      <c r="S249" s="17">
        <f>IF(OR($B249="",$R249=""),"",IF($R249&lt;=0,"CLEARED "&amp;IFERROR(TEXT(_xlfn.MAXIFS(nrMK_Date,nrMK_Link,$B249,nrMK_Credit,"Yes"),"mm/dd"),""),"OPEN"))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IF(OR($B250="",N($I250)=0),"",SUMIFS(nrMK_Min,nrMK_Link,$B250,nrMK_Credit,"Yes"))</f>
        <v/>
      </c>
      <c r="Q250" s="17">
        <f>IF(OR($B250="",N($J250)=0),"",SUMIFS(nrMK_Sess,nrMK_Link,$B250,nrMK_Credit,"Yes"))</f>
        <v/>
      </c>
      <c r="R250" s="17">
        <f>IF(OR($B250="",$N250&lt;&gt;"Yes"),"",IF(N($I250)&gt;0,N($I250)-N($P250),IF(N($J250)&gt;0,N($J250)-N($Q250),"")))</f>
        <v/>
      </c>
      <c r="S250" s="17">
        <f>IF(OR($B250="",$R250=""),"",IF($R250&lt;=0,"CLEARED "&amp;IFERROR(TEXT(_xlfn.MAXIFS(nrMK_Date,nrMK_Link,$B250,nrMK_Credit,"Yes"),"mm/dd"),""),"OPEN"))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IF(OR($B251="",N($I251)=0),"",SUMIFS(nrMK_Min,nrMK_Link,$B251,nrMK_Credit,"Yes"))</f>
        <v/>
      </c>
      <c r="Q251" s="17">
        <f>IF(OR($B251="",N($J251)=0),"",SUMIFS(nrMK_Sess,nrMK_Link,$B251,nrMK_Credit,"Yes"))</f>
        <v/>
      </c>
      <c r="R251" s="17">
        <f>IF(OR($B251="",$N251&lt;&gt;"Yes"),"",IF(N($I251)&gt;0,N($I251)-N($P251),IF(N($J251)&gt;0,N($J251)-N($Q251),"")))</f>
        <v/>
      </c>
      <c r="S251" s="17">
        <f>IF(OR($B251="",$R251=""),"",IF($R251&lt;=0,"CLEARED "&amp;IFERROR(TEXT(_xlfn.MAXIFS(nrMK_Date,nrMK_Link,$B251,nrMK_Credit,"Yes"),"mm/dd"),""),"OPEN"))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IF(OR($B252="",N($I252)=0),"",SUMIFS(nrMK_Min,nrMK_Link,$B252,nrMK_Credit,"Yes"))</f>
        <v/>
      </c>
      <c r="Q252" s="17">
        <f>IF(OR($B252="",N($J252)=0),"",SUMIFS(nrMK_Sess,nrMK_Link,$B252,nrMK_Credit,"Yes"))</f>
        <v/>
      </c>
      <c r="R252" s="17">
        <f>IF(OR($B252="",$N252&lt;&gt;"Yes"),"",IF(N($I252)&gt;0,N($I252)-N($P252),IF(N($J252)&gt;0,N($J252)-N($Q252),"")))</f>
        <v/>
      </c>
      <c r="S252" s="17">
        <f>IF(OR($B252="",$R252=""),"",IF($R252&lt;=0,"CLEARED "&amp;IFERROR(TEXT(_xlfn.MAXIFS(nrMK_Date,nrMK_Link,$B252,nrMK_Credit,"Yes"),"mm/dd"),""),"OPEN"))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IF(OR($B253="",N($I253)=0),"",SUMIFS(nrMK_Min,nrMK_Link,$B253,nrMK_Credit,"Yes"))</f>
        <v/>
      </c>
      <c r="Q253" s="17">
        <f>IF(OR($B253="",N($J253)=0),"",SUMIFS(nrMK_Sess,nrMK_Link,$B253,nrMK_Credit,"Yes"))</f>
        <v/>
      </c>
      <c r="R253" s="17">
        <f>IF(OR($B253="",$N253&lt;&gt;"Yes"),"",IF(N($I253)&gt;0,N($I253)-N($P253),IF(N($J253)&gt;0,N($J253)-N($Q253),"")))</f>
        <v/>
      </c>
      <c r="S253" s="17">
        <f>IF(OR($B253="",$R253=""),"",IF($R253&lt;=0,"CLEARED "&amp;IFERROR(TEXT(_xlfn.MAXIFS(nrMK_Date,nrMK_Link,$B253,nrMK_Credit,"Yes"),"mm/dd"),""),"OPEN"))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IF(OR($B254="",N($I254)=0),"",SUMIFS(nrMK_Min,nrMK_Link,$B254,nrMK_Credit,"Yes"))</f>
        <v/>
      </c>
      <c r="Q254" s="17">
        <f>IF(OR($B254="",N($J254)=0),"",SUMIFS(nrMK_Sess,nrMK_Link,$B254,nrMK_Credit,"Yes"))</f>
        <v/>
      </c>
      <c r="R254" s="17">
        <f>IF(OR($B254="",$N254&lt;&gt;"Yes"),"",IF(N($I254)&gt;0,N($I254)-N($P254),IF(N($J254)&gt;0,N($J254)-N($Q254),"")))</f>
        <v/>
      </c>
      <c r="S254" s="17">
        <f>IF(OR($B254="",$R254=""),"",IF($R254&lt;=0,"CLEARED "&amp;IFERROR(TEXT(_xlfn.MAXIFS(nrMK_Date,nrMK_Link,$B254,nrMK_Credit,"Yes"),"mm/dd"),""),"OPEN"))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IF(OR($B255="",N($I255)=0),"",SUMIFS(nrMK_Min,nrMK_Link,$B255,nrMK_Credit,"Yes"))</f>
        <v/>
      </c>
      <c r="Q255" s="17">
        <f>IF(OR($B255="",N($J255)=0),"",SUMIFS(nrMK_Sess,nrMK_Link,$B255,nrMK_Credit,"Yes"))</f>
        <v/>
      </c>
      <c r="R255" s="17">
        <f>IF(OR($B255="",$N255&lt;&gt;"Yes"),"",IF(N($I255)&gt;0,N($I255)-N($P255),IF(N($J255)&gt;0,N($J255)-N($Q255),"")))</f>
        <v/>
      </c>
      <c r="S255" s="17">
        <f>IF(OR($B255="",$R255=""),"",IF($R255&lt;=0,"CLEARED "&amp;IFERROR(TEXT(_xlfn.MAXIFS(nrMK_Date,nrMK_Link,$B255,nrMK_Credit,"Yes"),"mm/dd"),""),"OPEN"))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IF(OR($B256="",N($I256)=0),"",SUMIFS(nrMK_Min,nrMK_Link,$B256,nrMK_Credit,"Yes"))</f>
        <v/>
      </c>
      <c r="Q256" s="17">
        <f>IF(OR($B256="",N($J256)=0),"",SUMIFS(nrMK_Sess,nrMK_Link,$B256,nrMK_Credit,"Yes"))</f>
        <v/>
      </c>
      <c r="R256" s="17">
        <f>IF(OR($B256="",$N256&lt;&gt;"Yes"),"",IF(N($I256)&gt;0,N($I256)-N($P256),IF(N($J256)&gt;0,N($J256)-N($Q256),"")))</f>
        <v/>
      </c>
      <c r="S256" s="17">
        <f>IF(OR($B256="",$R256=""),"",IF($R256&lt;=0,"CLEARED "&amp;IFERROR(TEXT(_xlfn.MAXIFS(nrMK_Date,nrMK_Link,$B256,nrMK_Credit,"Yes"),"mm/dd"),""),"OPEN"))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IF(OR($B257="",N($I257)=0),"",SUMIFS(nrMK_Min,nrMK_Link,$B257,nrMK_Credit,"Yes"))</f>
        <v/>
      </c>
      <c r="Q257" s="17">
        <f>IF(OR($B257="",N($J257)=0),"",SUMIFS(nrMK_Sess,nrMK_Link,$B257,nrMK_Credit,"Yes"))</f>
        <v/>
      </c>
      <c r="R257" s="17">
        <f>IF(OR($B257="",$N257&lt;&gt;"Yes"),"",IF(N($I257)&gt;0,N($I257)-N($P257),IF(N($J257)&gt;0,N($J257)-N($Q257),"")))</f>
        <v/>
      </c>
      <c r="S257" s="17">
        <f>IF(OR($B257="",$R257=""),"",IF($R257&lt;=0,"CLEARED "&amp;IFERROR(TEXT(_xlfn.MAXIFS(nrMK_Date,nrMK_Link,$B257,nrMK_Credit,"Yes"),"mm/dd"),""),"OPEN"))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IF(OR($B258="",N($I258)=0),"",SUMIFS(nrMK_Min,nrMK_Link,$B258,nrMK_Credit,"Yes"))</f>
        <v/>
      </c>
      <c r="Q258" s="17">
        <f>IF(OR($B258="",N($J258)=0),"",SUMIFS(nrMK_Sess,nrMK_Link,$B258,nrMK_Credit,"Yes"))</f>
        <v/>
      </c>
      <c r="R258" s="17">
        <f>IF(OR($B258="",$N258&lt;&gt;"Yes"),"",IF(N($I258)&gt;0,N($I258)-N($P258),IF(N($J258)&gt;0,N($J258)-N($Q258),"")))</f>
        <v/>
      </c>
      <c r="S258" s="17">
        <f>IF(OR($B258="",$R258=""),"",IF($R258&lt;=0,"CLEARED "&amp;IFERROR(TEXT(_xlfn.MAXIFS(nrMK_Date,nrMK_Link,$B258,nrMK_Credit,"Yes"),"mm/dd"),""),"OPEN"))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IF(OR($B259="",N($I259)=0),"",SUMIFS(nrMK_Min,nrMK_Link,$B259,nrMK_Credit,"Yes"))</f>
        <v/>
      </c>
      <c r="Q259" s="17">
        <f>IF(OR($B259="",N($J259)=0),"",SUMIFS(nrMK_Sess,nrMK_Link,$B259,nrMK_Credit,"Yes"))</f>
        <v/>
      </c>
      <c r="R259" s="17">
        <f>IF(OR($B259="",$N259&lt;&gt;"Yes"),"",IF(N($I259)&gt;0,N($I259)-N($P259),IF(N($J259)&gt;0,N($J259)-N($Q259),"")))</f>
        <v/>
      </c>
      <c r="S259" s="17">
        <f>IF(OR($B259="",$R259=""),"",IF($R259&lt;=0,"CLEARED "&amp;IFERROR(TEXT(_xlfn.MAXIFS(nrMK_Date,nrMK_Link,$B259,nrMK_Credit,"Yes"),"mm/dd"),""),"OPEN"))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IF(OR($B260="",N($I260)=0),"",SUMIFS(nrMK_Min,nrMK_Link,$B260,nrMK_Credit,"Yes"))</f>
        <v/>
      </c>
      <c r="Q260" s="17">
        <f>IF(OR($B260="",N($J260)=0),"",SUMIFS(nrMK_Sess,nrMK_Link,$B260,nrMK_Credit,"Yes"))</f>
        <v/>
      </c>
      <c r="R260" s="17">
        <f>IF(OR($B260="",$N260&lt;&gt;"Yes"),"",IF(N($I260)&gt;0,N($I260)-N($P260),IF(N($J260)&gt;0,N($J260)-N($Q260),"")))</f>
        <v/>
      </c>
      <c r="S260" s="17">
        <f>IF(OR($B260="",$R260=""),"",IF($R260&lt;=0,"CLEARED "&amp;IFERROR(TEXT(_xlfn.MAXIFS(nrMK_Date,nrMK_Link,$B260,nrMK_Credit,"Yes"),"mm/dd"),""),"OPEN"))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IF(OR($B261="",N($I261)=0),"",SUMIFS(nrMK_Min,nrMK_Link,$B261,nrMK_Credit,"Yes"))</f>
        <v/>
      </c>
      <c r="Q261" s="17">
        <f>IF(OR($B261="",N($J261)=0),"",SUMIFS(nrMK_Sess,nrMK_Link,$B261,nrMK_Credit,"Yes"))</f>
        <v/>
      </c>
      <c r="R261" s="17">
        <f>IF(OR($B261="",$N261&lt;&gt;"Yes"),"",IF(N($I261)&gt;0,N($I261)-N($P261),IF(N($J261)&gt;0,N($J261)-N($Q261),"")))</f>
        <v/>
      </c>
      <c r="S261" s="17">
        <f>IF(OR($B261="",$R261=""),"",IF($R261&lt;=0,"CLEARED "&amp;IFERROR(TEXT(_xlfn.MAXIFS(nrMK_Date,nrMK_Link,$B261,nrMK_Credit,"Yes"),"mm/dd"),""),"OPEN"))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IF(OR($B262="",N($I262)=0),"",SUMIFS(nrMK_Min,nrMK_Link,$B262,nrMK_Credit,"Yes"))</f>
        <v/>
      </c>
      <c r="Q262" s="17">
        <f>IF(OR($B262="",N($J262)=0),"",SUMIFS(nrMK_Sess,nrMK_Link,$B262,nrMK_Credit,"Yes"))</f>
        <v/>
      </c>
      <c r="R262" s="17">
        <f>IF(OR($B262="",$N262&lt;&gt;"Yes"),"",IF(N($I262)&gt;0,N($I262)-N($P262),IF(N($J262)&gt;0,N($J262)-N($Q262),"")))</f>
        <v/>
      </c>
      <c r="S262" s="17">
        <f>IF(OR($B262="",$R262=""),"",IF($R262&lt;=0,"CLEARED "&amp;IFERROR(TEXT(_xlfn.MAXIFS(nrMK_Date,nrMK_Link,$B262,nrMK_Credit,"Yes"),"mm/dd"),""),"OPEN"))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IF(OR($B263="",N($I263)=0),"",SUMIFS(nrMK_Min,nrMK_Link,$B263,nrMK_Credit,"Yes"))</f>
        <v/>
      </c>
      <c r="Q263" s="17">
        <f>IF(OR($B263="",N($J263)=0),"",SUMIFS(nrMK_Sess,nrMK_Link,$B263,nrMK_Credit,"Yes"))</f>
        <v/>
      </c>
      <c r="R263" s="17">
        <f>IF(OR($B263="",$N263&lt;&gt;"Yes"),"",IF(N($I263)&gt;0,N($I263)-N($P263),IF(N($J263)&gt;0,N($J263)-N($Q263),"")))</f>
        <v/>
      </c>
      <c r="S263" s="17">
        <f>IF(OR($B263="",$R263=""),"",IF($R263&lt;=0,"CLEARED "&amp;IFERROR(TEXT(_xlfn.MAXIFS(nrMK_Date,nrMK_Link,$B263,nrMK_Credit,"Yes"),"mm/dd"),""),"OPEN"))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IF(OR($B264="",N($I264)=0),"",SUMIFS(nrMK_Min,nrMK_Link,$B264,nrMK_Credit,"Yes"))</f>
        <v/>
      </c>
      <c r="Q264" s="17">
        <f>IF(OR($B264="",N($J264)=0),"",SUMIFS(nrMK_Sess,nrMK_Link,$B264,nrMK_Credit,"Yes"))</f>
        <v/>
      </c>
      <c r="R264" s="17">
        <f>IF(OR($B264="",$N264&lt;&gt;"Yes"),"",IF(N($I264)&gt;0,N($I264)-N($P264),IF(N($J264)&gt;0,N($J264)-N($Q264),"")))</f>
        <v/>
      </c>
      <c r="S264" s="17">
        <f>IF(OR($B264="",$R264=""),"",IF($R264&lt;=0,"CLEARED "&amp;IFERROR(TEXT(_xlfn.MAXIFS(nrMK_Date,nrMK_Link,$B264,nrMK_Credit,"Yes"),"mm/dd"),""),"OPEN"))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IF(OR($B265="",N($I265)=0),"",SUMIFS(nrMK_Min,nrMK_Link,$B265,nrMK_Credit,"Yes"))</f>
        <v/>
      </c>
      <c r="Q265" s="17">
        <f>IF(OR($B265="",N($J265)=0),"",SUMIFS(nrMK_Sess,nrMK_Link,$B265,nrMK_Credit,"Yes"))</f>
        <v/>
      </c>
      <c r="R265" s="17">
        <f>IF(OR($B265="",$N265&lt;&gt;"Yes"),"",IF(N($I265)&gt;0,N($I265)-N($P265),IF(N($J265)&gt;0,N($J265)-N($Q265),"")))</f>
        <v/>
      </c>
      <c r="S265" s="17">
        <f>IF(OR($B265="",$R265=""),"",IF($R265&lt;=0,"CLEARED "&amp;IFERROR(TEXT(_xlfn.MAXIFS(nrMK_Date,nrMK_Link,$B265,nrMK_Credit,"Yes"),"mm/dd"),""),"OPEN"))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IF(OR($B266="",N($I266)=0),"",SUMIFS(nrMK_Min,nrMK_Link,$B266,nrMK_Credit,"Yes"))</f>
        <v/>
      </c>
      <c r="Q266" s="17">
        <f>IF(OR($B266="",N($J266)=0),"",SUMIFS(nrMK_Sess,nrMK_Link,$B266,nrMK_Credit,"Yes"))</f>
        <v/>
      </c>
      <c r="R266" s="17">
        <f>IF(OR($B266="",$N266&lt;&gt;"Yes"),"",IF(N($I266)&gt;0,N($I266)-N($P266),IF(N($J266)&gt;0,N($J266)-N($Q266),"")))</f>
        <v/>
      </c>
      <c r="S266" s="17">
        <f>IF(OR($B266="",$R266=""),"",IF($R266&lt;=0,"CLEARED "&amp;IFERROR(TEXT(_xlfn.MAXIFS(nrMK_Date,nrMK_Link,$B266,nrMK_Credit,"Yes"),"mm/dd"),""),"OPEN"))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IF(OR($B267="",N($I267)=0),"",SUMIFS(nrMK_Min,nrMK_Link,$B267,nrMK_Credit,"Yes"))</f>
        <v/>
      </c>
      <c r="Q267" s="17">
        <f>IF(OR($B267="",N($J267)=0),"",SUMIFS(nrMK_Sess,nrMK_Link,$B267,nrMK_Credit,"Yes"))</f>
        <v/>
      </c>
      <c r="R267" s="17">
        <f>IF(OR($B267="",$N267&lt;&gt;"Yes"),"",IF(N($I267)&gt;0,N($I267)-N($P267),IF(N($J267)&gt;0,N($J267)-N($Q267),"")))</f>
        <v/>
      </c>
      <c r="S267" s="17">
        <f>IF(OR($B267="",$R267=""),"",IF($R267&lt;=0,"CLEARED "&amp;IFERROR(TEXT(_xlfn.MAXIFS(nrMK_Date,nrMK_Link,$B267,nrMK_Credit,"Yes"),"mm/dd"),""),"OPEN"))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IF(OR($B268="",N($I268)=0),"",SUMIFS(nrMK_Min,nrMK_Link,$B268,nrMK_Credit,"Yes"))</f>
        <v/>
      </c>
      <c r="Q268" s="17">
        <f>IF(OR($B268="",N($J268)=0),"",SUMIFS(nrMK_Sess,nrMK_Link,$B268,nrMK_Credit,"Yes"))</f>
        <v/>
      </c>
      <c r="R268" s="17">
        <f>IF(OR($B268="",$N268&lt;&gt;"Yes"),"",IF(N($I268)&gt;0,N($I268)-N($P268),IF(N($J268)&gt;0,N($J268)-N($Q268),"")))</f>
        <v/>
      </c>
      <c r="S268" s="17">
        <f>IF(OR($B268="",$R268=""),"",IF($R268&lt;=0,"CLEARED "&amp;IFERROR(TEXT(_xlfn.MAXIFS(nrMK_Date,nrMK_Link,$B268,nrMK_Credit,"Yes"),"mm/dd"),""),"OPEN"))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IF(OR($B269="",N($I269)=0),"",SUMIFS(nrMK_Min,nrMK_Link,$B269,nrMK_Credit,"Yes"))</f>
        <v/>
      </c>
      <c r="Q269" s="17">
        <f>IF(OR($B269="",N($J269)=0),"",SUMIFS(nrMK_Sess,nrMK_Link,$B269,nrMK_Credit,"Yes"))</f>
        <v/>
      </c>
      <c r="R269" s="17">
        <f>IF(OR($B269="",$N269&lt;&gt;"Yes"),"",IF(N($I269)&gt;0,N($I269)-N($P269),IF(N($J269)&gt;0,N($J269)-N($Q269),"")))</f>
        <v/>
      </c>
      <c r="S269" s="17">
        <f>IF(OR($B269="",$R269=""),"",IF($R269&lt;=0,"CLEARED "&amp;IFERROR(TEXT(_xlfn.MAXIFS(nrMK_Date,nrMK_Link,$B269,nrMK_Credit,"Yes"),"mm/dd"),""),"OPEN"))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IF(OR($B270="",N($I270)=0),"",SUMIFS(nrMK_Min,nrMK_Link,$B270,nrMK_Credit,"Yes"))</f>
        <v/>
      </c>
      <c r="Q270" s="17">
        <f>IF(OR($B270="",N($J270)=0),"",SUMIFS(nrMK_Sess,nrMK_Link,$B270,nrMK_Credit,"Yes"))</f>
        <v/>
      </c>
      <c r="R270" s="17">
        <f>IF(OR($B270="",$N270&lt;&gt;"Yes"),"",IF(N($I270)&gt;0,N($I270)-N($P270),IF(N($J270)&gt;0,N($J270)-N($Q270),"")))</f>
        <v/>
      </c>
      <c r="S270" s="17">
        <f>IF(OR($B270="",$R270=""),"",IF($R270&lt;=0,"CLEARED "&amp;IFERROR(TEXT(_xlfn.MAXIFS(nrMK_Date,nrMK_Link,$B270,nrMK_Credit,"Yes"),"mm/dd"),""),"OPEN"))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IF(OR($B271="",N($I271)=0),"",SUMIFS(nrMK_Min,nrMK_Link,$B271,nrMK_Credit,"Yes"))</f>
        <v/>
      </c>
      <c r="Q271" s="17">
        <f>IF(OR($B271="",N($J271)=0),"",SUMIFS(nrMK_Sess,nrMK_Link,$B271,nrMK_Credit,"Yes"))</f>
        <v/>
      </c>
      <c r="R271" s="17">
        <f>IF(OR($B271="",$N271&lt;&gt;"Yes"),"",IF(N($I271)&gt;0,N($I271)-N($P271),IF(N($J271)&gt;0,N($J271)-N($Q271),"")))</f>
        <v/>
      </c>
      <c r="S271" s="17">
        <f>IF(OR($B271="",$R271=""),"",IF($R271&lt;=0,"CLEARED "&amp;IFERROR(TEXT(_xlfn.MAXIFS(nrMK_Date,nrMK_Link,$B271,nrMK_Credit,"Yes"),"mm/dd"),""),"OPEN"))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IF(OR($B272="",N($I272)=0),"",SUMIFS(nrMK_Min,nrMK_Link,$B272,nrMK_Credit,"Yes"))</f>
        <v/>
      </c>
      <c r="Q272" s="17">
        <f>IF(OR($B272="",N($J272)=0),"",SUMIFS(nrMK_Sess,nrMK_Link,$B272,nrMK_Credit,"Yes"))</f>
        <v/>
      </c>
      <c r="R272" s="17">
        <f>IF(OR($B272="",$N272&lt;&gt;"Yes"),"",IF(N($I272)&gt;0,N($I272)-N($P272),IF(N($J272)&gt;0,N($J272)-N($Q272),"")))</f>
        <v/>
      </c>
      <c r="S272" s="17">
        <f>IF(OR($B272="",$R272=""),"",IF($R272&lt;=0,"CLEARED "&amp;IFERROR(TEXT(_xlfn.MAXIFS(nrMK_Date,nrMK_Link,$B272,nrMK_Credit,"Yes"),"mm/dd"),""),"OPEN"))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IF(OR($B273="",N($I273)=0),"",SUMIFS(nrMK_Min,nrMK_Link,$B273,nrMK_Credit,"Yes"))</f>
        <v/>
      </c>
      <c r="Q273" s="17">
        <f>IF(OR($B273="",N($J273)=0),"",SUMIFS(nrMK_Sess,nrMK_Link,$B273,nrMK_Credit,"Yes"))</f>
        <v/>
      </c>
      <c r="R273" s="17">
        <f>IF(OR($B273="",$N273&lt;&gt;"Yes"),"",IF(N($I273)&gt;0,N($I273)-N($P273),IF(N($J273)&gt;0,N($J273)-N($Q273),"")))</f>
        <v/>
      </c>
      <c r="S273" s="17">
        <f>IF(OR($B273="",$R273=""),"",IF($R273&lt;=0,"CLEARED "&amp;IFERROR(TEXT(_xlfn.MAXIFS(nrMK_Date,nrMK_Link,$B273,nrMK_Credit,"Yes"),"mm/dd"),""),"OPEN"))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IF(OR($B274="",N($I274)=0),"",SUMIFS(nrMK_Min,nrMK_Link,$B274,nrMK_Credit,"Yes"))</f>
        <v/>
      </c>
      <c r="Q274" s="17">
        <f>IF(OR($B274="",N($J274)=0),"",SUMIFS(nrMK_Sess,nrMK_Link,$B274,nrMK_Credit,"Yes"))</f>
        <v/>
      </c>
      <c r="R274" s="17">
        <f>IF(OR($B274="",$N274&lt;&gt;"Yes"),"",IF(N($I274)&gt;0,N($I274)-N($P274),IF(N($J274)&gt;0,N($J274)-N($Q274),"")))</f>
        <v/>
      </c>
      <c r="S274" s="17">
        <f>IF(OR($B274="",$R274=""),"",IF($R274&lt;=0,"CLEARED "&amp;IFERROR(TEXT(_xlfn.MAXIFS(nrMK_Date,nrMK_Link,$B274,nrMK_Credit,"Yes"),"mm/dd"),""),"OPEN"))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IF(OR($B275="",N($I275)=0),"",SUMIFS(nrMK_Min,nrMK_Link,$B275,nrMK_Credit,"Yes"))</f>
        <v/>
      </c>
      <c r="Q275" s="17">
        <f>IF(OR($B275="",N($J275)=0),"",SUMIFS(nrMK_Sess,nrMK_Link,$B275,nrMK_Credit,"Yes"))</f>
        <v/>
      </c>
      <c r="R275" s="17">
        <f>IF(OR($B275="",$N275&lt;&gt;"Yes"),"",IF(N($I275)&gt;0,N($I275)-N($P275),IF(N($J275)&gt;0,N($J275)-N($Q275),"")))</f>
        <v/>
      </c>
      <c r="S275" s="17">
        <f>IF(OR($B275="",$R275=""),"",IF($R275&lt;=0,"CLEARED "&amp;IFERROR(TEXT(_xlfn.MAXIFS(nrMK_Date,nrMK_Link,$B275,nrMK_Credit,"Yes"),"mm/dd"),""),"OPEN"))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IF(OR($B276="",N($I276)=0),"",SUMIFS(nrMK_Min,nrMK_Link,$B276,nrMK_Credit,"Yes"))</f>
        <v/>
      </c>
      <c r="Q276" s="17">
        <f>IF(OR($B276="",N($J276)=0),"",SUMIFS(nrMK_Sess,nrMK_Link,$B276,nrMK_Credit,"Yes"))</f>
        <v/>
      </c>
      <c r="R276" s="17">
        <f>IF(OR($B276="",$N276&lt;&gt;"Yes"),"",IF(N($I276)&gt;0,N($I276)-N($P276),IF(N($J276)&gt;0,N($J276)-N($Q276),"")))</f>
        <v/>
      </c>
      <c r="S276" s="17">
        <f>IF(OR($B276="",$R276=""),"",IF($R276&lt;=0,"CLEARED "&amp;IFERROR(TEXT(_xlfn.MAXIFS(nrMK_Date,nrMK_Link,$B276,nrMK_Credit,"Yes"),"mm/dd"),""),"OPEN"))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IF(OR($B277="",N($I277)=0),"",SUMIFS(nrMK_Min,nrMK_Link,$B277,nrMK_Credit,"Yes"))</f>
        <v/>
      </c>
      <c r="Q277" s="17">
        <f>IF(OR($B277="",N($J277)=0),"",SUMIFS(nrMK_Sess,nrMK_Link,$B277,nrMK_Credit,"Yes"))</f>
        <v/>
      </c>
      <c r="R277" s="17">
        <f>IF(OR($B277="",$N277&lt;&gt;"Yes"),"",IF(N($I277)&gt;0,N($I277)-N($P277),IF(N($J277)&gt;0,N($J277)-N($Q277),"")))</f>
        <v/>
      </c>
      <c r="S277" s="17">
        <f>IF(OR($B277="",$R277=""),"",IF($R277&lt;=0,"CLEARED "&amp;IFERROR(TEXT(_xlfn.MAXIFS(nrMK_Date,nrMK_Link,$B277,nrMK_Credit,"Yes"),"mm/dd"),""),"OPEN"))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IF(OR($B278="",N($I278)=0),"",SUMIFS(nrMK_Min,nrMK_Link,$B278,nrMK_Credit,"Yes"))</f>
        <v/>
      </c>
      <c r="Q278" s="17">
        <f>IF(OR($B278="",N($J278)=0),"",SUMIFS(nrMK_Sess,nrMK_Link,$B278,nrMK_Credit,"Yes"))</f>
        <v/>
      </c>
      <c r="R278" s="17">
        <f>IF(OR($B278="",$N278&lt;&gt;"Yes"),"",IF(N($I278)&gt;0,N($I278)-N($P278),IF(N($J278)&gt;0,N($J278)-N($Q278),"")))</f>
        <v/>
      </c>
      <c r="S278" s="17">
        <f>IF(OR($B278="",$R278=""),"",IF($R278&lt;=0,"CLEARED "&amp;IFERROR(TEXT(_xlfn.MAXIFS(nrMK_Date,nrMK_Link,$B278,nrMK_Credit,"Yes"),"mm/dd"),""),"OPEN"))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IF(OR($B279="",N($I279)=0),"",SUMIFS(nrMK_Min,nrMK_Link,$B279,nrMK_Credit,"Yes"))</f>
        <v/>
      </c>
      <c r="Q279" s="17">
        <f>IF(OR($B279="",N($J279)=0),"",SUMIFS(nrMK_Sess,nrMK_Link,$B279,nrMK_Credit,"Yes"))</f>
        <v/>
      </c>
      <c r="R279" s="17">
        <f>IF(OR($B279="",$N279&lt;&gt;"Yes"),"",IF(N($I279)&gt;0,N($I279)-N($P279),IF(N($J279)&gt;0,N($J279)-N($Q279),"")))</f>
        <v/>
      </c>
      <c r="S279" s="17">
        <f>IF(OR($B279="",$R279=""),"",IF($R279&lt;=0,"CLEARED "&amp;IFERROR(TEXT(_xlfn.MAXIFS(nrMK_Date,nrMK_Link,$B279,nrMK_Credit,"Yes"),"mm/dd"),""),"OPEN"))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IF(OR($B280="",N($I280)=0),"",SUMIFS(nrMK_Min,nrMK_Link,$B280,nrMK_Credit,"Yes"))</f>
        <v/>
      </c>
      <c r="Q280" s="17">
        <f>IF(OR($B280="",N($J280)=0),"",SUMIFS(nrMK_Sess,nrMK_Link,$B280,nrMK_Credit,"Yes"))</f>
        <v/>
      </c>
      <c r="R280" s="17">
        <f>IF(OR($B280="",$N280&lt;&gt;"Yes"),"",IF(N($I280)&gt;0,N($I280)-N($P280),IF(N($J280)&gt;0,N($J280)-N($Q280),"")))</f>
        <v/>
      </c>
      <c r="S280" s="17">
        <f>IF(OR($B280="",$R280=""),"",IF($R280&lt;=0,"CLEARED "&amp;IFERROR(TEXT(_xlfn.MAXIFS(nrMK_Date,nrMK_Link,$B280,nrMK_Credit,"Yes"),"mm/dd"),""),"OPEN"))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IF(OR($B281="",N($I281)=0),"",SUMIFS(nrMK_Min,nrMK_Link,$B281,nrMK_Credit,"Yes"))</f>
        <v/>
      </c>
      <c r="Q281" s="17">
        <f>IF(OR($B281="",N($J281)=0),"",SUMIFS(nrMK_Sess,nrMK_Link,$B281,nrMK_Credit,"Yes"))</f>
        <v/>
      </c>
      <c r="R281" s="17">
        <f>IF(OR($B281="",$N281&lt;&gt;"Yes"),"",IF(N($I281)&gt;0,N($I281)-N($P281),IF(N($J281)&gt;0,N($J281)-N($Q281),"")))</f>
        <v/>
      </c>
      <c r="S281" s="17">
        <f>IF(OR($B281="",$R281=""),"",IF($R281&lt;=0,"CLEARED "&amp;IFERROR(TEXT(_xlfn.MAXIFS(nrMK_Date,nrMK_Link,$B281,nrMK_Credit,"Yes"),"mm/dd"),""),"OPEN"))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IF(OR($B282="",N($I282)=0),"",SUMIFS(nrMK_Min,nrMK_Link,$B282,nrMK_Credit,"Yes"))</f>
        <v/>
      </c>
      <c r="Q282" s="17">
        <f>IF(OR($B282="",N($J282)=0),"",SUMIFS(nrMK_Sess,nrMK_Link,$B282,nrMK_Credit,"Yes"))</f>
        <v/>
      </c>
      <c r="R282" s="17">
        <f>IF(OR($B282="",$N282&lt;&gt;"Yes"),"",IF(N($I282)&gt;0,N($I282)-N($P282),IF(N($J282)&gt;0,N($J282)-N($Q282),"")))</f>
        <v/>
      </c>
      <c r="S282" s="17">
        <f>IF(OR($B282="",$R282=""),"",IF($R282&lt;=0,"CLEARED "&amp;IFERROR(TEXT(_xlfn.MAXIFS(nrMK_Date,nrMK_Link,$B282,nrMK_Credit,"Yes"),"mm/dd"),""),"OPEN"))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IF(OR($B283="",N($I283)=0),"",SUMIFS(nrMK_Min,nrMK_Link,$B283,nrMK_Credit,"Yes"))</f>
        <v/>
      </c>
      <c r="Q283" s="17">
        <f>IF(OR($B283="",N($J283)=0),"",SUMIFS(nrMK_Sess,nrMK_Link,$B283,nrMK_Credit,"Yes"))</f>
        <v/>
      </c>
      <c r="R283" s="17">
        <f>IF(OR($B283="",$N283&lt;&gt;"Yes"),"",IF(N($I283)&gt;0,N($I283)-N($P283),IF(N($J283)&gt;0,N($J283)-N($Q283),"")))</f>
        <v/>
      </c>
      <c r="S283" s="17">
        <f>IF(OR($B283="",$R283=""),"",IF($R283&lt;=0,"CLEARED "&amp;IFERROR(TEXT(_xlfn.MAXIFS(nrMK_Date,nrMK_Link,$B283,nrMK_Credit,"Yes"),"mm/dd"),""),"OPEN"))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IF(OR($B284="",N($I284)=0),"",SUMIFS(nrMK_Min,nrMK_Link,$B284,nrMK_Credit,"Yes"))</f>
        <v/>
      </c>
      <c r="Q284" s="17">
        <f>IF(OR($B284="",N($J284)=0),"",SUMIFS(nrMK_Sess,nrMK_Link,$B284,nrMK_Credit,"Yes"))</f>
        <v/>
      </c>
      <c r="R284" s="17">
        <f>IF(OR($B284="",$N284&lt;&gt;"Yes"),"",IF(N($I284)&gt;0,N($I284)-N($P284),IF(N($J284)&gt;0,N($J284)-N($Q284),"")))</f>
        <v/>
      </c>
      <c r="S284" s="17">
        <f>IF(OR($B284="",$R284=""),"",IF($R284&lt;=0,"CLEARED "&amp;IFERROR(TEXT(_xlfn.MAXIFS(nrMK_Date,nrMK_Link,$B284,nrMK_Credit,"Yes"),"mm/dd"),""),"OPEN"))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IF(OR($B285="",N($I285)=0),"",SUMIFS(nrMK_Min,nrMK_Link,$B285,nrMK_Credit,"Yes"))</f>
        <v/>
      </c>
      <c r="Q285" s="17">
        <f>IF(OR($B285="",N($J285)=0),"",SUMIFS(nrMK_Sess,nrMK_Link,$B285,nrMK_Credit,"Yes"))</f>
        <v/>
      </c>
      <c r="R285" s="17">
        <f>IF(OR($B285="",$N285&lt;&gt;"Yes"),"",IF(N($I285)&gt;0,N($I285)-N($P285),IF(N($J285)&gt;0,N($J285)-N($Q285),"")))</f>
        <v/>
      </c>
      <c r="S285" s="17">
        <f>IF(OR($B285="",$R285=""),"",IF($R285&lt;=0,"CLEARED "&amp;IFERROR(TEXT(_xlfn.MAXIFS(nrMK_Date,nrMK_Link,$B285,nrMK_Credit,"Yes"),"mm/dd"),""),"OPEN"))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IF(OR($B286="",N($I286)=0),"",SUMIFS(nrMK_Min,nrMK_Link,$B286,nrMK_Credit,"Yes"))</f>
        <v/>
      </c>
      <c r="Q286" s="17">
        <f>IF(OR($B286="",N($J286)=0),"",SUMIFS(nrMK_Sess,nrMK_Link,$B286,nrMK_Credit,"Yes"))</f>
        <v/>
      </c>
      <c r="R286" s="17">
        <f>IF(OR($B286="",$N286&lt;&gt;"Yes"),"",IF(N($I286)&gt;0,N($I286)-N($P286),IF(N($J286)&gt;0,N($J286)-N($Q286),"")))</f>
        <v/>
      </c>
      <c r="S286" s="17">
        <f>IF(OR($B286="",$R286=""),"",IF($R286&lt;=0,"CLEARED "&amp;IFERROR(TEXT(_xlfn.MAXIFS(nrMK_Date,nrMK_Link,$B286,nrMK_Credit,"Yes"),"mm/dd"),""),"OPEN"))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IF(OR($B287="",N($I287)=0),"",SUMIFS(nrMK_Min,nrMK_Link,$B287,nrMK_Credit,"Yes"))</f>
        <v/>
      </c>
      <c r="Q287" s="17">
        <f>IF(OR($B287="",N($J287)=0),"",SUMIFS(nrMK_Sess,nrMK_Link,$B287,nrMK_Credit,"Yes"))</f>
        <v/>
      </c>
      <c r="R287" s="17">
        <f>IF(OR($B287="",$N287&lt;&gt;"Yes"),"",IF(N($I287)&gt;0,N($I287)-N($P287),IF(N($J287)&gt;0,N($J287)-N($Q287),"")))</f>
        <v/>
      </c>
      <c r="S287" s="17">
        <f>IF(OR($B287="",$R287=""),"",IF($R287&lt;=0,"CLEARED "&amp;IFERROR(TEXT(_xlfn.MAXIFS(nrMK_Date,nrMK_Link,$B287,nrMK_Credit,"Yes"),"mm/dd"),""),"OPEN"))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IF(OR($B288="",N($I288)=0),"",SUMIFS(nrMK_Min,nrMK_Link,$B288,nrMK_Credit,"Yes"))</f>
        <v/>
      </c>
      <c r="Q288" s="17">
        <f>IF(OR($B288="",N($J288)=0),"",SUMIFS(nrMK_Sess,nrMK_Link,$B288,nrMK_Credit,"Yes"))</f>
        <v/>
      </c>
      <c r="R288" s="17">
        <f>IF(OR($B288="",$N288&lt;&gt;"Yes"),"",IF(N($I288)&gt;0,N($I288)-N($P288),IF(N($J288)&gt;0,N($J288)-N($Q288),"")))</f>
        <v/>
      </c>
      <c r="S288" s="17">
        <f>IF(OR($B288="",$R288=""),"",IF($R288&lt;=0,"CLEARED "&amp;IFERROR(TEXT(_xlfn.MAXIFS(nrMK_Date,nrMK_Link,$B288,nrMK_Credit,"Yes"),"mm/dd"),""),"OPEN"))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IF(OR($B289="",N($I289)=0),"",SUMIFS(nrMK_Min,nrMK_Link,$B289,nrMK_Credit,"Yes"))</f>
        <v/>
      </c>
      <c r="Q289" s="17">
        <f>IF(OR($B289="",N($J289)=0),"",SUMIFS(nrMK_Sess,nrMK_Link,$B289,nrMK_Credit,"Yes"))</f>
        <v/>
      </c>
      <c r="R289" s="17">
        <f>IF(OR($B289="",$N289&lt;&gt;"Yes"),"",IF(N($I289)&gt;0,N($I289)-N($P289),IF(N($J289)&gt;0,N($J289)-N($Q289),"")))</f>
        <v/>
      </c>
      <c r="S289" s="17">
        <f>IF(OR($B289="",$R289=""),"",IF($R289&lt;=0,"CLEARED "&amp;IFERROR(TEXT(_xlfn.MAXIFS(nrMK_Date,nrMK_Link,$B289,nrMK_Credit,"Yes"),"mm/dd"),""),"OPEN"))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IF(OR($B290="",N($I290)=0),"",SUMIFS(nrMK_Min,nrMK_Link,$B290,nrMK_Credit,"Yes"))</f>
        <v/>
      </c>
      <c r="Q290" s="17">
        <f>IF(OR($B290="",N($J290)=0),"",SUMIFS(nrMK_Sess,nrMK_Link,$B290,nrMK_Credit,"Yes"))</f>
        <v/>
      </c>
      <c r="R290" s="17">
        <f>IF(OR($B290="",$N290&lt;&gt;"Yes"),"",IF(N($I290)&gt;0,N($I290)-N($P290),IF(N($J290)&gt;0,N($J290)-N($Q290),"")))</f>
        <v/>
      </c>
      <c r="S290" s="17">
        <f>IF(OR($B290="",$R290=""),"",IF($R290&lt;=0,"CLEARED "&amp;IFERROR(TEXT(_xlfn.MAXIFS(nrMK_Date,nrMK_Link,$B290,nrMK_Credit,"Yes"),"mm/dd"),""),"OPEN"))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IF(OR($B291="",N($I291)=0),"",SUMIFS(nrMK_Min,nrMK_Link,$B291,nrMK_Credit,"Yes"))</f>
        <v/>
      </c>
      <c r="Q291" s="17">
        <f>IF(OR($B291="",N($J291)=0),"",SUMIFS(nrMK_Sess,nrMK_Link,$B291,nrMK_Credit,"Yes"))</f>
        <v/>
      </c>
      <c r="R291" s="17">
        <f>IF(OR($B291="",$N291&lt;&gt;"Yes"),"",IF(N($I291)&gt;0,N($I291)-N($P291),IF(N($J291)&gt;0,N($J291)-N($Q291),"")))</f>
        <v/>
      </c>
      <c r="S291" s="17">
        <f>IF(OR($B291="",$R291=""),"",IF($R291&lt;=0,"CLEARED "&amp;IFERROR(TEXT(_xlfn.MAXIFS(nrMK_Date,nrMK_Link,$B291,nrMK_Credit,"Yes"),"mm/dd"),""),"OPEN"))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IF(OR($B292="",N($I292)=0),"",SUMIFS(nrMK_Min,nrMK_Link,$B292,nrMK_Credit,"Yes"))</f>
        <v/>
      </c>
      <c r="Q292" s="17">
        <f>IF(OR($B292="",N($J292)=0),"",SUMIFS(nrMK_Sess,nrMK_Link,$B292,nrMK_Credit,"Yes"))</f>
        <v/>
      </c>
      <c r="R292" s="17">
        <f>IF(OR($B292="",$N292&lt;&gt;"Yes"),"",IF(N($I292)&gt;0,N($I292)-N($P292),IF(N($J292)&gt;0,N($J292)-N($Q292),"")))</f>
        <v/>
      </c>
      <c r="S292" s="17">
        <f>IF(OR($B292="",$R292=""),"",IF($R292&lt;=0,"CLEARED "&amp;IFERROR(TEXT(_xlfn.MAXIFS(nrMK_Date,nrMK_Link,$B292,nrMK_Credit,"Yes"),"mm/dd"),""),"OPEN"))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IF(OR($B293="",N($I293)=0),"",SUMIFS(nrMK_Min,nrMK_Link,$B293,nrMK_Credit,"Yes"))</f>
        <v/>
      </c>
      <c r="Q293" s="17">
        <f>IF(OR($B293="",N($J293)=0),"",SUMIFS(nrMK_Sess,nrMK_Link,$B293,nrMK_Credit,"Yes"))</f>
        <v/>
      </c>
      <c r="R293" s="17">
        <f>IF(OR($B293="",$N293&lt;&gt;"Yes"),"",IF(N($I293)&gt;0,N($I293)-N($P293),IF(N($J293)&gt;0,N($J293)-N($Q293),"")))</f>
        <v/>
      </c>
      <c r="S293" s="17">
        <f>IF(OR($B293="",$R293=""),"",IF($R293&lt;=0,"CLEARED "&amp;IFERROR(TEXT(_xlfn.MAXIFS(nrMK_Date,nrMK_Link,$B293,nrMK_Credit,"Yes"),"mm/dd"),""),"OPEN"))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IF(OR($B294="",N($I294)=0),"",SUMIFS(nrMK_Min,nrMK_Link,$B294,nrMK_Credit,"Yes"))</f>
        <v/>
      </c>
      <c r="Q294" s="17">
        <f>IF(OR($B294="",N($J294)=0),"",SUMIFS(nrMK_Sess,nrMK_Link,$B294,nrMK_Credit,"Yes"))</f>
        <v/>
      </c>
      <c r="R294" s="17">
        <f>IF(OR($B294="",$N294&lt;&gt;"Yes"),"",IF(N($I294)&gt;0,N($I294)-N($P294),IF(N($J294)&gt;0,N($J294)-N($Q294),"")))</f>
        <v/>
      </c>
      <c r="S294" s="17">
        <f>IF(OR($B294="",$R294=""),"",IF($R294&lt;=0,"CLEARED "&amp;IFERROR(TEXT(_xlfn.MAXIFS(nrMK_Date,nrMK_Link,$B294,nrMK_Credit,"Yes"),"mm/dd"),""),"OPEN"))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IF(OR($B295="",N($I295)=0),"",SUMIFS(nrMK_Min,nrMK_Link,$B295,nrMK_Credit,"Yes"))</f>
        <v/>
      </c>
      <c r="Q295" s="17">
        <f>IF(OR($B295="",N($J295)=0),"",SUMIFS(nrMK_Sess,nrMK_Link,$B295,nrMK_Credit,"Yes"))</f>
        <v/>
      </c>
      <c r="R295" s="17">
        <f>IF(OR($B295="",$N295&lt;&gt;"Yes"),"",IF(N($I295)&gt;0,N($I295)-N($P295),IF(N($J295)&gt;0,N($J295)-N($Q295),"")))</f>
        <v/>
      </c>
      <c r="S295" s="17">
        <f>IF(OR($B295="",$R295=""),"",IF($R295&lt;=0,"CLEARED "&amp;IFERROR(TEXT(_xlfn.MAXIFS(nrMK_Date,nrMK_Link,$B295,nrMK_Credit,"Yes"),"mm/dd"),""),"OPEN"))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IF(OR($B296="",N($I296)=0),"",SUMIFS(nrMK_Min,nrMK_Link,$B296,nrMK_Credit,"Yes"))</f>
        <v/>
      </c>
      <c r="Q296" s="17">
        <f>IF(OR($B296="",N($J296)=0),"",SUMIFS(nrMK_Sess,nrMK_Link,$B296,nrMK_Credit,"Yes"))</f>
        <v/>
      </c>
      <c r="R296" s="17">
        <f>IF(OR($B296="",$N296&lt;&gt;"Yes"),"",IF(N($I296)&gt;0,N($I296)-N($P296),IF(N($J296)&gt;0,N($J296)-N($Q296),"")))</f>
        <v/>
      </c>
      <c r="S296" s="17">
        <f>IF(OR($B296="",$R296=""),"",IF($R296&lt;=0,"CLEARED "&amp;IFERROR(TEXT(_xlfn.MAXIFS(nrMK_Date,nrMK_Link,$B296,nrMK_Credit,"Yes"),"mm/dd"),""),"OPEN"))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IF(OR($B297="",N($I297)=0),"",SUMIFS(nrMK_Min,nrMK_Link,$B297,nrMK_Credit,"Yes"))</f>
        <v/>
      </c>
      <c r="Q297" s="17">
        <f>IF(OR($B297="",N($J297)=0),"",SUMIFS(nrMK_Sess,nrMK_Link,$B297,nrMK_Credit,"Yes"))</f>
        <v/>
      </c>
      <c r="R297" s="17">
        <f>IF(OR($B297="",$N297&lt;&gt;"Yes"),"",IF(N($I297)&gt;0,N($I297)-N($P297),IF(N($J297)&gt;0,N($J297)-N($Q297),"")))</f>
        <v/>
      </c>
      <c r="S297" s="17">
        <f>IF(OR($B297="",$R297=""),"",IF($R297&lt;=0,"CLEARED "&amp;IFERROR(TEXT(_xlfn.MAXIFS(nrMK_Date,nrMK_Link,$B297,nrMK_Credit,"Yes"),"mm/dd"),""),"OPEN"))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IF(OR($B298="",N($I298)=0),"",SUMIFS(nrMK_Min,nrMK_Link,$B298,nrMK_Credit,"Yes"))</f>
        <v/>
      </c>
      <c r="Q298" s="17">
        <f>IF(OR($B298="",N($J298)=0),"",SUMIFS(nrMK_Sess,nrMK_Link,$B298,nrMK_Credit,"Yes"))</f>
        <v/>
      </c>
      <c r="R298" s="17">
        <f>IF(OR($B298="",$N298&lt;&gt;"Yes"),"",IF(N($I298)&gt;0,N($I298)-N($P298),IF(N($J298)&gt;0,N($J298)-N($Q298),"")))</f>
        <v/>
      </c>
      <c r="S298" s="17">
        <f>IF(OR($B298="",$R298=""),"",IF($R298&lt;=0,"CLEARED "&amp;IFERROR(TEXT(_xlfn.MAXIFS(nrMK_Date,nrMK_Link,$B298,nrMK_Credit,"Yes"),"mm/dd"),""),"OPEN"))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IF(OR($B299="",N($I299)=0),"",SUMIFS(nrMK_Min,nrMK_Link,$B299,nrMK_Credit,"Yes"))</f>
        <v/>
      </c>
      <c r="Q299" s="17">
        <f>IF(OR($B299="",N($J299)=0),"",SUMIFS(nrMK_Sess,nrMK_Link,$B299,nrMK_Credit,"Yes"))</f>
        <v/>
      </c>
      <c r="R299" s="17">
        <f>IF(OR($B299="",$N299&lt;&gt;"Yes"),"",IF(N($I299)&gt;0,N($I299)-N($P299),IF(N($J299)&gt;0,N($J299)-N($Q299),"")))</f>
        <v/>
      </c>
      <c r="S299" s="17">
        <f>IF(OR($B299="",$R299=""),"",IF($R299&lt;=0,"CLEARED "&amp;IFERROR(TEXT(_xlfn.MAXIFS(nrMK_Date,nrMK_Link,$B299,nrMK_Credit,"Yes"),"mm/dd"),""),"OPEN"))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IF(OR($B300="",N($I300)=0),"",SUMIFS(nrMK_Min,nrMK_Link,$B300,nrMK_Credit,"Yes"))</f>
        <v/>
      </c>
      <c r="Q300" s="17">
        <f>IF(OR($B300="",N($J300)=0),"",SUMIFS(nrMK_Sess,nrMK_Link,$B300,nrMK_Credit,"Yes"))</f>
        <v/>
      </c>
      <c r="R300" s="17">
        <f>IF(OR($B300="",$N300&lt;&gt;"Yes"),"",IF(N($I300)&gt;0,N($I300)-N($P300),IF(N($J300)&gt;0,N($J300)-N($Q300),"")))</f>
        <v/>
      </c>
      <c r="S300" s="17">
        <f>IF(OR($B300="",$R300=""),"",IF($R300&lt;=0,"CLEARED "&amp;IFERROR(TEXT(_xlfn.MAXIFS(nrMK_Date,nrMK_Link,$B300,nrMK_Credit,"Yes"),"mm/dd"),""),"OPEN"))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IF(OR($B301="",N($I301)=0),"",SUMIFS(nrMK_Min,nrMK_Link,$B301,nrMK_Credit,"Yes"))</f>
        <v/>
      </c>
      <c r="Q301" s="17">
        <f>IF(OR($B301="",N($J301)=0),"",SUMIFS(nrMK_Sess,nrMK_Link,$B301,nrMK_Credit,"Yes"))</f>
        <v/>
      </c>
      <c r="R301" s="17">
        <f>IF(OR($B301="",$N301&lt;&gt;"Yes"),"",IF(N($I301)&gt;0,N($I301)-N($P301),IF(N($J301)&gt;0,N($J301)-N($Q301),"")))</f>
        <v/>
      </c>
      <c r="S301" s="17">
        <f>IF(OR($B301="",$R301=""),"",IF($R301&lt;=0,"CLEARED "&amp;IFERROR(TEXT(_xlfn.MAXIFS(nrMK_Date,nrMK_Link,$B301,nrMK_Credit,"Yes"),"mm/dd"),""),"OPEN"))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IF(OR($B302="",N($I302)=0),"",SUMIFS(nrMK_Min,nrMK_Link,$B302,nrMK_Credit,"Yes"))</f>
        <v/>
      </c>
      <c r="Q302" s="17">
        <f>IF(OR($B302="",N($J302)=0),"",SUMIFS(nrMK_Sess,nrMK_Link,$B302,nrMK_Credit,"Yes"))</f>
        <v/>
      </c>
      <c r="R302" s="17">
        <f>IF(OR($B302="",$N302&lt;&gt;"Yes"),"",IF(N($I302)&gt;0,N($I302)-N($P302),IF(N($J302)&gt;0,N($J302)-N($Q302),"")))</f>
        <v/>
      </c>
      <c r="S302" s="17">
        <f>IF(OR($B302="",$R302=""),"",IF($R302&lt;=0,"CLEARED "&amp;IFERROR(TEXT(_xlfn.MAXIFS(nrMK_Date,nrMK_Link,$B302,nrMK_Credit,"Yes"),"mm/dd"),""),"OPEN"))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IF(OR($B303="",N($I303)=0),"",SUMIFS(nrMK_Min,nrMK_Link,$B303,nrMK_Credit,"Yes"))</f>
        <v/>
      </c>
      <c r="Q303" s="17">
        <f>IF(OR($B303="",N($J303)=0),"",SUMIFS(nrMK_Sess,nrMK_Link,$B303,nrMK_Credit,"Yes"))</f>
        <v/>
      </c>
      <c r="R303" s="17">
        <f>IF(OR($B303="",$N303&lt;&gt;"Yes"),"",IF(N($I303)&gt;0,N($I303)-N($P303),IF(N($J303)&gt;0,N($J303)-N($Q303),"")))</f>
        <v/>
      </c>
      <c r="S303" s="17">
        <f>IF(OR($B303="",$R303=""),"",IF($R303&lt;=0,"CLEARED "&amp;IFERROR(TEXT(_xlfn.MAXIFS(nrMK_Date,nrMK_Link,$B303,nrMK_Credit,"Yes"),"mm/dd"),""),"OPEN"))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IF(OR($B304="",N($I304)=0),"",SUMIFS(nrMK_Min,nrMK_Link,$B304,nrMK_Credit,"Yes"))</f>
        <v/>
      </c>
      <c r="Q304" s="17">
        <f>IF(OR($B304="",N($J304)=0),"",SUMIFS(nrMK_Sess,nrMK_Link,$B304,nrMK_Credit,"Yes"))</f>
        <v/>
      </c>
      <c r="R304" s="17">
        <f>IF(OR($B304="",$N304&lt;&gt;"Yes"),"",IF(N($I304)&gt;0,N($I304)-N($P304),IF(N($J304)&gt;0,N($J304)-N($Q304),"")))</f>
        <v/>
      </c>
      <c r="S304" s="17">
        <f>IF(OR($B304="",$R304=""),"",IF($R304&lt;=0,"CLEARED "&amp;IFERROR(TEXT(_xlfn.MAXIFS(nrMK_Date,nrMK_Link,$B304,nrMK_Credit,"Yes"),"mm/dd"),""),"OPEN"))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IF(OR($B305="",N($I305)=0),"",SUMIFS(nrMK_Min,nrMK_Link,$B305,nrMK_Credit,"Yes"))</f>
        <v/>
      </c>
      <c r="Q305" s="17">
        <f>IF(OR($B305="",N($J305)=0),"",SUMIFS(nrMK_Sess,nrMK_Link,$B305,nrMK_Credit,"Yes"))</f>
        <v/>
      </c>
      <c r="R305" s="17">
        <f>IF(OR($B305="",$N305&lt;&gt;"Yes"),"",IF(N($I305)&gt;0,N($I305)-N($P305),IF(N($J305)&gt;0,N($J305)-N($Q305),"")))</f>
        <v/>
      </c>
      <c r="S305" s="17">
        <f>IF(OR($B305="",$R305=""),"",IF($R305&lt;=0,"CLEARED "&amp;IFERROR(TEXT(_xlfn.MAXIFS(nrMK_Date,nrMK_Link,$B305,nrMK_Credit,"Yes"),"mm/dd"),""),"OPEN"))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IF(OR($B306="",N($I306)=0),"",SUMIFS(nrMK_Min,nrMK_Link,$B306,nrMK_Credit,"Yes"))</f>
        <v/>
      </c>
      <c r="Q306" s="17">
        <f>IF(OR($B306="",N($J306)=0),"",SUMIFS(nrMK_Sess,nrMK_Link,$B306,nrMK_Credit,"Yes"))</f>
        <v/>
      </c>
      <c r="R306" s="17">
        <f>IF(OR($B306="",$N306&lt;&gt;"Yes"),"",IF(N($I306)&gt;0,N($I306)-N($P306),IF(N($J306)&gt;0,N($J306)-N($Q306),"")))</f>
        <v/>
      </c>
      <c r="S306" s="17">
        <f>IF(OR($B306="",$R306=""),"",IF($R306&lt;=0,"CLEARED "&amp;IFERROR(TEXT(_xlfn.MAXIFS(nrMK_Date,nrMK_Link,$B306,nrMK_Credit,"Yes"),"mm/dd"),""),"OPEN"))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IF(OR($B307="",N($I307)=0),"",SUMIFS(nrMK_Min,nrMK_Link,$B307,nrMK_Credit,"Yes"))</f>
        <v/>
      </c>
      <c r="Q307" s="17">
        <f>IF(OR($B307="",N($J307)=0),"",SUMIFS(nrMK_Sess,nrMK_Link,$B307,nrMK_Credit,"Yes"))</f>
        <v/>
      </c>
      <c r="R307" s="17">
        <f>IF(OR($B307="",$N307&lt;&gt;"Yes"),"",IF(N($I307)&gt;0,N($I307)-N($P307),IF(N($J307)&gt;0,N($J307)-N($Q307),"")))</f>
        <v/>
      </c>
      <c r="S307" s="17">
        <f>IF(OR($B307="",$R307=""),"",IF($R307&lt;=0,"CLEARED "&amp;IFERROR(TEXT(_xlfn.MAXIFS(nrMK_Date,nrMK_Link,$B307,nrMK_Credit,"Yes"),"mm/dd"),""),"OPEN"))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IF(OR($B308="",N($I308)=0),"",SUMIFS(nrMK_Min,nrMK_Link,$B308,nrMK_Credit,"Yes"))</f>
        <v/>
      </c>
      <c r="Q308" s="17">
        <f>IF(OR($B308="",N($J308)=0),"",SUMIFS(nrMK_Sess,nrMK_Link,$B308,nrMK_Credit,"Yes"))</f>
        <v/>
      </c>
      <c r="R308" s="17">
        <f>IF(OR($B308="",$N308&lt;&gt;"Yes"),"",IF(N($I308)&gt;0,N($I308)-N($P308),IF(N($J308)&gt;0,N($J308)-N($Q308),"")))</f>
        <v/>
      </c>
      <c r="S308" s="17">
        <f>IF(OR($B308="",$R308=""),"",IF($R308&lt;=0,"CLEARED "&amp;IFERROR(TEXT(_xlfn.MAXIFS(nrMK_Date,nrMK_Link,$B308,nrMK_Credit,"Yes"),"mm/dd"),""),"OPEN"))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IF(OR($B309="",N($I309)=0),"",SUMIFS(nrMK_Min,nrMK_Link,$B309,nrMK_Credit,"Yes"))</f>
        <v/>
      </c>
      <c r="Q309" s="17">
        <f>IF(OR($B309="",N($J309)=0),"",SUMIFS(nrMK_Sess,nrMK_Link,$B309,nrMK_Credit,"Yes"))</f>
        <v/>
      </c>
      <c r="R309" s="17">
        <f>IF(OR($B309="",$N309&lt;&gt;"Yes"),"",IF(N($I309)&gt;0,N($I309)-N($P309),IF(N($J309)&gt;0,N($J309)-N($Q309),"")))</f>
        <v/>
      </c>
      <c r="S309" s="17">
        <f>IF(OR($B309="",$R309=""),"",IF($R309&lt;=0,"CLEARED "&amp;IFERROR(TEXT(_xlfn.MAXIFS(nrMK_Date,nrMK_Link,$B309,nrMK_Credit,"Yes"),"mm/dd"),""),"OPEN"))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IF(OR($B310="",N($I310)=0),"",SUMIFS(nrMK_Min,nrMK_Link,$B310,nrMK_Credit,"Yes"))</f>
        <v/>
      </c>
      <c r="Q310" s="17">
        <f>IF(OR($B310="",N($J310)=0),"",SUMIFS(nrMK_Sess,nrMK_Link,$B310,nrMK_Credit,"Yes"))</f>
        <v/>
      </c>
      <c r="R310" s="17">
        <f>IF(OR($B310="",$N310&lt;&gt;"Yes"),"",IF(N($I310)&gt;0,N($I310)-N($P310),IF(N($J310)&gt;0,N($J310)-N($Q310),"")))</f>
        <v/>
      </c>
      <c r="S310" s="17">
        <f>IF(OR($B310="",$R310=""),"",IF($R310&lt;=0,"CLEARED "&amp;IFERROR(TEXT(_xlfn.MAXIFS(nrMK_Date,nrMK_Link,$B310,nrMK_Credit,"Yes"),"mm/dd"),""),"OPEN"))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IF(OR($B311="",N($I311)=0),"",SUMIFS(nrMK_Min,nrMK_Link,$B311,nrMK_Credit,"Yes"))</f>
        <v/>
      </c>
      <c r="Q311" s="17">
        <f>IF(OR($B311="",N($J311)=0),"",SUMIFS(nrMK_Sess,nrMK_Link,$B311,nrMK_Credit,"Yes"))</f>
        <v/>
      </c>
      <c r="R311" s="17">
        <f>IF(OR($B311="",$N311&lt;&gt;"Yes"),"",IF(N($I311)&gt;0,N($I311)-N($P311),IF(N($J311)&gt;0,N($J311)-N($Q311),"")))</f>
        <v/>
      </c>
      <c r="S311" s="17">
        <f>IF(OR($B311="",$R311=""),"",IF($R311&lt;=0,"CLEARED "&amp;IFERROR(TEXT(_xlfn.MAXIFS(nrMK_Date,nrMK_Link,$B311,nrMK_Credit,"Yes"),"mm/dd"),""),"OPEN"))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IF(OR($B312="",N($I312)=0),"",SUMIFS(nrMK_Min,nrMK_Link,$B312,nrMK_Credit,"Yes"))</f>
        <v/>
      </c>
      <c r="Q312" s="17">
        <f>IF(OR($B312="",N($J312)=0),"",SUMIFS(nrMK_Sess,nrMK_Link,$B312,nrMK_Credit,"Yes"))</f>
        <v/>
      </c>
      <c r="R312" s="17">
        <f>IF(OR($B312="",$N312&lt;&gt;"Yes"),"",IF(N($I312)&gt;0,N($I312)-N($P312),IF(N($J312)&gt;0,N($J312)-N($Q312),"")))</f>
        <v/>
      </c>
      <c r="S312" s="17">
        <f>IF(OR($B312="",$R312=""),"",IF($R312&lt;=0,"CLEARED "&amp;IFERROR(TEXT(_xlfn.MAXIFS(nrMK_Date,nrMK_Link,$B312,nrMK_Credit,"Yes"),"mm/dd"),""),"OPEN"))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IF(OR($B313="",N($I313)=0),"",SUMIFS(nrMK_Min,nrMK_Link,$B313,nrMK_Credit,"Yes"))</f>
        <v/>
      </c>
      <c r="Q313" s="17">
        <f>IF(OR($B313="",N($J313)=0),"",SUMIFS(nrMK_Sess,nrMK_Link,$B313,nrMK_Credit,"Yes"))</f>
        <v/>
      </c>
      <c r="R313" s="17">
        <f>IF(OR($B313="",$N313&lt;&gt;"Yes"),"",IF(N($I313)&gt;0,N($I313)-N($P313),IF(N($J313)&gt;0,N($J313)-N($Q313),"")))</f>
        <v/>
      </c>
      <c r="S313" s="17">
        <f>IF(OR($B313="",$R313=""),"",IF($R313&lt;=0,"CLEARED "&amp;IFERROR(TEXT(_xlfn.MAXIFS(nrMK_Date,nrMK_Link,$B313,nrMK_Credit,"Yes"),"mm/dd"),""),"OPEN"))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IF(OR($B314="",N($I314)=0),"",SUMIFS(nrMK_Min,nrMK_Link,$B314,nrMK_Credit,"Yes"))</f>
        <v/>
      </c>
      <c r="Q314" s="17">
        <f>IF(OR($B314="",N($J314)=0),"",SUMIFS(nrMK_Sess,nrMK_Link,$B314,nrMK_Credit,"Yes"))</f>
        <v/>
      </c>
      <c r="R314" s="17">
        <f>IF(OR($B314="",$N314&lt;&gt;"Yes"),"",IF(N($I314)&gt;0,N($I314)-N($P314),IF(N($J314)&gt;0,N($J314)-N($Q314),"")))</f>
        <v/>
      </c>
      <c r="S314" s="17">
        <f>IF(OR($B314="",$R314=""),"",IF($R314&lt;=0,"CLEARED "&amp;IFERROR(TEXT(_xlfn.MAXIFS(nrMK_Date,nrMK_Link,$B314,nrMK_Credit,"Yes"),"mm/dd"),""),"OPEN"))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IF(OR($B315="",N($I315)=0),"",SUMIFS(nrMK_Min,nrMK_Link,$B315,nrMK_Credit,"Yes"))</f>
        <v/>
      </c>
      <c r="Q315" s="17">
        <f>IF(OR($B315="",N($J315)=0),"",SUMIFS(nrMK_Sess,nrMK_Link,$B315,nrMK_Credit,"Yes"))</f>
        <v/>
      </c>
      <c r="R315" s="17">
        <f>IF(OR($B315="",$N315&lt;&gt;"Yes"),"",IF(N($I315)&gt;0,N($I315)-N($P315),IF(N($J315)&gt;0,N($J315)-N($Q315),"")))</f>
        <v/>
      </c>
      <c r="S315" s="17">
        <f>IF(OR($B315="",$R315=""),"",IF($R315&lt;=0,"CLEARED "&amp;IFERROR(TEXT(_xlfn.MAXIFS(nrMK_Date,nrMK_Link,$B315,nrMK_Credit,"Yes"),"mm/dd"),""),"OPEN"))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IF(OR($B316="",N($I316)=0),"",SUMIFS(nrMK_Min,nrMK_Link,$B316,nrMK_Credit,"Yes"))</f>
        <v/>
      </c>
      <c r="Q316" s="17">
        <f>IF(OR($B316="",N($J316)=0),"",SUMIFS(nrMK_Sess,nrMK_Link,$B316,nrMK_Credit,"Yes"))</f>
        <v/>
      </c>
      <c r="R316" s="17">
        <f>IF(OR($B316="",$N316&lt;&gt;"Yes"),"",IF(N($I316)&gt;0,N($I316)-N($P316),IF(N($J316)&gt;0,N($J316)-N($Q316),"")))</f>
        <v/>
      </c>
      <c r="S316" s="17">
        <f>IF(OR($B316="",$R316=""),"",IF($R316&lt;=0,"CLEARED "&amp;IFERROR(TEXT(_xlfn.MAXIFS(nrMK_Date,nrMK_Link,$B316,nrMK_Credit,"Yes"),"mm/dd"),""),"OPEN"))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IF(OR($B317="",N($I317)=0),"",SUMIFS(nrMK_Min,nrMK_Link,$B317,nrMK_Credit,"Yes"))</f>
        <v/>
      </c>
      <c r="Q317" s="17">
        <f>IF(OR($B317="",N($J317)=0),"",SUMIFS(nrMK_Sess,nrMK_Link,$B317,nrMK_Credit,"Yes"))</f>
        <v/>
      </c>
      <c r="R317" s="17">
        <f>IF(OR($B317="",$N317&lt;&gt;"Yes"),"",IF(N($I317)&gt;0,N($I317)-N($P317),IF(N($J317)&gt;0,N($J317)-N($Q317),"")))</f>
        <v/>
      </c>
      <c r="S317" s="17">
        <f>IF(OR($B317="",$R317=""),"",IF($R317&lt;=0,"CLEARED "&amp;IFERROR(TEXT(_xlfn.MAXIFS(nrMK_Date,nrMK_Link,$B317,nrMK_Credit,"Yes"),"mm/dd"),""),"OPEN"))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IF(OR($B318="",N($I318)=0),"",SUMIFS(nrMK_Min,nrMK_Link,$B318,nrMK_Credit,"Yes"))</f>
        <v/>
      </c>
      <c r="Q318" s="17">
        <f>IF(OR($B318="",N($J318)=0),"",SUMIFS(nrMK_Sess,nrMK_Link,$B318,nrMK_Credit,"Yes"))</f>
        <v/>
      </c>
      <c r="R318" s="17">
        <f>IF(OR($B318="",$N318&lt;&gt;"Yes"),"",IF(N($I318)&gt;0,N($I318)-N($P318),IF(N($J318)&gt;0,N($J318)-N($Q318),"")))</f>
        <v/>
      </c>
      <c r="S318" s="17">
        <f>IF(OR($B318="",$R318=""),"",IF($R318&lt;=0,"CLEARED "&amp;IFERROR(TEXT(_xlfn.MAXIFS(nrMK_Date,nrMK_Link,$B318,nrMK_Credit,"Yes"),"mm/dd"),""),"OPEN"))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IF(OR($B319="",N($I319)=0),"",SUMIFS(nrMK_Min,nrMK_Link,$B319,nrMK_Credit,"Yes"))</f>
        <v/>
      </c>
      <c r="Q319" s="17">
        <f>IF(OR($B319="",N($J319)=0),"",SUMIFS(nrMK_Sess,nrMK_Link,$B319,nrMK_Credit,"Yes"))</f>
        <v/>
      </c>
      <c r="R319" s="17">
        <f>IF(OR($B319="",$N319&lt;&gt;"Yes"),"",IF(N($I319)&gt;0,N($I319)-N($P319),IF(N($J319)&gt;0,N($J319)-N($Q319),"")))</f>
        <v/>
      </c>
      <c r="S319" s="17">
        <f>IF(OR($B319="",$R319=""),"",IF($R319&lt;=0,"CLEARED "&amp;IFERROR(TEXT(_xlfn.MAXIFS(nrMK_Date,nrMK_Link,$B319,nrMK_Credit,"Yes"),"mm/dd"),""),"OPEN"))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IF(OR($B320="",N($I320)=0),"",SUMIFS(nrMK_Min,nrMK_Link,$B320,nrMK_Credit,"Yes"))</f>
        <v/>
      </c>
      <c r="Q320" s="17">
        <f>IF(OR($B320="",N($J320)=0),"",SUMIFS(nrMK_Sess,nrMK_Link,$B320,nrMK_Credit,"Yes"))</f>
        <v/>
      </c>
      <c r="R320" s="17">
        <f>IF(OR($B320="",$N320&lt;&gt;"Yes"),"",IF(N($I320)&gt;0,N($I320)-N($P320),IF(N($J320)&gt;0,N($J320)-N($Q320),"")))</f>
        <v/>
      </c>
      <c r="S320" s="17">
        <f>IF(OR($B320="",$R320=""),"",IF($R320&lt;=0,"CLEARED "&amp;IFERROR(TEXT(_xlfn.MAXIFS(nrMK_Date,nrMK_Link,$B320,nrMK_Credit,"Yes"),"mm/dd"),""),"OPEN"))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IF(OR($B321="",N($I321)=0),"",SUMIFS(nrMK_Min,nrMK_Link,$B321,nrMK_Credit,"Yes"))</f>
        <v/>
      </c>
      <c r="Q321" s="17">
        <f>IF(OR($B321="",N($J321)=0),"",SUMIFS(nrMK_Sess,nrMK_Link,$B321,nrMK_Credit,"Yes"))</f>
        <v/>
      </c>
      <c r="R321" s="17">
        <f>IF(OR($B321="",$N321&lt;&gt;"Yes"),"",IF(N($I321)&gt;0,N($I321)-N($P321),IF(N($J321)&gt;0,N($J321)-N($Q321),"")))</f>
        <v/>
      </c>
      <c r="S321" s="17">
        <f>IF(OR($B321="",$R321=""),"",IF($R321&lt;=0,"CLEARED "&amp;IFERROR(TEXT(_xlfn.MAXIFS(nrMK_Date,nrMK_Link,$B321,nrMK_Credit,"Yes"),"mm/dd"),""),"OPEN"))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IF(OR($B322="",N($I322)=0),"",SUMIFS(nrMK_Min,nrMK_Link,$B322,nrMK_Credit,"Yes"))</f>
        <v/>
      </c>
      <c r="Q322" s="17">
        <f>IF(OR($B322="",N($J322)=0),"",SUMIFS(nrMK_Sess,nrMK_Link,$B322,nrMK_Credit,"Yes"))</f>
        <v/>
      </c>
      <c r="R322" s="17">
        <f>IF(OR($B322="",$N322&lt;&gt;"Yes"),"",IF(N($I322)&gt;0,N($I322)-N($P322),IF(N($J322)&gt;0,N($J322)-N($Q322),"")))</f>
        <v/>
      </c>
      <c r="S322" s="17">
        <f>IF(OR($B322="",$R322=""),"",IF($R322&lt;=0,"CLEARED "&amp;IFERROR(TEXT(_xlfn.MAXIFS(nrMK_Date,nrMK_Link,$B322,nrMK_Credit,"Yes"),"mm/dd"),""),"OPEN"))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IF(OR($B323="",N($I323)=0),"",SUMIFS(nrMK_Min,nrMK_Link,$B323,nrMK_Credit,"Yes"))</f>
        <v/>
      </c>
      <c r="Q323" s="17">
        <f>IF(OR($B323="",N($J323)=0),"",SUMIFS(nrMK_Sess,nrMK_Link,$B323,nrMK_Credit,"Yes"))</f>
        <v/>
      </c>
      <c r="R323" s="17">
        <f>IF(OR($B323="",$N323&lt;&gt;"Yes"),"",IF(N($I323)&gt;0,N($I323)-N($P323),IF(N($J323)&gt;0,N($J323)-N($Q323),"")))</f>
        <v/>
      </c>
      <c r="S323" s="17">
        <f>IF(OR($B323="",$R323=""),"",IF($R323&lt;=0,"CLEARED "&amp;IFERROR(TEXT(_xlfn.MAXIFS(nrMK_Date,nrMK_Link,$B323,nrMK_Credit,"Yes"),"mm/dd"),""),"OPEN"))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IF(OR($B324="",N($I324)=0),"",SUMIFS(nrMK_Min,nrMK_Link,$B324,nrMK_Credit,"Yes"))</f>
        <v/>
      </c>
      <c r="Q324" s="17">
        <f>IF(OR($B324="",N($J324)=0),"",SUMIFS(nrMK_Sess,nrMK_Link,$B324,nrMK_Credit,"Yes"))</f>
        <v/>
      </c>
      <c r="R324" s="17">
        <f>IF(OR($B324="",$N324&lt;&gt;"Yes"),"",IF(N($I324)&gt;0,N($I324)-N($P324),IF(N($J324)&gt;0,N($J324)-N($Q324),"")))</f>
        <v/>
      </c>
      <c r="S324" s="17">
        <f>IF(OR($B324="",$R324=""),"",IF($R324&lt;=0,"CLEARED "&amp;IFERROR(TEXT(_xlfn.MAXIFS(nrMK_Date,nrMK_Link,$B324,nrMK_Credit,"Yes"),"mm/dd"),""),"OPEN"))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IF(OR($B325="",N($I325)=0),"",SUMIFS(nrMK_Min,nrMK_Link,$B325,nrMK_Credit,"Yes"))</f>
        <v/>
      </c>
      <c r="Q325" s="17">
        <f>IF(OR($B325="",N($J325)=0),"",SUMIFS(nrMK_Sess,nrMK_Link,$B325,nrMK_Credit,"Yes"))</f>
        <v/>
      </c>
      <c r="R325" s="17">
        <f>IF(OR($B325="",$N325&lt;&gt;"Yes"),"",IF(N($I325)&gt;0,N($I325)-N($P325),IF(N($J325)&gt;0,N($J325)-N($Q325),"")))</f>
        <v/>
      </c>
      <c r="S325" s="17">
        <f>IF(OR($B325="",$R325=""),"",IF($R325&lt;=0,"CLEARED "&amp;IFERROR(TEXT(_xlfn.MAXIFS(nrMK_Date,nrMK_Link,$B325,nrMK_Credit,"Yes"),"mm/dd"),""),"OPEN"))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IF(OR($B326="",N($I326)=0),"",SUMIFS(nrMK_Min,nrMK_Link,$B326,nrMK_Credit,"Yes"))</f>
        <v/>
      </c>
      <c r="Q326" s="17">
        <f>IF(OR($B326="",N($J326)=0),"",SUMIFS(nrMK_Sess,nrMK_Link,$B326,nrMK_Credit,"Yes"))</f>
        <v/>
      </c>
      <c r="R326" s="17">
        <f>IF(OR($B326="",$N326&lt;&gt;"Yes"),"",IF(N($I326)&gt;0,N($I326)-N($P326),IF(N($J326)&gt;0,N($J326)-N($Q326),"")))</f>
        <v/>
      </c>
      <c r="S326" s="17">
        <f>IF(OR($B326="",$R326=""),"",IF($R326&lt;=0,"CLEARED "&amp;IFERROR(TEXT(_xlfn.MAXIFS(nrMK_Date,nrMK_Link,$B326,nrMK_Credit,"Yes"),"mm/dd"),""),"OPEN"))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IF(OR($B327="",N($I327)=0),"",SUMIFS(nrMK_Min,nrMK_Link,$B327,nrMK_Credit,"Yes"))</f>
        <v/>
      </c>
      <c r="Q327" s="17">
        <f>IF(OR($B327="",N($J327)=0),"",SUMIFS(nrMK_Sess,nrMK_Link,$B327,nrMK_Credit,"Yes"))</f>
        <v/>
      </c>
      <c r="R327" s="17">
        <f>IF(OR($B327="",$N327&lt;&gt;"Yes"),"",IF(N($I327)&gt;0,N($I327)-N($P327),IF(N($J327)&gt;0,N($J327)-N($Q327),"")))</f>
        <v/>
      </c>
      <c r="S327" s="17">
        <f>IF(OR($B327="",$R327=""),"",IF($R327&lt;=0,"CLEARED "&amp;IFERROR(TEXT(_xlfn.MAXIFS(nrMK_Date,nrMK_Link,$B327,nrMK_Credit,"Yes"),"mm/dd"),""),"OPEN"))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IF(OR($B328="",N($I328)=0),"",SUMIFS(nrMK_Min,nrMK_Link,$B328,nrMK_Credit,"Yes"))</f>
        <v/>
      </c>
      <c r="Q328" s="17">
        <f>IF(OR($B328="",N($J328)=0),"",SUMIFS(nrMK_Sess,nrMK_Link,$B328,nrMK_Credit,"Yes"))</f>
        <v/>
      </c>
      <c r="R328" s="17">
        <f>IF(OR($B328="",$N328&lt;&gt;"Yes"),"",IF(N($I328)&gt;0,N($I328)-N($P328),IF(N($J328)&gt;0,N($J328)-N($Q328),"")))</f>
        <v/>
      </c>
      <c r="S328" s="17">
        <f>IF(OR($B328="",$R328=""),"",IF($R328&lt;=0,"CLEARED "&amp;IFERROR(TEXT(_xlfn.MAXIFS(nrMK_Date,nrMK_Link,$B328,nrMK_Credit,"Yes"),"mm/dd"),""),"OPEN"))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IF(OR($B329="",N($I329)=0),"",SUMIFS(nrMK_Min,nrMK_Link,$B329,nrMK_Credit,"Yes"))</f>
        <v/>
      </c>
      <c r="Q329" s="17">
        <f>IF(OR($B329="",N($J329)=0),"",SUMIFS(nrMK_Sess,nrMK_Link,$B329,nrMK_Credit,"Yes"))</f>
        <v/>
      </c>
      <c r="R329" s="17">
        <f>IF(OR($B329="",$N329&lt;&gt;"Yes"),"",IF(N($I329)&gt;0,N($I329)-N($P329),IF(N($J329)&gt;0,N($J329)-N($Q329),"")))</f>
        <v/>
      </c>
      <c r="S329" s="17">
        <f>IF(OR($B329="",$R329=""),"",IF($R329&lt;=0,"CLEARED "&amp;IFERROR(TEXT(_xlfn.MAXIFS(nrMK_Date,nrMK_Link,$B329,nrMK_Credit,"Yes"),"mm/dd"),""),"OPEN"))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IF(OR($B330="",N($I330)=0),"",SUMIFS(nrMK_Min,nrMK_Link,$B330,nrMK_Credit,"Yes"))</f>
        <v/>
      </c>
      <c r="Q330" s="17">
        <f>IF(OR($B330="",N($J330)=0),"",SUMIFS(nrMK_Sess,nrMK_Link,$B330,nrMK_Credit,"Yes"))</f>
        <v/>
      </c>
      <c r="R330" s="17">
        <f>IF(OR($B330="",$N330&lt;&gt;"Yes"),"",IF(N($I330)&gt;0,N($I330)-N($P330),IF(N($J330)&gt;0,N($J330)-N($Q330),"")))</f>
        <v/>
      </c>
      <c r="S330" s="17">
        <f>IF(OR($B330="",$R330=""),"",IF($R330&lt;=0,"CLEARED "&amp;IFERROR(TEXT(_xlfn.MAXIFS(nrMK_Date,nrMK_Link,$B330,nrMK_Credit,"Yes"),"mm/dd"),""),"OPEN"))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IF(OR($B331="",N($I331)=0),"",SUMIFS(nrMK_Min,nrMK_Link,$B331,nrMK_Credit,"Yes"))</f>
        <v/>
      </c>
      <c r="Q331" s="17">
        <f>IF(OR($B331="",N($J331)=0),"",SUMIFS(nrMK_Sess,nrMK_Link,$B331,nrMK_Credit,"Yes"))</f>
        <v/>
      </c>
      <c r="R331" s="17">
        <f>IF(OR($B331="",$N331&lt;&gt;"Yes"),"",IF(N($I331)&gt;0,N($I331)-N($P331),IF(N($J331)&gt;0,N($J331)-N($Q331),"")))</f>
        <v/>
      </c>
      <c r="S331" s="17">
        <f>IF(OR($B331="",$R331=""),"",IF($R331&lt;=0,"CLEARED "&amp;IFERROR(TEXT(_xlfn.MAXIFS(nrMK_Date,nrMK_Link,$B331,nrMK_Credit,"Yes"),"mm/dd"),""),"OPEN"))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IF(OR($B332="",N($I332)=0),"",SUMIFS(nrMK_Min,nrMK_Link,$B332,nrMK_Credit,"Yes"))</f>
        <v/>
      </c>
      <c r="Q332" s="17">
        <f>IF(OR($B332="",N($J332)=0),"",SUMIFS(nrMK_Sess,nrMK_Link,$B332,nrMK_Credit,"Yes"))</f>
        <v/>
      </c>
      <c r="R332" s="17">
        <f>IF(OR($B332="",$N332&lt;&gt;"Yes"),"",IF(N($I332)&gt;0,N($I332)-N($P332),IF(N($J332)&gt;0,N($J332)-N($Q332),"")))</f>
        <v/>
      </c>
      <c r="S332" s="17">
        <f>IF(OR($B332="",$R332=""),"",IF($R332&lt;=0,"CLEARED "&amp;IFERROR(TEXT(_xlfn.MAXIFS(nrMK_Date,nrMK_Link,$B332,nrMK_Credit,"Yes"),"mm/dd"),""),"OPEN"))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IF(OR($B333="",N($I333)=0),"",SUMIFS(nrMK_Min,nrMK_Link,$B333,nrMK_Credit,"Yes"))</f>
        <v/>
      </c>
      <c r="Q333" s="17">
        <f>IF(OR($B333="",N($J333)=0),"",SUMIFS(nrMK_Sess,nrMK_Link,$B333,nrMK_Credit,"Yes"))</f>
        <v/>
      </c>
      <c r="R333" s="17">
        <f>IF(OR($B333="",$N333&lt;&gt;"Yes"),"",IF(N($I333)&gt;0,N($I333)-N($P333),IF(N($J333)&gt;0,N($J333)-N($Q333),"")))</f>
        <v/>
      </c>
      <c r="S333" s="17">
        <f>IF(OR($B333="",$R333=""),"",IF($R333&lt;=0,"CLEARED "&amp;IFERROR(TEXT(_xlfn.MAXIFS(nrMK_Date,nrMK_Link,$B333,nrMK_Credit,"Yes"),"mm/dd"),""),"OPEN"))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IF(OR($B334="",N($I334)=0),"",SUMIFS(nrMK_Min,nrMK_Link,$B334,nrMK_Credit,"Yes"))</f>
        <v/>
      </c>
      <c r="Q334" s="17">
        <f>IF(OR($B334="",N($J334)=0),"",SUMIFS(nrMK_Sess,nrMK_Link,$B334,nrMK_Credit,"Yes"))</f>
        <v/>
      </c>
      <c r="R334" s="17">
        <f>IF(OR($B334="",$N334&lt;&gt;"Yes"),"",IF(N($I334)&gt;0,N($I334)-N($P334),IF(N($J334)&gt;0,N($J334)-N($Q334),"")))</f>
        <v/>
      </c>
      <c r="S334" s="17">
        <f>IF(OR($B334="",$R334=""),"",IF($R334&lt;=0,"CLEARED "&amp;IFERROR(TEXT(_xlfn.MAXIFS(nrMK_Date,nrMK_Link,$B334,nrMK_Credit,"Yes"),"mm/dd"),""),"OPEN"))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IF(OR($B335="",N($I335)=0),"",SUMIFS(nrMK_Min,nrMK_Link,$B335,nrMK_Credit,"Yes"))</f>
        <v/>
      </c>
      <c r="Q335" s="17">
        <f>IF(OR($B335="",N($J335)=0),"",SUMIFS(nrMK_Sess,nrMK_Link,$B335,nrMK_Credit,"Yes"))</f>
        <v/>
      </c>
      <c r="R335" s="17">
        <f>IF(OR($B335="",$N335&lt;&gt;"Yes"),"",IF(N($I335)&gt;0,N($I335)-N($P335),IF(N($J335)&gt;0,N($J335)-N($Q335),"")))</f>
        <v/>
      </c>
      <c r="S335" s="17">
        <f>IF(OR($B335="",$R335=""),"",IF($R335&lt;=0,"CLEARED "&amp;IFERROR(TEXT(_xlfn.MAXIFS(nrMK_Date,nrMK_Link,$B335,nrMK_Credit,"Yes"),"mm/dd"),""),"OPEN"))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IF(OR($B336="",N($I336)=0),"",SUMIFS(nrMK_Min,nrMK_Link,$B336,nrMK_Credit,"Yes"))</f>
        <v/>
      </c>
      <c r="Q336" s="17">
        <f>IF(OR($B336="",N($J336)=0),"",SUMIFS(nrMK_Sess,nrMK_Link,$B336,nrMK_Credit,"Yes"))</f>
        <v/>
      </c>
      <c r="R336" s="17">
        <f>IF(OR($B336="",$N336&lt;&gt;"Yes"),"",IF(N($I336)&gt;0,N($I336)-N($P336),IF(N($J336)&gt;0,N($J336)-N($Q336),"")))</f>
        <v/>
      </c>
      <c r="S336" s="17">
        <f>IF(OR($B336="",$R336=""),"",IF($R336&lt;=0,"CLEARED "&amp;IFERROR(TEXT(_xlfn.MAXIFS(nrMK_Date,nrMK_Link,$B336,nrMK_Credit,"Yes"),"mm/dd"),""),"OPEN"))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IF(OR($B337="",N($I337)=0),"",SUMIFS(nrMK_Min,nrMK_Link,$B337,nrMK_Credit,"Yes"))</f>
        <v/>
      </c>
      <c r="Q337" s="17">
        <f>IF(OR($B337="",N($J337)=0),"",SUMIFS(nrMK_Sess,nrMK_Link,$B337,nrMK_Credit,"Yes"))</f>
        <v/>
      </c>
      <c r="R337" s="17">
        <f>IF(OR($B337="",$N337&lt;&gt;"Yes"),"",IF(N($I337)&gt;0,N($I337)-N($P337),IF(N($J337)&gt;0,N($J337)-N($Q337),"")))</f>
        <v/>
      </c>
      <c r="S337" s="17">
        <f>IF(OR($B337="",$R337=""),"",IF($R337&lt;=0,"CLEARED "&amp;IFERROR(TEXT(_xlfn.MAXIFS(nrMK_Date,nrMK_Link,$B337,nrMK_Credit,"Yes"),"mm/dd"),""),"OPEN"))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IF(OR($B338="",N($I338)=0),"",SUMIFS(nrMK_Min,nrMK_Link,$B338,nrMK_Credit,"Yes"))</f>
        <v/>
      </c>
      <c r="Q338" s="17">
        <f>IF(OR($B338="",N($J338)=0),"",SUMIFS(nrMK_Sess,nrMK_Link,$B338,nrMK_Credit,"Yes"))</f>
        <v/>
      </c>
      <c r="R338" s="17">
        <f>IF(OR($B338="",$N338&lt;&gt;"Yes"),"",IF(N($I338)&gt;0,N($I338)-N($P338),IF(N($J338)&gt;0,N($J338)-N($Q338),"")))</f>
        <v/>
      </c>
      <c r="S338" s="17">
        <f>IF(OR($B338="",$R338=""),"",IF($R338&lt;=0,"CLEARED "&amp;IFERROR(TEXT(_xlfn.MAXIFS(nrMK_Date,nrMK_Link,$B338,nrMK_Credit,"Yes"),"mm/dd"),""),"OPEN"))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IF(OR($B339="",N($I339)=0),"",SUMIFS(nrMK_Min,nrMK_Link,$B339,nrMK_Credit,"Yes"))</f>
        <v/>
      </c>
      <c r="Q339" s="17">
        <f>IF(OR($B339="",N($J339)=0),"",SUMIFS(nrMK_Sess,nrMK_Link,$B339,nrMK_Credit,"Yes"))</f>
        <v/>
      </c>
      <c r="R339" s="17">
        <f>IF(OR($B339="",$N339&lt;&gt;"Yes"),"",IF(N($I339)&gt;0,N($I339)-N($P339),IF(N($J339)&gt;0,N($J339)-N($Q339),"")))</f>
        <v/>
      </c>
      <c r="S339" s="17">
        <f>IF(OR($B339="",$R339=""),"",IF($R339&lt;=0,"CLEARED "&amp;IFERROR(TEXT(_xlfn.MAXIFS(nrMK_Date,nrMK_Link,$B339,nrMK_Credit,"Yes"),"mm/dd"),""),"OPEN"))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IF(OR($B340="",N($I340)=0),"",SUMIFS(nrMK_Min,nrMK_Link,$B340,nrMK_Credit,"Yes"))</f>
        <v/>
      </c>
      <c r="Q340" s="17">
        <f>IF(OR($B340="",N($J340)=0),"",SUMIFS(nrMK_Sess,nrMK_Link,$B340,nrMK_Credit,"Yes"))</f>
        <v/>
      </c>
      <c r="R340" s="17">
        <f>IF(OR($B340="",$N340&lt;&gt;"Yes"),"",IF(N($I340)&gt;0,N($I340)-N($P340),IF(N($J340)&gt;0,N($J340)-N($Q340),"")))</f>
        <v/>
      </c>
      <c r="S340" s="17">
        <f>IF(OR($B340="",$R340=""),"",IF($R340&lt;=0,"CLEARED "&amp;IFERROR(TEXT(_xlfn.MAXIFS(nrMK_Date,nrMK_Link,$B340,nrMK_Credit,"Yes"),"mm/dd"),""),"OPEN"))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IF(OR($B341="",N($I341)=0),"",SUMIFS(nrMK_Min,nrMK_Link,$B341,nrMK_Credit,"Yes"))</f>
        <v/>
      </c>
      <c r="Q341" s="17">
        <f>IF(OR($B341="",N($J341)=0),"",SUMIFS(nrMK_Sess,nrMK_Link,$B341,nrMK_Credit,"Yes"))</f>
        <v/>
      </c>
      <c r="R341" s="17">
        <f>IF(OR($B341="",$N341&lt;&gt;"Yes"),"",IF(N($I341)&gt;0,N($I341)-N($P341),IF(N($J341)&gt;0,N($J341)-N($Q341),"")))</f>
        <v/>
      </c>
      <c r="S341" s="17">
        <f>IF(OR($B341="",$R341=""),"",IF($R341&lt;=0,"CLEARED "&amp;IFERROR(TEXT(_xlfn.MAXIFS(nrMK_Date,nrMK_Link,$B341,nrMK_Credit,"Yes"),"mm/dd"),""),"OPEN"))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IF(OR($B342="",N($I342)=0),"",SUMIFS(nrMK_Min,nrMK_Link,$B342,nrMK_Credit,"Yes"))</f>
        <v/>
      </c>
      <c r="Q342" s="17">
        <f>IF(OR($B342="",N($J342)=0),"",SUMIFS(nrMK_Sess,nrMK_Link,$B342,nrMK_Credit,"Yes"))</f>
        <v/>
      </c>
      <c r="R342" s="17">
        <f>IF(OR($B342="",$N342&lt;&gt;"Yes"),"",IF(N($I342)&gt;0,N($I342)-N($P342),IF(N($J342)&gt;0,N($J342)-N($Q342),"")))</f>
        <v/>
      </c>
      <c r="S342" s="17">
        <f>IF(OR($B342="",$R342=""),"",IF($R342&lt;=0,"CLEARED "&amp;IFERROR(TEXT(_xlfn.MAXIFS(nrMK_Date,nrMK_Link,$B342,nrMK_Credit,"Yes"),"mm/dd"),""),"OPEN"))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IF(OR($B343="",N($I343)=0),"",SUMIFS(nrMK_Min,nrMK_Link,$B343,nrMK_Credit,"Yes"))</f>
        <v/>
      </c>
      <c r="Q343" s="17">
        <f>IF(OR($B343="",N($J343)=0),"",SUMIFS(nrMK_Sess,nrMK_Link,$B343,nrMK_Credit,"Yes"))</f>
        <v/>
      </c>
      <c r="R343" s="17">
        <f>IF(OR($B343="",$N343&lt;&gt;"Yes"),"",IF(N($I343)&gt;0,N($I343)-N($P343),IF(N($J343)&gt;0,N($J343)-N($Q343),"")))</f>
        <v/>
      </c>
      <c r="S343" s="17">
        <f>IF(OR($B343="",$R343=""),"",IF($R343&lt;=0,"CLEARED "&amp;IFERROR(TEXT(_xlfn.MAXIFS(nrMK_Date,nrMK_Link,$B343,nrMK_Credit,"Yes"),"mm/dd"),""),"OPEN"))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IF(OR($B344="",N($I344)=0),"",SUMIFS(nrMK_Min,nrMK_Link,$B344,nrMK_Credit,"Yes"))</f>
        <v/>
      </c>
      <c r="Q344" s="17">
        <f>IF(OR($B344="",N($J344)=0),"",SUMIFS(nrMK_Sess,nrMK_Link,$B344,nrMK_Credit,"Yes"))</f>
        <v/>
      </c>
      <c r="R344" s="17">
        <f>IF(OR($B344="",$N344&lt;&gt;"Yes"),"",IF(N($I344)&gt;0,N($I344)-N($P344),IF(N($J344)&gt;0,N($J344)-N($Q344),"")))</f>
        <v/>
      </c>
      <c r="S344" s="17">
        <f>IF(OR($B344="",$R344=""),"",IF($R344&lt;=0,"CLEARED "&amp;IFERROR(TEXT(_xlfn.MAXIFS(nrMK_Date,nrMK_Link,$B344,nrMK_Credit,"Yes"),"mm/dd"),""),"OPEN"))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IF(OR($B345="",N($I345)=0),"",SUMIFS(nrMK_Min,nrMK_Link,$B345,nrMK_Credit,"Yes"))</f>
        <v/>
      </c>
      <c r="Q345" s="17">
        <f>IF(OR($B345="",N($J345)=0),"",SUMIFS(nrMK_Sess,nrMK_Link,$B345,nrMK_Credit,"Yes"))</f>
        <v/>
      </c>
      <c r="R345" s="17">
        <f>IF(OR($B345="",$N345&lt;&gt;"Yes"),"",IF(N($I345)&gt;0,N($I345)-N($P345),IF(N($J345)&gt;0,N($J345)-N($Q345),"")))</f>
        <v/>
      </c>
      <c r="S345" s="17">
        <f>IF(OR($B345="",$R345=""),"",IF($R345&lt;=0,"CLEARED "&amp;IFERROR(TEXT(_xlfn.MAXIFS(nrMK_Date,nrMK_Link,$B345,nrMK_Credit,"Yes"),"mm/dd"),""),"OPEN"))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IF(OR($B346="",N($I346)=0),"",SUMIFS(nrMK_Min,nrMK_Link,$B346,nrMK_Credit,"Yes"))</f>
        <v/>
      </c>
      <c r="Q346" s="17">
        <f>IF(OR($B346="",N($J346)=0),"",SUMIFS(nrMK_Sess,nrMK_Link,$B346,nrMK_Credit,"Yes"))</f>
        <v/>
      </c>
      <c r="R346" s="17">
        <f>IF(OR($B346="",$N346&lt;&gt;"Yes"),"",IF(N($I346)&gt;0,N($I346)-N($P346),IF(N($J346)&gt;0,N($J346)-N($Q346),"")))</f>
        <v/>
      </c>
      <c r="S346" s="17">
        <f>IF(OR($B346="",$R346=""),"",IF($R346&lt;=0,"CLEARED "&amp;IFERROR(TEXT(_xlfn.MAXIFS(nrMK_Date,nrMK_Link,$B346,nrMK_Credit,"Yes"),"mm/dd"),""),"OPEN"))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IF(OR($B347="",N($I347)=0),"",SUMIFS(nrMK_Min,nrMK_Link,$B347,nrMK_Credit,"Yes"))</f>
        <v/>
      </c>
      <c r="Q347" s="17">
        <f>IF(OR($B347="",N($J347)=0),"",SUMIFS(nrMK_Sess,nrMK_Link,$B347,nrMK_Credit,"Yes"))</f>
        <v/>
      </c>
      <c r="R347" s="17">
        <f>IF(OR($B347="",$N347&lt;&gt;"Yes"),"",IF(N($I347)&gt;0,N($I347)-N($P347),IF(N($J347)&gt;0,N($J347)-N($Q347),"")))</f>
        <v/>
      </c>
      <c r="S347" s="17">
        <f>IF(OR($B347="",$R347=""),"",IF($R347&lt;=0,"CLEARED "&amp;IFERROR(TEXT(_xlfn.MAXIFS(nrMK_Date,nrMK_Link,$B347,nrMK_Credit,"Yes"),"mm/dd"),""),"OPEN"))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IF(OR($B348="",N($I348)=0),"",SUMIFS(nrMK_Min,nrMK_Link,$B348,nrMK_Credit,"Yes"))</f>
        <v/>
      </c>
      <c r="Q348" s="17">
        <f>IF(OR($B348="",N($J348)=0),"",SUMIFS(nrMK_Sess,nrMK_Link,$B348,nrMK_Credit,"Yes"))</f>
        <v/>
      </c>
      <c r="R348" s="17">
        <f>IF(OR($B348="",$N348&lt;&gt;"Yes"),"",IF(N($I348)&gt;0,N($I348)-N($P348),IF(N($J348)&gt;0,N($J348)-N($Q348),"")))</f>
        <v/>
      </c>
      <c r="S348" s="17">
        <f>IF(OR($B348="",$R348=""),"",IF($R348&lt;=0,"CLEARED "&amp;IFERROR(TEXT(_xlfn.MAXIFS(nrMK_Date,nrMK_Link,$B348,nrMK_Credit,"Yes"),"mm/dd"),""),"OPEN"))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IF(OR($B349="",N($I349)=0),"",SUMIFS(nrMK_Min,nrMK_Link,$B349,nrMK_Credit,"Yes"))</f>
        <v/>
      </c>
      <c r="Q349" s="17">
        <f>IF(OR($B349="",N($J349)=0),"",SUMIFS(nrMK_Sess,nrMK_Link,$B349,nrMK_Credit,"Yes"))</f>
        <v/>
      </c>
      <c r="R349" s="17">
        <f>IF(OR($B349="",$N349&lt;&gt;"Yes"),"",IF(N($I349)&gt;0,N($I349)-N($P349),IF(N($J349)&gt;0,N($J349)-N($Q349),"")))</f>
        <v/>
      </c>
      <c r="S349" s="17">
        <f>IF(OR($B349="",$R349=""),"",IF($R349&lt;=0,"CLEARED "&amp;IFERROR(TEXT(_xlfn.MAXIFS(nrMK_Date,nrMK_Link,$B349,nrMK_Credit,"Yes"),"mm/dd"),""),"OPEN"))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IF(OR($B350="",N($I350)=0),"",SUMIFS(nrMK_Min,nrMK_Link,$B350,nrMK_Credit,"Yes"))</f>
        <v/>
      </c>
      <c r="Q350" s="17">
        <f>IF(OR($B350="",N($J350)=0),"",SUMIFS(nrMK_Sess,nrMK_Link,$B350,nrMK_Credit,"Yes"))</f>
        <v/>
      </c>
      <c r="R350" s="17">
        <f>IF(OR($B350="",$N350&lt;&gt;"Yes"),"",IF(N($I350)&gt;0,N($I350)-N($P350),IF(N($J350)&gt;0,N($J350)-N($Q350),"")))</f>
        <v/>
      </c>
      <c r="S350" s="17">
        <f>IF(OR($B350="",$R350=""),"",IF($R350&lt;=0,"CLEARED "&amp;IFERROR(TEXT(_xlfn.MAXIFS(nrMK_Date,nrMK_Link,$B350,nrMK_Credit,"Yes"),"mm/dd"),""),"OPEN"))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IF(OR($B351="",N($I351)=0),"",SUMIFS(nrMK_Min,nrMK_Link,$B351,nrMK_Credit,"Yes"))</f>
        <v/>
      </c>
      <c r="Q351" s="17">
        <f>IF(OR($B351="",N($J351)=0),"",SUMIFS(nrMK_Sess,nrMK_Link,$B351,nrMK_Credit,"Yes"))</f>
        <v/>
      </c>
      <c r="R351" s="17">
        <f>IF(OR($B351="",$N351&lt;&gt;"Yes"),"",IF(N($I351)&gt;0,N($I351)-N($P351),IF(N($J351)&gt;0,N($J351)-N($Q351),"")))</f>
        <v/>
      </c>
      <c r="S351" s="17">
        <f>IF(OR($B351="",$R351=""),"",IF($R351&lt;=0,"CLEARED "&amp;IFERROR(TEXT(_xlfn.MAXIFS(nrMK_Date,nrMK_Link,$B351,nrMK_Credit,"Yes"),"mm/dd"),""),"OPEN"))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IF(OR($B352="",N($I352)=0),"",SUMIFS(nrMK_Min,nrMK_Link,$B352,nrMK_Credit,"Yes"))</f>
        <v/>
      </c>
      <c r="Q352" s="17">
        <f>IF(OR($B352="",N($J352)=0),"",SUMIFS(nrMK_Sess,nrMK_Link,$B352,nrMK_Credit,"Yes"))</f>
        <v/>
      </c>
      <c r="R352" s="17">
        <f>IF(OR($B352="",$N352&lt;&gt;"Yes"),"",IF(N($I352)&gt;0,N($I352)-N($P352),IF(N($J352)&gt;0,N($J352)-N($Q352),"")))</f>
        <v/>
      </c>
      <c r="S352" s="17">
        <f>IF(OR($B352="",$R352=""),"",IF($R352&lt;=0,"CLEARED "&amp;IFERROR(TEXT(_xlfn.MAXIFS(nrMK_Date,nrMK_Link,$B352,nrMK_Credit,"Yes"),"mm/dd"),""),"OPEN"))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IF(OR($B353="",N($I353)=0),"",SUMIFS(nrMK_Min,nrMK_Link,$B353,nrMK_Credit,"Yes"))</f>
        <v/>
      </c>
      <c r="Q353" s="17">
        <f>IF(OR($B353="",N($J353)=0),"",SUMIFS(nrMK_Sess,nrMK_Link,$B353,nrMK_Credit,"Yes"))</f>
        <v/>
      </c>
      <c r="R353" s="17">
        <f>IF(OR($B353="",$N353&lt;&gt;"Yes"),"",IF(N($I353)&gt;0,N($I353)-N($P353),IF(N($J353)&gt;0,N($J353)-N($Q353),"")))</f>
        <v/>
      </c>
      <c r="S353" s="17">
        <f>IF(OR($B353="",$R353=""),"",IF($R353&lt;=0,"CLEARED "&amp;IFERROR(TEXT(_xlfn.MAXIFS(nrMK_Date,nrMK_Link,$B353,nrMK_Credit,"Yes"),"mm/dd"),""),"OPEN"))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IF(OR($B354="",N($I354)=0),"",SUMIFS(nrMK_Min,nrMK_Link,$B354,nrMK_Credit,"Yes"))</f>
        <v/>
      </c>
      <c r="Q354" s="17">
        <f>IF(OR($B354="",N($J354)=0),"",SUMIFS(nrMK_Sess,nrMK_Link,$B354,nrMK_Credit,"Yes"))</f>
        <v/>
      </c>
      <c r="R354" s="17">
        <f>IF(OR($B354="",$N354&lt;&gt;"Yes"),"",IF(N($I354)&gt;0,N($I354)-N($P354),IF(N($J354)&gt;0,N($J354)-N($Q354),"")))</f>
        <v/>
      </c>
      <c r="S354" s="17">
        <f>IF(OR($B354="",$R354=""),"",IF($R354&lt;=0,"CLEARED "&amp;IFERROR(TEXT(_xlfn.MAXIFS(nrMK_Date,nrMK_Link,$B354,nrMK_Credit,"Yes"),"mm/dd"),""),"OPEN"))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IF(OR($B355="",N($I355)=0),"",SUMIFS(nrMK_Min,nrMK_Link,$B355,nrMK_Credit,"Yes"))</f>
        <v/>
      </c>
      <c r="Q355" s="17">
        <f>IF(OR($B355="",N($J355)=0),"",SUMIFS(nrMK_Sess,nrMK_Link,$B355,nrMK_Credit,"Yes"))</f>
        <v/>
      </c>
      <c r="R355" s="17">
        <f>IF(OR($B355="",$N355&lt;&gt;"Yes"),"",IF(N($I355)&gt;0,N($I355)-N($P355),IF(N($J355)&gt;0,N($J355)-N($Q355),"")))</f>
        <v/>
      </c>
      <c r="S355" s="17">
        <f>IF(OR($B355="",$R355=""),"",IF($R355&lt;=0,"CLEARED "&amp;IFERROR(TEXT(_xlfn.MAXIFS(nrMK_Date,nrMK_Link,$B355,nrMK_Credit,"Yes"),"mm/dd"),""),"OPEN"))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IF(OR($B356="",N($I356)=0),"",SUMIFS(nrMK_Min,nrMK_Link,$B356,nrMK_Credit,"Yes"))</f>
        <v/>
      </c>
      <c r="Q356" s="17">
        <f>IF(OR($B356="",N($J356)=0),"",SUMIFS(nrMK_Sess,nrMK_Link,$B356,nrMK_Credit,"Yes"))</f>
        <v/>
      </c>
      <c r="R356" s="17">
        <f>IF(OR($B356="",$N356&lt;&gt;"Yes"),"",IF(N($I356)&gt;0,N($I356)-N($P356),IF(N($J356)&gt;0,N($J356)-N($Q356),"")))</f>
        <v/>
      </c>
      <c r="S356" s="17">
        <f>IF(OR($B356="",$R356=""),"",IF($R356&lt;=0,"CLEARED "&amp;IFERROR(TEXT(_xlfn.MAXIFS(nrMK_Date,nrMK_Link,$B356,nrMK_Credit,"Yes"),"mm/dd"),""),"OPEN"))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IF(OR($B357="",N($I357)=0),"",SUMIFS(nrMK_Min,nrMK_Link,$B357,nrMK_Credit,"Yes"))</f>
        <v/>
      </c>
      <c r="Q357" s="17">
        <f>IF(OR($B357="",N($J357)=0),"",SUMIFS(nrMK_Sess,nrMK_Link,$B357,nrMK_Credit,"Yes"))</f>
        <v/>
      </c>
      <c r="R357" s="17">
        <f>IF(OR($B357="",$N357&lt;&gt;"Yes"),"",IF(N($I357)&gt;0,N($I357)-N($P357),IF(N($J357)&gt;0,N($J357)-N($Q357),"")))</f>
        <v/>
      </c>
      <c r="S357" s="17">
        <f>IF(OR($B357="",$R357=""),"",IF($R357&lt;=0,"CLEARED "&amp;IFERROR(TEXT(_xlfn.MAXIFS(nrMK_Date,nrMK_Link,$B357,nrMK_Credit,"Yes"),"mm/dd"),""),"OPEN"))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IF(OR($B358="",N($I358)=0),"",SUMIFS(nrMK_Min,nrMK_Link,$B358,nrMK_Credit,"Yes"))</f>
        <v/>
      </c>
      <c r="Q358" s="17">
        <f>IF(OR($B358="",N($J358)=0),"",SUMIFS(nrMK_Sess,nrMK_Link,$B358,nrMK_Credit,"Yes"))</f>
        <v/>
      </c>
      <c r="R358" s="17">
        <f>IF(OR($B358="",$N358&lt;&gt;"Yes"),"",IF(N($I358)&gt;0,N($I358)-N($P358),IF(N($J358)&gt;0,N($J358)-N($Q358),"")))</f>
        <v/>
      </c>
      <c r="S358" s="17">
        <f>IF(OR($B358="",$R358=""),"",IF($R358&lt;=0,"CLEARED "&amp;IFERROR(TEXT(_xlfn.MAXIFS(nrMK_Date,nrMK_Link,$B358,nrMK_Credit,"Yes"),"mm/dd"),""),"OPEN"))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IF(OR($B359="",N($I359)=0),"",SUMIFS(nrMK_Min,nrMK_Link,$B359,nrMK_Credit,"Yes"))</f>
        <v/>
      </c>
      <c r="Q359" s="17">
        <f>IF(OR($B359="",N($J359)=0),"",SUMIFS(nrMK_Sess,nrMK_Link,$B359,nrMK_Credit,"Yes"))</f>
        <v/>
      </c>
      <c r="R359" s="17">
        <f>IF(OR($B359="",$N359&lt;&gt;"Yes"),"",IF(N($I359)&gt;0,N($I359)-N($P359),IF(N($J359)&gt;0,N($J359)-N($Q359),"")))</f>
        <v/>
      </c>
      <c r="S359" s="17">
        <f>IF(OR($B359="",$R359=""),"",IF($R359&lt;=0,"CLEARED "&amp;IFERROR(TEXT(_xlfn.MAXIFS(nrMK_Date,nrMK_Link,$B359,nrMK_Credit,"Yes"),"mm/dd"),""),"OPEN"))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IF(OR($B360="",N($I360)=0),"",SUMIFS(nrMK_Min,nrMK_Link,$B360,nrMK_Credit,"Yes"))</f>
        <v/>
      </c>
      <c r="Q360" s="17">
        <f>IF(OR($B360="",N($J360)=0),"",SUMIFS(nrMK_Sess,nrMK_Link,$B360,nrMK_Credit,"Yes"))</f>
        <v/>
      </c>
      <c r="R360" s="17">
        <f>IF(OR($B360="",$N360&lt;&gt;"Yes"),"",IF(N($I360)&gt;0,N($I360)-N($P360),IF(N($J360)&gt;0,N($J360)-N($Q360),"")))</f>
        <v/>
      </c>
      <c r="S360" s="17">
        <f>IF(OR($B360="",$R360=""),"",IF($R360&lt;=0,"CLEARED "&amp;IFERROR(TEXT(_xlfn.MAXIFS(nrMK_Date,nrMK_Link,$B360,nrMK_Credit,"Yes"),"mm/dd"),""),"OPEN"))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IF(OR($B361="",N($I361)=0),"",SUMIFS(nrMK_Min,nrMK_Link,$B361,nrMK_Credit,"Yes"))</f>
        <v/>
      </c>
      <c r="Q361" s="17">
        <f>IF(OR($B361="",N($J361)=0),"",SUMIFS(nrMK_Sess,nrMK_Link,$B361,nrMK_Credit,"Yes"))</f>
        <v/>
      </c>
      <c r="R361" s="17">
        <f>IF(OR($B361="",$N361&lt;&gt;"Yes"),"",IF(N($I361)&gt;0,N($I361)-N($P361),IF(N($J361)&gt;0,N($J361)-N($Q361),"")))</f>
        <v/>
      </c>
      <c r="S361" s="17">
        <f>IF(OR($B361="",$R361=""),"",IF($R361&lt;=0,"CLEARED "&amp;IFERROR(TEXT(_xlfn.MAXIFS(nrMK_Date,nrMK_Link,$B361,nrMK_Credit,"Yes"),"mm/dd"),""),"OPEN"))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IF(OR($B362="",N($I362)=0),"",SUMIFS(nrMK_Min,nrMK_Link,$B362,nrMK_Credit,"Yes"))</f>
        <v/>
      </c>
      <c r="Q362" s="17">
        <f>IF(OR($B362="",N($J362)=0),"",SUMIFS(nrMK_Sess,nrMK_Link,$B362,nrMK_Credit,"Yes"))</f>
        <v/>
      </c>
      <c r="R362" s="17">
        <f>IF(OR($B362="",$N362&lt;&gt;"Yes"),"",IF(N($I362)&gt;0,N($I362)-N($P362),IF(N($J362)&gt;0,N($J362)-N($Q362),"")))</f>
        <v/>
      </c>
      <c r="S362" s="17">
        <f>IF(OR($B362="",$R362=""),"",IF($R362&lt;=0,"CLEARED "&amp;IFERROR(TEXT(_xlfn.MAXIFS(nrMK_Date,nrMK_Link,$B362,nrMK_Credit,"Yes"),"mm/dd"),""),"OPEN"))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IF(OR($B363="",N($I363)=0),"",SUMIFS(nrMK_Min,nrMK_Link,$B363,nrMK_Credit,"Yes"))</f>
        <v/>
      </c>
      <c r="Q363" s="17">
        <f>IF(OR($B363="",N($J363)=0),"",SUMIFS(nrMK_Sess,nrMK_Link,$B363,nrMK_Credit,"Yes"))</f>
        <v/>
      </c>
      <c r="R363" s="17">
        <f>IF(OR($B363="",$N363&lt;&gt;"Yes"),"",IF(N($I363)&gt;0,N($I363)-N($P363),IF(N($J363)&gt;0,N($J363)-N($Q363),"")))</f>
        <v/>
      </c>
      <c r="S363" s="17">
        <f>IF(OR($B363="",$R363=""),"",IF($R363&lt;=0,"CLEARED "&amp;IFERROR(TEXT(_xlfn.MAXIFS(nrMK_Date,nrMK_Link,$B363,nrMK_Credit,"Yes"),"mm/dd"),""),"OPEN"))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IF(OR($B364="",N($I364)=0),"",SUMIFS(nrMK_Min,nrMK_Link,$B364,nrMK_Credit,"Yes"))</f>
        <v/>
      </c>
      <c r="Q364" s="17">
        <f>IF(OR($B364="",N($J364)=0),"",SUMIFS(nrMK_Sess,nrMK_Link,$B364,nrMK_Credit,"Yes"))</f>
        <v/>
      </c>
      <c r="R364" s="17">
        <f>IF(OR($B364="",$N364&lt;&gt;"Yes"),"",IF(N($I364)&gt;0,N($I364)-N($P364),IF(N($J364)&gt;0,N($J364)-N($Q364),"")))</f>
        <v/>
      </c>
      <c r="S364" s="17">
        <f>IF(OR($B364="",$R364=""),"",IF($R364&lt;=0,"CLEARED "&amp;IFERROR(TEXT(_xlfn.MAXIFS(nrMK_Date,nrMK_Link,$B364,nrMK_Credit,"Yes"),"mm/dd"),""),"OPEN"))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IF(OR($B365="",N($I365)=0),"",SUMIFS(nrMK_Min,nrMK_Link,$B365,nrMK_Credit,"Yes"))</f>
        <v/>
      </c>
      <c r="Q365" s="17">
        <f>IF(OR($B365="",N($J365)=0),"",SUMIFS(nrMK_Sess,nrMK_Link,$B365,nrMK_Credit,"Yes"))</f>
        <v/>
      </c>
      <c r="R365" s="17">
        <f>IF(OR($B365="",$N365&lt;&gt;"Yes"),"",IF(N($I365)&gt;0,N($I365)-N($P365),IF(N($J365)&gt;0,N($J365)-N($Q365),"")))</f>
        <v/>
      </c>
      <c r="S365" s="17">
        <f>IF(OR($B365="",$R365=""),"",IF($R365&lt;=0,"CLEARED "&amp;IFERROR(TEXT(_xlfn.MAXIFS(nrMK_Date,nrMK_Link,$B365,nrMK_Credit,"Yes"),"mm/dd"),""),"OPEN"))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IF(OR($B366="",N($I366)=0),"",SUMIFS(nrMK_Min,nrMK_Link,$B366,nrMK_Credit,"Yes"))</f>
        <v/>
      </c>
      <c r="Q366" s="17">
        <f>IF(OR($B366="",N($J366)=0),"",SUMIFS(nrMK_Sess,nrMK_Link,$B366,nrMK_Credit,"Yes"))</f>
        <v/>
      </c>
      <c r="R366" s="17">
        <f>IF(OR($B366="",$N366&lt;&gt;"Yes"),"",IF(N($I366)&gt;0,N($I366)-N($P366),IF(N($J366)&gt;0,N($J366)-N($Q366),"")))</f>
        <v/>
      </c>
      <c r="S366" s="17">
        <f>IF(OR($B366="",$R366=""),"",IF($R366&lt;=0,"CLEARED "&amp;IFERROR(TEXT(_xlfn.MAXIFS(nrMK_Date,nrMK_Link,$B366,nrMK_Credit,"Yes"),"mm/dd"),""),"OPEN"))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IF(OR($B367="",N($I367)=0),"",SUMIFS(nrMK_Min,nrMK_Link,$B367,nrMK_Credit,"Yes"))</f>
        <v/>
      </c>
      <c r="Q367" s="17">
        <f>IF(OR($B367="",N($J367)=0),"",SUMIFS(nrMK_Sess,nrMK_Link,$B367,nrMK_Credit,"Yes"))</f>
        <v/>
      </c>
      <c r="R367" s="17">
        <f>IF(OR($B367="",$N367&lt;&gt;"Yes"),"",IF(N($I367)&gt;0,N($I367)-N($P367),IF(N($J367)&gt;0,N($J367)-N($Q367),"")))</f>
        <v/>
      </c>
      <c r="S367" s="17">
        <f>IF(OR($B367="",$R367=""),"",IF($R367&lt;=0,"CLEARED "&amp;IFERROR(TEXT(_xlfn.MAXIFS(nrMK_Date,nrMK_Link,$B367,nrMK_Credit,"Yes"),"mm/dd"),""),"OPEN"))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IF(OR($B368="",N($I368)=0),"",SUMIFS(nrMK_Min,nrMK_Link,$B368,nrMK_Credit,"Yes"))</f>
        <v/>
      </c>
      <c r="Q368" s="17">
        <f>IF(OR($B368="",N($J368)=0),"",SUMIFS(nrMK_Sess,nrMK_Link,$B368,nrMK_Credit,"Yes"))</f>
        <v/>
      </c>
      <c r="R368" s="17">
        <f>IF(OR($B368="",$N368&lt;&gt;"Yes"),"",IF(N($I368)&gt;0,N($I368)-N($P368),IF(N($J368)&gt;0,N($J368)-N($Q368),"")))</f>
        <v/>
      </c>
      <c r="S368" s="17">
        <f>IF(OR($B368="",$R368=""),"",IF($R368&lt;=0,"CLEARED "&amp;IFERROR(TEXT(_xlfn.MAXIFS(nrMK_Date,nrMK_Link,$B368,nrMK_Credit,"Yes"),"mm/dd"),""),"OPEN"))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IF(OR($B369="",N($I369)=0),"",SUMIFS(nrMK_Min,nrMK_Link,$B369,nrMK_Credit,"Yes"))</f>
        <v/>
      </c>
      <c r="Q369" s="17">
        <f>IF(OR($B369="",N($J369)=0),"",SUMIFS(nrMK_Sess,nrMK_Link,$B369,nrMK_Credit,"Yes"))</f>
        <v/>
      </c>
      <c r="R369" s="17">
        <f>IF(OR($B369="",$N369&lt;&gt;"Yes"),"",IF(N($I369)&gt;0,N($I369)-N($P369),IF(N($J369)&gt;0,N($J369)-N($Q369),"")))</f>
        <v/>
      </c>
      <c r="S369" s="17">
        <f>IF(OR($B369="",$R369=""),"",IF($R369&lt;=0,"CLEARED "&amp;IFERROR(TEXT(_xlfn.MAXIFS(nrMK_Date,nrMK_Link,$B369,nrMK_Credit,"Yes"),"mm/dd"),""),"OPEN"))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IF(OR($B370="",N($I370)=0),"",SUMIFS(nrMK_Min,nrMK_Link,$B370,nrMK_Credit,"Yes"))</f>
        <v/>
      </c>
      <c r="Q370" s="17">
        <f>IF(OR($B370="",N($J370)=0),"",SUMIFS(nrMK_Sess,nrMK_Link,$B370,nrMK_Credit,"Yes"))</f>
        <v/>
      </c>
      <c r="R370" s="17">
        <f>IF(OR($B370="",$N370&lt;&gt;"Yes"),"",IF(N($I370)&gt;0,N($I370)-N($P370),IF(N($J370)&gt;0,N($J370)-N($Q370),"")))</f>
        <v/>
      </c>
      <c r="S370" s="17">
        <f>IF(OR($B370="",$R370=""),"",IF($R370&lt;=0,"CLEARED "&amp;IFERROR(TEXT(_xlfn.MAXIFS(nrMK_Date,nrMK_Link,$B370,nrMK_Credit,"Yes"),"mm/dd"),""),"OPEN"))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IF(OR($B371="",N($I371)=0),"",SUMIFS(nrMK_Min,nrMK_Link,$B371,nrMK_Credit,"Yes"))</f>
        <v/>
      </c>
      <c r="Q371" s="17">
        <f>IF(OR($B371="",N($J371)=0),"",SUMIFS(nrMK_Sess,nrMK_Link,$B371,nrMK_Credit,"Yes"))</f>
        <v/>
      </c>
      <c r="R371" s="17">
        <f>IF(OR($B371="",$N371&lt;&gt;"Yes"),"",IF(N($I371)&gt;0,N($I371)-N($P371),IF(N($J371)&gt;0,N($J371)-N($Q371),"")))</f>
        <v/>
      </c>
      <c r="S371" s="17">
        <f>IF(OR($B371="",$R371=""),"",IF($R371&lt;=0,"CLEARED "&amp;IFERROR(TEXT(_xlfn.MAXIFS(nrMK_Date,nrMK_Link,$B371,nrMK_Credit,"Yes"),"mm/dd"),""),"OPEN"))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IF(OR($B372="",N($I372)=0),"",SUMIFS(nrMK_Min,nrMK_Link,$B372,nrMK_Credit,"Yes"))</f>
        <v/>
      </c>
      <c r="Q372" s="17">
        <f>IF(OR($B372="",N($J372)=0),"",SUMIFS(nrMK_Sess,nrMK_Link,$B372,nrMK_Credit,"Yes"))</f>
        <v/>
      </c>
      <c r="R372" s="17">
        <f>IF(OR($B372="",$N372&lt;&gt;"Yes"),"",IF(N($I372)&gt;0,N($I372)-N($P372),IF(N($J372)&gt;0,N($J372)-N($Q372),"")))</f>
        <v/>
      </c>
      <c r="S372" s="17">
        <f>IF(OR($B372="",$R372=""),"",IF($R372&lt;=0,"CLEARED "&amp;IFERROR(TEXT(_xlfn.MAXIFS(nrMK_Date,nrMK_Link,$B372,nrMK_Credit,"Yes"),"mm/dd"),""),"OPEN"))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IF(OR($B373="",N($I373)=0),"",SUMIFS(nrMK_Min,nrMK_Link,$B373,nrMK_Credit,"Yes"))</f>
        <v/>
      </c>
      <c r="Q373" s="17">
        <f>IF(OR($B373="",N($J373)=0),"",SUMIFS(nrMK_Sess,nrMK_Link,$B373,nrMK_Credit,"Yes"))</f>
        <v/>
      </c>
      <c r="R373" s="17">
        <f>IF(OR($B373="",$N373&lt;&gt;"Yes"),"",IF(N($I373)&gt;0,N($I373)-N($P373),IF(N($J373)&gt;0,N($J373)-N($Q373),"")))</f>
        <v/>
      </c>
      <c r="S373" s="17">
        <f>IF(OR($B373="",$R373=""),"",IF($R373&lt;=0,"CLEARED "&amp;IFERROR(TEXT(_xlfn.MAXIFS(nrMK_Date,nrMK_Link,$B373,nrMK_Credit,"Yes"),"mm/dd"),""),"OPEN"))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IF(OR($B374="",N($I374)=0),"",SUMIFS(nrMK_Min,nrMK_Link,$B374,nrMK_Credit,"Yes"))</f>
        <v/>
      </c>
      <c r="Q374" s="17">
        <f>IF(OR($B374="",N($J374)=0),"",SUMIFS(nrMK_Sess,nrMK_Link,$B374,nrMK_Credit,"Yes"))</f>
        <v/>
      </c>
      <c r="R374" s="17">
        <f>IF(OR($B374="",$N374&lt;&gt;"Yes"),"",IF(N($I374)&gt;0,N($I374)-N($P374),IF(N($J374)&gt;0,N($J374)-N($Q374),"")))</f>
        <v/>
      </c>
      <c r="S374" s="17">
        <f>IF(OR($B374="",$R374=""),"",IF($R374&lt;=0,"CLEARED "&amp;IFERROR(TEXT(_xlfn.MAXIFS(nrMK_Date,nrMK_Link,$B374,nrMK_Credit,"Yes"),"mm/dd"),""),"OPEN"))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IF(OR($B375="",N($I375)=0),"",SUMIFS(nrMK_Min,nrMK_Link,$B375,nrMK_Credit,"Yes"))</f>
        <v/>
      </c>
      <c r="Q375" s="17">
        <f>IF(OR($B375="",N($J375)=0),"",SUMIFS(nrMK_Sess,nrMK_Link,$B375,nrMK_Credit,"Yes"))</f>
        <v/>
      </c>
      <c r="R375" s="17">
        <f>IF(OR($B375="",$N375&lt;&gt;"Yes"),"",IF(N($I375)&gt;0,N($I375)-N($P375),IF(N($J375)&gt;0,N($J375)-N($Q375),"")))</f>
        <v/>
      </c>
      <c r="S375" s="17">
        <f>IF(OR($B375="",$R375=""),"",IF($R375&lt;=0,"CLEARED "&amp;IFERROR(TEXT(_xlfn.MAXIFS(nrMK_Date,nrMK_Link,$B375,nrMK_Credit,"Yes"),"mm/dd"),""),"OPEN"))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IF(OR($B376="",N($I376)=0),"",SUMIFS(nrMK_Min,nrMK_Link,$B376,nrMK_Credit,"Yes"))</f>
        <v/>
      </c>
      <c r="Q376" s="17">
        <f>IF(OR($B376="",N($J376)=0),"",SUMIFS(nrMK_Sess,nrMK_Link,$B376,nrMK_Credit,"Yes"))</f>
        <v/>
      </c>
      <c r="R376" s="17">
        <f>IF(OR($B376="",$N376&lt;&gt;"Yes"),"",IF(N($I376)&gt;0,N($I376)-N($P376),IF(N($J376)&gt;0,N($J376)-N($Q376),"")))</f>
        <v/>
      </c>
      <c r="S376" s="17">
        <f>IF(OR($B376="",$R376=""),"",IF($R376&lt;=0,"CLEARED "&amp;IFERROR(TEXT(_xlfn.MAXIFS(nrMK_Date,nrMK_Link,$B376,nrMK_Credit,"Yes"),"mm/dd"),""),"OPEN"))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IF(OR($B377="",N($I377)=0),"",SUMIFS(nrMK_Min,nrMK_Link,$B377,nrMK_Credit,"Yes"))</f>
        <v/>
      </c>
      <c r="Q377" s="17">
        <f>IF(OR($B377="",N($J377)=0),"",SUMIFS(nrMK_Sess,nrMK_Link,$B377,nrMK_Credit,"Yes"))</f>
        <v/>
      </c>
      <c r="R377" s="17">
        <f>IF(OR($B377="",$N377&lt;&gt;"Yes"),"",IF(N($I377)&gt;0,N($I377)-N($P377),IF(N($J377)&gt;0,N($J377)-N($Q377),"")))</f>
        <v/>
      </c>
      <c r="S377" s="17">
        <f>IF(OR($B377="",$R377=""),"",IF($R377&lt;=0,"CLEARED "&amp;IFERROR(TEXT(_xlfn.MAXIFS(nrMK_Date,nrMK_Link,$B377,nrMK_Credit,"Yes"),"mm/dd"),""),"OPEN"))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IF(OR($B378="",N($I378)=0),"",SUMIFS(nrMK_Min,nrMK_Link,$B378,nrMK_Credit,"Yes"))</f>
        <v/>
      </c>
      <c r="Q378" s="17">
        <f>IF(OR($B378="",N($J378)=0),"",SUMIFS(nrMK_Sess,nrMK_Link,$B378,nrMK_Credit,"Yes"))</f>
        <v/>
      </c>
      <c r="R378" s="17">
        <f>IF(OR($B378="",$N378&lt;&gt;"Yes"),"",IF(N($I378)&gt;0,N($I378)-N($P378),IF(N($J378)&gt;0,N($J378)-N($Q378),"")))</f>
        <v/>
      </c>
      <c r="S378" s="17">
        <f>IF(OR($B378="",$R378=""),"",IF($R378&lt;=0,"CLEARED "&amp;IFERROR(TEXT(_xlfn.MAXIFS(nrMK_Date,nrMK_Link,$B378,nrMK_Credit,"Yes"),"mm/dd"),""),"OPEN"))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IF(OR($B379="",N($I379)=0),"",SUMIFS(nrMK_Min,nrMK_Link,$B379,nrMK_Credit,"Yes"))</f>
        <v/>
      </c>
      <c r="Q379" s="17">
        <f>IF(OR($B379="",N($J379)=0),"",SUMIFS(nrMK_Sess,nrMK_Link,$B379,nrMK_Credit,"Yes"))</f>
        <v/>
      </c>
      <c r="R379" s="17">
        <f>IF(OR($B379="",$N379&lt;&gt;"Yes"),"",IF(N($I379)&gt;0,N($I379)-N($P379),IF(N($J379)&gt;0,N($J379)-N($Q379),"")))</f>
        <v/>
      </c>
      <c r="S379" s="17">
        <f>IF(OR($B379="",$R379=""),"",IF($R379&lt;=0,"CLEARED "&amp;IFERROR(TEXT(_xlfn.MAXIFS(nrMK_Date,nrMK_Link,$B379,nrMK_Credit,"Yes"),"mm/dd"),""),"OPEN"))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IF(OR($B380="",N($I380)=0),"",SUMIFS(nrMK_Min,nrMK_Link,$B380,nrMK_Credit,"Yes"))</f>
        <v/>
      </c>
      <c r="Q380" s="17">
        <f>IF(OR($B380="",N($J380)=0),"",SUMIFS(nrMK_Sess,nrMK_Link,$B380,nrMK_Credit,"Yes"))</f>
        <v/>
      </c>
      <c r="R380" s="17">
        <f>IF(OR($B380="",$N380&lt;&gt;"Yes"),"",IF(N($I380)&gt;0,N($I380)-N($P380),IF(N($J380)&gt;0,N($J380)-N($Q380),"")))</f>
        <v/>
      </c>
      <c r="S380" s="17">
        <f>IF(OR($B380="",$R380=""),"",IF($R380&lt;=0,"CLEARED "&amp;IFERROR(TEXT(_xlfn.MAXIFS(nrMK_Date,nrMK_Link,$B380,nrMK_Credit,"Yes"),"mm/dd"),""),"OPEN"))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IF(OR($B381="",N($I381)=0),"",SUMIFS(nrMK_Min,nrMK_Link,$B381,nrMK_Credit,"Yes"))</f>
        <v/>
      </c>
      <c r="Q381" s="17">
        <f>IF(OR($B381="",N($J381)=0),"",SUMIFS(nrMK_Sess,nrMK_Link,$B381,nrMK_Credit,"Yes"))</f>
        <v/>
      </c>
      <c r="R381" s="17">
        <f>IF(OR($B381="",$N381&lt;&gt;"Yes"),"",IF(N($I381)&gt;0,N($I381)-N($P381),IF(N($J381)&gt;0,N($J381)-N($Q381),"")))</f>
        <v/>
      </c>
      <c r="S381" s="17">
        <f>IF(OR($B381="",$R381=""),"",IF($R381&lt;=0,"CLEARED "&amp;IFERROR(TEXT(_xlfn.MAXIFS(nrMK_Date,nrMK_Link,$B381,nrMK_Credit,"Yes"),"mm/dd"),""),"OPEN"))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IF(OR($B382="",N($I382)=0),"",SUMIFS(nrMK_Min,nrMK_Link,$B382,nrMK_Credit,"Yes"))</f>
        <v/>
      </c>
      <c r="Q382" s="17">
        <f>IF(OR($B382="",N($J382)=0),"",SUMIFS(nrMK_Sess,nrMK_Link,$B382,nrMK_Credit,"Yes"))</f>
        <v/>
      </c>
      <c r="R382" s="17">
        <f>IF(OR($B382="",$N382&lt;&gt;"Yes"),"",IF(N($I382)&gt;0,N($I382)-N($P382),IF(N($J382)&gt;0,N($J382)-N($Q382),"")))</f>
        <v/>
      </c>
      <c r="S382" s="17">
        <f>IF(OR($B382="",$R382=""),"",IF($R382&lt;=0,"CLEARED "&amp;IFERROR(TEXT(_xlfn.MAXIFS(nrMK_Date,nrMK_Link,$B382,nrMK_Credit,"Yes"),"mm/dd"),""),"OPEN"))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IF(OR($B383="",N($I383)=0),"",SUMIFS(nrMK_Min,nrMK_Link,$B383,nrMK_Credit,"Yes"))</f>
        <v/>
      </c>
      <c r="Q383" s="17">
        <f>IF(OR($B383="",N($J383)=0),"",SUMIFS(nrMK_Sess,nrMK_Link,$B383,nrMK_Credit,"Yes"))</f>
        <v/>
      </c>
      <c r="R383" s="17">
        <f>IF(OR($B383="",$N383&lt;&gt;"Yes"),"",IF(N($I383)&gt;0,N($I383)-N($P383),IF(N($J383)&gt;0,N($J383)-N($Q383),"")))</f>
        <v/>
      </c>
      <c r="S383" s="17">
        <f>IF(OR($B383="",$R383=""),"",IF($R383&lt;=0,"CLEARED "&amp;IFERROR(TEXT(_xlfn.MAXIFS(nrMK_Date,nrMK_Link,$B383,nrMK_Credit,"Yes"),"mm/dd"),""),"OPEN"))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IF(OR($B384="",N($I384)=0),"",SUMIFS(nrMK_Min,nrMK_Link,$B384,nrMK_Credit,"Yes"))</f>
        <v/>
      </c>
      <c r="Q384" s="17">
        <f>IF(OR($B384="",N($J384)=0),"",SUMIFS(nrMK_Sess,nrMK_Link,$B384,nrMK_Credit,"Yes"))</f>
        <v/>
      </c>
      <c r="R384" s="17">
        <f>IF(OR($B384="",$N384&lt;&gt;"Yes"),"",IF(N($I384)&gt;0,N($I384)-N($P384),IF(N($J384)&gt;0,N($J384)-N($Q384),"")))</f>
        <v/>
      </c>
      <c r="S384" s="17">
        <f>IF(OR($B384="",$R384=""),"",IF($R384&lt;=0,"CLEARED "&amp;IFERROR(TEXT(_xlfn.MAXIFS(nrMK_Date,nrMK_Link,$B384,nrMK_Credit,"Yes"),"mm/dd"),""),"OPEN"))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IF(OR($B385="",N($I385)=0),"",SUMIFS(nrMK_Min,nrMK_Link,$B385,nrMK_Credit,"Yes"))</f>
        <v/>
      </c>
      <c r="Q385" s="17">
        <f>IF(OR($B385="",N($J385)=0),"",SUMIFS(nrMK_Sess,nrMK_Link,$B385,nrMK_Credit,"Yes"))</f>
        <v/>
      </c>
      <c r="R385" s="17">
        <f>IF(OR($B385="",$N385&lt;&gt;"Yes"),"",IF(N($I385)&gt;0,N($I385)-N($P385),IF(N($J385)&gt;0,N($J385)-N($Q385),"")))</f>
        <v/>
      </c>
      <c r="S385" s="17">
        <f>IF(OR($B385="",$R385=""),"",IF($R385&lt;=0,"CLEARED "&amp;IFERROR(TEXT(_xlfn.MAXIFS(nrMK_Date,nrMK_Link,$B385,nrMK_Credit,"Yes"),"mm/dd"),""),"OPEN"))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IF(OR($B386="",N($I386)=0),"",SUMIFS(nrMK_Min,nrMK_Link,$B386,nrMK_Credit,"Yes"))</f>
        <v/>
      </c>
      <c r="Q386" s="17">
        <f>IF(OR($B386="",N($J386)=0),"",SUMIFS(nrMK_Sess,nrMK_Link,$B386,nrMK_Credit,"Yes"))</f>
        <v/>
      </c>
      <c r="R386" s="17">
        <f>IF(OR($B386="",$N386&lt;&gt;"Yes"),"",IF(N($I386)&gt;0,N($I386)-N($P386),IF(N($J386)&gt;0,N($J386)-N($Q386),"")))</f>
        <v/>
      </c>
      <c r="S386" s="17">
        <f>IF(OR($B386="",$R386=""),"",IF($R386&lt;=0,"CLEARED "&amp;IFERROR(TEXT(_xlfn.MAXIFS(nrMK_Date,nrMK_Link,$B386,nrMK_Credit,"Yes"),"mm/dd"),""),"OPEN"))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IF(OR($B387="",N($I387)=0),"",SUMIFS(nrMK_Min,nrMK_Link,$B387,nrMK_Credit,"Yes"))</f>
        <v/>
      </c>
      <c r="Q387" s="17">
        <f>IF(OR($B387="",N($J387)=0),"",SUMIFS(nrMK_Sess,nrMK_Link,$B387,nrMK_Credit,"Yes"))</f>
        <v/>
      </c>
      <c r="R387" s="17">
        <f>IF(OR($B387="",$N387&lt;&gt;"Yes"),"",IF(N($I387)&gt;0,N($I387)-N($P387),IF(N($J387)&gt;0,N($J387)-N($Q387),"")))</f>
        <v/>
      </c>
      <c r="S387" s="17">
        <f>IF(OR($B387="",$R387=""),"",IF($R387&lt;=0,"CLEARED "&amp;IFERROR(TEXT(_xlfn.MAXIFS(nrMK_Date,nrMK_Link,$B387,nrMK_Credit,"Yes"),"mm/dd"),""),"OPEN"))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IF(OR($B388="",N($I388)=0),"",SUMIFS(nrMK_Min,nrMK_Link,$B388,nrMK_Credit,"Yes"))</f>
        <v/>
      </c>
      <c r="Q388" s="17">
        <f>IF(OR($B388="",N($J388)=0),"",SUMIFS(nrMK_Sess,nrMK_Link,$B388,nrMK_Credit,"Yes"))</f>
        <v/>
      </c>
      <c r="R388" s="17">
        <f>IF(OR($B388="",$N388&lt;&gt;"Yes"),"",IF(N($I388)&gt;0,N($I388)-N($P388),IF(N($J388)&gt;0,N($J388)-N($Q388),"")))</f>
        <v/>
      </c>
      <c r="S388" s="17">
        <f>IF(OR($B388="",$R388=""),"",IF($R388&lt;=0,"CLEARED "&amp;IFERROR(TEXT(_xlfn.MAXIFS(nrMK_Date,nrMK_Link,$B388,nrMK_Credit,"Yes"),"mm/dd"),""),"OPEN"))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IF(OR($B389="",N($I389)=0),"",SUMIFS(nrMK_Min,nrMK_Link,$B389,nrMK_Credit,"Yes"))</f>
        <v/>
      </c>
      <c r="Q389" s="17">
        <f>IF(OR($B389="",N($J389)=0),"",SUMIFS(nrMK_Sess,nrMK_Link,$B389,nrMK_Credit,"Yes"))</f>
        <v/>
      </c>
      <c r="R389" s="17">
        <f>IF(OR($B389="",$N389&lt;&gt;"Yes"),"",IF(N($I389)&gt;0,N($I389)-N($P389),IF(N($J389)&gt;0,N($J389)-N($Q389),"")))</f>
        <v/>
      </c>
      <c r="S389" s="17">
        <f>IF(OR($B389="",$R389=""),"",IF($R389&lt;=0,"CLEARED "&amp;IFERROR(TEXT(_xlfn.MAXIFS(nrMK_Date,nrMK_Link,$B389,nrMK_Credit,"Yes"),"mm/dd"),""),"OPEN"))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IF(OR($B390="",N($I390)=0),"",SUMIFS(nrMK_Min,nrMK_Link,$B390,nrMK_Credit,"Yes"))</f>
        <v/>
      </c>
      <c r="Q390" s="17">
        <f>IF(OR($B390="",N($J390)=0),"",SUMIFS(nrMK_Sess,nrMK_Link,$B390,nrMK_Credit,"Yes"))</f>
        <v/>
      </c>
      <c r="R390" s="17">
        <f>IF(OR($B390="",$N390&lt;&gt;"Yes"),"",IF(N($I390)&gt;0,N($I390)-N($P390),IF(N($J390)&gt;0,N($J390)-N($Q390),"")))</f>
        <v/>
      </c>
      <c r="S390" s="17">
        <f>IF(OR($B390="",$R390=""),"",IF($R390&lt;=0,"CLEARED "&amp;IFERROR(TEXT(_xlfn.MAXIFS(nrMK_Date,nrMK_Link,$B390,nrMK_Credit,"Yes"),"mm/dd"),""),"OPEN"))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IF(OR($B391="",N($I391)=0),"",SUMIFS(nrMK_Min,nrMK_Link,$B391,nrMK_Credit,"Yes"))</f>
        <v/>
      </c>
      <c r="Q391" s="17">
        <f>IF(OR($B391="",N($J391)=0),"",SUMIFS(nrMK_Sess,nrMK_Link,$B391,nrMK_Credit,"Yes"))</f>
        <v/>
      </c>
      <c r="R391" s="17">
        <f>IF(OR($B391="",$N391&lt;&gt;"Yes"),"",IF(N($I391)&gt;0,N($I391)-N($P391),IF(N($J391)&gt;0,N($J391)-N($Q391),"")))</f>
        <v/>
      </c>
      <c r="S391" s="17">
        <f>IF(OR($B391="",$R391=""),"",IF($R391&lt;=0,"CLEARED "&amp;IFERROR(TEXT(_xlfn.MAXIFS(nrMK_Date,nrMK_Link,$B391,nrMK_Credit,"Yes"),"mm/dd"),""),"OPEN"))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IF(OR($B392="",N($I392)=0),"",SUMIFS(nrMK_Min,nrMK_Link,$B392,nrMK_Credit,"Yes"))</f>
        <v/>
      </c>
      <c r="Q392" s="17">
        <f>IF(OR($B392="",N($J392)=0),"",SUMIFS(nrMK_Sess,nrMK_Link,$B392,nrMK_Credit,"Yes"))</f>
        <v/>
      </c>
      <c r="R392" s="17">
        <f>IF(OR($B392="",$N392&lt;&gt;"Yes"),"",IF(N($I392)&gt;0,N($I392)-N($P392),IF(N($J392)&gt;0,N($J392)-N($Q392),"")))</f>
        <v/>
      </c>
      <c r="S392" s="17">
        <f>IF(OR($B392="",$R392=""),"",IF($R392&lt;=0,"CLEARED "&amp;IFERROR(TEXT(_xlfn.MAXIFS(nrMK_Date,nrMK_Link,$B392,nrMK_Credit,"Yes"),"mm/dd"),""),"OPEN"))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IF(OR($B393="",N($I393)=0),"",SUMIFS(nrMK_Min,nrMK_Link,$B393,nrMK_Credit,"Yes"))</f>
        <v/>
      </c>
      <c r="Q393" s="17">
        <f>IF(OR($B393="",N($J393)=0),"",SUMIFS(nrMK_Sess,nrMK_Link,$B393,nrMK_Credit,"Yes"))</f>
        <v/>
      </c>
      <c r="R393" s="17">
        <f>IF(OR($B393="",$N393&lt;&gt;"Yes"),"",IF(N($I393)&gt;0,N($I393)-N($P393),IF(N($J393)&gt;0,N($J393)-N($Q393),"")))</f>
        <v/>
      </c>
      <c r="S393" s="17">
        <f>IF(OR($B393="",$R393=""),"",IF($R393&lt;=0,"CLEARED "&amp;IFERROR(TEXT(_xlfn.MAXIFS(nrMK_Date,nrMK_Link,$B393,nrMK_Credit,"Yes"),"mm/dd"),""),"OPEN"))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IF(OR($B394="",N($I394)=0),"",SUMIFS(nrMK_Min,nrMK_Link,$B394,nrMK_Credit,"Yes"))</f>
        <v/>
      </c>
      <c r="Q394" s="17">
        <f>IF(OR($B394="",N($J394)=0),"",SUMIFS(nrMK_Sess,nrMK_Link,$B394,nrMK_Credit,"Yes"))</f>
        <v/>
      </c>
      <c r="R394" s="17">
        <f>IF(OR($B394="",$N394&lt;&gt;"Yes"),"",IF(N($I394)&gt;0,N($I394)-N($P394),IF(N($J394)&gt;0,N($J394)-N($Q394),"")))</f>
        <v/>
      </c>
      <c r="S394" s="17">
        <f>IF(OR($B394="",$R394=""),"",IF($R394&lt;=0,"CLEARED "&amp;IFERROR(TEXT(_xlfn.MAXIFS(nrMK_Date,nrMK_Link,$B394,nrMK_Credit,"Yes"),"mm/dd"),""),"OPEN"))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IF(OR($B395="",N($I395)=0),"",SUMIFS(nrMK_Min,nrMK_Link,$B395,nrMK_Credit,"Yes"))</f>
        <v/>
      </c>
      <c r="Q395" s="17">
        <f>IF(OR($B395="",N($J395)=0),"",SUMIFS(nrMK_Sess,nrMK_Link,$B395,nrMK_Credit,"Yes"))</f>
        <v/>
      </c>
      <c r="R395" s="17">
        <f>IF(OR($B395="",$N395&lt;&gt;"Yes"),"",IF(N($I395)&gt;0,N($I395)-N($P395),IF(N($J395)&gt;0,N($J395)-N($Q395),"")))</f>
        <v/>
      </c>
      <c r="S395" s="17">
        <f>IF(OR($B395="",$R395=""),"",IF($R395&lt;=0,"CLEARED "&amp;IFERROR(TEXT(_xlfn.MAXIFS(nrMK_Date,nrMK_Link,$B395,nrMK_Credit,"Yes"),"mm/dd"),""),"OPEN"))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IF(OR($B396="",N($I396)=0),"",SUMIFS(nrMK_Min,nrMK_Link,$B396,nrMK_Credit,"Yes"))</f>
        <v/>
      </c>
      <c r="Q396" s="17">
        <f>IF(OR($B396="",N($J396)=0),"",SUMIFS(nrMK_Sess,nrMK_Link,$B396,nrMK_Credit,"Yes"))</f>
        <v/>
      </c>
      <c r="R396" s="17">
        <f>IF(OR($B396="",$N396&lt;&gt;"Yes"),"",IF(N($I396)&gt;0,N($I396)-N($P396),IF(N($J396)&gt;0,N($J396)-N($Q396),"")))</f>
        <v/>
      </c>
      <c r="S396" s="17">
        <f>IF(OR($B396="",$R396=""),"",IF($R396&lt;=0,"CLEARED "&amp;IFERROR(TEXT(_xlfn.MAXIFS(nrMK_Date,nrMK_Link,$B396,nrMK_Credit,"Yes"),"mm/dd"),""),"OPEN"))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IF(OR($B397="",N($I397)=0),"",SUMIFS(nrMK_Min,nrMK_Link,$B397,nrMK_Credit,"Yes"))</f>
        <v/>
      </c>
      <c r="Q397" s="17">
        <f>IF(OR($B397="",N($J397)=0),"",SUMIFS(nrMK_Sess,nrMK_Link,$B397,nrMK_Credit,"Yes"))</f>
        <v/>
      </c>
      <c r="R397" s="17">
        <f>IF(OR($B397="",$N397&lt;&gt;"Yes"),"",IF(N($I397)&gt;0,N($I397)-N($P397),IF(N($J397)&gt;0,N($J397)-N($Q397),"")))</f>
        <v/>
      </c>
      <c r="S397" s="17">
        <f>IF(OR($B397="",$R397=""),"",IF($R397&lt;=0,"CLEARED "&amp;IFERROR(TEXT(_xlfn.MAXIFS(nrMK_Date,nrMK_Link,$B397,nrMK_Credit,"Yes"),"mm/dd"),""),"OPEN"))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IF(OR($B398="",N($I398)=0),"",SUMIFS(nrMK_Min,nrMK_Link,$B398,nrMK_Credit,"Yes"))</f>
        <v/>
      </c>
      <c r="Q398" s="17">
        <f>IF(OR($B398="",N($J398)=0),"",SUMIFS(nrMK_Sess,nrMK_Link,$B398,nrMK_Credit,"Yes"))</f>
        <v/>
      </c>
      <c r="R398" s="17">
        <f>IF(OR($B398="",$N398&lt;&gt;"Yes"),"",IF(N($I398)&gt;0,N($I398)-N($P398),IF(N($J398)&gt;0,N($J398)-N($Q398),"")))</f>
        <v/>
      </c>
      <c r="S398" s="17">
        <f>IF(OR($B398="",$R398=""),"",IF($R398&lt;=0,"CLEARED "&amp;IFERROR(TEXT(_xlfn.MAXIFS(nrMK_Date,nrMK_Link,$B398,nrMK_Credit,"Yes"),"mm/dd"),""),"OPEN"))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IF(OR($B399="",N($I399)=0),"",SUMIFS(nrMK_Min,nrMK_Link,$B399,nrMK_Credit,"Yes"))</f>
        <v/>
      </c>
      <c r="Q399" s="17">
        <f>IF(OR($B399="",N($J399)=0),"",SUMIFS(nrMK_Sess,nrMK_Link,$B399,nrMK_Credit,"Yes"))</f>
        <v/>
      </c>
      <c r="R399" s="17">
        <f>IF(OR($B399="",$N399&lt;&gt;"Yes"),"",IF(N($I399)&gt;0,N($I399)-N($P399),IF(N($J399)&gt;0,N($J399)-N($Q399),"")))</f>
        <v/>
      </c>
      <c r="S399" s="17">
        <f>IF(OR($B399="",$R399=""),"",IF($R399&lt;=0,"CLEARED "&amp;IFERROR(TEXT(_xlfn.MAXIFS(nrMK_Date,nrMK_Link,$B399,nrMK_Credit,"Yes"),"mm/dd"),""),"OPEN"))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IF(OR($B400="",N($I400)=0),"",SUMIFS(nrMK_Min,nrMK_Link,$B400,nrMK_Credit,"Yes"))</f>
        <v/>
      </c>
      <c r="Q400" s="17">
        <f>IF(OR($B400="",N($J400)=0),"",SUMIFS(nrMK_Sess,nrMK_Link,$B400,nrMK_Credit,"Yes"))</f>
        <v/>
      </c>
      <c r="R400" s="17">
        <f>IF(OR($B400="",$N400&lt;&gt;"Yes"),"",IF(N($I400)&gt;0,N($I400)-N($P400),IF(N($J400)&gt;0,N($J400)-N($Q400),"")))</f>
        <v/>
      </c>
      <c r="S400" s="17">
        <f>IF(OR($B400="",$R400=""),"",IF($R400&lt;=0,"CLEARED "&amp;IFERROR(TEXT(_xlfn.MAXIFS(nrMK_Date,nrMK_Link,$B400,nrMK_Credit,"Yes"),"mm/dd"),""),"OPEN"))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IF(OR($B401="",N($I401)=0),"",SUMIFS(nrMK_Min,nrMK_Link,$B401,nrMK_Credit,"Yes"))</f>
        <v/>
      </c>
      <c r="Q401" s="17">
        <f>IF(OR($B401="",N($J401)=0),"",SUMIFS(nrMK_Sess,nrMK_Link,$B401,nrMK_Credit,"Yes"))</f>
        <v/>
      </c>
      <c r="R401" s="17">
        <f>IF(OR($B401="",$N401&lt;&gt;"Yes"),"",IF(N($I401)&gt;0,N($I401)-N($P401),IF(N($J401)&gt;0,N($J401)-N($Q401),"")))</f>
        <v/>
      </c>
      <c r="S401" s="17">
        <f>IF(OR($B401="",$R401=""),"",IF($R401&lt;=0,"CLEARED "&amp;IFERROR(TEXT(_xlfn.MAXIFS(nrMK_Date,nrMK_Link,$B401,nrMK_Credit,"Yes"),"mm/dd"),""),"OPEN"))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IF(OR($B402="",N($I402)=0),"",SUMIFS(nrMK_Min,nrMK_Link,$B402,nrMK_Credit,"Yes"))</f>
        <v/>
      </c>
      <c r="Q402" s="17">
        <f>IF(OR($B402="",N($J402)=0),"",SUMIFS(nrMK_Sess,nrMK_Link,$B402,nrMK_Credit,"Yes"))</f>
        <v/>
      </c>
      <c r="R402" s="17">
        <f>IF(OR($B402="",$N402&lt;&gt;"Yes"),"",IF(N($I402)&gt;0,N($I402)-N($P402),IF(N($J402)&gt;0,N($J402)-N($Q402),"")))</f>
        <v/>
      </c>
      <c r="S402" s="17">
        <f>IF(OR($B402="",$R402=""),"",IF($R402&lt;=0,"CLEARED "&amp;IFERROR(TEXT(_xlfn.MAXIFS(nrMK_Date,nrMK_Link,$B402,nrMK_Credit,"Yes"),"mm/dd"),""),"OPEN"))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IF(OR($B403="",N($I403)=0),"",SUMIFS(nrMK_Min,nrMK_Link,$B403,nrMK_Credit,"Yes"))</f>
        <v/>
      </c>
      <c r="Q403" s="17">
        <f>IF(OR($B403="",N($J403)=0),"",SUMIFS(nrMK_Sess,nrMK_Link,$B403,nrMK_Credit,"Yes"))</f>
        <v/>
      </c>
      <c r="R403" s="17">
        <f>IF(OR($B403="",$N403&lt;&gt;"Yes"),"",IF(N($I403)&gt;0,N($I403)-N($P403),IF(N($J403)&gt;0,N($J403)-N($Q403),"")))</f>
        <v/>
      </c>
      <c r="S403" s="17">
        <f>IF(OR($B403="",$R403=""),"",IF($R403&lt;=0,"CLEARED "&amp;IFERROR(TEXT(_xlfn.MAXIFS(nrMK_Date,nrMK_Link,$B403,nrMK_Credit,"Yes"),"mm/dd"),""),"OPEN"))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IF(OR($B404="",N($I404)=0),"",SUMIFS(nrMK_Min,nrMK_Link,$B404,nrMK_Credit,"Yes"))</f>
        <v/>
      </c>
      <c r="Q404" s="17">
        <f>IF(OR($B404="",N($J404)=0),"",SUMIFS(nrMK_Sess,nrMK_Link,$B404,nrMK_Credit,"Yes"))</f>
        <v/>
      </c>
      <c r="R404" s="17">
        <f>IF(OR($B404="",$N404&lt;&gt;"Yes"),"",IF(N($I404)&gt;0,N($I404)-N($P404),IF(N($J404)&gt;0,N($J404)-N($Q404),"")))</f>
        <v/>
      </c>
      <c r="S404" s="17">
        <f>IF(OR($B404="",$R404=""),"",IF($R404&lt;=0,"CLEARED "&amp;IFERROR(TEXT(_xlfn.MAXIFS(nrMK_Date,nrMK_Link,$B404,nrMK_Credit,"Yes"),"mm/dd"),""),"OPEN"))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IF(OR($B405="",N($I405)=0),"",SUMIFS(nrMK_Min,nrMK_Link,$B405,nrMK_Credit,"Yes"))</f>
        <v/>
      </c>
      <c r="Q405" s="17">
        <f>IF(OR($B405="",N($J405)=0),"",SUMIFS(nrMK_Sess,nrMK_Link,$B405,nrMK_Credit,"Yes"))</f>
        <v/>
      </c>
      <c r="R405" s="17">
        <f>IF(OR($B405="",$N405&lt;&gt;"Yes"),"",IF(N($I405)&gt;0,N($I405)-N($P405),IF(N($J405)&gt;0,N($J405)-N($Q405),"")))</f>
        <v/>
      </c>
      <c r="S405" s="17">
        <f>IF(OR($B405="",$R405=""),"",IF($R405&lt;=0,"CLEARED "&amp;IFERROR(TEXT(_xlfn.MAXIFS(nrMK_Date,nrMK_Link,$B405,nrMK_Credit,"Yes"),"mm/dd"),""),"OPEN"))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IF(OR($B406="",N($I406)=0),"",SUMIFS(nrMK_Min,nrMK_Link,$B406,nrMK_Credit,"Yes"))</f>
        <v/>
      </c>
      <c r="Q406" s="17">
        <f>IF(OR($B406="",N($J406)=0),"",SUMIFS(nrMK_Sess,nrMK_Link,$B406,nrMK_Credit,"Yes"))</f>
        <v/>
      </c>
      <c r="R406" s="17">
        <f>IF(OR($B406="",$N406&lt;&gt;"Yes"),"",IF(N($I406)&gt;0,N($I406)-N($P406),IF(N($J406)&gt;0,N($J406)-N($Q406),"")))</f>
        <v/>
      </c>
      <c r="S406" s="17">
        <f>IF(OR($B406="",$R406=""),"",IF($R406&lt;=0,"CLEARED "&amp;IFERROR(TEXT(_xlfn.MAXIFS(nrMK_Date,nrMK_Link,$B406,nrMK_Credit,"Yes"),"mm/dd"),""),"OPEN"))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IF(OR($B407="",N($I407)=0),"",SUMIFS(nrMK_Min,nrMK_Link,$B407,nrMK_Credit,"Yes"))</f>
        <v/>
      </c>
      <c r="Q407" s="17">
        <f>IF(OR($B407="",N($J407)=0),"",SUMIFS(nrMK_Sess,nrMK_Link,$B407,nrMK_Credit,"Yes"))</f>
        <v/>
      </c>
      <c r="R407" s="17">
        <f>IF(OR($B407="",$N407&lt;&gt;"Yes"),"",IF(N($I407)&gt;0,N($I407)-N($P407),IF(N($J407)&gt;0,N($J407)-N($Q407),"")))</f>
        <v/>
      </c>
      <c r="S407" s="17">
        <f>IF(OR($B407="",$R407=""),"",IF($R407&lt;=0,"CLEARED "&amp;IFERROR(TEXT(_xlfn.MAXIFS(nrMK_Date,nrMK_Link,$B407,nrMK_Credit,"Yes"),"mm/dd"),""),"OPEN"))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IF(OR($B408="",N($I408)=0),"",SUMIFS(nrMK_Min,nrMK_Link,$B408,nrMK_Credit,"Yes"))</f>
        <v/>
      </c>
      <c r="Q408" s="17">
        <f>IF(OR($B408="",N($J408)=0),"",SUMIFS(nrMK_Sess,nrMK_Link,$B408,nrMK_Credit,"Yes"))</f>
        <v/>
      </c>
      <c r="R408" s="17">
        <f>IF(OR($B408="",$N408&lt;&gt;"Yes"),"",IF(N($I408)&gt;0,N($I408)-N($P408),IF(N($J408)&gt;0,N($J408)-N($Q408),"")))</f>
        <v/>
      </c>
      <c r="S408" s="17">
        <f>IF(OR($B408="",$R408=""),"",IF($R408&lt;=0,"CLEARED "&amp;IFERROR(TEXT(_xlfn.MAXIFS(nrMK_Date,nrMK_Link,$B408,nrMK_Credit,"Yes"),"mm/dd"),""),"OPEN"))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IF(OR($B409="",N($I409)=0),"",SUMIFS(nrMK_Min,nrMK_Link,$B409,nrMK_Credit,"Yes"))</f>
        <v/>
      </c>
      <c r="Q409" s="17">
        <f>IF(OR($B409="",N($J409)=0),"",SUMIFS(nrMK_Sess,nrMK_Link,$B409,nrMK_Credit,"Yes"))</f>
        <v/>
      </c>
      <c r="R409" s="17">
        <f>IF(OR($B409="",$N409&lt;&gt;"Yes"),"",IF(N($I409)&gt;0,N($I409)-N($P409),IF(N($J409)&gt;0,N($J409)-N($Q409),"")))</f>
        <v/>
      </c>
      <c r="S409" s="17">
        <f>IF(OR($B409="",$R409=""),"",IF($R409&lt;=0,"CLEARED "&amp;IFERROR(TEXT(_xlfn.MAXIFS(nrMK_Date,nrMK_Link,$B409,nrMK_Credit,"Yes"),"mm/dd"),""),"OPEN"))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IF(OR($B410="",N($I410)=0),"",SUMIFS(nrMK_Min,nrMK_Link,$B410,nrMK_Credit,"Yes"))</f>
        <v/>
      </c>
      <c r="Q410" s="17">
        <f>IF(OR($B410="",N($J410)=0),"",SUMIFS(nrMK_Sess,nrMK_Link,$B410,nrMK_Credit,"Yes"))</f>
        <v/>
      </c>
      <c r="R410" s="17">
        <f>IF(OR($B410="",$N410&lt;&gt;"Yes"),"",IF(N($I410)&gt;0,N($I410)-N($P410),IF(N($J410)&gt;0,N($J410)-N($Q410),"")))</f>
        <v/>
      </c>
      <c r="S410" s="17">
        <f>IF(OR($B410="",$R410=""),"",IF($R410&lt;=0,"CLEARED "&amp;IFERROR(TEXT(_xlfn.MAXIFS(nrMK_Date,nrMK_Link,$B410,nrMK_Credit,"Yes"),"mm/dd"),""),"OPEN"))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IF(OR($B411="",N($I411)=0),"",SUMIFS(nrMK_Min,nrMK_Link,$B411,nrMK_Credit,"Yes"))</f>
        <v/>
      </c>
      <c r="Q411" s="17">
        <f>IF(OR($B411="",N($J411)=0),"",SUMIFS(nrMK_Sess,nrMK_Link,$B411,nrMK_Credit,"Yes"))</f>
        <v/>
      </c>
      <c r="R411" s="17">
        <f>IF(OR($B411="",$N411&lt;&gt;"Yes"),"",IF(N($I411)&gt;0,N($I411)-N($P411),IF(N($J411)&gt;0,N($J411)-N($Q411),"")))</f>
        <v/>
      </c>
      <c r="S411" s="17">
        <f>IF(OR($B411="",$R411=""),"",IF($R411&lt;=0,"CLEARED "&amp;IFERROR(TEXT(_xlfn.MAXIFS(nrMK_Date,nrMK_Link,$B411,nrMK_Credit,"Yes"),"mm/dd"),""),"OPEN"))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IF(OR($B412="",N($I412)=0),"",SUMIFS(nrMK_Min,nrMK_Link,$B412,nrMK_Credit,"Yes"))</f>
        <v/>
      </c>
      <c r="Q412" s="17">
        <f>IF(OR($B412="",N($J412)=0),"",SUMIFS(nrMK_Sess,nrMK_Link,$B412,nrMK_Credit,"Yes"))</f>
        <v/>
      </c>
      <c r="R412" s="17">
        <f>IF(OR($B412="",$N412&lt;&gt;"Yes"),"",IF(N($I412)&gt;0,N($I412)-N($P412),IF(N($J412)&gt;0,N($J412)-N($Q412),"")))</f>
        <v/>
      </c>
      <c r="S412" s="17">
        <f>IF(OR($B412="",$R412=""),"",IF($R412&lt;=0,"CLEARED "&amp;IFERROR(TEXT(_xlfn.MAXIFS(nrMK_Date,nrMK_Link,$B412,nrMK_Credit,"Yes"),"mm/dd"),""),"OPEN"))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IF(OR($B413="",N($I413)=0),"",SUMIFS(nrMK_Min,nrMK_Link,$B413,nrMK_Credit,"Yes"))</f>
        <v/>
      </c>
      <c r="Q413" s="17">
        <f>IF(OR($B413="",N($J413)=0),"",SUMIFS(nrMK_Sess,nrMK_Link,$B413,nrMK_Credit,"Yes"))</f>
        <v/>
      </c>
      <c r="R413" s="17">
        <f>IF(OR($B413="",$N413&lt;&gt;"Yes"),"",IF(N($I413)&gt;0,N($I413)-N($P413),IF(N($J413)&gt;0,N($J413)-N($Q413),"")))</f>
        <v/>
      </c>
      <c r="S413" s="17">
        <f>IF(OR($B413="",$R413=""),"",IF($R413&lt;=0,"CLEARED "&amp;IFERROR(TEXT(_xlfn.MAXIFS(nrMK_Date,nrMK_Link,$B413,nrMK_Credit,"Yes"),"mm/dd"),""),"OPEN"))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IF(OR($B414="",N($I414)=0),"",SUMIFS(nrMK_Min,nrMK_Link,$B414,nrMK_Credit,"Yes"))</f>
        <v/>
      </c>
      <c r="Q414" s="17">
        <f>IF(OR($B414="",N($J414)=0),"",SUMIFS(nrMK_Sess,nrMK_Link,$B414,nrMK_Credit,"Yes"))</f>
        <v/>
      </c>
      <c r="R414" s="17">
        <f>IF(OR($B414="",$N414&lt;&gt;"Yes"),"",IF(N($I414)&gt;0,N($I414)-N($P414),IF(N($J414)&gt;0,N($J414)-N($Q414),"")))</f>
        <v/>
      </c>
      <c r="S414" s="17">
        <f>IF(OR($B414="",$R414=""),"",IF($R414&lt;=0,"CLEARED "&amp;IFERROR(TEXT(_xlfn.MAXIFS(nrMK_Date,nrMK_Link,$B414,nrMK_Credit,"Yes"),"mm/dd"),""),"OPEN"))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IF(OR($B415="",N($I415)=0),"",SUMIFS(nrMK_Min,nrMK_Link,$B415,nrMK_Credit,"Yes"))</f>
        <v/>
      </c>
      <c r="Q415" s="17">
        <f>IF(OR($B415="",N($J415)=0),"",SUMIFS(nrMK_Sess,nrMK_Link,$B415,nrMK_Credit,"Yes"))</f>
        <v/>
      </c>
      <c r="R415" s="17">
        <f>IF(OR($B415="",$N415&lt;&gt;"Yes"),"",IF(N($I415)&gt;0,N($I415)-N($P415),IF(N($J415)&gt;0,N($J415)-N($Q415),"")))</f>
        <v/>
      </c>
      <c r="S415" s="17">
        <f>IF(OR($B415="",$R415=""),"",IF($R415&lt;=0,"CLEARED "&amp;IFERROR(TEXT(_xlfn.MAXIFS(nrMK_Date,nrMK_Link,$B415,nrMK_Credit,"Yes"),"mm/dd"),""),"OPEN"))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IF(OR($B416="",N($I416)=0),"",SUMIFS(nrMK_Min,nrMK_Link,$B416,nrMK_Credit,"Yes"))</f>
        <v/>
      </c>
      <c r="Q416" s="17">
        <f>IF(OR($B416="",N($J416)=0),"",SUMIFS(nrMK_Sess,nrMK_Link,$B416,nrMK_Credit,"Yes"))</f>
        <v/>
      </c>
      <c r="R416" s="17">
        <f>IF(OR($B416="",$N416&lt;&gt;"Yes"),"",IF(N($I416)&gt;0,N($I416)-N($P416),IF(N($J416)&gt;0,N($J416)-N($Q416),"")))</f>
        <v/>
      </c>
      <c r="S416" s="17">
        <f>IF(OR($B416="",$R416=""),"",IF($R416&lt;=0,"CLEARED "&amp;IFERROR(TEXT(_xlfn.MAXIFS(nrMK_Date,nrMK_Link,$B416,nrMK_Credit,"Yes"),"mm/dd"),""),"OPEN"))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IF(OR($B417="",N($I417)=0),"",SUMIFS(nrMK_Min,nrMK_Link,$B417,nrMK_Credit,"Yes"))</f>
        <v/>
      </c>
      <c r="Q417" s="17">
        <f>IF(OR($B417="",N($J417)=0),"",SUMIFS(nrMK_Sess,nrMK_Link,$B417,nrMK_Credit,"Yes"))</f>
        <v/>
      </c>
      <c r="R417" s="17">
        <f>IF(OR($B417="",$N417&lt;&gt;"Yes"),"",IF(N($I417)&gt;0,N($I417)-N($P417),IF(N($J417)&gt;0,N($J417)-N($Q417),"")))</f>
        <v/>
      </c>
      <c r="S417" s="17">
        <f>IF(OR($B417="",$R417=""),"",IF($R417&lt;=0,"CLEARED "&amp;IFERROR(TEXT(_xlfn.MAXIFS(nrMK_Date,nrMK_Link,$B417,nrMK_Credit,"Yes"),"mm/dd"),""),"OPEN"))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IF(OR($B418="",N($I418)=0),"",SUMIFS(nrMK_Min,nrMK_Link,$B418,nrMK_Credit,"Yes"))</f>
        <v/>
      </c>
      <c r="Q418" s="17">
        <f>IF(OR($B418="",N($J418)=0),"",SUMIFS(nrMK_Sess,nrMK_Link,$B418,nrMK_Credit,"Yes"))</f>
        <v/>
      </c>
      <c r="R418" s="17">
        <f>IF(OR($B418="",$N418&lt;&gt;"Yes"),"",IF(N($I418)&gt;0,N($I418)-N($P418),IF(N($J418)&gt;0,N($J418)-N($Q418),"")))</f>
        <v/>
      </c>
      <c r="S418" s="17">
        <f>IF(OR($B418="",$R418=""),"",IF($R418&lt;=0,"CLEARED "&amp;IFERROR(TEXT(_xlfn.MAXIFS(nrMK_Date,nrMK_Link,$B418,nrMK_Credit,"Yes"),"mm/dd"),""),"OPEN"))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IF(OR($B419="",N($I419)=0),"",SUMIFS(nrMK_Min,nrMK_Link,$B419,nrMK_Credit,"Yes"))</f>
        <v/>
      </c>
      <c r="Q419" s="17">
        <f>IF(OR($B419="",N($J419)=0),"",SUMIFS(nrMK_Sess,nrMK_Link,$B419,nrMK_Credit,"Yes"))</f>
        <v/>
      </c>
      <c r="R419" s="17">
        <f>IF(OR($B419="",$N419&lt;&gt;"Yes"),"",IF(N($I419)&gt;0,N($I419)-N($P419),IF(N($J419)&gt;0,N($J419)-N($Q419),"")))</f>
        <v/>
      </c>
      <c r="S419" s="17">
        <f>IF(OR($B419="",$R419=""),"",IF($R419&lt;=0,"CLEARED "&amp;IFERROR(TEXT(_xlfn.MAXIFS(nrMK_Date,nrMK_Link,$B419,nrMK_Credit,"Yes"),"mm/dd"),""),"OPEN"))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IF(OR($B420="",N($I420)=0),"",SUMIFS(nrMK_Min,nrMK_Link,$B420,nrMK_Credit,"Yes"))</f>
        <v/>
      </c>
      <c r="Q420" s="17">
        <f>IF(OR($B420="",N($J420)=0),"",SUMIFS(nrMK_Sess,nrMK_Link,$B420,nrMK_Credit,"Yes"))</f>
        <v/>
      </c>
      <c r="R420" s="17">
        <f>IF(OR($B420="",$N420&lt;&gt;"Yes"),"",IF(N($I420)&gt;0,N($I420)-N($P420),IF(N($J420)&gt;0,N($J420)-N($Q420),"")))</f>
        <v/>
      </c>
      <c r="S420" s="17">
        <f>IF(OR($B420="",$R420=""),"",IF($R420&lt;=0,"CLEARED "&amp;IFERROR(TEXT(_xlfn.MAXIFS(nrMK_Date,nrMK_Link,$B420,nrMK_Credit,"Yes"),"mm/dd"),""),"OPEN"))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IF(OR($B421="",N($I421)=0),"",SUMIFS(nrMK_Min,nrMK_Link,$B421,nrMK_Credit,"Yes"))</f>
        <v/>
      </c>
      <c r="Q421" s="17">
        <f>IF(OR($B421="",N($J421)=0),"",SUMIFS(nrMK_Sess,nrMK_Link,$B421,nrMK_Credit,"Yes"))</f>
        <v/>
      </c>
      <c r="R421" s="17">
        <f>IF(OR($B421="",$N421&lt;&gt;"Yes"),"",IF(N($I421)&gt;0,N($I421)-N($P421),IF(N($J421)&gt;0,N($J421)-N($Q421),"")))</f>
        <v/>
      </c>
      <c r="S421" s="17">
        <f>IF(OR($B421="",$R421=""),"",IF($R421&lt;=0,"CLEARED "&amp;IFERROR(TEXT(_xlfn.MAXIFS(nrMK_Date,nrMK_Link,$B421,nrMK_Credit,"Yes"),"mm/dd"),""),"OPEN"))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IF(OR($B422="",N($I422)=0),"",SUMIFS(nrMK_Min,nrMK_Link,$B422,nrMK_Credit,"Yes"))</f>
        <v/>
      </c>
      <c r="Q422" s="17">
        <f>IF(OR($B422="",N($J422)=0),"",SUMIFS(nrMK_Sess,nrMK_Link,$B422,nrMK_Credit,"Yes"))</f>
        <v/>
      </c>
      <c r="R422" s="17">
        <f>IF(OR($B422="",$N422&lt;&gt;"Yes"),"",IF(N($I422)&gt;0,N($I422)-N($P422),IF(N($J422)&gt;0,N($J422)-N($Q422),"")))</f>
        <v/>
      </c>
      <c r="S422" s="17">
        <f>IF(OR($B422="",$R422=""),"",IF($R422&lt;=0,"CLEARED "&amp;IFERROR(TEXT(_xlfn.MAXIFS(nrMK_Date,nrMK_Link,$B422,nrMK_Credit,"Yes"),"mm/dd"),""),"OPEN"))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IF(OR($B423="",N($I423)=0),"",SUMIFS(nrMK_Min,nrMK_Link,$B423,nrMK_Credit,"Yes"))</f>
        <v/>
      </c>
      <c r="Q423" s="17">
        <f>IF(OR($B423="",N($J423)=0),"",SUMIFS(nrMK_Sess,nrMK_Link,$B423,nrMK_Credit,"Yes"))</f>
        <v/>
      </c>
      <c r="R423" s="17">
        <f>IF(OR($B423="",$N423&lt;&gt;"Yes"),"",IF(N($I423)&gt;0,N($I423)-N($P423),IF(N($J423)&gt;0,N($J423)-N($Q423),"")))</f>
        <v/>
      </c>
      <c r="S423" s="17">
        <f>IF(OR($B423="",$R423=""),"",IF($R423&lt;=0,"CLEARED "&amp;IFERROR(TEXT(_xlfn.MAXIFS(nrMK_Date,nrMK_Link,$B423,nrMK_Credit,"Yes"),"mm/dd"),""),"OPEN"))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IF(OR($B424="",N($I424)=0),"",SUMIFS(nrMK_Min,nrMK_Link,$B424,nrMK_Credit,"Yes"))</f>
        <v/>
      </c>
      <c r="Q424" s="17">
        <f>IF(OR($B424="",N($J424)=0),"",SUMIFS(nrMK_Sess,nrMK_Link,$B424,nrMK_Credit,"Yes"))</f>
        <v/>
      </c>
      <c r="R424" s="17">
        <f>IF(OR($B424="",$N424&lt;&gt;"Yes"),"",IF(N($I424)&gt;0,N($I424)-N($P424),IF(N($J424)&gt;0,N($J424)-N($Q424),"")))</f>
        <v/>
      </c>
      <c r="S424" s="17">
        <f>IF(OR($B424="",$R424=""),"",IF($R424&lt;=0,"CLEARED "&amp;IFERROR(TEXT(_xlfn.MAXIFS(nrMK_Date,nrMK_Link,$B424,nrMK_Credit,"Yes"),"mm/dd"),""),"OPEN"))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IF(OR($B425="",N($I425)=0),"",SUMIFS(nrMK_Min,nrMK_Link,$B425,nrMK_Credit,"Yes"))</f>
        <v/>
      </c>
      <c r="Q425" s="17">
        <f>IF(OR($B425="",N($J425)=0),"",SUMIFS(nrMK_Sess,nrMK_Link,$B425,nrMK_Credit,"Yes"))</f>
        <v/>
      </c>
      <c r="R425" s="17">
        <f>IF(OR($B425="",$N425&lt;&gt;"Yes"),"",IF(N($I425)&gt;0,N($I425)-N($P425),IF(N($J425)&gt;0,N($J425)-N($Q425),"")))</f>
        <v/>
      </c>
      <c r="S425" s="17">
        <f>IF(OR($B425="",$R425=""),"",IF($R425&lt;=0,"CLEARED "&amp;IFERROR(TEXT(_xlfn.MAXIFS(nrMK_Date,nrMK_Link,$B425,nrMK_Credit,"Yes"),"mm/dd"),""),"OPEN"))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IF(OR($B426="",N($I426)=0),"",SUMIFS(nrMK_Min,nrMK_Link,$B426,nrMK_Credit,"Yes"))</f>
        <v/>
      </c>
      <c r="Q426" s="17">
        <f>IF(OR($B426="",N($J426)=0),"",SUMIFS(nrMK_Sess,nrMK_Link,$B426,nrMK_Credit,"Yes"))</f>
        <v/>
      </c>
      <c r="R426" s="17">
        <f>IF(OR($B426="",$N426&lt;&gt;"Yes"),"",IF(N($I426)&gt;0,N($I426)-N($P426),IF(N($J426)&gt;0,N($J426)-N($Q426),"")))</f>
        <v/>
      </c>
      <c r="S426" s="17">
        <f>IF(OR($B426="",$R426=""),"",IF($R426&lt;=0,"CLEARED "&amp;IFERROR(TEXT(_xlfn.MAXIFS(nrMK_Date,nrMK_Link,$B426,nrMK_Credit,"Yes"),"mm/dd"),""),"OPEN"))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IF(OR($B427="",N($I427)=0),"",SUMIFS(nrMK_Min,nrMK_Link,$B427,nrMK_Credit,"Yes"))</f>
        <v/>
      </c>
      <c r="Q427" s="17">
        <f>IF(OR($B427="",N($J427)=0),"",SUMIFS(nrMK_Sess,nrMK_Link,$B427,nrMK_Credit,"Yes"))</f>
        <v/>
      </c>
      <c r="R427" s="17">
        <f>IF(OR($B427="",$N427&lt;&gt;"Yes"),"",IF(N($I427)&gt;0,N($I427)-N($P427),IF(N($J427)&gt;0,N($J427)-N($Q427),"")))</f>
        <v/>
      </c>
      <c r="S427" s="17">
        <f>IF(OR($B427="",$R427=""),"",IF($R427&lt;=0,"CLEARED "&amp;IFERROR(TEXT(_xlfn.MAXIFS(nrMK_Date,nrMK_Link,$B427,nrMK_Credit,"Yes"),"mm/dd"),""),"OPEN"))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IF(OR($B428="",N($I428)=0),"",SUMIFS(nrMK_Min,nrMK_Link,$B428,nrMK_Credit,"Yes"))</f>
        <v/>
      </c>
      <c r="Q428" s="17">
        <f>IF(OR($B428="",N($J428)=0),"",SUMIFS(nrMK_Sess,nrMK_Link,$B428,nrMK_Credit,"Yes"))</f>
        <v/>
      </c>
      <c r="R428" s="17">
        <f>IF(OR($B428="",$N428&lt;&gt;"Yes"),"",IF(N($I428)&gt;0,N($I428)-N($P428),IF(N($J428)&gt;0,N($J428)-N($Q428),"")))</f>
        <v/>
      </c>
      <c r="S428" s="17">
        <f>IF(OR($B428="",$R428=""),"",IF($R428&lt;=0,"CLEARED "&amp;IFERROR(TEXT(_xlfn.MAXIFS(nrMK_Date,nrMK_Link,$B428,nrMK_Credit,"Yes"),"mm/dd"),""),"OPEN"))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IF(OR($B429="",N($I429)=0),"",SUMIFS(nrMK_Min,nrMK_Link,$B429,nrMK_Credit,"Yes"))</f>
        <v/>
      </c>
      <c r="Q429" s="17">
        <f>IF(OR($B429="",N($J429)=0),"",SUMIFS(nrMK_Sess,nrMK_Link,$B429,nrMK_Credit,"Yes"))</f>
        <v/>
      </c>
      <c r="R429" s="17">
        <f>IF(OR($B429="",$N429&lt;&gt;"Yes"),"",IF(N($I429)&gt;0,N($I429)-N($P429),IF(N($J429)&gt;0,N($J429)-N($Q429),"")))</f>
        <v/>
      </c>
      <c r="S429" s="17">
        <f>IF(OR($B429="",$R429=""),"",IF($R429&lt;=0,"CLEARED "&amp;IFERROR(TEXT(_xlfn.MAXIFS(nrMK_Date,nrMK_Link,$B429,nrMK_Credit,"Yes"),"mm/dd"),""),"OPEN"))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IF(OR($B430="",N($I430)=0),"",SUMIFS(nrMK_Min,nrMK_Link,$B430,nrMK_Credit,"Yes"))</f>
        <v/>
      </c>
      <c r="Q430" s="17">
        <f>IF(OR($B430="",N($J430)=0),"",SUMIFS(nrMK_Sess,nrMK_Link,$B430,nrMK_Credit,"Yes"))</f>
        <v/>
      </c>
      <c r="R430" s="17">
        <f>IF(OR($B430="",$N430&lt;&gt;"Yes"),"",IF(N($I430)&gt;0,N($I430)-N($P430),IF(N($J430)&gt;0,N($J430)-N($Q430),"")))</f>
        <v/>
      </c>
      <c r="S430" s="17">
        <f>IF(OR($B430="",$R430=""),"",IF($R430&lt;=0,"CLEARED "&amp;IFERROR(TEXT(_xlfn.MAXIFS(nrMK_Date,nrMK_Link,$B430,nrMK_Credit,"Yes"),"mm/dd"),""),"OPEN"))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IF(OR($B431="",N($I431)=0),"",SUMIFS(nrMK_Min,nrMK_Link,$B431,nrMK_Credit,"Yes"))</f>
        <v/>
      </c>
      <c r="Q431" s="17">
        <f>IF(OR($B431="",N($J431)=0),"",SUMIFS(nrMK_Sess,nrMK_Link,$B431,nrMK_Credit,"Yes"))</f>
        <v/>
      </c>
      <c r="R431" s="17">
        <f>IF(OR($B431="",$N431&lt;&gt;"Yes"),"",IF(N($I431)&gt;0,N($I431)-N($P431),IF(N($J431)&gt;0,N($J431)-N($Q431),"")))</f>
        <v/>
      </c>
      <c r="S431" s="17">
        <f>IF(OR($B431="",$R431=""),"",IF($R431&lt;=0,"CLEARED "&amp;IFERROR(TEXT(_xlfn.MAXIFS(nrMK_Date,nrMK_Link,$B431,nrMK_Credit,"Yes"),"mm/dd"),""),"OPEN"))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IF(OR($B432="",N($I432)=0),"",SUMIFS(nrMK_Min,nrMK_Link,$B432,nrMK_Credit,"Yes"))</f>
        <v/>
      </c>
      <c r="Q432" s="17">
        <f>IF(OR($B432="",N($J432)=0),"",SUMIFS(nrMK_Sess,nrMK_Link,$B432,nrMK_Credit,"Yes"))</f>
        <v/>
      </c>
      <c r="R432" s="17">
        <f>IF(OR($B432="",$N432&lt;&gt;"Yes"),"",IF(N($I432)&gt;0,N($I432)-N($P432),IF(N($J432)&gt;0,N($J432)-N($Q432),"")))</f>
        <v/>
      </c>
      <c r="S432" s="17">
        <f>IF(OR($B432="",$R432=""),"",IF($R432&lt;=0,"CLEARED "&amp;IFERROR(TEXT(_xlfn.MAXIFS(nrMK_Date,nrMK_Link,$B432,nrMK_Credit,"Yes"),"mm/dd"),""),"OPEN"))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IF(OR($B433="",N($I433)=0),"",SUMIFS(nrMK_Min,nrMK_Link,$B433,nrMK_Credit,"Yes"))</f>
        <v/>
      </c>
      <c r="Q433" s="17">
        <f>IF(OR($B433="",N($J433)=0),"",SUMIFS(nrMK_Sess,nrMK_Link,$B433,nrMK_Credit,"Yes"))</f>
        <v/>
      </c>
      <c r="R433" s="17">
        <f>IF(OR($B433="",$N433&lt;&gt;"Yes"),"",IF(N($I433)&gt;0,N($I433)-N($P433),IF(N($J433)&gt;0,N($J433)-N($Q433),"")))</f>
        <v/>
      </c>
      <c r="S433" s="17">
        <f>IF(OR($B433="",$R433=""),"",IF($R433&lt;=0,"CLEARED "&amp;IFERROR(TEXT(_xlfn.MAXIFS(nrMK_Date,nrMK_Link,$B433,nrMK_Credit,"Yes"),"mm/dd"),""),"OPEN"))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IF(OR($B434="",N($I434)=0),"",SUMIFS(nrMK_Min,nrMK_Link,$B434,nrMK_Credit,"Yes"))</f>
        <v/>
      </c>
      <c r="Q434" s="17">
        <f>IF(OR($B434="",N($J434)=0),"",SUMIFS(nrMK_Sess,nrMK_Link,$B434,nrMK_Credit,"Yes"))</f>
        <v/>
      </c>
      <c r="R434" s="17">
        <f>IF(OR($B434="",$N434&lt;&gt;"Yes"),"",IF(N($I434)&gt;0,N($I434)-N($P434),IF(N($J434)&gt;0,N($J434)-N($Q434),"")))</f>
        <v/>
      </c>
      <c r="S434" s="17">
        <f>IF(OR($B434="",$R434=""),"",IF($R434&lt;=0,"CLEARED "&amp;IFERROR(TEXT(_xlfn.MAXIFS(nrMK_Date,nrMK_Link,$B434,nrMK_Credit,"Yes"),"mm/dd"),""),"OPEN"))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IF(OR($B435="",N($I435)=0),"",SUMIFS(nrMK_Min,nrMK_Link,$B435,nrMK_Credit,"Yes"))</f>
        <v/>
      </c>
      <c r="Q435" s="17">
        <f>IF(OR($B435="",N($J435)=0),"",SUMIFS(nrMK_Sess,nrMK_Link,$B435,nrMK_Credit,"Yes"))</f>
        <v/>
      </c>
      <c r="R435" s="17">
        <f>IF(OR($B435="",$N435&lt;&gt;"Yes"),"",IF(N($I435)&gt;0,N($I435)-N($P435),IF(N($J435)&gt;0,N($J435)-N($Q435),"")))</f>
        <v/>
      </c>
      <c r="S435" s="17">
        <f>IF(OR($B435="",$R435=""),"",IF($R435&lt;=0,"CLEARED "&amp;IFERROR(TEXT(_xlfn.MAXIFS(nrMK_Date,nrMK_Link,$B435,nrMK_Credit,"Yes"),"mm/dd"),""),"OPEN"))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IF(OR($B436="",N($I436)=0),"",SUMIFS(nrMK_Min,nrMK_Link,$B436,nrMK_Credit,"Yes"))</f>
        <v/>
      </c>
      <c r="Q436" s="17">
        <f>IF(OR($B436="",N($J436)=0),"",SUMIFS(nrMK_Sess,nrMK_Link,$B436,nrMK_Credit,"Yes"))</f>
        <v/>
      </c>
      <c r="R436" s="17">
        <f>IF(OR($B436="",$N436&lt;&gt;"Yes"),"",IF(N($I436)&gt;0,N($I436)-N($P436),IF(N($J436)&gt;0,N($J436)-N($Q436),"")))</f>
        <v/>
      </c>
      <c r="S436" s="17">
        <f>IF(OR($B436="",$R436=""),"",IF($R436&lt;=0,"CLEARED "&amp;IFERROR(TEXT(_xlfn.MAXIFS(nrMK_Date,nrMK_Link,$B436,nrMK_Credit,"Yes"),"mm/dd"),""),"OPEN"))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IF(OR($B437="",N($I437)=0),"",SUMIFS(nrMK_Min,nrMK_Link,$B437,nrMK_Credit,"Yes"))</f>
        <v/>
      </c>
      <c r="Q437" s="17">
        <f>IF(OR($B437="",N($J437)=0),"",SUMIFS(nrMK_Sess,nrMK_Link,$B437,nrMK_Credit,"Yes"))</f>
        <v/>
      </c>
      <c r="R437" s="17">
        <f>IF(OR($B437="",$N437&lt;&gt;"Yes"),"",IF(N($I437)&gt;0,N($I437)-N($P437),IF(N($J437)&gt;0,N($J437)-N($Q437),"")))</f>
        <v/>
      </c>
      <c r="S437" s="17">
        <f>IF(OR($B437="",$R437=""),"",IF($R437&lt;=0,"CLEARED "&amp;IFERROR(TEXT(_xlfn.MAXIFS(nrMK_Date,nrMK_Link,$B437,nrMK_Credit,"Yes"),"mm/dd"),""),"OPEN"))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IF(OR($B438="",N($I438)=0),"",SUMIFS(nrMK_Min,nrMK_Link,$B438,nrMK_Credit,"Yes"))</f>
        <v/>
      </c>
      <c r="Q438" s="17">
        <f>IF(OR($B438="",N($J438)=0),"",SUMIFS(nrMK_Sess,nrMK_Link,$B438,nrMK_Credit,"Yes"))</f>
        <v/>
      </c>
      <c r="R438" s="17">
        <f>IF(OR($B438="",$N438&lt;&gt;"Yes"),"",IF(N($I438)&gt;0,N($I438)-N($P438),IF(N($J438)&gt;0,N($J438)-N($Q438),"")))</f>
        <v/>
      </c>
      <c r="S438" s="17">
        <f>IF(OR($B438="",$R438=""),"",IF($R438&lt;=0,"CLEARED "&amp;IFERROR(TEXT(_xlfn.MAXIFS(nrMK_Date,nrMK_Link,$B438,nrMK_Credit,"Yes"),"mm/dd"),""),"OPEN"))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IF(OR($B439="",N($I439)=0),"",SUMIFS(nrMK_Min,nrMK_Link,$B439,nrMK_Credit,"Yes"))</f>
        <v/>
      </c>
      <c r="Q439" s="17">
        <f>IF(OR($B439="",N($J439)=0),"",SUMIFS(nrMK_Sess,nrMK_Link,$B439,nrMK_Credit,"Yes"))</f>
        <v/>
      </c>
      <c r="R439" s="17">
        <f>IF(OR($B439="",$N439&lt;&gt;"Yes"),"",IF(N($I439)&gt;0,N($I439)-N($P439),IF(N($J439)&gt;0,N($J439)-N($Q439),"")))</f>
        <v/>
      </c>
      <c r="S439" s="17">
        <f>IF(OR($B439="",$R439=""),"",IF($R439&lt;=0,"CLEARED "&amp;IFERROR(TEXT(_xlfn.MAXIFS(nrMK_Date,nrMK_Link,$B439,nrMK_Credit,"Yes"),"mm/dd"),""),"OPEN"))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IF(OR($B440="",N($I440)=0),"",SUMIFS(nrMK_Min,nrMK_Link,$B440,nrMK_Credit,"Yes"))</f>
        <v/>
      </c>
      <c r="Q440" s="17">
        <f>IF(OR($B440="",N($J440)=0),"",SUMIFS(nrMK_Sess,nrMK_Link,$B440,nrMK_Credit,"Yes"))</f>
        <v/>
      </c>
      <c r="R440" s="17">
        <f>IF(OR($B440="",$N440&lt;&gt;"Yes"),"",IF(N($I440)&gt;0,N($I440)-N($P440),IF(N($J440)&gt;0,N($J440)-N($Q440),"")))</f>
        <v/>
      </c>
      <c r="S440" s="17">
        <f>IF(OR($B440="",$R440=""),"",IF($R440&lt;=0,"CLEARED "&amp;IFERROR(TEXT(_xlfn.MAXIFS(nrMK_Date,nrMK_Link,$B440,nrMK_Credit,"Yes"),"mm/dd"),""),"OPEN"))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IF(OR($B441="",N($I441)=0),"",SUMIFS(nrMK_Min,nrMK_Link,$B441,nrMK_Credit,"Yes"))</f>
        <v/>
      </c>
      <c r="Q441" s="17">
        <f>IF(OR($B441="",N($J441)=0),"",SUMIFS(nrMK_Sess,nrMK_Link,$B441,nrMK_Credit,"Yes"))</f>
        <v/>
      </c>
      <c r="R441" s="17">
        <f>IF(OR($B441="",$N441&lt;&gt;"Yes"),"",IF(N($I441)&gt;0,N($I441)-N($P441),IF(N($J441)&gt;0,N($J441)-N($Q441),"")))</f>
        <v/>
      </c>
      <c r="S441" s="17">
        <f>IF(OR($B441="",$R441=""),"",IF($R441&lt;=0,"CLEARED "&amp;IFERROR(TEXT(_xlfn.MAXIFS(nrMK_Date,nrMK_Link,$B441,nrMK_Credit,"Yes"),"mm/dd"),""),"OPEN"))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IF(OR($B442="",N($I442)=0),"",SUMIFS(nrMK_Min,nrMK_Link,$B442,nrMK_Credit,"Yes"))</f>
        <v/>
      </c>
      <c r="Q442" s="17">
        <f>IF(OR($B442="",N($J442)=0),"",SUMIFS(nrMK_Sess,nrMK_Link,$B442,nrMK_Credit,"Yes"))</f>
        <v/>
      </c>
      <c r="R442" s="17">
        <f>IF(OR($B442="",$N442&lt;&gt;"Yes"),"",IF(N($I442)&gt;0,N($I442)-N($P442),IF(N($J442)&gt;0,N($J442)-N($Q442),"")))</f>
        <v/>
      </c>
      <c r="S442" s="17">
        <f>IF(OR($B442="",$R442=""),"",IF($R442&lt;=0,"CLEARED "&amp;IFERROR(TEXT(_xlfn.MAXIFS(nrMK_Date,nrMK_Link,$B442,nrMK_Credit,"Yes"),"mm/dd"),""),"OPEN"))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IF(OR($B443="",N($I443)=0),"",SUMIFS(nrMK_Min,nrMK_Link,$B443,nrMK_Credit,"Yes"))</f>
        <v/>
      </c>
      <c r="Q443" s="17">
        <f>IF(OR($B443="",N($J443)=0),"",SUMIFS(nrMK_Sess,nrMK_Link,$B443,nrMK_Credit,"Yes"))</f>
        <v/>
      </c>
      <c r="R443" s="17">
        <f>IF(OR($B443="",$N443&lt;&gt;"Yes"),"",IF(N($I443)&gt;0,N($I443)-N($P443),IF(N($J443)&gt;0,N($J443)-N($Q443),"")))</f>
        <v/>
      </c>
      <c r="S443" s="17">
        <f>IF(OR($B443="",$R443=""),"",IF($R443&lt;=0,"CLEARED "&amp;IFERROR(TEXT(_xlfn.MAXIFS(nrMK_Date,nrMK_Link,$B443,nrMK_Credit,"Yes"),"mm/dd"),""),"OPEN"))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IF(OR($B444="",N($I444)=0),"",SUMIFS(nrMK_Min,nrMK_Link,$B444,nrMK_Credit,"Yes"))</f>
        <v/>
      </c>
      <c r="Q444" s="17">
        <f>IF(OR($B444="",N($J444)=0),"",SUMIFS(nrMK_Sess,nrMK_Link,$B444,nrMK_Credit,"Yes"))</f>
        <v/>
      </c>
      <c r="R444" s="17">
        <f>IF(OR($B444="",$N444&lt;&gt;"Yes"),"",IF(N($I444)&gt;0,N($I444)-N($P444),IF(N($J444)&gt;0,N($J444)-N($Q444),"")))</f>
        <v/>
      </c>
      <c r="S444" s="17">
        <f>IF(OR($B444="",$R444=""),"",IF($R444&lt;=0,"CLEARED "&amp;IFERROR(TEXT(_xlfn.MAXIFS(nrMK_Date,nrMK_Link,$B444,nrMK_Credit,"Yes"),"mm/dd"),""),"OPEN"))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IF(OR($B445="",N($I445)=0),"",SUMIFS(nrMK_Min,nrMK_Link,$B445,nrMK_Credit,"Yes"))</f>
        <v/>
      </c>
      <c r="Q445" s="17">
        <f>IF(OR($B445="",N($J445)=0),"",SUMIFS(nrMK_Sess,nrMK_Link,$B445,nrMK_Credit,"Yes"))</f>
        <v/>
      </c>
      <c r="R445" s="17">
        <f>IF(OR($B445="",$N445&lt;&gt;"Yes"),"",IF(N($I445)&gt;0,N($I445)-N($P445),IF(N($J445)&gt;0,N($J445)-N($Q445),"")))</f>
        <v/>
      </c>
      <c r="S445" s="17">
        <f>IF(OR($B445="",$R445=""),"",IF($R445&lt;=0,"CLEARED "&amp;IFERROR(TEXT(_xlfn.MAXIFS(nrMK_Date,nrMK_Link,$B445,nrMK_Credit,"Yes"),"mm/dd"),""),"OPEN"))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IF(OR($B446="",N($I446)=0),"",SUMIFS(nrMK_Min,nrMK_Link,$B446,nrMK_Credit,"Yes"))</f>
        <v/>
      </c>
      <c r="Q446" s="17">
        <f>IF(OR($B446="",N($J446)=0),"",SUMIFS(nrMK_Sess,nrMK_Link,$B446,nrMK_Credit,"Yes"))</f>
        <v/>
      </c>
      <c r="R446" s="17">
        <f>IF(OR($B446="",$N446&lt;&gt;"Yes"),"",IF(N($I446)&gt;0,N($I446)-N($P446),IF(N($J446)&gt;0,N($J446)-N($Q446),"")))</f>
        <v/>
      </c>
      <c r="S446" s="17">
        <f>IF(OR($B446="",$R446=""),"",IF($R446&lt;=0,"CLEARED "&amp;IFERROR(TEXT(_xlfn.MAXIFS(nrMK_Date,nrMK_Link,$B446,nrMK_Credit,"Yes"),"mm/dd"),""),"OPEN"))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IF(OR($B447="",N($I447)=0),"",SUMIFS(nrMK_Min,nrMK_Link,$B447,nrMK_Credit,"Yes"))</f>
        <v/>
      </c>
      <c r="Q447" s="17">
        <f>IF(OR($B447="",N($J447)=0),"",SUMIFS(nrMK_Sess,nrMK_Link,$B447,nrMK_Credit,"Yes"))</f>
        <v/>
      </c>
      <c r="R447" s="17">
        <f>IF(OR($B447="",$N447&lt;&gt;"Yes"),"",IF(N($I447)&gt;0,N($I447)-N($P447),IF(N($J447)&gt;0,N($J447)-N($Q447),"")))</f>
        <v/>
      </c>
      <c r="S447" s="17">
        <f>IF(OR($B447="",$R447=""),"",IF($R447&lt;=0,"CLEARED "&amp;IFERROR(TEXT(_xlfn.MAXIFS(nrMK_Date,nrMK_Link,$B447,nrMK_Credit,"Yes"),"mm/dd"),""),"OPEN"))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IF(OR($B448="",N($I448)=0),"",SUMIFS(nrMK_Min,nrMK_Link,$B448,nrMK_Credit,"Yes"))</f>
        <v/>
      </c>
      <c r="Q448" s="17">
        <f>IF(OR($B448="",N($J448)=0),"",SUMIFS(nrMK_Sess,nrMK_Link,$B448,nrMK_Credit,"Yes"))</f>
        <v/>
      </c>
      <c r="R448" s="17">
        <f>IF(OR($B448="",$N448&lt;&gt;"Yes"),"",IF(N($I448)&gt;0,N($I448)-N($P448),IF(N($J448)&gt;0,N($J448)-N($Q448),"")))</f>
        <v/>
      </c>
      <c r="S448" s="17">
        <f>IF(OR($B448="",$R448=""),"",IF($R448&lt;=0,"CLEARED "&amp;IFERROR(TEXT(_xlfn.MAXIFS(nrMK_Date,nrMK_Link,$B448,nrMK_Credit,"Yes"),"mm/dd"),""),"OPEN"))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IF(OR($B449="",N($I449)=0),"",SUMIFS(nrMK_Min,nrMK_Link,$B449,nrMK_Credit,"Yes"))</f>
        <v/>
      </c>
      <c r="Q449" s="17">
        <f>IF(OR($B449="",N($J449)=0),"",SUMIFS(nrMK_Sess,nrMK_Link,$B449,nrMK_Credit,"Yes"))</f>
        <v/>
      </c>
      <c r="R449" s="17">
        <f>IF(OR($B449="",$N449&lt;&gt;"Yes"),"",IF(N($I449)&gt;0,N($I449)-N($P449),IF(N($J449)&gt;0,N($J449)-N($Q449),"")))</f>
        <v/>
      </c>
      <c r="S449" s="17">
        <f>IF(OR($B449="",$R449=""),"",IF($R449&lt;=0,"CLEARED "&amp;IFERROR(TEXT(_xlfn.MAXIFS(nrMK_Date,nrMK_Link,$B449,nrMK_Credit,"Yes"),"mm/dd"),""),"OPEN"))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IF(OR($B450="",N($I450)=0),"",SUMIFS(nrMK_Min,nrMK_Link,$B450,nrMK_Credit,"Yes"))</f>
        <v/>
      </c>
      <c r="Q450" s="17">
        <f>IF(OR($B450="",N($J450)=0),"",SUMIFS(nrMK_Sess,nrMK_Link,$B450,nrMK_Credit,"Yes"))</f>
        <v/>
      </c>
      <c r="R450" s="17">
        <f>IF(OR($B450="",$N450&lt;&gt;"Yes"),"",IF(N($I450)&gt;0,N($I450)-N($P450),IF(N($J450)&gt;0,N($J450)-N($Q450),"")))</f>
        <v/>
      </c>
      <c r="S450" s="17">
        <f>IF(OR($B450="",$R450=""),"",IF($R450&lt;=0,"CLEARED "&amp;IFERROR(TEXT(_xlfn.MAXIFS(nrMK_Date,nrMK_Link,$B450,nrMK_Credit,"Yes"),"mm/dd"),""),"OPEN"))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IF(OR($B451="",N($I451)=0),"",SUMIFS(nrMK_Min,nrMK_Link,$B451,nrMK_Credit,"Yes"))</f>
        <v/>
      </c>
      <c r="Q451" s="17">
        <f>IF(OR($B451="",N($J451)=0),"",SUMIFS(nrMK_Sess,nrMK_Link,$B451,nrMK_Credit,"Yes"))</f>
        <v/>
      </c>
      <c r="R451" s="17">
        <f>IF(OR($B451="",$N451&lt;&gt;"Yes"),"",IF(N($I451)&gt;0,N($I451)-N($P451),IF(N($J451)&gt;0,N($J451)-N($Q451),"")))</f>
        <v/>
      </c>
      <c r="S451" s="17">
        <f>IF(OR($B451="",$R451=""),"",IF($R451&lt;=0,"CLEARED "&amp;IFERROR(TEXT(_xlfn.MAXIFS(nrMK_Date,nrMK_Link,$B451,nrMK_Credit,"Yes"),"mm/dd"),""),"OPEN"))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IF(OR($B452="",N($I452)=0),"",SUMIFS(nrMK_Min,nrMK_Link,$B452,nrMK_Credit,"Yes"))</f>
        <v/>
      </c>
      <c r="Q452" s="17">
        <f>IF(OR($B452="",N($J452)=0),"",SUMIFS(nrMK_Sess,nrMK_Link,$B452,nrMK_Credit,"Yes"))</f>
        <v/>
      </c>
      <c r="R452" s="17">
        <f>IF(OR($B452="",$N452&lt;&gt;"Yes"),"",IF(N($I452)&gt;0,N($I452)-N($P452),IF(N($J452)&gt;0,N($J452)-N($Q452),"")))</f>
        <v/>
      </c>
      <c r="S452" s="17">
        <f>IF(OR($B452="",$R452=""),"",IF($R452&lt;=0,"CLEARED "&amp;IFERROR(TEXT(_xlfn.MAXIFS(nrMK_Date,nrMK_Link,$B452,nrMK_Credit,"Yes"),"mm/dd"),""),"OPEN"))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IF(OR($B453="",N($I453)=0),"",SUMIFS(nrMK_Min,nrMK_Link,$B453,nrMK_Credit,"Yes"))</f>
        <v/>
      </c>
      <c r="Q453" s="17">
        <f>IF(OR($B453="",N($J453)=0),"",SUMIFS(nrMK_Sess,nrMK_Link,$B453,nrMK_Credit,"Yes"))</f>
        <v/>
      </c>
      <c r="R453" s="17">
        <f>IF(OR($B453="",$N453&lt;&gt;"Yes"),"",IF(N($I453)&gt;0,N($I453)-N($P453),IF(N($J453)&gt;0,N($J453)-N($Q453),"")))</f>
        <v/>
      </c>
      <c r="S453" s="17">
        <f>IF(OR($B453="",$R453=""),"",IF($R453&lt;=0,"CLEARED "&amp;IFERROR(TEXT(_xlfn.MAXIFS(nrMK_Date,nrMK_Link,$B453,nrMK_Credit,"Yes"),"mm/dd"),""),"OPEN"))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IF(OR($B454="",N($I454)=0),"",SUMIFS(nrMK_Min,nrMK_Link,$B454,nrMK_Credit,"Yes"))</f>
        <v/>
      </c>
      <c r="Q454" s="17">
        <f>IF(OR($B454="",N($J454)=0),"",SUMIFS(nrMK_Sess,nrMK_Link,$B454,nrMK_Credit,"Yes"))</f>
        <v/>
      </c>
      <c r="R454" s="17">
        <f>IF(OR($B454="",$N454&lt;&gt;"Yes"),"",IF(N($I454)&gt;0,N($I454)-N($P454),IF(N($J454)&gt;0,N($J454)-N($Q454),"")))</f>
        <v/>
      </c>
      <c r="S454" s="17">
        <f>IF(OR($B454="",$R454=""),"",IF($R454&lt;=0,"CLEARED "&amp;IFERROR(TEXT(_xlfn.MAXIFS(nrMK_Date,nrMK_Link,$B454,nrMK_Credit,"Yes"),"mm/dd"),""),"OPEN"))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IF(OR($B455="",N($I455)=0),"",SUMIFS(nrMK_Min,nrMK_Link,$B455,nrMK_Credit,"Yes"))</f>
        <v/>
      </c>
      <c r="Q455" s="17">
        <f>IF(OR($B455="",N($J455)=0),"",SUMIFS(nrMK_Sess,nrMK_Link,$B455,nrMK_Credit,"Yes"))</f>
        <v/>
      </c>
      <c r="R455" s="17">
        <f>IF(OR($B455="",$N455&lt;&gt;"Yes"),"",IF(N($I455)&gt;0,N($I455)-N($P455),IF(N($J455)&gt;0,N($J455)-N($Q455),"")))</f>
        <v/>
      </c>
      <c r="S455" s="17">
        <f>IF(OR($B455="",$R455=""),"",IF($R455&lt;=0,"CLEARED "&amp;IFERROR(TEXT(_xlfn.MAXIFS(nrMK_Date,nrMK_Link,$B455,nrMK_Credit,"Yes"),"mm/dd"),""),"OPEN"))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IF(OR($B456="",N($I456)=0),"",SUMIFS(nrMK_Min,nrMK_Link,$B456,nrMK_Credit,"Yes"))</f>
        <v/>
      </c>
      <c r="Q456" s="17">
        <f>IF(OR($B456="",N($J456)=0),"",SUMIFS(nrMK_Sess,nrMK_Link,$B456,nrMK_Credit,"Yes"))</f>
        <v/>
      </c>
      <c r="R456" s="17">
        <f>IF(OR($B456="",$N456&lt;&gt;"Yes"),"",IF(N($I456)&gt;0,N($I456)-N($P456),IF(N($J456)&gt;0,N($J456)-N($Q456),"")))</f>
        <v/>
      </c>
      <c r="S456" s="17">
        <f>IF(OR($B456="",$R456=""),"",IF($R456&lt;=0,"CLEARED "&amp;IFERROR(TEXT(_xlfn.MAXIFS(nrMK_Date,nrMK_Link,$B456,nrMK_Credit,"Yes"),"mm/dd"),""),"OPEN"))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IF(OR($B457="",N($I457)=0),"",SUMIFS(nrMK_Min,nrMK_Link,$B457,nrMK_Credit,"Yes"))</f>
        <v/>
      </c>
      <c r="Q457" s="17">
        <f>IF(OR($B457="",N($J457)=0),"",SUMIFS(nrMK_Sess,nrMK_Link,$B457,nrMK_Credit,"Yes"))</f>
        <v/>
      </c>
      <c r="R457" s="17">
        <f>IF(OR($B457="",$N457&lt;&gt;"Yes"),"",IF(N($I457)&gt;0,N($I457)-N($P457),IF(N($J457)&gt;0,N($J457)-N($Q457),"")))</f>
        <v/>
      </c>
      <c r="S457" s="17">
        <f>IF(OR($B457="",$R457=""),"",IF($R457&lt;=0,"CLEARED "&amp;IFERROR(TEXT(_xlfn.MAXIFS(nrMK_Date,nrMK_Link,$B457,nrMK_Credit,"Yes"),"mm/dd"),""),"OPEN"))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IF(OR($B458="",N($I458)=0),"",SUMIFS(nrMK_Min,nrMK_Link,$B458,nrMK_Credit,"Yes"))</f>
        <v/>
      </c>
      <c r="Q458" s="17">
        <f>IF(OR($B458="",N($J458)=0),"",SUMIFS(nrMK_Sess,nrMK_Link,$B458,nrMK_Credit,"Yes"))</f>
        <v/>
      </c>
      <c r="R458" s="17">
        <f>IF(OR($B458="",$N458&lt;&gt;"Yes"),"",IF(N($I458)&gt;0,N($I458)-N($P458),IF(N($J458)&gt;0,N($J458)-N($Q458),"")))</f>
        <v/>
      </c>
      <c r="S458" s="17">
        <f>IF(OR($B458="",$R458=""),"",IF($R458&lt;=0,"CLEARED "&amp;IFERROR(TEXT(_xlfn.MAXIFS(nrMK_Date,nrMK_Link,$B458,nrMK_Credit,"Yes"),"mm/dd"),""),"OPEN"))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IF(OR($B459="",N($I459)=0),"",SUMIFS(nrMK_Min,nrMK_Link,$B459,nrMK_Credit,"Yes"))</f>
        <v/>
      </c>
      <c r="Q459" s="17">
        <f>IF(OR($B459="",N($J459)=0),"",SUMIFS(nrMK_Sess,nrMK_Link,$B459,nrMK_Credit,"Yes"))</f>
        <v/>
      </c>
      <c r="R459" s="17">
        <f>IF(OR($B459="",$N459&lt;&gt;"Yes"),"",IF(N($I459)&gt;0,N($I459)-N($P459),IF(N($J459)&gt;0,N($J459)-N($Q459),"")))</f>
        <v/>
      </c>
      <c r="S459" s="17">
        <f>IF(OR($B459="",$R459=""),"",IF($R459&lt;=0,"CLEARED "&amp;IFERROR(TEXT(_xlfn.MAXIFS(nrMK_Date,nrMK_Link,$B459,nrMK_Credit,"Yes"),"mm/dd"),""),"OPEN"))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IF(OR($B460="",N($I460)=0),"",SUMIFS(nrMK_Min,nrMK_Link,$B460,nrMK_Credit,"Yes"))</f>
        <v/>
      </c>
      <c r="Q460" s="17">
        <f>IF(OR($B460="",N($J460)=0),"",SUMIFS(nrMK_Sess,nrMK_Link,$B460,nrMK_Credit,"Yes"))</f>
        <v/>
      </c>
      <c r="R460" s="17">
        <f>IF(OR($B460="",$N460&lt;&gt;"Yes"),"",IF(N($I460)&gt;0,N($I460)-N($P460),IF(N($J460)&gt;0,N($J460)-N($Q460),"")))</f>
        <v/>
      </c>
      <c r="S460" s="17">
        <f>IF(OR($B460="",$R460=""),"",IF($R460&lt;=0,"CLEARED "&amp;IFERROR(TEXT(_xlfn.MAXIFS(nrMK_Date,nrMK_Link,$B460,nrMK_Credit,"Yes"),"mm/dd"),""),"OPEN"))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IF(OR($B461="",N($I461)=0),"",SUMIFS(nrMK_Min,nrMK_Link,$B461,nrMK_Credit,"Yes"))</f>
        <v/>
      </c>
      <c r="Q461" s="17">
        <f>IF(OR($B461="",N($J461)=0),"",SUMIFS(nrMK_Sess,nrMK_Link,$B461,nrMK_Credit,"Yes"))</f>
        <v/>
      </c>
      <c r="R461" s="17">
        <f>IF(OR($B461="",$N461&lt;&gt;"Yes"),"",IF(N($I461)&gt;0,N($I461)-N($P461),IF(N($J461)&gt;0,N($J461)-N($Q461),"")))</f>
        <v/>
      </c>
      <c r="S461" s="17">
        <f>IF(OR($B461="",$R461=""),"",IF($R461&lt;=0,"CLEARED "&amp;IFERROR(TEXT(_xlfn.MAXIFS(nrMK_Date,nrMK_Link,$B461,nrMK_Credit,"Yes"),"mm/dd"),""),"OPEN"))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IF(OR($B462="",N($I462)=0),"",SUMIFS(nrMK_Min,nrMK_Link,$B462,nrMK_Credit,"Yes"))</f>
        <v/>
      </c>
      <c r="Q462" s="17">
        <f>IF(OR($B462="",N($J462)=0),"",SUMIFS(nrMK_Sess,nrMK_Link,$B462,nrMK_Credit,"Yes"))</f>
        <v/>
      </c>
      <c r="R462" s="17">
        <f>IF(OR($B462="",$N462&lt;&gt;"Yes"),"",IF(N($I462)&gt;0,N($I462)-N($P462),IF(N($J462)&gt;0,N($J462)-N($Q462),"")))</f>
        <v/>
      </c>
      <c r="S462" s="17">
        <f>IF(OR($B462="",$R462=""),"",IF($R462&lt;=0,"CLEARED "&amp;IFERROR(TEXT(_xlfn.MAXIFS(nrMK_Date,nrMK_Link,$B462,nrMK_Credit,"Yes"),"mm/dd"),""),"OPEN"))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IF(OR($B463="",N($I463)=0),"",SUMIFS(nrMK_Min,nrMK_Link,$B463,nrMK_Credit,"Yes"))</f>
        <v/>
      </c>
      <c r="Q463" s="17">
        <f>IF(OR($B463="",N($J463)=0),"",SUMIFS(nrMK_Sess,nrMK_Link,$B463,nrMK_Credit,"Yes"))</f>
        <v/>
      </c>
      <c r="R463" s="17">
        <f>IF(OR($B463="",$N463&lt;&gt;"Yes"),"",IF(N($I463)&gt;0,N($I463)-N($P463),IF(N($J463)&gt;0,N($J463)-N($Q463),"")))</f>
        <v/>
      </c>
      <c r="S463" s="17">
        <f>IF(OR($B463="",$R463=""),"",IF($R463&lt;=0,"CLEARED "&amp;IFERROR(TEXT(_xlfn.MAXIFS(nrMK_Date,nrMK_Link,$B463,nrMK_Credit,"Yes"),"mm/dd"),""),"OPEN"))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IF(OR($B464="",N($I464)=0),"",SUMIFS(nrMK_Min,nrMK_Link,$B464,nrMK_Credit,"Yes"))</f>
        <v/>
      </c>
      <c r="Q464" s="17">
        <f>IF(OR($B464="",N($J464)=0),"",SUMIFS(nrMK_Sess,nrMK_Link,$B464,nrMK_Credit,"Yes"))</f>
        <v/>
      </c>
      <c r="R464" s="17">
        <f>IF(OR($B464="",$N464&lt;&gt;"Yes"),"",IF(N($I464)&gt;0,N($I464)-N($P464),IF(N($J464)&gt;0,N($J464)-N($Q464),"")))</f>
        <v/>
      </c>
      <c r="S464" s="17">
        <f>IF(OR($B464="",$R464=""),"",IF($R464&lt;=0,"CLEARED "&amp;IFERROR(TEXT(_xlfn.MAXIFS(nrMK_Date,nrMK_Link,$B464,nrMK_Credit,"Yes"),"mm/dd"),""),"OPEN"))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IF(OR($B465="",N($I465)=0),"",SUMIFS(nrMK_Min,nrMK_Link,$B465,nrMK_Credit,"Yes"))</f>
        <v/>
      </c>
      <c r="Q465" s="17">
        <f>IF(OR($B465="",N($J465)=0),"",SUMIFS(nrMK_Sess,nrMK_Link,$B465,nrMK_Credit,"Yes"))</f>
        <v/>
      </c>
      <c r="R465" s="17">
        <f>IF(OR($B465="",$N465&lt;&gt;"Yes"),"",IF(N($I465)&gt;0,N($I465)-N($P465),IF(N($J465)&gt;0,N($J465)-N($Q465),"")))</f>
        <v/>
      </c>
      <c r="S465" s="17">
        <f>IF(OR($B465="",$R465=""),"",IF($R465&lt;=0,"CLEARED "&amp;IFERROR(TEXT(_xlfn.MAXIFS(nrMK_Date,nrMK_Link,$B465,nrMK_Credit,"Yes"),"mm/dd"),""),"OPEN"))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IF(OR($B466="",N($I466)=0),"",SUMIFS(nrMK_Min,nrMK_Link,$B466,nrMK_Credit,"Yes"))</f>
        <v/>
      </c>
      <c r="Q466" s="17">
        <f>IF(OR($B466="",N($J466)=0),"",SUMIFS(nrMK_Sess,nrMK_Link,$B466,nrMK_Credit,"Yes"))</f>
        <v/>
      </c>
      <c r="R466" s="17">
        <f>IF(OR($B466="",$N466&lt;&gt;"Yes"),"",IF(N($I466)&gt;0,N($I466)-N($P466),IF(N($J466)&gt;0,N($J466)-N($Q466),"")))</f>
        <v/>
      </c>
      <c r="S466" s="17">
        <f>IF(OR($B466="",$R466=""),"",IF($R466&lt;=0,"CLEARED "&amp;IFERROR(TEXT(_xlfn.MAXIFS(nrMK_Date,nrMK_Link,$B466,nrMK_Credit,"Yes"),"mm/dd"),""),"OPEN"))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IF(OR($B467="",N($I467)=0),"",SUMIFS(nrMK_Min,nrMK_Link,$B467,nrMK_Credit,"Yes"))</f>
        <v/>
      </c>
      <c r="Q467" s="17">
        <f>IF(OR($B467="",N($J467)=0),"",SUMIFS(nrMK_Sess,nrMK_Link,$B467,nrMK_Credit,"Yes"))</f>
        <v/>
      </c>
      <c r="R467" s="17">
        <f>IF(OR($B467="",$N467&lt;&gt;"Yes"),"",IF(N($I467)&gt;0,N($I467)-N($P467),IF(N($J467)&gt;0,N($J467)-N($Q467),"")))</f>
        <v/>
      </c>
      <c r="S467" s="17">
        <f>IF(OR($B467="",$R467=""),"",IF($R467&lt;=0,"CLEARED "&amp;IFERROR(TEXT(_xlfn.MAXIFS(nrMK_Date,nrMK_Link,$B467,nrMK_Credit,"Yes"),"mm/dd"),""),"OPEN"))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IF(OR($B468="",N($I468)=0),"",SUMIFS(nrMK_Min,nrMK_Link,$B468,nrMK_Credit,"Yes"))</f>
        <v/>
      </c>
      <c r="Q468" s="17">
        <f>IF(OR($B468="",N($J468)=0),"",SUMIFS(nrMK_Sess,nrMK_Link,$B468,nrMK_Credit,"Yes"))</f>
        <v/>
      </c>
      <c r="R468" s="17">
        <f>IF(OR($B468="",$N468&lt;&gt;"Yes"),"",IF(N($I468)&gt;0,N($I468)-N($P468),IF(N($J468)&gt;0,N($J468)-N($Q468),"")))</f>
        <v/>
      </c>
      <c r="S468" s="17">
        <f>IF(OR($B468="",$R468=""),"",IF($R468&lt;=0,"CLEARED "&amp;IFERROR(TEXT(_xlfn.MAXIFS(nrMK_Date,nrMK_Link,$B468,nrMK_Credit,"Yes"),"mm/dd"),""),"OPEN"))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IF(OR($B469="",N($I469)=0),"",SUMIFS(nrMK_Min,nrMK_Link,$B469,nrMK_Credit,"Yes"))</f>
        <v/>
      </c>
      <c r="Q469" s="17">
        <f>IF(OR($B469="",N($J469)=0),"",SUMIFS(nrMK_Sess,nrMK_Link,$B469,nrMK_Credit,"Yes"))</f>
        <v/>
      </c>
      <c r="R469" s="17">
        <f>IF(OR($B469="",$N469&lt;&gt;"Yes"),"",IF(N($I469)&gt;0,N($I469)-N($P469),IF(N($J469)&gt;0,N($J469)-N($Q469),"")))</f>
        <v/>
      </c>
      <c r="S469" s="17">
        <f>IF(OR($B469="",$R469=""),"",IF($R469&lt;=0,"CLEARED "&amp;IFERROR(TEXT(_xlfn.MAXIFS(nrMK_Date,nrMK_Link,$B469,nrMK_Credit,"Yes"),"mm/dd"),""),"OPEN"))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IF(OR($B470="",N($I470)=0),"",SUMIFS(nrMK_Min,nrMK_Link,$B470,nrMK_Credit,"Yes"))</f>
        <v/>
      </c>
      <c r="Q470" s="17">
        <f>IF(OR($B470="",N($J470)=0),"",SUMIFS(nrMK_Sess,nrMK_Link,$B470,nrMK_Credit,"Yes"))</f>
        <v/>
      </c>
      <c r="R470" s="17">
        <f>IF(OR($B470="",$N470&lt;&gt;"Yes"),"",IF(N($I470)&gt;0,N($I470)-N($P470),IF(N($J470)&gt;0,N($J470)-N($Q470),"")))</f>
        <v/>
      </c>
      <c r="S470" s="17">
        <f>IF(OR($B470="",$R470=""),"",IF($R470&lt;=0,"CLEARED "&amp;IFERROR(TEXT(_xlfn.MAXIFS(nrMK_Date,nrMK_Link,$B470,nrMK_Credit,"Yes"),"mm/dd"),""),"OPEN"))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IF(OR($B471="",N($I471)=0),"",SUMIFS(nrMK_Min,nrMK_Link,$B471,nrMK_Credit,"Yes"))</f>
        <v/>
      </c>
      <c r="Q471" s="17">
        <f>IF(OR($B471="",N($J471)=0),"",SUMIFS(nrMK_Sess,nrMK_Link,$B471,nrMK_Credit,"Yes"))</f>
        <v/>
      </c>
      <c r="R471" s="17">
        <f>IF(OR($B471="",$N471&lt;&gt;"Yes"),"",IF(N($I471)&gt;0,N($I471)-N($P471),IF(N($J471)&gt;0,N($J471)-N($Q471),"")))</f>
        <v/>
      </c>
      <c r="S471" s="17">
        <f>IF(OR($B471="",$R471=""),"",IF($R471&lt;=0,"CLEARED "&amp;IFERROR(TEXT(_xlfn.MAXIFS(nrMK_Date,nrMK_Link,$B471,nrMK_Credit,"Yes"),"mm/dd"),""),"OPEN"))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IF(OR($B472="",N($I472)=0),"",SUMIFS(nrMK_Min,nrMK_Link,$B472,nrMK_Credit,"Yes"))</f>
        <v/>
      </c>
      <c r="Q472" s="17">
        <f>IF(OR($B472="",N($J472)=0),"",SUMIFS(nrMK_Sess,nrMK_Link,$B472,nrMK_Credit,"Yes"))</f>
        <v/>
      </c>
      <c r="R472" s="17">
        <f>IF(OR($B472="",$N472&lt;&gt;"Yes"),"",IF(N($I472)&gt;0,N($I472)-N($P472),IF(N($J472)&gt;0,N($J472)-N($Q472),"")))</f>
        <v/>
      </c>
      <c r="S472" s="17">
        <f>IF(OR($B472="",$R472=""),"",IF($R472&lt;=0,"CLEARED "&amp;IFERROR(TEXT(_xlfn.MAXIFS(nrMK_Date,nrMK_Link,$B472,nrMK_Credit,"Yes"),"mm/dd"),""),"OPEN"))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IF(OR($B473="",N($I473)=0),"",SUMIFS(nrMK_Min,nrMK_Link,$B473,nrMK_Credit,"Yes"))</f>
        <v/>
      </c>
      <c r="Q473" s="17">
        <f>IF(OR($B473="",N($J473)=0),"",SUMIFS(nrMK_Sess,nrMK_Link,$B473,nrMK_Credit,"Yes"))</f>
        <v/>
      </c>
      <c r="R473" s="17">
        <f>IF(OR($B473="",$N473&lt;&gt;"Yes"),"",IF(N($I473)&gt;0,N($I473)-N($P473),IF(N($J473)&gt;0,N($J473)-N($Q473),"")))</f>
        <v/>
      </c>
      <c r="S473" s="17">
        <f>IF(OR($B473="",$R473=""),"",IF($R473&lt;=0,"CLEARED "&amp;IFERROR(TEXT(_xlfn.MAXIFS(nrMK_Date,nrMK_Link,$B473,nrMK_Credit,"Yes"),"mm/dd"),""),"OPEN"))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IF(OR($B474="",N($I474)=0),"",SUMIFS(nrMK_Min,nrMK_Link,$B474,nrMK_Credit,"Yes"))</f>
        <v/>
      </c>
      <c r="Q474" s="17">
        <f>IF(OR($B474="",N($J474)=0),"",SUMIFS(nrMK_Sess,nrMK_Link,$B474,nrMK_Credit,"Yes"))</f>
        <v/>
      </c>
      <c r="R474" s="17">
        <f>IF(OR($B474="",$N474&lt;&gt;"Yes"),"",IF(N($I474)&gt;0,N($I474)-N($P474),IF(N($J474)&gt;0,N($J474)-N($Q474),"")))</f>
        <v/>
      </c>
      <c r="S474" s="17">
        <f>IF(OR($B474="",$R474=""),"",IF($R474&lt;=0,"CLEARED "&amp;IFERROR(TEXT(_xlfn.MAXIFS(nrMK_Date,nrMK_Link,$B474,nrMK_Credit,"Yes"),"mm/dd"),""),"OPEN"))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IF(OR($B475="",N($I475)=0),"",SUMIFS(nrMK_Min,nrMK_Link,$B475,nrMK_Credit,"Yes"))</f>
        <v/>
      </c>
      <c r="Q475" s="17">
        <f>IF(OR($B475="",N($J475)=0),"",SUMIFS(nrMK_Sess,nrMK_Link,$B475,nrMK_Credit,"Yes"))</f>
        <v/>
      </c>
      <c r="R475" s="17">
        <f>IF(OR($B475="",$N475&lt;&gt;"Yes"),"",IF(N($I475)&gt;0,N($I475)-N($P475),IF(N($J475)&gt;0,N($J475)-N($Q475),"")))</f>
        <v/>
      </c>
      <c r="S475" s="17">
        <f>IF(OR($B475="",$R475=""),"",IF($R475&lt;=0,"CLEARED "&amp;IFERROR(TEXT(_xlfn.MAXIFS(nrMK_Date,nrMK_Link,$B475,nrMK_Credit,"Yes"),"mm/dd"),""),"OPEN"))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IF(OR($B476="",N($I476)=0),"",SUMIFS(nrMK_Min,nrMK_Link,$B476,nrMK_Credit,"Yes"))</f>
        <v/>
      </c>
      <c r="Q476" s="17">
        <f>IF(OR($B476="",N($J476)=0),"",SUMIFS(nrMK_Sess,nrMK_Link,$B476,nrMK_Credit,"Yes"))</f>
        <v/>
      </c>
      <c r="R476" s="17">
        <f>IF(OR($B476="",$N476&lt;&gt;"Yes"),"",IF(N($I476)&gt;0,N($I476)-N($P476),IF(N($J476)&gt;0,N($J476)-N($Q476),"")))</f>
        <v/>
      </c>
      <c r="S476" s="17">
        <f>IF(OR($B476="",$R476=""),"",IF($R476&lt;=0,"CLEARED "&amp;IFERROR(TEXT(_xlfn.MAXIFS(nrMK_Date,nrMK_Link,$B476,nrMK_Credit,"Yes"),"mm/dd"),""),"OPEN"))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IF(OR($B477="",N($I477)=0),"",SUMIFS(nrMK_Min,nrMK_Link,$B477,nrMK_Credit,"Yes"))</f>
        <v/>
      </c>
      <c r="Q477" s="17">
        <f>IF(OR($B477="",N($J477)=0),"",SUMIFS(nrMK_Sess,nrMK_Link,$B477,nrMK_Credit,"Yes"))</f>
        <v/>
      </c>
      <c r="R477" s="17">
        <f>IF(OR($B477="",$N477&lt;&gt;"Yes"),"",IF(N($I477)&gt;0,N($I477)-N($P477),IF(N($J477)&gt;0,N($J477)-N($Q477),"")))</f>
        <v/>
      </c>
      <c r="S477" s="17">
        <f>IF(OR($B477="",$R477=""),"",IF($R477&lt;=0,"CLEARED "&amp;IFERROR(TEXT(_xlfn.MAXIFS(nrMK_Date,nrMK_Link,$B477,nrMK_Credit,"Yes"),"mm/dd"),""),"OPEN"))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IF(OR($B478="",N($I478)=0),"",SUMIFS(nrMK_Min,nrMK_Link,$B478,nrMK_Credit,"Yes"))</f>
        <v/>
      </c>
      <c r="Q478" s="17">
        <f>IF(OR($B478="",N($J478)=0),"",SUMIFS(nrMK_Sess,nrMK_Link,$B478,nrMK_Credit,"Yes"))</f>
        <v/>
      </c>
      <c r="R478" s="17">
        <f>IF(OR($B478="",$N478&lt;&gt;"Yes"),"",IF(N($I478)&gt;0,N($I478)-N($P478),IF(N($J478)&gt;0,N($J478)-N($Q478),"")))</f>
        <v/>
      </c>
      <c r="S478" s="17">
        <f>IF(OR($B478="",$R478=""),"",IF($R478&lt;=0,"CLEARED "&amp;IFERROR(TEXT(_xlfn.MAXIFS(nrMK_Date,nrMK_Link,$B478,nrMK_Credit,"Yes"),"mm/dd"),""),"OPEN"))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IF(OR($B479="",N($I479)=0),"",SUMIFS(nrMK_Min,nrMK_Link,$B479,nrMK_Credit,"Yes"))</f>
        <v/>
      </c>
      <c r="Q479" s="17">
        <f>IF(OR($B479="",N($J479)=0),"",SUMIFS(nrMK_Sess,nrMK_Link,$B479,nrMK_Credit,"Yes"))</f>
        <v/>
      </c>
      <c r="R479" s="17">
        <f>IF(OR($B479="",$N479&lt;&gt;"Yes"),"",IF(N($I479)&gt;0,N($I479)-N($P479),IF(N($J479)&gt;0,N($J479)-N($Q479),"")))</f>
        <v/>
      </c>
      <c r="S479" s="17">
        <f>IF(OR($B479="",$R479=""),"",IF($R479&lt;=0,"CLEARED "&amp;IFERROR(TEXT(_xlfn.MAXIFS(nrMK_Date,nrMK_Link,$B479,nrMK_Credit,"Yes"),"mm/dd"),""),"OPEN"))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IF(OR($B480="",N($I480)=0),"",SUMIFS(nrMK_Min,nrMK_Link,$B480,nrMK_Credit,"Yes"))</f>
        <v/>
      </c>
      <c r="Q480" s="17">
        <f>IF(OR($B480="",N($J480)=0),"",SUMIFS(nrMK_Sess,nrMK_Link,$B480,nrMK_Credit,"Yes"))</f>
        <v/>
      </c>
      <c r="R480" s="17">
        <f>IF(OR($B480="",$N480&lt;&gt;"Yes"),"",IF(N($I480)&gt;0,N($I480)-N($P480),IF(N($J480)&gt;0,N($J480)-N($Q480),"")))</f>
        <v/>
      </c>
      <c r="S480" s="17">
        <f>IF(OR($B480="",$R480=""),"",IF($R480&lt;=0,"CLEARED "&amp;IFERROR(TEXT(_xlfn.MAXIFS(nrMK_Date,nrMK_Link,$B480,nrMK_Credit,"Yes"),"mm/dd"),""),"OPEN"))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IF(OR($B481="",N($I481)=0),"",SUMIFS(nrMK_Min,nrMK_Link,$B481,nrMK_Credit,"Yes"))</f>
        <v/>
      </c>
      <c r="Q481" s="17">
        <f>IF(OR($B481="",N($J481)=0),"",SUMIFS(nrMK_Sess,nrMK_Link,$B481,nrMK_Credit,"Yes"))</f>
        <v/>
      </c>
      <c r="R481" s="17">
        <f>IF(OR($B481="",$N481&lt;&gt;"Yes"),"",IF(N($I481)&gt;0,N($I481)-N($P481),IF(N($J481)&gt;0,N($J481)-N($Q481),"")))</f>
        <v/>
      </c>
      <c r="S481" s="17">
        <f>IF(OR($B481="",$R481=""),"",IF($R481&lt;=0,"CLEARED "&amp;IFERROR(TEXT(_xlfn.MAXIFS(nrMK_Date,nrMK_Link,$B481,nrMK_Credit,"Yes"),"mm/dd"),""),"OPEN"))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IF(OR($B482="",N($I482)=0),"",SUMIFS(nrMK_Min,nrMK_Link,$B482,nrMK_Credit,"Yes"))</f>
        <v/>
      </c>
      <c r="Q482" s="17">
        <f>IF(OR($B482="",N($J482)=0),"",SUMIFS(nrMK_Sess,nrMK_Link,$B482,nrMK_Credit,"Yes"))</f>
        <v/>
      </c>
      <c r="R482" s="17">
        <f>IF(OR($B482="",$N482&lt;&gt;"Yes"),"",IF(N($I482)&gt;0,N($I482)-N($P482),IF(N($J482)&gt;0,N($J482)-N($Q482),"")))</f>
        <v/>
      </c>
      <c r="S482" s="17">
        <f>IF(OR($B482="",$R482=""),"",IF($R482&lt;=0,"CLEARED "&amp;IFERROR(TEXT(_xlfn.MAXIFS(nrMK_Date,nrMK_Link,$B482,nrMK_Credit,"Yes"),"mm/dd"),""),"OPEN"))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IF(OR($B483="",N($I483)=0),"",SUMIFS(nrMK_Min,nrMK_Link,$B483,nrMK_Credit,"Yes"))</f>
        <v/>
      </c>
      <c r="Q483" s="17">
        <f>IF(OR($B483="",N($J483)=0),"",SUMIFS(nrMK_Sess,nrMK_Link,$B483,nrMK_Credit,"Yes"))</f>
        <v/>
      </c>
      <c r="R483" s="17">
        <f>IF(OR($B483="",$N483&lt;&gt;"Yes"),"",IF(N($I483)&gt;0,N($I483)-N($P483),IF(N($J483)&gt;0,N($J483)-N($Q483),"")))</f>
        <v/>
      </c>
      <c r="S483" s="17">
        <f>IF(OR($B483="",$R483=""),"",IF($R483&lt;=0,"CLEARED "&amp;IFERROR(TEXT(_xlfn.MAXIFS(nrMK_Date,nrMK_Link,$B483,nrMK_Credit,"Yes"),"mm/dd"),""),"OPEN"))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IF(OR($B484="",N($I484)=0),"",SUMIFS(nrMK_Min,nrMK_Link,$B484,nrMK_Credit,"Yes"))</f>
        <v/>
      </c>
      <c r="Q484" s="17">
        <f>IF(OR($B484="",N($J484)=0),"",SUMIFS(nrMK_Sess,nrMK_Link,$B484,nrMK_Credit,"Yes"))</f>
        <v/>
      </c>
      <c r="R484" s="17">
        <f>IF(OR($B484="",$N484&lt;&gt;"Yes"),"",IF(N($I484)&gt;0,N($I484)-N($P484),IF(N($J484)&gt;0,N($J484)-N($Q484),"")))</f>
        <v/>
      </c>
      <c r="S484" s="17">
        <f>IF(OR($B484="",$R484=""),"",IF($R484&lt;=0,"CLEARED "&amp;IFERROR(TEXT(_xlfn.MAXIFS(nrMK_Date,nrMK_Link,$B484,nrMK_Credit,"Yes"),"mm/dd"),""),"OPEN"))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IF(OR($B485="",N($I485)=0),"",SUMIFS(nrMK_Min,nrMK_Link,$B485,nrMK_Credit,"Yes"))</f>
        <v/>
      </c>
      <c r="Q485" s="17">
        <f>IF(OR($B485="",N($J485)=0),"",SUMIFS(nrMK_Sess,nrMK_Link,$B485,nrMK_Credit,"Yes"))</f>
        <v/>
      </c>
      <c r="R485" s="17">
        <f>IF(OR($B485="",$N485&lt;&gt;"Yes"),"",IF(N($I485)&gt;0,N($I485)-N($P485),IF(N($J485)&gt;0,N($J485)-N($Q485),"")))</f>
        <v/>
      </c>
      <c r="S485" s="17">
        <f>IF(OR($B485="",$R485=""),"",IF($R485&lt;=0,"CLEARED "&amp;IFERROR(TEXT(_xlfn.MAXIFS(nrMK_Date,nrMK_Link,$B485,nrMK_Credit,"Yes"),"mm/dd"),""),"OPEN"))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IF(OR($B486="",N($I486)=0),"",SUMIFS(nrMK_Min,nrMK_Link,$B486,nrMK_Credit,"Yes"))</f>
        <v/>
      </c>
      <c r="Q486" s="17">
        <f>IF(OR($B486="",N($J486)=0),"",SUMIFS(nrMK_Sess,nrMK_Link,$B486,nrMK_Credit,"Yes"))</f>
        <v/>
      </c>
      <c r="R486" s="17">
        <f>IF(OR($B486="",$N486&lt;&gt;"Yes"),"",IF(N($I486)&gt;0,N($I486)-N($P486),IF(N($J486)&gt;0,N($J486)-N($Q486),"")))</f>
        <v/>
      </c>
      <c r="S486" s="17">
        <f>IF(OR($B486="",$R486=""),"",IF($R486&lt;=0,"CLEARED "&amp;IFERROR(TEXT(_xlfn.MAXIFS(nrMK_Date,nrMK_Link,$B486,nrMK_Credit,"Yes"),"mm/dd"),""),"OPEN"))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IF(OR($B487="",N($I487)=0),"",SUMIFS(nrMK_Min,nrMK_Link,$B487,nrMK_Credit,"Yes"))</f>
        <v/>
      </c>
      <c r="Q487" s="17">
        <f>IF(OR($B487="",N($J487)=0),"",SUMIFS(nrMK_Sess,nrMK_Link,$B487,nrMK_Credit,"Yes"))</f>
        <v/>
      </c>
      <c r="R487" s="17">
        <f>IF(OR($B487="",$N487&lt;&gt;"Yes"),"",IF(N($I487)&gt;0,N($I487)-N($P487),IF(N($J487)&gt;0,N($J487)-N($Q487),"")))</f>
        <v/>
      </c>
      <c r="S487" s="17">
        <f>IF(OR($B487="",$R487=""),"",IF($R487&lt;=0,"CLEARED "&amp;IFERROR(TEXT(_xlfn.MAXIFS(nrMK_Date,nrMK_Link,$B487,nrMK_Credit,"Yes"),"mm/dd"),""),"OPEN"))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IF(OR($B488="",N($I488)=0),"",SUMIFS(nrMK_Min,nrMK_Link,$B488,nrMK_Credit,"Yes"))</f>
        <v/>
      </c>
      <c r="Q488" s="17">
        <f>IF(OR($B488="",N($J488)=0),"",SUMIFS(nrMK_Sess,nrMK_Link,$B488,nrMK_Credit,"Yes"))</f>
        <v/>
      </c>
      <c r="R488" s="17">
        <f>IF(OR($B488="",$N488&lt;&gt;"Yes"),"",IF(N($I488)&gt;0,N($I488)-N($P488),IF(N($J488)&gt;0,N($J488)-N($Q488),"")))</f>
        <v/>
      </c>
      <c r="S488" s="17">
        <f>IF(OR($B488="",$R488=""),"",IF($R488&lt;=0,"CLEARED "&amp;IFERROR(TEXT(_xlfn.MAXIFS(nrMK_Date,nrMK_Link,$B488,nrMK_Credit,"Yes"),"mm/dd"),""),"OPEN"))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IF(OR($B489="",N($I489)=0),"",SUMIFS(nrMK_Min,nrMK_Link,$B489,nrMK_Credit,"Yes"))</f>
        <v/>
      </c>
      <c r="Q489" s="17">
        <f>IF(OR($B489="",N($J489)=0),"",SUMIFS(nrMK_Sess,nrMK_Link,$B489,nrMK_Credit,"Yes"))</f>
        <v/>
      </c>
      <c r="R489" s="17">
        <f>IF(OR($B489="",$N489&lt;&gt;"Yes"),"",IF(N($I489)&gt;0,N($I489)-N($P489),IF(N($J489)&gt;0,N($J489)-N($Q489),"")))</f>
        <v/>
      </c>
      <c r="S489" s="17">
        <f>IF(OR($B489="",$R489=""),"",IF($R489&lt;=0,"CLEARED "&amp;IFERROR(TEXT(_xlfn.MAXIFS(nrMK_Date,nrMK_Link,$B489,nrMK_Credit,"Yes"),"mm/dd"),""),"OPEN"))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IF(OR($B490="",N($I490)=0),"",SUMIFS(nrMK_Min,nrMK_Link,$B490,nrMK_Credit,"Yes"))</f>
        <v/>
      </c>
      <c r="Q490" s="17">
        <f>IF(OR($B490="",N($J490)=0),"",SUMIFS(nrMK_Sess,nrMK_Link,$B490,nrMK_Credit,"Yes"))</f>
        <v/>
      </c>
      <c r="R490" s="17">
        <f>IF(OR($B490="",$N490&lt;&gt;"Yes"),"",IF(N($I490)&gt;0,N($I490)-N($P490),IF(N($J490)&gt;0,N($J490)-N($Q490),"")))</f>
        <v/>
      </c>
      <c r="S490" s="17">
        <f>IF(OR($B490="",$R490=""),"",IF($R490&lt;=0,"CLEARED "&amp;IFERROR(TEXT(_xlfn.MAXIFS(nrMK_Date,nrMK_Link,$B490,nrMK_Credit,"Yes"),"mm/dd"),""),"OPEN"))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IF(OR($B491="",N($I491)=0),"",SUMIFS(nrMK_Min,nrMK_Link,$B491,nrMK_Credit,"Yes"))</f>
        <v/>
      </c>
      <c r="Q491" s="17">
        <f>IF(OR($B491="",N($J491)=0),"",SUMIFS(nrMK_Sess,nrMK_Link,$B491,nrMK_Credit,"Yes"))</f>
        <v/>
      </c>
      <c r="R491" s="17">
        <f>IF(OR($B491="",$N491&lt;&gt;"Yes"),"",IF(N($I491)&gt;0,N($I491)-N($P491),IF(N($J491)&gt;0,N($J491)-N($Q491),"")))</f>
        <v/>
      </c>
      <c r="S491" s="17">
        <f>IF(OR($B491="",$R491=""),"",IF($R491&lt;=0,"CLEARED "&amp;IFERROR(TEXT(_xlfn.MAXIFS(nrMK_Date,nrMK_Link,$B491,nrMK_Credit,"Yes"),"mm/dd"),""),"OPEN"))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IF(OR($B492="",N($I492)=0),"",SUMIFS(nrMK_Min,nrMK_Link,$B492,nrMK_Credit,"Yes"))</f>
        <v/>
      </c>
      <c r="Q492" s="17">
        <f>IF(OR($B492="",N($J492)=0),"",SUMIFS(nrMK_Sess,nrMK_Link,$B492,nrMK_Credit,"Yes"))</f>
        <v/>
      </c>
      <c r="R492" s="17">
        <f>IF(OR($B492="",$N492&lt;&gt;"Yes"),"",IF(N($I492)&gt;0,N($I492)-N($P492),IF(N($J492)&gt;0,N($J492)-N($Q492),"")))</f>
        <v/>
      </c>
      <c r="S492" s="17">
        <f>IF(OR($B492="",$R492=""),"",IF($R492&lt;=0,"CLEARED "&amp;IFERROR(TEXT(_xlfn.MAXIFS(nrMK_Date,nrMK_Link,$B492,nrMK_Credit,"Yes"),"mm/dd"),""),"OPEN"))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IF(OR($B493="",N($I493)=0),"",SUMIFS(nrMK_Min,nrMK_Link,$B493,nrMK_Credit,"Yes"))</f>
        <v/>
      </c>
      <c r="Q493" s="17">
        <f>IF(OR($B493="",N($J493)=0),"",SUMIFS(nrMK_Sess,nrMK_Link,$B493,nrMK_Credit,"Yes"))</f>
        <v/>
      </c>
      <c r="R493" s="17">
        <f>IF(OR($B493="",$N493&lt;&gt;"Yes"),"",IF(N($I493)&gt;0,N($I493)-N($P493),IF(N($J493)&gt;0,N($J493)-N($Q493),"")))</f>
        <v/>
      </c>
      <c r="S493" s="17">
        <f>IF(OR($B493="",$R493=""),"",IF($R493&lt;=0,"CLEARED "&amp;IFERROR(TEXT(_xlfn.MAXIFS(nrMK_Date,nrMK_Link,$B493,nrMK_Credit,"Yes"),"mm/dd"),""),"OPEN"))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IF(OR($B494="",N($I494)=0),"",SUMIFS(nrMK_Min,nrMK_Link,$B494,nrMK_Credit,"Yes"))</f>
        <v/>
      </c>
      <c r="Q494" s="17">
        <f>IF(OR($B494="",N($J494)=0),"",SUMIFS(nrMK_Sess,nrMK_Link,$B494,nrMK_Credit,"Yes"))</f>
        <v/>
      </c>
      <c r="R494" s="17">
        <f>IF(OR($B494="",$N494&lt;&gt;"Yes"),"",IF(N($I494)&gt;0,N($I494)-N($P494),IF(N($J494)&gt;0,N($J494)-N($Q494),"")))</f>
        <v/>
      </c>
      <c r="S494" s="17">
        <f>IF(OR($B494="",$R494=""),"",IF($R494&lt;=0,"CLEARED "&amp;IFERROR(TEXT(_xlfn.MAXIFS(nrMK_Date,nrMK_Link,$B494,nrMK_Credit,"Yes"),"mm/dd"),""),"OPEN"))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IF(OR($B495="",N($I495)=0),"",SUMIFS(nrMK_Min,nrMK_Link,$B495,nrMK_Credit,"Yes"))</f>
        <v/>
      </c>
      <c r="Q495" s="17">
        <f>IF(OR($B495="",N($J495)=0),"",SUMIFS(nrMK_Sess,nrMK_Link,$B495,nrMK_Credit,"Yes"))</f>
        <v/>
      </c>
      <c r="R495" s="17">
        <f>IF(OR($B495="",$N495&lt;&gt;"Yes"),"",IF(N($I495)&gt;0,N($I495)-N($P495),IF(N($J495)&gt;0,N($J495)-N($Q495),"")))</f>
        <v/>
      </c>
      <c r="S495" s="17">
        <f>IF(OR($B495="",$R495=""),"",IF($R495&lt;=0,"CLEARED "&amp;IFERROR(TEXT(_xlfn.MAXIFS(nrMK_Date,nrMK_Link,$B495,nrMK_Credit,"Yes"),"mm/dd"),""),"OPEN"))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IF(OR($B496="",N($I496)=0),"",SUMIFS(nrMK_Min,nrMK_Link,$B496,nrMK_Credit,"Yes"))</f>
        <v/>
      </c>
      <c r="Q496" s="17">
        <f>IF(OR($B496="",N($J496)=0),"",SUMIFS(nrMK_Sess,nrMK_Link,$B496,nrMK_Credit,"Yes"))</f>
        <v/>
      </c>
      <c r="R496" s="17">
        <f>IF(OR($B496="",$N496&lt;&gt;"Yes"),"",IF(N($I496)&gt;0,N($I496)-N($P496),IF(N($J496)&gt;0,N($J496)-N($Q496),"")))</f>
        <v/>
      </c>
      <c r="S496" s="17">
        <f>IF(OR($B496="",$R496=""),"",IF($R496&lt;=0,"CLEARED "&amp;IFERROR(TEXT(_xlfn.MAXIFS(nrMK_Date,nrMK_Link,$B496,nrMK_Credit,"Yes"),"mm/dd"),""),"OPEN"))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IF(OR($B497="",N($I497)=0),"",SUMIFS(nrMK_Min,nrMK_Link,$B497,nrMK_Credit,"Yes"))</f>
        <v/>
      </c>
      <c r="Q497" s="17">
        <f>IF(OR($B497="",N($J497)=0),"",SUMIFS(nrMK_Sess,nrMK_Link,$B497,nrMK_Credit,"Yes"))</f>
        <v/>
      </c>
      <c r="R497" s="17">
        <f>IF(OR($B497="",$N497&lt;&gt;"Yes"),"",IF(N($I497)&gt;0,N($I497)-N($P497),IF(N($J497)&gt;0,N($J497)-N($Q497),"")))</f>
        <v/>
      </c>
      <c r="S497" s="17">
        <f>IF(OR($B497="",$R497=""),"",IF($R497&lt;=0,"CLEARED "&amp;IFERROR(TEXT(_xlfn.MAXIFS(nrMK_Date,nrMK_Link,$B497,nrMK_Credit,"Yes"),"mm/dd"),""),"OPEN"))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IF(OR($B498="",N($I498)=0),"",SUMIFS(nrMK_Min,nrMK_Link,$B498,nrMK_Credit,"Yes"))</f>
        <v/>
      </c>
      <c r="Q498" s="17">
        <f>IF(OR($B498="",N($J498)=0),"",SUMIFS(nrMK_Sess,nrMK_Link,$B498,nrMK_Credit,"Yes"))</f>
        <v/>
      </c>
      <c r="R498" s="17">
        <f>IF(OR($B498="",$N498&lt;&gt;"Yes"),"",IF(N($I498)&gt;0,N($I498)-N($P498),IF(N($J498)&gt;0,N($J498)-N($Q498),"")))</f>
        <v/>
      </c>
      <c r="S498" s="17">
        <f>IF(OR($B498="",$R498=""),"",IF($R498&lt;=0,"CLEARED "&amp;IFERROR(TEXT(_xlfn.MAXIFS(nrMK_Date,nrMK_Link,$B498,nrMK_Credit,"Yes"),"mm/dd"),""),"OPEN"))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IF(OR($B499="",N($I499)=0),"",SUMIFS(nrMK_Min,nrMK_Link,$B499,nrMK_Credit,"Yes"))</f>
        <v/>
      </c>
      <c r="Q499" s="17">
        <f>IF(OR($B499="",N($J499)=0),"",SUMIFS(nrMK_Sess,nrMK_Link,$B499,nrMK_Credit,"Yes"))</f>
        <v/>
      </c>
      <c r="R499" s="17">
        <f>IF(OR($B499="",$N499&lt;&gt;"Yes"),"",IF(N($I499)&gt;0,N($I499)-N($P499),IF(N($J499)&gt;0,N($J499)-N($Q499),"")))</f>
        <v/>
      </c>
      <c r="S499" s="17">
        <f>IF(OR($B499="",$R499=""),"",IF($R499&lt;=0,"CLEARED "&amp;IFERROR(TEXT(_xlfn.MAXIFS(nrMK_Date,nrMK_Link,$B499,nrMK_Credit,"Yes"),"mm/dd"),""),"OPEN"))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IF(OR($B500="",N($I500)=0),"",SUMIFS(nrMK_Min,nrMK_Link,$B500,nrMK_Credit,"Yes"))</f>
        <v/>
      </c>
      <c r="Q500" s="17">
        <f>IF(OR($B500="",N($J500)=0),"",SUMIFS(nrMK_Sess,nrMK_Link,$B500,nrMK_Credit,"Yes"))</f>
        <v/>
      </c>
      <c r="R500" s="17">
        <f>IF(OR($B500="",$N500&lt;&gt;"Yes"),"",IF(N($I500)&gt;0,N($I500)-N($P500),IF(N($J500)&gt;0,N($J500)-N($Q500),"")))</f>
        <v/>
      </c>
      <c r="S500" s="17">
        <f>IF(OR($B500="",$R500=""),"",IF($R500&lt;=0,"CLEARED "&amp;IFERROR(TEXT(_xlfn.MAXIFS(nrMK_Date,nrMK_Link,$B500,nrMK_Credit,"Yes"),"mm/dd"),""),"OPEN"))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IF(OR($B501="",N($I501)=0),"",SUMIFS(nrMK_Min,nrMK_Link,$B501,nrMK_Credit,"Yes"))</f>
        <v/>
      </c>
      <c r="Q501" s="17">
        <f>IF(OR($B501="",N($J501)=0),"",SUMIFS(nrMK_Sess,nrMK_Link,$B501,nrMK_Credit,"Yes"))</f>
        <v/>
      </c>
      <c r="R501" s="17">
        <f>IF(OR($B501="",$N501&lt;&gt;"Yes"),"",IF(N($I501)&gt;0,N($I501)-N($P501),IF(N($J501)&gt;0,N($J501)-N($Q501),"")))</f>
        <v/>
      </c>
      <c r="S501" s="17">
        <f>IF(OR($B501="",$R501=""),"",IF($R501&lt;=0,"CLEARED "&amp;IFERROR(TEXT(_xlfn.MAXIFS(nrMK_Date,nrMK_Link,$B501,nrMK_Credit,"Yes"),"mm/dd"),""),"OPEN"))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IF(OR($B502="",N($I502)=0),"",SUMIFS(nrMK_Min,nrMK_Link,$B502,nrMK_Credit,"Yes"))</f>
        <v/>
      </c>
      <c r="Q502" s="17">
        <f>IF(OR($B502="",N($J502)=0),"",SUMIFS(nrMK_Sess,nrMK_Link,$B502,nrMK_Credit,"Yes"))</f>
        <v/>
      </c>
      <c r="R502" s="17">
        <f>IF(OR($B502="",$N502&lt;&gt;"Yes"),"",IF(N($I502)&gt;0,N($I502)-N($P502),IF(N($J502)&gt;0,N($J502)-N($Q502),"")))</f>
        <v/>
      </c>
      <c r="S502" s="17">
        <f>IF(OR($B502="",$R502=""),"",IF($R502&lt;=0,"CLEARED "&amp;IFERROR(TEXT(_xlfn.MAXIFS(nrMK_Date,nrMK_Link,$B502,nrMK_Credit,"Yes"),"mm/dd"),""),"OPEN"))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IF(OR($B503="",N($I503)=0),"",SUMIFS(nrMK_Min,nrMK_Link,$B503,nrMK_Credit,"Yes"))</f>
        <v/>
      </c>
      <c r="Q503" s="17">
        <f>IF(OR($B503="",N($J503)=0),"",SUMIFS(nrMK_Sess,nrMK_Link,$B503,nrMK_Credit,"Yes"))</f>
        <v/>
      </c>
      <c r="R503" s="17">
        <f>IF(OR($B503="",$N503&lt;&gt;"Yes"),"",IF(N($I503)&gt;0,N($I503)-N($P503),IF(N($J503)&gt;0,N($J503)-N($Q503),"")))</f>
        <v/>
      </c>
      <c r="S503" s="17">
        <f>IF(OR($B503="",$R503=""),"",IF($R503&lt;=0,"CLEARED "&amp;IFERROR(TEXT(_xlfn.MAXIFS(nrMK_Date,nrMK_Link,$B503,nrMK_Credit,"Yes"),"mm/dd"),""),"OPEN"))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IF(OR($B504="",N($I504)=0),"",SUMIFS(nrMK_Min,nrMK_Link,$B504,nrMK_Credit,"Yes"))</f>
        <v/>
      </c>
      <c r="Q504" s="17">
        <f>IF(OR($B504="",N($J504)=0),"",SUMIFS(nrMK_Sess,nrMK_Link,$B504,nrMK_Credit,"Yes"))</f>
        <v/>
      </c>
      <c r="R504" s="17">
        <f>IF(OR($B504="",$N504&lt;&gt;"Yes"),"",IF(N($I504)&gt;0,N($I504)-N($P504),IF(N($J504)&gt;0,N($J504)-N($Q504),"")))</f>
        <v/>
      </c>
      <c r="S504" s="17">
        <f>IF(OR($B504="",$R504=""),"",IF($R504&lt;=0,"CLEARED "&amp;IFERROR(TEXT(_xlfn.MAXIFS(nrMK_Date,nrMK_Link,$B504,nrMK_Credit,"Yes"),"mm/dd"),""),"OPEN"))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IF(OR($B505="",N($I505)=0),"",SUMIFS(nrMK_Min,nrMK_Link,$B505,nrMK_Credit,"Yes"))</f>
        <v/>
      </c>
      <c r="Q505" s="17">
        <f>IF(OR($B505="",N($J505)=0),"",SUMIFS(nrMK_Sess,nrMK_Link,$B505,nrMK_Credit,"Yes"))</f>
        <v/>
      </c>
      <c r="R505" s="17">
        <f>IF(OR($B505="",$N505&lt;&gt;"Yes"),"",IF(N($I505)&gt;0,N($I505)-N($P505),IF(N($J505)&gt;0,N($J505)-N($Q505),"")))</f>
        <v/>
      </c>
      <c r="S505" s="17">
        <f>IF(OR($B505="",$R505=""),"",IF($R505&lt;=0,"CLEARED "&amp;IFERROR(TEXT(_xlfn.MAXIFS(nrMK_Date,nrMK_Link,$B505,nrMK_Credit,"Yes"),"mm/dd"),""),"OPEN"))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IF(OR($B506="",N($I506)=0),"",SUMIFS(nrMK_Min,nrMK_Link,$B506,nrMK_Credit,"Yes"))</f>
        <v/>
      </c>
      <c r="Q506" s="17">
        <f>IF(OR($B506="",N($J506)=0),"",SUMIFS(nrMK_Sess,nrMK_Link,$B506,nrMK_Credit,"Yes"))</f>
        <v/>
      </c>
      <c r="R506" s="17">
        <f>IF(OR($B506="",$N506&lt;&gt;"Yes"),"",IF(N($I506)&gt;0,N($I506)-N($P506),IF(N($J506)&gt;0,N($J506)-N($Q506),"")))</f>
        <v/>
      </c>
      <c r="S506" s="17">
        <f>IF(OR($B506="",$R506=""),"",IF($R506&lt;=0,"CLEARED "&amp;IFERROR(TEXT(_xlfn.MAXIFS(nrMK_Date,nrMK_Link,$B506,nrMK_Credit,"Yes"),"mm/dd"),""),"OPEN"))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IF(OR($B507="",N($I507)=0),"",SUMIFS(nrMK_Min,nrMK_Link,$B507,nrMK_Credit,"Yes"))</f>
        <v/>
      </c>
      <c r="Q507" s="17">
        <f>IF(OR($B507="",N($J507)=0),"",SUMIFS(nrMK_Sess,nrMK_Link,$B507,nrMK_Credit,"Yes"))</f>
        <v/>
      </c>
      <c r="R507" s="17">
        <f>IF(OR($B507="",$N507&lt;&gt;"Yes"),"",IF(N($I507)&gt;0,N($I507)-N($P507),IF(N($J507)&gt;0,N($J507)-N($Q507),"")))</f>
        <v/>
      </c>
      <c r="S507" s="17">
        <f>IF(OR($B507="",$R507=""),"",IF($R507&lt;=0,"CLEARED "&amp;IFERROR(TEXT(_xlfn.MAXIFS(nrMK_Date,nrMK_Link,$B507,nrMK_Credit,"Yes"),"mm/dd"),""),"OPEN"))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IF(OR($B508="",N($I508)=0),"",SUMIFS(nrMK_Min,nrMK_Link,$B508,nrMK_Credit,"Yes"))</f>
        <v/>
      </c>
      <c r="Q508" s="17">
        <f>IF(OR($B508="",N($J508)=0),"",SUMIFS(nrMK_Sess,nrMK_Link,$B508,nrMK_Credit,"Yes"))</f>
        <v/>
      </c>
      <c r="R508" s="17">
        <f>IF(OR($B508="",$N508&lt;&gt;"Yes"),"",IF(N($I508)&gt;0,N($I508)-N($P508),IF(N($J508)&gt;0,N($J508)-N($Q508),"")))</f>
        <v/>
      </c>
      <c r="S508" s="17">
        <f>IF(OR($B508="",$R508=""),"",IF($R508&lt;=0,"CLEARED "&amp;IFERROR(TEXT(_xlfn.MAXIFS(nrMK_Date,nrMK_Link,$B508,nrMK_Credit,"Yes"),"mm/dd"),""),"OPEN"))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IF(OR($B509="",N($I509)=0),"",SUMIFS(nrMK_Min,nrMK_Link,$B509,nrMK_Credit,"Yes"))</f>
        <v/>
      </c>
      <c r="Q509" s="17">
        <f>IF(OR($B509="",N($J509)=0),"",SUMIFS(nrMK_Sess,nrMK_Link,$B509,nrMK_Credit,"Yes"))</f>
        <v/>
      </c>
      <c r="R509" s="17">
        <f>IF(OR($B509="",$N509&lt;&gt;"Yes"),"",IF(N($I509)&gt;0,N($I509)-N($P509),IF(N($J509)&gt;0,N($J509)-N($Q509),"")))</f>
        <v/>
      </c>
      <c r="S509" s="17">
        <f>IF(OR($B509="",$R509=""),"",IF($R509&lt;=0,"CLEARED "&amp;IFERROR(TEXT(_xlfn.MAXIFS(nrMK_Date,nrMK_Link,$B509,nrMK_Credit,"Yes"),"mm/dd"),""),"OPEN"))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IF(OR($B510="",N($I510)=0),"",SUMIFS(nrMK_Min,nrMK_Link,$B510,nrMK_Credit,"Yes"))</f>
        <v/>
      </c>
      <c r="Q510" s="17">
        <f>IF(OR($B510="",N($J510)=0),"",SUMIFS(nrMK_Sess,nrMK_Link,$B510,nrMK_Credit,"Yes"))</f>
        <v/>
      </c>
      <c r="R510" s="17">
        <f>IF(OR($B510="",$N510&lt;&gt;"Yes"),"",IF(N($I510)&gt;0,N($I510)-N($P510),IF(N($J510)&gt;0,N($J510)-N($Q510),"")))</f>
        <v/>
      </c>
      <c r="S510" s="17">
        <f>IF(OR($B510="",$R510=""),"",IF($R510&lt;=0,"CLEARED "&amp;IFERROR(TEXT(_xlfn.MAXIFS(nrMK_Date,nrMK_Link,$B510,nrMK_Credit,"Yes"),"mm/dd"),""),"OPEN"))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IF(OR($B511="",N($I511)=0),"",SUMIFS(nrMK_Min,nrMK_Link,$B511,nrMK_Credit,"Yes"))</f>
        <v/>
      </c>
      <c r="Q511" s="17">
        <f>IF(OR($B511="",N($J511)=0),"",SUMIFS(nrMK_Sess,nrMK_Link,$B511,nrMK_Credit,"Yes"))</f>
        <v/>
      </c>
      <c r="R511" s="17">
        <f>IF(OR($B511="",$N511&lt;&gt;"Yes"),"",IF(N($I511)&gt;0,N($I511)-N($P511),IF(N($J511)&gt;0,N($J511)-N($Q511),"")))</f>
        <v/>
      </c>
      <c r="S511" s="17">
        <f>IF(OR($B511="",$R511=""),"",IF($R511&lt;=0,"CLEARED "&amp;IFERROR(TEXT(_xlfn.MAXIFS(nrMK_Date,nrMK_Link,$B511,nrMK_Credit,"Yes"),"mm/dd"),""),"OPEN"))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IF(OR($B512="",N($I512)=0),"",SUMIFS(nrMK_Min,nrMK_Link,$B512,nrMK_Credit,"Yes"))</f>
        <v/>
      </c>
      <c r="Q512" s="17">
        <f>IF(OR($B512="",N($J512)=0),"",SUMIFS(nrMK_Sess,nrMK_Link,$B512,nrMK_Credit,"Yes"))</f>
        <v/>
      </c>
      <c r="R512" s="17">
        <f>IF(OR($B512="",$N512&lt;&gt;"Yes"),"",IF(N($I512)&gt;0,N($I512)-N($P512),IF(N($J512)&gt;0,N($J512)-N($Q512),"")))</f>
        <v/>
      </c>
      <c r="S512" s="17">
        <f>IF(OR($B512="",$R512=""),"",IF($R512&lt;=0,"CLEARED "&amp;IFERROR(TEXT(_xlfn.MAXIFS(nrMK_Date,nrMK_Link,$B512,nrMK_Credit,"Yes"),"mm/dd"),""),"OPEN"))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IF(OR($B513="",N($I513)=0),"",SUMIFS(nrMK_Min,nrMK_Link,$B513,nrMK_Credit,"Yes"))</f>
        <v/>
      </c>
      <c r="Q513" s="17">
        <f>IF(OR($B513="",N($J513)=0),"",SUMIFS(nrMK_Sess,nrMK_Link,$B513,nrMK_Credit,"Yes"))</f>
        <v/>
      </c>
      <c r="R513" s="17">
        <f>IF(OR($B513="",$N513&lt;&gt;"Yes"),"",IF(N($I513)&gt;0,N($I513)-N($P513),IF(N($J513)&gt;0,N($J513)-N($Q513),"")))</f>
        <v/>
      </c>
      <c r="S513" s="17">
        <f>IF(OR($B513="",$R513=""),"",IF($R513&lt;=0,"CLEARED "&amp;IFERROR(TEXT(_xlfn.MAXIFS(nrMK_Date,nrMK_Link,$B513,nrMK_Credit,"Yes"),"mm/dd"),""),"OPEN"))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IF(OR($B514="",N($I514)=0),"",SUMIFS(nrMK_Min,nrMK_Link,$B514,nrMK_Credit,"Yes"))</f>
        <v/>
      </c>
      <c r="Q514" s="17">
        <f>IF(OR($B514="",N($J514)=0),"",SUMIFS(nrMK_Sess,nrMK_Link,$B514,nrMK_Credit,"Yes"))</f>
        <v/>
      </c>
      <c r="R514" s="17">
        <f>IF(OR($B514="",$N514&lt;&gt;"Yes"),"",IF(N($I514)&gt;0,N($I514)-N($P514),IF(N($J514)&gt;0,N($J514)-N($Q514),"")))</f>
        <v/>
      </c>
      <c r="S514" s="17">
        <f>IF(OR($B514="",$R514=""),"",IF($R514&lt;=0,"CLEARED "&amp;IFERROR(TEXT(_xlfn.MAXIFS(nrMK_Date,nrMK_Link,$B514,nrMK_Credit,"Yes"),"mm/dd"),""),"OPEN"))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IF(OR($B515="",N($I515)=0),"",SUMIFS(nrMK_Min,nrMK_Link,$B515,nrMK_Credit,"Yes"))</f>
        <v/>
      </c>
      <c r="Q515" s="17">
        <f>IF(OR($B515="",N($J515)=0),"",SUMIFS(nrMK_Sess,nrMK_Link,$B515,nrMK_Credit,"Yes"))</f>
        <v/>
      </c>
      <c r="R515" s="17">
        <f>IF(OR($B515="",$N515&lt;&gt;"Yes"),"",IF(N($I515)&gt;0,N($I515)-N($P515),IF(N($J515)&gt;0,N($J515)-N($Q515),"")))</f>
        <v/>
      </c>
      <c r="S515" s="17">
        <f>IF(OR($B515="",$R515=""),"",IF($R515&lt;=0,"CLEARED "&amp;IFERROR(TEXT(_xlfn.MAXIFS(nrMK_Date,nrMK_Link,$B515,nrMK_Credit,"Yes"),"mm/dd"),""),"OPEN"))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IF(OR($B516="",N($I516)=0),"",SUMIFS(nrMK_Min,nrMK_Link,$B516,nrMK_Credit,"Yes"))</f>
        <v/>
      </c>
      <c r="Q516" s="17">
        <f>IF(OR($B516="",N($J516)=0),"",SUMIFS(nrMK_Sess,nrMK_Link,$B516,nrMK_Credit,"Yes"))</f>
        <v/>
      </c>
      <c r="R516" s="17">
        <f>IF(OR($B516="",$N516&lt;&gt;"Yes"),"",IF(N($I516)&gt;0,N($I516)-N($P516),IF(N($J516)&gt;0,N($J516)-N($Q516),"")))</f>
        <v/>
      </c>
      <c r="S516" s="17">
        <f>IF(OR($B516="",$R516=""),"",IF($R516&lt;=0,"CLEARED "&amp;IFERROR(TEXT(_xlfn.MAXIFS(nrMK_Date,nrMK_Link,$B516,nrMK_Credit,"Yes"),"mm/dd"),""),"OPEN"))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IF(OR($B517="",N($I517)=0),"",SUMIFS(nrMK_Min,nrMK_Link,$B517,nrMK_Credit,"Yes"))</f>
        <v/>
      </c>
      <c r="Q517" s="17">
        <f>IF(OR($B517="",N($J517)=0),"",SUMIFS(nrMK_Sess,nrMK_Link,$B517,nrMK_Credit,"Yes"))</f>
        <v/>
      </c>
      <c r="R517" s="17">
        <f>IF(OR($B517="",$N517&lt;&gt;"Yes"),"",IF(N($I517)&gt;0,N($I517)-N($P517),IF(N($J517)&gt;0,N($J517)-N($Q517),"")))</f>
        <v/>
      </c>
      <c r="S517" s="17">
        <f>IF(OR($B517="",$R517=""),"",IF($R517&lt;=0,"CLEARED "&amp;IFERROR(TEXT(_xlfn.MAXIFS(nrMK_Date,nrMK_Link,$B517,nrMK_Credit,"Yes"),"mm/dd"),""),"OPEN"))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IF(OR($B518="",N($I518)=0),"",SUMIFS(nrMK_Min,nrMK_Link,$B518,nrMK_Credit,"Yes"))</f>
        <v/>
      </c>
      <c r="Q518" s="17">
        <f>IF(OR($B518="",N($J518)=0),"",SUMIFS(nrMK_Sess,nrMK_Link,$B518,nrMK_Credit,"Yes"))</f>
        <v/>
      </c>
      <c r="R518" s="17">
        <f>IF(OR($B518="",$N518&lt;&gt;"Yes"),"",IF(N($I518)&gt;0,N($I518)-N($P518),IF(N($J518)&gt;0,N($J518)-N($Q518),"")))</f>
        <v/>
      </c>
      <c r="S518" s="17">
        <f>IF(OR($B518="",$R518=""),"",IF($R518&lt;=0,"CLEARED "&amp;IFERROR(TEXT(_xlfn.MAXIFS(nrMK_Date,nrMK_Link,$B518,nrMK_Credit,"Yes"),"mm/dd"),""),"OPEN"))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IF(OR($B519="",N($I519)=0),"",SUMIFS(nrMK_Min,nrMK_Link,$B519,nrMK_Credit,"Yes"))</f>
        <v/>
      </c>
      <c r="Q519" s="17">
        <f>IF(OR($B519="",N($J519)=0),"",SUMIFS(nrMK_Sess,nrMK_Link,$B519,nrMK_Credit,"Yes"))</f>
        <v/>
      </c>
      <c r="R519" s="17">
        <f>IF(OR($B519="",$N519&lt;&gt;"Yes"),"",IF(N($I519)&gt;0,N($I519)-N($P519),IF(N($J519)&gt;0,N($J519)-N($Q519),"")))</f>
        <v/>
      </c>
      <c r="S519" s="17">
        <f>IF(OR($B519="",$R519=""),"",IF($R519&lt;=0,"CLEARED "&amp;IFERROR(TEXT(_xlfn.MAXIFS(nrMK_Date,nrMK_Link,$B519,nrMK_Credit,"Yes"),"mm/dd"),""),"OPEN"))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IF(OR($B520="",N($I520)=0),"",SUMIFS(nrMK_Min,nrMK_Link,$B520,nrMK_Credit,"Yes"))</f>
        <v/>
      </c>
      <c r="Q520" s="17">
        <f>IF(OR($B520="",N($J520)=0),"",SUMIFS(nrMK_Sess,nrMK_Link,$B520,nrMK_Credit,"Yes"))</f>
        <v/>
      </c>
      <c r="R520" s="17">
        <f>IF(OR($B520="",$N520&lt;&gt;"Yes"),"",IF(N($I520)&gt;0,N($I520)-N($P520),IF(N($J520)&gt;0,N($J520)-N($Q520),"")))</f>
        <v/>
      </c>
      <c r="S520" s="17">
        <f>IF(OR($B520="",$R520=""),"",IF($R520&lt;=0,"CLEARED "&amp;IFERROR(TEXT(_xlfn.MAXIFS(nrMK_Date,nrMK_Link,$B520,nrMK_Credit,"Yes"),"mm/dd"),""),"OPEN"))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IF(OR($B521="",N($I521)=0),"",SUMIFS(nrMK_Min,nrMK_Link,$B521,nrMK_Credit,"Yes"))</f>
        <v/>
      </c>
      <c r="Q521" s="17">
        <f>IF(OR($B521="",N($J521)=0),"",SUMIFS(nrMK_Sess,nrMK_Link,$B521,nrMK_Credit,"Yes"))</f>
        <v/>
      </c>
      <c r="R521" s="17">
        <f>IF(OR($B521="",$N521&lt;&gt;"Yes"),"",IF(N($I521)&gt;0,N($I521)-N($P521),IF(N($J521)&gt;0,N($J521)-N($Q521),"")))</f>
        <v/>
      </c>
      <c r="S521" s="17">
        <f>IF(OR($B521="",$R521=""),"",IF($R521&lt;=0,"CLEARED "&amp;IFERROR(TEXT(_xlfn.MAXIFS(nrMK_Date,nrMK_Link,$B521,nrMK_Credit,"Yes"),"mm/dd"),""),"OPEN"))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IF(OR($B522="",N($I522)=0),"",SUMIFS(nrMK_Min,nrMK_Link,$B522,nrMK_Credit,"Yes"))</f>
        <v/>
      </c>
      <c r="Q522" s="17">
        <f>IF(OR($B522="",N($J522)=0),"",SUMIFS(nrMK_Sess,nrMK_Link,$B522,nrMK_Credit,"Yes"))</f>
        <v/>
      </c>
      <c r="R522" s="17">
        <f>IF(OR($B522="",$N522&lt;&gt;"Yes"),"",IF(N($I522)&gt;0,N($I522)-N($P522),IF(N($J522)&gt;0,N($J522)-N($Q522),"")))</f>
        <v/>
      </c>
      <c r="S522" s="17">
        <f>IF(OR($B522="",$R522=""),"",IF($R522&lt;=0,"CLEARED "&amp;IFERROR(TEXT(_xlfn.MAXIFS(nrMK_Date,nrMK_Link,$B522,nrMK_Credit,"Yes"),"mm/dd"),""),"OPEN"))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IF(OR($B523="",N($I523)=0),"",SUMIFS(nrMK_Min,nrMK_Link,$B523,nrMK_Credit,"Yes"))</f>
        <v/>
      </c>
      <c r="Q523" s="17">
        <f>IF(OR($B523="",N($J523)=0),"",SUMIFS(nrMK_Sess,nrMK_Link,$B523,nrMK_Credit,"Yes"))</f>
        <v/>
      </c>
      <c r="R523" s="17">
        <f>IF(OR($B523="",$N523&lt;&gt;"Yes"),"",IF(N($I523)&gt;0,N($I523)-N($P523),IF(N($J523)&gt;0,N($J523)-N($Q523),"")))</f>
        <v/>
      </c>
      <c r="S523" s="17">
        <f>IF(OR($B523="",$R523=""),"",IF($R523&lt;=0,"CLEARED "&amp;IFERROR(TEXT(_xlfn.MAXIFS(nrMK_Date,nrMK_Link,$B523,nrMK_Credit,"Yes"),"mm/dd"),""),"OPEN"))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IF(OR($B524="",N($I524)=0),"",SUMIFS(nrMK_Min,nrMK_Link,$B524,nrMK_Credit,"Yes"))</f>
        <v/>
      </c>
      <c r="Q524" s="17">
        <f>IF(OR($B524="",N($J524)=0),"",SUMIFS(nrMK_Sess,nrMK_Link,$B524,nrMK_Credit,"Yes"))</f>
        <v/>
      </c>
      <c r="R524" s="17">
        <f>IF(OR($B524="",$N524&lt;&gt;"Yes"),"",IF(N($I524)&gt;0,N($I524)-N($P524),IF(N($J524)&gt;0,N($J524)-N($Q524),"")))</f>
        <v/>
      </c>
      <c r="S524" s="17">
        <f>IF(OR($B524="",$R524=""),"",IF($R524&lt;=0,"CLEARED "&amp;IFERROR(TEXT(_xlfn.MAXIFS(nrMK_Date,nrMK_Link,$B524,nrMK_Credit,"Yes"),"mm/dd"),""),"OPEN"))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IF(OR($B525="",N($I525)=0),"",SUMIFS(nrMK_Min,nrMK_Link,$B525,nrMK_Credit,"Yes"))</f>
        <v/>
      </c>
      <c r="Q525" s="17">
        <f>IF(OR($B525="",N($J525)=0),"",SUMIFS(nrMK_Sess,nrMK_Link,$B525,nrMK_Credit,"Yes"))</f>
        <v/>
      </c>
      <c r="R525" s="17">
        <f>IF(OR($B525="",$N525&lt;&gt;"Yes"),"",IF(N($I525)&gt;0,N($I525)-N($P525),IF(N($J525)&gt;0,N($J525)-N($Q525),"")))</f>
        <v/>
      </c>
      <c r="S525" s="17">
        <f>IF(OR($B525="",$R525=""),"",IF($R525&lt;=0,"CLEARED "&amp;IFERROR(TEXT(_xlfn.MAXIFS(nrMK_Date,nrMK_Link,$B525,nrMK_Credit,"Yes"),"mm/dd"),""),"OPEN"))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IF(OR($B526="",N($I526)=0),"",SUMIFS(nrMK_Min,nrMK_Link,$B526,nrMK_Credit,"Yes"))</f>
        <v/>
      </c>
      <c r="Q526" s="17">
        <f>IF(OR($B526="",N($J526)=0),"",SUMIFS(nrMK_Sess,nrMK_Link,$B526,nrMK_Credit,"Yes"))</f>
        <v/>
      </c>
      <c r="R526" s="17">
        <f>IF(OR($B526="",$N526&lt;&gt;"Yes"),"",IF(N($I526)&gt;0,N($I526)-N($P526),IF(N($J526)&gt;0,N($J526)-N($Q526),"")))</f>
        <v/>
      </c>
      <c r="S526" s="17">
        <f>IF(OR($B526="",$R526=""),"",IF($R526&lt;=0,"CLEARED "&amp;IFERROR(TEXT(_xlfn.MAXIFS(nrMK_Date,nrMK_Link,$B526,nrMK_Credit,"Yes"),"mm/dd"),""),"OPEN"))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IF(OR($B527="",N($I527)=0),"",SUMIFS(nrMK_Min,nrMK_Link,$B527,nrMK_Credit,"Yes"))</f>
        <v/>
      </c>
      <c r="Q527" s="17">
        <f>IF(OR($B527="",N($J527)=0),"",SUMIFS(nrMK_Sess,nrMK_Link,$B527,nrMK_Credit,"Yes"))</f>
        <v/>
      </c>
      <c r="R527" s="17">
        <f>IF(OR($B527="",$N527&lt;&gt;"Yes"),"",IF(N($I527)&gt;0,N($I527)-N($P527),IF(N($J527)&gt;0,N($J527)-N($Q527),"")))</f>
        <v/>
      </c>
      <c r="S527" s="17">
        <f>IF(OR($B527="",$R527=""),"",IF($R527&lt;=0,"CLEARED "&amp;IFERROR(TEXT(_xlfn.MAXIFS(nrMK_Date,nrMK_Link,$B527,nrMK_Credit,"Yes"),"mm/dd"),""),"OPEN"))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IF(OR($B528="",N($I528)=0),"",SUMIFS(nrMK_Min,nrMK_Link,$B528,nrMK_Credit,"Yes"))</f>
        <v/>
      </c>
      <c r="Q528" s="17">
        <f>IF(OR($B528="",N($J528)=0),"",SUMIFS(nrMK_Sess,nrMK_Link,$B528,nrMK_Credit,"Yes"))</f>
        <v/>
      </c>
      <c r="R528" s="17">
        <f>IF(OR($B528="",$N528&lt;&gt;"Yes"),"",IF(N($I528)&gt;0,N($I528)-N($P528),IF(N($J528)&gt;0,N($J528)-N($Q528),"")))</f>
        <v/>
      </c>
      <c r="S528" s="17">
        <f>IF(OR($B528="",$R528=""),"",IF($R528&lt;=0,"CLEARED "&amp;IFERROR(TEXT(_xlfn.MAXIFS(nrMK_Date,nrMK_Link,$B528,nrMK_Credit,"Yes"),"mm/dd"),""),"OPEN"))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IF(OR($B529="",N($I529)=0),"",SUMIFS(nrMK_Min,nrMK_Link,$B529,nrMK_Credit,"Yes"))</f>
        <v/>
      </c>
      <c r="Q529" s="17">
        <f>IF(OR($B529="",N($J529)=0),"",SUMIFS(nrMK_Sess,nrMK_Link,$B529,nrMK_Credit,"Yes"))</f>
        <v/>
      </c>
      <c r="R529" s="17">
        <f>IF(OR($B529="",$N529&lt;&gt;"Yes"),"",IF(N($I529)&gt;0,N($I529)-N($P529),IF(N($J529)&gt;0,N($J529)-N($Q529),"")))</f>
        <v/>
      </c>
      <c r="S529" s="17">
        <f>IF(OR($B529="",$R529=""),"",IF($R529&lt;=0,"CLEARED "&amp;IFERROR(TEXT(_xlfn.MAXIFS(nrMK_Date,nrMK_Link,$B529,nrMK_Credit,"Yes"),"mm/dd"),""),"OPEN"))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IF(OR($B530="",N($I530)=0),"",SUMIFS(nrMK_Min,nrMK_Link,$B530,nrMK_Credit,"Yes"))</f>
        <v/>
      </c>
      <c r="Q530" s="17">
        <f>IF(OR($B530="",N($J530)=0),"",SUMIFS(nrMK_Sess,nrMK_Link,$B530,nrMK_Credit,"Yes"))</f>
        <v/>
      </c>
      <c r="R530" s="17">
        <f>IF(OR($B530="",$N530&lt;&gt;"Yes"),"",IF(N($I530)&gt;0,N($I530)-N($P530),IF(N($J530)&gt;0,N($J530)-N($Q530),"")))</f>
        <v/>
      </c>
      <c r="S530" s="17">
        <f>IF(OR($B530="",$R530=""),"",IF($R530&lt;=0,"CLEARED "&amp;IFERROR(TEXT(_xlfn.MAXIFS(nrMK_Date,nrMK_Link,$B530,nrMK_Credit,"Yes"),"mm/dd"),""),"OPEN"))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IF(OR($B531="",N($I531)=0),"",SUMIFS(nrMK_Min,nrMK_Link,$B531,nrMK_Credit,"Yes"))</f>
        <v/>
      </c>
      <c r="Q531" s="17">
        <f>IF(OR($B531="",N($J531)=0),"",SUMIFS(nrMK_Sess,nrMK_Link,$B531,nrMK_Credit,"Yes"))</f>
        <v/>
      </c>
      <c r="R531" s="17">
        <f>IF(OR($B531="",$N531&lt;&gt;"Yes"),"",IF(N($I531)&gt;0,N($I531)-N($P531),IF(N($J531)&gt;0,N($J531)-N($Q531),"")))</f>
        <v/>
      </c>
      <c r="S531" s="17">
        <f>IF(OR($B531="",$R531=""),"",IF($R531&lt;=0,"CLEARED "&amp;IFERROR(TEXT(_xlfn.MAXIFS(nrMK_Date,nrMK_Link,$B531,nrMK_Credit,"Yes"),"mm/dd"),""),"OPEN"))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IF(OR($B532="",N($I532)=0),"",SUMIFS(nrMK_Min,nrMK_Link,$B532,nrMK_Credit,"Yes"))</f>
        <v/>
      </c>
      <c r="Q532" s="17">
        <f>IF(OR($B532="",N($J532)=0),"",SUMIFS(nrMK_Sess,nrMK_Link,$B532,nrMK_Credit,"Yes"))</f>
        <v/>
      </c>
      <c r="R532" s="17">
        <f>IF(OR($B532="",$N532&lt;&gt;"Yes"),"",IF(N($I532)&gt;0,N($I532)-N($P532),IF(N($J532)&gt;0,N($J532)-N($Q532),"")))</f>
        <v/>
      </c>
      <c r="S532" s="17">
        <f>IF(OR($B532="",$R532=""),"",IF($R532&lt;=0,"CLEARED "&amp;IFERROR(TEXT(_xlfn.MAXIFS(nrMK_Date,nrMK_Link,$B532,nrMK_Credit,"Yes"),"mm/dd"),""),"OPEN"))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IF(OR($B533="",N($I533)=0),"",SUMIFS(nrMK_Min,nrMK_Link,$B533,nrMK_Credit,"Yes"))</f>
        <v/>
      </c>
      <c r="Q533" s="17">
        <f>IF(OR($B533="",N($J533)=0),"",SUMIFS(nrMK_Sess,nrMK_Link,$B533,nrMK_Credit,"Yes"))</f>
        <v/>
      </c>
      <c r="R533" s="17">
        <f>IF(OR($B533="",$N533&lt;&gt;"Yes"),"",IF(N($I533)&gt;0,N($I533)-N($P533),IF(N($J533)&gt;0,N($J533)-N($Q533),"")))</f>
        <v/>
      </c>
      <c r="S533" s="17">
        <f>IF(OR($B533="",$R533=""),"",IF($R533&lt;=0,"CLEARED "&amp;IFERROR(TEXT(_xlfn.MAXIFS(nrMK_Date,nrMK_Link,$B533,nrMK_Credit,"Yes"),"mm/dd"),""),"OPEN"))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IF(OR($B534="",N($I534)=0),"",SUMIFS(nrMK_Min,nrMK_Link,$B534,nrMK_Credit,"Yes"))</f>
        <v/>
      </c>
      <c r="Q534" s="17">
        <f>IF(OR($B534="",N($J534)=0),"",SUMIFS(nrMK_Sess,nrMK_Link,$B534,nrMK_Credit,"Yes"))</f>
        <v/>
      </c>
      <c r="R534" s="17">
        <f>IF(OR($B534="",$N534&lt;&gt;"Yes"),"",IF(N($I534)&gt;0,N($I534)-N($P534),IF(N($J534)&gt;0,N($J534)-N($Q534),"")))</f>
        <v/>
      </c>
      <c r="S534" s="17">
        <f>IF(OR($B534="",$R534=""),"",IF($R534&lt;=0,"CLEARED "&amp;IFERROR(TEXT(_xlfn.MAXIFS(nrMK_Date,nrMK_Link,$B534,nrMK_Credit,"Yes"),"mm/dd"),""),"OPEN"))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IF(OR($B535="",N($I535)=0),"",SUMIFS(nrMK_Min,nrMK_Link,$B535,nrMK_Credit,"Yes"))</f>
        <v/>
      </c>
      <c r="Q535" s="17">
        <f>IF(OR($B535="",N($J535)=0),"",SUMIFS(nrMK_Sess,nrMK_Link,$B535,nrMK_Credit,"Yes"))</f>
        <v/>
      </c>
      <c r="R535" s="17">
        <f>IF(OR($B535="",$N535&lt;&gt;"Yes"),"",IF(N($I535)&gt;0,N($I535)-N($P535),IF(N($J535)&gt;0,N($J535)-N($Q535),"")))</f>
        <v/>
      </c>
      <c r="S535" s="17">
        <f>IF(OR($B535="",$R535=""),"",IF($R535&lt;=0,"CLEARED "&amp;IFERROR(TEXT(_xlfn.MAXIFS(nrMK_Date,nrMK_Link,$B535,nrMK_Credit,"Yes"),"mm/dd"),""),"OPEN"))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IF(OR($B536="",N($I536)=0),"",SUMIFS(nrMK_Min,nrMK_Link,$B536,nrMK_Credit,"Yes"))</f>
        <v/>
      </c>
      <c r="Q536" s="17">
        <f>IF(OR($B536="",N($J536)=0),"",SUMIFS(nrMK_Sess,nrMK_Link,$B536,nrMK_Credit,"Yes"))</f>
        <v/>
      </c>
      <c r="R536" s="17">
        <f>IF(OR($B536="",$N536&lt;&gt;"Yes"),"",IF(N($I536)&gt;0,N($I536)-N($P536),IF(N($J536)&gt;0,N($J536)-N($Q536),"")))</f>
        <v/>
      </c>
      <c r="S536" s="17">
        <f>IF(OR($B536="",$R536=""),"",IF($R536&lt;=0,"CLEARED "&amp;IFERROR(TEXT(_xlfn.MAXIFS(nrMK_Date,nrMK_Link,$B536,nrMK_Credit,"Yes"),"mm/dd"),""),"OPEN"))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IF(OR($B537="",N($I537)=0),"",SUMIFS(nrMK_Min,nrMK_Link,$B537,nrMK_Credit,"Yes"))</f>
        <v/>
      </c>
      <c r="Q537" s="17">
        <f>IF(OR($B537="",N($J537)=0),"",SUMIFS(nrMK_Sess,nrMK_Link,$B537,nrMK_Credit,"Yes"))</f>
        <v/>
      </c>
      <c r="R537" s="17">
        <f>IF(OR($B537="",$N537&lt;&gt;"Yes"),"",IF(N($I537)&gt;0,N($I537)-N($P537),IF(N($J537)&gt;0,N($J537)-N($Q537),"")))</f>
        <v/>
      </c>
      <c r="S537" s="17">
        <f>IF(OR($B537="",$R537=""),"",IF($R537&lt;=0,"CLEARED "&amp;IFERROR(TEXT(_xlfn.MAXIFS(nrMK_Date,nrMK_Link,$B537,nrMK_Credit,"Yes"),"mm/dd"),""),"OPEN"))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IF(OR($B538="",N($I538)=0),"",SUMIFS(nrMK_Min,nrMK_Link,$B538,nrMK_Credit,"Yes"))</f>
        <v/>
      </c>
      <c r="Q538" s="17">
        <f>IF(OR($B538="",N($J538)=0),"",SUMIFS(nrMK_Sess,nrMK_Link,$B538,nrMK_Credit,"Yes"))</f>
        <v/>
      </c>
      <c r="R538" s="17">
        <f>IF(OR($B538="",$N538&lt;&gt;"Yes"),"",IF(N($I538)&gt;0,N($I538)-N($P538),IF(N($J538)&gt;0,N($J538)-N($Q538),"")))</f>
        <v/>
      </c>
      <c r="S538" s="17">
        <f>IF(OR($B538="",$R538=""),"",IF($R538&lt;=0,"CLEARED "&amp;IFERROR(TEXT(_xlfn.MAXIFS(nrMK_Date,nrMK_Link,$B538,nrMK_Credit,"Yes"),"mm/dd"),""),"OPEN"))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IF(OR($B539="",N($I539)=0),"",SUMIFS(nrMK_Min,nrMK_Link,$B539,nrMK_Credit,"Yes"))</f>
        <v/>
      </c>
      <c r="Q539" s="17">
        <f>IF(OR($B539="",N($J539)=0),"",SUMIFS(nrMK_Sess,nrMK_Link,$B539,nrMK_Credit,"Yes"))</f>
        <v/>
      </c>
      <c r="R539" s="17">
        <f>IF(OR($B539="",$N539&lt;&gt;"Yes"),"",IF(N($I539)&gt;0,N($I539)-N($P539),IF(N($J539)&gt;0,N($J539)-N($Q539),"")))</f>
        <v/>
      </c>
      <c r="S539" s="17">
        <f>IF(OR($B539="",$R539=""),"",IF($R539&lt;=0,"CLEARED "&amp;IFERROR(TEXT(_xlfn.MAXIFS(nrMK_Date,nrMK_Link,$B539,nrMK_Credit,"Yes"),"mm/dd"),""),"OPEN"))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IF(OR($B540="",N($I540)=0),"",SUMIFS(nrMK_Min,nrMK_Link,$B540,nrMK_Credit,"Yes"))</f>
        <v/>
      </c>
      <c r="Q540" s="17">
        <f>IF(OR($B540="",N($J540)=0),"",SUMIFS(nrMK_Sess,nrMK_Link,$B540,nrMK_Credit,"Yes"))</f>
        <v/>
      </c>
      <c r="R540" s="17">
        <f>IF(OR($B540="",$N540&lt;&gt;"Yes"),"",IF(N($I540)&gt;0,N($I540)-N($P540),IF(N($J540)&gt;0,N($J540)-N($Q540),"")))</f>
        <v/>
      </c>
      <c r="S540" s="17">
        <f>IF(OR($B540="",$R540=""),"",IF($R540&lt;=0,"CLEARED "&amp;IFERROR(TEXT(_xlfn.MAXIFS(nrMK_Date,nrMK_Link,$B540,nrMK_Credit,"Yes"),"mm/dd"),""),"OPEN"))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IF(OR($B541="",N($I541)=0),"",SUMIFS(nrMK_Min,nrMK_Link,$B541,nrMK_Credit,"Yes"))</f>
        <v/>
      </c>
      <c r="Q541" s="17">
        <f>IF(OR($B541="",N($J541)=0),"",SUMIFS(nrMK_Sess,nrMK_Link,$B541,nrMK_Credit,"Yes"))</f>
        <v/>
      </c>
      <c r="R541" s="17">
        <f>IF(OR($B541="",$N541&lt;&gt;"Yes"),"",IF(N($I541)&gt;0,N($I541)-N($P541),IF(N($J541)&gt;0,N($J541)-N($Q541),"")))</f>
        <v/>
      </c>
      <c r="S541" s="17">
        <f>IF(OR($B541="",$R541=""),"",IF($R541&lt;=0,"CLEARED "&amp;IFERROR(TEXT(_xlfn.MAXIFS(nrMK_Date,nrMK_Link,$B541,nrMK_Credit,"Yes"),"mm/dd"),""),"OPEN"))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IF(OR($B542="",N($I542)=0),"",SUMIFS(nrMK_Min,nrMK_Link,$B542,nrMK_Credit,"Yes"))</f>
        <v/>
      </c>
      <c r="Q542" s="17">
        <f>IF(OR($B542="",N($J542)=0),"",SUMIFS(nrMK_Sess,nrMK_Link,$B542,nrMK_Credit,"Yes"))</f>
        <v/>
      </c>
      <c r="R542" s="17">
        <f>IF(OR($B542="",$N542&lt;&gt;"Yes"),"",IF(N($I542)&gt;0,N($I542)-N($P542),IF(N($J542)&gt;0,N($J542)-N($Q542),"")))</f>
        <v/>
      </c>
      <c r="S542" s="17">
        <f>IF(OR($B542="",$R542=""),"",IF($R542&lt;=0,"CLEARED "&amp;IFERROR(TEXT(_xlfn.MAXIFS(nrMK_Date,nrMK_Link,$B542,nrMK_Credit,"Yes"),"mm/dd"),""),"OPEN"))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IF(OR($B543="",N($I543)=0),"",SUMIFS(nrMK_Min,nrMK_Link,$B543,nrMK_Credit,"Yes"))</f>
        <v/>
      </c>
      <c r="Q543" s="17">
        <f>IF(OR($B543="",N($J543)=0),"",SUMIFS(nrMK_Sess,nrMK_Link,$B543,nrMK_Credit,"Yes"))</f>
        <v/>
      </c>
      <c r="R543" s="17">
        <f>IF(OR($B543="",$N543&lt;&gt;"Yes"),"",IF(N($I543)&gt;0,N($I543)-N($P543),IF(N($J543)&gt;0,N($J543)-N($Q543),"")))</f>
        <v/>
      </c>
      <c r="S543" s="17">
        <f>IF(OR($B543="",$R543=""),"",IF($R543&lt;=0,"CLEARED "&amp;IFERROR(TEXT(_xlfn.MAXIFS(nrMK_Date,nrMK_Link,$B543,nrMK_Credit,"Yes"),"mm/dd"),""),"OPEN"))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IF(OR($B544="",N($I544)=0),"",SUMIFS(nrMK_Min,nrMK_Link,$B544,nrMK_Credit,"Yes"))</f>
        <v/>
      </c>
      <c r="Q544" s="17">
        <f>IF(OR($B544="",N($J544)=0),"",SUMIFS(nrMK_Sess,nrMK_Link,$B544,nrMK_Credit,"Yes"))</f>
        <v/>
      </c>
      <c r="R544" s="17">
        <f>IF(OR($B544="",$N544&lt;&gt;"Yes"),"",IF(N($I544)&gt;0,N($I544)-N($P544),IF(N($J544)&gt;0,N($J544)-N($Q544),"")))</f>
        <v/>
      </c>
      <c r="S544" s="17">
        <f>IF(OR($B544="",$R544=""),"",IF($R544&lt;=0,"CLEARED "&amp;IFERROR(TEXT(_xlfn.MAXIFS(nrMK_Date,nrMK_Link,$B544,nrMK_Credit,"Yes"),"mm/dd"),""),"OPEN"))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IF(OR($B545="",N($I545)=0),"",SUMIFS(nrMK_Min,nrMK_Link,$B545,nrMK_Credit,"Yes"))</f>
        <v/>
      </c>
      <c r="Q545" s="17">
        <f>IF(OR($B545="",N($J545)=0),"",SUMIFS(nrMK_Sess,nrMK_Link,$B545,nrMK_Credit,"Yes"))</f>
        <v/>
      </c>
      <c r="R545" s="17">
        <f>IF(OR($B545="",$N545&lt;&gt;"Yes"),"",IF(N($I545)&gt;0,N($I545)-N($P545),IF(N($J545)&gt;0,N($J545)-N($Q545),"")))</f>
        <v/>
      </c>
      <c r="S545" s="17">
        <f>IF(OR($B545="",$R545=""),"",IF($R545&lt;=0,"CLEARED "&amp;IFERROR(TEXT(_xlfn.MAXIFS(nrMK_Date,nrMK_Link,$B545,nrMK_Credit,"Yes"),"mm/dd"),""),"OPEN"))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IF(OR($B546="",N($I546)=0),"",SUMIFS(nrMK_Min,nrMK_Link,$B546,nrMK_Credit,"Yes"))</f>
        <v/>
      </c>
      <c r="Q546" s="17">
        <f>IF(OR($B546="",N($J546)=0),"",SUMIFS(nrMK_Sess,nrMK_Link,$B546,nrMK_Credit,"Yes"))</f>
        <v/>
      </c>
      <c r="R546" s="17">
        <f>IF(OR($B546="",$N546&lt;&gt;"Yes"),"",IF(N($I546)&gt;0,N($I546)-N($P546),IF(N($J546)&gt;0,N($J546)-N($Q546),"")))</f>
        <v/>
      </c>
      <c r="S546" s="17">
        <f>IF(OR($B546="",$R546=""),"",IF($R546&lt;=0,"CLEARED "&amp;IFERROR(TEXT(_xlfn.MAXIFS(nrMK_Date,nrMK_Link,$B546,nrMK_Credit,"Yes"),"mm/dd"),""),"OPEN"))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IF(OR($B547="",N($I547)=0),"",SUMIFS(nrMK_Min,nrMK_Link,$B547,nrMK_Credit,"Yes"))</f>
        <v/>
      </c>
      <c r="Q547" s="17">
        <f>IF(OR($B547="",N($J547)=0),"",SUMIFS(nrMK_Sess,nrMK_Link,$B547,nrMK_Credit,"Yes"))</f>
        <v/>
      </c>
      <c r="R547" s="17">
        <f>IF(OR($B547="",$N547&lt;&gt;"Yes"),"",IF(N($I547)&gt;0,N($I547)-N($P547),IF(N($J547)&gt;0,N($J547)-N($Q547),"")))</f>
        <v/>
      </c>
      <c r="S547" s="17">
        <f>IF(OR($B547="",$R547=""),"",IF($R547&lt;=0,"CLEARED "&amp;IFERROR(TEXT(_xlfn.MAXIFS(nrMK_Date,nrMK_Link,$B547,nrMK_Credit,"Yes"),"mm/dd"),""),"OPEN"))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IF(OR($B548="",N($I548)=0),"",SUMIFS(nrMK_Min,nrMK_Link,$B548,nrMK_Credit,"Yes"))</f>
        <v/>
      </c>
      <c r="Q548" s="17">
        <f>IF(OR($B548="",N($J548)=0),"",SUMIFS(nrMK_Sess,nrMK_Link,$B548,nrMK_Credit,"Yes"))</f>
        <v/>
      </c>
      <c r="R548" s="17">
        <f>IF(OR($B548="",$N548&lt;&gt;"Yes"),"",IF(N($I548)&gt;0,N($I548)-N($P548),IF(N($J548)&gt;0,N($J548)-N($Q548),"")))</f>
        <v/>
      </c>
      <c r="S548" s="17">
        <f>IF(OR($B548="",$R548=""),"",IF($R548&lt;=0,"CLEARED "&amp;IFERROR(TEXT(_xlfn.MAXIFS(nrMK_Date,nrMK_Link,$B548,nrMK_Credit,"Yes"),"mm/dd"),""),"OPEN"))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IF(OR($B549="",N($I549)=0),"",SUMIFS(nrMK_Min,nrMK_Link,$B549,nrMK_Credit,"Yes"))</f>
        <v/>
      </c>
      <c r="Q549" s="17">
        <f>IF(OR($B549="",N($J549)=0),"",SUMIFS(nrMK_Sess,nrMK_Link,$B549,nrMK_Credit,"Yes"))</f>
        <v/>
      </c>
      <c r="R549" s="17">
        <f>IF(OR($B549="",$N549&lt;&gt;"Yes"),"",IF(N($I549)&gt;0,N($I549)-N($P549),IF(N($J549)&gt;0,N($J549)-N($Q549),"")))</f>
        <v/>
      </c>
      <c r="S549" s="17">
        <f>IF(OR($B549="",$R549=""),"",IF($R549&lt;=0,"CLEARED "&amp;IFERROR(TEXT(_xlfn.MAXIFS(nrMK_Date,nrMK_Link,$B549,nrMK_Credit,"Yes"),"mm/dd"),""),"OPEN"))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IF(OR($B550="",N($I550)=0),"",SUMIFS(nrMK_Min,nrMK_Link,$B550,nrMK_Credit,"Yes"))</f>
        <v/>
      </c>
      <c r="Q550" s="17">
        <f>IF(OR($B550="",N($J550)=0),"",SUMIFS(nrMK_Sess,nrMK_Link,$B550,nrMK_Credit,"Yes"))</f>
        <v/>
      </c>
      <c r="R550" s="17">
        <f>IF(OR($B550="",$N550&lt;&gt;"Yes"),"",IF(N($I550)&gt;0,N($I550)-N($P550),IF(N($J550)&gt;0,N($J550)-N($Q550),"")))</f>
        <v/>
      </c>
      <c r="S550" s="17">
        <f>IF(OR($B550="",$R550=""),"",IF($R550&lt;=0,"CLEARED "&amp;IFERROR(TEXT(_xlfn.MAXIFS(nrMK_Date,nrMK_Link,$B550,nrMK_Credit,"Yes"),"mm/dd"),""),"OPEN"))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IF(OR($B551="",N($I551)=0),"",SUMIFS(nrMK_Min,nrMK_Link,$B551,nrMK_Credit,"Yes"))</f>
        <v/>
      </c>
      <c r="Q551" s="17">
        <f>IF(OR($B551="",N($J551)=0),"",SUMIFS(nrMK_Sess,nrMK_Link,$B551,nrMK_Credit,"Yes"))</f>
        <v/>
      </c>
      <c r="R551" s="17">
        <f>IF(OR($B551="",$N551&lt;&gt;"Yes"),"",IF(N($I551)&gt;0,N($I551)-N($P551),IF(N($J551)&gt;0,N($J551)-N($Q551),"")))</f>
        <v/>
      </c>
      <c r="S551" s="17">
        <f>IF(OR($B551="",$R551=""),"",IF($R551&lt;=0,"CLEARED "&amp;IFERROR(TEXT(_xlfn.MAXIFS(nrMK_Date,nrMK_Link,$B551,nrMK_Credit,"Yes"),"mm/dd"),""),"OPEN"))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IF(OR($B552="",N($I552)=0),"",SUMIFS(nrMK_Min,nrMK_Link,$B552,nrMK_Credit,"Yes"))</f>
        <v/>
      </c>
      <c r="Q552" s="17">
        <f>IF(OR($B552="",N($J552)=0),"",SUMIFS(nrMK_Sess,nrMK_Link,$B552,nrMK_Credit,"Yes"))</f>
        <v/>
      </c>
      <c r="R552" s="17">
        <f>IF(OR($B552="",$N552&lt;&gt;"Yes"),"",IF(N($I552)&gt;0,N($I552)-N($P552),IF(N($J552)&gt;0,N($J552)-N($Q552),"")))</f>
        <v/>
      </c>
      <c r="S552" s="17">
        <f>IF(OR($B552="",$R552=""),"",IF($R552&lt;=0,"CLEARED "&amp;IFERROR(TEXT(_xlfn.MAXIFS(nrMK_Date,nrMK_Link,$B552,nrMK_Credit,"Yes"),"mm/dd"),""),"OPEN"))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IF(OR($B553="",N($I553)=0),"",SUMIFS(nrMK_Min,nrMK_Link,$B553,nrMK_Credit,"Yes"))</f>
        <v/>
      </c>
      <c r="Q553" s="17">
        <f>IF(OR($B553="",N($J553)=0),"",SUMIFS(nrMK_Sess,nrMK_Link,$B553,nrMK_Credit,"Yes"))</f>
        <v/>
      </c>
      <c r="R553" s="17">
        <f>IF(OR($B553="",$N553&lt;&gt;"Yes"),"",IF(N($I553)&gt;0,N($I553)-N($P553),IF(N($J553)&gt;0,N($J553)-N($Q553),"")))</f>
        <v/>
      </c>
      <c r="S553" s="17">
        <f>IF(OR($B553="",$R553=""),"",IF($R553&lt;=0,"CLEARED "&amp;IFERROR(TEXT(_xlfn.MAXIFS(nrMK_Date,nrMK_Link,$B553,nrMK_Credit,"Yes"),"mm/dd"),""),"OPEN"))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IF(OR($B554="",N($I554)=0),"",SUMIFS(nrMK_Min,nrMK_Link,$B554,nrMK_Credit,"Yes"))</f>
        <v/>
      </c>
      <c r="Q554" s="17">
        <f>IF(OR($B554="",N($J554)=0),"",SUMIFS(nrMK_Sess,nrMK_Link,$B554,nrMK_Credit,"Yes"))</f>
        <v/>
      </c>
      <c r="R554" s="17">
        <f>IF(OR($B554="",$N554&lt;&gt;"Yes"),"",IF(N($I554)&gt;0,N($I554)-N($P554),IF(N($J554)&gt;0,N($J554)-N($Q554),"")))</f>
        <v/>
      </c>
      <c r="S554" s="17">
        <f>IF(OR($B554="",$R554=""),"",IF($R554&lt;=0,"CLEARED "&amp;IFERROR(TEXT(_xlfn.MAXIFS(nrMK_Date,nrMK_Link,$B554,nrMK_Credit,"Yes"),"mm/dd"),""),"OPEN"))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IF(OR($B555="",N($I555)=0),"",SUMIFS(nrMK_Min,nrMK_Link,$B555,nrMK_Credit,"Yes"))</f>
        <v/>
      </c>
      <c r="Q555" s="17">
        <f>IF(OR($B555="",N($J555)=0),"",SUMIFS(nrMK_Sess,nrMK_Link,$B555,nrMK_Credit,"Yes"))</f>
        <v/>
      </c>
      <c r="R555" s="17">
        <f>IF(OR($B555="",$N555&lt;&gt;"Yes"),"",IF(N($I555)&gt;0,N($I555)-N($P555),IF(N($J555)&gt;0,N($J555)-N($Q555),"")))</f>
        <v/>
      </c>
      <c r="S555" s="17">
        <f>IF(OR($B555="",$R555=""),"",IF($R555&lt;=0,"CLEARED "&amp;IFERROR(TEXT(_xlfn.MAXIFS(nrMK_Date,nrMK_Link,$B555,nrMK_Credit,"Yes"),"mm/dd"),""),"OPEN"))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IF(OR($B556="",N($I556)=0),"",SUMIFS(nrMK_Min,nrMK_Link,$B556,nrMK_Credit,"Yes"))</f>
        <v/>
      </c>
      <c r="Q556" s="17">
        <f>IF(OR($B556="",N($J556)=0),"",SUMIFS(nrMK_Sess,nrMK_Link,$B556,nrMK_Credit,"Yes"))</f>
        <v/>
      </c>
      <c r="R556" s="17">
        <f>IF(OR($B556="",$N556&lt;&gt;"Yes"),"",IF(N($I556)&gt;0,N($I556)-N($P556),IF(N($J556)&gt;0,N($J556)-N($Q556),"")))</f>
        <v/>
      </c>
      <c r="S556" s="17">
        <f>IF(OR($B556="",$R556=""),"",IF($R556&lt;=0,"CLEARED "&amp;IFERROR(TEXT(_xlfn.MAXIFS(nrMK_Date,nrMK_Link,$B556,nrMK_Credit,"Yes"),"mm/dd"),""),"OPEN"))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IF(OR($B557="",N($I557)=0),"",SUMIFS(nrMK_Min,nrMK_Link,$B557,nrMK_Credit,"Yes"))</f>
        <v/>
      </c>
      <c r="Q557" s="17">
        <f>IF(OR($B557="",N($J557)=0),"",SUMIFS(nrMK_Sess,nrMK_Link,$B557,nrMK_Credit,"Yes"))</f>
        <v/>
      </c>
      <c r="R557" s="17">
        <f>IF(OR($B557="",$N557&lt;&gt;"Yes"),"",IF(N($I557)&gt;0,N($I557)-N($P557),IF(N($J557)&gt;0,N($J557)-N($Q557),"")))</f>
        <v/>
      </c>
      <c r="S557" s="17">
        <f>IF(OR($B557="",$R557=""),"",IF($R557&lt;=0,"CLEARED "&amp;IFERROR(TEXT(_xlfn.MAXIFS(nrMK_Date,nrMK_Link,$B557,nrMK_Credit,"Yes"),"mm/dd"),""),"OPEN"))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IF(OR($B558="",N($I558)=0),"",SUMIFS(nrMK_Min,nrMK_Link,$B558,nrMK_Credit,"Yes"))</f>
        <v/>
      </c>
      <c r="Q558" s="17">
        <f>IF(OR($B558="",N($J558)=0),"",SUMIFS(nrMK_Sess,nrMK_Link,$B558,nrMK_Credit,"Yes"))</f>
        <v/>
      </c>
      <c r="R558" s="17">
        <f>IF(OR($B558="",$N558&lt;&gt;"Yes"),"",IF(N($I558)&gt;0,N($I558)-N($P558),IF(N($J558)&gt;0,N($J558)-N($Q558),"")))</f>
        <v/>
      </c>
      <c r="S558" s="17">
        <f>IF(OR($B558="",$R558=""),"",IF($R558&lt;=0,"CLEARED "&amp;IFERROR(TEXT(_xlfn.MAXIFS(nrMK_Date,nrMK_Link,$B558,nrMK_Credit,"Yes"),"mm/dd"),""),"OPEN"))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IF(OR($B559="",N($I559)=0),"",SUMIFS(nrMK_Min,nrMK_Link,$B559,nrMK_Credit,"Yes"))</f>
        <v/>
      </c>
      <c r="Q559" s="17">
        <f>IF(OR($B559="",N($J559)=0),"",SUMIFS(nrMK_Sess,nrMK_Link,$B559,nrMK_Credit,"Yes"))</f>
        <v/>
      </c>
      <c r="R559" s="17">
        <f>IF(OR($B559="",$N559&lt;&gt;"Yes"),"",IF(N($I559)&gt;0,N($I559)-N($P559),IF(N($J559)&gt;0,N($J559)-N($Q559),"")))</f>
        <v/>
      </c>
      <c r="S559" s="17">
        <f>IF(OR($B559="",$R559=""),"",IF($R559&lt;=0,"CLEARED "&amp;IFERROR(TEXT(_xlfn.MAXIFS(nrMK_Date,nrMK_Link,$B559,nrMK_Credit,"Yes"),"mm/dd"),""),"OPEN"))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IF(OR($B560="",N($I560)=0),"",SUMIFS(nrMK_Min,nrMK_Link,$B560,nrMK_Credit,"Yes"))</f>
        <v/>
      </c>
      <c r="Q560" s="17">
        <f>IF(OR($B560="",N($J560)=0),"",SUMIFS(nrMK_Sess,nrMK_Link,$B560,nrMK_Credit,"Yes"))</f>
        <v/>
      </c>
      <c r="R560" s="17">
        <f>IF(OR($B560="",$N560&lt;&gt;"Yes"),"",IF(N($I560)&gt;0,N($I560)-N($P560),IF(N($J560)&gt;0,N($J560)-N($Q560),"")))</f>
        <v/>
      </c>
      <c r="S560" s="17">
        <f>IF(OR($B560="",$R560=""),"",IF($R560&lt;=0,"CLEARED "&amp;IFERROR(TEXT(_xlfn.MAXIFS(nrMK_Date,nrMK_Link,$B560,nrMK_Credit,"Yes"),"mm/dd"),""),"OPEN"))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IF(OR($B561="",N($I561)=0),"",SUMIFS(nrMK_Min,nrMK_Link,$B561,nrMK_Credit,"Yes"))</f>
        <v/>
      </c>
      <c r="Q561" s="17">
        <f>IF(OR($B561="",N($J561)=0),"",SUMIFS(nrMK_Sess,nrMK_Link,$B561,nrMK_Credit,"Yes"))</f>
        <v/>
      </c>
      <c r="R561" s="17">
        <f>IF(OR($B561="",$N561&lt;&gt;"Yes"),"",IF(N($I561)&gt;0,N($I561)-N($P561),IF(N($J561)&gt;0,N($J561)-N($Q561),"")))</f>
        <v/>
      </c>
      <c r="S561" s="17">
        <f>IF(OR($B561="",$R561=""),"",IF($R561&lt;=0,"CLEARED "&amp;IFERROR(TEXT(_xlfn.MAXIFS(nrMK_Date,nrMK_Link,$B561,nrMK_Credit,"Yes"),"mm/dd"),""),"OPEN"))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IF(OR($B562="",N($I562)=0),"",SUMIFS(nrMK_Min,nrMK_Link,$B562,nrMK_Credit,"Yes"))</f>
        <v/>
      </c>
      <c r="Q562" s="17">
        <f>IF(OR($B562="",N($J562)=0),"",SUMIFS(nrMK_Sess,nrMK_Link,$B562,nrMK_Credit,"Yes"))</f>
        <v/>
      </c>
      <c r="R562" s="17">
        <f>IF(OR($B562="",$N562&lt;&gt;"Yes"),"",IF(N($I562)&gt;0,N($I562)-N($P562),IF(N($J562)&gt;0,N($J562)-N($Q562),"")))</f>
        <v/>
      </c>
      <c r="S562" s="17">
        <f>IF(OR($B562="",$R562=""),"",IF($R562&lt;=0,"CLEARED "&amp;IFERROR(TEXT(_xlfn.MAXIFS(nrMK_Date,nrMK_Link,$B562,nrMK_Credit,"Yes"),"mm/dd"),""),"OPEN"))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IF(OR($B563="",N($I563)=0),"",SUMIFS(nrMK_Min,nrMK_Link,$B563,nrMK_Credit,"Yes"))</f>
        <v/>
      </c>
      <c r="Q563" s="17">
        <f>IF(OR($B563="",N($J563)=0),"",SUMIFS(nrMK_Sess,nrMK_Link,$B563,nrMK_Credit,"Yes"))</f>
        <v/>
      </c>
      <c r="R563" s="17">
        <f>IF(OR($B563="",$N563&lt;&gt;"Yes"),"",IF(N($I563)&gt;0,N($I563)-N($P563),IF(N($J563)&gt;0,N($J563)-N($Q563),"")))</f>
        <v/>
      </c>
      <c r="S563" s="17">
        <f>IF(OR($B563="",$R563=""),"",IF($R563&lt;=0,"CLEARED "&amp;IFERROR(TEXT(_xlfn.MAXIFS(nrMK_Date,nrMK_Link,$B563,nrMK_Credit,"Yes"),"mm/dd"),""),"OPEN"))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IF(OR($B564="",N($I564)=0),"",SUMIFS(nrMK_Min,nrMK_Link,$B564,nrMK_Credit,"Yes"))</f>
        <v/>
      </c>
      <c r="Q564" s="17">
        <f>IF(OR($B564="",N($J564)=0),"",SUMIFS(nrMK_Sess,nrMK_Link,$B564,nrMK_Credit,"Yes"))</f>
        <v/>
      </c>
      <c r="R564" s="17">
        <f>IF(OR($B564="",$N564&lt;&gt;"Yes"),"",IF(N($I564)&gt;0,N($I564)-N($P564),IF(N($J564)&gt;0,N($J564)-N($Q564),"")))</f>
        <v/>
      </c>
      <c r="S564" s="17">
        <f>IF(OR($B564="",$R564=""),"",IF($R564&lt;=0,"CLEARED "&amp;IFERROR(TEXT(_xlfn.MAXIFS(nrMK_Date,nrMK_Link,$B564,nrMK_Credit,"Yes"),"mm/dd"),""),"OPEN"))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IF(OR($B565="",N($I565)=0),"",SUMIFS(nrMK_Min,nrMK_Link,$B565,nrMK_Credit,"Yes"))</f>
        <v/>
      </c>
      <c r="Q565" s="17">
        <f>IF(OR($B565="",N($J565)=0),"",SUMIFS(nrMK_Sess,nrMK_Link,$B565,nrMK_Credit,"Yes"))</f>
        <v/>
      </c>
      <c r="R565" s="17">
        <f>IF(OR($B565="",$N565&lt;&gt;"Yes"),"",IF(N($I565)&gt;0,N($I565)-N($P565),IF(N($J565)&gt;0,N($J565)-N($Q565),"")))</f>
        <v/>
      </c>
      <c r="S565" s="17">
        <f>IF(OR($B565="",$R565=""),"",IF($R565&lt;=0,"CLEARED "&amp;IFERROR(TEXT(_xlfn.MAXIFS(nrMK_Date,nrMK_Link,$B565,nrMK_Credit,"Yes"),"mm/dd"),""),"OPEN"))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IF(OR($B566="",N($I566)=0),"",SUMIFS(nrMK_Min,nrMK_Link,$B566,nrMK_Credit,"Yes"))</f>
        <v/>
      </c>
      <c r="Q566" s="17">
        <f>IF(OR($B566="",N($J566)=0),"",SUMIFS(nrMK_Sess,nrMK_Link,$B566,nrMK_Credit,"Yes"))</f>
        <v/>
      </c>
      <c r="R566" s="17">
        <f>IF(OR($B566="",$N566&lt;&gt;"Yes"),"",IF(N($I566)&gt;0,N($I566)-N($P566),IF(N($J566)&gt;0,N($J566)-N($Q566),"")))</f>
        <v/>
      </c>
      <c r="S566" s="17">
        <f>IF(OR($B566="",$R566=""),"",IF($R566&lt;=0,"CLEARED "&amp;IFERROR(TEXT(_xlfn.MAXIFS(nrMK_Date,nrMK_Link,$B566,nrMK_Credit,"Yes"),"mm/dd"),""),"OPEN"))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IF(OR($B567="",N($I567)=0),"",SUMIFS(nrMK_Min,nrMK_Link,$B567,nrMK_Credit,"Yes"))</f>
        <v/>
      </c>
      <c r="Q567" s="17">
        <f>IF(OR($B567="",N($J567)=0),"",SUMIFS(nrMK_Sess,nrMK_Link,$B567,nrMK_Credit,"Yes"))</f>
        <v/>
      </c>
      <c r="R567" s="17">
        <f>IF(OR($B567="",$N567&lt;&gt;"Yes"),"",IF(N($I567)&gt;0,N($I567)-N($P567),IF(N($J567)&gt;0,N($J567)-N($Q567),"")))</f>
        <v/>
      </c>
      <c r="S567" s="17">
        <f>IF(OR($B567="",$R567=""),"",IF($R567&lt;=0,"CLEARED "&amp;IFERROR(TEXT(_xlfn.MAXIFS(nrMK_Date,nrMK_Link,$B567,nrMK_Credit,"Yes"),"mm/dd"),""),"OPEN"))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IF(OR($B568="",N($I568)=0),"",SUMIFS(nrMK_Min,nrMK_Link,$B568,nrMK_Credit,"Yes"))</f>
        <v/>
      </c>
      <c r="Q568" s="17">
        <f>IF(OR($B568="",N($J568)=0),"",SUMIFS(nrMK_Sess,nrMK_Link,$B568,nrMK_Credit,"Yes"))</f>
        <v/>
      </c>
      <c r="R568" s="17">
        <f>IF(OR($B568="",$N568&lt;&gt;"Yes"),"",IF(N($I568)&gt;0,N($I568)-N($P568),IF(N($J568)&gt;0,N($J568)-N($Q568),"")))</f>
        <v/>
      </c>
      <c r="S568" s="17">
        <f>IF(OR($B568="",$R568=""),"",IF($R568&lt;=0,"CLEARED "&amp;IFERROR(TEXT(_xlfn.MAXIFS(nrMK_Date,nrMK_Link,$B568,nrMK_Credit,"Yes"),"mm/dd"),""),"OPEN"))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IF(OR($B569="",N($I569)=0),"",SUMIFS(nrMK_Min,nrMK_Link,$B569,nrMK_Credit,"Yes"))</f>
        <v/>
      </c>
      <c r="Q569" s="17">
        <f>IF(OR($B569="",N($J569)=0),"",SUMIFS(nrMK_Sess,nrMK_Link,$B569,nrMK_Credit,"Yes"))</f>
        <v/>
      </c>
      <c r="R569" s="17">
        <f>IF(OR($B569="",$N569&lt;&gt;"Yes"),"",IF(N($I569)&gt;0,N($I569)-N($P569),IF(N($J569)&gt;0,N($J569)-N($Q569),"")))</f>
        <v/>
      </c>
      <c r="S569" s="17">
        <f>IF(OR($B569="",$R569=""),"",IF($R569&lt;=0,"CLEARED "&amp;IFERROR(TEXT(_xlfn.MAXIFS(nrMK_Date,nrMK_Link,$B569,nrMK_Credit,"Yes"),"mm/dd"),""),"OPEN"))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IF(OR($B570="",N($I570)=0),"",SUMIFS(nrMK_Min,nrMK_Link,$B570,nrMK_Credit,"Yes"))</f>
        <v/>
      </c>
      <c r="Q570" s="17">
        <f>IF(OR($B570="",N($J570)=0),"",SUMIFS(nrMK_Sess,nrMK_Link,$B570,nrMK_Credit,"Yes"))</f>
        <v/>
      </c>
      <c r="R570" s="17">
        <f>IF(OR($B570="",$N570&lt;&gt;"Yes"),"",IF(N($I570)&gt;0,N($I570)-N($P570),IF(N($J570)&gt;0,N($J570)-N($Q570),"")))</f>
        <v/>
      </c>
      <c r="S570" s="17">
        <f>IF(OR($B570="",$R570=""),"",IF($R570&lt;=0,"CLEARED "&amp;IFERROR(TEXT(_xlfn.MAXIFS(nrMK_Date,nrMK_Link,$B570,nrMK_Credit,"Yes"),"mm/dd"),""),"OPEN"))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IF(OR($B571="",N($I571)=0),"",SUMIFS(nrMK_Min,nrMK_Link,$B571,nrMK_Credit,"Yes"))</f>
        <v/>
      </c>
      <c r="Q571" s="17">
        <f>IF(OR($B571="",N($J571)=0),"",SUMIFS(nrMK_Sess,nrMK_Link,$B571,nrMK_Credit,"Yes"))</f>
        <v/>
      </c>
      <c r="R571" s="17">
        <f>IF(OR($B571="",$N571&lt;&gt;"Yes"),"",IF(N($I571)&gt;0,N($I571)-N($P571),IF(N($J571)&gt;0,N($J571)-N($Q571),"")))</f>
        <v/>
      </c>
      <c r="S571" s="17">
        <f>IF(OR($B571="",$R571=""),"",IF($R571&lt;=0,"CLEARED "&amp;IFERROR(TEXT(_xlfn.MAXIFS(nrMK_Date,nrMK_Link,$B571,nrMK_Credit,"Yes"),"mm/dd"),""),"OPEN"))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IF(OR($B572="",N($I572)=0),"",SUMIFS(nrMK_Min,nrMK_Link,$B572,nrMK_Credit,"Yes"))</f>
        <v/>
      </c>
      <c r="Q572" s="17">
        <f>IF(OR($B572="",N($J572)=0),"",SUMIFS(nrMK_Sess,nrMK_Link,$B572,nrMK_Credit,"Yes"))</f>
        <v/>
      </c>
      <c r="R572" s="17">
        <f>IF(OR($B572="",$N572&lt;&gt;"Yes"),"",IF(N($I572)&gt;0,N($I572)-N($P572),IF(N($J572)&gt;0,N($J572)-N($Q572),"")))</f>
        <v/>
      </c>
      <c r="S572" s="17">
        <f>IF(OR($B572="",$R572=""),"",IF($R572&lt;=0,"CLEARED "&amp;IFERROR(TEXT(_xlfn.MAXIFS(nrMK_Date,nrMK_Link,$B572,nrMK_Credit,"Yes"),"mm/dd"),""),"OPEN"))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IF(OR($B573="",N($I573)=0),"",SUMIFS(nrMK_Min,nrMK_Link,$B573,nrMK_Credit,"Yes"))</f>
        <v/>
      </c>
      <c r="Q573" s="17">
        <f>IF(OR($B573="",N($J573)=0),"",SUMIFS(nrMK_Sess,nrMK_Link,$B573,nrMK_Credit,"Yes"))</f>
        <v/>
      </c>
      <c r="R573" s="17">
        <f>IF(OR($B573="",$N573&lt;&gt;"Yes"),"",IF(N($I573)&gt;0,N($I573)-N($P573),IF(N($J573)&gt;0,N($J573)-N($Q573),"")))</f>
        <v/>
      </c>
      <c r="S573" s="17">
        <f>IF(OR($B573="",$R573=""),"",IF($R573&lt;=0,"CLEARED "&amp;IFERROR(TEXT(_xlfn.MAXIFS(nrMK_Date,nrMK_Link,$B573,nrMK_Credit,"Yes"),"mm/dd"),""),"OPEN"))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IF(OR($B574="",N($I574)=0),"",SUMIFS(nrMK_Min,nrMK_Link,$B574,nrMK_Credit,"Yes"))</f>
        <v/>
      </c>
      <c r="Q574" s="17">
        <f>IF(OR($B574="",N($J574)=0),"",SUMIFS(nrMK_Sess,nrMK_Link,$B574,nrMK_Credit,"Yes"))</f>
        <v/>
      </c>
      <c r="R574" s="17">
        <f>IF(OR($B574="",$N574&lt;&gt;"Yes"),"",IF(N($I574)&gt;0,N($I574)-N($P574),IF(N($J574)&gt;0,N($J574)-N($Q574),"")))</f>
        <v/>
      </c>
      <c r="S574" s="17">
        <f>IF(OR($B574="",$R574=""),"",IF($R574&lt;=0,"CLEARED "&amp;IFERROR(TEXT(_xlfn.MAXIFS(nrMK_Date,nrMK_Link,$B574,nrMK_Credit,"Yes"),"mm/dd"),""),"OPEN"))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IF(OR($B575="",N($I575)=0),"",SUMIFS(nrMK_Min,nrMK_Link,$B575,nrMK_Credit,"Yes"))</f>
        <v/>
      </c>
      <c r="Q575" s="17">
        <f>IF(OR($B575="",N($J575)=0),"",SUMIFS(nrMK_Sess,nrMK_Link,$B575,nrMK_Credit,"Yes"))</f>
        <v/>
      </c>
      <c r="R575" s="17">
        <f>IF(OR($B575="",$N575&lt;&gt;"Yes"),"",IF(N($I575)&gt;0,N($I575)-N($P575),IF(N($J575)&gt;0,N($J575)-N($Q575),"")))</f>
        <v/>
      </c>
      <c r="S575" s="17">
        <f>IF(OR($B575="",$R575=""),"",IF($R575&lt;=0,"CLEARED "&amp;IFERROR(TEXT(_xlfn.MAXIFS(nrMK_Date,nrMK_Link,$B575,nrMK_Credit,"Yes"),"mm/dd"),""),"OPEN"))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IF(OR($B576="",N($I576)=0),"",SUMIFS(nrMK_Min,nrMK_Link,$B576,nrMK_Credit,"Yes"))</f>
        <v/>
      </c>
      <c r="Q576" s="17">
        <f>IF(OR($B576="",N($J576)=0),"",SUMIFS(nrMK_Sess,nrMK_Link,$B576,nrMK_Credit,"Yes"))</f>
        <v/>
      </c>
      <c r="R576" s="17">
        <f>IF(OR($B576="",$N576&lt;&gt;"Yes"),"",IF(N($I576)&gt;0,N($I576)-N($P576),IF(N($J576)&gt;0,N($J576)-N($Q576),"")))</f>
        <v/>
      </c>
      <c r="S576" s="17">
        <f>IF(OR($B576="",$R576=""),"",IF($R576&lt;=0,"CLEARED "&amp;IFERROR(TEXT(_xlfn.MAXIFS(nrMK_Date,nrMK_Link,$B576,nrMK_Credit,"Yes"),"mm/dd"),""),"OPEN"))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IF(OR($B577="",N($I577)=0),"",SUMIFS(nrMK_Min,nrMK_Link,$B577,nrMK_Credit,"Yes"))</f>
        <v/>
      </c>
      <c r="Q577" s="17">
        <f>IF(OR($B577="",N($J577)=0),"",SUMIFS(nrMK_Sess,nrMK_Link,$B577,nrMK_Credit,"Yes"))</f>
        <v/>
      </c>
      <c r="R577" s="17">
        <f>IF(OR($B577="",$N577&lt;&gt;"Yes"),"",IF(N($I577)&gt;0,N($I577)-N($P577),IF(N($J577)&gt;0,N($J577)-N($Q577),"")))</f>
        <v/>
      </c>
      <c r="S577" s="17">
        <f>IF(OR($B577="",$R577=""),"",IF($R577&lt;=0,"CLEARED "&amp;IFERROR(TEXT(_xlfn.MAXIFS(nrMK_Date,nrMK_Link,$B577,nrMK_Credit,"Yes"),"mm/dd"),""),"OPEN"))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IF(OR($B578="",N($I578)=0),"",SUMIFS(nrMK_Min,nrMK_Link,$B578,nrMK_Credit,"Yes"))</f>
        <v/>
      </c>
      <c r="Q578" s="17">
        <f>IF(OR($B578="",N($J578)=0),"",SUMIFS(nrMK_Sess,nrMK_Link,$B578,nrMK_Credit,"Yes"))</f>
        <v/>
      </c>
      <c r="R578" s="17">
        <f>IF(OR($B578="",$N578&lt;&gt;"Yes"),"",IF(N($I578)&gt;0,N($I578)-N($P578),IF(N($J578)&gt;0,N($J578)-N($Q578),"")))</f>
        <v/>
      </c>
      <c r="S578" s="17">
        <f>IF(OR($B578="",$R578=""),"",IF($R578&lt;=0,"CLEARED "&amp;IFERROR(TEXT(_xlfn.MAXIFS(nrMK_Date,nrMK_Link,$B578,nrMK_Credit,"Yes"),"mm/dd"),""),"OPEN"))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IF(OR($B579="",N($I579)=0),"",SUMIFS(nrMK_Min,nrMK_Link,$B579,nrMK_Credit,"Yes"))</f>
        <v/>
      </c>
      <c r="Q579" s="17">
        <f>IF(OR($B579="",N($J579)=0),"",SUMIFS(nrMK_Sess,nrMK_Link,$B579,nrMK_Credit,"Yes"))</f>
        <v/>
      </c>
      <c r="R579" s="17">
        <f>IF(OR($B579="",$N579&lt;&gt;"Yes"),"",IF(N($I579)&gt;0,N($I579)-N($P579),IF(N($J579)&gt;0,N($J579)-N($Q579),"")))</f>
        <v/>
      </c>
      <c r="S579" s="17">
        <f>IF(OR($B579="",$R579=""),"",IF($R579&lt;=0,"CLEARED "&amp;IFERROR(TEXT(_xlfn.MAXIFS(nrMK_Date,nrMK_Link,$B579,nrMK_Credit,"Yes"),"mm/dd"),""),"OPEN"))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IF(OR($B580="",N($I580)=0),"",SUMIFS(nrMK_Min,nrMK_Link,$B580,nrMK_Credit,"Yes"))</f>
        <v/>
      </c>
      <c r="Q580" s="17">
        <f>IF(OR($B580="",N($J580)=0),"",SUMIFS(nrMK_Sess,nrMK_Link,$B580,nrMK_Credit,"Yes"))</f>
        <v/>
      </c>
      <c r="R580" s="17">
        <f>IF(OR($B580="",$N580&lt;&gt;"Yes"),"",IF(N($I580)&gt;0,N($I580)-N($P580),IF(N($J580)&gt;0,N($J580)-N($Q580),"")))</f>
        <v/>
      </c>
      <c r="S580" s="17">
        <f>IF(OR($B580="",$R580=""),"",IF($R580&lt;=0,"CLEARED "&amp;IFERROR(TEXT(_xlfn.MAXIFS(nrMK_Date,nrMK_Link,$B580,nrMK_Credit,"Yes"),"mm/dd"),""),"OPEN"))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IF(OR($B581="",N($I581)=0),"",SUMIFS(nrMK_Min,nrMK_Link,$B581,nrMK_Credit,"Yes"))</f>
        <v/>
      </c>
      <c r="Q581" s="17">
        <f>IF(OR($B581="",N($J581)=0),"",SUMIFS(nrMK_Sess,nrMK_Link,$B581,nrMK_Credit,"Yes"))</f>
        <v/>
      </c>
      <c r="R581" s="17">
        <f>IF(OR($B581="",$N581&lt;&gt;"Yes"),"",IF(N($I581)&gt;0,N($I581)-N($P581),IF(N($J581)&gt;0,N($J581)-N($Q581),"")))</f>
        <v/>
      </c>
      <c r="S581" s="17">
        <f>IF(OR($B581="",$R581=""),"",IF($R581&lt;=0,"CLEARED "&amp;IFERROR(TEXT(_xlfn.MAXIFS(nrMK_Date,nrMK_Link,$B581,nrMK_Credit,"Yes"),"mm/dd"),""),"OPEN"))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IF(OR($B582="",N($I582)=0),"",SUMIFS(nrMK_Min,nrMK_Link,$B582,nrMK_Credit,"Yes"))</f>
        <v/>
      </c>
      <c r="Q582" s="17">
        <f>IF(OR($B582="",N($J582)=0),"",SUMIFS(nrMK_Sess,nrMK_Link,$B582,nrMK_Credit,"Yes"))</f>
        <v/>
      </c>
      <c r="R582" s="17">
        <f>IF(OR($B582="",$N582&lt;&gt;"Yes"),"",IF(N($I582)&gt;0,N($I582)-N($P582),IF(N($J582)&gt;0,N($J582)-N($Q582),"")))</f>
        <v/>
      </c>
      <c r="S582" s="17">
        <f>IF(OR($B582="",$R582=""),"",IF($R582&lt;=0,"CLEARED "&amp;IFERROR(TEXT(_xlfn.MAXIFS(nrMK_Date,nrMK_Link,$B582,nrMK_Credit,"Yes"),"mm/dd"),""),"OPEN"))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IF(OR($B583="",N($I583)=0),"",SUMIFS(nrMK_Min,nrMK_Link,$B583,nrMK_Credit,"Yes"))</f>
        <v/>
      </c>
      <c r="Q583" s="17">
        <f>IF(OR($B583="",N($J583)=0),"",SUMIFS(nrMK_Sess,nrMK_Link,$B583,nrMK_Credit,"Yes"))</f>
        <v/>
      </c>
      <c r="R583" s="17">
        <f>IF(OR($B583="",$N583&lt;&gt;"Yes"),"",IF(N($I583)&gt;0,N($I583)-N($P583),IF(N($J583)&gt;0,N($J583)-N($Q583),"")))</f>
        <v/>
      </c>
      <c r="S583" s="17">
        <f>IF(OR($B583="",$R583=""),"",IF($R583&lt;=0,"CLEARED "&amp;IFERROR(TEXT(_xlfn.MAXIFS(nrMK_Date,nrMK_Link,$B583,nrMK_Credit,"Yes"),"mm/dd"),""),"OPEN"))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IF(OR($B584="",N($I584)=0),"",SUMIFS(nrMK_Min,nrMK_Link,$B584,nrMK_Credit,"Yes"))</f>
        <v/>
      </c>
      <c r="Q584" s="17">
        <f>IF(OR($B584="",N($J584)=0),"",SUMIFS(nrMK_Sess,nrMK_Link,$B584,nrMK_Credit,"Yes"))</f>
        <v/>
      </c>
      <c r="R584" s="17">
        <f>IF(OR($B584="",$N584&lt;&gt;"Yes"),"",IF(N($I584)&gt;0,N($I584)-N($P584),IF(N($J584)&gt;0,N($J584)-N($Q584),"")))</f>
        <v/>
      </c>
      <c r="S584" s="17">
        <f>IF(OR($B584="",$R584=""),"",IF($R584&lt;=0,"CLEARED "&amp;IFERROR(TEXT(_xlfn.MAXIFS(nrMK_Date,nrMK_Link,$B584,nrMK_Credit,"Yes"),"mm/dd"),""),"OPEN"))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IF(OR($B585="",N($I585)=0),"",SUMIFS(nrMK_Min,nrMK_Link,$B585,nrMK_Credit,"Yes"))</f>
        <v/>
      </c>
      <c r="Q585" s="17">
        <f>IF(OR($B585="",N($J585)=0),"",SUMIFS(nrMK_Sess,nrMK_Link,$B585,nrMK_Credit,"Yes"))</f>
        <v/>
      </c>
      <c r="R585" s="17">
        <f>IF(OR($B585="",$N585&lt;&gt;"Yes"),"",IF(N($I585)&gt;0,N($I585)-N($P585),IF(N($J585)&gt;0,N($J585)-N($Q585),"")))</f>
        <v/>
      </c>
      <c r="S585" s="17">
        <f>IF(OR($B585="",$R585=""),"",IF($R585&lt;=0,"CLEARED "&amp;IFERROR(TEXT(_xlfn.MAXIFS(nrMK_Date,nrMK_Link,$B585,nrMK_Credit,"Yes"),"mm/dd"),""),"OPEN"))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IF(OR($B586="",N($I586)=0),"",SUMIFS(nrMK_Min,nrMK_Link,$B586,nrMK_Credit,"Yes"))</f>
        <v/>
      </c>
      <c r="Q586" s="17">
        <f>IF(OR($B586="",N($J586)=0),"",SUMIFS(nrMK_Sess,nrMK_Link,$B586,nrMK_Credit,"Yes"))</f>
        <v/>
      </c>
      <c r="R586" s="17">
        <f>IF(OR($B586="",$N586&lt;&gt;"Yes"),"",IF(N($I586)&gt;0,N($I586)-N($P586),IF(N($J586)&gt;0,N($J586)-N($Q586),"")))</f>
        <v/>
      </c>
      <c r="S586" s="17">
        <f>IF(OR($B586="",$R586=""),"",IF($R586&lt;=0,"CLEARED "&amp;IFERROR(TEXT(_xlfn.MAXIFS(nrMK_Date,nrMK_Link,$B586,nrMK_Credit,"Yes"),"mm/dd"),""),"OPEN"))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IF(OR($B587="",N($I587)=0),"",SUMIFS(nrMK_Min,nrMK_Link,$B587,nrMK_Credit,"Yes"))</f>
        <v/>
      </c>
      <c r="Q587" s="17">
        <f>IF(OR($B587="",N($J587)=0),"",SUMIFS(nrMK_Sess,nrMK_Link,$B587,nrMK_Credit,"Yes"))</f>
        <v/>
      </c>
      <c r="R587" s="17">
        <f>IF(OR($B587="",$N587&lt;&gt;"Yes"),"",IF(N($I587)&gt;0,N($I587)-N($P587),IF(N($J587)&gt;0,N($J587)-N($Q587),"")))</f>
        <v/>
      </c>
      <c r="S587" s="17">
        <f>IF(OR($B587="",$R587=""),"",IF($R587&lt;=0,"CLEARED "&amp;IFERROR(TEXT(_xlfn.MAXIFS(nrMK_Date,nrMK_Link,$B587,nrMK_Credit,"Yes"),"mm/dd"),""),"OPEN"))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IF(OR($B588="",N($I588)=0),"",SUMIFS(nrMK_Min,nrMK_Link,$B588,nrMK_Credit,"Yes"))</f>
        <v/>
      </c>
      <c r="Q588" s="17">
        <f>IF(OR($B588="",N($J588)=0),"",SUMIFS(nrMK_Sess,nrMK_Link,$B588,nrMK_Credit,"Yes"))</f>
        <v/>
      </c>
      <c r="R588" s="17">
        <f>IF(OR($B588="",$N588&lt;&gt;"Yes"),"",IF(N($I588)&gt;0,N($I588)-N($P588),IF(N($J588)&gt;0,N($J588)-N($Q588),"")))</f>
        <v/>
      </c>
      <c r="S588" s="17">
        <f>IF(OR($B588="",$R588=""),"",IF($R588&lt;=0,"CLEARED "&amp;IFERROR(TEXT(_xlfn.MAXIFS(nrMK_Date,nrMK_Link,$B588,nrMK_Credit,"Yes"),"mm/dd"),""),"OPEN"))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IF(OR($B589="",N($I589)=0),"",SUMIFS(nrMK_Min,nrMK_Link,$B589,nrMK_Credit,"Yes"))</f>
        <v/>
      </c>
      <c r="Q589" s="17">
        <f>IF(OR($B589="",N($J589)=0),"",SUMIFS(nrMK_Sess,nrMK_Link,$B589,nrMK_Credit,"Yes"))</f>
        <v/>
      </c>
      <c r="R589" s="17">
        <f>IF(OR($B589="",$N589&lt;&gt;"Yes"),"",IF(N($I589)&gt;0,N($I589)-N($P589),IF(N($J589)&gt;0,N($J589)-N($Q589),"")))</f>
        <v/>
      </c>
      <c r="S589" s="17">
        <f>IF(OR($B589="",$R589=""),"",IF($R589&lt;=0,"CLEARED "&amp;IFERROR(TEXT(_xlfn.MAXIFS(nrMK_Date,nrMK_Link,$B589,nrMK_Credit,"Yes"),"mm/dd"),""),"OPEN"))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IF(OR($B590="",N($I590)=0),"",SUMIFS(nrMK_Min,nrMK_Link,$B590,nrMK_Credit,"Yes"))</f>
        <v/>
      </c>
      <c r="Q590" s="17">
        <f>IF(OR($B590="",N($J590)=0),"",SUMIFS(nrMK_Sess,nrMK_Link,$B590,nrMK_Credit,"Yes"))</f>
        <v/>
      </c>
      <c r="R590" s="17">
        <f>IF(OR($B590="",$N590&lt;&gt;"Yes"),"",IF(N($I590)&gt;0,N($I590)-N($P590),IF(N($J590)&gt;0,N($J590)-N($Q590),"")))</f>
        <v/>
      </c>
      <c r="S590" s="17">
        <f>IF(OR($B590="",$R590=""),"",IF($R590&lt;=0,"CLEARED "&amp;IFERROR(TEXT(_xlfn.MAXIFS(nrMK_Date,nrMK_Link,$B590,nrMK_Credit,"Yes"),"mm/dd"),""),"OPEN"))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IF(OR($B591="",N($I591)=0),"",SUMIFS(nrMK_Min,nrMK_Link,$B591,nrMK_Credit,"Yes"))</f>
        <v/>
      </c>
      <c r="Q591" s="17">
        <f>IF(OR($B591="",N($J591)=0),"",SUMIFS(nrMK_Sess,nrMK_Link,$B591,nrMK_Credit,"Yes"))</f>
        <v/>
      </c>
      <c r="R591" s="17">
        <f>IF(OR($B591="",$N591&lt;&gt;"Yes"),"",IF(N($I591)&gt;0,N($I591)-N($P591),IF(N($J591)&gt;0,N($J591)-N($Q591),"")))</f>
        <v/>
      </c>
      <c r="S591" s="17">
        <f>IF(OR($B591="",$R591=""),"",IF($R591&lt;=0,"CLEARED "&amp;IFERROR(TEXT(_xlfn.MAXIFS(nrMK_Date,nrMK_Link,$B591,nrMK_Credit,"Yes"),"mm/dd"),""),"OPEN"))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IF(OR($B592="",N($I592)=0),"",SUMIFS(nrMK_Min,nrMK_Link,$B592,nrMK_Credit,"Yes"))</f>
        <v/>
      </c>
      <c r="Q592" s="17">
        <f>IF(OR($B592="",N($J592)=0),"",SUMIFS(nrMK_Sess,nrMK_Link,$B592,nrMK_Credit,"Yes"))</f>
        <v/>
      </c>
      <c r="R592" s="17">
        <f>IF(OR($B592="",$N592&lt;&gt;"Yes"),"",IF(N($I592)&gt;0,N($I592)-N($P592),IF(N($J592)&gt;0,N($J592)-N($Q592),"")))</f>
        <v/>
      </c>
      <c r="S592" s="17">
        <f>IF(OR($B592="",$R592=""),"",IF($R592&lt;=0,"CLEARED "&amp;IFERROR(TEXT(_xlfn.MAXIFS(nrMK_Date,nrMK_Link,$B592,nrMK_Credit,"Yes"),"mm/dd"),""),"OPEN"))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IF(OR($B593="",N($I593)=0),"",SUMIFS(nrMK_Min,nrMK_Link,$B593,nrMK_Credit,"Yes"))</f>
        <v/>
      </c>
      <c r="Q593" s="17">
        <f>IF(OR($B593="",N($J593)=0),"",SUMIFS(nrMK_Sess,nrMK_Link,$B593,nrMK_Credit,"Yes"))</f>
        <v/>
      </c>
      <c r="R593" s="17">
        <f>IF(OR($B593="",$N593&lt;&gt;"Yes"),"",IF(N($I593)&gt;0,N($I593)-N($P593),IF(N($J593)&gt;0,N($J593)-N($Q593),"")))</f>
        <v/>
      </c>
      <c r="S593" s="17">
        <f>IF(OR($B593="",$R593=""),"",IF($R593&lt;=0,"CLEARED "&amp;IFERROR(TEXT(_xlfn.MAXIFS(nrMK_Date,nrMK_Link,$B593,nrMK_Credit,"Yes"),"mm/dd"),""),"OPEN"))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IF(OR($B594="",N($I594)=0),"",SUMIFS(nrMK_Min,nrMK_Link,$B594,nrMK_Credit,"Yes"))</f>
        <v/>
      </c>
      <c r="Q594" s="17">
        <f>IF(OR($B594="",N($J594)=0),"",SUMIFS(nrMK_Sess,nrMK_Link,$B594,nrMK_Credit,"Yes"))</f>
        <v/>
      </c>
      <c r="R594" s="17">
        <f>IF(OR($B594="",$N594&lt;&gt;"Yes"),"",IF(N($I594)&gt;0,N($I594)-N($P594),IF(N($J594)&gt;0,N($J594)-N($Q594),"")))</f>
        <v/>
      </c>
      <c r="S594" s="17">
        <f>IF(OR($B594="",$R594=""),"",IF($R594&lt;=0,"CLEARED "&amp;IFERROR(TEXT(_xlfn.MAXIFS(nrMK_Date,nrMK_Link,$B594,nrMK_Credit,"Yes"),"mm/dd"),""),"OPEN"))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IF(OR($B595="",N($I595)=0),"",SUMIFS(nrMK_Min,nrMK_Link,$B595,nrMK_Credit,"Yes"))</f>
        <v/>
      </c>
      <c r="Q595" s="17">
        <f>IF(OR($B595="",N($J595)=0),"",SUMIFS(nrMK_Sess,nrMK_Link,$B595,nrMK_Credit,"Yes"))</f>
        <v/>
      </c>
      <c r="R595" s="17">
        <f>IF(OR($B595="",$N595&lt;&gt;"Yes"),"",IF(N($I595)&gt;0,N($I595)-N($P595),IF(N($J595)&gt;0,N($J595)-N($Q595),"")))</f>
        <v/>
      </c>
      <c r="S595" s="17">
        <f>IF(OR($B595="",$R595=""),"",IF($R595&lt;=0,"CLEARED "&amp;IFERROR(TEXT(_xlfn.MAXIFS(nrMK_Date,nrMK_Link,$B595,nrMK_Credit,"Yes"),"mm/dd"),""),"OPEN"))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IF(OR($B596="",N($I596)=0),"",SUMIFS(nrMK_Min,nrMK_Link,$B596,nrMK_Credit,"Yes"))</f>
        <v/>
      </c>
      <c r="Q596" s="17">
        <f>IF(OR($B596="",N($J596)=0),"",SUMIFS(nrMK_Sess,nrMK_Link,$B596,nrMK_Credit,"Yes"))</f>
        <v/>
      </c>
      <c r="R596" s="17">
        <f>IF(OR($B596="",$N596&lt;&gt;"Yes"),"",IF(N($I596)&gt;0,N($I596)-N($P596),IF(N($J596)&gt;0,N($J596)-N($Q596),"")))</f>
        <v/>
      </c>
      <c r="S596" s="17">
        <f>IF(OR($B596="",$R596=""),"",IF($R596&lt;=0,"CLEARED "&amp;IFERROR(TEXT(_xlfn.MAXIFS(nrMK_Date,nrMK_Link,$B596,nrMK_Credit,"Yes"),"mm/dd"),""),"OPEN"))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IF(OR($B597="",N($I597)=0),"",SUMIFS(nrMK_Min,nrMK_Link,$B597,nrMK_Credit,"Yes"))</f>
        <v/>
      </c>
      <c r="Q597" s="17">
        <f>IF(OR($B597="",N($J597)=0),"",SUMIFS(nrMK_Sess,nrMK_Link,$B597,nrMK_Credit,"Yes"))</f>
        <v/>
      </c>
      <c r="R597" s="17">
        <f>IF(OR($B597="",$N597&lt;&gt;"Yes"),"",IF(N($I597)&gt;0,N($I597)-N($P597),IF(N($J597)&gt;0,N($J597)-N($Q597),"")))</f>
        <v/>
      </c>
      <c r="S597" s="17">
        <f>IF(OR($B597="",$R597=""),"",IF($R597&lt;=0,"CLEARED "&amp;IFERROR(TEXT(_xlfn.MAXIFS(nrMK_Date,nrMK_Link,$B597,nrMK_Credit,"Yes"),"mm/dd"),""),"OPEN"))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IF(OR($B598="",N($I598)=0),"",SUMIFS(nrMK_Min,nrMK_Link,$B598,nrMK_Credit,"Yes"))</f>
        <v/>
      </c>
      <c r="Q598" s="17">
        <f>IF(OR($B598="",N($J598)=0),"",SUMIFS(nrMK_Sess,nrMK_Link,$B598,nrMK_Credit,"Yes"))</f>
        <v/>
      </c>
      <c r="R598" s="17">
        <f>IF(OR($B598="",$N598&lt;&gt;"Yes"),"",IF(N($I598)&gt;0,N($I598)-N($P598),IF(N($J598)&gt;0,N($J598)-N($Q598),"")))</f>
        <v/>
      </c>
      <c r="S598" s="17">
        <f>IF(OR($B598="",$R598=""),"",IF($R598&lt;=0,"CLEARED "&amp;IFERROR(TEXT(_xlfn.MAXIFS(nrMK_Date,nrMK_Link,$B598,nrMK_Credit,"Yes"),"mm/dd"),""),"OPEN"))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IF(OR($B599="",N($I599)=0),"",SUMIFS(nrMK_Min,nrMK_Link,$B599,nrMK_Credit,"Yes"))</f>
        <v/>
      </c>
      <c r="Q599" s="17">
        <f>IF(OR($B599="",N($J599)=0),"",SUMIFS(nrMK_Sess,nrMK_Link,$B599,nrMK_Credit,"Yes"))</f>
        <v/>
      </c>
      <c r="R599" s="17">
        <f>IF(OR($B599="",$N599&lt;&gt;"Yes"),"",IF(N($I599)&gt;0,N($I599)-N($P599),IF(N($J599)&gt;0,N($J599)-N($Q599),"")))</f>
        <v/>
      </c>
      <c r="S599" s="17">
        <f>IF(OR($B599="",$R599=""),"",IF($R599&lt;=0,"CLEARED "&amp;IFERROR(TEXT(_xlfn.MAXIFS(nrMK_Date,nrMK_Link,$B599,nrMK_Credit,"Yes"),"mm/dd"),""),"OPEN"))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IF(OR($B600="",N($I600)=0),"",SUMIFS(nrMK_Min,nrMK_Link,$B600,nrMK_Credit,"Yes"))</f>
        <v/>
      </c>
      <c r="Q600" s="17">
        <f>IF(OR($B600="",N($J600)=0),"",SUMIFS(nrMK_Sess,nrMK_Link,$B600,nrMK_Credit,"Yes"))</f>
        <v/>
      </c>
      <c r="R600" s="17">
        <f>IF(OR($B600="",$N600&lt;&gt;"Yes"),"",IF(N($I600)&gt;0,N($I600)-N($P600),IF(N($J600)&gt;0,N($J600)-N($Q600),"")))</f>
        <v/>
      </c>
      <c r="S600" s="17">
        <f>IF(OR($B600="",$R600=""),"",IF($R600&lt;=0,"CLEARED "&amp;IFERROR(TEXT(_xlfn.MAXIFS(nrMK_Date,nrMK_Link,$B600,nrMK_Credit,"Yes"),"mm/dd"),""),"OPEN"))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IF(OR($B601="",N($I601)=0),"",SUMIFS(nrMK_Min,nrMK_Link,$B601,nrMK_Credit,"Yes"))</f>
        <v/>
      </c>
      <c r="Q601" s="17">
        <f>IF(OR($B601="",N($J601)=0),"",SUMIFS(nrMK_Sess,nrMK_Link,$B601,nrMK_Credit,"Yes"))</f>
        <v/>
      </c>
      <c r="R601" s="17">
        <f>IF(OR($B601="",$N601&lt;&gt;"Yes"),"",IF(N($I601)&gt;0,N($I601)-N($P601),IF(N($J601)&gt;0,N($J601)-N($Q601),"")))</f>
        <v/>
      </c>
      <c r="S601" s="17">
        <f>IF(OR($B601="",$R601=""),"",IF($R601&lt;=0,"CLEARED "&amp;IFERROR(TEXT(_xlfn.MAXIFS(nrMK_Date,nrMK_Link,$B601,nrMK_Credit,"Yes"),"mm/dd"),""),"OPEN"))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IF(OR($B602="",N($I602)=0),"",SUMIFS(nrMK_Min,nrMK_Link,$B602,nrMK_Credit,"Yes"))</f>
        <v/>
      </c>
      <c r="Q602" s="17">
        <f>IF(OR($B602="",N($J602)=0),"",SUMIFS(nrMK_Sess,nrMK_Link,$B602,nrMK_Credit,"Yes"))</f>
        <v/>
      </c>
      <c r="R602" s="17">
        <f>IF(OR($B602="",$N602&lt;&gt;"Yes"),"",IF(N($I602)&gt;0,N($I602)-N($P602),IF(N($J602)&gt;0,N($J602)-N($Q602),"")))</f>
        <v/>
      </c>
      <c r="S602" s="17">
        <f>IF(OR($B602="",$R602=""),"",IF($R602&lt;=0,"CLEARED "&amp;IFERROR(TEXT(_xlfn.MAXIFS(nrMK_Date,nrMK_Link,$B602,nrMK_Credit,"Yes"),"mm/dd"),""),"OPEN"))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IF(OR($B603="",N($I603)=0),"",SUMIFS(nrMK_Min,nrMK_Link,$B603,nrMK_Credit,"Yes"))</f>
        <v/>
      </c>
      <c r="Q603" s="17">
        <f>IF(OR($B603="",N($J603)=0),"",SUMIFS(nrMK_Sess,nrMK_Link,$B603,nrMK_Credit,"Yes"))</f>
        <v/>
      </c>
      <c r="R603" s="17">
        <f>IF(OR($B603="",$N603&lt;&gt;"Yes"),"",IF(N($I603)&gt;0,N($I603)-N($P603),IF(N($J603)&gt;0,N($J603)-N($Q603),"")))</f>
        <v/>
      </c>
      <c r="S603" s="17">
        <f>IF(OR($B603="",$R603=""),"",IF($R603&lt;=0,"CLEARED "&amp;IFERROR(TEXT(_xlfn.MAXIFS(nrMK_Date,nrMK_Link,$B603,nrMK_Credit,"Yes"),"mm/dd"),""),"OPEN"))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IF(OR($B604="",N($I604)=0),"",SUMIFS(nrMK_Min,nrMK_Link,$B604,nrMK_Credit,"Yes"))</f>
        <v/>
      </c>
      <c r="Q604" s="17">
        <f>IF(OR($B604="",N($J604)=0),"",SUMIFS(nrMK_Sess,nrMK_Link,$B604,nrMK_Credit,"Yes"))</f>
        <v/>
      </c>
      <c r="R604" s="17">
        <f>IF(OR($B604="",$N604&lt;&gt;"Yes"),"",IF(N($I604)&gt;0,N($I604)-N($P604),IF(N($J604)&gt;0,N($J604)-N($Q604),"")))</f>
        <v/>
      </c>
      <c r="S604" s="17">
        <f>IF(OR($B604="",$R604=""),"",IF($R604&lt;=0,"CLEARED "&amp;IFERROR(TEXT(_xlfn.MAXIFS(nrMK_Date,nrMK_Link,$B604,nrMK_Credit,"Yes"),"mm/dd"),""),"OPEN"))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IF(OR($B605="",N($I605)=0),"",SUMIFS(nrMK_Min,nrMK_Link,$B605,nrMK_Credit,"Yes"))</f>
        <v/>
      </c>
      <c r="Q605" s="17">
        <f>IF(OR($B605="",N($J605)=0),"",SUMIFS(nrMK_Sess,nrMK_Link,$B605,nrMK_Credit,"Yes"))</f>
        <v/>
      </c>
      <c r="R605" s="17">
        <f>IF(OR($B605="",$N605&lt;&gt;"Yes"),"",IF(N($I605)&gt;0,N($I605)-N($P605),IF(N($J605)&gt;0,N($J605)-N($Q605),"")))</f>
        <v/>
      </c>
      <c r="S605" s="17">
        <f>IF(OR($B605="",$R605=""),"",IF($R605&lt;=0,"CLEARED "&amp;IFERROR(TEXT(_xlfn.MAXIFS(nrMK_Date,nrMK_Link,$B605,nrMK_Credit,"Yes"),"mm/dd"),""),"OPEN"))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IF(OR($B606="",N($I606)=0),"",SUMIFS(nrMK_Min,nrMK_Link,$B606,nrMK_Credit,"Yes"))</f>
        <v/>
      </c>
      <c r="Q606" s="17">
        <f>IF(OR($B606="",N($J606)=0),"",SUMIFS(nrMK_Sess,nrMK_Link,$B606,nrMK_Credit,"Yes"))</f>
        <v/>
      </c>
      <c r="R606" s="17">
        <f>IF(OR($B606="",$N606&lt;&gt;"Yes"),"",IF(N($I606)&gt;0,N($I606)-N($P606),IF(N($J606)&gt;0,N($J606)-N($Q606),"")))</f>
        <v/>
      </c>
      <c r="S606" s="17">
        <f>IF(OR($B606="",$R606=""),"",IF($R606&lt;=0,"CLEARED "&amp;IFERROR(TEXT(_xlfn.MAXIFS(nrMK_Date,nrMK_Link,$B606,nrMK_Credit,"Yes"),"mm/dd"),""),"OPEN"))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IF(OR($B607="",N($I607)=0),"",SUMIFS(nrMK_Min,nrMK_Link,$B607,nrMK_Credit,"Yes"))</f>
        <v/>
      </c>
      <c r="Q607" s="17">
        <f>IF(OR($B607="",N($J607)=0),"",SUMIFS(nrMK_Sess,nrMK_Link,$B607,nrMK_Credit,"Yes"))</f>
        <v/>
      </c>
      <c r="R607" s="17">
        <f>IF(OR($B607="",$N607&lt;&gt;"Yes"),"",IF(N($I607)&gt;0,N($I607)-N($P607),IF(N($J607)&gt;0,N($J607)-N($Q607),"")))</f>
        <v/>
      </c>
      <c r="S607" s="17">
        <f>IF(OR($B607="",$R607=""),"",IF($R607&lt;=0,"CLEARED "&amp;IFERROR(TEXT(_xlfn.MAXIFS(nrMK_Date,nrMK_Link,$B607,nrMK_Credit,"Yes"),"mm/dd"),""),"OPEN"))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IF(OR($B608="",N($I608)=0),"",SUMIFS(nrMK_Min,nrMK_Link,$B608,nrMK_Credit,"Yes"))</f>
        <v/>
      </c>
      <c r="Q608" s="17">
        <f>IF(OR($B608="",N($J608)=0),"",SUMIFS(nrMK_Sess,nrMK_Link,$B608,nrMK_Credit,"Yes"))</f>
        <v/>
      </c>
      <c r="R608" s="17">
        <f>IF(OR($B608="",$N608&lt;&gt;"Yes"),"",IF(N($I608)&gt;0,N($I608)-N($P608),IF(N($J608)&gt;0,N($J608)-N($Q608),"")))</f>
        <v/>
      </c>
      <c r="S608" s="17">
        <f>IF(OR($B608="",$R608=""),"",IF($R608&lt;=0,"CLEARED "&amp;IFERROR(TEXT(_xlfn.MAXIFS(nrMK_Date,nrMK_Link,$B608,nrMK_Credit,"Yes"),"mm/dd"),""),"OPEN"))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IF(OR($B609="",N($I609)=0),"",SUMIFS(nrMK_Min,nrMK_Link,$B609,nrMK_Credit,"Yes"))</f>
        <v/>
      </c>
      <c r="Q609" s="17">
        <f>IF(OR($B609="",N($J609)=0),"",SUMIFS(nrMK_Sess,nrMK_Link,$B609,nrMK_Credit,"Yes"))</f>
        <v/>
      </c>
      <c r="R609" s="17">
        <f>IF(OR($B609="",$N609&lt;&gt;"Yes"),"",IF(N($I609)&gt;0,N($I609)-N($P609),IF(N($J609)&gt;0,N($J609)-N($Q609),"")))</f>
        <v/>
      </c>
      <c r="S609" s="17">
        <f>IF(OR($B609="",$R609=""),"",IF($R609&lt;=0,"CLEARED "&amp;IFERROR(TEXT(_xlfn.MAXIFS(nrMK_Date,nrMK_Link,$B609,nrMK_Credit,"Yes"),"mm/dd"),""),"OPEN"))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IF(OR($B610="",N($I610)=0),"",SUMIFS(nrMK_Min,nrMK_Link,$B610,nrMK_Credit,"Yes"))</f>
        <v/>
      </c>
      <c r="Q610" s="17">
        <f>IF(OR($B610="",N($J610)=0),"",SUMIFS(nrMK_Sess,nrMK_Link,$B610,nrMK_Credit,"Yes"))</f>
        <v/>
      </c>
      <c r="R610" s="17">
        <f>IF(OR($B610="",$N610&lt;&gt;"Yes"),"",IF(N($I610)&gt;0,N($I610)-N($P610),IF(N($J610)&gt;0,N($J610)-N($Q610),"")))</f>
        <v/>
      </c>
      <c r="S610" s="17">
        <f>IF(OR($B610="",$R610=""),"",IF($R610&lt;=0,"CLEARED "&amp;IFERROR(TEXT(_xlfn.MAXIFS(nrMK_Date,nrMK_Link,$B610,nrMK_Credit,"Yes"),"mm/dd"),""),"OPEN"))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IF(OR($B611="",N($I611)=0),"",SUMIFS(nrMK_Min,nrMK_Link,$B611,nrMK_Credit,"Yes"))</f>
        <v/>
      </c>
      <c r="Q611" s="17">
        <f>IF(OR($B611="",N($J611)=0),"",SUMIFS(nrMK_Sess,nrMK_Link,$B611,nrMK_Credit,"Yes"))</f>
        <v/>
      </c>
      <c r="R611" s="17">
        <f>IF(OR($B611="",$N611&lt;&gt;"Yes"),"",IF(N($I611)&gt;0,N($I611)-N($P611),IF(N($J611)&gt;0,N($J611)-N($Q611),"")))</f>
        <v/>
      </c>
      <c r="S611" s="17">
        <f>IF(OR($B611="",$R611=""),"",IF($R611&lt;=0,"CLEARED "&amp;IFERROR(TEXT(_xlfn.MAXIFS(nrMK_Date,nrMK_Link,$B611,nrMK_Credit,"Yes"),"mm/dd"),""),"OPEN"))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IF(OR($B612="",N($I612)=0),"",SUMIFS(nrMK_Min,nrMK_Link,$B612,nrMK_Credit,"Yes"))</f>
        <v/>
      </c>
      <c r="Q612" s="17">
        <f>IF(OR($B612="",N($J612)=0),"",SUMIFS(nrMK_Sess,nrMK_Link,$B612,nrMK_Credit,"Yes"))</f>
        <v/>
      </c>
      <c r="R612" s="17">
        <f>IF(OR($B612="",$N612&lt;&gt;"Yes"),"",IF(N($I612)&gt;0,N($I612)-N($P612),IF(N($J612)&gt;0,N($J612)-N($Q612),"")))</f>
        <v/>
      </c>
      <c r="S612" s="17">
        <f>IF(OR($B612="",$R612=""),"",IF($R612&lt;=0,"CLEARED "&amp;IFERROR(TEXT(_xlfn.MAXIFS(nrMK_Date,nrMK_Link,$B612,nrMK_Credit,"Yes"),"mm/dd"),""),"OPEN"))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IF(OR($B613="",N($I613)=0),"",SUMIFS(nrMK_Min,nrMK_Link,$B613,nrMK_Credit,"Yes"))</f>
        <v/>
      </c>
      <c r="Q613" s="17">
        <f>IF(OR($B613="",N($J613)=0),"",SUMIFS(nrMK_Sess,nrMK_Link,$B613,nrMK_Credit,"Yes"))</f>
        <v/>
      </c>
      <c r="R613" s="17">
        <f>IF(OR($B613="",$N613&lt;&gt;"Yes"),"",IF(N($I613)&gt;0,N($I613)-N($P613),IF(N($J613)&gt;0,N($J613)-N($Q613),"")))</f>
        <v/>
      </c>
      <c r="S613" s="17">
        <f>IF(OR($B613="",$R613=""),"",IF($R613&lt;=0,"CLEARED "&amp;IFERROR(TEXT(_xlfn.MAXIFS(nrMK_Date,nrMK_Link,$B613,nrMK_Credit,"Yes"),"mm/dd"),""),"OPEN"))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IF(OR($B614="",N($I614)=0),"",SUMIFS(nrMK_Min,nrMK_Link,$B614,nrMK_Credit,"Yes"))</f>
        <v/>
      </c>
      <c r="Q614" s="17">
        <f>IF(OR($B614="",N($J614)=0),"",SUMIFS(nrMK_Sess,nrMK_Link,$B614,nrMK_Credit,"Yes"))</f>
        <v/>
      </c>
      <c r="R614" s="17">
        <f>IF(OR($B614="",$N614&lt;&gt;"Yes"),"",IF(N($I614)&gt;0,N($I614)-N($P614),IF(N($J614)&gt;0,N($J614)-N($Q614),"")))</f>
        <v/>
      </c>
      <c r="S614" s="17">
        <f>IF(OR($B614="",$R614=""),"",IF($R614&lt;=0,"CLEARED "&amp;IFERROR(TEXT(_xlfn.MAXIFS(nrMK_Date,nrMK_Link,$B614,nrMK_Credit,"Yes"),"mm/dd"),""),"OPEN"))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IF(OR($B615="",N($I615)=0),"",SUMIFS(nrMK_Min,nrMK_Link,$B615,nrMK_Credit,"Yes"))</f>
        <v/>
      </c>
      <c r="Q615" s="17">
        <f>IF(OR($B615="",N($J615)=0),"",SUMIFS(nrMK_Sess,nrMK_Link,$B615,nrMK_Credit,"Yes"))</f>
        <v/>
      </c>
      <c r="R615" s="17">
        <f>IF(OR($B615="",$N615&lt;&gt;"Yes"),"",IF(N($I615)&gt;0,N($I615)-N($P615),IF(N($J615)&gt;0,N($J615)-N($Q615),"")))</f>
        <v/>
      </c>
      <c r="S615" s="17">
        <f>IF(OR($B615="",$R615=""),"",IF($R615&lt;=0,"CLEARED "&amp;IFERROR(TEXT(_xlfn.MAXIFS(nrMK_Date,nrMK_Link,$B615,nrMK_Credit,"Yes"),"mm/dd"),""),"OPEN"))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IF(OR($B616="",N($I616)=0),"",SUMIFS(nrMK_Min,nrMK_Link,$B616,nrMK_Credit,"Yes"))</f>
        <v/>
      </c>
      <c r="Q616" s="17">
        <f>IF(OR($B616="",N($J616)=0),"",SUMIFS(nrMK_Sess,nrMK_Link,$B616,nrMK_Credit,"Yes"))</f>
        <v/>
      </c>
      <c r="R616" s="17">
        <f>IF(OR($B616="",$N616&lt;&gt;"Yes"),"",IF(N($I616)&gt;0,N($I616)-N($P616),IF(N($J616)&gt;0,N($J616)-N($Q616),"")))</f>
        <v/>
      </c>
      <c r="S616" s="17">
        <f>IF(OR($B616="",$R616=""),"",IF($R616&lt;=0,"CLEARED "&amp;IFERROR(TEXT(_xlfn.MAXIFS(nrMK_Date,nrMK_Link,$B616,nrMK_Credit,"Yes"),"mm/dd"),""),"OPEN"))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IF(OR($B617="",N($I617)=0),"",SUMIFS(nrMK_Min,nrMK_Link,$B617,nrMK_Credit,"Yes"))</f>
        <v/>
      </c>
      <c r="Q617" s="17">
        <f>IF(OR($B617="",N($J617)=0),"",SUMIFS(nrMK_Sess,nrMK_Link,$B617,nrMK_Credit,"Yes"))</f>
        <v/>
      </c>
      <c r="R617" s="17">
        <f>IF(OR($B617="",$N617&lt;&gt;"Yes"),"",IF(N($I617)&gt;0,N($I617)-N($P617),IF(N($J617)&gt;0,N($J617)-N($Q617),"")))</f>
        <v/>
      </c>
      <c r="S617" s="17">
        <f>IF(OR($B617="",$R617=""),"",IF($R617&lt;=0,"CLEARED "&amp;IFERROR(TEXT(_xlfn.MAXIFS(nrMK_Date,nrMK_Link,$B617,nrMK_Credit,"Yes"),"mm/dd"),""),"OPEN"))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IF(OR($B618="",N($I618)=0),"",SUMIFS(nrMK_Min,nrMK_Link,$B618,nrMK_Credit,"Yes"))</f>
        <v/>
      </c>
      <c r="Q618" s="17">
        <f>IF(OR($B618="",N($J618)=0),"",SUMIFS(nrMK_Sess,nrMK_Link,$B618,nrMK_Credit,"Yes"))</f>
        <v/>
      </c>
      <c r="R618" s="17">
        <f>IF(OR($B618="",$N618&lt;&gt;"Yes"),"",IF(N($I618)&gt;0,N($I618)-N($P618),IF(N($J618)&gt;0,N($J618)-N($Q618),"")))</f>
        <v/>
      </c>
      <c r="S618" s="17">
        <f>IF(OR($B618="",$R618=""),"",IF($R618&lt;=0,"CLEARED "&amp;IFERROR(TEXT(_xlfn.MAXIFS(nrMK_Date,nrMK_Link,$B618,nrMK_Credit,"Yes"),"mm/dd"),""),"OPEN"))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IF(OR($B619="",N($I619)=0),"",SUMIFS(nrMK_Min,nrMK_Link,$B619,nrMK_Credit,"Yes"))</f>
        <v/>
      </c>
      <c r="Q619" s="17">
        <f>IF(OR($B619="",N($J619)=0),"",SUMIFS(nrMK_Sess,nrMK_Link,$B619,nrMK_Credit,"Yes"))</f>
        <v/>
      </c>
      <c r="R619" s="17">
        <f>IF(OR($B619="",$N619&lt;&gt;"Yes"),"",IF(N($I619)&gt;0,N($I619)-N($P619),IF(N($J619)&gt;0,N($J619)-N($Q619),"")))</f>
        <v/>
      </c>
      <c r="S619" s="17">
        <f>IF(OR($B619="",$R619=""),"",IF($R619&lt;=0,"CLEARED "&amp;IFERROR(TEXT(_xlfn.MAXIFS(nrMK_Date,nrMK_Link,$B619,nrMK_Credit,"Yes"),"mm/dd"),""),"OPEN"))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IF(OR($B620="",N($I620)=0),"",SUMIFS(nrMK_Min,nrMK_Link,$B620,nrMK_Credit,"Yes"))</f>
        <v/>
      </c>
      <c r="Q620" s="17">
        <f>IF(OR($B620="",N($J620)=0),"",SUMIFS(nrMK_Sess,nrMK_Link,$B620,nrMK_Credit,"Yes"))</f>
        <v/>
      </c>
      <c r="R620" s="17">
        <f>IF(OR($B620="",$N620&lt;&gt;"Yes"),"",IF(N($I620)&gt;0,N($I620)-N($P620),IF(N($J620)&gt;0,N($J620)-N($Q620),"")))</f>
        <v/>
      </c>
      <c r="S620" s="17">
        <f>IF(OR($B620="",$R620=""),"",IF($R620&lt;=0,"CLEARED "&amp;IFERROR(TEXT(_xlfn.MAXIFS(nrMK_Date,nrMK_Link,$B620,nrMK_Credit,"Yes"),"mm/dd"),""),"OPEN"))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IF(OR($B621="",N($I621)=0),"",SUMIFS(nrMK_Min,nrMK_Link,$B621,nrMK_Credit,"Yes"))</f>
        <v/>
      </c>
      <c r="Q621" s="17">
        <f>IF(OR($B621="",N($J621)=0),"",SUMIFS(nrMK_Sess,nrMK_Link,$B621,nrMK_Credit,"Yes"))</f>
        <v/>
      </c>
      <c r="R621" s="17">
        <f>IF(OR($B621="",$N621&lt;&gt;"Yes"),"",IF(N($I621)&gt;0,N($I621)-N($P621),IF(N($J621)&gt;0,N($J621)-N($Q621),"")))</f>
        <v/>
      </c>
      <c r="S621" s="17">
        <f>IF(OR($B621="",$R621=""),"",IF($R621&lt;=0,"CLEARED "&amp;IFERROR(TEXT(_xlfn.MAXIFS(nrMK_Date,nrMK_Link,$B621,nrMK_Credit,"Yes"),"mm/dd"),""),"OPEN"))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IF(OR($B622="",N($I622)=0),"",SUMIFS(nrMK_Min,nrMK_Link,$B622,nrMK_Credit,"Yes"))</f>
        <v/>
      </c>
      <c r="Q622" s="17">
        <f>IF(OR($B622="",N($J622)=0),"",SUMIFS(nrMK_Sess,nrMK_Link,$B622,nrMK_Credit,"Yes"))</f>
        <v/>
      </c>
      <c r="R622" s="17">
        <f>IF(OR($B622="",$N622&lt;&gt;"Yes"),"",IF(N($I622)&gt;0,N($I622)-N($P622),IF(N($J622)&gt;0,N($J622)-N($Q622),"")))</f>
        <v/>
      </c>
      <c r="S622" s="17">
        <f>IF(OR($B622="",$R622=""),"",IF($R622&lt;=0,"CLEARED "&amp;IFERROR(TEXT(_xlfn.MAXIFS(nrMK_Date,nrMK_Link,$B622,nrMK_Credit,"Yes"),"mm/dd"),""),"OPEN"))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IF(OR($B623="",N($I623)=0),"",SUMIFS(nrMK_Min,nrMK_Link,$B623,nrMK_Credit,"Yes"))</f>
        <v/>
      </c>
      <c r="Q623" s="17">
        <f>IF(OR($B623="",N($J623)=0),"",SUMIFS(nrMK_Sess,nrMK_Link,$B623,nrMK_Credit,"Yes"))</f>
        <v/>
      </c>
      <c r="R623" s="17">
        <f>IF(OR($B623="",$N623&lt;&gt;"Yes"),"",IF(N($I623)&gt;0,N($I623)-N($P623),IF(N($J623)&gt;0,N($J623)-N($Q623),"")))</f>
        <v/>
      </c>
      <c r="S623" s="17">
        <f>IF(OR($B623="",$R623=""),"",IF($R623&lt;=0,"CLEARED "&amp;IFERROR(TEXT(_xlfn.MAXIFS(nrMK_Date,nrMK_Link,$B623,nrMK_Credit,"Yes"),"mm/dd"),""),"OPEN"))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IF(OR($B624="",N($I624)=0),"",SUMIFS(nrMK_Min,nrMK_Link,$B624,nrMK_Credit,"Yes"))</f>
        <v/>
      </c>
      <c r="Q624" s="17">
        <f>IF(OR($B624="",N($J624)=0),"",SUMIFS(nrMK_Sess,nrMK_Link,$B624,nrMK_Credit,"Yes"))</f>
        <v/>
      </c>
      <c r="R624" s="17">
        <f>IF(OR($B624="",$N624&lt;&gt;"Yes"),"",IF(N($I624)&gt;0,N($I624)-N($P624),IF(N($J624)&gt;0,N($J624)-N($Q624),"")))</f>
        <v/>
      </c>
      <c r="S624" s="17">
        <f>IF(OR($B624="",$R624=""),"",IF($R624&lt;=0,"CLEARED "&amp;IFERROR(TEXT(_xlfn.MAXIFS(nrMK_Date,nrMK_Link,$B624,nrMK_Credit,"Yes"),"mm/dd"),""),"OPEN"))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IF(OR($B625="",N($I625)=0),"",SUMIFS(nrMK_Min,nrMK_Link,$B625,nrMK_Credit,"Yes"))</f>
        <v/>
      </c>
      <c r="Q625" s="17">
        <f>IF(OR($B625="",N($J625)=0),"",SUMIFS(nrMK_Sess,nrMK_Link,$B625,nrMK_Credit,"Yes"))</f>
        <v/>
      </c>
      <c r="R625" s="17">
        <f>IF(OR($B625="",$N625&lt;&gt;"Yes"),"",IF(N($I625)&gt;0,N($I625)-N($P625),IF(N($J625)&gt;0,N($J625)-N($Q625),"")))</f>
        <v/>
      </c>
      <c r="S625" s="17">
        <f>IF(OR($B625="",$R625=""),"",IF($R625&lt;=0,"CLEARED "&amp;IFERROR(TEXT(_xlfn.MAXIFS(nrMK_Date,nrMK_Link,$B625,nrMK_Credit,"Yes"),"mm/dd"),""),"OPEN"))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IF(OR($B626="",N($I626)=0),"",SUMIFS(nrMK_Min,nrMK_Link,$B626,nrMK_Credit,"Yes"))</f>
        <v/>
      </c>
      <c r="Q626" s="17">
        <f>IF(OR($B626="",N($J626)=0),"",SUMIFS(nrMK_Sess,nrMK_Link,$B626,nrMK_Credit,"Yes"))</f>
        <v/>
      </c>
      <c r="R626" s="17">
        <f>IF(OR($B626="",$N626&lt;&gt;"Yes"),"",IF(N($I626)&gt;0,N($I626)-N($P626),IF(N($J626)&gt;0,N($J626)-N($Q626),"")))</f>
        <v/>
      </c>
      <c r="S626" s="17">
        <f>IF(OR($B626="",$R626=""),"",IF($R626&lt;=0,"CLEARED "&amp;IFERROR(TEXT(_xlfn.MAXIFS(nrMK_Date,nrMK_Link,$B626,nrMK_Credit,"Yes"),"mm/dd"),""),"OPEN"))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IF(OR($B627="",N($I627)=0),"",SUMIFS(nrMK_Min,nrMK_Link,$B627,nrMK_Credit,"Yes"))</f>
        <v/>
      </c>
      <c r="Q627" s="17">
        <f>IF(OR($B627="",N($J627)=0),"",SUMIFS(nrMK_Sess,nrMK_Link,$B627,nrMK_Credit,"Yes"))</f>
        <v/>
      </c>
      <c r="R627" s="17">
        <f>IF(OR($B627="",$N627&lt;&gt;"Yes"),"",IF(N($I627)&gt;0,N($I627)-N($P627),IF(N($J627)&gt;0,N($J627)-N($Q627),"")))</f>
        <v/>
      </c>
      <c r="S627" s="17">
        <f>IF(OR($B627="",$R627=""),"",IF($R627&lt;=0,"CLEARED "&amp;IFERROR(TEXT(_xlfn.MAXIFS(nrMK_Date,nrMK_Link,$B627,nrMK_Credit,"Yes"),"mm/dd"),""),"OPEN"))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IF(OR($B628="",N($I628)=0),"",SUMIFS(nrMK_Min,nrMK_Link,$B628,nrMK_Credit,"Yes"))</f>
        <v/>
      </c>
      <c r="Q628" s="17">
        <f>IF(OR($B628="",N($J628)=0),"",SUMIFS(nrMK_Sess,nrMK_Link,$B628,nrMK_Credit,"Yes"))</f>
        <v/>
      </c>
      <c r="R628" s="17">
        <f>IF(OR($B628="",$N628&lt;&gt;"Yes"),"",IF(N($I628)&gt;0,N($I628)-N($P628),IF(N($J628)&gt;0,N($J628)-N($Q628),"")))</f>
        <v/>
      </c>
      <c r="S628" s="17">
        <f>IF(OR($B628="",$R628=""),"",IF($R628&lt;=0,"CLEARED "&amp;IFERROR(TEXT(_xlfn.MAXIFS(nrMK_Date,nrMK_Link,$B628,nrMK_Credit,"Yes"),"mm/dd"),""),"OPEN"))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IF(OR($B629="",N($I629)=0),"",SUMIFS(nrMK_Min,nrMK_Link,$B629,nrMK_Credit,"Yes"))</f>
        <v/>
      </c>
      <c r="Q629" s="17">
        <f>IF(OR($B629="",N($J629)=0),"",SUMIFS(nrMK_Sess,nrMK_Link,$B629,nrMK_Credit,"Yes"))</f>
        <v/>
      </c>
      <c r="R629" s="17">
        <f>IF(OR($B629="",$N629&lt;&gt;"Yes"),"",IF(N($I629)&gt;0,N($I629)-N($P629),IF(N($J629)&gt;0,N($J629)-N($Q629),"")))</f>
        <v/>
      </c>
      <c r="S629" s="17">
        <f>IF(OR($B629="",$R629=""),"",IF($R629&lt;=0,"CLEARED "&amp;IFERROR(TEXT(_xlfn.MAXIFS(nrMK_Date,nrMK_Link,$B629,nrMK_Credit,"Yes"),"mm/dd"),""),"OPEN"))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IF(OR($B630="",N($I630)=0),"",SUMIFS(nrMK_Min,nrMK_Link,$B630,nrMK_Credit,"Yes"))</f>
        <v/>
      </c>
      <c r="Q630" s="17">
        <f>IF(OR($B630="",N($J630)=0),"",SUMIFS(nrMK_Sess,nrMK_Link,$B630,nrMK_Credit,"Yes"))</f>
        <v/>
      </c>
      <c r="R630" s="17">
        <f>IF(OR($B630="",$N630&lt;&gt;"Yes"),"",IF(N($I630)&gt;0,N($I630)-N($P630),IF(N($J630)&gt;0,N($J630)-N($Q630),"")))</f>
        <v/>
      </c>
      <c r="S630" s="17">
        <f>IF(OR($B630="",$R630=""),"",IF($R630&lt;=0,"CLEARED "&amp;IFERROR(TEXT(_xlfn.MAXIFS(nrMK_Date,nrMK_Link,$B630,nrMK_Credit,"Yes"),"mm/dd"),""),"OPEN"))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IF(OR($B631="",N($I631)=0),"",SUMIFS(nrMK_Min,nrMK_Link,$B631,nrMK_Credit,"Yes"))</f>
        <v/>
      </c>
      <c r="Q631" s="17">
        <f>IF(OR($B631="",N($J631)=0),"",SUMIFS(nrMK_Sess,nrMK_Link,$B631,nrMK_Credit,"Yes"))</f>
        <v/>
      </c>
      <c r="R631" s="17">
        <f>IF(OR($B631="",$N631&lt;&gt;"Yes"),"",IF(N($I631)&gt;0,N($I631)-N($P631),IF(N($J631)&gt;0,N($J631)-N($Q631),"")))</f>
        <v/>
      </c>
      <c r="S631" s="17">
        <f>IF(OR($B631="",$R631=""),"",IF($R631&lt;=0,"CLEARED "&amp;IFERROR(TEXT(_xlfn.MAXIFS(nrMK_Date,nrMK_Link,$B631,nrMK_Credit,"Yes"),"mm/dd"),""),"OPEN"))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IF(OR($B632="",N($I632)=0),"",SUMIFS(nrMK_Min,nrMK_Link,$B632,nrMK_Credit,"Yes"))</f>
        <v/>
      </c>
      <c r="Q632" s="17">
        <f>IF(OR($B632="",N($J632)=0),"",SUMIFS(nrMK_Sess,nrMK_Link,$B632,nrMK_Credit,"Yes"))</f>
        <v/>
      </c>
      <c r="R632" s="17">
        <f>IF(OR($B632="",$N632&lt;&gt;"Yes"),"",IF(N($I632)&gt;0,N($I632)-N($P632),IF(N($J632)&gt;0,N($J632)-N($Q632),"")))</f>
        <v/>
      </c>
      <c r="S632" s="17">
        <f>IF(OR($B632="",$R632=""),"",IF($R632&lt;=0,"CLEARED "&amp;IFERROR(TEXT(_xlfn.MAXIFS(nrMK_Date,nrMK_Link,$B632,nrMK_Credit,"Yes"),"mm/dd"),""),"OPEN"))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IF(OR($B633="",N($I633)=0),"",SUMIFS(nrMK_Min,nrMK_Link,$B633,nrMK_Credit,"Yes"))</f>
        <v/>
      </c>
      <c r="Q633" s="17">
        <f>IF(OR($B633="",N($J633)=0),"",SUMIFS(nrMK_Sess,nrMK_Link,$B633,nrMK_Credit,"Yes"))</f>
        <v/>
      </c>
      <c r="R633" s="17">
        <f>IF(OR($B633="",$N633&lt;&gt;"Yes"),"",IF(N($I633)&gt;0,N($I633)-N($P633),IF(N($J633)&gt;0,N($J633)-N($Q633),"")))</f>
        <v/>
      </c>
      <c r="S633" s="17">
        <f>IF(OR($B633="",$R633=""),"",IF($R633&lt;=0,"CLEARED "&amp;IFERROR(TEXT(_xlfn.MAXIFS(nrMK_Date,nrMK_Link,$B633,nrMK_Credit,"Yes"),"mm/dd"),""),"OPEN"))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IF(OR($B634="",N($I634)=0),"",SUMIFS(nrMK_Min,nrMK_Link,$B634,nrMK_Credit,"Yes"))</f>
        <v/>
      </c>
      <c r="Q634" s="17">
        <f>IF(OR($B634="",N($J634)=0),"",SUMIFS(nrMK_Sess,nrMK_Link,$B634,nrMK_Credit,"Yes"))</f>
        <v/>
      </c>
      <c r="R634" s="17">
        <f>IF(OR($B634="",$N634&lt;&gt;"Yes"),"",IF(N($I634)&gt;0,N($I634)-N($P634),IF(N($J634)&gt;0,N($J634)-N($Q634),"")))</f>
        <v/>
      </c>
      <c r="S634" s="17">
        <f>IF(OR($B634="",$R634=""),"",IF($R634&lt;=0,"CLEARED "&amp;IFERROR(TEXT(_xlfn.MAXIFS(nrMK_Date,nrMK_Link,$B634,nrMK_Credit,"Yes"),"mm/dd"),""),"OPEN"))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IF(OR($B635="",N($I635)=0),"",SUMIFS(nrMK_Min,nrMK_Link,$B635,nrMK_Credit,"Yes"))</f>
        <v/>
      </c>
      <c r="Q635" s="17">
        <f>IF(OR($B635="",N($J635)=0),"",SUMIFS(nrMK_Sess,nrMK_Link,$B635,nrMK_Credit,"Yes"))</f>
        <v/>
      </c>
      <c r="R635" s="17">
        <f>IF(OR($B635="",$N635&lt;&gt;"Yes"),"",IF(N($I635)&gt;0,N($I635)-N($P635),IF(N($J635)&gt;0,N($J635)-N($Q635),"")))</f>
        <v/>
      </c>
      <c r="S635" s="17">
        <f>IF(OR($B635="",$R635=""),"",IF($R635&lt;=0,"CLEARED "&amp;IFERROR(TEXT(_xlfn.MAXIFS(nrMK_Date,nrMK_Link,$B635,nrMK_Credit,"Yes"),"mm/dd"),""),"OPEN"))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IF(OR($B636="",N($I636)=0),"",SUMIFS(nrMK_Min,nrMK_Link,$B636,nrMK_Credit,"Yes"))</f>
        <v/>
      </c>
      <c r="Q636" s="17">
        <f>IF(OR($B636="",N($J636)=0),"",SUMIFS(nrMK_Sess,nrMK_Link,$B636,nrMK_Credit,"Yes"))</f>
        <v/>
      </c>
      <c r="R636" s="17">
        <f>IF(OR($B636="",$N636&lt;&gt;"Yes"),"",IF(N($I636)&gt;0,N($I636)-N($P636),IF(N($J636)&gt;0,N($J636)-N($Q636),"")))</f>
        <v/>
      </c>
      <c r="S636" s="17">
        <f>IF(OR($B636="",$R636=""),"",IF($R636&lt;=0,"CLEARED "&amp;IFERROR(TEXT(_xlfn.MAXIFS(nrMK_Date,nrMK_Link,$B636,nrMK_Credit,"Yes"),"mm/dd"),""),"OPEN"))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IF(OR($B637="",N($I637)=0),"",SUMIFS(nrMK_Min,nrMK_Link,$B637,nrMK_Credit,"Yes"))</f>
        <v/>
      </c>
      <c r="Q637" s="17">
        <f>IF(OR($B637="",N($J637)=0),"",SUMIFS(nrMK_Sess,nrMK_Link,$B637,nrMK_Credit,"Yes"))</f>
        <v/>
      </c>
      <c r="R637" s="17">
        <f>IF(OR($B637="",$N637&lt;&gt;"Yes"),"",IF(N($I637)&gt;0,N($I637)-N($P637),IF(N($J637)&gt;0,N($J637)-N($Q637),"")))</f>
        <v/>
      </c>
      <c r="S637" s="17">
        <f>IF(OR($B637="",$R637=""),"",IF($R637&lt;=0,"CLEARED "&amp;IFERROR(TEXT(_xlfn.MAXIFS(nrMK_Date,nrMK_Link,$B637,nrMK_Credit,"Yes"),"mm/dd"),""),"OPEN"))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IF(OR($B638="",N($I638)=0),"",SUMIFS(nrMK_Min,nrMK_Link,$B638,nrMK_Credit,"Yes"))</f>
        <v/>
      </c>
      <c r="Q638" s="17">
        <f>IF(OR($B638="",N($J638)=0),"",SUMIFS(nrMK_Sess,nrMK_Link,$B638,nrMK_Credit,"Yes"))</f>
        <v/>
      </c>
      <c r="R638" s="17">
        <f>IF(OR($B638="",$N638&lt;&gt;"Yes"),"",IF(N($I638)&gt;0,N($I638)-N($P638),IF(N($J638)&gt;0,N($J638)-N($Q638),"")))</f>
        <v/>
      </c>
      <c r="S638" s="17">
        <f>IF(OR($B638="",$R638=""),"",IF($R638&lt;=0,"CLEARED "&amp;IFERROR(TEXT(_xlfn.MAXIFS(nrMK_Date,nrMK_Link,$B638,nrMK_Credit,"Yes"),"mm/dd"),""),"OPEN"))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IF(OR($B639="",N($I639)=0),"",SUMIFS(nrMK_Min,nrMK_Link,$B639,nrMK_Credit,"Yes"))</f>
        <v/>
      </c>
      <c r="Q639" s="17">
        <f>IF(OR($B639="",N($J639)=0),"",SUMIFS(nrMK_Sess,nrMK_Link,$B639,nrMK_Credit,"Yes"))</f>
        <v/>
      </c>
      <c r="R639" s="17">
        <f>IF(OR($B639="",$N639&lt;&gt;"Yes"),"",IF(N($I639)&gt;0,N($I639)-N($P639),IF(N($J639)&gt;0,N($J639)-N($Q639),"")))</f>
        <v/>
      </c>
      <c r="S639" s="17">
        <f>IF(OR($B639="",$R639=""),"",IF($R639&lt;=0,"CLEARED "&amp;IFERROR(TEXT(_xlfn.MAXIFS(nrMK_Date,nrMK_Link,$B639,nrMK_Credit,"Yes"),"mm/dd"),""),"OPEN"))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IF(OR($B640="",N($I640)=0),"",SUMIFS(nrMK_Min,nrMK_Link,$B640,nrMK_Credit,"Yes"))</f>
        <v/>
      </c>
      <c r="Q640" s="17">
        <f>IF(OR($B640="",N($J640)=0),"",SUMIFS(nrMK_Sess,nrMK_Link,$B640,nrMK_Credit,"Yes"))</f>
        <v/>
      </c>
      <c r="R640" s="17">
        <f>IF(OR($B640="",$N640&lt;&gt;"Yes"),"",IF(N($I640)&gt;0,N($I640)-N($P640),IF(N($J640)&gt;0,N($J640)-N($Q640),"")))</f>
        <v/>
      </c>
      <c r="S640" s="17">
        <f>IF(OR($B640="",$R640=""),"",IF($R640&lt;=0,"CLEARED "&amp;IFERROR(TEXT(_xlfn.MAXIFS(nrMK_Date,nrMK_Link,$B640,nrMK_Credit,"Yes"),"mm/dd"),""),"OPEN"))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IF(OR($B641="",N($I641)=0),"",SUMIFS(nrMK_Min,nrMK_Link,$B641,nrMK_Credit,"Yes"))</f>
        <v/>
      </c>
      <c r="Q641" s="17">
        <f>IF(OR($B641="",N($J641)=0),"",SUMIFS(nrMK_Sess,nrMK_Link,$B641,nrMK_Credit,"Yes"))</f>
        <v/>
      </c>
      <c r="R641" s="17">
        <f>IF(OR($B641="",$N641&lt;&gt;"Yes"),"",IF(N($I641)&gt;0,N($I641)-N($P641),IF(N($J641)&gt;0,N($J641)-N($Q641),"")))</f>
        <v/>
      </c>
      <c r="S641" s="17">
        <f>IF(OR($B641="",$R641=""),"",IF($R641&lt;=0,"CLEARED "&amp;IFERROR(TEXT(_xlfn.MAXIFS(nrMK_Date,nrMK_Link,$B641,nrMK_Credit,"Yes"),"mm/dd"),""),"OPEN"))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IF(OR($B642="",N($I642)=0),"",SUMIFS(nrMK_Min,nrMK_Link,$B642,nrMK_Credit,"Yes"))</f>
        <v/>
      </c>
      <c r="Q642" s="17">
        <f>IF(OR($B642="",N($J642)=0),"",SUMIFS(nrMK_Sess,nrMK_Link,$B642,nrMK_Credit,"Yes"))</f>
        <v/>
      </c>
      <c r="R642" s="17">
        <f>IF(OR($B642="",$N642&lt;&gt;"Yes"),"",IF(N($I642)&gt;0,N($I642)-N($P642),IF(N($J642)&gt;0,N($J642)-N($Q642),"")))</f>
        <v/>
      </c>
      <c r="S642" s="17">
        <f>IF(OR($B642="",$R642=""),"",IF($R642&lt;=0,"CLEARED "&amp;IFERROR(TEXT(_xlfn.MAXIFS(nrMK_Date,nrMK_Link,$B642,nrMK_Credit,"Yes"),"mm/dd"),""),"OPEN"))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IF(OR($B643="",N($I643)=0),"",SUMIFS(nrMK_Min,nrMK_Link,$B643,nrMK_Credit,"Yes"))</f>
        <v/>
      </c>
      <c r="Q643" s="17">
        <f>IF(OR($B643="",N($J643)=0),"",SUMIFS(nrMK_Sess,nrMK_Link,$B643,nrMK_Credit,"Yes"))</f>
        <v/>
      </c>
      <c r="R643" s="17">
        <f>IF(OR($B643="",$N643&lt;&gt;"Yes"),"",IF(N($I643)&gt;0,N($I643)-N($P643),IF(N($J643)&gt;0,N($J643)-N($Q643),"")))</f>
        <v/>
      </c>
      <c r="S643" s="17">
        <f>IF(OR($B643="",$R643=""),"",IF($R643&lt;=0,"CLEARED "&amp;IFERROR(TEXT(_xlfn.MAXIFS(nrMK_Date,nrMK_Link,$B643,nrMK_Credit,"Yes"),"mm/dd"),""),"OPEN"))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IF(OR($B644="",N($I644)=0),"",SUMIFS(nrMK_Min,nrMK_Link,$B644,nrMK_Credit,"Yes"))</f>
        <v/>
      </c>
      <c r="Q644" s="17">
        <f>IF(OR($B644="",N($J644)=0),"",SUMIFS(nrMK_Sess,nrMK_Link,$B644,nrMK_Credit,"Yes"))</f>
        <v/>
      </c>
      <c r="R644" s="17">
        <f>IF(OR($B644="",$N644&lt;&gt;"Yes"),"",IF(N($I644)&gt;0,N($I644)-N($P644),IF(N($J644)&gt;0,N($J644)-N($Q644),"")))</f>
        <v/>
      </c>
      <c r="S644" s="17">
        <f>IF(OR($B644="",$R644=""),"",IF($R644&lt;=0,"CLEARED "&amp;IFERROR(TEXT(_xlfn.MAXIFS(nrMK_Date,nrMK_Link,$B644,nrMK_Credit,"Yes"),"mm/dd"),""),"OPEN"))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IF(OR($B645="",N($I645)=0),"",SUMIFS(nrMK_Min,nrMK_Link,$B645,nrMK_Credit,"Yes"))</f>
        <v/>
      </c>
      <c r="Q645" s="17">
        <f>IF(OR($B645="",N($J645)=0),"",SUMIFS(nrMK_Sess,nrMK_Link,$B645,nrMK_Credit,"Yes"))</f>
        <v/>
      </c>
      <c r="R645" s="17">
        <f>IF(OR($B645="",$N645&lt;&gt;"Yes"),"",IF(N($I645)&gt;0,N($I645)-N($P645),IF(N($J645)&gt;0,N($J645)-N($Q645),"")))</f>
        <v/>
      </c>
      <c r="S645" s="17">
        <f>IF(OR($B645="",$R645=""),"",IF($R645&lt;=0,"CLEARED "&amp;IFERROR(TEXT(_xlfn.MAXIFS(nrMK_Date,nrMK_Link,$B645,nrMK_Credit,"Yes"),"mm/dd"),""),"OPEN"))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IF(OR($B646="",N($I646)=0),"",SUMIFS(nrMK_Min,nrMK_Link,$B646,nrMK_Credit,"Yes"))</f>
        <v/>
      </c>
      <c r="Q646" s="17">
        <f>IF(OR($B646="",N($J646)=0),"",SUMIFS(nrMK_Sess,nrMK_Link,$B646,nrMK_Credit,"Yes"))</f>
        <v/>
      </c>
      <c r="R646" s="17">
        <f>IF(OR($B646="",$N646&lt;&gt;"Yes"),"",IF(N($I646)&gt;0,N($I646)-N($P646),IF(N($J646)&gt;0,N($J646)-N($Q646),"")))</f>
        <v/>
      </c>
      <c r="S646" s="17">
        <f>IF(OR($B646="",$R646=""),"",IF($R646&lt;=0,"CLEARED "&amp;IFERROR(TEXT(_xlfn.MAXIFS(nrMK_Date,nrMK_Link,$B646,nrMK_Credit,"Yes"),"mm/dd"),""),"OPEN"))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IF(OR($B647="",N($I647)=0),"",SUMIFS(nrMK_Min,nrMK_Link,$B647,nrMK_Credit,"Yes"))</f>
        <v/>
      </c>
      <c r="Q647" s="17">
        <f>IF(OR($B647="",N($J647)=0),"",SUMIFS(nrMK_Sess,nrMK_Link,$B647,nrMK_Credit,"Yes"))</f>
        <v/>
      </c>
      <c r="R647" s="17">
        <f>IF(OR($B647="",$N647&lt;&gt;"Yes"),"",IF(N($I647)&gt;0,N($I647)-N($P647),IF(N($J647)&gt;0,N($J647)-N($Q647),"")))</f>
        <v/>
      </c>
      <c r="S647" s="17">
        <f>IF(OR($B647="",$R647=""),"",IF($R647&lt;=0,"CLEARED "&amp;IFERROR(TEXT(_xlfn.MAXIFS(nrMK_Date,nrMK_Link,$B647,nrMK_Credit,"Yes"),"mm/dd"),""),"OPEN"))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IF(OR($B648="",N($I648)=0),"",SUMIFS(nrMK_Min,nrMK_Link,$B648,nrMK_Credit,"Yes"))</f>
        <v/>
      </c>
      <c r="Q648" s="17">
        <f>IF(OR($B648="",N($J648)=0),"",SUMIFS(nrMK_Sess,nrMK_Link,$B648,nrMK_Credit,"Yes"))</f>
        <v/>
      </c>
      <c r="R648" s="17">
        <f>IF(OR($B648="",$N648&lt;&gt;"Yes"),"",IF(N($I648)&gt;0,N($I648)-N($P648),IF(N($J648)&gt;0,N($J648)-N($Q648),"")))</f>
        <v/>
      </c>
      <c r="S648" s="17">
        <f>IF(OR($B648="",$R648=""),"",IF($R648&lt;=0,"CLEARED "&amp;IFERROR(TEXT(_xlfn.MAXIFS(nrMK_Date,nrMK_Link,$B648,nrMK_Credit,"Yes"),"mm/dd"),""),"OPEN"))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IF(OR($B649="",N($I649)=0),"",SUMIFS(nrMK_Min,nrMK_Link,$B649,nrMK_Credit,"Yes"))</f>
        <v/>
      </c>
      <c r="Q649" s="17">
        <f>IF(OR($B649="",N($J649)=0),"",SUMIFS(nrMK_Sess,nrMK_Link,$B649,nrMK_Credit,"Yes"))</f>
        <v/>
      </c>
      <c r="R649" s="17">
        <f>IF(OR($B649="",$N649&lt;&gt;"Yes"),"",IF(N($I649)&gt;0,N($I649)-N($P649),IF(N($J649)&gt;0,N($J649)-N($Q649),"")))</f>
        <v/>
      </c>
      <c r="S649" s="17">
        <f>IF(OR($B649="",$R649=""),"",IF($R649&lt;=0,"CLEARED "&amp;IFERROR(TEXT(_xlfn.MAXIFS(nrMK_Date,nrMK_Link,$B649,nrMK_Credit,"Yes"),"mm/dd"),""),"OPEN"))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IF(OR($B650="",N($I650)=0),"",SUMIFS(nrMK_Min,nrMK_Link,$B650,nrMK_Credit,"Yes"))</f>
        <v/>
      </c>
      <c r="Q650" s="17">
        <f>IF(OR($B650="",N($J650)=0),"",SUMIFS(nrMK_Sess,nrMK_Link,$B650,nrMK_Credit,"Yes"))</f>
        <v/>
      </c>
      <c r="R650" s="17">
        <f>IF(OR($B650="",$N650&lt;&gt;"Yes"),"",IF(N($I650)&gt;0,N($I650)-N($P650),IF(N($J650)&gt;0,N($J650)-N($Q650),"")))</f>
        <v/>
      </c>
      <c r="S650" s="17">
        <f>IF(OR($B650="",$R650=""),"",IF($R650&lt;=0,"CLEARED "&amp;IFERROR(TEXT(_xlfn.MAXIFS(nrMK_Date,nrMK_Link,$B650,nrMK_Credit,"Yes"),"mm/dd"),""),"OPEN"))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IF(OR($B651="",N($I651)=0),"",SUMIFS(nrMK_Min,nrMK_Link,$B651,nrMK_Credit,"Yes"))</f>
        <v/>
      </c>
      <c r="Q651" s="17">
        <f>IF(OR($B651="",N($J651)=0),"",SUMIFS(nrMK_Sess,nrMK_Link,$B651,nrMK_Credit,"Yes"))</f>
        <v/>
      </c>
      <c r="R651" s="17">
        <f>IF(OR($B651="",$N651&lt;&gt;"Yes"),"",IF(N($I651)&gt;0,N($I651)-N($P651),IF(N($J651)&gt;0,N($J651)-N($Q651),"")))</f>
        <v/>
      </c>
      <c r="S651" s="17">
        <f>IF(OR($B651="",$R651=""),"",IF($R651&lt;=0,"CLEARED "&amp;IFERROR(TEXT(_xlfn.MAXIFS(nrMK_Date,nrMK_Link,$B651,nrMK_Credit,"Yes"),"mm/dd"),""),"OPEN"))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IF(OR($B652="",N($I652)=0),"",SUMIFS(nrMK_Min,nrMK_Link,$B652,nrMK_Credit,"Yes"))</f>
        <v/>
      </c>
      <c r="Q652" s="17">
        <f>IF(OR($B652="",N($J652)=0),"",SUMIFS(nrMK_Sess,nrMK_Link,$B652,nrMK_Credit,"Yes"))</f>
        <v/>
      </c>
      <c r="R652" s="17">
        <f>IF(OR($B652="",$N652&lt;&gt;"Yes"),"",IF(N($I652)&gt;0,N($I652)-N($P652),IF(N($J652)&gt;0,N($J652)-N($Q652),"")))</f>
        <v/>
      </c>
      <c r="S652" s="17">
        <f>IF(OR($B652="",$R652=""),"",IF($R652&lt;=0,"CLEARED "&amp;IFERROR(TEXT(_xlfn.MAXIFS(nrMK_Date,nrMK_Link,$B652,nrMK_Credit,"Yes"),"mm/dd"),""),"OPEN"))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IF(OR($B653="",N($I653)=0),"",SUMIFS(nrMK_Min,nrMK_Link,$B653,nrMK_Credit,"Yes"))</f>
        <v/>
      </c>
      <c r="Q653" s="17">
        <f>IF(OR($B653="",N($J653)=0),"",SUMIFS(nrMK_Sess,nrMK_Link,$B653,nrMK_Credit,"Yes"))</f>
        <v/>
      </c>
      <c r="R653" s="17">
        <f>IF(OR($B653="",$N653&lt;&gt;"Yes"),"",IF(N($I653)&gt;0,N($I653)-N($P653),IF(N($J653)&gt;0,N($J653)-N($Q653),"")))</f>
        <v/>
      </c>
      <c r="S653" s="17">
        <f>IF(OR($B653="",$R653=""),"",IF($R653&lt;=0,"CLEARED "&amp;IFERROR(TEXT(_xlfn.MAXIFS(nrMK_Date,nrMK_Link,$B653,nrMK_Credit,"Yes"),"mm/dd"),""),"OPEN"))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IF(OR($B654="",N($I654)=0),"",SUMIFS(nrMK_Min,nrMK_Link,$B654,nrMK_Credit,"Yes"))</f>
        <v/>
      </c>
      <c r="Q654" s="17">
        <f>IF(OR($B654="",N($J654)=0),"",SUMIFS(nrMK_Sess,nrMK_Link,$B654,nrMK_Credit,"Yes"))</f>
        <v/>
      </c>
      <c r="R654" s="17">
        <f>IF(OR($B654="",$N654&lt;&gt;"Yes"),"",IF(N($I654)&gt;0,N($I654)-N($P654),IF(N($J654)&gt;0,N($J654)-N($Q654),"")))</f>
        <v/>
      </c>
      <c r="S654" s="17">
        <f>IF(OR($B654="",$R654=""),"",IF($R654&lt;=0,"CLEARED "&amp;IFERROR(TEXT(_xlfn.MAXIFS(nrMK_Date,nrMK_Link,$B654,nrMK_Credit,"Yes"),"mm/dd"),""),"OPEN"))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IF(OR($B655="",N($I655)=0),"",SUMIFS(nrMK_Min,nrMK_Link,$B655,nrMK_Credit,"Yes"))</f>
        <v/>
      </c>
      <c r="Q655" s="17">
        <f>IF(OR($B655="",N($J655)=0),"",SUMIFS(nrMK_Sess,nrMK_Link,$B655,nrMK_Credit,"Yes"))</f>
        <v/>
      </c>
      <c r="R655" s="17">
        <f>IF(OR($B655="",$N655&lt;&gt;"Yes"),"",IF(N($I655)&gt;0,N($I655)-N($P655),IF(N($J655)&gt;0,N($J655)-N($Q655),"")))</f>
        <v/>
      </c>
      <c r="S655" s="17">
        <f>IF(OR($B655="",$R655=""),"",IF($R655&lt;=0,"CLEARED "&amp;IFERROR(TEXT(_xlfn.MAXIFS(nrMK_Date,nrMK_Link,$B655,nrMK_Credit,"Yes"),"mm/dd"),""),"OPEN"))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IF(OR($B656="",N($I656)=0),"",SUMIFS(nrMK_Min,nrMK_Link,$B656,nrMK_Credit,"Yes"))</f>
        <v/>
      </c>
      <c r="Q656" s="17">
        <f>IF(OR($B656="",N($J656)=0),"",SUMIFS(nrMK_Sess,nrMK_Link,$B656,nrMK_Credit,"Yes"))</f>
        <v/>
      </c>
      <c r="R656" s="17">
        <f>IF(OR($B656="",$N656&lt;&gt;"Yes"),"",IF(N($I656)&gt;0,N($I656)-N($P656),IF(N($J656)&gt;0,N($J656)-N($Q656),"")))</f>
        <v/>
      </c>
      <c r="S656" s="17">
        <f>IF(OR($B656="",$R656=""),"",IF($R656&lt;=0,"CLEARED "&amp;IFERROR(TEXT(_xlfn.MAXIFS(nrMK_Date,nrMK_Link,$B656,nrMK_Credit,"Yes"),"mm/dd"),""),"OPEN"))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IF(OR($B657="",N($I657)=0),"",SUMIFS(nrMK_Min,nrMK_Link,$B657,nrMK_Credit,"Yes"))</f>
        <v/>
      </c>
      <c r="Q657" s="17">
        <f>IF(OR($B657="",N($J657)=0),"",SUMIFS(nrMK_Sess,nrMK_Link,$B657,nrMK_Credit,"Yes"))</f>
        <v/>
      </c>
      <c r="R657" s="17">
        <f>IF(OR($B657="",$N657&lt;&gt;"Yes"),"",IF(N($I657)&gt;0,N($I657)-N($P657),IF(N($J657)&gt;0,N($J657)-N($Q657),"")))</f>
        <v/>
      </c>
      <c r="S657" s="17">
        <f>IF(OR($B657="",$R657=""),"",IF($R657&lt;=0,"CLEARED "&amp;IFERROR(TEXT(_xlfn.MAXIFS(nrMK_Date,nrMK_Link,$B657,nrMK_Credit,"Yes"),"mm/dd"),""),"OPEN"))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IF(OR($B658="",N($I658)=0),"",SUMIFS(nrMK_Min,nrMK_Link,$B658,nrMK_Credit,"Yes"))</f>
        <v/>
      </c>
      <c r="Q658" s="17">
        <f>IF(OR($B658="",N($J658)=0),"",SUMIFS(nrMK_Sess,nrMK_Link,$B658,nrMK_Credit,"Yes"))</f>
        <v/>
      </c>
      <c r="R658" s="17">
        <f>IF(OR($B658="",$N658&lt;&gt;"Yes"),"",IF(N($I658)&gt;0,N($I658)-N($P658),IF(N($J658)&gt;0,N($J658)-N($Q658),"")))</f>
        <v/>
      </c>
      <c r="S658" s="17">
        <f>IF(OR($B658="",$R658=""),"",IF($R658&lt;=0,"CLEARED "&amp;IFERROR(TEXT(_xlfn.MAXIFS(nrMK_Date,nrMK_Link,$B658,nrMK_Credit,"Yes"),"mm/dd"),""),"OPEN"))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IF(OR($B659="",N($I659)=0),"",SUMIFS(nrMK_Min,nrMK_Link,$B659,nrMK_Credit,"Yes"))</f>
        <v/>
      </c>
      <c r="Q659" s="17">
        <f>IF(OR($B659="",N($J659)=0),"",SUMIFS(nrMK_Sess,nrMK_Link,$B659,nrMK_Credit,"Yes"))</f>
        <v/>
      </c>
      <c r="R659" s="17">
        <f>IF(OR($B659="",$N659&lt;&gt;"Yes"),"",IF(N($I659)&gt;0,N($I659)-N($P659),IF(N($J659)&gt;0,N($J659)-N($Q659),"")))</f>
        <v/>
      </c>
      <c r="S659" s="17">
        <f>IF(OR($B659="",$R659=""),"",IF($R659&lt;=0,"CLEARED "&amp;IFERROR(TEXT(_xlfn.MAXIFS(nrMK_Date,nrMK_Link,$B659,nrMK_Credit,"Yes"),"mm/dd"),""),"OPEN"))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IF(OR($B660="",N($I660)=0),"",SUMIFS(nrMK_Min,nrMK_Link,$B660,nrMK_Credit,"Yes"))</f>
        <v/>
      </c>
      <c r="Q660" s="17">
        <f>IF(OR($B660="",N($J660)=0),"",SUMIFS(nrMK_Sess,nrMK_Link,$B660,nrMK_Credit,"Yes"))</f>
        <v/>
      </c>
      <c r="R660" s="17">
        <f>IF(OR($B660="",$N660&lt;&gt;"Yes"),"",IF(N($I660)&gt;0,N($I660)-N($P660),IF(N($J660)&gt;0,N($J660)-N($Q660),"")))</f>
        <v/>
      </c>
      <c r="S660" s="17">
        <f>IF(OR($B660="",$R660=""),"",IF($R660&lt;=0,"CLEARED "&amp;IFERROR(TEXT(_xlfn.MAXIFS(nrMK_Date,nrMK_Link,$B660,nrMK_Credit,"Yes"),"mm/dd"),""),"OPEN"))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IF(OR($B661="",N($I661)=0),"",SUMIFS(nrMK_Min,nrMK_Link,$B661,nrMK_Credit,"Yes"))</f>
        <v/>
      </c>
      <c r="Q661" s="17">
        <f>IF(OR($B661="",N($J661)=0),"",SUMIFS(nrMK_Sess,nrMK_Link,$B661,nrMK_Credit,"Yes"))</f>
        <v/>
      </c>
      <c r="R661" s="17">
        <f>IF(OR($B661="",$N661&lt;&gt;"Yes"),"",IF(N($I661)&gt;0,N($I661)-N($P661),IF(N($J661)&gt;0,N($J661)-N($Q661),"")))</f>
        <v/>
      </c>
      <c r="S661" s="17">
        <f>IF(OR($B661="",$R661=""),"",IF($R661&lt;=0,"CLEARED "&amp;IFERROR(TEXT(_xlfn.MAXIFS(nrMK_Date,nrMK_Link,$B661,nrMK_Credit,"Yes"),"mm/dd"),""),"OPEN"))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IF(OR($B662="",N($I662)=0),"",SUMIFS(nrMK_Min,nrMK_Link,$B662,nrMK_Credit,"Yes"))</f>
        <v/>
      </c>
      <c r="Q662" s="17">
        <f>IF(OR($B662="",N($J662)=0),"",SUMIFS(nrMK_Sess,nrMK_Link,$B662,nrMK_Credit,"Yes"))</f>
        <v/>
      </c>
      <c r="R662" s="17">
        <f>IF(OR($B662="",$N662&lt;&gt;"Yes"),"",IF(N($I662)&gt;0,N($I662)-N($P662),IF(N($J662)&gt;0,N($J662)-N($Q662),"")))</f>
        <v/>
      </c>
      <c r="S662" s="17">
        <f>IF(OR($B662="",$R662=""),"",IF($R662&lt;=0,"CLEARED "&amp;IFERROR(TEXT(_xlfn.MAXIFS(nrMK_Date,nrMK_Link,$B662,nrMK_Credit,"Yes"),"mm/dd"),""),"OPEN"))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IF(OR($B663="",N($I663)=0),"",SUMIFS(nrMK_Min,nrMK_Link,$B663,nrMK_Credit,"Yes"))</f>
        <v/>
      </c>
      <c r="Q663" s="17">
        <f>IF(OR($B663="",N($J663)=0),"",SUMIFS(nrMK_Sess,nrMK_Link,$B663,nrMK_Credit,"Yes"))</f>
        <v/>
      </c>
      <c r="R663" s="17">
        <f>IF(OR($B663="",$N663&lt;&gt;"Yes"),"",IF(N($I663)&gt;0,N($I663)-N($P663),IF(N($J663)&gt;0,N($J663)-N($Q663),"")))</f>
        <v/>
      </c>
      <c r="S663" s="17">
        <f>IF(OR($B663="",$R663=""),"",IF($R663&lt;=0,"CLEARED "&amp;IFERROR(TEXT(_xlfn.MAXIFS(nrMK_Date,nrMK_Link,$B663,nrMK_Credit,"Yes"),"mm/dd"),""),"OPEN"))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IF(OR($B664="",N($I664)=0),"",SUMIFS(nrMK_Min,nrMK_Link,$B664,nrMK_Credit,"Yes"))</f>
        <v/>
      </c>
      <c r="Q664" s="17">
        <f>IF(OR($B664="",N($J664)=0),"",SUMIFS(nrMK_Sess,nrMK_Link,$B664,nrMK_Credit,"Yes"))</f>
        <v/>
      </c>
      <c r="R664" s="17">
        <f>IF(OR($B664="",$N664&lt;&gt;"Yes"),"",IF(N($I664)&gt;0,N($I664)-N($P664),IF(N($J664)&gt;0,N($J664)-N($Q664),"")))</f>
        <v/>
      </c>
      <c r="S664" s="17">
        <f>IF(OR($B664="",$R664=""),"",IF($R664&lt;=0,"CLEARED "&amp;IFERROR(TEXT(_xlfn.MAXIFS(nrMK_Date,nrMK_Link,$B664,nrMK_Credit,"Yes"),"mm/dd"),""),"OPEN"))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IF(OR($B665="",N($I665)=0),"",SUMIFS(nrMK_Min,nrMK_Link,$B665,nrMK_Credit,"Yes"))</f>
        <v/>
      </c>
      <c r="Q665" s="17">
        <f>IF(OR($B665="",N($J665)=0),"",SUMIFS(nrMK_Sess,nrMK_Link,$B665,nrMK_Credit,"Yes"))</f>
        <v/>
      </c>
      <c r="R665" s="17">
        <f>IF(OR($B665="",$N665&lt;&gt;"Yes"),"",IF(N($I665)&gt;0,N($I665)-N($P665),IF(N($J665)&gt;0,N($J665)-N($Q665),"")))</f>
        <v/>
      </c>
      <c r="S665" s="17">
        <f>IF(OR($B665="",$R665=""),"",IF($R665&lt;=0,"CLEARED "&amp;IFERROR(TEXT(_xlfn.MAXIFS(nrMK_Date,nrMK_Link,$B665,nrMK_Credit,"Yes"),"mm/dd"),""),"OPEN"))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IF(OR($B666="",N($I666)=0),"",SUMIFS(nrMK_Min,nrMK_Link,$B666,nrMK_Credit,"Yes"))</f>
        <v/>
      </c>
      <c r="Q666" s="17">
        <f>IF(OR($B666="",N($J666)=0),"",SUMIFS(nrMK_Sess,nrMK_Link,$B666,nrMK_Credit,"Yes"))</f>
        <v/>
      </c>
      <c r="R666" s="17">
        <f>IF(OR($B666="",$N666&lt;&gt;"Yes"),"",IF(N($I666)&gt;0,N($I666)-N($P666),IF(N($J666)&gt;0,N($J666)-N($Q666),"")))</f>
        <v/>
      </c>
      <c r="S666" s="17">
        <f>IF(OR($B666="",$R666=""),"",IF($R666&lt;=0,"CLEARED "&amp;IFERROR(TEXT(_xlfn.MAXIFS(nrMK_Date,nrMK_Link,$B666,nrMK_Credit,"Yes"),"mm/dd"),""),"OPEN"))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IF(OR($B667="",N($I667)=0),"",SUMIFS(nrMK_Min,nrMK_Link,$B667,nrMK_Credit,"Yes"))</f>
        <v/>
      </c>
      <c r="Q667" s="17">
        <f>IF(OR($B667="",N($J667)=0),"",SUMIFS(nrMK_Sess,nrMK_Link,$B667,nrMK_Credit,"Yes"))</f>
        <v/>
      </c>
      <c r="R667" s="17">
        <f>IF(OR($B667="",$N667&lt;&gt;"Yes"),"",IF(N($I667)&gt;0,N($I667)-N($P667),IF(N($J667)&gt;0,N($J667)-N($Q667),"")))</f>
        <v/>
      </c>
      <c r="S667" s="17">
        <f>IF(OR($B667="",$R667=""),"",IF($R667&lt;=0,"CLEARED "&amp;IFERROR(TEXT(_xlfn.MAXIFS(nrMK_Date,nrMK_Link,$B667,nrMK_Credit,"Yes"),"mm/dd"),""),"OPEN"))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IF(OR($B668="",N($I668)=0),"",SUMIFS(nrMK_Min,nrMK_Link,$B668,nrMK_Credit,"Yes"))</f>
        <v/>
      </c>
      <c r="Q668" s="17">
        <f>IF(OR($B668="",N($J668)=0),"",SUMIFS(nrMK_Sess,nrMK_Link,$B668,nrMK_Credit,"Yes"))</f>
        <v/>
      </c>
      <c r="R668" s="17">
        <f>IF(OR($B668="",$N668&lt;&gt;"Yes"),"",IF(N($I668)&gt;0,N($I668)-N($P668),IF(N($J668)&gt;0,N($J668)-N($Q668),"")))</f>
        <v/>
      </c>
      <c r="S668" s="17">
        <f>IF(OR($B668="",$R668=""),"",IF($R668&lt;=0,"CLEARED "&amp;IFERROR(TEXT(_xlfn.MAXIFS(nrMK_Date,nrMK_Link,$B668,nrMK_Credit,"Yes"),"mm/dd"),""),"OPEN"))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IF(OR($B669="",N($I669)=0),"",SUMIFS(nrMK_Min,nrMK_Link,$B669,nrMK_Credit,"Yes"))</f>
        <v/>
      </c>
      <c r="Q669" s="17">
        <f>IF(OR($B669="",N($J669)=0),"",SUMIFS(nrMK_Sess,nrMK_Link,$B669,nrMK_Credit,"Yes"))</f>
        <v/>
      </c>
      <c r="R669" s="17">
        <f>IF(OR($B669="",$N669&lt;&gt;"Yes"),"",IF(N($I669)&gt;0,N($I669)-N($P669),IF(N($J669)&gt;0,N($J669)-N($Q669),"")))</f>
        <v/>
      </c>
      <c r="S669" s="17">
        <f>IF(OR($B669="",$R669=""),"",IF($R669&lt;=0,"CLEARED "&amp;IFERROR(TEXT(_xlfn.MAXIFS(nrMK_Date,nrMK_Link,$B669,nrMK_Credit,"Yes"),"mm/dd"),""),"OPEN"))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IF(OR($B670="",N($I670)=0),"",SUMIFS(nrMK_Min,nrMK_Link,$B670,nrMK_Credit,"Yes"))</f>
        <v/>
      </c>
      <c r="Q670" s="17">
        <f>IF(OR($B670="",N($J670)=0),"",SUMIFS(nrMK_Sess,nrMK_Link,$B670,nrMK_Credit,"Yes"))</f>
        <v/>
      </c>
      <c r="R670" s="17">
        <f>IF(OR($B670="",$N670&lt;&gt;"Yes"),"",IF(N($I670)&gt;0,N($I670)-N($P670),IF(N($J670)&gt;0,N($J670)-N($Q670),"")))</f>
        <v/>
      </c>
      <c r="S670" s="17">
        <f>IF(OR($B670="",$R670=""),"",IF($R670&lt;=0,"CLEARED "&amp;IFERROR(TEXT(_xlfn.MAXIFS(nrMK_Date,nrMK_Link,$B670,nrMK_Credit,"Yes"),"mm/dd"),""),"OPEN"))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IF(OR($B671="",N($I671)=0),"",SUMIFS(nrMK_Min,nrMK_Link,$B671,nrMK_Credit,"Yes"))</f>
        <v/>
      </c>
      <c r="Q671" s="17">
        <f>IF(OR($B671="",N($J671)=0),"",SUMIFS(nrMK_Sess,nrMK_Link,$B671,nrMK_Credit,"Yes"))</f>
        <v/>
      </c>
      <c r="R671" s="17">
        <f>IF(OR($B671="",$N671&lt;&gt;"Yes"),"",IF(N($I671)&gt;0,N($I671)-N($P671),IF(N($J671)&gt;0,N($J671)-N($Q671),"")))</f>
        <v/>
      </c>
      <c r="S671" s="17">
        <f>IF(OR($B671="",$R671=""),"",IF($R671&lt;=0,"CLEARED "&amp;IFERROR(TEXT(_xlfn.MAXIFS(nrMK_Date,nrMK_Link,$B671,nrMK_Credit,"Yes"),"mm/dd"),""),"OPEN"))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IF(OR($B672="",N($I672)=0),"",SUMIFS(nrMK_Min,nrMK_Link,$B672,nrMK_Credit,"Yes"))</f>
        <v/>
      </c>
      <c r="Q672" s="17">
        <f>IF(OR($B672="",N($J672)=0),"",SUMIFS(nrMK_Sess,nrMK_Link,$B672,nrMK_Credit,"Yes"))</f>
        <v/>
      </c>
      <c r="R672" s="17">
        <f>IF(OR($B672="",$N672&lt;&gt;"Yes"),"",IF(N($I672)&gt;0,N($I672)-N($P672),IF(N($J672)&gt;0,N($J672)-N($Q672),"")))</f>
        <v/>
      </c>
      <c r="S672" s="17">
        <f>IF(OR($B672="",$R672=""),"",IF($R672&lt;=0,"CLEARED "&amp;IFERROR(TEXT(_xlfn.MAXIFS(nrMK_Date,nrMK_Link,$B672,nrMK_Credit,"Yes"),"mm/dd"),""),"OPEN"))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IF(OR($B673="",N($I673)=0),"",SUMIFS(nrMK_Min,nrMK_Link,$B673,nrMK_Credit,"Yes"))</f>
        <v/>
      </c>
      <c r="Q673" s="17">
        <f>IF(OR($B673="",N($J673)=0),"",SUMIFS(nrMK_Sess,nrMK_Link,$B673,nrMK_Credit,"Yes"))</f>
        <v/>
      </c>
      <c r="R673" s="17">
        <f>IF(OR($B673="",$N673&lt;&gt;"Yes"),"",IF(N($I673)&gt;0,N($I673)-N($P673),IF(N($J673)&gt;0,N($J673)-N($Q673),"")))</f>
        <v/>
      </c>
      <c r="S673" s="17">
        <f>IF(OR($B673="",$R673=""),"",IF($R673&lt;=0,"CLEARED "&amp;IFERROR(TEXT(_xlfn.MAXIFS(nrMK_Date,nrMK_Link,$B673,nrMK_Credit,"Yes"),"mm/dd"),""),"OPEN"))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IF(OR($B674="",N($I674)=0),"",SUMIFS(nrMK_Min,nrMK_Link,$B674,nrMK_Credit,"Yes"))</f>
        <v/>
      </c>
      <c r="Q674" s="17">
        <f>IF(OR($B674="",N($J674)=0),"",SUMIFS(nrMK_Sess,nrMK_Link,$B674,nrMK_Credit,"Yes"))</f>
        <v/>
      </c>
      <c r="R674" s="17">
        <f>IF(OR($B674="",$N674&lt;&gt;"Yes"),"",IF(N($I674)&gt;0,N($I674)-N($P674),IF(N($J674)&gt;0,N($J674)-N($Q674),"")))</f>
        <v/>
      </c>
      <c r="S674" s="17">
        <f>IF(OR($B674="",$R674=""),"",IF($R674&lt;=0,"CLEARED "&amp;IFERROR(TEXT(_xlfn.MAXIFS(nrMK_Date,nrMK_Link,$B674,nrMK_Credit,"Yes"),"mm/dd"),""),"OPEN"))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IF(OR($B675="",N($I675)=0),"",SUMIFS(nrMK_Min,nrMK_Link,$B675,nrMK_Credit,"Yes"))</f>
        <v/>
      </c>
      <c r="Q675" s="17">
        <f>IF(OR($B675="",N($J675)=0),"",SUMIFS(nrMK_Sess,nrMK_Link,$B675,nrMK_Credit,"Yes"))</f>
        <v/>
      </c>
      <c r="R675" s="17">
        <f>IF(OR($B675="",$N675&lt;&gt;"Yes"),"",IF(N($I675)&gt;0,N($I675)-N($P675),IF(N($J675)&gt;0,N($J675)-N($Q675),"")))</f>
        <v/>
      </c>
      <c r="S675" s="17">
        <f>IF(OR($B675="",$R675=""),"",IF($R675&lt;=0,"CLEARED "&amp;IFERROR(TEXT(_xlfn.MAXIFS(nrMK_Date,nrMK_Link,$B675,nrMK_Credit,"Yes"),"mm/dd"),""),"OPEN"))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IF(OR($B676="",N($I676)=0),"",SUMIFS(nrMK_Min,nrMK_Link,$B676,nrMK_Credit,"Yes"))</f>
        <v/>
      </c>
      <c r="Q676" s="17">
        <f>IF(OR($B676="",N($J676)=0),"",SUMIFS(nrMK_Sess,nrMK_Link,$B676,nrMK_Credit,"Yes"))</f>
        <v/>
      </c>
      <c r="R676" s="17">
        <f>IF(OR($B676="",$N676&lt;&gt;"Yes"),"",IF(N($I676)&gt;0,N($I676)-N($P676),IF(N($J676)&gt;0,N($J676)-N($Q676),"")))</f>
        <v/>
      </c>
      <c r="S676" s="17">
        <f>IF(OR($B676="",$R676=""),"",IF($R676&lt;=0,"CLEARED "&amp;IFERROR(TEXT(_xlfn.MAXIFS(nrMK_Date,nrMK_Link,$B676,nrMK_Credit,"Yes"),"mm/dd"),""),"OPEN"))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IF(OR($B677="",N($I677)=0),"",SUMIFS(nrMK_Min,nrMK_Link,$B677,nrMK_Credit,"Yes"))</f>
        <v/>
      </c>
      <c r="Q677" s="17">
        <f>IF(OR($B677="",N($J677)=0),"",SUMIFS(nrMK_Sess,nrMK_Link,$B677,nrMK_Credit,"Yes"))</f>
        <v/>
      </c>
      <c r="R677" s="17">
        <f>IF(OR($B677="",$N677&lt;&gt;"Yes"),"",IF(N($I677)&gt;0,N($I677)-N($P677),IF(N($J677)&gt;0,N($J677)-N($Q677),"")))</f>
        <v/>
      </c>
      <c r="S677" s="17">
        <f>IF(OR($B677="",$R677=""),"",IF($R677&lt;=0,"CLEARED "&amp;IFERROR(TEXT(_xlfn.MAXIFS(nrMK_Date,nrMK_Link,$B677,nrMK_Credit,"Yes"),"mm/dd"),""),"OPEN"))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IF(OR($B678="",N($I678)=0),"",SUMIFS(nrMK_Min,nrMK_Link,$B678,nrMK_Credit,"Yes"))</f>
        <v/>
      </c>
      <c r="Q678" s="17">
        <f>IF(OR($B678="",N($J678)=0),"",SUMIFS(nrMK_Sess,nrMK_Link,$B678,nrMK_Credit,"Yes"))</f>
        <v/>
      </c>
      <c r="R678" s="17">
        <f>IF(OR($B678="",$N678&lt;&gt;"Yes"),"",IF(N($I678)&gt;0,N($I678)-N($P678),IF(N($J678)&gt;0,N($J678)-N($Q678),"")))</f>
        <v/>
      </c>
      <c r="S678" s="17">
        <f>IF(OR($B678="",$R678=""),"",IF($R678&lt;=0,"CLEARED "&amp;IFERROR(TEXT(_xlfn.MAXIFS(nrMK_Date,nrMK_Link,$B678,nrMK_Credit,"Yes"),"mm/dd"),""),"OPEN"))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IF(OR($B679="",N($I679)=0),"",SUMIFS(nrMK_Min,nrMK_Link,$B679,nrMK_Credit,"Yes"))</f>
        <v/>
      </c>
      <c r="Q679" s="17">
        <f>IF(OR($B679="",N($J679)=0),"",SUMIFS(nrMK_Sess,nrMK_Link,$B679,nrMK_Credit,"Yes"))</f>
        <v/>
      </c>
      <c r="R679" s="17">
        <f>IF(OR($B679="",$N679&lt;&gt;"Yes"),"",IF(N($I679)&gt;0,N($I679)-N($P679),IF(N($J679)&gt;0,N($J679)-N($Q679),"")))</f>
        <v/>
      </c>
      <c r="S679" s="17">
        <f>IF(OR($B679="",$R679=""),"",IF($R679&lt;=0,"CLEARED "&amp;IFERROR(TEXT(_xlfn.MAXIFS(nrMK_Date,nrMK_Link,$B679,nrMK_Credit,"Yes"),"mm/dd"),""),"OPEN"))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IF(OR($B680="",N($I680)=0),"",SUMIFS(nrMK_Min,nrMK_Link,$B680,nrMK_Credit,"Yes"))</f>
        <v/>
      </c>
      <c r="Q680" s="17">
        <f>IF(OR($B680="",N($J680)=0),"",SUMIFS(nrMK_Sess,nrMK_Link,$B680,nrMK_Credit,"Yes"))</f>
        <v/>
      </c>
      <c r="R680" s="17">
        <f>IF(OR($B680="",$N680&lt;&gt;"Yes"),"",IF(N($I680)&gt;0,N($I680)-N($P680),IF(N($J680)&gt;0,N($J680)-N($Q680),"")))</f>
        <v/>
      </c>
      <c r="S680" s="17">
        <f>IF(OR($B680="",$R680=""),"",IF($R680&lt;=0,"CLEARED "&amp;IFERROR(TEXT(_xlfn.MAXIFS(nrMK_Date,nrMK_Link,$B680,nrMK_Credit,"Yes"),"mm/dd"),""),"OPEN"))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IF(OR($B681="",N($I681)=0),"",SUMIFS(nrMK_Min,nrMK_Link,$B681,nrMK_Credit,"Yes"))</f>
        <v/>
      </c>
      <c r="Q681" s="17">
        <f>IF(OR($B681="",N($J681)=0),"",SUMIFS(nrMK_Sess,nrMK_Link,$B681,nrMK_Credit,"Yes"))</f>
        <v/>
      </c>
      <c r="R681" s="17">
        <f>IF(OR($B681="",$N681&lt;&gt;"Yes"),"",IF(N($I681)&gt;0,N($I681)-N($P681),IF(N($J681)&gt;0,N($J681)-N($Q681),"")))</f>
        <v/>
      </c>
      <c r="S681" s="17">
        <f>IF(OR($B681="",$R681=""),"",IF($R681&lt;=0,"CLEARED "&amp;IFERROR(TEXT(_xlfn.MAXIFS(nrMK_Date,nrMK_Link,$B681,nrMK_Credit,"Yes"),"mm/dd"),""),"OPEN"))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IF(OR($B682="",N($I682)=0),"",SUMIFS(nrMK_Min,nrMK_Link,$B682,nrMK_Credit,"Yes"))</f>
        <v/>
      </c>
      <c r="Q682" s="17">
        <f>IF(OR($B682="",N($J682)=0),"",SUMIFS(nrMK_Sess,nrMK_Link,$B682,nrMK_Credit,"Yes"))</f>
        <v/>
      </c>
      <c r="R682" s="17">
        <f>IF(OR($B682="",$N682&lt;&gt;"Yes"),"",IF(N($I682)&gt;0,N($I682)-N($P682),IF(N($J682)&gt;0,N($J682)-N($Q682),"")))</f>
        <v/>
      </c>
      <c r="S682" s="17">
        <f>IF(OR($B682="",$R682=""),"",IF($R682&lt;=0,"CLEARED "&amp;IFERROR(TEXT(_xlfn.MAXIFS(nrMK_Date,nrMK_Link,$B682,nrMK_Credit,"Yes"),"mm/dd"),""),"OPEN"))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IF(OR($B683="",N($I683)=0),"",SUMIFS(nrMK_Min,nrMK_Link,$B683,nrMK_Credit,"Yes"))</f>
        <v/>
      </c>
      <c r="Q683" s="17">
        <f>IF(OR($B683="",N($J683)=0),"",SUMIFS(nrMK_Sess,nrMK_Link,$B683,nrMK_Credit,"Yes"))</f>
        <v/>
      </c>
      <c r="R683" s="17">
        <f>IF(OR($B683="",$N683&lt;&gt;"Yes"),"",IF(N($I683)&gt;0,N($I683)-N($P683),IF(N($J683)&gt;0,N($J683)-N($Q683),"")))</f>
        <v/>
      </c>
      <c r="S683" s="17">
        <f>IF(OR($B683="",$R683=""),"",IF($R683&lt;=0,"CLEARED "&amp;IFERROR(TEXT(_xlfn.MAXIFS(nrMK_Date,nrMK_Link,$B683,nrMK_Credit,"Yes"),"mm/dd"),""),"OPEN"))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IF(OR($B684="",N($I684)=0),"",SUMIFS(nrMK_Min,nrMK_Link,$B684,nrMK_Credit,"Yes"))</f>
        <v/>
      </c>
      <c r="Q684" s="17">
        <f>IF(OR($B684="",N($J684)=0),"",SUMIFS(nrMK_Sess,nrMK_Link,$B684,nrMK_Credit,"Yes"))</f>
        <v/>
      </c>
      <c r="R684" s="17">
        <f>IF(OR($B684="",$N684&lt;&gt;"Yes"),"",IF(N($I684)&gt;0,N($I684)-N($P684),IF(N($J684)&gt;0,N($J684)-N($Q684),"")))</f>
        <v/>
      </c>
      <c r="S684" s="17">
        <f>IF(OR($B684="",$R684=""),"",IF($R684&lt;=0,"CLEARED "&amp;IFERROR(TEXT(_xlfn.MAXIFS(nrMK_Date,nrMK_Link,$B684,nrMK_Credit,"Yes"),"mm/dd"),""),"OPEN"))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IF(OR($B685="",N($I685)=0),"",SUMIFS(nrMK_Min,nrMK_Link,$B685,nrMK_Credit,"Yes"))</f>
        <v/>
      </c>
      <c r="Q685" s="17">
        <f>IF(OR($B685="",N($J685)=0),"",SUMIFS(nrMK_Sess,nrMK_Link,$B685,nrMK_Credit,"Yes"))</f>
        <v/>
      </c>
      <c r="R685" s="17">
        <f>IF(OR($B685="",$N685&lt;&gt;"Yes"),"",IF(N($I685)&gt;0,N($I685)-N($P685),IF(N($J685)&gt;0,N($J685)-N($Q685),"")))</f>
        <v/>
      </c>
      <c r="S685" s="17">
        <f>IF(OR($B685="",$R685=""),"",IF($R685&lt;=0,"CLEARED "&amp;IFERROR(TEXT(_xlfn.MAXIFS(nrMK_Date,nrMK_Link,$B685,nrMK_Credit,"Yes"),"mm/dd"),""),"OPEN"))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IF(OR($B686="",N($I686)=0),"",SUMIFS(nrMK_Min,nrMK_Link,$B686,nrMK_Credit,"Yes"))</f>
        <v/>
      </c>
      <c r="Q686" s="17">
        <f>IF(OR($B686="",N($J686)=0),"",SUMIFS(nrMK_Sess,nrMK_Link,$B686,nrMK_Credit,"Yes"))</f>
        <v/>
      </c>
      <c r="R686" s="17">
        <f>IF(OR($B686="",$N686&lt;&gt;"Yes"),"",IF(N($I686)&gt;0,N($I686)-N($P686),IF(N($J686)&gt;0,N($J686)-N($Q686),"")))</f>
        <v/>
      </c>
      <c r="S686" s="17">
        <f>IF(OR($B686="",$R686=""),"",IF($R686&lt;=0,"CLEARED "&amp;IFERROR(TEXT(_xlfn.MAXIFS(nrMK_Date,nrMK_Link,$B686,nrMK_Credit,"Yes"),"mm/dd"),""),"OPEN"))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IF(OR($B687="",N($I687)=0),"",SUMIFS(nrMK_Min,nrMK_Link,$B687,nrMK_Credit,"Yes"))</f>
        <v/>
      </c>
      <c r="Q687" s="17">
        <f>IF(OR($B687="",N($J687)=0),"",SUMIFS(nrMK_Sess,nrMK_Link,$B687,nrMK_Credit,"Yes"))</f>
        <v/>
      </c>
      <c r="R687" s="17">
        <f>IF(OR($B687="",$N687&lt;&gt;"Yes"),"",IF(N($I687)&gt;0,N($I687)-N($P687),IF(N($J687)&gt;0,N($J687)-N($Q687),"")))</f>
        <v/>
      </c>
      <c r="S687" s="17">
        <f>IF(OR($B687="",$R687=""),"",IF($R687&lt;=0,"CLEARED "&amp;IFERROR(TEXT(_xlfn.MAXIFS(nrMK_Date,nrMK_Link,$B687,nrMK_Credit,"Yes"),"mm/dd"),""),"OPEN"))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IF(OR($B688="",N($I688)=0),"",SUMIFS(nrMK_Min,nrMK_Link,$B688,nrMK_Credit,"Yes"))</f>
        <v/>
      </c>
      <c r="Q688" s="17">
        <f>IF(OR($B688="",N($J688)=0),"",SUMIFS(nrMK_Sess,nrMK_Link,$B688,nrMK_Credit,"Yes"))</f>
        <v/>
      </c>
      <c r="R688" s="17">
        <f>IF(OR($B688="",$N688&lt;&gt;"Yes"),"",IF(N($I688)&gt;0,N($I688)-N($P688),IF(N($J688)&gt;0,N($J688)-N($Q688),"")))</f>
        <v/>
      </c>
      <c r="S688" s="17">
        <f>IF(OR($B688="",$R688=""),"",IF($R688&lt;=0,"CLEARED "&amp;IFERROR(TEXT(_xlfn.MAXIFS(nrMK_Date,nrMK_Link,$B688,nrMK_Credit,"Yes"),"mm/dd"),""),"OPEN"))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IF(OR($B689="",N($I689)=0),"",SUMIFS(nrMK_Min,nrMK_Link,$B689,nrMK_Credit,"Yes"))</f>
        <v/>
      </c>
      <c r="Q689" s="17">
        <f>IF(OR($B689="",N($J689)=0),"",SUMIFS(nrMK_Sess,nrMK_Link,$B689,nrMK_Credit,"Yes"))</f>
        <v/>
      </c>
      <c r="R689" s="17">
        <f>IF(OR($B689="",$N689&lt;&gt;"Yes"),"",IF(N($I689)&gt;0,N($I689)-N($P689),IF(N($J689)&gt;0,N($J689)-N($Q689),"")))</f>
        <v/>
      </c>
      <c r="S689" s="17">
        <f>IF(OR($B689="",$R689=""),"",IF($R689&lt;=0,"CLEARED "&amp;IFERROR(TEXT(_xlfn.MAXIFS(nrMK_Date,nrMK_Link,$B689,nrMK_Credit,"Yes"),"mm/dd"),""),"OPEN"))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IF(OR($B690="",N($I690)=0),"",SUMIFS(nrMK_Min,nrMK_Link,$B690,nrMK_Credit,"Yes"))</f>
        <v/>
      </c>
      <c r="Q690" s="17">
        <f>IF(OR($B690="",N($J690)=0),"",SUMIFS(nrMK_Sess,nrMK_Link,$B690,nrMK_Credit,"Yes"))</f>
        <v/>
      </c>
      <c r="R690" s="17">
        <f>IF(OR($B690="",$N690&lt;&gt;"Yes"),"",IF(N($I690)&gt;0,N($I690)-N($P690),IF(N($J690)&gt;0,N($J690)-N($Q690),"")))</f>
        <v/>
      </c>
      <c r="S690" s="17">
        <f>IF(OR($B690="",$R690=""),"",IF($R690&lt;=0,"CLEARED "&amp;IFERROR(TEXT(_xlfn.MAXIFS(nrMK_Date,nrMK_Link,$B690,nrMK_Credit,"Yes"),"mm/dd"),""),"OPEN"))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IF(OR($B691="",N($I691)=0),"",SUMIFS(nrMK_Min,nrMK_Link,$B691,nrMK_Credit,"Yes"))</f>
        <v/>
      </c>
      <c r="Q691" s="17">
        <f>IF(OR($B691="",N($J691)=0),"",SUMIFS(nrMK_Sess,nrMK_Link,$B691,nrMK_Credit,"Yes"))</f>
        <v/>
      </c>
      <c r="R691" s="17">
        <f>IF(OR($B691="",$N691&lt;&gt;"Yes"),"",IF(N($I691)&gt;0,N($I691)-N($P691),IF(N($J691)&gt;0,N($J691)-N($Q691),"")))</f>
        <v/>
      </c>
      <c r="S691" s="17">
        <f>IF(OR($B691="",$R691=""),"",IF($R691&lt;=0,"CLEARED "&amp;IFERROR(TEXT(_xlfn.MAXIFS(nrMK_Date,nrMK_Link,$B691,nrMK_Credit,"Yes"),"mm/dd"),""),"OPEN"))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IF(OR($B692="",N($I692)=0),"",SUMIFS(nrMK_Min,nrMK_Link,$B692,nrMK_Credit,"Yes"))</f>
        <v/>
      </c>
      <c r="Q692" s="17">
        <f>IF(OR($B692="",N($J692)=0),"",SUMIFS(nrMK_Sess,nrMK_Link,$B692,nrMK_Credit,"Yes"))</f>
        <v/>
      </c>
      <c r="R692" s="17">
        <f>IF(OR($B692="",$N692&lt;&gt;"Yes"),"",IF(N($I692)&gt;0,N($I692)-N($P692),IF(N($J692)&gt;0,N($J692)-N($Q692),"")))</f>
        <v/>
      </c>
      <c r="S692" s="17">
        <f>IF(OR($B692="",$R692=""),"",IF($R692&lt;=0,"CLEARED "&amp;IFERROR(TEXT(_xlfn.MAXIFS(nrMK_Date,nrMK_Link,$B692,nrMK_Credit,"Yes"),"mm/dd"),""),"OPEN"))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IF(OR($B693="",N($I693)=0),"",SUMIFS(nrMK_Min,nrMK_Link,$B693,nrMK_Credit,"Yes"))</f>
        <v/>
      </c>
      <c r="Q693" s="17">
        <f>IF(OR($B693="",N($J693)=0),"",SUMIFS(nrMK_Sess,nrMK_Link,$B693,nrMK_Credit,"Yes"))</f>
        <v/>
      </c>
      <c r="R693" s="17">
        <f>IF(OR($B693="",$N693&lt;&gt;"Yes"),"",IF(N($I693)&gt;0,N($I693)-N($P693),IF(N($J693)&gt;0,N($J693)-N($Q693),"")))</f>
        <v/>
      </c>
      <c r="S693" s="17">
        <f>IF(OR($B693="",$R693=""),"",IF($R693&lt;=0,"CLEARED "&amp;IFERROR(TEXT(_xlfn.MAXIFS(nrMK_Date,nrMK_Link,$B693,nrMK_Credit,"Yes"),"mm/dd"),""),"OPEN"))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IF(OR($B694="",N($I694)=0),"",SUMIFS(nrMK_Min,nrMK_Link,$B694,nrMK_Credit,"Yes"))</f>
        <v/>
      </c>
      <c r="Q694" s="17">
        <f>IF(OR($B694="",N($J694)=0),"",SUMIFS(nrMK_Sess,nrMK_Link,$B694,nrMK_Credit,"Yes"))</f>
        <v/>
      </c>
      <c r="R694" s="17">
        <f>IF(OR($B694="",$N694&lt;&gt;"Yes"),"",IF(N($I694)&gt;0,N($I694)-N($P694),IF(N($J694)&gt;0,N($J694)-N($Q694),"")))</f>
        <v/>
      </c>
      <c r="S694" s="17">
        <f>IF(OR($B694="",$R694=""),"",IF($R694&lt;=0,"CLEARED "&amp;IFERROR(TEXT(_xlfn.MAXIFS(nrMK_Date,nrMK_Link,$B694,nrMK_Credit,"Yes"),"mm/dd"),""),"OPEN"))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IF(OR($B695="",N($I695)=0),"",SUMIFS(nrMK_Min,nrMK_Link,$B695,nrMK_Credit,"Yes"))</f>
        <v/>
      </c>
      <c r="Q695" s="17">
        <f>IF(OR($B695="",N($J695)=0),"",SUMIFS(nrMK_Sess,nrMK_Link,$B695,nrMK_Credit,"Yes"))</f>
        <v/>
      </c>
      <c r="R695" s="17">
        <f>IF(OR($B695="",$N695&lt;&gt;"Yes"),"",IF(N($I695)&gt;0,N($I695)-N($P695),IF(N($J695)&gt;0,N($J695)-N($Q695),"")))</f>
        <v/>
      </c>
      <c r="S695" s="17">
        <f>IF(OR($B695="",$R695=""),"",IF($R695&lt;=0,"CLEARED "&amp;IFERROR(TEXT(_xlfn.MAXIFS(nrMK_Date,nrMK_Link,$B695,nrMK_Credit,"Yes"),"mm/dd"),""),"OPEN"))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IF(OR($B696="",N($I696)=0),"",SUMIFS(nrMK_Min,nrMK_Link,$B696,nrMK_Credit,"Yes"))</f>
        <v/>
      </c>
      <c r="Q696" s="17">
        <f>IF(OR($B696="",N($J696)=0),"",SUMIFS(nrMK_Sess,nrMK_Link,$B696,nrMK_Credit,"Yes"))</f>
        <v/>
      </c>
      <c r="R696" s="17">
        <f>IF(OR($B696="",$N696&lt;&gt;"Yes"),"",IF(N($I696)&gt;0,N($I696)-N($P696),IF(N($J696)&gt;0,N($J696)-N($Q696),"")))</f>
        <v/>
      </c>
      <c r="S696" s="17">
        <f>IF(OR($B696="",$R696=""),"",IF($R696&lt;=0,"CLEARED "&amp;IFERROR(TEXT(_xlfn.MAXIFS(nrMK_Date,nrMK_Link,$B696,nrMK_Credit,"Yes"),"mm/dd"),""),"OPEN"))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IF(OR($B697="",N($I697)=0),"",SUMIFS(nrMK_Min,nrMK_Link,$B697,nrMK_Credit,"Yes"))</f>
        <v/>
      </c>
      <c r="Q697" s="17">
        <f>IF(OR($B697="",N($J697)=0),"",SUMIFS(nrMK_Sess,nrMK_Link,$B697,nrMK_Credit,"Yes"))</f>
        <v/>
      </c>
      <c r="R697" s="17">
        <f>IF(OR($B697="",$N697&lt;&gt;"Yes"),"",IF(N($I697)&gt;0,N($I697)-N($P697),IF(N($J697)&gt;0,N($J697)-N($Q697),"")))</f>
        <v/>
      </c>
      <c r="S697" s="17">
        <f>IF(OR($B697="",$R697=""),"",IF($R697&lt;=0,"CLEARED "&amp;IFERROR(TEXT(_xlfn.MAXIFS(nrMK_Date,nrMK_Link,$B697,nrMK_Credit,"Yes"),"mm/dd"),""),"OPEN"))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IF(OR($B698="",N($I698)=0),"",SUMIFS(nrMK_Min,nrMK_Link,$B698,nrMK_Credit,"Yes"))</f>
        <v/>
      </c>
      <c r="Q698" s="17">
        <f>IF(OR($B698="",N($J698)=0),"",SUMIFS(nrMK_Sess,nrMK_Link,$B698,nrMK_Credit,"Yes"))</f>
        <v/>
      </c>
      <c r="R698" s="17">
        <f>IF(OR($B698="",$N698&lt;&gt;"Yes"),"",IF(N($I698)&gt;0,N($I698)-N($P698),IF(N($J698)&gt;0,N($J698)-N($Q698),"")))</f>
        <v/>
      </c>
      <c r="S698" s="17">
        <f>IF(OR($B698="",$R698=""),"",IF($R698&lt;=0,"CLEARED "&amp;IFERROR(TEXT(_xlfn.MAXIFS(nrMK_Date,nrMK_Link,$B698,nrMK_Credit,"Yes"),"mm/dd"),""),"OPEN"))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IF(OR($B699="",N($I699)=0),"",SUMIFS(nrMK_Min,nrMK_Link,$B699,nrMK_Credit,"Yes"))</f>
        <v/>
      </c>
      <c r="Q699" s="17">
        <f>IF(OR($B699="",N($J699)=0),"",SUMIFS(nrMK_Sess,nrMK_Link,$B699,nrMK_Credit,"Yes"))</f>
        <v/>
      </c>
      <c r="R699" s="17">
        <f>IF(OR($B699="",$N699&lt;&gt;"Yes"),"",IF(N($I699)&gt;0,N($I699)-N($P699),IF(N($J699)&gt;0,N($J699)-N($Q699),"")))</f>
        <v/>
      </c>
      <c r="S699" s="17">
        <f>IF(OR($B699="",$R699=""),"",IF($R699&lt;=0,"CLEARED "&amp;IFERROR(TEXT(_xlfn.MAXIFS(nrMK_Date,nrMK_Link,$B699,nrMK_Credit,"Yes"),"mm/dd"),""),"OPEN"))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IF(OR($B700="",N($I700)=0),"",SUMIFS(nrMK_Min,nrMK_Link,$B700,nrMK_Credit,"Yes"))</f>
        <v/>
      </c>
      <c r="Q700" s="17">
        <f>IF(OR($B700="",N($J700)=0),"",SUMIFS(nrMK_Sess,nrMK_Link,$B700,nrMK_Credit,"Yes"))</f>
        <v/>
      </c>
      <c r="R700" s="17">
        <f>IF(OR($B700="",$N700&lt;&gt;"Yes"),"",IF(N($I700)&gt;0,N($I700)-N($P700),IF(N($J700)&gt;0,N($J700)-N($Q700),"")))</f>
        <v/>
      </c>
      <c r="S700" s="17">
        <f>IF(OR($B700="",$R700=""),"",IF($R700&lt;=0,"CLEARED "&amp;IFERROR(TEXT(_xlfn.MAXIFS(nrMK_Date,nrMK_Link,$B700,nrMK_Credit,"Yes"),"mm/dd"),""),"OPEN"))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IF(OR($B701="",N($I701)=0),"",SUMIFS(nrMK_Min,nrMK_Link,$B701,nrMK_Credit,"Yes"))</f>
        <v/>
      </c>
      <c r="Q701" s="17">
        <f>IF(OR($B701="",N($J701)=0),"",SUMIFS(nrMK_Sess,nrMK_Link,$B701,nrMK_Credit,"Yes"))</f>
        <v/>
      </c>
      <c r="R701" s="17">
        <f>IF(OR($B701="",$N701&lt;&gt;"Yes"),"",IF(N($I701)&gt;0,N($I701)-N($P701),IF(N($J701)&gt;0,N($J701)-N($Q701),"")))</f>
        <v/>
      </c>
      <c r="S701" s="17">
        <f>IF(OR($B701="",$R701=""),"",IF($R701&lt;=0,"CLEARED "&amp;IFERROR(TEXT(_xlfn.MAXIFS(nrMK_Date,nrMK_Link,$B701,nrMK_Credit,"Yes"),"mm/dd"),""),"OPEN"))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IF(OR($B702="",N($I702)=0),"",SUMIFS(nrMK_Min,nrMK_Link,$B702,nrMK_Credit,"Yes"))</f>
        <v/>
      </c>
      <c r="Q702" s="17">
        <f>IF(OR($B702="",N($J702)=0),"",SUMIFS(nrMK_Sess,nrMK_Link,$B702,nrMK_Credit,"Yes"))</f>
        <v/>
      </c>
      <c r="R702" s="17">
        <f>IF(OR($B702="",$N702&lt;&gt;"Yes"),"",IF(N($I702)&gt;0,N($I702)-N($P702),IF(N($J702)&gt;0,N($J702)-N($Q702),"")))</f>
        <v/>
      </c>
      <c r="S702" s="17">
        <f>IF(OR($B702="",$R702=""),"",IF($R702&lt;=0,"CLEARED "&amp;IFERROR(TEXT(_xlfn.MAXIFS(nrMK_Date,nrMK_Link,$B702,nrMK_Credit,"Yes"),"mm/dd"),""),"OPEN"))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IF(OR($B703="",N($I703)=0),"",SUMIFS(nrMK_Min,nrMK_Link,$B703,nrMK_Credit,"Yes"))</f>
        <v/>
      </c>
      <c r="Q703" s="17">
        <f>IF(OR($B703="",N($J703)=0),"",SUMIFS(nrMK_Sess,nrMK_Link,$B703,nrMK_Credit,"Yes"))</f>
        <v/>
      </c>
      <c r="R703" s="17">
        <f>IF(OR($B703="",$N703&lt;&gt;"Yes"),"",IF(N($I703)&gt;0,N($I703)-N($P703),IF(N($J703)&gt;0,N($J703)-N($Q703),"")))</f>
        <v/>
      </c>
      <c r="S703" s="17">
        <f>IF(OR($B703="",$R703=""),"",IF($R703&lt;=0,"CLEARED "&amp;IFERROR(TEXT(_xlfn.MAXIFS(nrMK_Date,nrMK_Link,$B703,nrMK_Credit,"Yes"),"mm/dd"),""),"OPEN"))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IF(OR($B704="",N($I704)=0),"",SUMIFS(nrMK_Min,nrMK_Link,$B704,nrMK_Credit,"Yes"))</f>
        <v/>
      </c>
      <c r="Q704" s="17">
        <f>IF(OR($B704="",N($J704)=0),"",SUMIFS(nrMK_Sess,nrMK_Link,$B704,nrMK_Credit,"Yes"))</f>
        <v/>
      </c>
      <c r="R704" s="17">
        <f>IF(OR($B704="",$N704&lt;&gt;"Yes"),"",IF(N($I704)&gt;0,N($I704)-N($P704),IF(N($J704)&gt;0,N($J704)-N($Q704),"")))</f>
        <v/>
      </c>
      <c r="S704" s="17">
        <f>IF(OR($B704="",$R704=""),"",IF($R704&lt;=0,"CLEARED "&amp;IFERROR(TEXT(_xlfn.MAXIFS(nrMK_Date,nrMK_Link,$B704,nrMK_Credit,"Yes"),"mm/dd"),""),"OPEN"))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IF(OR($B705="",N($I705)=0),"",SUMIFS(nrMK_Min,nrMK_Link,$B705,nrMK_Credit,"Yes"))</f>
        <v/>
      </c>
      <c r="Q705" s="17">
        <f>IF(OR($B705="",N($J705)=0),"",SUMIFS(nrMK_Sess,nrMK_Link,$B705,nrMK_Credit,"Yes"))</f>
        <v/>
      </c>
      <c r="R705" s="17">
        <f>IF(OR($B705="",$N705&lt;&gt;"Yes"),"",IF(N($I705)&gt;0,N($I705)-N($P705),IF(N($J705)&gt;0,N($J705)-N($Q705),"")))</f>
        <v/>
      </c>
      <c r="S705" s="17">
        <f>IF(OR($B705="",$R705=""),"",IF($R705&lt;=0,"CLEARED "&amp;IFERROR(TEXT(_xlfn.MAXIFS(nrMK_Date,nrMK_Link,$B705,nrMK_Credit,"Yes"),"mm/dd"),""),"OPEN"))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IF(OR($B706="",N($I706)=0),"",SUMIFS(nrMK_Min,nrMK_Link,$B706,nrMK_Credit,"Yes"))</f>
        <v/>
      </c>
      <c r="Q706" s="17">
        <f>IF(OR($B706="",N($J706)=0),"",SUMIFS(nrMK_Sess,nrMK_Link,$B706,nrMK_Credit,"Yes"))</f>
        <v/>
      </c>
      <c r="R706" s="17">
        <f>IF(OR($B706="",$N706&lt;&gt;"Yes"),"",IF(N($I706)&gt;0,N($I706)-N($P706),IF(N($J706)&gt;0,N($J706)-N($Q706),"")))</f>
        <v/>
      </c>
      <c r="S706" s="17">
        <f>IF(OR($B706="",$R706=""),"",IF($R706&lt;=0,"CLEARED "&amp;IFERROR(TEXT(_xlfn.MAXIFS(nrMK_Date,nrMK_Link,$B706,nrMK_Credit,"Yes"),"mm/dd"),""),"OPEN"))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IF(OR($B707="",N($I707)=0),"",SUMIFS(nrMK_Min,nrMK_Link,$B707,nrMK_Credit,"Yes"))</f>
        <v/>
      </c>
      <c r="Q707" s="17">
        <f>IF(OR($B707="",N($J707)=0),"",SUMIFS(nrMK_Sess,nrMK_Link,$B707,nrMK_Credit,"Yes"))</f>
        <v/>
      </c>
      <c r="R707" s="17">
        <f>IF(OR($B707="",$N707&lt;&gt;"Yes"),"",IF(N($I707)&gt;0,N($I707)-N($P707),IF(N($J707)&gt;0,N($J707)-N($Q707),"")))</f>
        <v/>
      </c>
      <c r="S707" s="17">
        <f>IF(OR($B707="",$R707=""),"",IF($R707&lt;=0,"CLEARED "&amp;IFERROR(TEXT(_xlfn.MAXIFS(nrMK_Date,nrMK_Link,$B707,nrMK_Credit,"Yes"),"mm/dd"),""),"OPEN"))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IF(OR($B708="",N($I708)=0),"",SUMIFS(nrMK_Min,nrMK_Link,$B708,nrMK_Credit,"Yes"))</f>
        <v/>
      </c>
      <c r="Q708" s="17">
        <f>IF(OR($B708="",N($J708)=0),"",SUMIFS(nrMK_Sess,nrMK_Link,$B708,nrMK_Credit,"Yes"))</f>
        <v/>
      </c>
      <c r="R708" s="17">
        <f>IF(OR($B708="",$N708&lt;&gt;"Yes"),"",IF(N($I708)&gt;0,N($I708)-N($P708),IF(N($J708)&gt;0,N($J708)-N($Q708),"")))</f>
        <v/>
      </c>
      <c r="S708" s="17">
        <f>IF(OR($B708="",$R708=""),"",IF($R708&lt;=0,"CLEARED "&amp;IFERROR(TEXT(_xlfn.MAXIFS(nrMK_Date,nrMK_Link,$B708,nrMK_Credit,"Yes"),"mm/dd"),""),"OPEN"))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IF(OR($B709="",N($I709)=0),"",SUMIFS(nrMK_Min,nrMK_Link,$B709,nrMK_Credit,"Yes"))</f>
        <v/>
      </c>
      <c r="Q709" s="17">
        <f>IF(OR($B709="",N($J709)=0),"",SUMIFS(nrMK_Sess,nrMK_Link,$B709,nrMK_Credit,"Yes"))</f>
        <v/>
      </c>
      <c r="R709" s="17">
        <f>IF(OR($B709="",$N709&lt;&gt;"Yes"),"",IF(N($I709)&gt;0,N($I709)-N($P709),IF(N($J709)&gt;0,N($J709)-N($Q709),"")))</f>
        <v/>
      </c>
      <c r="S709" s="17">
        <f>IF(OR($B709="",$R709=""),"",IF($R709&lt;=0,"CLEARED "&amp;IFERROR(TEXT(_xlfn.MAXIFS(nrMK_Date,nrMK_Link,$B709,nrMK_Credit,"Yes"),"mm/dd"),""),"OPEN"))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IF(OR($B710="",N($I710)=0),"",SUMIFS(nrMK_Min,nrMK_Link,$B710,nrMK_Credit,"Yes"))</f>
        <v/>
      </c>
      <c r="Q710" s="17">
        <f>IF(OR($B710="",N($J710)=0),"",SUMIFS(nrMK_Sess,nrMK_Link,$B710,nrMK_Credit,"Yes"))</f>
        <v/>
      </c>
      <c r="R710" s="17">
        <f>IF(OR($B710="",$N710&lt;&gt;"Yes"),"",IF(N($I710)&gt;0,N($I710)-N($P710),IF(N($J710)&gt;0,N($J710)-N($Q710),"")))</f>
        <v/>
      </c>
      <c r="S710" s="17">
        <f>IF(OR($B710="",$R710=""),"",IF($R710&lt;=0,"CLEARED "&amp;IFERROR(TEXT(_xlfn.MAXIFS(nrMK_Date,nrMK_Link,$B710,nrMK_Credit,"Yes"),"mm/dd"),""),"OPEN"))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IF(OR($B711="",N($I711)=0),"",SUMIFS(nrMK_Min,nrMK_Link,$B711,nrMK_Credit,"Yes"))</f>
        <v/>
      </c>
      <c r="Q711" s="17">
        <f>IF(OR($B711="",N($J711)=0),"",SUMIFS(nrMK_Sess,nrMK_Link,$B711,nrMK_Credit,"Yes"))</f>
        <v/>
      </c>
      <c r="R711" s="17">
        <f>IF(OR($B711="",$N711&lt;&gt;"Yes"),"",IF(N($I711)&gt;0,N($I711)-N($P711),IF(N($J711)&gt;0,N($J711)-N($Q711),"")))</f>
        <v/>
      </c>
      <c r="S711" s="17">
        <f>IF(OR($B711="",$R711=""),"",IF($R711&lt;=0,"CLEARED "&amp;IFERROR(TEXT(_xlfn.MAXIFS(nrMK_Date,nrMK_Link,$B711,nrMK_Credit,"Yes"),"mm/dd"),""),"OPEN"))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IF(OR($B712="",N($I712)=0),"",SUMIFS(nrMK_Min,nrMK_Link,$B712,nrMK_Credit,"Yes"))</f>
        <v/>
      </c>
      <c r="Q712" s="17">
        <f>IF(OR($B712="",N($J712)=0),"",SUMIFS(nrMK_Sess,nrMK_Link,$B712,nrMK_Credit,"Yes"))</f>
        <v/>
      </c>
      <c r="R712" s="17">
        <f>IF(OR($B712="",$N712&lt;&gt;"Yes"),"",IF(N($I712)&gt;0,N($I712)-N($P712),IF(N($J712)&gt;0,N($J712)-N($Q712),"")))</f>
        <v/>
      </c>
      <c r="S712" s="17">
        <f>IF(OR($B712="",$R712=""),"",IF($R712&lt;=0,"CLEARED "&amp;IFERROR(TEXT(_xlfn.MAXIFS(nrMK_Date,nrMK_Link,$B712,nrMK_Credit,"Yes"),"mm/dd"),""),"OPEN"))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IF(OR($B713="",N($I713)=0),"",SUMIFS(nrMK_Min,nrMK_Link,$B713,nrMK_Credit,"Yes"))</f>
        <v/>
      </c>
      <c r="Q713" s="17">
        <f>IF(OR($B713="",N($J713)=0),"",SUMIFS(nrMK_Sess,nrMK_Link,$B713,nrMK_Credit,"Yes"))</f>
        <v/>
      </c>
      <c r="R713" s="17">
        <f>IF(OR($B713="",$N713&lt;&gt;"Yes"),"",IF(N($I713)&gt;0,N($I713)-N($P713),IF(N($J713)&gt;0,N($J713)-N($Q713),"")))</f>
        <v/>
      </c>
      <c r="S713" s="17">
        <f>IF(OR($B713="",$R713=""),"",IF($R713&lt;=0,"CLEARED "&amp;IFERROR(TEXT(_xlfn.MAXIFS(nrMK_Date,nrMK_Link,$B713,nrMK_Credit,"Yes"),"mm/dd"),""),"OPEN"))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IF(OR($B714="",N($I714)=0),"",SUMIFS(nrMK_Min,nrMK_Link,$B714,nrMK_Credit,"Yes"))</f>
        <v/>
      </c>
      <c r="Q714" s="17">
        <f>IF(OR($B714="",N($J714)=0),"",SUMIFS(nrMK_Sess,nrMK_Link,$B714,nrMK_Credit,"Yes"))</f>
        <v/>
      </c>
      <c r="R714" s="17">
        <f>IF(OR($B714="",$N714&lt;&gt;"Yes"),"",IF(N($I714)&gt;0,N($I714)-N($P714),IF(N($J714)&gt;0,N($J714)-N($Q714),"")))</f>
        <v/>
      </c>
      <c r="S714" s="17">
        <f>IF(OR($B714="",$R714=""),"",IF($R714&lt;=0,"CLEARED "&amp;IFERROR(TEXT(_xlfn.MAXIFS(nrMK_Date,nrMK_Link,$B714,nrMK_Credit,"Yes"),"mm/dd"),""),"OPEN"))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IF(OR($B715="",N($I715)=0),"",SUMIFS(nrMK_Min,nrMK_Link,$B715,nrMK_Credit,"Yes"))</f>
        <v/>
      </c>
      <c r="Q715" s="17">
        <f>IF(OR($B715="",N($J715)=0),"",SUMIFS(nrMK_Sess,nrMK_Link,$B715,nrMK_Credit,"Yes"))</f>
        <v/>
      </c>
      <c r="R715" s="17">
        <f>IF(OR($B715="",$N715&lt;&gt;"Yes"),"",IF(N($I715)&gt;0,N($I715)-N($P715),IF(N($J715)&gt;0,N($J715)-N($Q715),"")))</f>
        <v/>
      </c>
      <c r="S715" s="17">
        <f>IF(OR($B715="",$R715=""),"",IF($R715&lt;=0,"CLEARED "&amp;IFERROR(TEXT(_xlfn.MAXIFS(nrMK_Date,nrMK_Link,$B715,nrMK_Credit,"Yes"),"mm/dd"),""),"OPEN"))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IF(OR($B716="",N($I716)=0),"",SUMIFS(nrMK_Min,nrMK_Link,$B716,nrMK_Credit,"Yes"))</f>
        <v/>
      </c>
      <c r="Q716" s="17">
        <f>IF(OR($B716="",N($J716)=0),"",SUMIFS(nrMK_Sess,nrMK_Link,$B716,nrMK_Credit,"Yes"))</f>
        <v/>
      </c>
      <c r="R716" s="17">
        <f>IF(OR($B716="",$N716&lt;&gt;"Yes"),"",IF(N($I716)&gt;0,N($I716)-N($P716),IF(N($J716)&gt;0,N($J716)-N($Q716),"")))</f>
        <v/>
      </c>
      <c r="S716" s="17">
        <f>IF(OR($B716="",$R716=""),"",IF($R716&lt;=0,"CLEARED "&amp;IFERROR(TEXT(_xlfn.MAXIFS(nrMK_Date,nrMK_Link,$B716,nrMK_Credit,"Yes"),"mm/dd"),""),"OPEN"))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IF(OR($B717="",N($I717)=0),"",SUMIFS(nrMK_Min,nrMK_Link,$B717,nrMK_Credit,"Yes"))</f>
        <v/>
      </c>
      <c r="Q717" s="17">
        <f>IF(OR($B717="",N($J717)=0),"",SUMIFS(nrMK_Sess,nrMK_Link,$B717,nrMK_Credit,"Yes"))</f>
        <v/>
      </c>
      <c r="R717" s="17">
        <f>IF(OR($B717="",$N717&lt;&gt;"Yes"),"",IF(N($I717)&gt;0,N($I717)-N($P717),IF(N($J717)&gt;0,N($J717)-N($Q717),"")))</f>
        <v/>
      </c>
      <c r="S717" s="17">
        <f>IF(OR($B717="",$R717=""),"",IF($R717&lt;=0,"CLEARED "&amp;IFERROR(TEXT(_xlfn.MAXIFS(nrMK_Date,nrMK_Link,$B717,nrMK_Credit,"Yes"),"mm/dd"),""),"OPEN"))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IF(OR($B718="",N($I718)=0),"",SUMIFS(nrMK_Min,nrMK_Link,$B718,nrMK_Credit,"Yes"))</f>
        <v/>
      </c>
      <c r="Q718" s="17">
        <f>IF(OR($B718="",N($J718)=0),"",SUMIFS(nrMK_Sess,nrMK_Link,$B718,nrMK_Credit,"Yes"))</f>
        <v/>
      </c>
      <c r="R718" s="17">
        <f>IF(OR($B718="",$N718&lt;&gt;"Yes"),"",IF(N($I718)&gt;0,N($I718)-N($P718),IF(N($J718)&gt;0,N($J718)-N($Q718),"")))</f>
        <v/>
      </c>
      <c r="S718" s="17">
        <f>IF(OR($B718="",$R718=""),"",IF($R718&lt;=0,"CLEARED "&amp;IFERROR(TEXT(_xlfn.MAXIFS(nrMK_Date,nrMK_Link,$B718,nrMK_Credit,"Yes"),"mm/dd"),""),"OPEN"))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IF(OR($B719="",N($I719)=0),"",SUMIFS(nrMK_Min,nrMK_Link,$B719,nrMK_Credit,"Yes"))</f>
        <v/>
      </c>
      <c r="Q719" s="17">
        <f>IF(OR($B719="",N($J719)=0),"",SUMIFS(nrMK_Sess,nrMK_Link,$B719,nrMK_Credit,"Yes"))</f>
        <v/>
      </c>
      <c r="R719" s="17">
        <f>IF(OR($B719="",$N719&lt;&gt;"Yes"),"",IF(N($I719)&gt;0,N($I719)-N($P719),IF(N($J719)&gt;0,N($J719)-N($Q719),"")))</f>
        <v/>
      </c>
      <c r="S719" s="17">
        <f>IF(OR($B719="",$R719=""),"",IF($R719&lt;=0,"CLEARED "&amp;IFERROR(TEXT(_xlfn.MAXIFS(nrMK_Date,nrMK_Link,$B719,nrMK_Credit,"Yes"),"mm/dd"),""),"OPEN"))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IF(OR($B720="",N($I720)=0),"",SUMIFS(nrMK_Min,nrMK_Link,$B720,nrMK_Credit,"Yes"))</f>
        <v/>
      </c>
      <c r="Q720" s="17">
        <f>IF(OR($B720="",N($J720)=0),"",SUMIFS(nrMK_Sess,nrMK_Link,$B720,nrMK_Credit,"Yes"))</f>
        <v/>
      </c>
      <c r="R720" s="17">
        <f>IF(OR($B720="",$N720&lt;&gt;"Yes"),"",IF(N($I720)&gt;0,N($I720)-N($P720),IF(N($J720)&gt;0,N($J720)-N($Q720),"")))</f>
        <v/>
      </c>
      <c r="S720" s="17">
        <f>IF(OR($B720="",$R720=""),"",IF($R720&lt;=0,"CLEARED "&amp;IFERROR(TEXT(_xlfn.MAXIFS(nrMK_Date,nrMK_Link,$B720,nrMK_Credit,"Yes"),"mm/dd"),""),"OPEN"))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IF(OR($B721="",N($I721)=0),"",SUMIFS(nrMK_Min,nrMK_Link,$B721,nrMK_Credit,"Yes"))</f>
        <v/>
      </c>
      <c r="Q721" s="17">
        <f>IF(OR($B721="",N($J721)=0),"",SUMIFS(nrMK_Sess,nrMK_Link,$B721,nrMK_Credit,"Yes"))</f>
        <v/>
      </c>
      <c r="R721" s="17">
        <f>IF(OR($B721="",$N721&lt;&gt;"Yes"),"",IF(N($I721)&gt;0,N($I721)-N($P721),IF(N($J721)&gt;0,N($J721)-N($Q721),"")))</f>
        <v/>
      </c>
      <c r="S721" s="17">
        <f>IF(OR($B721="",$R721=""),"",IF($R721&lt;=0,"CLEARED "&amp;IFERROR(TEXT(_xlfn.MAXIFS(nrMK_Date,nrMK_Link,$B721,nrMK_Credit,"Yes"),"mm/dd"),""),"OPEN"))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IF(OR($B722="",N($I722)=0),"",SUMIFS(nrMK_Min,nrMK_Link,$B722,nrMK_Credit,"Yes"))</f>
        <v/>
      </c>
      <c r="Q722" s="17">
        <f>IF(OR($B722="",N($J722)=0),"",SUMIFS(nrMK_Sess,nrMK_Link,$B722,nrMK_Credit,"Yes"))</f>
        <v/>
      </c>
      <c r="R722" s="17">
        <f>IF(OR($B722="",$N722&lt;&gt;"Yes"),"",IF(N($I722)&gt;0,N($I722)-N($P722),IF(N($J722)&gt;0,N($J722)-N($Q722),"")))</f>
        <v/>
      </c>
      <c r="S722" s="17">
        <f>IF(OR($B722="",$R722=""),"",IF($R722&lt;=0,"CLEARED "&amp;IFERROR(TEXT(_xlfn.MAXIFS(nrMK_Date,nrMK_Link,$B722,nrMK_Credit,"Yes"),"mm/dd"),""),"OPEN"))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IF(OR($B723="",N($I723)=0),"",SUMIFS(nrMK_Min,nrMK_Link,$B723,nrMK_Credit,"Yes"))</f>
        <v/>
      </c>
      <c r="Q723" s="17">
        <f>IF(OR($B723="",N($J723)=0),"",SUMIFS(nrMK_Sess,nrMK_Link,$B723,nrMK_Credit,"Yes"))</f>
        <v/>
      </c>
      <c r="R723" s="17">
        <f>IF(OR($B723="",$N723&lt;&gt;"Yes"),"",IF(N($I723)&gt;0,N($I723)-N($P723),IF(N($J723)&gt;0,N($J723)-N($Q723),"")))</f>
        <v/>
      </c>
      <c r="S723" s="17">
        <f>IF(OR($B723="",$R723=""),"",IF($R723&lt;=0,"CLEARED "&amp;IFERROR(TEXT(_xlfn.MAXIFS(nrMK_Date,nrMK_Link,$B723,nrMK_Credit,"Yes"),"mm/dd"),""),"OPEN"))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IF(OR($B724="",N($I724)=0),"",SUMIFS(nrMK_Min,nrMK_Link,$B724,nrMK_Credit,"Yes"))</f>
        <v/>
      </c>
      <c r="Q724" s="17">
        <f>IF(OR($B724="",N($J724)=0),"",SUMIFS(nrMK_Sess,nrMK_Link,$B724,nrMK_Credit,"Yes"))</f>
        <v/>
      </c>
      <c r="R724" s="17">
        <f>IF(OR($B724="",$N724&lt;&gt;"Yes"),"",IF(N($I724)&gt;0,N($I724)-N($P724),IF(N($J724)&gt;0,N($J724)-N($Q724),"")))</f>
        <v/>
      </c>
      <c r="S724" s="17">
        <f>IF(OR($B724="",$R724=""),"",IF($R724&lt;=0,"CLEARED "&amp;IFERROR(TEXT(_xlfn.MAXIFS(nrMK_Date,nrMK_Link,$B724,nrMK_Credit,"Yes"),"mm/dd"),""),"OPEN"))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IF(OR($B725="",N($I725)=0),"",SUMIFS(nrMK_Min,nrMK_Link,$B725,nrMK_Credit,"Yes"))</f>
        <v/>
      </c>
      <c r="Q725" s="17">
        <f>IF(OR($B725="",N($J725)=0),"",SUMIFS(nrMK_Sess,nrMK_Link,$B725,nrMK_Credit,"Yes"))</f>
        <v/>
      </c>
      <c r="R725" s="17">
        <f>IF(OR($B725="",$N725&lt;&gt;"Yes"),"",IF(N($I725)&gt;0,N($I725)-N($P725),IF(N($J725)&gt;0,N($J725)-N($Q725),"")))</f>
        <v/>
      </c>
      <c r="S725" s="17">
        <f>IF(OR($B725="",$R725=""),"",IF($R725&lt;=0,"CLEARED "&amp;IFERROR(TEXT(_xlfn.MAXIFS(nrMK_Date,nrMK_Link,$B725,nrMK_Credit,"Yes"),"mm/dd"),""),"OPEN"))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IF(OR($B726="",N($I726)=0),"",SUMIFS(nrMK_Min,nrMK_Link,$B726,nrMK_Credit,"Yes"))</f>
        <v/>
      </c>
      <c r="Q726" s="17">
        <f>IF(OR($B726="",N($J726)=0),"",SUMIFS(nrMK_Sess,nrMK_Link,$B726,nrMK_Credit,"Yes"))</f>
        <v/>
      </c>
      <c r="R726" s="17">
        <f>IF(OR($B726="",$N726&lt;&gt;"Yes"),"",IF(N($I726)&gt;0,N($I726)-N($P726),IF(N($J726)&gt;0,N($J726)-N($Q726),"")))</f>
        <v/>
      </c>
      <c r="S726" s="17">
        <f>IF(OR($B726="",$R726=""),"",IF($R726&lt;=0,"CLEARED "&amp;IFERROR(TEXT(_xlfn.MAXIFS(nrMK_Date,nrMK_Link,$B726,nrMK_Credit,"Yes"),"mm/dd"),""),"OPEN"))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IF(OR($B727="",N($I727)=0),"",SUMIFS(nrMK_Min,nrMK_Link,$B727,nrMK_Credit,"Yes"))</f>
        <v/>
      </c>
      <c r="Q727" s="17">
        <f>IF(OR($B727="",N($J727)=0),"",SUMIFS(nrMK_Sess,nrMK_Link,$B727,nrMK_Credit,"Yes"))</f>
        <v/>
      </c>
      <c r="R727" s="17">
        <f>IF(OR($B727="",$N727&lt;&gt;"Yes"),"",IF(N($I727)&gt;0,N($I727)-N($P727),IF(N($J727)&gt;0,N($J727)-N($Q727),"")))</f>
        <v/>
      </c>
      <c r="S727" s="17">
        <f>IF(OR($B727="",$R727=""),"",IF($R727&lt;=0,"CLEARED "&amp;IFERROR(TEXT(_xlfn.MAXIFS(nrMK_Date,nrMK_Link,$B727,nrMK_Credit,"Yes"),"mm/dd"),""),"OPEN"))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IF(OR($B728="",N($I728)=0),"",SUMIFS(nrMK_Min,nrMK_Link,$B728,nrMK_Credit,"Yes"))</f>
        <v/>
      </c>
      <c r="Q728" s="17">
        <f>IF(OR($B728="",N($J728)=0),"",SUMIFS(nrMK_Sess,nrMK_Link,$B728,nrMK_Credit,"Yes"))</f>
        <v/>
      </c>
      <c r="R728" s="17">
        <f>IF(OR($B728="",$N728&lt;&gt;"Yes"),"",IF(N($I728)&gt;0,N($I728)-N($P728),IF(N($J728)&gt;0,N($J728)-N($Q728),"")))</f>
        <v/>
      </c>
      <c r="S728" s="17">
        <f>IF(OR($B728="",$R728=""),"",IF($R728&lt;=0,"CLEARED "&amp;IFERROR(TEXT(_xlfn.MAXIFS(nrMK_Date,nrMK_Link,$B728,nrMK_Credit,"Yes"),"mm/dd"),""),"OPEN"))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IF(OR($B729="",N($I729)=0),"",SUMIFS(nrMK_Min,nrMK_Link,$B729,nrMK_Credit,"Yes"))</f>
        <v/>
      </c>
      <c r="Q729" s="17">
        <f>IF(OR($B729="",N($J729)=0),"",SUMIFS(nrMK_Sess,nrMK_Link,$B729,nrMK_Credit,"Yes"))</f>
        <v/>
      </c>
      <c r="R729" s="17">
        <f>IF(OR($B729="",$N729&lt;&gt;"Yes"),"",IF(N($I729)&gt;0,N($I729)-N($P729),IF(N($J729)&gt;0,N($J729)-N($Q729),"")))</f>
        <v/>
      </c>
      <c r="S729" s="17">
        <f>IF(OR($B729="",$R729=""),"",IF($R729&lt;=0,"CLEARED "&amp;IFERROR(TEXT(_xlfn.MAXIFS(nrMK_Date,nrMK_Link,$B729,nrMK_Credit,"Yes"),"mm/dd"),""),"OPEN"))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IF(OR($B730="",N($I730)=0),"",SUMIFS(nrMK_Min,nrMK_Link,$B730,nrMK_Credit,"Yes"))</f>
        <v/>
      </c>
      <c r="Q730" s="17">
        <f>IF(OR($B730="",N($J730)=0),"",SUMIFS(nrMK_Sess,nrMK_Link,$B730,nrMK_Credit,"Yes"))</f>
        <v/>
      </c>
      <c r="R730" s="17">
        <f>IF(OR($B730="",$N730&lt;&gt;"Yes"),"",IF(N($I730)&gt;0,N($I730)-N($P730),IF(N($J730)&gt;0,N($J730)-N($Q730),"")))</f>
        <v/>
      </c>
      <c r="S730" s="17">
        <f>IF(OR($B730="",$R730=""),"",IF($R730&lt;=0,"CLEARED "&amp;IFERROR(TEXT(_xlfn.MAXIFS(nrMK_Date,nrMK_Link,$B730,nrMK_Credit,"Yes"),"mm/dd"),""),"OPEN"))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IF(OR($B731="",N($I731)=0),"",SUMIFS(nrMK_Min,nrMK_Link,$B731,nrMK_Credit,"Yes"))</f>
        <v/>
      </c>
      <c r="Q731" s="17">
        <f>IF(OR($B731="",N($J731)=0),"",SUMIFS(nrMK_Sess,nrMK_Link,$B731,nrMK_Credit,"Yes"))</f>
        <v/>
      </c>
      <c r="R731" s="17">
        <f>IF(OR($B731="",$N731&lt;&gt;"Yes"),"",IF(N($I731)&gt;0,N($I731)-N($P731),IF(N($J731)&gt;0,N($J731)-N($Q731),"")))</f>
        <v/>
      </c>
      <c r="S731" s="17">
        <f>IF(OR($B731="",$R731=""),"",IF($R731&lt;=0,"CLEARED "&amp;IFERROR(TEXT(_xlfn.MAXIFS(nrMK_Date,nrMK_Link,$B731,nrMK_Credit,"Yes"),"mm/dd"),""),"OPEN"))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IF(OR($B732="",N($I732)=0),"",SUMIFS(nrMK_Min,nrMK_Link,$B732,nrMK_Credit,"Yes"))</f>
        <v/>
      </c>
      <c r="Q732" s="17">
        <f>IF(OR($B732="",N($J732)=0),"",SUMIFS(nrMK_Sess,nrMK_Link,$B732,nrMK_Credit,"Yes"))</f>
        <v/>
      </c>
      <c r="R732" s="17">
        <f>IF(OR($B732="",$N732&lt;&gt;"Yes"),"",IF(N($I732)&gt;0,N($I732)-N($P732),IF(N($J732)&gt;0,N($J732)-N($Q732),"")))</f>
        <v/>
      </c>
      <c r="S732" s="17">
        <f>IF(OR($B732="",$R732=""),"",IF($R732&lt;=0,"CLEARED "&amp;IFERROR(TEXT(_xlfn.MAXIFS(nrMK_Date,nrMK_Link,$B732,nrMK_Credit,"Yes"),"mm/dd"),""),"OPEN"))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IF(OR($B733="",N($I733)=0),"",SUMIFS(nrMK_Min,nrMK_Link,$B733,nrMK_Credit,"Yes"))</f>
        <v/>
      </c>
      <c r="Q733" s="17">
        <f>IF(OR($B733="",N($J733)=0),"",SUMIFS(nrMK_Sess,nrMK_Link,$B733,nrMK_Credit,"Yes"))</f>
        <v/>
      </c>
      <c r="R733" s="17">
        <f>IF(OR($B733="",$N733&lt;&gt;"Yes"),"",IF(N($I733)&gt;0,N($I733)-N($P733),IF(N($J733)&gt;0,N($J733)-N($Q733),"")))</f>
        <v/>
      </c>
      <c r="S733" s="17">
        <f>IF(OR($B733="",$R733=""),"",IF($R733&lt;=0,"CLEARED "&amp;IFERROR(TEXT(_xlfn.MAXIFS(nrMK_Date,nrMK_Link,$B733,nrMK_Credit,"Yes"),"mm/dd"),""),"OPEN"))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IF(OR($B734="",N($I734)=0),"",SUMIFS(nrMK_Min,nrMK_Link,$B734,nrMK_Credit,"Yes"))</f>
        <v/>
      </c>
      <c r="Q734" s="17">
        <f>IF(OR($B734="",N($J734)=0),"",SUMIFS(nrMK_Sess,nrMK_Link,$B734,nrMK_Credit,"Yes"))</f>
        <v/>
      </c>
      <c r="R734" s="17">
        <f>IF(OR($B734="",$N734&lt;&gt;"Yes"),"",IF(N($I734)&gt;0,N($I734)-N($P734),IF(N($J734)&gt;0,N($J734)-N($Q734),"")))</f>
        <v/>
      </c>
      <c r="S734" s="17">
        <f>IF(OR($B734="",$R734=""),"",IF($R734&lt;=0,"CLEARED "&amp;IFERROR(TEXT(_xlfn.MAXIFS(nrMK_Date,nrMK_Link,$B734,nrMK_Credit,"Yes"),"mm/dd"),""),"OPEN"))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IF(OR($B735="",N($I735)=0),"",SUMIFS(nrMK_Min,nrMK_Link,$B735,nrMK_Credit,"Yes"))</f>
        <v/>
      </c>
      <c r="Q735" s="17">
        <f>IF(OR($B735="",N($J735)=0),"",SUMIFS(nrMK_Sess,nrMK_Link,$B735,nrMK_Credit,"Yes"))</f>
        <v/>
      </c>
      <c r="R735" s="17">
        <f>IF(OR($B735="",$N735&lt;&gt;"Yes"),"",IF(N($I735)&gt;0,N($I735)-N($P735),IF(N($J735)&gt;0,N($J735)-N($Q735),"")))</f>
        <v/>
      </c>
      <c r="S735" s="17">
        <f>IF(OR($B735="",$R735=""),"",IF($R735&lt;=0,"CLEARED "&amp;IFERROR(TEXT(_xlfn.MAXIFS(nrMK_Date,nrMK_Link,$B735,nrMK_Credit,"Yes"),"mm/dd"),""),"OPEN"))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IF(OR($B736="",N($I736)=0),"",SUMIFS(nrMK_Min,nrMK_Link,$B736,nrMK_Credit,"Yes"))</f>
        <v/>
      </c>
      <c r="Q736" s="17">
        <f>IF(OR($B736="",N($J736)=0),"",SUMIFS(nrMK_Sess,nrMK_Link,$B736,nrMK_Credit,"Yes"))</f>
        <v/>
      </c>
      <c r="R736" s="17">
        <f>IF(OR($B736="",$N736&lt;&gt;"Yes"),"",IF(N($I736)&gt;0,N($I736)-N($P736),IF(N($J736)&gt;0,N($J736)-N($Q736),"")))</f>
        <v/>
      </c>
      <c r="S736" s="17">
        <f>IF(OR($B736="",$R736=""),"",IF($R736&lt;=0,"CLEARED "&amp;IFERROR(TEXT(_xlfn.MAXIFS(nrMK_Date,nrMK_Link,$B736,nrMK_Credit,"Yes"),"mm/dd"),""),"OPEN"))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IF(OR($B737="",N($I737)=0),"",SUMIFS(nrMK_Min,nrMK_Link,$B737,nrMK_Credit,"Yes"))</f>
        <v/>
      </c>
      <c r="Q737" s="17">
        <f>IF(OR($B737="",N($J737)=0),"",SUMIFS(nrMK_Sess,nrMK_Link,$B737,nrMK_Credit,"Yes"))</f>
        <v/>
      </c>
      <c r="R737" s="17">
        <f>IF(OR($B737="",$N737&lt;&gt;"Yes"),"",IF(N($I737)&gt;0,N($I737)-N($P737),IF(N($J737)&gt;0,N($J737)-N($Q737),"")))</f>
        <v/>
      </c>
      <c r="S737" s="17">
        <f>IF(OR($B737="",$R737=""),"",IF($R737&lt;=0,"CLEARED "&amp;IFERROR(TEXT(_xlfn.MAXIFS(nrMK_Date,nrMK_Link,$B737,nrMK_Credit,"Yes"),"mm/dd"),""),"OPEN"))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IF(OR($B738="",N($I738)=0),"",SUMIFS(nrMK_Min,nrMK_Link,$B738,nrMK_Credit,"Yes"))</f>
        <v/>
      </c>
      <c r="Q738" s="17">
        <f>IF(OR($B738="",N($J738)=0),"",SUMIFS(nrMK_Sess,nrMK_Link,$B738,nrMK_Credit,"Yes"))</f>
        <v/>
      </c>
      <c r="R738" s="17">
        <f>IF(OR($B738="",$N738&lt;&gt;"Yes"),"",IF(N($I738)&gt;0,N($I738)-N($P738),IF(N($J738)&gt;0,N($J738)-N($Q738),"")))</f>
        <v/>
      </c>
      <c r="S738" s="17">
        <f>IF(OR($B738="",$R738=""),"",IF($R738&lt;=0,"CLEARED "&amp;IFERROR(TEXT(_xlfn.MAXIFS(nrMK_Date,nrMK_Link,$B738,nrMK_Credit,"Yes"),"mm/dd"),""),"OPEN"))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IF(OR($B739="",N($I739)=0),"",SUMIFS(nrMK_Min,nrMK_Link,$B739,nrMK_Credit,"Yes"))</f>
        <v/>
      </c>
      <c r="Q739" s="17">
        <f>IF(OR($B739="",N($J739)=0),"",SUMIFS(nrMK_Sess,nrMK_Link,$B739,nrMK_Credit,"Yes"))</f>
        <v/>
      </c>
      <c r="R739" s="17">
        <f>IF(OR($B739="",$N739&lt;&gt;"Yes"),"",IF(N($I739)&gt;0,N($I739)-N($P739),IF(N($J739)&gt;0,N($J739)-N($Q739),"")))</f>
        <v/>
      </c>
      <c r="S739" s="17">
        <f>IF(OR($B739="",$R739=""),"",IF($R739&lt;=0,"CLEARED "&amp;IFERROR(TEXT(_xlfn.MAXIFS(nrMK_Date,nrMK_Link,$B739,nrMK_Credit,"Yes"),"mm/dd"),""),"OPEN"))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IF(OR($B740="",N($I740)=0),"",SUMIFS(nrMK_Min,nrMK_Link,$B740,nrMK_Credit,"Yes"))</f>
        <v/>
      </c>
      <c r="Q740" s="17">
        <f>IF(OR($B740="",N($J740)=0),"",SUMIFS(nrMK_Sess,nrMK_Link,$B740,nrMK_Credit,"Yes"))</f>
        <v/>
      </c>
      <c r="R740" s="17">
        <f>IF(OR($B740="",$N740&lt;&gt;"Yes"),"",IF(N($I740)&gt;0,N($I740)-N($P740),IF(N($J740)&gt;0,N($J740)-N($Q740),"")))</f>
        <v/>
      </c>
      <c r="S740" s="17">
        <f>IF(OR($B740="",$R740=""),"",IF($R740&lt;=0,"CLEARED "&amp;IFERROR(TEXT(_xlfn.MAXIFS(nrMK_Date,nrMK_Link,$B740,nrMK_Credit,"Yes"),"mm/dd"),""),"OPEN"))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IF(OR($B741="",N($I741)=0),"",SUMIFS(nrMK_Min,nrMK_Link,$B741,nrMK_Credit,"Yes"))</f>
        <v/>
      </c>
      <c r="Q741" s="17">
        <f>IF(OR($B741="",N($J741)=0),"",SUMIFS(nrMK_Sess,nrMK_Link,$B741,nrMK_Credit,"Yes"))</f>
        <v/>
      </c>
      <c r="R741" s="17">
        <f>IF(OR($B741="",$N741&lt;&gt;"Yes"),"",IF(N($I741)&gt;0,N($I741)-N($P741),IF(N($J741)&gt;0,N($J741)-N($Q741),"")))</f>
        <v/>
      </c>
      <c r="S741" s="17">
        <f>IF(OR($B741="",$R741=""),"",IF($R741&lt;=0,"CLEARED "&amp;IFERROR(TEXT(_xlfn.MAXIFS(nrMK_Date,nrMK_Link,$B741,nrMK_Credit,"Yes"),"mm/dd"),""),"OPEN"))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IF(OR($B742="",N($I742)=0),"",SUMIFS(nrMK_Min,nrMK_Link,$B742,nrMK_Credit,"Yes"))</f>
        <v/>
      </c>
      <c r="Q742" s="17">
        <f>IF(OR($B742="",N($J742)=0),"",SUMIFS(nrMK_Sess,nrMK_Link,$B742,nrMK_Credit,"Yes"))</f>
        <v/>
      </c>
      <c r="R742" s="17">
        <f>IF(OR($B742="",$N742&lt;&gt;"Yes"),"",IF(N($I742)&gt;0,N($I742)-N($P742),IF(N($J742)&gt;0,N($J742)-N($Q742),"")))</f>
        <v/>
      </c>
      <c r="S742" s="17">
        <f>IF(OR($B742="",$R742=""),"",IF($R742&lt;=0,"CLEARED "&amp;IFERROR(TEXT(_xlfn.MAXIFS(nrMK_Date,nrMK_Link,$B742,nrMK_Credit,"Yes"),"mm/dd"),""),"OPEN"))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IF(OR($B743="",N($I743)=0),"",SUMIFS(nrMK_Min,nrMK_Link,$B743,nrMK_Credit,"Yes"))</f>
        <v/>
      </c>
      <c r="Q743" s="17">
        <f>IF(OR($B743="",N($J743)=0),"",SUMIFS(nrMK_Sess,nrMK_Link,$B743,nrMK_Credit,"Yes"))</f>
        <v/>
      </c>
      <c r="R743" s="17">
        <f>IF(OR($B743="",$N743&lt;&gt;"Yes"),"",IF(N($I743)&gt;0,N($I743)-N($P743),IF(N($J743)&gt;0,N($J743)-N($Q743),"")))</f>
        <v/>
      </c>
      <c r="S743" s="17">
        <f>IF(OR($B743="",$R743=""),"",IF($R743&lt;=0,"CLEARED "&amp;IFERROR(TEXT(_xlfn.MAXIFS(nrMK_Date,nrMK_Link,$B743,nrMK_Credit,"Yes"),"mm/dd"),""),"OPEN"))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IF(OR($B744="",N($I744)=0),"",SUMIFS(nrMK_Min,nrMK_Link,$B744,nrMK_Credit,"Yes"))</f>
        <v/>
      </c>
      <c r="Q744" s="17">
        <f>IF(OR($B744="",N($J744)=0),"",SUMIFS(nrMK_Sess,nrMK_Link,$B744,nrMK_Credit,"Yes"))</f>
        <v/>
      </c>
      <c r="R744" s="17">
        <f>IF(OR($B744="",$N744&lt;&gt;"Yes"),"",IF(N($I744)&gt;0,N($I744)-N($P744),IF(N($J744)&gt;0,N($J744)-N($Q744),"")))</f>
        <v/>
      </c>
      <c r="S744" s="17">
        <f>IF(OR($B744="",$R744=""),"",IF($R744&lt;=0,"CLEARED "&amp;IFERROR(TEXT(_xlfn.MAXIFS(nrMK_Date,nrMK_Link,$B744,nrMK_Credit,"Yes"),"mm/dd"),""),"OPEN"))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IF(OR($B745="",N($I745)=0),"",SUMIFS(nrMK_Min,nrMK_Link,$B745,nrMK_Credit,"Yes"))</f>
        <v/>
      </c>
      <c r="Q745" s="17">
        <f>IF(OR($B745="",N($J745)=0),"",SUMIFS(nrMK_Sess,nrMK_Link,$B745,nrMK_Credit,"Yes"))</f>
        <v/>
      </c>
      <c r="R745" s="17">
        <f>IF(OR($B745="",$N745&lt;&gt;"Yes"),"",IF(N($I745)&gt;0,N($I745)-N($P745),IF(N($J745)&gt;0,N($J745)-N($Q745),"")))</f>
        <v/>
      </c>
      <c r="S745" s="17">
        <f>IF(OR($B745="",$R745=""),"",IF($R745&lt;=0,"CLEARED "&amp;IFERROR(TEXT(_xlfn.MAXIFS(nrMK_Date,nrMK_Link,$B745,nrMK_Credit,"Yes"),"mm/dd"),""),"OPEN"))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IF(OR($B746="",N($I746)=0),"",SUMIFS(nrMK_Min,nrMK_Link,$B746,nrMK_Credit,"Yes"))</f>
        <v/>
      </c>
      <c r="Q746" s="17">
        <f>IF(OR($B746="",N($J746)=0),"",SUMIFS(nrMK_Sess,nrMK_Link,$B746,nrMK_Credit,"Yes"))</f>
        <v/>
      </c>
      <c r="R746" s="17">
        <f>IF(OR($B746="",$N746&lt;&gt;"Yes"),"",IF(N($I746)&gt;0,N($I746)-N($P746),IF(N($J746)&gt;0,N($J746)-N($Q746),"")))</f>
        <v/>
      </c>
      <c r="S746" s="17">
        <f>IF(OR($B746="",$R746=""),"",IF($R746&lt;=0,"CLEARED "&amp;IFERROR(TEXT(_xlfn.MAXIFS(nrMK_Date,nrMK_Link,$B746,nrMK_Credit,"Yes"),"mm/dd"),""),"OPEN"))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IF(OR($B747="",N($I747)=0),"",SUMIFS(nrMK_Min,nrMK_Link,$B747,nrMK_Credit,"Yes"))</f>
        <v/>
      </c>
      <c r="Q747" s="17">
        <f>IF(OR($B747="",N($J747)=0),"",SUMIFS(nrMK_Sess,nrMK_Link,$B747,nrMK_Credit,"Yes"))</f>
        <v/>
      </c>
      <c r="R747" s="17">
        <f>IF(OR($B747="",$N747&lt;&gt;"Yes"),"",IF(N($I747)&gt;0,N($I747)-N($P747),IF(N($J747)&gt;0,N($J747)-N($Q747),"")))</f>
        <v/>
      </c>
      <c r="S747" s="17">
        <f>IF(OR($B747="",$R747=""),"",IF($R747&lt;=0,"CLEARED "&amp;IFERROR(TEXT(_xlfn.MAXIFS(nrMK_Date,nrMK_Link,$B747,nrMK_Credit,"Yes"),"mm/dd"),""),"OPEN"))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IF(OR($B748="",N($I748)=0),"",SUMIFS(nrMK_Min,nrMK_Link,$B748,nrMK_Credit,"Yes"))</f>
        <v/>
      </c>
      <c r="Q748" s="17">
        <f>IF(OR($B748="",N($J748)=0),"",SUMIFS(nrMK_Sess,nrMK_Link,$B748,nrMK_Credit,"Yes"))</f>
        <v/>
      </c>
      <c r="R748" s="17">
        <f>IF(OR($B748="",$N748&lt;&gt;"Yes"),"",IF(N($I748)&gt;0,N($I748)-N($P748),IF(N($J748)&gt;0,N($J748)-N($Q748),"")))</f>
        <v/>
      </c>
      <c r="S748" s="17">
        <f>IF(OR($B748="",$R748=""),"",IF($R748&lt;=0,"CLEARED "&amp;IFERROR(TEXT(_xlfn.MAXIFS(nrMK_Date,nrMK_Link,$B748,nrMK_Credit,"Yes"),"mm/dd"),""),"OPEN"))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IF(OR($B749="",N($I749)=0),"",SUMIFS(nrMK_Min,nrMK_Link,$B749,nrMK_Credit,"Yes"))</f>
        <v/>
      </c>
      <c r="Q749" s="17">
        <f>IF(OR($B749="",N($J749)=0),"",SUMIFS(nrMK_Sess,nrMK_Link,$B749,nrMK_Credit,"Yes"))</f>
        <v/>
      </c>
      <c r="R749" s="17">
        <f>IF(OR($B749="",$N749&lt;&gt;"Yes"),"",IF(N($I749)&gt;0,N($I749)-N($P749),IF(N($J749)&gt;0,N($J749)-N($Q749),"")))</f>
        <v/>
      </c>
      <c r="S749" s="17">
        <f>IF(OR($B749="",$R749=""),"",IF($R749&lt;=0,"CLEARED "&amp;IFERROR(TEXT(_xlfn.MAXIFS(nrMK_Date,nrMK_Link,$B749,nrMK_Credit,"Yes"),"mm/dd"),""),"OPEN"))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IF(OR($B750="",N($I750)=0),"",SUMIFS(nrMK_Min,nrMK_Link,$B750,nrMK_Credit,"Yes"))</f>
        <v/>
      </c>
      <c r="Q750" s="17">
        <f>IF(OR($B750="",N($J750)=0),"",SUMIFS(nrMK_Sess,nrMK_Link,$B750,nrMK_Credit,"Yes"))</f>
        <v/>
      </c>
      <c r="R750" s="17">
        <f>IF(OR($B750="",$N750&lt;&gt;"Yes"),"",IF(N($I750)&gt;0,N($I750)-N($P750),IF(N($J750)&gt;0,N($J750)-N($Q750),"")))</f>
        <v/>
      </c>
      <c r="S750" s="17">
        <f>IF(OR($B750="",$R750=""),"",IF($R750&lt;=0,"CLEARED "&amp;IFERROR(TEXT(_xlfn.MAXIFS(nrMK_Date,nrMK_Link,$B750,nrMK_Credit,"Yes"),"mm/dd"),""),"OPEN"))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IF(OR($B751="",N($I751)=0),"",SUMIFS(nrMK_Min,nrMK_Link,$B751,nrMK_Credit,"Yes"))</f>
        <v/>
      </c>
      <c r="Q751" s="17">
        <f>IF(OR($B751="",N($J751)=0),"",SUMIFS(nrMK_Sess,nrMK_Link,$B751,nrMK_Credit,"Yes"))</f>
        <v/>
      </c>
      <c r="R751" s="17">
        <f>IF(OR($B751="",$N751&lt;&gt;"Yes"),"",IF(N($I751)&gt;0,N($I751)-N($P751),IF(N($J751)&gt;0,N($J751)-N($Q751),"")))</f>
        <v/>
      </c>
      <c r="S751" s="17">
        <f>IF(OR($B751="",$R751=""),"",IF($R751&lt;=0,"CLEARED "&amp;IFERROR(TEXT(_xlfn.MAXIFS(nrMK_Date,nrMK_Link,$B751,nrMK_Credit,"Yes"),"mm/dd"),""),"OPEN"))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IF(OR($B752="",N($I752)=0),"",SUMIFS(nrMK_Min,nrMK_Link,$B752,nrMK_Credit,"Yes"))</f>
        <v/>
      </c>
      <c r="Q752" s="17">
        <f>IF(OR($B752="",N($J752)=0),"",SUMIFS(nrMK_Sess,nrMK_Link,$B752,nrMK_Credit,"Yes"))</f>
        <v/>
      </c>
      <c r="R752" s="17">
        <f>IF(OR($B752="",$N752&lt;&gt;"Yes"),"",IF(N($I752)&gt;0,N($I752)-N($P752),IF(N($J752)&gt;0,N($J752)-N($Q752),"")))</f>
        <v/>
      </c>
      <c r="S752" s="17">
        <f>IF(OR($B752="",$R752=""),"",IF($R752&lt;=0,"CLEARED "&amp;IFERROR(TEXT(_xlfn.MAXIFS(nrMK_Date,nrMK_Link,$B752,nrMK_Credit,"Yes"),"mm/dd"),""),"OPEN"))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IF(OR($B753="",N($I753)=0),"",SUMIFS(nrMK_Min,nrMK_Link,$B753,nrMK_Credit,"Yes"))</f>
        <v/>
      </c>
      <c r="Q753" s="17">
        <f>IF(OR($B753="",N($J753)=0),"",SUMIFS(nrMK_Sess,nrMK_Link,$B753,nrMK_Credit,"Yes"))</f>
        <v/>
      </c>
      <c r="R753" s="17">
        <f>IF(OR($B753="",$N753&lt;&gt;"Yes"),"",IF(N($I753)&gt;0,N($I753)-N($P753),IF(N($J753)&gt;0,N($J753)-N($Q753),"")))</f>
        <v/>
      </c>
      <c r="S753" s="17">
        <f>IF(OR($B753="",$R753=""),"",IF($R753&lt;=0,"CLEARED "&amp;IFERROR(TEXT(_xlfn.MAXIFS(nrMK_Date,nrMK_Link,$B753,nrMK_Credit,"Yes"),"mm/dd"),""),"OPEN"))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IF(OR($B754="",N($I754)=0),"",SUMIFS(nrMK_Min,nrMK_Link,$B754,nrMK_Credit,"Yes"))</f>
        <v/>
      </c>
      <c r="Q754" s="17">
        <f>IF(OR($B754="",N($J754)=0),"",SUMIFS(nrMK_Sess,nrMK_Link,$B754,nrMK_Credit,"Yes"))</f>
        <v/>
      </c>
      <c r="R754" s="17">
        <f>IF(OR($B754="",$N754&lt;&gt;"Yes"),"",IF(N($I754)&gt;0,N($I754)-N($P754),IF(N($J754)&gt;0,N($J754)-N($Q754),"")))</f>
        <v/>
      </c>
      <c r="S754" s="17">
        <f>IF(OR($B754="",$R754=""),"",IF($R754&lt;=0,"CLEARED "&amp;IFERROR(TEXT(_xlfn.MAXIFS(nrMK_Date,nrMK_Link,$B754,nrMK_Credit,"Yes"),"mm/dd"),""),"OPEN"))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IF(OR($B755="",N($I755)=0),"",SUMIFS(nrMK_Min,nrMK_Link,$B755,nrMK_Credit,"Yes"))</f>
        <v/>
      </c>
      <c r="Q755" s="17">
        <f>IF(OR($B755="",N($J755)=0),"",SUMIFS(nrMK_Sess,nrMK_Link,$B755,nrMK_Credit,"Yes"))</f>
        <v/>
      </c>
      <c r="R755" s="17">
        <f>IF(OR($B755="",$N755&lt;&gt;"Yes"),"",IF(N($I755)&gt;0,N($I755)-N($P755),IF(N($J755)&gt;0,N($J755)-N($Q755),"")))</f>
        <v/>
      </c>
      <c r="S755" s="17">
        <f>IF(OR($B755="",$R755=""),"",IF($R755&lt;=0,"CLEARED "&amp;IFERROR(TEXT(_xlfn.MAXIFS(nrMK_Date,nrMK_Link,$B755,nrMK_Credit,"Yes"),"mm/dd"),""),"OPEN"))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IF(OR($B756="",N($I756)=0),"",SUMIFS(nrMK_Min,nrMK_Link,$B756,nrMK_Credit,"Yes"))</f>
        <v/>
      </c>
      <c r="Q756" s="17">
        <f>IF(OR($B756="",N($J756)=0),"",SUMIFS(nrMK_Sess,nrMK_Link,$B756,nrMK_Credit,"Yes"))</f>
        <v/>
      </c>
      <c r="R756" s="17">
        <f>IF(OR($B756="",$N756&lt;&gt;"Yes"),"",IF(N($I756)&gt;0,N($I756)-N($P756),IF(N($J756)&gt;0,N($J756)-N($Q756),"")))</f>
        <v/>
      </c>
      <c r="S756" s="17">
        <f>IF(OR($B756="",$R756=""),"",IF($R756&lt;=0,"CLEARED "&amp;IFERROR(TEXT(_xlfn.MAXIFS(nrMK_Date,nrMK_Link,$B756,nrMK_Credit,"Yes"),"mm/dd"),""),"OPEN"))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IF(OR($B757="",N($I757)=0),"",SUMIFS(nrMK_Min,nrMK_Link,$B757,nrMK_Credit,"Yes"))</f>
        <v/>
      </c>
      <c r="Q757" s="17">
        <f>IF(OR($B757="",N($J757)=0),"",SUMIFS(nrMK_Sess,nrMK_Link,$B757,nrMK_Credit,"Yes"))</f>
        <v/>
      </c>
      <c r="R757" s="17">
        <f>IF(OR($B757="",$N757&lt;&gt;"Yes"),"",IF(N($I757)&gt;0,N($I757)-N($P757),IF(N($J757)&gt;0,N($J757)-N($Q757),"")))</f>
        <v/>
      </c>
      <c r="S757" s="17">
        <f>IF(OR($B757="",$R757=""),"",IF($R757&lt;=0,"CLEARED "&amp;IFERROR(TEXT(_xlfn.MAXIFS(nrMK_Date,nrMK_Link,$B757,nrMK_Credit,"Yes"),"mm/dd"),""),"OPEN"))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IF(OR($B758="",N($I758)=0),"",SUMIFS(nrMK_Min,nrMK_Link,$B758,nrMK_Credit,"Yes"))</f>
        <v/>
      </c>
      <c r="Q758" s="17">
        <f>IF(OR($B758="",N($J758)=0),"",SUMIFS(nrMK_Sess,nrMK_Link,$B758,nrMK_Credit,"Yes"))</f>
        <v/>
      </c>
      <c r="R758" s="17">
        <f>IF(OR($B758="",$N758&lt;&gt;"Yes"),"",IF(N($I758)&gt;0,N($I758)-N($P758),IF(N($J758)&gt;0,N($J758)-N($Q758),"")))</f>
        <v/>
      </c>
      <c r="S758" s="17">
        <f>IF(OR($B758="",$R758=""),"",IF($R758&lt;=0,"CLEARED "&amp;IFERROR(TEXT(_xlfn.MAXIFS(nrMK_Date,nrMK_Link,$B758,nrMK_Credit,"Yes"),"mm/dd"),""),"OPEN"))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IF(OR($B759="",N($I759)=0),"",SUMIFS(nrMK_Min,nrMK_Link,$B759,nrMK_Credit,"Yes"))</f>
        <v/>
      </c>
      <c r="Q759" s="17">
        <f>IF(OR($B759="",N($J759)=0),"",SUMIFS(nrMK_Sess,nrMK_Link,$B759,nrMK_Credit,"Yes"))</f>
        <v/>
      </c>
      <c r="R759" s="17">
        <f>IF(OR($B759="",$N759&lt;&gt;"Yes"),"",IF(N($I759)&gt;0,N($I759)-N($P759),IF(N($J759)&gt;0,N($J759)-N($Q759),"")))</f>
        <v/>
      </c>
      <c r="S759" s="17">
        <f>IF(OR($B759="",$R759=""),"",IF($R759&lt;=0,"CLEARED "&amp;IFERROR(TEXT(_xlfn.MAXIFS(nrMK_Date,nrMK_Link,$B759,nrMK_Credit,"Yes"),"mm/dd"),""),"OPEN"))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IF(OR($B760="",N($I760)=0),"",SUMIFS(nrMK_Min,nrMK_Link,$B760,nrMK_Credit,"Yes"))</f>
        <v/>
      </c>
      <c r="Q760" s="17">
        <f>IF(OR($B760="",N($J760)=0),"",SUMIFS(nrMK_Sess,nrMK_Link,$B760,nrMK_Credit,"Yes"))</f>
        <v/>
      </c>
      <c r="R760" s="17">
        <f>IF(OR($B760="",$N760&lt;&gt;"Yes"),"",IF(N($I760)&gt;0,N($I760)-N($P760),IF(N($J760)&gt;0,N($J760)-N($Q760),"")))</f>
        <v/>
      </c>
      <c r="S760" s="17">
        <f>IF(OR($B760="",$R760=""),"",IF($R760&lt;=0,"CLEARED "&amp;IFERROR(TEXT(_xlfn.MAXIFS(nrMK_Date,nrMK_Link,$B760,nrMK_Credit,"Yes"),"mm/dd"),""),"OPEN"))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IF(OR($B761="",N($I761)=0),"",SUMIFS(nrMK_Min,nrMK_Link,$B761,nrMK_Credit,"Yes"))</f>
        <v/>
      </c>
      <c r="Q761" s="17">
        <f>IF(OR($B761="",N($J761)=0),"",SUMIFS(nrMK_Sess,nrMK_Link,$B761,nrMK_Credit,"Yes"))</f>
        <v/>
      </c>
      <c r="R761" s="17">
        <f>IF(OR($B761="",$N761&lt;&gt;"Yes"),"",IF(N($I761)&gt;0,N($I761)-N($P761),IF(N($J761)&gt;0,N($J761)-N($Q761),"")))</f>
        <v/>
      </c>
      <c r="S761" s="17">
        <f>IF(OR($B761="",$R761=""),"",IF($R761&lt;=0,"CLEARED "&amp;IFERROR(TEXT(_xlfn.MAXIFS(nrMK_Date,nrMK_Link,$B761,nrMK_Credit,"Yes"),"mm/dd"),""),"OPEN"))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IF(OR($B762="",N($I762)=0),"",SUMIFS(nrMK_Min,nrMK_Link,$B762,nrMK_Credit,"Yes"))</f>
        <v/>
      </c>
      <c r="Q762" s="17">
        <f>IF(OR($B762="",N($J762)=0),"",SUMIFS(nrMK_Sess,nrMK_Link,$B762,nrMK_Credit,"Yes"))</f>
        <v/>
      </c>
      <c r="R762" s="17">
        <f>IF(OR($B762="",$N762&lt;&gt;"Yes"),"",IF(N($I762)&gt;0,N($I762)-N($P762),IF(N($J762)&gt;0,N($J762)-N($Q762),"")))</f>
        <v/>
      </c>
      <c r="S762" s="17">
        <f>IF(OR($B762="",$R762=""),"",IF($R762&lt;=0,"CLEARED "&amp;IFERROR(TEXT(_xlfn.MAXIFS(nrMK_Date,nrMK_Link,$B762,nrMK_Credit,"Yes"),"mm/dd"),""),"OPEN"))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IF(OR($B763="",N($I763)=0),"",SUMIFS(nrMK_Min,nrMK_Link,$B763,nrMK_Credit,"Yes"))</f>
        <v/>
      </c>
      <c r="Q763" s="17">
        <f>IF(OR($B763="",N($J763)=0),"",SUMIFS(nrMK_Sess,nrMK_Link,$B763,nrMK_Credit,"Yes"))</f>
        <v/>
      </c>
      <c r="R763" s="17">
        <f>IF(OR($B763="",$N763&lt;&gt;"Yes"),"",IF(N($I763)&gt;0,N($I763)-N($P763),IF(N($J763)&gt;0,N($J763)-N($Q763),"")))</f>
        <v/>
      </c>
      <c r="S763" s="17">
        <f>IF(OR($B763="",$R763=""),"",IF($R763&lt;=0,"CLEARED "&amp;IFERROR(TEXT(_xlfn.MAXIFS(nrMK_Date,nrMK_Link,$B763,nrMK_Credit,"Yes"),"mm/dd"),""),"OPEN"))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IF(OR($B764="",N($I764)=0),"",SUMIFS(nrMK_Min,nrMK_Link,$B764,nrMK_Credit,"Yes"))</f>
        <v/>
      </c>
      <c r="Q764" s="17">
        <f>IF(OR($B764="",N($J764)=0),"",SUMIFS(nrMK_Sess,nrMK_Link,$B764,nrMK_Credit,"Yes"))</f>
        <v/>
      </c>
      <c r="R764" s="17">
        <f>IF(OR($B764="",$N764&lt;&gt;"Yes"),"",IF(N($I764)&gt;0,N($I764)-N($P764),IF(N($J764)&gt;0,N($J764)-N($Q764),"")))</f>
        <v/>
      </c>
      <c r="S764" s="17">
        <f>IF(OR($B764="",$R764=""),"",IF($R764&lt;=0,"CLEARED "&amp;IFERROR(TEXT(_xlfn.MAXIFS(nrMK_Date,nrMK_Link,$B764,nrMK_Credit,"Yes"),"mm/dd"),""),"OPEN"))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IF(OR($B765="",N($I765)=0),"",SUMIFS(nrMK_Min,nrMK_Link,$B765,nrMK_Credit,"Yes"))</f>
        <v/>
      </c>
      <c r="Q765" s="17">
        <f>IF(OR($B765="",N($J765)=0),"",SUMIFS(nrMK_Sess,nrMK_Link,$B765,nrMK_Credit,"Yes"))</f>
        <v/>
      </c>
      <c r="R765" s="17">
        <f>IF(OR($B765="",$N765&lt;&gt;"Yes"),"",IF(N($I765)&gt;0,N($I765)-N($P765),IF(N($J765)&gt;0,N($J765)-N($Q765),"")))</f>
        <v/>
      </c>
      <c r="S765" s="17">
        <f>IF(OR($B765="",$R765=""),"",IF($R765&lt;=0,"CLEARED "&amp;IFERROR(TEXT(_xlfn.MAXIFS(nrMK_Date,nrMK_Link,$B765,nrMK_Credit,"Yes"),"mm/dd"),""),"OPEN"))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IF(OR($B766="",N($I766)=0),"",SUMIFS(nrMK_Min,nrMK_Link,$B766,nrMK_Credit,"Yes"))</f>
        <v/>
      </c>
      <c r="Q766" s="17">
        <f>IF(OR($B766="",N($J766)=0),"",SUMIFS(nrMK_Sess,nrMK_Link,$B766,nrMK_Credit,"Yes"))</f>
        <v/>
      </c>
      <c r="R766" s="17">
        <f>IF(OR($B766="",$N766&lt;&gt;"Yes"),"",IF(N($I766)&gt;0,N($I766)-N($P766),IF(N($J766)&gt;0,N($J766)-N($Q766),"")))</f>
        <v/>
      </c>
      <c r="S766" s="17">
        <f>IF(OR($B766="",$R766=""),"",IF($R766&lt;=0,"CLEARED "&amp;IFERROR(TEXT(_xlfn.MAXIFS(nrMK_Date,nrMK_Link,$B766,nrMK_Credit,"Yes"),"mm/dd"),""),"OPEN"))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IF(OR($B767="",N($I767)=0),"",SUMIFS(nrMK_Min,nrMK_Link,$B767,nrMK_Credit,"Yes"))</f>
        <v/>
      </c>
      <c r="Q767" s="17">
        <f>IF(OR($B767="",N($J767)=0),"",SUMIFS(nrMK_Sess,nrMK_Link,$B767,nrMK_Credit,"Yes"))</f>
        <v/>
      </c>
      <c r="R767" s="17">
        <f>IF(OR($B767="",$N767&lt;&gt;"Yes"),"",IF(N($I767)&gt;0,N($I767)-N($P767),IF(N($J767)&gt;0,N($J767)-N($Q767),"")))</f>
        <v/>
      </c>
      <c r="S767" s="17">
        <f>IF(OR($B767="",$R767=""),"",IF($R767&lt;=0,"CLEARED "&amp;IFERROR(TEXT(_xlfn.MAXIFS(nrMK_Date,nrMK_Link,$B767,nrMK_Credit,"Yes"),"mm/dd"),""),"OPEN"))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IF(OR($B768="",N($I768)=0),"",SUMIFS(nrMK_Min,nrMK_Link,$B768,nrMK_Credit,"Yes"))</f>
        <v/>
      </c>
      <c r="Q768" s="17">
        <f>IF(OR($B768="",N($J768)=0),"",SUMIFS(nrMK_Sess,nrMK_Link,$B768,nrMK_Credit,"Yes"))</f>
        <v/>
      </c>
      <c r="R768" s="17">
        <f>IF(OR($B768="",$N768&lt;&gt;"Yes"),"",IF(N($I768)&gt;0,N($I768)-N($P768),IF(N($J768)&gt;0,N($J768)-N($Q768),"")))</f>
        <v/>
      </c>
      <c r="S768" s="17">
        <f>IF(OR($B768="",$R768=""),"",IF($R768&lt;=0,"CLEARED "&amp;IFERROR(TEXT(_xlfn.MAXIFS(nrMK_Date,nrMK_Link,$B768,nrMK_Credit,"Yes"),"mm/dd"),""),"OPEN"))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IF(OR($B769="",N($I769)=0),"",SUMIFS(nrMK_Min,nrMK_Link,$B769,nrMK_Credit,"Yes"))</f>
        <v/>
      </c>
      <c r="Q769" s="17">
        <f>IF(OR($B769="",N($J769)=0),"",SUMIFS(nrMK_Sess,nrMK_Link,$B769,nrMK_Credit,"Yes"))</f>
        <v/>
      </c>
      <c r="R769" s="17">
        <f>IF(OR($B769="",$N769&lt;&gt;"Yes"),"",IF(N($I769)&gt;0,N($I769)-N($P769),IF(N($J769)&gt;0,N($J769)-N($Q769),"")))</f>
        <v/>
      </c>
      <c r="S769" s="17">
        <f>IF(OR($B769="",$R769=""),"",IF($R769&lt;=0,"CLEARED "&amp;IFERROR(TEXT(_xlfn.MAXIFS(nrMK_Date,nrMK_Link,$B769,nrMK_Credit,"Yes"),"mm/dd"),""),"OPEN"))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IF(OR($B770="",N($I770)=0),"",SUMIFS(nrMK_Min,nrMK_Link,$B770,nrMK_Credit,"Yes"))</f>
        <v/>
      </c>
      <c r="Q770" s="17">
        <f>IF(OR($B770="",N($J770)=0),"",SUMIFS(nrMK_Sess,nrMK_Link,$B770,nrMK_Credit,"Yes"))</f>
        <v/>
      </c>
      <c r="R770" s="17">
        <f>IF(OR($B770="",$N770&lt;&gt;"Yes"),"",IF(N($I770)&gt;0,N($I770)-N($P770),IF(N($J770)&gt;0,N($J770)-N($Q770),"")))</f>
        <v/>
      </c>
      <c r="S770" s="17">
        <f>IF(OR($B770="",$R770=""),"",IF($R770&lt;=0,"CLEARED "&amp;IFERROR(TEXT(_xlfn.MAXIFS(nrMK_Date,nrMK_Link,$B770,nrMK_Credit,"Yes"),"mm/dd"),""),"OPEN"))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IF(OR($B771="",N($I771)=0),"",SUMIFS(nrMK_Min,nrMK_Link,$B771,nrMK_Credit,"Yes"))</f>
        <v/>
      </c>
      <c r="Q771" s="17">
        <f>IF(OR($B771="",N($J771)=0),"",SUMIFS(nrMK_Sess,nrMK_Link,$B771,nrMK_Credit,"Yes"))</f>
        <v/>
      </c>
      <c r="R771" s="17">
        <f>IF(OR($B771="",$N771&lt;&gt;"Yes"),"",IF(N($I771)&gt;0,N($I771)-N($P771),IF(N($J771)&gt;0,N($J771)-N($Q771),"")))</f>
        <v/>
      </c>
      <c r="S771" s="17">
        <f>IF(OR($B771="",$R771=""),"",IF($R771&lt;=0,"CLEARED "&amp;IFERROR(TEXT(_xlfn.MAXIFS(nrMK_Date,nrMK_Link,$B771,nrMK_Credit,"Yes"),"mm/dd"),""),"OPEN"))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IF(OR($B772="",N($I772)=0),"",SUMIFS(nrMK_Min,nrMK_Link,$B772,nrMK_Credit,"Yes"))</f>
        <v/>
      </c>
      <c r="Q772" s="17">
        <f>IF(OR($B772="",N($J772)=0),"",SUMIFS(nrMK_Sess,nrMK_Link,$B772,nrMK_Credit,"Yes"))</f>
        <v/>
      </c>
      <c r="R772" s="17">
        <f>IF(OR($B772="",$N772&lt;&gt;"Yes"),"",IF(N($I772)&gt;0,N($I772)-N($P772),IF(N($J772)&gt;0,N($J772)-N($Q772),"")))</f>
        <v/>
      </c>
      <c r="S772" s="17">
        <f>IF(OR($B772="",$R772=""),"",IF($R772&lt;=0,"CLEARED "&amp;IFERROR(TEXT(_xlfn.MAXIFS(nrMK_Date,nrMK_Link,$B772,nrMK_Credit,"Yes"),"mm/dd"),""),"OPEN"))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IF(OR($B773="",N($I773)=0),"",SUMIFS(nrMK_Min,nrMK_Link,$B773,nrMK_Credit,"Yes"))</f>
        <v/>
      </c>
      <c r="Q773" s="17">
        <f>IF(OR($B773="",N($J773)=0),"",SUMIFS(nrMK_Sess,nrMK_Link,$B773,nrMK_Credit,"Yes"))</f>
        <v/>
      </c>
      <c r="R773" s="17">
        <f>IF(OR($B773="",$N773&lt;&gt;"Yes"),"",IF(N($I773)&gt;0,N($I773)-N($P773),IF(N($J773)&gt;0,N($J773)-N($Q773),"")))</f>
        <v/>
      </c>
      <c r="S773" s="17">
        <f>IF(OR($B773="",$R773=""),"",IF($R773&lt;=0,"CLEARED "&amp;IFERROR(TEXT(_xlfn.MAXIFS(nrMK_Date,nrMK_Link,$B773,nrMK_Credit,"Yes"),"mm/dd"),""),"OPEN"))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IF(OR($B774="",N($I774)=0),"",SUMIFS(nrMK_Min,nrMK_Link,$B774,nrMK_Credit,"Yes"))</f>
        <v/>
      </c>
      <c r="Q774" s="17">
        <f>IF(OR($B774="",N($J774)=0),"",SUMIFS(nrMK_Sess,nrMK_Link,$B774,nrMK_Credit,"Yes"))</f>
        <v/>
      </c>
      <c r="R774" s="17">
        <f>IF(OR($B774="",$N774&lt;&gt;"Yes"),"",IF(N($I774)&gt;0,N($I774)-N($P774),IF(N($J774)&gt;0,N($J774)-N($Q774),"")))</f>
        <v/>
      </c>
      <c r="S774" s="17">
        <f>IF(OR($B774="",$R774=""),"",IF($R774&lt;=0,"CLEARED "&amp;IFERROR(TEXT(_xlfn.MAXIFS(nrMK_Date,nrMK_Link,$B774,nrMK_Credit,"Yes"),"mm/dd"),""),"OPEN"))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IF(OR($B775="",N($I775)=0),"",SUMIFS(nrMK_Min,nrMK_Link,$B775,nrMK_Credit,"Yes"))</f>
        <v/>
      </c>
      <c r="Q775" s="17">
        <f>IF(OR($B775="",N($J775)=0),"",SUMIFS(nrMK_Sess,nrMK_Link,$B775,nrMK_Credit,"Yes"))</f>
        <v/>
      </c>
      <c r="R775" s="17">
        <f>IF(OR($B775="",$N775&lt;&gt;"Yes"),"",IF(N($I775)&gt;0,N($I775)-N($P775),IF(N($J775)&gt;0,N($J775)-N($Q775),"")))</f>
        <v/>
      </c>
      <c r="S775" s="17">
        <f>IF(OR($B775="",$R775=""),"",IF($R775&lt;=0,"CLEARED "&amp;IFERROR(TEXT(_xlfn.MAXIFS(nrMK_Date,nrMK_Link,$B775,nrMK_Credit,"Yes"),"mm/dd"),""),"OPEN"))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IF(OR($B776="",N($I776)=0),"",SUMIFS(nrMK_Min,nrMK_Link,$B776,nrMK_Credit,"Yes"))</f>
        <v/>
      </c>
      <c r="Q776" s="17">
        <f>IF(OR($B776="",N($J776)=0),"",SUMIFS(nrMK_Sess,nrMK_Link,$B776,nrMK_Credit,"Yes"))</f>
        <v/>
      </c>
      <c r="R776" s="17">
        <f>IF(OR($B776="",$N776&lt;&gt;"Yes"),"",IF(N($I776)&gt;0,N($I776)-N($P776),IF(N($J776)&gt;0,N($J776)-N($Q776),"")))</f>
        <v/>
      </c>
      <c r="S776" s="17">
        <f>IF(OR($B776="",$R776=""),"",IF($R776&lt;=0,"CLEARED "&amp;IFERROR(TEXT(_xlfn.MAXIFS(nrMK_Date,nrMK_Link,$B776,nrMK_Credit,"Yes"),"mm/dd"),""),"OPEN"))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IF(OR($B777="",N($I777)=0),"",SUMIFS(nrMK_Min,nrMK_Link,$B777,nrMK_Credit,"Yes"))</f>
        <v/>
      </c>
      <c r="Q777" s="17">
        <f>IF(OR($B777="",N($J777)=0),"",SUMIFS(nrMK_Sess,nrMK_Link,$B777,nrMK_Credit,"Yes"))</f>
        <v/>
      </c>
      <c r="R777" s="17">
        <f>IF(OR($B777="",$N777&lt;&gt;"Yes"),"",IF(N($I777)&gt;0,N($I777)-N($P777),IF(N($J777)&gt;0,N($J777)-N($Q777),"")))</f>
        <v/>
      </c>
      <c r="S777" s="17">
        <f>IF(OR($B777="",$R777=""),"",IF($R777&lt;=0,"CLEARED "&amp;IFERROR(TEXT(_xlfn.MAXIFS(nrMK_Date,nrMK_Link,$B777,nrMK_Credit,"Yes"),"mm/dd"),""),"OPEN"))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IF(OR($B778="",N($I778)=0),"",SUMIFS(nrMK_Min,nrMK_Link,$B778,nrMK_Credit,"Yes"))</f>
        <v/>
      </c>
      <c r="Q778" s="17">
        <f>IF(OR($B778="",N($J778)=0),"",SUMIFS(nrMK_Sess,nrMK_Link,$B778,nrMK_Credit,"Yes"))</f>
        <v/>
      </c>
      <c r="R778" s="17">
        <f>IF(OR($B778="",$N778&lt;&gt;"Yes"),"",IF(N($I778)&gt;0,N($I778)-N($P778),IF(N($J778)&gt;0,N($J778)-N($Q778),"")))</f>
        <v/>
      </c>
      <c r="S778" s="17">
        <f>IF(OR($B778="",$R778=""),"",IF($R778&lt;=0,"CLEARED "&amp;IFERROR(TEXT(_xlfn.MAXIFS(nrMK_Date,nrMK_Link,$B778,nrMK_Credit,"Yes"),"mm/dd"),""),"OPEN"))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IF(OR($B779="",N($I779)=0),"",SUMIFS(nrMK_Min,nrMK_Link,$B779,nrMK_Credit,"Yes"))</f>
        <v/>
      </c>
      <c r="Q779" s="17">
        <f>IF(OR($B779="",N($J779)=0),"",SUMIFS(nrMK_Sess,nrMK_Link,$B779,nrMK_Credit,"Yes"))</f>
        <v/>
      </c>
      <c r="R779" s="17">
        <f>IF(OR($B779="",$N779&lt;&gt;"Yes"),"",IF(N($I779)&gt;0,N($I779)-N($P779),IF(N($J779)&gt;0,N($J779)-N($Q779),"")))</f>
        <v/>
      </c>
      <c r="S779" s="17">
        <f>IF(OR($B779="",$R779=""),"",IF($R779&lt;=0,"CLEARED "&amp;IFERROR(TEXT(_xlfn.MAXIFS(nrMK_Date,nrMK_Link,$B779,nrMK_Credit,"Yes"),"mm/dd"),""),"OPEN"))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IF(OR($B780="",N($I780)=0),"",SUMIFS(nrMK_Min,nrMK_Link,$B780,nrMK_Credit,"Yes"))</f>
        <v/>
      </c>
      <c r="Q780" s="17">
        <f>IF(OR($B780="",N($J780)=0),"",SUMIFS(nrMK_Sess,nrMK_Link,$B780,nrMK_Credit,"Yes"))</f>
        <v/>
      </c>
      <c r="R780" s="17">
        <f>IF(OR($B780="",$N780&lt;&gt;"Yes"),"",IF(N($I780)&gt;0,N($I780)-N($P780),IF(N($J780)&gt;0,N($J780)-N($Q780),"")))</f>
        <v/>
      </c>
      <c r="S780" s="17">
        <f>IF(OR($B780="",$R780=""),"",IF($R780&lt;=0,"CLEARED "&amp;IFERROR(TEXT(_xlfn.MAXIFS(nrMK_Date,nrMK_Link,$B780,nrMK_Credit,"Yes"),"mm/dd"),""),"OPEN"))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IF(OR($B781="",N($I781)=0),"",SUMIFS(nrMK_Min,nrMK_Link,$B781,nrMK_Credit,"Yes"))</f>
        <v/>
      </c>
      <c r="Q781" s="17">
        <f>IF(OR($B781="",N($J781)=0),"",SUMIFS(nrMK_Sess,nrMK_Link,$B781,nrMK_Credit,"Yes"))</f>
        <v/>
      </c>
      <c r="R781" s="17">
        <f>IF(OR($B781="",$N781&lt;&gt;"Yes"),"",IF(N($I781)&gt;0,N($I781)-N($P781),IF(N($J781)&gt;0,N($J781)-N($Q781),"")))</f>
        <v/>
      </c>
      <c r="S781" s="17">
        <f>IF(OR($B781="",$R781=""),"",IF($R781&lt;=0,"CLEARED "&amp;IFERROR(TEXT(_xlfn.MAXIFS(nrMK_Date,nrMK_Link,$B781,nrMK_Credit,"Yes"),"mm/dd"),""),"OPEN"))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IF(OR($B782="",N($I782)=0),"",SUMIFS(nrMK_Min,nrMK_Link,$B782,nrMK_Credit,"Yes"))</f>
        <v/>
      </c>
      <c r="Q782" s="17">
        <f>IF(OR($B782="",N($J782)=0),"",SUMIFS(nrMK_Sess,nrMK_Link,$B782,nrMK_Credit,"Yes"))</f>
        <v/>
      </c>
      <c r="R782" s="17">
        <f>IF(OR($B782="",$N782&lt;&gt;"Yes"),"",IF(N($I782)&gt;0,N($I782)-N($P782),IF(N($J782)&gt;0,N($J782)-N($Q782),"")))</f>
        <v/>
      </c>
      <c r="S782" s="17">
        <f>IF(OR($B782="",$R782=""),"",IF($R782&lt;=0,"CLEARED "&amp;IFERROR(TEXT(_xlfn.MAXIFS(nrMK_Date,nrMK_Link,$B782,nrMK_Credit,"Yes"),"mm/dd"),""),"OPEN"))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IF(OR($B783="",N($I783)=0),"",SUMIFS(nrMK_Min,nrMK_Link,$B783,nrMK_Credit,"Yes"))</f>
        <v/>
      </c>
      <c r="Q783" s="17">
        <f>IF(OR($B783="",N($J783)=0),"",SUMIFS(nrMK_Sess,nrMK_Link,$B783,nrMK_Credit,"Yes"))</f>
        <v/>
      </c>
      <c r="R783" s="17">
        <f>IF(OR($B783="",$N783&lt;&gt;"Yes"),"",IF(N($I783)&gt;0,N($I783)-N($P783),IF(N($J783)&gt;0,N($J783)-N($Q783),"")))</f>
        <v/>
      </c>
      <c r="S783" s="17">
        <f>IF(OR($B783="",$R783=""),"",IF($R783&lt;=0,"CLEARED "&amp;IFERROR(TEXT(_xlfn.MAXIFS(nrMK_Date,nrMK_Link,$B783,nrMK_Credit,"Yes"),"mm/dd"),""),"OPEN"))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IF(OR($B784="",N($I784)=0),"",SUMIFS(nrMK_Min,nrMK_Link,$B784,nrMK_Credit,"Yes"))</f>
        <v/>
      </c>
      <c r="Q784" s="17">
        <f>IF(OR($B784="",N($J784)=0),"",SUMIFS(nrMK_Sess,nrMK_Link,$B784,nrMK_Credit,"Yes"))</f>
        <v/>
      </c>
      <c r="R784" s="17">
        <f>IF(OR($B784="",$N784&lt;&gt;"Yes"),"",IF(N($I784)&gt;0,N($I784)-N($P784),IF(N($J784)&gt;0,N($J784)-N($Q784),"")))</f>
        <v/>
      </c>
      <c r="S784" s="17">
        <f>IF(OR($B784="",$R784=""),"",IF($R784&lt;=0,"CLEARED "&amp;IFERROR(TEXT(_xlfn.MAXIFS(nrMK_Date,nrMK_Link,$B784,nrMK_Credit,"Yes"),"mm/dd"),""),"OPEN"))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IF(OR($B785="",N($I785)=0),"",SUMIFS(nrMK_Min,nrMK_Link,$B785,nrMK_Credit,"Yes"))</f>
        <v/>
      </c>
      <c r="Q785" s="17">
        <f>IF(OR($B785="",N($J785)=0),"",SUMIFS(nrMK_Sess,nrMK_Link,$B785,nrMK_Credit,"Yes"))</f>
        <v/>
      </c>
      <c r="R785" s="17">
        <f>IF(OR($B785="",$N785&lt;&gt;"Yes"),"",IF(N($I785)&gt;0,N($I785)-N($P785),IF(N($J785)&gt;0,N($J785)-N($Q785),"")))</f>
        <v/>
      </c>
      <c r="S785" s="17">
        <f>IF(OR($B785="",$R785=""),"",IF($R785&lt;=0,"CLEARED "&amp;IFERROR(TEXT(_xlfn.MAXIFS(nrMK_Date,nrMK_Link,$B785,nrMK_Credit,"Yes"),"mm/dd"),""),"OPEN"))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IF(OR($B786="",N($I786)=0),"",SUMIFS(nrMK_Min,nrMK_Link,$B786,nrMK_Credit,"Yes"))</f>
        <v/>
      </c>
      <c r="Q786" s="17">
        <f>IF(OR($B786="",N($J786)=0),"",SUMIFS(nrMK_Sess,nrMK_Link,$B786,nrMK_Credit,"Yes"))</f>
        <v/>
      </c>
      <c r="R786" s="17">
        <f>IF(OR($B786="",$N786&lt;&gt;"Yes"),"",IF(N($I786)&gt;0,N($I786)-N($P786),IF(N($J786)&gt;0,N($J786)-N($Q786),"")))</f>
        <v/>
      </c>
      <c r="S786" s="17">
        <f>IF(OR($B786="",$R786=""),"",IF($R786&lt;=0,"CLEARED "&amp;IFERROR(TEXT(_xlfn.MAXIFS(nrMK_Date,nrMK_Link,$B786,nrMK_Credit,"Yes"),"mm/dd"),""),"OPEN"))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IF(OR($B787="",N($I787)=0),"",SUMIFS(nrMK_Min,nrMK_Link,$B787,nrMK_Credit,"Yes"))</f>
        <v/>
      </c>
      <c r="Q787" s="17">
        <f>IF(OR($B787="",N($J787)=0),"",SUMIFS(nrMK_Sess,nrMK_Link,$B787,nrMK_Credit,"Yes"))</f>
        <v/>
      </c>
      <c r="R787" s="17">
        <f>IF(OR($B787="",$N787&lt;&gt;"Yes"),"",IF(N($I787)&gt;0,N($I787)-N($P787),IF(N($J787)&gt;0,N($J787)-N($Q787),"")))</f>
        <v/>
      </c>
      <c r="S787" s="17">
        <f>IF(OR($B787="",$R787=""),"",IF($R787&lt;=0,"CLEARED "&amp;IFERROR(TEXT(_xlfn.MAXIFS(nrMK_Date,nrMK_Link,$B787,nrMK_Credit,"Yes"),"mm/dd"),""),"OPEN"))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IF(OR($B788="",N($I788)=0),"",SUMIFS(nrMK_Min,nrMK_Link,$B788,nrMK_Credit,"Yes"))</f>
        <v/>
      </c>
      <c r="Q788" s="17">
        <f>IF(OR($B788="",N($J788)=0),"",SUMIFS(nrMK_Sess,nrMK_Link,$B788,nrMK_Credit,"Yes"))</f>
        <v/>
      </c>
      <c r="R788" s="17">
        <f>IF(OR($B788="",$N788&lt;&gt;"Yes"),"",IF(N($I788)&gt;0,N($I788)-N($P788),IF(N($J788)&gt;0,N($J788)-N($Q788),"")))</f>
        <v/>
      </c>
      <c r="S788" s="17">
        <f>IF(OR($B788="",$R788=""),"",IF($R788&lt;=0,"CLEARED "&amp;IFERROR(TEXT(_xlfn.MAXIFS(nrMK_Date,nrMK_Link,$B788,nrMK_Credit,"Yes"),"mm/dd"),""),"OPEN"))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IF(OR($B789="",N($I789)=0),"",SUMIFS(nrMK_Min,nrMK_Link,$B789,nrMK_Credit,"Yes"))</f>
        <v/>
      </c>
      <c r="Q789" s="17">
        <f>IF(OR($B789="",N($J789)=0),"",SUMIFS(nrMK_Sess,nrMK_Link,$B789,nrMK_Credit,"Yes"))</f>
        <v/>
      </c>
      <c r="R789" s="17">
        <f>IF(OR($B789="",$N789&lt;&gt;"Yes"),"",IF(N($I789)&gt;0,N($I789)-N($P789),IF(N($J789)&gt;0,N($J789)-N($Q789),"")))</f>
        <v/>
      </c>
      <c r="S789" s="17">
        <f>IF(OR($B789="",$R789=""),"",IF($R789&lt;=0,"CLEARED "&amp;IFERROR(TEXT(_xlfn.MAXIFS(nrMK_Date,nrMK_Link,$B789,nrMK_Credit,"Yes"),"mm/dd"),""),"OPEN"))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IF(OR($B790="",N($I790)=0),"",SUMIFS(nrMK_Min,nrMK_Link,$B790,nrMK_Credit,"Yes"))</f>
        <v/>
      </c>
      <c r="Q790" s="17">
        <f>IF(OR($B790="",N($J790)=0),"",SUMIFS(nrMK_Sess,nrMK_Link,$B790,nrMK_Credit,"Yes"))</f>
        <v/>
      </c>
      <c r="R790" s="17">
        <f>IF(OR($B790="",$N790&lt;&gt;"Yes"),"",IF(N($I790)&gt;0,N($I790)-N($P790),IF(N($J790)&gt;0,N($J790)-N($Q790),"")))</f>
        <v/>
      </c>
      <c r="S790" s="17">
        <f>IF(OR($B790="",$R790=""),"",IF($R790&lt;=0,"CLEARED "&amp;IFERROR(TEXT(_xlfn.MAXIFS(nrMK_Date,nrMK_Link,$B790,nrMK_Credit,"Yes"),"mm/dd"),""),"OPEN"))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IF(OR($B791="",N($I791)=0),"",SUMIFS(nrMK_Min,nrMK_Link,$B791,nrMK_Credit,"Yes"))</f>
        <v/>
      </c>
      <c r="Q791" s="17">
        <f>IF(OR($B791="",N($J791)=0),"",SUMIFS(nrMK_Sess,nrMK_Link,$B791,nrMK_Credit,"Yes"))</f>
        <v/>
      </c>
      <c r="R791" s="17">
        <f>IF(OR($B791="",$N791&lt;&gt;"Yes"),"",IF(N($I791)&gt;0,N($I791)-N($P791),IF(N($J791)&gt;0,N($J791)-N($Q791),"")))</f>
        <v/>
      </c>
      <c r="S791" s="17">
        <f>IF(OR($B791="",$R791=""),"",IF($R791&lt;=0,"CLEARED "&amp;IFERROR(TEXT(_xlfn.MAXIFS(nrMK_Date,nrMK_Link,$B791,nrMK_Credit,"Yes"),"mm/dd"),""),"OPEN"))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IF(OR($B792="",N($I792)=0),"",SUMIFS(nrMK_Min,nrMK_Link,$B792,nrMK_Credit,"Yes"))</f>
        <v/>
      </c>
      <c r="Q792" s="17">
        <f>IF(OR($B792="",N($J792)=0),"",SUMIFS(nrMK_Sess,nrMK_Link,$B792,nrMK_Credit,"Yes"))</f>
        <v/>
      </c>
      <c r="R792" s="17">
        <f>IF(OR($B792="",$N792&lt;&gt;"Yes"),"",IF(N($I792)&gt;0,N($I792)-N($P792),IF(N($J792)&gt;0,N($J792)-N($Q792),"")))</f>
        <v/>
      </c>
      <c r="S792" s="17">
        <f>IF(OR($B792="",$R792=""),"",IF($R792&lt;=0,"CLEARED "&amp;IFERROR(TEXT(_xlfn.MAXIFS(nrMK_Date,nrMK_Link,$B792,nrMK_Credit,"Yes"),"mm/dd"),""),"OPEN"))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IF(OR($B793="",N($I793)=0),"",SUMIFS(nrMK_Min,nrMK_Link,$B793,nrMK_Credit,"Yes"))</f>
        <v/>
      </c>
      <c r="Q793" s="17">
        <f>IF(OR($B793="",N($J793)=0),"",SUMIFS(nrMK_Sess,nrMK_Link,$B793,nrMK_Credit,"Yes"))</f>
        <v/>
      </c>
      <c r="R793" s="17">
        <f>IF(OR($B793="",$N793&lt;&gt;"Yes"),"",IF(N($I793)&gt;0,N($I793)-N($P793),IF(N($J793)&gt;0,N($J793)-N($Q793),"")))</f>
        <v/>
      </c>
      <c r="S793" s="17">
        <f>IF(OR($B793="",$R793=""),"",IF($R793&lt;=0,"CLEARED "&amp;IFERROR(TEXT(_xlfn.MAXIFS(nrMK_Date,nrMK_Link,$B793,nrMK_Credit,"Yes"),"mm/dd"),""),"OPEN"))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IF(OR($B794="",N($I794)=0),"",SUMIFS(nrMK_Min,nrMK_Link,$B794,nrMK_Credit,"Yes"))</f>
        <v/>
      </c>
      <c r="Q794" s="17">
        <f>IF(OR($B794="",N($J794)=0),"",SUMIFS(nrMK_Sess,nrMK_Link,$B794,nrMK_Credit,"Yes"))</f>
        <v/>
      </c>
      <c r="R794" s="17">
        <f>IF(OR($B794="",$N794&lt;&gt;"Yes"),"",IF(N($I794)&gt;0,N($I794)-N($P794),IF(N($J794)&gt;0,N($J794)-N($Q794),"")))</f>
        <v/>
      </c>
      <c r="S794" s="17">
        <f>IF(OR($B794="",$R794=""),"",IF($R794&lt;=0,"CLEARED "&amp;IFERROR(TEXT(_xlfn.MAXIFS(nrMK_Date,nrMK_Link,$B794,nrMK_Credit,"Yes"),"mm/dd"),""),"OPEN"))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IF(OR($B795="",N($I795)=0),"",SUMIFS(nrMK_Min,nrMK_Link,$B795,nrMK_Credit,"Yes"))</f>
        <v/>
      </c>
      <c r="Q795" s="17">
        <f>IF(OR($B795="",N($J795)=0),"",SUMIFS(nrMK_Sess,nrMK_Link,$B795,nrMK_Credit,"Yes"))</f>
        <v/>
      </c>
      <c r="R795" s="17">
        <f>IF(OR($B795="",$N795&lt;&gt;"Yes"),"",IF(N($I795)&gt;0,N($I795)-N($P795),IF(N($J795)&gt;0,N($J795)-N($Q795),"")))</f>
        <v/>
      </c>
      <c r="S795" s="17">
        <f>IF(OR($B795="",$R795=""),"",IF($R795&lt;=0,"CLEARED "&amp;IFERROR(TEXT(_xlfn.MAXIFS(nrMK_Date,nrMK_Link,$B795,nrMK_Credit,"Yes"),"mm/dd"),""),"OPEN"))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IF(OR($B796="",N($I796)=0),"",SUMIFS(nrMK_Min,nrMK_Link,$B796,nrMK_Credit,"Yes"))</f>
        <v/>
      </c>
      <c r="Q796" s="17">
        <f>IF(OR($B796="",N($J796)=0),"",SUMIFS(nrMK_Sess,nrMK_Link,$B796,nrMK_Credit,"Yes"))</f>
        <v/>
      </c>
      <c r="R796" s="17">
        <f>IF(OR($B796="",$N796&lt;&gt;"Yes"),"",IF(N($I796)&gt;0,N($I796)-N($P796),IF(N($J796)&gt;0,N($J796)-N($Q796),"")))</f>
        <v/>
      </c>
      <c r="S796" s="17">
        <f>IF(OR($B796="",$R796=""),"",IF($R796&lt;=0,"CLEARED "&amp;IFERROR(TEXT(_xlfn.MAXIFS(nrMK_Date,nrMK_Link,$B796,nrMK_Credit,"Yes"),"mm/dd"),""),"OPEN"))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IF(OR($B797="",N($I797)=0),"",SUMIFS(nrMK_Min,nrMK_Link,$B797,nrMK_Credit,"Yes"))</f>
        <v/>
      </c>
      <c r="Q797" s="17">
        <f>IF(OR($B797="",N($J797)=0),"",SUMIFS(nrMK_Sess,nrMK_Link,$B797,nrMK_Credit,"Yes"))</f>
        <v/>
      </c>
      <c r="R797" s="17">
        <f>IF(OR($B797="",$N797&lt;&gt;"Yes"),"",IF(N($I797)&gt;0,N($I797)-N($P797),IF(N($J797)&gt;0,N($J797)-N($Q797),"")))</f>
        <v/>
      </c>
      <c r="S797" s="17">
        <f>IF(OR($B797="",$R797=""),"",IF($R797&lt;=0,"CLEARED "&amp;IFERROR(TEXT(_xlfn.MAXIFS(nrMK_Date,nrMK_Link,$B797,nrMK_Credit,"Yes"),"mm/dd"),""),"OPEN"))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IF(OR($B798="",N($I798)=0),"",SUMIFS(nrMK_Min,nrMK_Link,$B798,nrMK_Credit,"Yes"))</f>
        <v/>
      </c>
      <c r="Q798" s="17">
        <f>IF(OR($B798="",N($J798)=0),"",SUMIFS(nrMK_Sess,nrMK_Link,$B798,nrMK_Credit,"Yes"))</f>
        <v/>
      </c>
      <c r="R798" s="17">
        <f>IF(OR($B798="",$N798&lt;&gt;"Yes"),"",IF(N($I798)&gt;0,N($I798)-N($P798),IF(N($J798)&gt;0,N($J798)-N($Q798),"")))</f>
        <v/>
      </c>
      <c r="S798" s="17">
        <f>IF(OR($B798="",$R798=""),"",IF($R798&lt;=0,"CLEARED "&amp;IFERROR(TEXT(_xlfn.MAXIFS(nrMK_Date,nrMK_Link,$B798,nrMK_Credit,"Yes"),"mm/dd"),""),"OPEN"))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IF(OR($B799="",N($I799)=0),"",SUMIFS(nrMK_Min,nrMK_Link,$B799,nrMK_Credit,"Yes"))</f>
        <v/>
      </c>
      <c r="Q799" s="17">
        <f>IF(OR($B799="",N($J799)=0),"",SUMIFS(nrMK_Sess,nrMK_Link,$B799,nrMK_Credit,"Yes"))</f>
        <v/>
      </c>
      <c r="R799" s="17">
        <f>IF(OR($B799="",$N799&lt;&gt;"Yes"),"",IF(N($I799)&gt;0,N($I799)-N($P799),IF(N($J799)&gt;0,N($J799)-N($Q799),"")))</f>
        <v/>
      </c>
      <c r="S799" s="17">
        <f>IF(OR($B799="",$R799=""),"",IF($R799&lt;=0,"CLEARED "&amp;IFERROR(TEXT(_xlfn.MAXIFS(nrMK_Date,nrMK_Link,$B799,nrMK_Credit,"Yes"),"mm/dd"),""),"OPEN"))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IF(OR($B800="",N($I800)=0),"",SUMIFS(nrMK_Min,nrMK_Link,$B800,nrMK_Credit,"Yes"))</f>
        <v/>
      </c>
      <c r="Q800" s="17">
        <f>IF(OR($B800="",N($J800)=0),"",SUMIFS(nrMK_Sess,nrMK_Link,$B800,nrMK_Credit,"Yes"))</f>
        <v/>
      </c>
      <c r="R800" s="17">
        <f>IF(OR($B800="",$N800&lt;&gt;"Yes"),"",IF(N($I800)&gt;0,N($I800)-N($P800),IF(N($J800)&gt;0,N($J800)-N($Q800),"")))</f>
        <v/>
      </c>
      <c r="S800" s="17">
        <f>IF(OR($B800="",$R800=""),"",IF($R800&lt;=0,"CLEARED "&amp;IFERROR(TEXT(_xlfn.MAXIFS(nrMK_Date,nrMK_Link,$B800,nrMK_Credit,"Yes"),"mm/dd"),""),"OPEN"))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IF(OR($B801="",N($I801)=0),"",SUMIFS(nrMK_Min,nrMK_Link,$B801,nrMK_Credit,"Yes"))</f>
        <v/>
      </c>
      <c r="Q801" s="17">
        <f>IF(OR($B801="",N($J801)=0),"",SUMIFS(nrMK_Sess,nrMK_Link,$B801,nrMK_Credit,"Yes"))</f>
        <v/>
      </c>
      <c r="R801" s="17">
        <f>IF(OR($B801="",$N801&lt;&gt;"Yes"),"",IF(N($I801)&gt;0,N($I801)-N($P801),IF(N($J801)&gt;0,N($J801)-N($Q801),"")))</f>
        <v/>
      </c>
      <c r="S801" s="17">
        <f>IF(OR($B801="",$R801=""),"",IF($R801&lt;=0,"CLEARED "&amp;IFERROR(TEXT(_xlfn.MAXIFS(nrMK_Date,nrMK_Link,$B801,nrMK_Credit,"Yes"),"mm/dd"),""),"OPEN"))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IF(OR($B802="",N($I802)=0),"",SUMIFS(nrMK_Min,nrMK_Link,$B802,nrMK_Credit,"Yes"))</f>
        <v/>
      </c>
      <c r="Q802" s="17">
        <f>IF(OR($B802="",N($J802)=0),"",SUMIFS(nrMK_Sess,nrMK_Link,$B802,nrMK_Credit,"Yes"))</f>
        <v/>
      </c>
      <c r="R802" s="17">
        <f>IF(OR($B802="",$N802&lt;&gt;"Yes"),"",IF(N($I802)&gt;0,N($I802)-N($P802),IF(N($J802)&gt;0,N($J802)-N($Q802),"")))</f>
        <v/>
      </c>
      <c r="S802" s="17">
        <f>IF(OR($B802="",$R802=""),"",IF($R802&lt;=0,"CLEARED "&amp;IFERROR(TEXT(_xlfn.MAXIFS(nrMK_Date,nrMK_Link,$B802,nrMK_Credit,"Yes"),"mm/dd"),""),"OPEN"))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IF(OR($B803="",N($I803)=0),"",SUMIFS(nrMK_Min,nrMK_Link,$B803,nrMK_Credit,"Yes"))</f>
        <v/>
      </c>
      <c r="Q803" s="17">
        <f>IF(OR($B803="",N($J803)=0),"",SUMIFS(nrMK_Sess,nrMK_Link,$B803,nrMK_Credit,"Yes"))</f>
        <v/>
      </c>
      <c r="R803" s="17">
        <f>IF(OR($B803="",$N803&lt;&gt;"Yes"),"",IF(N($I803)&gt;0,N($I803)-N($P803),IF(N($J803)&gt;0,N($J803)-N($Q803),"")))</f>
        <v/>
      </c>
      <c r="S803" s="17">
        <f>IF(OR($B803="",$R803=""),"",IF($R803&lt;=0,"CLEARED "&amp;IFERROR(TEXT(_xlfn.MAXIFS(nrMK_Date,nrMK_Link,$B803,nrMK_Credit,"Yes"),"mm/dd"),""),"OPEN"))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IF(OR($B804="",N($I804)=0),"",SUMIFS(nrMK_Min,nrMK_Link,$B804,nrMK_Credit,"Yes"))</f>
        <v/>
      </c>
      <c r="Q804" s="17">
        <f>IF(OR($B804="",N($J804)=0),"",SUMIFS(nrMK_Sess,nrMK_Link,$B804,nrMK_Credit,"Yes"))</f>
        <v/>
      </c>
      <c r="R804" s="17">
        <f>IF(OR($B804="",$N804&lt;&gt;"Yes"),"",IF(N($I804)&gt;0,N($I804)-N($P804),IF(N($J804)&gt;0,N($J804)-N($Q804),"")))</f>
        <v/>
      </c>
      <c r="S804" s="17">
        <f>IF(OR($B804="",$R804=""),"",IF($R804&lt;=0,"CLEARED "&amp;IFERROR(TEXT(_xlfn.MAXIFS(nrMK_Date,nrMK_Link,$B804,nrMK_Credit,"Yes"),"mm/dd"),""),"OPEN"))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IF(OR($B805="",N($I805)=0),"",SUMIFS(nrMK_Min,nrMK_Link,$B805,nrMK_Credit,"Yes"))</f>
        <v/>
      </c>
      <c r="Q805" s="17">
        <f>IF(OR($B805="",N($J805)=0),"",SUMIFS(nrMK_Sess,nrMK_Link,$B805,nrMK_Credit,"Yes"))</f>
        <v/>
      </c>
      <c r="R805" s="17">
        <f>IF(OR($B805="",$N805&lt;&gt;"Yes"),"",IF(N($I805)&gt;0,N($I805)-N($P805),IF(N($J805)&gt;0,N($J805)-N($Q805),"")))</f>
        <v/>
      </c>
      <c r="S805" s="17">
        <f>IF(OR($B805="",$R805=""),"",IF($R805&lt;=0,"CLEARED "&amp;IFERROR(TEXT(_xlfn.MAXIFS(nrMK_Date,nrMK_Link,$B805,nrMK_Credit,"Yes"),"mm/dd"),""),"OPEN"))</f>
        <v/>
      </c>
    </row>
  </sheetData>
  <autoFilter ref="B5:O5"/>
  <conditionalFormatting sqref="S6:S805">
    <cfRule type="expression" priority="1" dxfId="1">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 Pick the missed event's ID in Linked Event — the Attendance sheet clears that event automatically when its balance hits zero.</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N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IF(OR($D6="",$C6=""),"",_xlfn.LET(_xlpm.dn,IFERROR(_xlfn.XLOOKUP($C6,nrCDdate,nrCDnum),""),IF(_xlpm.dn="","(not a class day)",IFERROR(_xlfn.XLOOKUP(_xlpm.dn+cfgMemoDueClassDays,nrCDnum,nrCDdate),""))))</f>
        <v/>
      </c>
      <c r="I6" s="18" t="n"/>
      <c r="J6" s="19">
        <f>IF($D6="","",IF($I6&lt;&gt;"",$I6,IF(ISNUMBER($H6),$H6,"")))</f>
        <v/>
      </c>
      <c r="K6" s="18" t="n"/>
      <c r="L6" s="17">
        <f>IF($D6="","",IF($K6&lt;&gt;"","Received "&amp;TEXT($K6,"mm/dd"),IF(AND(ISNUMBER($J6),TODAY()&gt;$J6),"OVERDUE","Pending")))</f>
        <v/>
      </c>
      <c r="M6" s="16" t="n"/>
      <c r="N6" s="16" t="n"/>
    </row>
    <row r="7">
      <c r="B7" s="17">
        <f>IF($D7="","","ME"&amp;TEXT(ROW()-5,"000"))</f>
        <v/>
      </c>
      <c r="C7" s="18" t="n"/>
      <c r="D7" s="16" t="n"/>
      <c r="E7" s="17">
        <f>IF($D7="","",IFERROR(INDEX(rngCadetPIDs,MATCH($D7,rngCadetNames,0)),"?"))</f>
        <v/>
      </c>
      <c r="F7" s="16" t="n"/>
      <c r="G7" s="16" t="n"/>
      <c r="H7" s="19">
        <f>IF(OR($D7="",$C7=""),"",_xlfn.LET(_xlpm.dn,IFERROR(_xlfn.XLOOKUP($C7,nrCDdate,nrCDnum),""),IF(_xlpm.dn="","(not a class day)",IFERROR(_xlfn.XLOOKUP(_xlpm.dn+cfgMemoDueClassDays,nrCDnum,nrCDdate),""))))</f>
        <v/>
      </c>
      <c r="I7" s="18" t="n"/>
      <c r="J7" s="19">
        <f>IF($D7="","",IF($I7&lt;&gt;"",$I7,IF(ISNUMBER($H7),$H7,"")))</f>
        <v/>
      </c>
      <c r="K7" s="18" t="n"/>
      <c r="L7" s="17">
        <f>IF($D7="","",IF($K7&lt;&gt;"","Received "&amp;TEXT($K7,"mm/dd"),IF(AND(ISNUMBER($J7),TODAY()&gt;$J7),"OVERDUE","Pending")))</f>
        <v/>
      </c>
      <c r="M7" s="16" t="n"/>
      <c r="N7" s="16" t="n"/>
    </row>
    <row r="8">
      <c r="B8" s="17">
        <f>IF($D8="","","ME"&amp;TEXT(ROW()-5,"000"))</f>
        <v/>
      </c>
      <c r="C8" s="18" t="n"/>
      <c r="D8" s="16" t="n"/>
      <c r="E8" s="17">
        <f>IF($D8="","",IFERROR(INDEX(rngCadetPIDs,MATCH($D8,rngCadetNames,0)),"?"))</f>
        <v/>
      </c>
      <c r="F8" s="16" t="n"/>
      <c r="G8" s="16" t="n"/>
      <c r="H8" s="19">
        <f>IF(OR($D8="",$C8=""),"",_xlfn.LET(_xlpm.dn,IFERROR(_xlfn.XLOOKUP($C8,nrCDdate,nrCDnum),""),IF(_xlpm.dn="","(not a class day)",IFERROR(_xlfn.XLOOKUP(_xlpm.dn+cfgMemoDueClassDays,nrCDnum,nrCDdate),""))))</f>
        <v/>
      </c>
      <c r="I8" s="18" t="n"/>
      <c r="J8" s="19">
        <f>IF($D8="","",IF($I8&lt;&gt;"",$I8,IF(ISNUMBER($H8),$H8,"")))</f>
        <v/>
      </c>
      <c r="K8" s="18" t="n"/>
      <c r="L8" s="17">
        <f>IF($D8="","",IF($K8&lt;&gt;"","Received "&amp;TEXT($K8,"mm/dd"),IF(AND(ISNUMBER($J8),TODAY()&gt;$J8),"OVERDUE","Pending")))</f>
        <v/>
      </c>
      <c r="M8" s="16" t="n"/>
      <c r="N8" s="16" t="n"/>
    </row>
    <row r="9">
      <c r="B9" s="17">
        <f>IF($D9="","","ME"&amp;TEXT(ROW()-5,"000"))</f>
        <v/>
      </c>
      <c r="C9" s="18" t="n"/>
      <c r="D9" s="16" t="n"/>
      <c r="E9" s="17">
        <f>IF($D9="","",IFERROR(INDEX(rngCadetPIDs,MATCH($D9,rngCadetNames,0)),"?"))</f>
        <v/>
      </c>
      <c r="F9" s="16" t="n"/>
      <c r="G9" s="16" t="n"/>
      <c r="H9" s="19">
        <f>IF(OR($D9="",$C9=""),"",_xlfn.LET(_xlpm.dn,IFERROR(_xlfn.XLOOKUP($C9,nrCDdate,nrCDnum),""),IF(_xlpm.dn="","(not a class day)",IFERROR(_xlfn.XLOOKUP(_xlpm.dn+cfgMemoDueClassDays,nrCDnum,nrCDdate),""))))</f>
        <v/>
      </c>
      <c r="I9" s="18" t="n"/>
      <c r="J9" s="19">
        <f>IF($D9="","",IF($I9&lt;&gt;"",$I9,IF(ISNUMBER($H9),$H9,"")))</f>
        <v/>
      </c>
      <c r="K9" s="18" t="n"/>
      <c r="L9" s="17">
        <f>IF($D9="","",IF($K9&lt;&gt;"","Received "&amp;TEXT($K9,"mm/dd"),IF(AND(ISNUMBER($J9),TODAY()&gt;$J9),"OVERDUE","Pending")))</f>
        <v/>
      </c>
      <c r="M9" s="16" t="n"/>
      <c r="N9" s="16" t="n"/>
    </row>
    <row r="10">
      <c r="B10" s="17">
        <f>IF($D10="","","ME"&amp;TEXT(ROW()-5,"000"))</f>
        <v/>
      </c>
      <c r="C10" s="18" t="n"/>
      <c r="D10" s="16" t="n"/>
      <c r="E10" s="17">
        <f>IF($D10="","",IFERROR(INDEX(rngCadetPIDs,MATCH($D10,rngCadetNames,0)),"?"))</f>
        <v/>
      </c>
      <c r="F10" s="16" t="n"/>
      <c r="G10" s="16" t="n"/>
      <c r="H10" s="19">
        <f>IF(OR($D10="",$C10=""),"",_xlfn.LET(_xlpm.dn,IFERROR(_xlfn.XLOOKUP($C10,nrCDdate,nrCDnum),""),IF(_xlpm.dn="","(not a class day)",IFERROR(_xlfn.XLOOKUP(_xlpm.dn+cfgMemoDueClassDays,nrCDnum,nrCDdate),""))))</f>
        <v/>
      </c>
      <c r="I10" s="18" t="n"/>
      <c r="J10" s="19">
        <f>IF($D10="","",IF($I10&lt;&gt;"",$I10,IF(ISNUMBER($H10),$H10,"")))</f>
        <v/>
      </c>
      <c r="K10" s="18" t="n"/>
      <c r="L10" s="17">
        <f>IF($D10="","",IF($K10&lt;&gt;"","Received "&amp;TEXT($K10,"mm/dd"),IF(AND(ISNUMBER($J10),TODAY()&gt;$J10),"OVERDUE","Pending")))</f>
        <v/>
      </c>
      <c r="M10" s="16" t="n"/>
      <c r="N10" s="16" t="n"/>
    </row>
    <row r="11">
      <c r="B11" s="17">
        <f>IF($D11="","","ME"&amp;TEXT(ROW()-5,"000"))</f>
        <v/>
      </c>
      <c r="C11" s="18" t="n"/>
      <c r="D11" s="16" t="n"/>
      <c r="E11" s="17">
        <f>IF($D11="","",IFERROR(INDEX(rngCadetPIDs,MATCH($D11,rngCadetNames,0)),"?"))</f>
        <v/>
      </c>
      <c r="F11" s="16" t="n"/>
      <c r="G11" s="16" t="n"/>
      <c r="H11" s="19">
        <f>IF(OR($D11="",$C11=""),"",_xlfn.LET(_xlpm.dn,IFERROR(_xlfn.XLOOKUP($C11,nrCDdate,nrCDnum),""),IF(_xlpm.dn="","(not a class day)",IFERROR(_xlfn.XLOOKUP(_xlpm.dn+cfgMemoDueClassDays,nrCDnum,nrCDdate),""))))</f>
        <v/>
      </c>
      <c r="I11" s="18" t="n"/>
      <c r="J11" s="19">
        <f>IF($D11="","",IF($I11&lt;&gt;"",$I11,IF(ISNUMBER($H11),$H11,"")))</f>
        <v/>
      </c>
      <c r="K11" s="18" t="n"/>
      <c r="L11" s="17">
        <f>IF($D11="","",IF($K11&lt;&gt;"","Received "&amp;TEXT($K11,"mm/dd"),IF(AND(ISNUMBER($J11),TODAY()&gt;$J11),"OVERDUE","Pending")))</f>
        <v/>
      </c>
      <c r="M11" s="16" t="n"/>
      <c r="N11" s="16" t="n"/>
    </row>
    <row r="12">
      <c r="B12" s="17">
        <f>IF($D12="","","ME"&amp;TEXT(ROW()-5,"000"))</f>
        <v/>
      </c>
      <c r="C12" s="18" t="n"/>
      <c r="D12" s="16" t="n"/>
      <c r="E12" s="17">
        <f>IF($D12="","",IFERROR(INDEX(rngCadetPIDs,MATCH($D12,rngCadetNames,0)),"?"))</f>
        <v/>
      </c>
      <c r="F12" s="16" t="n"/>
      <c r="G12" s="16" t="n"/>
      <c r="H12" s="19">
        <f>IF(OR($D12="",$C12=""),"",_xlfn.LET(_xlpm.dn,IFERROR(_xlfn.XLOOKUP($C12,nrCDdate,nrCDnum),""),IF(_xlpm.dn="","(not a class day)",IFERROR(_xlfn.XLOOKUP(_xlpm.dn+cfgMemoDueClassDays,nrCDnum,nrCDdate),""))))</f>
        <v/>
      </c>
      <c r="I12" s="18" t="n"/>
      <c r="J12" s="19">
        <f>IF($D12="","",IF($I12&lt;&gt;"",$I12,IF(ISNUMBER($H12),$H12,"")))</f>
        <v/>
      </c>
      <c r="K12" s="18" t="n"/>
      <c r="L12" s="17">
        <f>IF($D12="","",IF($K12&lt;&gt;"","Received "&amp;TEXT($K12,"mm/dd"),IF(AND(ISNUMBER($J12),TODAY()&gt;$J12),"OVERDUE","Pending")))</f>
        <v/>
      </c>
      <c r="M12" s="16" t="n"/>
      <c r="N12" s="16" t="n"/>
    </row>
    <row r="13">
      <c r="B13" s="17">
        <f>IF($D13="","","ME"&amp;TEXT(ROW()-5,"000"))</f>
        <v/>
      </c>
      <c r="C13" s="18" t="n"/>
      <c r="D13" s="16" t="n"/>
      <c r="E13" s="17">
        <f>IF($D13="","",IFERROR(INDEX(rngCadetPIDs,MATCH($D13,rngCadetNames,0)),"?"))</f>
        <v/>
      </c>
      <c r="F13" s="16" t="n"/>
      <c r="G13" s="16" t="n"/>
      <c r="H13" s="19">
        <f>IF(OR($D13="",$C13=""),"",_xlfn.LET(_xlpm.dn,IFERROR(_xlfn.XLOOKUP($C13,nrCDdate,nrCDnum),""),IF(_xlpm.dn="","(not a class day)",IFERROR(_xlfn.XLOOKUP(_xlpm.dn+cfgMemoDueClassDays,nrCDnum,nrCDdate),""))))</f>
        <v/>
      </c>
      <c r="I13" s="18" t="n"/>
      <c r="J13" s="19">
        <f>IF($D13="","",IF($I13&lt;&gt;"",$I13,IF(ISNUMBER($H13),$H13,"")))</f>
        <v/>
      </c>
      <c r="K13" s="18" t="n"/>
      <c r="L13" s="17">
        <f>IF($D13="","",IF($K13&lt;&gt;"","Received "&amp;TEXT($K13,"mm/dd"),IF(AND(ISNUMBER($J13),TODAY()&gt;$J13),"OVERDUE","Pending")))</f>
        <v/>
      </c>
      <c r="M13" s="16" t="n"/>
      <c r="N13" s="16" t="n"/>
    </row>
    <row r="14">
      <c r="B14" s="17">
        <f>IF($D14="","","ME"&amp;TEXT(ROW()-5,"000"))</f>
        <v/>
      </c>
      <c r="C14" s="18" t="n"/>
      <c r="D14" s="16" t="n"/>
      <c r="E14" s="17">
        <f>IF($D14="","",IFERROR(INDEX(rngCadetPIDs,MATCH($D14,rngCadetNames,0)),"?"))</f>
        <v/>
      </c>
      <c r="F14" s="16" t="n"/>
      <c r="G14" s="16" t="n"/>
      <c r="H14" s="19">
        <f>IF(OR($D14="",$C14=""),"",_xlfn.LET(_xlpm.dn,IFERROR(_xlfn.XLOOKUP($C14,nrCDdate,nrCDnum),""),IF(_xlpm.dn="","(not a class day)",IFERROR(_xlfn.XLOOKUP(_xlpm.dn+cfgMemoDueClassDays,nrCDnum,nrCDdate),""))))</f>
        <v/>
      </c>
      <c r="I14" s="18" t="n"/>
      <c r="J14" s="19">
        <f>IF($D14="","",IF($I14&lt;&gt;"",$I14,IF(ISNUMBER($H14),$H14,"")))</f>
        <v/>
      </c>
      <c r="K14" s="18" t="n"/>
      <c r="L14" s="17">
        <f>IF($D14="","",IF($K14&lt;&gt;"","Received "&amp;TEXT($K14,"mm/dd"),IF(AND(ISNUMBER($J14),TODAY()&gt;$J14),"OVERDUE","Pending")))</f>
        <v/>
      </c>
      <c r="M14" s="16" t="n"/>
      <c r="N14" s="16" t="n"/>
    </row>
    <row r="15">
      <c r="B15" s="17">
        <f>IF($D15="","","ME"&amp;TEXT(ROW()-5,"000"))</f>
        <v/>
      </c>
      <c r="C15" s="18" t="n"/>
      <c r="D15" s="16" t="n"/>
      <c r="E15" s="17">
        <f>IF($D15="","",IFERROR(INDEX(rngCadetPIDs,MATCH($D15,rngCadetNames,0)),"?"))</f>
        <v/>
      </c>
      <c r="F15" s="16" t="n"/>
      <c r="G15" s="16" t="n"/>
      <c r="H15" s="19">
        <f>IF(OR($D15="",$C15=""),"",_xlfn.LET(_xlpm.dn,IFERROR(_xlfn.XLOOKUP($C15,nrCDdate,nrCDnum),""),IF(_xlpm.dn="","(not a class day)",IFERROR(_xlfn.XLOOKUP(_xlpm.dn+cfgMemoDueClassDays,nrCDnum,nrCDdate),""))))</f>
        <v/>
      </c>
      <c r="I15" s="18" t="n"/>
      <c r="J15" s="19">
        <f>IF($D15="","",IF($I15&lt;&gt;"",$I15,IF(ISNUMBER($H15),$H15,"")))</f>
        <v/>
      </c>
      <c r="K15" s="18" t="n"/>
      <c r="L15" s="17">
        <f>IF($D15="","",IF($K15&lt;&gt;"","Received "&amp;TEXT($K15,"mm/dd"),IF(AND(ISNUMBER($J15),TODAY()&gt;$J15),"OVERDUE","Pending")))</f>
        <v/>
      </c>
      <c r="M15" s="16" t="n"/>
      <c r="N15" s="16" t="n"/>
    </row>
    <row r="16">
      <c r="B16" s="17">
        <f>IF($D16="","","ME"&amp;TEXT(ROW()-5,"000"))</f>
        <v/>
      </c>
      <c r="C16" s="18" t="n"/>
      <c r="D16" s="16" t="n"/>
      <c r="E16" s="17">
        <f>IF($D16="","",IFERROR(INDEX(rngCadetPIDs,MATCH($D16,rngCadetNames,0)),"?"))</f>
        <v/>
      </c>
      <c r="F16" s="16" t="n"/>
      <c r="G16" s="16" t="n"/>
      <c r="H16" s="19">
        <f>IF(OR($D16="",$C16=""),"",_xlfn.LET(_xlpm.dn,IFERROR(_xlfn.XLOOKUP($C16,nrCDdate,nrCDnum),""),IF(_xlpm.dn="","(not a class day)",IFERROR(_xlfn.XLOOKUP(_xlpm.dn+cfgMemoDueClassDays,nrCDnum,nrCDdate),""))))</f>
        <v/>
      </c>
      <c r="I16" s="18" t="n"/>
      <c r="J16" s="19">
        <f>IF($D16="","",IF($I16&lt;&gt;"",$I16,IF(ISNUMBER($H16),$H16,"")))</f>
        <v/>
      </c>
      <c r="K16" s="18" t="n"/>
      <c r="L16" s="17">
        <f>IF($D16="","",IF($K16&lt;&gt;"","Received "&amp;TEXT($K16,"mm/dd"),IF(AND(ISNUMBER($J16),TODAY()&gt;$J16),"OVERDUE","Pending")))</f>
        <v/>
      </c>
      <c r="M16" s="16" t="n"/>
      <c r="N16" s="16" t="n"/>
    </row>
    <row r="17">
      <c r="B17" s="17">
        <f>IF($D17="","","ME"&amp;TEXT(ROW()-5,"000"))</f>
        <v/>
      </c>
      <c r="C17" s="18" t="n"/>
      <c r="D17" s="16" t="n"/>
      <c r="E17" s="17">
        <f>IF($D17="","",IFERROR(INDEX(rngCadetPIDs,MATCH($D17,rngCadetNames,0)),"?"))</f>
        <v/>
      </c>
      <c r="F17" s="16" t="n"/>
      <c r="G17" s="16" t="n"/>
      <c r="H17" s="19">
        <f>IF(OR($D17="",$C17=""),"",_xlfn.LET(_xlpm.dn,IFERROR(_xlfn.XLOOKUP($C17,nrCDdate,nrCDnum),""),IF(_xlpm.dn="","(not a class day)",IFERROR(_xlfn.XLOOKUP(_xlpm.dn+cfgMemoDueClassDays,nrCDnum,nrCDdate),""))))</f>
        <v/>
      </c>
      <c r="I17" s="18" t="n"/>
      <c r="J17" s="19">
        <f>IF($D17="","",IF($I17&lt;&gt;"",$I17,IF(ISNUMBER($H17),$H17,"")))</f>
        <v/>
      </c>
      <c r="K17" s="18" t="n"/>
      <c r="L17" s="17">
        <f>IF($D17="","",IF($K17&lt;&gt;"","Received "&amp;TEXT($K17,"mm/dd"),IF(AND(ISNUMBER($J17),TODAY()&gt;$J17),"OVERDUE","Pending")))</f>
        <v/>
      </c>
      <c r="M17" s="16" t="n"/>
      <c r="N17" s="16" t="n"/>
    </row>
    <row r="18">
      <c r="B18" s="17">
        <f>IF($D18="","","ME"&amp;TEXT(ROW()-5,"000"))</f>
        <v/>
      </c>
      <c r="C18" s="18" t="n"/>
      <c r="D18" s="16" t="n"/>
      <c r="E18" s="17">
        <f>IF($D18="","",IFERROR(INDEX(rngCadetPIDs,MATCH($D18,rngCadetNames,0)),"?"))</f>
        <v/>
      </c>
      <c r="F18" s="16" t="n"/>
      <c r="G18" s="16" t="n"/>
      <c r="H18" s="19">
        <f>IF(OR($D18="",$C18=""),"",_xlfn.LET(_xlpm.dn,IFERROR(_xlfn.XLOOKUP($C18,nrCDdate,nrCDnum),""),IF(_xlpm.dn="","(not a class day)",IFERROR(_xlfn.XLOOKUP(_xlpm.dn+cfgMemoDueClassDays,nrCDnum,nrCDdate),""))))</f>
        <v/>
      </c>
      <c r="I18" s="18" t="n"/>
      <c r="J18" s="19">
        <f>IF($D18="","",IF($I18&lt;&gt;"",$I18,IF(ISNUMBER($H18),$H18,"")))</f>
        <v/>
      </c>
      <c r="K18" s="18" t="n"/>
      <c r="L18" s="17">
        <f>IF($D18="","",IF($K18&lt;&gt;"","Received "&amp;TEXT($K18,"mm/dd"),IF(AND(ISNUMBER($J18),TODAY()&gt;$J18),"OVERDUE","Pending")))</f>
        <v/>
      </c>
      <c r="M18" s="16" t="n"/>
      <c r="N18" s="16" t="n"/>
    </row>
    <row r="19">
      <c r="B19" s="17">
        <f>IF($D19="","","ME"&amp;TEXT(ROW()-5,"000"))</f>
        <v/>
      </c>
      <c r="C19" s="18" t="n"/>
      <c r="D19" s="16" t="n"/>
      <c r="E19" s="17">
        <f>IF($D19="","",IFERROR(INDEX(rngCadetPIDs,MATCH($D19,rngCadetNames,0)),"?"))</f>
        <v/>
      </c>
      <c r="F19" s="16" t="n"/>
      <c r="G19" s="16" t="n"/>
      <c r="H19" s="19">
        <f>IF(OR($D19="",$C19=""),"",_xlfn.LET(_xlpm.dn,IFERROR(_xlfn.XLOOKUP($C19,nrCDdate,nrCDnum),""),IF(_xlpm.dn="","(not a class day)",IFERROR(_xlfn.XLOOKUP(_xlpm.dn+cfgMemoDueClassDays,nrCDnum,nrCDdate),""))))</f>
        <v/>
      </c>
      <c r="I19" s="18" t="n"/>
      <c r="J19" s="19">
        <f>IF($D19="","",IF($I19&lt;&gt;"",$I19,IF(ISNUMBER($H19),$H19,"")))</f>
        <v/>
      </c>
      <c r="K19" s="18" t="n"/>
      <c r="L19" s="17">
        <f>IF($D19="","",IF($K19&lt;&gt;"","Received "&amp;TEXT($K19,"mm/dd"),IF(AND(ISNUMBER($J19),TODAY()&gt;$J19),"OVERDUE","Pending")))</f>
        <v/>
      </c>
      <c r="M19" s="16" t="n"/>
      <c r="N19" s="16" t="n"/>
    </row>
    <row r="20">
      <c r="B20" s="17">
        <f>IF($D20="","","ME"&amp;TEXT(ROW()-5,"000"))</f>
        <v/>
      </c>
      <c r="C20" s="18" t="n"/>
      <c r="D20" s="16" t="n"/>
      <c r="E20" s="17">
        <f>IF($D20="","",IFERROR(INDEX(rngCadetPIDs,MATCH($D20,rngCadetNames,0)),"?"))</f>
        <v/>
      </c>
      <c r="F20" s="16" t="n"/>
      <c r="G20" s="16" t="n"/>
      <c r="H20" s="19">
        <f>IF(OR($D20="",$C20=""),"",_xlfn.LET(_xlpm.dn,IFERROR(_xlfn.XLOOKUP($C20,nrCDdate,nrCDnum),""),IF(_xlpm.dn="","(not a class day)",IFERROR(_xlfn.XLOOKUP(_xlpm.dn+cfgMemoDueClassDays,nrCDnum,nrCDdate),""))))</f>
        <v/>
      </c>
      <c r="I20" s="18" t="n"/>
      <c r="J20" s="19">
        <f>IF($D20="","",IF($I20&lt;&gt;"",$I20,IF(ISNUMBER($H20),$H20,"")))</f>
        <v/>
      </c>
      <c r="K20" s="18" t="n"/>
      <c r="L20" s="17">
        <f>IF($D20="","",IF($K20&lt;&gt;"","Received "&amp;TEXT($K20,"mm/dd"),IF(AND(ISNUMBER($J20),TODAY()&gt;$J20),"OVERDUE","Pending")))</f>
        <v/>
      </c>
      <c r="M20" s="16" t="n"/>
      <c r="N20" s="16" t="n"/>
    </row>
    <row r="21">
      <c r="B21" s="17">
        <f>IF($D21="","","ME"&amp;TEXT(ROW()-5,"000"))</f>
        <v/>
      </c>
      <c r="C21" s="18" t="n"/>
      <c r="D21" s="16" t="n"/>
      <c r="E21" s="17">
        <f>IF($D21="","",IFERROR(INDEX(rngCadetPIDs,MATCH($D21,rngCadetNames,0)),"?"))</f>
        <v/>
      </c>
      <c r="F21" s="16" t="n"/>
      <c r="G21" s="16" t="n"/>
      <c r="H21" s="19">
        <f>IF(OR($D21="",$C21=""),"",_xlfn.LET(_xlpm.dn,IFERROR(_xlfn.XLOOKUP($C21,nrCDdate,nrCDnum),""),IF(_xlpm.dn="","(not a class day)",IFERROR(_xlfn.XLOOKUP(_xlpm.dn+cfgMemoDueClassDays,nrCDnum,nrCDdate),""))))</f>
        <v/>
      </c>
      <c r="I21" s="18" t="n"/>
      <c r="J21" s="19">
        <f>IF($D21="","",IF($I21&lt;&gt;"",$I21,IF(ISNUMBER($H21),$H21,"")))</f>
        <v/>
      </c>
      <c r="K21" s="18" t="n"/>
      <c r="L21" s="17">
        <f>IF($D21="","",IF($K21&lt;&gt;"","Received "&amp;TEXT($K21,"mm/dd"),IF(AND(ISNUMBER($J21),TODAY()&gt;$J21),"OVERDUE","Pending")))</f>
        <v/>
      </c>
      <c r="M21" s="16" t="n"/>
      <c r="N21" s="16" t="n"/>
    </row>
    <row r="22">
      <c r="B22" s="17">
        <f>IF($D22="","","ME"&amp;TEXT(ROW()-5,"000"))</f>
        <v/>
      </c>
      <c r="C22" s="18" t="n"/>
      <c r="D22" s="16" t="n"/>
      <c r="E22" s="17">
        <f>IF($D22="","",IFERROR(INDEX(rngCadetPIDs,MATCH($D22,rngCadetNames,0)),"?"))</f>
        <v/>
      </c>
      <c r="F22" s="16" t="n"/>
      <c r="G22" s="16" t="n"/>
      <c r="H22" s="19">
        <f>IF(OR($D22="",$C22=""),"",_xlfn.LET(_xlpm.dn,IFERROR(_xlfn.XLOOKUP($C22,nrCDdate,nrCDnum),""),IF(_xlpm.dn="","(not a class day)",IFERROR(_xlfn.XLOOKUP(_xlpm.dn+cfgMemoDueClassDays,nrCDnum,nrCDdate),""))))</f>
        <v/>
      </c>
      <c r="I22" s="18" t="n"/>
      <c r="J22" s="19">
        <f>IF($D22="","",IF($I22&lt;&gt;"",$I22,IF(ISNUMBER($H22),$H22,"")))</f>
        <v/>
      </c>
      <c r="K22" s="18" t="n"/>
      <c r="L22" s="17">
        <f>IF($D22="","",IF($K22&lt;&gt;"","Received "&amp;TEXT($K22,"mm/dd"),IF(AND(ISNUMBER($J22),TODAY()&gt;$J22),"OVERDUE","Pending")))</f>
        <v/>
      </c>
      <c r="M22" s="16" t="n"/>
      <c r="N22" s="16" t="n"/>
    </row>
    <row r="23">
      <c r="B23" s="17">
        <f>IF($D23="","","ME"&amp;TEXT(ROW()-5,"000"))</f>
        <v/>
      </c>
      <c r="C23" s="18" t="n"/>
      <c r="D23" s="16" t="n"/>
      <c r="E23" s="17">
        <f>IF($D23="","",IFERROR(INDEX(rngCadetPIDs,MATCH($D23,rngCadetNames,0)),"?"))</f>
        <v/>
      </c>
      <c r="F23" s="16" t="n"/>
      <c r="G23" s="16" t="n"/>
      <c r="H23" s="19">
        <f>IF(OR($D23="",$C23=""),"",_xlfn.LET(_xlpm.dn,IFERROR(_xlfn.XLOOKUP($C23,nrCDdate,nrCDnum),""),IF(_xlpm.dn="","(not a class day)",IFERROR(_xlfn.XLOOKUP(_xlpm.dn+cfgMemoDueClassDays,nrCDnum,nrCDdate),""))))</f>
        <v/>
      </c>
      <c r="I23" s="18" t="n"/>
      <c r="J23" s="19">
        <f>IF($D23="","",IF($I23&lt;&gt;"",$I23,IF(ISNUMBER($H23),$H23,"")))</f>
        <v/>
      </c>
      <c r="K23" s="18" t="n"/>
      <c r="L23" s="17">
        <f>IF($D23="","",IF($K23&lt;&gt;"","Received "&amp;TEXT($K23,"mm/dd"),IF(AND(ISNUMBER($J23),TODAY()&gt;$J23),"OVERDUE","Pending")))</f>
        <v/>
      </c>
      <c r="M23" s="16" t="n"/>
      <c r="N23" s="16" t="n"/>
    </row>
    <row r="24">
      <c r="B24" s="17">
        <f>IF($D24="","","ME"&amp;TEXT(ROW()-5,"000"))</f>
        <v/>
      </c>
      <c r="C24" s="18" t="n"/>
      <c r="D24" s="16" t="n"/>
      <c r="E24" s="17">
        <f>IF($D24="","",IFERROR(INDEX(rngCadetPIDs,MATCH($D24,rngCadetNames,0)),"?"))</f>
        <v/>
      </c>
      <c r="F24" s="16" t="n"/>
      <c r="G24" s="16" t="n"/>
      <c r="H24" s="19">
        <f>IF(OR($D24="",$C24=""),"",_xlfn.LET(_xlpm.dn,IFERROR(_xlfn.XLOOKUP($C24,nrCDdate,nrCDnum),""),IF(_xlpm.dn="","(not a class day)",IFERROR(_xlfn.XLOOKUP(_xlpm.dn+cfgMemoDueClassDays,nrCDnum,nrCDdate),""))))</f>
        <v/>
      </c>
      <c r="I24" s="18" t="n"/>
      <c r="J24" s="19">
        <f>IF($D24="","",IF($I24&lt;&gt;"",$I24,IF(ISNUMBER($H24),$H24,"")))</f>
        <v/>
      </c>
      <c r="K24" s="18" t="n"/>
      <c r="L24" s="17">
        <f>IF($D24="","",IF($K24&lt;&gt;"","Received "&amp;TEXT($K24,"mm/dd"),IF(AND(ISNUMBER($J24),TODAY()&gt;$J24),"OVERDUE","Pending")))</f>
        <v/>
      </c>
      <c r="M24" s="16" t="n"/>
      <c r="N24" s="16" t="n"/>
    </row>
    <row r="25">
      <c r="B25" s="17">
        <f>IF($D25="","","ME"&amp;TEXT(ROW()-5,"000"))</f>
        <v/>
      </c>
      <c r="C25" s="18" t="n"/>
      <c r="D25" s="16" t="n"/>
      <c r="E25" s="17">
        <f>IF($D25="","",IFERROR(INDEX(rngCadetPIDs,MATCH($D25,rngCadetNames,0)),"?"))</f>
        <v/>
      </c>
      <c r="F25" s="16" t="n"/>
      <c r="G25" s="16" t="n"/>
      <c r="H25" s="19">
        <f>IF(OR($D25="",$C25=""),"",_xlfn.LET(_xlpm.dn,IFERROR(_xlfn.XLOOKUP($C25,nrCDdate,nrCDnum),""),IF(_xlpm.dn="","(not a class day)",IFERROR(_xlfn.XLOOKUP(_xlpm.dn+cfgMemoDueClassDays,nrCDnum,nrCDdate),""))))</f>
        <v/>
      </c>
      <c r="I25" s="18" t="n"/>
      <c r="J25" s="19">
        <f>IF($D25="","",IF($I25&lt;&gt;"",$I25,IF(ISNUMBER($H25),$H25,"")))</f>
        <v/>
      </c>
      <c r="K25" s="18" t="n"/>
      <c r="L25" s="17">
        <f>IF($D25="","",IF($K25&lt;&gt;"","Received "&amp;TEXT($K25,"mm/dd"),IF(AND(ISNUMBER($J25),TODAY()&gt;$J25),"OVERDUE","Pending")))</f>
        <v/>
      </c>
      <c r="M25" s="16" t="n"/>
      <c r="N25" s="16" t="n"/>
    </row>
    <row r="26">
      <c r="B26" s="17">
        <f>IF($D26="","","ME"&amp;TEXT(ROW()-5,"000"))</f>
        <v/>
      </c>
      <c r="C26" s="18" t="n"/>
      <c r="D26" s="16" t="n"/>
      <c r="E26" s="17">
        <f>IF($D26="","",IFERROR(INDEX(rngCadetPIDs,MATCH($D26,rngCadetNames,0)),"?"))</f>
        <v/>
      </c>
      <c r="F26" s="16" t="n"/>
      <c r="G26" s="16" t="n"/>
      <c r="H26" s="19">
        <f>IF(OR($D26="",$C26=""),"",_xlfn.LET(_xlpm.dn,IFERROR(_xlfn.XLOOKUP($C26,nrCDdate,nrCDnum),""),IF(_xlpm.dn="","(not a class day)",IFERROR(_xlfn.XLOOKUP(_xlpm.dn+cfgMemoDueClassDays,nrCDnum,nrCDdate),""))))</f>
        <v/>
      </c>
      <c r="I26" s="18" t="n"/>
      <c r="J26" s="19">
        <f>IF($D26="","",IF($I26&lt;&gt;"",$I26,IF(ISNUMBER($H26),$H26,"")))</f>
        <v/>
      </c>
      <c r="K26" s="18" t="n"/>
      <c r="L26" s="17">
        <f>IF($D26="","",IF($K26&lt;&gt;"","Received "&amp;TEXT($K26,"mm/dd"),IF(AND(ISNUMBER($J26),TODAY()&gt;$J26),"OVERDUE","Pending")))</f>
        <v/>
      </c>
      <c r="M26" s="16" t="n"/>
      <c r="N26" s="16" t="n"/>
    </row>
    <row r="27">
      <c r="B27" s="17">
        <f>IF($D27="","","ME"&amp;TEXT(ROW()-5,"000"))</f>
        <v/>
      </c>
      <c r="C27" s="18" t="n"/>
      <c r="D27" s="16" t="n"/>
      <c r="E27" s="17">
        <f>IF($D27="","",IFERROR(INDEX(rngCadetPIDs,MATCH($D27,rngCadetNames,0)),"?"))</f>
        <v/>
      </c>
      <c r="F27" s="16" t="n"/>
      <c r="G27" s="16" t="n"/>
      <c r="H27" s="19">
        <f>IF(OR($D27="",$C27=""),"",_xlfn.LET(_xlpm.dn,IFERROR(_xlfn.XLOOKUP($C27,nrCDdate,nrCDnum),""),IF(_xlpm.dn="","(not a class day)",IFERROR(_xlfn.XLOOKUP(_xlpm.dn+cfgMemoDueClassDays,nrCDnum,nrCDdate),""))))</f>
        <v/>
      </c>
      <c r="I27" s="18" t="n"/>
      <c r="J27" s="19">
        <f>IF($D27="","",IF($I27&lt;&gt;"",$I27,IF(ISNUMBER($H27),$H27,"")))</f>
        <v/>
      </c>
      <c r="K27" s="18" t="n"/>
      <c r="L27" s="17">
        <f>IF($D27="","",IF($K27&lt;&gt;"","Received "&amp;TEXT($K27,"mm/dd"),IF(AND(ISNUMBER($J27),TODAY()&gt;$J27),"OVERDUE","Pending")))</f>
        <v/>
      </c>
      <c r="M27" s="16" t="n"/>
      <c r="N27" s="16" t="n"/>
    </row>
    <row r="28">
      <c r="B28" s="17">
        <f>IF($D28="","","ME"&amp;TEXT(ROW()-5,"000"))</f>
        <v/>
      </c>
      <c r="C28" s="18" t="n"/>
      <c r="D28" s="16" t="n"/>
      <c r="E28" s="17">
        <f>IF($D28="","",IFERROR(INDEX(rngCadetPIDs,MATCH($D28,rngCadetNames,0)),"?"))</f>
        <v/>
      </c>
      <c r="F28" s="16" t="n"/>
      <c r="G28" s="16" t="n"/>
      <c r="H28" s="19">
        <f>IF(OR($D28="",$C28=""),"",_xlfn.LET(_xlpm.dn,IFERROR(_xlfn.XLOOKUP($C28,nrCDdate,nrCDnum),""),IF(_xlpm.dn="","(not a class day)",IFERROR(_xlfn.XLOOKUP(_xlpm.dn+cfgMemoDueClassDays,nrCDnum,nrCDdate),""))))</f>
        <v/>
      </c>
      <c r="I28" s="18" t="n"/>
      <c r="J28" s="19">
        <f>IF($D28="","",IF($I28&lt;&gt;"",$I28,IF(ISNUMBER($H28),$H28,"")))</f>
        <v/>
      </c>
      <c r="K28" s="18" t="n"/>
      <c r="L28" s="17">
        <f>IF($D28="","",IF($K28&lt;&gt;"","Received "&amp;TEXT($K28,"mm/dd"),IF(AND(ISNUMBER($J28),TODAY()&gt;$J28),"OVERDUE","Pending")))</f>
        <v/>
      </c>
      <c r="M28" s="16" t="n"/>
      <c r="N28" s="16" t="n"/>
    </row>
    <row r="29">
      <c r="B29" s="17">
        <f>IF($D29="","","ME"&amp;TEXT(ROW()-5,"000"))</f>
        <v/>
      </c>
      <c r="C29" s="18" t="n"/>
      <c r="D29" s="16" t="n"/>
      <c r="E29" s="17">
        <f>IF($D29="","",IFERROR(INDEX(rngCadetPIDs,MATCH($D29,rngCadetNames,0)),"?"))</f>
        <v/>
      </c>
      <c r="F29" s="16" t="n"/>
      <c r="G29" s="16" t="n"/>
      <c r="H29" s="19">
        <f>IF(OR($D29="",$C29=""),"",_xlfn.LET(_xlpm.dn,IFERROR(_xlfn.XLOOKUP($C29,nrCDdate,nrCDnum),""),IF(_xlpm.dn="","(not a class day)",IFERROR(_xlfn.XLOOKUP(_xlpm.dn+cfgMemoDueClassDays,nrCDnum,nrCDdate),""))))</f>
        <v/>
      </c>
      <c r="I29" s="18" t="n"/>
      <c r="J29" s="19">
        <f>IF($D29="","",IF($I29&lt;&gt;"",$I29,IF(ISNUMBER($H29),$H29,"")))</f>
        <v/>
      </c>
      <c r="K29" s="18" t="n"/>
      <c r="L29" s="17">
        <f>IF($D29="","",IF($K29&lt;&gt;"","Received "&amp;TEXT($K29,"mm/dd"),IF(AND(ISNUMBER($J29),TODAY()&gt;$J29),"OVERDUE","Pending")))</f>
        <v/>
      </c>
      <c r="M29" s="16" t="n"/>
      <c r="N29" s="16" t="n"/>
    </row>
    <row r="30">
      <c r="B30" s="17">
        <f>IF($D30="","","ME"&amp;TEXT(ROW()-5,"000"))</f>
        <v/>
      </c>
      <c r="C30" s="18" t="n"/>
      <c r="D30" s="16" t="n"/>
      <c r="E30" s="17">
        <f>IF($D30="","",IFERROR(INDEX(rngCadetPIDs,MATCH($D30,rngCadetNames,0)),"?"))</f>
        <v/>
      </c>
      <c r="F30" s="16" t="n"/>
      <c r="G30" s="16" t="n"/>
      <c r="H30" s="19">
        <f>IF(OR($D30="",$C30=""),"",_xlfn.LET(_xlpm.dn,IFERROR(_xlfn.XLOOKUP($C30,nrCDdate,nrCDnum),""),IF(_xlpm.dn="","(not a class day)",IFERROR(_xlfn.XLOOKUP(_xlpm.dn+cfgMemoDueClassDays,nrCDnum,nrCDdate),""))))</f>
        <v/>
      </c>
      <c r="I30" s="18" t="n"/>
      <c r="J30" s="19">
        <f>IF($D30="","",IF($I30&lt;&gt;"",$I30,IF(ISNUMBER($H30),$H30,"")))</f>
        <v/>
      </c>
      <c r="K30" s="18" t="n"/>
      <c r="L30" s="17">
        <f>IF($D30="","",IF($K30&lt;&gt;"","Received "&amp;TEXT($K30,"mm/dd"),IF(AND(ISNUMBER($J30),TODAY()&gt;$J30),"OVERDUE","Pending")))</f>
        <v/>
      </c>
      <c r="M30" s="16" t="n"/>
      <c r="N30" s="16" t="n"/>
    </row>
    <row r="31">
      <c r="B31" s="17">
        <f>IF($D31="","","ME"&amp;TEXT(ROW()-5,"000"))</f>
        <v/>
      </c>
      <c r="C31" s="18" t="n"/>
      <c r="D31" s="16" t="n"/>
      <c r="E31" s="17">
        <f>IF($D31="","",IFERROR(INDEX(rngCadetPIDs,MATCH($D31,rngCadetNames,0)),"?"))</f>
        <v/>
      </c>
      <c r="F31" s="16" t="n"/>
      <c r="G31" s="16" t="n"/>
      <c r="H31" s="19">
        <f>IF(OR($D31="",$C31=""),"",_xlfn.LET(_xlpm.dn,IFERROR(_xlfn.XLOOKUP($C31,nrCDdate,nrCDnum),""),IF(_xlpm.dn="","(not a class day)",IFERROR(_xlfn.XLOOKUP(_xlpm.dn+cfgMemoDueClassDays,nrCDnum,nrCDdate),""))))</f>
        <v/>
      </c>
      <c r="I31" s="18" t="n"/>
      <c r="J31" s="19">
        <f>IF($D31="","",IF($I31&lt;&gt;"",$I31,IF(ISNUMBER($H31),$H31,"")))</f>
        <v/>
      </c>
      <c r="K31" s="18" t="n"/>
      <c r="L31" s="17">
        <f>IF($D31="","",IF($K31&lt;&gt;"","Received "&amp;TEXT($K31,"mm/dd"),IF(AND(ISNUMBER($J31),TODAY()&gt;$J31),"OVERDUE","Pending")))</f>
        <v/>
      </c>
      <c r="M31" s="16" t="n"/>
      <c r="N31" s="16" t="n"/>
    </row>
    <row r="32">
      <c r="B32" s="17">
        <f>IF($D32="","","ME"&amp;TEXT(ROW()-5,"000"))</f>
        <v/>
      </c>
      <c r="C32" s="18" t="n"/>
      <c r="D32" s="16" t="n"/>
      <c r="E32" s="17">
        <f>IF($D32="","",IFERROR(INDEX(rngCadetPIDs,MATCH($D32,rngCadetNames,0)),"?"))</f>
        <v/>
      </c>
      <c r="F32" s="16" t="n"/>
      <c r="G32" s="16" t="n"/>
      <c r="H32" s="19">
        <f>IF(OR($D32="",$C32=""),"",_xlfn.LET(_xlpm.dn,IFERROR(_xlfn.XLOOKUP($C32,nrCDdate,nrCDnum),""),IF(_xlpm.dn="","(not a class day)",IFERROR(_xlfn.XLOOKUP(_xlpm.dn+cfgMemoDueClassDays,nrCDnum,nrCDdate),""))))</f>
        <v/>
      </c>
      <c r="I32" s="18" t="n"/>
      <c r="J32" s="19">
        <f>IF($D32="","",IF($I32&lt;&gt;"",$I32,IF(ISNUMBER($H32),$H32,"")))</f>
        <v/>
      </c>
      <c r="K32" s="18" t="n"/>
      <c r="L32" s="17">
        <f>IF($D32="","",IF($K32&lt;&gt;"","Received "&amp;TEXT($K32,"mm/dd"),IF(AND(ISNUMBER($J32),TODAY()&gt;$J32),"OVERDUE","Pending")))</f>
        <v/>
      </c>
      <c r="M32" s="16" t="n"/>
      <c r="N32" s="16" t="n"/>
    </row>
    <row r="33">
      <c r="B33" s="17">
        <f>IF($D33="","","ME"&amp;TEXT(ROW()-5,"000"))</f>
        <v/>
      </c>
      <c r="C33" s="18" t="n"/>
      <c r="D33" s="16" t="n"/>
      <c r="E33" s="17">
        <f>IF($D33="","",IFERROR(INDEX(rngCadetPIDs,MATCH($D33,rngCadetNames,0)),"?"))</f>
        <v/>
      </c>
      <c r="F33" s="16" t="n"/>
      <c r="G33" s="16" t="n"/>
      <c r="H33" s="19">
        <f>IF(OR($D33="",$C33=""),"",_xlfn.LET(_xlpm.dn,IFERROR(_xlfn.XLOOKUP($C33,nrCDdate,nrCDnum),""),IF(_xlpm.dn="","(not a class day)",IFERROR(_xlfn.XLOOKUP(_xlpm.dn+cfgMemoDueClassDays,nrCDnum,nrCDdate),""))))</f>
        <v/>
      </c>
      <c r="I33" s="18" t="n"/>
      <c r="J33" s="19">
        <f>IF($D33="","",IF($I33&lt;&gt;"",$I33,IF(ISNUMBER($H33),$H33,"")))</f>
        <v/>
      </c>
      <c r="K33" s="18" t="n"/>
      <c r="L33" s="17">
        <f>IF($D33="","",IF($K33&lt;&gt;"","Received "&amp;TEXT($K33,"mm/dd"),IF(AND(ISNUMBER($J33),TODAY()&gt;$J33),"OVERDUE","Pending")))</f>
        <v/>
      </c>
      <c r="M33" s="16" t="n"/>
      <c r="N33" s="16" t="n"/>
    </row>
    <row r="34">
      <c r="B34" s="17">
        <f>IF($D34="","","ME"&amp;TEXT(ROW()-5,"000"))</f>
        <v/>
      </c>
      <c r="C34" s="18" t="n"/>
      <c r="D34" s="16" t="n"/>
      <c r="E34" s="17">
        <f>IF($D34="","",IFERROR(INDEX(rngCadetPIDs,MATCH($D34,rngCadetNames,0)),"?"))</f>
        <v/>
      </c>
      <c r="F34" s="16" t="n"/>
      <c r="G34" s="16" t="n"/>
      <c r="H34" s="19">
        <f>IF(OR($D34="",$C34=""),"",_xlfn.LET(_xlpm.dn,IFERROR(_xlfn.XLOOKUP($C34,nrCDdate,nrCDnum),""),IF(_xlpm.dn="","(not a class day)",IFERROR(_xlfn.XLOOKUP(_xlpm.dn+cfgMemoDueClassDays,nrCDnum,nrCDdate),""))))</f>
        <v/>
      </c>
      <c r="I34" s="18" t="n"/>
      <c r="J34" s="19">
        <f>IF($D34="","",IF($I34&lt;&gt;"",$I34,IF(ISNUMBER($H34),$H34,"")))</f>
        <v/>
      </c>
      <c r="K34" s="18" t="n"/>
      <c r="L34" s="17">
        <f>IF($D34="","",IF($K34&lt;&gt;"","Received "&amp;TEXT($K34,"mm/dd"),IF(AND(ISNUMBER($J34),TODAY()&gt;$J34),"OVERDUE","Pending")))</f>
        <v/>
      </c>
      <c r="M34" s="16" t="n"/>
      <c r="N34" s="16" t="n"/>
    </row>
    <row r="35">
      <c r="B35" s="17">
        <f>IF($D35="","","ME"&amp;TEXT(ROW()-5,"000"))</f>
        <v/>
      </c>
      <c r="C35" s="18" t="n"/>
      <c r="D35" s="16" t="n"/>
      <c r="E35" s="17">
        <f>IF($D35="","",IFERROR(INDEX(rngCadetPIDs,MATCH($D35,rngCadetNames,0)),"?"))</f>
        <v/>
      </c>
      <c r="F35" s="16" t="n"/>
      <c r="G35" s="16" t="n"/>
      <c r="H35" s="19">
        <f>IF(OR($D35="",$C35=""),"",_xlfn.LET(_xlpm.dn,IFERROR(_xlfn.XLOOKUP($C35,nrCDdate,nrCDnum),""),IF(_xlpm.dn="","(not a class day)",IFERROR(_xlfn.XLOOKUP(_xlpm.dn+cfgMemoDueClassDays,nrCDnum,nrCDdate),""))))</f>
        <v/>
      </c>
      <c r="I35" s="18" t="n"/>
      <c r="J35" s="19">
        <f>IF($D35="","",IF($I35&lt;&gt;"",$I35,IF(ISNUMBER($H35),$H35,"")))</f>
        <v/>
      </c>
      <c r="K35" s="18" t="n"/>
      <c r="L35" s="17">
        <f>IF($D35="","",IF($K35&lt;&gt;"","Received "&amp;TEXT($K35,"mm/dd"),IF(AND(ISNUMBER($J35),TODAY()&gt;$J35),"OVERDUE","Pending")))</f>
        <v/>
      </c>
      <c r="M35" s="16" t="n"/>
      <c r="N35" s="16" t="n"/>
    </row>
    <row r="36">
      <c r="B36" s="17">
        <f>IF($D36="","","ME"&amp;TEXT(ROW()-5,"000"))</f>
        <v/>
      </c>
      <c r="C36" s="18" t="n"/>
      <c r="D36" s="16" t="n"/>
      <c r="E36" s="17">
        <f>IF($D36="","",IFERROR(INDEX(rngCadetPIDs,MATCH($D36,rngCadetNames,0)),"?"))</f>
        <v/>
      </c>
      <c r="F36" s="16" t="n"/>
      <c r="G36" s="16" t="n"/>
      <c r="H36" s="19">
        <f>IF(OR($D36="",$C36=""),"",_xlfn.LET(_xlpm.dn,IFERROR(_xlfn.XLOOKUP($C36,nrCDdate,nrCDnum),""),IF(_xlpm.dn="","(not a class day)",IFERROR(_xlfn.XLOOKUP(_xlpm.dn+cfgMemoDueClassDays,nrCDnum,nrCDdate),""))))</f>
        <v/>
      </c>
      <c r="I36" s="18" t="n"/>
      <c r="J36" s="19">
        <f>IF($D36="","",IF($I36&lt;&gt;"",$I36,IF(ISNUMBER($H36),$H36,"")))</f>
        <v/>
      </c>
      <c r="K36" s="18" t="n"/>
      <c r="L36" s="17">
        <f>IF($D36="","",IF($K36&lt;&gt;"","Received "&amp;TEXT($K36,"mm/dd"),IF(AND(ISNUMBER($J36),TODAY()&gt;$J36),"OVERDUE","Pending")))</f>
        <v/>
      </c>
      <c r="M36" s="16" t="n"/>
      <c r="N36" s="16" t="n"/>
    </row>
    <row r="37">
      <c r="B37" s="17">
        <f>IF($D37="","","ME"&amp;TEXT(ROW()-5,"000"))</f>
        <v/>
      </c>
      <c r="C37" s="18" t="n"/>
      <c r="D37" s="16" t="n"/>
      <c r="E37" s="17">
        <f>IF($D37="","",IFERROR(INDEX(rngCadetPIDs,MATCH($D37,rngCadetNames,0)),"?"))</f>
        <v/>
      </c>
      <c r="F37" s="16" t="n"/>
      <c r="G37" s="16" t="n"/>
      <c r="H37" s="19">
        <f>IF(OR($D37="",$C37=""),"",_xlfn.LET(_xlpm.dn,IFERROR(_xlfn.XLOOKUP($C37,nrCDdate,nrCDnum),""),IF(_xlpm.dn="","(not a class day)",IFERROR(_xlfn.XLOOKUP(_xlpm.dn+cfgMemoDueClassDays,nrCDnum,nrCDdate),""))))</f>
        <v/>
      </c>
      <c r="I37" s="18" t="n"/>
      <c r="J37" s="19">
        <f>IF($D37="","",IF($I37&lt;&gt;"",$I37,IF(ISNUMBER($H37),$H37,"")))</f>
        <v/>
      </c>
      <c r="K37" s="18" t="n"/>
      <c r="L37" s="17">
        <f>IF($D37="","",IF($K37&lt;&gt;"","Received "&amp;TEXT($K37,"mm/dd"),IF(AND(ISNUMBER($J37),TODAY()&gt;$J37),"OVERDUE","Pending")))</f>
        <v/>
      </c>
      <c r="M37" s="16" t="n"/>
      <c r="N37" s="16" t="n"/>
    </row>
    <row r="38">
      <c r="B38" s="17">
        <f>IF($D38="","","ME"&amp;TEXT(ROW()-5,"000"))</f>
        <v/>
      </c>
      <c r="C38" s="18" t="n"/>
      <c r="D38" s="16" t="n"/>
      <c r="E38" s="17">
        <f>IF($D38="","",IFERROR(INDEX(rngCadetPIDs,MATCH($D38,rngCadetNames,0)),"?"))</f>
        <v/>
      </c>
      <c r="F38" s="16" t="n"/>
      <c r="G38" s="16" t="n"/>
      <c r="H38" s="19">
        <f>IF(OR($D38="",$C38=""),"",_xlfn.LET(_xlpm.dn,IFERROR(_xlfn.XLOOKUP($C38,nrCDdate,nrCDnum),""),IF(_xlpm.dn="","(not a class day)",IFERROR(_xlfn.XLOOKUP(_xlpm.dn+cfgMemoDueClassDays,nrCDnum,nrCDdate),""))))</f>
        <v/>
      </c>
      <c r="I38" s="18" t="n"/>
      <c r="J38" s="19">
        <f>IF($D38="","",IF($I38&lt;&gt;"",$I38,IF(ISNUMBER($H38),$H38,"")))</f>
        <v/>
      </c>
      <c r="K38" s="18" t="n"/>
      <c r="L38" s="17">
        <f>IF($D38="","",IF($K38&lt;&gt;"","Received "&amp;TEXT($K38,"mm/dd"),IF(AND(ISNUMBER($J38),TODAY()&gt;$J38),"OVERDUE","Pending")))</f>
        <v/>
      </c>
      <c r="M38" s="16" t="n"/>
      <c r="N38" s="16" t="n"/>
    </row>
    <row r="39">
      <c r="B39" s="17">
        <f>IF($D39="","","ME"&amp;TEXT(ROW()-5,"000"))</f>
        <v/>
      </c>
      <c r="C39" s="18" t="n"/>
      <c r="D39" s="16" t="n"/>
      <c r="E39" s="17">
        <f>IF($D39="","",IFERROR(INDEX(rngCadetPIDs,MATCH($D39,rngCadetNames,0)),"?"))</f>
        <v/>
      </c>
      <c r="F39" s="16" t="n"/>
      <c r="G39" s="16" t="n"/>
      <c r="H39" s="19">
        <f>IF(OR($D39="",$C39=""),"",_xlfn.LET(_xlpm.dn,IFERROR(_xlfn.XLOOKUP($C39,nrCDdate,nrCDnum),""),IF(_xlpm.dn="","(not a class day)",IFERROR(_xlfn.XLOOKUP(_xlpm.dn+cfgMemoDueClassDays,nrCDnum,nrCDdate),""))))</f>
        <v/>
      </c>
      <c r="I39" s="18" t="n"/>
      <c r="J39" s="19">
        <f>IF($D39="","",IF($I39&lt;&gt;"",$I39,IF(ISNUMBER($H39),$H39,"")))</f>
        <v/>
      </c>
      <c r="K39" s="18" t="n"/>
      <c r="L39" s="17">
        <f>IF($D39="","",IF($K39&lt;&gt;"","Received "&amp;TEXT($K39,"mm/dd"),IF(AND(ISNUMBER($J39),TODAY()&gt;$J39),"OVERDUE","Pending")))</f>
        <v/>
      </c>
      <c r="M39" s="16" t="n"/>
      <c r="N39" s="16" t="n"/>
    </row>
    <row r="40">
      <c r="B40" s="17">
        <f>IF($D40="","","ME"&amp;TEXT(ROW()-5,"000"))</f>
        <v/>
      </c>
      <c r="C40" s="18" t="n"/>
      <c r="D40" s="16" t="n"/>
      <c r="E40" s="17">
        <f>IF($D40="","",IFERROR(INDEX(rngCadetPIDs,MATCH($D40,rngCadetNames,0)),"?"))</f>
        <v/>
      </c>
      <c r="F40" s="16" t="n"/>
      <c r="G40" s="16" t="n"/>
      <c r="H40" s="19">
        <f>IF(OR($D40="",$C40=""),"",_xlfn.LET(_xlpm.dn,IFERROR(_xlfn.XLOOKUP($C40,nrCDdate,nrCDnum),""),IF(_xlpm.dn="","(not a class day)",IFERROR(_xlfn.XLOOKUP(_xlpm.dn+cfgMemoDueClassDays,nrCDnum,nrCDdate),""))))</f>
        <v/>
      </c>
      <c r="I40" s="18" t="n"/>
      <c r="J40" s="19">
        <f>IF($D40="","",IF($I40&lt;&gt;"",$I40,IF(ISNUMBER($H40),$H40,"")))</f>
        <v/>
      </c>
      <c r="K40" s="18" t="n"/>
      <c r="L40" s="17">
        <f>IF($D40="","",IF($K40&lt;&gt;"","Received "&amp;TEXT($K40,"mm/dd"),IF(AND(ISNUMBER($J40),TODAY()&gt;$J40),"OVERDUE","Pending")))</f>
        <v/>
      </c>
      <c r="M40" s="16" t="n"/>
      <c r="N40" s="16" t="n"/>
    </row>
    <row r="41">
      <c r="B41" s="17">
        <f>IF($D41="","","ME"&amp;TEXT(ROW()-5,"000"))</f>
        <v/>
      </c>
      <c r="C41" s="18" t="n"/>
      <c r="D41" s="16" t="n"/>
      <c r="E41" s="17">
        <f>IF($D41="","",IFERROR(INDEX(rngCadetPIDs,MATCH($D41,rngCadetNames,0)),"?"))</f>
        <v/>
      </c>
      <c r="F41" s="16" t="n"/>
      <c r="G41" s="16" t="n"/>
      <c r="H41" s="19">
        <f>IF(OR($D41="",$C41=""),"",_xlfn.LET(_xlpm.dn,IFERROR(_xlfn.XLOOKUP($C41,nrCDdate,nrCDnum),""),IF(_xlpm.dn="","(not a class day)",IFERROR(_xlfn.XLOOKUP(_xlpm.dn+cfgMemoDueClassDays,nrCDnum,nrCDdate),""))))</f>
        <v/>
      </c>
      <c r="I41" s="18" t="n"/>
      <c r="J41" s="19">
        <f>IF($D41="","",IF($I41&lt;&gt;"",$I41,IF(ISNUMBER($H41),$H41,"")))</f>
        <v/>
      </c>
      <c r="K41" s="18" t="n"/>
      <c r="L41" s="17">
        <f>IF($D41="","",IF($K41&lt;&gt;"","Received "&amp;TEXT($K41,"mm/dd"),IF(AND(ISNUMBER($J41),TODAY()&gt;$J41),"OVERDUE","Pending")))</f>
        <v/>
      </c>
      <c r="M41" s="16" t="n"/>
      <c r="N41" s="16" t="n"/>
    </row>
    <row r="42">
      <c r="B42" s="17">
        <f>IF($D42="","","ME"&amp;TEXT(ROW()-5,"000"))</f>
        <v/>
      </c>
      <c r="C42" s="18" t="n"/>
      <c r="D42" s="16" t="n"/>
      <c r="E42" s="17">
        <f>IF($D42="","",IFERROR(INDEX(rngCadetPIDs,MATCH($D42,rngCadetNames,0)),"?"))</f>
        <v/>
      </c>
      <c r="F42" s="16" t="n"/>
      <c r="G42" s="16" t="n"/>
      <c r="H42" s="19">
        <f>IF(OR($D42="",$C42=""),"",_xlfn.LET(_xlpm.dn,IFERROR(_xlfn.XLOOKUP($C42,nrCDdate,nrCDnum),""),IF(_xlpm.dn="","(not a class day)",IFERROR(_xlfn.XLOOKUP(_xlpm.dn+cfgMemoDueClassDays,nrCDnum,nrCDdate),""))))</f>
        <v/>
      </c>
      <c r="I42" s="18" t="n"/>
      <c r="J42" s="19">
        <f>IF($D42="","",IF($I42&lt;&gt;"",$I42,IF(ISNUMBER($H42),$H42,"")))</f>
        <v/>
      </c>
      <c r="K42" s="18" t="n"/>
      <c r="L42" s="17">
        <f>IF($D42="","",IF($K42&lt;&gt;"","Received "&amp;TEXT($K42,"mm/dd"),IF(AND(ISNUMBER($J42),TODAY()&gt;$J42),"OVERDUE","Pending")))</f>
        <v/>
      </c>
      <c r="M42" s="16" t="n"/>
      <c r="N42" s="16" t="n"/>
    </row>
    <row r="43">
      <c r="B43" s="17">
        <f>IF($D43="","","ME"&amp;TEXT(ROW()-5,"000"))</f>
        <v/>
      </c>
      <c r="C43" s="18" t="n"/>
      <c r="D43" s="16" t="n"/>
      <c r="E43" s="17">
        <f>IF($D43="","",IFERROR(INDEX(rngCadetPIDs,MATCH($D43,rngCadetNames,0)),"?"))</f>
        <v/>
      </c>
      <c r="F43" s="16" t="n"/>
      <c r="G43" s="16" t="n"/>
      <c r="H43" s="19">
        <f>IF(OR($D43="",$C43=""),"",_xlfn.LET(_xlpm.dn,IFERROR(_xlfn.XLOOKUP($C43,nrCDdate,nrCDnum),""),IF(_xlpm.dn="","(not a class day)",IFERROR(_xlfn.XLOOKUP(_xlpm.dn+cfgMemoDueClassDays,nrCDnum,nrCDdate),""))))</f>
        <v/>
      </c>
      <c r="I43" s="18" t="n"/>
      <c r="J43" s="19">
        <f>IF($D43="","",IF($I43&lt;&gt;"",$I43,IF(ISNUMBER($H43),$H43,"")))</f>
        <v/>
      </c>
      <c r="K43" s="18" t="n"/>
      <c r="L43" s="17">
        <f>IF($D43="","",IF($K43&lt;&gt;"","Received "&amp;TEXT($K43,"mm/dd"),IF(AND(ISNUMBER($J43),TODAY()&gt;$J43),"OVERDUE","Pending")))</f>
        <v/>
      </c>
      <c r="M43" s="16" t="n"/>
      <c r="N43" s="16" t="n"/>
    </row>
    <row r="44">
      <c r="B44" s="17">
        <f>IF($D44="","","ME"&amp;TEXT(ROW()-5,"000"))</f>
        <v/>
      </c>
      <c r="C44" s="18" t="n"/>
      <c r="D44" s="16" t="n"/>
      <c r="E44" s="17">
        <f>IF($D44="","",IFERROR(INDEX(rngCadetPIDs,MATCH($D44,rngCadetNames,0)),"?"))</f>
        <v/>
      </c>
      <c r="F44" s="16" t="n"/>
      <c r="G44" s="16" t="n"/>
      <c r="H44" s="19">
        <f>IF(OR($D44="",$C44=""),"",_xlfn.LET(_xlpm.dn,IFERROR(_xlfn.XLOOKUP($C44,nrCDdate,nrCDnum),""),IF(_xlpm.dn="","(not a class day)",IFERROR(_xlfn.XLOOKUP(_xlpm.dn+cfgMemoDueClassDays,nrCDnum,nrCDdate),""))))</f>
        <v/>
      </c>
      <c r="I44" s="18" t="n"/>
      <c r="J44" s="19">
        <f>IF($D44="","",IF($I44&lt;&gt;"",$I44,IF(ISNUMBER($H44),$H44,"")))</f>
        <v/>
      </c>
      <c r="K44" s="18" t="n"/>
      <c r="L44" s="17">
        <f>IF($D44="","",IF($K44&lt;&gt;"","Received "&amp;TEXT($K44,"mm/dd"),IF(AND(ISNUMBER($J44),TODAY()&gt;$J44),"OVERDUE","Pending")))</f>
        <v/>
      </c>
      <c r="M44" s="16" t="n"/>
      <c r="N44" s="16" t="n"/>
    </row>
    <row r="45">
      <c r="B45" s="17">
        <f>IF($D45="","","ME"&amp;TEXT(ROW()-5,"000"))</f>
        <v/>
      </c>
      <c r="C45" s="18" t="n"/>
      <c r="D45" s="16" t="n"/>
      <c r="E45" s="17">
        <f>IF($D45="","",IFERROR(INDEX(rngCadetPIDs,MATCH($D45,rngCadetNames,0)),"?"))</f>
        <v/>
      </c>
      <c r="F45" s="16" t="n"/>
      <c r="G45" s="16" t="n"/>
      <c r="H45" s="19">
        <f>IF(OR($D45="",$C45=""),"",_xlfn.LET(_xlpm.dn,IFERROR(_xlfn.XLOOKUP($C45,nrCDdate,nrCDnum),""),IF(_xlpm.dn="","(not a class day)",IFERROR(_xlfn.XLOOKUP(_xlpm.dn+cfgMemoDueClassDays,nrCDnum,nrCDdate),""))))</f>
        <v/>
      </c>
      <c r="I45" s="18" t="n"/>
      <c r="J45" s="19">
        <f>IF($D45="","",IF($I45&lt;&gt;"",$I45,IF(ISNUMBER($H45),$H45,"")))</f>
        <v/>
      </c>
      <c r="K45" s="18" t="n"/>
      <c r="L45" s="17">
        <f>IF($D45="","",IF($K45&lt;&gt;"","Received "&amp;TEXT($K45,"mm/dd"),IF(AND(ISNUMBER($J45),TODAY()&gt;$J45),"OVERDUE","Pending")))</f>
        <v/>
      </c>
      <c r="M45" s="16" t="n"/>
      <c r="N45" s="16" t="n"/>
    </row>
    <row r="46">
      <c r="B46" s="17">
        <f>IF($D46="","","ME"&amp;TEXT(ROW()-5,"000"))</f>
        <v/>
      </c>
      <c r="C46" s="18" t="n"/>
      <c r="D46" s="16" t="n"/>
      <c r="E46" s="17">
        <f>IF($D46="","",IFERROR(INDEX(rngCadetPIDs,MATCH($D46,rngCadetNames,0)),"?"))</f>
        <v/>
      </c>
      <c r="F46" s="16" t="n"/>
      <c r="G46" s="16" t="n"/>
      <c r="H46" s="19">
        <f>IF(OR($D46="",$C46=""),"",_xlfn.LET(_xlpm.dn,IFERROR(_xlfn.XLOOKUP($C46,nrCDdate,nrCDnum),""),IF(_xlpm.dn="","(not a class day)",IFERROR(_xlfn.XLOOKUP(_xlpm.dn+cfgMemoDueClassDays,nrCDnum,nrCDdate),""))))</f>
        <v/>
      </c>
      <c r="I46" s="18" t="n"/>
      <c r="J46" s="19">
        <f>IF($D46="","",IF($I46&lt;&gt;"",$I46,IF(ISNUMBER($H46),$H46,"")))</f>
        <v/>
      </c>
      <c r="K46" s="18" t="n"/>
      <c r="L46" s="17">
        <f>IF($D46="","",IF($K46&lt;&gt;"","Received "&amp;TEXT($K46,"mm/dd"),IF(AND(ISNUMBER($J46),TODAY()&gt;$J46),"OVERDUE","Pending")))</f>
        <v/>
      </c>
      <c r="M46" s="16" t="n"/>
      <c r="N46" s="16" t="n"/>
    </row>
    <row r="47">
      <c r="B47" s="17">
        <f>IF($D47="","","ME"&amp;TEXT(ROW()-5,"000"))</f>
        <v/>
      </c>
      <c r="C47" s="18" t="n"/>
      <c r="D47" s="16" t="n"/>
      <c r="E47" s="17">
        <f>IF($D47="","",IFERROR(INDEX(rngCadetPIDs,MATCH($D47,rngCadetNames,0)),"?"))</f>
        <v/>
      </c>
      <c r="F47" s="16" t="n"/>
      <c r="G47" s="16" t="n"/>
      <c r="H47" s="19">
        <f>IF(OR($D47="",$C47=""),"",_xlfn.LET(_xlpm.dn,IFERROR(_xlfn.XLOOKUP($C47,nrCDdate,nrCDnum),""),IF(_xlpm.dn="","(not a class day)",IFERROR(_xlfn.XLOOKUP(_xlpm.dn+cfgMemoDueClassDays,nrCDnum,nrCDdate),""))))</f>
        <v/>
      </c>
      <c r="I47" s="18" t="n"/>
      <c r="J47" s="19">
        <f>IF($D47="","",IF($I47&lt;&gt;"",$I47,IF(ISNUMBER($H47),$H47,"")))</f>
        <v/>
      </c>
      <c r="K47" s="18" t="n"/>
      <c r="L47" s="17">
        <f>IF($D47="","",IF($K47&lt;&gt;"","Received "&amp;TEXT($K47,"mm/dd"),IF(AND(ISNUMBER($J47),TODAY()&gt;$J47),"OVERDUE","Pending")))</f>
        <v/>
      </c>
      <c r="M47" s="16" t="n"/>
      <c r="N47" s="16" t="n"/>
    </row>
    <row r="48">
      <c r="B48" s="17">
        <f>IF($D48="","","ME"&amp;TEXT(ROW()-5,"000"))</f>
        <v/>
      </c>
      <c r="C48" s="18" t="n"/>
      <c r="D48" s="16" t="n"/>
      <c r="E48" s="17">
        <f>IF($D48="","",IFERROR(INDEX(rngCadetPIDs,MATCH($D48,rngCadetNames,0)),"?"))</f>
        <v/>
      </c>
      <c r="F48" s="16" t="n"/>
      <c r="G48" s="16" t="n"/>
      <c r="H48" s="19">
        <f>IF(OR($D48="",$C48=""),"",_xlfn.LET(_xlpm.dn,IFERROR(_xlfn.XLOOKUP($C48,nrCDdate,nrCDnum),""),IF(_xlpm.dn="","(not a class day)",IFERROR(_xlfn.XLOOKUP(_xlpm.dn+cfgMemoDueClassDays,nrCDnum,nrCDdate),""))))</f>
        <v/>
      </c>
      <c r="I48" s="18" t="n"/>
      <c r="J48" s="19">
        <f>IF($D48="","",IF($I48&lt;&gt;"",$I48,IF(ISNUMBER($H48),$H48,"")))</f>
        <v/>
      </c>
      <c r="K48" s="18" t="n"/>
      <c r="L48" s="17">
        <f>IF($D48="","",IF($K48&lt;&gt;"","Received "&amp;TEXT($K48,"mm/dd"),IF(AND(ISNUMBER($J48),TODAY()&gt;$J48),"OVERDUE","Pending")))</f>
        <v/>
      </c>
      <c r="M48" s="16" t="n"/>
      <c r="N48" s="16" t="n"/>
    </row>
    <row r="49">
      <c r="B49" s="17">
        <f>IF($D49="","","ME"&amp;TEXT(ROW()-5,"000"))</f>
        <v/>
      </c>
      <c r="C49" s="18" t="n"/>
      <c r="D49" s="16" t="n"/>
      <c r="E49" s="17">
        <f>IF($D49="","",IFERROR(INDEX(rngCadetPIDs,MATCH($D49,rngCadetNames,0)),"?"))</f>
        <v/>
      </c>
      <c r="F49" s="16" t="n"/>
      <c r="G49" s="16" t="n"/>
      <c r="H49" s="19">
        <f>IF(OR($D49="",$C49=""),"",_xlfn.LET(_xlpm.dn,IFERROR(_xlfn.XLOOKUP($C49,nrCDdate,nrCDnum),""),IF(_xlpm.dn="","(not a class day)",IFERROR(_xlfn.XLOOKUP(_xlpm.dn+cfgMemoDueClassDays,nrCDnum,nrCDdate),""))))</f>
        <v/>
      </c>
      <c r="I49" s="18" t="n"/>
      <c r="J49" s="19">
        <f>IF($D49="","",IF($I49&lt;&gt;"",$I49,IF(ISNUMBER($H49),$H49,"")))</f>
        <v/>
      </c>
      <c r="K49" s="18" t="n"/>
      <c r="L49" s="17">
        <f>IF($D49="","",IF($K49&lt;&gt;"","Received "&amp;TEXT($K49,"mm/dd"),IF(AND(ISNUMBER($J49),TODAY()&gt;$J49),"OVERDUE","Pending")))</f>
        <v/>
      </c>
      <c r="M49" s="16" t="n"/>
      <c r="N49" s="16" t="n"/>
    </row>
    <row r="50">
      <c r="B50" s="17">
        <f>IF($D50="","","ME"&amp;TEXT(ROW()-5,"000"))</f>
        <v/>
      </c>
      <c r="C50" s="18" t="n"/>
      <c r="D50" s="16" t="n"/>
      <c r="E50" s="17">
        <f>IF($D50="","",IFERROR(INDEX(rngCadetPIDs,MATCH($D50,rngCadetNames,0)),"?"))</f>
        <v/>
      </c>
      <c r="F50" s="16" t="n"/>
      <c r="G50" s="16" t="n"/>
      <c r="H50" s="19">
        <f>IF(OR($D50="",$C50=""),"",_xlfn.LET(_xlpm.dn,IFERROR(_xlfn.XLOOKUP($C50,nrCDdate,nrCDnum),""),IF(_xlpm.dn="","(not a class day)",IFERROR(_xlfn.XLOOKUP(_xlpm.dn+cfgMemoDueClassDays,nrCDnum,nrCDdate),""))))</f>
        <v/>
      </c>
      <c r="I50" s="18" t="n"/>
      <c r="J50" s="19">
        <f>IF($D50="","",IF($I50&lt;&gt;"",$I50,IF(ISNUMBER($H50),$H50,"")))</f>
        <v/>
      </c>
      <c r="K50" s="18" t="n"/>
      <c r="L50" s="17">
        <f>IF($D50="","",IF($K50&lt;&gt;"","Received "&amp;TEXT($K50,"mm/dd"),IF(AND(ISNUMBER($J50),TODAY()&gt;$J50),"OVERDUE","Pending")))</f>
        <v/>
      </c>
      <c r="M50" s="16" t="n"/>
      <c r="N50" s="16" t="n"/>
    </row>
    <row r="51">
      <c r="B51" s="17">
        <f>IF($D51="","","ME"&amp;TEXT(ROW()-5,"000"))</f>
        <v/>
      </c>
      <c r="C51" s="18" t="n"/>
      <c r="D51" s="16" t="n"/>
      <c r="E51" s="17">
        <f>IF($D51="","",IFERROR(INDEX(rngCadetPIDs,MATCH($D51,rngCadetNames,0)),"?"))</f>
        <v/>
      </c>
      <c r="F51" s="16" t="n"/>
      <c r="G51" s="16" t="n"/>
      <c r="H51" s="19">
        <f>IF(OR($D51="",$C51=""),"",_xlfn.LET(_xlpm.dn,IFERROR(_xlfn.XLOOKUP($C51,nrCDdate,nrCDnum),""),IF(_xlpm.dn="","(not a class day)",IFERROR(_xlfn.XLOOKUP(_xlpm.dn+cfgMemoDueClassDays,nrCDnum,nrCDdate),""))))</f>
        <v/>
      </c>
      <c r="I51" s="18" t="n"/>
      <c r="J51" s="19">
        <f>IF($D51="","",IF($I51&lt;&gt;"",$I51,IF(ISNUMBER($H51),$H51,"")))</f>
        <v/>
      </c>
      <c r="K51" s="18" t="n"/>
      <c r="L51" s="17">
        <f>IF($D51="","",IF($K51&lt;&gt;"","Received "&amp;TEXT($K51,"mm/dd"),IF(AND(ISNUMBER($J51),TODAY()&gt;$J51),"OVERDUE","Pending")))</f>
        <v/>
      </c>
      <c r="M51" s="16" t="n"/>
      <c r="N51" s="16" t="n"/>
    </row>
    <row r="52">
      <c r="B52" s="17">
        <f>IF($D52="","","ME"&amp;TEXT(ROW()-5,"000"))</f>
        <v/>
      </c>
      <c r="C52" s="18" t="n"/>
      <c r="D52" s="16" t="n"/>
      <c r="E52" s="17">
        <f>IF($D52="","",IFERROR(INDEX(rngCadetPIDs,MATCH($D52,rngCadetNames,0)),"?"))</f>
        <v/>
      </c>
      <c r="F52" s="16" t="n"/>
      <c r="G52" s="16" t="n"/>
      <c r="H52" s="19">
        <f>IF(OR($D52="",$C52=""),"",_xlfn.LET(_xlpm.dn,IFERROR(_xlfn.XLOOKUP($C52,nrCDdate,nrCDnum),""),IF(_xlpm.dn="","(not a class day)",IFERROR(_xlfn.XLOOKUP(_xlpm.dn+cfgMemoDueClassDays,nrCDnum,nrCDdate),""))))</f>
        <v/>
      </c>
      <c r="I52" s="18" t="n"/>
      <c r="J52" s="19">
        <f>IF($D52="","",IF($I52&lt;&gt;"",$I52,IF(ISNUMBER($H52),$H52,"")))</f>
        <v/>
      </c>
      <c r="K52" s="18" t="n"/>
      <c r="L52" s="17">
        <f>IF($D52="","",IF($K52&lt;&gt;"","Received "&amp;TEXT($K52,"mm/dd"),IF(AND(ISNUMBER($J52),TODAY()&gt;$J52),"OVERDUE","Pending")))</f>
        <v/>
      </c>
      <c r="M52" s="16" t="n"/>
      <c r="N52" s="16" t="n"/>
    </row>
    <row r="53">
      <c r="B53" s="17">
        <f>IF($D53="","","ME"&amp;TEXT(ROW()-5,"000"))</f>
        <v/>
      </c>
      <c r="C53" s="18" t="n"/>
      <c r="D53" s="16" t="n"/>
      <c r="E53" s="17">
        <f>IF($D53="","",IFERROR(INDEX(rngCadetPIDs,MATCH($D53,rngCadetNames,0)),"?"))</f>
        <v/>
      </c>
      <c r="F53" s="16" t="n"/>
      <c r="G53" s="16" t="n"/>
      <c r="H53" s="19">
        <f>IF(OR($D53="",$C53=""),"",_xlfn.LET(_xlpm.dn,IFERROR(_xlfn.XLOOKUP($C53,nrCDdate,nrCDnum),""),IF(_xlpm.dn="","(not a class day)",IFERROR(_xlfn.XLOOKUP(_xlpm.dn+cfgMemoDueClassDays,nrCDnum,nrCDdate),""))))</f>
        <v/>
      </c>
      <c r="I53" s="18" t="n"/>
      <c r="J53" s="19">
        <f>IF($D53="","",IF($I53&lt;&gt;"",$I53,IF(ISNUMBER($H53),$H53,"")))</f>
        <v/>
      </c>
      <c r="K53" s="18" t="n"/>
      <c r="L53" s="17">
        <f>IF($D53="","",IF($K53&lt;&gt;"","Received "&amp;TEXT($K53,"mm/dd"),IF(AND(ISNUMBER($J53),TODAY()&gt;$J53),"OVERDUE","Pending")))</f>
        <v/>
      </c>
      <c r="M53" s="16" t="n"/>
      <c r="N53" s="16" t="n"/>
    </row>
    <row r="54">
      <c r="B54" s="17">
        <f>IF($D54="","","ME"&amp;TEXT(ROW()-5,"000"))</f>
        <v/>
      </c>
      <c r="C54" s="18" t="n"/>
      <c r="D54" s="16" t="n"/>
      <c r="E54" s="17">
        <f>IF($D54="","",IFERROR(INDEX(rngCadetPIDs,MATCH($D54,rngCadetNames,0)),"?"))</f>
        <v/>
      </c>
      <c r="F54" s="16" t="n"/>
      <c r="G54" s="16" t="n"/>
      <c r="H54" s="19">
        <f>IF(OR($D54="",$C54=""),"",_xlfn.LET(_xlpm.dn,IFERROR(_xlfn.XLOOKUP($C54,nrCDdate,nrCDnum),""),IF(_xlpm.dn="","(not a class day)",IFERROR(_xlfn.XLOOKUP(_xlpm.dn+cfgMemoDueClassDays,nrCDnum,nrCDdate),""))))</f>
        <v/>
      </c>
      <c r="I54" s="18" t="n"/>
      <c r="J54" s="19">
        <f>IF($D54="","",IF($I54&lt;&gt;"",$I54,IF(ISNUMBER($H54),$H54,"")))</f>
        <v/>
      </c>
      <c r="K54" s="18" t="n"/>
      <c r="L54" s="17">
        <f>IF($D54="","",IF($K54&lt;&gt;"","Received "&amp;TEXT($K54,"mm/dd"),IF(AND(ISNUMBER($J54),TODAY()&gt;$J54),"OVERDUE","Pending")))</f>
        <v/>
      </c>
      <c r="M54" s="16" t="n"/>
      <c r="N54" s="16" t="n"/>
    </row>
    <row r="55">
      <c r="B55" s="17">
        <f>IF($D55="","","ME"&amp;TEXT(ROW()-5,"000"))</f>
        <v/>
      </c>
      <c r="C55" s="18" t="n"/>
      <c r="D55" s="16" t="n"/>
      <c r="E55" s="17">
        <f>IF($D55="","",IFERROR(INDEX(rngCadetPIDs,MATCH($D55,rngCadetNames,0)),"?"))</f>
        <v/>
      </c>
      <c r="F55" s="16" t="n"/>
      <c r="G55" s="16" t="n"/>
      <c r="H55" s="19">
        <f>IF(OR($D55="",$C55=""),"",_xlfn.LET(_xlpm.dn,IFERROR(_xlfn.XLOOKUP($C55,nrCDdate,nrCDnum),""),IF(_xlpm.dn="","(not a class day)",IFERROR(_xlfn.XLOOKUP(_xlpm.dn+cfgMemoDueClassDays,nrCDnum,nrCDdate),""))))</f>
        <v/>
      </c>
      <c r="I55" s="18" t="n"/>
      <c r="J55" s="19">
        <f>IF($D55="","",IF($I55&lt;&gt;"",$I55,IF(ISNUMBER($H55),$H55,"")))</f>
        <v/>
      </c>
      <c r="K55" s="18" t="n"/>
      <c r="L55" s="17">
        <f>IF($D55="","",IF($K55&lt;&gt;"","Received "&amp;TEXT($K55,"mm/dd"),IF(AND(ISNUMBER($J55),TODAY()&gt;$J55),"OVERDUE","Pending")))</f>
        <v/>
      </c>
      <c r="M55" s="16" t="n"/>
      <c r="N55" s="16" t="n"/>
    </row>
    <row r="56">
      <c r="B56" s="17">
        <f>IF($D56="","","ME"&amp;TEXT(ROW()-5,"000"))</f>
        <v/>
      </c>
      <c r="C56" s="18" t="n"/>
      <c r="D56" s="16" t="n"/>
      <c r="E56" s="17">
        <f>IF($D56="","",IFERROR(INDEX(rngCadetPIDs,MATCH($D56,rngCadetNames,0)),"?"))</f>
        <v/>
      </c>
      <c r="F56" s="16" t="n"/>
      <c r="G56" s="16" t="n"/>
      <c r="H56" s="19">
        <f>IF(OR($D56="",$C56=""),"",_xlfn.LET(_xlpm.dn,IFERROR(_xlfn.XLOOKUP($C56,nrCDdate,nrCDnum),""),IF(_xlpm.dn="","(not a class day)",IFERROR(_xlfn.XLOOKUP(_xlpm.dn+cfgMemoDueClassDays,nrCDnum,nrCDdate),""))))</f>
        <v/>
      </c>
      <c r="I56" s="18" t="n"/>
      <c r="J56" s="19">
        <f>IF($D56="","",IF($I56&lt;&gt;"",$I56,IF(ISNUMBER($H56),$H56,"")))</f>
        <v/>
      </c>
      <c r="K56" s="18" t="n"/>
      <c r="L56" s="17">
        <f>IF($D56="","",IF($K56&lt;&gt;"","Received "&amp;TEXT($K56,"mm/dd"),IF(AND(ISNUMBER($J56),TODAY()&gt;$J56),"OVERDUE","Pending")))</f>
        <v/>
      </c>
      <c r="M56" s="16" t="n"/>
      <c r="N56" s="16" t="n"/>
    </row>
    <row r="57">
      <c r="B57" s="17">
        <f>IF($D57="","","ME"&amp;TEXT(ROW()-5,"000"))</f>
        <v/>
      </c>
      <c r="C57" s="18" t="n"/>
      <c r="D57" s="16" t="n"/>
      <c r="E57" s="17">
        <f>IF($D57="","",IFERROR(INDEX(rngCadetPIDs,MATCH($D57,rngCadetNames,0)),"?"))</f>
        <v/>
      </c>
      <c r="F57" s="16" t="n"/>
      <c r="G57" s="16" t="n"/>
      <c r="H57" s="19">
        <f>IF(OR($D57="",$C57=""),"",_xlfn.LET(_xlpm.dn,IFERROR(_xlfn.XLOOKUP($C57,nrCDdate,nrCDnum),""),IF(_xlpm.dn="","(not a class day)",IFERROR(_xlfn.XLOOKUP(_xlpm.dn+cfgMemoDueClassDays,nrCDnum,nrCDdate),""))))</f>
        <v/>
      </c>
      <c r="I57" s="18" t="n"/>
      <c r="J57" s="19">
        <f>IF($D57="","",IF($I57&lt;&gt;"",$I57,IF(ISNUMBER($H57),$H57,"")))</f>
        <v/>
      </c>
      <c r="K57" s="18" t="n"/>
      <c r="L57" s="17">
        <f>IF($D57="","",IF($K57&lt;&gt;"","Received "&amp;TEXT($K57,"mm/dd"),IF(AND(ISNUMBER($J57),TODAY()&gt;$J57),"OVERDUE","Pending")))</f>
        <v/>
      </c>
      <c r="M57" s="16" t="n"/>
      <c r="N57" s="16" t="n"/>
    </row>
    <row r="58">
      <c r="B58" s="17">
        <f>IF($D58="","","ME"&amp;TEXT(ROW()-5,"000"))</f>
        <v/>
      </c>
      <c r="C58" s="18" t="n"/>
      <c r="D58" s="16" t="n"/>
      <c r="E58" s="17">
        <f>IF($D58="","",IFERROR(INDEX(rngCadetPIDs,MATCH($D58,rngCadetNames,0)),"?"))</f>
        <v/>
      </c>
      <c r="F58" s="16" t="n"/>
      <c r="G58" s="16" t="n"/>
      <c r="H58" s="19">
        <f>IF(OR($D58="",$C58=""),"",_xlfn.LET(_xlpm.dn,IFERROR(_xlfn.XLOOKUP($C58,nrCDdate,nrCDnum),""),IF(_xlpm.dn="","(not a class day)",IFERROR(_xlfn.XLOOKUP(_xlpm.dn+cfgMemoDueClassDays,nrCDnum,nrCDdate),""))))</f>
        <v/>
      </c>
      <c r="I58" s="18" t="n"/>
      <c r="J58" s="19">
        <f>IF($D58="","",IF($I58&lt;&gt;"",$I58,IF(ISNUMBER($H58),$H58,"")))</f>
        <v/>
      </c>
      <c r="K58" s="18" t="n"/>
      <c r="L58" s="17">
        <f>IF($D58="","",IF($K58&lt;&gt;"","Received "&amp;TEXT($K58,"mm/dd"),IF(AND(ISNUMBER($J58),TODAY()&gt;$J58),"OVERDUE","Pending")))</f>
        <v/>
      </c>
      <c r="M58" s="16" t="n"/>
      <c r="N58" s="16" t="n"/>
    </row>
    <row r="59">
      <c r="B59" s="17">
        <f>IF($D59="","","ME"&amp;TEXT(ROW()-5,"000"))</f>
        <v/>
      </c>
      <c r="C59" s="18" t="n"/>
      <c r="D59" s="16" t="n"/>
      <c r="E59" s="17">
        <f>IF($D59="","",IFERROR(INDEX(rngCadetPIDs,MATCH($D59,rngCadetNames,0)),"?"))</f>
        <v/>
      </c>
      <c r="F59" s="16" t="n"/>
      <c r="G59" s="16" t="n"/>
      <c r="H59" s="19">
        <f>IF(OR($D59="",$C59=""),"",_xlfn.LET(_xlpm.dn,IFERROR(_xlfn.XLOOKUP($C59,nrCDdate,nrCDnum),""),IF(_xlpm.dn="","(not a class day)",IFERROR(_xlfn.XLOOKUP(_xlpm.dn+cfgMemoDueClassDays,nrCDnum,nrCDdate),""))))</f>
        <v/>
      </c>
      <c r="I59" s="18" t="n"/>
      <c r="J59" s="19">
        <f>IF($D59="","",IF($I59&lt;&gt;"",$I59,IF(ISNUMBER($H59),$H59,"")))</f>
        <v/>
      </c>
      <c r="K59" s="18" t="n"/>
      <c r="L59" s="17">
        <f>IF($D59="","",IF($K59&lt;&gt;"","Received "&amp;TEXT($K59,"mm/dd"),IF(AND(ISNUMBER($J59),TODAY()&gt;$J59),"OVERDUE","Pending")))</f>
        <v/>
      </c>
      <c r="M59" s="16" t="n"/>
      <c r="N59" s="16" t="n"/>
    </row>
    <row r="60">
      <c r="B60" s="17">
        <f>IF($D60="","","ME"&amp;TEXT(ROW()-5,"000"))</f>
        <v/>
      </c>
      <c r="C60" s="18" t="n"/>
      <c r="D60" s="16" t="n"/>
      <c r="E60" s="17">
        <f>IF($D60="","",IFERROR(INDEX(rngCadetPIDs,MATCH($D60,rngCadetNames,0)),"?"))</f>
        <v/>
      </c>
      <c r="F60" s="16" t="n"/>
      <c r="G60" s="16" t="n"/>
      <c r="H60" s="19">
        <f>IF(OR($D60="",$C60=""),"",_xlfn.LET(_xlpm.dn,IFERROR(_xlfn.XLOOKUP($C60,nrCDdate,nrCDnum),""),IF(_xlpm.dn="","(not a class day)",IFERROR(_xlfn.XLOOKUP(_xlpm.dn+cfgMemoDueClassDays,nrCDnum,nrCDdate),""))))</f>
        <v/>
      </c>
      <c r="I60" s="18" t="n"/>
      <c r="J60" s="19">
        <f>IF($D60="","",IF($I60&lt;&gt;"",$I60,IF(ISNUMBER($H60),$H60,"")))</f>
        <v/>
      </c>
      <c r="K60" s="18" t="n"/>
      <c r="L60" s="17">
        <f>IF($D60="","",IF($K60&lt;&gt;"","Received "&amp;TEXT($K60,"mm/dd"),IF(AND(ISNUMBER($J60),TODAY()&gt;$J60),"OVERDUE","Pending")))</f>
        <v/>
      </c>
      <c r="M60" s="16" t="n"/>
      <c r="N60" s="16" t="n"/>
    </row>
    <row r="61">
      <c r="B61" s="17">
        <f>IF($D61="","","ME"&amp;TEXT(ROW()-5,"000"))</f>
        <v/>
      </c>
      <c r="C61" s="18" t="n"/>
      <c r="D61" s="16" t="n"/>
      <c r="E61" s="17">
        <f>IF($D61="","",IFERROR(INDEX(rngCadetPIDs,MATCH($D61,rngCadetNames,0)),"?"))</f>
        <v/>
      </c>
      <c r="F61" s="16" t="n"/>
      <c r="G61" s="16" t="n"/>
      <c r="H61" s="19">
        <f>IF(OR($D61="",$C61=""),"",_xlfn.LET(_xlpm.dn,IFERROR(_xlfn.XLOOKUP($C61,nrCDdate,nrCDnum),""),IF(_xlpm.dn="","(not a class day)",IFERROR(_xlfn.XLOOKUP(_xlpm.dn+cfgMemoDueClassDays,nrCDnum,nrCDdate),""))))</f>
        <v/>
      </c>
      <c r="I61" s="18" t="n"/>
      <c r="J61" s="19">
        <f>IF($D61="","",IF($I61&lt;&gt;"",$I61,IF(ISNUMBER($H61),$H61,"")))</f>
        <v/>
      </c>
      <c r="K61" s="18" t="n"/>
      <c r="L61" s="17">
        <f>IF($D61="","",IF($K61&lt;&gt;"","Received "&amp;TEXT($K61,"mm/dd"),IF(AND(ISNUMBER($J61),TODAY()&gt;$J61),"OVERDUE","Pending")))</f>
        <v/>
      </c>
      <c r="M61" s="16" t="n"/>
      <c r="N61" s="16" t="n"/>
    </row>
    <row r="62">
      <c r="B62" s="17">
        <f>IF($D62="","","ME"&amp;TEXT(ROW()-5,"000"))</f>
        <v/>
      </c>
      <c r="C62" s="18" t="n"/>
      <c r="D62" s="16" t="n"/>
      <c r="E62" s="17">
        <f>IF($D62="","",IFERROR(INDEX(rngCadetPIDs,MATCH($D62,rngCadetNames,0)),"?"))</f>
        <v/>
      </c>
      <c r="F62" s="16" t="n"/>
      <c r="G62" s="16" t="n"/>
      <c r="H62" s="19">
        <f>IF(OR($D62="",$C62=""),"",_xlfn.LET(_xlpm.dn,IFERROR(_xlfn.XLOOKUP($C62,nrCDdate,nrCDnum),""),IF(_xlpm.dn="","(not a class day)",IFERROR(_xlfn.XLOOKUP(_xlpm.dn+cfgMemoDueClassDays,nrCDnum,nrCDdate),""))))</f>
        <v/>
      </c>
      <c r="I62" s="18" t="n"/>
      <c r="J62" s="19">
        <f>IF($D62="","",IF($I62&lt;&gt;"",$I62,IF(ISNUMBER($H62),$H62,"")))</f>
        <v/>
      </c>
      <c r="K62" s="18" t="n"/>
      <c r="L62" s="17">
        <f>IF($D62="","",IF($K62&lt;&gt;"","Received "&amp;TEXT($K62,"mm/dd"),IF(AND(ISNUMBER($J62),TODAY()&gt;$J62),"OVERDUE","Pending")))</f>
        <v/>
      </c>
      <c r="M62" s="16" t="n"/>
      <c r="N62" s="16" t="n"/>
    </row>
    <row r="63">
      <c r="B63" s="17">
        <f>IF($D63="","","ME"&amp;TEXT(ROW()-5,"000"))</f>
        <v/>
      </c>
      <c r="C63" s="18" t="n"/>
      <c r="D63" s="16" t="n"/>
      <c r="E63" s="17">
        <f>IF($D63="","",IFERROR(INDEX(rngCadetPIDs,MATCH($D63,rngCadetNames,0)),"?"))</f>
        <v/>
      </c>
      <c r="F63" s="16" t="n"/>
      <c r="G63" s="16" t="n"/>
      <c r="H63" s="19">
        <f>IF(OR($D63="",$C63=""),"",_xlfn.LET(_xlpm.dn,IFERROR(_xlfn.XLOOKUP($C63,nrCDdate,nrCDnum),""),IF(_xlpm.dn="","(not a class day)",IFERROR(_xlfn.XLOOKUP(_xlpm.dn+cfgMemoDueClassDays,nrCDnum,nrCDdate),""))))</f>
        <v/>
      </c>
      <c r="I63" s="18" t="n"/>
      <c r="J63" s="19">
        <f>IF($D63="","",IF($I63&lt;&gt;"",$I63,IF(ISNUMBER($H63),$H63,"")))</f>
        <v/>
      </c>
      <c r="K63" s="18" t="n"/>
      <c r="L63" s="17">
        <f>IF($D63="","",IF($K63&lt;&gt;"","Received "&amp;TEXT($K63,"mm/dd"),IF(AND(ISNUMBER($J63),TODAY()&gt;$J63),"OVERDUE","Pending")))</f>
        <v/>
      </c>
      <c r="M63" s="16" t="n"/>
      <c r="N63" s="16" t="n"/>
    </row>
    <row r="64">
      <c r="B64" s="17">
        <f>IF($D64="","","ME"&amp;TEXT(ROW()-5,"000"))</f>
        <v/>
      </c>
      <c r="C64" s="18" t="n"/>
      <c r="D64" s="16" t="n"/>
      <c r="E64" s="17">
        <f>IF($D64="","",IFERROR(INDEX(rngCadetPIDs,MATCH($D64,rngCadetNames,0)),"?"))</f>
        <v/>
      </c>
      <c r="F64" s="16" t="n"/>
      <c r="G64" s="16" t="n"/>
      <c r="H64" s="19">
        <f>IF(OR($D64="",$C64=""),"",_xlfn.LET(_xlpm.dn,IFERROR(_xlfn.XLOOKUP($C64,nrCDdate,nrCDnum),""),IF(_xlpm.dn="","(not a class day)",IFERROR(_xlfn.XLOOKUP(_xlpm.dn+cfgMemoDueClassDays,nrCDnum,nrCDdate),""))))</f>
        <v/>
      </c>
      <c r="I64" s="18" t="n"/>
      <c r="J64" s="19">
        <f>IF($D64="","",IF($I64&lt;&gt;"",$I64,IF(ISNUMBER($H64),$H64,"")))</f>
        <v/>
      </c>
      <c r="K64" s="18" t="n"/>
      <c r="L64" s="17">
        <f>IF($D64="","",IF($K64&lt;&gt;"","Received "&amp;TEXT($K64,"mm/dd"),IF(AND(ISNUMBER($J64),TODAY()&gt;$J64),"OVERDUE","Pending")))</f>
        <v/>
      </c>
      <c r="M64" s="16" t="n"/>
      <c r="N64" s="16" t="n"/>
    </row>
    <row r="65">
      <c r="B65" s="17">
        <f>IF($D65="","","ME"&amp;TEXT(ROW()-5,"000"))</f>
        <v/>
      </c>
      <c r="C65" s="18" t="n"/>
      <c r="D65" s="16" t="n"/>
      <c r="E65" s="17">
        <f>IF($D65="","",IFERROR(INDEX(rngCadetPIDs,MATCH($D65,rngCadetNames,0)),"?"))</f>
        <v/>
      </c>
      <c r="F65" s="16" t="n"/>
      <c r="G65" s="16" t="n"/>
      <c r="H65" s="19">
        <f>IF(OR($D65="",$C65=""),"",_xlfn.LET(_xlpm.dn,IFERROR(_xlfn.XLOOKUP($C65,nrCDdate,nrCDnum),""),IF(_xlpm.dn="","(not a class day)",IFERROR(_xlfn.XLOOKUP(_xlpm.dn+cfgMemoDueClassDays,nrCDnum,nrCDdate),""))))</f>
        <v/>
      </c>
      <c r="I65" s="18" t="n"/>
      <c r="J65" s="19">
        <f>IF($D65="","",IF($I65&lt;&gt;"",$I65,IF(ISNUMBER($H65),$H65,"")))</f>
        <v/>
      </c>
      <c r="K65" s="18" t="n"/>
      <c r="L65" s="17">
        <f>IF($D65="","",IF($K65&lt;&gt;"","Received "&amp;TEXT($K65,"mm/dd"),IF(AND(ISNUMBER($J65),TODAY()&gt;$J65),"OVERDUE","Pending")))</f>
        <v/>
      </c>
      <c r="M65" s="16" t="n"/>
      <c r="N65" s="16" t="n"/>
    </row>
    <row r="66">
      <c r="B66" s="17">
        <f>IF($D66="","","ME"&amp;TEXT(ROW()-5,"000"))</f>
        <v/>
      </c>
      <c r="C66" s="18" t="n"/>
      <c r="D66" s="16" t="n"/>
      <c r="E66" s="17">
        <f>IF($D66="","",IFERROR(INDEX(rngCadetPIDs,MATCH($D66,rngCadetNames,0)),"?"))</f>
        <v/>
      </c>
      <c r="F66" s="16" t="n"/>
      <c r="G66" s="16" t="n"/>
      <c r="H66" s="19">
        <f>IF(OR($D66="",$C66=""),"",_xlfn.LET(_xlpm.dn,IFERROR(_xlfn.XLOOKUP($C66,nrCDdate,nrCDnum),""),IF(_xlpm.dn="","(not a class day)",IFERROR(_xlfn.XLOOKUP(_xlpm.dn+cfgMemoDueClassDays,nrCDnum,nrCDdate),""))))</f>
        <v/>
      </c>
      <c r="I66" s="18" t="n"/>
      <c r="J66" s="19">
        <f>IF($D66="","",IF($I66&lt;&gt;"",$I66,IF(ISNUMBER($H66),$H66,"")))</f>
        <v/>
      </c>
      <c r="K66" s="18" t="n"/>
      <c r="L66" s="17">
        <f>IF($D66="","",IF($K66&lt;&gt;"","Received "&amp;TEXT($K66,"mm/dd"),IF(AND(ISNUMBER($J66),TODAY()&gt;$J66),"OVERDUE","Pending")))</f>
        <v/>
      </c>
      <c r="M66" s="16" t="n"/>
      <c r="N66" s="16" t="n"/>
    </row>
    <row r="67">
      <c r="B67" s="17">
        <f>IF($D67="","","ME"&amp;TEXT(ROW()-5,"000"))</f>
        <v/>
      </c>
      <c r="C67" s="18" t="n"/>
      <c r="D67" s="16" t="n"/>
      <c r="E67" s="17">
        <f>IF($D67="","",IFERROR(INDEX(rngCadetPIDs,MATCH($D67,rngCadetNames,0)),"?"))</f>
        <v/>
      </c>
      <c r="F67" s="16" t="n"/>
      <c r="G67" s="16" t="n"/>
      <c r="H67" s="19">
        <f>IF(OR($D67="",$C67=""),"",_xlfn.LET(_xlpm.dn,IFERROR(_xlfn.XLOOKUP($C67,nrCDdate,nrCDnum),""),IF(_xlpm.dn="","(not a class day)",IFERROR(_xlfn.XLOOKUP(_xlpm.dn+cfgMemoDueClassDays,nrCDnum,nrCDdate),""))))</f>
        <v/>
      </c>
      <c r="I67" s="18" t="n"/>
      <c r="J67" s="19">
        <f>IF($D67="","",IF($I67&lt;&gt;"",$I67,IF(ISNUMBER($H67),$H67,"")))</f>
        <v/>
      </c>
      <c r="K67" s="18" t="n"/>
      <c r="L67" s="17">
        <f>IF($D67="","",IF($K67&lt;&gt;"","Received "&amp;TEXT($K67,"mm/dd"),IF(AND(ISNUMBER($J67),TODAY()&gt;$J67),"OVERDUE","Pending")))</f>
        <v/>
      </c>
      <c r="M67" s="16" t="n"/>
      <c r="N67" s="16" t="n"/>
    </row>
    <row r="68">
      <c r="B68" s="17">
        <f>IF($D68="","","ME"&amp;TEXT(ROW()-5,"000"))</f>
        <v/>
      </c>
      <c r="C68" s="18" t="n"/>
      <c r="D68" s="16" t="n"/>
      <c r="E68" s="17">
        <f>IF($D68="","",IFERROR(INDEX(rngCadetPIDs,MATCH($D68,rngCadetNames,0)),"?"))</f>
        <v/>
      </c>
      <c r="F68" s="16" t="n"/>
      <c r="G68" s="16" t="n"/>
      <c r="H68" s="19">
        <f>IF(OR($D68="",$C68=""),"",_xlfn.LET(_xlpm.dn,IFERROR(_xlfn.XLOOKUP($C68,nrCDdate,nrCDnum),""),IF(_xlpm.dn="","(not a class day)",IFERROR(_xlfn.XLOOKUP(_xlpm.dn+cfgMemoDueClassDays,nrCDnum,nrCDdate),""))))</f>
        <v/>
      </c>
      <c r="I68" s="18" t="n"/>
      <c r="J68" s="19">
        <f>IF($D68="","",IF($I68&lt;&gt;"",$I68,IF(ISNUMBER($H68),$H68,"")))</f>
        <v/>
      </c>
      <c r="K68" s="18" t="n"/>
      <c r="L68" s="17">
        <f>IF($D68="","",IF($K68&lt;&gt;"","Received "&amp;TEXT($K68,"mm/dd"),IF(AND(ISNUMBER($J68),TODAY()&gt;$J68),"OVERDUE","Pending")))</f>
        <v/>
      </c>
      <c r="M68" s="16" t="n"/>
      <c r="N68" s="16" t="n"/>
    </row>
    <row r="69">
      <c r="B69" s="17">
        <f>IF($D69="","","ME"&amp;TEXT(ROW()-5,"000"))</f>
        <v/>
      </c>
      <c r="C69" s="18" t="n"/>
      <c r="D69" s="16" t="n"/>
      <c r="E69" s="17">
        <f>IF($D69="","",IFERROR(INDEX(rngCadetPIDs,MATCH($D69,rngCadetNames,0)),"?"))</f>
        <v/>
      </c>
      <c r="F69" s="16" t="n"/>
      <c r="G69" s="16" t="n"/>
      <c r="H69" s="19">
        <f>IF(OR($D69="",$C69=""),"",_xlfn.LET(_xlpm.dn,IFERROR(_xlfn.XLOOKUP($C69,nrCDdate,nrCDnum),""),IF(_xlpm.dn="","(not a class day)",IFERROR(_xlfn.XLOOKUP(_xlpm.dn+cfgMemoDueClassDays,nrCDnum,nrCDdate),""))))</f>
        <v/>
      </c>
      <c r="I69" s="18" t="n"/>
      <c r="J69" s="19">
        <f>IF($D69="","",IF($I69&lt;&gt;"",$I69,IF(ISNUMBER($H69),$H69,"")))</f>
        <v/>
      </c>
      <c r="K69" s="18" t="n"/>
      <c r="L69" s="17">
        <f>IF($D69="","",IF($K69&lt;&gt;"","Received "&amp;TEXT($K69,"mm/dd"),IF(AND(ISNUMBER($J69),TODAY()&gt;$J69),"OVERDUE","Pending")))</f>
        <v/>
      </c>
      <c r="M69" s="16" t="n"/>
      <c r="N69" s="16" t="n"/>
    </row>
    <row r="70">
      <c r="B70" s="17">
        <f>IF($D70="","","ME"&amp;TEXT(ROW()-5,"000"))</f>
        <v/>
      </c>
      <c r="C70" s="18" t="n"/>
      <c r="D70" s="16" t="n"/>
      <c r="E70" s="17">
        <f>IF($D70="","",IFERROR(INDEX(rngCadetPIDs,MATCH($D70,rngCadetNames,0)),"?"))</f>
        <v/>
      </c>
      <c r="F70" s="16" t="n"/>
      <c r="G70" s="16" t="n"/>
      <c r="H70" s="19">
        <f>IF(OR($D70="",$C70=""),"",_xlfn.LET(_xlpm.dn,IFERROR(_xlfn.XLOOKUP($C70,nrCDdate,nrCDnum),""),IF(_xlpm.dn="","(not a class day)",IFERROR(_xlfn.XLOOKUP(_xlpm.dn+cfgMemoDueClassDays,nrCDnum,nrCDdate),""))))</f>
        <v/>
      </c>
      <c r="I70" s="18" t="n"/>
      <c r="J70" s="19">
        <f>IF($D70="","",IF($I70&lt;&gt;"",$I70,IF(ISNUMBER($H70),$H70,"")))</f>
        <v/>
      </c>
      <c r="K70" s="18" t="n"/>
      <c r="L70" s="17">
        <f>IF($D70="","",IF($K70&lt;&gt;"","Received "&amp;TEXT($K70,"mm/dd"),IF(AND(ISNUMBER($J70),TODAY()&gt;$J70),"OVERDUE","Pending")))</f>
        <v/>
      </c>
      <c r="M70" s="16" t="n"/>
      <c r="N70" s="16" t="n"/>
    </row>
    <row r="71">
      <c r="B71" s="17">
        <f>IF($D71="","","ME"&amp;TEXT(ROW()-5,"000"))</f>
        <v/>
      </c>
      <c r="C71" s="18" t="n"/>
      <c r="D71" s="16" t="n"/>
      <c r="E71" s="17">
        <f>IF($D71="","",IFERROR(INDEX(rngCadetPIDs,MATCH($D71,rngCadetNames,0)),"?"))</f>
        <v/>
      </c>
      <c r="F71" s="16" t="n"/>
      <c r="G71" s="16" t="n"/>
      <c r="H71" s="19">
        <f>IF(OR($D71="",$C71=""),"",_xlfn.LET(_xlpm.dn,IFERROR(_xlfn.XLOOKUP($C71,nrCDdate,nrCDnum),""),IF(_xlpm.dn="","(not a class day)",IFERROR(_xlfn.XLOOKUP(_xlpm.dn+cfgMemoDueClassDays,nrCDnum,nrCDdate),""))))</f>
        <v/>
      </c>
      <c r="I71" s="18" t="n"/>
      <c r="J71" s="19">
        <f>IF($D71="","",IF($I71&lt;&gt;"",$I71,IF(ISNUMBER($H71),$H71,"")))</f>
        <v/>
      </c>
      <c r="K71" s="18" t="n"/>
      <c r="L71" s="17">
        <f>IF($D71="","",IF($K71&lt;&gt;"","Received "&amp;TEXT($K71,"mm/dd"),IF(AND(ISNUMBER($J71),TODAY()&gt;$J71),"OVERDUE","Pending")))</f>
        <v/>
      </c>
      <c r="M71" s="16" t="n"/>
      <c r="N71" s="16" t="n"/>
    </row>
    <row r="72">
      <c r="B72" s="17">
        <f>IF($D72="","","ME"&amp;TEXT(ROW()-5,"000"))</f>
        <v/>
      </c>
      <c r="C72" s="18" t="n"/>
      <c r="D72" s="16" t="n"/>
      <c r="E72" s="17">
        <f>IF($D72="","",IFERROR(INDEX(rngCadetPIDs,MATCH($D72,rngCadetNames,0)),"?"))</f>
        <v/>
      </c>
      <c r="F72" s="16" t="n"/>
      <c r="G72" s="16" t="n"/>
      <c r="H72" s="19">
        <f>IF(OR($D72="",$C72=""),"",_xlfn.LET(_xlpm.dn,IFERROR(_xlfn.XLOOKUP($C72,nrCDdate,nrCDnum),""),IF(_xlpm.dn="","(not a class day)",IFERROR(_xlfn.XLOOKUP(_xlpm.dn+cfgMemoDueClassDays,nrCDnum,nrCDdate),""))))</f>
        <v/>
      </c>
      <c r="I72" s="18" t="n"/>
      <c r="J72" s="19">
        <f>IF($D72="","",IF($I72&lt;&gt;"",$I72,IF(ISNUMBER($H72),$H72,"")))</f>
        <v/>
      </c>
      <c r="K72" s="18" t="n"/>
      <c r="L72" s="17">
        <f>IF($D72="","",IF($K72&lt;&gt;"","Received "&amp;TEXT($K72,"mm/dd"),IF(AND(ISNUMBER($J72),TODAY()&gt;$J72),"OVERDUE","Pending")))</f>
        <v/>
      </c>
      <c r="M72" s="16" t="n"/>
      <c r="N72" s="16" t="n"/>
    </row>
    <row r="73">
      <c r="B73" s="17">
        <f>IF($D73="","","ME"&amp;TEXT(ROW()-5,"000"))</f>
        <v/>
      </c>
      <c r="C73" s="18" t="n"/>
      <c r="D73" s="16" t="n"/>
      <c r="E73" s="17">
        <f>IF($D73="","",IFERROR(INDEX(rngCadetPIDs,MATCH($D73,rngCadetNames,0)),"?"))</f>
        <v/>
      </c>
      <c r="F73" s="16" t="n"/>
      <c r="G73" s="16" t="n"/>
      <c r="H73" s="19">
        <f>IF(OR($D73="",$C73=""),"",_xlfn.LET(_xlpm.dn,IFERROR(_xlfn.XLOOKUP($C73,nrCDdate,nrCDnum),""),IF(_xlpm.dn="","(not a class day)",IFERROR(_xlfn.XLOOKUP(_xlpm.dn+cfgMemoDueClassDays,nrCDnum,nrCDdate),""))))</f>
        <v/>
      </c>
      <c r="I73" s="18" t="n"/>
      <c r="J73" s="19">
        <f>IF($D73="","",IF($I73&lt;&gt;"",$I73,IF(ISNUMBER($H73),$H73,"")))</f>
        <v/>
      </c>
      <c r="K73" s="18" t="n"/>
      <c r="L73" s="17">
        <f>IF($D73="","",IF($K73&lt;&gt;"","Received "&amp;TEXT($K73,"mm/dd"),IF(AND(ISNUMBER($J73),TODAY()&gt;$J73),"OVERDUE","Pending")))</f>
        <v/>
      </c>
      <c r="M73" s="16" t="n"/>
      <c r="N73" s="16" t="n"/>
    </row>
    <row r="74">
      <c r="B74" s="17">
        <f>IF($D74="","","ME"&amp;TEXT(ROW()-5,"000"))</f>
        <v/>
      </c>
      <c r="C74" s="18" t="n"/>
      <c r="D74" s="16" t="n"/>
      <c r="E74" s="17">
        <f>IF($D74="","",IFERROR(INDEX(rngCadetPIDs,MATCH($D74,rngCadetNames,0)),"?"))</f>
        <v/>
      </c>
      <c r="F74" s="16" t="n"/>
      <c r="G74" s="16" t="n"/>
      <c r="H74" s="19">
        <f>IF(OR($D74="",$C74=""),"",_xlfn.LET(_xlpm.dn,IFERROR(_xlfn.XLOOKUP($C74,nrCDdate,nrCDnum),""),IF(_xlpm.dn="","(not a class day)",IFERROR(_xlfn.XLOOKUP(_xlpm.dn+cfgMemoDueClassDays,nrCDnum,nrCDdate),""))))</f>
        <v/>
      </c>
      <c r="I74" s="18" t="n"/>
      <c r="J74" s="19">
        <f>IF($D74="","",IF($I74&lt;&gt;"",$I74,IF(ISNUMBER($H74),$H74,"")))</f>
        <v/>
      </c>
      <c r="K74" s="18" t="n"/>
      <c r="L74" s="17">
        <f>IF($D74="","",IF($K74&lt;&gt;"","Received "&amp;TEXT($K74,"mm/dd"),IF(AND(ISNUMBER($J74),TODAY()&gt;$J74),"OVERDUE","Pending")))</f>
        <v/>
      </c>
      <c r="M74" s="16" t="n"/>
      <c r="N74" s="16" t="n"/>
    </row>
    <row r="75">
      <c r="B75" s="17">
        <f>IF($D75="","","ME"&amp;TEXT(ROW()-5,"000"))</f>
        <v/>
      </c>
      <c r="C75" s="18" t="n"/>
      <c r="D75" s="16" t="n"/>
      <c r="E75" s="17">
        <f>IF($D75="","",IFERROR(INDEX(rngCadetPIDs,MATCH($D75,rngCadetNames,0)),"?"))</f>
        <v/>
      </c>
      <c r="F75" s="16" t="n"/>
      <c r="G75" s="16" t="n"/>
      <c r="H75" s="19">
        <f>IF(OR($D75="",$C75=""),"",_xlfn.LET(_xlpm.dn,IFERROR(_xlfn.XLOOKUP($C75,nrCDdate,nrCDnum),""),IF(_xlpm.dn="","(not a class day)",IFERROR(_xlfn.XLOOKUP(_xlpm.dn+cfgMemoDueClassDays,nrCDnum,nrCDdate),""))))</f>
        <v/>
      </c>
      <c r="I75" s="18" t="n"/>
      <c r="J75" s="19">
        <f>IF($D75="","",IF($I75&lt;&gt;"",$I75,IF(ISNUMBER($H75),$H75,"")))</f>
        <v/>
      </c>
      <c r="K75" s="18" t="n"/>
      <c r="L75" s="17">
        <f>IF($D75="","",IF($K75&lt;&gt;"","Received "&amp;TEXT($K75,"mm/dd"),IF(AND(ISNUMBER($J75),TODAY()&gt;$J75),"OVERDUE","Pending")))</f>
        <v/>
      </c>
      <c r="M75" s="16" t="n"/>
      <c r="N75" s="16" t="n"/>
    </row>
    <row r="76">
      <c r="B76" s="17">
        <f>IF($D76="","","ME"&amp;TEXT(ROW()-5,"000"))</f>
        <v/>
      </c>
      <c r="C76" s="18" t="n"/>
      <c r="D76" s="16" t="n"/>
      <c r="E76" s="17">
        <f>IF($D76="","",IFERROR(INDEX(rngCadetPIDs,MATCH($D76,rngCadetNames,0)),"?"))</f>
        <v/>
      </c>
      <c r="F76" s="16" t="n"/>
      <c r="G76" s="16" t="n"/>
      <c r="H76" s="19">
        <f>IF(OR($D76="",$C76=""),"",_xlfn.LET(_xlpm.dn,IFERROR(_xlfn.XLOOKUP($C76,nrCDdate,nrCDnum),""),IF(_xlpm.dn="","(not a class day)",IFERROR(_xlfn.XLOOKUP(_xlpm.dn+cfgMemoDueClassDays,nrCDnum,nrCDdate),""))))</f>
        <v/>
      </c>
      <c r="I76" s="18" t="n"/>
      <c r="J76" s="19">
        <f>IF($D76="","",IF($I76&lt;&gt;"",$I76,IF(ISNUMBER($H76),$H76,"")))</f>
        <v/>
      </c>
      <c r="K76" s="18" t="n"/>
      <c r="L76" s="17">
        <f>IF($D76="","",IF($K76&lt;&gt;"","Received "&amp;TEXT($K76,"mm/dd"),IF(AND(ISNUMBER($J76),TODAY()&gt;$J76),"OVERDUE","Pending")))</f>
        <v/>
      </c>
      <c r="M76" s="16" t="n"/>
      <c r="N76" s="16" t="n"/>
    </row>
    <row r="77">
      <c r="B77" s="17">
        <f>IF($D77="","","ME"&amp;TEXT(ROW()-5,"000"))</f>
        <v/>
      </c>
      <c r="C77" s="18" t="n"/>
      <c r="D77" s="16" t="n"/>
      <c r="E77" s="17">
        <f>IF($D77="","",IFERROR(INDEX(rngCadetPIDs,MATCH($D77,rngCadetNames,0)),"?"))</f>
        <v/>
      </c>
      <c r="F77" s="16" t="n"/>
      <c r="G77" s="16" t="n"/>
      <c r="H77" s="19">
        <f>IF(OR($D77="",$C77=""),"",_xlfn.LET(_xlpm.dn,IFERROR(_xlfn.XLOOKUP($C77,nrCDdate,nrCDnum),""),IF(_xlpm.dn="","(not a class day)",IFERROR(_xlfn.XLOOKUP(_xlpm.dn+cfgMemoDueClassDays,nrCDnum,nrCDdate),""))))</f>
        <v/>
      </c>
      <c r="I77" s="18" t="n"/>
      <c r="J77" s="19">
        <f>IF($D77="","",IF($I77&lt;&gt;"",$I77,IF(ISNUMBER($H77),$H77,"")))</f>
        <v/>
      </c>
      <c r="K77" s="18" t="n"/>
      <c r="L77" s="17">
        <f>IF($D77="","",IF($K77&lt;&gt;"","Received "&amp;TEXT($K77,"mm/dd"),IF(AND(ISNUMBER($J77),TODAY()&gt;$J77),"OVERDUE","Pending")))</f>
        <v/>
      </c>
      <c r="M77" s="16" t="n"/>
      <c r="N77" s="16" t="n"/>
    </row>
    <row r="78">
      <c r="B78" s="17">
        <f>IF($D78="","","ME"&amp;TEXT(ROW()-5,"000"))</f>
        <v/>
      </c>
      <c r="C78" s="18" t="n"/>
      <c r="D78" s="16" t="n"/>
      <c r="E78" s="17">
        <f>IF($D78="","",IFERROR(INDEX(rngCadetPIDs,MATCH($D78,rngCadetNames,0)),"?"))</f>
        <v/>
      </c>
      <c r="F78" s="16" t="n"/>
      <c r="G78" s="16" t="n"/>
      <c r="H78" s="19">
        <f>IF(OR($D78="",$C78=""),"",_xlfn.LET(_xlpm.dn,IFERROR(_xlfn.XLOOKUP($C78,nrCDdate,nrCDnum),""),IF(_xlpm.dn="","(not a class day)",IFERROR(_xlfn.XLOOKUP(_xlpm.dn+cfgMemoDueClassDays,nrCDnum,nrCDdate),""))))</f>
        <v/>
      </c>
      <c r="I78" s="18" t="n"/>
      <c r="J78" s="19">
        <f>IF($D78="","",IF($I78&lt;&gt;"",$I78,IF(ISNUMBER($H78),$H78,"")))</f>
        <v/>
      </c>
      <c r="K78" s="18" t="n"/>
      <c r="L78" s="17">
        <f>IF($D78="","",IF($K78&lt;&gt;"","Received "&amp;TEXT($K78,"mm/dd"),IF(AND(ISNUMBER($J78),TODAY()&gt;$J78),"OVERDUE","Pending")))</f>
        <v/>
      </c>
      <c r="M78" s="16" t="n"/>
      <c r="N78" s="16" t="n"/>
    </row>
    <row r="79">
      <c r="B79" s="17">
        <f>IF($D79="","","ME"&amp;TEXT(ROW()-5,"000"))</f>
        <v/>
      </c>
      <c r="C79" s="18" t="n"/>
      <c r="D79" s="16" t="n"/>
      <c r="E79" s="17">
        <f>IF($D79="","",IFERROR(INDEX(rngCadetPIDs,MATCH($D79,rngCadetNames,0)),"?"))</f>
        <v/>
      </c>
      <c r="F79" s="16" t="n"/>
      <c r="G79" s="16" t="n"/>
      <c r="H79" s="19">
        <f>IF(OR($D79="",$C79=""),"",_xlfn.LET(_xlpm.dn,IFERROR(_xlfn.XLOOKUP($C79,nrCDdate,nrCDnum),""),IF(_xlpm.dn="","(not a class day)",IFERROR(_xlfn.XLOOKUP(_xlpm.dn+cfgMemoDueClassDays,nrCDnum,nrCDdate),""))))</f>
        <v/>
      </c>
      <c r="I79" s="18" t="n"/>
      <c r="J79" s="19">
        <f>IF($D79="","",IF($I79&lt;&gt;"",$I79,IF(ISNUMBER($H79),$H79,"")))</f>
        <v/>
      </c>
      <c r="K79" s="18" t="n"/>
      <c r="L79" s="17">
        <f>IF($D79="","",IF($K79&lt;&gt;"","Received "&amp;TEXT($K79,"mm/dd"),IF(AND(ISNUMBER($J79),TODAY()&gt;$J79),"OVERDUE","Pending")))</f>
        <v/>
      </c>
      <c r="M79" s="16" t="n"/>
      <c r="N79" s="16" t="n"/>
    </row>
    <row r="80">
      <c r="B80" s="17">
        <f>IF($D80="","","ME"&amp;TEXT(ROW()-5,"000"))</f>
        <v/>
      </c>
      <c r="C80" s="18" t="n"/>
      <c r="D80" s="16" t="n"/>
      <c r="E80" s="17">
        <f>IF($D80="","",IFERROR(INDEX(rngCadetPIDs,MATCH($D80,rngCadetNames,0)),"?"))</f>
        <v/>
      </c>
      <c r="F80" s="16" t="n"/>
      <c r="G80" s="16" t="n"/>
      <c r="H80" s="19">
        <f>IF(OR($D80="",$C80=""),"",_xlfn.LET(_xlpm.dn,IFERROR(_xlfn.XLOOKUP($C80,nrCDdate,nrCDnum),""),IF(_xlpm.dn="","(not a class day)",IFERROR(_xlfn.XLOOKUP(_xlpm.dn+cfgMemoDueClassDays,nrCDnum,nrCDdate),""))))</f>
        <v/>
      </c>
      <c r="I80" s="18" t="n"/>
      <c r="J80" s="19">
        <f>IF($D80="","",IF($I80&lt;&gt;"",$I80,IF(ISNUMBER($H80),$H80,"")))</f>
        <v/>
      </c>
      <c r="K80" s="18" t="n"/>
      <c r="L80" s="17">
        <f>IF($D80="","",IF($K80&lt;&gt;"","Received "&amp;TEXT($K80,"mm/dd"),IF(AND(ISNUMBER($J80),TODAY()&gt;$J80),"OVERDUE","Pending")))</f>
        <v/>
      </c>
      <c r="M80" s="16" t="n"/>
      <c r="N80" s="16" t="n"/>
    </row>
    <row r="81">
      <c r="B81" s="17">
        <f>IF($D81="","","ME"&amp;TEXT(ROW()-5,"000"))</f>
        <v/>
      </c>
      <c r="C81" s="18" t="n"/>
      <c r="D81" s="16" t="n"/>
      <c r="E81" s="17">
        <f>IF($D81="","",IFERROR(INDEX(rngCadetPIDs,MATCH($D81,rngCadetNames,0)),"?"))</f>
        <v/>
      </c>
      <c r="F81" s="16" t="n"/>
      <c r="G81" s="16" t="n"/>
      <c r="H81" s="19">
        <f>IF(OR($D81="",$C81=""),"",_xlfn.LET(_xlpm.dn,IFERROR(_xlfn.XLOOKUP($C81,nrCDdate,nrCDnum),""),IF(_xlpm.dn="","(not a class day)",IFERROR(_xlfn.XLOOKUP(_xlpm.dn+cfgMemoDueClassDays,nrCDnum,nrCDdate),""))))</f>
        <v/>
      </c>
      <c r="I81" s="18" t="n"/>
      <c r="J81" s="19">
        <f>IF($D81="","",IF($I81&lt;&gt;"",$I81,IF(ISNUMBER($H81),$H81,"")))</f>
        <v/>
      </c>
      <c r="K81" s="18" t="n"/>
      <c r="L81" s="17">
        <f>IF($D81="","",IF($K81&lt;&gt;"","Received "&amp;TEXT($K81,"mm/dd"),IF(AND(ISNUMBER($J81),TODAY()&gt;$J81),"OVERDUE","Pending")))</f>
        <v/>
      </c>
      <c r="M81" s="16" t="n"/>
      <c r="N81" s="16" t="n"/>
    </row>
    <row r="82">
      <c r="B82" s="17">
        <f>IF($D82="","","ME"&amp;TEXT(ROW()-5,"000"))</f>
        <v/>
      </c>
      <c r="C82" s="18" t="n"/>
      <c r="D82" s="16" t="n"/>
      <c r="E82" s="17">
        <f>IF($D82="","",IFERROR(INDEX(rngCadetPIDs,MATCH($D82,rngCadetNames,0)),"?"))</f>
        <v/>
      </c>
      <c r="F82" s="16" t="n"/>
      <c r="G82" s="16" t="n"/>
      <c r="H82" s="19">
        <f>IF(OR($D82="",$C82=""),"",_xlfn.LET(_xlpm.dn,IFERROR(_xlfn.XLOOKUP($C82,nrCDdate,nrCDnum),""),IF(_xlpm.dn="","(not a class day)",IFERROR(_xlfn.XLOOKUP(_xlpm.dn+cfgMemoDueClassDays,nrCDnum,nrCDdate),""))))</f>
        <v/>
      </c>
      <c r="I82" s="18" t="n"/>
      <c r="J82" s="19">
        <f>IF($D82="","",IF($I82&lt;&gt;"",$I82,IF(ISNUMBER($H82),$H82,"")))</f>
        <v/>
      </c>
      <c r="K82" s="18" t="n"/>
      <c r="L82" s="17">
        <f>IF($D82="","",IF($K82&lt;&gt;"","Received "&amp;TEXT($K82,"mm/dd"),IF(AND(ISNUMBER($J82),TODAY()&gt;$J82),"OVERDUE","Pending")))</f>
        <v/>
      </c>
      <c r="M82" s="16" t="n"/>
      <c r="N82" s="16" t="n"/>
    </row>
    <row r="83">
      <c r="B83" s="17">
        <f>IF($D83="","","ME"&amp;TEXT(ROW()-5,"000"))</f>
        <v/>
      </c>
      <c r="C83" s="18" t="n"/>
      <c r="D83" s="16" t="n"/>
      <c r="E83" s="17">
        <f>IF($D83="","",IFERROR(INDEX(rngCadetPIDs,MATCH($D83,rngCadetNames,0)),"?"))</f>
        <v/>
      </c>
      <c r="F83" s="16" t="n"/>
      <c r="G83" s="16" t="n"/>
      <c r="H83" s="19">
        <f>IF(OR($D83="",$C83=""),"",_xlfn.LET(_xlpm.dn,IFERROR(_xlfn.XLOOKUP($C83,nrCDdate,nrCDnum),""),IF(_xlpm.dn="","(not a class day)",IFERROR(_xlfn.XLOOKUP(_xlpm.dn+cfgMemoDueClassDays,nrCDnum,nrCDdate),""))))</f>
        <v/>
      </c>
      <c r="I83" s="18" t="n"/>
      <c r="J83" s="19">
        <f>IF($D83="","",IF($I83&lt;&gt;"",$I83,IF(ISNUMBER($H83),$H83,"")))</f>
        <v/>
      </c>
      <c r="K83" s="18" t="n"/>
      <c r="L83" s="17">
        <f>IF($D83="","",IF($K83&lt;&gt;"","Received "&amp;TEXT($K83,"mm/dd"),IF(AND(ISNUMBER($J83),TODAY()&gt;$J83),"OVERDUE","Pending")))</f>
        <v/>
      </c>
      <c r="M83" s="16" t="n"/>
      <c r="N83" s="16" t="n"/>
    </row>
    <row r="84">
      <c r="B84" s="17">
        <f>IF($D84="","","ME"&amp;TEXT(ROW()-5,"000"))</f>
        <v/>
      </c>
      <c r="C84" s="18" t="n"/>
      <c r="D84" s="16" t="n"/>
      <c r="E84" s="17">
        <f>IF($D84="","",IFERROR(INDEX(rngCadetPIDs,MATCH($D84,rngCadetNames,0)),"?"))</f>
        <v/>
      </c>
      <c r="F84" s="16" t="n"/>
      <c r="G84" s="16" t="n"/>
      <c r="H84" s="19">
        <f>IF(OR($D84="",$C84=""),"",_xlfn.LET(_xlpm.dn,IFERROR(_xlfn.XLOOKUP($C84,nrCDdate,nrCDnum),""),IF(_xlpm.dn="","(not a class day)",IFERROR(_xlfn.XLOOKUP(_xlpm.dn+cfgMemoDueClassDays,nrCDnum,nrCDdate),""))))</f>
        <v/>
      </c>
      <c r="I84" s="18" t="n"/>
      <c r="J84" s="19">
        <f>IF($D84="","",IF($I84&lt;&gt;"",$I84,IF(ISNUMBER($H84),$H84,"")))</f>
        <v/>
      </c>
      <c r="K84" s="18" t="n"/>
      <c r="L84" s="17">
        <f>IF($D84="","",IF($K84&lt;&gt;"","Received "&amp;TEXT($K84,"mm/dd"),IF(AND(ISNUMBER($J84),TODAY()&gt;$J84),"OVERDUE","Pending")))</f>
        <v/>
      </c>
      <c r="M84" s="16" t="n"/>
      <c r="N84" s="16" t="n"/>
    </row>
    <row r="85">
      <c r="B85" s="17">
        <f>IF($D85="","","ME"&amp;TEXT(ROW()-5,"000"))</f>
        <v/>
      </c>
      <c r="C85" s="18" t="n"/>
      <c r="D85" s="16" t="n"/>
      <c r="E85" s="17">
        <f>IF($D85="","",IFERROR(INDEX(rngCadetPIDs,MATCH($D85,rngCadetNames,0)),"?"))</f>
        <v/>
      </c>
      <c r="F85" s="16" t="n"/>
      <c r="G85" s="16" t="n"/>
      <c r="H85" s="19">
        <f>IF(OR($D85="",$C85=""),"",_xlfn.LET(_xlpm.dn,IFERROR(_xlfn.XLOOKUP($C85,nrCDdate,nrCDnum),""),IF(_xlpm.dn="","(not a class day)",IFERROR(_xlfn.XLOOKUP(_xlpm.dn+cfgMemoDueClassDays,nrCDnum,nrCDdate),""))))</f>
        <v/>
      </c>
      <c r="I85" s="18" t="n"/>
      <c r="J85" s="19">
        <f>IF($D85="","",IF($I85&lt;&gt;"",$I85,IF(ISNUMBER($H85),$H85,"")))</f>
        <v/>
      </c>
      <c r="K85" s="18" t="n"/>
      <c r="L85" s="17">
        <f>IF($D85="","",IF($K85&lt;&gt;"","Received "&amp;TEXT($K85,"mm/dd"),IF(AND(ISNUMBER($J85),TODAY()&gt;$J85),"OVERDUE","Pending")))</f>
        <v/>
      </c>
      <c r="M85" s="16" t="n"/>
      <c r="N85" s="16" t="n"/>
    </row>
    <row r="86">
      <c r="B86" s="17">
        <f>IF($D86="","","ME"&amp;TEXT(ROW()-5,"000"))</f>
        <v/>
      </c>
      <c r="C86" s="18" t="n"/>
      <c r="D86" s="16" t="n"/>
      <c r="E86" s="17">
        <f>IF($D86="","",IFERROR(INDEX(rngCadetPIDs,MATCH($D86,rngCadetNames,0)),"?"))</f>
        <v/>
      </c>
      <c r="F86" s="16" t="n"/>
      <c r="G86" s="16" t="n"/>
      <c r="H86" s="19">
        <f>IF(OR($D86="",$C86=""),"",_xlfn.LET(_xlpm.dn,IFERROR(_xlfn.XLOOKUP($C86,nrCDdate,nrCDnum),""),IF(_xlpm.dn="","(not a class day)",IFERROR(_xlfn.XLOOKUP(_xlpm.dn+cfgMemoDueClassDays,nrCDnum,nrCDdate),""))))</f>
        <v/>
      </c>
      <c r="I86" s="18" t="n"/>
      <c r="J86" s="19">
        <f>IF($D86="","",IF($I86&lt;&gt;"",$I86,IF(ISNUMBER($H86),$H86,"")))</f>
        <v/>
      </c>
      <c r="K86" s="18" t="n"/>
      <c r="L86" s="17">
        <f>IF($D86="","",IF($K86&lt;&gt;"","Received "&amp;TEXT($K86,"mm/dd"),IF(AND(ISNUMBER($J86),TODAY()&gt;$J86),"OVERDUE","Pending")))</f>
        <v/>
      </c>
      <c r="M86" s="16" t="n"/>
      <c r="N86" s="16" t="n"/>
    </row>
    <row r="87">
      <c r="B87" s="17">
        <f>IF($D87="","","ME"&amp;TEXT(ROW()-5,"000"))</f>
        <v/>
      </c>
      <c r="C87" s="18" t="n"/>
      <c r="D87" s="16" t="n"/>
      <c r="E87" s="17">
        <f>IF($D87="","",IFERROR(INDEX(rngCadetPIDs,MATCH($D87,rngCadetNames,0)),"?"))</f>
        <v/>
      </c>
      <c r="F87" s="16" t="n"/>
      <c r="G87" s="16" t="n"/>
      <c r="H87" s="19">
        <f>IF(OR($D87="",$C87=""),"",_xlfn.LET(_xlpm.dn,IFERROR(_xlfn.XLOOKUP($C87,nrCDdate,nrCDnum),""),IF(_xlpm.dn="","(not a class day)",IFERROR(_xlfn.XLOOKUP(_xlpm.dn+cfgMemoDueClassDays,nrCDnum,nrCDdate),""))))</f>
        <v/>
      </c>
      <c r="I87" s="18" t="n"/>
      <c r="J87" s="19">
        <f>IF($D87="","",IF($I87&lt;&gt;"",$I87,IF(ISNUMBER($H87),$H87,"")))</f>
        <v/>
      </c>
      <c r="K87" s="18" t="n"/>
      <c r="L87" s="17">
        <f>IF($D87="","",IF($K87&lt;&gt;"","Received "&amp;TEXT($K87,"mm/dd"),IF(AND(ISNUMBER($J87),TODAY()&gt;$J87),"OVERDUE","Pending")))</f>
        <v/>
      </c>
      <c r="M87" s="16" t="n"/>
      <c r="N87" s="16" t="n"/>
    </row>
    <row r="88">
      <c r="B88" s="17">
        <f>IF($D88="","","ME"&amp;TEXT(ROW()-5,"000"))</f>
        <v/>
      </c>
      <c r="C88" s="18" t="n"/>
      <c r="D88" s="16" t="n"/>
      <c r="E88" s="17">
        <f>IF($D88="","",IFERROR(INDEX(rngCadetPIDs,MATCH($D88,rngCadetNames,0)),"?"))</f>
        <v/>
      </c>
      <c r="F88" s="16" t="n"/>
      <c r="G88" s="16" t="n"/>
      <c r="H88" s="19">
        <f>IF(OR($D88="",$C88=""),"",_xlfn.LET(_xlpm.dn,IFERROR(_xlfn.XLOOKUP($C88,nrCDdate,nrCDnum),""),IF(_xlpm.dn="","(not a class day)",IFERROR(_xlfn.XLOOKUP(_xlpm.dn+cfgMemoDueClassDays,nrCDnum,nrCDdate),""))))</f>
        <v/>
      </c>
      <c r="I88" s="18" t="n"/>
      <c r="J88" s="19">
        <f>IF($D88="","",IF($I88&lt;&gt;"",$I88,IF(ISNUMBER($H88),$H88,"")))</f>
        <v/>
      </c>
      <c r="K88" s="18" t="n"/>
      <c r="L88" s="17">
        <f>IF($D88="","",IF($K88&lt;&gt;"","Received "&amp;TEXT($K88,"mm/dd"),IF(AND(ISNUMBER($J88),TODAY()&gt;$J88),"OVERDUE","Pending")))</f>
        <v/>
      </c>
      <c r="M88" s="16" t="n"/>
      <c r="N88" s="16" t="n"/>
    </row>
    <row r="89">
      <c r="B89" s="17">
        <f>IF($D89="","","ME"&amp;TEXT(ROW()-5,"000"))</f>
        <v/>
      </c>
      <c r="C89" s="18" t="n"/>
      <c r="D89" s="16" t="n"/>
      <c r="E89" s="17">
        <f>IF($D89="","",IFERROR(INDEX(rngCadetPIDs,MATCH($D89,rngCadetNames,0)),"?"))</f>
        <v/>
      </c>
      <c r="F89" s="16" t="n"/>
      <c r="G89" s="16" t="n"/>
      <c r="H89" s="19">
        <f>IF(OR($D89="",$C89=""),"",_xlfn.LET(_xlpm.dn,IFERROR(_xlfn.XLOOKUP($C89,nrCDdate,nrCDnum),""),IF(_xlpm.dn="","(not a class day)",IFERROR(_xlfn.XLOOKUP(_xlpm.dn+cfgMemoDueClassDays,nrCDnum,nrCDdate),""))))</f>
        <v/>
      </c>
      <c r="I89" s="18" t="n"/>
      <c r="J89" s="19">
        <f>IF($D89="","",IF($I89&lt;&gt;"",$I89,IF(ISNUMBER($H89),$H89,"")))</f>
        <v/>
      </c>
      <c r="K89" s="18" t="n"/>
      <c r="L89" s="17">
        <f>IF($D89="","",IF($K89&lt;&gt;"","Received "&amp;TEXT($K89,"mm/dd"),IF(AND(ISNUMBER($J89),TODAY()&gt;$J89),"OVERDUE","Pending")))</f>
        <v/>
      </c>
      <c r="M89" s="16" t="n"/>
      <c r="N89" s="16" t="n"/>
    </row>
    <row r="90">
      <c r="B90" s="17">
        <f>IF($D90="","","ME"&amp;TEXT(ROW()-5,"000"))</f>
        <v/>
      </c>
      <c r="C90" s="18" t="n"/>
      <c r="D90" s="16" t="n"/>
      <c r="E90" s="17">
        <f>IF($D90="","",IFERROR(INDEX(rngCadetPIDs,MATCH($D90,rngCadetNames,0)),"?"))</f>
        <v/>
      </c>
      <c r="F90" s="16" t="n"/>
      <c r="G90" s="16" t="n"/>
      <c r="H90" s="19">
        <f>IF(OR($D90="",$C90=""),"",_xlfn.LET(_xlpm.dn,IFERROR(_xlfn.XLOOKUP($C90,nrCDdate,nrCDnum),""),IF(_xlpm.dn="","(not a class day)",IFERROR(_xlfn.XLOOKUP(_xlpm.dn+cfgMemoDueClassDays,nrCDnum,nrCDdate),""))))</f>
        <v/>
      </c>
      <c r="I90" s="18" t="n"/>
      <c r="J90" s="19">
        <f>IF($D90="","",IF($I90&lt;&gt;"",$I90,IF(ISNUMBER($H90),$H90,"")))</f>
        <v/>
      </c>
      <c r="K90" s="18" t="n"/>
      <c r="L90" s="17">
        <f>IF($D90="","",IF($K90&lt;&gt;"","Received "&amp;TEXT($K90,"mm/dd"),IF(AND(ISNUMBER($J90),TODAY()&gt;$J90),"OVERDUE","Pending")))</f>
        <v/>
      </c>
      <c r="M90" s="16" t="n"/>
      <c r="N90" s="16" t="n"/>
    </row>
    <row r="91">
      <c r="B91" s="17">
        <f>IF($D91="","","ME"&amp;TEXT(ROW()-5,"000"))</f>
        <v/>
      </c>
      <c r="C91" s="18" t="n"/>
      <c r="D91" s="16" t="n"/>
      <c r="E91" s="17">
        <f>IF($D91="","",IFERROR(INDEX(rngCadetPIDs,MATCH($D91,rngCadetNames,0)),"?"))</f>
        <v/>
      </c>
      <c r="F91" s="16" t="n"/>
      <c r="G91" s="16" t="n"/>
      <c r="H91" s="19">
        <f>IF(OR($D91="",$C91=""),"",_xlfn.LET(_xlpm.dn,IFERROR(_xlfn.XLOOKUP($C91,nrCDdate,nrCDnum),""),IF(_xlpm.dn="","(not a class day)",IFERROR(_xlfn.XLOOKUP(_xlpm.dn+cfgMemoDueClassDays,nrCDnum,nrCDdate),""))))</f>
        <v/>
      </c>
      <c r="I91" s="18" t="n"/>
      <c r="J91" s="19">
        <f>IF($D91="","",IF($I91&lt;&gt;"",$I91,IF(ISNUMBER($H91),$H91,"")))</f>
        <v/>
      </c>
      <c r="K91" s="18" t="n"/>
      <c r="L91" s="17">
        <f>IF($D91="","",IF($K91&lt;&gt;"","Received "&amp;TEXT($K91,"mm/dd"),IF(AND(ISNUMBER($J91),TODAY()&gt;$J91),"OVERDUE","Pending")))</f>
        <v/>
      </c>
      <c r="M91" s="16" t="n"/>
      <c r="N91" s="16" t="n"/>
    </row>
    <row r="92">
      <c r="B92" s="17">
        <f>IF($D92="","","ME"&amp;TEXT(ROW()-5,"000"))</f>
        <v/>
      </c>
      <c r="C92" s="18" t="n"/>
      <c r="D92" s="16" t="n"/>
      <c r="E92" s="17">
        <f>IF($D92="","",IFERROR(INDEX(rngCadetPIDs,MATCH($D92,rngCadetNames,0)),"?"))</f>
        <v/>
      </c>
      <c r="F92" s="16" t="n"/>
      <c r="G92" s="16" t="n"/>
      <c r="H92" s="19">
        <f>IF(OR($D92="",$C92=""),"",_xlfn.LET(_xlpm.dn,IFERROR(_xlfn.XLOOKUP($C92,nrCDdate,nrCDnum),""),IF(_xlpm.dn="","(not a class day)",IFERROR(_xlfn.XLOOKUP(_xlpm.dn+cfgMemoDueClassDays,nrCDnum,nrCDdate),""))))</f>
        <v/>
      </c>
      <c r="I92" s="18" t="n"/>
      <c r="J92" s="19">
        <f>IF($D92="","",IF($I92&lt;&gt;"",$I92,IF(ISNUMBER($H92),$H92,"")))</f>
        <v/>
      </c>
      <c r="K92" s="18" t="n"/>
      <c r="L92" s="17">
        <f>IF($D92="","",IF($K92&lt;&gt;"","Received "&amp;TEXT($K92,"mm/dd"),IF(AND(ISNUMBER($J92),TODAY()&gt;$J92),"OVERDUE","Pending")))</f>
        <v/>
      </c>
      <c r="M92" s="16" t="n"/>
      <c r="N92" s="16" t="n"/>
    </row>
    <row r="93">
      <c r="B93" s="17">
        <f>IF($D93="","","ME"&amp;TEXT(ROW()-5,"000"))</f>
        <v/>
      </c>
      <c r="C93" s="18" t="n"/>
      <c r="D93" s="16" t="n"/>
      <c r="E93" s="17">
        <f>IF($D93="","",IFERROR(INDEX(rngCadetPIDs,MATCH($D93,rngCadetNames,0)),"?"))</f>
        <v/>
      </c>
      <c r="F93" s="16" t="n"/>
      <c r="G93" s="16" t="n"/>
      <c r="H93" s="19">
        <f>IF(OR($D93="",$C93=""),"",_xlfn.LET(_xlpm.dn,IFERROR(_xlfn.XLOOKUP($C93,nrCDdate,nrCDnum),""),IF(_xlpm.dn="","(not a class day)",IFERROR(_xlfn.XLOOKUP(_xlpm.dn+cfgMemoDueClassDays,nrCDnum,nrCDdate),""))))</f>
        <v/>
      </c>
      <c r="I93" s="18" t="n"/>
      <c r="J93" s="19">
        <f>IF($D93="","",IF($I93&lt;&gt;"",$I93,IF(ISNUMBER($H93),$H93,"")))</f>
        <v/>
      </c>
      <c r="K93" s="18" t="n"/>
      <c r="L93" s="17">
        <f>IF($D93="","",IF($K93&lt;&gt;"","Received "&amp;TEXT($K93,"mm/dd"),IF(AND(ISNUMBER($J93),TODAY()&gt;$J93),"OVERDUE","Pending")))</f>
        <v/>
      </c>
      <c r="M93" s="16" t="n"/>
      <c r="N93" s="16" t="n"/>
    </row>
    <row r="94">
      <c r="B94" s="17">
        <f>IF($D94="","","ME"&amp;TEXT(ROW()-5,"000"))</f>
        <v/>
      </c>
      <c r="C94" s="18" t="n"/>
      <c r="D94" s="16" t="n"/>
      <c r="E94" s="17">
        <f>IF($D94="","",IFERROR(INDEX(rngCadetPIDs,MATCH($D94,rngCadetNames,0)),"?"))</f>
        <v/>
      </c>
      <c r="F94" s="16" t="n"/>
      <c r="G94" s="16" t="n"/>
      <c r="H94" s="19">
        <f>IF(OR($D94="",$C94=""),"",_xlfn.LET(_xlpm.dn,IFERROR(_xlfn.XLOOKUP($C94,nrCDdate,nrCDnum),""),IF(_xlpm.dn="","(not a class day)",IFERROR(_xlfn.XLOOKUP(_xlpm.dn+cfgMemoDueClassDays,nrCDnum,nrCDdate),""))))</f>
        <v/>
      </c>
      <c r="I94" s="18" t="n"/>
      <c r="J94" s="19">
        <f>IF($D94="","",IF($I94&lt;&gt;"",$I94,IF(ISNUMBER($H94),$H94,"")))</f>
        <v/>
      </c>
      <c r="K94" s="18" t="n"/>
      <c r="L94" s="17">
        <f>IF($D94="","",IF($K94&lt;&gt;"","Received "&amp;TEXT($K94,"mm/dd"),IF(AND(ISNUMBER($J94),TODAY()&gt;$J94),"OVERDUE","Pending")))</f>
        <v/>
      </c>
      <c r="M94" s="16" t="n"/>
      <c r="N94" s="16" t="n"/>
    </row>
    <row r="95">
      <c r="B95" s="17">
        <f>IF($D95="","","ME"&amp;TEXT(ROW()-5,"000"))</f>
        <v/>
      </c>
      <c r="C95" s="18" t="n"/>
      <c r="D95" s="16" t="n"/>
      <c r="E95" s="17">
        <f>IF($D95="","",IFERROR(INDEX(rngCadetPIDs,MATCH($D95,rngCadetNames,0)),"?"))</f>
        <v/>
      </c>
      <c r="F95" s="16" t="n"/>
      <c r="G95" s="16" t="n"/>
      <c r="H95" s="19">
        <f>IF(OR($D95="",$C95=""),"",_xlfn.LET(_xlpm.dn,IFERROR(_xlfn.XLOOKUP($C95,nrCDdate,nrCDnum),""),IF(_xlpm.dn="","(not a class day)",IFERROR(_xlfn.XLOOKUP(_xlpm.dn+cfgMemoDueClassDays,nrCDnum,nrCDdate),""))))</f>
        <v/>
      </c>
      <c r="I95" s="18" t="n"/>
      <c r="J95" s="19">
        <f>IF($D95="","",IF($I95&lt;&gt;"",$I95,IF(ISNUMBER($H95),$H95,"")))</f>
        <v/>
      </c>
      <c r="K95" s="18" t="n"/>
      <c r="L95" s="17">
        <f>IF($D95="","",IF($K95&lt;&gt;"","Received "&amp;TEXT($K95,"mm/dd"),IF(AND(ISNUMBER($J95),TODAY()&gt;$J95),"OVERDUE","Pending")))</f>
        <v/>
      </c>
      <c r="M95" s="16" t="n"/>
      <c r="N95" s="16" t="n"/>
    </row>
    <row r="96">
      <c r="B96" s="17">
        <f>IF($D96="","","ME"&amp;TEXT(ROW()-5,"000"))</f>
        <v/>
      </c>
      <c r="C96" s="18" t="n"/>
      <c r="D96" s="16" t="n"/>
      <c r="E96" s="17">
        <f>IF($D96="","",IFERROR(INDEX(rngCadetPIDs,MATCH($D96,rngCadetNames,0)),"?"))</f>
        <v/>
      </c>
      <c r="F96" s="16" t="n"/>
      <c r="G96" s="16" t="n"/>
      <c r="H96" s="19">
        <f>IF(OR($D96="",$C96=""),"",_xlfn.LET(_xlpm.dn,IFERROR(_xlfn.XLOOKUP($C96,nrCDdate,nrCDnum),""),IF(_xlpm.dn="","(not a class day)",IFERROR(_xlfn.XLOOKUP(_xlpm.dn+cfgMemoDueClassDays,nrCDnum,nrCDdate),""))))</f>
        <v/>
      </c>
      <c r="I96" s="18" t="n"/>
      <c r="J96" s="19">
        <f>IF($D96="","",IF($I96&lt;&gt;"",$I96,IF(ISNUMBER($H96),$H96,"")))</f>
        <v/>
      </c>
      <c r="K96" s="18" t="n"/>
      <c r="L96" s="17">
        <f>IF($D96="","",IF($K96&lt;&gt;"","Received "&amp;TEXT($K96,"mm/dd"),IF(AND(ISNUMBER($J96),TODAY()&gt;$J96),"OVERDUE","Pending")))</f>
        <v/>
      </c>
      <c r="M96" s="16" t="n"/>
      <c r="N96" s="16" t="n"/>
    </row>
    <row r="97">
      <c r="B97" s="17">
        <f>IF($D97="","","ME"&amp;TEXT(ROW()-5,"000"))</f>
        <v/>
      </c>
      <c r="C97" s="18" t="n"/>
      <c r="D97" s="16" t="n"/>
      <c r="E97" s="17">
        <f>IF($D97="","",IFERROR(INDEX(rngCadetPIDs,MATCH($D97,rngCadetNames,0)),"?"))</f>
        <v/>
      </c>
      <c r="F97" s="16" t="n"/>
      <c r="G97" s="16" t="n"/>
      <c r="H97" s="19">
        <f>IF(OR($D97="",$C97=""),"",_xlfn.LET(_xlpm.dn,IFERROR(_xlfn.XLOOKUP($C97,nrCDdate,nrCDnum),""),IF(_xlpm.dn="","(not a class day)",IFERROR(_xlfn.XLOOKUP(_xlpm.dn+cfgMemoDueClassDays,nrCDnum,nrCDdate),""))))</f>
        <v/>
      </c>
      <c r="I97" s="18" t="n"/>
      <c r="J97" s="19">
        <f>IF($D97="","",IF($I97&lt;&gt;"",$I97,IF(ISNUMBER($H97),$H97,"")))</f>
        <v/>
      </c>
      <c r="K97" s="18" t="n"/>
      <c r="L97" s="17">
        <f>IF($D97="","",IF($K97&lt;&gt;"","Received "&amp;TEXT($K97,"mm/dd"),IF(AND(ISNUMBER($J97),TODAY()&gt;$J97),"OVERDUE","Pending")))</f>
        <v/>
      </c>
      <c r="M97" s="16" t="n"/>
      <c r="N97" s="16" t="n"/>
    </row>
    <row r="98">
      <c r="B98" s="17">
        <f>IF($D98="","","ME"&amp;TEXT(ROW()-5,"000"))</f>
        <v/>
      </c>
      <c r="C98" s="18" t="n"/>
      <c r="D98" s="16" t="n"/>
      <c r="E98" s="17">
        <f>IF($D98="","",IFERROR(INDEX(rngCadetPIDs,MATCH($D98,rngCadetNames,0)),"?"))</f>
        <v/>
      </c>
      <c r="F98" s="16" t="n"/>
      <c r="G98" s="16" t="n"/>
      <c r="H98" s="19">
        <f>IF(OR($D98="",$C98=""),"",_xlfn.LET(_xlpm.dn,IFERROR(_xlfn.XLOOKUP($C98,nrCDdate,nrCDnum),""),IF(_xlpm.dn="","(not a class day)",IFERROR(_xlfn.XLOOKUP(_xlpm.dn+cfgMemoDueClassDays,nrCDnum,nrCDdate),""))))</f>
        <v/>
      </c>
      <c r="I98" s="18" t="n"/>
      <c r="J98" s="19">
        <f>IF($D98="","",IF($I98&lt;&gt;"",$I98,IF(ISNUMBER($H98),$H98,"")))</f>
        <v/>
      </c>
      <c r="K98" s="18" t="n"/>
      <c r="L98" s="17">
        <f>IF($D98="","",IF($K98&lt;&gt;"","Received "&amp;TEXT($K98,"mm/dd"),IF(AND(ISNUMBER($J98),TODAY()&gt;$J98),"OVERDUE","Pending")))</f>
        <v/>
      </c>
      <c r="M98" s="16" t="n"/>
      <c r="N98" s="16" t="n"/>
    </row>
    <row r="99">
      <c r="B99" s="17">
        <f>IF($D99="","","ME"&amp;TEXT(ROW()-5,"000"))</f>
        <v/>
      </c>
      <c r="C99" s="18" t="n"/>
      <c r="D99" s="16" t="n"/>
      <c r="E99" s="17">
        <f>IF($D99="","",IFERROR(INDEX(rngCadetPIDs,MATCH($D99,rngCadetNames,0)),"?"))</f>
        <v/>
      </c>
      <c r="F99" s="16" t="n"/>
      <c r="G99" s="16" t="n"/>
      <c r="H99" s="19">
        <f>IF(OR($D99="",$C99=""),"",_xlfn.LET(_xlpm.dn,IFERROR(_xlfn.XLOOKUP($C99,nrCDdate,nrCDnum),""),IF(_xlpm.dn="","(not a class day)",IFERROR(_xlfn.XLOOKUP(_xlpm.dn+cfgMemoDueClassDays,nrCDnum,nrCDdate),""))))</f>
        <v/>
      </c>
      <c r="I99" s="18" t="n"/>
      <c r="J99" s="19">
        <f>IF($D99="","",IF($I99&lt;&gt;"",$I99,IF(ISNUMBER($H99),$H99,"")))</f>
        <v/>
      </c>
      <c r="K99" s="18" t="n"/>
      <c r="L99" s="17">
        <f>IF($D99="","",IF($K99&lt;&gt;"","Received "&amp;TEXT($K99,"mm/dd"),IF(AND(ISNUMBER($J99),TODAY()&gt;$J99),"OVERDUE","Pending")))</f>
        <v/>
      </c>
      <c r="M99" s="16" t="n"/>
      <c r="N99" s="16" t="n"/>
    </row>
    <row r="100">
      <c r="B100" s="17">
        <f>IF($D100="","","ME"&amp;TEXT(ROW()-5,"000"))</f>
        <v/>
      </c>
      <c r="C100" s="18" t="n"/>
      <c r="D100" s="16" t="n"/>
      <c r="E100" s="17">
        <f>IF($D100="","",IFERROR(INDEX(rngCadetPIDs,MATCH($D100,rngCadetNames,0)),"?"))</f>
        <v/>
      </c>
      <c r="F100" s="16" t="n"/>
      <c r="G100" s="16" t="n"/>
      <c r="H100" s="19">
        <f>IF(OR($D100="",$C100=""),"",_xlfn.LET(_xlpm.dn,IFERROR(_xlfn.XLOOKUP($C100,nrCDdate,nrCDnum),""),IF(_xlpm.dn="","(not a class day)",IFERROR(_xlfn.XLOOKUP(_xlpm.dn+cfgMemoDueClassDays,nrCDnum,nrCDdate),""))))</f>
        <v/>
      </c>
      <c r="I100" s="18" t="n"/>
      <c r="J100" s="19">
        <f>IF($D100="","",IF($I100&lt;&gt;"",$I100,IF(ISNUMBER($H100),$H100,"")))</f>
        <v/>
      </c>
      <c r="K100" s="18" t="n"/>
      <c r="L100" s="17">
        <f>IF($D100="","",IF($K100&lt;&gt;"","Received "&amp;TEXT($K100,"mm/dd"),IF(AND(ISNUMBER($J100),TODAY()&gt;$J100),"OVERDUE","Pending")))</f>
        <v/>
      </c>
      <c r="M100" s="16" t="n"/>
      <c r="N100" s="16" t="n"/>
    </row>
    <row r="101">
      <c r="B101" s="17">
        <f>IF($D101="","","ME"&amp;TEXT(ROW()-5,"000"))</f>
        <v/>
      </c>
      <c r="C101" s="18" t="n"/>
      <c r="D101" s="16" t="n"/>
      <c r="E101" s="17">
        <f>IF($D101="","",IFERROR(INDEX(rngCadetPIDs,MATCH($D101,rngCadetNames,0)),"?"))</f>
        <v/>
      </c>
      <c r="F101" s="16" t="n"/>
      <c r="G101" s="16" t="n"/>
      <c r="H101" s="19">
        <f>IF(OR($D101="",$C101=""),"",_xlfn.LET(_xlpm.dn,IFERROR(_xlfn.XLOOKUP($C101,nrCDdate,nrCDnum),""),IF(_xlpm.dn="","(not a class day)",IFERROR(_xlfn.XLOOKUP(_xlpm.dn+cfgMemoDueClassDays,nrCDnum,nrCDdate),""))))</f>
        <v/>
      </c>
      <c r="I101" s="18" t="n"/>
      <c r="J101" s="19">
        <f>IF($D101="","",IF($I101&lt;&gt;"",$I101,IF(ISNUMBER($H101),$H101,"")))</f>
        <v/>
      </c>
      <c r="K101" s="18" t="n"/>
      <c r="L101" s="17">
        <f>IF($D101="","",IF($K101&lt;&gt;"","Received "&amp;TEXT($K101,"mm/dd"),IF(AND(ISNUMBER($J101),TODAY()&gt;$J101),"OVERDUE","Pending")))</f>
        <v/>
      </c>
      <c r="M101" s="16" t="n"/>
      <c r="N101" s="16" t="n"/>
    </row>
    <row r="102">
      <c r="B102" s="17">
        <f>IF($D102="","","ME"&amp;TEXT(ROW()-5,"000"))</f>
        <v/>
      </c>
      <c r="C102" s="18" t="n"/>
      <c r="D102" s="16" t="n"/>
      <c r="E102" s="17">
        <f>IF($D102="","",IFERROR(INDEX(rngCadetPIDs,MATCH($D102,rngCadetNames,0)),"?"))</f>
        <v/>
      </c>
      <c r="F102" s="16" t="n"/>
      <c r="G102" s="16" t="n"/>
      <c r="H102" s="19">
        <f>IF(OR($D102="",$C102=""),"",_xlfn.LET(_xlpm.dn,IFERROR(_xlfn.XLOOKUP($C102,nrCDdate,nrCDnum),""),IF(_xlpm.dn="","(not a class day)",IFERROR(_xlfn.XLOOKUP(_xlpm.dn+cfgMemoDueClassDays,nrCDnum,nrCDdate),""))))</f>
        <v/>
      </c>
      <c r="I102" s="18" t="n"/>
      <c r="J102" s="19">
        <f>IF($D102="","",IF($I102&lt;&gt;"",$I102,IF(ISNUMBER($H102),$H102,"")))</f>
        <v/>
      </c>
      <c r="K102" s="18" t="n"/>
      <c r="L102" s="17">
        <f>IF($D102="","",IF($K102&lt;&gt;"","Received "&amp;TEXT($K102,"mm/dd"),IF(AND(ISNUMBER($J102),TODAY()&gt;$J102),"OVERDUE","Pending")))</f>
        <v/>
      </c>
      <c r="M102" s="16" t="n"/>
      <c r="N102" s="16" t="n"/>
    </row>
    <row r="103">
      <c r="B103" s="17">
        <f>IF($D103="","","ME"&amp;TEXT(ROW()-5,"000"))</f>
        <v/>
      </c>
      <c r="C103" s="18" t="n"/>
      <c r="D103" s="16" t="n"/>
      <c r="E103" s="17">
        <f>IF($D103="","",IFERROR(INDEX(rngCadetPIDs,MATCH($D103,rngCadetNames,0)),"?"))</f>
        <v/>
      </c>
      <c r="F103" s="16" t="n"/>
      <c r="G103" s="16" t="n"/>
      <c r="H103" s="19">
        <f>IF(OR($D103="",$C103=""),"",_xlfn.LET(_xlpm.dn,IFERROR(_xlfn.XLOOKUP($C103,nrCDdate,nrCDnum),""),IF(_xlpm.dn="","(not a class day)",IFERROR(_xlfn.XLOOKUP(_xlpm.dn+cfgMemoDueClassDays,nrCDnum,nrCDdate),""))))</f>
        <v/>
      </c>
      <c r="I103" s="18" t="n"/>
      <c r="J103" s="19">
        <f>IF($D103="","",IF($I103&lt;&gt;"",$I103,IF(ISNUMBER($H103),$H103,"")))</f>
        <v/>
      </c>
      <c r="K103" s="18" t="n"/>
      <c r="L103" s="17">
        <f>IF($D103="","",IF($K103&lt;&gt;"","Received "&amp;TEXT($K103,"mm/dd"),IF(AND(ISNUMBER($J103),TODAY()&gt;$J103),"OVERDUE","Pending")))</f>
        <v/>
      </c>
      <c r="M103" s="16" t="n"/>
      <c r="N103" s="16" t="n"/>
    </row>
    <row r="104">
      <c r="B104" s="17">
        <f>IF($D104="","","ME"&amp;TEXT(ROW()-5,"000"))</f>
        <v/>
      </c>
      <c r="C104" s="18" t="n"/>
      <c r="D104" s="16" t="n"/>
      <c r="E104" s="17">
        <f>IF($D104="","",IFERROR(INDEX(rngCadetPIDs,MATCH($D104,rngCadetNames,0)),"?"))</f>
        <v/>
      </c>
      <c r="F104" s="16" t="n"/>
      <c r="G104" s="16" t="n"/>
      <c r="H104" s="19">
        <f>IF(OR($D104="",$C104=""),"",_xlfn.LET(_xlpm.dn,IFERROR(_xlfn.XLOOKUP($C104,nrCDdate,nrCDnum),""),IF(_xlpm.dn="","(not a class day)",IFERROR(_xlfn.XLOOKUP(_xlpm.dn+cfgMemoDueClassDays,nrCDnum,nrCDdate),""))))</f>
        <v/>
      </c>
      <c r="I104" s="18" t="n"/>
      <c r="J104" s="19">
        <f>IF($D104="","",IF($I104&lt;&gt;"",$I104,IF(ISNUMBER($H104),$H104,"")))</f>
        <v/>
      </c>
      <c r="K104" s="18" t="n"/>
      <c r="L104" s="17">
        <f>IF($D104="","",IF($K104&lt;&gt;"","Received "&amp;TEXT($K104,"mm/dd"),IF(AND(ISNUMBER($J104),TODAY()&gt;$J104),"OVERDUE","Pending")))</f>
        <v/>
      </c>
      <c r="M104" s="16" t="n"/>
      <c r="N104" s="16" t="n"/>
    </row>
    <row r="105">
      <c r="B105" s="17">
        <f>IF($D105="","","ME"&amp;TEXT(ROW()-5,"000"))</f>
        <v/>
      </c>
      <c r="C105" s="18" t="n"/>
      <c r="D105" s="16" t="n"/>
      <c r="E105" s="17">
        <f>IF($D105="","",IFERROR(INDEX(rngCadetPIDs,MATCH($D105,rngCadetNames,0)),"?"))</f>
        <v/>
      </c>
      <c r="F105" s="16" t="n"/>
      <c r="G105" s="16" t="n"/>
      <c r="H105" s="19">
        <f>IF(OR($D105="",$C105=""),"",_xlfn.LET(_xlpm.dn,IFERROR(_xlfn.XLOOKUP($C105,nrCDdate,nrCDnum),""),IF(_xlpm.dn="","(not a class day)",IFERROR(_xlfn.XLOOKUP(_xlpm.dn+cfgMemoDueClassDays,nrCDnum,nrCDdate),""))))</f>
        <v/>
      </c>
      <c r="I105" s="18" t="n"/>
      <c r="J105" s="19">
        <f>IF($D105="","",IF($I105&lt;&gt;"",$I105,IF(ISNUMBER($H105),$H105,"")))</f>
        <v/>
      </c>
      <c r="K105" s="18" t="n"/>
      <c r="L105" s="17">
        <f>IF($D105="","",IF($K105&lt;&gt;"","Received "&amp;TEXT($K105,"mm/dd"),IF(AND(ISNUMBER($J105),TODAY()&gt;$J105),"OVERDUE","Pending")))</f>
        <v/>
      </c>
      <c r="M105" s="16" t="n"/>
      <c r="N105" s="16" t="n"/>
    </row>
    <row r="106">
      <c r="B106" s="17">
        <f>IF($D106="","","ME"&amp;TEXT(ROW()-5,"000"))</f>
        <v/>
      </c>
      <c r="C106" s="18" t="n"/>
      <c r="D106" s="16" t="n"/>
      <c r="E106" s="17">
        <f>IF($D106="","",IFERROR(INDEX(rngCadetPIDs,MATCH($D106,rngCadetNames,0)),"?"))</f>
        <v/>
      </c>
      <c r="F106" s="16" t="n"/>
      <c r="G106" s="16" t="n"/>
      <c r="H106" s="19">
        <f>IF(OR($D106="",$C106=""),"",_xlfn.LET(_xlpm.dn,IFERROR(_xlfn.XLOOKUP($C106,nrCDdate,nrCDnum),""),IF(_xlpm.dn="","(not a class day)",IFERROR(_xlfn.XLOOKUP(_xlpm.dn+cfgMemoDueClassDays,nrCDnum,nrCDdate),""))))</f>
        <v/>
      </c>
      <c r="I106" s="18" t="n"/>
      <c r="J106" s="19">
        <f>IF($D106="","",IF($I106&lt;&gt;"",$I106,IF(ISNUMBER($H106),$H106,"")))</f>
        <v/>
      </c>
      <c r="K106" s="18" t="n"/>
      <c r="L106" s="17">
        <f>IF($D106="","",IF($K106&lt;&gt;"","Received "&amp;TEXT($K106,"mm/dd"),IF(AND(ISNUMBER($J106),TODAY()&gt;$J106),"OVERDUE","Pending")))</f>
        <v/>
      </c>
      <c r="M106" s="16" t="n"/>
      <c r="N106" s="16" t="n"/>
    </row>
    <row r="107">
      <c r="B107" s="17">
        <f>IF($D107="","","ME"&amp;TEXT(ROW()-5,"000"))</f>
        <v/>
      </c>
      <c r="C107" s="18" t="n"/>
      <c r="D107" s="16" t="n"/>
      <c r="E107" s="17">
        <f>IF($D107="","",IFERROR(INDEX(rngCadetPIDs,MATCH($D107,rngCadetNames,0)),"?"))</f>
        <v/>
      </c>
      <c r="F107" s="16" t="n"/>
      <c r="G107" s="16" t="n"/>
      <c r="H107" s="19">
        <f>IF(OR($D107="",$C107=""),"",_xlfn.LET(_xlpm.dn,IFERROR(_xlfn.XLOOKUP($C107,nrCDdate,nrCDnum),""),IF(_xlpm.dn="","(not a class day)",IFERROR(_xlfn.XLOOKUP(_xlpm.dn+cfgMemoDueClassDays,nrCDnum,nrCDdate),""))))</f>
        <v/>
      </c>
      <c r="I107" s="18" t="n"/>
      <c r="J107" s="19">
        <f>IF($D107="","",IF($I107&lt;&gt;"",$I107,IF(ISNUMBER($H107),$H107,"")))</f>
        <v/>
      </c>
      <c r="K107" s="18" t="n"/>
      <c r="L107" s="17">
        <f>IF($D107="","",IF($K107&lt;&gt;"","Received "&amp;TEXT($K107,"mm/dd"),IF(AND(ISNUMBER($J107),TODAY()&gt;$J107),"OVERDUE","Pending")))</f>
        <v/>
      </c>
      <c r="M107" s="16" t="n"/>
      <c r="N107" s="16" t="n"/>
    </row>
    <row r="108">
      <c r="B108" s="17">
        <f>IF($D108="","","ME"&amp;TEXT(ROW()-5,"000"))</f>
        <v/>
      </c>
      <c r="C108" s="18" t="n"/>
      <c r="D108" s="16" t="n"/>
      <c r="E108" s="17">
        <f>IF($D108="","",IFERROR(INDEX(rngCadetPIDs,MATCH($D108,rngCadetNames,0)),"?"))</f>
        <v/>
      </c>
      <c r="F108" s="16" t="n"/>
      <c r="G108" s="16" t="n"/>
      <c r="H108" s="19">
        <f>IF(OR($D108="",$C108=""),"",_xlfn.LET(_xlpm.dn,IFERROR(_xlfn.XLOOKUP($C108,nrCDdate,nrCDnum),""),IF(_xlpm.dn="","(not a class day)",IFERROR(_xlfn.XLOOKUP(_xlpm.dn+cfgMemoDueClassDays,nrCDnum,nrCDdate),""))))</f>
        <v/>
      </c>
      <c r="I108" s="18" t="n"/>
      <c r="J108" s="19">
        <f>IF($D108="","",IF($I108&lt;&gt;"",$I108,IF(ISNUMBER($H108),$H108,"")))</f>
        <v/>
      </c>
      <c r="K108" s="18" t="n"/>
      <c r="L108" s="17">
        <f>IF($D108="","",IF($K108&lt;&gt;"","Received "&amp;TEXT($K108,"mm/dd"),IF(AND(ISNUMBER($J108),TODAY()&gt;$J108),"OVERDUE","Pending")))</f>
        <v/>
      </c>
      <c r="M108" s="16" t="n"/>
      <c r="N108" s="16" t="n"/>
    </row>
    <row r="109">
      <c r="B109" s="17">
        <f>IF($D109="","","ME"&amp;TEXT(ROW()-5,"000"))</f>
        <v/>
      </c>
      <c r="C109" s="18" t="n"/>
      <c r="D109" s="16" t="n"/>
      <c r="E109" s="17">
        <f>IF($D109="","",IFERROR(INDEX(rngCadetPIDs,MATCH($D109,rngCadetNames,0)),"?"))</f>
        <v/>
      </c>
      <c r="F109" s="16" t="n"/>
      <c r="G109" s="16" t="n"/>
      <c r="H109" s="19">
        <f>IF(OR($D109="",$C109=""),"",_xlfn.LET(_xlpm.dn,IFERROR(_xlfn.XLOOKUP($C109,nrCDdate,nrCDnum),""),IF(_xlpm.dn="","(not a class day)",IFERROR(_xlfn.XLOOKUP(_xlpm.dn+cfgMemoDueClassDays,nrCDnum,nrCDdate),""))))</f>
        <v/>
      </c>
      <c r="I109" s="18" t="n"/>
      <c r="J109" s="19">
        <f>IF($D109="","",IF($I109&lt;&gt;"",$I109,IF(ISNUMBER($H109),$H109,"")))</f>
        <v/>
      </c>
      <c r="K109" s="18" t="n"/>
      <c r="L109" s="17">
        <f>IF($D109="","",IF($K109&lt;&gt;"","Received "&amp;TEXT($K109,"mm/dd"),IF(AND(ISNUMBER($J109),TODAY()&gt;$J109),"OVERDUE","Pending")))</f>
        <v/>
      </c>
      <c r="M109" s="16" t="n"/>
      <c r="N109" s="16" t="n"/>
    </row>
    <row r="110">
      <c r="B110" s="17">
        <f>IF($D110="","","ME"&amp;TEXT(ROW()-5,"000"))</f>
        <v/>
      </c>
      <c r="C110" s="18" t="n"/>
      <c r="D110" s="16" t="n"/>
      <c r="E110" s="17">
        <f>IF($D110="","",IFERROR(INDEX(rngCadetPIDs,MATCH($D110,rngCadetNames,0)),"?"))</f>
        <v/>
      </c>
      <c r="F110" s="16" t="n"/>
      <c r="G110" s="16" t="n"/>
      <c r="H110" s="19">
        <f>IF(OR($D110="",$C110=""),"",_xlfn.LET(_xlpm.dn,IFERROR(_xlfn.XLOOKUP($C110,nrCDdate,nrCDnum),""),IF(_xlpm.dn="","(not a class day)",IFERROR(_xlfn.XLOOKUP(_xlpm.dn+cfgMemoDueClassDays,nrCDnum,nrCDdate),""))))</f>
        <v/>
      </c>
      <c r="I110" s="18" t="n"/>
      <c r="J110" s="19">
        <f>IF($D110="","",IF($I110&lt;&gt;"",$I110,IF(ISNUMBER($H110),$H110,"")))</f>
        <v/>
      </c>
      <c r="K110" s="18" t="n"/>
      <c r="L110" s="17">
        <f>IF($D110="","",IF($K110&lt;&gt;"","Received "&amp;TEXT($K110,"mm/dd"),IF(AND(ISNUMBER($J110),TODAY()&gt;$J110),"OVERDUE","Pending")))</f>
        <v/>
      </c>
      <c r="M110" s="16" t="n"/>
      <c r="N110" s="16" t="n"/>
    </row>
    <row r="111">
      <c r="B111" s="17">
        <f>IF($D111="","","ME"&amp;TEXT(ROW()-5,"000"))</f>
        <v/>
      </c>
      <c r="C111" s="18" t="n"/>
      <c r="D111" s="16" t="n"/>
      <c r="E111" s="17">
        <f>IF($D111="","",IFERROR(INDEX(rngCadetPIDs,MATCH($D111,rngCadetNames,0)),"?"))</f>
        <v/>
      </c>
      <c r="F111" s="16" t="n"/>
      <c r="G111" s="16" t="n"/>
      <c r="H111" s="19">
        <f>IF(OR($D111="",$C111=""),"",_xlfn.LET(_xlpm.dn,IFERROR(_xlfn.XLOOKUP($C111,nrCDdate,nrCDnum),""),IF(_xlpm.dn="","(not a class day)",IFERROR(_xlfn.XLOOKUP(_xlpm.dn+cfgMemoDueClassDays,nrCDnum,nrCDdate),""))))</f>
        <v/>
      </c>
      <c r="I111" s="18" t="n"/>
      <c r="J111" s="19">
        <f>IF($D111="","",IF($I111&lt;&gt;"",$I111,IF(ISNUMBER($H111),$H111,"")))</f>
        <v/>
      </c>
      <c r="K111" s="18" t="n"/>
      <c r="L111" s="17">
        <f>IF($D111="","",IF($K111&lt;&gt;"","Received "&amp;TEXT($K111,"mm/dd"),IF(AND(ISNUMBER($J111),TODAY()&gt;$J111),"OVERDUE","Pending")))</f>
        <v/>
      </c>
      <c r="M111" s="16" t="n"/>
      <c r="N111" s="16" t="n"/>
    </row>
    <row r="112">
      <c r="B112" s="17">
        <f>IF($D112="","","ME"&amp;TEXT(ROW()-5,"000"))</f>
        <v/>
      </c>
      <c r="C112" s="18" t="n"/>
      <c r="D112" s="16" t="n"/>
      <c r="E112" s="17">
        <f>IF($D112="","",IFERROR(INDEX(rngCadetPIDs,MATCH($D112,rngCadetNames,0)),"?"))</f>
        <v/>
      </c>
      <c r="F112" s="16" t="n"/>
      <c r="G112" s="16" t="n"/>
      <c r="H112" s="19">
        <f>IF(OR($D112="",$C112=""),"",_xlfn.LET(_xlpm.dn,IFERROR(_xlfn.XLOOKUP($C112,nrCDdate,nrCDnum),""),IF(_xlpm.dn="","(not a class day)",IFERROR(_xlfn.XLOOKUP(_xlpm.dn+cfgMemoDueClassDays,nrCDnum,nrCDdate),""))))</f>
        <v/>
      </c>
      <c r="I112" s="18" t="n"/>
      <c r="J112" s="19">
        <f>IF($D112="","",IF($I112&lt;&gt;"",$I112,IF(ISNUMBER($H112),$H112,"")))</f>
        <v/>
      </c>
      <c r="K112" s="18" t="n"/>
      <c r="L112" s="17">
        <f>IF($D112="","",IF($K112&lt;&gt;"","Received "&amp;TEXT($K112,"mm/dd"),IF(AND(ISNUMBER($J112),TODAY()&gt;$J112),"OVERDUE","Pending")))</f>
        <v/>
      </c>
      <c r="M112" s="16" t="n"/>
      <c r="N112" s="16" t="n"/>
    </row>
    <row r="113">
      <c r="B113" s="17">
        <f>IF($D113="","","ME"&amp;TEXT(ROW()-5,"000"))</f>
        <v/>
      </c>
      <c r="C113" s="18" t="n"/>
      <c r="D113" s="16" t="n"/>
      <c r="E113" s="17">
        <f>IF($D113="","",IFERROR(INDEX(rngCadetPIDs,MATCH($D113,rngCadetNames,0)),"?"))</f>
        <v/>
      </c>
      <c r="F113" s="16" t="n"/>
      <c r="G113" s="16" t="n"/>
      <c r="H113" s="19">
        <f>IF(OR($D113="",$C113=""),"",_xlfn.LET(_xlpm.dn,IFERROR(_xlfn.XLOOKUP($C113,nrCDdate,nrCDnum),""),IF(_xlpm.dn="","(not a class day)",IFERROR(_xlfn.XLOOKUP(_xlpm.dn+cfgMemoDueClassDays,nrCDnum,nrCDdate),""))))</f>
        <v/>
      </c>
      <c r="I113" s="18" t="n"/>
      <c r="J113" s="19">
        <f>IF($D113="","",IF($I113&lt;&gt;"",$I113,IF(ISNUMBER($H113),$H113,"")))</f>
        <v/>
      </c>
      <c r="K113" s="18" t="n"/>
      <c r="L113" s="17">
        <f>IF($D113="","",IF($K113&lt;&gt;"","Received "&amp;TEXT($K113,"mm/dd"),IF(AND(ISNUMBER($J113),TODAY()&gt;$J113),"OVERDUE","Pending")))</f>
        <v/>
      </c>
      <c r="M113" s="16" t="n"/>
      <c r="N113" s="16" t="n"/>
    </row>
    <row r="114">
      <c r="B114" s="17">
        <f>IF($D114="","","ME"&amp;TEXT(ROW()-5,"000"))</f>
        <v/>
      </c>
      <c r="C114" s="18" t="n"/>
      <c r="D114" s="16" t="n"/>
      <c r="E114" s="17">
        <f>IF($D114="","",IFERROR(INDEX(rngCadetPIDs,MATCH($D114,rngCadetNames,0)),"?"))</f>
        <v/>
      </c>
      <c r="F114" s="16" t="n"/>
      <c r="G114" s="16" t="n"/>
      <c r="H114" s="19">
        <f>IF(OR($D114="",$C114=""),"",_xlfn.LET(_xlpm.dn,IFERROR(_xlfn.XLOOKUP($C114,nrCDdate,nrCDnum),""),IF(_xlpm.dn="","(not a class day)",IFERROR(_xlfn.XLOOKUP(_xlpm.dn+cfgMemoDueClassDays,nrCDnum,nrCDdate),""))))</f>
        <v/>
      </c>
      <c r="I114" s="18" t="n"/>
      <c r="J114" s="19">
        <f>IF($D114="","",IF($I114&lt;&gt;"",$I114,IF(ISNUMBER($H114),$H114,"")))</f>
        <v/>
      </c>
      <c r="K114" s="18" t="n"/>
      <c r="L114" s="17">
        <f>IF($D114="","",IF($K114&lt;&gt;"","Received "&amp;TEXT($K114,"mm/dd"),IF(AND(ISNUMBER($J114),TODAY()&gt;$J114),"OVERDUE","Pending")))</f>
        <v/>
      </c>
      <c r="M114" s="16" t="n"/>
      <c r="N114" s="16" t="n"/>
    </row>
    <row r="115">
      <c r="B115" s="17">
        <f>IF($D115="","","ME"&amp;TEXT(ROW()-5,"000"))</f>
        <v/>
      </c>
      <c r="C115" s="18" t="n"/>
      <c r="D115" s="16" t="n"/>
      <c r="E115" s="17">
        <f>IF($D115="","",IFERROR(INDEX(rngCadetPIDs,MATCH($D115,rngCadetNames,0)),"?"))</f>
        <v/>
      </c>
      <c r="F115" s="16" t="n"/>
      <c r="G115" s="16" t="n"/>
      <c r="H115" s="19">
        <f>IF(OR($D115="",$C115=""),"",_xlfn.LET(_xlpm.dn,IFERROR(_xlfn.XLOOKUP($C115,nrCDdate,nrCDnum),""),IF(_xlpm.dn="","(not a class day)",IFERROR(_xlfn.XLOOKUP(_xlpm.dn+cfgMemoDueClassDays,nrCDnum,nrCDdate),""))))</f>
        <v/>
      </c>
      <c r="I115" s="18" t="n"/>
      <c r="J115" s="19">
        <f>IF($D115="","",IF($I115&lt;&gt;"",$I115,IF(ISNUMBER($H115),$H115,"")))</f>
        <v/>
      </c>
      <c r="K115" s="18" t="n"/>
      <c r="L115" s="17">
        <f>IF($D115="","",IF($K115&lt;&gt;"","Received "&amp;TEXT($K115,"mm/dd"),IF(AND(ISNUMBER($J115),TODAY()&gt;$J115),"OVERDUE","Pending")))</f>
        <v/>
      </c>
      <c r="M115" s="16" t="n"/>
      <c r="N115" s="16" t="n"/>
    </row>
    <row r="116">
      <c r="B116" s="17">
        <f>IF($D116="","","ME"&amp;TEXT(ROW()-5,"000"))</f>
        <v/>
      </c>
      <c r="C116" s="18" t="n"/>
      <c r="D116" s="16" t="n"/>
      <c r="E116" s="17">
        <f>IF($D116="","",IFERROR(INDEX(rngCadetPIDs,MATCH($D116,rngCadetNames,0)),"?"))</f>
        <v/>
      </c>
      <c r="F116" s="16" t="n"/>
      <c r="G116" s="16" t="n"/>
      <c r="H116" s="19">
        <f>IF(OR($D116="",$C116=""),"",_xlfn.LET(_xlpm.dn,IFERROR(_xlfn.XLOOKUP($C116,nrCDdate,nrCDnum),""),IF(_xlpm.dn="","(not a class day)",IFERROR(_xlfn.XLOOKUP(_xlpm.dn+cfgMemoDueClassDays,nrCDnum,nrCDdate),""))))</f>
        <v/>
      </c>
      <c r="I116" s="18" t="n"/>
      <c r="J116" s="19">
        <f>IF($D116="","",IF($I116&lt;&gt;"",$I116,IF(ISNUMBER($H116),$H116,"")))</f>
        <v/>
      </c>
      <c r="K116" s="18" t="n"/>
      <c r="L116" s="17">
        <f>IF($D116="","",IF($K116&lt;&gt;"","Received "&amp;TEXT($K116,"mm/dd"),IF(AND(ISNUMBER($J116),TODAY()&gt;$J116),"OVERDUE","Pending")))</f>
        <v/>
      </c>
      <c r="M116" s="16" t="n"/>
      <c r="N116" s="16" t="n"/>
    </row>
    <row r="117">
      <c r="B117" s="17">
        <f>IF($D117="","","ME"&amp;TEXT(ROW()-5,"000"))</f>
        <v/>
      </c>
      <c r="C117" s="18" t="n"/>
      <c r="D117" s="16" t="n"/>
      <c r="E117" s="17">
        <f>IF($D117="","",IFERROR(INDEX(rngCadetPIDs,MATCH($D117,rngCadetNames,0)),"?"))</f>
        <v/>
      </c>
      <c r="F117" s="16" t="n"/>
      <c r="G117" s="16" t="n"/>
      <c r="H117" s="19">
        <f>IF(OR($D117="",$C117=""),"",_xlfn.LET(_xlpm.dn,IFERROR(_xlfn.XLOOKUP($C117,nrCDdate,nrCDnum),""),IF(_xlpm.dn="","(not a class day)",IFERROR(_xlfn.XLOOKUP(_xlpm.dn+cfgMemoDueClassDays,nrCDnum,nrCDdate),""))))</f>
        <v/>
      </c>
      <c r="I117" s="18" t="n"/>
      <c r="J117" s="19">
        <f>IF($D117="","",IF($I117&lt;&gt;"",$I117,IF(ISNUMBER($H117),$H117,"")))</f>
        <v/>
      </c>
      <c r="K117" s="18" t="n"/>
      <c r="L117" s="17">
        <f>IF($D117="","",IF($K117&lt;&gt;"","Received "&amp;TEXT($K117,"mm/dd"),IF(AND(ISNUMBER($J117),TODAY()&gt;$J117),"OVERDUE","Pending")))</f>
        <v/>
      </c>
      <c r="M117" s="16" t="n"/>
      <c r="N117" s="16" t="n"/>
    </row>
    <row r="118">
      <c r="B118" s="17">
        <f>IF($D118="","","ME"&amp;TEXT(ROW()-5,"000"))</f>
        <v/>
      </c>
      <c r="C118" s="18" t="n"/>
      <c r="D118" s="16" t="n"/>
      <c r="E118" s="17">
        <f>IF($D118="","",IFERROR(INDEX(rngCadetPIDs,MATCH($D118,rngCadetNames,0)),"?"))</f>
        <v/>
      </c>
      <c r="F118" s="16" t="n"/>
      <c r="G118" s="16" t="n"/>
      <c r="H118" s="19">
        <f>IF(OR($D118="",$C118=""),"",_xlfn.LET(_xlpm.dn,IFERROR(_xlfn.XLOOKUP($C118,nrCDdate,nrCDnum),""),IF(_xlpm.dn="","(not a class day)",IFERROR(_xlfn.XLOOKUP(_xlpm.dn+cfgMemoDueClassDays,nrCDnum,nrCDdate),""))))</f>
        <v/>
      </c>
      <c r="I118" s="18" t="n"/>
      <c r="J118" s="19">
        <f>IF($D118="","",IF($I118&lt;&gt;"",$I118,IF(ISNUMBER($H118),$H118,"")))</f>
        <v/>
      </c>
      <c r="K118" s="18" t="n"/>
      <c r="L118" s="17">
        <f>IF($D118="","",IF($K118&lt;&gt;"","Received "&amp;TEXT($K118,"mm/dd"),IF(AND(ISNUMBER($J118),TODAY()&gt;$J118),"OVERDUE","Pending")))</f>
        <v/>
      </c>
      <c r="M118" s="16" t="n"/>
      <c r="N118" s="16" t="n"/>
    </row>
    <row r="119">
      <c r="B119" s="17">
        <f>IF($D119="","","ME"&amp;TEXT(ROW()-5,"000"))</f>
        <v/>
      </c>
      <c r="C119" s="18" t="n"/>
      <c r="D119" s="16" t="n"/>
      <c r="E119" s="17">
        <f>IF($D119="","",IFERROR(INDEX(rngCadetPIDs,MATCH($D119,rngCadetNames,0)),"?"))</f>
        <v/>
      </c>
      <c r="F119" s="16" t="n"/>
      <c r="G119" s="16" t="n"/>
      <c r="H119" s="19">
        <f>IF(OR($D119="",$C119=""),"",_xlfn.LET(_xlpm.dn,IFERROR(_xlfn.XLOOKUP($C119,nrCDdate,nrCDnum),""),IF(_xlpm.dn="","(not a class day)",IFERROR(_xlfn.XLOOKUP(_xlpm.dn+cfgMemoDueClassDays,nrCDnum,nrCDdate),""))))</f>
        <v/>
      </c>
      <c r="I119" s="18" t="n"/>
      <c r="J119" s="19">
        <f>IF($D119="","",IF($I119&lt;&gt;"",$I119,IF(ISNUMBER($H119),$H119,"")))</f>
        <v/>
      </c>
      <c r="K119" s="18" t="n"/>
      <c r="L119" s="17">
        <f>IF($D119="","",IF($K119&lt;&gt;"","Received "&amp;TEXT($K119,"mm/dd"),IF(AND(ISNUMBER($J119),TODAY()&gt;$J119),"OVERDUE","Pending")))</f>
        <v/>
      </c>
      <c r="M119" s="16" t="n"/>
      <c r="N119" s="16" t="n"/>
    </row>
    <row r="120">
      <c r="B120" s="17">
        <f>IF($D120="","","ME"&amp;TEXT(ROW()-5,"000"))</f>
        <v/>
      </c>
      <c r="C120" s="18" t="n"/>
      <c r="D120" s="16" t="n"/>
      <c r="E120" s="17">
        <f>IF($D120="","",IFERROR(INDEX(rngCadetPIDs,MATCH($D120,rngCadetNames,0)),"?"))</f>
        <v/>
      </c>
      <c r="F120" s="16" t="n"/>
      <c r="G120" s="16" t="n"/>
      <c r="H120" s="19">
        <f>IF(OR($D120="",$C120=""),"",_xlfn.LET(_xlpm.dn,IFERROR(_xlfn.XLOOKUP($C120,nrCDdate,nrCDnum),""),IF(_xlpm.dn="","(not a class day)",IFERROR(_xlfn.XLOOKUP(_xlpm.dn+cfgMemoDueClassDays,nrCDnum,nrCDdate),""))))</f>
        <v/>
      </c>
      <c r="I120" s="18" t="n"/>
      <c r="J120" s="19">
        <f>IF($D120="","",IF($I120&lt;&gt;"",$I120,IF(ISNUMBER($H120),$H120,"")))</f>
        <v/>
      </c>
      <c r="K120" s="18" t="n"/>
      <c r="L120" s="17">
        <f>IF($D120="","",IF($K120&lt;&gt;"","Received "&amp;TEXT($K120,"mm/dd"),IF(AND(ISNUMBER($J120),TODAY()&gt;$J120),"OVERDUE","Pending")))</f>
        <v/>
      </c>
      <c r="M120" s="16" t="n"/>
      <c r="N120" s="16" t="n"/>
    </row>
    <row r="121">
      <c r="B121" s="17">
        <f>IF($D121="","","ME"&amp;TEXT(ROW()-5,"000"))</f>
        <v/>
      </c>
      <c r="C121" s="18" t="n"/>
      <c r="D121" s="16" t="n"/>
      <c r="E121" s="17">
        <f>IF($D121="","",IFERROR(INDEX(rngCadetPIDs,MATCH($D121,rngCadetNames,0)),"?"))</f>
        <v/>
      </c>
      <c r="F121" s="16" t="n"/>
      <c r="G121" s="16" t="n"/>
      <c r="H121" s="19">
        <f>IF(OR($D121="",$C121=""),"",_xlfn.LET(_xlpm.dn,IFERROR(_xlfn.XLOOKUP($C121,nrCDdate,nrCDnum),""),IF(_xlpm.dn="","(not a class day)",IFERROR(_xlfn.XLOOKUP(_xlpm.dn+cfgMemoDueClassDays,nrCDnum,nrCDdate),""))))</f>
        <v/>
      </c>
      <c r="I121" s="18" t="n"/>
      <c r="J121" s="19">
        <f>IF($D121="","",IF($I121&lt;&gt;"",$I121,IF(ISNUMBER($H121),$H121,"")))</f>
        <v/>
      </c>
      <c r="K121" s="18" t="n"/>
      <c r="L121" s="17">
        <f>IF($D121="","",IF($K121&lt;&gt;"","Received "&amp;TEXT($K121,"mm/dd"),IF(AND(ISNUMBER($J121),TODAY()&gt;$J121),"OVERDUE","Pending")))</f>
        <v/>
      </c>
      <c r="M121" s="16" t="n"/>
      <c r="N121" s="16" t="n"/>
    </row>
    <row r="122">
      <c r="B122" s="17">
        <f>IF($D122="","","ME"&amp;TEXT(ROW()-5,"000"))</f>
        <v/>
      </c>
      <c r="C122" s="18" t="n"/>
      <c r="D122" s="16" t="n"/>
      <c r="E122" s="17">
        <f>IF($D122="","",IFERROR(INDEX(rngCadetPIDs,MATCH($D122,rngCadetNames,0)),"?"))</f>
        <v/>
      </c>
      <c r="F122" s="16" t="n"/>
      <c r="G122" s="16" t="n"/>
      <c r="H122" s="19">
        <f>IF(OR($D122="",$C122=""),"",_xlfn.LET(_xlpm.dn,IFERROR(_xlfn.XLOOKUP($C122,nrCDdate,nrCDnum),""),IF(_xlpm.dn="","(not a class day)",IFERROR(_xlfn.XLOOKUP(_xlpm.dn+cfgMemoDueClassDays,nrCDnum,nrCDdate),""))))</f>
        <v/>
      </c>
      <c r="I122" s="18" t="n"/>
      <c r="J122" s="19">
        <f>IF($D122="","",IF($I122&lt;&gt;"",$I122,IF(ISNUMBER($H122),$H122,"")))</f>
        <v/>
      </c>
      <c r="K122" s="18" t="n"/>
      <c r="L122" s="17">
        <f>IF($D122="","",IF($K122&lt;&gt;"","Received "&amp;TEXT($K122,"mm/dd"),IF(AND(ISNUMBER($J122),TODAY()&gt;$J122),"OVERDUE","Pending")))</f>
        <v/>
      </c>
      <c r="M122" s="16" t="n"/>
      <c r="N122" s="16" t="n"/>
    </row>
    <row r="123">
      <c r="B123" s="17">
        <f>IF($D123="","","ME"&amp;TEXT(ROW()-5,"000"))</f>
        <v/>
      </c>
      <c r="C123" s="18" t="n"/>
      <c r="D123" s="16" t="n"/>
      <c r="E123" s="17">
        <f>IF($D123="","",IFERROR(INDEX(rngCadetPIDs,MATCH($D123,rngCadetNames,0)),"?"))</f>
        <v/>
      </c>
      <c r="F123" s="16" t="n"/>
      <c r="G123" s="16" t="n"/>
      <c r="H123" s="19">
        <f>IF(OR($D123="",$C123=""),"",_xlfn.LET(_xlpm.dn,IFERROR(_xlfn.XLOOKUP($C123,nrCDdate,nrCDnum),""),IF(_xlpm.dn="","(not a class day)",IFERROR(_xlfn.XLOOKUP(_xlpm.dn+cfgMemoDueClassDays,nrCDnum,nrCDdate),""))))</f>
        <v/>
      </c>
      <c r="I123" s="18" t="n"/>
      <c r="J123" s="19">
        <f>IF($D123="","",IF($I123&lt;&gt;"",$I123,IF(ISNUMBER($H123),$H123,"")))</f>
        <v/>
      </c>
      <c r="K123" s="18" t="n"/>
      <c r="L123" s="17">
        <f>IF($D123="","",IF($K123&lt;&gt;"","Received "&amp;TEXT($K123,"mm/dd"),IF(AND(ISNUMBER($J123),TODAY()&gt;$J123),"OVERDUE","Pending")))</f>
        <v/>
      </c>
      <c r="M123" s="16" t="n"/>
      <c r="N123" s="16" t="n"/>
    </row>
    <row r="124">
      <c r="B124" s="17">
        <f>IF($D124="","","ME"&amp;TEXT(ROW()-5,"000"))</f>
        <v/>
      </c>
      <c r="C124" s="18" t="n"/>
      <c r="D124" s="16" t="n"/>
      <c r="E124" s="17">
        <f>IF($D124="","",IFERROR(INDEX(rngCadetPIDs,MATCH($D124,rngCadetNames,0)),"?"))</f>
        <v/>
      </c>
      <c r="F124" s="16" t="n"/>
      <c r="G124" s="16" t="n"/>
      <c r="H124" s="19">
        <f>IF(OR($D124="",$C124=""),"",_xlfn.LET(_xlpm.dn,IFERROR(_xlfn.XLOOKUP($C124,nrCDdate,nrCDnum),""),IF(_xlpm.dn="","(not a class day)",IFERROR(_xlfn.XLOOKUP(_xlpm.dn+cfgMemoDueClassDays,nrCDnum,nrCDdate),""))))</f>
        <v/>
      </c>
      <c r="I124" s="18" t="n"/>
      <c r="J124" s="19">
        <f>IF($D124="","",IF($I124&lt;&gt;"",$I124,IF(ISNUMBER($H124),$H124,"")))</f>
        <v/>
      </c>
      <c r="K124" s="18" t="n"/>
      <c r="L124" s="17">
        <f>IF($D124="","",IF($K124&lt;&gt;"","Received "&amp;TEXT($K124,"mm/dd"),IF(AND(ISNUMBER($J124),TODAY()&gt;$J124),"OVERDUE","Pending")))</f>
        <v/>
      </c>
      <c r="M124" s="16" t="n"/>
      <c r="N124" s="16" t="n"/>
    </row>
    <row r="125">
      <c r="B125" s="17">
        <f>IF($D125="","","ME"&amp;TEXT(ROW()-5,"000"))</f>
        <v/>
      </c>
      <c r="C125" s="18" t="n"/>
      <c r="D125" s="16" t="n"/>
      <c r="E125" s="17">
        <f>IF($D125="","",IFERROR(INDEX(rngCadetPIDs,MATCH($D125,rngCadetNames,0)),"?"))</f>
        <v/>
      </c>
      <c r="F125" s="16" t="n"/>
      <c r="G125" s="16" t="n"/>
      <c r="H125" s="19">
        <f>IF(OR($D125="",$C125=""),"",_xlfn.LET(_xlpm.dn,IFERROR(_xlfn.XLOOKUP($C125,nrCDdate,nrCDnum),""),IF(_xlpm.dn="","(not a class day)",IFERROR(_xlfn.XLOOKUP(_xlpm.dn+cfgMemoDueClassDays,nrCDnum,nrCDdate),""))))</f>
        <v/>
      </c>
      <c r="I125" s="18" t="n"/>
      <c r="J125" s="19">
        <f>IF($D125="","",IF($I125&lt;&gt;"",$I125,IF(ISNUMBER($H125),$H125,"")))</f>
        <v/>
      </c>
      <c r="K125" s="18" t="n"/>
      <c r="L125" s="17">
        <f>IF($D125="","",IF($K125&lt;&gt;"","Received "&amp;TEXT($K125,"mm/dd"),IF(AND(ISNUMBER($J125),TODAY()&gt;$J125),"OVERDUE","Pending")))</f>
        <v/>
      </c>
      <c r="M125" s="16" t="n"/>
      <c r="N125" s="16" t="n"/>
    </row>
    <row r="126">
      <c r="B126" s="17">
        <f>IF($D126="","","ME"&amp;TEXT(ROW()-5,"000"))</f>
        <v/>
      </c>
      <c r="C126" s="18" t="n"/>
      <c r="D126" s="16" t="n"/>
      <c r="E126" s="17">
        <f>IF($D126="","",IFERROR(INDEX(rngCadetPIDs,MATCH($D126,rngCadetNames,0)),"?"))</f>
        <v/>
      </c>
      <c r="F126" s="16" t="n"/>
      <c r="G126" s="16" t="n"/>
      <c r="H126" s="19">
        <f>IF(OR($D126="",$C126=""),"",_xlfn.LET(_xlpm.dn,IFERROR(_xlfn.XLOOKUP($C126,nrCDdate,nrCDnum),""),IF(_xlpm.dn="","(not a class day)",IFERROR(_xlfn.XLOOKUP(_xlpm.dn+cfgMemoDueClassDays,nrCDnum,nrCDdate),""))))</f>
        <v/>
      </c>
      <c r="I126" s="18" t="n"/>
      <c r="J126" s="19">
        <f>IF($D126="","",IF($I126&lt;&gt;"",$I126,IF(ISNUMBER($H126),$H126,"")))</f>
        <v/>
      </c>
      <c r="K126" s="18" t="n"/>
      <c r="L126" s="17">
        <f>IF($D126="","",IF($K126&lt;&gt;"","Received "&amp;TEXT($K126,"mm/dd"),IF(AND(ISNUMBER($J126),TODAY()&gt;$J126),"OVERDUE","Pending")))</f>
        <v/>
      </c>
      <c r="M126" s="16" t="n"/>
      <c r="N126" s="16" t="n"/>
    </row>
    <row r="127">
      <c r="B127" s="17">
        <f>IF($D127="","","ME"&amp;TEXT(ROW()-5,"000"))</f>
        <v/>
      </c>
      <c r="C127" s="18" t="n"/>
      <c r="D127" s="16" t="n"/>
      <c r="E127" s="17">
        <f>IF($D127="","",IFERROR(INDEX(rngCadetPIDs,MATCH($D127,rngCadetNames,0)),"?"))</f>
        <v/>
      </c>
      <c r="F127" s="16" t="n"/>
      <c r="G127" s="16" t="n"/>
      <c r="H127" s="19">
        <f>IF(OR($D127="",$C127=""),"",_xlfn.LET(_xlpm.dn,IFERROR(_xlfn.XLOOKUP($C127,nrCDdate,nrCDnum),""),IF(_xlpm.dn="","(not a class day)",IFERROR(_xlfn.XLOOKUP(_xlpm.dn+cfgMemoDueClassDays,nrCDnum,nrCDdate),""))))</f>
        <v/>
      </c>
      <c r="I127" s="18" t="n"/>
      <c r="J127" s="19">
        <f>IF($D127="","",IF($I127&lt;&gt;"",$I127,IF(ISNUMBER($H127),$H127,"")))</f>
        <v/>
      </c>
      <c r="K127" s="18" t="n"/>
      <c r="L127" s="17">
        <f>IF($D127="","",IF($K127&lt;&gt;"","Received "&amp;TEXT($K127,"mm/dd"),IF(AND(ISNUMBER($J127),TODAY()&gt;$J127),"OVERDUE","Pending")))</f>
        <v/>
      </c>
      <c r="M127" s="16" t="n"/>
      <c r="N127" s="16" t="n"/>
    </row>
    <row r="128">
      <c r="B128" s="17">
        <f>IF($D128="","","ME"&amp;TEXT(ROW()-5,"000"))</f>
        <v/>
      </c>
      <c r="C128" s="18" t="n"/>
      <c r="D128" s="16" t="n"/>
      <c r="E128" s="17">
        <f>IF($D128="","",IFERROR(INDEX(rngCadetPIDs,MATCH($D128,rngCadetNames,0)),"?"))</f>
        <v/>
      </c>
      <c r="F128" s="16" t="n"/>
      <c r="G128" s="16" t="n"/>
      <c r="H128" s="19">
        <f>IF(OR($D128="",$C128=""),"",_xlfn.LET(_xlpm.dn,IFERROR(_xlfn.XLOOKUP($C128,nrCDdate,nrCDnum),""),IF(_xlpm.dn="","(not a class day)",IFERROR(_xlfn.XLOOKUP(_xlpm.dn+cfgMemoDueClassDays,nrCDnum,nrCDdate),""))))</f>
        <v/>
      </c>
      <c r="I128" s="18" t="n"/>
      <c r="J128" s="19">
        <f>IF($D128="","",IF($I128&lt;&gt;"",$I128,IF(ISNUMBER($H128),$H128,"")))</f>
        <v/>
      </c>
      <c r="K128" s="18" t="n"/>
      <c r="L128" s="17">
        <f>IF($D128="","",IF($K128&lt;&gt;"","Received "&amp;TEXT($K128,"mm/dd"),IF(AND(ISNUMBER($J128),TODAY()&gt;$J128),"OVERDUE","Pending")))</f>
        <v/>
      </c>
      <c r="M128" s="16" t="n"/>
      <c r="N128" s="16" t="n"/>
    </row>
    <row r="129">
      <c r="B129" s="17">
        <f>IF($D129="","","ME"&amp;TEXT(ROW()-5,"000"))</f>
        <v/>
      </c>
      <c r="C129" s="18" t="n"/>
      <c r="D129" s="16" t="n"/>
      <c r="E129" s="17">
        <f>IF($D129="","",IFERROR(INDEX(rngCadetPIDs,MATCH($D129,rngCadetNames,0)),"?"))</f>
        <v/>
      </c>
      <c r="F129" s="16" t="n"/>
      <c r="G129" s="16" t="n"/>
      <c r="H129" s="19">
        <f>IF(OR($D129="",$C129=""),"",_xlfn.LET(_xlpm.dn,IFERROR(_xlfn.XLOOKUP($C129,nrCDdate,nrCDnum),""),IF(_xlpm.dn="","(not a class day)",IFERROR(_xlfn.XLOOKUP(_xlpm.dn+cfgMemoDueClassDays,nrCDnum,nrCDdate),""))))</f>
        <v/>
      </c>
      <c r="I129" s="18" t="n"/>
      <c r="J129" s="19">
        <f>IF($D129="","",IF($I129&lt;&gt;"",$I129,IF(ISNUMBER($H129),$H129,"")))</f>
        <v/>
      </c>
      <c r="K129" s="18" t="n"/>
      <c r="L129" s="17">
        <f>IF($D129="","",IF($K129&lt;&gt;"","Received "&amp;TEXT($K129,"mm/dd"),IF(AND(ISNUMBER($J129),TODAY()&gt;$J129),"OVERDUE","Pending")))</f>
        <v/>
      </c>
      <c r="M129" s="16" t="n"/>
      <c r="N129" s="16" t="n"/>
    </row>
    <row r="130">
      <c r="B130" s="17">
        <f>IF($D130="","","ME"&amp;TEXT(ROW()-5,"000"))</f>
        <v/>
      </c>
      <c r="C130" s="18" t="n"/>
      <c r="D130" s="16" t="n"/>
      <c r="E130" s="17">
        <f>IF($D130="","",IFERROR(INDEX(rngCadetPIDs,MATCH($D130,rngCadetNames,0)),"?"))</f>
        <v/>
      </c>
      <c r="F130" s="16" t="n"/>
      <c r="G130" s="16" t="n"/>
      <c r="H130" s="19">
        <f>IF(OR($D130="",$C130=""),"",_xlfn.LET(_xlpm.dn,IFERROR(_xlfn.XLOOKUP($C130,nrCDdate,nrCDnum),""),IF(_xlpm.dn="","(not a class day)",IFERROR(_xlfn.XLOOKUP(_xlpm.dn+cfgMemoDueClassDays,nrCDnum,nrCDdate),""))))</f>
        <v/>
      </c>
      <c r="I130" s="18" t="n"/>
      <c r="J130" s="19">
        <f>IF($D130="","",IF($I130&lt;&gt;"",$I130,IF(ISNUMBER($H130),$H130,"")))</f>
        <v/>
      </c>
      <c r="K130" s="18" t="n"/>
      <c r="L130" s="17">
        <f>IF($D130="","",IF($K130&lt;&gt;"","Received "&amp;TEXT($K130,"mm/dd"),IF(AND(ISNUMBER($J130),TODAY()&gt;$J130),"OVERDUE","Pending")))</f>
        <v/>
      </c>
      <c r="M130" s="16" t="n"/>
      <c r="N130" s="16" t="n"/>
    </row>
    <row r="131">
      <c r="B131" s="17">
        <f>IF($D131="","","ME"&amp;TEXT(ROW()-5,"000"))</f>
        <v/>
      </c>
      <c r="C131" s="18" t="n"/>
      <c r="D131" s="16" t="n"/>
      <c r="E131" s="17">
        <f>IF($D131="","",IFERROR(INDEX(rngCadetPIDs,MATCH($D131,rngCadetNames,0)),"?"))</f>
        <v/>
      </c>
      <c r="F131" s="16" t="n"/>
      <c r="G131" s="16" t="n"/>
      <c r="H131" s="19">
        <f>IF(OR($D131="",$C131=""),"",_xlfn.LET(_xlpm.dn,IFERROR(_xlfn.XLOOKUP($C131,nrCDdate,nrCDnum),""),IF(_xlpm.dn="","(not a class day)",IFERROR(_xlfn.XLOOKUP(_xlpm.dn+cfgMemoDueClassDays,nrCDnum,nrCDdate),""))))</f>
        <v/>
      </c>
      <c r="I131" s="18" t="n"/>
      <c r="J131" s="19">
        <f>IF($D131="","",IF($I131&lt;&gt;"",$I131,IF(ISNUMBER($H131),$H131,"")))</f>
        <v/>
      </c>
      <c r="K131" s="18" t="n"/>
      <c r="L131" s="17">
        <f>IF($D131="","",IF($K131&lt;&gt;"","Received "&amp;TEXT($K131,"mm/dd"),IF(AND(ISNUMBER($J131),TODAY()&gt;$J131),"OVERDUE","Pending")))</f>
        <v/>
      </c>
      <c r="M131" s="16" t="n"/>
      <c r="N131" s="16" t="n"/>
    </row>
    <row r="132">
      <c r="B132" s="17">
        <f>IF($D132="","","ME"&amp;TEXT(ROW()-5,"000"))</f>
        <v/>
      </c>
      <c r="C132" s="18" t="n"/>
      <c r="D132" s="16" t="n"/>
      <c r="E132" s="17">
        <f>IF($D132="","",IFERROR(INDEX(rngCadetPIDs,MATCH($D132,rngCadetNames,0)),"?"))</f>
        <v/>
      </c>
      <c r="F132" s="16" t="n"/>
      <c r="G132" s="16" t="n"/>
      <c r="H132" s="19">
        <f>IF(OR($D132="",$C132=""),"",_xlfn.LET(_xlpm.dn,IFERROR(_xlfn.XLOOKUP($C132,nrCDdate,nrCDnum),""),IF(_xlpm.dn="","(not a class day)",IFERROR(_xlfn.XLOOKUP(_xlpm.dn+cfgMemoDueClassDays,nrCDnum,nrCDdate),""))))</f>
        <v/>
      </c>
      <c r="I132" s="18" t="n"/>
      <c r="J132" s="19">
        <f>IF($D132="","",IF($I132&lt;&gt;"",$I132,IF(ISNUMBER($H132),$H132,"")))</f>
        <v/>
      </c>
      <c r="K132" s="18" t="n"/>
      <c r="L132" s="17">
        <f>IF($D132="","",IF($K132&lt;&gt;"","Received "&amp;TEXT($K132,"mm/dd"),IF(AND(ISNUMBER($J132),TODAY()&gt;$J132),"OVERDUE","Pending")))</f>
        <v/>
      </c>
      <c r="M132" s="16" t="n"/>
      <c r="N132" s="16" t="n"/>
    </row>
    <row r="133">
      <c r="B133" s="17">
        <f>IF($D133="","","ME"&amp;TEXT(ROW()-5,"000"))</f>
        <v/>
      </c>
      <c r="C133" s="18" t="n"/>
      <c r="D133" s="16" t="n"/>
      <c r="E133" s="17">
        <f>IF($D133="","",IFERROR(INDEX(rngCadetPIDs,MATCH($D133,rngCadetNames,0)),"?"))</f>
        <v/>
      </c>
      <c r="F133" s="16" t="n"/>
      <c r="G133" s="16" t="n"/>
      <c r="H133" s="19">
        <f>IF(OR($D133="",$C133=""),"",_xlfn.LET(_xlpm.dn,IFERROR(_xlfn.XLOOKUP($C133,nrCDdate,nrCDnum),""),IF(_xlpm.dn="","(not a class day)",IFERROR(_xlfn.XLOOKUP(_xlpm.dn+cfgMemoDueClassDays,nrCDnum,nrCDdate),""))))</f>
        <v/>
      </c>
      <c r="I133" s="18" t="n"/>
      <c r="J133" s="19">
        <f>IF($D133="","",IF($I133&lt;&gt;"",$I133,IF(ISNUMBER($H133),$H133,"")))</f>
        <v/>
      </c>
      <c r="K133" s="18" t="n"/>
      <c r="L133" s="17">
        <f>IF($D133="","",IF($K133&lt;&gt;"","Received "&amp;TEXT($K133,"mm/dd"),IF(AND(ISNUMBER($J133),TODAY()&gt;$J133),"OVERDUE","Pending")))</f>
        <v/>
      </c>
      <c r="M133" s="16" t="n"/>
      <c r="N133" s="16" t="n"/>
    </row>
    <row r="134">
      <c r="B134" s="17">
        <f>IF($D134="","","ME"&amp;TEXT(ROW()-5,"000"))</f>
        <v/>
      </c>
      <c r="C134" s="18" t="n"/>
      <c r="D134" s="16" t="n"/>
      <c r="E134" s="17">
        <f>IF($D134="","",IFERROR(INDEX(rngCadetPIDs,MATCH($D134,rngCadetNames,0)),"?"))</f>
        <v/>
      </c>
      <c r="F134" s="16" t="n"/>
      <c r="G134" s="16" t="n"/>
      <c r="H134" s="19">
        <f>IF(OR($D134="",$C134=""),"",_xlfn.LET(_xlpm.dn,IFERROR(_xlfn.XLOOKUP($C134,nrCDdate,nrCDnum),""),IF(_xlpm.dn="","(not a class day)",IFERROR(_xlfn.XLOOKUP(_xlpm.dn+cfgMemoDueClassDays,nrCDnum,nrCDdate),""))))</f>
        <v/>
      </c>
      <c r="I134" s="18" t="n"/>
      <c r="J134" s="19">
        <f>IF($D134="","",IF($I134&lt;&gt;"",$I134,IF(ISNUMBER($H134),$H134,"")))</f>
        <v/>
      </c>
      <c r="K134" s="18" t="n"/>
      <c r="L134" s="17">
        <f>IF($D134="","",IF($K134&lt;&gt;"","Received "&amp;TEXT($K134,"mm/dd"),IF(AND(ISNUMBER($J134),TODAY()&gt;$J134),"OVERDUE","Pending")))</f>
        <v/>
      </c>
      <c r="M134" s="16" t="n"/>
      <c r="N134" s="16" t="n"/>
    </row>
    <row r="135">
      <c r="B135" s="17">
        <f>IF($D135="","","ME"&amp;TEXT(ROW()-5,"000"))</f>
        <v/>
      </c>
      <c r="C135" s="18" t="n"/>
      <c r="D135" s="16" t="n"/>
      <c r="E135" s="17">
        <f>IF($D135="","",IFERROR(INDEX(rngCadetPIDs,MATCH($D135,rngCadetNames,0)),"?"))</f>
        <v/>
      </c>
      <c r="F135" s="16" t="n"/>
      <c r="G135" s="16" t="n"/>
      <c r="H135" s="19">
        <f>IF(OR($D135="",$C135=""),"",_xlfn.LET(_xlpm.dn,IFERROR(_xlfn.XLOOKUP($C135,nrCDdate,nrCDnum),""),IF(_xlpm.dn="","(not a class day)",IFERROR(_xlfn.XLOOKUP(_xlpm.dn+cfgMemoDueClassDays,nrCDnum,nrCDdate),""))))</f>
        <v/>
      </c>
      <c r="I135" s="18" t="n"/>
      <c r="J135" s="19">
        <f>IF($D135="","",IF($I135&lt;&gt;"",$I135,IF(ISNUMBER($H135),$H135,"")))</f>
        <v/>
      </c>
      <c r="K135" s="18" t="n"/>
      <c r="L135" s="17">
        <f>IF($D135="","",IF($K135&lt;&gt;"","Received "&amp;TEXT($K135,"mm/dd"),IF(AND(ISNUMBER($J135),TODAY()&gt;$J135),"OVERDUE","Pending")))</f>
        <v/>
      </c>
      <c r="M135" s="16" t="n"/>
      <c r="N135" s="16" t="n"/>
    </row>
    <row r="136">
      <c r="B136" s="17">
        <f>IF($D136="","","ME"&amp;TEXT(ROW()-5,"000"))</f>
        <v/>
      </c>
      <c r="C136" s="18" t="n"/>
      <c r="D136" s="16" t="n"/>
      <c r="E136" s="17">
        <f>IF($D136="","",IFERROR(INDEX(rngCadetPIDs,MATCH($D136,rngCadetNames,0)),"?"))</f>
        <v/>
      </c>
      <c r="F136" s="16" t="n"/>
      <c r="G136" s="16" t="n"/>
      <c r="H136" s="19">
        <f>IF(OR($D136="",$C136=""),"",_xlfn.LET(_xlpm.dn,IFERROR(_xlfn.XLOOKUP($C136,nrCDdate,nrCDnum),""),IF(_xlpm.dn="","(not a class day)",IFERROR(_xlfn.XLOOKUP(_xlpm.dn+cfgMemoDueClassDays,nrCDnum,nrCDdate),""))))</f>
        <v/>
      </c>
      <c r="I136" s="18" t="n"/>
      <c r="J136" s="19">
        <f>IF($D136="","",IF($I136&lt;&gt;"",$I136,IF(ISNUMBER($H136),$H136,"")))</f>
        <v/>
      </c>
      <c r="K136" s="18" t="n"/>
      <c r="L136" s="17">
        <f>IF($D136="","",IF($K136&lt;&gt;"","Received "&amp;TEXT($K136,"mm/dd"),IF(AND(ISNUMBER($J136),TODAY()&gt;$J136),"OVERDUE","Pending")))</f>
        <v/>
      </c>
      <c r="M136" s="16" t="n"/>
      <c r="N136" s="16" t="n"/>
    </row>
    <row r="137">
      <c r="B137" s="17">
        <f>IF($D137="","","ME"&amp;TEXT(ROW()-5,"000"))</f>
        <v/>
      </c>
      <c r="C137" s="18" t="n"/>
      <c r="D137" s="16" t="n"/>
      <c r="E137" s="17">
        <f>IF($D137="","",IFERROR(INDEX(rngCadetPIDs,MATCH($D137,rngCadetNames,0)),"?"))</f>
        <v/>
      </c>
      <c r="F137" s="16" t="n"/>
      <c r="G137" s="16" t="n"/>
      <c r="H137" s="19">
        <f>IF(OR($D137="",$C137=""),"",_xlfn.LET(_xlpm.dn,IFERROR(_xlfn.XLOOKUP($C137,nrCDdate,nrCDnum),""),IF(_xlpm.dn="","(not a class day)",IFERROR(_xlfn.XLOOKUP(_xlpm.dn+cfgMemoDueClassDays,nrCDnum,nrCDdate),""))))</f>
        <v/>
      </c>
      <c r="I137" s="18" t="n"/>
      <c r="J137" s="19">
        <f>IF($D137="","",IF($I137&lt;&gt;"",$I137,IF(ISNUMBER($H137),$H137,"")))</f>
        <v/>
      </c>
      <c r="K137" s="18" t="n"/>
      <c r="L137" s="17">
        <f>IF($D137="","",IF($K137&lt;&gt;"","Received "&amp;TEXT($K137,"mm/dd"),IF(AND(ISNUMBER($J137),TODAY()&gt;$J137),"OVERDUE","Pending")))</f>
        <v/>
      </c>
      <c r="M137" s="16" t="n"/>
      <c r="N137" s="16" t="n"/>
    </row>
    <row r="138">
      <c r="B138" s="17">
        <f>IF($D138="","","ME"&amp;TEXT(ROW()-5,"000"))</f>
        <v/>
      </c>
      <c r="C138" s="18" t="n"/>
      <c r="D138" s="16" t="n"/>
      <c r="E138" s="17">
        <f>IF($D138="","",IFERROR(INDEX(rngCadetPIDs,MATCH($D138,rngCadetNames,0)),"?"))</f>
        <v/>
      </c>
      <c r="F138" s="16" t="n"/>
      <c r="G138" s="16" t="n"/>
      <c r="H138" s="19">
        <f>IF(OR($D138="",$C138=""),"",_xlfn.LET(_xlpm.dn,IFERROR(_xlfn.XLOOKUP($C138,nrCDdate,nrCDnum),""),IF(_xlpm.dn="","(not a class day)",IFERROR(_xlfn.XLOOKUP(_xlpm.dn+cfgMemoDueClassDays,nrCDnum,nrCDdate),""))))</f>
        <v/>
      </c>
      <c r="I138" s="18" t="n"/>
      <c r="J138" s="19">
        <f>IF($D138="","",IF($I138&lt;&gt;"",$I138,IF(ISNUMBER($H138),$H138,"")))</f>
        <v/>
      </c>
      <c r="K138" s="18" t="n"/>
      <c r="L138" s="17">
        <f>IF($D138="","",IF($K138&lt;&gt;"","Received "&amp;TEXT($K138,"mm/dd"),IF(AND(ISNUMBER($J138),TODAY()&gt;$J138),"OVERDUE","Pending")))</f>
        <v/>
      </c>
      <c r="M138" s="16" t="n"/>
      <c r="N138" s="16" t="n"/>
    </row>
    <row r="139">
      <c r="B139" s="17">
        <f>IF($D139="","","ME"&amp;TEXT(ROW()-5,"000"))</f>
        <v/>
      </c>
      <c r="C139" s="18" t="n"/>
      <c r="D139" s="16" t="n"/>
      <c r="E139" s="17">
        <f>IF($D139="","",IFERROR(INDEX(rngCadetPIDs,MATCH($D139,rngCadetNames,0)),"?"))</f>
        <v/>
      </c>
      <c r="F139" s="16" t="n"/>
      <c r="G139" s="16" t="n"/>
      <c r="H139" s="19">
        <f>IF(OR($D139="",$C139=""),"",_xlfn.LET(_xlpm.dn,IFERROR(_xlfn.XLOOKUP($C139,nrCDdate,nrCDnum),""),IF(_xlpm.dn="","(not a class day)",IFERROR(_xlfn.XLOOKUP(_xlpm.dn+cfgMemoDueClassDays,nrCDnum,nrCDdate),""))))</f>
        <v/>
      </c>
      <c r="I139" s="18" t="n"/>
      <c r="J139" s="19">
        <f>IF($D139="","",IF($I139&lt;&gt;"",$I139,IF(ISNUMBER($H139),$H139,"")))</f>
        <v/>
      </c>
      <c r="K139" s="18" t="n"/>
      <c r="L139" s="17">
        <f>IF($D139="","",IF($K139&lt;&gt;"","Received "&amp;TEXT($K139,"mm/dd"),IF(AND(ISNUMBER($J139),TODAY()&gt;$J139),"OVERDUE","Pending")))</f>
        <v/>
      </c>
      <c r="M139" s="16" t="n"/>
      <c r="N139" s="16" t="n"/>
    </row>
    <row r="140">
      <c r="B140" s="17">
        <f>IF($D140="","","ME"&amp;TEXT(ROW()-5,"000"))</f>
        <v/>
      </c>
      <c r="C140" s="18" t="n"/>
      <c r="D140" s="16" t="n"/>
      <c r="E140" s="17">
        <f>IF($D140="","",IFERROR(INDEX(rngCadetPIDs,MATCH($D140,rngCadetNames,0)),"?"))</f>
        <v/>
      </c>
      <c r="F140" s="16" t="n"/>
      <c r="G140" s="16" t="n"/>
      <c r="H140" s="19">
        <f>IF(OR($D140="",$C140=""),"",_xlfn.LET(_xlpm.dn,IFERROR(_xlfn.XLOOKUP($C140,nrCDdate,nrCDnum),""),IF(_xlpm.dn="","(not a class day)",IFERROR(_xlfn.XLOOKUP(_xlpm.dn+cfgMemoDueClassDays,nrCDnum,nrCDdate),""))))</f>
        <v/>
      </c>
      <c r="I140" s="18" t="n"/>
      <c r="J140" s="19">
        <f>IF($D140="","",IF($I140&lt;&gt;"",$I140,IF(ISNUMBER($H140),$H140,"")))</f>
        <v/>
      </c>
      <c r="K140" s="18" t="n"/>
      <c r="L140" s="17">
        <f>IF($D140="","",IF($K140&lt;&gt;"","Received "&amp;TEXT($K140,"mm/dd"),IF(AND(ISNUMBER($J140),TODAY()&gt;$J140),"OVERDUE","Pending")))</f>
        <v/>
      </c>
      <c r="M140" s="16" t="n"/>
      <c r="N140" s="16" t="n"/>
    </row>
    <row r="141">
      <c r="B141" s="17">
        <f>IF($D141="","","ME"&amp;TEXT(ROW()-5,"000"))</f>
        <v/>
      </c>
      <c r="C141" s="18" t="n"/>
      <c r="D141" s="16" t="n"/>
      <c r="E141" s="17">
        <f>IF($D141="","",IFERROR(INDEX(rngCadetPIDs,MATCH($D141,rngCadetNames,0)),"?"))</f>
        <v/>
      </c>
      <c r="F141" s="16" t="n"/>
      <c r="G141" s="16" t="n"/>
      <c r="H141" s="19">
        <f>IF(OR($D141="",$C141=""),"",_xlfn.LET(_xlpm.dn,IFERROR(_xlfn.XLOOKUP($C141,nrCDdate,nrCDnum),""),IF(_xlpm.dn="","(not a class day)",IFERROR(_xlfn.XLOOKUP(_xlpm.dn+cfgMemoDueClassDays,nrCDnum,nrCDdate),""))))</f>
        <v/>
      </c>
      <c r="I141" s="18" t="n"/>
      <c r="J141" s="19">
        <f>IF($D141="","",IF($I141&lt;&gt;"",$I141,IF(ISNUMBER($H141),$H141,"")))</f>
        <v/>
      </c>
      <c r="K141" s="18" t="n"/>
      <c r="L141" s="17">
        <f>IF($D141="","",IF($K141&lt;&gt;"","Received "&amp;TEXT($K141,"mm/dd"),IF(AND(ISNUMBER($J141),TODAY()&gt;$J141),"OVERDUE","Pending")))</f>
        <v/>
      </c>
      <c r="M141" s="16" t="n"/>
      <c r="N141" s="16" t="n"/>
    </row>
    <row r="142">
      <c r="B142" s="17">
        <f>IF($D142="","","ME"&amp;TEXT(ROW()-5,"000"))</f>
        <v/>
      </c>
      <c r="C142" s="18" t="n"/>
      <c r="D142" s="16" t="n"/>
      <c r="E142" s="17">
        <f>IF($D142="","",IFERROR(INDEX(rngCadetPIDs,MATCH($D142,rngCadetNames,0)),"?"))</f>
        <v/>
      </c>
      <c r="F142" s="16" t="n"/>
      <c r="G142" s="16" t="n"/>
      <c r="H142" s="19">
        <f>IF(OR($D142="",$C142=""),"",_xlfn.LET(_xlpm.dn,IFERROR(_xlfn.XLOOKUP($C142,nrCDdate,nrCDnum),""),IF(_xlpm.dn="","(not a class day)",IFERROR(_xlfn.XLOOKUP(_xlpm.dn+cfgMemoDueClassDays,nrCDnum,nrCDdate),""))))</f>
        <v/>
      </c>
      <c r="I142" s="18" t="n"/>
      <c r="J142" s="19">
        <f>IF($D142="","",IF($I142&lt;&gt;"",$I142,IF(ISNUMBER($H142),$H142,"")))</f>
        <v/>
      </c>
      <c r="K142" s="18" t="n"/>
      <c r="L142" s="17">
        <f>IF($D142="","",IF($K142&lt;&gt;"","Received "&amp;TEXT($K142,"mm/dd"),IF(AND(ISNUMBER($J142),TODAY()&gt;$J142),"OVERDUE","Pending")))</f>
        <v/>
      </c>
      <c r="M142" s="16" t="n"/>
      <c r="N142" s="16" t="n"/>
    </row>
    <row r="143">
      <c r="B143" s="17">
        <f>IF($D143="","","ME"&amp;TEXT(ROW()-5,"000"))</f>
        <v/>
      </c>
      <c r="C143" s="18" t="n"/>
      <c r="D143" s="16" t="n"/>
      <c r="E143" s="17">
        <f>IF($D143="","",IFERROR(INDEX(rngCadetPIDs,MATCH($D143,rngCadetNames,0)),"?"))</f>
        <v/>
      </c>
      <c r="F143" s="16" t="n"/>
      <c r="G143" s="16" t="n"/>
      <c r="H143" s="19">
        <f>IF(OR($D143="",$C143=""),"",_xlfn.LET(_xlpm.dn,IFERROR(_xlfn.XLOOKUP($C143,nrCDdate,nrCDnum),""),IF(_xlpm.dn="","(not a class day)",IFERROR(_xlfn.XLOOKUP(_xlpm.dn+cfgMemoDueClassDays,nrCDnum,nrCDdate),""))))</f>
        <v/>
      </c>
      <c r="I143" s="18" t="n"/>
      <c r="J143" s="19">
        <f>IF($D143="","",IF($I143&lt;&gt;"",$I143,IF(ISNUMBER($H143),$H143,"")))</f>
        <v/>
      </c>
      <c r="K143" s="18" t="n"/>
      <c r="L143" s="17">
        <f>IF($D143="","",IF($K143&lt;&gt;"","Received "&amp;TEXT($K143,"mm/dd"),IF(AND(ISNUMBER($J143),TODAY()&gt;$J143),"OVERDUE","Pending")))</f>
        <v/>
      </c>
      <c r="M143" s="16" t="n"/>
      <c r="N143" s="16" t="n"/>
    </row>
    <row r="144">
      <c r="B144" s="17">
        <f>IF($D144="","","ME"&amp;TEXT(ROW()-5,"000"))</f>
        <v/>
      </c>
      <c r="C144" s="18" t="n"/>
      <c r="D144" s="16" t="n"/>
      <c r="E144" s="17">
        <f>IF($D144="","",IFERROR(INDEX(rngCadetPIDs,MATCH($D144,rngCadetNames,0)),"?"))</f>
        <v/>
      </c>
      <c r="F144" s="16" t="n"/>
      <c r="G144" s="16" t="n"/>
      <c r="H144" s="19">
        <f>IF(OR($D144="",$C144=""),"",_xlfn.LET(_xlpm.dn,IFERROR(_xlfn.XLOOKUP($C144,nrCDdate,nrCDnum),""),IF(_xlpm.dn="","(not a class day)",IFERROR(_xlfn.XLOOKUP(_xlpm.dn+cfgMemoDueClassDays,nrCDnum,nrCDdate),""))))</f>
        <v/>
      </c>
      <c r="I144" s="18" t="n"/>
      <c r="J144" s="19">
        <f>IF($D144="","",IF($I144&lt;&gt;"",$I144,IF(ISNUMBER($H144),$H144,"")))</f>
        <v/>
      </c>
      <c r="K144" s="18" t="n"/>
      <c r="L144" s="17">
        <f>IF($D144="","",IF($K144&lt;&gt;"","Received "&amp;TEXT($K144,"mm/dd"),IF(AND(ISNUMBER($J144),TODAY()&gt;$J144),"OVERDUE","Pending")))</f>
        <v/>
      </c>
      <c r="M144" s="16" t="n"/>
      <c r="N144" s="16" t="n"/>
    </row>
    <row r="145">
      <c r="B145" s="17">
        <f>IF($D145="","","ME"&amp;TEXT(ROW()-5,"000"))</f>
        <v/>
      </c>
      <c r="C145" s="18" t="n"/>
      <c r="D145" s="16" t="n"/>
      <c r="E145" s="17">
        <f>IF($D145="","",IFERROR(INDEX(rngCadetPIDs,MATCH($D145,rngCadetNames,0)),"?"))</f>
        <v/>
      </c>
      <c r="F145" s="16" t="n"/>
      <c r="G145" s="16" t="n"/>
      <c r="H145" s="19">
        <f>IF(OR($D145="",$C145=""),"",_xlfn.LET(_xlpm.dn,IFERROR(_xlfn.XLOOKUP($C145,nrCDdate,nrCDnum),""),IF(_xlpm.dn="","(not a class day)",IFERROR(_xlfn.XLOOKUP(_xlpm.dn+cfgMemoDueClassDays,nrCDnum,nrCDdate),""))))</f>
        <v/>
      </c>
      <c r="I145" s="18" t="n"/>
      <c r="J145" s="19">
        <f>IF($D145="","",IF($I145&lt;&gt;"",$I145,IF(ISNUMBER($H145),$H145,"")))</f>
        <v/>
      </c>
      <c r="K145" s="18" t="n"/>
      <c r="L145" s="17">
        <f>IF($D145="","",IF($K145&lt;&gt;"","Received "&amp;TEXT($K145,"mm/dd"),IF(AND(ISNUMBER($J145),TODAY()&gt;$J145),"OVERDUE","Pending")))</f>
        <v/>
      </c>
      <c r="M145" s="16" t="n"/>
      <c r="N145" s="16" t="n"/>
    </row>
    <row r="146">
      <c r="B146" s="17">
        <f>IF($D146="","","ME"&amp;TEXT(ROW()-5,"000"))</f>
        <v/>
      </c>
      <c r="C146" s="18" t="n"/>
      <c r="D146" s="16" t="n"/>
      <c r="E146" s="17">
        <f>IF($D146="","",IFERROR(INDEX(rngCadetPIDs,MATCH($D146,rngCadetNames,0)),"?"))</f>
        <v/>
      </c>
      <c r="F146" s="16" t="n"/>
      <c r="G146" s="16" t="n"/>
      <c r="H146" s="19">
        <f>IF(OR($D146="",$C146=""),"",_xlfn.LET(_xlpm.dn,IFERROR(_xlfn.XLOOKUP($C146,nrCDdate,nrCDnum),""),IF(_xlpm.dn="","(not a class day)",IFERROR(_xlfn.XLOOKUP(_xlpm.dn+cfgMemoDueClassDays,nrCDnum,nrCDdate),""))))</f>
        <v/>
      </c>
      <c r="I146" s="18" t="n"/>
      <c r="J146" s="19">
        <f>IF($D146="","",IF($I146&lt;&gt;"",$I146,IF(ISNUMBER($H146),$H146,"")))</f>
        <v/>
      </c>
      <c r="K146" s="18" t="n"/>
      <c r="L146" s="17">
        <f>IF($D146="","",IF($K146&lt;&gt;"","Received "&amp;TEXT($K146,"mm/dd"),IF(AND(ISNUMBER($J146),TODAY()&gt;$J146),"OVERDUE","Pending")))</f>
        <v/>
      </c>
      <c r="M146" s="16" t="n"/>
      <c r="N146" s="16" t="n"/>
    </row>
    <row r="147">
      <c r="B147" s="17">
        <f>IF($D147="","","ME"&amp;TEXT(ROW()-5,"000"))</f>
        <v/>
      </c>
      <c r="C147" s="18" t="n"/>
      <c r="D147" s="16" t="n"/>
      <c r="E147" s="17">
        <f>IF($D147="","",IFERROR(INDEX(rngCadetPIDs,MATCH($D147,rngCadetNames,0)),"?"))</f>
        <v/>
      </c>
      <c r="F147" s="16" t="n"/>
      <c r="G147" s="16" t="n"/>
      <c r="H147" s="19">
        <f>IF(OR($D147="",$C147=""),"",_xlfn.LET(_xlpm.dn,IFERROR(_xlfn.XLOOKUP($C147,nrCDdate,nrCDnum),""),IF(_xlpm.dn="","(not a class day)",IFERROR(_xlfn.XLOOKUP(_xlpm.dn+cfgMemoDueClassDays,nrCDnum,nrCDdate),""))))</f>
        <v/>
      </c>
      <c r="I147" s="18" t="n"/>
      <c r="J147" s="19">
        <f>IF($D147="","",IF($I147&lt;&gt;"",$I147,IF(ISNUMBER($H147),$H147,"")))</f>
        <v/>
      </c>
      <c r="K147" s="18" t="n"/>
      <c r="L147" s="17">
        <f>IF($D147="","",IF($K147&lt;&gt;"","Received "&amp;TEXT($K147,"mm/dd"),IF(AND(ISNUMBER($J147),TODAY()&gt;$J147),"OVERDUE","Pending")))</f>
        <v/>
      </c>
      <c r="M147" s="16" t="n"/>
      <c r="N147" s="16" t="n"/>
    </row>
    <row r="148">
      <c r="B148" s="17">
        <f>IF($D148="","","ME"&amp;TEXT(ROW()-5,"000"))</f>
        <v/>
      </c>
      <c r="C148" s="18" t="n"/>
      <c r="D148" s="16" t="n"/>
      <c r="E148" s="17">
        <f>IF($D148="","",IFERROR(INDEX(rngCadetPIDs,MATCH($D148,rngCadetNames,0)),"?"))</f>
        <v/>
      </c>
      <c r="F148" s="16" t="n"/>
      <c r="G148" s="16" t="n"/>
      <c r="H148" s="19">
        <f>IF(OR($D148="",$C148=""),"",_xlfn.LET(_xlpm.dn,IFERROR(_xlfn.XLOOKUP($C148,nrCDdate,nrCDnum),""),IF(_xlpm.dn="","(not a class day)",IFERROR(_xlfn.XLOOKUP(_xlpm.dn+cfgMemoDueClassDays,nrCDnum,nrCDdate),""))))</f>
        <v/>
      </c>
      <c r="I148" s="18" t="n"/>
      <c r="J148" s="19">
        <f>IF($D148="","",IF($I148&lt;&gt;"",$I148,IF(ISNUMBER($H148),$H148,"")))</f>
        <v/>
      </c>
      <c r="K148" s="18" t="n"/>
      <c r="L148" s="17">
        <f>IF($D148="","",IF($K148&lt;&gt;"","Received "&amp;TEXT($K148,"mm/dd"),IF(AND(ISNUMBER($J148),TODAY()&gt;$J148),"OVERDUE","Pending")))</f>
        <v/>
      </c>
      <c r="M148" s="16" t="n"/>
      <c r="N148" s="16" t="n"/>
    </row>
    <row r="149">
      <c r="B149" s="17">
        <f>IF($D149="","","ME"&amp;TEXT(ROW()-5,"000"))</f>
        <v/>
      </c>
      <c r="C149" s="18" t="n"/>
      <c r="D149" s="16" t="n"/>
      <c r="E149" s="17">
        <f>IF($D149="","",IFERROR(INDEX(rngCadetPIDs,MATCH($D149,rngCadetNames,0)),"?"))</f>
        <v/>
      </c>
      <c r="F149" s="16" t="n"/>
      <c r="G149" s="16" t="n"/>
      <c r="H149" s="19">
        <f>IF(OR($D149="",$C149=""),"",_xlfn.LET(_xlpm.dn,IFERROR(_xlfn.XLOOKUP($C149,nrCDdate,nrCDnum),""),IF(_xlpm.dn="","(not a class day)",IFERROR(_xlfn.XLOOKUP(_xlpm.dn+cfgMemoDueClassDays,nrCDnum,nrCDdate),""))))</f>
        <v/>
      </c>
      <c r="I149" s="18" t="n"/>
      <c r="J149" s="19">
        <f>IF($D149="","",IF($I149&lt;&gt;"",$I149,IF(ISNUMBER($H149),$H149,"")))</f>
        <v/>
      </c>
      <c r="K149" s="18" t="n"/>
      <c r="L149" s="17">
        <f>IF($D149="","",IF($K149&lt;&gt;"","Received "&amp;TEXT($K149,"mm/dd"),IF(AND(ISNUMBER($J149),TODAY()&gt;$J149),"OVERDUE","Pending")))</f>
        <v/>
      </c>
      <c r="M149" s="16" t="n"/>
      <c r="N149" s="16" t="n"/>
    </row>
    <row r="150">
      <c r="B150" s="17">
        <f>IF($D150="","","ME"&amp;TEXT(ROW()-5,"000"))</f>
        <v/>
      </c>
      <c r="C150" s="18" t="n"/>
      <c r="D150" s="16" t="n"/>
      <c r="E150" s="17">
        <f>IF($D150="","",IFERROR(INDEX(rngCadetPIDs,MATCH($D150,rngCadetNames,0)),"?"))</f>
        <v/>
      </c>
      <c r="F150" s="16" t="n"/>
      <c r="G150" s="16" t="n"/>
      <c r="H150" s="19">
        <f>IF(OR($D150="",$C150=""),"",_xlfn.LET(_xlpm.dn,IFERROR(_xlfn.XLOOKUP($C150,nrCDdate,nrCDnum),""),IF(_xlpm.dn="","(not a class day)",IFERROR(_xlfn.XLOOKUP(_xlpm.dn+cfgMemoDueClassDays,nrCDnum,nrCDdate),""))))</f>
        <v/>
      </c>
      <c r="I150" s="18" t="n"/>
      <c r="J150" s="19">
        <f>IF($D150="","",IF($I150&lt;&gt;"",$I150,IF(ISNUMBER($H150),$H150,"")))</f>
        <v/>
      </c>
      <c r="K150" s="18" t="n"/>
      <c r="L150" s="17">
        <f>IF($D150="","",IF($K150&lt;&gt;"","Received "&amp;TEXT($K150,"mm/dd"),IF(AND(ISNUMBER($J150),TODAY()&gt;$J150),"OVERDUE","Pending")))</f>
        <v/>
      </c>
      <c r="M150" s="16" t="n"/>
      <c r="N150" s="16" t="n"/>
    </row>
    <row r="151">
      <c r="B151" s="17">
        <f>IF($D151="","","ME"&amp;TEXT(ROW()-5,"000"))</f>
        <v/>
      </c>
      <c r="C151" s="18" t="n"/>
      <c r="D151" s="16" t="n"/>
      <c r="E151" s="17">
        <f>IF($D151="","",IFERROR(INDEX(rngCadetPIDs,MATCH($D151,rngCadetNames,0)),"?"))</f>
        <v/>
      </c>
      <c r="F151" s="16" t="n"/>
      <c r="G151" s="16" t="n"/>
      <c r="H151" s="19">
        <f>IF(OR($D151="",$C151=""),"",_xlfn.LET(_xlpm.dn,IFERROR(_xlfn.XLOOKUP($C151,nrCDdate,nrCDnum),""),IF(_xlpm.dn="","(not a class day)",IFERROR(_xlfn.XLOOKUP(_xlpm.dn+cfgMemoDueClassDays,nrCDnum,nrCDdate),""))))</f>
        <v/>
      </c>
      <c r="I151" s="18" t="n"/>
      <c r="J151" s="19">
        <f>IF($D151="","",IF($I151&lt;&gt;"",$I151,IF(ISNUMBER($H151),$H151,"")))</f>
        <v/>
      </c>
      <c r="K151" s="18" t="n"/>
      <c r="L151" s="17">
        <f>IF($D151="","",IF($K151&lt;&gt;"","Received "&amp;TEXT($K151,"mm/dd"),IF(AND(ISNUMBER($J151),TODAY()&gt;$J151),"OVERDUE","Pending")))</f>
        <v/>
      </c>
      <c r="M151" s="16" t="n"/>
      <c r="N151" s="16" t="n"/>
    </row>
    <row r="152">
      <c r="B152" s="17">
        <f>IF($D152="","","ME"&amp;TEXT(ROW()-5,"000"))</f>
        <v/>
      </c>
      <c r="C152" s="18" t="n"/>
      <c r="D152" s="16" t="n"/>
      <c r="E152" s="17">
        <f>IF($D152="","",IFERROR(INDEX(rngCadetPIDs,MATCH($D152,rngCadetNames,0)),"?"))</f>
        <v/>
      </c>
      <c r="F152" s="16" t="n"/>
      <c r="G152" s="16" t="n"/>
      <c r="H152" s="19">
        <f>IF(OR($D152="",$C152=""),"",_xlfn.LET(_xlpm.dn,IFERROR(_xlfn.XLOOKUP($C152,nrCDdate,nrCDnum),""),IF(_xlpm.dn="","(not a class day)",IFERROR(_xlfn.XLOOKUP(_xlpm.dn+cfgMemoDueClassDays,nrCDnum,nrCDdate),""))))</f>
        <v/>
      </c>
      <c r="I152" s="18" t="n"/>
      <c r="J152" s="19">
        <f>IF($D152="","",IF($I152&lt;&gt;"",$I152,IF(ISNUMBER($H152),$H152,"")))</f>
        <v/>
      </c>
      <c r="K152" s="18" t="n"/>
      <c r="L152" s="17">
        <f>IF($D152="","",IF($K152&lt;&gt;"","Received "&amp;TEXT($K152,"mm/dd"),IF(AND(ISNUMBER($J152),TODAY()&gt;$J152),"OVERDUE","Pending")))</f>
        <v/>
      </c>
      <c r="M152" s="16" t="n"/>
      <c r="N152" s="16" t="n"/>
    </row>
    <row r="153">
      <c r="B153" s="17">
        <f>IF($D153="","","ME"&amp;TEXT(ROW()-5,"000"))</f>
        <v/>
      </c>
      <c r="C153" s="18" t="n"/>
      <c r="D153" s="16" t="n"/>
      <c r="E153" s="17">
        <f>IF($D153="","",IFERROR(INDEX(rngCadetPIDs,MATCH($D153,rngCadetNames,0)),"?"))</f>
        <v/>
      </c>
      <c r="F153" s="16" t="n"/>
      <c r="G153" s="16" t="n"/>
      <c r="H153" s="19">
        <f>IF(OR($D153="",$C153=""),"",_xlfn.LET(_xlpm.dn,IFERROR(_xlfn.XLOOKUP($C153,nrCDdate,nrCDnum),""),IF(_xlpm.dn="","(not a class day)",IFERROR(_xlfn.XLOOKUP(_xlpm.dn+cfgMemoDueClassDays,nrCDnum,nrCDdate),""))))</f>
        <v/>
      </c>
      <c r="I153" s="18" t="n"/>
      <c r="J153" s="19">
        <f>IF($D153="","",IF($I153&lt;&gt;"",$I153,IF(ISNUMBER($H153),$H153,"")))</f>
        <v/>
      </c>
      <c r="K153" s="18" t="n"/>
      <c r="L153" s="17">
        <f>IF($D153="","",IF($K153&lt;&gt;"","Received "&amp;TEXT($K153,"mm/dd"),IF(AND(ISNUMBER($J153),TODAY()&gt;$J153),"OVERDUE","Pending")))</f>
        <v/>
      </c>
      <c r="M153" s="16" t="n"/>
      <c r="N153" s="16" t="n"/>
    </row>
    <row r="154">
      <c r="B154" s="17">
        <f>IF($D154="","","ME"&amp;TEXT(ROW()-5,"000"))</f>
        <v/>
      </c>
      <c r="C154" s="18" t="n"/>
      <c r="D154" s="16" t="n"/>
      <c r="E154" s="17">
        <f>IF($D154="","",IFERROR(INDEX(rngCadetPIDs,MATCH($D154,rngCadetNames,0)),"?"))</f>
        <v/>
      </c>
      <c r="F154" s="16" t="n"/>
      <c r="G154" s="16" t="n"/>
      <c r="H154" s="19">
        <f>IF(OR($D154="",$C154=""),"",_xlfn.LET(_xlpm.dn,IFERROR(_xlfn.XLOOKUP($C154,nrCDdate,nrCDnum),""),IF(_xlpm.dn="","(not a class day)",IFERROR(_xlfn.XLOOKUP(_xlpm.dn+cfgMemoDueClassDays,nrCDnum,nrCDdate),""))))</f>
        <v/>
      </c>
      <c r="I154" s="18" t="n"/>
      <c r="J154" s="19">
        <f>IF($D154="","",IF($I154&lt;&gt;"",$I154,IF(ISNUMBER($H154),$H154,"")))</f>
        <v/>
      </c>
      <c r="K154" s="18" t="n"/>
      <c r="L154" s="17">
        <f>IF($D154="","",IF($K154&lt;&gt;"","Received "&amp;TEXT($K154,"mm/dd"),IF(AND(ISNUMBER($J154),TODAY()&gt;$J154),"OVERDUE","Pending")))</f>
        <v/>
      </c>
      <c r="M154" s="16" t="n"/>
      <c r="N154" s="16" t="n"/>
    </row>
    <row r="155">
      <c r="B155" s="17">
        <f>IF($D155="","","ME"&amp;TEXT(ROW()-5,"000"))</f>
        <v/>
      </c>
      <c r="C155" s="18" t="n"/>
      <c r="D155" s="16" t="n"/>
      <c r="E155" s="17">
        <f>IF($D155="","",IFERROR(INDEX(rngCadetPIDs,MATCH($D155,rngCadetNames,0)),"?"))</f>
        <v/>
      </c>
      <c r="F155" s="16" t="n"/>
      <c r="G155" s="16" t="n"/>
      <c r="H155" s="19">
        <f>IF(OR($D155="",$C155=""),"",_xlfn.LET(_xlpm.dn,IFERROR(_xlfn.XLOOKUP($C155,nrCDdate,nrCDnum),""),IF(_xlpm.dn="","(not a class day)",IFERROR(_xlfn.XLOOKUP(_xlpm.dn+cfgMemoDueClassDays,nrCDnum,nrCDdate),""))))</f>
        <v/>
      </c>
      <c r="I155" s="18" t="n"/>
      <c r="J155" s="19">
        <f>IF($D155="","",IF($I155&lt;&gt;"",$I155,IF(ISNUMBER($H155),$H155,"")))</f>
        <v/>
      </c>
      <c r="K155" s="18" t="n"/>
      <c r="L155" s="17">
        <f>IF($D155="","",IF($K155&lt;&gt;"","Received "&amp;TEXT($K155,"mm/dd"),IF(AND(ISNUMBER($J155),TODAY()&gt;$J155),"OVERDUE","Pending")))</f>
        <v/>
      </c>
      <c r="M155" s="16" t="n"/>
      <c r="N155" s="16" t="n"/>
    </row>
    <row r="156">
      <c r="B156" s="17">
        <f>IF($D156="","","ME"&amp;TEXT(ROW()-5,"000"))</f>
        <v/>
      </c>
      <c r="C156" s="18" t="n"/>
      <c r="D156" s="16" t="n"/>
      <c r="E156" s="17">
        <f>IF($D156="","",IFERROR(INDEX(rngCadetPIDs,MATCH($D156,rngCadetNames,0)),"?"))</f>
        <v/>
      </c>
      <c r="F156" s="16" t="n"/>
      <c r="G156" s="16" t="n"/>
      <c r="H156" s="19">
        <f>IF(OR($D156="",$C156=""),"",_xlfn.LET(_xlpm.dn,IFERROR(_xlfn.XLOOKUP($C156,nrCDdate,nrCDnum),""),IF(_xlpm.dn="","(not a class day)",IFERROR(_xlfn.XLOOKUP(_xlpm.dn+cfgMemoDueClassDays,nrCDnum,nrCDdate),""))))</f>
        <v/>
      </c>
      <c r="I156" s="18" t="n"/>
      <c r="J156" s="19">
        <f>IF($D156="","",IF($I156&lt;&gt;"",$I156,IF(ISNUMBER($H156),$H156,"")))</f>
        <v/>
      </c>
      <c r="K156" s="18" t="n"/>
      <c r="L156" s="17">
        <f>IF($D156="","",IF($K156&lt;&gt;"","Received "&amp;TEXT($K156,"mm/dd"),IF(AND(ISNUMBER($J156),TODAY()&gt;$J156),"OVERDUE","Pending")))</f>
        <v/>
      </c>
      <c r="M156" s="16" t="n"/>
      <c r="N156" s="16" t="n"/>
    </row>
    <row r="157">
      <c r="B157" s="17">
        <f>IF($D157="","","ME"&amp;TEXT(ROW()-5,"000"))</f>
        <v/>
      </c>
      <c r="C157" s="18" t="n"/>
      <c r="D157" s="16" t="n"/>
      <c r="E157" s="17">
        <f>IF($D157="","",IFERROR(INDEX(rngCadetPIDs,MATCH($D157,rngCadetNames,0)),"?"))</f>
        <v/>
      </c>
      <c r="F157" s="16" t="n"/>
      <c r="G157" s="16" t="n"/>
      <c r="H157" s="19">
        <f>IF(OR($D157="",$C157=""),"",_xlfn.LET(_xlpm.dn,IFERROR(_xlfn.XLOOKUP($C157,nrCDdate,nrCDnum),""),IF(_xlpm.dn="","(not a class day)",IFERROR(_xlfn.XLOOKUP(_xlpm.dn+cfgMemoDueClassDays,nrCDnum,nrCDdate),""))))</f>
        <v/>
      </c>
      <c r="I157" s="18" t="n"/>
      <c r="J157" s="19">
        <f>IF($D157="","",IF($I157&lt;&gt;"",$I157,IF(ISNUMBER($H157),$H157,"")))</f>
        <v/>
      </c>
      <c r="K157" s="18" t="n"/>
      <c r="L157" s="17">
        <f>IF($D157="","",IF($K157&lt;&gt;"","Received "&amp;TEXT($K157,"mm/dd"),IF(AND(ISNUMBER($J157),TODAY()&gt;$J157),"OVERDUE","Pending")))</f>
        <v/>
      </c>
      <c r="M157" s="16" t="n"/>
      <c r="N157" s="16" t="n"/>
    </row>
    <row r="158">
      <c r="B158" s="17">
        <f>IF($D158="","","ME"&amp;TEXT(ROW()-5,"000"))</f>
        <v/>
      </c>
      <c r="C158" s="18" t="n"/>
      <c r="D158" s="16" t="n"/>
      <c r="E158" s="17">
        <f>IF($D158="","",IFERROR(INDEX(rngCadetPIDs,MATCH($D158,rngCadetNames,0)),"?"))</f>
        <v/>
      </c>
      <c r="F158" s="16" t="n"/>
      <c r="G158" s="16" t="n"/>
      <c r="H158" s="19">
        <f>IF(OR($D158="",$C158=""),"",_xlfn.LET(_xlpm.dn,IFERROR(_xlfn.XLOOKUP($C158,nrCDdate,nrCDnum),""),IF(_xlpm.dn="","(not a class day)",IFERROR(_xlfn.XLOOKUP(_xlpm.dn+cfgMemoDueClassDays,nrCDnum,nrCDdate),""))))</f>
        <v/>
      </c>
      <c r="I158" s="18" t="n"/>
      <c r="J158" s="19">
        <f>IF($D158="","",IF($I158&lt;&gt;"",$I158,IF(ISNUMBER($H158),$H158,"")))</f>
        <v/>
      </c>
      <c r="K158" s="18" t="n"/>
      <c r="L158" s="17">
        <f>IF($D158="","",IF($K158&lt;&gt;"","Received "&amp;TEXT($K158,"mm/dd"),IF(AND(ISNUMBER($J158),TODAY()&gt;$J158),"OVERDUE","Pending")))</f>
        <v/>
      </c>
      <c r="M158" s="16" t="n"/>
      <c r="N158" s="16" t="n"/>
    </row>
    <row r="159">
      <c r="B159" s="17">
        <f>IF($D159="","","ME"&amp;TEXT(ROW()-5,"000"))</f>
        <v/>
      </c>
      <c r="C159" s="18" t="n"/>
      <c r="D159" s="16" t="n"/>
      <c r="E159" s="17">
        <f>IF($D159="","",IFERROR(INDEX(rngCadetPIDs,MATCH($D159,rngCadetNames,0)),"?"))</f>
        <v/>
      </c>
      <c r="F159" s="16" t="n"/>
      <c r="G159" s="16" t="n"/>
      <c r="H159" s="19">
        <f>IF(OR($D159="",$C159=""),"",_xlfn.LET(_xlpm.dn,IFERROR(_xlfn.XLOOKUP($C159,nrCDdate,nrCDnum),""),IF(_xlpm.dn="","(not a class day)",IFERROR(_xlfn.XLOOKUP(_xlpm.dn+cfgMemoDueClassDays,nrCDnum,nrCDdate),""))))</f>
        <v/>
      </c>
      <c r="I159" s="18" t="n"/>
      <c r="J159" s="19">
        <f>IF($D159="","",IF($I159&lt;&gt;"",$I159,IF(ISNUMBER($H159),$H159,"")))</f>
        <v/>
      </c>
      <c r="K159" s="18" t="n"/>
      <c r="L159" s="17">
        <f>IF($D159="","",IF($K159&lt;&gt;"","Received "&amp;TEXT($K159,"mm/dd"),IF(AND(ISNUMBER($J159),TODAY()&gt;$J159),"OVERDUE","Pending")))</f>
        <v/>
      </c>
      <c r="M159" s="16" t="n"/>
      <c r="N159" s="16" t="n"/>
    </row>
    <row r="160">
      <c r="B160" s="17">
        <f>IF($D160="","","ME"&amp;TEXT(ROW()-5,"000"))</f>
        <v/>
      </c>
      <c r="C160" s="18" t="n"/>
      <c r="D160" s="16" t="n"/>
      <c r="E160" s="17">
        <f>IF($D160="","",IFERROR(INDEX(rngCadetPIDs,MATCH($D160,rngCadetNames,0)),"?"))</f>
        <v/>
      </c>
      <c r="F160" s="16" t="n"/>
      <c r="G160" s="16" t="n"/>
      <c r="H160" s="19">
        <f>IF(OR($D160="",$C160=""),"",_xlfn.LET(_xlpm.dn,IFERROR(_xlfn.XLOOKUP($C160,nrCDdate,nrCDnum),""),IF(_xlpm.dn="","(not a class day)",IFERROR(_xlfn.XLOOKUP(_xlpm.dn+cfgMemoDueClassDays,nrCDnum,nrCDdate),""))))</f>
        <v/>
      </c>
      <c r="I160" s="18" t="n"/>
      <c r="J160" s="19">
        <f>IF($D160="","",IF($I160&lt;&gt;"",$I160,IF(ISNUMBER($H160),$H160,"")))</f>
        <v/>
      </c>
      <c r="K160" s="18" t="n"/>
      <c r="L160" s="17">
        <f>IF($D160="","",IF($K160&lt;&gt;"","Received "&amp;TEXT($K160,"mm/dd"),IF(AND(ISNUMBER($J160),TODAY()&gt;$J160),"OVERDUE","Pending")))</f>
        <v/>
      </c>
      <c r="M160" s="16" t="n"/>
      <c r="N160" s="16" t="n"/>
    </row>
    <row r="161">
      <c r="B161" s="17">
        <f>IF($D161="","","ME"&amp;TEXT(ROW()-5,"000"))</f>
        <v/>
      </c>
      <c r="C161" s="18" t="n"/>
      <c r="D161" s="16" t="n"/>
      <c r="E161" s="17">
        <f>IF($D161="","",IFERROR(INDEX(rngCadetPIDs,MATCH($D161,rngCadetNames,0)),"?"))</f>
        <v/>
      </c>
      <c r="F161" s="16" t="n"/>
      <c r="G161" s="16" t="n"/>
      <c r="H161" s="19">
        <f>IF(OR($D161="",$C161=""),"",_xlfn.LET(_xlpm.dn,IFERROR(_xlfn.XLOOKUP($C161,nrCDdate,nrCDnum),""),IF(_xlpm.dn="","(not a class day)",IFERROR(_xlfn.XLOOKUP(_xlpm.dn+cfgMemoDueClassDays,nrCDnum,nrCDdate),""))))</f>
        <v/>
      </c>
      <c r="I161" s="18" t="n"/>
      <c r="J161" s="19">
        <f>IF($D161="","",IF($I161&lt;&gt;"",$I161,IF(ISNUMBER($H161),$H161,"")))</f>
        <v/>
      </c>
      <c r="K161" s="18" t="n"/>
      <c r="L161" s="17">
        <f>IF($D161="","",IF($K161&lt;&gt;"","Received "&amp;TEXT($K161,"mm/dd"),IF(AND(ISNUMBER($J161),TODAY()&gt;$J161),"OVERDUE","Pending")))</f>
        <v/>
      </c>
      <c r="M161" s="16" t="n"/>
      <c r="N161" s="16" t="n"/>
    </row>
    <row r="162">
      <c r="B162" s="17">
        <f>IF($D162="","","ME"&amp;TEXT(ROW()-5,"000"))</f>
        <v/>
      </c>
      <c r="C162" s="18" t="n"/>
      <c r="D162" s="16" t="n"/>
      <c r="E162" s="17">
        <f>IF($D162="","",IFERROR(INDEX(rngCadetPIDs,MATCH($D162,rngCadetNames,0)),"?"))</f>
        <v/>
      </c>
      <c r="F162" s="16" t="n"/>
      <c r="G162" s="16" t="n"/>
      <c r="H162" s="19">
        <f>IF(OR($D162="",$C162=""),"",_xlfn.LET(_xlpm.dn,IFERROR(_xlfn.XLOOKUP($C162,nrCDdate,nrCDnum),""),IF(_xlpm.dn="","(not a class day)",IFERROR(_xlfn.XLOOKUP(_xlpm.dn+cfgMemoDueClassDays,nrCDnum,nrCDdate),""))))</f>
        <v/>
      </c>
      <c r="I162" s="18" t="n"/>
      <c r="J162" s="19">
        <f>IF($D162="","",IF($I162&lt;&gt;"",$I162,IF(ISNUMBER($H162),$H162,"")))</f>
        <v/>
      </c>
      <c r="K162" s="18" t="n"/>
      <c r="L162" s="17">
        <f>IF($D162="","",IF($K162&lt;&gt;"","Received "&amp;TEXT($K162,"mm/dd"),IF(AND(ISNUMBER($J162),TODAY()&gt;$J162),"OVERDUE","Pending")))</f>
        <v/>
      </c>
      <c r="M162" s="16" t="n"/>
      <c r="N162" s="16" t="n"/>
    </row>
    <row r="163">
      <c r="B163" s="17">
        <f>IF($D163="","","ME"&amp;TEXT(ROW()-5,"000"))</f>
        <v/>
      </c>
      <c r="C163" s="18" t="n"/>
      <c r="D163" s="16" t="n"/>
      <c r="E163" s="17">
        <f>IF($D163="","",IFERROR(INDEX(rngCadetPIDs,MATCH($D163,rngCadetNames,0)),"?"))</f>
        <v/>
      </c>
      <c r="F163" s="16" t="n"/>
      <c r="G163" s="16" t="n"/>
      <c r="H163" s="19">
        <f>IF(OR($D163="",$C163=""),"",_xlfn.LET(_xlpm.dn,IFERROR(_xlfn.XLOOKUP($C163,nrCDdate,nrCDnum),""),IF(_xlpm.dn="","(not a class day)",IFERROR(_xlfn.XLOOKUP(_xlpm.dn+cfgMemoDueClassDays,nrCDnum,nrCDdate),""))))</f>
        <v/>
      </c>
      <c r="I163" s="18" t="n"/>
      <c r="J163" s="19">
        <f>IF($D163="","",IF($I163&lt;&gt;"",$I163,IF(ISNUMBER($H163),$H163,"")))</f>
        <v/>
      </c>
      <c r="K163" s="18" t="n"/>
      <c r="L163" s="17">
        <f>IF($D163="","",IF($K163&lt;&gt;"","Received "&amp;TEXT($K163,"mm/dd"),IF(AND(ISNUMBER($J163),TODAY()&gt;$J163),"OVERDUE","Pending")))</f>
        <v/>
      </c>
      <c r="M163" s="16" t="n"/>
      <c r="N163" s="16" t="n"/>
    </row>
    <row r="164">
      <c r="B164" s="17">
        <f>IF($D164="","","ME"&amp;TEXT(ROW()-5,"000"))</f>
        <v/>
      </c>
      <c r="C164" s="18" t="n"/>
      <c r="D164" s="16" t="n"/>
      <c r="E164" s="17">
        <f>IF($D164="","",IFERROR(INDEX(rngCadetPIDs,MATCH($D164,rngCadetNames,0)),"?"))</f>
        <v/>
      </c>
      <c r="F164" s="16" t="n"/>
      <c r="G164" s="16" t="n"/>
      <c r="H164" s="19">
        <f>IF(OR($D164="",$C164=""),"",_xlfn.LET(_xlpm.dn,IFERROR(_xlfn.XLOOKUP($C164,nrCDdate,nrCDnum),""),IF(_xlpm.dn="","(not a class day)",IFERROR(_xlfn.XLOOKUP(_xlpm.dn+cfgMemoDueClassDays,nrCDnum,nrCDdate),""))))</f>
        <v/>
      </c>
      <c r="I164" s="18" t="n"/>
      <c r="J164" s="19">
        <f>IF($D164="","",IF($I164&lt;&gt;"",$I164,IF(ISNUMBER($H164),$H164,"")))</f>
        <v/>
      </c>
      <c r="K164" s="18" t="n"/>
      <c r="L164" s="17">
        <f>IF($D164="","",IF($K164&lt;&gt;"","Received "&amp;TEXT($K164,"mm/dd"),IF(AND(ISNUMBER($J164),TODAY()&gt;$J164),"OVERDUE","Pending")))</f>
        <v/>
      </c>
      <c r="M164" s="16" t="n"/>
      <c r="N164" s="16" t="n"/>
    </row>
    <row r="165">
      <c r="B165" s="17">
        <f>IF($D165="","","ME"&amp;TEXT(ROW()-5,"000"))</f>
        <v/>
      </c>
      <c r="C165" s="18" t="n"/>
      <c r="D165" s="16" t="n"/>
      <c r="E165" s="17">
        <f>IF($D165="","",IFERROR(INDEX(rngCadetPIDs,MATCH($D165,rngCadetNames,0)),"?"))</f>
        <v/>
      </c>
      <c r="F165" s="16" t="n"/>
      <c r="G165" s="16" t="n"/>
      <c r="H165" s="19">
        <f>IF(OR($D165="",$C165=""),"",_xlfn.LET(_xlpm.dn,IFERROR(_xlfn.XLOOKUP($C165,nrCDdate,nrCDnum),""),IF(_xlpm.dn="","(not a class day)",IFERROR(_xlfn.XLOOKUP(_xlpm.dn+cfgMemoDueClassDays,nrCDnum,nrCDdate),""))))</f>
        <v/>
      </c>
      <c r="I165" s="18" t="n"/>
      <c r="J165" s="19">
        <f>IF($D165="","",IF($I165&lt;&gt;"",$I165,IF(ISNUMBER($H165),$H165,"")))</f>
        <v/>
      </c>
      <c r="K165" s="18" t="n"/>
      <c r="L165" s="17">
        <f>IF($D165="","",IF($K165&lt;&gt;"","Received "&amp;TEXT($K165,"mm/dd"),IF(AND(ISNUMBER($J165),TODAY()&gt;$J165),"OVERDUE","Pending")))</f>
        <v/>
      </c>
      <c r="M165" s="16" t="n"/>
      <c r="N165" s="16" t="n"/>
    </row>
    <row r="166">
      <c r="B166" s="17">
        <f>IF($D166="","","ME"&amp;TEXT(ROW()-5,"000"))</f>
        <v/>
      </c>
      <c r="C166" s="18" t="n"/>
      <c r="D166" s="16" t="n"/>
      <c r="E166" s="17">
        <f>IF($D166="","",IFERROR(INDEX(rngCadetPIDs,MATCH($D166,rngCadetNames,0)),"?"))</f>
        <v/>
      </c>
      <c r="F166" s="16" t="n"/>
      <c r="G166" s="16" t="n"/>
      <c r="H166" s="19">
        <f>IF(OR($D166="",$C166=""),"",_xlfn.LET(_xlpm.dn,IFERROR(_xlfn.XLOOKUP($C166,nrCDdate,nrCDnum),""),IF(_xlpm.dn="","(not a class day)",IFERROR(_xlfn.XLOOKUP(_xlpm.dn+cfgMemoDueClassDays,nrCDnum,nrCDdate),""))))</f>
        <v/>
      </c>
      <c r="I166" s="18" t="n"/>
      <c r="J166" s="19">
        <f>IF($D166="","",IF($I166&lt;&gt;"",$I166,IF(ISNUMBER($H166),$H166,"")))</f>
        <v/>
      </c>
      <c r="K166" s="18" t="n"/>
      <c r="L166" s="17">
        <f>IF($D166="","",IF($K166&lt;&gt;"","Received "&amp;TEXT($K166,"mm/dd"),IF(AND(ISNUMBER($J166),TODAY()&gt;$J166),"OVERDUE","Pending")))</f>
        <v/>
      </c>
      <c r="M166" s="16" t="n"/>
      <c r="N166" s="16" t="n"/>
    </row>
    <row r="167">
      <c r="B167" s="17">
        <f>IF($D167="","","ME"&amp;TEXT(ROW()-5,"000"))</f>
        <v/>
      </c>
      <c r="C167" s="18" t="n"/>
      <c r="D167" s="16" t="n"/>
      <c r="E167" s="17">
        <f>IF($D167="","",IFERROR(INDEX(rngCadetPIDs,MATCH($D167,rngCadetNames,0)),"?"))</f>
        <v/>
      </c>
      <c r="F167" s="16" t="n"/>
      <c r="G167" s="16" t="n"/>
      <c r="H167" s="19">
        <f>IF(OR($D167="",$C167=""),"",_xlfn.LET(_xlpm.dn,IFERROR(_xlfn.XLOOKUP($C167,nrCDdate,nrCDnum),""),IF(_xlpm.dn="","(not a class day)",IFERROR(_xlfn.XLOOKUP(_xlpm.dn+cfgMemoDueClassDays,nrCDnum,nrCDdate),""))))</f>
        <v/>
      </c>
      <c r="I167" s="18" t="n"/>
      <c r="J167" s="19">
        <f>IF($D167="","",IF($I167&lt;&gt;"",$I167,IF(ISNUMBER($H167),$H167,"")))</f>
        <v/>
      </c>
      <c r="K167" s="18" t="n"/>
      <c r="L167" s="17">
        <f>IF($D167="","",IF($K167&lt;&gt;"","Received "&amp;TEXT($K167,"mm/dd"),IF(AND(ISNUMBER($J167),TODAY()&gt;$J167),"OVERDUE","Pending")))</f>
        <v/>
      </c>
      <c r="M167" s="16" t="n"/>
      <c r="N167" s="16" t="n"/>
    </row>
    <row r="168">
      <c r="B168" s="17">
        <f>IF($D168="","","ME"&amp;TEXT(ROW()-5,"000"))</f>
        <v/>
      </c>
      <c r="C168" s="18" t="n"/>
      <c r="D168" s="16" t="n"/>
      <c r="E168" s="17">
        <f>IF($D168="","",IFERROR(INDEX(rngCadetPIDs,MATCH($D168,rngCadetNames,0)),"?"))</f>
        <v/>
      </c>
      <c r="F168" s="16" t="n"/>
      <c r="G168" s="16" t="n"/>
      <c r="H168" s="19">
        <f>IF(OR($D168="",$C168=""),"",_xlfn.LET(_xlpm.dn,IFERROR(_xlfn.XLOOKUP($C168,nrCDdate,nrCDnum),""),IF(_xlpm.dn="","(not a class day)",IFERROR(_xlfn.XLOOKUP(_xlpm.dn+cfgMemoDueClassDays,nrCDnum,nrCDdate),""))))</f>
        <v/>
      </c>
      <c r="I168" s="18" t="n"/>
      <c r="J168" s="19">
        <f>IF($D168="","",IF($I168&lt;&gt;"",$I168,IF(ISNUMBER($H168),$H168,"")))</f>
        <v/>
      </c>
      <c r="K168" s="18" t="n"/>
      <c r="L168" s="17">
        <f>IF($D168="","",IF($K168&lt;&gt;"","Received "&amp;TEXT($K168,"mm/dd"),IF(AND(ISNUMBER($J168),TODAY()&gt;$J168),"OVERDUE","Pending")))</f>
        <v/>
      </c>
      <c r="M168" s="16" t="n"/>
      <c r="N168" s="16" t="n"/>
    </row>
    <row r="169">
      <c r="B169" s="17">
        <f>IF($D169="","","ME"&amp;TEXT(ROW()-5,"000"))</f>
        <v/>
      </c>
      <c r="C169" s="18" t="n"/>
      <c r="D169" s="16" t="n"/>
      <c r="E169" s="17">
        <f>IF($D169="","",IFERROR(INDEX(rngCadetPIDs,MATCH($D169,rngCadetNames,0)),"?"))</f>
        <v/>
      </c>
      <c r="F169" s="16" t="n"/>
      <c r="G169" s="16" t="n"/>
      <c r="H169" s="19">
        <f>IF(OR($D169="",$C169=""),"",_xlfn.LET(_xlpm.dn,IFERROR(_xlfn.XLOOKUP($C169,nrCDdate,nrCDnum),""),IF(_xlpm.dn="","(not a class day)",IFERROR(_xlfn.XLOOKUP(_xlpm.dn+cfgMemoDueClassDays,nrCDnum,nrCDdate),""))))</f>
        <v/>
      </c>
      <c r="I169" s="18" t="n"/>
      <c r="J169" s="19">
        <f>IF($D169="","",IF($I169&lt;&gt;"",$I169,IF(ISNUMBER($H169),$H169,"")))</f>
        <v/>
      </c>
      <c r="K169" s="18" t="n"/>
      <c r="L169" s="17">
        <f>IF($D169="","",IF($K169&lt;&gt;"","Received "&amp;TEXT($K169,"mm/dd"),IF(AND(ISNUMBER($J169),TODAY()&gt;$J169),"OVERDUE","Pending")))</f>
        <v/>
      </c>
      <c r="M169" s="16" t="n"/>
      <c r="N169" s="16" t="n"/>
    </row>
    <row r="170">
      <c r="B170" s="17">
        <f>IF($D170="","","ME"&amp;TEXT(ROW()-5,"000"))</f>
        <v/>
      </c>
      <c r="C170" s="18" t="n"/>
      <c r="D170" s="16" t="n"/>
      <c r="E170" s="17">
        <f>IF($D170="","",IFERROR(INDEX(rngCadetPIDs,MATCH($D170,rngCadetNames,0)),"?"))</f>
        <v/>
      </c>
      <c r="F170" s="16" t="n"/>
      <c r="G170" s="16" t="n"/>
      <c r="H170" s="19">
        <f>IF(OR($D170="",$C170=""),"",_xlfn.LET(_xlpm.dn,IFERROR(_xlfn.XLOOKUP($C170,nrCDdate,nrCDnum),""),IF(_xlpm.dn="","(not a class day)",IFERROR(_xlfn.XLOOKUP(_xlpm.dn+cfgMemoDueClassDays,nrCDnum,nrCDdate),""))))</f>
        <v/>
      </c>
      <c r="I170" s="18" t="n"/>
      <c r="J170" s="19">
        <f>IF($D170="","",IF($I170&lt;&gt;"",$I170,IF(ISNUMBER($H170),$H170,"")))</f>
        <v/>
      </c>
      <c r="K170" s="18" t="n"/>
      <c r="L170" s="17">
        <f>IF($D170="","",IF($K170&lt;&gt;"","Received "&amp;TEXT($K170,"mm/dd"),IF(AND(ISNUMBER($J170),TODAY()&gt;$J170),"OVERDUE","Pending")))</f>
        <v/>
      </c>
      <c r="M170" s="16" t="n"/>
      <c r="N170" s="16" t="n"/>
    </row>
    <row r="171">
      <c r="B171" s="17">
        <f>IF($D171="","","ME"&amp;TEXT(ROW()-5,"000"))</f>
        <v/>
      </c>
      <c r="C171" s="18" t="n"/>
      <c r="D171" s="16" t="n"/>
      <c r="E171" s="17">
        <f>IF($D171="","",IFERROR(INDEX(rngCadetPIDs,MATCH($D171,rngCadetNames,0)),"?"))</f>
        <v/>
      </c>
      <c r="F171" s="16" t="n"/>
      <c r="G171" s="16" t="n"/>
      <c r="H171" s="19">
        <f>IF(OR($D171="",$C171=""),"",_xlfn.LET(_xlpm.dn,IFERROR(_xlfn.XLOOKUP($C171,nrCDdate,nrCDnum),""),IF(_xlpm.dn="","(not a class day)",IFERROR(_xlfn.XLOOKUP(_xlpm.dn+cfgMemoDueClassDays,nrCDnum,nrCDdate),""))))</f>
        <v/>
      </c>
      <c r="I171" s="18" t="n"/>
      <c r="J171" s="19">
        <f>IF($D171="","",IF($I171&lt;&gt;"",$I171,IF(ISNUMBER($H171),$H171,"")))</f>
        <v/>
      </c>
      <c r="K171" s="18" t="n"/>
      <c r="L171" s="17">
        <f>IF($D171="","",IF($K171&lt;&gt;"","Received "&amp;TEXT($K171,"mm/dd"),IF(AND(ISNUMBER($J171),TODAY()&gt;$J171),"OVERDUE","Pending")))</f>
        <v/>
      </c>
      <c r="M171" s="16" t="n"/>
      <c r="N171" s="16" t="n"/>
    </row>
    <row r="172">
      <c r="B172" s="17">
        <f>IF($D172="","","ME"&amp;TEXT(ROW()-5,"000"))</f>
        <v/>
      </c>
      <c r="C172" s="18" t="n"/>
      <c r="D172" s="16" t="n"/>
      <c r="E172" s="17">
        <f>IF($D172="","",IFERROR(INDEX(rngCadetPIDs,MATCH($D172,rngCadetNames,0)),"?"))</f>
        <v/>
      </c>
      <c r="F172" s="16" t="n"/>
      <c r="G172" s="16" t="n"/>
      <c r="H172" s="19">
        <f>IF(OR($D172="",$C172=""),"",_xlfn.LET(_xlpm.dn,IFERROR(_xlfn.XLOOKUP($C172,nrCDdate,nrCDnum),""),IF(_xlpm.dn="","(not a class day)",IFERROR(_xlfn.XLOOKUP(_xlpm.dn+cfgMemoDueClassDays,nrCDnum,nrCDdate),""))))</f>
        <v/>
      </c>
      <c r="I172" s="18" t="n"/>
      <c r="J172" s="19">
        <f>IF($D172="","",IF($I172&lt;&gt;"",$I172,IF(ISNUMBER($H172),$H172,"")))</f>
        <v/>
      </c>
      <c r="K172" s="18" t="n"/>
      <c r="L172" s="17">
        <f>IF($D172="","",IF($K172&lt;&gt;"","Received "&amp;TEXT($K172,"mm/dd"),IF(AND(ISNUMBER($J172),TODAY()&gt;$J172),"OVERDUE","Pending")))</f>
        <v/>
      </c>
      <c r="M172" s="16" t="n"/>
      <c r="N172" s="16" t="n"/>
    </row>
    <row r="173">
      <c r="B173" s="17">
        <f>IF($D173="","","ME"&amp;TEXT(ROW()-5,"000"))</f>
        <v/>
      </c>
      <c r="C173" s="18" t="n"/>
      <c r="D173" s="16" t="n"/>
      <c r="E173" s="17">
        <f>IF($D173="","",IFERROR(INDEX(rngCadetPIDs,MATCH($D173,rngCadetNames,0)),"?"))</f>
        <v/>
      </c>
      <c r="F173" s="16" t="n"/>
      <c r="G173" s="16" t="n"/>
      <c r="H173" s="19">
        <f>IF(OR($D173="",$C173=""),"",_xlfn.LET(_xlpm.dn,IFERROR(_xlfn.XLOOKUP($C173,nrCDdate,nrCDnum),""),IF(_xlpm.dn="","(not a class day)",IFERROR(_xlfn.XLOOKUP(_xlpm.dn+cfgMemoDueClassDays,nrCDnum,nrCDdate),""))))</f>
        <v/>
      </c>
      <c r="I173" s="18" t="n"/>
      <c r="J173" s="19">
        <f>IF($D173="","",IF($I173&lt;&gt;"",$I173,IF(ISNUMBER($H173),$H173,"")))</f>
        <v/>
      </c>
      <c r="K173" s="18" t="n"/>
      <c r="L173" s="17">
        <f>IF($D173="","",IF($K173&lt;&gt;"","Received "&amp;TEXT($K173,"mm/dd"),IF(AND(ISNUMBER($J173),TODAY()&gt;$J173),"OVERDUE","Pending")))</f>
        <v/>
      </c>
      <c r="M173" s="16" t="n"/>
      <c r="N173" s="16" t="n"/>
    </row>
    <row r="174">
      <c r="B174" s="17">
        <f>IF($D174="","","ME"&amp;TEXT(ROW()-5,"000"))</f>
        <v/>
      </c>
      <c r="C174" s="18" t="n"/>
      <c r="D174" s="16" t="n"/>
      <c r="E174" s="17">
        <f>IF($D174="","",IFERROR(INDEX(rngCadetPIDs,MATCH($D174,rngCadetNames,0)),"?"))</f>
        <v/>
      </c>
      <c r="F174" s="16" t="n"/>
      <c r="G174" s="16" t="n"/>
      <c r="H174" s="19">
        <f>IF(OR($D174="",$C174=""),"",_xlfn.LET(_xlpm.dn,IFERROR(_xlfn.XLOOKUP($C174,nrCDdate,nrCDnum),""),IF(_xlpm.dn="","(not a class day)",IFERROR(_xlfn.XLOOKUP(_xlpm.dn+cfgMemoDueClassDays,nrCDnum,nrCDdate),""))))</f>
        <v/>
      </c>
      <c r="I174" s="18" t="n"/>
      <c r="J174" s="19">
        <f>IF($D174="","",IF($I174&lt;&gt;"",$I174,IF(ISNUMBER($H174),$H174,"")))</f>
        <v/>
      </c>
      <c r="K174" s="18" t="n"/>
      <c r="L174" s="17">
        <f>IF($D174="","",IF($K174&lt;&gt;"","Received "&amp;TEXT($K174,"mm/dd"),IF(AND(ISNUMBER($J174),TODAY()&gt;$J174),"OVERDUE","Pending")))</f>
        <v/>
      </c>
      <c r="M174" s="16" t="n"/>
      <c r="N174" s="16" t="n"/>
    </row>
    <row r="175">
      <c r="B175" s="17">
        <f>IF($D175="","","ME"&amp;TEXT(ROW()-5,"000"))</f>
        <v/>
      </c>
      <c r="C175" s="18" t="n"/>
      <c r="D175" s="16" t="n"/>
      <c r="E175" s="17">
        <f>IF($D175="","",IFERROR(INDEX(rngCadetPIDs,MATCH($D175,rngCadetNames,0)),"?"))</f>
        <v/>
      </c>
      <c r="F175" s="16" t="n"/>
      <c r="G175" s="16" t="n"/>
      <c r="H175" s="19">
        <f>IF(OR($D175="",$C175=""),"",_xlfn.LET(_xlpm.dn,IFERROR(_xlfn.XLOOKUP($C175,nrCDdate,nrCDnum),""),IF(_xlpm.dn="","(not a class day)",IFERROR(_xlfn.XLOOKUP(_xlpm.dn+cfgMemoDueClassDays,nrCDnum,nrCDdate),""))))</f>
        <v/>
      </c>
      <c r="I175" s="18" t="n"/>
      <c r="J175" s="19">
        <f>IF($D175="","",IF($I175&lt;&gt;"",$I175,IF(ISNUMBER($H175),$H175,"")))</f>
        <v/>
      </c>
      <c r="K175" s="18" t="n"/>
      <c r="L175" s="17">
        <f>IF($D175="","",IF($K175&lt;&gt;"","Received "&amp;TEXT($K175,"mm/dd"),IF(AND(ISNUMBER($J175),TODAY()&gt;$J175),"OVERDUE","Pending")))</f>
        <v/>
      </c>
      <c r="M175" s="16" t="n"/>
      <c r="N175" s="16" t="n"/>
    </row>
    <row r="176">
      <c r="B176" s="17">
        <f>IF($D176="","","ME"&amp;TEXT(ROW()-5,"000"))</f>
        <v/>
      </c>
      <c r="C176" s="18" t="n"/>
      <c r="D176" s="16" t="n"/>
      <c r="E176" s="17">
        <f>IF($D176="","",IFERROR(INDEX(rngCadetPIDs,MATCH($D176,rngCadetNames,0)),"?"))</f>
        <v/>
      </c>
      <c r="F176" s="16" t="n"/>
      <c r="G176" s="16" t="n"/>
      <c r="H176" s="19">
        <f>IF(OR($D176="",$C176=""),"",_xlfn.LET(_xlpm.dn,IFERROR(_xlfn.XLOOKUP($C176,nrCDdate,nrCDnum),""),IF(_xlpm.dn="","(not a class day)",IFERROR(_xlfn.XLOOKUP(_xlpm.dn+cfgMemoDueClassDays,nrCDnum,nrCDdate),""))))</f>
        <v/>
      </c>
      <c r="I176" s="18" t="n"/>
      <c r="J176" s="19">
        <f>IF($D176="","",IF($I176&lt;&gt;"",$I176,IF(ISNUMBER($H176),$H176,"")))</f>
        <v/>
      </c>
      <c r="K176" s="18" t="n"/>
      <c r="L176" s="17">
        <f>IF($D176="","",IF($K176&lt;&gt;"","Received "&amp;TEXT($K176,"mm/dd"),IF(AND(ISNUMBER($J176),TODAY()&gt;$J176),"OVERDUE","Pending")))</f>
        <v/>
      </c>
      <c r="M176" s="16" t="n"/>
      <c r="N176" s="16" t="n"/>
    </row>
    <row r="177">
      <c r="B177" s="17">
        <f>IF($D177="","","ME"&amp;TEXT(ROW()-5,"000"))</f>
        <v/>
      </c>
      <c r="C177" s="18" t="n"/>
      <c r="D177" s="16" t="n"/>
      <c r="E177" s="17">
        <f>IF($D177="","",IFERROR(INDEX(rngCadetPIDs,MATCH($D177,rngCadetNames,0)),"?"))</f>
        <v/>
      </c>
      <c r="F177" s="16" t="n"/>
      <c r="G177" s="16" t="n"/>
      <c r="H177" s="19">
        <f>IF(OR($D177="",$C177=""),"",_xlfn.LET(_xlpm.dn,IFERROR(_xlfn.XLOOKUP($C177,nrCDdate,nrCDnum),""),IF(_xlpm.dn="","(not a class day)",IFERROR(_xlfn.XLOOKUP(_xlpm.dn+cfgMemoDueClassDays,nrCDnum,nrCDdate),""))))</f>
        <v/>
      </c>
      <c r="I177" s="18" t="n"/>
      <c r="J177" s="19">
        <f>IF($D177="","",IF($I177&lt;&gt;"",$I177,IF(ISNUMBER($H177),$H177,"")))</f>
        <v/>
      </c>
      <c r="K177" s="18" t="n"/>
      <c r="L177" s="17">
        <f>IF($D177="","",IF($K177&lt;&gt;"","Received "&amp;TEXT($K177,"mm/dd"),IF(AND(ISNUMBER($J177),TODAY()&gt;$J177),"OVERDUE","Pending")))</f>
        <v/>
      </c>
      <c r="M177" s="16" t="n"/>
      <c r="N177" s="16" t="n"/>
    </row>
    <row r="178">
      <c r="B178" s="17">
        <f>IF($D178="","","ME"&amp;TEXT(ROW()-5,"000"))</f>
        <v/>
      </c>
      <c r="C178" s="18" t="n"/>
      <c r="D178" s="16" t="n"/>
      <c r="E178" s="17">
        <f>IF($D178="","",IFERROR(INDEX(rngCadetPIDs,MATCH($D178,rngCadetNames,0)),"?"))</f>
        <v/>
      </c>
      <c r="F178" s="16" t="n"/>
      <c r="G178" s="16" t="n"/>
      <c r="H178" s="19">
        <f>IF(OR($D178="",$C178=""),"",_xlfn.LET(_xlpm.dn,IFERROR(_xlfn.XLOOKUP($C178,nrCDdate,nrCDnum),""),IF(_xlpm.dn="","(not a class day)",IFERROR(_xlfn.XLOOKUP(_xlpm.dn+cfgMemoDueClassDays,nrCDnum,nrCDdate),""))))</f>
        <v/>
      </c>
      <c r="I178" s="18" t="n"/>
      <c r="J178" s="19">
        <f>IF($D178="","",IF($I178&lt;&gt;"",$I178,IF(ISNUMBER($H178),$H178,"")))</f>
        <v/>
      </c>
      <c r="K178" s="18" t="n"/>
      <c r="L178" s="17">
        <f>IF($D178="","",IF($K178&lt;&gt;"","Received "&amp;TEXT($K178,"mm/dd"),IF(AND(ISNUMBER($J178),TODAY()&gt;$J178),"OVERDUE","Pending")))</f>
        <v/>
      </c>
      <c r="M178" s="16" t="n"/>
      <c r="N178" s="16" t="n"/>
    </row>
    <row r="179">
      <c r="B179" s="17">
        <f>IF($D179="","","ME"&amp;TEXT(ROW()-5,"000"))</f>
        <v/>
      </c>
      <c r="C179" s="18" t="n"/>
      <c r="D179" s="16" t="n"/>
      <c r="E179" s="17">
        <f>IF($D179="","",IFERROR(INDEX(rngCadetPIDs,MATCH($D179,rngCadetNames,0)),"?"))</f>
        <v/>
      </c>
      <c r="F179" s="16" t="n"/>
      <c r="G179" s="16" t="n"/>
      <c r="H179" s="19">
        <f>IF(OR($D179="",$C179=""),"",_xlfn.LET(_xlpm.dn,IFERROR(_xlfn.XLOOKUP($C179,nrCDdate,nrCDnum),""),IF(_xlpm.dn="","(not a class day)",IFERROR(_xlfn.XLOOKUP(_xlpm.dn+cfgMemoDueClassDays,nrCDnum,nrCDdate),""))))</f>
        <v/>
      </c>
      <c r="I179" s="18" t="n"/>
      <c r="J179" s="19">
        <f>IF($D179="","",IF($I179&lt;&gt;"",$I179,IF(ISNUMBER($H179),$H179,"")))</f>
        <v/>
      </c>
      <c r="K179" s="18" t="n"/>
      <c r="L179" s="17">
        <f>IF($D179="","",IF($K179&lt;&gt;"","Received "&amp;TEXT($K179,"mm/dd"),IF(AND(ISNUMBER($J179),TODAY()&gt;$J179),"OVERDUE","Pending")))</f>
        <v/>
      </c>
      <c r="M179" s="16" t="n"/>
      <c r="N179" s="16" t="n"/>
    </row>
    <row r="180">
      <c r="B180" s="17">
        <f>IF($D180="","","ME"&amp;TEXT(ROW()-5,"000"))</f>
        <v/>
      </c>
      <c r="C180" s="18" t="n"/>
      <c r="D180" s="16" t="n"/>
      <c r="E180" s="17">
        <f>IF($D180="","",IFERROR(INDEX(rngCadetPIDs,MATCH($D180,rngCadetNames,0)),"?"))</f>
        <v/>
      </c>
      <c r="F180" s="16" t="n"/>
      <c r="G180" s="16" t="n"/>
      <c r="H180" s="19">
        <f>IF(OR($D180="",$C180=""),"",_xlfn.LET(_xlpm.dn,IFERROR(_xlfn.XLOOKUP($C180,nrCDdate,nrCDnum),""),IF(_xlpm.dn="","(not a class day)",IFERROR(_xlfn.XLOOKUP(_xlpm.dn+cfgMemoDueClassDays,nrCDnum,nrCDdate),""))))</f>
        <v/>
      </c>
      <c r="I180" s="18" t="n"/>
      <c r="J180" s="19">
        <f>IF($D180="","",IF($I180&lt;&gt;"",$I180,IF(ISNUMBER($H180),$H180,"")))</f>
        <v/>
      </c>
      <c r="K180" s="18" t="n"/>
      <c r="L180" s="17">
        <f>IF($D180="","",IF($K180&lt;&gt;"","Received "&amp;TEXT($K180,"mm/dd"),IF(AND(ISNUMBER($J180),TODAY()&gt;$J180),"OVERDUE","Pending")))</f>
        <v/>
      </c>
      <c r="M180" s="16" t="n"/>
      <c r="N180" s="16" t="n"/>
    </row>
    <row r="181">
      <c r="B181" s="17">
        <f>IF($D181="","","ME"&amp;TEXT(ROW()-5,"000"))</f>
        <v/>
      </c>
      <c r="C181" s="18" t="n"/>
      <c r="D181" s="16" t="n"/>
      <c r="E181" s="17">
        <f>IF($D181="","",IFERROR(INDEX(rngCadetPIDs,MATCH($D181,rngCadetNames,0)),"?"))</f>
        <v/>
      </c>
      <c r="F181" s="16" t="n"/>
      <c r="G181" s="16" t="n"/>
      <c r="H181" s="19">
        <f>IF(OR($D181="",$C181=""),"",_xlfn.LET(_xlpm.dn,IFERROR(_xlfn.XLOOKUP($C181,nrCDdate,nrCDnum),""),IF(_xlpm.dn="","(not a class day)",IFERROR(_xlfn.XLOOKUP(_xlpm.dn+cfgMemoDueClassDays,nrCDnum,nrCDdate),""))))</f>
        <v/>
      </c>
      <c r="I181" s="18" t="n"/>
      <c r="J181" s="19">
        <f>IF($D181="","",IF($I181&lt;&gt;"",$I181,IF(ISNUMBER($H181),$H181,"")))</f>
        <v/>
      </c>
      <c r="K181" s="18" t="n"/>
      <c r="L181" s="17">
        <f>IF($D181="","",IF($K181&lt;&gt;"","Received "&amp;TEXT($K181,"mm/dd"),IF(AND(ISNUMBER($J181),TODAY()&gt;$J181),"OVERDUE","Pending")))</f>
        <v/>
      </c>
      <c r="M181" s="16" t="n"/>
      <c r="N181" s="16" t="n"/>
    </row>
    <row r="182">
      <c r="B182" s="17">
        <f>IF($D182="","","ME"&amp;TEXT(ROW()-5,"000"))</f>
        <v/>
      </c>
      <c r="C182" s="18" t="n"/>
      <c r="D182" s="16" t="n"/>
      <c r="E182" s="17">
        <f>IF($D182="","",IFERROR(INDEX(rngCadetPIDs,MATCH($D182,rngCadetNames,0)),"?"))</f>
        <v/>
      </c>
      <c r="F182" s="16" t="n"/>
      <c r="G182" s="16" t="n"/>
      <c r="H182" s="19">
        <f>IF(OR($D182="",$C182=""),"",_xlfn.LET(_xlpm.dn,IFERROR(_xlfn.XLOOKUP($C182,nrCDdate,nrCDnum),""),IF(_xlpm.dn="","(not a class day)",IFERROR(_xlfn.XLOOKUP(_xlpm.dn+cfgMemoDueClassDays,nrCDnum,nrCDdate),""))))</f>
        <v/>
      </c>
      <c r="I182" s="18" t="n"/>
      <c r="J182" s="19">
        <f>IF($D182="","",IF($I182&lt;&gt;"",$I182,IF(ISNUMBER($H182),$H182,"")))</f>
        <v/>
      </c>
      <c r="K182" s="18" t="n"/>
      <c r="L182" s="17">
        <f>IF($D182="","",IF($K182&lt;&gt;"","Received "&amp;TEXT($K182,"mm/dd"),IF(AND(ISNUMBER($J182),TODAY()&gt;$J182),"OVERDUE","Pending")))</f>
        <v/>
      </c>
      <c r="M182" s="16" t="n"/>
      <c r="N182" s="16" t="n"/>
    </row>
    <row r="183">
      <c r="B183" s="17">
        <f>IF($D183="","","ME"&amp;TEXT(ROW()-5,"000"))</f>
        <v/>
      </c>
      <c r="C183" s="18" t="n"/>
      <c r="D183" s="16" t="n"/>
      <c r="E183" s="17">
        <f>IF($D183="","",IFERROR(INDEX(rngCadetPIDs,MATCH($D183,rngCadetNames,0)),"?"))</f>
        <v/>
      </c>
      <c r="F183" s="16" t="n"/>
      <c r="G183" s="16" t="n"/>
      <c r="H183" s="19">
        <f>IF(OR($D183="",$C183=""),"",_xlfn.LET(_xlpm.dn,IFERROR(_xlfn.XLOOKUP($C183,nrCDdate,nrCDnum),""),IF(_xlpm.dn="","(not a class day)",IFERROR(_xlfn.XLOOKUP(_xlpm.dn+cfgMemoDueClassDays,nrCDnum,nrCDdate),""))))</f>
        <v/>
      </c>
      <c r="I183" s="18" t="n"/>
      <c r="J183" s="19">
        <f>IF($D183="","",IF($I183&lt;&gt;"",$I183,IF(ISNUMBER($H183),$H183,"")))</f>
        <v/>
      </c>
      <c r="K183" s="18" t="n"/>
      <c r="L183" s="17">
        <f>IF($D183="","",IF($K183&lt;&gt;"","Received "&amp;TEXT($K183,"mm/dd"),IF(AND(ISNUMBER($J183),TODAY()&gt;$J183),"OVERDUE","Pending")))</f>
        <v/>
      </c>
      <c r="M183" s="16" t="n"/>
      <c r="N183" s="16" t="n"/>
    </row>
    <row r="184">
      <c r="B184" s="17">
        <f>IF($D184="","","ME"&amp;TEXT(ROW()-5,"000"))</f>
        <v/>
      </c>
      <c r="C184" s="18" t="n"/>
      <c r="D184" s="16" t="n"/>
      <c r="E184" s="17">
        <f>IF($D184="","",IFERROR(INDEX(rngCadetPIDs,MATCH($D184,rngCadetNames,0)),"?"))</f>
        <v/>
      </c>
      <c r="F184" s="16" t="n"/>
      <c r="G184" s="16" t="n"/>
      <c r="H184" s="19">
        <f>IF(OR($D184="",$C184=""),"",_xlfn.LET(_xlpm.dn,IFERROR(_xlfn.XLOOKUP($C184,nrCDdate,nrCDnum),""),IF(_xlpm.dn="","(not a class day)",IFERROR(_xlfn.XLOOKUP(_xlpm.dn+cfgMemoDueClassDays,nrCDnum,nrCDdate),""))))</f>
        <v/>
      </c>
      <c r="I184" s="18" t="n"/>
      <c r="J184" s="19">
        <f>IF($D184="","",IF($I184&lt;&gt;"",$I184,IF(ISNUMBER($H184),$H184,"")))</f>
        <v/>
      </c>
      <c r="K184" s="18" t="n"/>
      <c r="L184" s="17">
        <f>IF($D184="","",IF($K184&lt;&gt;"","Received "&amp;TEXT($K184,"mm/dd"),IF(AND(ISNUMBER($J184),TODAY()&gt;$J184),"OVERDUE","Pending")))</f>
        <v/>
      </c>
      <c r="M184" s="16" t="n"/>
      <c r="N184" s="16" t="n"/>
    </row>
    <row r="185">
      <c r="B185" s="17">
        <f>IF($D185="","","ME"&amp;TEXT(ROW()-5,"000"))</f>
        <v/>
      </c>
      <c r="C185" s="18" t="n"/>
      <c r="D185" s="16" t="n"/>
      <c r="E185" s="17">
        <f>IF($D185="","",IFERROR(INDEX(rngCadetPIDs,MATCH($D185,rngCadetNames,0)),"?"))</f>
        <v/>
      </c>
      <c r="F185" s="16" t="n"/>
      <c r="G185" s="16" t="n"/>
      <c r="H185" s="19">
        <f>IF(OR($D185="",$C185=""),"",_xlfn.LET(_xlpm.dn,IFERROR(_xlfn.XLOOKUP($C185,nrCDdate,nrCDnum),""),IF(_xlpm.dn="","(not a class day)",IFERROR(_xlfn.XLOOKUP(_xlpm.dn+cfgMemoDueClassDays,nrCDnum,nrCDdate),""))))</f>
        <v/>
      </c>
      <c r="I185" s="18" t="n"/>
      <c r="J185" s="19">
        <f>IF($D185="","",IF($I185&lt;&gt;"",$I185,IF(ISNUMBER($H185),$H185,"")))</f>
        <v/>
      </c>
      <c r="K185" s="18" t="n"/>
      <c r="L185" s="17">
        <f>IF($D185="","",IF($K185&lt;&gt;"","Received "&amp;TEXT($K185,"mm/dd"),IF(AND(ISNUMBER($J185),TODAY()&gt;$J185),"OVERDUE","Pending")))</f>
        <v/>
      </c>
      <c r="M185" s="16" t="n"/>
      <c r="N185" s="16" t="n"/>
    </row>
    <row r="186">
      <c r="B186" s="17">
        <f>IF($D186="","","ME"&amp;TEXT(ROW()-5,"000"))</f>
        <v/>
      </c>
      <c r="C186" s="18" t="n"/>
      <c r="D186" s="16" t="n"/>
      <c r="E186" s="17">
        <f>IF($D186="","",IFERROR(INDEX(rngCadetPIDs,MATCH($D186,rngCadetNames,0)),"?"))</f>
        <v/>
      </c>
      <c r="F186" s="16" t="n"/>
      <c r="G186" s="16" t="n"/>
      <c r="H186" s="19">
        <f>IF(OR($D186="",$C186=""),"",_xlfn.LET(_xlpm.dn,IFERROR(_xlfn.XLOOKUP($C186,nrCDdate,nrCDnum),""),IF(_xlpm.dn="","(not a class day)",IFERROR(_xlfn.XLOOKUP(_xlpm.dn+cfgMemoDueClassDays,nrCDnum,nrCDdate),""))))</f>
        <v/>
      </c>
      <c r="I186" s="18" t="n"/>
      <c r="J186" s="19">
        <f>IF($D186="","",IF($I186&lt;&gt;"",$I186,IF(ISNUMBER($H186),$H186,"")))</f>
        <v/>
      </c>
      <c r="K186" s="18" t="n"/>
      <c r="L186" s="17">
        <f>IF($D186="","",IF($K186&lt;&gt;"","Received "&amp;TEXT($K186,"mm/dd"),IF(AND(ISNUMBER($J186),TODAY()&gt;$J186),"OVERDUE","Pending")))</f>
        <v/>
      </c>
      <c r="M186" s="16" t="n"/>
      <c r="N186" s="16" t="n"/>
    </row>
    <row r="187">
      <c r="B187" s="17">
        <f>IF($D187="","","ME"&amp;TEXT(ROW()-5,"000"))</f>
        <v/>
      </c>
      <c r="C187" s="18" t="n"/>
      <c r="D187" s="16" t="n"/>
      <c r="E187" s="17">
        <f>IF($D187="","",IFERROR(INDEX(rngCadetPIDs,MATCH($D187,rngCadetNames,0)),"?"))</f>
        <v/>
      </c>
      <c r="F187" s="16" t="n"/>
      <c r="G187" s="16" t="n"/>
      <c r="H187" s="19">
        <f>IF(OR($D187="",$C187=""),"",_xlfn.LET(_xlpm.dn,IFERROR(_xlfn.XLOOKUP($C187,nrCDdate,nrCDnum),""),IF(_xlpm.dn="","(not a class day)",IFERROR(_xlfn.XLOOKUP(_xlpm.dn+cfgMemoDueClassDays,nrCDnum,nrCDdate),""))))</f>
        <v/>
      </c>
      <c r="I187" s="18" t="n"/>
      <c r="J187" s="19">
        <f>IF($D187="","",IF($I187&lt;&gt;"",$I187,IF(ISNUMBER($H187),$H187,"")))</f>
        <v/>
      </c>
      <c r="K187" s="18" t="n"/>
      <c r="L187" s="17">
        <f>IF($D187="","",IF($K187&lt;&gt;"","Received "&amp;TEXT($K187,"mm/dd"),IF(AND(ISNUMBER($J187),TODAY()&gt;$J187),"OVERDUE","Pending")))</f>
        <v/>
      </c>
      <c r="M187" s="16" t="n"/>
      <c r="N187" s="16" t="n"/>
    </row>
    <row r="188">
      <c r="B188" s="17">
        <f>IF($D188="","","ME"&amp;TEXT(ROW()-5,"000"))</f>
        <v/>
      </c>
      <c r="C188" s="18" t="n"/>
      <c r="D188" s="16" t="n"/>
      <c r="E188" s="17">
        <f>IF($D188="","",IFERROR(INDEX(rngCadetPIDs,MATCH($D188,rngCadetNames,0)),"?"))</f>
        <v/>
      </c>
      <c r="F188" s="16" t="n"/>
      <c r="G188" s="16" t="n"/>
      <c r="H188" s="19">
        <f>IF(OR($D188="",$C188=""),"",_xlfn.LET(_xlpm.dn,IFERROR(_xlfn.XLOOKUP($C188,nrCDdate,nrCDnum),""),IF(_xlpm.dn="","(not a class day)",IFERROR(_xlfn.XLOOKUP(_xlpm.dn+cfgMemoDueClassDays,nrCDnum,nrCDdate),""))))</f>
        <v/>
      </c>
      <c r="I188" s="18" t="n"/>
      <c r="J188" s="19">
        <f>IF($D188="","",IF($I188&lt;&gt;"",$I188,IF(ISNUMBER($H188),$H188,"")))</f>
        <v/>
      </c>
      <c r="K188" s="18" t="n"/>
      <c r="L188" s="17">
        <f>IF($D188="","",IF($K188&lt;&gt;"","Received "&amp;TEXT($K188,"mm/dd"),IF(AND(ISNUMBER($J188),TODAY()&gt;$J188),"OVERDUE","Pending")))</f>
        <v/>
      </c>
      <c r="M188" s="16" t="n"/>
      <c r="N188" s="16" t="n"/>
    </row>
    <row r="189">
      <c r="B189" s="17">
        <f>IF($D189="","","ME"&amp;TEXT(ROW()-5,"000"))</f>
        <v/>
      </c>
      <c r="C189" s="18" t="n"/>
      <c r="D189" s="16" t="n"/>
      <c r="E189" s="17">
        <f>IF($D189="","",IFERROR(INDEX(rngCadetPIDs,MATCH($D189,rngCadetNames,0)),"?"))</f>
        <v/>
      </c>
      <c r="F189" s="16" t="n"/>
      <c r="G189" s="16" t="n"/>
      <c r="H189" s="19">
        <f>IF(OR($D189="",$C189=""),"",_xlfn.LET(_xlpm.dn,IFERROR(_xlfn.XLOOKUP($C189,nrCDdate,nrCDnum),""),IF(_xlpm.dn="","(not a class day)",IFERROR(_xlfn.XLOOKUP(_xlpm.dn+cfgMemoDueClassDays,nrCDnum,nrCDdate),""))))</f>
        <v/>
      </c>
      <c r="I189" s="18" t="n"/>
      <c r="J189" s="19">
        <f>IF($D189="","",IF($I189&lt;&gt;"",$I189,IF(ISNUMBER($H189),$H189,"")))</f>
        <v/>
      </c>
      <c r="K189" s="18" t="n"/>
      <c r="L189" s="17">
        <f>IF($D189="","",IF($K189&lt;&gt;"","Received "&amp;TEXT($K189,"mm/dd"),IF(AND(ISNUMBER($J189),TODAY()&gt;$J189),"OVERDUE","Pending")))</f>
        <v/>
      </c>
      <c r="M189" s="16" t="n"/>
      <c r="N189" s="16" t="n"/>
    </row>
    <row r="190">
      <c r="B190" s="17">
        <f>IF($D190="","","ME"&amp;TEXT(ROW()-5,"000"))</f>
        <v/>
      </c>
      <c r="C190" s="18" t="n"/>
      <c r="D190" s="16" t="n"/>
      <c r="E190" s="17">
        <f>IF($D190="","",IFERROR(INDEX(rngCadetPIDs,MATCH($D190,rngCadetNames,0)),"?"))</f>
        <v/>
      </c>
      <c r="F190" s="16" t="n"/>
      <c r="G190" s="16" t="n"/>
      <c r="H190" s="19">
        <f>IF(OR($D190="",$C190=""),"",_xlfn.LET(_xlpm.dn,IFERROR(_xlfn.XLOOKUP($C190,nrCDdate,nrCDnum),""),IF(_xlpm.dn="","(not a class day)",IFERROR(_xlfn.XLOOKUP(_xlpm.dn+cfgMemoDueClassDays,nrCDnum,nrCDdate),""))))</f>
        <v/>
      </c>
      <c r="I190" s="18" t="n"/>
      <c r="J190" s="19">
        <f>IF($D190="","",IF($I190&lt;&gt;"",$I190,IF(ISNUMBER($H190),$H190,"")))</f>
        <v/>
      </c>
      <c r="K190" s="18" t="n"/>
      <c r="L190" s="17">
        <f>IF($D190="","",IF($K190&lt;&gt;"","Received "&amp;TEXT($K190,"mm/dd"),IF(AND(ISNUMBER($J190),TODAY()&gt;$J190),"OVERDUE","Pending")))</f>
        <v/>
      </c>
      <c r="M190" s="16" t="n"/>
      <c r="N190" s="16" t="n"/>
    </row>
    <row r="191">
      <c r="B191" s="17">
        <f>IF($D191="","","ME"&amp;TEXT(ROW()-5,"000"))</f>
        <v/>
      </c>
      <c r="C191" s="18" t="n"/>
      <c r="D191" s="16" t="n"/>
      <c r="E191" s="17">
        <f>IF($D191="","",IFERROR(INDEX(rngCadetPIDs,MATCH($D191,rngCadetNames,0)),"?"))</f>
        <v/>
      </c>
      <c r="F191" s="16" t="n"/>
      <c r="G191" s="16" t="n"/>
      <c r="H191" s="19">
        <f>IF(OR($D191="",$C191=""),"",_xlfn.LET(_xlpm.dn,IFERROR(_xlfn.XLOOKUP($C191,nrCDdate,nrCDnum),""),IF(_xlpm.dn="","(not a class day)",IFERROR(_xlfn.XLOOKUP(_xlpm.dn+cfgMemoDueClassDays,nrCDnum,nrCDdate),""))))</f>
        <v/>
      </c>
      <c r="I191" s="18" t="n"/>
      <c r="J191" s="19">
        <f>IF($D191="","",IF($I191&lt;&gt;"",$I191,IF(ISNUMBER($H191),$H191,"")))</f>
        <v/>
      </c>
      <c r="K191" s="18" t="n"/>
      <c r="L191" s="17">
        <f>IF($D191="","",IF($K191&lt;&gt;"","Received "&amp;TEXT($K191,"mm/dd"),IF(AND(ISNUMBER($J191),TODAY()&gt;$J191),"OVERDUE","Pending")))</f>
        <v/>
      </c>
      <c r="M191" s="16" t="n"/>
      <c r="N191" s="16" t="n"/>
    </row>
    <row r="192">
      <c r="B192" s="17">
        <f>IF($D192="","","ME"&amp;TEXT(ROW()-5,"000"))</f>
        <v/>
      </c>
      <c r="C192" s="18" t="n"/>
      <c r="D192" s="16" t="n"/>
      <c r="E192" s="17">
        <f>IF($D192="","",IFERROR(INDEX(rngCadetPIDs,MATCH($D192,rngCadetNames,0)),"?"))</f>
        <v/>
      </c>
      <c r="F192" s="16" t="n"/>
      <c r="G192" s="16" t="n"/>
      <c r="H192" s="19">
        <f>IF(OR($D192="",$C192=""),"",_xlfn.LET(_xlpm.dn,IFERROR(_xlfn.XLOOKUP($C192,nrCDdate,nrCDnum),""),IF(_xlpm.dn="","(not a class day)",IFERROR(_xlfn.XLOOKUP(_xlpm.dn+cfgMemoDueClassDays,nrCDnum,nrCDdate),""))))</f>
        <v/>
      </c>
      <c r="I192" s="18" t="n"/>
      <c r="J192" s="19">
        <f>IF($D192="","",IF($I192&lt;&gt;"",$I192,IF(ISNUMBER($H192),$H192,"")))</f>
        <v/>
      </c>
      <c r="K192" s="18" t="n"/>
      <c r="L192" s="17">
        <f>IF($D192="","",IF($K192&lt;&gt;"","Received "&amp;TEXT($K192,"mm/dd"),IF(AND(ISNUMBER($J192),TODAY()&gt;$J192),"OVERDUE","Pending")))</f>
        <v/>
      </c>
      <c r="M192" s="16" t="n"/>
      <c r="N192" s="16" t="n"/>
    </row>
    <row r="193">
      <c r="B193" s="17">
        <f>IF($D193="","","ME"&amp;TEXT(ROW()-5,"000"))</f>
        <v/>
      </c>
      <c r="C193" s="18" t="n"/>
      <c r="D193" s="16" t="n"/>
      <c r="E193" s="17">
        <f>IF($D193="","",IFERROR(INDEX(rngCadetPIDs,MATCH($D193,rngCadetNames,0)),"?"))</f>
        <v/>
      </c>
      <c r="F193" s="16" t="n"/>
      <c r="G193" s="16" t="n"/>
      <c r="H193" s="19">
        <f>IF(OR($D193="",$C193=""),"",_xlfn.LET(_xlpm.dn,IFERROR(_xlfn.XLOOKUP($C193,nrCDdate,nrCDnum),""),IF(_xlpm.dn="","(not a class day)",IFERROR(_xlfn.XLOOKUP(_xlpm.dn+cfgMemoDueClassDays,nrCDnum,nrCDdate),""))))</f>
        <v/>
      </c>
      <c r="I193" s="18" t="n"/>
      <c r="J193" s="19">
        <f>IF($D193="","",IF($I193&lt;&gt;"",$I193,IF(ISNUMBER($H193),$H193,"")))</f>
        <v/>
      </c>
      <c r="K193" s="18" t="n"/>
      <c r="L193" s="17">
        <f>IF($D193="","",IF($K193&lt;&gt;"","Received "&amp;TEXT($K193,"mm/dd"),IF(AND(ISNUMBER($J193),TODAY()&gt;$J193),"OVERDUE","Pending")))</f>
        <v/>
      </c>
      <c r="M193" s="16" t="n"/>
      <c r="N193" s="16" t="n"/>
    </row>
    <row r="194">
      <c r="B194" s="17">
        <f>IF($D194="","","ME"&amp;TEXT(ROW()-5,"000"))</f>
        <v/>
      </c>
      <c r="C194" s="18" t="n"/>
      <c r="D194" s="16" t="n"/>
      <c r="E194" s="17">
        <f>IF($D194="","",IFERROR(INDEX(rngCadetPIDs,MATCH($D194,rngCadetNames,0)),"?"))</f>
        <v/>
      </c>
      <c r="F194" s="16" t="n"/>
      <c r="G194" s="16" t="n"/>
      <c r="H194" s="19">
        <f>IF(OR($D194="",$C194=""),"",_xlfn.LET(_xlpm.dn,IFERROR(_xlfn.XLOOKUP($C194,nrCDdate,nrCDnum),""),IF(_xlpm.dn="","(not a class day)",IFERROR(_xlfn.XLOOKUP(_xlpm.dn+cfgMemoDueClassDays,nrCDnum,nrCDdate),""))))</f>
        <v/>
      </c>
      <c r="I194" s="18" t="n"/>
      <c r="J194" s="19">
        <f>IF($D194="","",IF($I194&lt;&gt;"",$I194,IF(ISNUMBER($H194),$H194,"")))</f>
        <v/>
      </c>
      <c r="K194" s="18" t="n"/>
      <c r="L194" s="17">
        <f>IF($D194="","",IF($K194&lt;&gt;"","Received "&amp;TEXT($K194,"mm/dd"),IF(AND(ISNUMBER($J194),TODAY()&gt;$J194),"OVERDUE","Pending")))</f>
        <v/>
      </c>
      <c r="M194" s="16" t="n"/>
      <c r="N194" s="16" t="n"/>
    </row>
    <row r="195">
      <c r="B195" s="17">
        <f>IF($D195="","","ME"&amp;TEXT(ROW()-5,"000"))</f>
        <v/>
      </c>
      <c r="C195" s="18" t="n"/>
      <c r="D195" s="16" t="n"/>
      <c r="E195" s="17">
        <f>IF($D195="","",IFERROR(INDEX(rngCadetPIDs,MATCH($D195,rngCadetNames,0)),"?"))</f>
        <v/>
      </c>
      <c r="F195" s="16" t="n"/>
      <c r="G195" s="16" t="n"/>
      <c r="H195" s="19">
        <f>IF(OR($D195="",$C195=""),"",_xlfn.LET(_xlpm.dn,IFERROR(_xlfn.XLOOKUP($C195,nrCDdate,nrCDnum),""),IF(_xlpm.dn="","(not a class day)",IFERROR(_xlfn.XLOOKUP(_xlpm.dn+cfgMemoDueClassDays,nrCDnum,nrCDdate),""))))</f>
        <v/>
      </c>
      <c r="I195" s="18" t="n"/>
      <c r="J195" s="19">
        <f>IF($D195="","",IF($I195&lt;&gt;"",$I195,IF(ISNUMBER($H195),$H195,"")))</f>
        <v/>
      </c>
      <c r="K195" s="18" t="n"/>
      <c r="L195" s="17">
        <f>IF($D195="","",IF($K195&lt;&gt;"","Received "&amp;TEXT($K195,"mm/dd"),IF(AND(ISNUMBER($J195),TODAY()&gt;$J195),"OVERDUE","Pending")))</f>
        <v/>
      </c>
      <c r="M195" s="16" t="n"/>
      <c r="N195" s="16" t="n"/>
    </row>
    <row r="196">
      <c r="B196" s="17">
        <f>IF($D196="","","ME"&amp;TEXT(ROW()-5,"000"))</f>
        <v/>
      </c>
      <c r="C196" s="18" t="n"/>
      <c r="D196" s="16" t="n"/>
      <c r="E196" s="17">
        <f>IF($D196="","",IFERROR(INDEX(rngCadetPIDs,MATCH($D196,rngCadetNames,0)),"?"))</f>
        <v/>
      </c>
      <c r="F196" s="16" t="n"/>
      <c r="G196" s="16" t="n"/>
      <c r="H196" s="19">
        <f>IF(OR($D196="",$C196=""),"",_xlfn.LET(_xlpm.dn,IFERROR(_xlfn.XLOOKUP($C196,nrCDdate,nrCDnum),""),IF(_xlpm.dn="","(not a class day)",IFERROR(_xlfn.XLOOKUP(_xlpm.dn+cfgMemoDueClassDays,nrCDnum,nrCDdate),""))))</f>
        <v/>
      </c>
      <c r="I196" s="18" t="n"/>
      <c r="J196" s="19">
        <f>IF($D196="","",IF($I196&lt;&gt;"",$I196,IF(ISNUMBER($H196),$H196,"")))</f>
        <v/>
      </c>
      <c r="K196" s="18" t="n"/>
      <c r="L196" s="17">
        <f>IF($D196="","",IF($K196&lt;&gt;"","Received "&amp;TEXT($K196,"mm/dd"),IF(AND(ISNUMBER($J196),TODAY()&gt;$J196),"OVERDUE","Pending")))</f>
        <v/>
      </c>
      <c r="M196" s="16" t="n"/>
      <c r="N196" s="16" t="n"/>
    </row>
    <row r="197">
      <c r="B197" s="17">
        <f>IF($D197="","","ME"&amp;TEXT(ROW()-5,"000"))</f>
        <v/>
      </c>
      <c r="C197" s="18" t="n"/>
      <c r="D197" s="16" t="n"/>
      <c r="E197" s="17">
        <f>IF($D197="","",IFERROR(INDEX(rngCadetPIDs,MATCH($D197,rngCadetNames,0)),"?"))</f>
        <v/>
      </c>
      <c r="F197" s="16" t="n"/>
      <c r="G197" s="16" t="n"/>
      <c r="H197" s="19">
        <f>IF(OR($D197="",$C197=""),"",_xlfn.LET(_xlpm.dn,IFERROR(_xlfn.XLOOKUP($C197,nrCDdate,nrCDnum),""),IF(_xlpm.dn="","(not a class day)",IFERROR(_xlfn.XLOOKUP(_xlpm.dn+cfgMemoDueClassDays,nrCDnum,nrCDdate),""))))</f>
        <v/>
      </c>
      <c r="I197" s="18" t="n"/>
      <c r="J197" s="19">
        <f>IF($D197="","",IF($I197&lt;&gt;"",$I197,IF(ISNUMBER($H197),$H197,"")))</f>
        <v/>
      </c>
      <c r="K197" s="18" t="n"/>
      <c r="L197" s="17">
        <f>IF($D197="","",IF($K197&lt;&gt;"","Received "&amp;TEXT($K197,"mm/dd"),IF(AND(ISNUMBER($J197),TODAY()&gt;$J197),"OVERDUE","Pending")))</f>
        <v/>
      </c>
      <c r="M197" s="16" t="n"/>
      <c r="N197" s="16" t="n"/>
    </row>
    <row r="198">
      <c r="B198" s="17">
        <f>IF($D198="","","ME"&amp;TEXT(ROW()-5,"000"))</f>
        <v/>
      </c>
      <c r="C198" s="18" t="n"/>
      <c r="D198" s="16" t="n"/>
      <c r="E198" s="17">
        <f>IF($D198="","",IFERROR(INDEX(rngCadetPIDs,MATCH($D198,rngCadetNames,0)),"?"))</f>
        <v/>
      </c>
      <c r="F198" s="16" t="n"/>
      <c r="G198" s="16" t="n"/>
      <c r="H198" s="19">
        <f>IF(OR($D198="",$C198=""),"",_xlfn.LET(_xlpm.dn,IFERROR(_xlfn.XLOOKUP($C198,nrCDdate,nrCDnum),""),IF(_xlpm.dn="","(not a class day)",IFERROR(_xlfn.XLOOKUP(_xlpm.dn+cfgMemoDueClassDays,nrCDnum,nrCDdate),""))))</f>
        <v/>
      </c>
      <c r="I198" s="18" t="n"/>
      <c r="J198" s="19">
        <f>IF($D198="","",IF($I198&lt;&gt;"",$I198,IF(ISNUMBER($H198),$H198,"")))</f>
        <v/>
      </c>
      <c r="K198" s="18" t="n"/>
      <c r="L198" s="17">
        <f>IF($D198="","",IF($K198&lt;&gt;"","Received "&amp;TEXT($K198,"mm/dd"),IF(AND(ISNUMBER($J198),TODAY()&gt;$J198),"OVERDUE","Pending")))</f>
        <v/>
      </c>
      <c r="M198" s="16" t="n"/>
      <c r="N198" s="16" t="n"/>
    </row>
    <row r="199">
      <c r="B199" s="17">
        <f>IF($D199="","","ME"&amp;TEXT(ROW()-5,"000"))</f>
        <v/>
      </c>
      <c r="C199" s="18" t="n"/>
      <c r="D199" s="16" t="n"/>
      <c r="E199" s="17">
        <f>IF($D199="","",IFERROR(INDEX(rngCadetPIDs,MATCH($D199,rngCadetNames,0)),"?"))</f>
        <v/>
      </c>
      <c r="F199" s="16" t="n"/>
      <c r="G199" s="16" t="n"/>
      <c r="H199" s="19">
        <f>IF(OR($D199="",$C199=""),"",_xlfn.LET(_xlpm.dn,IFERROR(_xlfn.XLOOKUP($C199,nrCDdate,nrCDnum),""),IF(_xlpm.dn="","(not a class day)",IFERROR(_xlfn.XLOOKUP(_xlpm.dn+cfgMemoDueClassDays,nrCDnum,nrCDdate),""))))</f>
        <v/>
      </c>
      <c r="I199" s="18" t="n"/>
      <c r="J199" s="19">
        <f>IF($D199="","",IF($I199&lt;&gt;"",$I199,IF(ISNUMBER($H199),$H199,"")))</f>
        <v/>
      </c>
      <c r="K199" s="18" t="n"/>
      <c r="L199" s="17">
        <f>IF($D199="","",IF($K199&lt;&gt;"","Received "&amp;TEXT($K199,"mm/dd"),IF(AND(ISNUMBER($J199),TODAY()&gt;$J199),"OVERDUE","Pending")))</f>
        <v/>
      </c>
      <c r="M199" s="16" t="n"/>
      <c r="N199" s="16" t="n"/>
    </row>
    <row r="200">
      <c r="B200" s="17">
        <f>IF($D200="","","ME"&amp;TEXT(ROW()-5,"000"))</f>
        <v/>
      </c>
      <c r="C200" s="18" t="n"/>
      <c r="D200" s="16" t="n"/>
      <c r="E200" s="17">
        <f>IF($D200="","",IFERROR(INDEX(rngCadetPIDs,MATCH($D200,rngCadetNames,0)),"?"))</f>
        <v/>
      </c>
      <c r="F200" s="16" t="n"/>
      <c r="G200" s="16" t="n"/>
      <c r="H200" s="19">
        <f>IF(OR($D200="",$C200=""),"",_xlfn.LET(_xlpm.dn,IFERROR(_xlfn.XLOOKUP($C200,nrCDdate,nrCDnum),""),IF(_xlpm.dn="","(not a class day)",IFERROR(_xlfn.XLOOKUP(_xlpm.dn+cfgMemoDueClassDays,nrCDnum,nrCDdate),""))))</f>
        <v/>
      </c>
      <c r="I200" s="18" t="n"/>
      <c r="J200" s="19">
        <f>IF($D200="","",IF($I200&lt;&gt;"",$I200,IF(ISNUMBER($H200),$H200,"")))</f>
        <v/>
      </c>
      <c r="K200" s="18" t="n"/>
      <c r="L200" s="17">
        <f>IF($D200="","",IF($K200&lt;&gt;"","Received "&amp;TEXT($K200,"mm/dd"),IF(AND(ISNUMBER($J200),TODAY()&gt;$J200),"OVERDUE","Pending")))</f>
        <v/>
      </c>
      <c r="M200" s="16" t="n"/>
      <c r="N200" s="16" t="n"/>
    </row>
    <row r="201">
      <c r="B201" s="17">
        <f>IF($D201="","","ME"&amp;TEXT(ROW()-5,"000"))</f>
        <v/>
      </c>
      <c r="C201" s="18" t="n"/>
      <c r="D201" s="16" t="n"/>
      <c r="E201" s="17">
        <f>IF($D201="","",IFERROR(INDEX(rngCadetPIDs,MATCH($D201,rngCadetNames,0)),"?"))</f>
        <v/>
      </c>
      <c r="F201" s="16" t="n"/>
      <c r="G201" s="16" t="n"/>
      <c r="H201" s="19">
        <f>IF(OR($D201="",$C201=""),"",_xlfn.LET(_xlpm.dn,IFERROR(_xlfn.XLOOKUP($C201,nrCDdate,nrCDnum),""),IF(_xlpm.dn="","(not a class day)",IFERROR(_xlfn.XLOOKUP(_xlpm.dn+cfgMemoDueClassDays,nrCDnum,nrCDdate),""))))</f>
        <v/>
      </c>
      <c r="I201" s="18" t="n"/>
      <c r="J201" s="19">
        <f>IF($D201="","",IF($I201&lt;&gt;"",$I201,IF(ISNUMBER($H201),$H201,"")))</f>
        <v/>
      </c>
      <c r="K201" s="18" t="n"/>
      <c r="L201" s="17">
        <f>IF($D201="","",IF($K201&lt;&gt;"","Received "&amp;TEXT($K201,"mm/dd"),IF(AND(ISNUMBER($J201),TODAY()&gt;$J201),"OVERDUE","Pending")))</f>
        <v/>
      </c>
      <c r="M201" s="16" t="n"/>
      <c r="N201" s="16" t="n"/>
    </row>
    <row r="202">
      <c r="B202" s="17">
        <f>IF($D202="","","ME"&amp;TEXT(ROW()-5,"000"))</f>
        <v/>
      </c>
      <c r="C202" s="18" t="n"/>
      <c r="D202" s="16" t="n"/>
      <c r="E202" s="17">
        <f>IF($D202="","",IFERROR(INDEX(rngCadetPIDs,MATCH($D202,rngCadetNames,0)),"?"))</f>
        <v/>
      </c>
      <c r="F202" s="16" t="n"/>
      <c r="G202" s="16" t="n"/>
      <c r="H202" s="19">
        <f>IF(OR($D202="",$C202=""),"",_xlfn.LET(_xlpm.dn,IFERROR(_xlfn.XLOOKUP($C202,nrCDdate,nrCDnum),""),IF(_xlpm.dn="","(not a class day)",IFERROR(_xlfn.XLOOKUP(_xlpm.dn+cfgMemoDueClassDays,nrCDnum,nrCDdate),""))))</f>
        <v/>
      </c>
      <c r="I202" s="18" t="n"/>
      <c r="J202" s="19">
        <f>IF($D202="","",IF($I202&lt;&gt;"",$I202,IF(ISNUMBER($H202),$H202,"")))</f>
        <v/>
      </c>
      <c r="K202" s="18" t="n"/>
      <c r="L202" s="17">
        <f>IF($D202="","",IF($K202&lt;&gt;"","Received "&amp;TEXT($K202,"mm/dd"),IF(AND(ISNUMBER($J202),TODAY()&gt;$J202),"OVERDUE","Pending")))</f>
        <v/>
      </c>
      <c r="M202" s="16" t="n"/>
      <c r="N202" s="16" t="n"/>
    </row>
    <row r="203">
      <c r="B203" s="17">
        <f>IF($D203="","","ME"&amp;TEXT(ROW()-5,"000"))</f>
        <v/>
      </c>
      <c r="C203" s="18" t="n"/>
      <c r="D203" s="16" t="n"/>
      <c r="E203" s="17">
        <f>IF($D203="","",IFERROR(INDEX(rngCadetPIDs,MATCH($D203,rngCadetNames,0)),"?"))</f>
        <v/>
      </c>
      <c r="F203" s="16" t="n"/>
      <c r="G203" s="16" t="n"/>
      <c r="H203" s="19">
        <f>IF(OR($D203="",$C203=""),"",_xlfn.LET(_xlpm.dn,IFERROR(_xlfn.XLOOKUP($C203,nrCDdate,nrCDnum),""),IF(_xlpm.dn="","(not a class day)",IFERROR(_xlfn.XLOOKUP(_xlpm.dn+cfgMemoDueClassDays,nrCDnum,nrCDdate),""))))</f>
        <v/>
      </c>
      <c r="I203" s="18" t="n"/>
      <c r="J203" s="19">
        <f>IF($D203="","",IF($I203&lt;&gt;"",$I203,IF(ISNUMBER($H203),$H203,"")))</f>
        <v/>
      </c>
      <c r="K203" s="18" t="n"/>
      <c r="L203" s="17">
        <f>IF($D203="","",IF($K203&lt;&gt;"","Received "&amp;TEXT($K203,"mm/dd"),IF(AND(ISNUMBER($J203),TODAY()&gt;$J203),"OVERDUE","Pending")))</f>
        <v/>
      </c>
      <c r="M203" s="16" t="n"/>
      <c r="N203" s="16" t="n"/>
    </row>
    <row r="204">
      <c r="B204" s="17">
        <f>IF($D204="","","ME"&amp;TEXT(ROW()-5,"000"))</f>
        <v/>
      </c>
      <c r="C204" s="18" t="n"/>
      <c r="D204" s="16" t="n"/>
      <c r="E204" s="17">
        <f>IF($D204="","",IFERROR(INDEX(rngCadetPIDs,MATCH($D204,rngCadetNames,0)),"?"))</f>
        <v/>
      </c>
      <c r="F204" s="16" t="n"/>
      <c r="G204" s="16" t="n"/>
      <c r="H204" s="19">
        <f>IF(OR($D204="",$C204=""),"",_xlfn.LET(_xlpm.dn,IFERROR(_xlfn.XLOOKUP($C204,nrCDdate,nrCDnum),""),IF(_xlpm.dn="","(not a class day)",IFERROR(_xlfn.XLOOKUP(_xlpm.dn+cfgMemoDueClassDays,nrCDnum,nrCDdate),""))))</f>
        <v/>
      </c>
      <c r="I204" s="18" t="n"/>
      <c r="J204" s="19">
        <f>IF($D204="","",IF($I204&lt;&gt;"",$I204,IF(ISNUMBER($H204),$H204,"")))</f>
        <v/>
      </c>
      <c r="K204" s="18" t="n"/>
      <c r="L204" s="17">
        <f>IF($D204="","",IF($K204&lt;&gt;"","Received "&amp;TEXT($K204,"mm/dd"),IF(AND(ISNUMBER($J204),TODAY()&gt;$J204),"OVERDUE","Pending")))</f>
        <v/>
      </c>
      <c r="M204" s="16" t="n"/>
      <c r="N204" s="16" t="n"/>
    </row>
    <row r="205">
      <c r="B205" s="17">
        <f>IF($D205="","","ME"&amp;TEXT(ROW()-5,"000"))</f>
        <v/>
      </c>
      <c r="C205" s="18" t="n"/>
      <c r="D205" s="16" t="n"/>
      <c r="E205" s="17">
        <f>IF($D205="","",IFERROR(INDEX(rngCadetPIDs,MATCH($D205,rngCadetNames,0)),"?"))</f>
        <v/>
      </c>
      <c r="F205" s="16" t="n"/>
      <c r="G205" s="16" t="n"/>
      <c r="H205" s="19">
        <f>IF(OR($D205="",$C205=""),"",_xlfn.LET(_xlpm.dn,IFERROR(_xlfn.XLOOKUP($C205,nrCDdate,nrCDnum),""),IF(_xlpm.dn="","(not a class day)",IFERROR(_xlfn.XLOOKUP(_xlpm.dn+cfgMemoDueClassDays,nrCDnum,nrCDdate),""))))</f>
        <v/>
      </c>
      <c r="I205" s="18" t="n"/>
      <c r="J205" s="19">
        <f>IF($D205="","",IF($I205&lt;&gt;"",$I205,IF(ISNUMBER($H205),$H205,"")))</f>
        <v/>
      </c>
      <c r="K205" s="18" t="n"/>
      <c r="L205" s="17">
        <f>IF($D205="","",IF($K205&lt;&gt;"","Received "&amp;TEXT($K205,"mm/dd"),IF(AND(ISNUMBER($J205),TODAY()&gt;$J205),"OVERDUE","Pending")))</f>
        <v/>
      </c>
      <c r="M205" s="16" t="n"/>
      <c r="N205" s="16" t="n"/>
    </row>
    <row r="206">
      <c r="B206" s="17">
        <f>IF($D206="","","ME"&amp;TEXT(ROW()-5,"000"))</f>
        <v/>
      </c>
      <c r="C206" s="18" t="n"/>
      <c r="D206" s="16" t="n"/>
      <c r="E206" s="17">
        <f>IF($D206="","",IFERROR(INDEX(rngCadetPIDs,MATCH($D206,rngCadetNames,0)),"?"))</f>
        <v/>
      </c>
      <c r="F206" s="16" t="n"/>
      <c r="G206" s="16" t="n"/>
      <c r="H206" s="19">
        <f>IF(OR($D206="",$C206=""),"",_xlfn.LET(_xlpm.dn,IFERROR(_xlfn.XLOOKUP($C206,nrCDdate,nrCDnum),""),IF(_xlpm.dn="","(not a class day)",IFERROR(_xlfn.XLOOKUP(_xlpm.dn+cfgMemoDueClassDays,nrCDnum,nrCDdate),""))))</f>
        <v/>
      </c>
      <c r="I206" s="18" t="n"/>
      <c r="J206" s="19">
        <f>IF($D206="","",IF($I206&lt;&gt;"",$I206,IF(ISNUMBER($H206),$H206,"")))</f>
        <v/>
      </c>
      <c r="K206" s="18" t="n"/>
      <c r="L206" s="17">
        <f>IF($D206="","",IF($K206&lt;&gt;"","Received "&amp;TEXT($K206,"mm/dd"),IF(AND(ISNUMBER($J206),TODAY()&gt;$J206),"OVERDUE","Pending")))</f>
        <v/>
      </c>
      <c r="M206" s="16" t="n"/>
      <c r="N206" s="16" t="n"/>
    </row>
    <row r="207">
      <c r="B207" s="17">
        <f>IF($D207="","","ME"&amp;TEXT(ROW()-5,"000"))</f>
        <v/>
      </c>
      <c r="C207" s="18" t="n"/>
      <c r="D207" s="16" t="n"/>
      <c r="E207" s="17">
        <f>IF($D207="","",IFERROR(INDEX(rngCadetPIDs,MATCH($D207,rngCadetNames,0)),"?"))</f>
        <v/>
      </c>
      <c r="F207" s="16" t="n"/>
      <c r="G207" s="16" t="n"/>
      <c r="H207" s="19">
        <f>IF(OR($D207="",$C207=""),"",_xlfn.LET(_xlpm.dn,IFERROR(_xlfn.XLOOKUP($C207,nrCDdate,nrCDnum),""),IF(_xlpm.dn="","(not a class day)",IFERROR(_xlfn.XLOOKUP(_xlpm.dn+cfgMemoDueClassDays,nrCDnum,nrCDdate),""))))</f>
        <v/>
      </c>
      <c r="I207" s="18" t="n"/>
      <c r="J207" s="19">
        <f>IF($D207="","",IF($I207&lt;&gt;"",$I207,IF(ISNUMBER($H207),$H207,"")))</f>
        <v/>
      </c>
      <c r="K207" s="18" t="n"/>
      <c r="L207" s="17">
        <f>IF($D207="","",IF($K207&lt;&gt;"","Received "&amp;TEXT($K207,"mm/dd"),IF(AND(ISNUMBER($J207),TODAY()&gt;$J207),"OVERDUE","Pending")))</f>
        <v/>
      </c>
      <c r="M207" s="16" t="n"/>
      <c r="N207" s="16" t="n"/>
    </row>
    <row r="208">
      <c r="B208" s="17">
        <f>IF($D208="","","ME"&amp;TEXT(ROW()-5,"000"))</f>
        <v/>
      </c>
      <c r="C208" s="18" t="n"/>
      <c r="D208" s="16" t="n"/>
      <c r="E208" s="17">
        <f>IF($D208="","",IFERROR(INDEX(rngCadetPIDs,MATCH($D208,rngCadetNames,0)),"?"))</f>
        <v/>
      </c>
      <c r="F208" s="16" t="n"/>
      <c r="G208" s="16" t="n"/>
      <c r="H208" s="19">
        <f>IF(OR($D208="",$C208=""),"",_xlfn.LET(_xlpm.dn,IFERROR(_xlfn.XLOOKUP($C208,nrCDdate,nrCDnum),""),IF(_xlpm.dn="","(not a class day)",IFERROR(_xlfn.XLOOKUP(_xlpm.dn+cfgMemoDueClassDays,nrCDnum,nrCDdate),""))))</f>
        <v/>
      </c>
      <c r="I208" s="18" t="n"/>
      <c r="J208" s="19">
        <f>IF($D208="","",IF($I208&lt;&gt;"",$I208,IF(ISNUMBER($H208),$H208,"")))</f>
        <v/>
      </c>
      <c r="K208" s="18" t="n"/>
      <c r="L208" s="17">
        <f>IF($D208="","",IF($K208&lt;&gt;"","Received "&amp;TEXT($K208,"mm/dd"),IF(AND(ISNUMBER($J208),TODAY()&gt;$J208),"OVERDUE","Pending")))</f>
        <v/>
      </c>
      <c r="M208" s="16" t="n"/>
      <c r="N208" s="16" t="n"/>
    </row>
    <row r="209">
      <c r="B209" s="17">
        <f>IF($D209="","","ME"&amp;TEXT(ROW()-5,"000"))</f>
        <v/>
      </c>
      <c r="C209" s="18" t="n"/>
      <c r="D209" s="16" t="n"/>
      <c r="E209" s="17">
        <f>IF($D209="","",IFERROR(INDEX(rngCadetPIDs,MATCH($D209,rngCadetNames,0)),"?"))</f>
        <v/>
      </c>
      <c r="F209" s="16" t="n"/>
      <c r="G209" s="16" t="n"/>
      <c r="H209" s="19">
        <f>IF(OR($D209="",$C209=""),"",_xlfn.LET(_xlpm.dn,IFERROR(_xlfn.XLOOKUP($C209,nrCDdate,nrCDnum),""),IF(_xlpm.dn="","(not a class day)",IFERROR(_xlfn.XLOOKUP(_xlpm.dn+cfgMemoDueClassDays,nrCDnum,nrCDdate),""))))</f>
        <v/>
      </c>
      <c r="I209" s="18" t="n"/>
      <c r="J209" s="19">
        <f>IF($D209="","",IF($I209&lt;&gt;"",$I209,IF(ISNUMBER($H209),$H209,"")))</f>
        <v/>
      </c>
      <c r="K209" s="18" t="n"/>
      <c r="L209" s="17">
        <f>IF($D209="","",IF($K209&lt;&gt;"","Received "&amp;TEXT($K209,"mm/dd"),IF(AND(ISNUMBER($J209),TODAY()&gt;$J209),"OVERDUE","Pending")))</f>
        <v/>
      </c>
      <c r="M209" s="16" t="n"/>
      <c r="N209" s="16" t="n"/>
    </row>
    <row r="210">
      <c r="B210" s="17">
        <f>IF($D210="","","ME"&amp;TEXT(ROW()-5,"000"))</f>
        <v/>
      </c>
      <c r="C210" s="18" t="n"/>
      <c r="D210" s="16" t="n"/>
      <c r="E210" s="17">
        <f>IF($D210="","",IFERROR(INDEX(rngCadetPIDs,MATCH($D210,rngCadetNames,0)),"?"))</f>
        <v/>
      </c>
      <c r="F210" s="16" t="n"/>
      <c r="G210" s="16" t="n"/>
      <c r="H210" s="19">
        <f>IF(OR($D210="",$C210=""),"",_xlfn.LET(_xlpm.dn,IFERROR(_xlfn.XLOOKUP($C210,nrCDdate,nrCDnum),""),IF(_xlpm.dn="","(not a class day)",IFERROR(_xlfn.XLOOKUP(_xlpm.dn+cfgMemoDueClassDays,nrCDnum,nrCDdate),""))))</f>
        <v/>
      </c>
      <c r="I210" s="18" t="n"/>
      <c r="J210" s="19">
        <f>IF($D210="","",IF($I210&lt;&gt;"",$I210,IF(ISNUMBER($H210),$H210,"")))</f>
        <v/>
      </c>
      <c r="K210" s="18" t="n"/>
      <c r="L210" s="17">
        <f>IF($D210="","",IF($K210&lt;&gt;"","Received "&amp;TEXT($K210,"mm/dd"),IF(AND(ISNUMBER($J210),TODAY()&gt;$J210),"OVERDUE","Pending")))</f>
        <v/>
      </c>
      <c r="M210" s="16" t="n"/>
      <c r="N210" s="16" t="n"/>
    </row>
    <row r="211">
      <c r="B211" s="17">
        <f>IF($D211="","","ME"&amp;TEXT(ROW()-5,"000"))</f>
        <v/>
      </c>
      <c r="C211" s="18" t="n"/>
      <c r="D211" s="16" t="n"/>
      <c r="E211" s="17">
        <f>IF($D211="","",IFERROR(INDEX(rngCadetPIDs,MATCH($D211,rngCadetNames,0)),"?"))</f>
        <v/>
      </c>
      <c r="F211" s="16" t="n"/>
      <c r="G211" s="16" t="n"/>
      <c r="H211" s="19">
        <f>IF(OR($D211="",$C211=""),"",_xlfn.LET(_xlpm.dn,IFERROR(_xlfn.XLOOKUP($C211,nrCDdate,nrCDnum),""),IF(_xlpm.dn="","(not a class day)",IFERROR(_xlfn.XLOOKUP(_xlpm.dn+cfgMemoDueClassDays,nrCDnum,nrCDdate),""))))</f>
        <v/>
      </c>
      <c r="I211" s="18" t="n"/>
      <c r="J211" s="19">
        <f>IF($D211="","",IF($I211&lt;&gt;"",$I211,IF(ISNUMBER($H211),$H211,"")))</f>
        <v/>
      </c>
      <c r="K211" s="18" t="n"/>
      <c r="L211" s="17">
        <f>IF($D211="","",IF($K211&lt;&gt;"","Received "&amp;TEXT($K211,"mm/dd"),IF(AND(ISNUMBER($J211),TODAY()&gt;$J211),"OVERDUE","Pending")))</f>
        <v/>
      </c>
      <c r="M211" s="16" t="n"/>
      <c r="N211" s="16" t="n"/>
    </row>
    <row r="212">
      <c r="B212" s="17">
        <f>IF($D212="","","ME"&amp;TEXT(ROW()-5,"000"))</f>
        <v/>
      </c>
      <c r="C212" s="18" t="n"/>
      <c r="D212" s="16" t="n"/>
      <c r="E212" s="17">
        <f>IF($D212="","",IFERROR(INDEX(rngCadetPIDs,MATCH($D212,rngCadetNames,0)),"?"))</f>
        <v/>
      </c>
      <c r="F212" s="16" t="n"/>
      <c r="G212" s="16" t="n"/>
      <c r="H212" s="19">
        <f>IF(OR($D212="",$C212=""),"",_xlfn.LET(_xlpm.dn,IFERROR(_xlfn.XLOOKUP($C212,nrCDdate,nrCDnum),""),IF(_xlpm.dn="","(not a class day)",IFERROR(_xlfn.XLOOKUP(_xlpm.dn+cfgMemoDueClassDays,nrCDnum,nrCDdate),""))))</f>
        <v/>
      </c>
      <c r="I212" s="18" t="n"/>
      <c r="J212" s="19">
        <f>IF($D212="","",IF($I212&lt;&gt;"",$I212,IF(ISNUMBER($H212),$H212,"")))</f>
        <v/>
      </c>
      <c r="K212" s="18" t="n"/>
      <c r="L212" s="17">
        <f>IF($D212="","",IF($K212&lt;&gt;"","Received "&amp;TEXT($K212,"mm/dd"),IF(AND(ISNUMBER($J212),TODAY()&gt;$J212),"OVERDUE","Pending")))</f>
        <v/>
      </c>
      <c r="M212" s="16" t="n"/>
      <c r="N212" s="16" t="n"/>
    </row>
    <row r="213">
      <c r="B213" s="17">
        <f>IF($D213="","","ME"&amp;TEXT(ROW()-5,"000"))</f>
        <v/>
      </c>
      <c r="C213" s="18" t="n"/>
      <c r="D213" s="16" t="n"/>
      <c r="E213" s="17">
        <f>IF($D213="","",IFERROR(INDEX(rngCadetPIDs,MATCH($D213,rngCadetNames,0)),"?"))</f>
        <v/>
      </c>
      <c r="F213" s="16" t="n"/>
      <c r="G213" s="16" t="n"/>
      <c r="H213" s="19">
        <f>IF(OR($D213="",$C213=""),"",_xlfn.LET(_xlpm.dn,IFERROR(_xlfn.XLOOKUP($C213,nrCDdate,nrCDnum),""),IF(_xlpm.dn="","(not a class day)",IFERROR(_xlfn.XLOOKUP(_xlpm.dn+cfgMemoDueClassDays,nrCDnum,nrCDdate),""))))</f>
        <v/>
      </c>
      <c r="I213" s="18" t="n"/>
      <c r="J213" s="19">
        <f>IF($D213="","",IF($I213&lt;&gt;"",$I213,IF(ISNUMBER($H213),$H213,"")))</f>
        <v/>
      </c>
      <c r="K213" s="18" t="n"/>
      <c r="L213" s="17">
        <f>IF($D213="","",IF($K213&lt;&gt;"","Received "&amp;TEXT($K213,"mm/dd"),IF(AND(ISNUMBER($J213),TODAY()&gt;$J213),"OVERDUE","Pending")))</f>
        <v/>
      </c>
      <c r="M213" s="16" t="n"/>
      <c r="N213" s="16" t="n"/>
    </row>
    <row r="214">
      <c r="B214" s="17">
        <f>IF($D214="","","ME"&amp;TEXT(ROW()-5,"000"))</f>
        <v/>
      </c>
      <c r="C214" s="18" t="n"/>
      <c r="D214" s="16" t="n"/>
      <c r="E214" s="17">
        <f>IF($D214="","",IFERROR(INDEX(rngCadetPIDs,MATCH($D214,rngCadetNames,0)),"?"))</f>
        <v/>
      </c>
      <c r="F214" s="16" t="n"/>
      <c r="G214" s="16" t="n"/>
      <c r="H214" s="19">
        <f>IF(OR($D214="",$C214=""),"",_xlfn.LET(_xlpm.dn,IFERROR(_xlfn.XLOOKUP($C214,nrCDdate,nrCDnum),""),IF(_xlpm.dn="","(not a class day)",IFERROR(_xlfn.XLOOKUP(_xlpm.dn+cfgMemoDueClassDays,nrCDnum,nrCDdate),""))))</f>
        <v/>
      </c>
      <c r="I214" s="18" t="n"/>
      <c r="J214" s="19">
        <f>IF($D214="","",IF($I214&lt;&gt;"",$I214,IF(ISNUMBER($H214),$H214,"")))</f>
        <v/>
      </c>
      <c r="K214" s="18" t="n"/>
      <c r="L214" s="17">
        <f>IF($D214="","",IF($K214&lt;&gt;"","Received "&amp;TEXT($K214,"mm/dd"),IF(AND(ISNUMBER($J214),TODAY()&gt;$J214),"OVERDUE","Pending")))</f>
        <v/>
      </c>
      <c r="M214" s="16" t="n"/>
      <c r="N214" s="16" t="n"/>
    </row>
    <row r="215">
      <c r="B215" s="17">
        <f>IF($D215="","","ME"&amp;TEXT(ROW()-5,"000"))</f>
        <v/>
      </c>
      <c r="C215" s="18" t="n"/>
      <c r="D215" s="16" t="n"/>
      <c r="E215" s="17">
        <f>IF($D215="","",IFERROR(INDEX(rngCadetPIDs,MATCH($D215,rngCadetNames,0)),"?"))</f>
        <v/>
      </c>
      <c r="F215" s="16" t="n"/>
      <c r="G215" s="16" t="n"/>
      <c r="H215" s="19">
        <f>IF(OR($D215="",$C215=""),"",_xlfn.LET(_xlpm.dn,IFERROR(_xlfn.XLOOKUP($C215,nrCDdate,nrCDnum),""),IF(_xlpm.dn="","(not a class day)",IFERROR(_xlfn.XLOOKUP(_xlpm.dn+cfgMemoDueClassDays,nrCDnum,nrCDdate),""))))</f>
        <v/>
      </c>
      <c r="I215" s="18" t="n"/>
      <c r="J215" s="19">
        <f>IF($D215="","",IF($I215&lt;&gt;"",$I215,IF(ISNUMBER($H215),$H215,"")))</f>
        <v/>
      </c>
      <c r="K215" s="18" t="n"/>
      <c r="L215" s="17">
        <f>IF($D215="","",IF($K215&lt;&gt;"","Received "&amp;TEXT($K215,"mm/dd"),IF(AND(ISNUMBER($J215),TODAY()&gt;$J215),"OVERDUE","Pending")))</f>
        <v/>
      </c>
      <c r="M215" s="16" t="n"/>
      <c r="N215" s="16" t="n"/>
    </row>
    <row r="216">
      <c r="B216" s="17">
        <f>IF($D216="","","ME"&amp;TEXT(ROW()-5,"000"))</f>
        <v/>
      </c>
      <c r="C216" s="18" t="n"/>
      <c r="D216" s="16" t="n"/>
      <c r="E216" s="17">
        <f>IF($D216="","",IFERROR(INDEX(rngCadetPIDs,MATCH($D216,rngCadetNames,0)),"?"))</f>
        <v/>
      </c>
      <c r="F216" s="16" t="n"/>
      <c r="G216" s="16" t="n"/>
      <c r="H216" s="19">
        <f>IF(OR($D216="",$C216=""),"",_xlfn.LET(_xlpm.dn,IFERROR(_xlfn.XLOOKUP($C216,nrCDdate,nrCDnum),""),IF(_xlpm.dn="","(not a class day)",IFERROR(_xlfn.XLOOKUP(_xlpm.dn+cfgMemoDueClassDays,nrCDnum,nrCDdate),""))))</f>
        <v/>
      </c>
      <c r="I216" s="18" t="n"/>
      <c r="J216" s="19">
        <f>IF($D216="","",IF($I216&lt;&gt;"",$I216,IF(ISNUMBER($H216),$H216,"")))</f>
        <v/>
      </c>
      <c r="K216" s="18" t="n"/>
      <c r="L216" s="17">
        <f>IF($D216="","",IF($K216&lt;&gt;"","Received "&amp;TEXT($K216,"mm/dd"),IF(AND(ISNUMBER($J216),TODAY()&gt;$J216),"OVERDUE","Pending")))</f>
        <v/>
      </c>
      <c r="M216" s="16" t="n"/>
      <c r="N216" s="16" t="n"/>
    </row>
    <row r="217">
      <c r="B217" s="17">
        <f>IF($D217="","","ME"&amp;TEXT(ROW()-5,"000"))</f>
        <v/>
      </c>
      <c r="C217" s="18" t="n"/>
      <c r="D217" s="16" t="n"/>
      <c r="E217" s="17">
        <f>IF($D217="","",IFERROR(INDEX(rngCadetPIDs,MATCH($D217,rngCadetNames,0)),"?"))</f>
        <v/>
      </c>
      <c r="F217" s="16" t="n"/>
      <c r="G217" s="16" t="n"/>
      <c r="H217" s="19">
        <f>IF(OR($D217="",$C217=""),"",_xlfn.LET(_xlpm.dn,IFERROR(_xlfn.XLOOKUP($C217,nrCDdate,nrCDnum),""),IF(_xlpm.dn="","(not a class day)",IFERROR(_xlfn.XLOOKUP(_xlpm.dn+cfgMemoDueClassDays,nrCDnum,nrCDdate),""))))</f>
        <v/>
      </c>
      <c r="I217" s="18" t="n"/>
      <c r="J217" s="19">
        <f>IF($D217="","",IF($I217&lt;&gt;"",$I217,IF(ISNUMBER($H217),$H217,"")))</f>
        <v/>
      </c>
      <c r="K217" s="18" t="n"/>
      <c r="L217" s="17">
        <f>IF($D217="","",IF($K217&lt;&gt;"","Received "&amp;TEXT($K217,"mm/dd"),IF(AND(ISNUMBER($J217),TODAY()&gt;$J217),"OVERDUE","Pending")))</f>
        <v/>
      </c>
      <c r="M217" s="16" t="n"/>
      <c r="N217" s="16" t="n"/>
    </row>
    <row r="218">
      <c r="B218" s="17">
        <f>IF($D218="","","ME"&amp;TEXT(ROW()-5,"000"))</f>
        <v/>
      </c>
      <c r="C218" s="18" t="n"/>
      <c r="D218" s="16" t="n"/>
      <c r="E218" s="17">
        <f>IF($D218="","",IFERROR(INDEX(rngCadetPIDs,MATCH($D218,rngCadetNames,0)),"?"))</f>
        <v/>
      </c>
      <c r="F218" s="16" t="n"/>
      <c r="G218" s="16" t="n"/>
      <c r="H218" s="19">
        <f>IF(OR($D218="",$C218=""),"",_xlfn.LET(_xlpm.dn,IFERROR(_xlfn.XLOOKUP($C218,nrCDdate,nrCDnum),""),IF(_xlpm.dn="","(not a class day)",IFERROR(_xlfn.XLOOKUP(_xlpm.dn+cfgMemoDueClassDays,nrCDnum,nrCDdate),""))))</f>
        <v/>
      </c>
      <c r="I218" s="18" t="n"/>
      <c r="J218" s="19">
        <f>IF($D218="","",IF($I218&lt;&gt;"",$I218,IF(ISNUMBER($H218),$H218,"")))</f>
        <v/>
      </c>
      <c r="K218" s="18" t="n"/>
      <c r="L218" s="17">
        <f>IF($D218="","",IF($K218&lt;&gt;"","Received "&amp;TEXT($K218,"mm/dd"),IF(AND(ISNUMBER($J218),TODAY()&gt;$J218),"OVERDUE","Pending")))</f>
        <v/>
      </c>
      <c r="M218" s="16" t="n"/>
      <c r="N218" s="16" t="n"/>
    </row>
    <row r="219">
      <c r="B219" s="17">
        <f>IF($D219="","","ME"&amp;TEXT(ROW()-5,"000"))</f>
        <v/>
      </c>
      <c r="C219" s="18" t="n"/>
      <c r="D219" s="16" t="n"/>
      <c r="E219" s="17">
        <f>IF($D219="","",IFERROR(INDEX(rngCadetPIDs,MATCH($D219,rngCadetNames,0)),"?"))</f>
        <v/>
      </c>
      <c r="F219" s="16" t="n"/>
      <c r="G219" s="16" t="n"/>
      <c r="H219" s="19">
        <f>IF(OR($D219="",$C219=""),"",_xlfn.LET(_xlpm.dn,IFERROR(_xlfn.XLOOKUP($C219,nrCDdate,nrCDnum),""),IF(_xlpm.dn="","(not a class day)",IFERROR(_xlfn.XLOOKUP(_xlpm.dn+cfgMemoDueClassDays,nrCDnum,nrCDdate),""))))</f>
        <v/>
      </c>
      <c r="I219" s="18" t="n"/>
      <c r="J219" s="19">
        <f>IF($D219="","",IF($I219&lt;&gt;"",$I219,IF(ISNUMBER($H219),$H219,"")))</f>
        <v/>
      </c>
      <c r="K219" s="18" t="n"/>
      <c r="L219" s="17">
        <f>IF($D219="","",IF($K219&lt;&gt;"","Received "&amp;TEXT($K219,"mm/dd"),IF(AND(ISNUMBER($J219),TODAY()&gt;$J219),"OVERDUE","Pending")))</f>
        <v/>
      </c>
      <c r="M219" s="16" t="n"/>
      <c r="N219" s="16" t="n"/>
    </row>
    <row r="220">
      <c r="B220" s="17">
        <f>IF($D220="","","ME"&amp;TEXT(ROW()-5,"000"))</f>
        <v/>
      </c>
      <c r="C220" s="18" t="n"/>
      <c r="D220" s="16" t="n"/>
      <c r="E220" s="17">
        <f>IF($D220="","",IFERROR(INDEX(rngCadetPIDs,MATCH($D220,rngCadetNames,0)),"?"))</f>
        <v/>
      </c>
      <c r="F220" s="16" t="n"/>
      <c r="G220" s="16" t="n"/>
      <c r="H220" s="19">
        <f>IF(OR($D220="",$C220=""),"",_xlfn.LET(_xlpm.dn,IFERROR(_xlfn.XLOOKUP($C220,nrCDdate,nrCDnum),""),IF(_xlpm.dn="","(not a class day)",IFERROR(_xlfn.XLOOKUP(_xlpm.dn+cfgMemoDueClassDays,nrCDnum,nrCDdate),""))))</f>
        <v/>
      </c>
      <c r="I220" s="18" t="n"/>
      <c r="J220" s="19">
        <f>IF($D220="","",IF($I220&lt;&gt;"",$I220,IF(ISNUMBER($H220),$H220,"")))</f>
        <v/>
      </c>
      <c r="K220" s="18" t="n"/>
      <c r="L220" s="17">
        <f>IF($D220="","",IF($K220&lt;&gt;"","Received "&amp;TEXT($K220,"mm/dd"),IF(AND(ISNUMBER($J220),TODAY()&gt;$J220),"OVERDUE","Pending")))</f>
        <v/>
      </c>
      <c r="M220" s="16" t="n"/>
      <c r="N220" s="16" t="n"/>
    </row>
    <row r="221">
      <c r="B221" s="17">
        <f>IF($D221="","","ME"&amp;TEXT(ROW()-5,"000"))</f>
        <v/>
      </c>
      <c r="C221" s="18" t="n"/>
      <c r="D221" s="16" t="n"/>
      <c r="E221" s="17">
        <f>IF($D221="","",IFERROR(INDEX(rngCadetPIDs,MATCH($D221,rngCadetNames,0)),"?"))</f>
        <v/>
      </c>
      <c r="F221" s="16" t="n"/>
      <c r="G221" s="16" t="n"/>
      <c r="H221" s="19">
        <f>IF(OR($D221="",$C221=""),"",_xlfn.LET(_xlpm.dn,IFERROR(_xlfn.XLOOKUP($C221,nrCDdate,nrCDnum),""),IF(_xlpm.dn="","(not a class day)",IFERROR(_xlfn.XLOOKUP(_xlpm.dn+cfgMemoDueClassDays,nrCDnum,nrCDdate),""))))</f>
        <v/>
      </c>
      <c r="I221" s="18" t="n"/>
      <c r="J221" s="19">
        <f>IF($D221="","",IF($I221&lt;&gt;"",$I221,IF(ISNUMBER($H221),$H221,"")))</f>
        <v/>
      </c>
      <c r="K221" s="18" t="n"/>
      <c r="L221" s="17">
        <f>IF($D221="","",IF($K221&lt;&gt;"","Received "&amp;TEXT($K221,"mm/dd"),IF(AND(ISNUMBER($J221),TODAY()&gt;$J221),"OVERDUE","Pending")))</f>
        <v/>
      </c>
      <c r="M221" s="16" t="n"/>
      <c r="N221" s="16" t="n"/>
    </row>
    <row r="222">
      <c r="B222" s="17">
        <f>IF($D222="","","ME"&amp;TEXT(ROW()-5,"000"))</f>
        <v/>
      </c>
      <c r="C222" s="18" t="n"/>
      <c r="D222" s="16" t="n"/>
      <c r="E222" s="17">
        <f>IF($D222="","",IFERROR(INDEX(rngCadetPIDs,MATCH($D222,rngCadetNames,0)),"?"))</f>
        <v/>
      </c>
      <c r="F222" s="16" t="n"/>
      <c r="G222" s="16" t="n"/>
      <c r="H222" s="19">
        <f>IF(OR($D222="",$C222=""),"",_xlfn.LET(_xlpm.dn,IFERROR(_xlfn.XLOOKUP($C222,nrCDdate,nrCDnum),""),IF(_xlpm.dn="","(not a class day)",IFERROR(_xlfn.XLOOKUP(_xlpm.dn+cfgMemoDueClassDays,nrCDnum,nrCDdate),""))))</f>
        <v/>
      </c>
      <c r="I222" s="18" t="n"/>
      <c r="J222" s="19">
        <f>IF($D222="","",IF($I222&lt;&gt;"",$I222,IF(ISNUMBER($H222),$H222,"")))</f>
        <v/>
      </c>
      <c r="K222" s="18" t="n"/>
      <c r="L222" s="17">
        <f>IF($D222="","",IF($K222&lt;&gt;"","Received "&amp;TEXT($K222,"mm/dd"),IF(AND(ISNUMBER($J222),TODAY()&gt;$J222),"OVERDUE","Pending")))</f>
        <v/>
      </c>
      <c r="M222" s="16" t="n"/>
      <c r="N222" s="16" t="n"/>
    </row>
    <row r="223">
      <c r="B223" s="17">
        <f>IF($D223="","","ME"&amp;TEXT(ROW()-5,"000"))</f>
        <v/>
      </c>
      <c r="C223" s="18" t="n"/>
      <c r="D223" s="16" t="n"/>
      <c r="E223" s="17">
        <f>IF($D223="","",IFERROR(INDEX(rngCadetPIDs,MATCH($D223,rngCadetNames,0)),"?"))</f>
        <v/>
      </c>
      <c r="F223" s="16" t="n"/>
      <c r="G223" s="16" t="n"/>
      <c r="H223" s="19">
        <f>IF(OR($D223="",$C223=""),"",_xlfn.LET(_xlpm.dn,IFERROR(_xlfn.XLOOKUP($C223,nrCDdate,nrCDnum),""),IF(_xlpm.dn="","(not a class day)",IFERROR(_xlfn.XLOOKUP(_xlpm.dn+cfgMemoDueClassDays,nrCDnum,nrCDdate),""))))</f>
        <v/>
      </c>
      <c r="I223" s="18" t="n"/>
      <c r="J223" s="19">
        <f>IF($D223="","",IF($I223&lt;&gt;"",$I223,IF(ISNUMBER($H223),$H223,"")))</f>
        <v/>
      </c>
      <c r="K223" s="18" t="n"/>
      <c r="L223" s="17">
        <f>IF($D223="","",IF($K223&lt;&gt;"","Received "&amp;TEXT($K223,"mm/dd"),IF(AND(ISNUMBER($J223),TODAY()&gt;$J223),"OVERDUE","Pending")))</f>
        <v/>
      </c>
      <c r="M223" s="16" t="n"/>
      <c r="N223" s="16" t="n"/>
    </row>
    <row r="224">
      <c r="B224" s="17">
        <f>IF($D224="","","ME"&amp;TEXT(ROW()-5,"000"))</f>
        <v/>
      </c>
      <c r="C224" s="18" t="n"/>
      <c r="D224" s="16" t="n"/>
      <c r="E224" s="17">
        <f>IF($D224="","",IFERROR(INDEX(rngCadetPIDs,MATCH($D224,rngCadetNames,0)),"?"))</f>
        <v/>
      </c>
      <c r="F224" s="16" t="n"/>
      <c r="G224" s="16" t="n"/>
      <c r="H224" s="19">
        <f>IF(OR($D224="",$C224=""),"",_xlfn.LET(_xlpm.dn,IFERROR(_xlfn.XLOOKUP($C224,nrCDdate,nrCDnum),""),IF(_xlpm.dn="","(not a class day)",IFERROR(_xlfn.XLOOKUP(_xlpm.dn+cfgMemoDueClassDays,nrCDnum,nrCDdate),""))))</f>
        <v/>
      </c>
      <c r="I224" s="18" t="n"/>
      <c r="J224" s="19">
        <f>IF($D224="","",IF($I224&lt;&gt;"",$I224,IF(ISNUMBER($H224),$H224,"")))</f>
        <v/>
      </c>
      <c r="K224" s="18" t="n"/>
      <c r="L224" s="17">
        <f>IF($D224="","",IF($K224&lt;&gt;"","Received "&amp;TEXT($K224,"mm/dd"),IF(AND(ISNUMBER($J224),TODAY()&gt;$J224),"OVERDUE","Pending")))</f>
        <v/>
      </c>
      <c r="M224" s="16" t="n"/>
      <c r="N224" s="16" t="n"/>
    </row>
    <row r="225">
      <c r="B225" s="17">
        <f>IF($D225="","","ME"&amp;TEXT(ROW()-5,"000"))</f>
        <v/>
      </c>
      <c r="C225" s="18" t="n"/>
      <c r="D225" s="16" t="n"/>
      <c r="E225" s="17">
        <f>IF($D225="","",IFERROR(INDEX(rngCadetPIDs,MATCH($D225,rngCadetNames,0)),"?"))</f>
        <v/>
      </c>
      <c r="F225" s="16" t="n"/>
      <c r="G225" s="16" t="n"/>
      <c r="H225" s="19">
        <f>IF(OR($D225="",$C225=""),"",_xlfn.LET(_xlpm.dn,IFERROR(_xlfn.XLOOKUP($C225,nrCDdate,nrCDnum),""),IF(_xlpm.dn="","(not a class day)",IFERROR(_xlfn.XLOOKUP(_xlpm.dn+cfgMemoDueClassDays,nrCDnum,nrCDdate),""))))</f>
        <v/>
      </c>
      <c r="I225" s="18" t="n"/>
      <c r="J225" s="19">
        <f>IF($D225="","",IF($I225&lt;&gt;"",$I225,IF(ISNUMBER($H225),$H225,"")))</f>
        <v/>
      </c>
      <c r="K225" s="18" t="n"/>
      <c r="L225" s="17">
        <f>IF($D225="","",IF($K225&lt;&gt;"","Received "&amp;TEXT($K225,"mm/dd"),IF(AND(ISNUMBER($J225),TODAY()&gt;$J225),"OVERDUE","Pending")))</f>
        <v/>
      </c>
      <c r="M225" s="16" t="n"/>
      <c r="N225" s="16" t="n"/>
    </row>
    <row r="226">
      <c r="B226" s="17">
        <f>IF($D226="","","ME"&amp;TEXT(ROW()-5,"000"))</f>
        <v/>
      </c>
      <c r="C226" s="18" t="n"/>
      <c r="D226" s="16" t="n"/>
      <c r="E226" s="17">
        <f>IF($D226="","",IFERROR(INDEX(rngCadetPIDs,MATCH($D226,rngCadetNames,0)),"?"))</f>
        <v/>
      </c>
      <c r="F226" s="16" t="n"/>
      <c r="G226" s="16" t="n"/>
      <c r="H226" s="19">
        <f>IF(OR($D226="",$C226=""),"",_xlfn.LET(_xlpm.dn,IFERROR(_xlfn.XLOOKUP($C226,nrCDdate,nrCDnum),""),IF(_xlpm.dn="","(not a class day)",IFERROR(_xlfn.XLOOKUP(_xlpm.dn+cfgMemoDueClassDays,nrCDnum,nrCDdate),""))))</f>
        <v/>
      </c>
      <c r="I226" s="18" t="n"/>
      <c r="J226" s="19">
        <f>IF($D226="","",IF($I226&lt;&gt;"",$I226,IF(ISNUMBER($H226),$H226,"")))</f>
        <v/>
      </c>
      <c r="K226" s="18" t="n"/>
      <c r="L226" s="17">
        <f>IF($D226="","",IF($K226&lt;&gt;"","Received "&amp;TEXT($K226,"mm/dd"),IF(AND(ISNUMBER($J226),TODAY()&gt;$J226),"OVERDUE","Pending")))</f>
        <v/>
      </c>
      <c r="M226" s="16" t="n"/>
      <c r="N226" s="16" t="n"/>
    </row>
    <row r="227">
      <c r="B227" s="17">
        <f>IF($D227="","","ME"&amp;TEXT(ROW()-5,"000"))</f>
        <v/>
      </c>
      <c r="C227" s="18" t="n"/>
      <c r="D227" s="16" t="n"/>
      <c r="E227" s="17">
        <f>IF($D227="","",IFERROR(INDEX(rngCadetPIDs,MATCH($D227,rngCadetNames,0)),"?"))</f>
        <v/>
      </c>
      <c r="F227" s="16" t="n"/>
      <c r="G227" s="16" t="n"/>
      <c r="H227" s="19">
        <f>IF(OR($D227="",$C227=""),"",_xlfn.LET(_xlpm.dn,IFERROR(_xlfn.XLOOKUP($C227,nrCDdate,nrCDnum),""),IF(_xlpm.dn="","(not a class day)",IFERROR(_xlfn.XLOOKUP(_xlpm.dn+cfgMemoDueClassDays,nrCDnum,nrCDdate),""))))</f>
        <v/>
      </c>
      <c r="I227" s="18" t="n"/>
      <c r="J227" s="19">
        <f>IF($D227="","",IF($I227&lt;&gt;"",$I227,IF(ISNUMBER($H227),$H227,"")))</f>
        <v/>
      </c>
      <c r="K227" s="18" t="n"/>
      <c r="L227" s="17">
        <f>IF($D227="","",IF($K227&lt;&gt;"","Received "&amp;TEXT($K227,"mm/dd"),IF(AND(ISNUMBER($J227),TODAY()&gt;$J227),"OVERDUE","Pending")))</f>
        <v/>
      </c>
      <c r="M227" s="16" t="n"/>
      <c r="N227" s="16" t="n"/>
    </row>
    <row r="228">
      <c r="B228" s="17">
        <f>IF($D228="","","ME"&amp;TEXT(ROW()-5,"000"))</f>
        <v/>
      </c>
      <c r="C228" s="18" t="n"/>
      <c r="D228" s="16" t="n"/>
      <c r="E228" s="17">
        <f>IF($D228="","",IFERROR(INDEX(rngCadetPIDs,MATCH($D228,rngCadetNames,0)),"?"))</f>
        <v/>
      </c>
      <c r="F228" s="16" t="n"/>
      <c r="G228" s="16" t="n"/>
      <c r="H228" s="19">
        <f>IF(OR($D228="",$C228=""),"",_xlfn.LET(_xlpm.dn,IFERROR(_xlfn.XLOOKUP($C228,nrCDdate,nrCDnum),""),IF(_xlpm.dn="","(not a class day)",IFERROR(_xlfn.XLOOKUP(_xlpm.dn+cfgMemoDueClassDays,nrCDnum,nrCDdate),""))))</f>
        <v/>
      </c>
      <c r="I228" s="18" t="n"/>
      <c r="J228" s="19">
        <f>IF($D228="","",IF($I228&lt;&gt;"",$I228,IF(ISNUMBER($H228),$H228,"")))</f>
        <v/>
      </c>
      <c r="K228" s="18" t="n"/>
      <c r="L228" s="17">
        <f>IF($D228="","",IF($K228&lt;&gt;"","Received "&amp;TEXT($K228,"mm/dd"),IF(AND(ISNUMBER($J228),TODAY()&gt;$J228),"OVERDUE","Pending")))</f>
        <v/>
      </c>
      <c r="M228" s="16" t="n"/>
      <c r="N228" s="16" t="n"/>
    </row>
    <row r="229">
      <c r="B229" s="17">
        <f>IF($D229="","","ME"&amp;TEXT(ROW()-5,"000"))</f>
        <v/>
      </c>
      <c r="C229" s="18" t="n"/>
      <c r="D229" s="16" t="n"/>
      <c r="E229" s="17">
        <f>IF($D229="","",IFERROR(INDEX(rngCadetPIDs,MATCH($D229,rngCadetNames,0)),"?"))</f>
        <v/>
      </c>
      <c r="F229" s="16" t="n"/>
      <c r="G229" s="16" t="n"/>
      <c r="H229" s="19">
        <f>IF(OR($D229="",$C229=""),"",_xlfn.LET(_xlpm.dn,IFERROR(_xlfn.XLOOKUP($C229,nrCDdate,nrCDnum),""),IF(_xlpm.dn="","(not a class day)",IFERROR(_xlfn.XLOOKUP(_xlpm.dn+cfgMemoDueClassDays,nrCDnum,nrCDdate),""))))</f>
        <v/>
      </c>
      <c r="I229" s="18" t="n"/>
      <c r="J229" s="19">
        <f>IF($D229="","",IF($I229&lt;&gt;"",$I229,IF(ISNUMBER($H229),$H229,"")))</f>
        <v/>
      </c>
      <c r="K229" s="18" t="n"/>
      <c r="L229" s="17">
        <f>IF($D229="","",IF($K229&lt;&gt;"","Received "&amp;TEXT($K229,"mm/dd"),IF(AND(ISNUMBER($J229),TODAY()&gt;$J229),"OVERDUE","Pending")))</f>
        <v/>
      </c>
      <c r="M229" s="16" t="n"/>
      <c r="N229" s="16" t="n"/>
    </row>
    <row r="230">
      <c r="B230" s="17">
        <f>IF($D230="","","ME"&amp;TEXT(ROW()-5,"000"))</f>
        <v/>
      </c>
      <c r="C230" s="18" t="n"/>
      <c r="D230" s="16" t="n"/>
      <c r="E230" s="17">
        <f>IF($D230="","",IFERROR(INDEX(rngCadetPIDs,MATCH($D230,rngCadetNames,0)),"?"))</f>
        <v/>
      </c>
      <c r="F230" s="16" t="n"/>
      <c r="G230" s="16" t="n"/>
      <c r="H230" s="19">
        <f>IF(OR($D230="",$C230=""),"",_xlfn.LET(_xlpm.dn,IFERROR(_xlfn.XLOOKUP($C230,nrCDdate,nrCDnum),""),IF(_xlpm.dn="","(not a class day)",IFERROR(_xlfn.XLOOKUP(_xlpm.dn+cfgMemoDueClassDays,nrCDnum,nrCDdate),""))))</f>
        <v/>
      </c>
      <c r="I230" s="18" t="n"/>
      <c r="J230" s="19">
        <f>IF($D230="","",IF($I230&lt;&gt;"",$I230,IF(ISNUMBER($H230),$H230,"")))</f>
        <v/>
      </c>
      <c r="K230" s="18" t="n"/>
      <c r="L230" s="17">
        <f>IF($D230="","",IF($K230&lt;&gt;"","Received "&amp;TEXT($K230,"mm/dd"),IF(AND(ISNUMBER($J230),TODAY()&gt;$J230),"OVERDUE","Pending")))</f>
        <v/>
      </c>
      <c r="M230" s="16" t="n"/>
      <c r="N230" s="16" t="n"/>
    </row>
    <row r="231">
      <c r="B231" s="17">
        <f>IF($D231="","","ME"&amp;TEXT(ROW()-5,"000"))</f>
        <v/>
      </c>
      <c r="C231" s="18" t="n"/>
      <c r="D231" s="16" t="n"/>
      <c r="E231" s="17">
        <f>IF($D231="","",IFERROR(INDEX(rngCadetPIDs,MATCH($D231,rngCadetNames,0)),"?"))</f>
        <v/>
      </c>
      <c r="F231" s="16" t="n"/>
      <c r="G231" s="16" t="n"/>
      <c r="H231" s="19">
        <f>IF(OR($D231="",$C231=""),"",_xlfn.LET(_xlpm.dn,IFERROR(_xlfn.XLOOKUP($C231,nrCDdate,nrCDnum),""),IF(_xlpm.dn="","(not a class day)",IFERROR(_xlfn.XLOOKUP(_xlpm.dn+cfgMemoDueClassDays,nrCDnum,nrCDdate),""))))</f>
        <v/>
      </c>
      <c r="I231" s="18" t="n"/>
      <c r="J231" s="19">
        <f>IF($D231="","",IF($I231&lt;&gt;"",$I231,IF(ISNUMBER($H231),$H231,"")))</f>
        <v/>
      </c>
      <c r="K231" s="18" t="n"/>
      <c r="L231" s="17">
        <f>IF($D231="","",IF($K231&lt;&gt;"","Received "&amp;TEXT($K231,"mm/dd"),IF(AND(ISNUMBER($J231),TODAY()&gt;$J231),"OVERDUE","Pending")))</f>
        <v/>
      </c>
      <c r="M231" s="16" t="n"/>
      <c r="N231" s="16" t="n"/>
    </row>
    <row r="232">
      <c r="B232" s="17">
        <f>IF($D232="","","ME"&amp;TEXT(ROW()-5,"000"))</f>
        <v/>
      </c>
      <c r="C232" s="18" t="n"/>
      <c r="D232" s="16" t="n"/>
      <c r="E232" s="17">
        <f>IF($D232="","",IFERROR(INDEX(rngCadetPIDs,MATCH($D232,rngCadetNames,0)),"?"))</f>
        <v/>
      </c>
      <c r="F232" s="16" t="n"/>
      <c r="G232" s="16" t="n"/>
      <c r="H232" s="19">
        <f>IF(OR($D232="",$C232=""),"",_xlfn.LET(_xlpm.dn,IFERROR(_xlfn.XLOOKUP($C232,nrCDdate,nrCDnum),""),IF(_xlpm.dn="","(not a class day)",IFERROR(_xlfn.XLOOKUP(_xlpm.dn+cfgMemoDueClassDays,nrCDnum,nrCDdate),""))))</f>
        <v/>
      </c>
      <c r="I232" s="18" t="n"/>
      <c r="J232" s="19">
        <f>IF($D232="","",IF($I232&lt;&gt;"",$I232,IF(ISNUMBER($H232),$H232,"")))</f>
        <v/>
      </c>
      <c r="K232" s="18" t="n"/>
      <c r="L232" s="17">
        <f>IF($D232="","",IF($K232&lt;&gt;"","Received "&amp;TEXT($K232,"mm/dd"),IF(AND(ISNUMBER($J232),TODAY()&gt;$J232),"OVERDUE","Pending")))</f>
        <v/>
      </c>
      <c r="M232" s="16" t="n"/>
      <c r="N232" s="16" t="n"/>
    </row>
    <row r="233">
      <c r="B233" s="17">
        <f>IF($D233="","","ME"&amp;TEXT(ROW()-5,"000"))</f>
        <v/>
      </c>
      <c r="C233" s="18" t="n"/>
      <c r="D233" s="16" t="n"/>
      <c r="E233" s="17">
        <f>IF($D233="","",IFERROR(INDEX(rngCadetPIDs,MATCH($D233,rngCadetNames,0)),"?"))</f>
        <v/>
      </c>
      <c r="F233" s="16" t="n"/>
      <c r="G233" s="16" t="n"/>
      <c r="H233" s="19">
        <f>IF(OR($D233="",$C233=""),"",_xlfn.LET(_xlpm.dn,IFERROR(_xlfn.XLOOKUP($C233,nrCDdate,nrCDnum),""),IF(_xlpm.dn="","(not a class day)",IFERROR(_xlfn.XLOOKUP(_xlpm.dn+cfgMemoDueClassDays,nrCDnum,nrCDdate),""))))</f>
        <v/>
      </c>
      <c r="I233" s="18" t="n"/>
      <c r="J233" s="19">
        <f>IF($D233="","",IF($I233&lt;&gt;"",$I233,IF(ISNUMBER($H233),$H233,"")))</f>
        <v/>
      </c>
      <c r="K233" s="18" t="n"/>
      <c r="L233" s="17">
        <f>IF($D233="","",IF($K233&lt;&gt;"","Received "&amp;TEXT($K233,"mm/dd"),IF(AND(ISNUMBER($J233),TODAY()&gt;$J233),"OVERDUE","Pending")))</f>
        <v/>
      </c>
      <c r="M233" s="16" t="n"/>
      <c r="N233" s="16" t="n"/>
    </row>
    <row r="234">
      <c r="B234" s="17">
        <f>IF($D234="","","ME"&amp;TEXT(ROW()-5,"000"))</f>
        <v/>
      </c>
      <c r="C234" s="18" t="n"/>
      <c r="D234" s="16" t="n"/>
      <c r="E234" s="17">
        <f>IF($D234="","",IFERROR(INDEX(rngCadetPIDs,MATCH($D234,rngCadetNames,0)),"?"))</f>
        <v/>
      </c>
      <c r="F234" s="16" t="n"/>
      <c r="G234" s="16" t="n"/>
      <c r="H234" s="19">
        <f>IF(OR($D234="",$C234=""),"",_xlfn.LET(_xlpm.dn,IFERROR(_xlfn.XLOOKUP($C234,nrCDdate,nrCDnum),""),IF(_xlpm.dn="","(not a class day)",IFERROR(_xlfn.XLOOKUP(_xlpm.dn+cfgMemoDueClassDays,nrCDnum,nrCDdate),""))))</f>
        <v/>
      </c>
      <c r="I234" s="18" t="n"/>
      <c r="J234" s="19">
        <f>IF($D234="","",IF($I234&lt;&gt;"",$I234,IF(ISNUMBER($H234),$H234,"")))</f>
        <v/>
      </c>
      <c r="K234" s="18" t="n"/>
      <c r="L234" s="17">
        <f>IF($D234="","",IF($K234&lt;&gt;"","Received "&amp;TEXT($K234,"mm/dd"),IF(AND(ISNUMBER($J234),TODAY()&gt;$J234),"OVERDUE","Pending")))</f>
        <v/>
      </c>
      <c r="M234" s="16" t="n"/>
      <c r="N234" s="16" t="n"/>
    </row>
    <row r="235">
      <c r="B235" s="17">
        <f>IF($D235="","","ME"&amp;TEXT(ROW()-5,"000"))</f>
        <v/>
      </c>
      <c r="C235" s="18" t="n"/>
      <c r="D235" s="16" t="n"/>
      <c r="E235" s="17">
        <f>IF($D235="","",IFERROR(INDEX(rngCadetPIDs,MATCH($D235,rngCadetNames,0)),"?"))</f>
        <v/>
      </c>
      <c r="F235" s="16" t="n"/>
      <c r="G235" s="16" t="n"/>
      <c r="H235" s="19">
        <f>IF(OR($D235="",$C235=""),"",_xlfn.LET(_xlpm.dn,IFERROR(_xlfn.XLOOKUP($C235,nrCDdate,nrCDnum),""),IF(_xlpm.dn="","(not a class day)",IFERROR(_xlfn.XLOOKUP(_xlpm.dn+cfgMemoDueClassDays,nrCDnum,nrCDdate),""))))</f>
        <v/>
      </c>
      <c r="I235" s="18" t="n"/>
      <c r="J235" s="19">
        <f>IF($D235="","",IF($I235&lt;&gt;"",$I235,IF(ISNUMBER($H235),$H235,"")))</f>
        <v/>
      </c>
      <c r="K235" s="18" t="n"/>
      <c r="L235" s="17">
        <f>IF($D235="","",IF($K235&lt;&gt;"","Received "&amp;TEXT($K235,"mm/dd"),IF(AND(ISNUMBER($J235),TODAY()&gt;$J235),"OVERDUE","Pending")))</f>
        <v/>
      </c>
      <c r="M235" s="16" t="n"/>
      <c r="N235" s="16" t="n"/>
    </row>
    <row r="236">
      <c r="B236" s="17">
        <f>IF($D236="","","ME"&amp;TEXT(ROW()-5,"000"))</f>
        <v/>
      </c>
      <c r="C236" s="18" t="n"/>
      <c r="D236" s="16" t="n"/>
      <c r="E236" s="17">
        <f>IF($D236="","",IFERROR(INDEX(rngCadetPIDs,MATCH($D236,rngCadetNames,0)),"?"))</f>
        <v/>
      </c>
      <c r="F236" s="16" t="n"/>
      <c r="G236" s="16" t="n"/>
      <c r="H236" s="19">
        <f>IF(OR($D236="",$C236=""),"",_xlfn.LET(_xlpm.dn,IFERROR(_xlfn.XLOOKUP($C236,nrCDdate,nrCDnum),""),IF(_xlpm.dn="","(not a class day)",IFERROR(_xlfn.XLOOKUP(_xlpm.dn+cfgMemoDueClassDays,nrCDnum,nrCDdate),""))))</f>
        <v/>
      </c>
      <c r="I236" s="18" t="n"/>
      <c r="J236" s="19">
        <f>IF($D236="","",IF($I236&lt;&gt;"",$I236,IF(ISNUMBER($H236),$H236,"")))</f>
        <v/>
      </c>
      <c r="K236" s="18" t="n"/>
      <c r="L236" s="17">
        <f>IF($D236="","",IF($K236&lt;&gt;"","Received "&amp;TEXT($K236,"mm/dd"),IF(AND(ISNUMBER($J236),TODAY()&gt;$J236),"OVERDUE","Pending")))</f>
        <v/>
      </c>
      <c r="M236" s="16" t="n"/>
      <c r="N236" s="16" t="n"/>
    </row>
    <row r="237">
      <c r="B237" s="17">
        <f>IF($D237="","","ME"&amp;TEXT(ROW()-5,"000"))</f>
        <v/>
      </c>
      <c r="C237" s="18" t="n"/>
      <c r="D237" s="16" t="n"/>
      <c r="E237" s="17">
        <f>IF($D237="","",IFERROR(INDEX(rngCadetPIDs,MATCH($D237,rngCadetNames,0)),"?"))</f>
        <v/>
      </c>
      <c r="F237" s="16" t="n"/>
      <c r="G237" s="16" t="n"/>
      <c r="H237" s="19">
        <f>IF(OR($D237="",$C237=""),"",_xlfn.LET(_xlpm.dn,IFERROR(_xlfn.XLOOKUP($C237,nrCDdate,nrCDnum),""),IF(_xlpm.dn="","(not a class day)",IFERROR(_xlfn.XLOOKUP(_xlpm.dn+cfgMemoDueClassDays,nrCDnum,nrCDdate),""))))</f>
        <v/>
      </c>
      <c r="I237" s="18" t="n"/>
      <c r="J237" s="19">
        <f>IF($D237="","",IF($I237&lt;&gt;"",$I237,IF(ISNUMBER($H237),$H237,"")))</f>
        <v/>
      </c>
      <c r="K237" s="18" t="n"/>
      <c r="L237" s="17">
        <f>IF($D237="","",IF($K237&lt;&gt;"","Received "&amp;TEXT($K237,"mm/dd"),IF(AND(ISNUMBER($J237),TODAY()&gt;$J237),"OVERDUE","Pending")))</f>
        <v/>
      </c>
      <c r="M237" s="16" t="n"/>
      <c r="N237" s="16" t="n"/>
    </row>
    <row r="238">
      <c r="B238" s="17">
        <f>IF($D238="","","ME"&amp;TEXT(ROW()-5,"000"))</f>
        <v/>
      </c>
      <c r="C238" s="18" t="n"/>
      <c r="D238" s="16" t="n"/>
      <c r="E238" s="17">
        <f>IF($D238="","",IFERROR(INDEX(rngCadetPIDs,MATCH($D238,rngCadetNames,0)),"?"))</f>
        <v/>
      </c>
      <c r="F238" s="16" t="n"/>
      <c r="G238" s="16" t="n"/>
      <c r="H238" s="19">
        <f>IF(OR($D238="",$C238=""),"",_xlfn.LET(_xlpm.dn,IFERROR(_xlfn.XLOOKUP($C238,nrCDdate,nrCDnum),""),IF(_xlpm.dn="","(not a class day)",IFERROR(_xlfn.XLOOKUP(_xlpm.dn+cfgMemoDueClassDays,nrCDnum,nrCDdate),""))))</f>
        <v/>
      </c>
      <c r="I238" s="18" t="n"/>
      <c r="J238" s="19">
        <f>IF($D238="","",IF($I238&lt;&gt;"",$I238,IF(ISNUMBER($H238),$H238,"")))</f>
        <v/>
      </c>
      <c r="K238" s="18" t="n"/>
      <c r="L238" s="17">
        <f>IF($D238="","",IF($K238&lt;&gt;"","Received "&amp;TEXT($K238,"mm/dd"),IF(AND(ISNUMBER($J238),TODAY()&gt;$J238),"OVERDUE","Pending")))</f>
        <v/>
      </c>
      <c r="M238" s="16" t="n"/>
      <c r="N238" s="16" t="n"/>
    </row>
    <row r="239">
      <c r="B239" s="17">
        <f>IF($D239="","","ME"&amp;TEXT(ROW()-5,"000"))</f>
        <v/>
      </c>
      <c r="C239" s="18" t="n"/>
      <c r="D239" s="16" t="n"/>
      <c r="E239" s="17">
        <f>IF($D239="","",IFERROR(INDEX(rngCadetPIDs,MATCH($D239,rngCadetNames,0)),"?"))</f>
        <v/>
      </c>
      <c r="F239" s="16" t="n"/>
      <c r="G239" s="16" t="n"/>
      <c r="H239" s="19">
        <f>IF(OR($D239="",$C239=""),"",_xlfn.LET(_xlpm.dn,IFERROR(_xlfn.XLOOKUP($C239,nrCDdate,nrCDnum),""),IF(_xlpm.dn="","(not a class day)",IFERROR(_xlfn.XLOOKUP(_xlpm.dn+cfgMemoDueClassDays,nrCDnum,nrCDdate),""))))</f>
        <v/>
      </c>
      <c r="I239" s="18" t="n"/>
      <c r="J239" s="19">
        <f>IF($D239="","",IF($I239&lt;&gt;"",$I239,IF(ISNUMBER($H239),$H239,"")))</f>
        <v/>
      </c>
      <c r="K239" s="18" t="n"/>
      <c r="L239" s="17">
        <f>IF($D239="","",IF($K239&lt;&gt;"","Received "&amp;TEXT($K239,"mm/dd"),IF(AND(ISNUMBER($J239),TODAY()&gt;$J239),"OVERDUE","Pending")))</f>
        <v/>
      </c>
      <c r="M239" s="16" t="n"/>
      <c r="N239" s="16" t="n"/>
    </row>
    <row r="240">
      <c r="B240" s="17">
        <f>IF($D240="","","ME"&amp;TEXT(ROW()-5,"000"))</f>
        <v/>
      </c>
      <c r="C240" s="18" t="n"/>
      <c r="D240" s="16" t="n"/>
      <c r="E240" s="17">
        <f>IF($D240="","",IFERROR(INDEX(rngCadetPIDs,MATCH($D240,rngCadetNames,0)),"?"))</f>
        <v/>
      </c>
      <c r="F240" s="16" t="n"/>
      <c r="G240" s="16" t="n"/>
      <c r="H240" s="19">
        <f>IF(OR($D240="",$C240=""),"",_xlfn.LET(_xlpm.dn,IFERROR(_xlfn.XLOOKUP($C240,nrCDdate,nrCDnum),""),IF(_xlpm.dn="","(not a class day)",IFERROR(_xlfn.XLOOKUP(_xlpm.dn+cfgMemoDueClassDays,nrCDnum,nrCDdate),""))))</f>
        <v/>
      </c>
      <c r="I240" s="18" t="n"/>
      <c r="J240" s="19">
        <f>IF($D240="","",IF($I240&lt;&gt;"",$I240,IF(ISNUMBER($H240),$H240,"")))</f>
        <v/>
      </c>
      <c r="K240" s="18" t="n"/>
      <c r="L240" s="17">
        <f>IF($D240="","",IF($K240&lt;&gt;"","Received "&amp;TEXT($K240,"mm/dd"),IF(AND(ISNUMBER($J240),TODAY()&gt;$J240),"OVERDUE","Pending")))</f>
        <v/>
      </c>
      <c r="M240" s="16" t="n"/>
      <c r="N240" s="16" t="n"/>
    </row>
    <row r="241">
      <c r="B241" s="17">
        <f>IF($D241="","","ME"&amp;TEXT(ROW()-5,"000"))</f>
        <v/>
      </c>
      <c r="C241" s="18" t="n"/>
      <c r="D241" s="16" t="n"/>
      <c r="E241" s="17">
        <f>IF($D241="","",IFERROR(INDEX(rngCadetPIDs,MATCH($D241,rngCadetNames,0)),"?"))</f>
        <v/>
      </c>
      <c r="F241" s="16" t="n"/>
      <c r="G241" s="16" t="n"/>
      <c r="H241" s="19">
        <f>IF(OR($D241="",$C241=""),"",_xlfn.LET(_xlpm.dn,IFERROR(_xlfn.XLOOKUP($C241,nrCDdate,nrCDnum),""),IF(_xlpm.dn="","(not a class day)",IFERROR(_xlfn.XLOOKUP(_xlpm.dn+cfgMemoDueClassDays,nrCDnum,nrCDdate),""))))</f>
        <v/>
      </c>
      <c r="I241" s="18" t="n"/>
      <c r="J241" s="19">
        <f>IF($D241="","",IF($I241&lt;&gt;"",$I241,IF(ISNUMBER($H241),$H241,"")))</f>
        <v/>
      </c>
      <c r="K241" s="18" t="n"/>
      <c r="L241" s="17">
        <f>IF($D241="","",IF($K241&lt;&gt;"","Received "&amp;TEXT($K241,"mm/dd"),IF(AND(ISNUMBER($J241),TODAY()&gt;$J241),"OVERDUE","Pending")))</f>
        <v/>
      </c>
      <c r="M241" s="16" t="n"/>
      <c r="N241" s="16" t="n"/>
    </row>
    <row r="242">
      <c r="B242" s="17">
        <f>IF($D242="","","ME"&amp;TEXT(ROW()-5,"000"))</f>
        <v/>
      </c>
      <c r="C242" s="18" t="n"/>
      <c r="D242" s="16" t="n"/>
      <c r="E242" s="17">
        <f>IF($D242="","",IFERROR(INDEX(rngCadetPIDs,MATCH($D242,rngCadetNames,0)),"?"))</f>
        <v/>
      </c>
      <c r="F242" s="16" t="n"/>
      <c r="G242" s="16" t="n"/>
      <c r="H242" s="19">
        <f>IF(OR($D242="",$C242=""),"",_xlfn.LET(_xlpm.dn,IFERROR(_xlfn.XLOOKUP($C242,nrCDdate,nrCDnum),""),IF(_xlpm.dn="","(not a class day)",IFERROR(_xlfn.XLOOKUP(_xlpm.dn+cfgMemoDueClassDays,nrCDnum,nrCDdate),""))))</f>
        <v/>
      </c>
      <c r="I242" s="18" t="n"/>
      <c r="J242" s="19">
        <f>IF($D242="","",IF($I242&lt;&gt;"",$I242,IF(ISNUMBER($H242),$H242,"")))</f>
        <v/>
      </c>
      <c r="K242" s="18" t="n"/>
      <c r="L242" s="17">
        <f>IF($D242="","",IF($K242&lt;&gt;"","Received "&amp;TEXT($K242,"mm/dd"),IF(AND(ISNUMBER($J242),TODAY()&gt;$J242),"OVERDUE","Pending")))</f>
        <v/>
      </c>
      <c r="M242" s="16" t="n"/>
      <c r="N242" s="16" t="n"/>
    </row>
    <row r="243">
      <c r="B243" s="17">
        <f>IF($D243="","","ME"&amp;TEXT(ROW()-5,"000"))</f>
        <v/>
      </c>
      <c r="C243" s="18" t="n"/>
      <c r="D243" s="16" t="n"/>
      <c r="E243" s="17">
        <f>IF($D243="","",IFERROR(INDEX(rngCadetPIDs,MATCH($D243,rngCadetNames,0)),"?"))</f>
        <v/>
      </c>
      <c r="F243" s="16" t="n"/>
      <c r="G243" s="16" t="n"/>
      <c r="H243" s="19">
        <f>IF(OR($D243="",$C243=""),"",_xlfn.LET(_xlpm.dn,IFERROR(_xlfn.XLOOKUP($C243,nrCDdate,nrCDnum),""),IF(_xlpm.dn="","(not a class day)",IFERROR(_xlfn.XLOOKUP(_xlpm.dn+cfgMemoDueClassDays,nrCDnum,nrCDdate),""))))</f>
        <v/>
      </c>
      <c r="I243" s="18" t="n"/>
      <c r="J243" s="19">
        <f>IF($D243="","",IF($I243&lt;&gt;"",$I243,IF(ISNUMBER($H243),$H243,"")))</f>
        <v/>
      </c>
      <c r="K243" s="18" t="n"/>
      <c r="L243" s="17">
        <f>IF($D243="","",IF($K243&lt;&gt;"","Received "&amp;TEXT($K243,"mm/dd"),IF(AND(ISNUMBER($J243),TODAY()&gt;$J243),"OVERDUE","Pending")))</f>
        <v/>
      </c>
      <c r="M243" s="16" t="n"/>
      <c r="N243" s="16" t="n"/>
    </row>
    <row r="244">
      <c r="B244" s="17">
        <f>IF($D244="","","ME"&amp;TEXT(ROW()-5,"000"))</f>
        <v/>
      </c>
      <c r="C244" s="18" t="n"/>
      <c r="D244" s="16" t="n"/>
      <c r="E244" s="17">
        <f>IF($D244="","",IFERROR(INDEX(rngCadetPIDs,MATCH($D244,rngCadetNames,0)),"?"))</f>
        <v/>
      </c>
      <c r="F244" s="16" t="n"/>
      <c r="G244" s="16" t="n"/>
      <c r="H244" s="19">
        <f>IF(OR($D244="",$C244=""),"",_xlfn.LET(_xlpm.dn,IFERROR(_xlfn.XLOOKUP($C244,nrCDdate,nrCDnum),""),IF(_xlpm.dn="","(not a class day)",IFERROR(_xlfn.XLOOKUP(_xlpm.dn+cfgMemoDueClassDays,nrCDnum,nrCDdate),""))))</f>
        <v/>
      </c>
      <c r="I244" s="18" t="n"/>
      <c r="J244" s="19">
        <f>IF($D244="","",IF($I244&lt;&gt;"",$I244,IF(ISNUMBER($H244),$H244,"")))</f>
        <v/>
      </c>
      <c r="K244" s="18" t="n"/>
      <c r="L244" s="17">
        <f>IF($D244="","",IF($K244&lt;&gt;"","Received "&amp;TEXT($K244,"mm/dd"),IF(AND(ISNUMBER($J244),TODAY()&gt;$J244),"OVERDUE","Pending")))</f>
        <v/>
      </c>
      <c r="M244" s="16" t="n"/>
      <c r="N244" s="16" t="n"/>
    </row>
    <row r="245">
      <c r="B245" s="17">
        <f>IF($D245="","","ME"&amp;TEXT(ROW()-5,"000"))</f>
        <v/>
      </c>
      <c r="C245" s="18" t="n"/>
      <c r="D245" s="16" t="n"/>
      <c r="E245" s="17">
        <f>IF($D245="","",IFERROR(INDEX(rngCadetPIDs,MATCH($D245,rngCadetNames,0)),"?"))</f>
        <v/>
      </c>
      <c r="F245" s="16" t="n"/>
      <c r="G245" s="16" t="n"/>
      <c r="H245" s="19">
        <f>IF(OR($D245="",$C245=""),"",_xlfn.LET(_xlpm.dn,IFERROR(_xlfn.XLOOKUP($C245,nrCDdate,nrCDnum),""),IF(_xlpm.dn="","(not a class day)",IFERROR(_xlfn.XLOOKUP(_xlpm.dn+cfgMemoDueClassDays,nrCDnum,nrCDdate),""))))</f>
        <v/>
      </c>
      <c r="I245" s="18" t="n"/>
      <c r="J245" s="19">
        <f>IF($D245="","",IF($I245&lt;&gt;"",$I245,IF(ISNUMBER($H245),$H245,"")))</f>
        <v/>
      </c>
      <c r="K245" s="18" t="n"/>
      <c r="L245" s="17">
        <f>IF($D245="","",IF($K245&lt;&gt;"","Received "&amp;TEXT($K245,"mm/dd"),IF(AND(ISNUMBER($J245),TODAY()&gt;$J245),"OVERDUE","Pending")))</f>
        <v/>
      </c>
      <c r="M245" s="16" t="n"/>
      <c r="N245" s="16" t="n"/>
    </row>
    <row r="246">
      <c r="B246" s="17">
        <f>IF($D246="","","ME"&amp;TEXT(ROW()-5,"000"))</f>
        <v/>
      </c>
      <c r="C246" s="18" t="n"/>
      <c r="D246" s="16" t="n"/>
      <c r="E246" s="17">
        <f>IF($D246="","",IFERROR(INDEX(rngCadetPIDs,MATCH($D246,rngCadetNames,0)),"?"))</f>
        <v/>
      </c>
      <c r="F246" s="16" t="n"/>
      <c r="G246" s="16" t="n"/>
      <c r="H246" s="19">
        <f>IF(OR($D246="",$C246=""),"",_xlfn.LET(_xlpm.dn,IFERROR(_xlfn.XLOOKUP($C246,nrCDdate,nrCDnum),""),IF(_xlpm.dn="","(not a class day)",IFERROR(_xlfn.XLOOKUP(_xlpm.dn+cfgMemoDueClassDays,nrCDnum,nrCDdate),""))))</f>
        <v/>
      </c>
      <c r="I246" s="18" t="n"/>
      <c r="J246" s="19">
        <f>IF($D246="","",IF($I246&lt;&gt;"",$I246,IF(ISNUMBER($H246),$H246,"")))</f>
        <v/>
      </c>
      <c r="K246" s="18" t="n"/>
      <c r="L246" s="17">
        <f>IF($D246="","",IF($K246&lt;&gt;"","Received "&amp;TEXT($K246,"mm/dd"),IF(AND(ISNUMBER($J246),TODAY()&gt;$J246),"OVERDUE","Pending")))</f>
        <v/>
      </c>
      <c r="M246" s="16" t="n"/>
      <c r="N246" s="16" t="n"/>
    </row>
    <row r="247">
      <c r="B247" s="17">
        <f>IF($D247="","","ME"&amp;TEXT(ROW()-5,"000"))</f>
        <v/>
      </c>
      <c r="C247" s="18" t="n"/>
      <c r="D247" s="16" t="n"/>
      <c r="E247" s="17">
        <f>IF($D247="","",IFERROR(INDEX(rngCadetPIDs,MATCH($D247,rngCadetNames,0)),"?"))</f>
        <v/>
      </c>
      <c r="F247" s="16" t="n"/>
      <c r="G247" s="16" t="n"/>
      <c r="H247" s="19">
        <f>IF(OR($D247="",$C247=""),"",_xlfn.LET(_xlpm.dn,IFERROR(_xlfn.XLOOKUP($C247,nrCDdate,nrCDnum),""),IF(_xlpm.dn="","(not a class day)",IFERROR(_xlfn.XLOOKUP(_xlpm.dn+cfgMemoDueClassDays,nrCDnum,nrCDdate),""))))</f>
        <v/>
      </c>
      <c r="I247" s="18" t="n"/>
      <c r="J247" s="19">
        <f>IF($D247="","",IF($I247&lt;&gt;"",$I247,IF(ISNUMBER($H247),$H247,"")))</f>
        <v/>
      </c>
      <c r="K247" s="18" t="n"/>
      <c r="L247" s="17">
        <f>IF($D247="","",IF($K247&lt;&gt;"","Received "&amp;TEXT($K247,"mm/dd"),IF(AND(ISNUMBER($J247),TODAY()&gt;$J247),"OVERDUE","Pending")))</f>
        <v/>
      </c>
      <c r="M247" s="16" t="n"/>
      <c r="N247" s="16" t="n"/>
    </row>
    <row r="248">
      <c r="B248" s="17">
        <f>IF($D248="","","ME"&amp;TEXT(ROW()-5,"000"))</f>
        <v/>
      </c>
      <c r="C248" s="18" t="n"/>
      <c r="D248" s="16" t="n"/>
      <c r="E248" s="17">
        <f>IF($D248="","",IFERROR(INDEX(rngCadetPIDs,MATCH($D248,rngCadetNames,0)),"?"))</f>
        <v/>
      </c>
      <c r="F248" s="16" t="n"/>
      <c r="G248" s="16" t="n"/>
      <c r="H248" s="19">
        <f>IF(OR($D248="",$C248=""),"",_xlfn.LET(_xlpm.dn,IFERROR(_xlfn.XLOOKUP($C248,nrCDdate,nrCDnum),""),IF(_xlpm.dn="","(not a class day)",IFERROR(_xlfn.XLOOKUP(_xlpm.dn+cfgMemoDueClassDays,nrCDnum,nrCDdate),""))))</f>
        <v/>
      </c>
      <c r="I248" s="18" t="n"/>
      <c r="J248" s="19">
        <f>IF($D248="","",IF($I248&lt;&gt;"",$I248,IF(ISNUMBER($H248),$H248,"")))</f>
        <v/>
      </c>
      <c r="K248" s="18" t="n"/>
      <c r="L248" s="17">
        <f>IF($D248="","",IF($K248&lt;&gt;"","Received "&amp;TEXT($K248,"mm/dd"),IF(AND(ISNUMBER($J248),TODAY()&gt;$J248),"OVERDUE","Pending")))</f>
        <v/>
      </c>
      <c r="M248" s="16" t="n"/>
      <c r="N248" s="16" t="n"/>
    </row>
    <row r="249">
      <c r="B249" s="17">
        <f>IF($D249="","","ME"&amp;TEXT(ROW()-5,"000"))</f>
        <v/>
      </c>
      <c r="C249" s="18" t="n"/>
      <c r="D249" s="16" t="n"/>
      <c r="E249" s="17">
        <f>IF($D249="","",IFERROR(INDEX(rngCadetPIDs,MATCH($D249,rngCadetNames,0)),"?"))</f>
        <v/>
      </c>
      <c r="F249" s="16" t="n"/>
      <c r="G249" s="16" t="n"/>
      <c r="H249" s="19">
        <f>IF(OR($D249="",$C249=""),"",_xlfn.LET(_xlpm.dn,IFERROR(_xlfn.XLOOKUP($C249,nrCDdate,nrCDnum),""),IF(_xlpm.dn="","(not a class day)",IFERROR(_xlfn.XLOOKUP(_xlpm.dn+cfgMemoDueClassDays,nrCDnum,nrCDdate),""))))</f>
        <v/>
      </c>
      <c r="I249" s="18" t="n"/>
      <c r="J249" s="19">
        <f>IF($D249="","",IF($I249&lt;&gt;"",$I249,IF(ISNUMBER($H249),$H249,"")))</f>
        <v/>
      </c>
      <c r="K249" s="18" t="n"/>
      <c r="L249" s="17">
        <f>IF($D249="","",IF($K249&lt;&gt;"","Received "&amp;TEXT($K249,"mm/dd"),IF(AND(ISNUMBER($J249),TODAY()&gt;$J249),"OVERDUE","Pending")))</f>
        <v/>
      </c>
      <c r="M249" s="16" t="n"/>
      <c r="N249" s="16" t="n"/>
    </row>
    <row r="250">
      <c r="B250" s="17">
        <f>IF($D250="","","ME"&amp;TEXT(ROW()-5,"000"))</f>
        <v/>
      </c>
      <c r="C250" s="18" t="n"/>
      <c r="D250" s="16" t="n"/>
      <c r="E250" s="17">
        <f>IF($D250="","",IFERROR(INDEX(rngCadetPIDs,MATCH($D250,rngCadetNames,0)),"?"))</f>
        <v/>
      </c>
      <c r="F250" s="16" t="n"/>
      <c r="G250" s="16" t="n"/>
      <c r="H250" s="19">
        <f>IF(OR($D250="",$C250=""),"",_xlfn.LET(_xlpm.dn,IFERROR(_xlfn.XLOOKUP($C250,nrCDdate,nrCDnum),""),IF(_xlpm.dn="","(not a class day)",IFERROR(_xlfn.XLOOKUP(_xlpm.dn+cfgMemoDueClassDays,nrCDnum,nrCDdate),""))))</f>
        <v/>
      </c>
      <c r="I250" s="18" t="n"/>
      <c r="J250" s="19">
        <f>IF($D250="","",IF($I250&lt;&gt;"",$I250,IF(ISNUMBER($H250),$H250,"")))</f>
        <v/>
      </c>
      <c r="K250" s="18" t="n"/>
      <c r="L250" s="17">
        <f>IF($D250="","",IF($K250&lt;&gt;"","Received "&amp;TEXT($K250,"mm/dd"),IF(AND(ISNUMBER($J250),TODAY()&gt;$J250),"OVERDUE","Pending")))</f>
        <v/>
      </c>
      <c r="M250" s="16" t="n"/>
      <c r="N250" s="16" t="n"/>
    </row>
    <row r="251">
      <c r="B251" s="17">
        <f>IF($D251="","","ME"&amp;TEXT(ROW()-5,"000"))</f>
        <v/>
      </c>
      <c r="C251" s="18" t="n"/>
      <c r="D251" s="16" t="n"/>
      <c r="E251" s="17">
        <f>IF($D251="","",IFERROR(INDEX(rngCadetPIDs,MATCH($D251,rngCadetNames,0)),"?"))</f>
        <v/>
      </c>
      <c r="F251" s="16" t="n"/>
      <c r="G251" s="16" t="n"/>
      <c r="H251" s="19">
        <f>IF(OR($D251="",$C251=""),"",_xlfn.LET(_xlpm.dn,IFERROR(_xlfn.XLOOKUP($C251,nrCDdate,nrCDnum),""),IF(_xlpm.dn="","(not a class day)",IFERROR(_xlfn.XLOOKUP(_xlpm.dn+cfgMemoDueClassDays,nrCDnum,nrCDdate),""))))</f>
        <v/>
      </c>
      <c r="I251" s="18" t="n"/>
      <c r="J251" s="19">
        <f>IF($D251="","",IF($I251&lt;&gt;"",$I251,IF(ISNUMBER($H251),$H251,"")))</f>
        <v/>
      </c>
      <c r="K251" s="18" t="n"/>
      <c r="L251" s="17">
        <f>IF($D251="","",IF($K251&lt;&gt;"","Received "&amp;TEXT($K251,"mm/dd"),IF(AND(ISNUMBER($J251),TODAY()&gt;$J251),"OVERDUE","Pending")))</f>
        <v/>
      </c>
      <c r="M251" s="16" t="n"/>
      <c r="N251" s="16" t="n"/>
    </row>
    <row r="252">
      <c r="B252" s="17">
        <f>IF($D252="","","ME"&amp;TEXT(ROW()-5,"000"))</f>
        <v/>
      </c>
      <c r="C252" s="18" t="n"/>
      <c r="D252" s="16" t="n"/>
      <c r="E252" s="17">
        <f>IF($D252="","",IFERROR(INDEX(rngCadetPIDs,MATCH($D252,rngCadetNames,0)),"?"))</f>
        <v/>
      </c>
      <c r="F252" s="16" t="n"/>
      <c r="G252" s="16" t="n"/>
      <c r="H252" s="19">
        <f>IF(OR($D252="",$C252=""),"",_xlfn.LET(_xlpm.dn,IFERROR(_xlfn.XLOOKUP($C252,nrCDdate,nrCDnum),""),IF(_xlpm.dn="","(not a class day)",IFERROR(_xlfn.XLOOKUP(_xlpm.dn+cfgMemoDueClassDays,nrCDnum,nrCDdate),""))))</f>
        <v/>
      </c>
      <c r="I252" s="18" t="n"/>
      <c r="J252" s="19">
        <f>IF($D252="","",IF($I252&lt;&gt;"",$I252,IF(ISNUMBER($H252),$H252,"")))</f>
        <v/>
      </c>
      <c r="K252" s="18" t="n"/>
      <c r="L252" s="17">
        <f>IF($D252="","",IF($K252&lt;&gt;"","Received "&amp;TEXT($K252,"mm/dd"),IF(AND(ISNUMBER($J252),TODAY()&gt;$J252),"OVERDUE","Pending")))</f>
        <v/>
      </c>
      <c r="M252" s="16" t="n"/>
      <c r="N252" s="16" t="n"/>
    </row>
    <row r="253">
      <c r="B253" s="17">
        <f>IF($D253="","","ME"&amp;TEXT(ROW()-5,"000"))</f>
        <v/>
      </c>
      <c r="C253" s="18" t="n"/>
      <c r="D253" s="16" t="n"/>
      <c r="E253" s="17">
        <f>IF($D253="","",IFERROR(INDEX(rngCadetPIDs,MATCH($D253,rngCadetNames,0)),"?"))</f>
        <v/>
      </c>
      <c r="F253" s="16" t="n"/>
      <c r="G253" s="16" t="n"/>
      <c r="H253" s="19">
        <f>IF(OR($D253="",$C253=""),"",_xlfn.LET(_xlpm.dn,IFERROR(_xlfn.XLOOKUP($C253,nrCDdate,nrCDnum),""),IF(_xlpm.dn="","(not a class day)",IFERROR(_xlfn.XLOOKUP(_xlpm.dn+cfgMemoDueClassDays,nrCDnum,nrCDdate),""))))</f>
        <v/>
      </c>
      <c r="I253" s="18" t="n"/>
      <c r="J253" s="19">
        <f>IF($D253="","",IF($I253&lt;&gt;"",$I253,IF(ISNUMBER($H253),$H253,"")))</f>
        <v/>
      </c>
      <c r="K253" s="18" t="n"/>
      <c r="L253" s="17">
        <f>IF($D253="","",IF($K253&lt;&gt;"","Received "&amp;TEXT($K253,"mm/dd"),IF(AND(ISNUMBER($J253),TODAY()&gt;$J253),"OVERDUE","Pending")))</f>
        <v/>
      </c>
      <c r="M253" s="16" t="n"/>
      <c r="N253" s="16" t="n"/>
    </row>
    <row r="254">
      <c r="B254" s="17">
        <f>IF($D254="","","ME"&amp;TEXT(ROW()-5,"000"))</f>
        <v/>
      </c>
      <c r="C254" s="18" t="n"/>
      <c r="D254" s="16" t="n"/>
      <c r="E254" s="17">
        <f>IF($D254="","",IFERROR(INDEX(rngCadetPIDs,MATCH($D254,rngCadetNames,0)),"?"))</f>
        <v/>
      </c>
      <c r="F254" s="16" t="n"/>
      <c r="G254" s="16" t="n"/>
      <c r="H254" s="19">
        <f>IF(OR($D254="",$C254=""),"",_xlfn.LET(_xlpm.dn,IFERROR(_xlfn.XLOOKUP($C254,nrCDdate,nrCDnum),""),IF(_xlpm.dn="","(not a class day)",IFERROR(_xlfn.XLOOKUP(_xlpm.dn+cfgMemoDueClassDays,nrCDnum,nrCDdate),""))))</f>
        <v/>
      </c>
      <c r="I254" s="18" t="n"/>
      <c r="J254" s="19">
        <f>IF($D254="","",IF($I254&lt;&gt;"",$I254,IF(ISNUMBER($H254),$H254,"")))</f>
        <v/>
      </c>
      <c r="K254" s="18" t="n"/>
      <c r="L254" s="17">
        <f>IF($D254="","",IF($K254&lt;&gt;"","Received "&amp;TEXT($K254,"mm/dd"),IF(AND(ISNUMBER($J254),TODAY()&gt;$J254),"OVERDUE","Pending")))</f>
        <v/>
      </c>
      <c r="M254" s="16" t="n"/>
      <c r="N254" s="16" t="n"/>
    </row>
    <row r="255">
      <c r="B255" s="17">
        <f>IF($D255="","","ME"&amp;TEXT(ROW()-5,"000"))</f>
        <v/>
      </c>
      <c r="C255" s="18" t="n"/>
      <c r="D255" s="16" t="n"/>
      <c r="E255" s="17">
        <f>IF($D255="","",IFERROR(INDEX(rngCadetPIDs,MATCH($D255,rngCadetNames,0)),"?"))</f>
        <v/>
      </c>
      <c r="F255" s="16" t="n"/>
      <c r="G255" s="16" t="n"/>
      <c r="H255" s="19">
        <f>IF(OR($D255="",$C255=""),"",_xlfn.LET(_xlpm.dn,IFERROR(_xlfn.XLOOKUP($C255,nrCDdate,nrCDnum),""),IF(_xlpm.dn="","(not a class day)",IFERROR(_xlfn.XLOOKUP(_xlpm.dn+cfgMemoDueClassDays,nrCDnum,nrCDdate),""))))</f>
        <v/>
      </c>
      <c r="I255" s="18" t="n"/>
      <c r="J255" s="19">
        <f>IF($D255="","",IF($I255&lt;&gt;"",$I255,IF(ISNUMBER($H255),$H255,"")))</f>
        <v/>
      </c>
      <c r="K255" s="18" t="n"/>
      <c r="L255" s="17">
        <f>IF($D255="","",IF($K255&lt;&gt;"","Received "&amp;TEXT($K255,"mm/dd"),IF(AND(ISNUMBER($J255),TODAY()&gt;$J255),"OVERDUE","Pending")))</f>
        <v/>
      </c>
      <c r="M255" s="16" t="n"/>
      <c r="N255" s="16" t="n"/>
    </row>
    <row r="256">
      <c r="B256" s="17">
        <f>IF($D256="","","ME"&amp;TEXT(ROW()-5,"000"))</f>
        <v/>
      </c>
      <c r="C256" s="18" t="n"/>
      <c r="D256" s="16" t="n"/>
      <c r="E256" s="17">
        <f>IF($D256="","",IFERROR(INDEX(rngCadetPIDs,MATCH($D256,rngCadetNames,0)),"?"))</f>
        <v/>
      </c>
      <c r="F256" s="16" t="n"/>
      <c r="G256" s="16" t="n"/>
      <c r="H256" s="19">
        <f>IF(OR($D256="",$C256=""),"",_xlfn.LET(_xlpm.dn,IFERROR(_xlfn.XLOOKUP($C256,nrCDdate,nrCDnum),""),IF(_xlpm.dn="","(not a class day)",IFERROR(_xlfn.XLOOKUP(_xlpm.dn+cfgMemoDueClassDays,nrCDnum,nrCDdate),""))))</f>
        <v/>
      </c>
      <c r="I256" s="18" t="n"/>
      <c r="J256" s="19">
        <f>IF($D256="","",IF($I256&lt;&gt;"",$I256,IF(ISNUMBER($H256),$H256,"")))</f>
        <v/>
      </c>
      <c r="K256" s="18" t="n"/>
      <c r="L256" s="17">
        <f>IF($D256="","",IF($K256&lt;&gt;"","Received "&amp;TEXT($K256,"mm/dd"),IF(AND(ISNUMBER($J256),TODAY()&gt;$J256),"OVERDUE","Pending")))</f>
        <v/>
      </c>
      <c r="M256" s="16" t="n"/>
      <c r="N256" s="16" t="n"/>
    </row>
    <row r="257">
      <c r="B257" s="17">
        <f>IF($D257="","","ME"&amp;TEXT(ROW()-5,"000"))</f>
        <v/>
      </c>
      <c r="C257" s="18" t="n"/>
      <c r="D257" s="16" t="n"/>
      <c r="E257" s="17">
        <f>IF($D257="","",IFERROR(INDEX(rngCadetPIDs,MATCH($D257,rngCadetNames,0)),"?"))</f>
        <v/>
      </c>
      <c r="F257" s="16" t="n"/>
      <c r="G257" s="16" t="n"/>
      <c r="H257" s="19">
        <f>IF(OR($D257="",$C257=""),"",_xlfn.LET(_xlpm.dn,IFERROR(_xlfn.XLOOKUP($C257,nrCDdate,nrCDnum),""),IF(_xlpm.dn="","(not a class day)",IFERROR(_xlfn.XLOOKUP(_xlpm.dn+cfgMemoDueClassDays,nrCDnum,nrCDdate),""))))</f>
        <v/>
      </c>
      <c r="I257" s="18" t="n"/>
      <c r="J257" s="19">
        <f>IF($D257="","",IF($I257&lt;&gt;"",$I257,IF(ISNUMBER($H257),$H257,"")))</f>
        <v/>
      </c>
      <c r="K257" s="18" t="n"/>
      <c r="L257" s="17">
        <f>IF($D257="","",IF($K257&lt;&gt;"","Received "&amp;TEXT($K257,"mm/dd"),IF(AND(ISNUMBER($J257),TODAY()&gt;$J257),"OVERDUE","Pending")))</f>
        <v/>
      </c>
      <c r="M257" s="16" t="n"/>
      <c r="N257" s="16" t="n"/>
    </row>
    <row r="258">
      <c r="B258" s="17">
        <f>IF($D258="","","ME"&amp;TEXT(ROW()-5,"000"))</f>
        <v/>
      </c>
      <c r="C258" s="18" t="n"/>
      <c r="D258" s="16" t="n"/>
      <c r="E258" s="17">
        <f>IF($D258="","",IFERROR(INDEX(rngCadetPIDs,MATCH($D258,rngCadetNames,0)),"?"))</f>
        <v/>
      </c>
      <c r="F258" s="16" t="n"/>
      <c r="G258" s="16" t="n"/>
      <c r="H258" s="19">
        <f>IF(OR($D258="",$C258=""),"",_xlfn.LET(_xlpm.dn,IFERROR(_xlfn.XLOOKUP($C258,nrCDdate,nrCDnum),""),IF(_xlpm.dn="","(not a class day)",IFERROR(_xlfn.XLOOKUP(_xlpm.dn+cfgMemoDueClassDays,nrCDnum,nrCDdate),""))))</f>
        <v/>
      </c>
      <c r="I258" s="18" t="n"/>
      <c r="J258" s="19">
        <f>IF($D258="","",IF($I258&lt;&gt;"",$I258,IF(ISNUMBER($H258),$H258,"")))</f>
        <v/>
      </c>
      <c r="K258" s="18" t="n"/>
      <c r="L258" s="17">
        <f>IF($D258="","",IF($K258&lt;&gt;"","Received "&amp;TEXT($K258,"mm/dd"),IF(AND(ISNUMBER($J258),TODAY()&gt;$J258),"OVERDUE","Pending")))</f>
        <v/>
      </c>
      <c r="M258" s="16" t="n"/>
      <c r="N258" s="16" t="n"/>
    </row>
    <row r="259">
      <c r="B259" s="17">
        <f>IF($D259="","","ME"&amp;TEXT(ROW()-5,"000"))</f>
        <v/>
      </c>
      <c r="C259" s="18" t="n"/>
      <c r="D259" s="16" t="n"/>
      <c r="E259" s="17">
        <f>IF($D259="","",IFERROR(INDEX(rngCadetPIDs,MATCH($D259,rngCadetNames,0)),"?"))</f>
        <v/>
      </c>
      <c r="F259" s="16" t="n"/>
      <c r="G259" s="16" t="n"/>
      <c r="H259" s="19">
        <f>IF(OR($D259="",$C259=""),"",_xlfn.LET(_xlpm.dn,IFERROR(_xlfn.XLOOKUP($C259,nrCDdate,nrCDnum),""),IF(_xlpm.dn="","(not a class day)",IFERROR(_xlfn.XLOOKUP(_xlpm.dn+cfgMemoDueClassDays,nrCDnum,nrCDdate),""))))</f>
        <v/>
      </c>
      <c r="I259" s="18" t="n"/>
      <c r="J259" s="19">
        <f>IF($D259="","",IF($I259&lt;&gt;"",$I259,IF(ISNUMBER($H259),$H259,"")))</f>
        <v/>
      </c>
      <c r="K259" s="18" t="n"/>
      <c r="L259" s="17">
        <f>IF($D259="","",IF($K259&lt;&gt;"","Received "&amp;TEXT($K259,"mm/dd"),IF(AND(ISNUMBER($J259),TODAY()&gt;$J259),"OVERDUE","Pending")))</f>
        <v/>
      </c>
      <c r="M259" s="16" t="n"/>
      <c r="N259" s="16" t="n"/>
    </row>
    <row r="260">
      <c r="B260" s="17">
        <f>IF($D260="","","ME"&amp;TEXT(ROW()-5,"000"))</f>
        <v/>
      </c>
      <c r="C260" s="18" t="n"/>
      <c r="D260" s="16" t="n"/>
      <c r="E260" s="17">
        <f>IF($D260="","",IFERROR(INDEX(rngCadetPIDs,MATCH($D260,rngCadetNames,0)),"?"))</f>
        <v/>
      </c>
      <c r="F260" s="16" t="n"/>
      <c r="G260" s="16" t="n"/>
      <c r="H260" s="19">
        <f>IF(OR($D260="",$C260=""),"",_xlfn.LET(_xlpm.dn,IFERROR(_xlfn.XLOOKUP($C260,nrCDdate,nrCDnum),""),IF(_xlpm.dn="","(not a class day)",IFERROR(_xlfn.XLOOKUP(_xlpm.dn+cfgMemoDueClassDays,nrCDnum,nrCDdate),""))))</f>
        <v/>
      </c>
      <c r="I260" s="18" t="n"/>
      <c r="J260" s="19">
        <f>IF($D260="","",IF($I260&lt;&gt;"",$I260,IF(ISNUMBER($H260),$H260,"")))</f>
        <v/>
      </c>
      <c r="K260" s="18" t="n"/>
      <c r="L260" s="17">
        <f>IF($D260="","",IF($K260&lt;&gt;"","Received "&amp;TEXT($K260,"mm/dd"),IF(AND(ISNUMBER($J260),TODAY()&gt;$J260),"OVERDUE","Pending")))</f>
        <v/>
      </c>
      <c r="M260" s="16" t="n"/>
      <c r="N260" s="16" t="n"/>
    </row>
    <row r="261">
      <c r="B261" s="17">
        <f>IF($D261="","","ME"&amp;TEXT(ROW()-5,"000"))</f>
        <v/>
      </c>
      <c r="C261" s="18" t="n"/>
      <c r="D261" s="16" t="n"/>
      <c r="E261" s="17">
        <f>IF($D261="","",IFERROR(INDEX(rngCadetPIDs,MATCH($D261,rngCadetNames,0)),"?"))</f>
        <v/>
      </c>
      <c r="F261" s="16" t="n"/>
      <c r="G261" s="16" t="n"/>
      <c r="H261" s="19">
        <f>IF(OR($D261="",$C261=""),"",_xlfn.LET(_xlpm.dn,IFERROR(_xlfn.XLOOKUP($C261,nrCDdate,nrCDnum),""),IF(_xlpm.dn="","(not a class day)",IFERROR(_xlfn.XLOOKUP(_xlpm.dn+cfgMemoDueClassDays,nrCDnum,nrCDdate),""))))</f>
        <v/>
      </c>
      <c r="I261" s="18" t="n"/>
      <c r="J261" s="19">
        <f>IF($D261="","",IF($I261&lt;&gt;"",$I261,IF(ISNUMBER($H261),$H261,"")))</f>
        <v/>
      </c>
      <c r="K261" s="18" t="n"/>
      <c r="L261" s="17">
        <f>IF($D261="","",IF($K261&lt;&gt;"","Received "&amp;TEXT($K261,"mm/dd"),IF(AND(ISNUMBER($J261),TODAY()&gt;$J261),"OVERDUE","Pending")))</f>
        <v/>
      </c>
      <c r="M261" s="16" t="n"/>
      <c r="N261" s="16" t="n"/>
    </row>
    <row r="262">
      <c r="B262" s="17">
        <f>IF($D262="","","ME"&amp;TEXT(ROW()-5,"000"))</f>
        <v/>
      </c>
      <c r="C262" s="18" t="n"/>
      <c r="D262" s="16" t="n"/>
      <c r="E262" s="17">
        <f>IF($D262="","",IFERROR(INDEX(rngCadetPIDs,MATCH($D262,rngCadetNames,0)),"?"))</f>
        <v/>
      </c>
      <c r="F262" s="16" t="n"/>
      <c r="G262" s="16" t="n"/>
      <c r="H262" s="19">
        <f>IF(OR($D262="",$C262=""),"",_xlfn.LET(_xlpm.dn,IFERROR(_xlfn.XLOOKUP($C262,nrCDdate,nrCDnum),""),IF(_xlpm.dn="","(not a class day)",IFERROR(_xlfn.XLOOKUP(_xlpm.dn+cfgMemoDueClassDays,nrCDnum,nrCDdate),""))))</f>
        <v/>
      </c>
      <c r="I262" s="18" t="n"/>
      <c r="J262" s="19">
        <f>IF($D262="","",IF($I262&lt;&gt;"",$I262,IF(ISNUMBER($H262),$H262,"")))</f>
        <v/>
      </c>
      <c r="K262" s="18" t="n"/>
      <c r="L262" s="17">
        <f>IF($D262="","",IF($K262&lt;&gt;"","Received "&amp;TEXT($K262,"mm/dd"),IF(AND(ISNUMBER($J262),TODAY()&gt;$J262),"OVERDUE","Pending")))</f>
        <v/>
      </c>
      <c r="M262" s="16" t="n"/>
      <c r="N262" s="16" t="n"/>
    </row>
    <row r="263">
      <c r="B263" s="17">
        <f>IF($D263="","","ME"&amp;TEXT(ROW()-5,"000"))</f>
        <v/>
      </c>
      <c r="C263" s="18" t="n"/>
      <c r="D263" s="16" t="n"/>
      <c r="E263" s="17">
        <f>IF($D263="","",IFERROR(INDEX(rngCadetPIDs,MATCH($D263,rngCadetNames,0)),"?"))</f>
        <v/>
      </c>
      <c r="F263" s="16" t="n"/>
      <c r="G263" s="16" t="n"/>
      <c r="H263" s="19">
        <f>IF(OR($D263="",$C263=""),"",_xlfn.LET(_xlpm.dn,IFERROR(_xlfn.XLOOKUP($C263,nrCDdate,nrCDnum),""),IF(_xlpm.dn="","(not a class day)",IFERROR(_xlfn.XLOOKUP(_xlpm.dn+cfgMemoDueClassDays,nrCDnum,nrCDdate),""))))</f>
        <v/>
      </c>
      <c r="I263" s="18" t="n"/>
      <c r="J263" s="19">
        <f>IF($D263="","",IF($I263&lt;&gt;"",$I263,IF(ISNUMBER($H263),$H263,"")))</f>
        <v/>
      </c>
      <c r="K263" s="18" t="n"/>
      <c r="L263" s="17">
        <f>IF($D263="","",IF($K263&lt;&gt;"","Received "&amp;TEXT($K263,"mm/dd"),IF(AND(ISNUMBER($J263),TODAY()&gt;$J263),"OVERDUE","Pending")))</f>
        <v/>
      </c>
      <c r="M263" s="16" t="n"/>
      <c r="N263" s="16" t="n"/>
    </row>
    <row r="264">
      <c r="B264" s="17">
        <f>IF($D264="","","ME"&amp;TEXT(ROW()-5,"000"))</f>
        <v/>
      </c>
      <c r="C264" s="18" t="n"/>
      <c r="D264" s="16" t="n"/>
      <c r="E264" s="17">
        <f>IF($D264="","",IFERROR(INDEX(rngCadetPIDs,MATCH($D264,rngCadetNames,0)),"?"))</f>
        <v/>
      </c>
      <c r="F264" s="16" t="n"/>
      <c r="G264" s="16" t="n"/>
      <c r="H264" s="19">
        <f>IF(OR($D264="",$C264=""),"",_xlfn.LET(_xlpm.dn,IFERROR(_xlfn.XLOOKUP($C264,nrCDdate,nrCDnum),""),IF(_xlpm.dn="","(not a class day)",IFERROR(_xlfn.XLOOKUP(_xlpm.dn+cfgMemoDueClassDays,nrCDnum,nrCDdate),""))))</f>
        <v/>
      </c>
      <c r="I264" s="18" t="n"/>
      <c r="J264" s="19">
        <f>IF($D264="","",IF($I264&lt;&gt;"",$I264,IF(ISNUMBER($H264),$H264,"")))</f>
        <v/>
      </c>
      <c r="K264" s="18" t="n"/>
      <c r="L264" s="17">
        <f>IF($D264="","",IF($K264&lt;&gt;"","Received "&amp;TEXT($K264,"mm/dd"),IF(AND(ISNUMBER($J264),TODAY()&gt;$J264),"OVERDUE","Pending")))</f>
        <v/>
      </c>
      <c r="M264" s="16" t="n"/>
      <c r="N264" s="16" t="n"/>
    </row>
    <row r="265">
      <c r="B265" s="17">
        <f>IF($D265="","","ME"&amp;TEXT(ROW()-5,"000"))</f>
        <v/>
      </c>
      <c r="C265" s="18" t="n"/>
      <c r="D265" s="16" t="n"/>
      <c r="E265" s="17">
        <f>IF($D265="","",IFERROR(INDEX(rngCadetPIDs,MATCH($D265,rngCadetNames,0)),"?"))</f>
        <v/>
      </c>
      <c r="F265" s="16" t="n"/>
      <c r="G265" s="16" t="n"/>
      <c r="H265" s="19">
        <f>IF(OR($D265="",$C265=""),"",_xlfn.LET(_xlpm.dn,IFERROR(_xlfn.XLOOKUP($C265,nrCDdate,nrCDnum),""),IF(_xlpm.dn="","(not a class day)",IFERROR(_xlfn.XLOOKUP(_xlpm.dn+cfgMemoDueClassDays,nrCDnum,nrCDdate),""))))</f>
        <v/>
      </c>
      <c r="I265" s="18" t="n"/>
      <c r="J265" s="19">
        <f>IF($D265="","",IF($I265&lt;&gt;"",$I265,IF(ISNUMBER($H265),$H265,"")))</f>
        <v/>
      </c>
      <c r="K265" s="18" t="n"/>
      <c r="L265" s="17">
        <f>IF($D265="","",IF($K265&lt;&gt;"","Received "&amp;TEXT($K265,"mm/dd"),IF(AND(ISNUMBER($J265),TODAY()&gt;$J265),"OVERDUE","Pending")))</f>
        <v/>
      </c>
      <c r="M265" s="16" t="n"/>
      <c r="N265" s="16" t="n"/>
    </row>
    <row r="266">
      <c r="B266" s="17">
        <f>IF($D266="","","ME"&amp;TEXT(ROW()-5,"000"))</f>
        <v/>
      </c>
      <c r="C266" s="18" t="n"/>
      <c r="D266" s="16" t="n"/>
      <c r="E266" s="17">
        <f>IF($D266="","",IFERROR(INDEX(rngCadetPIDs,MATCH($D266,rngCadetNames,0)),"?"))</f>
        <v/>
      </c>
      <c r="F266" s="16" t="n"/>
      <c r="G266" s="16" t="n"/>
      <c r="H266" s="19">
        <f>IF(OR($D266="",$C266=""),"",_xlfn.LET(_xlpm.dn,IFERROR(_xlfn.XLOOKUP($C266,nrCDdate,nrCDnum),""),IF(_xlpm.dn="","(not a class day)",IFERROR(_xlfn.XLOOKUP(_xlpm.dn+cfgMemoDueClassDays,nrCDnum,nrCDdate),""))))</f>
        <v/>
      </c>
      <c r="I266" s="18" t="n"/>
      <c r="J266" s="19">
        <f>IF($D266="","",IF($I266&lt;&gt;"",$I266,IF(ISNUMBER($H266),$H266,"")))</f>
        <v/>
      </c>
      <c r="K266" s="18" t="n"/>
      <c r="L266" s="17">
        <f>IF($D266="","",IF($K266&lt;&gt;"","Received "&amp;TEXT($K266,"mm/dd"),IF(AND(ISNUMBER($J266),TODAY()&gt;$J266),"OVERDUE","Pending")))</f>
        <v/>
      </c>
      <c r="M266" s="16" t="n"/>
      <c r="N266" s="16" t="n"/>
    </row>
    <row r="267">
      <c r="B267" s="17">
        <f>IF($D267="","","ME"&amp;TEXT(ROW()-5,"000"))</f>
        <v/>
      </c>
      <c r="C267" s="18" t="n"/>
      <c r="D267" s="16" t="n"/>
      <c r="E267" s="17">
        <f>IF($D267="","",IFERROR(INDEX(rngCadetPIDs,MATCH($D267,rngCadetNames,0)),"?"))</f>
        <v/>
      </c>
      <c r="F267" s="16" t="n"/>
      <c r="G267" s="16" t="n"/>
      <c r="H267" s="19">
        <f>IF(OR($D267="",$C267=""),"",_xlfn.LET(_xlpm.dn,IFERROR(_xlfn.XLOOKUP($C267,nrCDdate,nrCDnum),""),IF(_xlpm.dn="","(not a class day)",IFERROR(_xlfn.XLOOKUP(_xlpm.dn+cfgMemoDueClassDays,nrCDnum,nrCDdate),""))))</f>
        <v/>
      </c>
      <c r="I267" s="18" t="n"/>
      <c r="J267" s="19">
        <f>IF($D267="","",IF($I267&lt;&gt;"",$I267,IF(ISNUMBER($H267),$H267,"")))</f>
        <v/>
      </c>
      <c r="K267" s="18" t="n"/>
      <c r="L267" s="17">
        <f>IF($D267="","",IF($K267&lt;&gt;"","Received "&amp;TEXT($K267,"mm/dd"),IF(AND(ISNUMBER($J267),TODAY()&gt;$J267),"OVERDUE","Pending")))</f>
        <v/>
      </c>
      <c r="M267" s="16" t="n"/>
      <c r="N267" s="16" t="n"/>
    </row>
    <row r="268">
      <c r="B268" s="17">
        <f>IF($D268="","","ME"&amp;TEXT(ROW()-5,"000"))</f>
        <v/>
      </c>
      <c r="C268" s="18" t="n"/>
      <c r="D268" s="16" t="n"/>
      <c r="E268" s="17">
        <f>IF($D268="","",IFERROR(INDEX(rngCadetPIDs,MATCH($D268,rngCadetNames,0)),"?"))</f>
        <v/>
      </c>
      <c r="F268" s="16" t="n"/>
      <c r="G268" s="16" t="n"/>
      <c r="H268" s="19">
        <f>IF(OR($D268="",$C268=""),"",_xlfn.LET(_xlpm.dn,IFERROR(_xlfn.XLOOKUP($C268,nrCDdate,nrCDnum),""),IF(_xlpm.dn="","(not a class day)",IFERROR(_xlfn.XLOOKUP(_xlpm.dn+cfgMemoDueClassDays,nrCDnum,nrCDdate),""))))</f>
        <v/>
      </c>
      <c r="I268" s="18" t="n"/>
      <c r="J268" s="19">
        <f>IF($D268="","",IF($I268&lt;&gt;"",$I268,IF(ISNUMBER($H268),$H268,"")))</f>
        <v/>
      </c>
      <c r="K268" s="18" t="n"/>
      <c r="L268" s="17">
        <f>IF($D268="","",IF($K268&lt;&gt;"","Received "&amp;TEXT($K268,"mm/dd"),IF(AND(ISNUMBER($J268),TODAY()&gt;$J268),"OVERDUE","Pending")))</f>
        <v/>
      </c>
      <c r="M268" s="16" t="n"/>
      <c r="N268" s="16" t="n"/>
    </row>
    <row r="269">
      <c r="B269" s="17">
        <f>IF($D269="","","ME"&amp;TEXT(ROW()-5,"000"))</f>
        <v/>
      </c>
      <c r="C269" s="18" t="n"/>
      <c r="D269" s="16" t="n"/>
      <c r="E269" s="17">
        <f>IF($D269="","",IFERROR(INDEX(rngCadetPIDs,MATCH($D269,rngCadetNames,0)),"?"))</f>
        <v/>
      </c>
      <c r="F269" s="16" t="n"/>
      <c r="G269" s="16" t="n"/>
      <c r="H269" s="19">
        <f>IF(OR($D269="",$C269=""),"",_xlfn.LET(_xlpm.dn,IFERROR(_xlfn.XLOOKUP($C269,nrCDdate,nrCDnum),""),IF(_xlpm.dn="","(not a class day)",IFERROR(_xlfn.XLOOKUP(_xlpm.dn+cfgMemoDueClassDays,nrCDnum,nrCDdate),""))))</f>
        <v/>
      </c>
      <c r="I269" s="18" t="n"/>
      <c r="J269" s="19">
        <f>IF($D269="","",IF($I269&lt;&gt;"",$I269,IF(ISNUMBER($H269),$H269,"")))</f>
        <v/>
      </c>
      <c r="K269" s="18" t="n"/>
      <c r="L269" s="17">
        <f>IF($D269="","",IF($K269&lt;&gt;"","Received "&amp;TEXT($K269,"mm/dd"),IF(AND(ISNUMBER($J269),TODAY()&gt;$J269),"OVERDUE","Pending")))</f>
        <v/>
      </c>
      <c r="M269" s="16" t="n"/>
      <c r="N269" s="16" t="n"/>
    </row>
    <row r="270">
      <c r="B270" s="17">
        <f>IF($D270="","","ME"&amp;TEXT(ROW()-5,"000"))</f>
        <v/>
      </c>
      <c r="C270" s="18" t="n"/>
      <c r="D270" s="16" t="n"/>
      <c r="E270" s="17">
        <f>IF($D270="","",IFERROR(INDEX(rngCadetPIDs,MATCH($D270,rngCadetNames,0)),"?"))</f>
        <v/>
      </c>
      <c r="F270" s="16" t="n"/>
      <c r="G270" s="16" t="n"/>
      <c r="H270" s="19">
        <f>IF(OR($D270="",$C270=""),"",_xlfn.LET(_xlpm.dn,IFERROR(_xlfn.XLOOKUP($C270,nrCDdate,nrCDnum),""),IF(_xlpm.dn="","(not a class day)",IFERROR(_xlfn.XLOOKUP(_xlpm.dn+cfgMemoDueClassDays,nrCDnum,nrCDdate),""))))</f>
        <v/>
      </c>
      <c r="I270" s="18" t="n"/>
      <c r="J270" s="19">
        <f>IF($D270="","",IF($I270&lt;&gt;"",$I270,IF(ISNUMBER($H270),$H270,"")))</f>
        <v/>
      </c>
      <c r="K270" s="18" t="n"/>
      <c r="L270" s="17">
        <f>IF($D270="","",IF($K270&lt;&gt;"","Received "&amp;TEXT($K270,"mm/dd"),IF(AND(ISNUMBER($J270),TODAY()&gt;$J270),"OVERDUE","Pending")))</f>
        <v/>
      </c>
      <c r="M270" s="16" t="n"/>
      <c r="N270" s="16" t="n"/>
    </row>
    <row r="271">
      <c r="B271" s="17">
        <f>IF($D271="","","ME"&amp;TEXT(ROW()-5,"000"))</f>
        <v/>
      </c>
      <c r="C271" s="18" t="n"/>
      <c r="D271" s="16" t="n"/>
      <c r="E271" s="17">
        <f>IF($D271="","",IFERROR(INDEX(rngCadetPIDs,MATCH($D271,rngCadetNames,0)),"?"))</f>
        <v/>
      </c>
      <c r="F271" s="16" t="n"/>
      <c r="G271" s="16" t="n"/>
      <c r="H271" s="19">
        <f>IF(OR($D271="",$C271=""),"",_xlfn.LET(_xlpm.dn,IFERROR(_xlfn.XLOOKUP($C271,nrCDdate,nrCDnum),""),IF(_xlpm.dn="","(not a class day)",IFERROR(_xlfn.XLOOKUP(_xlpm.dn+cfgMemoDueClassDays,nrCDnum,nrCDdate),""))))</f>
        <v/>
      </c>
      <c r="I271" s="18" t="n"/>
      <c r="J271" s="19">
        <f>IF($D271="","",IF($I271&lt;&gt;"",$I271,IF(ISNUMBER($H271),$H271,"")))</f>
        <v/>
      </c>
      <c r="K271" s="18" t="n"/>
      <c r="L271" s="17">
        <f>IF($D271="","",IF($K271&lt;&gt;"","Received "&amp;TEXT($K271,"mm/dd"),IF(AND(ISNUMBER($J271),TODAY()&gt;$J271),"OVERDUE","Pending")))</f>
        <v/>
      </c>
      <c r="M271" s="16" t="n"/>
      <c r="N271" s="16" t="n"/>
    </row>
    <row r="272">
      <c r="B272" s="17">
        <f>IF($D272="","","ME"&amp;TEXT(ROW()-5,"000"))</f>
        <v/>
      </c>
      <c r="C272" s="18" t="n"/>
      <c r="D272" s="16" t="n"/>
      <c r="E272" s="17">
        <f>IF($D272="","",IFERROR(INDEX(rngCadetPIDs,MATCH($D272,rngCadetNames,0)),"?"))</f>
        <v/>
      </c>
      <c r="F272" s="16" t="n"/>
      <c r="G272" s="16" t="n"/>
      <c r="H272" s="19">
        <f>IF(OR($D272="",$C272=""),"",_xlfn.LET(_xlpm.dn,IFERROR(_xlfn.XLOOKUP($C272,nrCDdate,nrCDnum),""),IF(_xlpm.dn="","(not a class day)",IFERROR(_xlfn.XLOOKUP(_xlpm.dn+cfgMemoDueClassDays,nrCDnum,nrCDdate),""))))</f>
        <v/>
      </c>
      <c r="I272" s="18" t="n"/>
      <c r="J272" s="19">
        <f>IF($D272="","",IF($I272&lt;&gt;"",$I272,IF(ISNUMBER($H272),$H272,"")))</f>
        <v/>
      </c>
      <c r="K272" s="18" t="n"/>
      <c r="L272" s="17">
        <f>IF($D272="","",IF($K272&lt;&gt;"","Received "&amp;TEXT($K272,"mm/dd"),IF(AND(ISNUMBER($J272),TODAY()&gt;$J272),"OVERDUE","Pending")))</f>
        <v/>
      </c>
      <c r="M272" s="16" t="n"/>
      <c r="N272" s="16" t="n"/>
    </row>
    <row r="273">
      <c r="B273" s="17">
        <f>IF($D273="","","ME"&amp;TEXT(ROW()-5,"000"))</f>
        <v/>
      </c>
      <c r="C273" s="18" t="n"/>
      <c r="D273" s="16" t="n"/>
      <c r="E273" s="17">
        <f>IF($D273="","",IFERROR(INDEX(rngCadetPIDs,MATCH($D273,rngCadetNames,0)),"?"))</f>
        <v/>
      </c>
      <c r="F273" s="16" t="n"/>
      <c r="G273" s="16" t="n"/>
      <c r="H273" s="19">
        <f>IF(OR($D273="",$C273=""),"",_xlfn.LET(_xlpm.dn,IFERROR(_xlfn.XLOOKUP($C273,nrCDdate,nrCDnum),""),IF(_xlpm.dn="","(not a class day)",IFERROR(_xlfn.XLOOKUP(_xlpm.dn+cfgMemoDueClassDays,nrCDnum,nrCDdate),""))))</f>
        <v/>
      </c>
      <c r="I273" s="18" t="n"/>
      <c r="J273" s="19">
        <f>IF($D273="","",IF($I273&lt;&gt;"",$I273,IF(ISNUMBER($H273),$H273,"")))</f>
        <v/>
      </c>
      <c r="K273" s="18" t="n"/>
      <c r="L273" s="17">
        <f>IF($D273="","",IF($K273&lt;&gt;"","Received "&amp;TEXT($K273,"mm/dd"),IF(AND(ISNUMBER($J273),TODAY()&gt;$J273),"OVERDUE","Pending")))</f>
        <v/>
      </c>
      <c r="M273" s="16" t="n"/>
      <c r="N273" s="16" t="n"/>
    </row>
    <row r="274">
      <c r="B274" s="17">
        <f>IF($D274="","","ME"&amp;TEXT(ROW()-5,"000"))</f>
        <v/>
      </c>
      <c r="C274" s="18" t="n"/>
      <c r="D274" s="16" t="n"/>
      <c r="E274" s="17">
        <f>IF($D274="","",IFERROR(INDEX(rngCadetPIDs,MATCH($D274,rngCadetNames,0)),"?"))</f>
        <v/>
      </c>
      <c r="F274" s="16" t="n"/>
      <c r="G274" s="16" t="n"/>
      <c r="H274" s="19">
        <f>IF(OR($D274="",$C274=""),"",_xlfn.LET(_xlpm.dn,IFERROR(_xlfn.XLOOKUP($C274,nrCDdate,nrCDnum),""),IF(_xlpm.dn="","(not a class day)",IFERROR(_xlfn.XLOOKUP(_xlpm.dn+cfgMemoDueClassDays,nrCDnum,nrCDdate),""))))</f>
        <v/>
      </c>
      <c r="I274" s="18" t="n"/>
      <c r="J274" s="19">
        <f>IF($D274="","",IF($I274&lt;&gt;"",$I274,IF(ISNUMBER($H274),$H274,"")))</f>
        <v/>
      </c>
      <c r="K274" s="18" t="n"/>
      <c r="L274" s="17">
        <f>IF($D274="","",IF($K274&lt;&gt;"","Received "&amp;TEXT($K274,"mm/dd"),IF(AND(ISNUMBER($J274),TODAY()&gt;$J274),"OVERDUE","Pending")))</f>
        <v/>
      </c>
      <c r="M274" s="16" t="n"/>
      <c r="N274" s="16" t="n"/>
    </row>
    <row r="275">
      <c r="B275" s="17">
        <f>IF($D275="","","ME"&amp;TEXT(ROW()-5,"000"))</f>
        <v/>
      </c>
      <c r="C275" s="18" t="n"/>
      <c r="D275" s="16" t="n"/>
      <c r="E275" s="17">
        <f>IF($D275="","",IFERROR(INDEX(rngCadetPIDs,MATCH($D275,rngCadetNames,0)),"?"))</f>
        <v/>
      </c>
      <c r="F275" s="16" t="n"/>
      <c r="G275" s="16" t="n"/>
      <c r="H275" s="19">
        <f>IF(OR($D275="",$C275=""),"",_xlfn.LET(_xlpm.dn,IFERROR(_xlfn.XLOOKUP($C275,nrCDdate,nrCDnum),""),IF(_xlpm.dn="","(not a class day)",IFERROR(_xlfn.XLOOKUP(_xlpm.dn+cfgMemoDueClassDays,nrCDnum,nrCDdate),""))))</f>
        <v/>
      </c>
      <c r="I275" s="18" t="n"/>
      <c r="J275" s="19">
        <f>IF($D275="","",IF($I275&lt;&gt;"",$I275,IF(ISNUMBER($H275),$H275,"")))</f>
        <v/>
      </c>
      <c r="K275" s="18" t="n"/>
      <c r="L275" s="17">
        <f>IF($D275="","",IF($K275&lt;&gt;"","Received "&amp;TEXT($K275,"mm/dd"),IF(AND(ISNUMBER($J275),TODAY()&gt;$J275),"OVERDUE","Pending")))</f>
        <v/>
      </c>
      <c r="M275" s="16" t="n"/>
      <c r="N275" s="16" t="n"/>
    </row>
    <row r="276">
      <c r="B276" s="17">
        <f>IF($D276="","","ME"&amp;TEXT(ROW()-5,"000"))</f>
        <v/>
      </c>
      <c r="C276" s="18" t="n"/>
      <c r="D276" s="16" t="n"/>
      <c r="E276" s="17">
        <f>IF($D276="","",IFERROR(INDEX(rngCadetPIDs,MATCH($D276,rngCadetNames,0)),"?"))</f>
        <v/>
      </c>
      <c r="F276" s="16" t="n"/>
      <c r="G276" s="16" t="n"/>
      <c r="H276" s="19">
        <f>IF(OR($D276="",$C276=""),"",_xlfn.LET(_xlpm.dn,IFERROR(_xlfn.XLOOKUP($C276,nrCDdate,nrCDnum),""),IF(_xlpm.dn="","(not a class day)",IFERROR(_xlfn.XLOOKUP(_xlpm.dn+cfgMemoDueClassDays,nrCDnum,nrCDdate),""))))</f>
        <v/>
      </c>
      <c r="I276" s="18" t="n"/>
      <c r="J276" s="19">
        <f>IF($D276="","",IF($I276&lt;&gt;"",$I276,IF(ISNUMBER($H276),$H276,"")))</f>
        <v/>
      </c>
      <c r="K276" s="18" t="n"/>
      <c r="L276" s="17">
        <f>IF($D276="","",IF($K276&lt;&gt;"","Received "&amp;TEXT($K276,"mm/dd"),IF(AND(ISNUMBER($J276),TODAY()&gt;$J276),"OVERDUE","Pending")))</f>
        <v/>
      </c>
      <c r="M276" s="16" t="n"/>
      <c r="N276" s="16" t="n"/>
    </row>
    <row r="277">
      <c r="B277" s="17">
        <f>IF($D277="","","ME"&amp;TEXT(ROW()-5,"000"))</f>
        <v/>
      </c>
      <c r="C277" s="18" t="n"/>
      <c r="D277" s="16" t="n"/>
      <c r="E277" s="17">
        <f>IF($D277="","",IFERROR(INDEX(rngCadetPIDs,MATCH($D277,rngCadetNames,0)),"?"))</f>
        <v/>
      </c>
      <c r="F277" s="16" t="n"/>
      <c r="G277" s="16" t="n"/>
      <c r="H277" s="19">
        <f>IF(OR($D277="",$C277=""),"",_xlfn.LET(_xlpm.dn,IFERROR(_xlfn.XLOOKUP($C277,nrCDdate,nrCDnum),""),IF(_xlpm.dn="","(not a class day)",IFERROR(_xlfn.XLOOKUP(_xlpm.dn+cfgMemoDueClassDays,nrCDnum,nrCDdate),""))))</f>
        <v/>
      </c>
      <c r="I277" s="18" t="n"/>
      <c r="J277" s="19">
        <f>IF($D277="","",IF($I277&lt;&gt;"",$I277,IF(ISNUMBER($H277),$H277,"")))</f>
        <v/>
      </c>
      <c r="K277" s="18" t="n"/>
      <c r="L277" s="17">
        <f>IF($D277="","",IF($K277&lt;&gt;"","Received "&amp;TEXT($K277,"mm/dd"),IF(AND(ISNUMBER($J277),TODAY()&gt;$J277),"OVERDUE","Pending")))</f>
        <v/>
      </c>
      <c r="M277" s="16" t="n"/>
      <c r="N277" s="16" t="n"/>
    </row>
    <row r="278">
      <c r="B278" s="17">
        <f>IF($D278="","","ME"&amp;TEXT(ROW()-5,"000"))</f>
        <v/>
      </c>
      <c r="C278" s="18" t="n"/>
      <c r="D278" s="16" t="n"/>
      <c r="E278" s="17">
        <f>IF($D278="","",IFERROR(INDEX(rngCadetPIDs,MATCH($D278,rngCadetNames,0)),"?"))</f>
        <v/>
      </c>
      <c r="F278" s="16" t="n"/>
      <c r="G278" s="16" t="n"/>
      <c r="H278" s="19">
        <f>IF(OR($D278="",$C278=""),"",_xlfn.LET(_xlpm.dn,IFERROR(_xlfn.XLOOKUP($C278,nrCDdate,nrCDnum),""),IF(_xlpm.dn="","(not a class day)",IFERROR(_xlfn.XLOOKUP(_xlpm.dn+cfgMemoDueClassDays,nrCDnum,nrCDdate),""))))</f>
        <v/>
      </c>
      <c r="I278" s="18" t="n"/>
      <c r="J278" s="19">
        <f>IF($D278="","",IF($I278&lt;&gt;"",$I278,IF(ISNUMBER($H278),$H278,"")))</f>
        <v/>
      </c>
      <c r="K278" s="18" t="n"/>
      <c r="L278" s="17">
        <f>IF($D278="","",IF($K278&lt;&gt;"","Received "&amp;TEXT($K278,"mm/dd"),IF(AND(ISNUMBER($J278),TODAY()&gt;$J278),"OVERDUE","Pending")))</f>
        <v/>
      </c>
      <c r="M278" s="16" t="n"/>
      <c r="N278" s="16" t="n"/>
    </row>
    <row r="279">
      <c r="B279" s="17">
        <f>IF($D279="","","ME"&amp;TEXT(ROW()-5,"000"))</f>
        <v/>
      </c>
      <c r="C279" s="18" t="n"/>
      <c r="D279" s="16" t="n"/>
      <c r="E279" s="17">
        <f>IF($D279="","",IFERROR(INDEX(rngCadetPIDs,MATCH($D279,rngCadetNames,0)),"?"))</f>
        <v/>
      </c>
      <c r="F279" s="16" t="n"/>
      <c r="G279" s="16" t="n"/>
      <c r="H279" s="19">
        <f>IF(OR($D279="",$C279=""),"",_xlfn.LET(_xlpm.dn,IFERROR(_xlfn.XLOOKUP($C279,nrCDdate,nrCDnum),""),IF(_xlpm.dn="","(not a class day)",IFERROR(_xlfn.XLOOKUP(_xlpm.dn+cfgMemoDueClassDays,nrCDnum,nrCDdate),""))))</f>
        <v/>
      </c>
      <c r="I279" s="18" t="n"/>
      <c r="J279" s="19">
        <f>IF($D279="","",IF($I279&lt;&gt;"",$I279,IF(ISNUMBER($H279),$H279,"")))</f>
        <v/>
      </c>
      <c r="K279" s="18" t="n"/>
      <c r="L279" s="17">
        <f>IF($D279="","",IF($K279&lt;&gt;"","Received "&amp;TEXT($K279,"mm/dd"),IF(AND(ISNUMBER($J279),TODAY()&gt;$J279),"OVERDUE","Pending")))</f>
        <v/>
      </c>
      <c r="M279" s="16" t="n"/>
      <c r="N279" s="16" t="n"/>
    </row>
    <row r="280">
      <c r="B280" s="17">
        <f>IF($D280="","","ME"&amp;TEXT(ROW()-5,"000"))</f>
        <v/>
      </c>
      <c r="C280" s="18" t="n"/>
      <c r="D280" s="16" t="n"/>
      <c r="E280" s="17">
        <f>IF($D280="","",IFERROR(INDEX(rngCadetPIDs,MATCH($D280,rngCadetNames,0)),"?"))</f>
        <v/>
      </c>
      <c r="F280" s="16" t="n"/>
      <c r="G280" s="16" t="n"/>
      <c r="H280" s="19">
        <f>IF(OR($D280="",$C280=""),"",_xlfn.LET(_xlpm.dn,IFERROR(_xlfn.XLOOKUP($C280,nrCDdate,nrCDnum),""),IF(_xlpm.dn="","(not a class day)",IFERROR(_xlfn.XLOOKUP(_xlpm.dn+cfgMemoDueClassDays,nrCDnum,nrCDdate),""))))</f>
        <v/>
      </c>
      <c r="I280" s="18" t="n"/>
      <c r="J280" s="19">
        <f>IF($D280="","",IF($I280&lt;&gt;"",$I280,IF(ISNUMBER($H280),$H280,"")))</f>
        <v/>
      </c>
      <c r="K280" s="18" t="n"/>
      <c r="L280" s="17">
        <f>IF($D280="","",IF($K280&lt;&gt;"","Received "&amp;TEXT($K280,"mm/dd"),IF(AND(ISNUMBER($J280),TODAY()&gt;$J280),"OVERDUE","Pending")))</f>
        <v/>
      </c>
      <c r="M280" s="16" t="n"/>
      <c r="N280" s="16" t="n"/>
    </row>
    <row r="281">
      <c r="B281" s="17">
        <f>IF($D281="","","ME"&amp;TEXT(ROW()-5,"000"))</f>
        <v/>
      </c>
      <c r="C281" s="18" t="n"/>
      <c r="D281" s="16" t="n"/>
      <c r="E281" s="17">
        <f>IF($D281="","",IFERROR(INDEX(rngCadetPIDs,MATCH($D281,rngCadetNames,0)),"?"))</f>
        <v/>
      </c>
      <c r="F281" s="16" t="n"/>
      <c r="G281" s="16" t="n"/>
      <c r="H281" s="19">
        <f>IF(OR($D281="",$C281=""),"",_xlfn.LET(_xlpm.dn,IFERROR(_xlfn.XLOOKUP($C281,nrCDdate,nrCDnum),""),IF(_xlpm.dn="","(not a class day)",IFERROR(_xlfn.XLOOKUP(_xlpm.dn+cfgMemoDueClassDays,nrCDnum,nrCDdate),""))))</f>
        <v/>
      </c>
      <c r="I281" s="18" t="n"/>
      <c r="J281" s="19">
        <f>IF($D281="","",IF($I281&lt;&gt;"",$I281,IF(ISNUMBER($H281),$H281,"")))</f>
        <v/>
      </c>
      <c r="K281" s="18" t="n"/>
      <c r="L281" s="17">
        <f>IF($D281="","",IF($K281&lt;&gt;"","Received "&amp;TEXT($K281,"mm/dd"),IF(AND(ISNUMBER($J281),TODAY()&gt;$J281),"OVERDUE","Pending")))</f>
        <v/>
      </c>
      <c r="M281" s="16" t="n"/>
      <c r="N281" s="16" t="n"/>
    </row>
    <row r="282">
      <c r="B282" s="17">
        <f>IF($D282="","","ME"&amp;TEXT(ROW()-5,"000"))</f>
        <v/>
      </c>
      <c r="C282" s="18" t="n"/>
      <c r="D282" s="16" t="n"/>
      <c r="E282" s="17">
        <f>IF($D282="","",IFERROR(INDEX(rngCadetPIDs,MATCH($D282,rngCadetNames,0)),"?"))</f>
        <v/>
      </c>
      <c r="F282" s="16" t="n"/>
      <c r="G282" s="16" t="n"/>
      <c r="H282" s="19">
        <f>IF(OR($D282="",$C282=""),"",_xlfn.LET(_xlpm.dn,IFERROR(_xlfn.XLOOKUP($C282,nrCDdate,nrCDnum),""),IF(_xlpm.dn="","(not a class day)",IFERROR(_xlfn.XLOOKUP(_xlpm.dn+cfgMemoDueClassDays,nrCDnum,nrCDdate),""))))</f>
        <v/>
      </c>
      <c r="I282" s="18" t="n"/>
      <c r="J282" s="19">
        <f>IF($D282="","",IF($I282&lt;&gt;"",$I282,IF(ISNUMBER($H282),$H282,"")))</f>
        <v/>
      </c>
      <c r="K282" s="18" t="n"/>
      <c r="L282" s="17">
        <f>IF($D282="","",IF($K282&lt;&gt;"","Received "&amp;TEXT($K282,"mm/dd"),IF(AND(ISNUMBER($J282),TODAY()&gt;$J282),"OVERDUE","Pending")))</f>
        <v/>
      </c>
      <c r="M282" s="16" t="n"/>
      <c r="N282" s="16" t="n"/>
    </row>
    <row r="283">
      <c r="B283" s="17">
        <f>IF($D283="","","ME"&amp;TEXT(ROW()-5,"000"))</f>
        <v/>
      </c>
      <c r="C283" s="18" t="n"/>
      <c r="D283" s="16" t="n"/>
      <c r="E283" s="17">
        <f>IF($D283="","",IFERROR(INDEX(rngCadetPIDs,MATCH($D283,rngCadetNames,0)),"?"))</f>
        <v/>
      </c>
      <c r="F283" s="16" t="n"/>
      <c r="G283" s="16" t="n"/>
      <c r="H283" s="19">
        <f>IF(OR($D283="",$C283=""),"",_xlfn.LET(_xlpm.dn,IFERROR(_xlfn.XLOOKUP($C283,nrCDdate,nrCDnum),""),IF(_xlpm.dn="","(not a class day)",IFERROR(_xlfn.XLOOKUP(_xlpm.dn+cfgMemoDueClassDays,nrCDnum,nrCDdate),""))))</f>
        <v/>
      </c>
      <c r="I283" s="18" t="n"/>
      <c r="J283" s="19">
        <f>IF($D283="","",IF($I283&lt;&gt;"",$I283,IF(ISNUMBER($H283),$H283,"")))</f>
        <v/>
      </c>
      <c r="K283" s="18" t="n"/>
      <c r="L283" s="17">
        <f>IF($D283="","",IF($K283&lt;&gt;"","Received "&amp;TEXT($K283,"mm/dd"),IF(AND(ISNUMBER($J283),TODAY()&gt;$J283),"OVERDUE","Pending")))</f>
        <v/>
      </c>
      <c r="M283" s="16" t="n"/>
      <c r="N283" s="16" t="n"/>
    </row>
    <row r="284">
      <c r="B284" s="17">
        <f>IF($D284="","","ME"&amp;TEXT(ROW()-5,"000"))</f>
        <v/>
      </c>
      <c r="C284" s="18" t="n"/>
      <c r="D284" s="16" t="n"/>
      <c r="E284" s="17">
        <f>IF($D284="","",IFERROR(INDEX(rngCadetPIDs,MATCH($D284,rngCadetNames,0)),"?"))</f>
        <v/>
      </c>
      <c r="F284" s="16" t="n"/>
      <c r="G284" s="16" t="n"/>
      <c r="H284" s="19">
        <f>IF(OR($D284="",$C284=""),"",_xlfn.LET(_xlpm.dn,IFERROR(_xlfn.XLOOKUP($C284,nrCDdate,nrCDnum),""),IF(_xlpm.dn="","(not a class day)",IFERROR(_xlfn.XLOOKUP(_xlpm.dn+cfgMemoDueClassDays,nrCDnum,nrCDdate),""))))</f>
        <v/>
      </c>
      <c r="I284" s="18" t="n"/>
      <c r="J284" s="19">
        <f>IF($D284="","",IF($I284&lt;&gt;"",$I284,IF(ISNUMBER($H284),$H284,"")))</f>
        <v/>
      </c>
      <c r="K284" s="18" t="n"/>
      <c r="L284" s="17">
        <f>IF($D284="","",IF($K284&lt;&gt;"","Received "&amp;TEXT($K284,"mm/dd"),IF(AND(ISNUMBER($J284),TODAY()&gt;$J284),"OVERDUE","Pending")))</f>
        <v/>
      </c>
      <c r="M284" s="16" t="n"/>
      <c r="N284" s="16" t="n"/>
    </row>
    <row r="285">
      <c r="B285" s="17">
        <f>IF($D285="","","ME"&amp;TEXT(ROW()-5,"000"))</f>
        <v/>
      </c>
      <c r="C285" s="18" t="n"/>
      <c r="D285" s="16" t="n"/>
      <c r="E285" s="17">
        <f>IF($D285="","",IFERROR(INDEX(rngCadetPIDs,MATCH($D285,rngCadetNames,0)),"?"))</f>
        <v/>
      </c>
      <c r="F285" s="16" t="n"/>
      <c r="G285" s="16" t="n"/>
      <c r="H285" s="19">
        <f>IF(OR($D285="",$C285=""),"",_xlfn.LET(_xlpm.dn,IFERROR(_xlfn.XLOOKUP($C285,nrCDdate,nrCDnum),""),IF(_xlpm.dn="","(not a class day)",IFERROR(_xlfn.XLOOKUP(_xlpm.dn+cfgMemoDueClassDays,nrCDnum,nrCDdate),""))))</f>
        <v/>
      </c>
      <c r="I285" s="18" t="n"/>
      <c r="J285" s="19">
        <f>IF($D285="","",IF($I285&lt;&gt;"",$I285,IF(ISNUMBER($H285),$H285,"")))</f>
        <v/>
      </c>
      <c r="K285" s="18" t="n"/>
      <c r="L285" s="17">
        <f>IF($D285="","",IF($K285&lt;&gt;"","Received "&amp;TEXT($K285,"mm/dd"),IF(AND(ISNUMBER($J285),TODAY()&gt;$J285),"OVERDUE","Pending")))</f>
        <v/>
      </c>
      <c r="M285" s="16" t="n"/>
      <c r="N285" s="16" t="n"/>
    </row>
    <row r="286">
      <c r="B286" s="17">
        <f>IF($D286="","","ME"&amp;TEXT(ROW()-5,"000"))</f>
        <v/>
      </c>
      <c r="C286" s="18" t="n"/>
      <c r="D286" s="16" t="n"/>
      <c r="E286" s="17">
        <f>IF($D286="","",IFERROR(INDEX(rngCadetPIDs,MATCH($D286,rngCadetNames,0)),"?"))</f>
        <v/>
      </c>
      <c r="F286" s="16" t="n"/>
      <c r="G286" s="16" t="n"/>
      <c r="H286" s="19">
        <f>IF(OR($D286="",$C286=""),"",_xlfn.LET(_xlpm.dn,IFERROR(_xlfn.XLOOKUP($C286,nrCDdate,nrCDnum),""),IF(_xlpm.dn="","(not a class day)",IFERROR(_xlfn.XLOOKUP(_xlpm.dn+cfgMemoDueClassDays,nrCDnum,nrCDdate),""))))</f>
        <v/>
      </c>
      <c r="I286" s="18" t="n"/>
      <c r="J286" s="19">
        <f>IF($D286="","",IF($I286&lt;&gt;"",$I286,IF(ISNUMBER($H286),$H286,"")))</f>
        <v/>
      </c>
      <c r="K286" s="18" t="n"/>
      <c r="L286" s="17">
        <f>IF($D286="","",IF($K286&lt;&gt;"","Received "&amp;TEXT($K286,"mm/dd"),IF(AND(ISNUMBER($J286),TODAY()&gt;$J286),"OVERDUE","Pending")))</f>
        <v/>
      </c>
      <c r="M286" s="16" t="n"/>
      <c r="N286" s="16" t="n"/>
    </row>
    <row r="287">
      <c r="B287" s="17">
        <f>IF($D287="","","ME"&amp;TEXT(ROW()-5,"000"))</f>
        <v/>
      </c>
      <c r="C287" s="18" t="n"/>
      <c r="D287" s="16" t="n"/>
      <c r="E287" s="17">
        <f>IF($D287="","",IFERROR(INDEX(rngCadetPIDs,MATCH($D287,rngCadetNames,0)),"?"))</f>
        <v/>
      </c>
      <c r="F287" s="16" t="n"/>
      <c r="G287" s="16" t="n"/>
      <c r="H287" s="19">
        <f>IF(OR($D287="",$C287=""),"",_xlfn.LET(_xlpm.dn,IFERROR(_xlfn.XLOOKUP($C287,nrCDdate,nrCDnum),""),IF(_xlpm.dn="","(not a class day)",IFERROR(_xlfn.XLOOKUP(_xlpm.dn+cfgMemoDueClassDays,nrCDnum,nrCDdate),""))))</f>
        <v/>
      </c>
      <c r="I287" s="18" t="n"/>
      <c r="J287" s="19">
        <f>IF($D287="","",IF($I287&lt;&gt;"",$I287,IF(ISNUMBER($H287),$H287,"")))</f>
        <v/>
      </c>
      <c r="K287" s="18" t="n"/>
      <c r="L287" s="17">
        <f>IF($D287="","",IF($K287&lt;&gt;"","Received "&amp;TEXT($K287,"mm/dd"),IF(AND(ISNUMBER($J287),TODAY()&gt;$J287),"OVERDUE","Pending")))</f>
        <v/>
      </c>
      <c r="M287" s="16" t="n"/>
      <c r="N287" s="16" t="n"/>
    </row>
    <row r="288">
      <c r="B288" s="17">
        <f>IF($D288="","","ME"&amp;TEXT(ROW()-5,"000"))</f>
        <v/>
      </c>
      <c r="C288" s="18" t="n"/>
      <c r="D288" s="16" t="n"/>
      <c r="E288" s="17">
        <f>IF($D288="","",IFERROR(INDEX(rngCadetPIDs,MATCH($D288,rngCadetNames,0)),"?"))</f>
        <v/>
      </c>
      <c r="F288" s="16" t="n"/>
      <c r="G288" s="16" t="n"/>
      <c r="H288" s="19">
        <f>IF(OR($D288="",$C288=""),"",_xlfn.LET(_xlpm.dn,IFERROR(_xlfn.XLOOKUP($C288,nrCDdate,nrCDnum),""),IF(_xlpm.dn="","(not a class day)",IFERROR(_xlfn.XLOOKUP(_xlpm.dn+cfgMemoDueClassDays,nrCDnum,nrCDdate),""))))</f>
        <v/>
      </c>
      <c r="I288" s="18" t="n"/>
      <c r="J288" s="19">
        <f>IF($D288="","",IF($I288&lt;&gt;"",$I288,IF(ISNUMBER($H288),$H288,"")))</f>
        <v/>
      </c>
      <c r="K288" s="18" t="n"/>
      <c r="L288" s="17">
        <f>IF($D288="","",IF($K288&lt;&gt;"","Received "&amp;TEXT($K288,"mm/dd"),IF(AND(ISNUMBER($J288),TODAY()&gt;$J288),"OVERDUE","Pending")))</f>
        <v/>
      </c>
      <c r="M288" s="16" t="n"/>
      <c r="N288" s="16" t="n"/>
    </row>
    <row r="289">
      <c r="B289" s="17">
        <f>IF($D289="","","ME"&amp;TEXT(ROW()-5,"000"))</f>
        <v/>
      </c>
      <c r="C289" s="18" t="n"/>
      <c r="D289" s="16" t="n"/>
      <c r="E289" s="17">
        <f>IF($D289="","",IFERROR(INDEX(rngCadetPIDs,MATCH($D289,rngCadetNames,0)),"?"))</f>
        <v/>
      </c>
      <c r="F289" s="16" t="n"/>
      <c r="G289" s="16" t="n"/>
      <c r="H289" s="19">
        <f>IF(OR($D289="",$C289=""),"",_xlfn.LET(_xlpm.dn,IFERROR(_xlfn.XLOOKUP($C289,nrCDdate,nrCDnum),""),IF(_xlpm.dn="","(not a class day)",IFERROR(_xlfn.XLOOKUP(_xlpm.dn+cfgMemoDueClassDays,nrCDnum,nrCDdate),""))))</f>
        <v/>
      </c>
      <c r="I289" s="18" t="n"/>
      <c r="J289" s="19">
        <f>IF($D289="","",IF($I289&lt;&gt;"",$I289,IF(ISNUMBER($H289),$H289,"")))</f>
        <v/>
      </c>
      <c r="K289" s="18" t="n"/>
      <c r="L289" s="17">
        <f>IF($D289="","",IF($K289&lt;&gt;"","Received "&amp;TEXT($K289,"mm/dd"),IF(AND(ISNUMBER($J289),TODAY()&gt;$J289),"OVERDUE","Pending")))</f>
        <v/>
      </c>
      <c r="M289" s="16" t="n"/>
      <c r="N289" s="16" t="n"/>
    </row>
    <row r="290">
      <c r="B290" s="17">
        <f>IF($D290="","","ME"&amp;TEXT(ROW()-5,"000"))</f>
        <v/>
      </c>
      <c r="C290" s="18" t="n"/>
      <c r="D290" s="16" t="n"/>
      <c r="E290" s="17">
        <f>IF($D290="","",IFERROR(INDEX(rngCadetPIDs,MATCH($D290,rngCadetNames,0)),"?"))</f>
        <v/>
      </c>
      <c r="F290" s="16" t="n"/>
      <c r="G290" s="16" t="n"/>
      <c r="H290" s="19">
        <f>IF(OR($D290="",$C290=""),"",_xlfn.LET(_xlpm.dn,IFERROR(_xlfn.XLOOKUP($C290,nrCDdate,nrCDnum),""),IF(_xlpm.dn="","(not a class day)",IFERROR(_xlfn.XLOOKUP(_xlpm.dn+cfgMemoDueClassDays,nrCDnum,nrCDdate),""))))</f>
        <v/>
      </c>
      <c r="I290" s="18" t="n"/>
      <c r="J290" s="19">
        <f>IF($D290="","",IF($I290&lt;&gt;"",$I290,IF(ISNUMBER($H290),$H290,"")))</f>
        <v/>
      </c>
      <c r="K290" s="18" t="n"/>
      <c r="L290" s="17">
        <f>IF($D290="","",IF($K290&lt;&gt;"","Received "&amp;TEXT($K290,"mm/dd"),IF(AND(ISNUMBER($J290),TODAY()&gt;$J290),"OVERDUE","Pending")))</f>
        <v/>
      </c>
      <c r="M290" s="16" t="n"/>
      <c r="N290" s="16" t="n"/>
    </row>
    <row r="291">
      <c r="B291" s="17">
        <f>IF($D291="","","ME"&amp;TEXT(ROW()-5,"000"))</f>
        <v/>
      </c>
      <c r="C291" s="18" t="n"/>
      <c r="D291" s="16" t="n"/>
      <c r="E291" s="17">
        <f>IF($D291="","",IFERROR(INDEX(rngCadetPIDs,MATCH($D291,rngCadetNames,0)),"?"))</f>
        <v/>
      </c>
      <c r="F291" s="16" t="n"/>
      <c r="G291" s="16" t="n"/>
      <c r="H291" s="19">
        <f>IF(OR($D291="",$C291=""),"",_xlfn.LET(_xlpm.dn,IFERROR(_xlfn.XLOOKUP($C291,nrCDdate,nrCDnum),""),IF(_xlpm.dn="","(not a class day)",IFERROR(_xlfn.XLOOKUP(_xlpm.dn+cfgMemoDueClassDays,nrCDnum,nrCDdate),""))))</f>
        <v/>
      </c>
      <c r="I291" s="18" t="n"/>
      <c r="J291" s="19">
        <f>IF($D291="","",IF($I291&lt;&gt;"",$I291,IF(ISNUMBER($H291),$H291,"")))</f>
        <v/>
      </c>
      <c r="K291" s="18" t="n"/>
      <c r="L291" s="17">
        <f>IF($D291="","",IF($K291&lt;&gt;"","Received "&amp;TEXT($K291,"mm/dd"),IF(AND(ISNUMBER($J291),TODAY()&gt;$J291),"OVERDUE","Pending")))</f>
        <v/>
      </c>
      <c r="M291" s="16" t="n"/>
      <c r="N291" s="16" t="n"/>
    </row>
    <row r="292">
      <c r="B292" s="17">
        <f>IF($D292="","","ME"&amp;TEXT(ROW()-5,"000"))</f>
        <v/>
      </c>
      <c r="C292" s="18" t="n"/>
      <c r="D292" s="16" t="n"/>
      <c r="E292" s="17">
        <f>IF($D292="","",IFERROR(INDEX(rngCadetPIDs,MATCH($D292,rngCadetNames,0)),"?"))</f>
        <v/>
      </c>
      <c r="F292" s="16" t="n"/>
      <c r="G292" s="16" t="n"/>
      <c r="H292" s="19">
        <f>IF(OR($D292="",$C292=""),"",_xlfn.LET(_xlpm.dn,IFERROR(_xlfn.XLOOKUP($C292,nrCDdate,nrCDnum),""),IF(_xlpm.dn="","(not a class day)",IFERROR(_xlfn.XLOOKUP(_xlpm.dn+cfgMemoDueClassDays,nrCDnum,nrCDdate),""))))</f>
        <v/>
      </c>
      <c r="I292" s="18" t="n"/>
      <c r="J292" s="19">
        <f>IF($D292="","",IF($I292&lt;&gt;"",$I292,IF(ISNUMBER($H292),$H292,"")))</f>
        <v/>
      </c>
      <c r="K292" s="18" t="n"/>
      <c r="L292" s="17">
        <f>IF($D292="","",IF($K292&lt;&gt;"","Received "&amp;TEXT($K292,"mm/dd"),IF(AND(ISNUMBER($J292),TODAY()&gt;$J292),"OVERDUE","Pending")))</f>
        <v/>
      </c>
      <c r="M292" s="16" t="n"/>
      <c r="N292" s="16" t="n"/>
    </row>
    <row r="293">
      <c r="B293" s="17">
        <f>IF($D293="","","ME"&amp;TEXT(ROW()-5,"000"))</f>
        <v/>
      </c>
      <c r="C293" s="18" t="n"/>
      <c r="D293" s="16" t="n"/>
      <c r="E293" s="17">
        <f>IF($D293="","",IFERROR(INDEX(rngCadetPIDs,MATCH($D293,rngCadetNames,0)),"?"))</f>
        <v/>
      </c>
      <c r="F293" s="16" t="n"/>
      <c r="G293" s="16" t="n"/>
      <c r="H293" s="19">
        <f>IF(OR($D293="",$C293=""),"",_xlfn.LET(_xlpm.dn,IFERROR(_xlfn.XLOOKUP($C293,nrCDdate,nrCDnum),""),IF(_xlpm.dn="","(not a class day)",IFERROR(_xlfn.XLOOKUP(_xlpm.dn+cfgMemoDueClassDays,nrCDnum,nrCDdate),""))))</f>
        <v/>
      </c>
      <c r="I293" s="18" t="n"/>
      <c r="J293" s="19">
        <f>IF($D293="","",IF($I293&lt;&gt;"",$I293,IF(ISNUMBER($H293),$H293,"")))</f>
        <v/>
      </c>
      <c r="K293" s="18" t="n"/>
      <c r="L293" s="17">
        <f>IF($D293="","",IF($K293&lt;&gt;"","Received "&amp;TEXT($K293,"mm/dd"),IF(AND(ISNUMBER($J293),TODAY()&gt;$J293),"OVERDUE","Pending")))</f>
        <v/>
      </c>
      <c r="M293" s="16" t="n"/>
      <c r="N293" s="16" t="n"/>
    </row>
    <row r="294">
      <c r="B294" s="17">
        <f>IF($D294="","","ME"&amp;TEXT(ROW()-5,"000"))</f>
        <v/>
      </c>
      <c r="C294" s="18" t="n"/>
      <c r="D294" s="16" t="n"/>
      <c r="E294" s="17">
        <f>IF($D294="","",IFERROR(INDEX(rngCadetPIDs,MATCH($D294,rngCadetNames,0)),"?"))</f>
        <v/>
      </c>
      <c r="F294" s="16" t="n"/>
      <c r="G294" s="16" t="n"/>
      <c r="H294" s="19">
        <f>IF(OR($D294="",$C294=""),"",_xlfn.LET(_xlpm.dn,IFERROR(_xlfn.XLOOKUP($C294,nrCDdate,nrCDnum),""),IF(_xlpm.dn="","(not a class day)",IFERROR(_xlfn.XLOOKUP(_xlpm.dn+cfgMemoDueClassDays,nrCDnum,nrCDdate),""))))</f>
        <v/>
      </c>
      <c r="I294" s="18" t="n"/>
      <c r="J294" s="19">
        <f>IF($D294="","",IF($I294&lt;&gt;"",$I294,IF(ISNUMBER($H294),$H294,"")))</f>
        <v/>
      </c>
      <c r="K294" s="18" t="n"/>
      <c r="L294" s="17">
        <f>IF($D294="","",IF($K294&lt;&gt;"","Received "&amp;TEXT($K294,"mm/dd"),IF(AND(ISNUMBER($J294),TODAY()&gt;$J294),"OVERDUE","Pending")))</f>
        <v/>
      </c>
      <c r="M294" s="16" t="n"/>
      <c r="N294" s="16" t="n"/>
    </row>
    <row r="295">
      <c r="B295" s="17">
        <f>IF($D295="","","ME"&amp;TEXT(ROW()-5,"000"))</f>
        <v/>
      </c>
      <c r="C295" s="18" t="n"/>
      <c r="D295" s="16" t="n"/>
      <c r="E295" s="17">
        <f>IF($D295="","",IFERROR(INDEX(rngCadetPIDs,MATCH($D295,rngCadetNames,0)),"?"))</f>
        <v/>
      </c>
      <c r="F295" s="16" t="n"/>
      <c r="G295" s="16" t="n"/>
      <c r="H295" s="19">
        <f>IF(OR($D295="",$C295=""),"",_xlfn.LET(_xlpm.dn,IFERROR(_xlfn.XLOOKUP($C295,nrCDdate,nrCDnum),""),IF(_xlpm.dn="","(not a class day)",IFERROR(_xlfn.XLOOKUP(_xlpm.dn+cfgMemoDueClassDays,nrCDnum,nrCDdate),""))))</f>
        <v/>
      </c>
      <c r="I295" s="18" t="n"/>
      <c r="J295" s="19">
        <f>IF($D295="","",IF($I295&lt;&gt;"",$I295,IF(ISNUMBER($H295),$H295,"")))</f>
        <v/>
      </c>
      <c r="K295" s="18" t="n"/>
      <c r="L295" s="17">
        <f>IF($D295="","",IF($K295&lt;&gt;"","Received "&amp;TEXT($K295,"mm/dd"),IF(AND(ISNUMBER($J295),TODAY()&gt;$J295),"OVERDUE","Pending")))</f>
        <v/>
      </c>
      <c r="M295" s="16" t="n"/>
      <c r="N295" s="16" t="n"/>
    </row>
    <row r="296">
      <c r="B296" s="17">
        <f>IF($D296="","","ME"&amp;TEXT(ROW()-5,"000"))</f>
        <v/>
      </c>
      <c r="C296" s="18" t="n"/>
      <c r="D296" s="16" t="n"/>
      <c r="E296" s="17">
        <f>IF($D296="","",IFERROR(INDEX(rngCadetPIDs,MATCH($D296,rngCadetNames,0)),"?"))</f>
        <v/>
      </c>
      <c r="F296" s="16" t="n"/>
      <c r="G296" s="16" t="n"/>
      <c r="H296" s="19">
        <f>IF(OR($D296="",$C296=""),"",_xlfn.LET(_xlpm.dn,IFERROR(_xlfn.XLOOKUP($C296,nrCDdate,nrCDnum),""),IF(_xlpm.dn="","(not a class day)",IFERROR(_xlfn.XLOOKUP(_xlpm.dn+cfgMemoDueClassDays,nrCDnum,nrCDdate),""))))</f>
        <v/>
      </c>
      <c r="I296" s="18" t="n"/>
      <c r="J296" s="19">
        <f>IF($D296="","",IF($I296&lt;&gt;"",$I296,IF(ISNUMBER($H296),$H296,"")))</f>
        <v/>
      </c>
      <c r="K296" s="18" t="n"/>
      <c r="L296" s="17">
        <f>IF($D296="","",IF($K296&lt;&gt;"","Received "&amp;TEXT($K296,"mm/dd"),IF(AND(ISNUMBER($J296),TODAY()&gt;$J296),"OVERDUE","Pending")))</f>
        <v/>
      </c>
      <c r="M296" s="16" t="n"/>
      <c r="N296" s="16" t="n"/>
    </row>
    <row r="297">
      <c r="B297" s="17">
        <f>IF($D297="","","ME"&amp;TEXT(ROW()-5,"000"))</f>
        <v/>
      </c>
      <c r="C297" s="18" t="n"/>
      <c r="D297" s="16" t="n"/>
      <c r="E297" s="17">
        <f>IF($D297="","",IFERROR(INDEX(rngCadetPIDs,MATCH($D297,rngCadetNames,0)),"?"))</f>
        <v/>
      </c>
      <c r="F297" s="16" t="n"/>
      <c r="G297" s="16" t="n"/>
      <c r="H297" s="19">
        <f>IF(OR($D297="",$C297=""),"",_xlfn.LET(_xlpm.dn,IFERROR(_xlfn.XLOOKUP($C297,nrCDdate,nrCDnum),""),IF(_xlpm.dn="","(not a class day)",IFERROR(_xlfn.XLOOKUP(_xlpm.dn+cfgMemoDueClassDays,nrCDnum,nrCDdate),""))))</f>
        <v/>
      </c>
      <c r="I297" s="18" t="n"/>
      <c r="J297" s="19">
        <f>IF($D297="","",IF($I297&lt;&gt;"",$I297,IF(ISNUMBER($H297),$H297,"")))</f>
        <v/>
      </c>
      <c r="K297" s="18" t="n"/>
      <c r="L297" s="17">
        <f>IF($D297="","",IF($K297&lt;&gt;"","Received "&amp;TEXT($K297,"mm/dd"),IF(AND(ISNUMBER($J297),TODAY()&gt;$J297),"OVERDUE","Pending")))</f>
        <v/>
      </c>
      <c r="M297" s="16" t="n"/>
      <c r="N297" s="16" t="n"/>
    </row>
    <row r="298">
      <c r="B298" s="17">
        <f>IF($D298="","","ME"&amp;TEXT(ROW()-5,"000"))</f>
        <v/>
      </c>
      <c r="C298" s="18" t="n"/>
      <c r="D298" s="16" t="n"/>
      <c r="E298" s="17">
        <f>IF($D298="","",IFERROR(INDEX(rngCadetPIDs,MATCH($D298,rngCadetNames,0)),"?"))</f>
        <v/>
      </c>
      <c r="F298" s="16" t="n"/>
      <c r="G298" s="16" t="n"/>
      <c r="H298" s="19">
        <f>IF(OR($D298="",$C298=""),"",_xlfn.LET(_xlpm.dn,IFERROR(_xlfn.XLOOKUP($C298,nrCDdate,nrCDnum),""),IF(_xlpm.dn="","(not a class day)",IFERROR(_xlfn.XLOOKUP(_xlpm.dn+cfgMemoDueClassDays,nrCDnum,nrCDdate),""))))</f>
        <v/>
      </c>
      <c r="I298" s="18" t="n"/>
      <c r="J298" s="19">
        <f>IF($D298="","",IF($I298&lt;&gt;"",$I298,IF(ISNUMBER($H298),$H298,"")))</f>
        <v/>
      </c>
      <c r="K298" s="18" t="n"/>
      <c r="L298" s="17">
        <f>IF($D298="","",IF($K298&lt;&gt;"","Received "&amp;TEXT($K298,"mm/dd"),IF(AND(ISNUMBER($J298),TODAY()&gt;$J298),"OVERDUE","Pending")))</f>
        <v/>
      </c>
      <c r="M298" s="16" t="n"/>
      <c r="N298" s="16" t="n"/>
    </row>
    <row r="299">
      <c r="B299" s="17">
        <f>IF($D299="","","ME"&amp;TEXT(ROW()-5,"000"))</f>
        <v/>
      </c>
      <c r="C299" s="18" t="n"/>
      <c r="D299" s="16" t="n"/>
      <c r="E299" s="17">
        <f>IF($D299="","",IFERROR(INDEX(rngCadetPIDs,MATCH($D299,rngCadetNames,0)),"?"))</f>
        <v/>
      </c>
      <c r="F299" s="16" t="n"/>
      <c r="G299" s="16" t="n"/>
      <c r="H299" s="19">
        <f>IF(OR($D299="",$C299=""),"",_xlfn.LET(_xlpm.dn,IFERROR(_xlfn.XLOOKUP($C299,nrCDdate,nrCDnum),""),IF(_xlpm.dn="","(not a class day)",IFERROR(_xlfn.XLOOKUP(_xlpm.dn+cfgMemoDueClassDays,nrCDnum,nrCDdate),""))))</f>
        <v/>
      </c>
      <c r="I299" s="18" t="n"/>
      <c r="J299" s="19">
        <f>IF($D299="","",IF($I299&lt;&gt;"",$I299,IF(ISNUMBER($H299),$H299,"")))</f>
        <v/>
      </c>
      <c r="K299" s="18" t="n"/>
      <c r="L299" s="17">
        <f>IF($D299="","",IF($K299&lt;&gt;"","Received "&amp;TEXT($K299,"mm/dd"),IF(AND(ISNUMBER($J299),TODAY()&gt;$J299),"OVERDUE","Pending")))</f>
        <v/>
      </c>
      <c r="M299" s="16" t="n"/>
      <c r="N299" s="16" t="n"/>
    </row>
    <row r="300">
      <c r="B300" s="17">
        <f>IF($D300="","","ME"&amp;TEXT(ROW()-5,"000"))</f>
        <v/>
      </c>
      <c r="C300" s="18" t="n"/>
      <c r="D300" s="16" t="n"/>
      <c r="E300" s="17">
        <f>IF($D300="","",IFERROR(INDEX(rngCadetPIDs,MATCH($D300,rngCadetNames,0)),"?"))</f>
        <v/>
      </c>
      <c r="F300" s="16" t="n"/>
      <c r="G300" s="16" t="n"/>
      <c r="H300" s="19">
        <f>IF(OR($D300="",$C300=""),"",_xlfn.LET(_xlpm.dn,IFERROR(_xlfn.XLOOKUP($C300,nrCDdate,nrCDnum),""),IF(_xlpm.dn="","(not a class day)",IFERROR(_xlfn.XLOOKUP(_xlpm.dn+cfgMemoDueClassDays,nrCDnum,nrCDdate),""))))</f>
        <v/>
      </c>
      <c r="I300" s="18" t="n"/>
      <c r="J300" s="19">
        <f>IF($D300="","",IF($I300&lt;&gt;"",$I300,IF(ISNUMBER($H300),$H300,"")))</f>
        <v/>
      </c>
      <c r="K300" s="18" t="n"/>
      <c r="L300" s="17">
        <f>IF($D300="","",IF($K300&lt;&gt;"","Received "&amp;TEXT($K300,"mm/dd"),IF(AND(ISNUMBER($J300),TODAY()&gt;$J300),"OVERDUE","Pending")))</f>
        <v/>
      </c>
      <c r="M300" s="16" t="n"/>
      <c r="N300" s="16" t="n"/>
    </row>
    <row r="301">
      <c r="B301" s="17">
        <f>IF($D301="","","ME"&amp;TEXT(ROW()-5,"000"))</f>
        <v/>
      </c>
      <c r="C301" s="18" t="n"/>
      <c r="D301" s="16" t="n"/>
      <c r="E301" s="17">
        <f>IF($D301="","",IFERROR(INDEX(rngCadetPIDs,MATCH($D301,rngCadetNames,0)),"?"))</f>
        <v/>
      </c>
      <c r="F301" s="16" t="n"/>
      <c r="G301" s="16" t="n"/>
      <c r="H301" s="19">
        <f>IF(OR($D301="",$C301=""),"",_xlfn.LET(_xlpm.dn,IFERROR(_xlfn.XLOOKUP($C301,nrCDdate,nrCDnum),""),IF(_xlpm.dn="","(not a class day)",IFERROR(_xlfn.XLOOKUP(_xlpm.dn+cfgMemoDueClassDays,nrCDnum,nrCDdate),""))))</f>
        <v/>
      </c>
      <c r="I301" s="18" t="n"/>
      <c r="J301" s="19">
        <f>IF($D301="","",IF($I301&lt;&gt;"",$I301,IF(ISNUMBER($H301),$H301,"")))</f>
        <v/>
      </c>
      <c r="K301" s="18" t="n"/>
      <c r="L301" s="17">
        <f>IF($D301="","",IF($K301&lt;&gt;"","Received "&amp;TEXT($K301,"mm/dd"),IF(AND(ISNUMBER($J301),TODAY()&gt;$J301),"OVERDUE","Pending")))</f>
        <v/>
      </c>
      <c r="M301" s="16" t="n"/>
      <c r="N301" s="16" t="n"/>
    </row>
    <row r="302">
      <c r="B302" s="17">
        <f>IF($D302="","","ME"&amp;TEXT(ROW()-5,"000"))</f>
        <v/>
      </c>
      <c r="C302" s="18" t="n"/>
      <c r="D302" s="16" t="n"/>
      <c r="E302" s="17">
        <f>IF($D302="","",IFERROR(INDEX(rngCadetPIDs,MATCH($D302,rngCadetNames,0)),"?"))</f>
        <v/>
      </c>
      <c r="F302" s="16" t="n"/>
      <c r="G302" s="16" t="n"/>
      <c r="H302" s="19">
        <f>IF(OR($D302="",$C302=""),"",_xlfn.LET(_xlpm.dn,IFERROR(_xlfn.XLOOKUP($C302,nrCDdate,nrCDnum),""),IF(_xlpm.dn="","(not a class day)",IFERROR(_xlfn.XLOOKUP(_xlpm.dn+cfgMemoDueClassDays,nrCDnum,nrCDdate),""))))</f>
        <v/>
      </c>
      <c r="I302" s="18" t="n"/>
      <c r="J302" s="19">
        <f>IF($D302="","",IF($I302&lt;&gt;"",$I302,IF(ISNUMBER($H302),$H302,"")))</f>
        <v/>
      </c>
      <c r="K302" s="18" t="n"/>
      <c r="L302" s="17">
        <f>IF($D302="","",IF($K302&lt;&gt;"","Received "&amp;TEXT($K302,"mm/dd"),IF(AND(ISNUMBER($J302),TODAY()&gt;$J302),"OVERDUE","Pending")))</f>
        <v/>
      </c>
      <c r="M302" s="16" t="n"/>
      <c r="N302" s="16" t="n"/>
    </row>
    <row r="303">
      <c r="B303" s="17">
        <f>IF($D303="","","ME"&amp;TEXT(ROW()-5,"000"))</f>
        <v/>
      </c>
      <c r="C303" s="18" t="n"/>
      <c r="D303" s="16" t="n"/>
      <c r="E303" s="17">
        <f>IF($D303="","",IFERROR(INDEX(rngCadetPIDs,MATCH($D303,rngCadetNames,0)),"?"))</f>
        <v/>
      </c>
      <c r="F303" s="16" t="n"/>
      <c r="G303" s="16" t="n"/>
      <c r="H303" s="19">
        <f>IF(OR($D303="",$C303=""),"",_xlfn.LET(_xlpm.dn,IFERROR(_xlfn.XLOOKUP($C303,nrCDdate,nrCDnum),""),IF(_xlpm.dn="","(not a class day)",IFERROR(_xlfn.XLOOKUP(_xlpm.dn+cfgMemoDueClassDays,nrCDnum,nrCDdate),""))))</f>
        <v/>
      </c>
      <c r="I303" s="18" t="n"/>
      <c r="J303" s="19">
        <f>IF($D303="","",IF($I303&lt;&gt;"",$I303,IF(ISNUMBER($H303),$H303,"")))</f>
        <v/>
      </c>
      <c r="K303" s="18" t="n"/>
      <c r="L303" s="17">
        <f>IF($D303="","",IF($K303&lt;&gt;"","Received "&amp;TEXT($K303,"mm/dd"),IF(AND(ISNUMBER($J303),TODAY()&gt;$J303),"OVERDUE","Pending")))</f>
        <v/>
      </c>
      <c r="M303" s="16" t="n"/>
      <c r="N303" s="16" t="n"/>
    </row>
    <row r="304">
      <c r="B304" s="17">
        <f>IF($D304="","","ME"&amp;TEXT(ROW()-5,"000"))</f>
        <v/>
      </c>
      <c r="C304" s="18" t="n"/>
      <c r="D304" s="16" t="n"/>
      <c r="E304" s="17">
        <f>IF($D304="","",IFERROR(INDEX(rngCadetPIDs,MATCH($D304,rngCadetNames,0)),"?"))</f>
        <v/>
      </c>
      <c r="F304" s="16" t="n"/>
      <c r="G304" s="16" t="n"/>
      <c r="H304" s="19">
        <f>IF(OR($D304="",$C304=""),"",_xlfn.LET(_xlpm.dn,IFERROR(_xlfn.XLOOKUP($C304,nrCDdate,nrCDnum),""),IF(_xlpm.dn="","(not a class day)",IFERROR(_xlfn.XLOOKUP(_xlpm.dn+cfgMemoDueClassDays,nrCDnum,nrCDdate),""))))</f>
        <v/>
      </c>
      <c r="I304" s="18" t="n"/>
      <c r="J304" s="19">
        <f>IF($D304="","",IF($I304&lt;&gt;"",$I304,IF(ISNUMBER($H304),$H304,"")))</f>
        <v/>
      </c>
      <c r="K304" s="18" t="n"/>
      <c r="L304" s="17">
        <f>IF($D304="","",IF($K304&lt;&gt;"","Received "&amp;TEXT($K304,"mm/dd"),IF(AND(ISNUMBER($J304),TODAY()&gt;$J304),"OVERDUE","Pending")))</f>
        <v/>
      </c>
      <c r="M304" s="16" t="n"/>
      <c r="N304" s="16" t="n"/>
    </row>
    <row r="305">
      <c r="B305" s="17">
        <f>IF($D305="","","ME"&amp;TEXT(ROW()-5,"000"))</f>
        <v/>
      </c>
      <c r="C305" s="18" t="n"/>
      <c r="D305" s="16" t="n"/>
      <c r="E305" s="17">
        <f>IF($D305="","",IFERROR(INDEX(rngCadetPIDs,MATCH($D305,rngCadetNames,0)),"?"))</f>
        <v/>
      </c>
      <c r="F305" s="16" t="n"/>
      <c r="G305" s="16" t="n"/>
      <c r="H305" s="19">
        <f>IF(OR($D305="",$C305=""),"",_xlfn.LET(_xlpm.dn,IFERROR(_xlfn.XLOOKUP($C305,nrCDdate,nrCDnum),""),IF(_xlpm.dn="","(not a class day)",IFERROR(_xlfn.XLOOKUP(_xlpm.dn+cfgMemoDueClassDays,nrCDnum,nrCDdate),""))))</f>
        <v/>
      </c>
      <c r="I305" s="18" t="n"/>
      <c r="J305" s="19">
        <f>IF($D305="","",IF($I305&lt;&gt;"",$I305,IF(ISNUMBER($H305),$H305,"")))</f>
        <v/>
      </c>
      <c r="K305" s="18" t="n"/>
      <c r="L305" s="17">
        <f>IF($D305="","",IF($K305&lt;&gt;"","Received "&amp;TEXT($K305,"mm/dd"),IF(AND(ISNUMBER($J305),TODAY()&gt;$J305),"OVERDUE","Pending")))</f>
        <v/>
      </c>
      <c r="M305" s="16" t="n"/>
      <c r="N305" s="16" t="n"/>
    </row>
  </sheetData>
  <autoFilter ref="B5:N5"/>
  <conditionalFormatting sqref="L6:L305">
    <cfRule type="expression" priority="1" dxfId="1">
      <formula>$L6="OVERDUE"</formula>
    </cfRule>
    <cfRule type="expression" priority="2"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H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16" customWidth="1" min="3" max="3"/>
    <col width="44" customWidth="1" min="4" max="4"/>
    <col width="9" customWidth="1" min="5" max="5"/>
    <col width="54" customWidth="1" min="6" max="6"/>
    <col width="15" customWidth="1" min="7" max="7"/>
    <col width="26" customWidth="1" min="8" max="8"/>
  </cols>
  <sheetData>
    <row r="1">
      <c r="B1" s="10">
        <f>HYPERLINK("#Dashboard!B5","◄ Dashboard")</f>
        <v/>
      </c>
    </row>
    <row r="2"/>
    <row r="3"/>
    <row r="4">
      <c r="B4" s="11" t="inlineStr">
        <is>
          <t>TCOLE audits ask for advisory-board composition and meeting minutes. Log every meeting; scan the minutes into the evidence library and mark Scanned = Yes. Decisions the IRG defers to the board (e.g. mandatory night-fire) belong in Topics/Decisions.</t>
        </is>
      </c>
    </row>
    <row r="5" ht="26" customHeight="1">
      <c r="B5" s="12" t="inlineStr">
        <is>
          <t>Meeting Date</t>
        </is>
      </c>
      <c r="C5" s="12" t="inlineStr">
        <is>
          <t>Type</t>
        </is>
      </c>
      <c r="D5" s="12" t="inlineStr">
        <is>
          <t>Attendees (names/roles)</t>
        </is>
      </c>
      <c r="E5" s="12" t="inlineStr">
        <is>
          <t>Quorum?</t>
        </is>
      </c>
      <c r="F5" s="12" t="inlineStr">
        <is>
          <t>Topics / Decisions (curriculum approvals, night-fire, policy changes)</t>
        </is>
      </c>
      <c r="G5" s="12" t="inlineStr">
        <is>
          <t>Minutes Scanned?</t>
        </is>
      </c>
      <c r="H5" s="12" t="inlineStr">
        <is>
          <t>Notes</t>
        </is>
      </c>
    </row>
    <row r="6">
      <c r="B6" s="18" t="n"/>
      <c r="C6" s="16" t="n"/>
      <c r="D6" s="23" t="n"/>
      <c r="E6" s="16" t="n"/>
      <c r="F6" s="23" t="n"/>
      <c r="G6" s="16" t="n"/>
      <c r="H6" s="16" t="n"/>
    </row>
    <row r="7">
      <c r="B7" s="18" t="n"/>
      <c r="C7" s="16" t="n"/>
      <c r="D7" s="23" t="n"/>
      <c r="E7" s="16" t="n"/>
      <c r="F7" s="23" t="n"/>
      <c r="G7" s="16" t="n"/>
      <c r="H7" s="16" t="n"/>
    </row>
    <row r="8">
      <c r="B8" s="18" t="n"/>
      <c r="C8" s="16" t="n"/>
      <c r="D8" s="23" t="n"/>
      <c r="E8" s="16" t="n"/>
      <c r="F8" s="23" t="n"/>
      <c r="G8" s="16" t="n"/>
      <c r="H8" s="16" t="n"/>
    </row>
    <row r="9">
      <c r="B9" s="18" t="n"/>
      <c r="C9" s="16" t="n"/>
      <c r="D9" s="23" t="n"/>
      <c r="E9" s="16" t="n"/>
      <c r="F9" s="23" t="n"/>
      <c r="G9" s="16" t="n"/>
      <c r="H9" s="16" t="n"/>
    </row>
    <row r="10">
      <c r="B10" s="18" t="n"/>
      <c r="C10" s="16" t="n"/>
      <c r="D10" s="23" t="n"/>
      <c r="E10" s="16" t="n"/>
      <c r="F10" s="23" t="n"/>
      <c r="G10" s="16" t="n"/>
      <c r="H10" s="16" t="n"/>
    </row>
    <row r="11">
      <c r="B11" s="18" t="n"/>
      <c r="C11" s="16" t="n"/>
      <c r="D11" s="23" t="n"/>
      <c r="E11" s="16" t="n"/>
      <c r="F11" s="23" t="n"/>
      <c r="G11" s="16" t="n"/>
      <c r="H11" s="16" t="n"/>
    </row>
    <row r="12">
      <c r="B12" s="18" t="n"/>
      <c r="C12" s="16" t="n"/>
      <c r="D12" s="23" t="n"/>
      <c r="E12" s="16" t="n"/>
      <c r="F12" s="23" t="n"/>
      <c r="G12" s="16" t="n"/>
      <c r="H12" s="16" t="n"/>
    </row>
    <row r="13">
      <c r="B13" s="18" t="n"/>
      <c r="C13" s="16" t="n"/>
      <c r="D13" s="23" t="n"/>
      <c r="E13" s="16" t="n"/>
      <c r="F13" s="23" t="n"/>
      <c r="G13" s="16" t="n"/>
      <c r="H13" s="16" t="n"/>
    </row>
    <row r="14">
      <c r="B14" s="18" t="n"/>
      <c r="C14" s="16" t="n"/>
      <c r="D14" s="23" t="n"/>
      <c r="E14" s="16" t="n"/>
      <c r="F14" s="23" t="n"/>
      <c r="G14" s="16" t="n"/>
      <c r="H14" s="16" t="n"/>
    </row>
    <row r="15">
      <c r="B15" s="18" t="n"/>
      <c r="C15" s="16" t="n"/>
      <c r="D15" s="23" t="n"/>
      <c r="E15" s="16" t="n"/>
      <c r="F15" s="23" t="n"/>
      <c r="G15" s="16" t="n"/>
      <c r="H15" s="16" t="n"/>
    </row>
    <row r="16">
      <c r="B16" s="18" t="n"/>
      <c r="C16" s="16" t="n"/>
      <c r="D16" s="23" t="n"/>
      <c r="E16" s="16" t="n"/>
      <c r="F16" s="23" t="n"/>
      <c r="G16" s="16" t="n"/>
      <c r="H16" s="16" t="n"/>
    </row>
    <row r="17">
      <c r="B17" s="18" t="n"/>
      <c r="C17" s="16" t="n"/>
      <c r="D17" s="23" t="n"/>
      <c r="E17" s="16" t="n"/>
      <c r="F17" s="23" t="n"/>
      <c r="G17" s="16" t="n"/>
      <c r="H17" s="16" t="n"/>
    </row>
    <row r="18">
      <c r="B18" s="18" t="n"/>
      <c r="C18" s="16" t="n"/>
      <c r="D18" s="23" t="n"/>
      <c r="E18" s="16" t="n"/>
      <c r="F18" s="23" t="n"/>
      <c r="G18" s="16" t="n"/>
      <c r="H18" s="16" t="n"/>
    </row>
    <row r="19">
      <c r="B19" s="18" t="n"/>
      <c r="C19" s="16" t="n"/>
      <c r="D19" s="23" t="n"/>
      <c r="E19" s="16" t="n"/>
      <c r="F19" s="23" t="n"/>
      <c r="G19" s="16" t="n"/>
      <c r="H19" s="16" t="n"/>
    </row>
    <row r="20">
      <c r="B20" s="18" t="n"/>
      <c r="C20" s="16" t="n"/>
      <c r="D20" s="23" t="n"/>
      <c r="E20" s="16" t="n"/>
      <c r="F20" s="23" t="n"/>
      <c r="G20" s="16" t="n"/>
      <c r="H20" s="16" t="n"/>
    </row>
    <row r="21">
      <c r="B21" s="18" t="n"/>
      <c r="C21" s="16" t="n"/>
      <c r="D21" s="23" t="n"/>
      <c r="E21" s="16" t="n"/>
      <c r="F21" s="23" t="n"/>
      <c r="G21" s="16" t="n"/>
      <c r="H21" s="16" t="n"/>
    </row>
    <row r="22">
      <c r="B22" s="18" t="n"/>
      <c r="C22" s="16" t="n"/>
      <c r="D22" s="23" t="n"/>
      <c r="E22" s="16" t="n"/>
      <c r="F22" s="23" t="n"/>
      <c r="G22" s="16" t="n"/>
      <c r="H22" s="16" t="n"/>
    </row>
    <row r="23">
      <c r="B23" s="18" t="n"/>
      <c r="C23" s="16" t="n"/>
      <c r="D23" s="23" t="n"/>
      <c r="E23" s="16" t="n"/>
      <c r="F23" s="23" t="n"/>
      <c r="G23" s="16" t="n"/>
      <c r="H23" s="16" t="n"/>
    </row>
    <row r="24">
      <c r="B24" s="18" t="n"/>
      <c r="C24" s="16" t="n"/>
      <c r="D24" s="23" t="n"/>
      <c r="E24" s="16" t="n"/>
      <c r="F24" s="23" t="n"/>
      <c r="G24" s="16" t="n"/>
      <c r="H24" s="16" t="n"/>
    </row>
    <row r="25">
      <c r="B25" s="18" t="n"/>
      <c r="C25" s="16" t="n"/>
      <c r="D25" s="23" t="n"/>
      <c r="E25" s="16" t="n"/>
      <c r="F25" s="23" t="n"/>
      <c r="G25" s="16" t="n"/>
      <c r="H25" s="16" t="n"/>
    </row>
    <row r="26">
      <c r="B26" s="18" t="n"/>
      <c r="C26" s="16" t="n"/>
      <c r="D26" s="23" t="n"/>
      <c r="E26" s="16" t="n"/>
      <c r="F26" s="23" t="n"/>
      <c r="G26" s="16" t="n"/>
      <c r="H26" s="16" t="n"/>
    </row>
    <row r="27">
      <c r="B27" s="18" t="n"/>
      <c r="C27" s="16" t="n"/>
      <c r="D27" s="23" t="n"/>
      <c r="E27" s="16" t="n"/>
      <c r="F27" s="23" t="n"/>
      <c r="G27" s="16" t="n"/>
      <c r="H27" s="16" t="n"/>
    </row>
    <row r="28">
      <c r="B28" s="18" t="n"/>
      <c r="C28" s="16" t="n"/>
      <c r="D28" s="23" t="n"/>
      <c r="E28" s="16" t="n"/>
      <c r="F28" s="23" t="n"/>
      <c r="G28" s="16" t="n"/>
      <c r="H28" s="16" t="n"/>
    </row>
    <row r="29">
      <c r="B29" s="18" t="n"/>
      <c r="C29" s="16" t="n"/>
      <c r="D29" s="23" t="n"/>
      <c r="E29" s="16" t="n"/>
      <c r="F29" s="23" t="n"/>
      <c r="G29" s="16" t="n"/>
      <c r="H29" s="16" t="n"/>
    </row>
    <row r="30">
      <c r="B30" s="18" t="n"/>
      <c r="C30" s="16" t="n"/>
      <c r="D30" s="23" t="n"/>
      <c r="E30" s="16" t="n"/>
      <c r="F30" s="23" t="n"/>
      <c r="G30" s="16" t="n"/>
      <c r="H30" s="16" t="n"/>
    </row>
    <row r="31">
      <c r="B31" s="18" t="n"/>
      <c r="C31" s="16" t="n"/>
      <c r="D31" s="23" t="n"/>
      <c r="E31" s="16" t="n"/>
      <c r="F31" s="23" t="n"/>
      <c r="G31" s="16" t="n"/>
      <c r="H31" s="16" t="n"/>
    </row>
    <row r="32">
      <c r="B32" s="18" t="n"/>
      <c r="C32" s="16" t="n"/>
      <c r="D32" s="23" t="n"/>
      <c r="E32" s="16" t="n"/>
      <c r="F32" s="23" t="n"/>
      <c r="G32" s="16" t="n"/>
      <c r="H32" s="16" t="n"/>
    </row>
    <row r="33">
      <c r="B33" s="18" t="n"/>
      <c r="C33" s="16" t="n"/>
      <c r="D33" s="23" t="n"/>
      <c r="E33" s="16" t="n"/>
      <c r="F33" s="23" t="n"/>
      <c r="G33" s="16" t="n"/>
      <c r="H33" s="16" t="n"/>
    </row>
    <row r="34">
      <c r="B34" s="18" t="n"/>
      <c r="C34" s="16" t="n"/>
      <c r="D34" s="23" t="n"/>
      <c r="E34" s="16" t="n"/>
      <c r="F34" s="23" t="n"/>
      <c r="G34" s="16" t="n"/>
      <c r="H34" s="16" t="n"/>
    </row>
    <row r="35">
      <c r="B35" s="18" t="n"/>
      <c r="C35" s="16" t="n"/>
      <c r="D35" s="23" t="n"/>
      <c r="E35" s="16" t="n"/>
      <c r="F35" s="23" t="n"/>
      <c r="G35" s="16" t="n"/>
      <c r="H35" s="16" t="n"/>
    </row>
    <row r="36">
      <c r="B36" s="18" t="n"/>
      <c r="C36" s="16" t="n"/>
      <c r="D36" s="23" t="n"/>
      <c r="E36" s="16" t="n"/>
      <c r="F36" s="23" t="n"/>
      <c r="G36" s="16" t="n"/>
      <c r="H36" s="16" t="n"/>
    </row>
    <row r="37">
      <c r="B37" s="18" t="n"/>
      <c r="C37" s="16" t="n"/>
      <c r="D37" s="23" t="n"/>
      <c r="E37" s="16" t="n"/>
      <c r="F37" s="23" t="n"/>
      <c r="G37" s="16" t="n"/>
      <c r="H37" s="16" t="n"/>
    </row>
    <row r="38">
      <c r="B38" s="18" t="n"/>
      <c r="C38" s="16" t="n"/>
      <c r="D38" s="23" t="n"/>
      <c r="E38" s="16" t="n"/>
      <c r="F38" s="23" t="n"/>
      <c r="G38" s="16" t="n"/>
      <c r="H38" s="16" t="n"/>
    </row>
    <row r="39">
      <c r="B39" s="18" t="n"/>
      <c r="C39" s="16" t="n"/>
      <c r="D39" s="23" t="n"/>
      <c r="E39" s="16" t="n"/>
      <c r="F39" s="23" t="n"/>
      <c r="G39" s="16" t="n"/>
      <c r="H39" s="16" t="n"/>
    </row>
    <row r="40">
      <c r="B40" s="18" t="n"/>
      <c r="C40" s="16" t="n"/>
      <c r="D40" s="23" t="n"/>
      <c r="E40" s="16" t="n"/>
      <c r="F40" s="23" t="n"/>
      <c r="G40" s="16" t="n"/>
      <c r="H40" s="16" t="n"/>
    </row>
    <row r="41">
      <c r="B41" s="18" t="n"/>
      <c r="C41" s="16" t="n"/>
      <c r="D41" s="23" t="n"/>
      <c r="E41" s="16" t="n"/>
      <c r="F41" s="23" t="n"/>
      <c r="G41" s="16" t="n"/>
      <c r="H41" s="16" t="n"/>
    </row>
    <row r="42">
      <c r="B42" s="18" t="n"/>
      <c r="C42" s="16" t="n"/>
      <c r="D42" s="23" t="n"/>
      <c r="E42" s="16" t="n"/>
      <c r="F42" s="23" t="n"/>
      <c r="G42" s="16" t="n"/>
      <c r="H42" s="16" t="n"/>
    </row>
    <row r="43">
      <c r="B43" s="18" t="n"/>
      <c r="C43" s="16" t="n"/>
      <c r="D43" s="23" t="n"/>
      <c r="E43" s="16" t="n"/>
      <c r="F43" s="23" t="n"/>
      <c r="G43" s="16" t="n"/>
      <c r="H43" s="16" t="n"/>
    </row>
    <row r="44">
      <c r="B44" s="18" t="n"/>
      <c r="C44" s="16" t="n"/>
      <c r="D44" s="23" t="n"/>
      <c r="E44" s="16" t="n"/>
      <c r="F44" s="23" t="n"/>
      <c r="G44" s="16" t="n"/>
      <c r="H44" s="16" t="n"/>
    </row>
    <row r="45">
      <c r="B45" s="18" t="n"/>
      <c r="C45" s="16" t="n"/>
      <c r="D45" s="23" t="n"/>
      <c r="E45" s="16" t="n"/>
      <c r="F45" s="23" t="n"/>
      <c r="G45" s="16" t="n"/>
      <c r="H45" s="16" t="n"/>
    </row>
    <row r="46">
      <c r="B46" s="18" t="n"/>
      <c r="C46" s="16" t="n"/>
      <c r="D46" s="23" t="n"/>
      <c r="E46" s="16" t="n"/>
      <c r="F46" s="23" t="n"/>
      <c r="G46" s="16" t="n"/>
      <c r="H46" s="16" t="n"/>
    </row>
    <row r="47">
      <c r="B47" s="18" t="n"/>
      <c r="C47" s="16" t="n"/>
      <c r="D47" s="23" t="n"/>
      <c r="E47" s="16" t="n"/>
      <c r="F47" s="23" t="n"/>
      <c r="G47" s="16" t="n"/>
      <c r="H47" s="16" t="n"/>
    </row>
    <row r="48">
      <c r="B48" s="18" t="n"/>
      <c r="C48" s="16" t="n"/>
      <c r="D48" s="23" t="n"/>
      <c r="E48" s="16" t="n"/>
      <c r="F48" s="23" t="n"/>
      <c r="G48" s="16" t="n"/>
      <c r="H48" s="16" t="n"/>
    </row>
    <row r="49">
      <c r="B49" s="18" t="n"/>
      <c r="C49" s="16" t="n"/>
      <c r="D49" s="23" t="n"/>
      <c r="E49" s="16" t="n"/>
      <c r="F49" s="23" t="n"/>
      <c r="G49" s="16" t="n"/>
      <c r="H49" s="16" t="n"/>
    </row>
    <row r="50">
      <c r="B50" s="18" t="n"/>
      <c r="C50" s="16" t="n"/>
      <c r="D50" s="23" t="n"/>
      <c r="E50" s="16" t="n"/>
      <c r="F50" s="23" t="n"/>
      <c r="G50" s="16" t="n"/>
      <c r="H50" s="16" t="n"/>
    </row>
    <row r="51">
      <c r="B51" s="18" t="n"/>
      <c r="C51" s="16" t="n"/>
      <c r="D51" s="23" t="n"/>
      <c r="E51" s="16" t="n"/>
      <c r="F51" s="23" t="n"/>
      <c r="G51" s="16" t="n"/>
      <c r="H51" s="16" t="n"/>
    </row>
    <row r="52">
      <c r="B52" s="18" t="n"/>
      <c r="C52" s="16" t="n"/>
      <c r="D52" s="23" t="n"/>
      <c r="E52" s="16" t="n"/>
      <c r="F52" s="23" t="n"/>
      <c r="G52" s="16" t="n"/>
      <c r="H52" s="16" t="n"/>
    </row>
    <row r="53">
      <c r="B53" s="18" t="n"/>
      <c r="C53" s="16" t="n"/>
      <c r="D53" s="23" t="n"/>
      <c r="E53" s="16" t="n"/>
      <c r="F53" s="23" t="n"/>
      <c r="G53" s="16" t="n"/>
      <c r="H53" s="16" t="n"/>
    </row>
    <row r="54">
      <c r="B54" s="18" t="n"/>
      <c r="C54" s="16" t="n"/>
      <c r="D54" s="23" t="n"/>
      <c r="E54" s="16" t="n"/>
      <c r="F54" s="23" t="n"/>
      <c r="G54" s="16" t="n"/>
      <c r="H54" s="16" t="n"/>
    </row>
    <row r="55">
      <c r="B55" s="18" t="n"/>
      <c r="C55" s="16" t="n"/>
      <c r="D55" s="23" t="n"/>
      <c r="E55" s="16" t="n"/>
      <c r="F55" s="23" t="n"/>
      <c r="G55" s="16" t="n"/>
      <c r="H55" s="16" t="n"/>
    </row>
  </sheetData>
  <dataValidations count="2">
    <dataValidation sqref="C6:C55" showDropDown="0" showInputMessage="0" showErrorMessage="1" allowBlank="1" type="list">
      <formula1>"Regular,Curriculum Review,Special"</formula1>
    </dataValidation>
    <dataValidation sqref="E6:E55 G6:G55"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IF(OR($B6="",D$5=""),"",IFERROR(SUMIFS(nrES_Rec,nrES_PID,$B6,nrES_Code,D$5,nrES_Final,"Yes"),""))</f>
        <v/>
      </c>
      <c r="E6" s="17">
        <f>IF(OR($B6="",E$5=""),"",IFERROR(SUMIFS(nrES_Rec,nrES_PID,$B6,nrES_Code,E$5,nrES_Final,"Yes"),""))</f>
        <v/>
      </c>
      <c r="F6" s="17">
        <f>IF(OR($B6="",F$5=""),"",IFERROR(SUMIFS(nrES_Rec,nrES_PID,$B6,nrES_Code,F$5,nrES_Final,"Yes"),""))</f>
        <v/>
      </c>
      <c r="G6" s="17">
        <f>IF(OR($B6="",G$5=""),"",IFERROR(SUMIFS(nrES_Rec,nrES_PID,$B6,nrES_Code,G$5,nrES_Final,"Yes"),""))</f>
        <v/>
      </c>
      <c r="H6" s="17">
        <f>IF(OR($B6="",H$5=""),"",IFERROR(SUMIFS(nrES_Rec,nrES_PID,$B6,nrES_Code,H$5,nrES_Final,"Yes"),""))</f>
        <v/>
      </c>
      <c r="I6" s="17">
        <f>IF(OR($B6="",I$5=""),"",IFERROR(SUMIFS(nrES_Rec,nrES_PID,$B6,nrES_Code,I$5,nrES_Final,"Yes"),""))</f>
        <v/>
      </c>
      <c r="J6" s="17">
        <f>IF(OR($B6="",J$5=""),"",IFERROR(SUMIFS(nrES_Rec,nrES_PID,$B6,nrES_Code,J$5,nrES_Final,"Yes"),""))</f>
        <v/>
      </c>
      <c r="K6" s="17">
        <f>IF(OR($B6="",K$5=""),"",IFERROR(SUMIFS(nrES_Rec,nrES_PID,$B6,nrES_Code,K$5,nrES_Final,"Yes"),""))</f>
        <v/>
      </c>
      <c r="L6" s="17">
        <f>IF(OR($B6="",L$5=""),"",IFERROR(SUMIFS(nrES_Rec,nrES_PID,$B6,nrES_Code,L$5,nrES_Final,"Yes"),""))</f>
        <v/>
      </c>
      <c r="M6" s="17">
        <f>IF(OR($B6="",M$5=""),"",IFERROR(SUMIFS(nrES_Rec,nrES_PID,$B6,nrES_Code,M$5,nrES_Final,"Yes"),""))</f>
        <v/>
      </c>
      <c r="N6" s="17">
        <f>IF(OR($B6="",N$5=""),"",IFERROR(SUMIFS(nrES_Rec,nrES_PID,$B6,nrES_Code,N$5,nrES_Final,"Yes"),""))</f>
        <v/>
      </c>
      <c r="O6" s="17">
        <f>IF(OR($B6="",O$5=""),"",IFERROR(SUMIFS(nrES_Rec,nrES_PID,$B6,nrES_Code,O$5,nrES_Final,"Yes"),""))</f>
        <v/>
      </c>
      <c r="P6" s="17">
        <f>IF(OR($B6="",P$5=""),"",IFERROR(SUMIFS(nrES_Rec,nrES_PID,$B6,nrES_Code,P$5,nrES_Final,"Yes"),""))</f>
        <v/>
      </c>
      <c r="Q6" s="17">
        <f>IF(OR($B6="",Q$5=""),"",IFERROR(SUMIFS(nrES_Rec,nrES_PID,$B6,nrES_Code,Q$5,nrES_Final,"Yes"),""))</f>
        <v/>
      </c>
      <c r="R6" s="17">
        <f>IF(OR($B6="",R$5=""),"",IFERROR(SUMIFS(nrES_Rec,nrES_PID,$B6,nrES_Code,R$5,nrES_Final,"Yes"),""))</f>
        <v/>
      </c>
      <c r="S6" s="17">
        <f>IF(OR($B6="",S$5=""),"",IFERROR(SUMIFS(nrES_Rec,nrES_PID,$B6,nrES_Code,S$5,nrES_Final,"Yes"),""))</f>
        <v/>
      </c>
      <c r="T6" s="17">
        <f>IF(OR($B6="",T$5=""),"",IFERROR(SUMIFS(nrES_Rec,nrES_PID,$B6,nrES_Code,T$5,nrES_Final,"Yes"),""))</f>
        <v/>
      </c>
      <c r="U6" s="17">
        <f>IF(OR($B6="",U$5=""),"",IFERROR(SUMIFS(nrES_Rec,nrES_PID,$B6,nrES_Code,U$5,nrES_Final,"Yes"),""))</f>
        <v/>
      </c>
      <c r="V6" s="17">
        <f>IF(OR($B6="",V$5=""),"",IFERROR(SUMIFS(nrES_Rec,nrES_PID,$B6,nrES_Code,V$5,nrES_Final,"Yes"),""))</f>
        <v/>
      </c>
      <c r="W6" s="17">
        <f>IF(OR($B6="",W$5=""),"",IFERROR(SUMIFS(nrES_Rec,nrES_PID,$B6,nrES_Code,W$5,nrES_Final,"Yes"),""))</f>
        <v/>
      </c>
      <c r="X6" s="17">
        <f>IF(OR($B6="",X$5=""),"",IFERROR(SUMIFS(nrES_Rec,nrES_PID,$B6,nrES_Code,X$5,nrES_Final,"Yes"),""))</f>
        <v/>
      </c>
      <c r="Y6" s="17">
        <f>IF(OR($B6="",Y$5=""),"",IFERROR(SUMIFS(nrES_Rec,nrES_PID,$B6,nrES_Code,Y$5,nrES_Final,"Yes"),""))</f>
        <v/>
      </c>
      <c r="Z6" s="17">
        <f>IF(OR($B6="",Z$5=""),"",IFERROR(SUMIFS(nrES_Rec,nrES_PID,$B6,nrES_Code,Z$5,nrES_Final,"Yes"),""))</f>
        <v/>
      </c>
      <c r="AA6" s="17">
        <f>IF(OR($B6="",AA$5=""),"",IFERROR(SUMIFS(nrES_Rec,nrES_PID,$B6,nrES_Code,AA$5,nrES_Final,"Yes"),""))</f>
        <v/>
      </c>
      <c r="AB6" s="17">
        <f>IF(OR($B6="",AB$5=""),"",IFERROR(SUMIFS(nrES_Rec,nrES_PID,$B6,nrES_Code,AB$5,nrES_Final,"Yes"),""))</f>
        <v/>
      </c>
      <c r="AC6" s="17">
        <f>IF($B6="","",sysGrades!$M6)</f>
        <v/>
      </c>
      <c r="AD6" s="17">
        <f>IF($B6="","",IFERROR(sysGrades!$U6,""))</f>
        <v/>
      </c>
    </row>
    <row r="7">
      <c r="B7" s="17">
        <f>IF(Cadets!$B7="","",Cadets!$B7)</f>
        <v/>
      </c>
      <c r="C7" s="17">
        <f>IF($B7="","",Cadets!$F7)</f>
        <v/>
      </c>
      <c r="D7" s="17">
        <f>IF(OR($B7="",D$5=""),"",IFERROR(SUMIFS(nrES_Rec,nrES_PID,$B7,nrES_Code,D$5,nrES_Final,"Yes"),""))</f>
        <v/>
      </c>
      <c r="E7" s="17">
        <f>IF(OR($B7="",E$5=""),"",IFERROR(SUMIFS(nrES_Rec,nrES_PID,$B7,nrES_Code,E$5,nrES_Final,"Yes"),""))</f>
        <v/>
      </c>
      <c r="F7" s="17">
        <f>IF(OR($B7="",F$5=""),"",IFERROR(SUMIFS(nrES_Rec,nrES_PID,$B7,nrES_Code,F$5,nrES_Final,"Yes"),""))</f>
        <v/>
      </c>
      <c r="G7" s="17">
        <f>IF(OR($B7="",G$5=""),"",IFERROR(SUMIFS(nrES_Rec,nrES_PID,$B7,nrES_Code,G$5,nrES_Final,"Yes"),""))</f>
        <v/>
      </c>
      <c r="H7" s="17">
        <f>IF(OR($B7="",H$5=""),"",IFERROR(SUMIFS(nrES_Rec,nrES_PID,$B7,nrES_Code,H$5,nrES_Final,"Yes"),""))</f>
        <v/>
      </c>
      <c r="I7" s="17">
        <f>IF(OR($B7="",I$5=""),"",IFERROR(SUMIFS(nrES_Rec,nrES_PID,$B7,nrES_Code,I$5,nrES_Final,"Yes"),""))</f>
        <v/>
      </c>
      <c r="J7" s="17">
        <f>IF(OR($B7="",J$5=""),"",IFERROR(SUMIFS(nrES_Rec,nrES_PID,$B7,nrES_Code,J$5,nrES_Final,"Yes"),""))</f>
        <v/>
      </c>
      <c r="K7" s="17">
        <f>IF(OR($B7="",K$5=""),"",IFERROR(SUMIFS(nrES_Rec,nrES_PID,$B7,nrES_Code,K$5,nrES_Final,"Yes"),""))</f>
        <v/>
      </c>
      <c r="L7" s="17">
        <f>IF(OR($B7="",L$5=""),"",IFERROR(SUMIFS(nrES_Rec,nrES_PID,$B7,nrES_Code,L$5,nrES_Final,"Yes"),""))</f>
        <v/>
      </c>
      <c r="M7" s="17">
        <f>IF(OR($B7="",M$5=""),"",IFERROR(SUMIFS(nrES_Rec,nrES_PID,$B7,nrES_Code,M$5,nrES_Final,"Yes"),""))</f>
        <v/>
      </c>
      <c r="N7" s="17">
        <f>IF(OR($B7="",N$5=""),"",IFERROR(SUMIFS(nrES_Rec,nrES_PID,$B7,nrES_Code,N$5,nrES_Final,"Yes"),""))</f>
        <v/>
      </c>
      <c r="O7" s="17">
        <f>IF(OR($B7="",O$5=""),"",IFERROR(SUMIFS(nrES_Rec,nrES_PID,$B7,nrES_Code,O$5,nrES_Final,"Yes"),""))</f>
        <v/>
      </c>
      <c r="P7" s="17">
        <f>IF(OR($B7="",P$5=""),"",IFERROR(SUMIFS(nrES_Rec,nrES_PID,$B7,nrES_Code,P$5,nrES_Final,"Yes"),""))</f>
        <v/>
      </c>
      <c r="Q7" s="17">
        <f>IF(OR($B7="",Q$5=""),"",IFERROR(SUMIFS(nrES_Rec,nrES_PID,$B7,nrES_Code,Q$5,nrES_Final,"Yes"),""))</f>
        <v/>
      </c>
      <c r="R7" s="17">
        <f>IF(OR($B7="",R$5=""),"",IFERROR(SUMIFS(nrES_Rec,nrES_PID,$B7,nrES_Code,R$5,nrES_Final,"Yes"),""))</f>
        <v/>
      </c>
      <c r="S7" s="17">
        <f>IF(OR($B7="",S$5=""),"",IFERROR(SUMIFS(nrES_Rec,nrES_PID,$B7,nrES_Code,S$5,nrES_Final,"Yes"),""))</f>
        <v/>
      </c>
      <c r="T7" s="17">
        <f>IF(OR($B7="",T$5=""),"",IFERROR(SUMIFS(nrES_Rec,nrES_PID,$B7,nrES_Code,T$5,nrES_Final,"Yes"),""))</f>
        <v/>
      </c>
      <c r="U7" s="17">
        <f>IF(OR($B7="",U$5=""),"",IFERROR(SUMIFS(nrES_Rec,nrES_PID,$B7,nrES_Code,U$5,nrES_Final,"Yes"),""))</f>
        <v/>
      </c>
      <c r="V7" s="17">
        <f>IF(OR($B7="",V$5=""),"",IFERROR(SUMIFS(nrES_Rec,nrES_PID,$B7,nrES_Code,V$5,nrES_Final,"Yes"),""))</f>
        <v/>
      </c>
      <c r="W7" s="17">
        <f>IF(OR($B7="",W$5=""),"",IFERROR(SUMIFS(nrES_Rec,nrES_PID,$B7,nrES_Code,W$5,nrES_Final,"Yes"),""))</f>
        <v/>
      </c>
      <c r="X7" s="17">
        <f>IF(OR($B7="",X$5=""),"",IFERROR(SUMIFS(nrES_Rec,nrES_PID,$B7,nrES_Code,X$5,nrES_Final,"Yes"),""))</f>
        <v/>
      </c>
      <c r="Y7" s="17">
        <f>IF(OR($B7="",Y$5=""),"",IFERROR(SUMIFS(nrES_Rec,nrES_PID,$B7,nrES_Code,Y$5,nrES_Final,"Yes"),""))</f>
        <v/>
      </c>
      <c r="Z7" s="17">
        <f>IF(OR($B7="",Z$5=""),"",IFERROR(SUMIFS(nrES_Rec,nrES_PID,$B7,nrES_Code,Z$5,nrES_Final,"Yes"),""))</f>
        <v/>
      </c>
      <c r="AA7" s="17">
        <f>IF(OR($B7="",AA$5=""),"",IFERROR(SUMIFS(nrES_Rec,nrES_PID,$B7,nrES_Code,AA$5,nrES_Final,"Yes"),""))</f>
        <v/>
      </c>
      <c r="AB7" s="17">
        <f>IF(OR($B7="",AB$5=""),"",IFERROR(SUMIFS(nrES_Rec,nrES_PID,$B7,nrES_Code,AB$5,nrES_Final,"Yes"),""))</f>
        <v/>
      </c>
      <c r="AC7" s="17">
        <f>IF($B7="","",sysGrades!$M7)</f>
        <v/>
      </c>
      <c r="AD7" s="17">
        <f>IF($B7="","",IFERROR(sysGrades!$U7,""))</f>
        <v/>
      </c>
    </row>
    <row r="8">
      <c r="B8" s="17">
        <f>IF(Cadets!$B8="","",Cadets!$B8)</f>
        <v/>
      </c>
      <c r="C8" s="17">
        <f>IF($B8="","",Cadets!$F8)</f>
        <v/>
      </c>
      <c r="D8" s="17">
        <f>IF(OR($B8="",D$5=""),"",IFERROR(SUMIFS(nrES_Rec,nrES_PID,$B8,nrES_Code,D$5,nrES_Final,"Yes"),""))</f>
        <v/>
      </c>
      <c r="E8" s="17">
        <f>IF(OR($B8="",E$5=""),"",IFERROR(SUMIFS(nrES_Rec,nrES_PID,$B8,nrES_Code,E$5,nrES_Final,"Yes"),""))</f>
        <v/>
      </c>
      <c r="F8" s="17">
        <f>IF(OR($B8="",F$5=""),"",IFERROR(SUMIFS(nrES_Rec,nrES_PID,$B8,nrES_Code,F$5,nrES_Final,"Yes"),""))</f>
        <v/>
      </c>
      <c r="G8" s="17">
        <f>IF(OR($B8="",G$5=""),"",IFERROR(SUMIFS(nrES_Rec,nrES_PID,$B8,nrES_Code,G$5,nrES_Final,"Yes"),""))</f>
        <v/>
      </c>
      <c r="H8" s="17">
        <f>IF(OR($B8="",H$5=""),"",IFERROR(SUMIFS(nrES_Rec,nrES_PID,$B8,nrES_Code,H$5,nrES_Final,"Yes"),""))</f>
        <v/>
      </c>
      <c r="I8" s="17">
        <f>IF(OR($B8="",I$5=""),"",IFERROR(SUMIFS(nrES_Rec,nrES_PID,$B8,nrES_Code,I$5,nrES_Final,"Yes"),""))</f>
        <v/>
      </c>
      <c r="J8" s="17">
        <f>IF(OR($B8="",J$5=""),"",IFERROR(SUMIFS(nrES_Rec,nrES_PID,$B8,nrES_Code,J$5,nrES_Final,"Yes"),""))</f>
        <v/>
      </c>
      <c r="K8" s="17">
        <f>IF(OR($B8="",K$5=""),"",IFERROR(SUMIFS(nrES_Rec,nrES_PID,$B8,nrES_Code,K$5,nrES_Final,"Yes"),""))</f>
        <v/>
      </c>
      <c r="L8" s="17">
        <f>IF(OR($B8="",L$5=""),"",IFERROR(SUMIFS(nrES_Rec,nrES_PID,$B8,nrES_Code,L$5,nrES_Final,"Yes"),""))</f>
        <v/>
      </c>
      <c r="M8" s="17">
        <f>IF(OR($B8="",M$5=""),"",IFERROR(SUMIFS(nrES_Rec,nrES_PID,$B8,nrES_Code,M$5,nrES_Final,"Yes"),""))</f>
        <v/>
      </c>
      <c r="N8" s="17">
        <f>IF(OR($B8="",N$5=""),"",IFERROR(SUMIFS(nrES_Rec,nrES_PID,$B8,nrES_Code,N$5,nrES_Final,"Yes"),""))</f>
        <v/>
      </c>
      <c r="O8" s="17">
        <f>IF(OR($B8="",O$5=""),"",IFERROR(SUMIFS(nrES_Rec,nrES_PID,$B8,nrES_Code,O$5,nrES_Final,"Yes"),""))</f>
        <v/>
      </c>
      <c r="P8" s="17">
        <f>IF(OR($B8="",P$5=""),"",IFERROR(SUMIFS(nrES_Rec,nrES_PID,$B8,nrES_Code,P$5,nrES_Final,"Yes"),""))</f>
        <v/>
      </c>
      <c r="Q8" s="17">
        <f>IF(OR($B8="",Q$5=""),"",IFERROR(SUMIFS(nrES_Rec,nrES_PID,$B8,nrES_Code,Q$5,nrES_Final,"Yes"),""))</f>
        <v/>
      </c>
      <c r="R8" s="17">
        <f>IF(OR($B8="",R$5=""),"",IFERROR(SUMIFS(nrES_Rec,nrES_PID,$B8,nrES_Code,R$5,nrES_Final,"Yes"),""))</f>
        <v/>
      </c>
      <c r="S8" s="17">
        <f>IF(OR($B8="",S$5=""),"",IFERROR(SUMIFS(nrES_Rec,nrES_PID,$B8,nrES_Code,S$5,nrES_Final,"Yes"),""))</f>
        <v/>
      </c>
      <c r="T8" s="17">
        <f>IF(OR($B8="",T$5=""),"",IFERROR(SUMIFS(nrES_Rec,nrES_PID,$B8,nrES_Code,T$5,nrES_Final,"Yes"),""))</f>
        <v/>
      </c>
      <c r="U8" s="17">
        <f>IF(OR($B8="",U$5=""),"",IFERROR(SUMIFS(nrES_Rec,nrES_PID,$B8,nrES_Code,U$5,nrES_Final,"Yes"),""))</f>
        <v/>
      </c>
      <c r="V8" s="17">
        <f>IF(OR($B8="",V$5=""),"",IFERROR(SUMIFS(nrES_Rec,nrES_PID,$B8,nrES_Code,V$5,nrES_Final,"Yes"),""))</f>
        <v/>
      </c>
      <c r="W8" s="17">
        <f>IF(OR($B8="",W$5=""),"",IFERROR(SUMIFS(nrES_Rec,nrES_PID,$B8,nrES_Code,W$5,nrES_Final,"Yes"),""))</f>
        <v/>
      </c>
      <c r="X8" s="17">
        <f>IF(OR($B8="",X$5=""),"",IFERROR(SUMIFS(nrES_Rec,nrES_PID,$B8,nrES_Code,X$5,nrES_Final,"Yes"),""))</f>
        <v/>
      </c>
      <c r="Y8" s="17">
        <f>IF(OR($B8="",Y$5=""),"",IFERROR(SUMIFS(nrES_Rec,nrES_PID,$B8,nrES_Code,Y$5,nrES_Final,"Yes"),""))</f>
        <v/>
      </c>
      <c r="Z8" s="17">
        <f>IF(OR($B8="",Z$5=""),"",IFERROR(SUMIFS(nrES_Rec,nrES_PID,$B8,nrES_Code,Z$5,nrES_Final,"Yes"),""))</f>
        <v/>
      </c>
      <c r="AA8" s="17">
        <f>IF(OR($B8="",AA$5=""),"",IFERROR(SUMIFS(nrES_Rec,nrES_PID,$B8,nrES_Code,AA$5,nrES_Final,"Yes"),""))</f>
        <v/>
      </c>
      <c r="AB8" s="17">
        <f>IF(OR($B8="",AB$5=""),"",IFERROR(SUMIFS(nrES_Rec,nrES_PID,$B8,nrES_Code,AB$5,nrES_Final,"Yes"),""))</f>
        <v/>
      </c>
      <c r="AC8" s="17">
        <f>IF($B8="","",sysGrades!$M8)</f>
        <v/>
      </c>
      <c r="AD8" s="17">
        <f>IF($B8="","",IFERROR(sysGrades!$U8,""))</f>
        <v/>
      </c>
    </row>
    <row r="9">
      <c r="B9" s="17">
        <f>IF(Cadets!$B9="","",Cadets!$B9)</f>
        <v/>
      </c>
      <c r="C9" s="17">
        <f>IF($B9="","",Cadets!$F9)</f>
        <v/>
      </c>
      <c r="D9" s="17">
        <f>IF(OR($B9="",D$5=""),"",IFERROR(SUMIFS(nrES_Rec,nrES_PID,$B9,nrES_Code,D$5,nrES_Final,"Yes"),""))</f>
        <v/>
      </c>
      <c r="E9" s="17">
        <f>IF(OR($B9="",E$5=""),"",IFERROR(SUMIFS(nrES_Rec,nrES_PID,$B9,nrES_Code,E$5,nrES_Final,"Yes"),""))</f>
        <v/>
      </c>
      <c r="F9" s="17">
        <f>IF(OR($B9="",F$5=""),"",IFERROR(SUMIFS(nrES_Rec,nrES_PID,$B9,nrES_Code,F$5,nrES_Final,"Yes"),""))</f>
        <v/>
      </c>
      <c r="G9" s="17">
        <f>IF(OR($B9="",G$5=""),"",IFERROR(SUMIFS(nrES_Rec,nrES_PID,$B9,nrES_Code,G$5,nrES_Final,"Yes"),""))</f>
        <v/>
      </c>
      <c r="H9" s="17">
        <f>IF(OR($B9="",H$5=""),"",IFERROR(SUMIFS(nrES_Rec,nrES_PID,$B9,nrES_Code,H$5,nrES_Final,"Yes"),""))</f>
        <v/>
      </c>
      <c r="I9" s="17">
        <f>IF(OR($B9="",I$5=""),"",IFERROR(SUMIFS(nrES_Rec,nrES_PID,$B9,nrES_Code,I$5,nrES_Final,"Yes"),""))</f>
        <v/>
      </c>
      <c r="J9" s="17">
        <f>IF(OR($B9="",J$5=""),"",IFERROR(SUMIFS(nrES_Rec,nrES_PID,$B9,nrES_Code,J$5,nrES_Final,"Yes"),""))</f>
        <v/>
      </c>
      <c r="K9" s="17">
        <f>IF(OR($B9="",K$5=""),"",IFERROR(SUMIFS(nrES_Rec,nrES_PID,$B9,nrES_Code,K$5,nrES_Final,"Yes"),""))</f>
        <v/>
      </c>
      <c r="L9" s="17">
        <f>IF(OR($B9="",L$5=""),"",IFERROR(SUMIFS(nrES_Rec,nrES_PID,$B9,nrES_Code,L$5,nrES_Final,"Yes"),""))</f>
        <v/>
      </c>
      <c r="M9" s="17">
        <f>IF(OR($B9="",M$5=""),"",IFERROR(SUMIFS(nrES_Rec,nrES_PID,$B9,nrES_Code,M$5,nrES_Final,"Yes"),""))</f>
        <v/>
      </c>
      <c r="N9" s="17">
        <f>IF(OR($B9="",N$5=""),"",IFERROR(SUMIFS(nrES_Rec,nrES_PID,$B9,nrES_Code,N$5,nrES_Final,"Yes"),""))</f>
        <v/>
      </c>
      <c r="O9" s="17">
        <f>IF(OR($B9="",O$5=""),"",IFERROR(SUMIFS(nrES_Rec,nrES_PID,$B9,nrES_Code,O$5,nrES_Final,"Yes"),""))</f>
        <v/>
      </c>
      <c r="P9" s="17">
        <f>IF(OR($B9="",P$5=""),"",IFERROR(SUMIFS(nrES_Rec,nrES_PID,$B9,nrES_Code,P$5,nrES_Final,"Yes"),""))</f>
        <v/>
      </c>
      <c r="Q9" s="17">
        <f>IF(OR($B9="",Q$5=""),"",IFERROR(SUMIFS(nrES_Rec,nrES_PID,$B9,nrES_Code,Q$5,nrES_Final,"Yes"),""))</f>
        <v/>
      </c>
      <c r="R9" s="17">
        <f>IF(OR($B9="",R$5=""),"",IFERROR(SUMIFS(nrES_Rec,nrES_PID,$B9,nrES_Code,R$5,nrES_Final,"Yes"),""))</f>
        <v/>
      </c>
      <c r="S9" s="17">
        <f>IF(OR($B9="",S$5=""),"",IFERROR(SUMIFS(nrES_Rec,nrES_PID,$B9,nrES_Code,S$5,nrES_Final,"Yes"),""))</f>
        <v/>
      </c>
      <c r="T9" s="17">
        <f>IF(OR($B9="",T$5=""),"",IFERROR(SUMIFS(nrES_Rec,nrES_PID,$B9,nrES_Code,T$5,nrES_Final,"Yes"),""))</f>
        <v/>
      </c>
      <c r="U9" s="17">
        <f>IF(OR($B9="",U$5=""),"",IFERROR(SUMIFS(nrES_Rec,nrES_PID,$B9,nrES_Code,U$5,nrES_Final,"Yes"),""))</f>
        <v/>
      </c>
      <c r="V9" s="17">
        <f>IF(OR($B9="",V$5=""),"",IFERROR(SUMIFS(nrES_Rec,nrES_PID,$B9,nrES_Code,V$5,nrES_Final,"Yes"),""))</f>
        <v/>
      </c>
      <c r="W9" s="17">
        <f>IF(OR($B9="",W$5=""),"",IFERROR(SUMIFS(nrES_Rec,nrES_PID,$B9,nrES_Code,W$5,nrES_Final,"Yes"),""))</f>
        <v/>
      </c>
      <c r="X9" s="17">
        <f>IF(OR($B9="",X$5=""),"",IFERROR(SUMIFS(nrES_Rec,nrES_PID,$B9,nrES_Code,X$5,nrES_Final,"Yes"),""))</f>
        <v/>
      </c>
      <c r="Y9" s="17">
        <f>IF(OR($B9="",Y$5=""),"",IFERROR(SUMIFS(nrES_Rec,nrES_PID,$B9,nrES_Code,Y$5,nrES_Final,"Yes"),""))</f>
        <v/>
      </c>
      <c r="Z9" s="17">
        <f>IF(OR($B9="",Z$5=""),"",IFERROR(SUMIFS(nrES_Rec,nrES_PID,$B9,nrES_Code,Z$5,nrES_Final,"Yes"),""))</f>
        <v/>
      </c>
      <c r="AA9" s="17">
        <f>IF(OR($B9="",AA$5=""),"",IFERROR(SUMIFS(nrES_Rec,nrES_PID,$B9,nrES_Code,AA$5,nrES_Final,"Yes"),""))</f>
        <v/>
      </c>
      <c r="AB9" s="17">
        <f>IF(OR($B9="",AB$5=""),"",IFERROR(SUMIFS(nrES_Rec,nrES_PID,$B9,nrES_Code,AB$5,nrES_Final,"Yes"),""))</f>
        <v/>
      </c>
      <c r="AC9" s="17">
        <f>IF($B9="","",sysGrades!$M9)</f>
        <v/>
      </c>
      <c r="AD9" s="17">
        <f>IF($B9="","",IFERROR(sysGrades!$U9,""))</f>
        <v/>
      </c>
    </row>
    <row r="10">
      <c r="B10" s="17">
        <f>IF(Cadets!$B10="","",Cadets!$B10)</f>
        <v/>
      </c>
      <c r="C10" s="17">
        <f>IF($B10="","",Cadets!$F10)</f>
        <v/>
      </c>
      <c r="D10" s="17">
        <f>IF(OR($B10="",D$5=""),"",IFERROR(SUMIFS(nrES_Rec,nrES_PID,$B10,nrES_Code,D$5,nrES_Final,"Yes"),""))</f>
        <v/>
      </c>
      <c r="E10" s="17">
        <f>IF(OR($B10="",E$5=""),"",IFERROR(SUMIFS(nrES_Rec,nrES_PID,$B10,nrES_Code,E$5,nrES_Final,"Yes"),""))</f>
        <v/>
      </c>
      <c r="F10" s="17">
        <f>IF(OR($B10="",F$5=""),"",IFERROR(SUMIFS(nrES_Rec,nrES_PID,$B10,nrES_Code,F$5,nrES_Final,"Yes"),""))</f>
        <v/>
      </c>
      <c r="G10" s="17">
        <f>IF(OR($B10="",G$5=""),"",IFERROR(SUMIFS(nrES_Rec,nrES_PID,$B10,nrES_Code,G$5,nrES_Final,"Yes"),""))</f>
        <v/>
      </c>
      <c r="H10" s="17">
        <f>IF(OR($B10="",H$5=""),"",IFERROR(SUMIFS(nrES_Rec,nrES_PID,$B10,nrES_Code,H$5,nrES_Final,"Yes"),""))</f>
        <v/>
      </c>
      <c r="I10" s="17">
        <f>IF(OR($B10="",I$5=""),"",IFERROR(SUMIFS(nrES_Rec,nrES_PID,$B10,nrES_Code,I$5,nrES_Final,"Yes"),""))</f>
        <v/>
      </c>
      <c r="J10" s="17">
        <f>IF(OR($B10="",J$5=""),"",IFERROR(SUMIFS(nrES_Rec,nrES_PID,$B10,nrES_Code,J$5,nrES_Final,"Yes"),""))</f>
        <v/>
      </c>
      <c r="K10" s="17">
        <f>IF(OR($B10="",K$5=""),"",IFERROR(SUMIFS(nrES_Rec,nrES_PID,$B10,nrES_Code,K$5,nrES_Final,"Yes"),""))</f>
        <v/>
      </c>
      <c r="L10" s="17">
        <f>IF(OR($B10="",L$5=""),"",IFERROR(SUMIFS(nrES_Rec,nrES_PID,$B10,nrES_Code,L$5,nrES_Final,"Yes"),""))</f>
        <v/>
      </c>
      <c r="M10" s="17">
        <f>IF(OR($B10="",M$5=""),"",IFERROR(SUMIFS(nrES_Rec,nrES_PID,$B10,nrES_Code,M$5,nrES_Final,"Yes"),""))</f>
        <v/>
      </c>
      <c r="N10" s="17">
        <f>IF(OR($B10="",N$5=""),"",IFERROR(SUMIFS(nrES_Rec,nrES_PID,$B10,nrES_Code,N$5,nrES_Final,"Yes"),""))</f>
        <v/>
      </c>
      <c r="O10" s="17">
        <f>IF(OR($B10="",O$5=""),"",IFERROR(SUMIFS(nrES_Rec,nrES_PID,$B10,nrES_Code,O$5,nrES_Final,"Yes"),""))</f>
        <v/>
      </c>
      <c r="P10" s="17">
        <f>IF(OR($B10="",P$5=""),"",IFERROR(SUMIFS(nrES_Rec,nrES_PID,$B10,nrES_Code,P$5,nrES_Final,"Yes"),""))</f>
        <v/>
      </c>
      <c r="Q10" s="17">
        <f>IF(OR($B10="",Q$5=""),"",IFERROR(SUMIFS(nrES_Rec,nrES_PID,$B10,nrES_Code,Q$5,nrES_Final,"Yes"),""))</f>
        <v/>
      </c>
      <c r="R10" s="17">
        <f>IF(OR($B10="",R$5=""),"",IFERROR(SUMIFS(nrES_Rec,nrES_PID,$B10,nrES_Code,R$5,nrES_Final,"Yes"),""))</f>
        <v/>
      </c>
      <c r="S10" s="17">
        <f>IF(OR($B10="",S$5=""),"",IFERROR(SUMIFS(nrES_Rec,nrES_PID,$B10,nrES_Code,S$5,nrES_Final,"Yes"),""))</f>
        <v/>
      </c>
      <c r="T10" s="17">
        <f>IF(OR($B10="",T$5=""),"",IFERROR(SUMIFS(nrES_Rec,nrES_PID,$B10,nrES_Code,T$5,nrES_Final,"Yes"),""))</f>
        <v/>
      </c>
      <c r="U10" s="17">
        <f>IF(OR($B10="",U$5=""),"",IFERROR(SUMIFS(nrES_Rec,nrES_PID,$B10,nrES_Code,U$5,nrES_Final,"Yes"),""))</f>
        <v/>
      </c>
      <c r="V10" s="17">
        <f>IF(OR($B10="",V$5=""),"",IFERROR(SUMIFS(nrES_Rec,nrES_PID,$B10,nrES_Code,V$5,nrES_Final,"Yes"),""))</f>
        <v/>
      </c>
      <c r="W10" s="17">
        <f>IF(OR($B10="",W$5=""),"",IFERROR(SUMIFS(nrES_Rec,nrES_PID,$B10,nrES_Code,W$5,nrES_Final,"Yes"),""))</f>
        <v/>
      </c>
      <c r="X10" s="17">
        <f>IF(OR($B10="",X$5=""),"",IFERROR(SUMIFS(nrES_Rec,nrES_PID,$B10,nrES_Code,X$5,nrES_Final,"Yes"),""))</f>
        <v/>
      </c>
      <c r="Y10" s="17">
        <f>IF(OR($B10="",Y$5=""),"",IFERROR(SUMIFS(nrES_Rec,nrES_PID,$B10,nrES_Code,Y$5,nrES_Final,"Yes"),""))</f>
        <v/>
      </c>
      <c r="Z10" s="17">
        <f>IF(OR($B10="",Z$5=""),"",IFERROR(SUMIFS(nrES_Rec,nrES_PID,$B10,nrES_Code,Z$5,nrES_Final,"Yes"),""))</f>
        <v/>
      </c>
      <c r="AA10" s="17">
        <f>IF(OR($B10="",AA$5=""),"",IFERROR(SUMIFS(nrES_Rec,nrES_PID,$B10,nrES_Code,AA$5,nrES_Final,"Yes"),""))</f>
        <v/>
      </c>
      <c r="AB10" s="17">
        <f>IF(OR($B10="",AB$5=""),"",IFERROR(SUMIFS(nrES_Rec,nrES_PID,$B10,nrES_Code,AB$5,nrES_Final,"Yes"),""))</f>
        <v/>
      </c>
      <c r="AC10" s="17">
        <f>IF($B10="","",sysGrades!$M10)</f>
        <v/>
      </c>
      <c r="AD10" s="17">
        <f>IF($B10="","",IFERROR(sysGrades!$U10,""))</f>
        <v/>
      </c>
    </row>
    <row r="11">
      <c r="B11" s="17">
        <f>IF(Cadets!$B11="","",Cadets!$B11)</f>
        <v/>
      </c>
      <c r="C11" s="17">
        <f>IF($B11="","",Cadets!$F11)</f>
        <v/>
      </c>
      <c r="D11" s="17">
        <f>IF(OR($B11="",D$5=""),"",IFERROR(SUMIFS(nrES_Rec,nrES_PID,$B11,nrES_Code,D$5,nrES_Final,"Yes"),""))</f>
        <v/>
      </c>
      <c r="E11" s="17">
        <f>IF(OR($B11="",E$5=""),"",IFERROR(SUMIFS(nrES_Rec,nrES_PID,$B11,nrES_Code,E$5,nrES_Final,"Yes"),""))</f>
        <v/>
      </c>
      <c r="F11" s="17">
        <f>IF(OR($B11="",F$5=""),"",IFERROR(SUMIFS(nrES_Rec,nrES_PID,$B11,nrES_Code,F$5,nrES_Final,"Yes"),""))</f>
        <v/>
      </c>
      <c r="G11" s="17">
        <f>IF(OR($B11="",G$5=""),"",IFERROR(SUMIFS(nrES_Rec,nrES_PID,$B11,nrES_Code,G$5,nrES_Final,"Yes"),""))</f>
        <v/>
      </c>
      <c r="H11" s="17">
        <f>IF(OR($B11="",H$5=""),"",IFERROR(SUMIFS(nrES_Rec,nrES_PID,$B11,nrES_Code,H$5,nrES_Final,"Yes"),""))</f>
        <v/>
      </c>
      <c r="I11" s="17">
        <f>IF(OR($B11="",I$5=""),"",IFERROR(SUMIFS(nrES_Rec,nrES_PID,$B11,nrES_Code,I$5,nrES_Final,"Yes"),""))</f>
        <v/>
      </c>
      <c r="J11" s="17">
        <f>IF(OR($B11="",J$5=""),"",IFERROR(SUMIFS(nrES_Rec,nrES_PID,$B11,nrES_Code,J$5,nrES_Final,"Yes"),""))</f>
        <v/>
      </c>
      <c r="K11" s="17">
        <f>IF(OR($B11="",K$5=""),"",IFERROR(SUMIFS(nrES_Rec,nrES_PID,$B11,nrES_Code,K$5,nrES_Final,"Yes"),""))</f>
        <v/>
      </c>
      <c r="L11" s="17">
        <f>IF(OR($B11="",L$5=""),"",IFERROR(SUMIFS(nrES_Rec,nrES_PID,$B11,nrES_Code,L$5,nrES_Final,"Yes"),""))</f>
        <v/>
      </c>
      <c r="M11" s="17">
        <f>IF(OR($B11="",M$5=""),"",IFERROR(SUMIFS(nrES_Rec,nrES_PID,$B11,nrES_Code,M$5,nrES_Final,"Yes"),""))</f>
        <v/>
      </c>
      <c r="N11" s="17">
        <f>IF(OR($B11="",N$5=""),"",IFERROR(SUMIFS(nrES_Rec,nrES_PID,$B11,nrES_Code,N$5,nrES_Final,"Yes"),""))</f>
        <v/>
      </c>
      <c r="O11" s="17">
        <f>IF(OR($B11="",O$5=""),"",IFERROR(SUMIFS(nrES_Rec,nrES_PID,$B11,nrES_Code,O$5,nrES_Final,"Yes"),""))</f>
        <v/>
      </c>
      <c r="P11" s="17">
        <f>IF(OR($B11="",P$5=""),"",IFERROR(SUMIFS(nrES_Rec,nrES_PID,$B11,nrES_Code,P$5,nrES_Final,"Yes"),""))</f>
        <v/>
      </c>
      <c r="Q11" s="17">
        <f>IF(OR($B11="",Q$5=""),"",IFERROR(SUMIFS(nrES_Rec,nrES_PID,$B11,nrES_Code,Q$5,nrES_Final,"Yes"),""))</f>
        <v/>
      </c>
      <c r="R11" s="17">
        <f>IF(OR($B11="",R$5=""),"",IFERROR(SUMIFS(nrES_Rec,nrES_PID,$B11,nrES_Code,R$5,nrES_Final,"Yes"),""))</f>
        <v/>
      </c>
      <c r="S11" s="17">
        <f>IF(OR($B11="",S$5=""),"",IFERROR(SUMIFS(nrES_Rec,nrES_PID,$B11,nrES_Code,S$5,nrES_Final,"Yes"),""))</f>
        <v/>
      </c>
      <c r="T11" s="17">
        <f>IF(OR($B11="",T$5=""),"",IFERROR(SUMIFS(nrES_Rec,nrES_PID,$B11,nrES_Code,T$5,nrES_Final,"Yes"),""))</f>
        <v/>
      </c>
      <c r="U11" s="17">
        <f>IF(OR($B11="",U$5=""),"",IFERROR(SUMIFS(nrES_Rec,nrES_PID,$B11,nrES_Code,U$5,nrES_Final,"Yes"),""))</f>
        <v/>
      </c>
      <c r="V11" s="17">
        <f>IF(OR($B11="",V$5=""),"",IFERROR(SUMIFS(nrES_Rec,nrES_PID,$B11,nrES_Code,V$5,nrES_Final,"Yes"),""))</f>
        <v/>
      </c>
      <c r="W11" s="17">
        <f>IF(OR($B11="",W$5=""),"",IFERROR(SUMIFS(nrES_Rec,nrES_PID,$B11,nrES_Code,W$5,nrES_Final,"Yes"),""))</f>
        <v/>
      </c>
      <c r="X11" s="17">
        <f>IF(OR($B11="",X$5=""),"",IFERROR(SUMIFS(nrES_Rec,nrES_PID,$B11,nrES_Code,X$5,nrES_Final,"Yes"),""))</f>
        <v/>
      </c>
      <c r="Y11" s="17">
        <f>IF(OR($B11="",Y$5=""),"",IFERROR(SUMIFS(nrES_Rec,nrES_PID,$B11,nrES_Code,Y$5,nrES_Final,"Yes"),""))</f>
        <v/>
      </c>
      <c r="Z11" s="17">
        <f>IF(OR($B11="",Z$5=""),"",IFERROR(SUMIFS(nrES_Rec,nrES_PID,$B11,nrES_Code,Z$5,nrES_Final,"Yes"),""))</f>
        <v/>
      </c>
      <c r="AA11" s="17">
        <f>IF(OR($B11="",AA$5=""),"",IFERROR(SUMIFS(nrES_Rec,nrES_PID,$B11,nrES_Code,AA$5,nrES_Final,"Yes"),""))</f>
        <v/>
      </c>
      <c r="AB11" s="17">
        <f>IF(OR($B11="",AB$5=""),"",IFERROR(SUMIFS(nrES_Rec,nrES_PID,$B11,nrES_Code,AB$5,nrES_Final,"Yes"),""))</f>
        <v/>
      </c>
      <c r="AC11" s="17">
        <f>IF($B11="","",sysGrades!$M11)</f>
        <v/>
      </c>
      <c r="AD11" s="17">
        <f>IF($B11="","",IFERROR(sysGrades!$U11,""))</f>
        <v/>
      </c>
    </row>
    <row r="12">
      <c r="B12" s="17">
        <f>IF(Cadets!$B12="","",Cadets!$B12)</f>
        <v/>
      </c>
      <c r="C12" s="17">
        <f>IF($B12="","",Cadets!$F12)</f>
        <v/>
      </c>
      <c r="D12" s="17">
        <f>IF(OR($B12="",D$5=""),"",IFERROR(SUMIFS(nrES_Rec,nrES_PID,$B12,nrES_Code,D$5,nrES_Final,"Yes"),""))</f>
        <v/>
      </c>
      <c r="E12" s="17">
        <f>IF(OR($B12="",E$5=""),"",IFERROR(SUMIFS(nrES_Rec,nrES_PID,$B12,nrES_Code,E$5,nrES_Final,"Yes"),""))</f>
        <v/>
      </c>
      <c r="F12" s="17">
        <f>IF(OR($B12="",F$5=""),"",IFERROR(SUMIFS(nrES_Rec,nrES_PID,$B12,nrES_Code,F$5,nrES_Final,"Yes"),""))</f>
        <v/>
      </c>
      <c r="G12" s="17">
        <f>IF(OR($B12="",G$5=""),"",IFERROR(SUMIFS(nrES_Rec,nrES_PID,$B12,nrES_Code,G$5,nrES_Final,"Yes"),""))</f>
        <v/>
      </c>
      <c r="H12" s="17">
        <f>IF(OR($B12="",H$5=""),"",IFERROR(SUMIFS(nrES_Rec,nrES_PID,$B12,nrES_Code,H$5,nrES_Final,"Yes"),""))</f>
        <v/>
      </c>
      <c r="I12" s="17">
        <f>IF(OR($B12="",I$5=""),"",IFERROR(SUMIFS(nrES_Rec,nrES_PID,$B12,nrES_Code,I$5,nrES_Final,"Yes"),""))</f>
        <v/>
      </c>
      <c r="J12" s="17">
        <f>IF(OR($B12="",J$5=""),"",IFERROR(SUMIFS(nrES_Rec,nrES_PID,$B12,nrES_Code,J$5,nrES_Final,"Yes"),""))</f>
        <v/>
      </c>
      <c r="K12" s="17">
        <f>IF(OR($B12="",K$5=""),"",IFERROR(SUMIFS(nrES_Rec,nrES_PID,$B12,nrES_Code,K$5,nrES_Final,"Yes"),""))</f>
        <v/>
      </c>
      <c r="L12" s="17">
        <f>IF(OR($B12="",L$5=""),"",IFERROR(SUMIFS(nrES_Rec,nrES_PID,$B12,nrES_Code,L$5,nrES_Final,"Yes"),""))</f>
        <v/>
      </c>
      <c r="M12" s="17">
        <f>IF(OR($B12="",M$5=""),"",IFERROR(SUMIFS(nrES_Rec,nrES_PID,$B12,nrES_Code,M$5,nrES_Final,"Yes"),""))</f>
        <v/>
      </c>
      <c r="N12" s="17">
        <f>IF(OR($B12="",N$5=""),"",IFERROR(SUMIFS(nrES_Rec,nrES_PID,$B12,nrES_Code,N$5,nrES_Final,"Yes"),""))</f>
        <v/>
      </c>
      <c r="O12" s="17">
        <f>IF(OR($B12="",O$5=""),"",IFERROR(SUMIFS(nrES_Rec,nrES_PID,$B12,nrES_Code,O$5,nrES_Final,"Yes"),""))</f>
        <v/>
      </c>
      <c r="P12" s="17">
        <f>IF(OR($B12="",P$5=""),"",IFERROR(SUMIFS(nrES_Rec,nrES_PID,$B12,nrES_Code,P$5,nrES_Final,"Yes"),""))</f>
        <v/>
      </c>
      <c r="Q12" s="17">
        <f>IF(OR($B12="",Q$5=""),"",IFERROR(SUMIFS(nrES_Rec,nrES_PID,$B12,nrES_Code,Q$5,nrES_Final,"Yes"),""))</f>
        <v/>
      </c>
      <c r="R12" s="17">
        <f>IF(OR($B12="",R$5=""),"",IFERROR(SUMIFS(nrES_Rec,nrES_PID,$B12,nrES_Code,R$5,nrES_Final,"Yes"),""))</f>
        <v/>
      </c>
      <c r="S12" s="17">
        <f>IF(OR($B12="",S$5=""),"",IFERROR(SUMIFS(nrES_Rec,nrES_PID,$B12,nrES_Code,S$5,nrES_Final,"Yes"),""))</f>
        <v/>
      </c>
      <c r="T12" s="17">
        <f>IF(OR($B12="",T$5=""),"",IFERROR(SUMIFS(nrES_Rec,nrES_PID,$B12,nrES_Code,T$5,nrES_Final,"Yes"),""))</f>
        <v/>
      </c>
      <c r="U12" s="17">
        <f>IF(OR($B12="",U$5=""),"",IFERROR(SUMIFS(nrES_Rec,nrES_PID,$B12,nrES_Code,U$5,nrES_Final,"Yes"),""))</f>
        <v/>
      </c>
      <c r="V12" s="17">
        <f>IF(OR($B12="",V$5=""),"",IFERROR(SUMIFS(nrES_Rec,nrES_PID,$B12,nrES_Code,V$5,nrES_Final,"Yes"),""))</f>
        <v/>
      </c>
      <c r="W12" s="17">
        <f>IF(OR($B12="",W$5=""),"",IFERROR(SUMIFS(nrES_Rec,nrES_PID,$B12,nrES_Code,W$5,nrES_Final,"Yes"),""))</f>
        <v/>
      </c>
      <c r="X12" s="17">
        <f>IF(OR($B12="",X$5=""),"",IFERROR(SUMIFS(nrES_Rec,nrES_PID,$B12,nrES_Code,X$5,nrES_Final,"Yes"),""))</f>
        <v/>
      </c>
      <c r="Y12" s="17">
        <f>IF(OR($B12="",Y$5=""),"",IFERROR(SUMIFS(nrES_Rec,nrES_PID,$B12,nrES_Code,Y$5,nrES_Final,"Yes"),""))</f>
        <v/>
      </c>
      <c r="Z12" s="17">
        <f>IF(OR($B12="",Z$5=""),"",IFERROR(SUMIFS(nrES_Rec,nrES_PID,$B12,nrES_Code,Z$5,nrES_Final,"Yes"),""))</f>
        <v/>
      </c>
      <c r="AA12" s="17">
        <f>IF(OR($B12="",AA$5=""),"",IFERROR(SUMIFS(nrES_Rec,nrES_PID,$B12,nrES_Code,AA$5,nrES_Final,"Yes"),""))</f>
        <v/>
      </c>
      <c r="AB12" s="17">
        <f>IF(OR($B12="",AB$5=""),"",IFERROR(SUMIFS(nrES_Rec,nrES_PID,$B12,nrES_Code,AB$5,nrES_Final,"Yes"),""))</f>
        <v/>
      </c>
      <c r="AC12" s="17">
        <f>IF($B12="","",sysGrades!$M12)</f>
        <v/>
      </c>
      <c r="AD12" s="17">
        <f>IF($B12="","",IFERROR(sysGrades!$U12,""))</f>
        <v/>
      </c>
    </row>
    <row r="13">
      <c r="B13" s="17">
        <f>IF(Cadets!$B13="","",Cadets!$B13)</f>
        <v/>
      </c>
      <c r="C13" s="17">
        <f>IF($B13="","",Cadets!$F13)</f>
        <v/>
      </c>
      <c r="D13" s="17">
        <f>IF(OR($B13="",D$5=""),"",IFERROR(SUMIFS(nrES_Rec,nrES_PID,$B13,nrES_Code,D$5,nrES_Final,"Yes"),""))</f>
        <v/>
      </c>
      <c r="E13" s="17">
        <f>IF(OR($B13="",E$5=""),"",IFERROR(SUMIFS(nrES_Rec,nrES_PID,$B13,nrES_Code,E$5,nrES_Final,"Yes"),""))</f>
        <v/>
      </c>
      <c r="F13" s="17">
        <f>IF(OR($B13="",F$5=""),"",IFERROR(SUMIFS(nrES_Rec,nrES_PID,$B13,nrES_Code,F$5,nrES_Final,"Yes"),""))</f>
        <v/>
      </c>
      <c r="G13" s="17">
        <f>IF(OR($B13="",G$5=""),"",IFERROR(SUMIFS(nrES_Rec,nrES_PID,$B13,nrES_Code,G$5,nrES_Final,"Yes"),""))</f>
        <v/>
      </c>
      <c r="H13" s="17">
        <f>IF(OR($B13="",H$5=""),"",IFERROR(SUMIFS(nrES_Rec,nrES_PID,$B13,nrES_Code,H$5,nrES_Final,"Yes"),""))</f>
        <v/>
      </c>
      <c r="I13" s="17">
        <f>IF(OR($B13="",I$5=""),"",IFERROR(SUMIFS(nrES_Rec,nrES_PID,$B13,nrES_Code,I$5,nrES_Final,"Yes"),""))</f>
        <v/>
      </c>
      <c r="J13" s="17">
        <f>IF(OR($B13="",J$5=""),"",IFERROR(SUMIFS(nrES_Rec,nrES_PID,$B13,nrES_Code,J$5,nrES_Final,"Yes"),""))</f>
        <v/>
      </c>
      <c r="K13" s="17">
        <f>IF(OR($B13="",K$5=""),"",IFERROR(SUMIFS(nrES_Rec,nrES_PID,$B13,nrES_Code,K$5,nrES_Final,"Yes"),""))</f>
        <v/>
      </c>
      <c r="L13" s="17">
        <f>IF(OR($B13="",L$5=""),"",IFERROR(SUMIFS(nrES_Rec,nrES_PID,$B13,nrES_Code,L$5,nrES_Final,"Yes"),""))</f>
        <v/>
      </c>
      <c r="M13" s="17">
        <f>IF(OR($B13="",M$5=""),"",IFERROR(SUMIFS(nrES_Rec,nrES_PID,$B13,nrES_Code,M$5,nrES_Final,"Yes"),""))</f>
        <v/>
      </c>
      <c r="N13" s="17">
        <f>IF(OR($B13="",N$5=""),"",IFERROR(SUMIFS(nrES_Rec,nrES_PID,$B13,nrES_Code,N$5,nrES_Final,"Yes"),""))</f>
        <v/>
      </c>
      <c r="O13" s="17">
        <f>IF(OR($B13="",O$5=""),"",IFERROR(SUMIFS(nrES_Rec,nrES_PID,$B13,nrES_Code,O$5,nrES_Final,"Yes"),""))</f>
        <v/>
      </c>
      <c r="P13" s="17">
        <f>IF(OR($B13="",P$5=""),"",IFERROR(SUMIFS(nrES_Rec,nrES_PID,$B13,nrES_Code,P$5,nrES_Final,"Yes"),""))</f>
        <v/>
      </c>
      <c r="Q13" s="17">
        <f>IF(OR($B13="",Q$5=""),"",IFERROR(SUMIFS(nrES_Rec,nrES_PID,$B13,nrES_Code,Q$5,nrES_Final,"Yes"),""))</f>
        <v/>
      </c>
      <c r="R13" s="17">
        <f>IF(OR($B13="",R$5=""),"",IFERROR(SUMIFS(nrES_Rec,nrES_PID,$B13,nrES_Code,R$5,nrES_Final,"Yes"),""))</f>
        <v/>
      </c>
      <c r="S13" s="17">
        <f>IF(OR($B13="",S$5=""),"",IFERROR(SUMIFS(nrES_Rec,nrES_PID,$B13,nrES_Code,S$5,nrES_Final,"Yes"),""))</f>
        <v/>
      </c>
      <c r="T13" s="17">
        <f>IF(OR($B13="",T$5=""),"",IFERROR(SUMIFS(nrES_Rec,nrES_PID,$B13,nrES_Code,T$5,nrES_Final,"Yes"),""))</f>
        <v/>
      </c>
      <c r="U13" s="17">
        <f>IF(OR($B13="",U$5=""),"",IFERROR(SUMIFS(nrES_Rec,nrES_PID,$B13,nrES_Code,U$5,nrES_Final,"Yes"),""))</f>
        <v/>
      </c>
      <c r="V13" s="17">
        <f>IF(OR($B13="",V$5=""),"",IFERROR(SUMIFS(nrES_Rec,nrES_PID,$B13,nrES_Code,V$5,nrES_Final,"Yes"),""))</f>
        <v/>
      </c>
      <c r="W13" s="17">
        <f>IF(OR($B13="",W$5=""),"",IFERROR(SUMIFS(nrES_Rec,nrES_PID,$B13,nrES_Code,W$5,nrES_Final,"Yes"),""))</f>
        <v/>
      </c>
      <c r="X13" s="17">
        <f>IF(OR($B13="",X$5=""),"",IFERROR(SUMIFS(nrES_Rec,nrES_PID,$B13,nrES_Code,X$5,nrES_Final,"Yes"),""))</f>
        <v/>
      </c>
      <c r="Y13" s="17">
        <f>IF(OR($B13="",Y$5=""),"",IFERROR(SUMIFS(nrES_Rec,nrES_PID,$B13,nrES_Code,Y$5,nrES_Final,"Yes"),""))</f>
        <v/>
      </c>
      <c r="Z13" s="17">
        <f>IF(OR($B13="",Z$5=""),"",IFERROR(SUMIFS(nrES_Rec,nrES_PID,$B13,nrES_Code,Z$5,nrES_Final,"Yes"),""))</f>
        <v/>
      </c>
      <c r="AA13" s="17">
        <f>IF(OR($B13="",AA$5=""),"",IFERROR(SUMIFS(nrES_Rec,nrES_PID,$B13,nrES_Code,AA$5,nrES_Final,"Yes"),""))</f>
        <v/>
      </c>
      <c r="AB13" s="17">
        <f>IF(OR($B13="",AB$5=""),"",IFERROR(SUMIFS(nrES_Rec,nrES_PID,$B13,nrES_Code,AB$5,nrES_Final,"Yes"),""))</f>
        <v/>
      </c>
      <c r="AC13" s="17">
        <f>IF($B13="","",sysGrades!$M13)</f>
        <v/>
      </c>
      <c r="AD13" s="17">
        <f>IF($B13="","",IFERROR(sysGrades!$U13,""))</f>
        <v/>
      </c>
    </row>
    <row r="14">
      <c r="B14" s="17">
        <f>IF(Cadets!$B14="","",Cadets!$B14)</f>
        <v/>
      </c>
      <c r="C14" s="17">
        <f>IF($B14="","",Cadets!$F14)</f>
        <v/>
      </c>
      <c r="D14" s="17">
        <f>IF(OR($B14="",D$5=""),"",IFERROR(SUMIFS(nrES_Rec,nrES_PID,$B14,nrES_Code,D$5,nrES_Final,"Yes"),""))</f>
        <v/>
      </c>
      <c r="E14" s="17">
        <f>IF(OR($B14="",E$5=""),"",IFERROR(SUMIFS(nrES_Rec,nrES_PID,$B14,nrES_Code,E$5,nrES_Final,"Yes"),""))</f>
        <v/>
      </c>
      <c r="F14" s="17">
        <f>IF(OR($B14="",F$5=""),"",IFERROR(SUMIFS(nrES_Rec,nrES_PID,$B14,nrES_Code,F$5,nrES_Final,"Yes"),""))</f>
        <v/>
      </c>
      <c r="G14" s="17">
        <f>IF(OR($B14="",G$5=""),"",IFERROR(SUMIFS(nrES_Rec,nrES_PID,$B14,nrES_Code,G$5,nrES_Final,"Yes"),""))</f>
        <v/>
      </c>
      <c r="H14" s="17">
        <f>IF(OR($B14="",H$5=""),"",IFERROR(SUMIFS(nrES_Rec,nrES_PID,$B14,nrES_Code,H$5,nrES_Final,"Yes"),""))</f>
        <v/>
      </c>
      <c r="I14" s="17">
        <f>IF(OR($B14="",I$5=""),"",IFERROR(SUMIFS(nrES_Rec,nrES_PID,$B14,nrES_Code,I$5,nrES_Final,"Yes"),""))</f>
        <v/>
      </c>
      <c r="J14" s="17">
        <f>IF(OR($B14="",J$5=""),"",IFERROR(SUMIFS(nrES_Rec,nrES_PID,$B14,nrES_Code,J$5,nrES_Final,"Yes"),""))</f>
        <v/>
      </c>
      <c r="K14" s="17">
        <f>IF(OR($B14="",K$5=""),"",IFERROR(SUMIFS(nrES_Rec,nrES_PID,$B14,nrES_Code,K$5,nrES_Final,"Yes"),""))</f>
        <v/>
      </c>
      <c r="L14" s="17">
        <f>IF(OR($B14="",L$5=""),"",IFERROR(SUMIFS(nrES_Rec,nrES_PID,$B14,nrES_Code,L$5,nrES_Final,"Yes"),""))</f>
        <v/>
      </c>
      <c r="M14" s="17">
        <f>IF(OR($B14="",M$5=""),"",IFERROR(SUMIFS(nrES_Rec,nrES_PID,$B14,nrES_Code,M$5,nrES_Final,"Yes"),""))</f>
        <v/>
      </c>
      <c r="N14" s="17">
        <f>IF(OR($B14="",N$5=""),"",IFERROR(SUMIFS(nrES_Rec,nrES_PID,$B14,nrES_Code,N$5,nrES_Final,"Yes"),""))</f>
        <v/>
      </c>
      <c r="O14" s="17">
        <f>IF(OR($B14="",O$5=""),"",IFERROR(SUMIFS(nrES_Rec,nrES_PID,$B14,nrES_Code,O$5,nrES_Final,"Yes"),""))</f>
        <v/>
      </c>
      <c r="P14" s="17">
        <f>IF(OR($B14="",P$5=""),"",IFERROR(SUMIFS(nrES_Rec,nrES_PID,$B14,nrES_Code,P$5,nrES_Final,"Yes"),""))</f>
        <v/>
      </c>
      <c r="Q14" s="17">
        <f>IF(OR($B14="",Q$5=""),"",IFERROR(SUMIFS(nrES_Rec,nrES_PID,$B14,nrES_Code,Q$5,nrES_Final,"Yes"),""))</f>
        <v/>
      </c>
      <c r="R14" s="17">
        <f>IF(OR($B14="",R$5=""),"",IFERROR(SUMIFS(nrES_Rec,nrES_PID,$B14,nrES_Code,R$5,nrES_Final,"Yes"),""))</f>
        <v/>
      </c>
      <c r="S14" s="17">
        <f>IF(OR($B14="",S$5=""),"",IFERROR(SUMIFS(nrES_Rec,nrES_PID,$B14,nrES_Code,S$5,nrES_Final,"Yes"),""))</f>
        <v/>
      </c>
      <c r="T14" s="17">
        <f>IF(OR($B14="",T$5=""),"",IFERROR(SUMIFS(nrES_Rec,nrES_PID,$B14,nrES_Code,T$5,nrES_Final,"Yes"),""))</f>
        <v/>
      </c>
      <c r="U14" s="17">
        <f>IF(OR($B14="",U$5=""),"",IFERROR(SUMIFS(nrES_Rec,nrES_PID,$B14,nrES_Code,U$5,nrES_Final,"Yes"),""))</f>
        <v/>
      </c>
      <c r="V14" s="17">
        <f>IF(OR($B14="",V$5=""),"",IFERROR(SUMIFS(nrES_Rec,nrES_PID,$B14,nrES_Code,V$5,nrES_Final,"Yes"),""))</f>
        <v/>
      </c>
      <c r="W14" s="17">
        <f>IF(OR($B14="",W$5=""),"",IFERROR(SUMIFS(nrES_Rec,nrES_PID,$B14,nrES_Code,W$5,nrES_Final,"Yes"),""))</f>
        <v/>
      </c>
      <c r="X14" s="17">
        <f>IF(OR($B14="",X$5=""),"",IFERROR(SUMIFS(nrES_Rec,nrES_PID,$B14,nrES_Code,X$5,nrES_Final,"Yes"),""))</f>
        <v/>
      </c>
      <c r="Y14" s="17">
        <f>IF(OR($B14="",Y$5=""),"",IFERROR(SUMIFS(nrES_Rec,nrES_PID,$B14,nrES_Code,Y$5,nrES_Final,"Yes"),""))</f>
        <v/>
      </c>
      <c r="Z14" s="17">
        <f>IF(OR($B14="",Z$5=""),"",IFERROR(SUMIFS(nrES_Rec,nrES_PID,$B14,nrES_Code,Z$5,nrES_Final,"Yes"),""))</f>
        <v/>
      </c>
      <c r="AA14" s="17">
        <f>IF(OR($B14="",AA$5=""),"",IFERROR(SUMIFS(nrES_Rec,nrES_PID,$B14,nrES_Code,AA$5,nrES_Final,"Yes"),""))</f>
        <v/>
      </c>
      <c r="AB14" s="17">
        <f>IF(OR($B14="",AB$5=""),"",IFERROR(SUMIFS(nrES_Rec,nrES_PID,$B14,nrES_Code,AB$5,nrES_Final,"Yes"),""))</f>
        <v/>
      </c>
      <c r="AC14" s="17">
        <f>IF($B14="","",sysGrades!$M14)</f>
        <v/>
      </c>
      <c r="AD14" s="17">
        <f>IF($B14="","",IFERROR(sysGrades!$U14,""))</f>
        <v/>
      </c>
    </row>
    <row r="15">
      <c r="B15" s="17">
        <f>IF(Cadets!$B15="","",Cadets!$B15)</f>
        <v/>
      </c>
      <c r="C15" s="17">
        <f>IF($B15="","",Cadets!$F15)</f>
        <v/>
      </c>
      <c r="D15" s="17">
        <f>IF(OR($B15="",D$5=""),"",IFERROR(SUMIFS(nrES_Rec,nrES_PID,$B15,nrES_Code,D$5,nrES_Final,"Yes"),""))</f>
        <v/>
      </c>
      <c r="E15" s="17">
        <f>IF(OR($B15="",E$5=""),"",IFERROR(SUMIFS(nrES_Rec,nrES_PID,$B15,nrES_Code,E$5,nrES_Final,"Yes"),""))</f>
        <v/>
      </c>
      <c r="F15" s="17">
        <f>IF(OR($B15="",F$5=""),"",IFERROR(SUMIFS(nrES_Rec,nrES_PID,$B15,nrES_Code,F$5,nrES_Final,"Yes"),""))</f>
        <v/>
      </c>
      <c r="G15" s="17">
        <f>IF(OR($B15="",G$5=""),"",IFERROR(SUMIFS(nrES_Rec,nrES_PID,$B15,nrES_Code,G$5,nrES_Final,"Yes"),""))</f>
        <v/>
      </c>
      <c r="H15" s="17">
        <f>IF(OR($B15="",H$5=""),"",IFERROR(SUMIFS(nrES_Rec,nrES_PID,$B15,nrES_Code,H$5,nrES_Final,"Yes"),""))</f>
        <v/>
      </c>
      <c r="I15" s="17">
        <f>IF(OR($B15="",I$5=""),"",IFERROR(SUMIFS(nrES_Rec,nrES_PID,$B15,nrES_Code,I$5,nrES_Final,"Yes"),""))</f>
        <v/>
      </c>
      <c r="J15" s="17">
        <f>IF(OR($B15="",J$5=""),"",IFERROR(SUMIFS(nrES_Rec,nrES_PID,$B15,nrES_Code,J$5,nrES_Final,"Yes"),""))</f>
        <v/>
      </c>
      <c r="K15" s="17">
        <f>IF(OR($B15="",K$5=""),"",IFERROR(SUMIFS(nrES_Rec,nrES_PID,$B15,nrES_Code,K$5,nrES_Final,"Yes"),""))</f>
        <v/>
      </c>
      <c r="L15" s="17">
        <f>IF(OR($B15="",L$5=""),"",IFERROR(SUMIFS(nrES_Rec,nrES_PID,$B15,nrES_Code,L$5,nrES_Final,"Yes"),""))</f>
        <v/>
      </c>
      <c r="M15" s="17">
        <f>IF(OR($B15="",M$5=""),"",IFERROR(SUMIFS(nrES_Rec,nrES_PID,$B15,nrES_Code,M$5,nrES_Final,"Yes"),""))</f>
        <v/>
      </c>
      <c r="N15" s="17">
        <f>IF(OR($B15="",N$5=""),"",IFERROR(SUMIFS(nrES_Rec,nrES_PID,$B15,nrES_Code,N$5,nrES_Final,"Yes"),""))</f>
        <v/>
      </c>
      <c r="O15" s="17">
        <f>IF(OR($B15="",O$5=""),"",IFERROR(SUMIFS(nrES_Rec,nrES_PID,$B15,nrES_Code,O$5,nrES_Final,"Yes"),""))</f>
        <v/>
      </c>
      <c r="P15" s="17">
        <f>IF(OR($B15="",P$5=""),"",IFERROR(SUMIFS(nrES_Rec,nrES_PID,$B15,nrES_Code,P$5,nrES_Final,"Yes"),""))</f>
        <v/>
      </c>
      <c r="Q15" s="17">
        <f>IF(OR($B15="",Q$5=""),"",IFERROR(SUMIFS(nrES_Rec,nrES_PID,$B15,nrES_Code,Q$5,nrES_Final,"Yes"),""))</f>
        <v/>
      </c>
      <c r="R15" s="17">
        <f>IF(OR($B15="",R$5=""),"",IFERROR(SUMIFS(nrES_Rec,nrES_PID,$B15,nrES_Code,R$5,nrES_Final,"Yes"),""))</f>
        <v/>
      </c>
      <c r="S15" s="17">
        <f>IF(OR($B15="",S$5=""),"",IFERROR(SUMIFS(nrES_Rec,nrES_PID,$B15,nrES_Code,S$5,nrES_Final,"Yes"),""))</f>
        <v/>
      </c>
      <c r="T15" s="17">
        <f>IF(OR($B15="",T$5=""),"",IFERROR(SUMIFS(nrES_Rec,nrES_PID,$B15,nrES_Code,T$5,nrES_Final,"Yes"),""))</f>
        <v/>
      </c>
      <c r="U15" s="17">
        <f>IF(OR($B15="",U$5=""),"",IFERROR(SUMIFS(nrES_Rec,nrES_PID,$B15,nrES_Code,U$5,nrES_Final,"Yes"),""))</f>
        <v/>
      </c>
      <c r="V15" s="17">
        <f>IF(OR($B15="",V$5=""),"",IFERROR(SUMIFS(nrES_Rec,nrES_PID,$B15,nrES_Code,V$5,nrES_Final,"Yes"),""))</f>
        <v/>
      </c>
      <c r="W15" s="17">
        <f>IF(OR($B15="",W$5=""),"",IFERROR(SUMIFS(nrES_Rec,nrES_PID,$B15,nrES_Code,W$5,nrES_Final,"Yes"),""))</f>
        <v/>
      </c>
      <c r="X15" s="17">
        <f>IF(OR($B15="",X$5=""),"",IFERROR(SUMIFS(nrES_Rec,nrES_PID,$B15,nrES_Code,X$5,nrES_Final,"Yes"),""))</f>
        <v/>
      </c>
      <c r="Y15" s="17">
        <f>IF(OR($B15="",Y$5=""),"",IFERROR(SUMIFS(nrES_Rec,nrES_PID,$B15,nrES_Code,Y$5,nrES_Final,"Yes"),""))</f>
        <v/>
      </c>
      <c r="Z15" s="17">
        <f>IF(OR($B15="",Z$5=""),"",IFERROR(SUMIFS(nrES_Rec,nrES_PID,$B15,nrES_Code,Z$5,nrES_Final,"Yes"),""))</f>
        <v/>
      </c>
      <c r="AA15" s="17">
        <f>IF(OR($B15="",AA$5=""),"",IFERROR(SUMIFS(nrES_Rec,nrES_PID,$B15,nrES_Code,AA$5,nrES_Final,"Yes"),""))</f>
        <v/>
      </c>
      <c r="AB15" s="17">
        <f>IF(OR($B15="",AB$5=""),"",IFERROR(SUMIFS(nrES_Rec,nrES_PID,$B15,nrES_Code,AB$5,nrES_Final,"Yes"),""))</f>
        <v/>
      </c>
      <c r="AC15" s="17">
        <f>IF($B15="","",sysGrades!$M15)</f>
        <v/>
      </c>
      <c r="AD15" s="17">
        <f>IF($B15="","",IFERROR(sysGrades!$U15,""))</f>
        <v/>
      </c>
    </row>
    <row r="16">
      <c r="B16" s="17">
        <f>IF(Cadets!$B16="","",Cadets!$B16)</f>
        <v/>
      </c>
      <c r="C16" s="17">
        <f>IF($B16="","",Cadets!$F16)</f>
        <v/>
      </c>
      <c r="D16" s="17">
        <f>IF(OR($B16="",D$5=""),"",IFERROR(SUMIFS(nrES_Rec,nrES_PID,$B16,nrES_Code,D$5,nrES_Final,"Yes"),""))</f>
        <v/>
      </c>
      <c r="E16" s="17">
        <f>IF(OR($B16="",E$5=""),"",IFERROR(SUMIFS(nrES_Rec,nrES_PID,$B16,nrES_Code,E$5,nrES_Final,"Yes"),""))</f>
        <v/>
      </c>
      <c r="F16" s="17">
        <f>IF(OR($B16="",F$5=""),"",IFERROR(SUMIFS(nrES_Rec,nrES_PID,$B16,nrES_Code,F$5,nrES_Final,"Yes"),""))</f>
        <v/>
      </c>
      <c r="G16" s="17">
        <f>IF(OR($B16="",G$5=""),"",IFERROR(SUMIFS(nrES_Rec,nrES_PID,$B16,nrES_Code,G$5,nrES_Final,"Yes"),""))</f>
        <v/>
      </c>
      <c r="H16" s="17">
        <f>IF(OR($B16="",H$5=""),"",IFERROR(SUMIFS(nrES_Rec,nrES_PID,$B16,nrES_Code,H$5,nrES_Final,"Yes"),""))</f>
        <v/>
      </c>
      <c r="I16" s="17">
        <f>IF(OR($B16="",I$5=""),"",IFERROR(SUMIFS(nrES_Rec,nrES_PID,$B16,nrES_Code,I$5,nrES_Final,"Yes"),""))</f>
        <v/>
      </c>
      <c r="J16" s="17">
        <f>IF(OR($B16="",J$5=""),"",IFERROR(SUMIFS(nrES_Rec,nrES_PID,$B16,nrES_Code,J$5,nrES_Final,"Yes"),""))</f>
        <v/>
      </c>
      <c r="K16" s="17">
        <f>IF(OR($B16="",K$5=""),"",IFERROR(SUMIFS(nrES_Rec,nrES_PID,$B16,nrES_Code,K$5,nrES_Final,"Yes"),""))</f>
        <v/>
      </c>
      <c r="L16" s="17">
        <f>IF(OR($B16="",L$5=""),"",IFERROR(SUMIFS(nrES_Rec,nrES_PID,$B16,nrES_Code,L$5,nrES_Final,"Yes"),""))</f>
        <v/>
      </c>
      <c r="M16" s="17">
        <f>IF(OR($B16="",M$5=""),"",IFERROR(SUMIFS(nrES_Rec,nrES_PID,$B16,nrES_Code,M$5,nrES_Final,"Yes"),""))</f>
        <v/>
      </c>
      <c r="N16" s="17">
        <f>IF(OR($B16="",N$5=""),"",IFERROR(SUMIFS(nrES_Rec,nrES_PID,$B16,nrES_Code,N$5,nrES_Final,"Yes"),""))</f>
        <v/>
      </c>
      <c r="O16" s="17">
        <f>IF(OR($B16="",O$5=""),"",IFERROR(SUMIFS(nrES_Rec,nrES_PID,$B16,nrES_Code,O$5,nrES_Final,"Yes"),""))</f>
        <v/>
      </c>
      <c r="P16" s="17">
        <f>IF(OR($B16="",P$5=""),"",IFERROR(SUMIFS(nrES_Rec,nrES_PID,$B16,nrES_Code,P$5,nrES_Final,"Yes"),""))</f>
        <v/>
      </c>
      <c r="Q16" s="17">
        <f>IF(OR($B16="",Q$5=""),"",IFERROR(SUMIFS(nrES_Rec,nrES_PID,$B16,nrES_Code,Q$5,nrES_Final,"Yes"),""))</f>
        <v/>
      </c>
      <c r="R16" s="17">
        <f>IF(OR($B16="",R$5=""),"",IFERROR(SUMIFS(nrES_Rec,nrES_PID,$B16,nrES_Code,R$5,nrES_Final,"Yes"),""))</f>
        <v/>
      </c>
      <c r="S16" s="17">
        <f>IF(OR($B16="",S$5=""),"",IFERROR(SUMIFS(nrES_Rec,nrES_PID,$B16,nrES_Code,S$5,nrES_Final,"Yes"),""))</f>
        <v/>
      </c>
      <c r="T16" s="17">
        <f>IF(OR($B16="",T$5=""),"",IFERROR(SUMIFS(nrES_Rec,nrES_PID,$B16,nrES_Code,T$5,nrES_Final,"Yes"),""))</f>
        <v/>
      </c>
      <c r="U16" s="17">
        <f>IF(OR($B16="",U$5=""),"",IFERROR(SUMIFS(nrES_Rec,nrES_PID,$B16,nrES_Code,U$5,nrES_Final,"Yes"),""))</f>
        <v/>
      </c>
      <c r="V16" s="17">
        <f>IF(OR($B16="",V$5=""),"",IFERROR(SUMIFS(nrES_Rec,nrES_PID,$B16,nrES_Code,V$5,nrES_Final,"Yes"),""))</f>
        <v/>
      </c>
      <c r="W16" s="17">
        <f>IF(OR($B16="",W$5=""),"",IFERROR(SUMIFS(nrES_Rec,nrES_PID,$B16,nrES_Code,W$5,nrES_Final,"Yes"),""))</f>
        <v/>
      </c>
      <c r="X16" s="17">
        <f>IF(OR($B16="",X$5=""),"",IFERROR(SUMIFS(nrES_Rec,nrES_PID,$B16,nrES_Code,X$5,nrES_Final,"Yes"),""))</f>
        <v/>
      </c>
      <c r="Y16" s="17">
        <f>IF(OR($B16="",Y$5=""),"",IFERROR(SUMIFS(nrES_Rec,nrES_PID,$B16,nrES_Code,Y$5,nrES_Final,"Yes"),""))</f>
        <v/>
      </c>
      <c r="Z16" s="17">
        <f>IF(OR($B16="",Z$5=""),"",IFERROR(SUMIFS(nrES_Rec,nrES_PID,$B16,nrES_Code,Z$5,nrES_Final,"Yes"),""))</f>
        <v/>
      </c>
      <c r="AA16" s="17">
        <f>IF(OR($B16="",AA$5=""),"",IFERROR(SUMIFS(nrES_Rec,nrES_PID,$B16,nrES_Code,AA$5,nrES_Final,"Yes"),""))</f>
        <v/>
      </c>
      <c r="AB16" s="17">
        <f>IF(OR($B16="",AB$5=""),"",IFERROR(SUMIFS(nrES_Rec,nrES_PID,$B16,nrES_Code,AB$5,nrES_Final,"Yes"),""))</f>
        <v/>
      </c>
      <c r="AC16" s="17">
        <f>IF($B16="","",sysGrades!$M16)</f>
        <v/>
      </c>
      <c r="AD16" s="17">
        <f>IF($B16="","",IFERROR(sysGrades!$U16,""))</f>
        <v/>
      </c>
    </row>
    <row r="17">
      <c r="B17" s="17">
        <f>IF(Cadets!$B17="","",Cadets!$B17)</f>
        <v/>
      </c>
      <c r="C17" s="17">
        <f>IF($B17="","",Cadets!$F17)</f>
        <v/>
      </c>
      <c r="D17" s="17">
        <f>IF(OR($B17="",D$5=""),"",IFERROR(SUMIFS(nrES_Rec,nrES_PID,$B17,nrES_Code,D$5,nrES_Final,"Yes"),""))</f>
        <v/>
      </c>
      <c r="E17" s="17">
        <f>IF(OR($B17="",E$5=""),"",IFERROR(SUMIFS(nrES_Rec,nrES_PID,$B17,nrES_Code,E$5,nrES_Final,"Yes"),""))</f>
        <v/>
      </c>
      <c r="F17" s="17">
        <f>IF(OR($B17="",F$5=""),"",IFERROR(SUMIFS(nrES_Rec,nrES_PID,$B17,nrES_Code,F$5,nrES_Final,"Yes"),""))</f>
        <v/>
      </c>
      <c r="G17" s="17">
        <f>IF(OR($B17="",G$5=""),"",IFERROR(SUMIFS(nrES_Rec,nrES_PID,$B17,nrES_Code,G$5,nrES_Final,"Yes"),""))</f>
        <v/>
      </c>
      <c r="H17" s="17">
        <f>IF(OR($B17="",H$5=""),"",IFERROR(SUMIFS(nrES_Rec,nrES_PID,$B17,nrES_Code,H$5,nrES_Final,"Yes"),""))</f>
        <v/>
      </c>
      <c r="I17" s="17">
        <f>IF(OR($B17="",I$5=""),"",IFERROR(SUMIFS(nrES_Rec,nrES_PID,$B17,nrES_Code,I$5,nrES_Final,"Yes"),""))</f>
        <v/>
      </c>
      <c r="J17" s="17">
        <f>IF(OR($B17="",J$5=""),"",IFERROR(SUMIFS(nrES_Rec,nrES_PID,$B17,nrES_Code,J$5,nrES_Final,"Yes"),""))</f>
        <v/>
      </c>
      <c r="K17" s="17">
        <f>IF(OR($B17="",K$5=""),"",IFERROR(SUMIFS(nrES_Rec,nrES_PID,$B17,nrES_Code,K$5,nrES_Final,"Yes"),""))</f>
        <v/>
      </c>
      <c r="L17" s="17">
        <f>IF(OR($B17="",L$5=""),"",IFERROR(SUMIFS(nrES_Rec,nrES_PID,$B17,nrES_Code,L$5,nrES_Final,"Yes"),""))</f>
        <v/>
      </c>
      <c r="M17" s="17">
        <f>IF(OR($B17="",M$5=""),"",IFERROR(SUMIFS(nrES_Rec,nrES_PID,$B17,nrES_Code,M$5,nrES_Final,"Yes"),""))</f>
        <v/>
      </c>
      <c r="N17" s="17">
        <f>IF(OR($B17="",N$5=""),"",IFERROR(SUMIFS(nrES_Rec,nrES_PID,$B17,nrES_Code,N$5,nrES_Final,"Yes"),""))</f>
        <v/>
      </c>
      <c r="O17" s="17">
        <f>IF(OR($B17="",O$5=""),"",IFERROR(SUMIFS(nrES_Rec,nrES_PID,$B17,nrES_Code,O$5,nrES_Final,"Yes"),""))</f>
        <v/>
      </c>
      <c r="P17" s="17">
        <f>IF(OR($B17="",P$5=""),"",IFERROR(SUMIFS(nrES_Rec,nrES_PID,$B17,nrES_Code,P$5,nrES_Final,"Yes"),""))</f>
        <v/>
      </c>
      <c r="Q17" s="17">
        <f>IF(OR($B17="",Q$5=""),"",IFERROR(SUMIFS(nrES_Rec,nrES_PID,$B17,nrES_Code,Q$5,nrES_Final,"Yes"),""))</f>
        <v/>
      </c>
      <c r="R17" s="17">
        <f>IF(OR($B17="",R$5=""),"",IFERROR(SUMIFS(nrES_Rec,nrES_PID,$B17,nrES_Code,R$5,nrES_Final,"Yes"),""))</f>
        <v/>
      </c>
      <c r="S17" s="17">
        <f>IF(OR($B17="",S$5=""),"",IFERROR(SUMIFS(nrES_Rec,nrES_PID,$B17,nrES_Code,S$5,nrES_Final,"Yes"),""))</f>
        <v/>
      </c>
      <c r="T17" s="17">
        <f>IF(OR($B17="",T$5=""),"",IFERROR(SUMIFS(nrES_Rec,nrES_PID,$B17,nrES_Code,T$5,nrES_Final,"Yes"),""))</f>
        <v/>
      </c>
      <c r="U17" s="17">
        <f>IF(OR($B17="",U$5=""),"",IFERROR(SUMIFS(nrES_Rec,nrES_PID,$B17,nrES_Code,U$5,nrES_Final,"Yes"),""))</f>
        <v/>
      </c>
      <c r="V17" s="17">
        <f>IF(OR($B17="",V$5=""),"",IFERROR(SUMIFS(nrES_Rec,nrES_PID,$B17,nrES_Code,V$5,nrES_Final,"Yes"),""))</f>
        <v/>
      </c>
      <c r="W17" s="17">
        <f>IF(OR($B17="",W$5=""),"",IFERROR(SUMIFS(nrES_Rec,nrES_PID,$B17,nrES_Code,W$5,nrES_Final,"Yes"),""))</f>
        <v/>
      </c>
      <c r="X17" s="17">
        <f>IF(OR($B17="",X$5=""),"",IFERROR(SUMIFS(nrES_Rec,nrES_PID,$B17,nrES_Code,X$5,nrES_Final,"Yes"),""))</f>
        <v/>
      </c>
      <c r="Y17" s="17">
        <f>IF(OR($B17="",Y$5=""),"",IFERROR(SUMIFS(nrES_Rec,nrES_PID,$B17,nrES_Code,Y$5,nrES_Final,"Yes"),""))</f>
        <v/>
      </c>
      <c r="Z17" s="17">
        <f>IF(OR($B17="",Z$5=""),"",IFERROR(SUMIFS(nrES_Rec,nrES_PID,$B17,nrES_Code,Z$5,nrES_Final,"Yes"),""))</f>
        <v/>
      </c>
      <c r="AA17" s="17">
        <f>IF(OR($B17="",AA$5=""),"",IFERROR(SUMIFS(nrES_Rec,nrES_PID,$B17,nrES_Code,AA$5,nrES_Final,"Yes"),""))</f>
        <v/>
      </c>
      <c r="AB17" s="17">
        <f>IF(OR($B17="",AB$5=""),"",IFERROR(SUMIFS(nrES_Rec,nrES_PID,$B17,nrES_Code,AB$5,nrES_Final,"Yes"),""))</f>
        <v/>
      </c>
      <c r="AC17" s="17">
        <f>IF($B17="","",sysGrades!$M17)</f>
        <v/>
      </c>
      <c r="AD17" s="17">
        <f>IF($B17="","",IFERROR(sysGrades!$U17,""))</f>
        <v/>
      </c>
    </row>
    <row r="18">
      <c r="B18" s="17">
        <f>IF(Cadets!$B18="","",Cadets!$B18)</f>
        <v/>
      </c>
      <c r="C18" s="17">
        <f>IF($B18="","",Cadets!$F18)</f>
        <v/>
      </c>
      <c r="D18" s="17">
        <f>IF(OR($B18="",D$5=""),"",IFERROR(SUMIFS(nrES_Rec,nrES_PID,$B18,nrES_Code,D$5,nrES_Final,"Yes"),""))</f>
        <v/>
      </c>
      <c r="E18" s="17">
        <f>IF(OR($B18="",E$5=""),"",IFERROR(SUMIFS(nrES_Rec,nrES_PID,$B18,nrES_Code,E$5,nrES_Final,"Yes"),""))</f>
        <v/>
      </c>
      <c r="F18" s="17">
        <f>IF(OR($B18="",F$5=""),"",IFERROR(SUMIFS(nrES_Rec,nrES_PID,$B18,nrES_Code,F$5,nrES_Final,"Yes"),""))</f>
        <v/>
      </c>
      <c r="G18" s="17">
        <f>IF(OR($B18="",G$5=""),"",IFERROR(SUMIFS(nrES_Rec,nrES_PID,$B18,nrES_Code,G$5,nrES_Final,"Yes"),""))</f>
        <v/>
      </c>
      <c r="H18" s="17">
        <f>IF(OR($B18="",H$5=""),"",IFERROR(SUMIFS(nrES_Rec,nrES_PID,$B18,nrES_Code,H$5,nrES_Final,"Yes"),""))</f>
        <v/>
      </c>
      <c r="I18" s="17">
        <f>IF(OR($B18="",I$5=""),"",IFERROR(SUMIFS(nrES_Rec,nrES_PID,$B18,nrES_Code,I$5,nrES_Final,"Yes"),""))</f>
        <v/>
      </c>
      <c r="J18" s="17">
        <f>IF(OR($B18="",J$5=""),"",IFERROR(SUMIFS(nrES_Rec,nrES_PID,$B18,nrES_Code,J$5,nrES_Final,"Yes"),""))</f>
        <v/>
      </c>
      <c r="K18" s="17">
        <f>IF(OR($B18="",K$5=""),"",IFERROR(SUMIFS(nrES_Rec,nrES_PID,$B18,nrES_Code,K$5,nrES_Final,"Yes"),""))</f>
        <v/>
      </c>
      <c r="L18" s="17">
        <f>IF(OR($B18="",L$5=""),"",IFERROR(SUMIFS(nrES_Rec,nrES_PID,$B18,nrES_Code,L$5,nrES_Final,"Yes"),""))</f>
        <v/>
      </c>
      <c r="M18" s="17">
        <f>IF(OR($B18="",M$5=""),"",IFERROR(SUMIFS(nrES_Rec,nrES_PID,$B18,nrES_Code,M$5,nrES_Final,"Yes"),""))</f>
        <v/>
      </c>
      <c r="N18" s="17">
        <f>IF(OR($B18="",N$5=""),"",IFERROR(SUMIFS(nrES_Rec,nrES_PID,$B18,nrES_Code,N$5,nrES_Final,"Yes"),""))</f>
        <v/>
      </c>
      <c r="O18" s="17">
        <f>IF(OR($B18="",O$5=""),"",IFERROR(SUMIFS(nrES_Rec,nrES_PID,$B18,nrES_Code,O$5,nrES_Final,"Yes"),""))</f>
        <v/>
      </c>
      <c r="P18" s="17">
        <f>IF(OR($B18="",P$5=""),"",IFERROR(SUMIFS(nrES_Rec,nrES_PID,$B18,nrES_Code,P$5,nrES_Final,"Yes"),""))</f>
        <v/>
      </c>
      <c r="Q18" s="17">
        <f>IF(OR($B18="",Q$5=""),"",IFERROR(SUMIFS(nrES_Rec,nrES_PID,$B18,nrES_Code,Q$5,nrES_Final,"Yes"),""))</f>
        <v/>
      </c>
      <c r="R18" s="17">
        <f>IF(OR($B18="",R$5=""),"",IFERROR(SUMIFS(nrES_Rec,nrES_PID,$B18,nrES_Code,R$5,nrES_Final,"Yes"),""))</f>
        <v/>
      </c>
      <c r="S18" s="17">
        <f>IF(OR($B18="",S$5=""),"",IFERROR(SUMIFS(nrES_Rec,nrES_PID,$B18,nrES_Code,S$5,nrES_Final,"Yes"),""))</f>
        <v/>
      </c>
      <c r="T18" s="17">
        <f>IF(OR($B18="",T$5=""),"",IFERROR(SUMIFS(nrES_Rec,nrES_PID,$B18,nrES_Code,T$5,nrES_Final,"Yes"),""))</f>
        <v/>
      </c>
      <c r="U18" s="17">
        <f>IF(OR($B18="",U$5=""),"",IFERROR(SUMIFS(nrES_Rec,nrES_PID,$B18,nrES_Code,U$5,nrES_Final,"Yes"),""))</f>
        <v/>
      </c>
      <c r="V18" s="17">
        <f>IF(OR($B18="",V$5=""),"",IFERROR(SUMIFS(nrES_Rec,nrES_PID,$B18,nrES_Code,V$5,nrES_Final,"Yes"),""))</f>
        <v/>
      </c>
      <c r="W18" s="17">
        <f>IF(OR($B18="",W$5=""),"",IFERROR(SUMIFS(nrES_Rec,nrES_PID,$B18,nrES_Code,W$5,nrES_Final,"Yes"),""))</f>
        <v/>
      </c>
      <c r="X18" s="17">
        <f>IF(OR($B18="",X$5=""),"",IFERROR(SUMIFS(nrES_Rec,nrES_PID,$B18,nrES_Code,X$5,nrES_Final,"Yes"),""))</f>
        <v/>
      </c>
      <c r="Y18" s="17">
        <f>IF(OR($B18="",Y$5=""),"",IFERROR(SUMIFS(nrES_Rec,nrES_PID,$B18,nrES_Code,Y$5,nrES_Final,"Yes"),""))</f>
        <v/>
      </c>
      <c r="Z18" s="17">
        <f>IF(OR($B18="",Z$5=""),"",IFERROR(SUMIFS(nrES_Rec,nrES_PID,$B18,nrES_Code,Z$5,nrES_Final,"Yes"),""))</f>
        <v/>
      </c>
      <c r="AA18" s="17">
        <f>IF(OR($B18="",AA$5=""),"",IFERROR(SUMIFS(nrES_Rec,nrES_PID,$B18,nrES_Code,AA$5,nrES_Final,"Yes"),""))</f>
        <v/>
      </c>
      <c r="AB18" s="17">
        <f>IF(OR($B18="",AB$5=""),"",IFERROR(SUMIFS(nrES_Rec,nrES_PID,$B18,nrES_Code,AB$5,nrES_Final,"Yes"),""))</f>
        <v/>
      </c>
      <c r="AC18" s="17">
        <f>IF($B18="","",sysGrades!$M18)</f>
        <v/>
      </c>
      <c r="AD18" s="17">
        <f>IF($B18="","",IFERROR(sysGrades!$U18,""))</f>
        <v/>
      </c>
    </row>
    <row r="19">
      <c r="B19" s="17">
        <f>IF(Cadets!$B19="","",Cadets!$B19)</f>
        <v/>
      </c>
      <c r="C19" s="17">
        <f>IF($B19="","",Cadets!$F19)</f>
        <v/>
      </c>
      <c r="D19" s="17">
        <f>IF(OR($B19="",D$5=""),"",IFERROR(SUMIFS(nrES_Rec,nrES_PID,$B19,nrES_Code,D$5,nrES_Final,"Yes"),""))</f>
        <v/>
      </c>
      <c r="E19" s="17">
        <f>IF(OR($B19="",E$5=""),"",IFERROR(SUMIFS(nrES_Rec,nrES_PID,$B19,nrES_Code,E$5,nrES_Final,"Yes"),""))</f>
        <v/>
      </c>
      <c r="F19" s="17">
        <f>IF(OR($B19="",F$5=""),"",IFERROR(SUMIFS(nrES_Rec,nrES_PID,$B19,nrES_Code,F$5,nrES_Final,"Yes"),""))</f>
        <v/>
      </c>
      <c r="G19" s="17">
        <f>IF(OR($B19="",G$5=""),"",IFERROR(SUMIFS(nrES_Rec,nrES_PID,$B19,nrES_Code,G$5,nrES_Final,"Yes"),""))</f>
        <v/>
      </c>
      <c r="H19" s="17">
        <f>IF(OR($B19="",H$5=""),"",IFERROR(SUMIFS(nrES_Rec,nrES_PID,$B19,nrES_Code,H$5,nrES_Final,"Yes"),""))</f>
        <v/>
      </c>
      <c r="I19" s="17">
        <f>IF(OR($B19="",I$5=""),"",IFERROR(SUMIFS(nrES_Rec,nrES_PID,$B19,nrES_Code,I$5,nrES_Final,"Yes"),""))</f>
        <v/>
      </c>
      <c r="J19" s="17">
        <f>IF(OR($B19="",J$5=""),"",IFERROR(SUMIFS(nrES_Rec,nrES_PID,$B19,nrES_Code,J$5,nrES_Final,"Yes"),""))</f>
        <v/>
      </c>
      <c r="K19" s="17">
        <f>IF(OR($B19="",K$5=""),"",IFERROR(SUMIFS(nrES_Rec,nrES_PID,$B19,nrES_Code,K$5,nrES_Final,"Yes"),""))</f>
        <v/>
      </c>
      <c r="L19" s="17">
        <f>IF(OR($B19="",L$5=""),"",IFERROR(SUMIFS(nrES_Rec,nrES_PID,$B19,nrES_Code,L$5,nrES_Final,"Yes"),""))</f>
        <v/>
      </c>
      <c r="M19" s="17">
        <f>IF(OR($B19="",M$5=""),"",IFERROR(SUMIFS(nrES_Rec,nrES_PID,$B19,nrES_Code,M$5,nrES_Final,"Yes"),""))</f>
        <v/>
      </c>
      <c r="N19" s="17">
        <f>IF(OR($B19="",N$5=""),"",IFERROR(SUMIFS(nrES_Rec,nrES_PID,$B19,nrES_Code,N$5,nrES_Final,"Yes"),""))</f>
        <v/>
      </c>
      <c r="O19" s="17">
        <f>IF(OR($B19="",O$5=""),"",IFERROR(SUMIFS(nrES_Rec,nrES_PID,$B19,nrES_Code,O$5,nrES_Final,"Yes"),""))</f>
        <v/>
      </c>
      <c r="P19" s="17">
        <f>IF(OR($B19="",P$5=""),"",IFERROR(SUMIFS(nrES_Rec,nrES_PID,$B19,nrES_Code,P$5,nrES_Final,"Yes"),""))</f>
        <v/>
      </c>
      <c r="Q19" s="17">
        <f>IF(OR($B19="",Q$5=""),"",IFERROR(SUMIFS(nrES_Rec,nrES_PID,$B19,nrES_Code,Q$5,nrES_Final,"Yes"),""))</f>
        <v/>
      </c>
      <c r="R19" s="17">
        <f>IF(OR($B19="",R$5=""),"",IFERROR(SUMIFS(nrES_Rec,nrES_PID,$B19,nrES_Code,R$5,nrES_Final,"Yes"),""))</f>
        <v/>
      </c>
      <c r="S19" s="17">
        <f>IF(OR($B19="",S$5=""),"",IFERROR(SUMIFS(nrES_Rec,nrES_PID,$B19,nrES_Code,S$5,nrES_Final,"Yes"),""))</f>
        <v/>
      </c>
      <c r="T19" s="17">
        <f>IF(OR($B19="",T$5=""),"",IFERROR(SUMIFS(nrES_Rec,nrES_PID,$B19,nrES_Code,T$5,nrES_Final,"Yes"),""))</f>
        <v/>
      </c>
      <c r="U19" s="17">
        <f>IF(OR($B19="",U$5=""),"",IFERROR(SUMIFS(nrES_Rec,nrES_PID,$B19,nrES_Code,U$5,nrES_Final,"Yes"),""))</f>
        <v/>
      </c>
      <c r="V19" s="17">
        <f>IF(OR($B19="",V$5=""),"",IFERROR(SUMIFS(nrES_Rec,nrES_PID,$B19,nrES_Code,V$5,nrES_Final,"Yes"),""))</f>
        <v/>
      </c>
      <c r="W19" s="17">
        <f>IF(OR($B19="",W$5=""),"",IFERROR(SUMIFS(nrES_Rec,nrES_PID,$B19,nrES_Code,W$5,nrES_Final,"Yes"),""))</f>
        <v/>
      </c>
      <c r="X19" s="17">
        <f>IF(OR($B19="",X$5=""),"",IFERROR(SUMIFS(nrES_Rec,nrES_PID,$B19,nrES_Code,X$5,nrES_Final,"Yes"),""))</f>
        <v/>
      </c>
      <c r="Y19" s="17">
        <f>IF(OR($B19="",Y$5=""),"",IFERROR(SUMIFS(nrES_Rec,nrES_PID,$B19,nrES_Code,Y$5,nrES_Final,"Yes"),""))</f>
        <v/>
      </c>
      <c r="Z19" s="17">
        <f>IF(OR($B19="",Z$5=""),"",IFERROR(SUMIFS(nrES_Rec,nrES_PID,$B19,nrES_Code,Z$5,nrES_Final,"Yes"),""))</f>
        <v/>
      </c>
      <c r="AA19" s="17">
        <f>IF(OR($B19="",AA$5=""),"",IFERROR(SUMIFS(nrES_Rec,nrES_PID,$B19,nrES_Code,AA$5,nrES_Final,"Yes"),""))</f>
        <v/>
      </c>
      <c r="AB19" s="17">
        <f>IF(OR($B19="",AB$5=""),"",IFERROR(SUMIFS(nrES_Rec,nrES_PID,$B19,nrES_Code,AB$5,nrES_Final,"Yes"),""))</f>
        <v/>
      </c>
      <c r="AC19" s="17">
        <f>IF($B19="","",sysGrades!$M19)</f>
        <v/>
      </c>
      <c r="AD19" s="17">
        <f>IF($B19="","",IFERROR(sysGrades!$U19,""))</f>
        <v/>
      </c>
    </row>
    <row r="20">
      <c r="B20" s="17">
        <f>IF(Cadets!$B20="","",Cadets!$B20)</f>
        <v/>
      </c>
      <c r="C20" s="17">
        <f>IF($B20="","",Cadets!$F20)</f>
        <v/>
      </c>
      <c r="D20" s="17">
        <f>IF(OR($B20="",D$5=""),"",IFERROR(SUMIFS(nrES_Rec,nrES_PID,$B20,nrES_Code,D$5,nrES_Final,"Yes"),""))</f>
        <v/>
      </c>
      <c r="E20" s="17">
        <f>IF(OR($B20="",E$5=""),"",IFERROR(SUMIFS(nrES_Rec,nrES_PID,$B20,nrES_Code,E$5,nrES_Final,"Yes"),""))</f>
        <v/>
      </c>
      <c r="F20" s="17">
        <f>IF(OR($B20="",F$5=""),"",IFERROR(SUMIFS(nrES_Rec,nrES_PID,$B20,nrES_Code,F$5,nrES_Final,"Yes"),""))</f>
        <v/>
      </c>
      <c r="G20" s="17">
        <f>IF(OR($B20="",G$5=""),"",IFERROR(SUMIFS(nrES_Rec,nrES_PID,$B20,nrES_Code,G$5,nrES_Final,"Yes"),""))</f>
        <v/>
      </c>
      <c r="H20" s="17">
        <f>IF(OR($B20="",H$5=""),"",IFERROR(SUMIFS(nrES_Rec,nrES_PID,$B20,nrES_Code,H$5,nrES_Final,"Yes"),""))</f>
        <v/>
      </c>
      <c r="I20" s="17">
        <f>IF(OR($B20="",I$5=""),"",IFERROR(SUMIFS(nrES_Rec,nrES_PID,$B20,nrES_Code,I$5,nrES_Final,"Yes"),""))</f>
        <v/>
      </c>
      <c r="J20" s="17">
        <f>IF(OR($B20="",J$5=""),"",IFERROR(SUMIFS(nrES_Rec,nrES_PID,$B20,nrES_Code,J$5,nrES_Final,"Yes"),""))</f>
        <v/>
      </c>
      <c r="K20" s="17">
        <f>IF(OR($B20="",K$5=""),"",IFERROR(SUMIFS(nrES_Rec,nrES_PID,$B20,nrES_Code,K$5,nrES_Final,"Yes"),""))</f>
        <v/>
      </c>
      <c r="L20" s="17">
        <f>IF(OR($B20="",L$5=""),"",IFERROR(SUMIFS(nrES_Rec,nrES_PID,$B20,nrES_Code,L$5,nrES_Final,"Yes"),""))</f>
        <v/>
      </c>
      <c r="M20" s="17">
        <f>IF(OR($B20="",M$5=""),"",IFERROR(SUMIFS(nrES_Rec,nrES_PID,$B20,nrES_Code,M$5,nrES_Final,"Yes"),""))</f>
        <v/>
      </c>
      <c r="N20" s="17">
        <f>IF(OR($B20="",N$5=""),"",IFERROR(SUMIFS(nrES_Rec,nrES_PID,$B20,nrES_Code,N$5,nrES_Final,"Yes"),""))</f>
        <v/>
      </c>
      <c r="O20" s="17">
        <f>IF(OR($B20="",O$5=""),"",IFERROR(SUMIFS(nrES_Rec,nrES_PID,$B20,nrES_Code,O$5,nrES_Final,"Yes"),""))</f>
        <v/>
      </c>
      <c r="P20" s="17">
        <f>IF(OR($B20="",P$5=""),"",IFERROR(SUMIFS(nrES_Rec,nrES_PID,$B20,nrES_Code,P$5,nrES_Final,"Yes"),""))</f>
        <v/>
      </c>
      <c r="Q20" s="17">
        <f>IF(OR($B20="",Q$5=""),"",IFERROR(SUMIFS(nrES_Rec,nrES_PID,$B20,nrES_Code,Q$5,nrES_Final,"Yes"),""))</f>
        <v/>
      </c>
      <c r="R20" s="17">
        <f>IF(OR($B20="",R$5=""),"",IFERROR(SUMIFS(nrES_Rec,nrES_PID,$B20,nrES_Code,R$5,nrES_Final,"Yes"),""))</f>
        <v/>
      </c>
      <c r="S20" s="17">
        <f>IF(OR($B20="",S$5=""),"",IFERROR(SUMIFS(nrES_Rec,nrES_PID,$B20,nrES_Code,S$5,nrES_Final,"Yes"),""))</f>
        <v/>
      </c>
      <c r="T20" s="17">
        <f>IF(OR($B20="",T$5=""),"",IFERROR(SUMIFS(nrES_Rec,nrES_PID,$B20,nrES_Code,T$5,nrES_Final,"Yes"),""))</f>
        <v/>
      </c>
      <c r="U20" s="17">
        <f>IF(OR($B20="",U$5=""),"",IFERROR(SUMIFS(nrES_Rec,nrES_PID,$B20,nrES_Code,U$5,nrES_Final,"Yes"),""))</f>
        <v/>
      </c>
      <c r="V20" s="17">
        <f>IF(OR($B20="",V$5=""),"",IFERROR(SUMIFS(nrES_Rec,nrES_PID,$B20,nrES_Code,V$5,nrES_Final,"Yes"),""))</f>
        <v/>
      </c>
      <c r="W20" s="17">
        <f>IF(OR($B20="",W$5=""),"",IFERROR(SUMIFS(nrES_Rec,nrES_PID,$B20,nrES_Code,W$5,nrES_Final,"Yes"),""))</f>
        <v/>
      </c>
      <c r="X20" s="17">
        <f>IF(OR($B20="",X$5=""),"",IFERROR(SUMIFS(nrES_Rec,nrES_PID,$B20,nrES_Code,X$5,nrES_Final,"Yes"),""))</f>
        <v/>
      </c>
      <c r="Y20" s="17">
        <f>IF(OR($B20="",Y$5=""),"",IFERROR(SUMIFS(nrES_Rec,nrES_PID,$B20,nrES_Code,Y$5,nrES_Final,"Yes"),""))</f>
        <v/>
      </c>
      <c r="Z20" s="17">
        <f>IF(OR($B20="",Z$5=""),"",IFERROR(SUMIFS(nrES_Rec,nrES_PID,$B20,nrES_Code,Z$5,nrES_Final,"Yes"),""))</f>
        <v/>
      </c>
      <c r="AA20" s="17">
        <f>IF(OR($B20="",AA$5=""),"",IFERROR(SUMIFS(nrES_Rec,nrES_PID,$B20,nrES_Code,AA$5,nrES_Final,"Yes"),""))</f>
        <v/>
      </c>
      <c r="AB20" s="17">
        <f>IF(OR($B20="",AB$5=""),"",IFERROR(SUMIFS(nrES_Rec,nrES_PID,$B20,nrES_Code,AB$5,nrES_Final,"Yes"),""))</f>
        <v/>
      </c>
      <c r="AC20" s="17">
        <f>IF($B20="","",sysGrades!$M20)</f>
        <v/>
      </c>
      <c r="AD20" s="17">
        <f>IF($B20="","",IFERROR(sysGrades!$U20,""))</f>
        <v/>
      </c>
    </row>
    <row r="21">
      <c r="B21" s="17">
        <f>IF(Cadets!$B21="","",Cadets!$B21)</f>
        <v/>
      </c>
      <c r="C21" s="17">
        <f>IF($B21="","",Cadets!$F21)</f>
        <v/>
      </c>
      <c r="D21" s="17">
        <f>IF(OR($B21="",D$5=""),"",IFERROR(SUMIFS(nrES_Rec,nrES_PID,$B21,nrES_Code,D$5,nrES_Final,"Yes"),""))</f>
        <v/>
      </c>
      <c r="E21" s="17">
        <f>IF(OR($B21="",E$5=""),"",IFERROR(SUMIFS(nrES_Rec,nrES_PID,$B21,nrES_Code,E$5,nrES_Final,"Yes"),""))</f>
        <v/>
      </c>
      <c r="F21" s="17">
        <f>IF(OR($B21="",F$5=""),"",IFERROR(SUMIFS(nrES_Rec,nrES_PID,$B21,nrES_Code,F$5,nrES_Final,"Yes"),""))</f>
        <v/>
      </c>
      <c r="G21" s="17">
        <f>IF(OR($B21="",G$5=""),"",IFERROR(SUMIFS(nrES_Rec,nrES_PID,$B21,nrES_Code,G$5,nrES_Final,"Yes"),""))</f>
        <v/>
      </c>
      <c r="H21" s="17">
        <f>IF(OR($B21="",H$5=""),"",IFERROR(SUMIFS(nrES_Rec,nrES_PID,$B21,nrES_Code,H$5,nrES_Final,"Yes"),""))</f>
        <v/>
      </c>
      <c r="I21" s="17">
        <f>IF(OR($B21="",I$5=""),"",IFERROR(SUMIFS(nrES_Rec,nrES_PID,$B21,nrES_Code,I$5,nrES_Final,"Yes"),""))</f>
        <v/>
      </c>
      <c r="J21" s="17">
        <f>IF(OR($B21="",J$5=""),"",IFERROR(SUMIFS(nrES_Rec,nrES_PID,$B21,nrES_Code,J$5,nrES_Final,"Yes"),""))</f>
        <v/>
      </c>
      <c r="K21" s="17">
        <f>IF(OR($B21="",K$5=""),"",IFERROR(SUMIFS(nrES_Rec,nrES_PID,$B21,nrES_Code,K$5,nrES_Final,"Yes"),""))</f>
        <v/>
      </c>
      <c r="L21" s="17">
        <f>IF(OR($B21="",L$5=""),"",IFERROR(SUMIFS(nrES_Rec,nrES_PID,$B21,nrES_Code,L$5,nrES_Final,"Yes"),""))</f>
        <v/>
      </c>
      <c r="M21" s="17">
        <f>IF(OR($B21="",M$5=""),"",IFERROR(SUMIFS(nrES_Rec,nrES_PID,$B21,nrES_Code,M$5,nrES_Final,"Yes"),""))</f>
        <v/>
      </c>
      <c r="N21" s="17">
        <f>IF(OR($B21="",N$5=""),"",IFERROR(SUMIFS(nrES_Rec,nrES_PID,$B21,nrES_Code,N$5,nrES_Final,"Yes"),""))</f>
        <v/>
      </c>
      <c r="O21" s="17">
        <f>IF(OR($B21="",O$5=""),"",IFERROR(SUMIFS(nrES_Rec,nrES_PID,$B21,nrES_Code,O$5,nrES_Final,"Yes"),""))</f>
        <v/>
      </c>
      <c r="P21" s="17">
        <f>IF(OR($B21="",P$5=""),"",IFERROR(SUMIFS(nrES_Rec,nrES_PID,$B21,nrES_Code,P$5,nrES_Final,"Yes"),""))</f>
        <v/>
      </c>
      <c r="Q21" s="17">
        <f>IF(OR($B21="",Q$5=""),"",IFERROR(SUMIFS(nrES_Rec,nrES_PID,$B21,nrES_Code,Q$5,nrES_Final,"Yes"),""))</f>
        <v/>
      </c>
      <c r="R21" s="17">
        <f>IF(OR($B21="",R$5=""),"",IFERROR(SUMIFS(nrES_Rec,nrES_PID,$B21,nrES_Code,R$5,nrES_Final,"Yes"),""))</f>
        <v/>
      </c>
      <c r="S21" s="17">
        <f>IF(OR($B21="",S$5=""),"",IFERROR(SUMIFS(nrES_Rec,nrES_PID,$B21,nrES_Code,S$5,nrES_Final,"Yes"),""))</f>
        <v/>
      </c>
      <c r="T21" s="17">
        <f>IF(OR($B21="",T$5=""),"",IFERROR(SUMIFS(nrES_Rec,nrES_PID,$B21,nrES_Code,T$5,nrES_Final,"Yes"),""))</f>
        <v/>
      </c>
      <c r="U21" s="17">
        <f>IF(OR($B21="",U$5=""),"",IFERROR(SUMIFS(nrES_Rec,nrES_PID,$B21,nrES_Code,U$5,nrES_Final,"Yes"),""))</f>
        <v/>
      </c>
      <c r="V21" s="17">
        <f>IF(OR($B21="",V$5=""),"",IFERROR(SUMIFS(nrES_Rec,nrES_PID,$B21,nrES_Code,V$5,nrES_Final,"Yes"),""))</f>
        <v/>
      </c>
      <c r="W21" s="17">
        <f>IF(OR($B21="",W$5=""),"",IFERROR(SUMIFS(nrES_Rec,nrES_PID,$B21,nrES_Code,W$5,nrES_Final,"Yes"),""))</f>
        <v/>
      </c>
      <c r="X21" s="17">
        <f>IF(OR($B21="",X$5=""),"",IFERROR(SUMIFS(nrES_Rec,nrES_PID,$B21,nrES_Code,X$5,nrES_Final,"Yes"),""))</f>
        <v/>
      </c>
      <c r="Y21" s="17">
        <f>IF(OR($B21="",Y$5=""),"",IFERROR(SUMIFS(nrES_Rec,nrES_PID,$B21,nrES_Code,Y$5,nrES_Final,"Yes"),""))</f>
        <v/>
      </c>
      <c r="Z21" s="17">
        <f>IF(OR($B21="",Z$5=""),"",IFERROR(SUMIFS(nrES_Rec,nrES_PID,$B21,nrES_Code,Z$5,nrES_Final,"Yes"),""))</f>
        <v/>
      </c>
      <c r="AA21" s="17">
        <f>IF(OR($B21="",AA$5=""),"",IFERROR(SUMIFS(nrES_Rec,nrES_PID,$B21,nrES_Code,AA$5,nrES_Final,"Yes"),""))</f>
        <v/>
      </c>
      <c r="AB21" s="17">
        <f>IF(OR($B21="",AB$5=""),"",IFERROR(SUMIFS(nrES_Rec,nrES_PID,$B21,nrES_Code,AB$5,nrES_Final,"Yes"),""))</f>
        <v/>
      </c>
      <c r="AC21" s="17">
        <f>IF($B21="","",sysGrades!$M21)</f>
        <v/>
      </c>
      <c r="AD21" s="17">
        <f>IF($B21="","",IFERROR(sysGrades!$U21,""))</f>
        <v/>
      </c>
    </row>
    <row r="22">
      <c r="B22" s="17">
        <f>IF(Cadets!$B22="","",Cadets!$B22)</f>
        <v/>
      </c>
      <c r="C22" s="17">
        <f>IF($B22="","",Cadets!$F22)</f>
        <v/>
      </c>
      <c r="D22" s="17">
        <f>IF(OR($B22="",D$5=""),"",IFERROR(SUMIFS(nrES_Rec,nrES_PID,$B22,nrES_Code,D$5,nrES_Final,"Yes"),""))</f>
        <v/>
      </c>
      <c r="E22" s="17">
        <f>IF(OR($B22="",E$5=""),"",IFERROR(SUMIFS(nrES_Rec,nrES_PID,$B22,nrES_Code,E$5,nrES_Final,"Yes"),""))</f>
        <v/>
      </c>
      <c r="F22" s="17">
        <f>IF(OR($B22="",F$5=""),"",IFERROR(SUMIFS(nrES_Rec,nrES_PID,$B22,nrES_Code,F$5,nrES_Final,"Yes"),""))</f>
        <v/>
      </c>
      <c r="G22" s="17">
        <f>IF(OR($B22="",G$5=""),"",IFERROR(SUMIFS(nrES_Rec,nrES_PID,$B22,nrES_Code,G$5,nrES_Final,"Yes"),""))</f>
        <v/>
      </c>
      <c r="H22" s="17">
        <f>IF(OR($B22="",H$5=""),"",IFERROR(SUMIFS(nrES_Rec,nrES_PID,$B22,nrES_Code,H$5,nrES_Final,"Yes"),""))</f>
        <v/>
      </c>
      <c r="I22" s="17">
        <f>IF(OR($B22="",I$5=""),"",IFERROR(SUMIFS(nrES_Rec,nrES_PID,$B22,nrES_Code,I$5,nrES_Final,"Yes"),""))</f>
        <v/>
      </c>
      <c r="J22" s="17">
        <f>IF(OR($B22="",J$5=""),"",IFERROR(SUMIFS(nrES_Rec,nrES_PID,$B22,nrES_Code,J$5,nrES_Final,"Yes"),""))</f>
        <v/>
      </c>
      <c r="K22" s="17">
        <f>IF(OR($B22="",K$5=""),"",IFERROR(SUMIFS(nrES_Rec,nrES_PID,$B22,nrES_Code,K$5,nrES_Final,"Yes"),""))</f>
        <v/>
      </c>
      <c r="L22" s="17">
        <f>IF(OR($B22="",L$5=""),"",IFERROR(SUMIFS(nrES_Rec,nrES_PID,$B22,nrES_Code,L$5,nrES_Final,"Yes"),""))</f>
        <v/>
      </c>
      <c r="M22" s="17">
        <f>IF(OR($B22="",M$5=""),"",IFERROR(SUMIFS(nrES_Rec,nrES_PID,$B22,nrES_Code,M$5,nrES_Final,"Yes"),""))</f>
        <v/>
      </c>
      <c r="N22" s="17">
        <f>IF(OR($B22="",N$5=""),"",IFERROR(SUMIFS(nrES_Rec,nrES_PID,$B22,nrES_Code,N$5,nrES_Final,"Yes"),""))</f>
        <v/>
      </c>
      <c r="O22" s="17">
        <f>IF(OR($B22="",O$5=""),"",IFERROR(SUMIFS(nrES_Rec,nrES_PID,$B22,nrES_Code,O$5,nrES_Final,"Yes"),""))</f>
        <v/>
      </c>
      <c r="P22" s="17">
        <f>IF(OR($B22="",P$5=""),"",IFERROR(SUMIFS(nrES_Rec,nrES_PID,$B22,nrES_Code,P$5,nrES_Final,"Yes"),""))</f>
        <v/>
      </c>
      <c r="Q22" s="17">
        <f>IF(OR($B22="",Q$5=""),"",IFERROR(SUMIFS(nrES_Rec,nrES_PID,$B22,nrES_Code,Q$5,nrES_Final,"Yes"),""))</f>
        <v/>
      </c>
      <c r="R22" s="17">
        <f>IF(OR($B22="",R$5=""),"",IFERROR(SUMIFS(nrES_Rec,nrES_PID,$B22,nrES_Code,R$5,nrES_Final,"Yes"),""))</f>
        <v/>
      </c>
      <c r="S22" s="17">
        <f>IF(OR($B22="",S$5=""),"",IFERROR(SUMIFS(nrES_Rec,nrES_PID,$B22,nrES_Code,S$5,nrES_Final,"Yes"),""))</f>
        <v/>
      </c>
      <c r="T22" s="17">
        <f>IF(OR($B22="",T$5=""),"",IFERROR(SUMIFS(nrES_Rec,nrES_PID,$B22,nrES_Code,T$5,nrES_Final,"Yes"),""))</f>
        <v/>
      </c>
      <c r="U22" s="17">
        <f>IF(OR($B22="",U$5=""),"",IFERROR(SUMIFS(nrES_Rec,nrES_PID,$B22,nrES_Code,U$5,nrES_Final,"Yes"),""))</f>
        <v/>
      </c>
      <c r="V22" s="17">
        <f>IF(OR($B22="",V$5=""),"",IFERROR(SUMIFS(nrES_Rec,nrES_PID,$B22,nrES_Code,V$5,nrES_Final,"Yes"),""))</f>
        <v/>
      </c>
      <c r="W22" s="17">
        <f>IF(OR($B22="",W$5=""),"",IFERROR(SUMIFS(nrES_Rec,nrES_PID,$B22,nrES_Code,W$5,nrES_Final,"Yes"),""))</f>
        <v/>
      </c>
      <c r="X22" s="17">
        <f>IF(OR($B22="",X$5=""),"",IFERROR(SUMIFS(nrES_Rec,nrES_PID,$B22,nrES_Code,X$5,nrES_Final,"Yes"),""))</f>
        <v/>
      </c>
      <c r="Y22" s="17">
        <f>IF(OR($B22="",Y$5=""),"",IFERROR(SUMIFS(nrES_Rec,nrES_PID,$B22,nrES_Code,Y$5,nrES_Final,"Yes"),""))</f>
        <v/>
      </c>
      <c r="Z22" s="17">
        <f>IF(OR($B22="",Z$5=""),"",IFERROR(SUMIFS(nrES_Rec,nrES_PID,$B22,nrES_Code,Z$5,nrES_Final,"Yes"),""))</f>
        <v/>
      </c>
      <c r="AA22" s="17">
        <f>IF(OR($B22="",AA$5=""),"",IFERROR(SUMIFS(nrES_Rec,nrES_PID,$B22,nrES_Code,AA$5,nrES_Final,"Yes"),""))</f>
        <v/>
      </c>
      <c r="AB22" s="17">
        <f>IF(OR($B22="",AB$5=""),"",IFERROR(SUMIFS(nrES_Rec,nrES_PID,$B22,nrES_Code,AB$5,nrES_Final,"Yes"),""))</f>
        <v/>
      </c>
      <c r="AC22" s="17">
        <f>IF($B22="","",sysGrades!$M22)</f>
        <v/>
      </c>
      <c r="AD22" s="17">
        <f>IF($B22="","",IFERROR(sysGrades!$U22,""))</f>
        <v/>
      </c>
    </row>
    <row r="23">
      <c r="B23" s="17">
        <f>IF(Cadets!$B23="","",Cadets!$B23)</f>
        <v/>
      </c>
      <c r="C23" s="17">
        <f>IF($B23="","",Cadets!$F23)</f>
        <v/>
      </c>
      <c r="D23" s="17">
        <f>IF(OR($B23="",D$5=""),"",IFERROR(SUMIFS(nrES_Rec,nrES_PID,$B23,nrES_Code,D$5,nrES_Final,"Yes"),""))</f>
        <v/>
      </c>
      <c r="E23" s="17">
        <f>IF(OR($B23="",E$5=""),"",IFERROR(SUMIFS(nrES_Rec,nrES_PID,$B23,nrES_Code,E$5,nrES_Final,"Yes"),""))</f>
        <v/>
      </c>
      <c r="F23" s="17">
        <f>IF(OR($B23="",F$5=""),"",IFERROR(SUMIFS(nrES_Rec,nrES_PID,$B23,nrES_Code,F$5,nrES_Final,"Yes"),""))</f>
        <v/>
      </c>
      <c r="G23" s="17">
        <f>IF(OR($B23="",G$5=""),"",IFERROR(SUMIFS(nrES_Rec,nrES_PID,$B23,nrES_Code,G$5,nrES_Final,"Yes"),""))</f>
        <v/>
      </c>
      <c r="H23" s="17">
        <f>IF(OR($B23="",H$5=""),"",IFERROR(SUMIFS(nrES_Rec,nrES_PID,$B23,nrES_Code,H$5,nrES_Final,"Yes"),""))</f>
        <v/>
      </c>
      <c r="I23" s="17">
        <f>IF(OR($B23="",I$5=""),"",IFERROR(SUMIFS(nrES_Rec,nrES_PID,$B23,nrES_Code,I$5,nrES_Final,"Yes"),""))</f>
        <v/>
      </c>
      <c r="J23" s="17">
        <f>IF(OR($B23="",J$5=""),"",IFERROR(SUMIFS(nrES_Rec,nrES_PID,$B23,nrES_Code,J$5,nrES_Final,"Yes"),""))</f>
        <v/>
      </c>
      <c r="K23" s="17">
        <f>IF(OR($B23="",K$5=""),"",IFERROR(SUMIFS(nrES_Rec,nrES_PID,$B23,nrES_Code,K$5,nrES_Final,"Yes"),""))</f>
        <v/>
      </c>
      <c r="L23" s="17">
        <f>IF(OR($B23="",L$5=""),"",IFERROR(SUMIFS(nrES_Rec,nrES_PID,$B23,nrES_Code,L$5,nrES_Final,"Yes"),""))</f>
        <v/>
      </c>
      <c r="M23" s="17">
        <f>IF(OR($B23="",M$5=""),"",IFERROR(SUMIFS(nrES_Rec,nrES_PID,$B23,nrES_Code,M$5,nrES_Final,"Yes"),""))</f>
        <v/>
      </c>
      <c r="N23" s="17">
        <f>IF(OR($B23="",N$5=""),"",IFERROR(SUMIFS(nrES_Rec,nrES_PID,$B23,nrES_Code,N$5,nrES_Final,"Yes"),""))</f>
        <v/>
      </c>
      <c r="O23" s="17">
        <f>IF(OR($B23="",O$5=""),"",IFERROR(SUMIFS(nrES_Rec,nrES_PID,$B23,nrES_Code,O$5,nrES_Final,"Yes"),""))</f>
        <v/>
      </c>
      <c r="P23" s="17">
        <f>IF(OR($B23="",P$5=""),"",IFERROR(SUMIFS(nrES_Rec,nrES_PID,$B23,nrES_Code,P$5,nrES_Final,"Yes"),""))</f>
        <v/>
      </c>
      <c r="Q23" s="17">
        <f>IF(OR($B23="",Q$5=""),"",IFERROR(SUMIFS(nrES_Rec,nrES_PID,$B23,nrES_Code,Q$5,nrES_Final,"Yes"),""))</f>
        <v/>
      </c>
      <c r="R23" s="17">
        <f>IF(OR($B23="",R$5=""),"",IFERROR(SUMIFS(nrES_Rec,nrES_PID,$B23,nrES_Code,R$5,nrES_Final,"Yes"),""))</f>
        <v/>
      </c>
      <c r="S23" s="17">
        <f>IF(OR($B23="",S$5=""),"",IFERROR(SUMIFS(nrES_Rec,nrES_PID,$B23,nrES_Code,S$5,nrES_Final,"Yes"),""))</f>
        <v/>
      </c>
      <c r="T23" s="17">
        <f>IF(OR($B23="",T$5=""),"",IFERROR(SUMIFS(nrES_Rec,nrES_PID,$B23,nrES_Code,T$5,nrES_Final,"Yes"),""))</f>
        <v/>
      </c>
      <c r="U23" s="17">
        <f>IF(OR($B23="",U$5=""),"",IFERROR(SUMIFS(nrES_Rec,nrES_PID,$B23,nrES_Code,U$5,nrES_Final,"Yes"),""))</f>
        <v/>
      </c>
      <c r="V23" s="17">
        <f>IF(OR($B23="",V$5=""),"",IFERROR(SUMIFS(nrES_Rec,nrES_PID,$B23,nrES_Code,V$5,nrES_Final,"Yes"),""))</f>
        <v/>
      </c>
      <c r="W23" s="17">
        <f>IF(OR($B23="",W$5=""),"",IFERROR(SUMIFS(nrES_Rec,nrES_PID,$B23,nrES_Code,W$5,nrES_Final,"Yes"),""))</f>
        <v/>
      </c>
      <c r="X23" s="17">
        <f>IF(OR($B23="",X$5=""),"",IFERROR(SUMIFS(nrES_Rec,nrES_PID,$B23,nrES_Code,X$5,nrES_Final,"Yes"),""))</f>
        <v/>
      </c>
      <c r="Y23" s="17">
        <f>IF(OR($B23="",Y$5=""),"",IFERROR(SUMIFS(nrES_Rec,nrES_PID,$B23,nrES_Code,Y$5,nrES_Final,"Yes"),""))</f>
        <v/>
      </c>
      <c r="Z23" s="17">
        <f>IF(OR($B23="",Z$5=""),"",IFERROR(SUMIFS(nrES_Rec,nrES_PID,$B23,nrES_Code,Z$5,nrES_Final,"Yes"),""))</f>
        <v/>
      </c>
      <c r="AA23" s="17">
        <f>IF(OR($B23="",AA$5=""),"",IFERROR(SUMIFS(nrES_Rec,nrES_PID,$B23,nrES_Code,AA$5,nrES_Final,"Yes"),""))</f>
        <v/>
      </c>
      <c r="AB23" s="17">
        <f>IF(OR($B23="",AB$5=""),"",IFERROR(SUMIFS(nrES_Rec,nrES_PID,$B23,nrES_Code,AB$5,nrES_Final,"Yes"),""))</f>
        <v/>
      </c>
      <c r="AC23" s="17">
        <f>IF($B23="","",sysGrades!$M23)</f>
        <v/>
      </c>
      <c r="AD23" s="17">
        <f>IF($B23="","",IFERROR(sysGrades!$U23,""))</f>
        <v/>
      </c>
    </row>
    <row r="24">
      <c r="B24" s="17">
        <f>IF(Cadets!$B24="","",Cadets!$B24)</f>
        <v/>
      </c>
      <c r="C24" s="17">
        <f>IF($B24="","",Cadets!$F24)</f>
        <v/>
      </c>
      <c r="D24" s="17">
        <f>IF(OR($B24="",D$5=""),"",IFERROR(SUMIFS(nrES_Rec,nrES_PID,$B24,nrES_Code,D$5,nrES_Final,"Yes"),""))</f>
        <v/>
      </c>
      <c r="E24" s="17">
        <f>IF(OR($B24="",E$5=""),"",IFERROR(SUMIFS(nrES_Rec,nrES_PID,$B24,nrES_Code,E$5,nrES_Final,"Yes"),""))</f>
        <v/>
      </c>
      <c r="F24" s="17">
        <f>IF(OR($B24="",F$5=""),"",IFERROR(SUMIFS(nrES_Rec,nrES_PID,$B24,nrES_Code,F$5,nrES_Final,"Yes"),""))</f>
        <v/>
      </c>
      <c r="G24" s="17">
        <f>IF(OR($B24="",G$5=""),"",IFERROR(SUMIFS(nrES_Rec,nrES_PID,$B24,nrES_Code,G$5,nrES_Final,"Yes"),""))</f>
        <v/>
      </c>
      <c r="H24" s="17">
        <f>IF(OR($B24="",H$5=""),"",IFERROR(SUMIFS(nrES_Rec,nrES_PID,$B24,nrES_Code,H$5,nrES_Final,"Yes"),""))</f>
        <v/>
      </c>
      <c r="I24" s="17">
        <f>IF(OR($B24="",I$5=""),"",IFERROR(SUMIFS(nrES_Rec,nrES_PID,$B24,nrES_Code,I$5,nrES_Final,"Yes"),""))</f>
        <v/>
      </c>
      <c r="J24" s="17">
        <f>IF(OR($B24="",J$5=""),"",IFERROR(SUMIFS(nrES_Rec,nrES_PID,$B24,nrES_Code,J$5,nrES_Final,"Yes"),""))</f>
        <v/>
      </c>
      <c r="K24" s="17">
        <f>IF(OR($B24="",K$5=""),"",IFERROR(SUMIFS(nrES_Rec,nrES_PID,$B24,nrES_Code,K$5,nrES_Final,"Yes"),""))</f>
        <v/>
      </c>
      <c r="L24" s="17">
        <f>IF(OR($B24="",L$5=""),"",IFERROR(SUMIFS(nrES_Rec,nrES_PID,$B24,nrES_Code,L$5,nrES_Final,"Yes"),""))</f>
        <v/>
      </c>
      <c r="M24" s="17">
        <f>IF(OR($B24="",M$5=""),"",IFERROR(SUMIFS(nrES_Rec,nrES_PID,$B24,nrES_Code,M$5,nrES_Final,"Yes"),""))</f>
        <v/>
      </c>
      <c r="N24" s="17">
        <f>IF(OR($B24="",N$5=""),"",IFERROR(SUMIFS(nrES_Rec,nrES_PID,$B24,nrES_Code,N$5,nrES_Final,"Yes"),""))</f>
        <v/>
      </c>
      <c r="O24" s="17">
        <f>IF(OR($B24="",O$5=""),"",IFERROR(SUMIFS(nrES_Rec,nrES_PID,$B24,nrES_Code,O$5,nrES_Final,"Yes"),""))</f>
        <v/>
      </c>
      <c r="P24" s="17">
        <f>IF(OR($B24="",P$5=""),"",IFERROR(SUMIFS(nrES_Rec,nrES_PID,$B24,nrES_Code,P$5,nrES_Final,"Yes"),""))</f>
        <v/>
      </c>
      <c r="Q24" s="17">
        <f>IF(OR($B24="",Q$5=""),"",IFERROR(SUMIFS(nrES_Rec,nrES_PID,$B24,nrES_Code,Q$5,nrES_Final,"Yes"),""))</f>
        <v/>
      </c>
      <c r="R24" s="17">
        <f>IF(OR($B24="",R$5=""),"",IFERROR(SUMIFS(nrES_Rec,nrES_PID,$B24,nrES_Code,R$5,nrES_Final,"Yes"),""))</f>
        <v/>
      </c>
      <c r="S24" s="17">
        <f>IF(OR($B24="",S$5=""),"",IFERROR(SUMIFS(nrES_Rec,nrES_PID,$B24,nrES_Code,S$5,nrES_Final,"Yes"),""))</f>
        <v/>
      </c>
      <c r="T24" s="17">
        <f>IF(OR($B24="",T$5=""),"",IFERROR(SUMIFS(nrES_Rec,nrES_PID,$B24,nrES_Code,T$5,nrES_Final,"Yes"),""))</f>
        <v/>
      </c>
      <c r="U24" s="17">
        <f>IF(OR($B24="",U$5=""),"",IFERROR(SUMIFS(nrES_Rec,nrES_PID,$B24,nrES_Code,U$5,nrES_Final,"Yes"),""))</f>
        <v/>
      </c>
      <c r="V24" s="17">
        <f>IF(OR($B24="",V$5=""),"",IFERROR(SUMIFS(nrES_Rec,nrES_PID,$B24,nrES_Code,V$5,nrES_Final,"Yes"),""))</f>
        <v/>
      </c>
      <c r="W24" s="17">
        <f>IF(OR($B24="",W$5=""),"",IFERROR(SUMIFS(nrES_Rec,nrES_PID,$B24,nrES_Code,W$5,nrES_Final,"Yes"),""))</f>
        <v/>
      </c>
      <c r="X24" s="17">
        <f>IF(OR($B24="",X$5=""),"",IFERROR(SUMIFS(nrES_Rec,nrES_PID,$B24,nrES_Code,X$5,nrES_Final,"Yes"),""))</f>
        <v/>
      </c>
      <c r="Y24" s="17">
        <f>IF(OR($B24="",Y$5=""),"",IFERROR(SUMIFS(nrES_Rec,nrES_PID,$B24,nrES_Code,Y$5,nrES_Final,"Yes"),""))</f>
        <v/>
      </c>
      <c r="Z24" s="17">
        <f>IF(OR($B24="",Z$5=""),"",IFERROR(SUMIFS(nrES_Rec,nrES_PID,$B24,nrES_Code,Z$5,nrES_Final,"Yes"),""))</f>
        <v/>
      </c>
      <c r="AA24" s="17">
        <f>IF(OR($B24="",AA$5=""),"",IFERROR(SUMIFS(nrES_Rec,nrES_PID,$B24,nrES_Code,AA$5,nrES_Final,"Yes"),""))</f>
        <v/>
      </c>
      <c r="AB24" s="17">
        <f>IF(OR($B24="",AB$5=""),"",IFERROR(SUMIFS(nrES_Rec,nrES_PID,$B24,nrES_Code,AB$5,nrES_Final,"Yes"),""))</f>
        <v/>
      </c>
      <c r="AC24" s="17">
        <f>IF($B24="","",sysGrades!$M24)</f>
        <v/>
      </c>
      <c r="AD24" s="17">
        <f>IF($B24="","",IFERROR(sysGrades!$U24,""))</f>
        <v/>
      </c>
    </row>
    <row r="25">
      <c r="B25" s="17">
        <f>IF(Cadets!$B25="","",Cadets!$B25)</f>
        <v/>
      </c>
      <c r="C25" s="17">
        <f>IF($B25="","",Cadets!$F25)</f>
        <v/>
      </c>
      <c r="D25" s="17">
        <f>IF(OR($B25="",D$5=""),"",IFERROR(SUMIFS(nrES_Rec,nrES_PID,$B25,nrES_Code,D$5,nrES_Final,"Yes"),""))</f>
        <v/>
      </c>
      <c r="E25" s="17">
        <f>IF(OR($B25="",E$5=""),"",IFERROR(SUMIFS(nrES_Rec,nrES_PID,$B25,nrES_Code,E$5,nrES_Final,"Yes"),""))</f>
        <v/>
      </c>
      <c r="F25" s="17">
        <f>IF(OR($B25="",F$5=""),"",IFERROR(SUMIFS(nrES_Rec,nrES_PID,$B25,nrES_Code,F$5,nrES_Final,"Yes"),""))</f>
        <v/>
      </c>
      <c r="G25" s="17">
        <f>IF(OR($B25="",G$5=""),"",IFERROR(SUMIFS(nrES_Rec,nrES_PID,$B25,nrES_Code,G$5,nrES_Final,"Yes"),""))</f>
        <v/>
      </c>
      <c r="H25" s="17">
        <f>IF(OR($B25="",H$5=""),"",IFERROR(SUMIFS(nrES_Rec,nrES_PID,$B25,nrES_Code,H$5,nrES_Final,"Yes"),""))</f>
        <v/>
      </c>
      <c r="I25" s="17">
        <f>IF(OR($B25="",I$5=""),"",IFERROR(SUMIFS(nrES_Rec,nrES_PID,$B25,nrES_Code,I$5,nrES_Final,"Yes"),""))</f>
        <v/>
      </c>
      <c r="J25" s="17">
        <f>IF(OR($B25="",J$5=""),"",IFERROR(SUMIFS(nrES_Rec,nrES_PID,$B25,nrES_Code,J$5,nrES_Final,"Yes"),""))</f>
        <v/>
      </c>
      <c r="K25" s="17">
        <f>IF(OR($B25="",K$5=""),"",IFERROR(SUMIFS(nrES_Rec,nrES_PID,$B25,nrES_Code,K$5,nrES_Final,"Yes"),""))</f>
        <v/>
      </c>
      <c r="L25" s="17">
        <f>IF(OR($B25="",L$5=""),"",IFERROR(SUMIFS(nrES_Rec,nrES_PID,$B25,nrES_Code,L$5,nrES_Final,"Yes"),""))</f>
        <v/>
      </c>
      <c r="M25" s="17">
        <f>IF(OR($B25="",M$5=""),"",IFERROR(SUMIFS(nrES_Rec,nrES_PID,$B25,nrES_Code,M$5,nrES_Final,"Yes"),""))</f>
        <v/>
      </c>
      <c r="N25" s="17">
        <f>IF(OR($B25="",N$5=""),"",IFERROR(SUMIFS(nrES_Rec,nrES_PID,$B25,nrES_Code,N$5,nrES_Final,"Yes"),""))</f>
        <v/>
      </c>
      <c r="O25" s="17">
        <f>IF(OR($B25="",O$5=""),"",IFERROR(SUMIFS(nrES_Rec,nrES_PID,$B25,nrES_Code,O$5,nrES_Final,"Yes"),""))</f>
        <v/>
      </c>
      <c r="P25" s="17">
        <f>IF(OR($B25="",P$5=""),"",IFERROR(SUMIFS(nrES_Rec,nrES_PID,$B25,nrES_Code,P$5,nrES_Final,"Yes"),""))</f>
        <v/>
      </c>
      <c r="Q25" s="17">
        <f>IF(OR($B25="",Q$5=""),"",IFERROR(SUMIFS(nrES_Rec,nrES_PID,$B25,nrES_Code,Q$5,nrES_Final,"Yes"),""))</f>
        <v/>
      </c>
      <c r="R25" s="17">
        <f>IF(OR($B25="",R$5=""),"",IFERROR(SUMIFS(nrES_Rec,nrES_PID,$B25,nrES_Code,R$5,nrES_Final,"Yes"),""))</f>
        <v/>
      </c>
      <c r="S25" s="17">
        <f>IF(OR($B25="",S$5=""),"",IFERROR(SUMIFS(nrES_Rec,nrES_PID,$B25,nrES_Code,S$5,nrES_Final,"Yes"),""))</f>
        <v/>
      </c>
      <c r="T25" s="17">
        <f>IF(OR($B25="",T$5=""),"",IFERROR(SUMIFS(nrES_Rec,nrES_PID,$B25,nrES_Code,T$5,nrES_Final,"Yes"),""))</f>
        <v/>
      </c>
      <c r="U25" s="17">
        <f>IF(OR($B25="",U$5=""),"",IFERROR(SUMIFS(nrES_Rec,nrES_PID,$B25,nrES_Code,U$5,nrES_Final,"Yes"),""))</f>
        <v/>
      </c>
      <c r="V25" s="17">
        <f>IF(OR($B25="",V$5=""),"",IFERROR(SUMIFS(nrES_Rec,nrES_PID,$B25,nrES_Code,V$5,nrES_Final,"Yes"),""))</f>
        <v/>
      </c>
      <c r="W25" s="17">
        <f>IF(OR($B25="",W$5=""),"",IFERROR(SUMIFS(nrES_Rec,nrES_PID,$B25,nrES_Code,W$5,nrES_Final,"Yes"),""))</f>
        <v/>
      </c>
      <c r="X25" s="17">
        <f>IF(OR($B25="",X$5=""),"",IFERROR(SUMIFS(nrES_Rec,nrES_PID,$B25,nrES_Code,X$5,nrES_Final,"Yes"),""))</f>
        <v/>
      </c>
      <c r="Y25" s="17">
        <f>IF(OR($B25="",Y$5=""),"",IFERROR(SUMIFS(nrES_Rec,nrES_PID,$B25,nrES_Code,Y$5,nrES_Final,"Yes"),""))</f>
        <v/>
      </c>
      <c r="Z25" s="17">
        <f>IF(OR($B25="",Z$5=""),"",IFERROR(SUMIFS(nrES_Rec,nrES_PID,$B25,nrES_Code,Z$5,nrES_Final,"Yes"),""))</f>
        <v/>
      </c>
      <c r="AA25" s="17">
        <f>IF(OR($B25="",AA$5=""),"",IFERROR(SUMIFS(nrES_Rec,nrES_PID,$B25,nrES_Code,AA$5,nrES_Final,"Yes"),""))</f>
        <v/>
      </c>
      <c r="AB25" s="17">
        <f>IF(OR($B25="",AB$5=""),"",IFERROR(SUMIFS(nrES_Rec,nrES_PID,$B25,nrES_Code,AB$5,nrES_Final,"Yes"),""))</f>
        <v/>
      </c>
      <c r="AC25" s="17">
        <f>IF($B25="","",sysGrades!$M25)</f>
        <v/>
      </c>
      <c r="AD25" s="17">
        <f>IF($B25="","",IFERROR(sysGrades!$U25,""))</f>
        <v/>
      </c>
    </row>
    <row r="26">
      <c r="B26" s="17">
        <f>IF(Cadets!$B26="","",Cadets!$B26)</f>
        <v/>
      </c>
      <c r="C26" s="17">
        <f>IF($B26="","",Cadets!$F26)</f>
        <v/>
      </c>
      <c r="D26" s="17">
        <f>IF(OR($B26="",D$5=""),"",IFERROR(SUMIFS(nrES_Rec,nrES_PID,$B26,nrES_Code,D$5,nrES_Final,"Yes"),""))</f>
        <v/>
      </c>
      <c r="E26" s="17">
        <f>IF(OR($B26="",E$5=""),"",IFERROR(SUMIFS(nrES_Rec,nrES_PID,$B26,nrES_Code,E$5,nrES_Final,"Yes"),""))</f>
        <v/>
      </c>
      <c r="F26" s="17">
        <f>IF(OR($B26="",F$5=""),"",IFERROR(SUMIFS(nrES_Rec,nrES_PID,$B26,nrES_Code,F$5,nrES_Final,"Yes"),""))</f>
        <v/>
      </c>
      <c r="G26" s="17">
        <f>IF(OR($B26="",G$5=""),"",IFERROR(SUMIFS(nrES_Rec,nrES_PID,$B26,nrES_Code,G$5,nrES_Final,"Yes"),""))</f>
        <v/>
      </c>
      <c r="H26" s="17">
        <f>IF(OR($B26="",H$5=""),"",IFERROR(SUMIFS(nrES_Rec,nrES_PID,$B26,nrES_Code,H$5,nrES_Final,"Yes"),""))</f>
        <v/>
      </c>
      <c r="I26" s="17">
        <f>IF(OR($B26="",I$5=""),"",IFERROR(SUMIFS(nrES_Rec,nrES_PID,$B26,nrES_Code,I$5,nrES_Final,"Yes"),""))</f>
        <v/>
      </c>
      <c r="J26" s="17">
        <f>IF(OR($B26="",J$5=""),"",IFERROR(SUMIFS(nrES_Rec,nrES_PID,$B26,nrES_Code,J$5,nrES_Final,"Yes"),""))</f>
        <v/>
      </c>
      <c r="K26" s="17">
        <f>IF(OR($B26="",K$5=""),"",IFERROR(SUMIFS(nrES_Rec,nrES_PID,$B26,nrES_Code,K$5,nrES_Final,"Yes"),""))</f>
        <v/>
      </c>
      <c r="L26" s="17">
        <f>IF(OR($B26="",L$5=""),"",IFERROR(SUMIFS(nrES_Rec,nrES_PID,$B26,nrES_Code,L$5,nrES_Final,"Yes"),""))</f>
        <v/>
      </c>
      <c r="M26" s="17">
        <f>IF(OR($B26="",M$5=""),"",IFERROR(SUMIFS(nrES_Rec,nrES_PID,$B26,nrES_Code,M$5,nrES_Final,"Yes"),""))</f>
        <v/>
      </c>
      <c r="N26" s="17">
        <f>IF(OR($B26="",N$5=""),"",IFERROR(SUMIFS(nrES_Rec,nrES_PID,$B26,nrES_Code,N$5,nrES_Final,"Yes"),""))</f>
        <v/>
      </c>
      <c r="O26" s="17">
        <f>IF(OR($B26="",O$5=""),"",IFERROR(SUMIFS(nrES_Rec,nrES_PID,$B26,nrES_Code,O$5,nrES_Final,"Yes"),""))</f>
        <v/>
      </c>
      <c r="P26" s="17">
        <f>IF(OR($B26="",P$5=""),"",IFERROR(SUMIFS(nrES_Rec,nrES_PID,$B26,nrES_Code,P$5,nrES_Final,"Yes"),""))</f>
        <v/>
      </c>
      <c r="Q26" s="17">
        <f>IF(OR($B26="",Q$5=""),"",IFERROR(SUMIFS(nrES_Rec,nrES_PID,$B26,nrES_Code,Q$5,nrES_Final,"Yes"),""))</f>
        <v/>
      </c>
      <c r="R26" s="17">
        <f>IF(OR($B26="",R$5=""),"",IFERROR(SUMIFS(nrES_Rec,nrES_PID,$B26,nrES_Code,R$5,nrES_Final,"Yes"),""))</f>
        <v/>
      </c>
      <c r="S26" s="17">
        <f>IF(OR($B26="",S$5=""),"",IFERROR(SUMIFS(nrES_Rec,nrES_PID,$B26,nrES_Code,S$5,nrES_Final,"Yes"),""))</f>
        <v/>
      </c>
      <c r="T26" s="17">
        <f>IF(OR($B26="",T$5=""),"",IFERROR(SUMIFS(nrES_Rec,nrES_PID,$B26,nrES_Code,T$5,nrES_Final,"Yes"),""))</f>
        <v/>
      </c>
      <c r="U26" s="17">
        <f>IF(OR($B26="",U$5=""),"",IFERROR(SUMIFS(nrES_Rec,nrES_PID,$B26,nrES_Code,U$5,nrES_Final,"Yes"),""))</f>
        <v/>
      </c>
      <c r="V26" s="17">
        <f>IF(OR($B26="",V$5=""),"",IFERROR(SUMIFS(nrES_Rec,nrES_PID,$B26,nrES_Code,V$5,nrES_Final,"Yes"),""))</f>
        <v/>
      </c>
      <c r="W26" s="17">
        <f>IF(OR($B26="",W$5=""),"",IFERROR(SUMIFS(nrES_Rec,nrES_PID,$B26,nrES_Code,W$5,nrES_Final,"Yes"),""))</f>
        <v/>
      </c>
      <c r="X26" s="17">
        <f>IF(OR($B26="",X$5=""),"",IFERROR(SUMIFS(nrES_Rec,nrES_PID,$B26,nrES_Code,X$5,nrES_Final,"Yes"),""))</f>
        <v/>
      </c>
      <c r="Y26" s="17">
        <f>IF(OR($B26="",Y$5=""),"",IFERROR(SUMIFS(nrES_Rec,nrES_PID,$B26,nrES_Code,Y$5,nrES_Final,"Yes"),""))</f>
        <v/>
      </c>
      <c r="Z26" s="17">
        <f>IF(OR($B26="",Z$5=""),"",IFERROR(SUMIFS(nrES_Rec,nrES_PID,$B26,nrES_Code,Z$5,nrES_Final,"Yes"),""))</f>
        <v/>
      </c>
      <c r="AA26" s="17">
        <f>IF(OR($B26="",AA$5=""),"",IFERROR(SUMIFS(nrES_Rec,nrES_PID,$B26,nrES_Code,AA$5,nrES_Final,"Yes"),""))</f>
        <v/>
      </c>
      <c r="AB26" s="17">
        <f>IF(OR($B26="",AB$5=""),"",IFERROR(SUMIFS(nrES_Rec,nrES_PID,$B26,nrES_Code,AB$5,nrES_Final,"Yes"),""))</f>
        <v/>
      </c>
      <c r="AC26" s="17">
        <f>IF($B26="","",sysGrades!$M26)</f>
        <v/>
      </c>
      <c r="AD26" s="17">
        <f>IF($B26="","",IFERROR(sysGrades!$U26,""))</f>
        <v/>
      </c>
    </row>
    <row r="27">
      <c r="B27" s="17">
        <f>IF(Cadets!$B27="","",Cadets!$B27)</f>
        <v/>
      </c>
      <c r="C27" s="17">
        <f>IF($B27="","",Cadets!$F27)</f>
        <v/>
      </c>
      <c r="D27" s="17">
        <f>IF(OR($B27="",D$5=""),"",IFERROR(SUMIFS(nrES_Rec,nrES_PID,$B27,nrES_Code,D$5,nrES_Final,"Yes"),""))</f>
        <v/>
      </c>
      <c r="E27" s="17">
        <f>IF(OR($B27="",E$5=""),"",IFERROR(SUMIFS(nrES_Rec,nrES_PID,$B27,nrES_Code,E$5,nrES_Final,"Yes"),""))</f>
        <v/>
      </c>
      <c r="F27" s="17">
        <f>IF(OR($B27="",F$5=""),"",IFERROR(SUMIFS(nrES_Rec,nrES_PID,$B27,nrES_Code,F$5,nrES_Final,"Yes"),""))</f>
        <v/>
      </c>
      <c r="G27" s="17">
        <f>IF(OR($B27="",G$5=""),"",IFERROR(SUMIFS(nrES_Rec,nrES_PID,$B27,nrES_Code,G$5,nrES_Final,"Yes"),""))</f>
        <v/>
      </c>
      <c r="H27" s="17">
        <f>IF(OR($B27="",H$5=""),"",IFERROR(SUMIFS(nrES_Rec,nrES_PID,$B27,nrES_Code,H$5,nrES_Final,"Yes"),""))</f>
        <v/>
      </c>
      <c r="I27" s="17">
        <f>IF(OR($B27="",I$5=""),"",IFERROR(SUMIFS(nrES_Rec,nrES_PID,$B27,nrES_Code,I$5,nrES_Final,"Yes"),""))</f>
        <v/>
      </c>
      <c r="J27" s="17">
        <f>IF(OR($B27="",J$5=""),"",IFERROR(SUMIFS(nrES_Rec,nrES_PID,$B27,nrES_Code,J$5,nrES_Final,"Yes"),""))</f>
        <v/>
      </c>
      <c r="K27" s="17">
        <f>IF(OR($B27="",K$5=""),"",IFERROR(SUMIFS(nrES_Rec,nrES_PID,$B27,nrES_Code,K$5,nrES_Final,"Yes"),""))</f>
        <v/>
      </c>
      <c r="L27" s="17">
        <f>IF(OR($B27="",L$5=""),"",IFERROR(SUMIFS(nrES_Rec,nrES_PID,$B27,nrES_Code,L$5,nrES_Final,"Yes"),""))</f>
        <v/>
      </c>
      <c r="M27" s="17">
        <f>IF(OR($B27="",M$5=""),"",IFERROR(SUMIFS(nrES_Rec,nrES_PID,$B27,nrES_Code,M$5,nrES_Final,"Yes"),""))</f>
        <v/>
      </c>
      <c r="N27" s="17">
        <f>IF(OR($B27="",N$5=""),"",IFERROR(SUMIFS(nrES_Rec,nrES_PID,$B27,nrES_Code,N$5,nrES_Final,"Yes"),""))</f>
        <v/>
      </c>
      <c r="O27" s="17">
        <f>IF(OR($B27="",O$5=""),"",IFERROR(SUMIFS(nrES_Rec,nrES_PID,$B27,nrES_Code,O$5,nrES_Final,"Yes"),""))</f>
        <v/>
      </c>
      <c r="P27" s="17">
        <f>IF(OR($B27="",P$5=""),"",IFERROR(SUMIFS(nrES_Rec,nrES_PID,$B27,nrES_Code,P$5,nrES_Final,"Yes"),""))</f>
        <v/>
      </c>
      <c r="Q27" s="17">
        <f>IF(OR($B27="",Q$5=""),"",IFERROR(SUMIFS(nrES_Rec,nrES_PID,$B27,nrES_Code,Q$5,nrES_Final,"Yes"),""))</f>
        <v/>
      </c>
      <c r="R27" s="17">
        <f>IF(OR($B27="",R$5=""),"",IFERROR(SUMIFS(nrES_Rec,nrES_PID,$B27,nrES_Code,R$5,nrES_Final,"Yes"),""))</f>
        <v/>
      </c>
      <c r="S27" s="17">
        <f>IF(OR($B27="",S$5=""),"",IFERROR(SUMIFS(nrES_Rec,nrES_PID,$B27,nrES_Code,S$5,nrES_Final,"Yes"),""))</f>
        <v/>
      </c>
      <c r="T27" s="17">
        <f>IF(OR($B27="",T$5=""),"",IFERROR(SUMIFS(nrES_Rec,nrES_PID,$B27,nrES_Code,T$5,nrES_Final,"Yes"),""))</f>
        <v/>
      </c>
      <c r="U27" s="17">
        <f>IF(OR($B27="",U$5=""),"",IFERROR(SUMIFS(nrES_Rec,nrES_PID,$B27,nrES_Code,U$5,nrES_Final,"Yes"),""))</f>
        <v/>
      </c>
      <c r="V27" s="17">
        <f>IF(OR($B27="",V$5=""),"",IFERROR(SUMIFS(nrES_Rec,nrES_PID,$B27,nrES_Code,V$5,nrES_Final,"Yes"),""))</f>
        <v/>
      </c>
      <c r="W27" s="17">
        <f>IF(OR($B27="",W$5=""),"",IFERROR(SUMIFS(nrES_Rec,nrES_PID,$B27,nrES_Code,W$5,nrES_Final,"Yes"),""))</f>
        <v/>
      </c>
      <c r="X27" s="17">
        <f>IF(OR($B27="",X$5=""),"",IFERROR(SUMIFS(nrES_Rec,nrES_PID,$B27,nrES_Code,X$5,nrES_Final,"Yes"),""))</f>
        <v/>
      </c>
      <c r="Y27" s="17">
        <f>IF(OR($B27="",Y$5=""),"",IFERROR(SUMIFS(nrES_Rec,nrES_PID,$B27,nrES_Code,Y$5,nrES_Final,"Yes"),""))</f>
        <v/>
      </c>
      <c r="Z27" s="17">
        <f>IF(OR($B27="",Z$5=""),"",IFERROR(SUMIFS(nrES_Rec,nrES_PID,$B27,nrES_Code,Z$5,nrES_Final,"Yes"),""))</f>
        <v/>
      </c>
      <c r="AA27" s="17">
        <f>IF(OR($B27="",AA$5=""),"",IFERROR(SUMIFS(nrES_Rec,nrES_PID,$B27,nrES_Code,AA$5,nrES_Final,"Yes"),""))</f>
        <v/>
      </c>
      <c r="AB27" s="17">
        <f>IF(OR($B27="",AB$5=""),"",IFERROR(SUMIFS(nrES_Rec,nrES_PID,$B27,nrES_Code,AB$5,nrES_Final,"Yes"),""))</f>
        <v/>
      </c>
      <c r="AC27" s="17">
        <f>IF($B27="","",sysGrades!$M27)</f>
        <v/>
      </c>
      <c r="AD27" s="17">
        <f>IF($B27="","",IFERROR(sysGrades!$U27,""))</f>
        <v/>
      </c>
    </row>
    <row r="28">
      <c r="B28" s="17">
        <f>IF(Cadets!$B28="","",Cadets!$B28)</f>
        <v/>
      </c>
      <c r="C28" s="17">
        <f>IF($B28="","",Cadets!$F28)</f>
        <v/>
      </c>
      <c r="D28" s="17">
        <f>IF(OR($B28="",D$5=""),"",IFERROR(SUMIFS(nrES_Rec,nrES_PID,$B28,nrES_Code,D$5,nrES_Final,"Yes"),""))</f>
        <v/>
      </c>
      <c r="E28" s="17">
        <f>IF(OR($B28="",E$5=""),"",IFERROR(SUMIFS(nrES_Rec,nrES_PID,$B28,nrES_Code,E$5,nrES_Final,"Yes"),""))</f>
        <v/>
      </c>
      <c r="F28" s="17">
        <f>IF(OR($B28="",F$5=""),"",IFERROR(SUMIFS(nrES_Rec,nrES_PID,$B28,nrES_Code,F$5,nrES_Final,"Yes"),""))</f>
        <v/>
      </c>
      <c r="G28" s="17">
        <f>IF(OR($B28="",G$5=""),"",IFERROR(SUMIFS(nrES_Rec,nrES_PID,$B28,nrES_Code,G$5,nrES_Final,"Yes"),""))</f>
        <v/>
      </c>
      <c r="H28" s="17">
        <f>IF(OR($B28="",H$5=""),"",IFERROR(SUMIFS(nrES_Rec,nrES_PID,$B28,nrES_Code,H$5,nrES_Final,"Yes"),""))</f>
        <v/>
      </c>
      <c r="I28" s="17">
        <f>IF(OR($B28="",I$5=""),"",IFERROR(SUMIFS(nrES_Rec,nrES_PID,$B28,nrES_Code,I$5,nrES_Final,"Yes"),""))</f>
        <v/>
      </c>
      <c r="J28" s="17">
        <f>IF(OR($B28="",J$5=""),"",IFERROR(SUMIFS(nrES_Rec,nrES_PID,$B28,nrES_Code,J$5,nrES_Final,"Yes"),""))</f>
        <v/>
      </c>
      <c r="K28" s="17">
        <f>IF(OR($B28="",K$5=""),"",IFERROR(SUMIFS(nrES_Rec,nrES_PID,$B28,nrES_Code,K$5,nrES_Final,"Yes"),""))</f>
        <v/>
      </c>
      <c r="L28" s="17">
        <f>IF(OR($B28="",L$5=""),"",IFERROR(SUMIFS(nrES_Rec,nrES_PID,$B28,nrES_Code,L$5,nrES_Final,"Yes"),""))</f>
        <v/>
      </c>
      <c r="M28" s="17">
        <f>IF(OR($B28="",M$5=""),"",IFERROR(SUMIFS(nrES_Rec,nrES_PID,$B28,nrES_Code,M$5,nrES_Final,"Yes"),""))</f>
        <v/>
      </c>
      <c r="N28" s="17">
        <f>IF(OR($B28="",N$5=""),"",IFERROR(SUMIFS(nrES_Rec,nrES_PID,$B28,nrES_Code,N$5,nrES_Final,"Yes"),""))</f>
        <v/>
      </c>
      <c r="O28" s="17">
        <f>IF(OR($B28="",O$5=""),"",IFERROR(SUMIFS(nrES_Rec,nrES_PID,$B28,nrES_Code,O$5,nrES_Final,"Yes"),""))</f>
        <v/>
      </c>
      <c r="P28" s="17">
        <f>IF(OR($B28="",P$5=""),"",IFERROR(SUMIFS(nrES_Rec,nrES_PID,$B28,nrES_Code,P$5,nrES_Final,"Yes"),""))</f>
        <v/>
      </c>
      <c r="Q28" s="17">
        <f>IF(OR($B28="",Q$5=""),"",IFERROR(SUMIFS(nrES_Rec,nrES_PID,$B28,nrES_Code,Q$5,nrES_Final,"Yes"),""))</f>
        <v/>
      </c>
      <c r="R28" s="17">
        <f>IF(OR($B28="",R$5=""),"",IFERROR(SUMIFS(nrES_Rec,nrES_PID,$B28,nrES_Code,R$5,nrES_Final,"Yes"),""))</f>
        <v/>
      </c>
      <c r="S28" s="17">
        <f>IF(OR($B28="",S$5=""),"",IFERROR(SUMIFS(nrES_Rec,nrES_PID,$B28,nrES_Code,S$5,nrES_Final,"Yes"),""))</f>
        <v/>
      </c>
      <c r="T28" s="17">
        <f>IF(OR($B28="",T$5=""),"",IFERROR(SUMIFS(nrES_Rec,nrES_PID,$B28,nrES_Code,T$5,nrES_Final,"Yes"),""))</f>
        <v/>
      </c>
      <c r="U28" s="17">
        <f>IF(OR($B28="",U$5=""),"",IFERROR(SUMIFS(nrES_Rec,nrES_PID,$B28,nrES_Code,U$5,nrES_Final,"Yes"),""))</f>
        <v/>
      </c>
      <c r="V28" s="17">
        <f>IF(OR($B28="",V$5=""),"",IFERROR(SUMIFS(nrES_Rec,nrES_PID,$B28,nrES_Code,V$5,nrES_Final,"Yes"),""))</f>
        <v/>
      </c>
      <c r="W28" s="17">
        <f>IF(OR($B28="",W$5=""),"",IFERROR(SUMIFS(nrES_Rec,nrES_PID,$B28,nrES_Code,W$5,nrES_Final,"Yes"),""))</f>
        <v/>
      </c>
      <c r="X28" s="17">
        <f>IF(OR($B28="",X$5=""),"",IFERROR(SUMIFS(nrES_Rec,nrES_PID,$B28,nrES_Code,X$5,nrES_Final,"Yes"),""))</f>
        <v/>
      </c>
      <c r="Y28" s="17">
        <f>IF(OR($B28="",Y$5=""),"",IFERROR(SUMIFS(nrES_Rec,nrES_PID,$B28,nrES_Code,Y$5,nrES_Final,"Yes"),""))</f>
        <v/>
      </c>
      <c r="Z28" s="17">
        <f>IF(OR($B28="",Z$5=""),"",IFERROR(SUMIFS(nrES_Rec,nrES_PID,$B28,nrES_Code,Z$5,nrES_Final,"Yes"),""))</f>
        <v/>
      </c>
      <c r="AA28" s="17">
        <f>IF(OR($B28="",AA$5=""),"",IFERROR(SUMIFS(nrES_Rec,nrES_PID,$B28,nrES_Code,AA$5,nrES_Final,"Yes"),""))</f>
        <v/>
      </c>
      <c r="AB28" s="17">
        <f>IF(OR($B28="",AB$5=""),"",IFERROR(SUMIFS(nrES_Rec,nrES_PID,$B28,nrES_Code,AB$5,nrES_Final,"Yes"),""))</f>
        <v/>
      </c>
      <c r="AC28" s="17">
        <f>IF($B28="","",sysGrades!$M28)</f>
        <v/>
      </c>
      <c r="AD28" s="17">
        <f>IF($B28="","",IFERROR(sysGrades!$U28,""))</f>
        <v/>
      </c>
    </row>
    <row r="29">
      <c r="B29" s="17">
        <f>IF(Cadets!$B29="","",Cadets!$B29)</f>
        <v/>
      </c>
      <c r="C29" s="17">
        <f>IF($B29="","",Cadets!$F29)</f>
        <v/>
      </c>
      <c r="D29" s="17">
        <f>IF(OR($B29="",D$5=""),"",IFERROR(SUMIFS(nrES_Rec,nrES_PID,$B29,nrES_Code,D$5,nrES_Final,"Yes"),""))</f>
        <v/>
      </c>
      <c r="E29" s="17">
        <f>IF(OR($B29="",E$5=""),"",IFERROR(SUMIFS(nrES_Rec,nrES_PID,$B29,nrES_Code,E$5,nrES_Final,"Yes"),""))</f>
        <v/>
      </c>
      <c r="F29" s="17">
        <f>IF(OR($B29="",F$5=""),"",IFERROR(SUMIFS(nrES_Rec,nrES_PID,$B29,nrES_Code,F$5,nrES_Final,"Yes"),""))</f>
        <v/>
      </c>
      <c r="G29" s="17">
        <f>IF(OR($B29="",G$5=""),"",IFERROR(SUMIFS(nrES_Rec,nrES_PID,$B29,nrES_Code,G$5,nrES_Final,"Yes"),""))</f>
        <v/>
      </c>
      <c r="H29" s="17">
        <f>IF(OR($B29="",H$5=""),"",IFERROR(SUMIFS(nrES_Rec,nrES_PID,$B29,nrES_Code,H$5,nrES_Final,"Yes"),""))</f>
        <v/>
      </c>
      <c r="I29" s="17">
        <f>IF(OR($B29="",I$5=""),"",IFERROR(SUMIFS(nrES_Rec,nrES_PID,$B29,nrES_Code,I$5,nrES_Final,"Yes"),""))</f>
        <v/>
      </c>
      <c r="J29" s="17">
        <f>IF(OR($B29="",J$5=""),"",IFERROR(SUMIFS(nrES_Rec,nrES_PID,$B29,nrES_Code,J$5,nrES_Final,"Yes"),""))</f>
        <v/>
      </c>
      <c r="K29" s="17">
        <f>IF(OR($B29="",K$5=""),"",IFERROR(SUMIFS(nrES_Rec,nrES_PID,$B29,nrES_Code,K$5,nrES_Final,"Yes"),""))</f>
        <v/>
      </c>
      <c r="L29" s="17">
        <f>IF(OR($B29="",L$5=""),"",IFERROR(SUMIFS(nrES_Rec,nrES_PID,$B29,nrES_Code,L$5,nrES_Final,"Yes"),""))</f>
        <v/>
      </c>
      <c r="M29" s="17">
        <f>IF(OR($B29="",M$5=""),"",IFERROR(SUMIFS(nrES_Rec,nrES_PID,$B29,nrES_Code,M$5,nrES_Final,"Yes"),""))</f>
        <v/>
      </c>
      <c r="N29" s="17">
        <f>IF(OR($B29="",N$5=""),"",IFERROR(SUMIFS(nrES_Rec,nrES_PID,$B29,nrES_Code,N$5,nrES_Final,"Yes"),""))</f>
        <v/>
      </c>
      <c r="O29" s="17">
        <f>IF(OR($B29="",O$5=""),"",IFERROR(SUMIFS(nrES_Rec,nrES_PID,$B29,nrES_Code,O$5,nrES_Final,"Yes"),""))</f>
        <v/>
      </c>
      <c r="P29" s="17">
        <f>IF(OR($B29="",P$5=""),"",IFERROR(SUMIFS(nrES_Rec,nrES_PID,$B29,nrES_Code,P$5,nrES_Final,"Yes"),""))</f>
        <v/>
      </c>
      <c r="Q29" s="17">
        <f>IF(OR($B29="",Q$5=""),"",IFERROR(SUMIFS(nrES_Rec,nrES_PID,$B29,nrES_Code,Q$5,nrES_Final,"Yes"),""))</f>
        <v/>
      </c>
      <c r="R29" s="17">
        <f>IF(OR($B29="",R$5=""),"",IFERROR(SUMIFS(nrES_Rec,nrES_PID,$B29,nrES_Code,R$5,nrES_Final,"Yes"),""))</f>
        <v/>
      </c>
      <c r="S29" s="17">
        <f>IF(OR($B29="",S$5=""),"",IFERROR(SUMIFS(nrES_Rec,nrES_PID,$B29,nrES_Code,S$5,nrES_Final,"Yes"),""))</f>
        <v/>
      </c>
      <c r="T29" s="17">
        <f>IF(OR($B29="",T$5=""),"",IFERROR(SUMIFS(nrES_Rec,nrES_PID,$B29,nrES_Code,T$5,nrES_Final,"Yes"),""))</f>
        <v/>
      </c>
      <c r="U29" s="17">
        <f>IF(OR($B29="",U$5=""),"",IFERROR(SUMIFS(nrES_Rec,nrES_PID,$B29,nrES_Code,U$5,nrES_Final,"Yes"),""))</f>
        <v/>
      </c>
      <c r="V29" s="17">
        <f>IF(OR($B29="",V$5=""),"",IFERROR(SUMIFS(nrES_Rec,nrES_PID,$B29,nrES_Code,V$5,nrES_Final,"Yes"),""))</f>
        <v/>
      </c>
      <c r="W29" s="17">
        <f>IF(OR($B29="",W$5=""),"",IFERROR(SUMIFS(nrES_Rec,nrES_PID,$B29,nrES_Code,W$5,nrES_Final,"Yes"),""))</f>
        <v/>
      </c>
      <c r="X29" s="17">
        <f>IF(OR($B29="",X$5=""),"",IFERROR(SUMIFS(nrES_Rec,nrES_PID,$B29,nrES_Code,X$5,nrES_Final,"Yes"),""))</f>
        <v/>
      </c>
      <c r="Y29" s="17">
        <f>IF(OR($B29="",Y$5=""),"",IFERROR(SUMIFS(nrES_Rec,nrES_PID,$B29,nrES_Code,Y$5,nrES_Final,"Yes"),""))</f>
        <v/>
      </c>
      <c r="Z29" s="17">
        <f>IF(OR($B29="",Z$5=""),"",IFERROR(SUMIFS(nrES_Rec,nrES_PID,$B29,nrES_Code,Z$5,nrES_Final,"Yes"),""))</f>
        <v/>
      </c>
      <c r="AA29" s="17">
        <f>IF(OR($B29="",AA$5=""),"",IFERROR(SUMIFS(nrES_Rec,nrES_PID,$B29,nrES_Code,AA$5,nrES_Final,"Yes"),""))</f>
        <v/>
      </c>
      <c r="AB29" s="17">
        <f>IF(OR($B29="",AB$5=""),"",IFERROR(SUMIFS(nrES_Rec,nrES_PID,$B29,nrES_Code,AB$5,nrES_Final,"Yes"),""))</f>
        <v/>
      </c>
      <c r="AC29" s="17">
        <f>IF($B29="","",sysGrades!$M29)</f>
        <v/>
      </c>
      <c r="AD29" s="17">
        <f>IF($B29="","",IFERROR(sysGrades!$U29,""))</f>
        <v/>
      </c>
    </row>
    <row r="30">
      <c r="B30" s="17">
        <f>IF(Cadets!$B30="","",Cadets!$B30)</f>
        <v/>
      </c>
      <c r="C30" s="17">
        <f>IF($B30="","",Cadets!$F30)</f>
        <v/>
      </c>
      <c r="D30" s="17">
        <f>IF(OR($B30="",D$5=""),"",IFERROR(SUMIFS(nrES_Rec,nrES_PID,$B30,nrES_Code,D$5,nrES_Final,"Yes"),""))</f>
        <v/>
      </c>
      <c r="E30" s="17">
        <f>IF(OR($B30="",E$5=""),"",IFERROR(SUMIFS(nrES_Rec,nrES_PID,$B30,nrES_Code,E$5,nrES_Final,"Yes"),""))</f>
        <v/>
      </c>
      <c r="F30" s="17">
        <f>IF(OR($B30="",F$5=""),"",IFERROR(SUMIFS(nrES_Rec,nrES_PID,$B30,nrES_Code,F$5,nrES_Final,"Yes"),""))</f>
        <v/>
      </c>
      <c r="G30" s="17">
        <f>IF(OR($B30="",G$5=""),"",IFERROR(SUMIFS(nrES_Rec,nrES_PID,$B30,nrES_Code,G$5,nrES_Final,"Yes"),""))</f>
        <v/>
      </c>
      <c r="H30" s="17">
        <f>IF(OR($B30="",H$5=""),"",IFERROR(SUMIFS(nrES_Rec,nrES_PID,$B30,nrES_Code,H$5,nrES_Final,"Yes"),""))</f>
        <v/>
      </c>
      <c r="I30" s="17">
        <f>IF(OR($B30="",I$5=""),"",IFERROR(SUMIFS(nrES_Rec,nrES_PID,$B30,nrES_Code,I$5,nrES_Final,"Yes"),""))</f>
        <v/>
      </c>
      <c r="J30" s="17">
        <f>IF(OR($B30="",J$5=""),"",IFERROR(SUMIFS(nrES_Rec,nrES_PID,$B30,nrES_Code,J$5,nrES_Final,"Yes"),""))</f>
        <v/>
      </c>
      <c r="K30" s="17">
        <f>IF(OR($B30="",K$5=""),"",IFERROR(SUMIFS(nrES_Rec,nrES_PID,$B30,nrES_Code,K$5,nrES_Final,"Yes"),""))</f>
        <v/>
      </c>
      <c r="L30" s="17">
        <f>IF(OR($B30="",L$5=""),"",IFERROR(SUMIFS(nrES_Rec,nrES_PID,$B30,nrES_Code,L$5,nrES_Final,"Yes"),""))</f>
        <v/>
      </c>
      <c r="M30" s="17">
        <f>IF(OR($B30="",M$5=""),"",IFERROR(SUMIFS(nrES_Rec,nrES_PID,$B30,nrES_Code,M$5,nrES_Final,"Yes"),""))</f>
        <v/>
      </c>
      <c r="N30" s="17">
        <f>IF(OR($B30="",N$5=""),"",IFERROR(SUMIFS(nrES_Rec,nrES_PID,$B30,nrES_Code,N$5,nrES_Final,"Yes"),""))</f>
        <v/>
      </c>
      <c r="O30" s="17">
        <f>IF(OR($B30="",O$5=""),"",IFERROR(SUMIFS(nrES_Rec,nrES_PID,$B30,nrES_Code,O$5,nrES_Final,"Yes"),""))</f>
        <v/>
      </c>
      <c r="P30" s="17">
        <f>IF(OR($B30="",P$5=""),"",IFERROR(SUMIFS(nrES_Rec,nrES_PID,$B30,nrES_Code,P$5,nrES_Final,"Yes"),""))</f>
        <v/>
      </c>
      <c r="Q30" s="17">
        <f>IF(OR($B30="",Q$5=""),"",IFERROR(SUMIFS(nrES_Rec,nrES_PID,$B30,nrES_Code,Q$5,nrES_Final,"Yes"),""))</f>
        <v/>
      </c>
      <c r="R30" s="17">
        <f>IF(OR($B30="",R$5=""),"",IFERROR(SUMIFS(nrES_Rec,nrES_PID,$B30,nrES_Code,R$5,nrES_Final,"Yes"),""))</f>
        <v/>
      </c>
      <c r="S30" s="17">
        <f>IF(OR($B30="",S$5=""),"",IFERROR(SUMIFS(nrES_Rec,nrES_PID,$B30,nrES_Code,S$5,nrES_Final,"Yes"),""))</f>
        <v/>
      </c>
      <c r="T30" s="17">
        <f>IF(OR($B30="",T$5=""),"",IFERROR(SUMIFS(nrES_Rec,nrES_PID,$B30,nrES_Code,T$5,nrES_Final,"Yes"),""))</f>
        <v/>
      </c>
      <c r="U30" s="17">
        <f>IF(OR($B30="",U$5=""),"",IFERROR(SUMIFS(nrES_Rec,nrES_PID,$B30,nrES_Code,U$5,nrES_Final,"Yes"),""))</f>
        <v/>
      </c>
      <c r="V30" s="17">
        <f>IF(OR($B30="",V$5=""),"",IFERROR(SUMIFS(nrES_Rec,nrES_PID,$B30,nrES_Code,V$5,nrES_Final,"Yes"),""))</f>
        <v/>
      </c>
      <c r="W30" s="17">
        <f>IF(OR($B30="",W$5=""),"",IFERROR(SUMIFS(nrES_Rec,nrES_PID,$B30,nrES_Code,W$5,nrES_Final,"Yes"),""))</f>
        <v/>
      </c>
      <c r="X30" s="17">
        <f>IF(OR($B30="",X$5=""),"",IFERROR(SUMIFS(nrES_Rec,nrES_PID,$B30,nrES_Code,X$5,nrES_Final,"Yes"),""))</f>
        <v/>
      </c>
      <c r="Y30" s="17">
        <f>IF(OR($B30="",Y$5=""),"",IFERROR(SUMIFS(nrES_Rec,nrES_PID,$B30,nrES_Code,Y$5,nrES_Final,"Yes"),""))</f>
        <v/>
      </c>
      <c r="Z30" s="17">
        <f>IF(OR($B30="",Z$5=""),"",IFERROR(SUMIFS(nrES_Rec,nrES_PID,$B30,nrES_Code,Z$5,nrES_Final,"Yes"),""))</f>
        <v/>
      </c>
      <c r="AA30" s="17">
        <f>IF(OR($B30="",AA$5=""),"",IFERROR(SUMIFS(nrES_Rec,nrES_PID,$B30,nrES_Code,AA$5,nrES_Final,"Yes"),""))</f>
        <v/>
      </c>
      <c r="AB30" s="17">
        <f>IF(OR($B30="",AB$5=""),"",IFERROR(SUMIFS(nrES_Rec,nrES_PID,$B30,nrES_Code,AB$5,nrES_Final,"Yes"),""))</f>
        <v/>
      </c>
      <c r="AC30" s="17">
        <f>IF($B30="","",sysGrades!$M30)</f>
        <v/>
      </c>
      <c r="AD30" s="17">
        <f>IF($B30="","",IFERROR(sysGrades!$U30,""))</f>
        <v/>
      </c>
    </row>
    <row r="31">
      <c r="B31" s="17">
        <f>IF(Cadets!$B31="","",Cadets!$B31)</f>
        <v/>
      </c>
      <c r="C31" s="17">
        <f>IF($B31="","",Cadets!$F31)</f>
        <v/>
      </c>
      <c r="D31" s="17">
        <f>IF(OR($B31="",D$5=""),"",IFERROR(SUMIFS(nrES_Rec,nrES_PID,$B31,nrES_Code,D$5,nrES_Final,"Yes"),""))</f>
        <v/>
      </c>
      <c r="E31" s="17">
        <f>IF(OR($B31="",E$5=""),"",IFERROR(SUMIFS(nrES_Rec,nrES_PID,$B31,nrES_Code,E$5,nrES_Final,"Yes"),""))</f>
        <v/>
      </c>
      <c r="F31" s="17">
        <f>IF(OR($B31="",F$5=""),"",IFERROR(SUMIFS(nrES_Rec,nrES_PID,$B31,nrES_Code,F$5,nrES_Final,"Yes"),""))</f>
        <v/>
      </c>
      <c r="G31" s="17">
        <f>IF(OR($B31="",G$5=""),"",IFERROR(SUMIFS(nrES_Rec,nrES_PID,$B31,nrES_Code,G$5,nrES_Final,"Yes"),""))</f>
        <v/>
      </c>
      <c r="H31" s="17">
        <f>IF(OR($B31="",H$5=""),"",IFERROR(SUMIFS(nrES_Rec,nrES_PID,$B31,nrES_Code,H$5,nrES_Final,"Yes"),""))</f>
        <v/>
      </c>
      <c r="I31" s="17">
        <f>IF(OR($B31="",I$5=""),"",IFERROR(SUMIFS(nrES_Rec,nrES_PID,$B31,nrES_Code,I$5,nrES_Final,"Yes"),""))</f>
        <v/>
      </c>
      <c r="J31" s="17">
        <f>IF(OR($B31="",J$5=""),"",IFERROR(SUMIFS(nrES_Rec,nrES_PID,$B31,nrES_Code,J$5,nrES_Final,"Yes"),""))</f>
        <v/>
      </c>
      <c r="K31" s="17">
        <f>IF(OR($B31="",K$5=""),"",IFERROR(SUMIFS(nrES_Rec,nrES_PID,$B31,nrES_Code,K$5,nrES_Final,"Yes"),""))</f>
        <v/>
      </c>
      <c r="L31" s="17">
        <f>IF(OR($B31="",L$5=""),"",IFERROR(SUMIFS(nrES_Rec,nrES_PID,$B31,nrES_Code,L$5,nrES_Final,"Yes"),""))</f>
        <v/>
      </c>
      <c r="M31" s="17">
        <f>IF(OR($B31="",M$5=""),"",IFERROR(SUMIFS(nrES_Rec,nrES_PID,$B31,nrES_Code,M$5,nrES_Final,"Yes"),""))</f>
        <v/>
      </c>
      <c r="N31" s="17">
        <f>IF(OR($B31="",N$5=""),"",IFERROR(SUMIFS(nrES_Rec,nrES_PID,$B31,nrES_Code,N$5,nrES_Final,"Yes"),""))</f>
        <v/>
      </c>
      <c r="O31" s="17">
        <f>IF(OR($B31="",O$5=""),"",IFERROR(SUMIFS(nrES_Rec,nrES_PID,$B31,nrES_Code,O$5,nrES_Final,"Yes"),""))</f>
        <v/>
      </c>
      <c r="P31" s="17">
        <f>IF(OR($B31="",P$5=""),"",IFERROR(SUMIFS(nrES_Rec,nrES_PID,$B31,nrES_Code,P$5,nrES_Final,"Yes"),""))</f>
        <v/>
      </c>
      <c r="Q31" s="17">
        <f>IF(OR($B31="",Q$5=""),"",IFERROR(SUMIFS(nrES_Rec,nrES_PID,$B31,nrES_Code,Q$5,nrES_Final,"Yes"),""))</f>
        <v/>
      </c>
      <c r="R31" s="17">
        <f>IF(OR($B31="",R$5=""),"",IFERROR(SUMIFS(nrES_Rec,nrES_PID,$B31,nrES_Code,R$5,nrES_Final,"Yes"),""))</f>
        <v/>
      </c>
      <c r="S31" s="17">
        <f>IF(OR($B31="",S$5=""),"",IFERROR(SUMIFS(nrES_Rec,nrES_PID,$B31,nrES_Code,S$5,nrES_Final,"Yes"),""))</f>
        <v/>
      </c>
      <c r="T31" s="17">
        <f>IF(OR($B31="",T$5=""),"",IFERROR(SUMIFS(nrES_Rec,nrES_PID,$B31,nrES_Code,T$5,nrES_Final,"Yes"),""))</f>
        <v/>
      </c>
      <c r="U31" s="17">
        <f>IF(OR($B31="",U$5=""),"",IFERROR(SUMIFS(nrES_Rec,nrES_PID,$B31,nrES_Code,U$5,nrES_Final,"Yes"),""))</f>
        <v/>
      </c>
      <c r="V31" s="17">
        <f>IF(OR($B31="",V$5=""),"",IFERROR(SUMIFS(nrES_Rec,nrES_PID,$B31,nrES_Code,V$5,nrES_Final,"Yes"),""))</f>
        <v/>
      </c>
      <c r="W31" s="17">
        <f>IF(OR($B31="",W$5=""),"",IFERROR(SUMIFS(nrES_Rec,nrES_PID,$B31,nrES_Code,W$5,nrES_Final,"Yes"),""))</f>
        <v/>
      </c>
      <c r="X31" s="17">
        <f>IF(OR($B31="",X$5=""),"",IFERROR(SUMIFS(nrES_Rec,nrES_PID,$B31,nrES_Code,X$5,nrES_Final,"Yes"),""))</f>
        <v/>
      </c>
      <c r="Y31" s="17">
        <f>IF(OR($B31="",Y$5=""),"",IFERROR(SUMIFS(nrES_Rec,nrES_PID,$B31,nrES_Code,Y$5,nrES_Final,"Yes"),""))</f>
        <v/>
      </c>
      <c r="Z31" s="17">
        <f>IF(OR($B31="",Z$5=""),"",IFERROR(SUMIFS(nrES_Rec,nrES_PID,$B31,nrES_Code,Z$5,nrES_Final,"Yes"),""))</f>
        <v/>
      </c>
      <c r="AA31" s="17">
        <f>IF(OR($B31="",AA$5=""),"",IFERROR(SUMIFS(nrES_Rec,nrES_PID,$B31,nrES_Code,AA$5,nrES_Final,"Yes"),""))</f>
        <v/>
      </c>
      <c r="AB31" s="17">
        <f>IF(OR($B31="",AB$5=""),"",IFERROR(SUMIFS(nrES_Rec,nrES_PID,$B31,nrES_Code,AB$5,nrES_Final,"Yes"),""))</f>
        <v/>
      </c>
      <c r="AC31" s="17">
        <f>IF($B31="","",sysGrades!$M31)</f>
        <v/>
      </c>
      <c r="AD31" s="17">
        <f>IF($B31="","",IFERROR(sysGrades!$U31,""))</f>
        <v/>
      </c>
    </row>
    <row r="32">
      <c r="B32" s="17">
        <f>IF(Cadets!$B32="","",Cadets!$B32)</f>
        <v/>
      </c>
      <c r="C32" s="17">
        <f>IF($B32="","",Cadets!$F32)</f>
        <v/>
      </c>
      <c r="D32" s="17">
        <f>IF(OR($B32="",D$5=""),"",IFERROR(SUMIFS(nrES_Rec,nrES_PID,$B32,nrES_Code,D$5,nrES_Final,"Yes"),""))</f>
        <v/>
      </c>
      <c r="E32" s="17">
        <f>IF(OR($B32="",E$5=""),"",IFERROR(SUMIFS(nrES_Rec,nrES_PID,$B32,nrES_Code,E$5,nrES_Final,"Yes"),""))</f>
        <v/>
      </c>
      <c r="F32" s="17">
        <f>IF(OR($B32="",F$5=""),"",IFERROR(SUMIFS(nrES_Rec,nrES_PID,$B32,nrES_Code,F$5,nrES_Final,"Yes"),""))</f>
        <v/>
      </c>
      <c r="G32" s="17">
        <f>IF(OR($B32="",G$5=""),"",IFERROR(SUMIFS(nrES_Rec,nrES_PID,$B32,nrES_Code,G$5,nrES_Final,"Yes"),""))</f>
        <v/>
      </c>
      <c r="H32" s="17">
        <f>IF(OR($B32="",H$5=""),"",IFERROR(SUMIFS(nrES_Rec,nrES_PID,$B32,nrES_Code,H$5,nrES_Final,"Yes"),""))</f>
        <v/>
      </c>
      <c r="I32" s="17">
        <f>IF(OR($B32="",I$5=""),"",IFERROR(SUMIFS(nrES_Rec,nrES_PID,$B32,nrES_Code,I$5,nrES_Final,"Yes"),""))</f>
        <v/>
      </c>
      <c r="J32" s="17">
        <f>IF(OR($B32="",J$5=""),"",IFERROR(SUMIFS(nrES_Rec,nrES_PID,$B32,nrES_Code,J$5,nrES_Final,"Yes"),""))</f>
        <v/>
      </c>
      <c r="K32" s="17">
        <f>IF(OR($B32="",K$5=""),"",IFERROR(SUMIFS(nrES_Rec,nrES_PID,$B32,nrES_Code,K$5,nrES_Final,"Yes"),""))</f>
        <v/>
      </c>
      <c r="L32" s="17">
        <f>IF(OR($B32="",L$5=""),"",IFERROR(SUMIFS(nrES_Rec,nrES_PID,$B32,nrES_Code,L$5,nrES_Final,"Yes"),""))</f>
        <v/>
      </c>
      <c r="M32" s="17">
        <f>IF(OR($B32="",M$5=""),"",IFERROR(SUMIFS(nrES_Rec,nrES_PID,$B32,nrES_Code,M$5,nrES_Final,"Yes"),""))</f>
        <v/>
      </c>
      <c r="N32" s="17">
        <f>IF(OR($B32="",N$5=""),"",IFERROR(SUMIFS(nrES_Rec,nrES_PID,$B32,nrES_Code,N$5,nrES_Final,"Yes"),""))</f>
        <v/>
      </c>
      <c r="O32" s="17">
        <f>IF(OR($B32="",O$5=""),"",IFERROR(SUMIFS(nrES_Rec,nrES_PID,$B32,nrES_Code,O$5,nrES_Final,"Yes"),""))</f>
        <v/>
      </c>
      <c r="P32" s="17">
        <f>IF(OR($B32="",P$5=""),"",IFERROR(SUMIFS(nrES_Rec,nrES_PID,$B32,nrES_Code,P$5,nrES_Final,"Yes"),""))</f>
        <v/>
      </c>
      <c r="Q32" s="17">
        <f>IF(OR($B32="",Q$5=""),"",IFERROR(SUMIFS(nrES_Rec,nrES_PID,$B32,nrES_Code,Q$5,nrES_Final,"Yes"),""))</f>
        <v/>
      </c>
      <c r="R32" s="17">
        <f>IF(OR($B32="",R$5=""),"",IFERROR(SUMIFS(nrES_Rec,nrES_PID,$B32,nrES_Code,R$5,nrES_Final,"Yes"),""))</f>
        <v/>
      </c>
      <c r="S32" s="17">
        <f>IF(OR($B32="",S$5=""),"",IFERROR(SUMIFS(nrES_Rec,nrES_PID,$B32,nrES_Code,S$5,nrES_Final,"Yes"),""))</f>
        <v/>
      </c>
      <c r="T32" s="17">
        <f>IF(OR($B32="",T$5=""),"",IFERROR(SUMIFS(nrES_Rec,nrES_PID,$B32,nrES_Code,T$5,nrES_Final,"Yes"),""))</f>
        <v/>
      </c>
      <c r="U32" s="17">
        <f>IF(OR($B32="",U$5=""),"",IFERROR(SUMIFS(nrES_Rec,nrES_PID,$B32,nrES_Code,U$5,nrES_Final,"Yes"),""))</f>
        <v/>
      </c>
      <c r="V32" s="17">
        <f>IF(OR($B32="",V$5=""),"",IFERROR(SUMIFS(nrES_Rec,nrES_PID,$B32,nrES_Code,V$5,nrES_Final,"Yes"),""))</f>
        <v/>
      </c>
      <c r="W32" s="17">
        <f>IF(OR($B32="",W$5=""),"",IFERROR(SUMIFS(nrES_Rec,nrES_PID,$B32,nrES_Code,W$5,nrES_Final,"Yes"),""))</f>
        <v/>
      </c>
      <c r="X32" s="17">
        <f>IF(OR($B32="",X$5=""),"",IFERROR(SUMIFS(nrES_Rec,nrES_PID,$B32,nrES_Code,X$5,nrES_Final,"Yes"),""))</f>
        <v/>
      </c>
      <c r="Y32" s="17">
        <f>IF(OR($B32="",Y$5=""),"",IFERROR(SUMIFS(nrES_Rec,nrES_PID,$B32,nrES_Code,Y$5,nrES_Final,"Yes"),""))</f>
        <v/>
      </c>
      <c r="Z32" s="17">
        <f>IF(OR($B32="",Z$5=""),"",IFERROR(SUMIFS(nrES_Rec,nrES_PID,$B32,nrES_Code,Z$5,nrES_Final,"Yes"),""))</f>
        <v/>
      </c>
      <c r="AA32" s="17">
        <f>IF(OR($B32="",AA$5=""),"",IFERROR(SUMIFS(nrES_Rec,nrES_PID,$B32,nrES_Code,AA$5,nrES_Final,"Yes"),""))</f>
        <v/>
      </c>
      <c r="AB32" s="17">
        <f>IF(OR($B32="",AB$5=""),"",IFERROR(SUMIFS(nrES_Rec,nrES_PID,$B32,nrES_Code,AB$5,nrES_Final,"Yes"),""))</f>
        <v/>
      </c>
      <c r="AC32" s="17">
        <f>IF($B32="","",sysGrades!$M32)</f>
        <v/>
      </c>
      <c r="AD32" s="17">
        <f>IF($B32="","",IFERROR(sysGrades!$U32,""))</f>
        <v/>
      </c>
    </row>
    <row r="33">
      <c r="B33" s="17">
        <f>IF(Cadets!$B33="","",Cadets!$B33)</f>
        <v/>
      </c>
      <c r="C33" s="17">
        <f>IF($B33="","",Cadets!$F33)</f>
        <v/>
      </c>
      <c r="D33" s="17">
        <f>IF(OR($B33="",D$5=""),"",IFERROR(SUMIFS(nrES_Rec,nrES_PID,$B33,nrES_Code,D$5,nrES_Final,"Yes"),""))</f>
        <v/>
      </c>
      <c r="E33" s="17">
        <f>IF(OR($B33="",E$5=""),"",IFERROR(SUMIFS(nrES_Rec,nrES_PID,$B33,nrES_Code,E$5,nrES_Final,"Yes"),""))</f>
        <v/>
      </c>
      <c r="F33" s="17">
        <f>IF(OR($B33="",F$5=""),"",IFERROR(SUMIFS(nrES_Rec,nrES_PID,$B33,nrES_Code,F$5,nrES_Final,"Yes"),""))</f>
        <v/>
      </c>
      <c r="G33" s="17">
        <f>IF(OR($B33="",G$5=""),"",IFERROR(SUMIFS(nrES_Rec,nrES_PID,$B33,nrES_Code,G$5,nrES_Final,"Yes"),""))</f>
        <v/>
      </c>
      <c r="H33" s="17">
        <f>IF(OR($B33="",H$5=""),"",IFERROR(SUMIFS(nrES_Rec,nrES_PID,$B33,nrES_Code,H$5,nrES_Final,"Yes"),""))</f>
        <v/>
      </c>
      <c r="I33" s="17">
        <f>IF(OR($B33="",I$5=""),"",IFERROR(SUMIFS(nrES_Rec,nrES_PID,$B33,nrES_Code,I$5,nrES_Final,"Yes"),""))</f>
        <v/>
      </c>
      <c r="J33" s="17">
        <f>IF(OR($B33="",J$5=""),"",IFERROR(SUMIFS(nrES_Rec,nrES_PID,$B33,nrES_Code,J$5,nrES_Final,"Yes"),""))</f>
        <v/>
      </c>
      <c r="K33" s="17">
        <f>IF(OR($B33="",K$5=""),"",IFERROR(SUMIFS(nrES_Rec,nrES_PID,$B33,nrES_Code,K$5,nrES_Final,"Yes"),""))</f>
        <v/>
      </c>
      <c r="L33" s="17">
        <f>IF(OR($B33="",L$5=""),"",IFERROR(SUMIFS(nrES_Rec,nrES_PID,$B33,nrES_Code,L$5,nrES_Final,"Yes"),""))</f>
        <v/>
      </c>
      <c r="M33" s="17">
        <f>IF(OR($B33="",M$5=""),"",IFERROR(SUMIFS(nrES_Rec,nrES_PID,$B33,nrES_Code,M$5,nrES_Final,"Yes"),""))</f>
        <v/>
      </c>
      <c r="N33" s="17">
        <f>IF(OR($B33="",N$5=""),"",IFERROR(SUMIFS(nrES_Rec,nrES_PID,$B33,nrES_Code,N$5,nrES_Final,"Yes"),""))</f>
        <v/>
      </c>
      <c r="O33" s="17">
        <f>IF(OR($B33="",O$5=""),"",IFERROR(SUMIFS(nrES_Rec,nrES_PID,$B33,nrES_Code,O$5,nrES_Final,"Yes"),""))</f>
        <v/>
      </c>
      <c r="P33" s="17">
        <f>IF(OR($B33="",P$5=""),"",IFERROR(SUMIFS(nrES_Rec,nrES_PID,$B33,nrES_Code,P$5,nrES_Final,"Yes"),""))</f>
        <v/>
      </c>
      <c r="Q33" s="17">
        <f>IF(OR($B33="",Q$5=""),"",IFERROR(SUMIFS(nrES_Rec,nrES_PID,$B33,nrES_Code,Q$5,nrES_Final,"Yes"),""))</f>
        <v/>
      </c>
      <c r="R33" s="17">
        <f>IF(OR($B33="",R$5=""),"",IFERROR(SUMIFS(nrES_Rec,nrES_PID,$B33,nrES_Code,R$5,nrES_Final,"Yes"),""))</f>
        <v/>
      </c>
      <c r="S33" s="17">
        <f>IF(OR($B33="",S$5=""),"",IFERROR(SUMIFS(nrES_Rec,nrES_PID,$B33,nrES_Code,S$5,nrES_Final,"Yes"),""))</f>
        <v/>
      </c>
      <c r="T33" s="17">
        <f>IF(OR($B33="",T$5=""),"",IFERROR(SUMIFS(nrES_Rec,nrES_PID,$B33,nrES_Code,T$5,nrES_Final,"Yes"),""))</f>
        <v/>
      </c>
      <c r="U33" s="17">
        <f>IF(OR($B33="",U$5=""),"",IFERROR(SUMIFS(nrES_Rec,nrES_PID,$B33,nrES_Code,U$5,nrES_Final,"Yes"),""))</f>
        <v/>
      </c>
      <c r="V33" s="17">
        <f>IF(OR($B33="",V$5=""),"",IFERROR(SUMIFS(nrES_Rec,nrES_PID,$B33,nrES_Code,V$5,nrES_Final,"Yes"),""))</f>
        <v/>
      </c>
      <c r="W33" s="17">
        <f>IF(OR($B33="",W$5=""),"",IFERROR(SUMIFS(nrES_Rec,nrES_PID,$B33,nrES_Code,W$5,nrES_Final,"Yes"),""))</f>
        <v/>
      </c>
      <c r="X33" s="17">
        <f>IF(OR($B33="",X$5=""),"",IFERROR(SUMIFS(nrES_Rec,nrES_PID,$B33,nrES_Code,X$5,nrES_Final,"Yes"),""))</f>
        <v/>
      </c>
      <c r="Y33" s="17">
        <f>IF(OR($B33="",Y$5=""),"",IFERROR(SUMIFS(nrES_Rec,nrES_PID,$B33,nrES_Code,Y$5,nrES_Final,"Yes"),""))</f>
        <v/>
      </c>
      <c r="Z33" s="17">
        <f>IF(OR($B33="",Z$5=""),"",IFERROR(SUMIFS(nrES_Rec,nrES_PID,$B33,nrES_Code,Z$5,nrES_Final,"Yes"),""))</f>
        <v/>
      </c>
      <c r="AA33" s="17">
        <f>IF(OR($B33="",AA$5=""),"",IFERROR(SUMIFS(nrES_Rec,nrES_PID,$B33,nrES_Code,AA$5,nrES_Final,"Yes"),""))</f>
        <v/>
      </c>
      <c r="AB33" s="17">
        <f>IF(OR($B33="",AB$5=""),"",IFERROR(SUMIFS(nrES_Rec,nrES_PID,$B33,nrES_Code,AB$5,nrES_Final,"Yes"),""))</f>
        <v/>
      </c>
      <c r="AC33" s="17">
        <f>IF($B33="","",sysGrades!$M33)</f>
        <v/>
      </c>
      <c r="AD33" s="17">
        <f>IF($B33="","",IFERROR(sysGrades!$U33,""))</f>
        <v/>
      </c>
    </row>
    <row r="34">
      <c r="B34" s="17">
        <f>IF(Cadets!$B34="","",Cadets!$B34)</f>
        <v/>
      </c>
      <c r="C34" s="17">
        <f>IF($B34="","",Cadets!$F34)</f>
        <v/>
      </c>
      <c r="D34" s="17">
        <f>IF(OR($B34="",D$5=""),"",IFERROR(SUMIFS(nrES_Rec,nrES_PID,$B34,nrES_Code,D$5,nrES_Final,"Yes"),""))</f>
        <v/>
      </c>
      <c r="E34" s="17">
        <f>IF(OR($B34="",E$5=""),"",IFERROR(SUMIFS(nrES_Rec,nrES_PID,$B34,nrES_Code,E$5,nrES_Final,"Yes"),""))</f>
        <v/>
      </c>
      <c r="F34" s="17">
        <f>IF(OR($B34="",F$5=""),"",IFERROR(SUMIFS(nrES_Rec,nrES_PID,$B34,nrES_Code,F$5,nrES_Final,"Yes"),""))</f>
        <v/>
      </c>
      <c r="G34" s="17">
        <f>IF(OR($B34="",G$5=""),"",IFERROR(SUMIFS(nrES_Rec,nrES_PID,$B34,nrES_Code,G$5,nrES_Final,"Yes"),""))</f>
        <v/>
      </c>
      <c r="H34" s="17">
        <f>IF(OR($B34="",H$5=""),"",IFERROR(SUMIFS(nrES_Rec,nrES_PID,$B34,nrES_Code,H$5,nrES_Final,"Yes"),""))</f>
        <v/>
      </c>
      <c r="I34" s="17">
        <f>IF(OR($B34="",I$5=""),"",IFERROR(SUMIFS(nrES_Rec,nrES_PID,$B34,nrES_Code,I$5,nrES_Final,"Yes"),""))</f>
        <v/>
      </c>
      <c r="J34" s="17">
        <f>IF(OR($B34="",J$5=""),"",IFERROR(SUMIFS(nrES_Rec,nrES_PID,$B34,nrES_Code,J$5,nrES_Final,"Yes"),""))</f>
        <v/>
      </c>
      <c r="K34" s="17">
        <f>IF(OR($B34="",K$5=""),"",IFERROR(SUMIFS(nrES_Rec,nrES_PID,$B34,nrES_Code,K$5,nrES_Final,"Yes"),""))</f>
        <v/>
      </c>
      <c r="L34" s="17">
        <f>IF(OR($B34="",L$5=""),"",IFERROR(SUMIFS(nrES_Rec,nrES_PID,$B34,nrES_Code,L$5,nrES_Final,"Yes"),""))</f>
        <v/>
      </c>
      <c r="M34" s="17">
        <f>IF(OR($B34="",M$5=""),"",IFERROR(SUMIFS(nrES_Rec,nrES_PID,$B34,nrES_Code,M$5,nrES_Final,"Yes"),""))</f>
        <v/>
      </c>
      <c r="N34" s="17">
        <f>IF(OR($B34="",N$5=""),"",IFERROR(SUMIFS(nrES_Rec,nrES_PID,$B34,nrES_Code,N$5,nrES_Final,"Yes"),""))</f>
        <v/>
      </c>
      <c r="O34" s="17">
        <f>IF(OR($B34="",O$5=""),"",IFERROR(SUMIFS(nrES_Rec,nrES_PID,$B34,nrES_Code,O$5,nrES_Final,"Yes"),""))</f>
        <v/>
      </c>
      <c r="P34" s="17">
        <f>IF(OR($B34="",P$5=""),"",IFERROR(SUMIFS(nrES_Rec,nrES_PID,$B34,nrES_Code,P$5,nrES_Final,"Yes"),""))</f>
        <v/>
      </c>
      <c r="Q34" s="17">
        <f>IF(OR($B34="",Q$5=""),"",IFERROR(SUMIFS(nrES_Rec,nrES_PID,$B34,nrES_Code,Q$5,nrES_Final,"Yes"),""))</f>
        <v/>
      </c>
      <c r="R34" s="17">
        <f>IF(OR($B34="",R$5=""),"",IFERROR(SUMIFS(nrES_Rec,nrES_PID,$B34,nrES_Code,R$5,nrES_Final,"Yes"),""))</f>
        <v/>
      </c>
      <c r="S34" s="17">
        <f>IF(OR($B34="",S$5=""),"",IFERROR(SUMIFS(nrES_Rec,nrES_PID,$B34,nrES_Code,S$5,nrES_Final,"Yes"),""))</f>
        <v/>
      </c>
      <c r="T34" s="17">
        <f>IF(OR($B34="",T$5=""),"",IFERROR(SUMIFS(nrES_Rec,nrES_PID,$B34,nrES_Code,T$5,nrES_Final,"Yes"),""))</f>
        <v/>
      </c>
      <c r="U34" s="17">
        <f>IF(OR($B34="",U$5=""),"",IFERROR(SUMIFS(nrES_Rec,nrES_PID,$B34,nrES_Code,U$5,nrES_Final,"Yes"),""))</f>
        <v/>
      </c>
      <c r="V34" s="17">
        <f>IF(OR($B34="",V$5=""),"",IFERROR(SUMIFS(nrES_Rec,nrES_PID,$B34,nrES_Code,V$5,nrES_Final,"Yes"),""))</f>
        <v/>
      </c>
      <c r="W34" s="17">
        <f>IF(OR($B34="",W$5=""),"",IFERROR(SUMIFS(nrES_Rec,nrES_PID,$B34,nrES_Code,W$5,nrES_Final,"Yes"),""))</f>
        <v/>
      </c>
      <c r="X34" s="17">
        <f>IF(OR($B34="",X$5=""),"",IFERROR(SUMIFS(nrES_Rec,nrES_PID,$B34,nrES_Code,X$5,nrES_Final,"Yes"),""))</f>
        <v/>
      </c>
      <c r="Y34" s="17">
        <f>IF(OR($B34="",Y$5=""),"",IFERROR(SUMIFS(nrES_Rec,nrES_PID,$B34,nrES_Code,Y$5,nrES_Final,"Yes"),""))</f>
        <v/>
      </c>
      <c r="Z34" s="17">
        <f>IF(OR($B34="",Z$5=""),"",IFERROR(SUMIFS(nrES_Rec,nrES_PID,$B34,nrES_Code,Z$5,nrES_Final,"Yes"),""))</f>
        <v/>
      </c>
      <c r="AA34" s="17">
        <f>IF(OR($B34="",AA$5=""),"",IFERROR(SUMIFS(nrES_Rec,nrES_PID,$B34,nrES_Code,AA$5,nrES_Final,"Yes"),""))</f>
        <v/>
      </c>
      <c r="AB34" s="17">
        <f>IF(OR($B34="",AB$5=""),"",IFERROR(SUMIFS(nrES_Rec,nrES_PID,$B34,nrES_Code,AB$5,nrES_Final,"Yes"),""))</f>
        <v/>
      </c>
      <c r="AC34" s="17">
        <f>IF($B34="","",sysGrades!$M34)</f>
        <v/>
      </c>
      <c r="AD34" s="17">
        <f>IF($B34="","",IFERROR(sysGrades!$U34,""))</f>
        <v/>
      </c>
    </row>
    <row r="35">
      <c r="B35" s="17">
        <f>IF(Cadets!$B35="","",Cadets!$B35)</f>
        <v/>
      </c>
      <c r="C35" s="17">
        <f>IF($B35="","",Cadets!$F35)</f>
        <v/>
      </c>
      <c r="D35" s="17">
        <f>IF(OR($B35="",D$5=""),"",IFERROR(SUMIFS(nrES_Rec,nrES_PID,$B35,nrES_Code,D$5,nrES_Final,"Yes"),""))</f>
        <v/>
      </c>
      <c r="E35" s="17">
        <f>IF(OR($B35="",E$5=""),"",IFERROR(SUMIFS(nrES_Rec,nrES_PID,$B35,nrES_Code,E$5,nrES_Final,"Yes"),""))</f>
        <v/>
      </c>
      <c r="F35" s="17">
        <f>IF(OR($B35="",F$5=""),"",IFERROR(SUMIFS(nrES_Rec,nrES_PID,$B35,nrES_Code,F$5,nrES_Final,"Yes"),""))</f>
        <v/>
      </c>
      <c r="G35" s="17">
        <f>IF(OR($B35="",G$5=""),"",IFERROR(SUMIFS(nrES_Rec,nrES_PID,$B35,nrES_Code,G$5,nrES_Final,"Yes"),""))</f>
        <v/>
      </c>
      <c r="H35" s="17">
        <f>IF(OR($B35="",H$5=""),"",IFERROR(SUMIFS(nrES_Rec,nrES_PID,$B35,nrES_Code,H$5,nrES_Final,"Yes"),""))</f>
        <v/>
      </c>
      <c r="I35" s="17">
        <f>IF(OR($B35="",I$5=""),"",IFERROR(SUMIFS(nrES_Rec,nrES_PID,$B35,nrES_Code,I$5,nrES_Final,"Yes"),""))</f>
        <v/>
      </c>
      <c r="J35" s="17">
        <f>IF(OR($B35="",J$5=""),"",IFERROR(SUMIFS(nrES_Rec,nrES_PID,$B35,nrES_Code,J$5,nrES_Final,"Yes"),""))</f>
        <v/>
      </c>
      <c r="K35" s="17">
        <f>IF(OR($B35="",K$5=""),"",IFERROR(SUMIFS(nrES_Rec,nrES_PID,$B35,nrES_Code,K$5,nrES_Final,"Yes"),""))</f>
        <v/>
      </c>
      <c r="L35" s="17">
        <f>IF(OR($B35="",L$5=""),"",IFERROR(SUMIFS(nrES_Rec,nrES_PID,$B35,nrES_Code,L$5,nrES_Final,"Yes"),""))</f>
        <v/>
      </c>
      <c r="M35" s="17">
        <f>IF(OR($B35="",M$5=""),"",IFERROR(SUMIFS(nrES_Rec,nrES_PID,$B35,nrES_Code,M$5,nrES_Final,"Yes"),""))</f>
        <v/>
      </c>
      <c r="N35" s="17">
        <f>IF(OR($B35="",N$5=""),"",IFERROR(SUMIFS(nrES_Rec,nrES_PID,$B35,nrES_Code,N$5,nrES_Final,"Yes"),""))</f>
        <v/>
      </c>
      <c r="O35" s="17">
        <f>IF(OR($B35="",O$5=""),"",IFERROR(SUMIFS(nrES_Rec,nrES_PID,$B35,nrES_Code,O$5,nrES_Final,"Yes"),""))</f>
        <v/>
      </c>
      <c r="P35" s="17">
        <f>IF(OR($B35="",P$5=""),"",IFERROR(SUMIFS(nrES_Rec,nrES_PID,$B35,nrES_Code,P$5,nrES_Final,"Yes"),""))</f>
        <v/>
      </c>
      <c r="Q35" s="17">
        <f>IF(OR($B35="",Q$5=""),"",IFERROR(SUMIFS(nrES_Rec,nrES_PID,$B35,nrES_Code,Q$5,nrES_Final,"Yes"),""))</f>
        <v/>
      </c>
      <c r="R35" s="17">
        <f>IF(OR($B35="",R$5=""),"",IFERROR(SUMIFS(nrES_Rec,nrES_PID,$B35,nrES_Code,R$5,nrES_Final,"Yes"),""))</f>
        <v/>
      </c>
      <c r="S35" s="17">
        <f>IF(OR($B35="",S$5=""),"",IFERROR(SUMIFS(nrES_Rec,nrES_PID,$B35,nrES_Code,S$5,nrES_Final,"Yes"),""))</f>
        <v/>
      </c>
      <c r="T35" s="17">
        <f>IF(OR($B35="",T$5=""),"",IFERROR(SUMIFS(nrES_Rec,nrES_PID,$B35,nrES_Code,T$5,nrES_Final,"Yes"),""))</f>
        <v/>
      </c>
      <c r="U35" s="17">
        <f>IF(OR($B35="",U$5=""),"",IFERROR(SUMIFS(nrES_Rec,nrES_PID,$B35,nrES_Code,U$5,nrES_Final,"Yes"),""))</f>
        <v/>
      </c>
      <c r="V35" s="17">
        <f>IF(OR($B35="",V$5=""),"",IFERROR(SUMIFS(nrES_Rec,nrES_PID,$B35,nrES_Code,V$5,nrES_Final,"Yes"),""))</f>
        <v/>
      </c>
      <c r="W35" s="17">
        <f>IF(OR($B35="",W$5=""),"",IFERROR(SUMIFS(nrES_Rec,nrES_PID,$B35,nrES_Code,W$5,nrES_Final,"Yes"),""))</f>
        <v/>
      </c>
      <c r="X35" s="17">
        <f>IF(OR($B35="",X$5=""),"",IFERROR(SUMIFS(nrES_Rec,nrES_PID,$B35,nrES_Code,X$5,nrES_Final,"Yes"),""))</f>
        <v/>
      </c>
      <c r="Y35" s="17">
        <f>IF(OR($B35="",Y$5=""),"",IFERROR(SUMIFS(nrES_Rec,nrES_PID,$B35,nrES_Code,Y$5,nrES_Final,"Yes"),""))</f>
        <v/>
      </c>
      <c r="Z35" s="17">
        <f>IF(OR($B35="",Z$5=""),"",IFERROR(SUMIFS(nrES_Rec,nrES_PID,$B35,nrES_Code,Z$5,nrES_Final,"Yes"),""))</f>
        <v/>
      </c>
      <c r="AA35" s="17">
        <f>IF(OR($B35="",AA$5=""),"",IFERROR(SUMIFS(nrES_Rec,nrES_PID,$B35,nrES_Code,AA$5,nrES_Final,"Yes"),""))</f>
        <v/>
      </c>
      <c r="AB35" s="17">
        <f>IF(OR($B35="",AB$5=""),"",IFERROR(SUMIFS(nrES_Rec,nrES_PID,$B35,nrES_Code,AB$5,nrES_Final,"Yes"),""))</f>
        <v/>
      </c>
      <c r="AC35" s="17">
        <f>IF($B35="","",sysGrades!$M35)</f>
        <v/>
      </c>
      <c r="AD35" s="17">
        <f>IF($B35="","",IFERROR(sysGrades!$U35,""))</f>
        <v/>
      </c>
    </row>
    <row r="36">
      <c r="B36" s="17">
        <f>IF(Cadets!$B36="","",Cadets!$B36)</f>
        <v/>
      </c>
      <c r="C36" s="17">
        <f>IF($B36="","",Cadets!$F36)</f>
        <v/>
      </c>
      <c r="D36" s="17">
        <f>IF(OR($B36="",D$5=""),"",IFERROR(SUMIFS(nrES_Rec,nrES_PID,$B36,nrES_Code,D$5,nrES_Final,"Yes"),""))</f>
        <v/>
      </c>
      <c r="E36" s="17">
        <f>IF(OR($B36="",E$5=""),"",IFERROR(SUMIFS(nrES_Rec,nrES_PID,$B36,nrES_Code,E$5,nrES_Final,"Yes"),""))</f>
        <v/>
      </c>
      <c r="F36" s="17">
        <f>IF(OR($B36="",F$5=""),"",IFERROR(SUMIFS(nrES_Rec,nrES_PID,$B36,nrES_Code,F$5,nrES_Final,"Yes"),""))</f>
        <v/>
      </c>
      <c r="G36" s="17">
        <f>IF(OR($B36="",G$5=""),"",IFERROR(SUMIFS(nrES_Rec,nrES_PID,$B36,nrES_Code,G$5,nrES_Final,"Yes"),""))</f>
        <v/>
      </c>
      <c r="H36" s="17">
        <f>IF(OR($B36="",H$5=""),"",IFERROR(SUMIFS(nrES_Rec,nrES_PID,$B36,nrES_Code,H$5,nrES_Final,"Yes"),""))</f>
        <v/>
      </c>
      <c r="I36" s="17">
        <f>IF(OR($B36="",I$5=""),"",IFERROR(SUMIFS(nrES_Rec,nrES_PID,$B36,nrES_Code,I$5,nrES_Final,"Yes"),""))</f>
        <v/>
      </c>
      <c r="J36" s="17">
        <f>IF(OR($B36="",J$5=""),"",IFERROR(SUMIFS(nrES_Rec,nrES_PID,$B36,nrES_Code,J$5,nrES_Final,"Yes"),""))</f>
        <v/>
      </c>
      <c r="K36" s="17">
        <f>IF(OR($B36="",K$5=""),"",IFERROR(SUMIFS(nrES_Rec,nrES_PID,$B36,nrES_Code,K$5,nrES_Final,"Yes"),""))</f>
        <v/>
      </c>
      <c r="L36" s="17">
        <f>IF(OR($B36="",L$5=""),"",IFERROR(SUMIFS(nrES_Rec,nrES_PID,$B36,nrES_Code,L$5,nrES_Final,"Yes"),""))</f>
        <v/>
      </c>
      <c r="M36" s="17">
        <f>IF(OR($B36="",M$5=""),"",IFERROR(SUMIFS(nrES_Rec,nrES_PID,$B36,nrES_Code,M$5,nrES_Final,"Yes"),""))</f>
        <v/>
      </c>
      <c r="N36" s="17">
        <f>IF(OR($B36="",N$5=""),"",IFERROR(SUMIFS(nrES_Rec,nrES_PID,$B36,nrES_Code,N$5,nrES_Final,"Yes"),""))</f>
        <v/>
      </c>
      <c r="O36" s="17">
        <f>IF(OR($B36="",O$5=""),"",IFERROR(SUMIFS(nrES_Rec,nrES_PID,$B36,nrES_Code,O$5,nrES_Final,"Yes"),""))</f>
        <v/>
      </c>
      <c r="P36" s="17">
        <f>IF(OR($B36="",P$5=""),"",IFERROR(SUMIFS(nrES_Rec,nrES_PID,$B36,nrES_Code,P$5,nrES_Final,"Yes"),""))</f>
        <v/>
      </c>
      <c r="Q36" s="17">
        <f>IF(OR($B36="",Q$5=""),"",IFERROR(SUMIFS(nrES_Rec,nrES_PID,$B36,nrES_Code,Q$5,nrES_Final,"Yes"),""))</f>
        <v/>
      </c>
      <c r="R36" s="17">
        <f>IF(OR($B36="",R$5=""),"",IFERROR(SUMIFS(nrES_Rec,nrES_PID,$B36,nrES_Code,R$5,nrES_Final,"Yes"),""))</f>
        <v/>
      </c>
      <c r="S36" s="17">
        <f>IF(OR($B36="",S$5=""),"",IFERROR(SUMIFS(nrES_Rec,nrES_PID,$B36,nrES_Code,S$5,nrES_Final,"Yes"),""))</f>
        <v/>
      </c>
      <c r="T36" s="17">
        <f>IF(OR($B36="",T$5=""),"",IFERROR(SUMIFS(nrES_Rec,nrES_PID,$B36,nrES_Code,T$5,nrES_Final,"Yes"),""))</f>
        <v/>
      </c>
      <c r="U36" s="17">
        <f>IF(OR($B36="",U$5=""),"",IFERROR(SUMIFS(nrES_Rec,nrES_PID,$B36,nrES_Code,U$5,nrES_Final,"Yes"),""))</f>
        <v/>
      </c>
      <c r="V36" s="17">
        <f>IF(OR($B36="",V$5=""),"",IFERROR(SUMIFS(nrES_Rec,nrES_PID,$B36,nrES_Code,V$5,nrES_Final,"Yes"),""))</f>
        <v/>
      </c>
      <c r="W36" s="17">
        <f>IF(OR($B36="",W$5=""),"",IFERROR(SUMIFS(nrES_Rec,nrES_PID,$B36,nrES_Code,W$5,nrES_Final,"Yes"),""))</f>
        <v/>
      </c>
      <c r="X36" s="17">
        <f>IF(OR($B36="",X$5=""),"",IFERROR(SUMIFS(nrES_Rec,nrES_PID,$B36,nrES_Code,X$5,nrES_Final,"Yes"),""))</f>
        <v/>
      </c>
      <c r="Y36" s="17">
        <f>IF(OR($B36="",Y$5=""),"",IFERROR(SUMIFS(nrES_Rec,nrES_PID,$B36,nrES_Code,Y$5,nrES_Final,"Yes"),""))</f>
        <v/>
      </c>
      <c r="Z36" s="17">
        <f>IF(OR($B36="",Z$5=""),"",IFERROR(SUMIFS(nrES_Rec,nrES_PID,$B36,nrES_Code,Z$5,nrES_Final,"Yes"),""))</f>
        <v/>
      </c>
      <c r="AA36" s="17">
        <f>IF(OR($B36="",AA$5=""),"",IFERROR(SUMIFS(nrES_Rec,nrES_PID,$B36,nrES_Code,AA$5,nrES_Final,"Yes"),""))</f>
        <v/>
      </c>
      <c r="AB36" s="17">
        <f>IF(OR($B36="",AB$5=""),"",IFERROR(SUMIFS(nrES_Rec,nrES_PID,$B36,nrES_Code,AB$5,nrES_Final,"Yes"),""))</f>
        <v/>
      </c>
      <c r="AC36" s="17">
        <f>IF($B36="","",sysGrades!$M36)</f>
        <v/>
      </c>
      <c r="AD36" s="17">
        <f>IF($B36="","",IFERROR(sysGrades!$U36,""))</f>
        <v/>
      </c>
    </row>
    <row r="37">
      <c r="B37" s="17">
        <f>IF(Cadets!$B37="","",Cadets!$B37)</f>
        <v/>
      </c>
      <c r="C37" s="17">
        <f>IF($B37="","",Cadets!$F37)</f>
        <v/>
      </c>
      <c r="D37" s="17">
        <f>IF(OR($B37="",D$5=""),"",IFERROR(SUMIFS(nrES_Rec,nrES_PID,$B37,nrES_Code,D$5,nrES_Final,"Yes"),""))</f>
        <v/>
      </c>
      <c r="E37" s="17">
        <f>IF(OR($B37="",E$5=""),"",IFERROR(SUMIFS(nrES_Rec,nrES_PID,$B37,nrES_Code,E$5,nrES_Final,"Yes"),""))</f>
        <v/>
      </c>
      <c r="F37" s="17">
        <f>IF(OR($B37="",F$5=""),"",IFERROR(SUMIFS(nrES_Rec,nrES_PID,$B37,nrES_Code,F$5,nrES_Final,"Yes"),""))</f>
        <v/>
      </c>
      <c r="G37" s="17">
        <f>IF(OR($B37="",G$5=""),"",IFERROR(SUMIFS(nrES_Rec,nrES_PID,$B37,nrES_Code,G$5,nrES_Final,"Yes"),""))</f>
        <v/>
      </c>
      <c r="H37" s="17">
        <f>IF(OR($B37="",H$5=""),"",IFERROR(SUMIFS(nrES_Rec,nrES_PID,$B37,nrES_Code,H$5,nrES_Final,"Yes"),""))</f>
        <v/>
      </c>
      <c r="I37" s="17">
        <f>IF(OR($B37="",I$5=""),"",IFERROR(SUMIFS(nrES_Rec,nrES_PID,$B37,nrES_Code,I$5,nrES_Final,"Yes"),""))</f>
        <v/>
      </c>
      <c r="J37" s="17">
        <f>IF(OR($B37="",J$5=""),"",IFERROR(SUMIFS(nrES_Rec,nrES_PID,$B37,nrES_Code,J$5,nrES_Final,"Yes"),""))</f>
        <v/>
      </c>
      <c r="K37" s="17">
        <f>IF(OR($B37="",K$5=""),"",IFERROR(SUMIFS(nrES_Rec,nrES_PID,$B37,nrES_Code,K$5,nrES_Final,"Yes"),""))</f>
        <v/>
      </c>
      <c r="L37" s="17">
        <f>IF(OR($B37="",L$5=""),"",IFERROR(SUMIFS(nrES_Rec,nrES_PID,$B37,nrES_Code,L$5,nrES_Final,"Yes"),""))</f>
        <v/>
      </c>
      <c r="M37" s="17">
        <f>IF(OR($B37="",M$5=""),"",IFERROR(SUMIFS(nrES_Rec,nrES_PID,$B37,nrES_Code,M$5,nrES_Final,"Yes"),""))</f>
        <v/>
      </c>
      <c r="N37" s="17">
        <f>IF(OR($B37="",N$5=""),"",IFERROR(SUMIFS(nrES_Rec,nrES_PID,$B37,nrES_Code,N$5,nrES_Final,"Yes"),""))</f>
        <v/>
      </c>
      <c r="O37" s="17">
        <f>IF(OR($B37="",O$5=""),"",IFERROR(SUMIFS(nrES_Rec,nrES_PID,$B37,nrES_Code,O$5,nrES_Final,"Yes"),""))</f>
        <v/>
      </c>
      <c r="P37" s="17">
        <f>IF(OR($B37="",P$5=""),"",IFERROR(SUMIFS(nrES_Rec,nrES_PID,$B37,nrES_Code,P$5,nrES_Final,"Yes"),""))</f>
        <v/>
      </c>
      <c r="Q37" s="17">
        <f>IF(OR($B37="",Q$5=""),"",IFERROR(SUMIFS(nrES_Rec,nrES_PID,$B37,nrES_Code,Q$5,nrES_Final,"Yes"),""))</f>
        <v/>
      </c>
      <c r="R37" s="17">
        <f>IF(OR($B37="",R$5=""),"",IFERROR(SUMIFS(nrES_Rec,nrES_PID,$B37,nrES_Code,R$5,nrES_Final,"Yes"),""))</f>
        <v/>
      </c>
      <c r="S37" s="17">
        <f>IF(OR($B37="",S$5=""),"",IFERROR(SUMIFS(nrES_Rec,nrES_PID,$B37,nrES_Code,S$5,nrES_Final,"Yes"),""))</f>
        <v/>
      </c>
      <c r="T37" s="17">
        <f>IF(OR($B37="",T$5=""),"",IFERROR(SUMIFS(nrES_Rec,nrES_PID,$B37,nrES_Code,T$5,nrES_Final,"Yes"),""))</f>
        <v/>
      </c>
      <c r="U37" s="17">
        <f>IF(OR($B37="",U$5=""),"",IFERROR(SUMIFS(nrES_Rec,nrES_PID,$B37,nrES_Code,U$5,nrES_Final,"Yes"),""))</f>
        <v/>
      </c>
      <c r="V37" s="17">
        <f>IF(OR($B37="",V$5=""),"",IFERROR(SUMIFS(nrES_Rec,nrES_PID,$B37,nrES_Code,V$5,nrES_Final,"Yes"),""))</f>
        <v/>
      </c>
      <c r="W37" s="17">
        <f>IF(OR($B37="",W$5=""),"",IFERROR(SUMIFS(nrES_Rec,nrES_PID,$B37,nrES_Code,W$5,nrES_Final,"Yes"),""))</f>
        <v/>
      </c>
      <c r="X37" s="17">
        <f>IF(OR($B37="",X$5=""),"",IFERROR(SUMIFS(nrES_Rec,nrES_PID,$B37,nrES_Code,X$5,nrES_Final,"Yes"),""))</f>
        <v/>
      </c>
      <c r="Y37" s="17">
        <f>IF(OR($B37="",Y$5=""),"",IFERROR(SUMIFS(nrES_Rec,nrES_PID,$B37,nrES_Code,Y$5,nrES_Final,"Yes"),""))</f>
        <v/>
      </c>
      <c r="Z37" s="17">
        <f>IF(OR($B37="",Z$5=""),"",IFERROR(SUMIFS(nrES_Rec,nrES_PID,$B37,nrES_Code,Z$5,nrES_Final,"Yes"),""))</f>
        <v/>
      </c>
      <c r="AA37" s="17">
        <f>IF(OR($B37="",AA$5=""),"",IFERROR(SUMIFS(nrES_Rec,nrES_PID,$B37,nrES_Code,AA$5,nrES_Final,"Yes"),""))</f>
        <v/>
      </c>
      <c r="AB37" s="17">
        <f>IF(OR($B37="",AB$5=""),"",IFERROR(SUMIFS(nrES_Rec,nrES_PID,$B37,nrES_Code,AB$5,nrES_Final,"Yes"),""))</f>
        <v/>
      </c>
      <c r="AC37" s="17">
        <f>IF($B37="","",sysGrades!$M37)</f>
        <v/>
      </c>
      <c r="AD37" s="17">
        <f>IF($B37="","",IFERROR(sysGrades!$U37,""))</f>
        <v/>
      </c>
    </row>
    <row r="38">
      <c r="B38" s="17">
        <f>IF(Cadets!$B38="","",Cadets!$B38)</f>
        <v/>
      </c>
      <c r="C38" s="17">
        <f>IF($B38="","",Cadets!$F38)</f>
        <v/>
      </c>
      <c r="D38" s="17">
        <f>IF(OR($B38="",D$5=""),"",IFERROR(SUMIFS(nrES_Rec,nrES_PID,$B38,nrES_Code,D$5,nrES_Final,"Yes"),""))</f>
        <v/>
      </c>
      <c r="E38" s="17">
        <f>IF(OR($B38="",E$5=""),"",IFERROR(SUMIFS(nrES_Rec,nrES_PID,$B38,nrES_Code,E$5,nrES_Final,"Yes"),""))</f>
        <v/>
      </c>
      <c r="F38" s="17">
        <f>IF(OR($B38="",F$5=""),"",IFERROR(SUMIFS(nrES_Rec,nrES_PID,$B38,nrES_Code,F$5,nrES_Final,"Yes"),""))</f>
        <v/>
      </c>
      <c r="G38" s="17">
        <f>IF(OR($B38="",G$5=""),"",IFERROR(SUMIFS(nrES_Rec,nrES_PID,$B38,nrES_Code,G$5,nrES_Final,"Yes"),""))</f>
        <v/>
      </c>
      <c r="H38" s="17">
        <f>IF(OR($B38="",H$5=""),"",IFERROR(SUMIFS(nrES_Rec,nrES_PID,$B38,nrES_Code,H$5,nrES_Final,"Yes"),""))</f>
        <v/>
      </c>
      <c r="I38" s="17">
        <f>IF(OR($B38="",I$5=""),"",IFERROR(SUMIFS(nrES_Rec,nrES_PID,$B38,nrES_Code,I$5,nrES_Final,"Yes"),""))</f>
        <v/>
      </c>
      <c r="J38" s="17">
        <f>IF(OR($B38="",J$5=""),"",IFERROR(SUMIFS(nrES_Rec,nrES_PID,$B38,nrES_Code,J$5,nrES_Final,"Yes"),""))</f>
        <v/>
      </c>
      <c r="K38" s="17">
        <f>IF(OR($B38="",K$5=""),"",IFERROR(SUMIFS(nrES_Rec,nrES_PID,$B38,nrES_Code,K$5,nrES_Final,"Yes"),""))</f>
        <v/>
      </c>
      <c r="L38" s="17">
        <f>IF(OR($B38="",L$5=""),"",IFERROR(SUMIFS(nrES_Rec,nrES_PID,$B38,nrES_Code,L$5,nrES_Final,"Yes"),""))</f>
        <v/>
      </c>
      <c r="M38" s="17">
        <f>IF(OR($B38="",M$5=""),"",IFERROR(SUMIFS(nrES_Rec,nrES_PID,$B38,nrES_Code,M$5,nrES_Final,"Yes"),""))</f>
        <v/>
      </c>
      <c r="N38" s="17">
        <f>IF(OR($B38="",N$5=""),"",IFERROR(SUMIFS(nrES_Rec,nrES_PID,$B38,nrES_Code,N$5,nrES_Final,"Yes"),""))</f>
        <v/>
      </c>
      <c r="O38" s="17">
        <f>IF(OR($B38="",O$5=""),"",IFERROR(SUMIFS(nrES_Rec,nrES_PID,$B38,nrES_Code,O$5,nrES_Final,"Yes"),""))</f>
        <v/>
      </c>
      <c r="P38" s="17">
        <f>IF(OR($B38="",P$5=""),"",IFERROR(SUMIFS(nrES_Rec,nrES_PID,$B38,nrES_Code,P$5,nrES_Final,"Yes"),""))</f>
        <v/>
      </c>
      <c r="Q38" s="17">
        <f>IF(OR($B38="",Q$5=""),"",IFERROR(SUMIFS(nrES_Rec,nrES_PID,$B38,nrES_Code,Q$5,nrES_Final,"Yes"),""))</f>
        <v/>
      </c>
      <c r="R38" s="17">
        <f>IF(OR($B38="",R$5=""),"",IFERROR(SUMIFS(nrES_Rec,nrES_PID,$B38,nrES_Code,R$5,nrES_Final,"Yes"),""))</f>
        <v/>
      </c>
      <c r="S38" s="17">
        <f>IF(OR($B38="",S$5=""),"",IFERROR(SUMIFS(nrES_Rec,nrES_PID,$B38,nrES_Code,S$5,nrES_Final,"Yes"),""))</f>
        <v/>
      </c>
      <c r="T38" s="17">
        <f>IF(OR($B38="",T$5=""),"",IFERROR(SUMIFS(nrES_Rec,nrES_PID,$B38,nrES_Code,T$5,nrES_Final,"Yes"),""))</f>
        <v/>
      </c>
      <c r="U38" s="17">
        <f>IF(OR($B38="",U$5=""),"",IFERROR(SUMIFS(nrES_Rec,nrES_PID,$B38,nrES_Code,U$5,nrES_Final,"Yes"),""))</f>
        <v/>
      </c>
      <c r="V38" s="17">
        <f>IF(OR($B38="",V$5=""),"",IFERROR(SUMIFS(nrES_Rec,nrES_PID,$B38,nrES_Code,V$5,nrES_Final,"Yes"),""))</f>
        <v/>
      </c>
      <c r="W38" s="17">
        <f>IF(OR($B38="",W$5=""),"",IFERROR(SUMIFS(nrES_Rec,nrES_PID,$B38,nrES_Code,W$5,nrES_Final,"Yes"),""))</f>
        <v/>
      </c>
      <c r="X38" s="17">
        <f>IF(OR($B38="",X$5=""),"",IFERROR(SUMIFS(nrES_Rec,nrES_PID,$B38,nrES_Code,X$5,nrES_Final,"Yes"),""))</f>
        <v/>
      </c>
      <c r="Y38" s="17">
        <f>IF(OR($B38="",Y$5=""),"",IFERROR(SUMIFS(nrES_Rec,nrES_PID,$B38,nrES_Code,Y$5,nrES_Final,"Yes"),""))</f>
        <v/>
      </c>
      <c r="Z38" s="17">
        <f>IF(OR($B38="",Z$5=""),"",IFERROR(SUMIFS(nrES_Rec,nrES_PID,$B38,nrES_Code,Z$5,nrES_Final,"Yes"),""))</f>
        <v/>
      </c>
      <c r="AA38" s="17">
        <f>IF(OR($B38="",AA$5=""),"",IFERROR(SUMIFS(nrES_Rec,nrES_PID,$B38,nrES_Code,AA$5,nrES_Final,"Yes"),""))</f>
        <v/>
      </c>
      <c r="AB38" s="17">
        <f>IF(OR($B38="",AB$5=""),"",IFERROR(SUMIFS(nrES_Rec,nrES_PID,$B38,nrES_Code,AB$5,nrES_Final,"Yes"),""))</f>
        <v/>
      </c>
      <c r="AC38" s="17">
        <f>IF($B38="","",sysGrades!$M38)</f>
        <v/>
      </c>
      <c r="AD38" s="17">
        <f>IF($B38="","",IFERROR(sysGrades!$U38,""))</f>
        <v/>
      </c>
    </row>
    <row r="39">
      <c r="B39" s="17">
        <f>IF(Cadets!$B39="","",Cadets!$B39)</f>
        <v/>
      </c>
      <c r="C39" s="17">
        <f>IF($B39="","",Cadets!$F39)</f>
        <v/>
      </c>
      <c r="D39" s="17">
        <f>IF(OR($B39="",D$5=""),"",IFERROR(SUMIFS(nrES_Rec,nrES_PID,$B39,nrES_Code,D$5,nrES_Final,"Yes"),""))</f>
        <v/>
      </c>
      <c r="E39" s="17">
        <f>IF(OR($B39="",E$5=""),"",IFERROR(SUMIFS(nrES_Rec,nrES_PID,$B39,nrES_Code,E$5,nrES_Final,"Yes"),""))</f>
        <v/>
      </c>
      <c r="F39" s="17">
        <f>IF(OR($B39="",F$5=""),"",IFERROR(SUMIFS(nrES_Rec,nrES_PID,$B39,nrES_Code,F$5,nrES_Final,"Yes"),""))</f>
        <v/>
      </c>
      <c r="G39" s="17">
        <f>IF(OR($B39="",G$5=""),"",IFERROR(SUMIFS(nrES_Rec,nrES_PID,$B39,nrES_Code,G$5,nrES_Final,"Yes"),""))</f>
        <v/>
      </c>
      <c r="H39" s="17">
        <f>IF(OR($B39="",H$5=""),"",IFERROR(SUMIFS(nrES_Rec,nrES_PID,$B39,nrES_Code,H$5,nrES_Final,"Yes"),""))</f>
        <v/>
      </c>
      <c r="I39" s="17">
        <f>IF(OR($B39="",I$5=""),"",IFERROR(SUMIFS(nrES_Rec,nrES_PID,$B39,nrES_Code,I$5,nrES_Final,"Yes"),""))</f>
        <v/>
      </c>
      <c r="J39" s="17">
        <f>IF(OR($B39="",J$5=""),"",IFERROR(SUMIFS(nrES_Rec,nrES_PID,$B39,nrES_Code,J$5,nrES_Final,"Yes"),""))</f>
        <v/>
      </c>
      <c r="K39" s="17">
        <f>IF(OR($B39="",K$5=""),"",IFERROR(SUMIFS(nrES_Rec,nrES_PID,$B39,nrES_Code,K$5,nrES_Final,"Yes"),""))</f>
        <v/>
      </c>
      <c r="L39" s="17">
        <f>IF(OR($B39="",L$5=""),"",IFERROR(SUMIFS(nrES_Rec,nrES_PID,$B39,nrES_Code,L$5,nrES_Final,"Yes"),""))</f>
        <v/>
      </c>
      <c r="M39" s="17">
        <f>IF(OR($B39="",M$5=""),"",IFERROR(SUMIFS(nrES_Rec,nrES_PID,$B39,nrES_Code,M$5,nrES_Final,"Yes"),""))</f>
        <v/>
      </c>
      <c r="N39" s="17">
        <f>IF(OR($B39="",N$5=""),"",IFERROR(SUMIFS(nrES_Rec,nrES_PID,$B39,nrES_Code,N$5,nrES_Final,"Yes"),""))</f>
        <v/>
      </c>
      <c r="O39" s="17">
        <f>IF(OR($B39="",O$5=""),"",IFERROR(SUMIFS(nrES_Rec,nrES_PID,$B39,nrES_Code,O$5,nrES_Final,"Yes"),""))</f>
        <v/>
      </c>
      <c r="P39" s="17">
        <f>IF(OR($B39="",P$5=""),"",IFERROR(SUMIFS(nrES_Rec,nrES_PID,$B39,nrES_Code,P$5,nrES_Final,"Yes"),""))</f>
        <v/>
      </c>
      <c r="Q39" s="17">
        <f>IF(OR($B39="",Q$5=""),"",IFERROR(SUMIFS(nrES_Rec,nrES_PID,$B39,nrES_Code,Q$5,nrES_Final,"Yes"),""))</f>
        <v/>
      </c>
      <c r="R39" s="17">
        <f>IF(OR($B39="",R$5=""),"",IFERROR(SUMIFS(nrES_Rec,nrES_PID,$B39,nrES_Code,R$5,nrES_Final,"Yes"),""))</f>
        <v/>
      </c>
      <c r="S39" s="17">
        <f>IF(OR($B39="",S$5=""),"",IFERROR(SUMIFS(nrES_Rec,nrES_PID,$B39,nrES_Code,S$5,nrES_Final,"Yes"),""))</f>
        <v/>
      </c>
      <c r="T39" s="17">
        <f>IF(OR($B39="",T$5=""),"",IFERROR(SUMIFS(nrES_Rec,nrES_PID,$B39,nrES_Code,T$5,nrES_Final,"Yes"),""))</f>
        <v/>
      </c>
      <c r="U39" s="17">
        <f>IF(OR($B39="",U$5=""),"",IFERROR(SUMIFS(nrES_Rec,nrES_PID,$B39,nrES_Code,U$5,nrES_Final,"Yes"),""))</f>
        <v/>
      </c>
      <c r="V39" s="17">
        <f>IF(OR($B39="",V$5=""),"",IFERROR(SUMIFS(nrES_Rec,nrES_PID,$B39,nrES_Code,V$5,nrES_Final,"Yes"),""))</f>
        <v/>
      </c>
      <c r="W39" s="17">
        <f>IF(OR($B39="",W$5=""),"",IFERROR(SUMIFS(nrES_Rec,nrES_PID,$B39,nrES_Code,W$5,nrES_Final,"Yes"),""))</f>
        <v/>
      </c>
      <c r="X39" s="17">
        <f>IF(OR($B39="",X$5=""),"",IFERROR(SUMIFS(nrES_Rec,nrES_PID,$B39,nrES_Code,X$5,nrES_Final,"Yes"),""))</f>
        <v/>
      </c>
      <c r="Y39" s="17">
        <f>IF(OR($B39="",Y$5=""),"",IFERROR(SUMIFS(nrES_Rec,nrES_PID,$B39,nrES_Code,Y$5,nrES_Final,"Yes"),""))</f>
        <v/>
      </c>
      <c r="Z39" s="17">
        <f>IF(OR($B39="",Z$5=""),"",IFERROR(SUMIFS(nrES_Rec,nrES_PID,$B39,nrES_Code,Z$5,nrES_Final,"Yes"),""))</f>
        <v/>
      </c>
      <c r="AA39" s="17">
        <f>IF(OR($B39="",AA$5=""),"",IFERROR(SUMIFS(nrES_Rec,nrES_PID,$B39,nrES_Code,AA$5,nrES_Final,"Yes"),""))</f>
        <v/>
      </c>
      <c r="AB39" s="17">
        <f>IF(OR($B39="",AB$5=""),"",IFERROR(SUMIFS(nrES_Rec,nrES_PID,$B39,nrES_Code,AB$5,nrES_Final,"Yes"),""))</f>
        <v/>
      </c>
      <c r="AC39" s="17">
        <f>IF($B39="","",sysGrades!$M39)</f>
        <v/>
      </c>
      <c r="AD39" s="17">
        <f>IF($B39="","",IFERROR(sysGrades!$U39,""))</f>
        <v/>
      </c>
    </row>
    <row r="40">
      <c r="B40" s="17">
        <f>IF(Cadets!$B40="","",Cadets!$B40)</f>
        <v/>
      </c>
      <c r="C40" s="17">
        <f>IF($B40="","",Cadets!$F40)</f>
        <v/>
      </c>
      <c r="D40" s="17">
        <f>IF(OR($B40="",D$5=""),"",IFERROR(SUMIFS(nrES_Rec,nrES_PID,$B40,nrES_Code,D$5,nrES_Final,"Yes"),""))</f>
        <v/>
      </c>
      <c r="E40" s="17">
        <f>IF(OR($B40="",E$5=""),"",IFERROR(SUMIFS(nrES_Rec,nrES_PID,$B40,nrES_Code,E$5,nrES_Final,"Yes"),""))</f>
        <v/>
      </c>
      <c r="F40" s="17">
        <f>IF(OR($B40="",F$5=""),"",IFERROR(SUMIFS(nrES_Rec,nrES_PID,$B40,nrES_Code,F$5,nrES_Final,"Yes"),""))</f>
        <v/>
      </c>
      <c r="G40" s="17">
        <f>IF(OR($B40="",G$5=""),"",IFERROR(SUMIFS(nrES_Rec,nrES_PID,$B40,nrES_Code,G$5,nrES_Final,"Yes"),""))</f>
        <v/>
      </c>
      <c r="H40" s="17">
        <f>IF(OR($B40="",H$5=""),"",IFERROR(SUMIFS(nrES_Rec,nrES_PID,$B40,nrES_Code,H$5,nrES_Final,"Yes"),""))</f>
        <v/>
      </c>
      <c r="I40" s="17">
        <f>IF(OR($B40="",I$5=""),"",IFERROR(SUMIFS(nrES_Rec,nrES_PID,$B40,nrES_Code,I$5,nrES_Final,"Yes"),""))</f>
        <v/>
      </c>
      <c r="J40" s="17">
        <f>IF(OR($B40="",J$5=""),"",IFERROR(SUMIFS(nrES_Rec,nrES_PID,$B40,nrES_Code,J$5,nrES_Final,"Yes"),""))</f>
        <v/>
      </c>
      <c r="K40" s="17">
        <f>IF(OR($B40="",K$5=""),"",IFERROR(SUMIFS(nrES_Rec,nrES_PID,$B40,nrES_Code,K$5,nrES_Final,"Yes"),""))</f>
        <v/>
      </c>
      <c r="L40" s="17">
        <f>IF(OR($B40="",L$5=""),"",IFERROR(SUMIFS(nrES_Rec,nrES_PID,$B40,nrES_Code,L$5,nrES_Final,"Yes"),""))</f>
        <v/>
      </c>
      <c r="M40" s="17">
        <f>IF(OR($B40="",M$5=""),"",IFERROR(SUMIFS(nrES_Rec,nrES_PID,$B40,nrES_Code,M$5,nrES_Final,"Yes"),""))</f>
        <v/>
      </c>
      <c r="N40" s="17">
        <f>IF(OR($B40="",N$5=""),"",IFERROR(SUMIFS(nrES_Rec,nrES_PID,$B40,nrES_Code,N$5,nrES_Final,"Yes"),""))</f>
        <v/>
      </c>
      <c r="O40" s="17">
        <f>IF(OR($B40="",O$5=""),"",IFERROR(SUMIFS(nrES_Rec,nrES_PID,$B40,nrES_Code,O$5,nrES_Final,"Yes"),""))</f>
        <v/>
      </c>
      <c r="P40" s="17">
        <f>IF(OR($B40="",P$5=""),"",IFERROR(SUMIFS(nrES_Rec,nrES_PID,$B40,nrES_Code,P$5,nrES_Final,"Yes"),""))</f>
        <v/>
      </c>
      <c r="Q40" s="17">
        <f>IF(OR($B40="",Q$5=""),"",IFERROR(SUMIFS(nrES_Rec,nrES_PID,$B40,nrES_Code,Q$5,nrES_Final,"Yes"),""))</f>
        <v/>
      </c>
      <c r="R40" s="17">
        <f>IF(OR($B40="",R$5=""),"",IFERROR(SUMIFS(nrES_Rec,nrES_PID,$B40,nrES_Code,R$5,nrES_Final,"Yes"),""))</f>
        <v/>
      </c>
      <c r="S40" s="17">
        <f>IF(OR($B40="",S$5=""),"",IFERROR(SUMIFS(nrES_Rec,nrES_PID,$B40,nrES_Code,S$5,nrES_Final,"Yes"),""))</f>
        <v/>
      </c>
      <c r="T40" s="17">
        <f>IF(OR($B40="",T$5=""),"",IFERROR(SUMIFS(nrES_Rec,nrES_PID,$B40,nrES_Code,T$5,nrES_Final,"Yes"),""))</f>
        <v/>
      </c>
      <c r="U40" s="17">
        <f>IF(OR($B40="",U$5=""),"",IFERROR(SUMIFS(nrES_Rec,nrES_PID,$B40,nrES_Code,U$5,nrES_Final,"Yes"),""))</f>
        <v/>
      </c>
      <c r="V40" s="17">
        <f>IF(OR($B40="",V$5=""),"",IFERROR(SUMIFS(nrES_Rec,nrES_PID,$B40,nrES_Code,V$5,nrES_Final,"Yes"),""))</f>
        <v/>
      </c>
      <c r="W40" s="17">
        <f>IF(OR($B40="",W$5=""),"",IFERROR(SUMIFS(nrES_Rec,nrES_PID,$B40,nrES_Code,W$5,nrES_Final,"Yes"),""))</f>
        <v/>
      </c>
      <c r="X40" s="17">
        <f>IF(OR($B40="",X$5=""),"",IFERROR(SUMIFS(nrES_Rec,nrES_PID,$B40,nrES_Code,X$5,nrES_Final,"Yes"),""))</f>
        <v/>
      </c>
      <c r="Y40" s="17">
        <f>IF(OR($B40="",Y$5=""),"",IFERROR(SUMIFS(nrES_Rec,nrES_PID,$B40,nrES_Code,Y$5,nrES_Final,"Yes"),""))</f>
        <v/>
      </c>
      <c r="Z40" s="17">
        <f>IF(OR($B40="",Z$5=""),"",IFERROR(SUMIFS(nrES_Rec,nrES_PID,$B40,nrES_Code,Z$5,nrES_Final,"Yes"),""))</f>
        <v/>
      </c>
      <c r="AA40" s="17">
        <f>IF(OR($B40="",AA$5=""),"",IFERROR(SUMIFS(nrES_Rec,nrES_PID,$B40,nrES_Code,AA$5,nrES_Final,"Yes"),""))</f>
        <v/>
      </c>
      <c r="AB40" s="17">
        <f>IF(OR($B40="",AB$5=""),"",IFERROR(SUMIFS(nrES_Rec,nrES_PID,$B40,nrES_Code,AB$5,nrES_Final,"Yes"),""))</f>
        <v/>
      </c>
      <c r="AC40" s="17">
        <f>IF($B40="","",sysGrades!$M40)</f>
        <v/>
      </c>
      <c r="AD40" s="17">
        <f>IF($B40="","",IFERROR(sysGrades!$U40,""))</f>
        <v/>
      </c>
    </row>
    <row r="41">
      <c r="B41" s="17">
        <f>IF(Cadets!$B41="","",Cadets!$B41)</f>
        <v/>
      </c>
      <c r="C41" s="17">
        <f>IF($B41="","",Cadets!$F41)</f>
        <v/>
      </c>
      <c r="D41" s="17">
        <f>IF(OR($B41="",D$5=""),"",IFERROR(SUMIFS(nrES_Rec,nrES_PID,$B41,nrES_Code,D$5,nrES_Final,"Yes"),""))</f>
        <v/>
      </c>
      <c r="E41" s="17">
        <f>IF(OR($B41="",E$5=""),"",IFERROR(SUMIFS(nrES_Rec,nrES_PID,$B41,nrES_Code,E$5,nrES_Final,"Yes"),""))</f>
        <v/>
      </c>
      <c r="F41" s="17">
        <f>IF(OR($B41="",F$5=""),"",IFERROR(SUMIFS(nrES_Rec,nrES_PID,$B41,nrES_Code,F$5,nrES_Final,"Yes"),""))</f>
        <v/>
      </c>
      <c r="G41" s="17">
        <f>IF(OR($B41="",G$5=""),"",IFERROR(SUMIFS(nrES_Rec,nrES_PID,$B41,nrES_Code,G$5,nrES_Final,"Yes"),""))</f>
        <v/>
      </c>
      <c r="H41" s="17">
        <f>IF(OR($B41="",H$5=""),"",IFERROR(SUMIFS(nrES_Rec,nrES_PID,$B41,nrES_Code,H$5,nrES_Final,"Yes"),""))</f>
        <v/>
      </c>
      <c r="I41" s="17">
        <f>IF(OR($B41="",I$5=""),"",IFERROR(SUMIFS(nrES_Rec,nrES_PID,$B41,nrES_Code,I$5,nrES_Final,"Yes"),""))</f>
        <v/>
      </c>
      <c r="J41" s="17">
        <f>IF(OR($B41="",J$5=""),"",IFERROR(SUMIFS(nrES_Rec,nrES_PID,$B41,nrES_Code,J$5,nrES_Final,"Yes"),""))</f>
        <v/>
      </c>
      <c r="K41" s="17">
        <f>IF(OR($B41="",K$5=""),"",IFERROR(SUMIFS(nrES_Rec,nrES_PID,$B41,nrES_Code,K$5,nrES_Final,"Yes"),""))</f>
        <v/>
      </c>
      <c r="L41" s="17">
        <f>IF(OR($B41="",L$5=""),"",IFERROR(SUMIFS(nrES_Rec,nrES_PID,$B41,nrES_Code,L$5,nrES_Final,"Yes"),""))</f>
        <v/>
      </c>
      <c r="M41" s="17">
        <f>IF(OR($B41="",M$5=""),"",IFERROR(SUMIFS(nrES_Rec,nrES_PID,$B41,nrES_Code,M$5,nrES_Final,"Yes"),""))</f>
        <v/>
      </c>
      <c r="N41" s="17">
        <f>IF(OR($B41="",N$5=""),"",IFERROR(SUMIFS(nrES_Rec,nrES_PID,$B41,nrES_Code,N$5,nrES_Final,"Yes"),""))</f>
        <v/>
      </c>
      <c r="O41" s="17">
        <f>IF(OR($B41="",O$5=""),"",IFERROR(SUMIFS(nrES_Rec,nrES_PID,$B41,nrES_Code,O$5,nrES_Final,"Yes"),""))</f>
        <v/>
      </c>
      <c r="P41" s="17">
        <f>IF(OR($B41="",P$5=""),"",IFERROR(SUMIFS(nrES_Rec,nrES_PID,$B41,nrES_Code,P$5,nrES_Final,"Yes"),""))</f>
        <v/>
      </c>
      <c r="Q41" s="17">
        <f>IF(OR($B41="",Q$5=""),"",IFERROR(SUMIFS(nrES_Rec,nrES_PID,$B41,nrES_Code,Q$5,nrES_Final,"Yes"),""))</f>
        <v/>
      </c>
      <c r="R41" s="17">
        <f>IF(OR($B41="",R$5=""),"",IFERROR(SUMIFS(nrES_Rec,nrES_PID,$B41,nrES_Code,R$5,nrES_Final,"Yes"),""))</f>
        <v/>
      </c>
      <c r="S41" s="17">
        <f>IF(OR($B41="",S$5=""),"",IFERROR(SUMIFS(nrES_Rec,nrES_PID,$B41,nrES_Code,S$5,nrES_Final,"Yes"),""))</f>
        <v/>
      </c>
      <c r="T41" s="17">
        <f>IF(OR($B41="",T$5=""),"",IFERROR(SUMIFS(nrES_Rec,nrES_PID,$B41,nrES_Code,T$5,nrES_Final,"Yes"),""))</f>
        <v/>
      </c>
      <c r="U41" s="17">
        <f>IF(OR($B41="",U$5=""),"",IFERROR(SUMIFS(nrES_Rec,nrES_PID,$B41,nrES_Code,U$5,nrES_Final,"Yes"),""))</f>
        <v/>
      </c>
      <c r="V41" s="17">
        <f>IF(OR($B41="",V$5=""),"",IFERROR(SUMIFS(nrES_Rec,nrES_PID,$B41,nrES_Code,V$5,nrES_Final,"Yes"),""))</f>
        <v/>
      </c>
      <c r="W41" s="17">
        <f>IF(OR($B41="",W$5=""),"",IFERROR(SUMIFS(nrES_Rec,nrES_PID,$B41,nrES_Code,W$5,nrES_Final,"Yes"),""))</f>
        <v/>
      </c>
      <c r="X41" s="17">
        <f>IF(OR($B41="",X$5=""),"",IFERROR(SUMIFS(nrES_Rec,nrES_PID,$B41,nrES_Code,X$5,nrES_Final,"Yes"),""))</f>
        <v/>
      </c>
      <c r="Y41" s="17">
        <f>IF(OR($B41="",Y$5=""),"",IFERROR(SUMIFS(nrES_Rec,nrES_PID,$B41,nrES_Code,Y$5,nrES_Final,"Yes"),""))</f>
        <v/>
      </c>
      <c r="Z41" s="17">
        <f>IF(OR($B41="",Z$5=""),"",IFERROR(SUMIFS(nrES_Rec,nrES_PID,$B41,nrES_Code,Z$5,nrES_Final,"Yes"),""))</f>
        <v/>
      </c>
      <c r="AA41" s="17">
        <f>IF(OR($B41="",AA$5=""),"",IFERROR(SUMIFS(nrES_Rec,nrES_PID,$B41,nrES_Code,AA$5,nrES_Final,"Yes"),""))</f>
        <v/>
      </c>
      <c r="AB41" s="17">
        <f>IF(OR($B41="",AB$5=""),"",IFERROR(SUMIFS(nrES_Rec,nrES_PID,$B41,nrES_Code,AB$5,nrES_Final,"Yes"),""))</f>
        <v/>
      </c>
      <c r="AC41" s="17">
        <f>IF($B41="","",sysGrades!$M41)</f>
        <v/>
      </c>
      <c r="AD41" s="17">
        <f>IF($B41="","",IFERROR(sysGrades!$U41,""))</f>
        <v/>
      </c>
    </row>
    <row r="42">
      <c r="B42" s="17">
        <f>IF(Cadets!$B42="","",Cadets!$B42)</f>
        <v/>
      </c>
      <c r="C42" s="17">
        <f>IF($B42="","",Cadets!$F42)</f>
        <v/>
      </c>
      <c r="D42" s="17">
        <f>IF(OR($B42="",D$5=""),"",IFERROR(SUMIFS(nrES_Rec,nrES_PID,$B42,nrES_Code,D$5,nrES_Final,"Yes"),""))</f>
        <v/>
      </c>
      <c r="E42" s="17">
        <f>IF(OR($B42="",E$5=""),"",IFERROR(SUMIFS(nrES_Rec,nrES_PID,$B42,nrES_Code,E$5,nrES_Final,"Yes"),""))</f>
        <v/>
      </c>
      <c r="F42" s="17">
        <f>IF(OR($B42="",F$5=""),"",IFERROR(SUMIFS(nrES_Rec,nrES_PID,$B42,nrES_Code,F$5,nrES_Final,"Yes"),""))</f>
        <v/>
      </c>
      <c r="G42" s="17">
        <f>IF(OR($B42="",G$5=""),"",IFERROR(SUMIFS(nrES_Rec,nrES_PID,$B42,nrES_Code,G$5,nrES_Final,"Yes"),""))</f>
        <v/>
      </c>
      <c r="H42" s="17">
        <f>IF(OR($B42="",H$5=""),"",IFERROR(SUMIFS(nrES_Rec,nrES_PID,$B42,nrES_Code,H$5,nrES_Final,"Yes"),""))</f>
        <v/>
      </c>
      <c r="I42" s="17">
        <f>IF(OR($B42="",I$5=""),"",IFERROR(SUMIFS(nrES_Rec,nrES_PID,$B42,nrES_Code,I$5,nrES_Final,"Yes"),""))</f>
        <v/>
      </c>
      <c r="J42" s="17">
        <f>IF(OR($B42="",J$5=""),"",IFERROR(SUMIFS(nrES_Rec,nrES_PID,$B42,nrES_Code,J$5,nrES_Final,"Yes"),""))</f>
        <v/>
      </c>
      <c r="K42" s="17">
        <f>IF(OR($B42="",K$5=""),"",IFERROR(SUMIFS(nrES_Rec,nrES_PID,$B42,nrES_Code,K$5,nrES_Final,"Yes"),""))</f>
        <v/>
      </c>
      <c r="L42" s="17">
        <f>IF(OR($B42="",L$5=""),"",IFERROR(SUMIFS(nrES_Rec,nrES_PID,$B42,nrES_Code,L$5,nrES_Final,"Yes"),""))</f>
        <v/>
      </c>
      <c r="M42" s="17">
        <f>IF(OR($B42="",M$5=""),"",IFERROR(SUMIFS(nrES_Rec,nrES_PID,$B42,nrES_Code,M$5,nrES_Final,"Yes"),""))</f>
        <v/>
      </c>
      <c r="N42" s="17">
        <f>IF(OR($B42="",N$5=""),"",IFERROR(SUMIFS(nrES_Rec,nrES_PID,$B42,nrES_Code,N$5,nrES_Final,"Yes"),""))</f>
        <v/>
      </c>
      <c r="O42" s="17">
        <f>IF(OR($B42="",O$5=""),"",IFERROR(SUMIFS(nrES_Rec,nrES_PID,$B42,nrES_Code,O$5,nrES_Final,"Yes"),""))</f>
        <v/>
      </c>
      <c r="P42" s="17">
        <f>IF(OR($B42="",P$5=""),"",IFERROR(SUMIFS(nrES_Rec,nrES_PID,$B42,nrES_Code,P$5,nrES_Final,"Yes"),""))</f>
        <v/>
      </c>
      <c r="Q42" s="17">
        <f>IF(OR($B42="",Q$5=""),"",IFERROR(SUMIFS(nrES_Rec,nrES_PID,$B42,nrES_Code,Q$5,nrES_Final,"Yes"),""))</f>
        <v/>
      </c>
      <c r="R42" s="17">
        <f>IF(OR($B42="",R$5=""),"",IFERROR(SUMIFS(nrES_Rec,nrES_PID,$B42,nrES_Code,R$5,nrES_Final,"Yes"),""))</f>
        <v/>
      </c>
      <c r="S42" s="17">
        <f>IF(OR($B42="",S$5=""),"",IFERROR(SUMIFS(nrES_Rec,nrES_PID,$B42,nrES_Code,S$5,nrES_Final,"Yes"),""))</f>
        <v/>
      </c>
      <c r="T42" s="17">
        <f>IF(OR($B42="",T$5=""),"",IFERROR(SUMIFS(nrES_Rec,nrES_PID,$B42,nrES_Code,T$5,nrES_Final,"Yes"),""))</f>
        <v/>
      </c>
      <c r="U42" s="17">
        <f>IF(OR($B42="",U$5=""),"",IFERROR(SUMIFS(nrES_Rec,nrES_PID,$B42,nrES_Code,U$5,nrES_Final,"Yes"),""))</f>
        <v/>
      </c>
      <c r="V42" s="17">
        <f>IF(OR($B42="",V$5=""),"",IFERROR(SUMIFS(nrES_Rec,nrES_PID,$B42,nrES_Code,V$5,nrES_Final,"Yes"),""))</f>
        <v/>
      </c>
      <c r="W42" s="17">
        <f>IF(OR($B42="",W$5=""),"",IFERROR(SUMIFS(nrES_Rec,nrES_PID,$B42,nrES_Code,W$5,nrES_Final,"Yes"),""))</f>
        <v/>
      </c>
      <c r="X42" s="17">
        <f>IF(OR($B42="",X$5=""),"",IFERROR(SUMIFS(nrES_Rec,nrES_PID,$B42,nrES_Code,X$5,nrES_Final,"Yes"),""))</f>
        <v/>
      </c>
      <c r="Y42" s="17">
        <f>IF(OR($B42="",Y$5=""),"",IFERROR(SUMIFS(nrES_Rec,nrES_PID,$B42,nrES_Code,Y$5,nrES_Final,"Yes"),""))</f>
        <v/>
      </c>
      <c r="Z42" s="17">
        <f>IF(OR($B42="",Z$5=""),"",IFERROR(SUMIFS(nrES_Rec,nrES_PID,$B42,nrES_Code,Z$5,nrES_Final,"Yes"),""))</f>
        <v/>
      </c>
      <c r="AA42" s="17">
        <f>IF(OR($B42="",AA$5=""),"",IFERROR(SUMIFS(nrES_Rec,nrES_PID,$B42,nrES_Code,AA$5,nrES_Final,"Yes"),""))</f>
        <v/>
      </c>
      <c r="AB42" s="17">
        <f>IF(OR($B42="",AB$5=""),"",IFERROR(SUMIFS(nrES_Rec,nrES_PID,$B42,nrES_Code,AB$5,nrES_Final,"Yes"),""))</f>
        <v/>
      </c>
      <c r="AC42" s="17">
        <f>IF($B42="","",sysGrades!$M42)</f>
        <v/>
      </c>
      <c r="AD42" s="17">
        <f>IF($B42="","",IFERROR(sysGrades!$U42,""))</f>
        <v/>
      </c>
    </row>
    <row r="43">
      <c r="B43" s="17">
        <f>IF(Cadets!$B43="","",Cadets!$B43)</f>
        <v/>
      </c>
      <c r="C43" s="17">
        <f>IF($B43="","",Cadets!$F43)</f>
        <v/>
      </c>
      <c r="D43" s="17">
        <f>IF(OR($B43="",D$5=""),"",IFERROR(SUMIFS(nrES_Rec,nrES_PID,$B43,nrES_Code,D$5,nrES_Final,"Yes"),""))</f>
        <v/>
      </c>
      <c r="E43" s="17">
        <f>IF(OR($B43="",E$5=""),"",IFERROR(SUMIFS(nrES_Rec,nrES_PID,$B43,nrES_Code,E$5,nrES_Final,"Yes"),""))</f>
        <v/>
      </c>
      <c r="F43" s="17">
        <f>IF(OR($B43="",F$5=""),"",IFERROR(SUMIFS(nrES_Rec,nrES_PID,$B43,nrES_Code,F$5,nrES_Final,"Yes"),""))</f>
        <v/>
      </c>
      <c r="G43" s="17">
        <f>IF(OR($B43="",G$5=""),"",IFERROR(SUMIFS(nrES_Rec,nrES_PID,$B43,nrES_Code,G$5,nrES_Final,"Yes"),""))</f>
        <v/>
      </c>
      <c r="H43" s="17">
        <f>IF(OR($B43="",H$5=""),"",IFERROR(SUMIFS(nrES_Rec,nrES_PID,$B43,nrES_Code,H$5,nrES_Final,"Yes"),""))</f>
        <v/>
      </c>
      <c r="I43" s="17">
        <f>IF(OR($B43="",I$5=""),"",IFERROR(SUMIFS(nrES_Rec,nrES_PID,$B43,nrES_Code,I$5,nrES_Final,"Yes"),""))</f>
        <v/>
      </c>
      <c r="J43" s="17">
        <f>IF(OR($B43="",J$5=""),"",IFERROR(SUMIFS(nrES_Rec,nrES_PID,$B43,nrES_Code,J$5,nrES_Final,"Yes"),""))</f>
        <v/>
      </c>
      <c r="K43" s="17">
        <f>IF(OR($B43="",K$5=""),"",IFERROR(SUMIFS(nrES_Rec,nrES_PID,$B43,nrES_Code,K$5,nrES_Final,"Yes"),""))</f>
        <v/>
      </c>
      <c r="L43" s="17">
        <f>IF(OR($B43="",L$5=""),"",IFERROR(SUMIFS(nrES_Rec,nrES_PID,$B43,nrES_Code,L$5,nrES_Final,"Yes"),""))</f>
        <v/>
      </c>
      <c r="M43" s="17">
        <f>IF(OR($B43="",M$5=""),"",IFERROR(SUMIFS(nrES_Rec,nrES_PID,$B43,nrES_Code,M$5,nrES_Final,"Yes"),""))</f>
        <v/>
      </c>
      <c r="N43" s="17">
        <f>IF(OR($B43="",N$5=""),"",IFERROR(SUMIFS(nrES_Rec,nrES_PID,$B43,nrES_Code,N$5,nrES_Final,"Yes"),""))</f>
        <v/>
      </c>
      <c r="O43" s="17">
        <f>IF(OR($B43="",O$5=""),"",IFERROR(SUMIFS(nrES_Rec,nrES_PID,$B43,nrES_Code,O$5,nrES_Final,"Yes"),""))</f>
        <v/>
      </c>
      <c r="P43" s="17">
        <f>IF(OR($B43="",P$5=""),"",IFERROR(SUMIFS(nrES_Rec,nrES_PID,$B43,nrES_Code,P$5,nrES_Final,"Yes"),""))</f>
        <v/>
      </c>
      <c r="Q43" s="17">
        <f>IF(OR($B43="",Q$5=""),"",IFERROR(SUMIFS(nrES_Rec,nrES_PID,$B43,nrES_Code,Q$5,nrES_Final,"Yes"),""))</f>
        <v/>
      </c>
      <c r="R43" s="17">
        <f>IF(OR($B43="",R$5=""),"",IFERROR(SUMIFS(nrES_Rec,nrES_PID,$B43,nrES_Code,R$5,nrES_Final,"Yes"),""))</f>
        <v/>
      </c>
      <c r="S43" s="17">
        <f>IF(OR($B43="",S$5=""),"",IFERROR(SUMIFS(nrES_Rec,nrES_PID,$B43,nrES_Code,S$5,nrES_Final,"Yes"),""))</f>
        <v/>
      </c>
      <c r="T43" s="17">
        <f>IF(OR($B43="",T$5=""),"",IFERROR(SUMIFS(nrES_Rec,nrES_PID,$B43,nrES_Code,T$5,nrES_Final,"Yes"),""))</f>
        <v/>
      </c>
      <c r="U43" s="17">
        <f>IF(OR($B43="",U$5=""),"",IFERROR(SUMIFS(nrES_Rec,nrES_PID,$B43,nrES_Code,U$5,nrES_Final,"Yes"),""))</f>
        <v/>
      </c>
      <c r="V43" s="17">
        <f>IF(OR($B43="",V$5=""),"",IFERROR(SUMIFS(nrES_Rec,nrES_PID,$B43,nrES_Code,V$5,nrES_Final,"Yes"),""))</f>
        <v/>
      </c>
      <c r="W43" s="17">
        <f>IF(OR($B43="",W$5=""),"",IFERROR(SUMIFS(nrES_Rec,nrES_PID,$B43,nrES_Code,W$5,nrES_Final,"Yes"),""))</f>
        <v/>
      </c>
      <c r="X43" s="17">
        <f>IF(OR($B43="",X$5=""),"",IFERROR(SUMIFS(nrES_Rec,nrES_PID,$B43,nrES_Code,X$5,nrES_Final,"Yes"),""))</f>
        <v/>
      </c>
      <c r="Y43" s="17">
        <f>IF(OR($B43="",Y$5=""),"",IFERROR(SUMIFS(nrES_Rec,nrES_PID,$B43,nrES_Code,Y$5,nrES_Final,"Yes"),""))</f>
        <v/>
      </c>
      <c r="Z43" s="17">
        <f>IF(OR($B43="",Z$5=""),"",IFERROR(SUMIFS(nrES_Rec,nrES_PID,$B43,nrES_Code,Z$5,nrES_Final,"Yes"),""))</f>
        <v/>
      </c>
      <c r="AA43" s="17">
        <f>IF(OR($B43="",AA$5=""),"",IFERROR(SUMIFS(nrES_Rec,nrES_PID,$B43,nrES_Code,AA$5,nrES_Final,"Yes"),""))</f>
        <v/>
      </c>
      <c r="AB43" s="17">
        <f>IF(OR($B43="",AB$5=""),"",IFERROR(SUMIFS(nrES_Rec,nrES_PID,$B43,nrES_Code,AB$5,nrES_Final,"Yes"),""))</f>
        <v/>
      </c>
      <c r="AC43" s="17">
        <f>IF($B43="","",sysGrades!$M43)</f>
        <v/>
      </c>
      <c r="AD43" s="17">
        <f>IF($B43="","",IFERROR(sysGrades!$U43,""))</f>
        <v/>
      </c>
    </row>
    <row r="44">
      <c r="B44" s="17">
        <f>IF(Cadets!$B44="","",Cadets!$B44)</f>
        <v/>
      </c>
      <c r="C44" s="17">
        <f>IF($B44="","",Cadets!$F44)</f>
        <v/>
      </c>
      <c r="D44" s="17">
        <f>IF(OR($B44="",D$5=""),"",IFERROR(SUMIFS(nrES_Rec,nrES_PID,$B44,nrES_Code,D$5,nrES_Final,"Yes"),""))</f>
        <v/>
      </c>
      <c r="E44" s="17">
        <f>IF(OR($B44="",E$5=""),"",IFERROR(SUMIFS(nrES_Rec,nrES_PID,$B44,nrES_Code,E$5,nrES_Final,"Yes"),""))</f>
        <v/>
      </c>
      <c r="F44" s="17">
        <f>IF(OR($B44="",F$5=""),"",IFERROR(SUMIFS(nrES_Rec,nrES_PID,$B44,nrES_Code,F$5,nrES_Final,"Yes"),""))</f>
        <v/>
      </c>
      <c r="G44" s="17">
        <f>IF(OR($B44="",G$5=""),"",IFERROR(SUMIFS(nrES_Rec,nrES_PID,$B44,nrES_Code,G$5,nrES_Final,"Yes"),""))</f>
        <v/>
      </c>
      <c r="H44" s="17">
        <f>IF(OR($B44="",H$5=""),"",IFERROR(SUMIFS(nrES_Rec,nrES_PID,$B44,nrES_Code,H$5,nrES_Final,"Yes"),""))</f>
        <v/>
      </c>
      <c r="I44" s="17">
        <f>IF(OR($B44="",I$5=""),"",IFERROR(SUMIFS(nrES_Rec,nrES_PID,$B44,nrES_Code,I$5,nrES_Final,"Yes"),""))</f>
        <v/>
      </c>
      <c r="J44" s="17">
        <f>IF(OR($B44="",J$5=""),"",IFERROR(SUMIFS(nrES_Rec,nrES_PID,$B44,nrES_Code,J$5,nrES_Final,"Yes"),""))</f>
        <v/>
      </c>
      <c r="K44" s="17">
        <f>IF(OR($B44="",K$5=""),"",IFERROR(SUMIFS(nrES_Rec,nrES_PID,$B44,nrES_Code,K$5,nrES_Final,"Yes"),""))</f>
        <v/>
      </c>
      <c r="L44" s="17">
        <f>IF(OR($B44="",L$5=""),"",IFERROR(SUMIFS(nrES_Rec,nrES_PID,$B44,nrES_Code,L$5,nrES_Final,"Yes"),""))</f>
        <v/>
      </c>
      <c r="M44" s="17">
        <f>IF(OR($B44="",M$5=""),"",IFERROR(SUMIFS(nrES_Rec,nrES_PID,$B44,nrES_Code,M$5,nrES_Final,"Yes"),""))</f>
        <v/>
      </c>
      <c r="N44" s="17">
        <f>IF(OR($B44="",N$5=""),"",IFERROR(SUMIFS(nrES_Rec,nrES_PID,$B44,nrES_Code,N$5,nrES_Final,"Yes"),""))</f>
        <v/>
      </c>
      <c r="O44" s="17">
        <f>IF(OR($B44="",O$5=""),"",IFERROR(SUMIFS(nrES_Rec,nrES_PID,$B44,nrES_Code,O$5,nrES_Final,"Yes"),""))</f>
        <v/>
      </c>
      <c r="P44" s="17">
        <f>IF(OR($B44="",P$5=""),"",IFERROR(SUMIFS(nrES_Rec,nrES_PID,$B44,nrES_Code,P$5,nrES_Final,"Yes"),""))</f>
        <v/>
      </c>
      <c r="Q44" s="17">
        <f>IF(OR($B44="",Q$5=""),"",IFERROR(SUMIFS(nrES_Rec,nrES_PID,$B44,nrES_Code,Q$5,nrES_Final,"Yes"),""))</f>
        <v/>
      </c>
      <c r="R44" s="17">
        <f>IF(OR($B44="",R$5=""),"",IFERROR(SUMIFS(nrES_Rec,nrES_PID,$B44,nrES_Code,R$5,nrES_Final,"Yes"),""))</f>
        <v/>
      </c>
      <c r="S44" s="17">
        <f>IF(OR($B44="",S$5=""),"",IFERROR(SUMIFS(nrES_Rec,nrES_PID,$B44,nrES_Code,S$5,nrES_Final,"Yes"),""))</f>
        <v/>
      </c>
      <c r="T44" s="17">
        <f>IF(OR($B44="",T$5=""),"",IFERROR(SUMIFS(nrES_Rec,nrES_PID,$B44,nrES_Code,T$5,nrES_Final,"Yes"),""))</f>
        <v/>
      </c>
      <c r="U44" s="17">
        <f>IF(OR($B44="",U$5=""),"",IFERROR(SUMIFS(nrES_Rec,nrES_PID,$B44,nrES_Code,U$5,nrES_Final,"Yes"),""))</f>
        <v/>
      </c>
      <c r="V44" s="17">
        <f>IF(OR($B44="",V$5=""),"",IFERROR(SUMIFS(nrES_Rec,nrES_PID,$B44,nrES_Code,V$5,nrES_Final,"Yes"),""))</f>
        <v/>
      </c>
      <c r="W44" s="17">
        <f>IF(OR($B44="",W$5=""),"",IFERROR(SUMIFS(nrES_Rec,nrES_PID,$B44,nrES_Code,W$5,nrES_Final,"Yes"),""))</f>
        <v/>
      </c>
      <c r="X44" s="17">
        <f>IF(OR($B44="",X$5=""),"",IFERROR(SUMIFS(nrES_Rec,nrES_PID,$B44,nrES_Code,X$5,nrES_Final,"Yes"),""))</f>
        <v/>
      </c>
      <c r="Y44" s="17">
        <f>IF(OR($B44="",Y$5=""),"",IFERROR(SUMIFS(nrES_Rec,nrES_PID,$B44,nrES_Code,Y$5,nrES_Final,"Yes"),""))</f>
        <v/>
      </c>
      <c r="Z44" s="17">
        <f>IF(OR($B44="",Z$5=""),"",IFERROR(SUMIFS(nrES_Rec,nrES_PID,$B44,nrES_Code,Z$5,nrES_Final,"Yes"),""))</f>
        <v/>
      </c>
      <c r="AA44" s="17">
        <f>IF(OR($B44="",AA$5=""),"",IFERROR(SUMIFS(nrES_Rec,nrES_PID,$B44,nrES_Code,AA$5,nrES_Final,"Yes"),""))</f>
        <v/>
      </c>
      <c r="AB44" s="17">
        <f>IF(OR($B44="",AB$5=""),"",IFERROR(SUMIFS(nrES_Rec,nrES_PID,$B44,nrES_Code,AB$5,nrES_Final,"Yes"),""))</f>
        <v/>
      </c>
      <c r="AC44" s="17">
        <f>IF($B44="","",sysGrades!$M44)</f>
        <v/>
      </c>
      <c r="AD44" s="17">
        <f>IF($B44="","",IFERROR(sysGrades!$U44,""))</f>
        <v/>
      </c>
    </row>
    <row r="45">
      <c r="B45" s="17">
        <f>IF(Cadets!$B45="","",Cadets!$B45)</f>
        <v/>
      </c>
      <c r="C45" s="17">
        <f>IF($B45="","",Cadets!$F45)</f>
        <v/>
      </c>
      <c r="D45" s="17">
        <f>IF(OR($B45="",D$5=""),"",IFERROR(SUMIFS(nrES_Rec,nrES_PID,$B45,nrES_Code,D$5,nrES_Final,"Yes"),""))</f>
        <v/>
      </c>
      <c r="E45" s="17">
        <f>IF(OR($B45="",E$5=""),"",IFERROR(SUMIFS(nrES_Rec,nrES_PID,$B45,nrES_Code,E$5,nrES_Final,"Yes"),""))</f>
        <v/>
      </c>
      <c r="F45" s="17">
        <f>IF(OR($B45="",F$5=""),"",IFERROR(SUMIFS(nrES_Rec,nrES_PID,$B45,nrES_Code,F$5,nrES_Final,"Yes"),""))</f>
        <v/>
      </c>
      <c r="G45" s="17">
        <f>IF(OR($B45="",G$5=""),"",IFERROR(SUMIFS(nrES_Rec,nrES_PID,$B45,nrES_Code,G$5,nrES_Final,"Yes"),""))</f>
        <v/>
      </c>
      <c r="H45" s="17">
        <f>IF(OR($B45="",H$5=""),"",IFERROR(SUMIFS(nrES_Rec,nrES_PID,$B45,nrES_Code,H$5,nrES_Final,"Yes"),""))</f>
        <v/>
      </c>
      <c r="I45" s="17">
        <f>IF(OR($B45="",I$5=""),"",IFERROR(SUMIFS(nrES_Rec,nrES_PID,$B45,nrES_Code,I$5,nrES_Final,"Yes"),""))</f>
        <v/>
      </c>
      <c r="J45" s="17">
        <f>IF(OR($B45="",J$5=""),"",IFERROR(SUMIFS(nrES_Rec,nrES_PID,$B45,nrES_Code,J$5,nrES_Final,"Yes"),""))</f>
        <v/>
      </c>
      <c r="K45" s="17">
        <f>IF(OR($B45="",K$5=""),"",IFERROR(SUMIFS(nrES_Rec,nrES_PID,$B45,nrES_Code,K$5,nrES_Final,"Yes"),""))</f>
        <v/>
      </c>
      <c r="L45" s="17">
        <f>IF(OR($B45="",L$5=""),"",IFERROR(SUMIFS(nrES_Rec,nrES_PID,$B45,nrES_Code,L$5,nrES_Final,"Yes"),""))</f>
        <v/>
      </c>
      <c r="M45" s="17">
        <f>IF(OR($B45="",M$5=""),"",IFERROR(SUMIFS(nrES_Rec,nrES_PID,$B45,nrES_Code,M$5,nrES_Final,"Yes"),""))</f>
        <v/>
      </c>
      <c r="N45" s="17">
        <f>IF(OR($B45="",N$5=""),"",IFERROR(SUMIFS(nrES_Rec,nrES_PID,$B45,nrES_Code,N$5,nrES_Final,"Yes"),""))</f>
        <v/>
      </c>
      <c r="O45" s="17">
        <f>IF(OR($B45="",O$5=""),"",IFERROR(SUMIFS(nrES_Rec,nrES_PID,$B45,nrES_Code,O$5,nrES_Final,"Yes"),""))</f>
        <v/>
      </c>
      <c r="P45" s="17">
        <f>IF(OR($B45="",P$5=""),"",IFERROR(SUMIFS(nrES_Rec,nrES_PID,$B45,nrES_Code,P$5,nrES_Final,"Yes"),""))</f>
        <v/>
      </c>
      <c r="Q45" s="17">
        <f>IF(OR($B45="",Q$5=""),"",IFERROR(SUMIFS(nrES_Rec,nrES_PID,$B45,nrES_Code,Q$5,nrES_Final,"Yes"),""))</f>
        <v/>
      </c>
      <c r="R45" s="17">
        <f>IF(OR($B45="",R$5=""),"",IFERROR(SUMIFS(nrES_Rec,nrES_PID,$B45,nrES_Code,R$5,nrES_Final,"Yes"),""))</f>
        <v/>
      </c>
      <c r="S45" s="17">
        <f>IF(OR($B45="",S$5=""),"",IFERROR(SUMIFS(nrES_Rec,nrES_PID,$B45,nrES_Code,S$5,nrES_Final,"Yes"),""))</f>
        <v/>
      </c>
      <c r="T45" s="17">
        <f>IF(OR($B45="",T$5=""),"",IFERROR(SUMIFS(nrES_Rec,nrES_PID,$B45,nrES_Code,T$5,nrES_Final,"Yes"),""))</f>
        <v/>
      </c>
      <c r="U45" s="17">
        <f>IF(OR($B45="",U$5=""),"",IFERROR(SUMIFS(nrES_Rec,nrES_PID,$B45,nrES_Code,U$5,nrES_Final,"Yes"),""))</f>
        <v/>
      </c>
      <c r="V45" s="17">
        <f>IF(OR($B45="",V$5=""),"",IFERROR(SUMIFS(nrES_Rec,nrES_PID,$B45,nrES_Code,V$5,nrES_Final,"Yes"),""))</f>
        <v/>
      </c>
      <c r="W45" s="17">
        <f>IF(OR($B45="",W$5=""),"",IFERROR(SUMIFS(nrES_Rec,nrES_PID,$B45,nrES_Code,W$5,nrES_Final,"Yes"),""))</f>
        <v/>
      </c>
      <c r="X45" s="17">
        <f>IF(OR($B45="",X$5=""),"",IFERROR(SUMIFS(nrES_Rec,nrES_PID,$B45,nrES_Code,X$5,nrES_Final,"Yes"),""))</f>
        <v/>
      </c>
      <c r="Y45" s="17">
        <f>IF(OR($B45="",Y$5=""),"",IFERROR(SUMIFS(nrES_Rec,nrES_PID,$B45,nrES_Code,Y$5,nrES_Final,"Yes"),""))</f>
        <v/>
      </c>
      <c r="Z45" s="17">
        <f>IF(OR($B45="",Z$5=""),"",IFERROR(SUMIFS(nrES_Rec,nrES_PID,$B45,nrES_Code,Z$5,nrES_Final,"Yes"),""))</f>
        <v/>
      </c>
      <c r="AA45" s="17">
        <f>IF(OR($B45="",AA$5=""),"",IFERROR(SUMIFS(nrES_Rec,nrES_PID,$B45,nrES_Code,AA$5,nrES_Final,"Yes"),""))</f>
        <v/>
      </c>
      <c r="AB45" s="17">
        <f>IF(OR($B45="",AB$5=""),"",IFERROR(SUMIFS(nrES_Rec,nrES_PID,$B45,nrES_Code,AB$5,nrES_Final,"Yes"),""))</f>
        <v/>
      </c>
      <c r="AC45" s="17">
        <f>IF($B45="","",sysGrades!$M45)</f>
        <v/>
      </c>
      <c r="AD45" s="17">
        <f>IF($B45="","",IFERROR(sysGrades!$U45,""))</f>
        <v/>
      </c>
    </row>
    <row r="46">
      <c r="B46" s="17">
        <f>IF(Cadets!$B46="","",Cadets!$B46)</f>
        <v/>
      </c>
      <c r="C46" s="17">
        <f>IF($B46="","",Cadets!$F46)</f>
        <v/>
      </c>
      <c r="D46" s="17">
        <f>IF(OR($B46="",D$5=""),"",IFERROR(SUMIFS(nrES_Rec,nrES_PID,$B46,nrES_Code,D$5,nrES_Final,"Yes"),""))</f>
        <v/>
      </c>
      <c r="E46" s="17">
        <f>IF(OR($B46="",E$5=""),"",IFERROR(SUMIFS(nrES_Rec,nrES_PID,$B46,nrES_Code,E$5,nrES_Final,"Yes"),""))</f>
        <v/>
      </c>
      <c r="F46" s="17">
        <f>IF(OR($B46="",F$5=""),"",IFERROR(SUMIFS(nrES_Rec,nrES_PID,$B46,nrES_Code,F$5,nrES_Final,"Yes"),""))</f>
        <v/>
      </c>
      <c r="G46" s="17">
        <f>IF(OR($B46="",G$5=""),"",IFERROR(SUMIFS(nrES_Rec,nrES_PID,$B46,nrES_Code,G$5,nrES_Final,"Yes"),""))</f>
        <v/>
      </c>
      <c r="H46" s="17">
        <f>IF(OR($B46="",H$5=""),"",IFERROR(SUMIFS(nrES_Rec,nrES_PID,$B46,nrES_Code,H$5,nrES_Final,"Yes"),""))</f>
        <v/>
      </c>
      <c r="I46" s="17">
        <f>IF(OR($B46="",I$5=""),"",IFERROR(SUMIFS(nrES_Rec,nrES_PID,$B46,nrES_Code,I$5,nrES_Final,"Yes"),""))</f>
        <v/>
      </c>
      <c r="J46" s="17">
        <f>IF(OR($B46="",J$5=""),"",IFERROR(SUMIFS(nrES_Rec,nrES_PID,$B46,nrES_Code,J$5,nrES_Final,"Yes"),""))</f>
        <v/>
      </c>
      <c r="K46" s="17">
        <f>IF(OR($B46="",K$5=""),"",IFERROR(SUMIFS(nrES_Rec,nrES_PID,$B46,nrES_Code,K$5,nrES_Final,"Yes"),""))</f>
        <v/>
      </c>
      <c r="L46" s="17">
        <f>IF(OR($B46="",L$5=""),"",IFERROR(SUMIFS(nrES_Rec,nrES_PID,$B46,nrES_Code,L$5,nrES_Final,"Yes"),""))</f>
        <v/>
      </c>
      <c r="M46" s="17">
        <f>IF(OR($B46="",M$5=""),"",IFERROR(SUMIFS(nrES_Rec,nrES_PID,$B46,nrES_Code,M$5,nrES_Final,"Yes"),""))</f>
        <v/>
      </c>
      <c r="N46" s="17">
        <f>IF(OR($B46="",N$5=""),"",IFERROR(SUMIFS(nrES_Rec,nrES_PID,$B46,nrES_Code,N$5,nrES_Final,"Yes"),""))</f>
        <v/>
      </c>
      <c r="O46" s="17">
        <f>IF(OR($B46="",O$5=""),"",IFERROR(SUMIFS(nrES_Rec,nrES_PID,$B46,nrES_Code,O$5,nrES_Final,"Yes"),""))</f>
        <v/>
      </c>
      <c r="P46" s="17">
        <f>IF(OR($B46="",P$5=""),"",IFERROR(SUMIFS(nrES_Rec,nrES_PID,$B46,nrES_Code,P$5,nrES_Final,"Yes"),""))</f>
        <v/>
      </c>
      <c r="Q46" s="17">
        <f>IF(OR($B46="",Q$5=""),"",IFERROR(SUMIFS(nrES_Rec,nrES_PID,$B46,nrES_Code,Q$5,nrES_Final,"Yes"),""))</f>
        <v/>
      </c>
      <c r="R46" s="17">
        <f>IF(OR($B46="",R$5=""),"",IFERROR(SUMIFS(nrES_Rec,nrES_PID,$B46,nrES_Code,R$5,nrES_Final,"Yes"),""))</f>
        <v/>
      </c>
      <c r="S46" s="17">
        <f>IF(OR($B46="",S$5=""),"",IFERROR(SUMIFS(nrES_Rec,nrES_PID,$B46,nrES_Code,S$5,nrES_Final,"Yes"),""))</f>
        <v/>
      </c>
      <c r="T46" s="17">
        <f>IF(OR($B46="",T$5=""),"",IFERROR(SUMIFS(nrES_Rec,nrES_PID,$B46,nrES_Code,T$5,nrES_Final,"Yes"),""))</f>
        <v/>
      </c>
      <c r="U46" s="17">
        <f>IF(OR($B46="",U$5=""),"",IFERROR(SUMIFS(nrES_Rec,nrES_PID,$B46,nrES_Code,U$5,nrES_Final,"Yes"),""))</f>
        <v/>
      </c>
      <c r="V46" s="17">
        <f>IF(OR($B46="",V$5=""),"",IFERROR(SUMIFS(nrES_Rec,nrES_PID,$B46,nrES_Code,V$5,nrES_Final,"Yes"),""))</f>
        <v/>
      </c>
      <c r="W46" s="17">
        <f>IF(OR($B46="",W$5=""),"",IFERROR(SUMIFS(nrES_Rec,nrES_PID,$B46,nrES_Code,W$5,nrES_Final,"Yes"),""))</f>
        <v/>
      </c>
      <c r="X46" s="17">
        <f>IF(OR($B46="",X$5=""),"",IFERROR(SUMIFS(nrES_Rec,nrES_PID,$B46,nrES_Code,X$5,nrES_Final,"Yes"),""))</f>
        <v/>
      </c>
      <c r="Y46" s="17">
        <f>IF(OR($B46="",Y$5=""),"",IFERROR(SUMIFS(nrES_Rec,nrES_PID,$B46,nrES_Code,Y$5,nrES_Final,"Yes"),""))</f>
        <v/>
      </c>
      <c r="Z46" s="17">
        <f>IF(OR($B46="",Z$5=""),"",IFERROR(SUMIFS(nrES_Rec,nrES_PID,$B46,nrES_Code,Z$5,nrES_Final,"Yes"),""))</f>
        <v/>
      </c>
      <c r="AA46" s="17">
        <f>IF(OR($B46="",AA$5=""),"",IFERROR(SUMIFS(nrES_Rec,nrES_PID,$B46,nrES_Code,AA$5,nrES_Final,"Yes"),""))</f>
        <v/>
      </c>
      <c r="AB46" s="17">
        <f>IF(OR($B46="",AB$5=""),"",IFERROR(SUMIFS(nrES_Rec,nrES_PID,$B46,nrES_Code,AB$5,nrES_Final,"Yes"),""))</f>
        <v/>
      </c>
      <c r="AC46" s="17">
        <f>IF($B46="","",sysGrades!$M46)</f>
        <v/>
      </c>
      <c r="AD46" s="17">
        <f>IF($B46="","",IFERROR(sysGrades!$U46,""))</f>
        <v/>
      </c>
    </row>
    <row r="47">
      <c r="B47" s="17">
        <f>IF(Cadets!$B47="","",Cadets!$B47)</f>
        <v/>
      </c>
      <c r="C47" s="17">
        <f>IF($B47="","",Cadets!$F47)</f>
        <v/>
      </c>
      <c r="D47" s="17">
        <f>IF(OR($B47="",D$5=""),"",IFERROR(SUMIFS(nrES_Rec,nrES_PID,$B47,nrES_Code,D$5,nrES_Final,"Yes"),""))</f>
        <v/>
      </c>
      <c r="E47" s="17">
        <f>IF(OR($B47="",E$5=""),"",IFERROR(SUMIFS(nrES_Rec,nrES_PID,$B47,nrES_Code,E$5,nrES_Final,"Yes"),""))</f>
        <v/>
      </c>
      <c r="F47" s="17">
        <f>IF(OR($B47="",F$5=""),"",IFERROR(SUMIFS(nrES_Rec,nrES_PID,$B47,nrES_Code,F$5,nrES_Final,"Yes"),""))</f>
        <v/>
      </c>
      <c r="G47" s="17">
        <f>IF(OR($B47="",G$5=""),"",IFERROR(SUMIFS(nrES_Rec,nrES_PID,$B47,nrES_Code,G$5,nrES_Final,"Yes"),""))</f>
        <v/>
      </c>
      <c r="H47" s="17">
        <f>IF(OR($B47="",H$5=""),"",IFERROR(SUMIFS(nrES_Rec,nrES_PID,$B47,nrES_Code,H$5,nrES_Final,"Yes"),""))</f>
        <v/>
      </c>
      <c r="I47" s="17">
        <f>IF(OR($B47="",I$5=""),"",IFERROR(SUMIFS(nrES_Rec,nrES_PID,$B47,nrES_Code,I$5,nrES_Final,"Yes"),""))</f>
        <v/>
      </c>
      <c r="J47" s="17">
        <f>IF(OR($B47="",J$5=""),"",IFERROR(SUMIFS(nrES_Rec,nrES_PID,$B47,nrES_Code,J$5,nrES_Final,"Yes"),""))</f>
        <v/>
      </c>
      <c r="K47" s="17">
        <f>IF(OR($B47="",K$5=""),"",IFERROR(SUMIFS(nrES_Rec,nrES_PID,$B47,nrES_Code,K$5,nrES_Final,"Yes"),""))</f>
        <v/>
      </c>
      <c r="L47" s="17">
        <f>IF(OR($B47="",L$5=""),"",IFERROR(SUMIFS(nrES_Rec,nrES_PID,$B47,nrES_Code,L$5,nrES_Final,"Yes"),""))</f>
        <v/>
      </c>
      <c r="M47" s="17">
        <f>IF(OR($B47="",M$5=""),"",IFERROR(SUMIFS(nrES_Rec,nrES_PID,$B47,nrES_Code,M$5,nrES_Final,"Yes"),""))</f>
        <v/>
      </c>
      <c r="N47" s="17">
        <f>IF(OR($B47="",N$5=""),"",IFERROR(SUMIFS(nrES_Rec,nrES_PID,$B47,nrES_Code,N$5,nrES_Final,"Yes"),""))</f>
        <v/>
      </c>
      <c r="O47" s="17">
        <f>IF(OR($B47="",O$5=""),"",IFERROR(SUMIFS(nrES_Rec,nrES_PID,$B47,nrES_Code,O$5,nrES_Final,"Yes"),""))</f>
        <v/>
      </c>
      <c r="P47" s="17">
        <f>IF(OR($B47="",P$5=""),"",IFERROR(SUMIFS(nrES_Rec,nrES_PID,$B47,nrES_Code,P$5,nrES_Final,"Yes"),""))</f>
        <v/>
      </c>
      <c r="Q47" s="17">
        <f>IF(OR($B47="",Q$5=""),"",IFERROR(SUMIFS(nrES_Rec,nrES_PID,$B47,nrES_Code,Q$5,nrES_Final,"Yes"),""))</f>
        <v/>
      </c>
      <c r="R47" s="17">
        <f>IF(OR($B47="",R$5=""),"",IFERROR(SUMIFS(nrES_Rec,nrES_PID,$B47,nrES_Code,R$5,nrES_Final,"Yes"),""))</f>
        <v/>
      </c>
      <c r="S47" s="17">
        <f>IF(OR($B47="",S$5=""),"",IFERROR(SUMIFS(nrES_Rec,nrES_PID,$B47,nrES_Code,S$5,nrES_Final,"Yes"),""))</f>
        <v/>
      </c>
      <c r="T47" s="17">
        <f>IF(OR($B47="",T$5=""),"",IFERROR(SUMIFS(nrES_Rec,nrES_PID,$B47,nrES_Code,T$5,nrES_Final,"Yes"),""))</f>
        <v/>
      </c>
      <c r="U47" s="17">
        <f>IF(OR($B47="",U$5=""),"",IFERROR(SUMIFS(nrES_Rec,nrES_PID,$B47,nrES_Code,U$5,nrES_Final,"Yes"),""))</f>
        <v/>
      </c>
      <c r="V47" s="17">
        <f>IF(OR($B47="",V$5=""),"",IFERROR(SUMIFS(nrES_Rec,nrES_PID,$B47,nrES_Code,V$5,nrES_Final,"Yes"),""))</f>
        <v/>
      </c>
      <c r="W47" s="17">
        <f>IF(OR($B47="",W$5=""),"",IFERROR(SUMIFS(nrES_Rec,nrES_PID,$B47,nrES_Code,W$5,nrES_Final,"Yes"),""))</f>
        <v/>
      </c>
      <c r="X47" s="17">
        <f>IF(OR($B47="",X$5=""),"",IFERROR(SUMIFS(nrES_Rec,nrES_PID,$B47,nrES_Code,X$5,nrES_Final,"Yes"),""))</f>
        <v/>
      </c>
      <c r="Y47" s="17">
        <f>IF(OR($B47="",Y$5=""),"",IFERROR(SUMIFS(nrES_Rec,nrES_PID,$B47,nrES_Code,Y$5,nrES_Final,"Yes"),""))</f>
        <v/>
      </c>
      <c r="Z47" s="17">
        <f>IF(OR($B47="",Z$5=""),"",IFERROR(SUMIFS(nrES_Rec,nrES_PID,$B47,nrES_Code,Z$5,nrES_Final,"Yes"),""))</f>
        <v/>
      </c>
      <c r="AA47" s="17">
        <f>IF(OR($B47="",AA$5=""),"",IFERROR(SUMIFS(nrES_Rec,nrES_PID,$B47,nrES_Code,AA$5,nrES_Final,"Yes"),""))</f>
        <v/>
      </c>
      <c r="AB47" s="17">
        <f>IF(OR($B47="",AB$5=""),"",IFERROR(SUMIFS(nrES_Rec,nrES_PID,$B47,nrES_Code,AB$5,nrES_Final,"Yes"),""))</f>
        <v/>
      </c>
      <c r="AC47" s="17">
        <f>IF($B47="","",sysGrades!$M47)</f>
        <v/>
      </c>
      <c r="AD47" s="17">
        <f>IF($B47="","",IFERROR(sysGrades!$U47,""))</f>
        <v/>
      </c>
    </row>
    <row r="48">
      <c r="B48" s="17">
        <f>IF(Cadets!$B48="","",Cadets!$B48)</f>
        <v/>
      </c>
      <c r="C48" s="17">
        <f>IF($B48="","",Cadets!$F48)</f>
        <v/>
      </c>
      <c r="D48" s="17">
        <f>IF(OR($B48="",D$5=""),"",IFERROR(SUMIFS(nrES_Rec,nrES_PID,$B48,nrES_Code,D$5,nrES_Final,"Yes"),""))</f>
        <v/>
      </c>
      <c r="E48" s="17">
        <f>IF(OR($B48="",E$5=""),"",IFERROR(SUMIFS(nrES_Rec,nrES_PID,$B48,nrES_Code,E$5,nrES_Final,"Yes"),""))</f>
        <v/>
      </c>
      <c r="F48" s="17">
        <f>IF(OR($B48="",F$5=""),"",IFERROR(SUMIFS(nrES_Rec,nrES_PID,$B48,nrES_Code,F$5,nrES_Final,"Yes"),""))</f>
        <v/>
      </c>
      <c r="G48" s="17">
        <f>IF(OR($B48="",G$5=""),"",IFERROR(SUMIFS(nrES_Rec,nrES_PID,$B48,nrES_Code,G$5,nrES_Final,"Yes"),""))</f>
        <v/>
      </c>
      <c r="H48" s="17">
        <f>IF(OR($B48="",H$5=""),"",IFERROR(SUMIFS(nrES_Rec,nrES_PID,$B48,nrES_Code,H$5,nrES_Final,"Yes"),""))</f>
        <v/>
      </c>
      <c r="I48" s="17">
        <f>IF(OR($B48="",I$5=""),"",IFERROR(SUMIFS(nrES_Rec,nrES_PID,$B48,nrES_Code,I$5,nrES_Final,"Yes"),""))</f>
        <v/>
      </c>
      <c r="J48" s="17">
        <f>IF(OR($B48="",J$5=""),"",IFERROR(SUMIFS(nrES_Rec,nrES_PID,$B48,nrES_Code,J$5,nrES_Final,"Yes"),""))</f>
        <v/>
      </c>
      <c r="K48" s="17">
        <f>IF(OR($B48="",K$5=""),"",IFERROR(SUMIFS(nrES_Rec,nrES_PID,$B48,nrES_Code,K$5,nrES_Final,"Yes"),""))</f>
        <v/>
      </c>
      <c r="L48" s="17">
        <f>IF(OR($B48="",L$5=""),"",IFERROR(SUMIFS(nrES_Rec,nrES_PID,$B48,nrES_Code,L$5,nrES_Final,"Yes"),""))</f>
        <v/>
      </c>
      <c r="M48" s="17">
        <f>IF(OR($B48="",M$5=""),"",IFERROR(SUMIFS(nrES_Rec,nrES_PID,$B48,nrES_Code,M$5,nrES_Final,"Yes"),""))</f>
        <v/>
      </c>
      <c r="N48" s="17">
        <f>IF(OR($B48="",N$5=""),"",IFERROR(SUMIFS(nrES_Rec,nrES_PID,$B48,nrES_Code,N$5,nrES_Final,"Yes"),""))</f>
        <v/>
      </c>
      <c r="O48" s="17">
        <f>IF(OR($B48="",O$5=""),"",IFERROR(SUMIFS(nrES_Rec,nrES_PID,$B48,nrES_Code,O$5,nrES_Final,"Yes"),""))</f>
        <v/>
      </c>
      <c r="P48" s="17">
        <f>IF(OR($B48="",P$5=""),"",IFERROR(SUMIFS(nrES_Rec,nrES_PID,$B48,nrES_Code,P$5,nrES_Final,"Yes"),""))</f>
        <v/>
      </c>
      <c r="Q48" s="17">
        <f>IF(OR($B48="",Q$5=""),"",IFERROR(SUMIFS(nrES_Rec,nrES_PID,$B48,nrES_Code,Q$5,nrES_Final,"Yes"),""))</f>
        <v/>
      </c>
      <c r="R48" s="17">
        <f>IF(OR($B48="",R$5=""),"",IFERROR(SUMIFS(nrES_Rec,nrES_PID,$B48,nrES_Code,R$5,nrES_Final,"Yes"),""))</f>
        <v/>
      </c>
      <c r="S48" s="17">
        <f>IF(OR($B48="",S$5=""),"",IFERROR(SUMIFS(nrES_Rec,nrES_PID,$B48,nrES_Code,S$5,nrES_Final,"Yes"),""))</f>
        <v/>
      </c>
      <c r="T48" s="17">
        <f>IF(OR($B48="",T$5=""),"",IFERROR(SUMIFS(nrES_Rec,nrES_PID,$B48,nrES_Code,T$5,nrES_Final,"Yes"),""))</f>
        <v/>
      </c>
      <c r="U48" s="17">
        <f>IF(OR($B48="",U$5=""),"",IFERROR(SUMIFS(nrES_Rec,nrES_PID,$B48,nrES_Code,U$5,nrES_Final,"Yes"),""))</f>
        <v/>
      </c>
      <c r="V48" s="17">
        <f>IF(OR($B48="",V$5=""),"",IFERROR(SUMIFS(nrES_Rec,nrES_PID,$B48,nrES_Code,V$5,nrES_Final,"Yes"),""))</f>
        <v/>
      </c>
      <c r="W48" s="17">
        <f>IF(OR($B48="",W$5=""),"",IFERROR(SUMIFS(nrES_Rec,nrES_PID,$B48,nrES_Code,W$5,nrES_Final,"Yes"),""))</f>
        <v/>
      </c>
      <c r="X48" s="17">
        <f>IF(OR($B48="",X$5=""),"",IFERROR(SUMIFS(nrES_Rec,nrES_PID,$B48,nrES_Code,X$5,nrES_Final,"Yes"),""))</f>
        <v/>
      </c>
      <c r="Y48" s="17">
        <f>IF(OR($B48="",Y$5=""),"",IFERROR(SUMIFS(nrES_Rec,nrES_PID,$B48,nrES_Code,Y$5,nrES_Final,"Yes"),""))</f>
        <v/>
      </c>
      <c r="Z48" s="17">
        <f>IF(OR($B48="",Z$5=""),"",IFERROR(SUMIFS(nrES_Rec,nrES_PID,$B48,nrES_Code,Z$5,nrES_Final,"Yes"),""))</f>
        <v/>
      </c>
      <c r="AA48" s="17">
        <f>IF(OR($B48="",AA$5=""),"",IFERROR(SUMIFS(nrES_Rec,nrES_PID,$B48,nrES_Code,AA$5,nrES_Final,"Yes"),""))</f>
        <v/>
      </c>
      <c r="AB48" s="17">
        <f>IF(OR($B48="",AB$5=""),"",IFERROR(SUMIFS(nrES_Rec,nrES_PID,$B48,nrES_Code,AB$5,nrES_Final,"Yes"),""))</f>
        <v/>
      </c>
      <c r="AC48" s="17">
        <f>IF($B48="","",sysGrades!$M48)</f>
        <v/>
      </c>
      <c r="AD48" s="17">
        <f>IF($B48="","",IFERROR(sysGrades!$U48,""))</f>
        <v/>
      </c>
    </row>
    <row r="49">
      <c r="B49" s="17">
        <f>IF(Cadets!$B49="","",Cadets!$B49)</f>
        <v/>
      </c>
      <c r="C49" s="17">
        <f>IF($B49="","",Cadets!$F49)</f>
        <v/>
      </c>
      <c r="D49" s="17">
        <f>IF(OR($B49="",D$5=""),"",IFERROR(SUMIFS(nrES_Rec,nrES_PID,$B49,nrES_Code,D$5,nrES_Final,"Yes"),""))</f>
        <v/>
      </c>
      <c r="E49" s="17">
        <f>IF(OR($B49="",E$5=""),"",IFERROR(SUMIFS(nrES_Rec,nrES_PID,$B49,nrES_Code,E$5,nrES_Final,"Yes"),""))</f>
        <v/>
      </c>
      <c r="F49" s="17">
        <f>IF(OR($B49="",F$5=""),"",IFERROR(SUMIFS(nrES_Rec,nrES_PID,$B49,nrES_Code,F$5,nrES_Final,"Yes"),""))</f>
        <v/>
      </c>
      <c r="G49" s="17">
        <f>IF(OR($B49="",G$5=""),"",IFERROR(SUMIFS(nrES_Rec,nrES_PID,$B49,nrES_Code,G$5,nrES_Final,"Yes"),""))</f>
        <v/>
      </c>
      <c r="H49" s="17">
        <f>IF(OR($B49="",H$5=""),"",IFERROR(SUMIFS(nrES_Rec,nrES_PID,$B49,nrES_Code,H$5,nrES_Final,"Yes"),""))</f>
        <v/>
      </c>
      <c r="I49" s="17">
        <f>IF(OR($B49="",I$5=""),"",IFERROR(SUMIFS(nrES_Rec,nrES_PID,$B49,nrES_Code,I$5,nrES_Final,"Yes"),""))</f>
        <v/>
      </c>
      <c r="J49" s="17">
        <f>IF(OR($B49="",J$5=""),"",IFERROR(SUMIFS(nrES_Rec,nrES_PID,$B49,nrES_Code,J$5,nrES_Final,"Yes"),""))</f>
        <v/>
      </c>
      <c r="K49" s="17">
        <f>IF(OR($B49="",K$5=""),"",IFERROR(SUMIFS(nrES_Rec,nrES_PID,$B49,nrES_Code,K$5,nrES_Final,"Yes"),""))</f>
        <v/>
      </c>
      <c r="L49" s="17">
        <f>IF(OR($B49="",L$5=""),"",IFERROR(SUMIFS(nrES_Rec,nrES_PID,$B49,nrES_Code,L$5,nrES_Final,"Yes"),""))</f>
        <v/>
      </c>
      <c r="M49" s="17">
        <f>IF(OR($B49="",M$5=""),"",IFERROR(SUMIFS(nrES_Rec,nrES_PID,$B49,nrES_Code,M$5,nrES_Final,"Yes"),""))</f>
        <v/>
      </c>
      <c r="N49" s="17">
        <f>IF(OR($B49="",N$5=""),"",IFERROR(SUMIFS(nrES_Rec,nrES_PID,$B49,nrES_Code,N$5,nrES_Final,"Yes"),""))</f>
        <v/>
      </c>
      <c r="O49" s="17">
        <f>IF(OR($B49="",O$5=""),"",IFERROR(SUMIFS(nrES_Rec,nrES_PID,$B49,nrES_Code,O$5,nrES_Final,"Yes"),""))</f>
        <v/>
      </c>
      <c r="P49" s="17">
        <f>IF(OR($B49="",P$5=""),"",IFERROR(SUMIFS(nrES_Rec,nrES_PID,$B49,nrES_Code,P$5,nrES_Final,"Yes"),""))</f>
        <v/>
      </c>
      <c r="Q49" s="17">
        <f>IF(OR($B49="",Q$5=""),"",IFERROR(SUMIFS(nrES_Rec,nrES_PID,$B49,nrES_Code,Q$5,nrES_Final,"Yes"),""))</f>
        <v/>
      </c>
      <c r="R49" s="17">
        <f>IF(OR($B49="",R$5=""),"",IFERROR(SUMIFS(nrES_Rec,nrES_PID,$B49,nrES_Code,R$5,nrES_Final,"Yes"),""))</f>
        <v/>
      </c>
      <c r="S49" s="17">
        <f>IF(OR($B49="",S$5=""),"",IFERROR(SUMIFS(nrES_Rec,nrES_PID,$B49,nrES_Code,S$5,nrES_Final,"Yes"),""))</f>
        <v/>
      </c>
      <c r="T49" s="17">
        <f>IF(OR($B49="",T$5=""),"",IFERROR(SUMIFS(nrES_Rec,nrES_PID,$B49,nrES_Code,T$5,nrES_Final,"Yes"),""))</f>
        <v/>
      </c>
      <c r="U49" s="17">
        <f>IF(OR($B49="",U$5=""),"",IFERROR(SUMIFS(nrES_Rec,nrES_PID,$B49,nrES_Code,U$5,nrES_Final,"Yes"),""))</f>
        <v/>
      </c>
      <c r="V49" s="17">
        <f>IF(OR($B49="",V$5=""),"",IFERROR(SUMIFS(nrES_Rec,nrES_PID,$B49,nrES_Code,V$5,nrES_Final,"Yes"),""))</f>
        <v/>
      </c>
      <c r="W49" s="17">
        <f>IF(OR($B49="",W$5=""),"",IFERROR(SUMIFS(nrES_Rec,nrES_PID,$B49,nrES_Code,W$5,nrES_Final,"Yes"),""))</f>
        <v/>
      </c>
      <c r="X49" s="17">
        <f>IF(OR($B49="",X$5=""),"",IFERROR(SUMIFS(nrES_Rec,nrES_PID,$B49,nrES_Code,X$5,nrES_Final,"Yes"),""))</f>
        <v/>
      </c>
      <c r="Y49" s="17">
        <f>IF(OR($B49="",Y$5=""),"",IFERROR(SUMIFS(nrES_Rec,nrES_PID,$B49,nrES_Code,Y$5,nrES_Final,"Yes"),""))</f>
        <v/>
      </c>
      <c r="Z49" s="17">
        <f>IF(OR($B49="",Z$5=""),"",IFERROR(SUMIFS(nrES_Rec,nrES_PID,$B49,nrES_Code,Z$5,nrES_Final,"Yes"),""))</f>
        <v/>
      </c>
      <c r="AA49" s="17">
        <f>IF(OR($B49="",AA$5=""),"",IFERROR(SUMIFS(nrES_Rec,nrES_PID,$B49,nrES_Code,AA$5,nrES_Final,"Yes"),""))</f>
        <v/>
      </c>
      <c r="AB49" s="17">
        <f>IF(OR($B49="",AB$5=""),"",IFERROR(SUMIFS(nrES_Rec,nrES_PID,$B49,nrES_Code,AB$5,nrES_Final,"Yes"),""))</f>
        <v/>
      </c>
      <c r="AC49" s="17">
        <f>IF($B49="","",sysGrades!$M49)</f>
        <v/>
      </c>
      <c r="AD49" s="17">
        <f>IF($B49="","",IFERROR(sysGrades!$U49,""))</f>
        <v/>
      </c>
    </row>
    <row r="50">
      <c r="B50" s="17">
        <f>IF(Cadets!$B50="","",Cadets!$B50)</f>
        <v/>
      </c>
      <c r="C50" s="17">
        <f>IF($B50="","",Cadets!$F50)</f>
        <v/>
      </c>
      <c r="D50" s="17">
        <f>IF(OR($B50="",D$5=""),"",IFERROR(SUMIFS(nrES_Rec,nrES_PID,$B50,nrES_Code,D$5,nrES_Final,"Yes"),""))</f>
        <v/>
      </c>
      <c r="E50" s="17">
        <f>IF(OR($B50="",E$5=""),"",IFERROR(SUMIFS(nrES_Rec,nrES_PID,$B50,nrES_Code,E$5,nrES_Final,"Yes"),""))</f>
        <v/>
      </c>
      <c r="F50" s="17">
        <f>IF(OR($B50="",F$5=""),"",IFERROR(SUMIFS(nrES_Rec,nrES_PID,$B50,nrES_Code,F$5,nrES_Final,"Yes"),""))</f>
        <v/>
      </c>
      <c r="G50" s="17">
        <f>IF(OR($B50="",G$5=""),"",IFERROR(SUMIFS(nrES_Rec,nrES_PID,$B50,nrES_Code,G$5,nrES_Final,"Yes"),""))</f>
        <v/>
      </c>
      <c r="H50" s="17">
        <f>IF(OR($B50="",H$5=""),"",IFERROR(SUMIFS(nrES_Rec,nrES_PID,$B50,nrES_Code,H$5,nrES_Final,"Yes"),""))</f>
        <v/>
      </c>
      <c r="I50" s="17">
        <f>IF(OR($B50="",I$5=""),"",IFERROR(SUMIFS(nrES_Rec,nrES_PID,$B50,nrES_Code,I$5,nrES_Final,"Yes"),""))</f>
        <v/>
      </c>
      <c r="J50" s="17">
        <f>IF(OR($B50="",J$5=""),"",IFERROR(SUMIFS(nrES_Rec,nrES_PID,$B50,nrES_Code,J$5,nrES_Final,"Yes"),""))</f>
        <v/>
      </c>
      <c r="K50" s="17">
        <f>IF(OR($B50="",K$5=""),"",IFERROR(SUMIFS(nrES_Rec,nrES_PID,$B50,nrES_Code,K$5,nrES_Final,"Yes"),""))</f>
        <v/>
      </c>
      <c r="L50" s="17">
        <f>IF(OR($B50="",L$5=""),"",IFERROR(SUMIFS(nrES_Rec,nrES_PID,$B50,nrES_Code,L$5,nrES_Final,"Yes"),""))</f>
        <v/>
      </c>
      <c r="M50" s="17">
        <f>IF(OR($B50="",M$5=""),"",IFERROR(SUMIFS(nrES_Rec,nrES_PID,$B50,nrES_Code,M$5,nrES_Final,"Yes"),""))</f>
        <v/>
      </c>
      <c r="N50" s="17">
        <f>IF(OR($B50="",N$5=""),"",IFERROR(SUMIFS(nrES_Rec,nrES_PID,$B50,nrES_Code,N$5,nrES_Final,"Yes"),""))</f>
        <v/>
      </c>
      <c r="O50" s="17">
        <f>IF(OR($B50="",O$5=""),"",IFERROR(SUMIFS(nrES_Rec,nrES_PID,$B50,nrES_Code,O$5,nrES_Final,"Yes"),""))</f>
        <v/>
      </c>
      <c r="P50" s="17">
        <f>IF(OR($B50="",P$5=""),"",IFERROR(SUMIFS(nrES_Rec,nrES_PID,$B50,nrES_Code,P$5,nrES_Final,"Yes"),""))</f>
        <v/>
      </c>
      <c r="Q50" s="17">
        <f>IF(OR($B50="",Q$5=""),"",IFERROR(SUMIFS(nrES_Rec,nrES_PID,$B50,nrES_Code,Q$5,nrES_Final,"Yes"),""))</f>
        <v/>
      </c>
      <c r="R50" s="17">
        <f>IF(OR($B50="",R$5=""),"",IFERROR(SUMIFS(nrES_Rec,nrES_PID,$B50,nrES_Code,R$5,nrES_Final,"Yes"),""))</f>
        <v/>
      </c>
      <c r="S50" s="17">
        <f>IF(OR($B50="",S$5=""),"",IFERROR(SUMIFS(nrES_Rec,nrES_PID,$B50,nrES_Code,S$5,nrES_Final,"Yes"),""))</f>
        <v/>
      </c>
      <c r="T50" s="17">
        <f>IF(OR($B50="",T$5=""),"",IFERROR(SUMIFS(nrES_Rec,nrES_PID,$B50,nrES_Code,T$5,nrES_Final,"Yes"),""))</f>
        <v/>
      </c>
      <c r="U50" s="17">
        <f>IF(OR($B50="",U$5=""),"",IFERROR(SUMIFS(nrES_Rec,nrES_PID,$B50,nrES_Code,U$5,nrES_Final,"Yes"),""))</f>
        <v/>
      </c>
      <c r="V50" s="17">
        <f>IF(OR($B50="",V$5=""),"",IFERROR(SUMIFS(nrES_Rec,nrES_PID,$B50,nrES_Code,V$5,nrES_Final,"Yes"),""))</f>
        <v/>
      </c>
      <c r="W50" s="17">
        <f>IF(OR($B50="",W$5=""),"",IFERROR(SUMIFS(nrES_Rec,nrES_PID,$B50,nrES_Code,W$5,nrES_Final,"Yes"),""))</f>
        <v/>
      </c>
      <c r="X50" s="17">
        <f>IF(OR($B50="",X$5=""),"",IFERROR(SUMIFS(nrES_Rec,nrES_PID,$B50,nrES_Code,X$5,nrES_Final,"Yes"),""))</f>
        <v/>
      </c>
      <c r="Y50" s="17">
        <f>IF(OR($B50="",Y$5=""),"",IFERROR(SUMIFS(nrES_Rec,nrES_PID,$B50,nrES_Code,Y$5,nrES_Final,"Yes"),""))</f>
        <v/>
      </c>
      <c r="Z50" s="17">
        <f>IF(OR($B50="",Z$5=""),"",IFERROR(SUMIFS(nrES_Rec,nrES_PID,$B50,nrES_Code,Z$5,nrES_Final,"Yes"),""))</f>
        <v/>
      </c>
      <c r="AA50" s="17">
        <f>IF(OR($B50="",AA$5=""),"",IFERROR(SUMIFS(nrES_Rec,nrES_PID,$B50,nrES_Code,AA$5,nrES_Final,"Yes"),""))</f>
        <v/>
      </c>
      <c r="AB50" s="17">
        <f>IF(OR($B50="",AB$5=""),"",IFERROR(SUMIFS(nrES_Rec,nrES_PID,$B50,nrES_Code,AB$5,nrES_Final,"Yes"),""))</f>
        <v/>
      </c>
      <c r="AC50" s="17">
        <f>IF($B50="","",sysGrades!$M50)</f>
        <v/>
      </c>
      <c r="AD50" s="17">
        <f>IF($B50="","",IFERROR(sysGrades!$U50,""))</f>
        <v/>
      </c>
    </row>
    <row r="51">
      <c r="B51" s="17">
        <f>IF(Cadets!$B51="","",Cadets!$B51)</f>
        <v/>
      </c>
      <c r="C51" s="17">
        <f>IF($B51="","",Cadets!$F51)</f>
        <v/>
      </c>
      <c r="D51" s="17">
        <f>IF(OR($B51="",D$5=""),"",IFERROR(SUMIFS(nrES_Rec,nrES_PID,$B51,nrES_Code,D$5,nrES_Final,"Yes"),""))</f>
        <v/>
      </c>
      <c r="E51" s="17">
        <f>IF(OR($B51="",E$5=""),"",IFERROR(SUMIFS(nrES_Rec,nrES_PID,$B51,nrES_Code,E$5,nrES_Final,"Yes"),""))</f>
        <v/>
      </c>
      <c r="F51" s="17">
        <f>IF(OR($B51="",F$5=""),"",IFERROR(SUMIFS(nrES_Rec,nrES_PID,$B51,nrES_Code,F$5,nrES_Final,"Yes"),""))</f>
        <v/>
      </c>
      <c r="G51" s="17">
        <f>IF(OR($B51="",G$5=""),"",IFERROR(SUMIFS(nrES_Rec,nrES_PID,$B51,nrES_Code,G$5,nrES_Final,"Yes"),""))</f>
        <v/>
      </c>
      <c r="H51" s="17">
        <f>IF(OR($B51="",H$5=""),"",IFERROR(SUMIFS(nrES_Rec,nrES_PID,$B51,nrES_Code,H$5,nrES_Final,"Yes"),""))</f>
        <v/>
      </c>
      <c r="I51" s="17">
        <f>IF(OR($B51="",I$5=""),"",IFERROR(SUMIFS(nrES_Rec,nrES_PID,$B51,nrES_Code,I$5,nrES_Final,"Yes"),""))</f>
        <v/>
      </c>
      <c r="J51" s="17">
        <f>IF(OR($B51="",J$5=""),"",IFERROR(SUMIFS(nrES_Rec,nrES_PID,$B51,nrES_Code,J$5,nrES_Final,"Yes"),""))</f>
        <v/>
      </c>
      <c r="K51" s="17">
        <f>IF(OR($B51="",K$5=""),"",IFERROR(SUMIFS(nrES_Rec,nrES_PID,$B51,nrES_Code,K$5,nrES_Final,"Yes"),""))</f>
        <v/>
      </c>
      <c r="L51" s="17">
        <f>IF(OR($B51="",L$5=""),"",IFERROR(SUMIFS(nrES_Rec,nrES_PID,$B51,nrES_Code,L$5,nrES_Final,"Yes"),""))</f>
        <v/>
      </c>
      <c r="M51" s="17">
        <f>IF(OR($B51="",M$5=""),"",IFERROR(SUMIFS(nrES_Rec,nrES_PID,$B51,nrES_Code,M$5,nrES_Final,"Yes"),""))</f>
        <v/>
      </c>
      <c r="N51" s="17">
        <f>IF(OR($B51="",N$5=""),"",IFERROR(SUMIFS(nrES_Rec,nrES_PID,$B51,nrES_Code,N$5,nrES_Final,"Yes"),""))</f>
        <v/>
      </c>
      <c r="O51" s="17">
        <f>IF(OR($B51="",O$5=""),"",IFERROR(SUMIFS(nrES_Rec,nrES_PID,$B51,nrES_Code,O$5,nrES_Final,"Yes"),""))</f>
        <v/>
      </c>
      <c r="P51" s="17">
        <f>IF(OR($B51="",P$5=""),"",IFERROR(SUMIFS(nrES_Rec,nrES_PID,$B51,nrES_Code,P$5,nrES_Final,"Yes"),""))</f>
        <v/>
      </c>
      <c r="Q51" s="17">
        <f>IF(OR($B51="",Q$5=""),"",IFERROR(SUMIFS(nrES_Rec,nrES_PID,$B51,nrES_Code,Q$5,nrES_Final,"Yes"),""))</f>
        <v/>
      </c>
      <c r="R51" s="17">
        <f>IF(OR($B51="",R$5=""),"",IFERROR(SUMIFS(nrES_Rec,nrES_PID,$B51,nrES_Code,R$5,nrES_Final,"Yes"),""))</f>
        <v/>
      </c>
      <c r="S51" s="17">
        <f>IF(OR($B51="",S$5=""),"",IFERROR(SUMIFS(nrES_Rec,nrES_PID,$B51,nrES_Code,S$5,nrES_Final,"Yes"),""))</f>
        <v/>
      </c>
      <c r="T51" s="17">
        <f>IF(OR($B51="",T$5=""),"",IFERROR(SUMIFS(nrES_Rec,nrES_PID,$B51,nrES_Code,T$5,nrES_Final,"Yes"),""))</f>
        <v/>
      </c>
      <c r="U51" s="17">
        <f>IF(OR($B51="",U$5=""),"",IFERROR(SUMIFS(nrES_Rec,nrES_PID,$B51,nrES_Code,U$5,nrES_Final,"Yes"),""))</f>
        <v/>
      </c>
      <c r="V51" s="17">
        <f>IF(OR($B51="",V$5=""),"",IFERROR(SUMIFS(nrES_Rec,nrES_PID,$B51,nrES_Code,V$5,nrES_Final,"Yes"),""))</f>
        <v/>
      </c>
      <c r="W51" s="17">
        <f>IF(OR($B51="",W$5=""),"",IFERROR(SUMIFS(nrES_Rec,nrES_PID,$B51,nrES_Code,W$5,nrES_Final,"Yes"),""))</f>
        <v/>
      </c>
      <c r="X51" s="17">
        <f>IF(OR($B51="",X$5=""),"",IFERROR(SUMIFS(nrES_Rec,nrES_PID,$B51,nrES_Code,X$5,nrES_Final,"Yes"),""))</f>
        <v/>
      </c>
      <c r="Y51" s="17">
        <f>IF(OR($B51="",Y$5=""),"",IFERROR(SUMIFS(nrES_Rec,nrES_PID,$B51,nrES_Code,Y$5,nrES_Final,"Yes"),""))</f>
        <v/>
      </c>
      <c r="Z51" s="17">
        <f>IF(OR($B51="",Z$5=""),"",IFERROR(SUMIFS(nrES_Rec,nrES_PID,$B51,nrES_Code,Z$5,nrES_Final,"Yes"),""))</f>
        <v/>
      </c>
      <c r="AA51" s="17">
        <f>IF(OR($B51="",AA$5=""),"",IFERROR(SUMIFS(nrES_Rec,nrES_PID,$B51,nrES_Code,AA$5,nrES_Final,"Yes"),""))</f>
        <v/>
      </c>
      <c r="AB51" s="17">
        <f>IF(OR($B51="",AB$5=""),"",IFERROR(SUMIFS(nrES_Rec,nrES_PID,$B51,nrES_Code,AB$5,nrES_Final,"Yes"),""))</f>
        <v/>
      </c>
      <c r="AC51" s="17">
        <f>IF($B51="","",sysGrades!$M51)</f>
        <v/>
      </c>
      <c r="AD51" s="17">
        <f>IF($B51="","",IFERROR(sysGrades!$U51,""))</f>
        <v/>
      </c>
    </row>
    <row r="52">
      <c r="B52" s="17">
        <f>IF(Cadets!$B52="","",Cadets!$B52)</f>
        <v/>
      </c>
      <c r="C52" s="17">
        <f>IF($B52="","",Cadets!$F52)</f>
        <v/>
      </c>
      <c r="D52" s="17">
        <f>IF(OR($B52="",D$5=""),"",IFERROR(SUMIFS(nrES_Rec,nrES_PID,$B52,nrES_Code,D$5,nrES_Final,"Yes"),""))</f>
        <v/>
      </c>
      <c r="E52" s="17">
        <f>IF(OR($B52="",E$5=""),"",IFERROR(SUMIFS(nrES_Rec,nrES_PID,$B52,nrES_Code,E$5,nrES_Final,"Yes"),""))</f>
        <v/>
      </c>
      <c r="F52" s="17">
        <f>IF(OR($B52="",F$5=""),"",IFERROR(SUMIFS(nrES_Rec,nrES_PID,$B52,nrES_Code,F$5,nrES_Final,"Yes"),""))</f>
        <v/>
      </c>
      <c r="G52" s="17">
        <f>IF(OR($B52="",G$5=""),"",IFERROR(SUMIFS(nrES_Rec,nrES_PID,$B52,nrES_Code,G$5,nrES_Final,"Yes"),""))</f>
        <v/>
      </c>
      <c r="H52" s="17">
        <f>IF(OR($B52="",H$5=""),"",IFERROR(SUMIFS(nrES_Rec,nrES_PID,$B52,nrES_Code,H$5,nrES_Final,"Yes"),""))</f>
        <v/>
      </c>
      <c r="I52" s="17">
        <f>IF(OR($B52="",I$5=""),"",IFERROR(SUMIFS(nrES_Rec,nrES_PID,$B52,nrES_Code,I$5,nrES_Final,"Yes"),""))</f>
        <v/>
      </c>
      <c r="J52" s="17">
        <f>IF(OR($B52="",J$5=""),"",IFERROR(SUMIFS(nrES_Rec,nrES_PID,$B52,nrES_Code,J$5,nrES_Final,"Yes"),""))</f>
        <v/>
      </c>
      <c r="K52" s="17">
        <f>IF(OR($B52="",K$5=""),"",IFERROR(SUMIFS(nrES_Rec,nrES_PID,$B52,nrES_Code,K$5,nrES_Final,"Yes"),""))</f>
        <v/>
      </c>
      <c r="L52" s="17">
        <f>IF(OR($B52="",L$5=""),"",IFERROR(SUMIFS(nrES_Rec,nrES_PID,$B52,nrES_Code,L$5,nrES_Final,"Yes"),""))</f>
        <v/>
      </c>
      <c r="M52" s="17">
        <f>IF(OR($B52="",M$5=""),"",IFERROR(SUMIFS(nrES_Rec,nrES_PID,$B52,nrES_Code,M$5,nrES_Final,"Yes"),""))</f>
        <v/>
      </c>
      <c r="N52" s="17">
        <f>IF(OR($B52="",N$5=""),"",IFERROR(SUMIFS(nrES_Rec,nrES_PID,$B52,nrES_Code,N$5,nrES_Final,"Yes"),""))</f>
        <v/>
      </c>
      <c r="O52" s="17">
        <f>IF(OR($B52="",O$5=""),"",IFERROR(SUMIFS(nrES_Rec,nrES_PID,$B52,nrES_Code,O$5,nrES_Final,"Yes"),""))</f>
        <v/>
      </c>
      <c r="P52" s="17">
        <f>IF(OR($B52="",P$5=""),"",IFERROR(SUMIFS(nrES_Rec,nrES_PID,$B52,nrES_Code,P$5,nrES_Final,"Yes"),""))</f>
        <v/>
      </c>
      <c r="Q52" s="17">
        <f>IF(OR($B52="",Q$5=""),"",IFERROR(SUMIFS(nrES_Rec,nrES_PID,$B52,nrES_Code,Q$5,nrES_Final,"Yes"),""))</f>
        <v/>
      </c>
      <c r="R52" s="17">
        <f>IF(OR($B52="",R$5=""),"",IFERROR(SUMIFS(nrES_Rec,nrES_PID,$B52,nrES_Code,R$5,nrES_Final,"Yes"),""))</f>
        <v/>
      </c>
      <c r="S52" s="17">
        <f>IF(OR($B52="",S$5=""),"",IFERROR(SUMIFS(nrES_Rec,nrES_PID,$B52,nrES_Code,S$5,nrES_Final,"Yes"),""))</f>
        <v/>
      </c>
      <c r="T52" s="17">
        <f>IF(OR($B52="",T$5=""),"",IFERROR(SUMIFS(nrES_Rec,nrES_PID,$B52,nrES_Code,T$5,nrES_Final,"Yes"),""))</f>
        <v/>
      </c>
      <c r="U52" s="17">
        <f>IF(OR($B52="",U$5=""),"",IFERROR(SUMIFS(nrES_Rec,nrES_PID,$B52,nrES_Code,U$5,nrES_Final,"Yes"),""))</f>
        <v/>
      </c>
      <c r="V52" s="17">
        <f>IF(OR($B52="",V$5=""),"",IFERROR(SUMIFS(nrES_Rec,nrES_PID,$B52,nrES_Code,V$5,nrES_Final,"Yes"),""))</f>
        <v/>
      </c>
      <c r="W52" s="17">
        <f>IF(OR($B52="",W$5=""),"",IFERROR(SUMIFS(nrES_Rec,nrES_PID,$B52,nrES_Code,W$5,nrES_Final,"Yes"),""))</f>
        <v/>
      </c>
      <c r="X52" s="17">
        <f>IF(OR($B52="",X$5=""),"",IFERROR(SUMIFS(nrES_Rec,nrES_PID,$B52,nrES_Code,X$5,nrES_Final,"Yes"),""))</f>
        <v/>
      </c>
      <c r="Y52" s="17">
        <f>IF(OR($B52="",Y$5=""),"",IFERROR(SUMIFS(nrES_Rec,nrES_PID,$B52,nrES_Code,Y$5,nrES_Final,"Yes"),""))</f>
        <v/>
      </c>
      <c r="Z52" s="17">
        <f>IF(OR($B52="",Z$5=""),"",IFERROR(SUMIFS(nrES_Rec,nrES_PID,$B52,nrES_Code,Z$5,nrES_Final,"Yes"),""))</f>
        <v/>
      </c>
      <c r="AA52" s="17">
        <f>IF(OR($B52="",AA$5=""),"",IFERROR(SUMIFS(nrES_Rec,nrES_PID,$B52,nrES_Code,AA$5,nrES_Final,"Yes"),""))</f>
        <v/>
      </c>
      <c r="AB52" s="17">
        <f>IF(OR($B52="",AB$5=""),"",IFERROR(SUMIFS(nrES_Rec,nrES_PID,$B52,nrES_Code,AB$5,nrES_Final,"Yes"),""))</f>
        <v/>
      </c>
      <c r="AC52" s="17">
        <f>IF($B52="","",sysGrades!$M52)</f>
        <v/>
      </c>
      <c r="AD52" s="17">
        <f>IF($B52="","",IFERROR(sysGrades!$U52,""))</f>
        <v/>
      </c>
    </row>
    <row r="53">
      <c r="B53" s="17">
        <f>IF(Cadets!$B53="","",Cadets!$B53)</f>
        <v/>
      </c>
      <c r="C53" s="17">
        <f>IF($B53="","",Cadets!$F53)</f>
        <v/>
      </c>
      <c r="D53" s="17">
        <f>IF(OR($B53="",D$5=""),"",IFERROR(SUMIFS(nrES_Rec,nrES_PID,$B53,nrES_Code,D$5,nrES_Final,"Yes"),""))</f>
        <v/>
      </c>
      <c r="E53" s="17">
        <f>IF(OR($B53="",E$5=""),"",IFERROR(SUMIFS(nrES_Rec,nrES_PID,$B53,nrES_Code,E$5,nrES_Final,"Yes"),""))</f>
        <v/>
      </c>
      <c r="F53" s="17">
        <f>IF(OR($B53="",F$5=""),"",IFERROR(SUMIFS(nrES_Rec,nrES_PID,$B53,nrES_Code,F$5,nrES_Final,"Yes"),""))</f>
        <v/>
      </c>
      <c r="G53" s="17">
        <f>IF(OR($B53="",G$5=""),"",IFERROR(SUMIFS(nrES_Rec,nrES_PID,$B53,nrES_Code,G$5,nrES_Final,"Yes"),""))</f>
        <v/>
      </c>
      <c r="H53" s="17">
        <f>IF(OR($B53="",H$5=""),"",IFERROR(SUMIFS(nrES_Rec,nrES_PID,$B53,nrES_Code,H$5,nrES_Final,"Yes"),""))</f>
        <v/>
      </c>
      <c r="I53" s="17">
        <f>IF(OR($B53="",I$5=""),"",IFERROR(SUMIFS(nrES_Rec,nrES_PID,$B53,nrES_Code,I$5,nrES_Final,"Yes"),""))</f>
        <v/>
      </c>
      <c r="J53" s="17">
        <f>IF(OR($B53="",J$5=""),"",IFERROR(SUMIFS(nrES_Rec,nrES_PID,$B53,nrES_Code,J$5,nrES_Final,"Yes"),""))</f>
        <v/>
      </c>
      <c r="K53" s="17">
        <f>IF(OR($B53="",K$5=""),"",IFERROR(SUMIFS(nrES_Rec,nrES_PID,$B53,nrES_Code,K$5,nrES_Final,"Yes"),""))</f>
        <v/>
      </c>
      <c r="L53" s="17">
        <f>IF(OR($B53="",L$5=""),"",IFERROR(SUMIFS(nrES_Rec,nrES_PID,$B53,nrES_Code,L$5,nrES_Final,"Yes"),""))</f>
        <v/>
      </c>
      <c r="M53" s="17">
        <f>IF(OR($B53="",M$5=""),"",IFERROR(SUMIFS(nrES_Rec,nrES_PID,$B53,nrES_Code,M$5,nrES_Final,"Yes"),""))</f>
        <v/>
      </c>
      <c r="N53" s="17">
        <f>IF(OR($B53="",N$5=""),"",IFERROR(SUMIFS(nrES_Rec,nrES_PID,$B53,nrES_Code,N$5,nrES_Final,"Yes"),""))</f>
        <v/>
      </c>
      <c r="O53" s="17">
        <f>IF(OR($B53="",O$5=""),"",IFERROR(SUMIFS(nrES_Rec,nrES_PID,$B53,nrES_Code,O$5,nrES_Final,"Yes"),""))</f>
        <v/>
      </c>
      <c r="P53" s="17">
        <f>IF(OR($B53="",P$5=""),"",IFERROR(SUMIFS(nrES_Rec,nrES_PID,$B53,nrES_Code,P$5,nrES_Final,"Yes"),""))</f>
        <v/>
      </c>
      <c r="Q53" s="17">
        <f>IF(OR($B53="",Q$5=""),"",IFERROR(SUMIFS(nrES_Rec,nrES_PID,$B53,nrES_Code,Q$5,nrES_Final,"Yes"),""))</f>
        <v/>
      </c>
      <c r="R53" s="17">
        <f>IF(OR($B53="",R$5=""),"",IFERROR(SUMIFS(nrES_Rec,nrES_PID,$B53,nrES_Code,R$5,nrES_Final,"Yes"),""))</f>
        <v/>
      </c>
      <c r="S53" s="17">
        <f>IF(OR($B53="",S$5=""),"",IFERROR(SUMIFS(nrES_Rec,nrES_PID,$B53,nrES_Code,S$5,nrES_Final,"Yes"),""))</f>
        <v/>
      </c>
      <c r="T53" s="17">
        <f>IF(OR($B53="",T$5=""),"",IFERROR(SUMIFS(nrES_Rec,nrES_PID,$B53,nrES_Code,T$5,nrES_Final,"Yes"),""))</f>
        <v/>
      </c>
      <c r="U53" s="17">
        <f>IF(OR($B53="",U$5=""),"",IFERROR(SUMIFS(nrES_Rec,nrES_PID,$B53,nrES_Code,U$5,nrES_Final,"Yes"),""))</f>
        <v/>
      </c>
      <c r="V53" s="17">
        <f>IF(OR($B53="",V$5=""),"",IFERROR(SUMIFS(nrES_Rec,nrES_PID,$B53,nrES_Code,V$5,nrES_Final,"Yes"),""))</f>
        <v/>
      </c>
      <c r="W53" s="17">
        <f>IF(OR($B53="",W$5=""),"",IFERROR(SUMIFS(nrES_Rec,nrES_PID,$B53,nrES_Code,W$5,nrES_Final,"Yes"),""))</f>
        <v/>
      </c>
      <c r="X53" s="17">
        <f>IF(OR($B53="",X$5=""),"",IFERROR(SUMIFS(nrES_Rec,nrES_PID,$B53,nrES_Code,X$5,nrES_Final,"Yes"),""))</f>
        <v/>
      </c>
      <c r="Y53" s="17">
        <f>IF(OR($B53="",Y$5=""),"",IFERROR(SUMIFS(nrES_Rec,nrES_PID,$B53,nrES_Code,Y$5,nrES_Final,"Yes"),""))</f>
        <v/>
      </c>
      <c r="Z53" s="17">
        <f>IF(OR($B53="",Z$5=""),"",IFERROR(SUMIFS(nrES_Rec,nrES_PID,$B53,nrES_Code,Z$5,nrES_Final,"Yes"),""))</f>
        <v/>
      </c>
      <c r="AA53" s="17">
        <f>IF(OR($B53="",AA$5=""),"",IFERROR(SUMIFS(nrES_Rec,nrES_PID,$B53,nrES_Code,AA$5,nrES_Final,"Yes"),""))</f>
        <v/>
      </c>
      <c r="AB53" s="17">
        <f>IF(OR($B53="",AB$5=""),"",IFERROR(SUMIFS(nrES_Rec,nrES_PID,$B53,nrES_Code,AB$5,nrES_Final,"Yes"),""))</f>
        <v/>
      </c>
      <c r="AC53" s="17">
        <f>IF($B53="","",sysGrades!$M53)</f>
        <v/>
      </c>
      <c r="AD53" s="17">
        <f>IF($B53="","",IFERROR(sysGrades!$U53,""))</f>
        <v/>
      </c>
    </row>
    <row r="54">
      <c r="B54" s="17">
        <f>IF(Cadets!$B54="","",Cadets!$B54)</f>
        <v/>
      </c>
      <c r="C54" s="17">
        <f>IF($B54="","",Cadets!$F54)</f>
        <v/>
      </c>
      <c r="D54" s="17">
        <f>IF(OR($B54="",D$5=""),"",IFERROR(SUMIFS(nrES_Rec,nrES_PID,$B54,nrES_Code,D$5,nrES_Final,"Yes"),""))</f>
        <v/>
      </c>
      <c r="E54" s="17">
        <f>IF(OR($B54="",E$5=""),"",IFERROR(SUMIFS(nrES_Rec,nrES_PID,$B54,nrES_Code,E$5,nrES_Final,"Yes"),""))</f>
        <v/>
      </c>
      <c r="F54" s="17">
        <f>IF(OR($B54="",F$5=""),"",IFERROR(SUMIFS(nrES_Rec,nrES_PID,$B54,nrES_Code,F$5,nrES_Final,"Yes"),""))</f>
        <v/>
      </c>
      <c r="G54" s="17">
        <f>IF(OR($B54="",G$5=""),"",IFERROR(SUMIFS(nrES_Rec,nrES_PID,$B54,nrES_Code,G$5,nrES_Final,"Yes"),""))</f>
        <v/>
      </c>
      <c r="H54" s="17">
        <f>IF(OR($B54="",H$5=""),"",IFERROR(SUMIFS(nrES_Rec,nrES_PID,$B54,nrES_Code,H$5,nrES_Final,"Yes"),""))</f>
        <v/>
      </c>
      <c r="I54" s="17">
        <f>IF(OR($B54="",I$5=""),"",IFERROR(SUMIFS(nrES_Rec,nrES_PID,$B54,nrES_Code,I$5,nrES_Final,"Yes"),""))</f>
        <v/>
      </c>
      <c r="J54" s="17">
        <f>IF(OR($B54="",J$5=""),"",IFERROR(SUMIFS(nrES_Rec,nrES_PID,$B54,nrES_Code,J$5,nrES_Final,"Yes"),""))</f>
        <v/>
      </c>
      <c r="K54" s="17">
        <f>IF(OR($B54="",K$5=""),"",IFERROR(SUMIFS(nrES_Rec,nrES_PID,$B54,nrES_Code,K$5,nrES_Final,"Yes"),""))</f>
        <v/>
      </c>
      <c r="L54" s="17">
        <f>IF(OR($B54="",L$5=""),"",IFERROR(SUMIFS(nrES_Rec,nrES_PID,$B54,nrES_Code,L$5,nrES_Final,"Yes"),""))</f>
        <v/>
      </c>
      <c r="M54" s="17">
        <f>IF(OR($B54="",M$5=""),"",IFERROR(SUMIFS(nrES_Rec,nrES_PID,$B54,nrES_Code,M$5,nrES_Final,"Yes"),""))</f>
        <v/>
      </c>
      <c r="N54" s="17">
        <f>IF(OR($B54="",N$5=""),"",IFERROR(SUMIFS(nrES_Rec,nrES_PID,$B54,nrES_Code,N$5,nrES_Final,"Yes"),""))</f>
        <v/>
      </c>
      <c r="O54" s="17">
        <f>IF(OR($B54="",O$5=""),"",IFERROR(SUMIFS(nrES_Rec,nrES_PID,$B54,nrES_Code,O$5,nrES_Final,"Yes"),""))</f>
        <v/>
      </c>
      <c r="P54" s="17">
        <f>IF(OR($B54="",P$5=""),"",IFERROR(SUMIFS(nrES_Rec,nrES_PID,$B54,nrES_Code,P$5,nrES_Final,"Yes"),""))</f>
        <v/>
      </c>
      <c r="Q54" s="17">
        <f>IF(OR($B54="",Q$5=""),"",IFERROR(SUMIFS(nrES_Rec,nrES_PID,$B54,nrES_Code,Q$5,nrES_Final,"Yes"),""))</f>
        <v/>
      </c>
      <c r="R54" s="17">
        <f>IF(OR($B54="",R$5=""),"",IFERROR(SUMIFS(nrES_Rec,nrES_PID,$B54,nrES_Code,R$5,nrES_Final,"Yes"),""))</f>
        <v/>
      </c>
      <c r="S54" s="17">
        <f>IF(OR($B54="",S$5=""),"",IFERROR(SUMIFS(nrES_Rec,nrES_PID,$B54,nrES_Code,S$5,nrES_Final,"Yes"),""))</f>
        <v/>
      </c>
      <c r="T54" s="17">
        <f>IF(OR($B54="",T$5=""),"",IFERROR(SUMIFS(nrES_Rec,nrES_PID,$B54,nrES_Code,T$5,nrES_Final,"Yes"),""))</f>
        <v/>
      </c>
      <c r="U54" s="17">
        <f>IF(OR($B54="",U$5=""),"",IFERROR(SUMIFS(nrES_Rec,nrES_PID,$B54,nrES_Code,U$5,nrES_Final,"Yes"),""))</f>
        <v/>
      </c>
      <c r="V54" s="17">
        <f>IF(OR($B54="",V$5=""),"",IFERROR(SUMIFS(nrES_Rec,nrES_PID,$B54,nrES_Code,V$5,nrES_Final,"Yes"),""))</f>
        <v/>
      </c>
      <c r="W54" s="17">
        <f>IF(OR($B54="",W$5=""),"",IFERROR(SUMIFS(nrES_Rec,nrES_PID,$B54,nrES_Code,W$5,nrES_Final,"Yes"),""))</f>
        <v/>
      </c>
      <c r="X54" s="17">
        <f>IF(OR($B54="",X$5=""),"",IFERROR(SUMIFS(nrES_Rec,nrES_PID,$B54,nrES_Code,X$5,nrES_Final,"Yes"),""))</f>
        <v/>
      </c>
      <c r="Y54" s="17">
        <f>IF(OR($B54="",Y$5=""),"",IFERROR(SUMIFS(nrES_Rec,nrES_PID,$B54,nrES_Code,Y$5,nrES_Final,"Yes"),""))</f>
        <v/>
      </c>
      <c r="Z54" s="17">
        <f>IF(OR($B54="",Z$5=""),"",IFERROR(SUMIFS(nrES_Rec,nrES_PID,$B54,nrES_Code,Z$5,nrES_Final,"Yes"),""))</f>
        <v/>
      </c>
      <c r="AA54" s="17">
        <f>IF(OR($B54="",AA$5=""),"",IFERROR(SUMIFS(nrES_Rec,nrES_PID,$B54,nrES_Code,AA$5,nrES_Final,"Yes"),""))</f>
        <v/>
      </c>
      <c r="AB54" s="17">
        <f>IF(OR($B54="",AB$5=""),"",IFERROR(SUMIFS(nrES_Rec,nrES_PID,$B54,nrES_Code,AB$5,nrES_Final,"Yes"),""))</f>
        <v/>
      </c>
      <c r="AC54" s="17">
        <f>IF($B54="","",sysGrades!$M54)</f>
        <v/>
      </c>
      <c r="AD54" s="17">
        <f>IF($B54="","",IFERROR(sysGrades!$U54,""))</f>
        <v/>
      </c>
    </row>
    <row r="55">
      <c r="B55" s="17">
        <f>IF(Cadets!$B55="","",Cadets!$B55)</f>
        <v/>
      </c>
      <c r="C55" s="17">
        <f>IF($B55="","",Cadets!$F55)</f>
        <v/>
      </c>
      <c r="D55" s="17">
        <f>IF(OR($B55="",D$5=""),"",IFERROR(SUMIFS(nrES_Rec,nrES_PID,$B55,nrES_Code,D$5,nrES_Final,"Yes"),""))</f>
        <v/>
      </c>
      <c r="E55" s="17">
        <f>IF(OR($B55="",E$5=""),"",IFERROR(SUMIFS(nrES_Rec,nrES_PID,$B55,nrES_Code,E$5,nrES_Final,"Yes"),""))</f>
        <v/>
      </c>
      <c r="F55" s="17">
        <f>IF(OR($B55="",F$5=""),"",IFERROR(SUMIFS(nrES_Rec,nrES_PID,$B55,nrES_Code,F$5,nrES_Final,"Yes"),""))</f>
        <v/>
      </c>
      <c r="G55" s="17">
        <f>IF(OR($B55="",G$5=""),"",IFERROR(SUMIFS(nrES_Rec,nrES_PID,$B55,nrES_Code,G$5,nrES_Final,"Yes"),""))</f>
        <v/>
      </c>
      <c r="H55" s="17">
        <f>IF(OR($B55="",H$5=""),"",IFERROR(SUMIFS(nrES_Rec,nrES_PID,$B55,nrES_Code,H$5,nrES_Final,"Yes"),""))</f>
        <v/>
      </c>
      <c r="I55" s="17">
        <f>IF(OR($B55="",I$5=""),"",IFERROR(SUMIFS(nrES_Rec,nrES_PID,$B55,nrES_Code,I$5,nrES_Final,"Yes"),""))</f>
        <v/>
      </c>
      <c r="J55" s="17">
        <f>IF(OR($B55="",J$5=""),"",IFERROR(SUMIFS(nrES_Rec,nrES_PID,$B55,nrES_Code,J$5,nrES_Final,"Yes"),""))</f>
        <v/>
      </c>
      <c r="K55" s="17">
        <f>IF(OR($B55="",K$5=""),"",IFERROR(SUMIFS(nrES_Rec,nrES_PID,$B55,nrES_Code,K$5,nrES_Final,"Yes"),""))</f>
        <v/>
      </c>
      <c r="L55" s="17">
        <f>IF(OR($B55="",L$5=""),"",IFERROR(SUMIFS(nrES_Rec,nrES_PID,$B55,nrES_Code,L$5,nrES_Final,"Yes"),""))</f>
        <v/>
      </c>
      <c r="M55" s="17">
        <f>IF(OR($B55="",M$5=""),"",IFERROR(SUMIFS(nrES_Rec,nrES_PID,$B55,nrES_Code,M$5,nrES_Final,"Yes"),""))</f>
        <v/>
      </c>
      <c r="N55" s="17">
        <f>IF(OR($B55="",N$5=""),"",IFERROR(SUMIFS(nrES_Rec,nrES_PID,$B55,nrES_Code,N$5,nrES_Final,"Yes"),""))</f>
        <v/>
      </c>
      <c r="O55" s="17">
        <f>IF(OR($B55="",O$5=""),"",IFERROR(SUMIFS(nrES_Rec,nrES_PID,$B55,nrES_Code,O$5,nrES_Final,"Yes"),""))</f>
        <v/>
      </c>
      <c r="P55" s="17">
        <f>IF(OR($B55="",P$5=""),"",IFERROR(SUMIFS(nrES_Rec,nrES_PID,$B55,nrES_Code,P$5,nrES_Final,"Yes"),""))</f>
        <v/>
      </c>
      <c r="Q55" s="17">
        <f>IF(OR($B55="",Q$5=""),"",IFERROR(SUMIFS(nrES_Rec,nrES_PID,$B55,nrES_Code,Q$5,nrES_Final,"Yes"),""))</f>
        <v/>
      </c>
      <c r="R55" s="17">
        <f>IF(OR($B55="",R$5=""),"",IFERROR(SUMIFS(nrES_Rec,nrES_PID,$B55,nrES_Code,R$5,nrES_Final,"Yes"),""))</f>
        <v/>
      </c>
      <c r="S55" s="17">
        <f>IF(OR($B55="",S$5=""),"",IFERROR(SUMIFS(nrES_Rec,nrES_PID,$B55,nrES_Code,S$5,nrES_Final,"Yes"),""))</f>
        <v/>
      </c>
      <c r="T55" s="17">
        <f>IF(OR($B55="",T$5=""),"",IFERROR(SUMIFS(nrES_Rec,nrES_PID,$B55,nrES_Code,T$5,nrES_Final,"Yes"),""))</f>
        <v/>
      </c>
      <c r="U55" s="17">
        <f>IF(OR($B55="",U$5=""),"",IFERROR(SUMIFS(nrES_Rec,nrES_PID,$B55,nrES_Code,U$5,nrES_Final,"Yes"),""))</f>
        <v/>
      </c>
      <c r="V55" s="17">
        <f>IF(OR($B55="",V$5=""),"",IFERROR(SUMIFS(nrES_Rec,nrES_PID,$B55,nrES_Code,V$5,nrES_Final,"Yes"),""))</f>
        <v/>
      </c>
      <c r="W55" s="17">
        <f>IF(OR($B55="",W$5=""),"",IFERROR(SUMIFS(nrES_Rec,nrES_PID,$B55,nrES_Code,W$5,nrES_Final,"Yes"),""))</f>
        <v/>
      </c>
      <c r="X55" s="17">
        <f>IF(OR($B55="",X$5=""),"",IFERROR(SUMIFS(nrES_Rec,nrES_PID,$B55,nrES_Code,X$5,nrES_Final,"Yes"),""))</f>
        <v/>
      </c>
      <c r="Y55" s="17">
        <f>IF(OR($B55="",Y$5=""),"",IFERROR(SUMIFS(nrES_Rec,nrES_PID,$B55,nrES_Code,Y$5,nrES_Final,"Yes"),""))</f>
        <v/>
      </c>
      <c r="Z55" s="17">
        <f>IF(OR($B55="",Z$5=""),"",IFERROR(SUMIFS(nrES_Rec,nrES_PID,$B55,nrES_Code,Z$5,nrES_Final,"Yes"),""))</f>
        <v/>
      </c>
      <c r="AA55" s="17">
        <f>IF(OR($B55="",AA$5=""),"",IFERROR(SUMIFS(nrES_Rec,nrES_PID,$B55,nrES_Code,AA$5,nrES_Final,"Yes"),""))</f>
        <v/>
      </c>
      <c r="AB55" s="17">
        <f>IF(OR($B55="",AB$5=""),"",IFERROR(SUMIFS(nrES_Rec,nrES_PID,$B55,nrES_Code,AB$5,nrES_Final,"Yes"),""))</f>
        <v/>
      </c>
      <c r="AC55" s="17">
        <f>IF($B55="","",sysGrades!$M55)</f>
        <v/>
      </c>
      <c r="AD55" s="17">
        <f>IF($B55="","",IFERROR(sysGrades!$U55,""))</f>
        <v/>
      </c>
    </row>
    <row r="56"/>
    <row r="57">
      <c r="C57" s="3" t="inlineStr">
        <is>
          <t>Class average:</t>
        </is>
      </c>
      <c r="D57" s="20">
        <f>IF(D5="","",IFERROR(ROUND(AVERAGEIF(D6:D55,"&lt;&gt;"),1),""))</f>
        <v/>
      </c>
      <c r="E57" s="20">
        <f>IF(E5="","",IFERROR(ROUND(AVERAGEIF(E6:E55,"&lt;&gt;"),1),""))</f>
        <v/>
      </c>
      <c r="F57" s="20">
        <f>IF(F5="","",IFERROR(ROUND(AVERAGEIF(F6:F55,"&lt;&gt;"),1),""))</f>
        <v/>
      </c>
      <c r="G57" s="20">
        <f>IF(G5="","",IFERROR(ROUND(AVERAGEIF(G6:G55,"&lt;&gt;"),1),""))</f>
        <v/>
      </c>
      <c r="H57" s="20">
        <f>IF(H5="","",IFERROR(ROUND(AVERAGEIF(H6:H55,"&lt;&gt;"),1),""))</f>
        <v/>
      </c>
      <c r="I57" s="20">
        <f>IF(I5="","",IFERROR(ROUND(AVERAGEIF(I6:I55,"&lt;&gt;"),1),""))</f>
        <v/>
      </c>
      <c r="J57" s="20">
        <f>IF(J5="","",IFERROR(ROUND(AVERAGEIF(J6:J55,"&lt;&gt;"),1),""))</f>
        <v/>
      </c>
      <c r="K57" s="20">
        <f>IF(K5="","",IFERROR(ROUND(AVERAGEIF(K6:K55,"&lt;&gt;"),1),""))</f>
        <v/>
      </c>
      <c r="L57" s="20">
        <f>IF(L5="","",IFERROR(ROUND(AVERAGEIF(L6:L55,"&lt;&gt;"),1),""))</f>
        <v/>
      </c>
      <c r="M57" s="20">
        <f>IF(M5="","",IFERROR(ROUND(AVERAGEIF(M6:M55,"&lt;&gt;"),1),""))</f>
        <v/>
      </c>
      <c r="N57" s="20">
        <f>IF(N5="","",IFERROR(ROUND(AVERAGEIF(N6:N55,"&lt;&gt;"),1),""))</f>
        <v/>
      </c>
      <c r="O57" s="20">
        <f>IF(O5="","",IFERROR(ROUND(AVERAGEIF(O6:O55,"&lt;&gt;"),1),""))</f>
        <v/>
      </c>
      <c r="P57" s="20">
        <f>IF(P5="","",IFERROR(ROUND(AVERAGEIF(P6:P55,"&lt;&gt;"),1),""))</f>
        <v/>
      </c>
      <c r="Q57" s="20">
        <f>IF(Q5="","",IFERROR(ROUND(AVERAGEIF(Q6:Q55,"&lt;&gt;"),1),""))</f>
        <v/>
      </c>
      <c r="R57" s="20">
        <f>IF(R5="","",IFERROR(ROUND(AVERAGEIF(R6:R55,"&lt;&gt;"),1),""))</f>
        <v/>
      </c>
      <c r="S57" s="20">
        <f>IF(S5="","",IFERROR(ROUND(AVERAGEIF(S6:S55,"&lt;&gt;"),1),""))</f>
        <v/>
      </c>
      <c r="T57" s="20">
        <f>IF(T5="","",IFERROR(ROUND(AVERAGEIF(T6:T55,"&lt;&gt;"),1),""))</f>
        <v/>
      </c>
      <c r="U57" s="20">
        <f>IF(U5="","",IFERROR(ROUND(AVERAGEIF(U6:U55,"&lt;&gt;"),1),""))</f>
        <v/>
      </c>
      <c r="V57" s="20">
        <f>IF(V5="","",IFERROR(ROUND(AVERAGEIF(V6:V55,"&lt;&gt;"),1),""))</f>
        <v/>
      </c>
      <c r="W57" s="20">
        <f>IF(W5="","",IFERROR(ROUND(AVERAGEIF(W6:W55,"&lt;&gt;"),1),""))</f>
        <v/>
      </c>
      <c r="X57" s="20">
        <f>IF(X5="","",IFERROR(ROUND(AVERAGEIF(X6:X55,"&lt;&gt;"),1),""))</f>
        <v/>
      </c>
      <c r="Y57" s="20">
        <f>IF(Y5="","",IFERROR(ROUND(AVERAGEIF(Y6:Y55,"&lt;&gt;"),1),""))</f>
        <v/>
      </c>
      <c r="Z57" s="20">
        <f>IF(Z5="","",IFERROR(ROUND(AVERAGEIF(Z6:Z55,"&lt;&gt;"),1),""))</f>
        <v/>
      </c>
      <c r="AA57" s="20">
        <f>IF(AA5="","",IFERROR(ROUND(AVERAGEIF(AA6:AA55,"&lt;&gt;"),1),""))</f>
        <v/>
      </c>
      <c r="AB57" s="20">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6"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(event / date / type / reason / balance owed)</t>
        </is>
      </c>
      <c r="C72" s="8" t="n"/>
      <c r="D72" s="8" t="n"/>
      <c r="E72" s="8" t="n"/>
      <c r="F72" s="8" t="n"/>
      <c r="G72" s="8" t="n"/>
      <c r="H72" s="8" t="n"/>
      <c r="I72" s="8" t="n"/>
      <c r="J72" s="8" t="n"/>
    </row>
    <row r="73">
      <c r="B73">
        <f>IFERROR(_xlfn._xlws.FILTER(_xlfn.HSTACK(nrAT_ID,TEXT(nrAT_Date,"mm/dd"),Attendance!$G$6:$G$805,Attendance!$H$6:$H$805,nrAT_Balance),(nrAT_PID=_xlfn.XLOOKUP(cfgProfileCadet,rngCadetNames,rngCadetPIDs,""))*(nrAT_Cleared="OPEN")),"all missed time cleared")</f>
        <v/>
      </c>
    </row>
    <row r="74"/>
    <row r="75"/>
    <row r="76"/>
    <row r="77"/>
    <row r="78"/>
    <row r="79" ht="16" customHeight="1">
      <c r="B79" s="7" t="inlineStr">
        <is>
          <t>OPEN memos (id / assigned / subject / due / status)</t>
        </is>
      </c>
      <c r="C79" s="8" t="n"/>
      <c r="D79" s="8" t="n"/>
      <c r="E79" s="8" t="n"/>
      <c r="F79" s="8" t="n"/>
      <c r="G79" s="8" t="n"/>
      <c r="H79" s="8" t="n"/>
      <c r="I79" s="8" t="n"/>
      <c r="J79" s="8" t="n"/>
    </row>
    <row r="80">
      <c r="B80">
        <f>IFERROR(_xlfn._xlws.FILTER(_xlfn.HSTACK(Memos!$B$6:$B$305,TEXT(nrME_Assigned,"mm/dd"),nrME_Subject,TEXT(nrME_Due,"mm/dd"),nrME_Status),(nrME_PID=_xlfn.XLOOKUP(cfgProfileCadet,rngCadetNames,rngCadetPIDs,""))*(nrME_Cadet&lt;&gt;"")*(nrME_Received="")),"none outstanding")</f>
        <v/>
      </c>
    </row>
  </sheetData>
  <sheetProtection selectLockedCells="1" selectUnlockedCells="1"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6"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0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row r="26" ht="16" customHeight="1">
      <c r="B26" s="7" t="inlineStr">
        <is>
          <t>Requirement sources — what is TCOLE rule vs Academy policy</t>
        </is>
      </c>
      <c r="C26" s="8" t="n"/>
      <c r="D26" s="8" t="n"/>
      <c r="E26" s="8" t="n"/>
      <c r="F26" s="8" t="n"/>
      <c r="G26" s="8" t="n"/>
      <c r="H26" s="8" t="n"/>
    </row>
    <row r="27" ht="26" customHeight="1">
      <c r="B27" s="15" t="inlineStr">
        <is>
          <t>• TCOLE Rule (Ch. 215/218/219): course #1000736 minimum hours per chapter, licensed/SME instructors, course records retention, exam security, student enrollment standards (L2/L3, medical), attendance records.</t>
        </is>
      </c>
    </row>
    <row r="28" ht="26" customHeight="1">
      <c r="B28" s="15" t="inlineStr">
        <is>
          <t>• Academy Policy (May 2026 manual): weighted grading (40/30/10/20), 70-in-each-category rule, weekly spelling tests + 75% intervention, 40 writing assignments, PT program and caps, awards.</t>
        </is>
      </c>
    </row>
    <row r="29"/>
    <row r="30" ht="16" customHeight="1">
      <c r="B30" s="7" t="inlineStr">
        <is>
          <t>Program-level TCOLE requirements (mark Yes when satisfied)</t>
        </is>
      </c>
      <c r="C30" s="8" t="n"/>
      <c r="D30" s="8" t="n"/>
      <c r="E30" s="8" t="n"/>
      <c r="F30" s="8" t="n"/>
      <c r="G30" s="8" t="n"/>
      <c r="H30" s="8" t="n"/>
    </row>
    <row r="31" ht="26" customHeight="1">
      <c r="B31" s="12" t="inlineStr">
        <is>
          <t>Requirement</t>
        </is>
      </c>
      <c r="C31" s="27" t="n"/>
      <c r="D31" s="27" t="n"/>
      <c r="E31" s="28" t="n"/>
      <c r="F31" s="12" t="inlineStr">
        <is>
          <t>Met?</t>
        </is>
      </c>
      <c r="G31" s="12" t="inlineStr">
        <is>
          <t>Notes</t>
        </is>
      </c>
    </row>
    <row r="32" ht="26" customHeight="1">
      <c r="B32" s="13" t="inlineStr">
        <is>
          <t>Commission Rules distributed to all students (Rule 215.9) — Copies of current TCOLE rules given to every student admitted</t>
        </is>
      </c>
      <c r="F32" s="16" t="n"/>
      <c r="G32" s="16" t="n"/>
    </row>
    <row r="33" ht="26" customHeight="1">
      <c r="B33" s="13" t="inlineStr">
        <is>
          <t>Required rule review conducted (215.9) — Reviewed 211.33, 221.1, 223.1, 223.3, 223.15, 223.17, 223.19 in class</t>
        </is>
      </c>
      <c r="F33" s="16" t="n"/>
      <c r="G33" s="16" t="n"/>
    </row>
    <row r="34" ht="26" customHeight="1">
      <c r="B34" s="13" t="inlineStr">
        <is>
          <t>Approved TCLEDDS roster on file — Required element of the training file</t>
        </is>
      </c>
      <c r="F34" s="16" t="n"/>
      <c r="G34" s="16" t="n"/>
    </row>
    <row r="35" ht="26" customHeight="1">
      <c r="B35" s="13" t="inlineStr">
        <is>
          <t>Course reported at exactly 736 hours — Excess hours reported under Addendum to BPOC (course #101), never inside the 736</t>
        </is>
      </c>
      <c r="F35" s="16" t="n"/>
      <c r="G35" s="16" t="n"/>
    </row>
    <row r="36" ht="26" customHeight="1">
      <c r="B36" s="13" t="inlineStr">
        <is>
          <t>Non-BPOC classes reported separately within 30 days — Any additional classes the academy teaches</t>
        </is>
      </c>
      <c r="F36" s="16" t="n"/>
      <c r="G36" s="16" t="n"/>
    </row>
    <row r="37" ht="26" customHeight="1">
      <c r="B37" s="13" t="inlineStr">
        <is>
          <t>Facility standards met (in-person, scenario/skills adequate) — Classroom supports role-play, defensive tactics, firearms demonstration</t>
        </is>
      </c>
      <c r="F37" s="16" t="n"/>
      <c r="G37" s="16" t="n"/>
    </row>
    <row r="38" ht="26" customHeight="1">
      <c r="B38" s="13" t="inlineStr">
        <is>
          <t>Assessments document mastery of all objectives — Learners are never passed on attendance alone</t>
        </is>
      </c>
      <c r="F38" s="16" t="n"/>
      <c r="G38" s="16" t="n"/>
    </row>
    <row r="39" ht="26" customHeight="1">
      <c r="B39" s="13" t="inlineStr">
        <is>
          <t>State exam plan communicated (250 Q, 70%, 3 attempts max) — Third failure requires enrolling in a new BPOC</t>
        </is>
      </c>
      <c r="F39" s="16" t="n"/>
      <c r="G39" s="16" t="n"/>
    </row>
    <row r="40" ht="26" customHeight="1">
      <c r="B40" s="13" t="inlineStr">
        <is>
          <t>Five-year retention of training records — Auditors sample past courses; files must be producible on request</t>
        </is>
      </c>
      <c r="F40" s="16" t="n"/>
      <c r="G40" s="16" t="n"/>
    </row>
    <row r="41" ht="26" customHeight="1">
      <c r="B41" s="13" t="inlineStr">
        <is>
          <t>Prior academies' FINAL workbooks archived and locatable — One file per academy; know where every finished class's file lives</t>
        </is>
      </c>
      <c r="F41" s="16" t="n"/>
      <c r="G41" s="16" t="n"/>
    </row>
    <row r="42" ht="26" customHeight="1">
      <c r="B42" s="13" t="inlineStr">
        <is>
          <t>Digital evidence library organized per chapter — LMS test PDFs, ExamSheet grade sheets, scanned spelling tests, sign-in scans, evals - one folder per chapter, ChapterPacket as cover</t>
        </is>
      </c>
      <c r="F42" s="16" t="n"/>
      <c r="G42" s="16" t="n"/>
    </row>
    <row r="43" ht="26" customHeight="1">
      <c r="B43" s="13" t="inlineStr">
        <is>
          <t>Scanned documents established as legal originals — Records management has confirmed scans serve as originals for training documents (incl. sign-ins w/ PID)</t>
        </is>
      </c>
      <c r="F43" s="16" t="n"/>
      <c r="G43" s="16" t="n"/>
    </row>
    <row r="44" ht="26" customHeight="1">
      <c r="B44" s="13" t="inlineStr">
        <is>
          <t>Exam security maintained — LMS access controlled; test banks/keys stored securely; spelling keys not accessible to cadets</t>
        </is>
      </c>
      <c r="F44" s="16" t="n"/>
      <c r="G44" s="16" t="n"/>
    </row>
    <row r="45" ht="26" customHeight="1">
      <c r="B45" s="13" t="inlineStr">
        <is>
          <t>Lesson plans verified against IRG learning objectives — All ~700 LOs covered unaltered - a PowerPoint alone is not a lesson plan</t>
        </is>
      </c>
      <c r="F45" s="16" t="n"/>
      <c r="G45" s="16" t="n"/>
    </row>
    <row r="46" ht="26" customHeight="1">
      <c r="B46" s="13" t="inlineStr">
        <is>
          <t>TCLEDDS reporting current — Enrollments (L1) entered at start; completions and the BPOC reported on time; non-BPOC classes within 30 days</t>
        </is>
      </c>
      <c r="F46" s="16" t="n"/>
      <c r="G46" s="16" t="n"/>
    </row>
    <row r="47" ht="26" customHeight="1">
      <c r="B47" s="13" t="inlineStr">
        <is>
          <t>Coordinator designation &amp; academy license current — Appointment letter on file; training-provider license active</t>
        </is>
      </c>
      <c r="F47" s="16" t="n"/>
      <c r="G47" s="16" t="n"/>
    </row>
    <row r="48" ht="26" customHeight="1">
      <c r="B48" s="13" t="inlineStr">
        <is>
          <t>Advisory board roster on file; meetings held — Board composition documented; meetings logged on the AdvisoryBoard sheet with minutes scanned</t>
        </is>
      </c>
      <c r="F48" s="16" t="n"/>
      <c r="G48" s="16" t="n"/>
    </row>
    <row r="49" ht="26" customHeight="1">
      <c r="B49" s="13" t="inlineStr">
        <is>
          <t>Grade-tamper resistance in place — Workbook on OneDrive/SharePoint with version history; engine sheets password-locked</t>
        </is>
      </c>
      <c r="F49" s="16" t="n"/>
      <c r="G49" s="16" t="n"/>
    </row>
    <row r="50"/>
    <row r="51" ht="16" customHeight="1">
      <c r="B51" s="7" t="inlineStr">
        <is>
          <t>Per-cadet enrollment documents (mark Yes when on file)</t>
        </is>
      </c>
      <c r="C51" s="8" t="n"/>
      <c r="D51" s="8" t="n"/>
      <c r="E51" s="8" t="n"/>
      <c r="F51" s="8" t="n"/>
      <c r="G51" s="8" t="n"/>
      <c r="H51" s="8" t="n"/>
    </row>
    <row r="52" ht="26" customHeight="1">
      <c r="B52" s="12" t="inlineStr">
        <is>
          <t>Cadet</t>
        </is>
      </c>
      <c r="C52" s="12" t="inlineStr">
        <is>
          <t>Enroll App</t>
        </is>
      </c>
      <c r="D52" s="12" t="inlineStr">
        <is>
          <t>TCLEDDS L1</t>
        </is>
      </c>
      <c r="E52" s="12" t="inlineStr">
        <is>
          <t>Medical (L2)</t>
        </is>
      </c>
      <c r="F52" s="12" t="inlineStr">
        <is>
          <t>Psych (L3)</t>
        </is>
      </c>
      <c r="G52" s="12" t="inlineStr">
        <is>
          <t>Background</t>
        </is>
      </c>
      <c r="H52" s="12" t="inlineStr">
        <is>
          <t>Photo ID/DL</t>
        </is>
      </c>
      <c r="I52" s="12" t="inlineStr">
        <is>
          <t>Rules Ack</t>
        </is>
      </c>
      <c r="J52" s="12" t="inlineStr">
        <is>
          <t>All Docs?</t>
        </is>
      </c>
    </row>
    <row r="53">
      <c r="B53" s="20">
        <f>IF(Cadets!$B6="","",Cadets!$F6)</f>
        <v/>
      </c>
      <c r="C53" s="16" t="n"/>
      <c r="D53" s="16" t="n"/>
      <c r="E53" s="16" t="n"/>
      <c r="F53" s="16" t="n"/>
      <c r="G53" s="16" t="n"/>
      <c r="H53" s="16" t="n"/>
      <c r="I53" s="16" t="n"/>
      <c r="J53" s="20">
        <f>IF($B53="","",IF(COUNTIF(C53:I53,"Yes")=7,"Yes","No"))</f>
        <v/>
      </c>
    </row>
    <row r="54">
      <c r="B54" s="20">
        <f>IF(Cadets!$B7="","",Cadets!$F7)</f>
        <v/>
      </c>
      <c r="C54" s="16" t="n"/>
      <c r="D54" s="16" t="n"/>
      <c r="E54" s="16" t="n"/>
      <c r="F54" s="16" t="n"/>
      <c r="G54" s="16" t="n"/>
      <c r="H54" s="16" t="n"/>
      <c r="I54" s="16" t="n"/>
      <c r="J54" s="20">
        <f>IF($B54="","",IF(COUNTIF(C54:I54,"Yes")=7,"Yes","No"))</f>
        <v/>
      </c>
    </row>
    <row r="55">
      <c r="B55" s="20">
        <f>IF(Cadets!$B8="","",Cadets!$F8)</f>
        <v/>
      </c>
      <c r="C55" s="16" t="n"/>
      <c r="D55" s="16" t="n"/>
      <c r="E55" s="16" t="n"/>
      <c r="F55" s="16" t="n"/>
      <c r="G55" s="16" t="n"/>
      <c r="H55" s="16" t="n"/>
      <c r="I55" s="16" t="n"/>
      <c r="J55" s="20">
        <f>IF($B55="","",IF(COUNTIF(C55:I55,"Yes")=7,"Yes","No"))</f>
        <v/>
      </c>
    </row>
    <row r="56">
      <c r="B56" s="20">
        <f>IF(Cadets!$B9="","",Cadets!$F9)</f>
        <v/>
      </c>
      <c r="C56" s="16" t="n"/>
      <c r="D56" s="16" t="n"/>
      <c r="E56" s="16" t="n"/>
      <c r="F56" s="16" t="n"/>
      <c r="G56" s="16" t="n"/>
      <c r="H56" s="16" t="n"/>
      <c r="I56" s="16" t="n"/>
      <c r="J56" s="20">
        <f>IF($B56="","",IF(COUNTIF(C56:I56,"Yes")=7,"Yes","No"))</f>
        <v/>
      </c>
    </row>
    <row r="57">
      <c r="B57" s="20">
        <f>IF(Cadets!$B10="","",Cadets!$F10)</f>
        <v/>
      </c>
      <c r="C57" s="16" t="n"/>
      <c r="D57" s="16" t="n"/>
      <c r="E57" s="16" t="n"/>
      <c r="F57" s="16" t="n"/>
      <c r="G57" s="16" t="n"/>
      <c r="H57" s="16" t="n"/>
      <c r="I57" s="16" t="n"/>
      <c r="J57" s="20">
        <f>IF($B57="","",IF(COUNTIF(C57:I57,"Yes")=7,"Yes","No"))</f>
        <v/>
      </c>
    </row>
    <row r="58">
      <c r="B58" s="20">
        <f>IF(Cadets!$B11="","",Cadets!$F11)</f>
        <v/>
      </c>
      <c r="C58" s="16" t="n"/>
      <c r="D58" s="16" t="n"/>
      <c r="E58" s="16" t="n"/>
      <c r="F58" s="16" t="n"/>
      <c r="G58" s="16" t="n"/>
      <c r="H58" s="16" t="n"/>
      <c r="I58" s="16" t="n"/>
      <c r="J58" s="20">
        <f>IF($B58="","",IF(COUNTIF(C58:I58,"Yes")=7,"Yes","No"))</f>
        <v/>
      </c>
    </row>
    <row r="59">
      <c r="B59" s="20">
        <f>IF(Cadets!$B12="","",Cadets!$F12)</f>
        <v/>
      </c>
      <c r="C59" s="16" t="n"/>
      <c r="D59" s="16" t="n"/>
      <c r="E59" s="16" t="n"/>
      <c r="F59" s="16" t="n"/>
      <c r="G59" s="16" t="n"/>
      <c r="H59" s="16" t="n"/>
      <c r="I59" s="16" t="n"/>
      <c r="J59" s="20">
        <f>IF($B59="","",IF(COUNTIF(C59:I59,"Yes")=7,"Yes","No"))</f>
        <v/>
      </c>
    </row>
    <row r="60">
      <c r="B60" s="20">
        <f>IF(Cadets!$B13="","",Cadets!$F13)</f>
        <v/>
      </c>
      <c r="C60" s="16" t="n"/>
      <c r="D60" s="16" t="n"/>
      <c r="E60" s="16" t="n"/>
      <c r="F60" s="16" t="n"/>
      <c r="G60" s="16" t="n"/>
      <c r="H60" s="16" t="n"/>
      <c r="I60" s="16" t="n"/>
      <c r="J60" s="20">
        <f>IF($B60="","",IF(COUNTIF(C60:I60,"Yes")=7,"Yes","No"))</f>
        <v/>
      </c>
    </row>
    <row r="61">
      <c r="B61" s="20">
        <f>IF(Cadets!$B14="","",Cadets!$F14)</f>
        <v/>
      </c>
      <c r="C61" s="16" t="n"/>
      <c r="D61" s="16" t="n"/>
      <c r="E61" s="16" t="n"/>
      <c r="F61" s="16" t="n"/>
      <c r="G61" s="16" t="n"/>
      <c r="H61" s="16" t="n"/>
      <c r="I61" s="16" t="n"/>
      <c r="J61" s="20">
        <f>IF($B61="","",IF(COUNTIF(C61:I61,"Yes")=7,"Yes","No"))</f>
        <v/>
      </c>
    </row>
    <row r="62">
      <c r="B62" s="20">
        <f>IF(Cadets!$B15="","",Cadets!$F15)</f>
        <v/>
      </c>
      <c r="C62" s="16" t="n"/>
      <c r="D62" s="16" t="n"/>
      <c r="E62" s="16" t="n"/>
      <c r="F62" s="16" t="n"/>
      <c r="G62" s="16" t="n"/>
      <c r="H62" s="16" t="n"/>
      <c r="I62" s="16" t="n"/>
      <c r="J62" s="20">
        <f>IF($B62="","",IF(COUNTIF(C62:I62,"Yes")=7,"Yes","No"))</f>
        <v/>
      </c>
    </row>
    <row r="63">
      <c r="B63" s="20">
        <f>IF(Cadets!$B16="","",Cadets!$F16)</f>
        <v/>
      </c>
      <c r="C63" s="16" t="n"/>
      <c r="D63" s="16" t="n"/>
      <c r="E63" s="16" t="n"/>
      <c r="F63" s="16" t="n"/>
      <c r="G63" s="16" t="n"/>
      <c r="H63" s="16" t="n"/>
      <c r="I63" s="16" t="n"/>
      <c r="J63" s="20">
        <f>IF($B63="","",IF(COUNTIF(C63:I63,"Yes")=7,"Yes","No"))</f>
        <v/>
      </c>
    </row>
    <row r="64">
      <c r="B64" s="20">
        <f>IF(Cadets!$B17="","",Cadets!$F17)</f>
        <v/>
      </c>
      <c r="C64" s="16" t="n"/>
      <c r="D64" s="16" t="n"/>
      <c r="E64" s="16" t="n"/>
      <c r="F64" s="16" t="n"/>
      <c r="G64" s="16" t="n"/>
      <c r="H64" s="16" t="n"/>
      <c r="I64" s="16" t="n"/>
      <c r="J64" s="20">
        <f>IF($B64="","",IF(COUNTIF(C64:I64,"Yes")=7,"Yes","No"))</f>
        <v/>
      </c>
    </row>
    <row r="65">
      <c r="B65" s="20">
        <f>IF(Cadets!$B18="","",Cadets!$F18)</f>
        <v/>
      </c>
      <c r="C65" s="16" t="n"/>
      <c r="D65" s="16" t="n"/>
      <c r="E65" s="16" t="n"/>
      <c r="F65" s="16" t="n"/>
      <c r="G65" s="16" t="n"/>
      <c r="H65" s="16" t="n"/>
      <c r="I65" s="16" t="n"/>
      <c r="J65" s="20">
        <f>IF($B65="","",IF(COUNTIF(C65:I65,"Yes")=7,"Yes","No"))</f>
        <v/>
      </c>
    </row>
    <row r="66">
      <c r="B66" s="20">
        <f>IF(Cadets!$B19="","",Cadets!$F19)</f>
        <v/>
      </c>
      <c r="C66" s="16" t="n"/>
      <c r="D66" s="16" t="n"/>
      <c r="E66" s="16" t="n"/>
      <c r="F66" s="16" t="n"/>
      <c r="G66" s="16" t="n"/>
      <c r="H66" s="16" t="n"/>
      <c r="I66" s="16" t="n"/>
      <c r="J66" s="20">
        <f>IF($B66="","",IF(COUNTIF(C66:I66,"Yes")=7,"Yes","No"))</f>
        <v/>
      </c>
    </row>
    <row r="67">
      <c r="B67" s="20">
        <f>IF(Cadets!$B20="","",Cadets!$F20)</f>
        <v/>
      </c>
      <c r="C67" s="16" t="n"/>
      <c r="D67" s="16" t="n"/>
      <c r="E67" s="16" t="n"/>
      <c r="F67" s="16" t="n"/>
      <c r="G67" s="16" t="n"/>
      <c r="H67" s="16" t="n"/>
      <c r="I67" s="16" t="n"/>
      <c r="J67" s="20">
        <f>IF($B67="","",IF(COUNTIF(C67:I67,"Yes")=7,"Yes","No"))</f>
        <v/>
      </c>
    </row>
    <row r="68">
      <c r="B68" s="20">
        <f>IF(Cadets!$B21="","",Cadets!$F21)</f>
        <v/>
      </c>
      <c r="C68" s="16" t="n"/>
      <c r="D68" s="16" t="n"/>
      <c r="E68" s="16" t="n"/>
      <c r="F68" s="16" t="n"/>
      <c r="G68" s="16" t="n"/>
      <c r="H68" s="16" t="n"/>
      <c r="I68" s="16" t="n"/>
      <c r="J68" s="20">
        <f>IF($B68="","",IF(COUNTIF(C68:I68,"Yes")=7,"Yes","No"))</f>
        <v/>
      </c>
    </row>
    <row r="69">
      <c r="B69" s="20">
        <f>IF(Cadets!$B22="","",Cadets!$F22)</f>
        <v/>
      </c>
      <c r="C69" s="16" t="n"/>
      <c r="D69" s="16" t="n"/>
      <c r="E69" s="16" t="n"/>
      <c r="F69" s="16" t="n"/>
      <c r="G69" s="16" t="n"/>
      <c r="H69" s="16" t="n"/>
      <c r="I69" s="16" t="n"/>
      <c r="J69" s="20">
        <f>IF($B69="","",IF(COUNTIF(C69:I69,"Yes")=7,"Yes","No"))</f>
        <v/>
      </c>
    </row>
    <row r="70">
      <c r="B70" s="20">
        <f>IF(Cadets!$B23="","",Cadets!$F23)</f>
        <v/>
      </c>
      <c r="C70" s="16" t="n"/>
      <c r="D70" s="16" t="n"/>
      <c r="E70" s="16" t="n"/>
      <c r="F70" s="16" t="n"/>
      <c r="G70" s="16" t="n"/>
      <c r="H70" s="16" t="n"/>
      <c r="I70" s="16" t="n"/>
      <c r="J70" s="20">
        <f>IF($B70="","",IF(COUNTIF(C70:I70,"Yes")=7,"Yes","No"))</f>
        <v/>
      </c>
    </row>
    <row r="71">
      <c r="B71" s="20">
        <f>IF(Cadets!$B24="","",Cadets!$F24)</f>
        <v/>
      </c>
      <c r="C71" s="16" t="n"/>
      <c r="D71" s="16" t="n"/>
      <c r="E71" s="16" t="n"/>
      <c r="F71" s="16" t="n"/>
      <c r="G71" s="16" t="n"/>
      <c r="H71" s="16" t="n"/>
      <c r="I71" s="16" t="n"/>
      <c r="J71" s="20">
        <f>IF($B71="","",IF(COUNTIF(C71:I71,"Yes")=7,"Yes","No"))</f>
        <v/>
      </c>
    </row>
    <row r="72">
      <c r="B72" s="20">
        <f>IF(Cadets!$B25="","",Cadets!$F25)</f>
        <v/>
      </c>
      <c r="C72" s="16" t="n"/>
      <c r="D72" s="16" t="n"/>
      <c r="E72" s="16" t="n"/>
      <c r="F72" s="16" t="n"/>
      <c r="G72" s="16" t="n"/>
      <c r="H72" s="16" t="n"/>
      <c r="I72" s="16" t="n"/>
      <c r="J72" s="20">
        <f>IF($B72="","",IF(COUNTIF(C72:I72,"Yes")=7,"Yes","No"))</f>
        <v/>
      </c>
    </row>
    <row r="73">
      <c r="B73" s="20">
        <f>IF(Cadets!$B26="","",Cadets!$F26)</f>
        <v/>
      </c>
      <c r="C73" s="16" t="n"/>
      <c r="D73" s="16" t="n"/>
      <c r="E73" s="16" t="n"/>
      <c r="F73" s="16" t="n"/>
      <c r="G73" s="16" t="n"/>
      <c r="H73" s="16" t="n"/>
      <c r="I73" s="16" t="n"/>
      <c r="J73" s="20">
        <f>IF($B73="","",IF(COUNTIF(C73:I73,"Yes")=7,"Yes","No"))</f>
        <v/>
      </c>
    </row>
    <row r="74">
      <c r="B74" s="20">
        <f>IF(Cadets!$B27="","",Cadets!$F27)</f>
        <v/>
      </c>
      <c r="C74" s="16" t="n"/>
      <c r="D74" s="16" t="n"/>
      <c r="E74" s="16" t="n"/>
      <c r="F74" s="16" t="n"/>
      <c r="G74" s="16" t="n"/>
      <c r="H74" s="16" t="n"/>
      <c r="I74" s="16" t="n"/>
      <c r="J74" s="20">
        <f>IF($B74="","",IF(COUNTIF(C74:I74,"Yes")=7,"Yes","No"))</f>
        <v/>
      </c>
    </row>
    <row r="75">
      <c r="B75" s="20">
        <f>IF(Cadets!$B28="","",Cadets!$F28)</f>
        <v/>
      </c>
      <c r="C75" s="16" t="n"/>
      <c r="D75" s="16" t="n"/>
      <c r="E75" s="16" t="n"/>
      <c r="F75" s="16" t="n"/>
      <c r="G75" s="16" t="n"/>
      <c r="H75" s="16" t="n"/>
      <c r="I75" s="16" t="n"/>
      <c r="J75" s="20">
        <f>IF($B75="","",IF(COUNTIF(C75:I75,"Yes")=7,"Yes","No"))</f>
        <v/>
      </c>
    </row>
    <row r="76">
      <c r="B76" s="20">
        <f>IF(Cadets!$B29="","",Cadets!$F29)</f>
        <v/>
      </c>
      <c r="C76" s="16" t="n"/>
      <c r="D76" s="16" t="n"/>
      <c r="E76" s="16" t="n"/>
      <c r="F76" s="16" t="n"/>
      <c r="G76" s="16" t="n"/>
      <c r="H76" s="16" t="n"/>
      <c r="I76" s="16" t="n"/>
      <c r="J76" s="20">
        <f>IF($B76="","",IF(COUNTIF(C76:I76,"Yes")=7,"Yes","No"))</f>
        <v/>
      </c>
    </row>
    <row r="77">
      <c r="B77" s="20">
        <f>IF(Cadets!$B30="","",Cadets!$F30)</f>
        <v/>
      </c>
      <c r="C77" s="16" t="n"/>
      <c r="D77" s="16" t="n"/>
      <c r="E77" s="16" t="n"/>
      <c r="F77" s="16" t="n"/>
      <c r="G77" s="16" t="n"/>
      <c r="H77" s="16" t="n"/>
      <c r="I77" s="16" t="n"/>
      <c r="J77" s="20">
        <f>IF($B77="","",IF(COUNTIF(C77:I77,"Yes")=7,"Yes","No"))</f>
        <v/>
      </c>
    </row>
    <row r="78">
      <c r="B78" s="20">
        <f>IF(Cadets!$B31="","",Cadets!$F31)</f>
        <v/>
      </c>
      <c r="C78" s="16" t="n"/>
      <c r="D78" s="16" t="n"/>
      <c r="E78" s="16" t="n"/>
      <c r="F78" s="16" t="n"/>
      <c r="G78" s="16" t="n"/>
      <c r="H78" s="16" t="n"/>
      <c r="I78" s="16" t="n"/>
      <c r="J78" s="20">
        <f>IF($B78="","",IF(COUNTIF(C78:I78,"Yes")=7,"Yes","No"))</f>
        <v/>
      </c>
    </row>
    <row r="79">
      <c r="B79" s="20">
        <f>IF(Cadets!$B32="","",Cadets!$F32)</f>
        <v/>
      </c>
      <c r="C79" s="16" t="n"/>
      <c r="D79" s="16" t="n"/>
      <c r="E79" s="16" t="n"/>
      <c r="F79" s="16" t="n"/>
      <c r="G79" s="16" t="n"/>
      <c r="H79" s="16" t="n"/>
      <c r="I79" s="16" t="n"/>
      <c r="J79" s="20">
        <f>IF($B79="","",IF(COUNTIF(C79:I79,"Yes")=7,"Yes","No"))</f>
        <v/>
      </c>
    </row>
    <row r="80">
      <c r="B80" s="20">
        <f>IF(Cadets!$B33="","",Cadets!$F33)</f>
        <v/>
      </c>
      <c r="C80" s="16" t="n"/>
      <c r="D80" s="16" t="n"/>
      <c r="E80" s="16" t="n"/>
      <c r="F80" s="16" t="n"/>
      <c r="G80" s="16" t="n"/>
      <c r="H80" s="16" t="n"/>
      <c r="I80" s="16" t="n"/>
      <c r="J80" s="20">
        <f>IF($B80="","",IF(COUNTIF(C80:I80,"Yes")=7,"Yes","No"))</f>
        <v/>
      </c>
    </row>
    <row r="81">
      <c r="B81" s="20">
        <f>IF(Cadets!$B34="","",Cadets!$F34)</f>
        <v/>
      </c>
      <c r="C81" s="16" t="n"/>
      <c r="D81" s="16" t="n"/>
      <c r="E81" s="16" t="n"/>
      <c r="F81" s="16" t="n"/>
      <c r="G81" s="16" t="n"/>
      <c r="H81" s="16" t="n"/>
      <c r="I81" s="16" t="n"/>
      <c r="J81" s="20">
        <f>IF($B81="","",IF(COUNTIF(C81:I81,"Yes")=7,"Yes","No"))</f>
        <v/>
      </c>
    </row>
    <row r="82">
      <c r="B82" s="20">
        <f>IF(Cadets!$B35="","",Cadets!$F35)</f>
        <v/>
      </c>
      <c r="C82" s="16" t="n"/>
      <c r="D82" s="16" t="n"/>
      <c r="E82" s="16" t="n"/>
      <c r="F82" s="16" t="n"/>
      <c r="G82" s="16" t="n"/>
      <c r="H82" s="16" t="n"/>
      <c r="I82" s="16" t="n"/>
      <c r="J82" s="20">
        <f>IF($B82="","",IF(COUNTIF(C82:I82,"Yes")=7,"Yes","No"))</f>
        <v/>
      </c>
    </row>
    <row r="83">
      <c r="B83" s="20">
        <f>IF(Cadets!$B36="","",Cadets!$F36)</f>
        <v/>
      </c>
      <c r="C83" s="16" t="n"/>
      <c r="D83" s="16" t="n"/>
      <c r="E83" s="16" t="n"/>
      <c r="F83" s="16" t="n"/>
      <c r="G83" s="16" t="n"/>
      <c r="H83" s="16" t="n"/>
      <c r="I83" s="16" t="n"/>
      <c r="J83" s="20">
        <f>IF($B83="","",IF(COUNTIF(C83:I83,"Yes")=7,"Yes","No"))</f>
        <v/>
      </c>
    </row>
    <row r="84">
      <c r="B84" s="20">
        <f>IF(Cadets!$B37="","",Cadets!$F37)</f>
        <v/>
      </c>
      <c r="C84" s="16" t="n"/>
      <c r="D84" s="16" t="n"/>
      <c r="E84" s="16" t="n"/>
      <c r="F84" s="16" t="n"/>
      <c r="G84" s="16" t="n"/>
      <c r="H84" s="16" t="n"/>
      <c r="I84" s="16" t="n"/>
      <c r="J84" s="20">
        <f>IF($B84="","",IF(COUNTIF(C84:I84,"Yes")=7,"Yes","No"))</f>
        <v/>
      </c>
    </row>
    <row r="85">
      <c r="B85" s="20">
        <f>IF(Cadets!$B38="","",Cadets!$F38)</f>
        <v/>
      </c>
      <c r="C85" s="16" t="n"/>
      <c r="D85" s="16" t="n"/>
      <c r="E85" s="16" t="n"/>
      <c r="F85" s="16" t="n"/>
      <c r="G85" s="16" t="n"/>
      <c r="H85" s="16" t="n"/>
      <c r="I85" s="16" t="n"/>
      <c r="J85" s="20">
        <f>IF($B85="","",IF(COUNTIF(C85:I85,"Yes")=7,"Yes","No"))</f>
        <v/>
      </c>
    </row>
    <row r="86">
      <c r="B86" s="20">
        <f>IF(Cadets!$B39="","",Cadets!$F39)</f>
        <v/>
      </c>
      <c r="C86" s="16" t="n"/>
      <c r="D86" s="16" t="n"/>
      <c r="E86" s="16" t="n"/>
      <c r="F86" s="16" t="n"/>
      <c r="G86" s="16" t="n"/>
      <c r="H86" s="16" t="n"/>
      <c r="I86" s="16" t="n"/>
      <c r="J86" s="20">
        <f>IF($B86="","",IF(COUNTIF(C86:I86,"Yes")=7,"Yes","No"))</f>
        <v/>
      </c>
    </row>
    <row r="87">
      <c r="B87" s="20">
        <f>IF(Cadets!$B40="","",Cadets!$F40)</f>
        <v/>
      </c>
      <c r="C87" s="16" t="n"/>
      <c r="D87" s="16" t="n"/>
      <c r="E87" s="16" t="n"/>
      <c r="F87" s="16" t="n"/>
      <c r="G87" s="16" t="n"/>
      <c r="H87" s="16" t="n"/>
      <c r="I87" s="16" t="n"/>
      <c r="J87" s="20">
        <f>IF($B87="","",IF(COUNTIF(C87:I87,"Yes")=7,"Yes","No"))</f>
        <v/>
      </c>
    </row>
    <row r="88">
      <c r="B88" s="20">
        <f>IF(Cadets!$B41="","",Cadets!$F41)</f>
        <v/>
      </c>
      <c r="C88" s="16" t="n"/>
      <c r="D88" s="16" t="n"/>
      <c r="E88" s="16" t="n"/>
      <c r="F88" s="16" t="n"/>
      <c r="G88" s="16" t="n"/>
      <c r="H88" s="16" t="n"/>
      <c r="I88" s="16" t="n"/>
      <c r="J88" s="20">
        <f>IF($B88="","",IF(COUNTIF(C88:I88,"Yes")=7,"Yes","No"))</f>
        <v/>
      </c>
    </row>
    <row r="89">
      <c r="B89" s="20">
        <f>IF(Cadets!$B42="","",Cadets!$F42)</f>
        <v/>
      </c>
      <c r="C89" s="16" t="n"/>
      <c r="D89" s="16" t="n"/>
      <c r="E89" s="16" t="n"/>
      <c r="F89" s="16" t="n"/>
      <c r="G89" s="16" t="n"/>
      <c r="H89" s="16" t="n"/>
      <c r="I89" s="16" t="n"/>
      <c r="J89" s="20">
        <f>IF($B89="","",IF(COUNTIF(C89:I89,"Yes")=7,"Yes","No"))</f>
        <v/>
      </c>
    </row>
    <row r="90">
      <c r="B90" s="20">
        <f>IF(Cadets!$B43="","",Cadets!$F43)</f>
        <v/>
      </c>
      <c r="C90" s="16" t="n"/>
      <c r="D90" s="16" t="n"/>
      <c r="E90" s="16" t="n"/>
      <c r="F90" s="16" t="n"/>
      <c r="G90" s="16" t="n"/>
      <c r="H90" s="16" t="n"/>
      <c r="I90" s="16" t="n"/>
      <c r="J90" s="20">
        <f>IF($B90="","",IF(COUNTIF(C90:I90,"Yes")=7,"Yes","No"))</f>
        <v/>
      </c>
    </row>
    <row r="91">
      <c r="B91" s="20">
        <f>IF(Cadets!$B44="","",Cadets!$F44)</f>
        <v/>
      </c>
      <c r="C91" s="16" t="n"/>
      <c r="D91" s="16" t="n"/>
      <c r="E91" s="16" t="n"/>
      <c r="F91" s="16" t="n"/>
      <c r="G91" s="16" t="n"/>
      <c r="H91" s="16" t="n"/>
      <c r="I91" s="16" t="n"/>
      <c r="J91" s="20">
        <f>IF($B91="","",IF(COUNTIF(C91:I91,"Yes")=7,"Yes","No"))</f>
        <v/>
      </c>
    </row>
    <row r="92">
      <c r="B92" s="20">
        <f>IF(Cadets!$B45="","",Cadets!$F45)</f>
        <v/>
      </c>
      <c r="C92" s="16" t="n"/>
      <c r="D92" s="16" t="n"/>
      <c r="E92" s="16" t="n"/>
      <c r="F92" s="16" t="n"/>
      <c r="G92" s="16" t="n"/>
      <c r="H92" s="16" t="n"/>
      <c r="I92" s="16" t="n"/>
      <c r="J92" s="20">
        <f>IF($B92="","",IF(COUNTIF(C92:I92,"Yes")=7,"Yes","No"))</f>
        <v/>
      </c>
    </row>
    <row r="93">
      <c r="B93" s="20">
        <f>IF(Cadets!$B46="","",Cadets!$F46)</f>
        <v/>
      </c>
      <c r="C93" s="16" t="n"/>
      <c r="D93" s="16" t="n"/>
      <c r="E93" s="16" t="n"/>
      <c r="F93" s="16" t="n"/>
      <c r="G93" s="16" t="n"/>
      <c r="H93" s="16" t="n"/>
      <c r="I93" s="16" t="n"/>
      <c r="J93" s="20">
        <f>IF($B93="","",IF(COUNTIF(C93:I93,"Yes")=7,"Yes","No"))</f>
        <v/>
      </c>
    </row>
    <row r="94">
      <c r="B94" s="20">
        <f>IF(Cadets!$B47="","",Cadets!$F47)</f>
        <v/>
      </c>
      <c r="C94" s="16" t="n"/>
      <c r="D94" s="16" t="n"/>
      <c r="E94" s="16" t="n"/>
      <c r="F94" s="16" t="n"/>
      <c r="G94" s="16" t="n"/>
      <c r="H94" s="16" t="n"/>
      <c r="I94" s="16" t="n"/>
      <c r="J94" s="20">
        <f>IF($B94="","",IF(COUNTIF(C94:I94,"Yes")=7,"Yes","No"))</f>
        <v/>
      </c>
    </row>
    <row r="95">
      <c r="B95" s="20">
        <f>IF(Cadets!$B48="","",Cadets!$F48)</f>
        <v/>
      </c>
      <c r="C95" s="16" t="n"/>
      <c r="D95" s="16" t="n"/>
      <c r="E95" s="16" t="n"/>
      <c r="F95" s="16" t="n"/>
      <c r="G95" s="16" t="n"/>
      <c r="H95" s="16" t="n"/>
      <c r="I95" s="16" t="n"/>
      <c r="J95" s="20">
        <f>IF($B95="","",IF(COUNTIF(C95:I95,"Yes")=7,"Yes","No"))</f>
        <v/>
      </c>
    </row>
    <row r="96">
      <c r="B96" s="20">
        <f>IF(Cadets!$B49="","",Cadets!$F49)</f>
        <v/>
      </c>
      <c r="C96" s="16" t="n"/>
      <c r="D96" s="16" t="n"/>
      <c r="E96" s="16" t="n"/>
      <c r="F96" s="16" t="n"/>
      <c r="G96" s="16" t="n"/>
      <c r="H96" s="16" t="n"/>
      <c r="I96" s="16" t="n"/>
      <c r="J96" s="20">
        <f>IF($B96="","",IF(COUNTIF(C96:I96,"Yes")=7,"Yes","No"))</f>
        <v/>
      </c>
    </row>
    <row r="97">
      <c r="B97" s="20">
        <f>IF(Cadets!$B50="","",Cadets!$F50)</f>
        <v/>
      </c>
      <c r="C97" s="16" t="n"/>
      <c r="D97" s="16" t="n"/>
      <c r="E97" s="16" t="n"/>
      <c r="F97" s="16" t="n"/>
      <c r="G97" s="16" t="n"/>
      <c r="H97" s="16" t="n"/>
      <c r="I97" s="16" t="n"/>
      <c r="J97" s="20">
        <f>IF($B97="","",IF(COUNTIF(C97:I97,"Yes")=7,"Yes","No"))</f>
        <v/>
      </c>
    </row>
    <row r="98">
      <c r="B98" s="20">
        <f>IF(Cadets!$B51="","",Cadets!$F51)</f>
        <v/>
      </c>
      <c r="C98" s="16" t="n"/>
      <c r="D98" s="16" t="n"/>
      <c r="E98" s="16" t="n"/>
      <c r="F98" s="16" t="n"/>
      <c r="G98" s="16" t="n"/>
      <c r="H98" s="16" t="n"/>
      <c r="I98" s="16" t="n"/>
      <c r="J98" s="20">
        <f>IF($B98="","",IF(COUNTIF(C98:I98,"Yes")=7,"Yes","No"))</f>
        <v/>
      </c>
    </row>
    <row r="99">
      <c r="B99" s="20">
        <f>IF(Cadets!$B52="","",Cadets!$F52)</f>
        <v/>
      </c>
      <c r="C99" s="16" t="n"/>
      <c r="D99" s="16" t="n"/>
      <c r="E99" s="16" t="n"/>
      <c r="F99" s="16" t="n"/>
      <c r="G99" s="16" t="n"/>
      <c r="H99" s="16" t="n"/>
      <c r="I99" s="16" t="n"/>
      <c r="J99" s="20">
        <f>IF($B99="","",IF(COUNTIF(C99:I99,"Yes")=7,"Yes","No"))</f>
        <v/>
      </c>
    </row>
    <row r="100">
      <c r="B100" s="20">
        <f>IF(Cadets!$B53="","",Cadets!$F53)</f>
        <v/>
      </c>
      <c r="C100" s="16" t="n"/>
      <c r="D100" s="16" t="n"/>
      <c r="E100" s="16" t="n"/>
      <c r="F100" s="16" t="n"/>
      <c r="G100" s="16" t="n"/>
      <c r="H100" s="16" t="n"/>
      <c r="I100" s="16" t="n"/>
      <c r="J100" s="20">
        <f>IF($B100="","",IF(COUNTIF(C100:I100,"Yes")=7,"Yes","No"))</f>
        <v/>
      </c>
    </row>
    <row r="101">
      <c r="B101" s="20">
        <f>IF(Cadets!$B54="","",Cadets!$F54)</f>
        <v/>
      </c>
      <c r="C101" s="16" t="n"/>
      <c r="D101" s="16" t="n"/>
      <c r="E101" s="16" t="n"/>
      <c r="F101" s="16" t="n"/>
      <c r="G101" s="16" t="n"/>
      <c r="H101" s="16" t="n"/>
      <c r="I101" s="16" t="n"/>
      <c r="J101" s="20">
        <f>IF($B101="","",IF(COUNTIF(C101:I101,"Yes")=7,"Yes","No"))</f>
        <v/>
      </c>
    </row>
    <row r="102">
      <c r="B102" s="20">
        <f>IF(Cadets!$B55="","",Cadets!$F55)</f>
        <v/>
      </c>
      <c r="C102" s="16" t="n"/>
      <c r="D102" s="16" t="n"/>
      <c r="E102" s="16" t="n"/>
      <c r="F102" s="16" t="n"/>
      <c r="G102" s="16" t="n"/>
      <c r="H102" s="16" t="n"/>
      <c r="I102" s="16" t="n"/>
      <c r="J102" s="20">
        <f>IF($B102="","",IF(COUNTIF(C102:I102,"Yes")=7,"Yes","No"))</f>
        <v/>
      </c>
    </row>
  </sheetData>
  <mergeCells count="25">
    <mergeCell ref="B40:E40"/>
    <mergeCell ref="B49:E49"/>
    <mergeCell ref="B30:H30"/>
    <mergeCell ref="B33:E33"/>
    <mergeCell ref="B51:H51"/>
    <mergeCell ref="B36:E36"/>
    <mergeCell ref="B32:E32"/>
    <mergeCell ref="B45:E45"/>
    <mergeCell ref="B41:E41"/>
    <mergeCell ref="B26:H26"/>
    <mergeCell ref="B35:E35"/>
    <mergeCell ref="B47:E47"/>
    <mergeCell ref="B7:H7"/>
    <mergeCell ref="B46:E46"/>
    <mergeCell ref="B31:E31"/>
    <mergeCell ref="B27:H27"/>
    <mergeCell ref="B43:E43"/>
    <mergeCell ref="B48:E48"/>
    <mergeCell ref="B39:E39"/>
    <mergeCell ref="B42:E42"/>
    <mergeCell ref="B38:E38"/>
    <mergeCell ref="B44:E44"/>
    <mergeCell ref="B37:E37"/>
    <mergeCell ref="B28:H28"/>
    <mergeCell ref="B34:E34"/>
  </mergeCells>
  <conditionalFormatting sqref="E9:E24">
    <cfRule type="expression" priority="1" dxfId="1">
      <formula>AND($E9&lt;&gt;"OK",$E9&lt;&gt;"")</formula>
    </cfRule>
    <cfRule type="expression" priority="2" dxfId="2">
      <formula>$E9="OK"</formula>
    </cfRule>
  </conditionalFormatting>
  <conditionalFormatting sqref="F32:F49">
    <cfRule type="expression" priority="3" dxfId="1">
      <formula>AND($B32&lt;&gt;"",$F32&lt;&gt;"Yes",$F32&lt;&gt;"N/A")</formula>
    </cfRule>
  </conditionalFormatting>
  <conditionalFormatting sqref="J53:J102">
    <cfRule type="cellIs" priority="4" operator="equal" dxfId="2">
      <formula>"Yes"</formula>
    </cfRule>
    <cfRule type="cellIs" priority="5" operator="equal" dxfId="1">
      <formula>"No"</formula>
    </cfRule>
  </conditionalFormatting>
  <dataValidations count="2">
    <dataValidation sqref="F32:F49" showDropDown="0" showInputMessage="0" showErrorMessage="1" allowBlank="1" type="list">
      <formula1>"Yes,No,N/A"</formula1>
    </dataValidation>
    <dataValidation sqref="C53:I10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9">
        <f>ChapterMaster!$C$6</f>
        <v/>
      </c>
      <c r="C9" s="29">
        <f>ChapterMaster!$D$6</f>
        <v/>
      </c>
      <c r="D9" s="30">
        <f>ChapterMaster!$E$6</f>
        <v/>
      </c>
      <c r="E9" s="30">
        <f>IF(ChapterMaster!$G6=0,"",ChapterMaster!$G6)</f>
        <v/>
      </c>
      <c r="F9" s="31">
        <f>IF(OR(ChapterMaster!$G6="",ChapterMaster!$G6=0),"",IF(ChapterMaster!$G6&gt;ChapterMaster!$E6,ROUND(ChapterMaster!$G6-ChapterMaster!$E6,2),""))</f>
        <v/>
      </c>
      <c r="G9" s="29">
        <f>IF($F9="","","#101 (Addendum to BPOC)")</f>
        <v/>
      </c>
    </row>
    <row r="10">
      <c r="B10" s="29">
        <f>ChapterMaster!$C$7</f>
        <v/>
      </c>
      <c r="C10" s="29">
        <f>ChapterMaster!$D$7</f>
        <v/>
      </c>
      <c r="D10" s="30">
        <f>ChapterMaster!$E$7</f>
        <v/>
      </c>
      <c r="E10" s="30">
        <f>IF(ChapterMaster!$G7=0,"",ChapterMaster!$G7)</f>
        <v/>
      </c>
      <c r="F10" s="31">
        <f>IF(OR(ChapterMaster!$G7="",ChapterMaster!$G7=0),"",IF(ChapterMaster!$G7&gt;ChapterMaster!$E7,ROUND(ChapterMaster!$G7-ChapterMaster!$E7,2),""))</f>
        <v/>
      </c>
      <c r="G10" s="29">
        <f>IF($F10="","","#101 (Addendum to BPOC)")</f>
        <v/>
      </c>
    </row>
    <row r="11">
      <c r="B11" s="29">
        <f>ChapterMaster!$C$8</f>
        <v/>
      </c>
      <c r="C11" s="29">
        <f>ChapterMaster!$D$8</f>
        <v/>
      </c>
      <c r="D11" s="30">
        <f>ChapterMaster!$E$8</f>
        <v/>
      </c>
      <c r="E11" s="30">
        <f>IF(ChapterMaster!$G8=0,"",ChapterMaster!$G8)</f>
        <v/>
      </c>
      <c r="F11" s="31">
        <f>IF(OR(ChapterMaster!$G8="",ChapterMaster!$G8=0),"",IF(ChapterMaster!$G8&gt;ChapterMaster!$E8,ROUND(ChapterMaster!$G8-ChapterMaster!$E8,2),""))</f>
        <v/>
      </c>
      <c r="G11" s="29">
        <f>IF($F11="","","#101 (Addendum to BPOC)")</f>
        <v/>
      </c>
    </row>
    <row r="12">
      <c r="B12" s="29">
        <f>ChapterMaster!$C$9</f>
        <v/>
      </c>
      <c r="C12" s="29">
        <f>ChapterMaster!$D$9</f>
        <v/>
      </c>
      <c r="D12" s="30">
        <f>ChapterMaster!$E$9</f>
        <v/>
      </c>
      <c r="E12" s="30">
        <f>IF(ChapterMaster!$G9=0,"",ChapterMaster!$G9)</f>
        <v/>
      </c>
      <c r="F12" s="31">
        <f>IF(OR(ChapterMaster!$G9="",ChapterMaster!$G9=0),"",IF(ChapterMaster!$G9&gt;ChapterMaster!$E9,ROUND(ChapterMaster!$G9-ChapterMaster!$E9,2),""))</f>
        <v/>
      </c>
      <c r="G12" s="29">
        <f>IF($F12="","","#101 (Addendum to BPOC)")</f>
        <v/>
      </c>
    </row>
    <row r="13">
      <c r="B13" s="29">
        <f>ChapterMaster!$C$10</f>
        <v/>
      </c>
      <c r="C13" s="29">
        <f>ChapterMaster!$D$10</f>
        <v/>
      </c>
      <c r="D13" s="30">
        <f>ChapterMaster!$E$10</f>
        <v/>
      </c>
      <c r="E13" s="30">
        <f>IF(ChapterMaster!$G10=0,"",ChapterMaster!$G10)</f>
        <v/>
      </c>
      <c r="F13" s="31">
        <f>IF(OR(ChapterMaster!$G10="",ChapterMaster!$G10=0),"",IF(ChapterMaster!$G10&gt;ChapterMaster!$E10,ROUND(ChapterMaster!$G10-ChapterMaster!$E10,2),""))</f>
        <v/>
      </c>
      <c r="G13" s="29">
        <f>IF($F13="","","#101 (Addendum to BPOC)")</f>
        <v/>
      </c>
    </row>
    <row r="14">
      <c r="B14" s="29">
        <f>ChapterMaster!$C$11</f>
        <v/>
      </c>
      <c r="C14" s="29">
        <f>ChapterMaster!$D$11</f>
        <v/>
      </c>
      <c r="D14" s="30">
        <f>ChapterMaster!$E$11</f>
        <v/>
      </c>
      <c r="E14" s="30">
        <f>IF(ChapterMaster!$G11=0,"",ChapterMaster!$G11)</f>
        <v/>
      </c>
      <c r="F14" s="31">
        <f>IF(OR(ChapterMaster!$G11="",ChapterMaster!$G11=0),"",IF(ChapterMaster!$G11&gt;ChapterMaster!$E11,ROUND(ChapterMaster!$G11-ChapterMaster!$E11,2),""))</f>
        <v/>
      </c>
      <c r="G14" s="29">
        <f>IF($F14="","","#101 (Addendum to BPOC)")</f>
        <v/>
      </c>
    </row>
    <row r="15">
      <c r="B15" s="29">
        <f>ChapterMaster!$C$12</f>
        <v/>
      </c>
      <c r="C15" s="29">
        <f>ChapterMaster!$D$12</f>
        <v/>
      </c>
      <c r="D15" s="30">
        <f>ChapterMaster!$E$12</f>
        <v/>
      </c>
      <c r="E15" s="30">
        <f>IF(ChapterMaster!$G12=0,"",ChapterMaster!$G12)</f>
        <v/>
      </c>
      <c r="F15" s="31">
        <f>IF(OR(ChapterMaster!$G12="",ChapterMaster!$G12=0),"",IF(ChapterMaster!$G12&gt;ChapterMaster!$E12,ROUND(ChapterMaster!$G12-ChapterMaster!$E12,2),""))</f>
        <v/>
      </c>
      <c r="G15" s="29">
        <f>IF($F15="","","#101 (Addendum to BPOC)")</f>
        <v/>
      </c>
    </row>
    <row r="16">
      <c r="B16" s="29">
        <f>ChapterMaster!$C$13</f>
        <v/>
      </c>
      <c r="C16" s="29">
        <f>ChapterMaster!$D$13</f>
        <v/>
      </c>
      <c r="D16" s="30">
        <f>ChapterMaster!$E$13</f>
        <v/>
      </c>
      <c r="E16" s="30">
        <f>IF(ChapterMaster!$G13=0,"",ChapterMaster!$G13)</f>
        <v/>
      </c>
      <c r="F16" s="31">
        <f>IF(OR(ChapterMaster!$G13="",ChapterMaster!$G13=0),"",IF(ChapterMaster!$G13&gt;ChapterMaster!$E13,ROUND(ChapterMaster!$G13-ChapterMaster!$E13,2),""))</f>
        <v/>
      </c>
      <c r="G16" s="29">
        <f>IF($F16="","","#101 (Addendum to BPOC)")</f>
        <v/>
      </c>
    </row>
    <row r="17">
      <c r="B17" s="29">
        <f>ChapterMaster!$C$14</f>
        <v/>
      </c>
      <c r="C17" s="29">
        <f>ChapterMaster!$D$14</f>
        <v/>
      </c>
      <c r="D17" s="30">
        <f>ChapterMaster!$E$14</f>
        <v/>
      </c>
      <c r="E17" s="30">
        <f>IF(ChapterMaster!$G14=0,"",ChapterMaster!$G14)</f>
        <v/>
      </c>
      <c r="F17" s="31">
        <f>IF(OR(ChapterMaster!$G14="",ChapterMaster!$G14=0),"",IF(ChapterMaster!$G14&gt;ChapterMaster!$E14,ROUND(ChapterMaster!$G14-ChapterMaster!$E14,2),""))</f>
        <v/>
      </c>
      <c r="G17" s="29">
        <f>IF($F17="","","#101 (Addendum to BPOC)")</f>
        <v/>
      </c>
    </row>
    <row r="18">
      <c r="B18" s="29">
        <f>ChapterMaster!$C$15</f>
        <v/>
      </c>
      <c r="C18" s="29">
        <f>ChapterMaster!$D$15</f>
        <v/>
      </c>
      <c r="D18" s="30">
        <f>ChapterMaster!$E$15</f>
        <v/>
      </c>
      <c r="E18" s="30">
        <f>IF(ChapterMaster!$G15=0,"",ChapterMaster!$G15)</f>
        <v/>
      </c>
      <c r="F18" s="31">
        <f>IF(OR(ChapterMaster!$G15="",ChapterMaster!$G15=0),"",IF(ChapterMaster!$G15&gt;ChapterMaster!$E15,ROUND(ChapterMaster!$G15-ChapterMaster!$E15,2),""))</f>
        <v/>
      </c>
      <c r="G18" s="29">
        <f>IF($F18="","","#101 (Addendum to BPOC)")</f>
        <v/>
      </c>
    </row>
    <row r="19">
      <c r="B19" s="29">
        <f>ChapterMaster!$C$16</f>
        <v/>
      </c>
      <c r="C19" s="29">
        <f>ChapterMaster!$D$16</f>
        <v/>
      </c>
      <c r="D19" s="30">
        <f>ChapterMaster!$E$16</f>
        <v/>
      </c>
      <c r="E19" s="30">
        <f>IF(ChapterMaster!$G16=0,"",ChapterMaster!$G16)</f>
        <v/>
      </c>
      <c r="F19" s="31">
        <f>IF(OR(ChapterMaster!$G16="",ChapterMaster!$G16=0),"",IF(ChapterMaster!$G16&gt;ChapterMaster!$E16,ROUND(ChapterMaster!$G16-ChapterMaster!$E16,2),""))</f>
        <v/>
      </c>
      <c r="G19" s="29">
        <f>IF($F19="","","#101 (Addendum to BPOC)")</f>
        <v/>
      </c>
    </row>
    <row r="20">
      <c r="B20" s="29">
        <f>ChapterMaster!$C$17</f>
        <v/>
      </c>
      <c r="C20" s="29">
        <f>ChapterMaster!$D$17</f>
        <v/>
      </c>
      <c r="D20" s="30">
        <f>ChapterMaster!$E$17</f>
        <v/>
      </c>
      <c r="E20" s="30">
        <f>IF(ChapterMaster!$G17=0,"",ChapterMaster!$G17)</f>
        <v/>
      </c>
      <c r="F20" s="31">
        <f>IF(OR(ChapterMaster!$G17="",ChapterMaster!$G17=0),"",IF(ChapterMaster!$G17&gt;ChapterMaster!$E17,ROUND(ChapterMaster!$G17-ChapterMaster!$E17,2),""))</f>
        <v/>
      </c>
      <c r="G20" s="29">
        <f>IF($F20="","","#101 (Addendum to BPOC)")</f>
        <v/>
      </c>
    </row>
    <row r="21">
      <c r="B21" s="29">
        <f>ChapterMaster!$C$18</f>
        <v/>
      </c>
      <c r="C21" s="29">
        <f>ChapterMaster!$D$18</f>
        <v/>
      </c>
      <c r="D21" s="30">
        <f>ChapterMaster!$E$18</f>
        <v/>
      </c>
      <c r="E21" s="30">
        <f>IF(ChapterMaster!$G18=0,"",ChapterMaster!$G18)</f>
        <v/>
      </c>
      <c r="F21" s="31">
        <f>IF(OR(ChapterMaster!$G18="",ChapterMaster!$G18=0),"",IF(ChapterMaster!$G18&gt;ChapterMaster!$E18,ROUND(ChapterMaster!$G18-ChapterMaster!$E18,2),""))</f>
        <v/>
      </c>
      <c r="G21" s="29">
        <f>IF($F21="","","#101 (Addendum to BPOC)")</f>
        <v/>
      </c>
    </row>
    <row r="22">
      <c r="B22" s="29">
        <f>ChapterMaster!$C$19</f>
        <v/>
      </c>
      <c r="C22" s="29">
        <f>ChapterMaster!$D$19</f>
        <v/>
      </c>
      <c r="D22" s="30">
        <f>ChapterMaster!$E$19</f>
        <v/>
      </c>
      <c r="E22" s="30">
        <f>IF(ChapterMaster!$G19=0,"",ChapterMaster!$G19)</f>
        <v/>
      </c>
      <c r="F22" s="31">
        <f>IF(OR(ChapterMaster!$G19="",ChapterMaster!$G19=0),"",IF(ChapterMaster!$G19&gt;ChapterMaster!$E19,ROUND(ChapterMaster!$G19-ChapterMaster!$E19,2),""))</f>
        <v/>
      </c>
      <c r="G22" s="29">
        <f>IF($F22="","","#101 (Addendum to BPOC)")</f>
        <v/>
      </c>
    </row>
    <row r="23">
      <c r="B23" s="29">
        <f>ChapterMaster!$C$20</f>
        <v/>
      </c>
      <c r="C23" s="29">
        <f>ChapterMaster!$D$20</f>
        <v/>
      </c>
      <c r="D23" s="30">
        <f>ChapterMaster!$E$20</f>
        <v/>
      </c>
      <c r="E23" s="30">
        <f>IF(ChapterMaster!$G20=0,"",ChapterMaster!$G20)</f>
        <v/>
      </c>
      <c r="F23" s="31">
        <f>IF(OR(ChapterMaster!$G20="",ChapterMaster!$G20=0),"",IF(ChapterMaster!$G20&gt;ChapterMaster!$E20,ROUND(ChapterMaster!$G20-ChapterMaster!$E20,2),""))</f>
        <v/>
      </c>
      <c r="G23" s="29">
        <f>IF($F23="","","#101 (Addendum to BPOC)")</f>
        <v/>
      </c>
    </row>
    <row r="24">
      <c r="B24" s="29">
        <f>ChapterMaster!$C$21</f>
        <v/>
      </c>
      <c r="C24" s="29">
        <f>ChapterMaster!$D$21</f>
        <v/>
      </c>
      <c r="D24" s="30">
        <f>ChapterMaster!$E$21</f>
        <v/>
      </c>
      <c r="E24" s="30">
        <f>IF(ChapterMaster!$G21=0,"",ChapterMaster!$G21)</f>
        <v/>
      </c>
      <c r="F24" s="31">
        <f>IF(OR(ChapterMaster!$G21="",ChapterMaster!$G21=0),"",IF(ChapterMaster!$G21&gt;ChapterMaster!$E21,ROUND(ChapterMaster!$G21-ChapterMaster!$E21,2),""))</f>
        <v/>
      </c>
      <c r="G24" s="29">
        <f>IF($F24="","","#101 (Addendum to BPOC)")</f>
        <v/>
      </c>
    </row>
    <row r="25">
      <c r="B25" s="29">
        <f>ChapterMaster!$C$22</f>
        <v/>
      </c>
      <c r="C25" s="29">
        <f>ChapterMaster!$D$22</f>
        <v/>
      </c>
      <c r="D25" s="30">
        <f>ChapterMaster!$E$22</f>
        <v/>
      </c>
      <c r="E25" s="30">
        <f>IF(ChapterMaster!$G22=0,"",ChapterMaster!$G22)</f>
        <v/>
      </c>
      <c r="F25" s="31">
        <f>IF(OR(ChapterMaster!$G22="",ChapterMaster!$G22=0),"",IF(ChapterMaster!$G22&gt;ChapterMaster!$E22,ROUND(ChapterMaster!$G22-ChapterMaster!$E22,2),""))</f>
        <v/>
      </c>
      <c r="G25" s="29">
        <f>IF($F25="","","#101 (Addendum to BPOC)")</f>
        <v/>
      </c>
    </row>
    <row r="26">
      <c r="B26" s="29">
        <f>ChapterMaster!$C$23</f>
        <v/>
      </c>
      <c r="C26" s="29">
        <f>ChapterMaster!$D$23</f>
        <v/>
      </c>
      <c r="D26" s="30">
        <f>ChapterMaster!$E$23</f>
        <v/>
      </c>
      <c r="E26" s="30">
        <f>IF(ChapterMaster!$G23=0,"",ChapterMaster!$G23)</f>
        <v/>
      </c>
      <c r="F26" s="31">
        <f>IF(OR(ChapterMaster!$G23="",ChapterMaster!$G23=0),"",IF(ChapterMaster!$G23&gt;ChapterMaster!$E23,ROUND(ChapterMaster!$G23-ChapterMaster!$E23,2),""))</f>
        <v/>
      </c>
      <c r="G26" s="29">
        <f>IF($F26="","","#101 (Addendum to BPOC)")</f>
        <v/>
      </c>
    </row>
    <row r="27">
      <c r="B27" s="29">
        <f>ChapterMaster!$C$24</f>
        <v/>
      </c>
      <c r="C27" s="29">
        <f>ChapterMaster!$D$24</f>
        <v/>
      </c>
      <c r="D27" s="30">
        <f>ChapterMaster!$E$24</f>
        <v/>
      </c>
      <c r="E27" s="30">
        <f>IF(ChapterMaster!$G24=0,"",ChapterMaster!$G24)</f>
        <v/>
      </c>
      <c r="F27" s="31">
        <f>IF(OR(ChapterMaster!$G24="",ChapterMaster!$G24=0),"",IF(ChapterMaster!$G24&gt;ChapterMaster!$E24,ROUND(ChapterMaster!$G24-ChapterMaster!$E24,2),""))</f>
        <v/>
      </c>
      <c r="G27" s="29">
        <f>IF($F27="","","#101 (Addendum to BPOC)")</f>
        <v/>
      </c>
    </row>
    <row r="28">
      <c r="B28" s="29">
        <f>ChapterMaster!$C$25</f>
        <v/>
      </c>
      <c r="C28" s="29">
        <f>ChapterMaster!$D$25</f>
        <v/>
      </c>
      <c r="D28" s="30">
        <f>ChapterMaster!$E$25</f>
        <v/>
      </c>
      <c r="E28" s="30">
        <f>IF(ChapterMaster!$G25=0,"",ChapterMaster!$G25)</f>
        <v/>
      </c>
      <c r="F28" s="31">
        <f>IF(OR(ChapterMaster!$G25="",ChapterMaster!$G25=0),"",IF(ChapterMaster!$G25&gt;ChapterMaster!$E25,ROUND(ChapterMaster!$G25-ChapterMaster!$E25,2),""))</f>
        <v/>
      </c>
      <c r="G28" s="29">
        <f>IF($F28="","","#101 (Addendum to BPOC)")</f>
        <v/>
      </c>
    </row>
    <row r="29">
      <c r="B29" s="29">
        <f>ChapterMaster!$C$26</f>
        <v/>
      </c>
      <c r="C29" s="29">
        <f>ChapterMaster!$D$26</f>
        <v/>
      </c>
      <c r="D29" s="30">
        <f>ChapterMaster!$E$26</f>
        <v/>
      </c>
      <c r="E29" s="30">
        <f>IF(ChapterMaster!$G26=0,"",ChapterMaster!$G26)</f>
        <v/>
      </c>
      <c r="F29" s="31">
        <f>IF(OR(ChapterMaster!$G26="",ChapterMaster!$G26=0),"",IF(ChapterMaster!$G26&gt;ChapterMaster!$E26,ROUND(ChapterMaster!$G26-ChapterMaster!$E26,2),""))</f>
        <v/>
      </c>
      <c r="G29" s="29">
        <f>IF($F29="","","#101 (Addendum to BPOC)")</f>
        <v/>
      </c>
    </row>
    <row r="30">
      <c r="B30" s="29">
        <f>ChapterMaster!$C$27</f>
        <v/>
      </c>
      <c r="C30" s="29">
        <f>ChapterMaster!$D$27</f>
        <v/>
      </c>
      <c r="D30" s="30">
        <f>ChapterMaster!$E$27</f>
        <v/>
      </c>
      <c r="E30" s="30">
        <f>IF(ChapterMaster!$G27=0,"",ChapterMaster!$G27)</f>
        <v/>
      </c>
      <c r="F30" s="31">
        <f>IF(OR(ChapterMaster!$G27="",ChapterMaster!$G27=0),"",IF(ChapterMaster!$G27&gt;ChapterMaster!$E27,ROUND(ChapterMaster!$G27-ChapterMaster!$E27,2),""))</f>
        <v/>
      </c>
      <c r="G30" s="29">
        <f>IF($F30="","","#101 (Addendum to BPOC)")</f>
        <v/>
      </c>
    </row>
    <row r="31">
      <c r="B31" s="29">
        <f>ChapterMaster!$C$28</f>
        <v/>
      </c>
      <c r="C31" s="29">
        <f>ChapterMaster!$D$28</f>
        <v/>
      </c>
      <c r="D31" s="30">
        <f>ChapterMaster!$E$28</f>
        <v/>
      </c>
      <c r="E31" s="30">
        <f>IF(ChapterMaster!$G28=0,"",ChapterMaster!$G28)</f>
        <v/>
      </c>
      <c r="F31" s="31">
        <f>IF(OR(ChapterMaster!$G28="",ChapterMaster!$G28=0),"",IF(ChapterMaster!$G28&gt;ChapterMaster!$E28,ROUND(ChapterMaster!$G28-ChapterMaster!$E28,2),""))</f>
        <v/>
      </c>
      <c r="G31" s="29">
        <f>IF($F31="","","#101 (Addendum to BPOC)")</f>
        <v/>
      </c>
    </row>
    <row r="32">
      <c r="B32" s="29">
        <f>ChapterMaster!$C$29</f>
        <v/>
      </c>
      <c r="C32" s="29">
        <f>ChapterMaster!$D$29</f>
        <v/>
      </c>
      <c r="D32" s="30">
        <f>ChapterMaster!$E$29</f>
        <v/>
      </c>
      <c r="E32" s="30">
        <f>IF(ChapterMaster!$G29=0,"",ChapterMaster!$G29)</f>
        <v/>
      </c>
      <c r="F32" s="31">
        <f>IF(OR(ChapterMaster!$G29="",ChapterMaster!$G29=0),"",IF(ChapterMaster!$G29&gt;ChapterMaster!$E29,ROUND(ChapterMaster!$G29-ChapterMaster!$E29,2),""))</f>
        <v/>
      </c>
      <c r="G32" s="29">
        <f>IF($F32="","","#101 (Addendum to BPOC)")</f>
        <v/>
      </c>
    </row>
    <row r="33">
      <c r="B33" s="29">
        <f>ChapterMaster!$C$30</f>
        <v/>
      </c>
      <c r="C33" s="29">
        <f>ChapterMaster!$D$30</f>
        <v/>
      </c>
      <c r="D33" s="30">
        <f>ChapterMaster!$E$30</f>
        <v/>
      </c>
      <c r="E33" s="30">
        <f>IF(ChapterMaster!$G30=0,"",ChapterMaster!$G30)</f>
        <v/>
      </c>
      <c r="F33" s="31">
        <f>IF(OR(ChapterMaster!$G30="",ChapterMaster!$G30=0),"",IF(ChapterMaster!$G30&gt;ChapterMaster!$E30,ROUND(ChapterMaster!$G30-ChapterMaster!$E30,2),""))</f>
        <v/>
      </c>
      <c r="G33" s="29">
        <f>IF($F33="","","#101 (Addendum to BPOC)")</f>
        <v/>
      </c>
    </row>
    <row r="34">
      <c r="B34" s="29">
        <f>ChapterMaster!$C$31</f>
        <v/>
      </c>
      <c r="C34" s="29">
        <f>ChapterMaster!$D$31</f>
        <v/>
      </c>
      <c r="D34" s="30">
        <f>ChapterMaster!$E$31</f>
        <v/>
      </c>
      <c r="E34" s="30">
        <f>IF(ChapterMaster!$G31=0,"",ChapterMaster!$G31)</f>
        <v/>
      </c>
      <c r="F34" s="31">
        <f>IF(OR(ChapterMaster!$G31="",ChapterMaster!$G31=0),"",IF(ChapterMaster!$G31&gt;ChapterMaster!$E31,ROUND(ChapterMaster!$G31-ChapterMaster!$E31,2),""))</f>
        <v/>
      </c>
      <c r="G34" s="29">
        <f>IF($F34="","","#101 (Addendum to BPOC)")</f>
        <v/>
      </c>
    </row>
    <row r="35">
      <c r="B35" s="29">
        <f>ChapterMaster!$C$32</f>
        <v/>
      </c>
      <c r="C35" s="29">
        <f>ChapterMaster!$D$32</f>
        <v/>
      </c>
      <c r="D35" s="30">
        <f>ChapterMaster!$E$32</f>
        <v/>
      </c>
      <c r="E35" s="30">
        <f>IF(ChapterMaster!$G32=0,"",ChapterMaster!$G32)</f>
        <v/>
      </c>
      <c r="F35" s="31">
        <f>IF(OR(ChapterMaster!$G32="",ChapterMaster!$G32=0),"",IF(ChapterMaster!$G32&gt;ChapterMaster!$E32,ROUND(ChapterMaster!$G32-ChapterMaster!$E32,2),""))</f>
        <v/>
      </c>
      <c r="G35" s="29">
        <f>IF($F35="","","#101 (Addendum to BPOC)")</f>
        <v/>
      </c>
    </row>
    <row r="36">
      <c r="B36" s="29">
        <f>ChapterMaster!$C$33</f>
        <v/>
      </c>
      <c r="C36" s="29">
        <f>ChapterMaster!$D$33</f>
        <v/>
      </c>
      <c r="D36" s="30">
        <f>ChapterMaster!$E$33</f>
        <v/>
      </c>
      <c r="E36" s="30">
        <f>IF(ChapterMaster!$G33=0,"",ChapterMaster!$G33)</f>
        <v/>
      </c>
      <c r="F36" s="31">
        <f>IF(OR(ChapterMaster!$G33="",ChapterMaster!$G33=0),"",IF(ChapterMaster!$G33&gt;ChapterMaster!$E33,ROUND(ChapterMaster!$G33-ChapterMaster!$E33,2),""))</f>
        <v/>
      </c>
      <c r="G36" s="29">
        <f>IF($F36="","","#101 (Addendum to BPOC)")</f>
        <v/>
      </c>
    </row>
    <row r="37">
      <c r="B37" s="29">
        <f>ChapterMaster!$C$34</f>
        <v/>
      </c>
      <c r="C37" s="29">
        <f>ChapterMaster!$D$34</f>
        <v/>
      </c>
      <c r="D37" s="30">
        <f>ChapterMaster!$E$34</f>
        <v/>
      </c>
      <c r="E37" s="30">
        <f>IF(ChapterMaster!$G34=0,"",ChapterMaster!$G34)</f>
        <v/>
      </c>
      <c r="F37" s="31">
        <f>IF(OR(ChapterMaster!$G34="",ChapterMaster!$G34=0),"",IF(ChapterMaster!$G34&gt;ChapterMaster!$E34,ROUND(ChapterMaster!$G34-ChapterMaster!$E34,2),""))</f>
        <v/>
      </c>
      <c r="G37" s="29">
        <f>IF($F37="","","#101 (Addendum to BPOC)")</f>
        <v/>
      </c>
    </row>
    <row r="38">
      <c r="B38" s="29">
        <f>ChapterMaster!$C$35</f>
        <v/>
      </c>
      <c r="C38" s="29">
        <f>ChapterMaster!$D$35</f>
        <v/>
      </c>
      <c r="D38" s="30">
        <f>ChapterMaster!$E$35</f>
        <v/>
      </c>
      <c r="E38" s="30">
        <f>IF(ChapterMaster!$G35=0,"",ChapterMaster!$G35)</f>
        <v/>
      </c>
      <c r="F38" s="31">
        <f>IF(OR(ChapterMaster!$G35="",ChapterMaster!$G35=0),"",IF(ChapterMaster!$G35&gt;ChapterMaster!$E35,ROUND(ChapterMaster!$G35-ChapterMaster!$E35,2),""))</f>
        <v/>
      </c>
      <c r="G38" s="29">
        <f>IF($F38="","","#101 (Addendum to BPOC)")</f>
        <v/>
      </c>
    </row>
    <row r="39">
      <c r="B39" s="29">
        <f>ChapterMaster!$C$36</f>
        <v/>
      </c>
      <c r="C39" s="29">
        <f>ChapterMaster!$D$36</f>
        <v/>
      </c>
      <c r="D39" s="30">
        <f>ChapterMaster!$E$36</f>
        <v/>
      </c>
      <c r="E39" s="30">
        <f>IF(ChapterMaster!$G36=0,"",ChapterMaster!$G36)</f>
        <v/>
      </c>
      <c r="F39" s="31">
        <f>IF(OR(ChapterMaster!$G36="",ChapterMaster!$G36=0),"",IF(ChapterMaster!$G36&gt;ChapterMaster!$E36,ROUND(ChapterMaster!$G36-ChapterMaster!$E36,2),""))</f>
        <v/>
      </c>
      <c r="G39" s="29">
        <f>IF($F39="","","#101 (Addendum to BPOC)")</f>
        <v/>
      </c>
    </row>
    <row r="40">
      <c r="B40" s="29">
        <f>ChapterMaster!$C$37</f>
        <v/>
      </c>
      <c r="C40" s="29">
        <f>ChapterMaster!$D$37</f>
        <v/>
      </c>
      <c r="D40" s="30">
        <f>ChapterMaster!$E$37</f>
        <v/>
      </c>
      <c r="E40" s="30">
        <f>IF(ChapterMaster!$G37=0,"",ChapterMaster!$G37)</f>
        <v/>
      </c>
      <c r="F40" s="31">
        <f>IF(OR(ChapterMaster!$G37="",ChapterMaster!$G37=0),"",IF(ChapterMaster!$G37&gt;ChapterMaster!$E37,ROUND(ChapterMaster!$G37-ChapterMaster!$E37,2),""))</f>
        <v/>
      </c>
      <c r="G40" s="29">
        <f>IF($F40="","","#2040 (Arrest and Control)")</f>
        <v/>
      </c>
    </row>
    <row r="41">
      <c r="B41" s="29">
        <f>ChapterMaster!$C$38</f>
        <v/>
      </c>
      <c r="C41" s="29">
        <f>ChapterMaster!$D$38</f>
        <v/>
      </c>
      <c r="D41" s="30">
        <f>ChapterMaster!$E$38</f>
        <v/>
      </c>
      <c r="E41" s="30">
        <f>IF(ChapterMaster!$G38=0,"",ChapterMaster!$G38)</f>
        <v/>
      </c>
      <c r="F41" s="31">
        <f>IF(OR(ChapterMaster!$G38="",ChapterMaster!$G38=0),"",IF(ChapterMaster!$G38&gt;ChapterMaster!$E38,ROUND(ChapterMaster!$G38-ChapterMaster!$E38,2),""))</f>
        <v/>
      </c>
      <c r="G41" s="29">
        <f>IF($F41="","","#101 (Addendum to BPOC)")</f>
        <v/>
      </c>
    </row>
    <row r="42">
      <c r="B42" s="29">
        <f>ChapterMaster!$C$39</f>
        <v/>
      </c>
      <c r="C42" s="29">
        <f>ChapterMaster!$D$39</f>
        <v/>
      </c>
      <c r="D42" s="30">
        <f>ChapterMaster!$E$39</f>
        <v/>
      </c>
      <c r="E42" s="30">
        <f>IF(ChapterMaster!$G39=0,"",ChapterMaster!$G39)</f>
        <v/>
      </c>
      <c r="F42" s="31">
        <f>IF(OR(ChapterMaster!$G39="",ChapterMaster!$G39=0),"",IF(ChapterMaster!$G39&gt;ChapterMaster!$E39,ROUND(ChapterMaster!$G39-ChapterMaster!$E39,2),""))</f>
        <v/>
      </c>
      <c r="G42" s="29">
        <f>IF($F42="","","#101 (Addendum to BPOC)")</f>
        <v/>
      </c>
    </row>
    <row r="43">
      <c r="B43" s="29">
        <f>ChapterMaster!$C$40</f>
        <v/>
      </c>
      <c r="C43" s="29">
        <f>ChapterMaster!$D$40</f>
        <v/>
      </c>
      <c r="D43" s="30">
        <f>ChapterMaster!$E$40</f>
        <v/>
      </c>
      <c r="E43" s="30">
        <f>IF(ChapterMaster!$G40=0,"",ChapterMaster!$G40)</f>
        <v/>
      </c>
      <c r="F43" s="31">
        <f>IF(OR(ChapterMaster!$G40="",ChapterMaster!$G40=0),"",IF(ChapterMaster!$G40&gt;ChapterMaster!$E40,ROUND(ChapterMaster!$G40-ChapterMaster!$E40,2),""))</f>
        <v/>
      </c>
      <c r="G43" s="29">
        <f>IF($F43="","","#2046 (Professional Police Driving)")</f>
        <v/>
      </c>
    </row>
    <row r="44">
      <c r="B44" s="29">
        <f>ChapterMaster!$C$41</f>
        <v/>
      </c>
      <c r="C44" s="29">
        <f>ChapterMaster!$D$41</f>
        <v/>
      </c>
      <c r="D44" s="30">
        <f>ChapterMaster!$E$41</f>
        <v/>
      </c>
      <c r="E44" s="30">
        <f>IF(ChapterMaster!$G41=0,"",ChapterMaster!$G41)</f>
        <v/>
      </c>
      <c r="F44" s="31">
        <f>IF(OR(ChapterMaster!$G41="",ChapterMaster!$G41=0),"",IF(ChapterMaster!$G41&gt;ChapterMaster!$E41,ROUND(ChapterMaster!$G41-ChapterMaster!$E41,2),""))</f>
        <v/>
      </c>
      <c r="G44" s="29">
        <f>IF($F44="","","#101 (Addendum to BPOC)")</f>
        <v/>
      </c>
    </row>
    <row r="45">
      <c r="B45" s="29">
        <f>ChapterMaster!$C$42</f>
        <v/>
      </c>
      <c r="C45" s="29">
        <f>ChapterMaster!$D$42</f>
        <v/>
      </c>
      <c r="D45" s="30">
        <f>ChapterMaster!$E$42</f>
        <v/>
      </c>
      <c r="E45" s="30">
        <f>IF(ChapterMaster!$G42=0,"",ChapterMaster!$G42)</f>
        <v/>
      </c>
      <c r="F45" s="31">
        <f>IF(OR(ChapterMaster!$G42="",ChapterMaster!$G42=0),"",IF(ChapterMaster!$G42&gt;ChapterMaster!$E42,ROUND(ChapterMaster!$G42-ChapterMaster!$E42,2),""))</f>
        <v/>
      </c>
      <c r="G45" s="29">
        <f>IF($F45="","","#101 (Addendum to BPOC)")</f>
        <v/>
      </c>
    </row>
    <row r="46">
      <c r="B46" s="29">
        <f>ChapterMaster!$C$43</f>
        <v/>
      </c>
      <c r="C46" s="29">
        <f>ChapterMaster!$D$43</f>
        <v/>
      </c>
      <c r="D46" s="30">
        <f>ChapterMaster!$E$43</f>
        <v/>
      </c>
      <c r="E46" s="30">
        <f>IF(ChapterMaster!$G43=0,"",ChapterMaster!$G43)</f>
        <v/>
      </c>
      <c r="F46" s="31">
        <f>IF(OR(ChapterMaster!$G43="",ChapterMaster!$G43=0),"",IF(ChapterMaster!$G43&gt;ChapterMaster!$E43,ROUND(ChapterMaster!$G43-ChapterMaster!$E43,2),""))</f>
        <v/>
      </c>
      <c r="G46" s="29">
        <f>IF($F46="","","#101 (Addendum to BPOC)")</f>
        <v/>
      </c>
    </row>
    <row r="47">
      <c r="B47" s="29">
        <f>ChapterMaster!$C$44</f>
        <v/>
      </c>
      <c r="C47" s="29">
        <f>ChapterMaster!$D$44</f>
        <v/>
      </c>
      <c r="D47" s="30">
        <f>ChapterMaster!$E$44</f>
        <v/>
      </c>
      <c r="E47" s="30">
        <f>IF(ChapterMaster!$G44=0,"",ChapterMaster!$G44)</f>
        <v/>
      </c>
      <c r="F47" s="31">
        <f>IF(OR(ChapterMaster!$G44="",ChapterMaster!$G44=0),"",IF(ChapterMaster!$G44&gt;ChapterMaster!$E44,ROUND(ChapterMaster!$G44-ChapterMaster!$E44,2),""))</f>
        <v/>
      </c>
      <c r="G47" s="29">
        <f>IF($F47="","","#101 (Addendum to BPOC)")</f>
        <v/>
      </c>
    </row>
    <row r="48">
      <c r="B48" s="29">
        <f>ChapterMaster!$C$45</f>
        <v/>
      </c>
      <c r="C48" s="29">
        <f>ChapterMaster!$D$45</f>
        <v/>
      </c>
      <c r="D48" s="30">
        <f>ChapterMaster!$E$45</f>
        <v/>
      </c>
      <c r="E48" s="30">
        <f>IF(ChapterMaster!$G45=0,"",ChapterMaster!$G45)</f>
        <v/>
      </c>
      <c r="F48" s="31">
        <f>IF(OR(ChapterMaster!$G45="",ChapterMaster!$G45=0),"",IF(ChapterMaster!$G45&gt;ChapterMaster!$E45,ROUND(ChapterMaster!$G45-ChapterMaster!$E45,2),""))</f>
        <v/>
      </c>
      <c r="G48" s="29">
        <f>IF($F48="","","#101 (Addendum to BPOC)")</f>
        <v/>
      </c>
    </row>
    <row r="49">
      <c r="B49" s="29">
        <f>ChapterMaster!$C$46</f>
        <v/>
      </c>
      <c r="C49" s="29">
        <f>ChapterMaster!$D$46</f>
        <v/>
      </c>
      <c r="D49" s="30">
        <f>ChapterMaster!$E$46</f>
        <v/>
      </c>
      <c r="E49" s="30">
        <f>IF(ChapterMaster!$G46=0,"",ChapterMaster!$G46)</f>
        <v/>
      </c>
      <c r="F49" s="31">
        <f>IF(OR(ChapterMaster!$G46="",ChapterMaster!$G46=0),"",IF(ChapterMaster!$G46&gt;ChapterMaster!$E46,ROUND(ChapterMaster!$G46-ChapterMaster!$E46,2),""))</f>
        <v/>
      </c>
      <c r="G49" s="29">
        <f>IF($F49="","","#101 (Addendum to BPOC)")</f>
        <v/>
      </c>
    </row>
    <row r="50">
      <c r="B50" s="29">
        <f>ChapterMaster!$C$47</f>
        <v/>
      </c>
      <c r="C50" s="29">
        <f>ChapterMaster!$D$47</f>
        <v/>
      </c>
      <c r="D50" s="30">
        <f>ChapterMaster!$E$47</f>
        <v/>
      </c>
      <c r="E50" s="30">
        <f>IF(ChapterMaster!$G47=0,"",ChapterMaster!$G47)</f>
        <v/>
      </c>
      <c r="F50" s="31">
        <f>IF(OR(ChapterMaster!$G47="",ChapterMaster!$G47=0),"",IF(ChapterMaster!$G47&gt;ChapterMaster!$E47,ROUND(ChapterMaster!$G47-ChapterMaster!$E47,2),""))</f>
        <v/>
      </c>
      <c r="G50" s="29">
        <f>IF($F50="","","#2055 (Firearms)")</f>
        <v/>
      </c>
    </row>
    <row r="51">
      <c r="B51" s="29">
        <f>ChapterMaster!$C$48</f>
        <v/>
      </c>
      <c r="C51" s="29">
        <f>ChapterMaster!$D$48</f>
        <v/>
      </c>
      <c r="D51" s="30">
        <f>ChapterMaster!$E$48</f>
        <v/>
      </c>
      <c r="E51" s="30">
        <f>IF(ChapterMaster!$G48=0,"",ChapterMaster!$G48)</f>
        <v/>
      </c>
      <c r="F51" s="31">
        <f>IF(OR(ChapterMaster!$G48="",ChapterMaster!$G48=0),"",IF(ChapterMaster!$G48&gt;ChapterMaster!$E48,ROUND(ChapterMaster!$G48-ChapterMaster!$E48,2),""))</f>
        <v/>
      </c>
      <c r="G51" s="29">
        <f>IF($F51="","","#101 (Addendum to BPOC)")</f>
        <v/>
      </c>
    </row>
    <row r="52">
      <c r="B52" s="29">
        <f>ChapterMaster!$C$49</f>
        <v/>
      </c>
      <c r="C52" s="29">
        <f>ChapterMaster!$D$49</f>
        <v/>
      </c>
      <c r="D52" s="30">
        <f>ChapterMaster!$E$49</f>
        <v/>
      </c>
      <c r="E52" s="30">
        <f>IF(ChapterMaster!$G49=0,"",ChapterMaster!$G49)</f>
        <v/>
      </c>
      <c r="F52" s="31">
        <f>IF(OR(ChapterMaster!$G49="",ChapterMaster!$G49=0),"",IF(ChapterMaster!$G49&gt;ChapterMaster!$E49,ROUND(ChapterMaster!$G49-ChapterMaster!$E49,2),""))</f>
        <v/>
      </c>
      <c r="G52" s="29">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4"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IFERROR(_xlfn._xlws.FILTER(_xlfn.HSTACK(nrInstrNames,nrInstrReady,nrInstrChTaught),ISNUMBER(SEARCH(", "&amp;cfgPacketChapter&amp;",",", "&amp;nrInstrChTaught&amp;","))),"—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IFERROR(_xlfn._xlws.FILTER(_xlfn.HSTACK(TEXT(nrSCH_Date,"mm/dd/yyyy"),TEXT(nrSCH_Start,"h:mm AM/PM"),TEXT(nrSCH_End,"h:mm AM/PM"),nrSCH_Act,nrSCH_Instr),nrSCH_ChNum=cfgPacketChapter),"—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30">
        <f>IF(Cadets!$B6="","",ROW()-10)</f>
        <v/>
      </c>
      <c r="C11" s="29">
        <f>IF(Cadets!$B6="","",Cadets!$F6)</f>
        <v/>
      </c>
      <c r="D11" s="30">
        <f>IF($C11="","",Cadets!$B6)</f>
        <v/>
      </c>
      <c r="E11" s="30">
        <f>IF($C11="","",Cadets!$H6)</f>
        <v/>
      </c>
      <c r="F11" s="30">
        <f>IF($C11="","",_xlfn.LET(_xlpm.c,IFERROR(INDEX(rngEPcode,MATCH(cfgGradeSheetExam,IFERROR(rngEPseq+0,-1),0)),""),IF(COUNTIFS(nrES_PID,Cadets!$B6,nrES_Code,_xlpm.c,nrES_Att,1)=0,"",SUMIFS(nrES_Raw,nrES_PID,Cadets!$B6,nrES_Code,_xlpm.c,nrES_Att,1))))</f>
        <v/>
      </c>
      <c r="G11" s="30">
        <f>IF($C11="","",_xlfn.LET(_xlpm.c,IFERROR(INDEX(rngEPcode,MATCH(cfgGradeSheetExam,IFERROR(rngEPseq+0,-1),0)),""),IF(COUNTIFS(nrES_PID,Cadets!$B6,nrES_Code,_xlpm.c,nrES_Final,"Yes",nrES_Rec,"&lt;&gt;")=0,"",SUMIFS(nrES_Rec,nrES_PID,Cadets!$B6,nrES_Code,_xlpm.c,nrES_Final,"Yes"))))</f>
        <v/>
      </c>
      <c r="H11" s="30">
        <f>IF(OR($C11="",$G11=""),"",IF($G11&gt;=cfgPassingScore,"Pass","FAIL"))</f>
        <v/>
      </c>
      <c r="I11" s="30">
        <f>IF($C11="","",_xlfn.LET(_xlpm.c,IFERROR(INDEX(rngEPcode,MATCH(cfgGradeSheetExam,IFERROR(rngEPseq+0,-1),0)),""),IF(COUNTIFS(nrES_PID,Cadets!$B6,nrES_Code,_xlpm.c,nrES_Att,2)&gt;0,"Retested","")))</f>
        <v/>
      </c>
    </row>
    <row r="12">
      <c r="B12" s="30">
        <f>IF(Cadets!$B7="","",ROW()-10)</f>
        <v/>
      </c>
      <c r="C12" s="29">
        <f>IF(Cadets!$B7="","",Cadets!$F7)</f>
        <v/>
      </c>
      <c r="D12" s="30">
        <f>IF($C12="","",Cadets!$B7)</f>
        <v/>
      </c>
      <c r="E12" s="30">
        <f>IF($C12="","",Cadets!$H7)</f>
        <v/>
      </c>
      <c r="F12" s="30">
        <f>IF($C12="","",_xlfn.LET(_xlpm.c,IFERROR(INDEX(rngEPcode,MATCH(cfgGradeSheetExam,IFERROR(rngEPseq+0,-1),0)),""),IF(COUNTIFS(nrES_PID,Cadets!$B7,nrES_Code,_xlpm.c,nrES_Att,1)=0,"",SUMIFS(nrES_Raw,nrES_PID,Cadets!$B7,nrES_Code,_xlpm.c,nrES_Att,1))))</f>
        <v/>
      </c>
      <c r="G12" s="30">
        <f>IF($C12="","",_xlfn.LET(_xlpm.c,IFERROR(INDEX(rngEPcode,MATCH(cfgGradeSheetExam,IFERROR(rngEPseq+0,-1),0)),""),IF(COUNTIFS(nrES_PID,Cadets!$B7,nrES_Code,_xlpm.c,nrES_Final,"Yes",nrES_Rec,"&lt;&gt;")=0,"",SUMIFS(nrES_Rec,nrES_PID,Cadets!$B7,nrES_Code,_xlpm.c,nrES_Final,"Yes"))))</f>
        <v/>
      </c>
      <c r="H12" s="30">
        <f>IF(OR($C12="",$G12=""),"",IF($G12&gt;=cfgPassingScore,"Pass","FAIL"))</f>
        <v/>
      </c>
      <c r="I12" s="30">
        <f>IF($C12="","",_xlfn.LET(_xlpm.c,IFERROR(INDEX(rngEPcode,MATCH(cfgGradeSheetExam,IFERROR(rngEPseq+0,-1),0)),""),IF(COUNTIFS(nrES_PID,Cadets!$B7,nrES_Code,_xlpm.c,nrES_Att,2)&gt;0,"Retested","")))</f>
        <v/>
      </c>
    </row>
    <row r="13">
      <c r="B13" s="30">
        <f>IF(Cadets!$B8="","",ROW()-10)</f>
        <v/>
      </c>
      <c r="C13" s="29">
        <f>IF(Cadets!$B8="","",Cadets!$F8)</f>
        <v/>
      </c>
      <c r="D13" s="30">
        <f>IF($C13="","",Cadets!$B8)</f>
        <v/>
      </c>
      <c r="E13" s="30">
        <f>IF($C13="","",Cadets!$H8)</f>
        <v/>
      </c>
      <c r="F13" s="30">
        <f>IF($C13="","",_xlfn.LET(_xlpm.c,IFERROR(INDEX(rngEPcode,MATCH(cfgGradeSheetExam,IFERROR(rngEPseq+0,-1),0)),""),IF(COUNTIFS(nrES_PID,Cadets!$B8,nrES_Code,_xlpm.c,nrES_Att,1)=0,"",SUMIFS(nrES_Raw,nrES_PID,Cadets!$B8,nrES_Code,_xlpm.c,nrES_Att,1))))</f>
        <v/>
      </c>
      <c r="G13" s="30">
        <f>IF($C13="","",_xlfn.LET(_xlpm.c,IFERROR(INDEX(rngEPcode,MATCH(cfgGradeSheetExam,IFERROR(rngEPseq+0,-1),0)),""),IF(COUNTIFS(nrES_PID,Cadets!$B8,nrES_Code,_xlpm.c,nrES_Final,"Yes",nrES_Rec,"&lt;&gt;")=0,"",SUMIFS(nrES_Rec,nrES_PID,Cadets!$B8,nrES_Code,_xlpm.c,nrES_Final,"Yes"))))</f>
        <v/>
      </c>
      <c r="H13" s="30">
        <f>IF(OR($C13="",$G13=""),"",IF($G13&gt;=cfgPassingScore,"Pass","FAIL"))</f>
        <v/>
      </c>
      <c r="I13" s="30">
        <f>IF($C13="","",_xlfn.LET(_xlpm.c,IFERROR(INDEX(rngEPcode,MATCH(cfgGradeSheetExam,IFERROR(rngEPseq+0,-1),0)),""),IF(COUNTIFS(nrES_PID,Cadets!$B8,nrES_Code,_xlpm.c,nrES_Att,2)&gt;0,"Retested","")))</f>
        <v/>
      </c>
    </row>
    <row r="14">
      <c r="B14" s="30">
        <f>IF(Cadets!$B9="","",ROW()-10)</f>
        <v/>
      </c>
      <c r="C14" s="29">
        <f>IF(Cadets!$B9="","",Cadets!$F9)</f>
        <v/>
      </c>
      <c r="D14" s="30">
        <f>IF($C14="","",Cadets!$B9)</f>
        <v/>
      </c>
      <c r="E14" s="30">
        <f>IF($C14="","",Cadets!$H9)</f>
        <v/>
      </c>
      <c r="F14" s="30">
        <f>IF($C14="","",_xlfn.LET(_xlpm.c,IFERROR(INDEX(rngEPcode,MATCH(cfgGradeSheetExam,IFERROR(rngEPseq+0,-1),0)),""),IF(COUNTIFS(nrES_PID,Cadets!$B9,nrES_Code,_xlpm.c,nrES_Att,1)=0,"",SUMIFS(nrES_Raw,nrES_PID,Cadets!$B9,nrES_Code,_xlpm.c,nrES_Att,1))))</f>
        <v/>
      </c>
      <c r="G14" s="30">
        <f>IF($C14="","",_xlfn.LET(_xlpm.c,IFERROR(INDEX(rngEPcode,MATCH(cfgGradeSheetExam,IFERROR(rngEPseq+0,-1),0)),""),IF(COUNTIFS(nrES_PID,Cadets!$B9,nrES_Code,_xlpm.c,nrES_Final,"Yes",nrES_Rec,"&lt;&gt;")=0,"",SUMIFS(nrES_Rec,nrES_PID,Cadets!$B9,nrES_Code,_xlpm.c,nrES_Final,"Yes"))))</f>
        <v/>
      </c>
      <c r="H14" s="30">
        <f>IF(OR($C14="",$G14=""),"",IF($G14&gt;=cfgPassingScore,"Pass","FAIL"))</f>
        <v/>
      </c>
      <c r="I14" s="30">
        <f>IF($C14="","",_xlfn.LET(_xlpm.c,IFERROR(INDEX(rngEPcode,MATCH(cfgGradeSheetExam,IFERROR(rngEPseq+0,-1),0)),""),IF(COUNTIFS(nrES_PID,Cadets!$B9,nrES_Code,_xlpm.c,nrES_Att,2)&gt;0,"Retested","")))</f>
        <v/>
      </c>
    </row>
    <row r="15">
      <c r="B15" s="30">
        <f>IF(Cadets!$B10="","",ROW()-10)</f>
        <v/>
      </c>
      <c r="C15" s="29">
        <f>IF(Cadets!$B10="","",Cadets!$F10)</f>
        <v/>
      </c>
      <c r="D15" s="30">
        <f>IF($C15="","",Cadets!$B10)</f>
        <v/>
      </c>
      <c r="E15" s="30">
        <f>IF($C15="","",Cadets!$H10)</f>
        <v/>
      </c>
      <c r="F15" s="30">
        <f>IF($C15="","",_xlfn.LET(_xlpm.c,IFERROR(INDEX(rngEPcode,MATCH(cfgGradeSheetExam,IFERROR(rngEPseq+0,-1),0)),""),IF(COUNTIFS(nrES_PID,Cadets!$B10,nrES_Code,_xlpm.c,nrES_Att,1)=0,"",SUMIFS(nrES_Raw,nrES_PID,Cadets!$B10,nrES_Code,_xlpm.c,nrES_Att,1))))</f>
        <v/>
      </c>
      <c r="G15" s="30">
        <f>IF($C15="","",_xlfn.LET(_xlpm.c,IFERROR(INDEX(rngEPcode,MATCH(cfgGradeSheetExam,IFERROR(rngEPseq+0,-1),0)),""),IF(COUNTIFS(nrES_PID,Cadets!$B10,nrES_Code,_xlpm.c,nrES_Final,"Yes",nrES_Rec,"&lt;&gt;")=0,"",SUMIFS(nrES_Rec,nrES_PID,Cadets!$B10,nrES_Code,_xlpm.c,nrES_Final,"Yes"))))</f>
        <v/>
      </c>
      <c r="H15" s="30">
        <f>IF(OR($C15="",$G15=""),"",IF($G15&gt;=cfgPassingScore,"Pass","FAIL"))</f>
        <v/>
      </c>
      <c r="I15" s="30">
        <f>IF($C15="","",_xlfn.LET(_xlpm.c,IFERROR(INDEX(rngEPcode,MATCH(cfgGradeSheetExam,IFERROR(rngEPseq+0,-1),0)),""),IF(COUNTIFS(nrES_PID,Cadets!$B10,nrES_Code,_xlpm.c,nrES_Att,2)&gt;0,"Retested","")))</f>
        <v/>
      </c>
    </row>
    <row r="16">
      <c r="B16" s="30">
        <f>IF(Cadets!$B11="","",ROW()-10)</f>
        <v/>
      </c>
      <c r="C16" s="29">
        <f>IF(Cadets!$B11="","",Cadets!$F11)</f>
        <v/>
      </c>
      <c r="D16" s="30">
        <f>IF($C16="","",Cadets!$B11)</f>
        <v/>
      </c>
      <c r="E16" s="30">
        <f>IF($C16="","",Cadets!$H11)</f>
        <v/>
      </c>
      <c r="F16" s="30">
        <f>IF($C16="","",_xlfn.LET(_xlpm.c,IFERROR(INDEX(rngEPcode,MATCH(cfgGradeSheetExam,IFERROR(rngEPseq+0,-1),0)),""),IF(COUNTIFS(nrES_PID,Cadets!$B11,nrES_Code,_xlpm.c,nrES_Att,1)=0,"",SUMIFS(nrES_Raw,nrES_PID,Cadets!$B11,nrES_Code,_xlpm.c,nrES_Att,1))))</f>
        <v/>
      </c>
      <c r="G16" s="30">
        <f>IF($C16="","",_xlfn.LET(_xlpm.c,IFERROR(INDEX(rngEPcode,MATCH(cfgGradeSheetExam,IFERROR(rngEPseq+0,-1),0)),""),IF(COUNTIFS(nrES_PID,Cadets!$B11,nrES_Code,_xlpm.c,nrES_Final,"Yes",nrES_Rec,"&lt;&gt;")=0,"",SUMIFS(nrES_Rec,nrES_PID,Cadets!$B11,nrES_Code,_xlpm.c,nrES_Final,"Yes"))))</f>
        <v/>
      </c>
      <c r="H16" s="30">
        <f>IF(OR($C16="",$G16=""),"",IF($G16&gt;=cfgPassingScore,"Pass","FAIL"))</f>
        <v/>
      </c>
      <c r="I16" s="30">
        <f>IF($C16="","",_xlfn.LET(_xlpm.c,IFERROR(INDEX(rngEPcode,MATCH(cfgGradeSheetExam,IFERROR(rngEPseq+0,-1),0)),""),IF(COUNTIFS(nrES_PID,Cadets!$B11,nrES_Code,_xlpm.c,nrES_Att,2)&gt;0,"Retested","")))</f>
        <v/>
      </c>
    </row>
    <row r="17">
      <c r="B17" s="30">
        <f>IF(Cadets!$B12="","",ROW()-10)</f>
        <v/>
      </c>
      <c r="C17" s="29">
        <f>IF(Cadets!$B12="","",Cadets!$F12)</f>
        <v/>
      </c>
      <c r="D17" s="30">
        <f>IF($C17="","",Cadets!$B12)</f>
        <v/>
      </c>
      <c r="E17" s="30">
        <f>IF($C17="","",Cadets!$H12)</f>
        <v/>
      </c>
      <c r="F17" s="30">
        <f>IF($C17="","",_xlfn.LET(_xlpm.c,IFERROR(INDEX(rngEPcode,MATCH(cfgGradeSheetExam,IFERROR(rngEPseq+0,-1),0)),""),IF(COUNTIFS(nrES_PID,Cadets!$B12,nrES_Code,_xlpm.c,nrES_Att,1)=0,"",SUMIFS(nrES_Raw,nrES_PID,Cadets!$B12,nrES_Code,_xlpm.c,nrES_Att,1))))</f>
        <v/>
      </c>
      <c r="G17" s="30">
        <f>IF($C17="","",_xlfn.LET(_xlpm.c,IFERROR(INDEX(rngEPcode,MATCH(cfgGradeSheetExam,IFERROR(rngEPseq+0,-1),0)),""),IF(COUNTIFS(nrES_PID,Cadets!$B12,nrES_Code,_xlpm.c,nrES_Final,"Yes",nrES_Rec,"&lt;&gt;")=0,"",SUMIFS(nrES_Rec,nrES_PID,Cadets!$B12,nrES_Code,_xlpm.c,nrES_Final,"Yes"))))</f>
        <v/>
      </c>
      <c r="H17" s="30">
        <f>IF(OR($C17="",$G17=""),"",IF($G17&gt;=cfgPassingScore,"Pass","FAIL"))</f>
        <v/>
      </c>
      <c r="I17" s="30">
        <f>IF($C17="","",_xlfn.LET(_xlpm.c,IFERROR(INDEX(rngEPcode,MATCH(cfgGradeSheetExam,IFERROR(rngEPseq+0,-1),0)),""),IF(COUNTIFS(nrES_PID,Cadets!$B12,nrES_Code,_xlpm.c,nrES_Att,2)&gt;0,"Retested","")))</f>
        <v/>
      </c>
    </row>
    <row r="18">
      <c r="B18" s="30">
        <f>IF(Cadets!$B13="","",ROW()-10)</f>
        <v/>
      </c>
      <c r="C18" s="29">
        <f>IF(Cadets!$B13="","",Cadets!$F13)</f>
        <v/>
      </c>
      <c r="D18" s="30">
        <f>IF($C18="","",Cadets!$B13)</f>
        <v/>
      </c>
      <c r="E18" s="30">
        <f>IF($C18="","",Cadets!$H13)</f>
        <v/>
      </c>
      <c r="F18" s="30">
        <f>IF($C18="","",_xlfn.LET(_xlpm.c,IFERROR(INDEX(rngEPcode,MATCH(cfgGradeSheetExam,IFERROR(rngEPseq+0,-1),0)),""),IF(COUNTIFS(nrES_PID,Cadets!$B13,nrES_Code,_xlpm.c,nrES_Att,1)=0,"",SUMIFS(nrES_Raw,nrES_PID,Cadets!$B13,nrES_Code,_xlpm.c,nrES_Att,1))))</f>
        <v/>
      </c>
      <c r="G18" s="30">
        <f>IF($C18="","",_xlfn.LET(_xlpm.c,IFERROR(INDEX(rngEPcode,MATCH(cfgGradeSheetExam,IFERROR(rngEPseq+0,-1),0)),""),IF(COUNTIFS(nrES_PID,Cadets!$B13,nrES_Code,_xlpm.c,nrES_Final,"Yes",nrES_Rec,"&lt;&gt;")=0,"",SUMIFS(nrES_Rec,nrES_PID,Cadets!$B13,nrES_Code,_xlpm.c,nrES_Final,"Yes"))))</f>
        <v/>
      </c>
      <c r="H18" s="30">
        <f>IF(OR($C18="",$G18=""),"",IF($G18&gt;=cfgPassingScore,"Pass","FAIL"))</f>
        <v/>
      </c>
      <c r="I18" s="30">
        <f>IF($C18="","",_xlfn.LET(_xlpm.c,IFERROR(INDEX(rngEPcode,MATCH(cfgGradeSheetExam,IFERROR(rngEPseq+0,-1),0)),""),IF(COUNTIFS(nrES_PID,Cadets!$B13,nrES_Code,_xlpm.c,nrES_Att,2)&gt;0,"Retested","")))</f>
        <v/>
      </c>
    </row>
    <row r="19">
      <c r="B19" s="30">
        <f>IF(Cadets!$B14="","",ROW()-10)</f>
        <v/>
      </c>
      <c r="C19" s="29">
        <f>IF(Cadets!$B14="","",Cadets!$F14)</f>
        <v/>
      </c>
      <c r="D19" s="30">
        <f>IF($C19="","",Cadets!$B14)</f>
        <v/>
      </c>
      <c r="E19" s="30">
        <f>IF($C19="","",Cadets!$H14)</f>
        <v/>
      </c>
      <c r="F19" s="30">
        <f>IF($C19="","",_xlfn.LET(_xlpm.c,IFERROR(INDEX(rngEPcode,MATCH(cfgGradeSheetExam,IFERROR(rngEPseq+0,-1),0)),""),IF(COUNTIFS(nrES_PID,Cadets!$B14,nrES_Code,_xlpm.c,nrES_Att,1)=0,"",SUMIFS(nrES_Raw,nrES_PID,Cadets!$B14,nrES_Code,_xlpm.c,nrES_Att,1))))</f>
        <v/>
      </c>
      <c r="G19" s="30">
        <f>IF($C19="","",_xlfn.LET(_xlpm.c,IFERROR(INDEX(rngEPcode,MATCH(cfgGradeSheetExam,IFERROR(rngEPseq+0,-1),0)),""),IF(COUNTIFS(nrES_PID,Cadets!$B14,nrES_Code,_xlpm.c,nrES_Final,"Yes",nrES_Rec,"&lt;&gt;")=0,"",SUMIFS(nrES_Rec,nrES_PID,Cadets!$B14,nrES_Code,_xlpm.c,nrES_Final,"Yes"))))</f>
        <v/>
      </c>
      <c r="H19" s="30">
        <f>IF(OR($C19="",$G19=""),"",IF($G19&gt;=cfgPassingScore,"Pass","FAIL"))</f>
        <v/>
      </c>
      <c r="I19" s="30">
        <f>IF($C19="","",_xlfn.LET(_xlpm.c,IFERROR(INDEX(rngEPcode,MATCH(cfgGradeSheetExam,IFERROR(rngEPseq+0,-1),0)),""),IF(COUNTIFS(nrES_PID,Cadets!$B14,nrES_Code,_xlpm.c,nrES_Att,2)&gt;0,"Retested","")))</f>
        <v/>
      </c>
    </row>
    <row r="20">
      <c r="B20" s="30">
        <f>IF(Cadets!$B15="","",ROW()-10)</f>
        <v/>
      </c>
      <c r="C20" s="29">
        <f>IF(Cadets!$B15="","",Cadets!$F15)</f>
        <v/>
      </c>
      <c r="D20" s="30">
        <f>IF($C20="","",Cadets!$B15)</f>
        <v/>
      </c>
      <c r="E20" s="30">
        <f>IF($C20="","",Cadets!$H15)</f>
        <v/>
      </c>
      <c r="F20" s="30">
        <f>IF($C20="","",_xlfn.LET(_xlpm.c,IFERROR(INDEX(rngEPcode,MATCH(cfgGradeSheetExam,IFERROR(rngEPseq+0,-1),0)),""),IF(COUNTIFS(nrES_PID,Cadets!$B15,nrES_Code,_xlpm.c,nrES_Att,1)=0,"",SUMIFS(nrES_Raw,nrES_PID,Cadets!$B15,nrES_Code,_xlpm.c,nrES_Att,1))))</f>
        <v/>
      </c>
      <c r="G20" s="30">
        <f>IF($C20="","",_xlfn.LET(_xlpm.c,IFERROR(INDEX(rngEPcode,MATCH(cfgGradeSheetExam,IFERROR(rngEPseq+0,-1),0)),""),IF(COUNTIFS(nrES_PID,Cadets!$B15,nrES_Code,_xlpm.c,nrES_Final,"Yes",nrES_Rec,"&lt;&gt;")=0,"",SUMIFS(nrES_Rec,nrES_PID,Cadets!$B15,nrES_Code,_xlpm.c,nrES_Final,"Yes"))))</f>
        <v/>
      </c>
      <c r="H20" s="30">
        <f>IF(OR($C20="",$G20=""),"",IF($G20&gt;=cfgPassingScore,"Pass","FAIL"))</f>
        <v/>
      </c>
      <c r="I20" s="30">
        <f>IF($C20="","",_xlfn.LET(_xlpm.c,IFERROR(INDEX(rngEPcode,MATCH(cfgGradeSheetExam,IFERROR(rngEPseq+0,-1),0)),""),IF(COUNTIFS(nrES_PID,Cadets!$B15,nrES_Code,_xlpm.c,nrES_Att,2)&gt;0,"Retested","")))</f>
        <v/>
      </c>
    </row>
    <row r="21">
      <c r="B21" s="30">
        <f>IF(Cadets!$B16="","",ROW()-10)</f>
        <v/>
      </c>
      <c r="C21" s="29">
        <f>IF(Cadets!$B16="","",Cadets!$F16)</f>
        <v/>
      </c>
      <c r="D21" s="30">
        <f>IF($C21="","",Cadets!$B16)</f>
        <v/>
      </c>
      <c r="E21" s="30">
        <f>IF($C21="","",Cadets!$H16)</f>
        <v/>
      </c>
      <c r="F21" s="30">
        <f>IF($C21="","",_xlfn.LET(_xlpm.c,IFERROR(INDEX(rngEPcode,MATCH(cfgGradeSheetExam,IFERROR(rngEPseq+0,-1),0)),""),IF(COUNTIFS(nrES_PID,Cadets!$B16,nrES_Code,_xlpm.c,nrES_Att,1)=0,"",SUMIFS(nrES_Raw,nrES_PID,Cadets!$B16,nrES_Code,_xlpm.c,nrES_Att,1))))</f>
        <v/>
      </c>
      <c r="G21" s="30">
        <f>IF($C21="","",_xlfn.LET(_xlpm.c,IFERROR(INDEX(rngEPcode,MATCH(cfgGradeSheetExam,IFERROR(rngEPseq+0,-1),0)),""),IF(COUNTIFS(nrES_PID,Cadets!$B16,nrES_Code,_xlpm.c,nrES_Final,"Yes",nrES_Rec,"&lt;&gt;")=0,"",SUMIFS(nrES_Rec,nrES_PID,Cadets!$B16,nrES_Code,_xlpm.c,nrES_Final,"Yes"))))</f>
        <v/>
      </c>
      <c r="H21" s="30">
        <f>IF(OR($C21="",$G21=""),"",IF($G21&gt;=cfgPassingScore,"Pass","FAIL"))</f>
        <v/>
      </c>
      <c r="I21" s="30">
        <f>IF($C21="","",_xlfn.LET(_xlpm.c,IFERROR(INDEX(rngEPcode,MATCH(cfgGradeSheetExam,IFERROR(rngEPseq+0,-1),0)),""),IF(COUNTIFS(nrES_PID,Cadets!$B16,nrES_Code,_xlpm.c,nrES_Att,2)&gt;0,"Retested","")))</f>
        <v/>
      </c>
    </row>
    <row r="22">
      <c r="B22" s="30">
        <f>IF(Cadets!$B17="","",ROW()-10)</f>
        <v/>
      </c>
      <c r="C22" s="29">
        <f>IF(Cadets!$B17="","",Cadets!$F17)</f>
        <v/>
      </c>
      <c r="D22" s="30">
        <f>IF($C22="","",Cadets!$B17)</f>
        <v/>
      </c>
      <c r="E22" s="30">
        <f>IF($C22="","",Cadets!$H17)</f>
        <v/>
      </c>
      <c r="F22" s="30">
        <f>IF($C22="","",_xlfn.LET(_xlpm.c,IFERROR(INDEX(rngEPcode,MATCH(cfgGradeSheetExam,IFERROR(rngEPseq+0,-1),0)),""),IF(COUNTIFS(nrES_PID,Cadets!$B17,nrES_Code,_xlpm.c,nrES_Att,1)=0,"",SUMIFS(nrES_Raw,nrES_PID,Cadets!$B17,nrES_Code,_xlpm.c,nrES_Att,1))))</f>
        <v/>
      </c>
      <c r="G22" s="30">
        <f>IF($C22="","",_xlfn.LET(_xlpm.c,IFERROR(INDEX(rngEPcode,MATCH(cfgGradeSheetExam,IFERROR(rngEPseq+0,-1),0)),""),IF(COUNTIFS(nrES_PID,Cadets!$B17,nrES_Code,_xlpm.c,nrES_Final,"Yes",nrES_Rec,"&lt;&gt;")=0,"",SUMIFS(nrES_Rec,nrES_PID,Cadets!$B17,nrES_Code,_xlpm.c,nrES_Final,"Yes"))))</f>
        <v/>
      </c>
      <c r="H22" s="30">
        <f>IF(OR($C22="",$G22=""),"",IF($G22&gt;=cfgPassingScore,"Pass","FAIL"))</f>
        <v/>
      </c>
      <c r="I22" s="30">
        <f>IF($C22="","",_xlfn.LET(_xlpm.c,IFERROR(INDEX(rngEPcode,MATCH(cfgGradeSheetExam,IFERROR(rngEPseq+0,-1),0)),""),IF(COUNTIFS(nrES_PID,Cadets!$B17,nrES_Code,_xlpm.c,nrES_Att,2)&gt;0,"Retested","")))</f>
        <v/>
      </c>
    </row>
    <row r="23">
      <c r="B23" s="30">
        <f>IF(Cadets!$B18="","",ROW()-10)</f>
        <v/>
      </c>
      <c r="C23" s="29">
        <f>IF(Cadets!$B18="","",Cadets!$F18)</f>
        <v/>
      </c>
      <c r="D23" s="30">
        <f>IF($C23="","",Cadets!$B18)</f>
        <v/>
      </c>
      <c r="E23" s="30">
        <f>IF($C23="","",Cadets!$H18)</f>
        <v/>
      </c>
      <c r="F23" s="30">
        <f>IF($C23="","",_xlfn.LET(_xlpm.c,IFERROR(INDEX(rngEPcode,MATCH(cfgGradeSheetExam,IFERROR(rngEPseq+0,-1),0)),""),IF(COUNTIFS(nrES_PID,Cadets!$B18,nrES_Code,_xlpm.c,nrES_Att,1)=0,"",SUMIFS(nrES_Raw,nrES_PID,Cadets!$B18,nrES_Code,_xlpm.c,nrES_Att,1))))</f>
        <v/>
      </c>
      <c r="G23" s="30">
        <f>IF($C23="","",_xlfn.LET(_xlpm.c,IFERROR(INDEX(rngEPcode,MATCH(cfgGradeSheetExam,IFERROR(rngEPseq+0,-1),0)),""),IF(COUNTIFS(nrES_PID,Cadets!$B18,nrES_Code,_xlpm.c,nrES_Final,"Yes",nrES_Rec,"&lt;&gt;")=0,"",SUMIFS(nrES_Rec,nrES_PID,Cadets!$B18,nrES_Code,_xlpm.c,nrES_Final,"Yes"))))</f>
        <v/>
      </c>
      <c r="H23" s="30">
        <f>IF(OR($C23="",$G23=""),"",IF($G23&gt;=cfgPassingScore,"Pass","FAIL"))</f>
        <v/>
      </c>
      <c r="I23" s="30">
        <f>IF($C23="","",_xlfn.LET(_xlpm.c,IFERROR(INDEX(rngEPcode,MATCH(cfgGradeSheetExam,IFERROR(rngEPseq+0,-1),0)),""),IF(COUNTIFS(nrES_PID,Cadets!$B18,nrES_Code,_xlpm.c,nrES_Att,2)&gt;0,"Retested","")))</f>
        <v/>
      </c>
    </row>
    <row r="24">
      <c r="B24" s="30">
        <f>IF(Cadets!$B19="","",ROW()-10)</f>
        <v/>
      </c>
      <c r="C24" s="29">
        <f>IF(Cadets!$B19="","",Cadets!$F19)</f>
        <v/>
      </c>
      <c r="D24" s="30">
        <f>IF($C24="","",Cadets!$B19)</f>
        <v/>
      </c>
      <c r="E24" s="30">
        <f>IF($C24="","",Cadets!$H19)</f>
        <v/>
      </c>
      <c r="F24" s="30">
        <f>IF($C24="","",_xlfn.LET(_xlpm.c,IFERROR(INDEX(rngEPcode,MATCH(cfgGradeSheetExam,IFERROR(rngEPseq+0,-1),0)),""),IF(COUNTIFS(nrES_PID,Cadets!$B19,nrES_Code,_xlpm.c,nrES_Att,1)=0,"",SUMIFS(nrES_Raw,nrES_PID,Cadets!$B19,nrES_Code,_xlpm.c,nrES_Att,1))))</f>
        <v/>
      </c>
      <c r="G24" s="30">
        <f>IF($C24="","",_xlfn.LET(_xlpm.c,IFERROR(INDEX(rngEPcode,MATCH(cfgGradeSheetExam,IFERROR(rngEPseq+0,-1),0)),""),IF(COUNTIFS(nrES_PID,Cadets!$B19,nrES_Code,_xlpm.c,nrES_Final,"Yes",nrES_Rec,"&lt;&gt;")=0,"",SUMIFS(nrES_Rec,nrES_PID,Cadets!$B19,nrES_Code,_xlpm.c,nrES_Final,"Yes"))))</f>
        <v/>
      </c>
      <c r="H24" s="30">
        <f>IF(OR($C24="",$G24=""),"",IF($G24&gt;=cfgPassingScore,"Pass","FAIL"))</f>
        <v/>
      </c>
      <c r="I24" s="30">
        <f>IF($C24="","",_xlfn.LET(_xlpm.c,IFERROR(INDEX(rngEPcode,MATCH(cfgGradeSheetExam,IFERROR(rngEPseq+0,-1),0)),""),IF(COUNTIFS(nrES_PID,Cadets!$B19,nrES_Code,_xlpm.c,nrES_Att,2)&gt;0,"Retested","")))</f>
        <v/>
      </c>
    </row>
    <row r="25">
      <c r="B25" s="30">
        <f>IF(Cadets!$B20="","",ROW()-10)</f>
        <v/>
      </c>
      <c r="C25" s="29">
        <f>IF(Cadets!$B20="","",Cadets!$F20)</f>
        <v/>
      </c>
      <c r="D25" s="30">
        <f>IF($C25="","",Cadets!$B20)</f>
        <v/>
      </c>
      <c r="E25" s="30">
        <f>IF($C25="","",Cadets!$H20)</f>
        <v/>
      </c>
      <c r="F25" s="30">
        <f>IF($C25="","",_xlfn.LET(_xlpm.c,IFERROR(INDEX(rngEPcode,MATCH(cfgGradeSheetExam,IFERROR(rngEPseq+0,-1),0)),""),IF(COUNTIFS(nrES_PID,Cadets!$B20,nrES_Code,_xlpm.c,nrES_Att,1)=0,"",SUMIFS(nrES_Raw,nrES_PID,Cadets!$B20,nrES_Code,_xlpm.c,nrES_Att,1))))</f>
        <v/>
      </c>
      <c r="G25" s="30">
        <f>IF($C25="","",_xlfn.LET(_xlpm.c,IFERROR(INDEX(rngEPcode,MATCH(cfgGradeSheetExam,IFERROR(rngEPseq+0,-1),0)),""),IF(COUNTIFS(nrES_PID,Cadets!$B20,nrES_Code,_xlpm.c,nrES_Final,"Yes",nrES_Rec,"&lt;&gt;")=0,"",SUMIFS(nrES_Rec,nrES_PID,Cadets!$B20,nrES_Code,_xlpm.c,nrES_Final,"Yes"))))</f>
        <v/>
      </c>
      <c r="H25" s="30">
        <f>IF(OR($C25="",$G25=""),"",IF($G25&gt;=cfgPassingScore,"Pass","FAIL"))</f>
        <v/>
      </c>
      <c r="I25" s="30">
        <f>IF($C25="","",_xlfn.LET(_xlpm.c,IFERROR(INDEX(rngEPcode,MATCH(cfgGradeSheetExam,IFERROR(rngEPseq+0,-1),0)),""),IF(COUNTIFS(nrES_PID,Cadets!$B20,nrES_Code,_xlpm.c,nrES_Att,2)&gt;0,"Retested","")))</f>
        <v/>
      </c>
    </row>
    <row r="26">
      <c r="B26" s="30">
        <f>IF(Cadets!$B21="","",ROW()-10)</f>
        <v/>
      </c>
      <c r="C26" s="29">
        <f>IF(Cadets!$B21="","",Cadets!$F21)</f>
        <v/>
      </c>
      <c r="D26" s="30">
        <f>IF($C26="","",Cadets!$B21)</f>
        <v/>
      </c>
      <c r="E26" s="30">
        <f>IF($C26="","",Cadets!$H21)</f>
        <v/>
      </c>
      <c r="F26" s="30">
        <f>IF($C26="","",_xlfn.LET(_xlpm.c,IFERROR(INDEX(rngEPcode,MATCH(cfgGradeSheetExam,IFERROR(rngEPseq+0,-1),0)),""),IF(COUNTIFS(nrES_PID,Cadets!$B21,nrES_Code,_xlpm.c,nrES_Att,1)=0,"",SUMIFS(nrES_Raw,nrES_PID,Cadets!$B21,nrES_Code,_xlpm.c,nrES_Att,1))))</f>
        <v/>
      </c>
      <c r="G26" s="30">
        <f>IF($C26="","",_xlfn.LET(_xlpm.c,IFERROR(INDEX(rngEPcode,MATCH(cfgGradeSheetExam,IFERROR(rngEPseq+0,-1),0)),""),IF(COUNTIFS(nrES_PID,Cadets!$B21,nrES_Code,_xlpm.c,nrES_Final,"Yes",nrES_Rec,"&lt;&gt;")=0,"",SUMIFS(nrES_Rec,nrES_PID,Cadets!$B21,nrES_Code,_xlpm.c,nrES_Final,"Yes"))))</f>
        <v/>
      </c>
      <c r="H26" s="30">
        <f>IF(OR($C26="",$G26=""),"",IF($G26&gt;=cfgPassingScore,"Pass","FAIL"))</f>
        <v/>
      </c>
      <c r="I26" s="30">
        <f>IF($C26="","",_xlfn.LET(_xlpm.c,IFERROR(INDEX(rngEPcode,MATCH(cfgGradeSheetExam,IFERROR(rngEPseq+0,-1),0)),""),IF(COUNTIFS(nrES_PID,Cadets!$B21,nrES_Code,_xlpm.c,nrES_Att,2)&gt;0,"Retested","")))</f>
        <v/>
      </c>
    </row>
    <row r="27">
      <c r="B27" s="30">
        <f>IF(Cadets!$B22="","",ROW()-10)</f>
        <v/>
      </c>
      <c r="C27" s="29">
        <f>IF(Cadets!$B22="","",Cadets!$F22)</f>
        <v/>
      </c>
      <c r="D27" s="30">
        <f>IF($C27="","",Cadets!$B22)</f>
        <v/>
      </c>
      <c r="E27" s="30">
        <f>IF($C27="","",Cadets!$H22)</f>
        <v/>
      </c>
      <c r="F27" s="30">
        <f>IF($C27="","",_xlfn.LET(_xlpm.c,IFERROR(INDEX(rngEPcode,MATCH(cfgGradeSheetExam,IFERROR(rngEPseq+0,-1),0)),""),IF(COUNTIFS(nrES_PID,Cadets!$B22,nrES_Code,_xlpm.c,nrES_Att,1)=0,"",SUMIFS(nrES_Raw,nrES_PID,Cadets!$B22,nrES_Code,_xlpm.c,nrES_Att,1))))</f>
        <v/>
      </c>
      <c r="G27" s="30">
        <f>IF($C27="","",_xlfn.LET(_xlpm.c,IFERROR(INDEX(rngEPcode,MATCH(cfgGradeSheetExam,IFERROR(rngEPseq+0,-1),0)),""),IF(COUNTIFS(nrES_PID,Cadets!$B22,nrES_Code,_xlpm.c,nrES_Final,"Yes",nrES_Rec,"&lt;&gt;")=0,"",SUMIFS(nrES_Rec,nrES_PID,Cadets!$B22,nrES_Code,_xlpm.c,nrES_Final,"Yes"))))</f>
        <v/>
      </c>
      <c r="H27" s="30">
        <f>IF(OR($C27="",$G27=""),"",IF($G27&gt;=cfgPassingScore,"Pass","FAIL"))</f>
        <v/>
      </c>
      <c r="I27" s="30">
        <f>IF($C27="","",_xlfn.LET(_xlpm.c,IFERROR(INDEX(rngEPcode,MATCH(cfgGradeSheetExam,IFERROR(rngEPseq+0,-1),0)),""),IF(COUNTIFS(nrES_PID,Cadets!$B22,nrES_Code,_xlpm.c,nrES_Att,2)&gt;0,"Retested","")))</f>
        <v/>
      </c>
    </row>
    <row r="28">
      <c r="B28" s="30">
        <f>IF(Cadets!$B23="","",ROW()-10)</f>
        <v/>
      </c>
      <c r="C28" s="29">
        <f>IF(Cadets!$B23="","",Cadets!$F23)</f>
        <v/>
      </c>
      <c r="D28" s="30">
        <f>IF($C28="","",Cadets!$B23)</f>
        <v/>
      </c>
      <c r="E28" s="30">
        <f>IF($C28="","",Cadets!$H23)</f>
        <v/>
      </c>
      <c r="F28" s="30">
        <f>IF($C28="","",_xlfn.LET(_xlpm.c,IFERROR(INDEX(rngEPcode,MATCH(cfgGradeSheetExam,IFERROR(rngEPseq+0,-1),0)),""),IF(COUNTIFS(nrES_PID,Cadets!$B23,nrES_Code,_xlpm.c,nrES_Att,1)=0,"",SUMIFS(nrES_Raw,nrES_PID,Cadets!$B23,nrES_Code,_xlpm.c,nrES_Att,1))))</f>
        <v/>
      </c>
      <c r="G28" s="30">
        <f>IF($C28="","",_xlfn.LET(_xlpm.c,IFERROR(INDEX(rngEPcode,MATCH(cfgGradeSheetExam,IFERROR(rngEPseq+0,-1),0)),""),IF(COUNTIFS(nrES_PID,Cadets!$B23,nrES_Code,_xlpm.c,nrES_Final,"Yes",nrES_Rec,"&lt;&gt;")=0,"",SUMIFS(nrES_Rec,nrES_PID,Cadets!$B23,nrES_Code,_xlpm.c,nrES_Final,"Yes"))))</f>
        <v/>
      </c>
      <c r="H28" s="30">
        <f>IF(OR($C28="",$G28=""),"",IF($G28&gt;=cfgPassingScore,"Pass","FAIL"))</f>
        <v/>
      </c>
      <c r="I28" s="30">
        <f>IF($C28="","",_xlfn.LET(_xlpm.c,IFERROR(INDEX(rngEPcode,MATCH(cfgGradeSheetExam,IFERROR(rngEPseq+0,-1),0)),""),IF(COUNTIFS(nrES_PID,Cadets!$B23,nrES_Code,_xlpm.c,nrES_Att,2)&gt;0,"Retested","")))</f>
        <v/>
      </c>
    </row>
    <row r="29">
      <c r="B29" s="30">
        <f>IF(Cadets!$B24="","",ROW()-10)</f>
        <v/>
      </c>
      <c r="C29" s="29">
        <f>IF(Cadets!$B24="","",Cadets!$F24)</f>
        <v/>
      </c>
      <c r="D29" s="30">
        <f>IF($C29="","",Cadets!$B24)</f>
        <v/>
      </c>
      <c r="E29" s="30">
        <f>IF($C29="","",Cadets!$H24)</f>
        <v/>
      </c>
      <c r="F29" s="30">
        <f>IF($C29="","",_xlfn.LET(_xlpm.c,IFERROR(INDEX(rngEPcode,MATCH(cfgGradeSheetExam,IFERROR(rngEPseq+0,-1),0)),""),IF(COUNTIFS(nrES_PID,Cadets!$B24,nrES_Code,_xlpm.c,nrES_Att,1)=0,"",SUMIFS(nrES_Raw,nrES_PID,Cadets!$B24,nrES_Code,_xlpm.c,nrES_Att,1))))</f>
        <v/>
      </c>
      <c r="G29" s="30">
        <f>IF($C29="","",_xlfn.LET(_xlpm.c,IFERROR(INDEX(rngEPcode,MATCH(cfgGradeSheetExam,IFERROR(rngEPseq+0,-1),0)),""),IF(COUNTIFS(nrES_PID,Cadets!$B24,nrES_Code,_xlpm.c,nrES_Final,"Yes",nrES_Rec,"&lt;&gt;")=0,"",SUMIFS(nrES_Rec,nrES_PID,Cadets!$B24,nrES_Code,_xlpm.c,nrES_Final,"Yes"))))</f>
        <v/>
      </c>
      <c r="H29" s="30">
        <f>IF(OR($C29="",$G29=""),"",IF($G29&gt;=cfgPassingScore,"Pass","FAIL"))</f>
        <v/>
      </c>
      <c r="I29" s="30">
        <f>IF($C29="","",_xlfn.LET(_xlpm.c,IFERROR(INDEX(rngEPcode,MATCH(cfgGradeSheetExam,IFERROR(rngEPseq+0,-1),0)),""),IF(COUNTIFS(nrES_PID,Cadets!$B24,nrES_Code,_xlpm.c,nrES_Att,2)&gt;0,"Retested","")))</f>
        <v/>
      </c>
    </row>
    <row r="30">
      <c r="B30" s="30">
        <f>IF(Cadets!$B25="","",ROW()-10)</f>
        <v/>
      </c>
      <c r="C30" s="29">
        <f>IF(Cadets!$B25="","",Cadets!$F25)</f>
        <v/>
      </c>
      <c r="D30" s="30">
        <f>IF($C30="","",Cadets!$B25)</f>
        <v/>
      </c>
      <c r="E30" s="30">
        <f>IF($C30="","",Cadets!$H25)</f>
        <v/>
      </c>
      <c r="F30" s="30">
        <f>IF($C30="","",_xlfn.LET(_xlpm.c,IFERROR(INDEX(rngEPcode,MATCH(cfgGradeSheetExam,IFERROR(rngEPseq+0,-1),0)),""),IF(COUNTIFS(nrES_PID,Cadets!$B25,nrES_Code,_xlpm.c,nrES_Att,1)=0,"",SUMIFS(nrES_Raw,nrES_PID,Cadets!$B25,nrES_Code,_xlpm.c,nrES_Att,1))))</f>
        <v/>
      </c>
      <c r="G30" s="30">
        <f>IF($C30="","",_xlfn.LET(_xlpm.c,IFERROR(INDEX(rngEPcode,MATCH(cfgGradeSheetExam,IFERROR(rngEPseq+0,-1),0)),""),IF(COUNTIFS(nrES_PID,Cadets!$B25,nrES_Code,_xlpm.c,nrES_Final,"Yes",nrES_Rec,"&lt;&gt;")=0,"",SUMIFS(nrES_Rec,nrES_PID,Cadets!$B25,nrES_Code,_xlpm.c,nrES_Final,"Yes"))))</f>
        <v/>
      </c>
      <c r="H30" s="30">
        <f>IF(OR($C30="",$G30=""),"",IF($G30&gt;=cfgPassingScore,"Pass","FAIL"))</f>
        <v/>
      </c>
      <c r="I30" s="30">
        <f>IF($C30="","",_xlfn.LET(_xlpm.c,IFERROR(INDEX(rngEPcode,MATCH(cfgGradeSheetExam,IFERROR(rngEPseq+0,-1),0)),""),IF(COUNTIFS(nrES_PID,Cadets!$B25,nrES_Code,_xlpm.c,nrES_Att,2)&gt;0,"Retested","")))</f>
        <v/>
      </c>
    </row>
    <row r="31">
      <c r="B31" s="30">
        <f>IF(Cadets!$B26="","",ROW()-10)</f>
        <v/>
      </c>
      <c r="C31" s="29">
        <f>IF(Cadets!$B26="","",Cadets!$F26)</f>
        <v/>
      </c>
      <c r="D31" s="30">
        <f>IF($C31="","",Cadets!$B26)</f>
        <v/>
      </c>
      <c r="E31" s="30">
        <f>IF($C31="","",Cadets!$H26)</f>
        <v/>
      </c>
      <c r="F31" s="30">
        <f>IF($C31="","",_xlfn.LET(_xlpm.c,IFERROR(INDEX(rngEPcode,MATCH(cfgGradeSheetExam,IFERROR(rngEPseq+0,-1),0)),""),IF(COUNTIFS(nrES_PID,Cadets!$B26,nrES_Code,_xlpm.c,nrES_Att,1)=0,"",SUMIFS(nrES_Raw,nrES_PID,Cadets!$B26,nrES_Code,_xlpm.c,nrES_Att,1))))</f>
        <v/>
      </c>
      <c r="G31" s="30">
        <f>IF($C31="","",_xlfn.LET(_xlpm.c,IFERROR(INDEX(rngEPcode,MATCH(cfgGradeSheetExam,IFERROR(rngEPseq+0,-1),0)),""),IF(COUNTIFS(nrES_PID,Cadets!$B26,nrES_Code,_xlpm.c,nrES_Final,"Yes",nrES_Rec,"&lt;&gt;")=0,"",SUMIFS(nrES_Rec,nrES_PID,Cadets!$B26,nrES_Code,_xlpm.c,nrES_Final,"Yes"))))</f>
        <v/>
      </c>
      <c r="H31" s="30">
        <f>IF(OR($C31="",$G31=""),"",IF($G31&gt;=cfgPassingScore,"Pass","FAIL"))</f>
        <v/>
      </c>
      <c r="I31" s="30">
        <f>IF($C31="","",_xlfn.LET(_xlpm.c,IFERROR(INDEX(rngEPcode,MATCH(cfgGradeSheetExam,IFERROR(rngEPseq+0,-1),0)),""),IF(COUNTIFS(nrES_PID,Cadets!$B26,nrES_Code,_xlpm.c,nrES_Att,2)&gt;0,"Retested","")))</f>
        <v/>
      </c>
    </row>
    <row r="32">
      <c r="B32" s="30">
        <f>IF(Cadets!$B27="","",ROW()-10)</f>
        <v/>
      </c>
      <c r="C32" s="29">
        <f>IF(Cadets!$B27="","",Cadets!$F27)</f>
        <v/>
      </c>
      <c r="D32" s="30">
        <f>IF($C32="","",Cadets!$B27)</f>
        <v/>
      </c>
      <c r="E32" s="30">
        <f>IF($C32="","",Cadets!$H27)</f>
        <v/>
      </c>
      <c r="F32" s="30">
        <f>IF($C32="","",_xlfn.LET(_xlpm.c,IFERROR(INDEX(rngEPcode,MATCH(cfgGradeSheetExam,IFERROR(rngEPseq+0,-1),0)),""),IF(COUNTIFS(nrES_PID,Cadets!$B27,nrES_Code,_xlpm.c,nrES_Att,1)=0,"",SUMIFS(nrES_Raw,nrES_PID,Cadets!$B27,nrES_Code,_xlpm.c,nrES_Att,1))))</f>
        <v/>
      </c>
      <c r="G32" s="30">
        <f>IF($C32="","",_xlfn.LET(_xlpm.c,IFERROR(INDEX(rngEPcode,MATCH(cfgGradeSheetExam,IFERROR(rngEPseq+0,-1),0)),""),IF(COUNTIFS(nrES_PID,Cadets!$B27,nrES_Code,_xlpm.c,nrES_Final,"Yes",nrES_Rec,"&lt;&gt;")=0,"",SUMIFS(nrES_Rec,nrES_PID,Cadets!$B27,nrES_Code,_xlpm.c,nrES_Final,"Yes"))))</f>
        <v/>
      </c>
      <c r="H32" s="30">
        <f>IF(OR($C32="",$G32=""),"",IF($G32&gt;=cfgPassingScore,"Pass","FAIL"))</f>
        <v/>
      </c>
      <c r="I32" s="30">
        <f>IF($C32="","",_xlfn.LET(_xlpm.c,IFERROR(INDEX(rngEPcode,MATCH(cfgGradeSheetExam,IFERROR(rngEPseq+0,-1),0)),""),IF(COUNTIFS(nrES_PID,Cadets!$B27,nrES_Code,_xlpm.c,nrES_Att,2)&gt;0,"Retested","")))</f>
        <v/>
      </c>
    </row>
    <row r="33">
      <c r="B33" s="30">
        <f>IF(Cadets!$B28="","",ROW()-10)</f>
        <v/>
      </c>
      <c r="C33" s="29">
        <f>IF(Cadets!$B28="","",Cadets!$F28)</f>
        <v/>
      </c>
      <c r="D33" s="30">
        <f>IF($C33="","",Cadets!$B28)</f>
        <v/>
      </c>
      <c r="E33" s="30">
        <f>IF($C33="","",Cadets!$H28)</f>
        <v/>
      </c>
      <c r="F33" s="30">
        <f>IF($C33="","",_xlfn.LET(_xlpm.c,IFERROR(INDEX(rngEPcode,MATCH(cfgGradeSheetExam,IFERROR(rngEPseq+0,-1),0)),""),IF(COUNTIFS(nrES_PID,Cadets!$B28,nrES_Code,_xlpm.c,nrES_Att,1)=0,"",SUMIFS(nrES_Raw,nrES_PID,Cadets!$B28,nrES_Code,_xlpm.c,nrES_Att,1))))</f>
        <v/>
      </c>
      <c r="G33" s="30">
        <f>IF($C33="","",_xlfn.LET(_xlpm.c,IFERROR(INDEX(rngEPcode,MATCH(cfgGradeSheetExam,IFERROR(rngEPseq+0,-1),0)),""),IF(COUNTIFS(nrES_PID,Cadets!$B28,nrES_Code,_xlpm.c,nrES_Final,"Yes",nrES_Rec,"&lt;&gt;")=0,"",SUMIFS(nrES_Rec,nrES_PID,Cadets!$B28,nrES_Code,_xlpm.c,nrES_Final,"Yes"))))</f>
        <v/>
      </c>
      <c r="H33" s="30">
        <f>IF(OR($C33="",$G33=""),"",IF($G33&gt;=cfgPassingScore,"Pass","FAIL"))</f>
        <v/>
      </c>
      <c r="I33" s="30">
        <f>IF($C33="","",_xlfn.LET(_xlpm.c,IFERROR(INDEX(rngEPcode,MATCH(cfgGradeSheetExam,IFERROR(rngEPseq+0,-1),0)),""),IF(COUNTIFS(nrES_PID,Cadets!$B28,nrES_Code,_xlpm.c,nrES_Att,2)&gt;0,"Retested","")))</f>
        <v/>
      </c>
    </row>
    <row r="34">
      <c r="B34" s="30">
        <f>IF(Cadets!$B29="","",ROW()-10)</f>
        <v/>
      </c>
      <c r="C34" s="29">
        <f>IF(Cadets!$B29="","",Cadets!$F29)</f>
        <v/>
      </c>
      <c r="D34" s="30">
        <f>IF($C34="","",Cadets!$B29)</f>
        <v/>
      </c>
      <c r="E34" s="30">
        <f>IF($C34="","",Cadets!$H29)</f>
        <v/>
      </c>
      <c r="F34" s="30">
        <f>IF($C34="","",_xlfn.LET(_xlpm.c,IFERROR(INDEX(rngEPcode,MATCH(cfgGradeSheetExam,IFERROR(rngEPseq+0,-1),0)),""),IF(COUNTIFS(nrES_PID,Cadets!$B29,nrES_Code,_xlpm.c,nrES_Att,1)=0,"",SUMIFS(nrES_Raw,nrES_PID,Cadets!$B29,nrES_Code,_xlpm.c,nrES_Att,1))))</f>
        <v/>
      </c>
      <c r="G34" s="30">
        <f>IF($C34="","",_xlfn.LET(_xlpm.c,IFERROR(INDEX(rngEPcode,MATCH(cfgGradeSheetExam,IFERROR(rngEPseq+0,-1),0)),""),IF(COUNTIFS(nrES_PID,Cadets!$B29,nrES_Code,_xlpm.c,nrES_Final,"Yes",nrES_Rec,"&lt;&gt;")=0,"",SUMIFS(nrES_Rec,nrES_PID,Cadets!$B29,nrES_Code,_xlpm.c,nrES_Final,"Yes"))))</f>
        <v/>
      </c>
      <c r="H34" s="30">
        <f>IF(OR($C34="",$G34=""),"",IF($G34&gt;=cfgPassingScore,"Pass","FAIL"))</f>
        <v/>
      </c>
      <c r="I34" s="30">
        <f>IF($C34="","",_xlfn.LET(_xlpm.c,IFERROR(INDEX(rngEPcode,MATCH(cfgGradeSheetExam,IFERROR(rngEPseq+0,-1),0)),""),IF(COUNTIFS(nrES_PID,Cadets!$B29,nrES_Code,_xlpm.c,nrES_Att,2)&gt;0,"Retested","")))</f>
        <v/>
      </c>
    </row>
    <row r="35">
      <c r="B35" s="30">
        <f>IF(Cadets!$B30="","",ROW()-10)</f>
        <v/>
      </c>
      <c r="C35" s="29">
        <f>IF(Cadets!$B30="","",Cadets!$F30)</f>
        <v/>
      </c>
      <c r="D35" s="30">
        <f>IF($C35="","",Cadets!$B30)</f>
        <v/>
      </c>
      <c r="E35" s="30">
        <f>IF($C35="","",Cadets!$H30)</f>
        <v/>
      </c>
      <c r="F35" s="30">
        <f>IF($C35="","",_xlfn.LET(_xlpm.c,IFERROR(INDEX(rngEPcode,MATCH(cfgGradeSheetExam,IFERROR(rngEPseq+0,-1),0)),""),IF(COUNTIFS(nrES_PID,Cadets!$B30,nrES_Code,_xlpm.c,nrES_Att,1)=0,"",SUMIFS(nrES_Raw,nrES_PID,Cadets!$B30,nrES_Code,_xlpm.c,nrES_Att,1))))</f>
        <v/>
      </c>
      <c r="G35" s="30">
        <f>IF($C35="","",_xlfn.LET(_xlpm.c,IFERROR(INDEX(rngEPcode,MATCH(cfgGradeSheetExam,IFERROR(rngEPseq+0,-1),0)),""),IF(COUNTIFS(nrES_PID,Cadets!$B30,nrES_Code,_xlpm.c,nrES_Final,"Yes",nrES_Rec,"&lt;&gt;")=0,"",SUMIFS(nrES_Rec,nrES_PID,Cadets!$B30,nrES_Code,_xlpm.c,nrES_Final,"Yes"))))</f>
        <v/>
      </c>
      <c r="H35" s="30">
        <f>IF(OR($C35="",$G35=""),"",IF($G35&gt;=cfgPassingScore,"Pass","FAIL"))</f>
        <v/>
      </c>
      <c r="I35" s="30">
        <f>IF($C35="","",_xlfn.LET(_xlpm.c,IFERROR(INDEX(rngEPcode,MATCH(cfgGradeSheetExam,IFERROR(rngEPseq+0,-1),0)),""),IF(COUNTIFS(nrES_PID,Cadets!$B30,nrES_Code,_xlpm.c,nrES_Att,2)&gt;0,"Retested","")))</f>
        <v/>
      </c>
    </row>
    <row r="36">
      <c r="B36" s="30">
        <f>IF(Cadets!$B31="","",ROW()-10)</f>
        <v/>
      </c>
      <c r="C36" s="29">
        <f>IF(Cadets!$B31="","",Cadets!$F31)</f>
        <v/>
      </c>
      <c r="D36" s="30">
        <f>IF($C36="","",Cadets!$B31)</f>
        <v/>
      </c>
      <c r="E36" s="30">
        <f>IF($C36="","",Cadets!$H31)</f>
        <v/>
      </c>
      <c r="F36" s="30">
        <f>IF($C36="","",_xlfn.LET(_xlpm.c,IFERROR(INDEX(rngEPcode,MATCH(cfgGradeSheetExam,IFERROR(rngEPseq+0,-1),0)),""),IF(COUNTIFS(nrES_PID,Cadets!$B31,nrES_Code,_xlpm.c,nrES_Att,1)=0,"",SUMIFS(nrES_Raw,nrES_PID,Cadets!$B31,nrES_Code,_xlpm.c,nrES_Att,1))))</f>
        <v/>
      </c>
      <c r="G36" s="30">
        <f>IF($C36="","",_xlfn.LET(_xlpm.c,IFERROR(INDEX(rngEPcode,MATCH(cfgGradeSheetExam,IFERROR(rngEPseq+0,-1),0)),""),IF(COUNTIFS(nrES_PID,Cadets!$B31,nrES_Code,_xlpm.c,nrES_Final,"Yes",nrES_Rec,"&lt;&gt;")=0,"",SUMIFS(nrES_Rec,nrES_PID,Cadets!$B31,nrES_Code,_xlpm.c,nrES_Final,"Yes"))))</f>
        <v/>
      </c>
      <c r="H36" s="30">
        <f>IF(OR($C36="",$G36=""),"",IF($G36&gt;=cfgPassingScore,"Pass","FAIL"))</f>
        <v/>
      </c>
      <c r="I36" s="30">
        <f>IF($C36="","",_xlfn.LET(_xlpm.c,IFERROR(INDEX(rngEPcode,MATCH(cfgGradeSheetExam,IFERROR(rngEPseq+0,-1),0)),""),IF(COUNTIFS(nrES_PID,Cadets!$B31,nrES_Code,_xlpm.c,nrES_Att,2)&gt;0,"Retested","")))</f>
        <v/>
      </c>
    </row>
    <row r="37">
      <c r="B37" s="30">
        <f>IF(Cadets!$B32="","",ROW()-10)</f>
        <v/>
      </c>
      <c r="C37" s="29">
        <f>IF(Cadets!$B32="","",Cadets!$F32)</f>
        <v/>
      </c>
      <c r="D37" s="30">
        <f>IF($C37="","",Cadets!$B32)</f>
        <v/>
      </c>
      <c r="E37" s="30">
        <f>IF($C37="","",Cadets!$H32)</f>
        <v/>
      </c>
      <c r="F37" s="30">
        <f>IF($C37="","",_xlfn.LET(_xlpm.c,IFERROR(INDEX(rngEPcode,MATCH(cfgGradeSheetExam,IFERROR(rngEPseq+0,-1),0)),""),IF(COUNTIFS(nrES_PID,Cadets!$B32,nrES_Code,_xlpm.c,nrES_Att,1)=0,"",SUMIFS(nrES_Raw,nrES_PID,Cadets!$B32,nrES_Code,_xlpm.c,nrES_Att,1))))</f>
        <v/>
      </c>
      <c r="G37" s="30">
        <f>IF($C37="","",_xlfn.LET(_xlpm.c,IFERROR(INDEX(rngEPcode,MATCH(cfgGradeSheetExam,IFERROR(rngEPseq+0,-1),0)),""),IF(COUNTIFS(nrES_PID,Cadets!$B32,nrES_Code,_xlpm.c,nrES_Final,"Yes",nrES_Rec,"&lt;&gt;")=0,"",SUMIFS(nrES_Rec,nrES_PID,Cadets!$B32,nrES_Code,_xlpm.c,nrES_Final,"Yes"))))</f>
        <v/>
      </c>
      <c r="H37" s="30">
        <f>IF(OR($C37="",$G37=""),"",IF($G37&gt;=cfgPassingScore,"Pass","FAIL"))</f>
        <v/>
      </c>
      <c r="I37" s="30">
        <f>IF($C37="","",_xlfn.LET(_xlpm.c,IFERROR(INDEX(rngEPcode,MATCH(cfgGradeSheetExam,IFERROR(rngEPseq+0,-1),0)),""),IF(COUNTIFS(nrES_PID,Cadets!$B32,nrES_Code,_xlpm.c,nrES_Att,2)&gt;0,"Retested","")))</f>
        <v/>
      </c>
    </row>
    <row r="38">
      <c r="B38" s="30">
        <f>IF(Cadets!$B33="","",ROW()-10)</f>
        <v/>
      </c>
      <c r="C38" s="29">
        <f>IF(Cadets!$B33="","",Cadets!$F33)</f>
        <v/>
      </c>
      <c r="D38" s="30">
        <f>IF($C38="","",Cadets!$B33)</f>
        <v/>
      </c>
      <c r="E38" s="30">
        <f>IF($C38="","",Cadets!$H33)</f>
        <v/>
      </c>
      <c r="F38" s="30">
        <f>IF($C38="","",_xlfn.LET(_xlpm.c,IFERROR(INDEX(rngEPcode,MATCH(cfgGradeSheetExam,IFERROR(rngEPseq+0,-1),0)),""),IF(COUNTIFS(nrES_PID,Cadets!$B33,nrES_Code,_xlpm.c,nrES_Att,1)=0,"",SUMIFS(nrES_Raw,nrES_PID,Cadets!$B33,nrES_Code,_xlpm.c,nrES_Att,1))))</f>
        <v/>
      </c>
      <c r="G38" s="30">
        <f>IF($C38="","",_xlfn.LET(_xlpm.c,IFERROR(INDEX(rngEPcode,MATCH(cfgGradeSheetExam,IFERROR(rngEPseq+0,-1),0)),""),IF(COUNTIFS(nrES_PID,Cadets!$B33,nrES_Code,_xlpm.c,nrES_Final,"Yes",nrES_Rec,"&lt;&gt;")=0,"",SUMIFS(nrES_Rec,nrES_PID,Cadets!$B33,nrES_Code,_xlpm.c,nrES_Final,"Yes"))))</f>
        <v/>
      </c>
      <c r="H38" s="30">
        <f>IF(OR($C38="",$G38=""),"",IF($G38&gt;=cfgPassingScore,"Pass","FAIL"))</f>
        <v/>
      </c>
      <c r="I38" s="30">
        <f>IF($C38="","",_xlfn.LET(_xlpm.c,IFERROR(INDEX(rngEPcode,MATCH(cfgGradeSheetExam,IFERROR(rngEPseq+0,-1),0)),""),IF(COUNTIFS(nrES_PID,Cadets!$B33,nrES_Code,_xlpm.c,nrES_Att,2)&gt;0,"Retested","")))</f>
        <v/>
      </c>
    </row>
    <row r="39">
      <c r="B39" s="30">
        <f>IF(Cadets!$B34="","",ROW()-10)</f>
        <v/>
      </c>
      <c r="C39" s="29">
        <f>IF(Cadets!$B34="","",Cadets!$F34)</f>
        <v/>
      </c>
      <c r="D39" s="30">
        <f>IF($C39="","",Cadets!$B34)</f>
        <v/>
      </c>
      <c r="E39" s="30">
        <f>IF($C39="","",Cadets!$H34)</f>
        <v/>
      </c>
      <c r="F39" s="30">
        <f>IF($C39="","",_xlfn.LET(_xlpm.c,IFERROR(INDEX(rngEPcode,MATCH(cfgGradeSheetExam,IFERROR(rngEPseq+0,-1),0)),""),IF(COUNTIFS(nrES_PID,Cadets!$B34,nrES_Code,_xlpm.c,nrES_Att,1)=0,"",SUMIFS(nrES_Raw,nrES_PID,Cadets!$B34,nrES_Code,_xlpm.c,nrES_Att,1))))</f>
        <v/>
      </c>
      <c r="G39" s="30">
        <f>IF($C39="","",_xlfn.LET(_xlpm.c,IFERROR(INDEX(rngEPcode,MATCH(cfgGradeSheetExam,IFERROR(rngEPseq+0,-1),0)),""),IF(COUNTIFS(nrES_PID,Cadets!$B34,nrES_Code,_xlpm.c,nrES_Final,"Yes",nrES_Rec,"&lt;&gt;")=0,"",SUMIFS(nrES_Rec,nrES_PID,Cadets!$B34,nrES_Code,_xlpm.c,nrES_Final,"Yes"))))</f>
        <v/>
      </c>
      <c r="H39" s="30">
        <f>IF(OR($C39="",$G39=""),"",IF($G39&gt;=cfgPassingScore,"Pass","FAIL"))</f>
        <v/>
      </c>
      <c r="I39" s="30">
        <f>IF($C39="","",_xlfn.LET(_xlpm.c,IFERROR(INDEX(rngEPcode,MATCH(cfgGradeSheetExam,IFERROR(rngEPseq+0,-1),0)),""),IF(COUNTIFS(nrES_PID,Cadets!$B34,nrES_Code,_xlpm.c,nrES_Att,2)&gt;0,"Retested","")))</f>
        <v/>
      </c>
    </row>
    <row r="40">
      <c r="B40" s="30">
        <f>IF(Cadets!$B35="","",ROW()-10)</f>
        <v/>
      </c>
      <c r="C40" s="29">
        <f>IF(Cadets!$B35="","",Cadets!$F35)</f>
        <v/>
      </c>
      <c r="D40" s="30">
        <f>IF($C40="","",Cadets!$B35)</f>
        <v/>
      </c>
      <c r="E40" s="30">
        <f>IF($C40="","",Cadets!$H35)</f>
        <v/>
      </c>
      <c r="F40" s="30">
        <f>IF($C40="","",_xlfn.LET(_xlpm.c,IFERROR(INDEX(rngEPcode,MATCH(cfgGradeSheetExam,IFERROR(rngEPseq+0,-1),0)),""),IF(COUNTIFS(nrES_PID,Cadets!$B35,nrES_Code,_xlpm.c,nrES_Att,1)=0,"",SUMIFS(nrES_Raw,nrES_PID,Cadets!$B35,nrES_Code,_xlpm.c,nrES_Att,1))))</f>
        <v/>
      </c>
      <c r="G40" s="30">
        <f>IF($C40="","",_xlfn.LET(_xlpm.c,IFERROR(INDEX(rngEPcode,MATCH(cfgGradeSheetExam,IFERROR(rngEPseq+0,-1),0)),""),IF(COUNTIFS(nrES_PID,Cadets!$B35,nrES_Code,_xlpm.c,nrES_Final,"Yes",nrES_Rec,"&lt;&gt;")=0,"",SUMIFS(nrES_Rec,nrES_PID,Cadets!$B35,nrES_Code,_xlpm.c,nrES_Final,"Yes"))))</f>
        <v/>
      </c>
      <c r="H40" s="30">
        <f>IF(OR($C40="",$G40=""),"",IF($G40&gt;=cfgPassingScore,"Pass","FAIL"))</f>
        <v/>
      </c>
      <c r="I40" s="30">
        <f>IF($C40="","",_xlfn.LET(_xlpm.c,IFERROR(INDEX(rngEPcode,MATCH(cfgGradeSheetExam,IFERROR(rngEPseq+0,-1),0)),""),IF(COUNTIFS(nrES_PID,Cadets!$B35,nrES_Code,_xlpm.c,nrES_Att,2)&gt;0,"Retested","")))</f>
        <v/>
      </c>
    </row>
    <row r="41">
      <c r="B41" s="30">
        <f>IF(Cadets!$B36="","",ROW()-10)</f>
        <v/>
      </c>
      <c r="C41" s="29">
        <f>IF(Cadets!$B36="","",Cadets!$F36)</f>
        <v/>
      </c>
      <c r="D41" s="30">
        <f>IF($C41="","",Cadets!$B36)</f>
        <v/>
      </c>
      <c r="E41" s="30">
        <f>IF($C41="","",Cadets!$H36)</f>
        <v/>
      </c>
      <c r="F41" s="30">
        <f>IF($C41="","",_xlfn.LET(_xlpm.c,IFERROR(INDEX(rngEPcode,MATCH(cfgGradeSheetExam,IFERROR(rngEPseq+0,-1),0)),""),IF(COUNTIFS(nrES_PID,Cadets!$B36,nrES_Code,_xlpm.c,nrES_Att,1)=0,"",SUMIFS(nrES_Raw,nrES_PID,Cadets!$B36,nrES_Code,_xlpm.c,nrES_Att,1))))</f>
        <v/>
      </c>
      <c r="G41" s="30">
        <f>IF($C41="","",_xlfn.LET(_xlpm.c,IFERROR(INDEX(rngEPcode,MATCH(cfgGradeSheetExam,IFERROR(rngEPseq+0,-1),0)),""),IF(COUNTIFS(nrES_PID,Cadets!$B36,nrES_Code,_xlpm.c,nrES_Final,"Yes",nrES_Rec,"&lt;&gt;")=0,"",SUMIFS(nrES_Rec,nrES_PID,Cadets!$B36,nrES_Code,_xlpm.c,nrES_Final,"Yes"))))</f>
        <v/>
      </c>
      <c r="H41" s="30">
        <f>IF(OR($C41="",$G41=""),"",IF($G41&gt;=cfgPassingScore,"Pass","FAIL"))</f>
        <v/>
      </c>
      <c r="I41" s="30">
        <f>IF($C41="","",_xlfn.LET(_xlpm.c,IFERROR(INDEX(rngEPcode,MATCH(cfgGradeSheetExam,IFERROR(rngEPseq+0,-1),0)),""),IF(COUNTIFS(nrES_PID,Cadets!$B36,nrES_Code,_xlpm.c,nrES_Att,2)&gt;0,"Retested","")))</f>
        <v/>
      </c>
    </row>
    <row r="42">
      <c r="B42" s="30">
        <f>IF(Cadets!$B37="","",ROW()-10)</f>
        <v/>
      </c>
      <c r="C42" s="29">
        <f>IF(Cadets!$B37="","",Cadets!$F37)</f>
        <v/>
      </c>
      <c r="D42" s="30">
        <f>IF($C42="","",Cadets!$B37)</f>
        <v/>
      </c>
      <c r="E42" s="30">
        <f>IF($C42="","",Cadets!$H37)</f>
        <v/>
      </c>
      <c r="F42" s="30">
        <f>IF($C42="","",_xlfn.LET(_xlpm.c,IFERROR(INDEX(rngEPcode,MATCH(cfgGradeSheetExam,IFERROR(rngEPseq+0,-1),0)),""),IF(COUNTIFS(nrES_PID,Cadets!$B37,nrES_Code,_xlpm.c,nrES_Att,1)=0,"",SUMIFS(nrES_Raw,nrES_PID,Cadets!$B37,nrES_Code,_xlpm.c,nrES_Att,1))))</f>
        <v/>
      </c>
      <c r="G42" s="30">
        <f>IF($C42="","",_xlfn.LET(_xlpm.c,IFERROR(INDEX(rngEPcode,MATCH(cfgGradeSheetExam,IFERROR(rngEPseq+0,-1),0)),""),IF(COUNTIFS(nrES_PID,Cadets!$B37,nrES_Code,_xlpm.c,nrES_Final,"Yes",nrES_Rec,"&lt;&gt;")=0,"",SUMIFS(nrES_Rec,nrES_PID,Cadets!$B37,nrES_Code,_xlpm.c,nrES_Final,"Yes"))))</f>
        <v/>
      </c>
      <c r="H42" s="30">
        <f>IF(OR($C42="",$G42=""),"",IF($G42&gt;=cfgPassingScore,"Pass","FAIL"))</f>
        <v/>
      </c>
      <c r="I42" s="30">
        <f>IF($C42="","",_xlfn.LET(_xlpm.c,IFERROR(INDEX(rngEPcode,MATCH(cfgGradeSheetExam,IFERROR(rngEPseq+0,-1),0)),""),IF(COUNTIFS(nrES_PID,Cadets!$B37,nrES_Code,_xlpm.c,nrES_Att,2)&gt;0,"Retested","")))</f>
        <v/>
      </c>
    </row>
    <row r="43">
      <c r="B43" s="30">
        <f>IF(Cadets!$B38="","",ROW()-10)</f>
        <v/>
      </c>
      <c r="C43" s="29">
        <f>IF(Cadets!$B38="","",Cadets!$F38)</f>
        <v/>
      </c>
      <c r="D43" s="30">
        <f>IF($C43="","",Cadets!$B38)</f>
        <v/>
      </c>
      <c r="E43" s="30">
        <f>IF($C43="","",Cadets!$H38)</f>
        <v/>
      </c>
      <c r="F43" s="30">
        <f>IF($C43="","",_xlfn.LET(_xlpm.c,IFERROR(INDEX(rngEPcode,MATCH(cfgGradeSheetExam,IFERROR(rngEPseq+0,-1),0)),""),IF(COUNTIFS(nrES_PID,Cadets!$B38,nrES_Code,_xlpm.c,nrES_Att,1)=0,"",SUMIFS(nrES_Raw,nrES_PID,Cadets!$B38,nrES_Code,_xlpm.c,nrES_Att,1))))</f>
        <v/>
      </c>
      <c r="G43" s="30">
        <f>IF($C43="","",_xlfn.LET(_xlpm.c,IFERROR(INDEX(rngEPcode,MATCH(cfgGradeSheetExam,IFERROR(rngEPseq+0,-1),0)),""),IF(COUNTIFS(nrES_PID,Cadets!$B38,nrES_Code,_xlpm.c,nrES_Final,"Yes",nrES_Rec,"&lt;&gt;")=0,"",SUMIFS(nrES_Rec,nrES_PID,Cadets!$B38,nrES_Code,_xlpm.c,nrES_Final,"Yes"))))</f>
        <v/>
      </c>
      <c r="H43" s="30">
        <f>IF(OR($C43="",$G43=""),"",IF($G43&gt;=cfgPassingScore,"Pass","FAIL"))</f>
        <v/>
      </c>
      <c r="I43" s="30">
        <f>IF($C43="","",_xlfn.LET(_xlpm.c,IFERROR(INDEX(rngEPcode,MATCH(cfgGradeSheetExam,IFERROR(rngEPseq+0,-1),0)),""),IF(COUNTIFS(nrES_PID,Cadets!$B38,nrES_Code,_xlpm.c,nrES_Att,2)&gt;0,"Retested","")))</f>
        <v/>
      </c>
    </row>
    <row r="44">
      <c r="B44" s="30">
        <f>IF(Cadets!$B39="","",ROW()-10)</f>
        <v/>
      </c>
      <c r="C44" s="29">
        <f>IF(Cadets!$B39="","",Cadets!$F39)</f>
        <v/>
      </c>
      <c r="D44" s="30">
        <f>IF($C44="","",Cadets!$B39)</f>
        <v/>
      </c>
      <c r="E44" s="30">
        <f>IF($C44="","",Cadets!$H39)</f>
        <v/>
      </c>
      <c r="F44" s="30">
        <f>IF($C44="","",_xlfn.LET(_xlpm.c,IFERROR(INDEX(rngEPcode,MATCH(cfgGradeSheetExam,IFERROR(rngEPseq+0,-1),0)),""),IF(COUNTIFS(nrES_PID,Cadets!$B39,nrES_Code,_xlpm.c,nrES_Att,1)=0,"",SUMIFS(nrES_Raw,nrES_PID,Cadets!$B39,nrES_Code,_xlpm.c,nrES_Att,1))))</f>
        <v/>
      </c>
      <c r="G44" s="30">
        <f>IF($C44="","",_xlfn.LET(_xlpm.c,IFERROR(INDEX(rngEPcode,MATCH(cfgGradeSheetExam,IFERROR(rngEPseq+0,-1),0)),""),IF(COUNTIFS(nrES_PID,Cadets!$B39,nrES_Code,_xlpm.c,nrES_Final,"Yes",nrES_Rec,"&lt;&gt;")=0,"",SUMIFS(nrES_Rec,nrES_PID,Cadets!$B39,nrES_Code,_xlpm.c,nrES_Final,"Yes"))))</f>
        <v/>
      </c>
      <c r="H44" s="30">
        <f>IF(OR($C44="",$G44=""),"",IF($G44&gt;=cfgPassingScore,"Pass","FAIL"))</f>
        <v/>
      </c>
      <c r="I44" s="30">
        <f>IF($C44="","",_xlfn.LET(_xlpm.c,IFERROR(INDEX(rngEPcode,MATCH(cfgGradeSheetExam,IFERROR(rngEPseq+0,-1),0)),""),IF(COUNTIFS(nrES_PID,Cadets!$B39,nrES_Code,_xlpm.c,nrES_Att,2)&gt;0,"Retested","")))</f>
        <v/>
      </c>
    </row>
    <row r="45">
      <c r="B45" s="30">
        <f>IF(Cadets!$B40="","",ROW()-10)</f>
        <v/>
      </c>
      <c r="C45" s="29">
        <f>IF(Cadets!$B40="","",Cadets!$F40)</f>
        <v/>
      </c>
      <c r="D45" s="30">
        <f>IF($C45="","",Cadets!$B40)</f>
        <v/>
      </c>
      <c r="E45" s="30">
        <f>IF($C45="","",Cadets!$H40)</f>
        <v/>
      </c>
      <c r="F45" s="30">
        <f>IF($C45="","",_xlfn.LET(_xlpm.c,IFERROR(INDEX(rngEPcode,MATCH(cfgGradeSheetExam,IFERROR(rngEPseq+0,-1),0)),""),IF(COUNTIFS(nrES_PID,Cadets!$B40,nrES_Code,_xlpm.c,nrES_Att,1)=0,"",SUMIFS(nrES_Raw,nrES_PID,Cadets!$B40,nrES_Code,_xlpm.c,nrES_Att,1))))</f>
        <v/>
      </c>
      <c r="G45" s="30">
        <f>IF($C45="","",_xlfn.LET(_xlpm.c,IFERROR(INDEX(rngEPcode,MATCH(cfgGradeSheetExam,IFERROR(rngEPseq+0,-1),0)),""),IF(COUNTIFS(nrES_PID,Cadets!$B40,nrES_Code,_xlpm.c,nrES_Final,"Yes",nrES_Rec,"&lt;&gt;")=0,"",SUMIFS(nrES_Rec,nrES_PID,Cadets!$B40,nrES_Code,_xlpm.c,nrES_Final,"Yes"))))</f>
        <v/>
      </c>
      <c r="H45" s="30">
        <f>IF(OR($C45="",$G45=""),"",IF($G45&gt;=cfgPassingScore,"Pass","FAIL"))</f>
        <v/>
      </c>
      <c r="I45" s="30">
        <f>IF($C45="","",_xlfn.LET(_xlpm.c,IFERROR(INDEX(rngEPcode,MATCH(cfgGradeSheetExam,IFERROR(rngEPseq+0,-1),0)),""),IF(COUNTIFS(nrES_PID,Cadets!$B40,nrES_Code,_xlpm.c,nrES_Att,2)&gt;0,"Retested","")))</f>
        <v/>
      </c>
    </row>
    <row r="46">
      <c r="B46" s="30">
        <f>IF(Cadets!$B41="","",ROW()-10)</f>
        <v/>
      </c>
      <c r="C46" s="29">
        <f>IF(Cadets!$B41="","",Cadets!$F41)</f>
        <v/>
      </c>
      <c r="D46" s="30">
        <f>IF($C46="","",Cadets!$B41)</f>
        <v/>
      </c>
      <c r="E46" s="30">
        <f>IF($C46="","",Cadets!$H41)</f>
        <v/>
      </c>
      <c r="F46" s="30">
        <f>IF($C46="","",_xlfn.LET(_xlpm.c,IFERROR(INDEX(rngEPcode,MATCH(cfgGradeSheetExam,IFERROR(rngEPseq+0,-1),0)),""),IF(COUNTIFS(nrES_PID,Cadets!$B41,nrES_Code,_xlpm.c,nrES_Att,1)=0,"",SUMIFS(nrES_Raw,nrES_PID,Cadets!$B41,nrES_Code,_xlpm.c,nrES_Att,1))))</f>
        <v/>
      </c>
      <c r="G46" s="30">
        <f>IF($C46="","",_xlfn.LET(_xlpm.c,IFERROR(INDEX(rngEPcode,MATCH(cfgGradeSheetExam,IFERROR(rngEPseq+0,-1),0)),""),IF(COUNTIFS(nrES_PID,Cadets!$B41,nrES_Code,_xlpm.c,nrES_Final,"Yes",nrES_Rec,"&lt;&gt;")=0,"",SUMIFS(nrES_Rec,nrES_PID,Cadets!$B41,nrES_Code,_xlpm.c,nrES_Final,"Yes"))))</f>
        <v/>
      </c>
      <c r="H46" s="30">
        <f>IF(OR($C46="",$G46=""),"",IF($G46&gt;=cfgPassingScore,"Pass","FAIL"))</f>
        <v/>
      </c>
      <c r="I46" s="30">
        <f>IF($C46="","",_xlfn.LET(_xlpm.c,IFERROR(INDEX(rngEPcode,MATCH(cfgGradeSheetExam,IFERROR(rngEPseq+0,-1),0)),""),IF(COUNTIFS(nrES_PID,Cadets!$B41,nrES_Code,_xlpm.c,nrES_Att,2)&gt;0,"Retested","")))</f>
        <v/>
      </c>
    </row>
    <row r="47">
      <c r="B47" s="30">
        <f>IF(Cadets!$B42="","",ROW()-10)</f>
        <v/>
      </c>
      <c r="C47" s="29">
        <f>IF(Cadets!$B42="","",Cadets!$F42)</f>
        <v/>
      </c>
      <c r="D47" s="30">
        <f>IF($C47="","",Cadets!$B42)</f>
        <v/>
      </c>
      <c r="E47" s="30">
        <f>IF($C47="","",Cadets!$H42)</f>
        <v/>
      </c>
      <c r="F47" s="30">
        <f>IF($C47="","",_xlfn.LET(_xlpm.c,IFERROR(INDEX(rngEPcode,MATCH(cfgGradeSheetExam,IFERROR(rngEPseq+0,-1),0)),""),IF(COUNTIFS(nrES_PID,Cadets!$B42,nrES_Code,_xlpm.c,nrES_Att,1)=0,"",SUMIFS(nrES_Raw,nrES_PID,Cadets!$B42,nrES_Code,_xlpm.c,nrES_Att,1))))</f>
        <v/>
      </c>
      <c r="G47" s="30">
        <f>IF($C47="","",_xlfn.LET(_xlpm.c,IFERROR(INDEX(rngEPcode,MATCH(cfgGradeSheetExam,IFERROR(rngEPseq+0,-1),0)),""),IF(COUNTIFS(nrES_PID,Cadets!$B42,nrES_Code,_xlpm.c,nrES_Final,"Yes",nrES_Rec,"&lt;&gt;")=0,"",SUMIFS(nrES_Rec,nrES_PID,Cadets!$B42,nrES_Code,_xlpm.c,nrES_Final,"Yes"))))</f>
        <v/>
      </c>
      <c r="H47" s="30">
        <f>IF(OR($C47="",$G47=""),"",IF($G47&gt;=cfgPassingScore,"Pass","FAIL"))</f>
        <v/>
      </c>
      <c r="I47" s="30">
        <f>IF($C47="","",_xlfn.LET(_xlpm.c,IFERROR(INDEX(rngEPcode,MATCH(cfgGradeSheetExam,IFERROR(rngEPseq+0,-1),0)),""),IF(COUNTIFS(nrES_PID,Cadets!$B42,nrES_Code,_xlpm.c,nrES_Att,2)&gt;0,"Retested","")))</f>
        <v/>
      </c>
    </row>
    <row r="48">
      <c r="B48" s="30">
        <f>IF(Cadets!$B43="","",ROW()-10)</f>
        <v/>
      </c>
      <c r="C48" s="29">
        <f>IF(Cadets!$B43="","",Cadets!$F43)</f>
        <v/>
      </c>
      <c r="D48" s="30">
        <f>IF($C48="","",Cadets!$B43)</f>
        <v/>
      </c>
      <c r="E48" s="30">
        <f>IF($C48="","",Cadets!$H43)</f>
        <v/>
      </c>
      <c r="F48" s="30">
        <f>IF($C48="","",_xlfn.LET(_xlpm.c,IFERROR(INDEX(rngEPcode,MATCH(cfgGradeSheetExam,IFERROR(rngEPseq+0,-1),0)),""),IF(COUNTIFS(nrES_PID,Cadets!$B43,nrES_Code,_xlpm.c,nrES_Att,1)=0,"",SUMIFS(nrES_Raw,nrES_PID,Cadets!$B43,nrES_Code,_xlpm.c,nrES_Att,1))))</f>
        <v/>
      </c>
      <c r="G48" s="30">
        <f>IF($C48="","",_xlfn.LET(_xlpm.c,IFERROR(INDEX(rngEPcode,MATCH(cfgGradeSheetExam,IFERROR(rngEPseq+0,-1),0)),""),IF(COUNTIFS(nrES_PID,Cadets!$B43,nrES_Code,_xlpm.c,nrES_Final,"Yes",nrES_Rec,"&lt;&gt;")=0,"",SUMIFS(nrES_Rec,nrES_PID,Cadets!$B43,nrES_Code,_xlpm.c,nrES_Final,"Yes"))))</f>
        <v/>
      </c>
      <c r="H48" s="30">
        <f>IF(OR($C48="",$G48=""),"",IF($G48&gt;=cfgPassingScore,"Pass","FAIL"))</f>
        <v/>
      </c>
      <c r="I48" s="30">
        <f>IF($C48="","",_xlfn.LET(_xlpm.c,IFERROR(INDEX(rngEPcode,MATCH(cfgGradeSheetExam,IFERROR(rngEPseq+0,-1),0)),""),IF(COUNTIFS(nrES_PID,Cadets!$B43,nrES_Code,_xlpm.c,nrES_Att,2)&gt;0,"Retested","")))</f>
        <v/>
      </c>
    </row>
    <row r="49">
      <c r="B49" s="30">
        <f>IF(Cadets!$B44="","",ROW()-10)</f>
        <v/>
      </c>
      <c r="C49" s="29">
        <f>IF(Cadets!$B44="","",Cadets!$F44)</f>
        <v/>
      </c>
      <c r="D49" s="30">
        <f>IF($C49="","",Cadets!$B44)</f>
        <v/>
      </c>
      <c r="E49" s="30">
        <f>IF($C49="","",Cadets!$H44)</f>
        <v/>
      </c>
      <c r="F49" s="30">
        <f>IF($C49="","",_xlfn.LET(_xlpm.c,IFERROR(INDEX(rngEPcode,MATCH(cfgGradeSheetExam,IFERROR(rngEPseq+0,-1),0)),""),IF(COUNTIFS(nrES_PID,Cadets!$B44,nrES_Code,_xlpm.c,nrES_Att,1)=0,"",SUMIFS(nrES_Raw,nrES_PID,Cadets!$B44,nrES_Code,_xlpm.c,nrES_Att,1))))</f>
        <v/>
      </c>
      <c r="G49" s="30">
        <f>IF($C49="","",_xlfn.LET(_xlpm.c,IFERROR(INDEX(rngEPcode,MATCH(cfgGradeSheetExam,IFERROR(rngEPseq+0,-1),0)),""),IF(COUNTIFS(nrES_PID,Cadets!$B44,nrES_Code,_xlpm.c,nrES_Final,"Yes",nrES_Rec,"&lt;&gt;")=0,"",SUMIFS(nrES_Rec,nrES_PID,Cadets!$B44,nrES_Code,_xlpm.c,nrES_Final,"Yes"))))</f>
        <v/>
      </c>
      <c r="H49" s="30">
        <f>IF(OR($C49="",$G49=""),"",IF($G49&gt;=cfgPassingScore,"Pass","FAIL"))</f>
        <v/>
      </c>
      <c r="I49" s="30">
        <f>IF($C49="","",_xlfn.LET(_xlpm.c,IFERROR(INDEX(rngEPcode,MATCH(cfgGradeSheetExam,IFERROR(rngEPseq+0,-1),0)),""),IF(COUNTIFS(nrES_PID,Cadets!$B44,nrES_Code,_xlpm.c,nrES_Att,2)&gt;0,"Retested","")))</f>
        <v/>
      </c>
    </row>
    <row r="50">
      <c r="B50" s="30">
        <f>IF(Cadets!$B45="","",ROW()-10)</f>
        <v/>
      </c>
      <c r="C50" s="29">
        <f>IF(Cadets!$B45="","",Cadets!$F45)</f>
        <v/>
      </c>
      <c r="D50" s="30">
        <f>IF($C50="","",Cadets!$B45)</f>
        <v/>
      </c>
      <c r="E50" s="30">
        <f>IF($C50="","",Cadets!$H45)</f>
        <v/>
      </c>
      <c r="F50" s="30">
        <f>IF($C50="","",_xlfn.LET(_xlpm.c,IFERROR(INDEX(rngEPcode,MATCH(cfgGradeSheetExam,IFERROR(rngEPseq+0,-1),0)),""),IF(COUNTIFS(nrES_PID,Cadets!$B45,nrES_Code,_xlpm.c,nrES_Att,1)=0,"",SUMIFS(nrES_Raw,nrES_PID,Cadets!$B45,nrES_Code,_xlpm.c,nrES_Att,1))))</f>
        <v/>
      </c>
      <c r="G50" s="30">
        <f>IF($C50="","",_xlfn.LET(_xlpm.c,IFERROR(INDEX(rngEPcode,MATCH(cfgGradeSheetExam,IFERROR(rngEPseq+0,-1),0)),""),IF(COUNTIFS(nrES_PID,Cadets!$B45,nrES_Code,_xlpm.c,nrES_Final,"Yes",nrES_Rec,"&lt;&gt;")=0,"",SUMIFS(nrES_Rec,nrES_PID,Cadets!$B45,nrES_Code,_xlpm.c,nrES_Final,"Yes"))))</f>
        <v/>
      </c>
      <c r="H50" s="30">
        <f>IF(OR($C50="",$G50=""),"",IF($G50&gt;=cfgPassingScore,"Pass","FAIL"))</f>
        <v/>
      </c>
      <c r="I50" s="30">
        <f>IF($C50="","",_xlfn.LET(_xlpm.c,IFERROR(INDEX(rngEPcode,MATCH(cfgGradeSheetExam,IFERROR(rngEPseq+0,-1),0)),""),IF(COUNTIFS(nrES_PID,Cadets!$B45,nrES_Code,_xlpm.c,nrES_Att,2)&gt;0,"Retested","")))</f>
        <v/>
      </c>
    </row>
    <row r="51">
      <c r="B51" s="30">
        <f>IF(Cadets!$B46="","",ROW()-10)</f>
        <v/>
      </c>
      <c r="C51" s="29">
        <f>IF(Cadets!$B46="","",Cadets!$F46)</f>
        <v/>
      </c>
      <c r="D51" s="30">
        <f>IF($C51="","",Cadets!$B46)</f>
        <v/>
      </c>
      <c r="E51" s="30">
        <f>IF($C51="","",Cadets!$H46)</f>
        <v/>
      </c>
      <c r="F51" s="30">
        <f>IF($C51="","",_xlfn.LET(_xlpm.c,IFERROR(INDEX(rngEPcode,MATCH(cfgGradeSheetExam,IFERROR(rngEPseq+0,-1),0)),""),IF(COUNTIFS(nrES_PID,Cadets!$B46,nrES_Code,_xlpm.c,nrES_Att,1)=0,"",SUMIFS(nrES_Raw,nrES_PID,Cadets!$B46,nrES_Code,_xlpm.c,nrES_Att,1))))</f>
        <v/>
      </c>
      <c r="G51" s="30">
        <f>IF($C51="","",_xlfn.LET(_xlpm.c,IFERROR(INDEX(rngEPcode,MATCH(cfgGradeSheetExam,IFERROR(rngEPseq+0,-1),0)),""),IF(COUNTIFS(nrES_PID,Cadets!$B46,nrES_Code,_xlpm.c,nrES_Final,"Yes",nrES_Rec,"&lt;&gt;")=0,"",SUMIFS(nrES_Rec,nrES_PID,Cadets!$B46,nrES_Code,_xlpm.c,nrES_Final,"Yes"))))</f>
        <v/>
      </c>
      <c r="H51" s="30">
        <f>IF(OR($C51="",$G51=""),"",IF($G51&gt;=cfgPassingScore,"Pass","FAIL"))</f>
        <v/>
      </c>
      <c r="I51" s="30">
        <f>IF($C51="","",_xlfn.LET(_xlpm.c,IFERROR(INDEX(rngEPcode,MATCH(cfgGradeSheetExam,IFERROR(rngEPseq+0,-1),0)),""),IF(COUNTIFS(nrES_PID,Cadets!$B46,nrES_Code,_xlpm.c,nrES_Att,2)&gt;0,"Retested","")))</f>
        <v/>
      </c>
    </row>
    <row r="52">
      <c r="B52" s="30">
        <f>IF(Cadets!$B47="","",ROW()-10)</f>
        <v/>
      </c>
      <c r="C52" s="29">
        <f>IF(Cadets!$B47="","",Cadets!$F47)</f>
        <v/>
      </c>
      <c r="D52" s="30">
        <f>IF($C52="","",Cadets!$B47)</f>
        <v/>
      </c>
      <c r="E52" s="30">
        <f>IF($C52="","",Cadets!$H47)</f>
        <v/>
      </c>
      <c r="F52" s="30">
        <f>IF($C52="","",_xlfn.LET(_xlpm.c,IFERROR(INDEX(rngEPcode,MATCH(cfgGradeSheetExam,IFERROR(rngEPseq+0,-1),0)),""),IF(COUNTIFS(nrES_PID,Cadets!$B47,nrES_Code,_xlpm.c,nrES_Att,1)=0,"",SUMIFS(nrES_Raw,nrES_PID,Cadets!$B47,nrES_Code,_xlpm.c,nrES_Att,1))))</f>
        <v/>
      </c>
      <c r="G52" s="30">
        <f>IF($C52="","",_xlfn.LET(_xlpm.c,IFERROR(INDEX(rngEPcode,MATCH(cfgGradeSheetExam,IFERROR(rngEPseq+0,-1),0)),""),IF(COUNTIFS(nrES_PID,Cadets!$B47,nrES_Code,_xlpm.c,nrES_Final,"Yes",nrES_Rec,"&lt;&gt;")=0,"",SUMIFS(nrES_Rec,nrES_PID,Cadets!$B47,nrES_Code,_xlpm.c,nrES_Final,"Yes"))))</f>
        <v/>
      </c>
      <c r="H52" s="30">
        <f>IF(OR($C52="",$G52=""),"",IF($G52&gt;=cfgPassingScore,"Pass","FAIL"))</f>
        <v/>
      </c>
      <c r="I52" s="30">
        <f>IF($C52="","",_xlfn.LET(_xlpm.c,IFERROR(INDEX(rngEPcode,MATCH(cfgGradeSheetExam,IFERROR(rngEPseq+0,-1),0)),""),IF(COUNTIFS(nrES_PID,Cadets!$B47,nrES_Code,_xlpm.c,nrES_Att,2)&gt;0,"Retested","")))</f>
        <v/>
      </c>
    </row>
    <row r="53">
      <c r="B53" s="30">
        <f>IF(Cadets!$B48="","",ROW()-10)</f>
        <v/>
      </c>
      <c r="C53" s="29">
        <f>IF(Cadets!$B48="","",Cadets!$F48)</f>
        <v/>
      </c>
      <c r="D53" s="30">
        <f>IF($C53="","",Cadets!$B48)</f>
        <v/>
      </c>
      <c r="E53" s="30">
        <f>IF($C53="","",Cadets!$H48)</f>
        <v/>
      </c>
      <c r="F53" s="30">
        <f>IF($C53="","",_xlfn.LET(_xlpm.c,IFERROR(INDEX(rngEPcode,MATCH(cfgGradeSheetExam,IFERROR(rngEPseq+0,-1),0)),""),IF(COUNTIFS(nrES_PID,Cadets!$B48,nrES_Code,_xlpm.c,nrES_Att,1)=0,"",SUMIFS(nrES_Raw,nrES_PID,Cadets!$B48,nrES_Code,_xlpm.c,nrES_Att,1))))</f>
        <v/>
      </c>
      <c r="G53" s="30">
        <f>IF($C53="","",_xlfn.LET(_xlpm.c,IFERROR(INDEX(rngEPcode,MATCH(cfgGradeSheetExam,IFERROR(rngEPseq+0,-1),0)),""),IF(COUNTIFS(nrES_PID,Cadets!$B48,nrES_Code,_xlpm.c,nrES_Final,"Yes",nrES_Rec,"&lt;&gt;")=0,"",SUMIFS(nrES_Rec,nrES_PID,Cadets!$B48,nrES_Code,_xlpm.c,nrES_Final,"Yes"))))</f>
        <v/>
      </c>
      <c r="H53" s="30">
        <f>IF(OR($C53="",$G53=""),"",IF($G53&gt;=cfgPassingScore,"Pass","FAIL"))</f>
        <v/>
      </c>
      <c r="I53" s="30">
        <f>IF($C53="","",_xlfn.LET(_xlpm.c,IFERROR(INDEX(rngEPcode,MATCH(cfgGradeSheetExam,IFERROR(rngEPseq+0,-1),0)),""),IF(COUNTIFS(nrES_PID,Cadets!$B48,nrES_Code,_xlpm.c,nrES_Att,2)&gt;0,"Retested","")))</f>
        <v/>
      </c>
    </row>
    <row r="54">
      <c r="B54" s="30">
        <f>IF(Cadets!$B49="","",ROW()-10)</f>
        <v/>
      </c>
      <c r="C54" s="29">
        <f>IF(Cadets!$B49="","",Cadets!$F49)</f>
        <v/>
      </c>
      <c r="D54" s="30">
        <f>IF($C54="","",Cadets!$B49)</f>
        <v/>
      </c>
      <c r="E54" s="30">
        <f>IF($C54="","",Cadets!$H49)</f>
        <v/>
      </c>
      <c r="F54" s="30">
        <f>IF($C54="","",_xlfn.LET(_xlpm.c,IFERROR(INDEX(rngEPcode,MATCH(cfgGradeSheetExam,IFERROR(rngEPseq+0,-1),0)),""),IF(COUNTIFS(nrES_PID,Cadets!$B49,nrES_Code,_xlpm.c,nrES_Att,1)=0,"",SUMIFS(nrES_Raw,nrES_PID,Cadets!$B49,nrES_Code,_xlpm.c,nrES_Att,1))))</f>
        <v/>
      </c>
      <c r="G54" s="30">
        <f>IF($C54="","",_xlfn.LET(_xlpm.c,IFERROR(INDEX(rngEPcode,MATCH(cfgGradeSheetExam,IFERROR(rngEPseq+0,-1),0)),""),IF(COUNTIFS(nrES_PID,Cadets!$B49,nrES_Code,_xlpm.c,nrES_Final,"Yes",nrES_Rec,"&lt;&gt;")=0,"",SUMIFS(nrES_Rec,nrES_PID,Cadets!$B49,nrES_Code,_xlpm.c,nrES_Final,"Yes"))))</f>
        <v/>
      </c>
      <c r="H54" s="30">
        <f>IF(OR($C54="",$G54=""),"",IF($G54&gt;=cfgPassingScore,"Pass","FAIL"))</f>
        <v/>
      </c>
      <c r="I54" s="30">
        <f>IF($C54="","",_xlfn.LET(_xlpm.c,IFERROR(INDEX(rngEPcode,MATCH(cfgGradeSheetExam,IFERROR(rngEPseq+0,-1),0)),""),IF(COUNTIFS(nrES_PID,Cadets!$B49,nrES_Code,_xlpm.c,nrES_Att,2)&gt;0,"Retested","")))</f>
        <v/>
      </c>
    </row>
    <row r="55">
      <c r="B55" s="30">
        <f>IF(Cadets!$B50="","",ROW()-10)</f>
        <v/>
      </c>
      <c r="C55" s="29">
        <f>IF(Cadets!$B50="","",Cadets!$F50)</f>
        <v/>
      </c>
      <c r="D55" s="30">
        <f>IF($C55="","",Cadets!$B50)</f>
        <v/>
      </c>
      <c r="E55" s="30">
        <f>IF($C55="","",Cadets!$H50)</f>
        <v/>
      </c>
      <c r="F55" s="30">
        <f>IF($C55="","",_xlfn.LET(_xlpm.c,IFERROR(INDEX(rngEPcode,MATCH(cfgGradeSheetExam,IFERROR(rngEPseq+0,-1),0)),""),IF(COUNTIFS(nrES_PID,Cadets!$B50,nrES_Code,_xlpm.c,nrES_Att,1)=0,"",SUMIFS(nrES_Raw,nrES_PID,Cadets!$B50,nrES_Code,_xlpm.c,nrES_Att,1))))</f>
        <v/>
      </c>
      <c r="G55" s="30">
        <f>IF($C55="","",_xlfn.LET(_xlpm.c,IFERROR(INDEX(rngEPcode,MATCH(cfgGradeSheetExam,IFERROR(rngEPseq+0,-1),0)),""),IF(COUNTIFS(nrES_PID,Cadets!$B50,nrES_Code,_xlpm.c,nrES_Final,"Yes",nrES_Rec,"&lt;&gt;")=0,"",SUMIFS(nrES_Rec,nrES_PID,Cadets!$B50,nrES_Code,_xlpm.c,nrES_Final,"Yes"))))</f>
        <v/>
      </c>
      <c r="H55" s="30">
        <f>IF(OR($C55="",$G55=""),"",IF($G55&gt;=cfgPassingScore,"Pass","FAIL"))</f>
        <v/>
      </c>
      <c r="I55" s="30">
        <f>IF($C55="","",_xlfn.LET(_xlpm.c,IFERROR(INDEX(rngEPcode,MATCH(cfgGradeSheetExam,IFERROR(rngEPseq+0,-1),0)),""),IF(COUNTIFS(nrES_PID,Cadets!$B50,nrES_Code,_xlpm.c,nrES_Att,2)&gt;0,"Retested","")))</f>
        <v/>
      </c>
    </row>
    <row r="56">
      <c r="B56" s="30">
        <f>IF(Cadets!$B51="","",ROW()-10)</f>
        <v/>
      </c>
      <c r="C56" s="29">
        <f>IF(Cadets!$B51="","",Cadets!$F51)</f>
        <v/>
      </c>
      <c r="D56" s="30">
        <f>IF($C56="","",Cadets!$B51)</f>
        <v/>
      </c>
      <c r="E56" s="30">
        <f>IF($C56="","",Cadets!$H51)</f>
        <v/>
      </c>
      <c r="F56" s="30">
        <f>IF($C56="","",_xlfn.LET(_xlpm.c,IFERROR(INDEX(rngEPcode,MATCH(cfgGradeSheetExam,IFERROR(rngEPseq+0,-1),0)),""),IF(COUNTIFS(nrES_PID,Cadets!$B51,nrES_Code,_xlpm.c,nrES_Att,1)=0,"",SUMIFS(nrES_Raw,nrES_PID,Cadets!$B51,nrES_Code,_xlpm.c,nrES_Att,1))))</f>
        <v/>
      </c>
      <c r="G56" s="30">
        <f>IF($C56="","",_xlfn.LET(_xlpm.c,IFERROR(INDEX(rngEPcode,MATCH(cfgGradeSheetExam,IFERROR(rngEPseq+0,-1),0)),""),IF(COUNTIFS(nrES_PID,Cadets!$B51,nrES_Code,_xlpm.c,nrES_Final,"Yes",nrES_Rec,"&lt;&gt;")=0,"",SUMIFS(nrES_Rec,nrES_PID,Cadets!$B51,nrES_Code,_xlpm.c,nrES_Final,"Yes"))))</f>
        <v/>
      </c>
      <c r="H56" s="30">
        <f>IF(OR($C56="",$G56=""),"",IF($G56&gt;=cfgPassingScore,"Pass","FAIL"))</f>
        <v/>
      </c>
      <c r="I56" s="30">
        <f>IF($C56="","",_xlfn.LET(_xlpm.c,IFERROR(INDEX(rngEPcode,MATCH(cfgGradeSheetExam,IFERROR(rngEPseq+0,-1),0)),""),IF(COUNTIFS(nrES_PID,Cadets!$B51,nrES_Code,_xlpm.c,nrES_Att,2)&gt;0,"Retested","")))</f>
        <v/>
      </c>
    </row>
    <row r="57">
      <c r="B57" s="30">
        <f>IF(Cadets!$B52="","",ROW()-10)</f>
        <v/>
      </c>
      <c r="C57" s="29">
        <f>IF(Cadets!$B52="","",Cadets!$F52)</f>
        <v/>
      </c>
      <c r="D57" s="30">
        <f>IF($C57="","",Cadets!$B52)</f>
        <v/>
      </c>
      <c r="E57" s="30">
        <f>IF($C57="","",Cadets!$H52)</f>
        <v/>
      </c>
      <c r="F57" s="30">
        <f>IF($C57="","",_xlfn.LET(_xlpm.c,IFERROR(INDEX(rngEPcode,MATCH(cfgGradeSheetExam,IFERROR(rngEPseq+0,-1),0)),""),IF(COUNTIFS(nrES_PID,Cadets!$B52,nrES_Code,_xlpm.c,nrES_Att,1)=0,"",SUMIFS(nrES_Raw,nrES_PID,Cadets!$B52,nrES_Code,_xlpm.c,nrES_Att,1))))</f>
        <v/>
      </c>
      <c r="G57" s="30">
        <f>IF($C57="","",_xlfn.LET(_xlpm.c,IFERROR(INDEX(rngEPcode,MATCH(cfgGradeSheetExam,IFERROR(rngEPseq+0,-1),0)),""),IF(COUNTIFS(nrES_PID,Cadets!$B52,nrES_Code,_xlpm.c,nrES_Final,"Yes",nrES_Rec,"&lt;&gt;")=0,"",SUMIFS(nrES_Rec,nrES_PID,Cadets!$B52,nrES_Code,_xlpm.c,nrES_Final,"Yes"))))</f>
        <v/>
      </c>
      <c r="H57" s="30">
        <f>IF(OR($C57="",$G57=""),"",IF($G57&gt;=cfgPassingScore,"Pass","FAIL"))</f>
        <v/>
      </c>
      <c r="I57" s="30">
        <f>IF($C57="","",_xlfn.LET(_xlpm.c,IFERROR(INDEX(rngEPcode,MATCH(cfgGradeSheetExam,IFERROR(rngEPseq+0,-1),0)),""),IF(COUNTIFS(nrES_PID,Cadets!$B52,nrES_Code,_xlpm.c,nrES_Att,2)&gt;0,"Retested","")))</f>
        <v/>
      </c>
    </row>
    <row r="58">
      <c r="B58" s="30">
        <f>IF(Cadets!$B53="","",ROW()-10)</f>
        <v/>
      </c>
      <c r="C58" s="29">
        <f>IF(Cadets!$B53="","",Cadets!$F53)</f>
        <v/>
      </c>
      <c r="D58" s="30">
        <f>IF($C58="","",Cadets!$B53)</f>
        <v/>
      </c>
      <c r="E58" s="30">
        <f>IF($C58="","",Cadets!$H53)</f>
        <v/>
      </c>
      <c r="F58" s="30">
        <f>IF($C58="","",_xlfn.LET(_xlpm.c,IFERROR(INDEX(rngEPcode,MATCH(cfgGradeSheetExam,IFERROR(rngEPseq+0,-1),0)),""),IF(COUNTIFS(nrES_PID,Cadets!$B53,nrES_Code,_xlpm.c,nrES_Att,1)=0,"",SUMIFS(nrES_Raw,nrES_PID,Cadets!$B53,nrES_Code,_xlpm.c,nrES_Att,1))))</f>
        <v/>
      </c>
      <c r="G58" s="30">
        <f>IF($C58="","",_xlfn.LET(_xlpm.c,IFERROR(INDEX(rngEPcode,MATCH(cfgGradeSheetExam,IFERROR(rngEPseq+0,-1),0)),""),IF(COUNTIFS(nrES_PID,Cadets!$B53,nrES_Code,_xlpm.c,nrES_Final,"Yes",nrES_Rec,"&lt;&gt;")=0,"",SUMIFS(nrES_Rec,nrES_PID,Cadets!$B53,nrES_Code,_xlpm.c,nrES_Final,"Yes"))))</f>
        <v/>
      </c>
      <c r="H58" s="30">
        <f>IF(OR($C58="",$G58=""),"",IF($G58&gt;=cfgPassingScore,"Pass","FAIL"))</f>
        <v/>
      </c>
      <c r="I58" s="30">
        <f>IF($C58="","",_xlfn.LET(_xlpm.c,IFERROR(INDEX(rngEPcode,MATCH(cfgGradeSheetExam,IFERROR(rngEPseq+0,-1),0)),""),IF(COUNTIFS(nrES_PID,Cadets!$B53,nrES_Code,_xlpm.c,nrES_Att,2)&gt;0,"Retested","")))</f>
        <v/>
      </c>
    </row>
    <row r="59">
      <c r="B59" s="30">
        <f>IF(Cadets!$B54="","",ROW()-10)</f>
        <v/>
      </c>
      <c r="C59" s="29">
        <f>IF(Cadets!$B54="","",Cadets!$F54)</f>
        <v/>
      </c>
      <c r="D59" s="30">
        <f>IF($C59="","",Cadets!$B54)</f>
        <v/>
      </c>
      <c r="E59" s="30">
        <f>IF($C59="","",Cadets!$H54)</f>
        <v/>
      </c>
      <c r="F59" s="30">
        <f>IF($C59="","",_xlfn.LET(_xlpm.c,IFERROR(INDEX(rngEPcode,MATCH(cfgGradeSheetExam,IFERROR(rngEPseq+0,-1),0)),""),IF(COUNTIFS(nrES_PID,Cadets!$B54,nrES_Code,_xlpm.c,nrES_Att,1)=0,"",SUMIFS(nrES_Raw,nrES_PID,Cadets!$B54,nrES_Code,_xlpm.c,nrES_Att,1))))</f>
        <v/>
      </c>
      <c r="G59" s="30">
        <f>IF($C59="","",_xlfn.LET(_xlpm.c,IFERROR(INDEX(rngEPcode,MATCH(cfgGradeSheetExam,IFERROR(rngEPseq+0,-1),0)),""),IF(COUNTIFS(nrES_PID,Cadets!$B54,nrES_Code,_xlpm.c,nrES_Final,"Yes",nrES_Rec,"&lt;&gt;")=0,"",SUMIFS(nrES_Rec,nrES_PID,Cadets!$B54,nrES_Code,_xlpm.c,nrES_Final,"Yes"))))</f>
        <v/>
      </c>
      <c r="H59" s="30">
        <f>IF(OR($C59="",$G59=""),"",IF($G59&gt;=cfgPassingScore,"Pass","FAIL"))</f>
        <v/>
      </c>
      <c r="I59" s="30">
        <f>IF($C59="","",_xlfn.LET(_xlpm.c,IFERROR(INDEX(rngEPcode,MATCH(cfgGradeSheetExam,IFERROR(rngEPseq+0,-1),0)),""),IF(COUNTIFS(nrES_PID,Cadets!$B54,nrES_Code,_xlpm.c,nrES_Att,2)&gt;0,"Retested","")))</f>
        <v/>
      </c>
    </row>
    <row r="60">
      <c r="B60" s="30">
        <f>IF(Cadets!$B55="","",ROW()-10)</f>
        <v/>
      </c>
      <c r="C60" s="29">
        <f>IF(Cadets!$B55="","",Cadets!$F55)</f>
        <v/>
      </c>
      <c r="D60" s="30">
        <f>IF($C60="","",Cadets!$B55)</f>
        <v/>
      </c>
      <c r="E60" s="30">
        <f>IF($C60="","",Cadets!$H55)</f>
        <v/>
      </c>
      <c r="F60" s="30">
        <f>IF($C60="","",_xlfn.LET(_xlpm.c,IFERROR(INDEX(rngEPcode,MATCH(cfgGradeSheetExam,IFERROR(rngEPseq+0,-1),0)),""),IF(COUNTIFS(nrES_PID,Cadets!$B55,nrES_Code,_xlpm.c,nrES_Att,1)=0,"",SUMIFS(nrES_Raw,nrES_PID,Cadets!$B55,nrES_Code,_xlpm.c,nrES_Att,1))))</f>
        <v/>
      </c>
      <c r="G60" s="30">
        <f>IF($C60="","",_xlfn.LET(_xlpm.c,IFERROR(INDEX(rngEPcode,MATCH(cfgGradeSheetExam,IFERROR(rngEPseq+0,-1),0)),""),IF(COUNTIFS(nrES_PID,Cadets!$B55,nrES_Code,_xlpm.c,nrES_Final,"Yes",nrES_Rec,"&lt;&gt;")=0,"",SUMIFS(nrES_Rec,nrES_PID,Cadets!$B55,nrES_Code,_xlpm.c,nrES_Final,"Yes"))))</f>
        <v/>
      </c>
      <c r="H60" s="30">
        <f>IF(OR($C60="",$G60=""),"",IF($G60&gt;=cfgPassingScore,"Pass","FAIL"))</f>
        <v/>
      </c>
      <c r="I60" s="30">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2"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30">
        <f>IF(Cadets!$B6="","",ROW()-23)</f>
        <v/>
      </c>
      <c r="C24" s="29">
        <f>IF(Cadets!$B6="","",IF(Cadets!$I6&lt;&gt;"Active","",Cadets!$F6))</f>
        <v/>
      </c>
      <c r="D24" s="29">
        <f>IF(C24="","",Cadets!$B6)</f>
        <v/>
      </c>
      <c r="E24" s="29">
        <f>IF(C24="","",Cadets!$H6)</f>
        <v/>
      </c>
      <c r="F24" s="33" t="n"/>
      <c r="G24" s="33" t="n"/>
      <c r="H24" s="33" t="n"/>
    </row>
    <row r="25" ht="20" customHeight="1">
      <c r="B25" s="30">
        <f>IF(Cadets!$B7="","",ROW()-23)</f>
        <v/>
      </c>
      <c r="C25" s="29">
        <f>IF(Cadets!$B7="","",IF(Cadets!$I7&lt;&gt;"Active","",Cadets!$F7))</f>
        <v/>
      </c>
      <c r="D25" s="29">
        <f>IF(C25="","",Cadets!$B7)</f>
        <v/>
      </c>
      <c r="E25" s="29">
        <f>IF(C25="","",Cadets!$H7)</f>
        <v/>
      </c>
      <c r="F25" s="33" t="n"/>
      <c r="G25" s="33" t="n"/>
      <c r="H25" s="33" t="n"/>
    </row>
    <row r="26" ht="20" customHeight="1">
      <c r="B26" s="30">
        <f>IF(Cadets!$B8="","",ROW()-23)</f>
        <v/>
      </c>
      <c r="C26" s="29">
        <f>IF(Cadets!$B8="","",IF(Cadets!$I8&lt;&gt;"Active","",Cadets!$F8))</f>
        <v/>
      </c>
      <c r="D26" s="29">
        <f>IF(C26="","",Cadets!$B8)</f>
        <v/>
      </c>
      <c r="E26" s="29">
        <f>IF(C26="","",Cadets!$H8)</f>
        <v/>
      </c>
      <c r="F26" s="33" t="n"/>
      <c r="G26" s="33" t="n"/>
      <c r="H26" s="33" t="n"/>
    </row>
    <row r="27" ht="20" customHeight="1">
      <c r="B27" s="30">
        <f>IF(Cadets!$B9="","",ROW()-23)</f>
        <v/>
      </c>
      <c r="C27" s="29">
        <f>IF(Cadets!$B9="","",IF(Cadets!$I9&lt;&gt;"Active","",Cadets!$F9))</f>
        <v/>
      </c>
      <c r="D27" s="29">
        <f>IF(C27="","",Cadets!$B9)</f>
        <v/>
      </c>
      <c r="E27" s="29">
        <f>IF(C27="","",Cadets!$H9)</f>
        <v/>
      </c>
      <c r="F27" s="33" t="n"/>
      <c r="G27" s="33" t="n"/>
      <c r="H27" s="33" t="n"/>
    </row>
    <row r="28" ht="20" customHeight="1">
      <c r="B28" s="30">
        <f>IF(Cadets!$B10="","",ROW()-23)</f>
        <v/>
      </c>
      <c r="C28" s="29">
        <f>IF(Cadets!$B10="","",IF(Cadets!$I10&lt;&gt;"Active","",Cadets!$F10))</f>
        <v/>
      </c>
      <c r="D28" s="29">
        <f>IF(C28="","",Cadets!$B10)</f>
        <v/>
      </c>
      <c r="E28" s="29">
        <f>IF(C28="","",Cadets!$H10)</f>
        <v/>
      </c>
      <c r="F28" s="33" t="n"/>
      <c r="G28" s="33" t="n"/>
      <c r="H28" s="33" t="n"/>
    </row>
    <row r="29" ht="20" customHeight="1">
      <c r="B29" s="30">
        <f>IF(Cadets!$B11="","",ROW()-23)</f>
        <v/>
      </c>
      <c r="C29" s="29">
        <f>IF(Cadets!$B11="","",IF(Cadets!$I11&lt;&gt;"Active","",Cadets!$F11))</f>
        <v/>
      </c>
      <c r="D29" s="29">
        <f>IF(C29="","",Cadets!$B11)</f>
        <v/>
      </c>
      <c r="E29" s="29">
        <f>IF(C29="","",Cadets!$H11)</f>
        <v/>
      </c>
      <c r="F29" s="33" t="n"/>
      <c r="G29" s="33" t="n"/>
      <c r="H29" s="33" t="n"/>
    </row>
    <row r="30" ht="20" customHeight="1">
      <c r="B30" s="30">
        <f>IF(Cadets!$B12="","",ROW()-23)</f>
        <v/>
      </c>
      <c r="C30" s="29">
        <f>IF(Cadets!$B12="","",IF(Cadets!$I12&lt;&gt;"Active","",Cadets!$F12))</f>
        <v/>
      </c>
      <c r="D30" s="29">
        <f>IF(C30="","",Cadets!$B12)</f>
        <v/>
      </c>
      <c r="E30" s="29">
        <f>IF(C30="","",Cadets!$H12)</f>
        <v/>
      </c>
      <c r="F30" s="33" t="n"/>
      <c r="G30" s="33" t="n"/>
      <c r="H30" s="33" t="n"/>
    </row>
    <row r="31" ht="20" customHeight="1">
      <c r="B31" s="30">
        <f>IF(Cadets!$B13="","",ROW()-23)</f>
        <v/>
      </c>
      <c r="C31" s="29">
        <f>IF(Cadets!$B13="","",IF(Cadets!$I13&lt;&gt;"Active","",Cadets!$F13))</f>
        <v/>
      </c>
      <c r="D31" s="29">
        <f>IF(C31="","",Cadets!$B13)</f>
        <v/>
      </c>
      <c r="E31" s="29">
        <f>IF(C31="","",Cadets!$H13)</f>
        <v/>
      </c>
      <c r="F31" s="33" t="n"/>
      <c r="G31" s="33" t="n"/>
      <c r="H31" s="33" t="n"/>
    </row>
    <row r="32" ht="20" customHeight="1">
      <c r="B32" s="30">
        <f>IF(Cadets!$B14="","",ROW()-23)</f>
        <v/>
      </c>
      <c r="C32" s="29">
        <f>IF(Cadets!$B14="","",IF(Cadets!$I14&lt;&gt;"Active","",Cadets!$F14))</f>
        <v/>
      </c>
      <c r="D32" s="29">
        <f>IF(C32="","",Cadets!$B14)</f>
        <v/>
      </c>
      <c r="E32" s="29">
        <f>IF(C32="","",Cadets!$H14)</f>
        <v/>
      </c>
      <c r="F32" s="33" t="n"/>
      <c r="G32" s="33" t="n"/>
      <c r="H32" s="33" t="n"/>
    </row>
    <row r="33" ht="20" customHeight="1">
      <c r="B33" s="30">
        <f>IF(Cadets!$B15="","",ROW()-23)</f>
        <v/>
      </c>
      <c r="C33" s="29">
        <f>IF(Cadets!$B15="","",IF(Cadets!$I15&lt;&gt;"Active","",Cadets!$F15))</f>
        <v/>
      </c>
      <c r="D33" s="29">
        <f>IF(C33="","",Cadets!$B15)</f>
        <v/>
      </c>
      <c r="E33" s="29">
        <f>IF(C33="","",Cadets!$H15)</f>
        <v/>
      </c>
      <c r="F33" s="33" t="n"/>
      <c r="G33" s="33" t="n"/>
      <c r="H33" s="33" t="n"/>
    </row>
    <row r="34" ht="20" customHeight="1">
      <c r="B34" s="30">
        <f>IF(Cadets!$B16="","",ROW()-23)</f>
        <v/>
      </c>
      <c r="C34" s="29">
        <f>IF(Cadets!$B16="","",IF(Cadets!$I16&lt;&gt;"Active","",Cadets!$F16))</f>
        <v/>
      </c>
      <c r="D34" s="29">
        <f>IF(C34="","",Cadets!$B16)</f>
        <v/>
      </c>
      <c r="E34" s="29">
        <f>IF(C34="","",Cadets!$H16)</f>
        <v/>
      </c>
      <c r="F34" s="33" t="n"/>
      <c r="G34" s="33" t="n"/>
      <c r="H34" s="33" t="n"/>
    </row>
    <row r="35" ht="20" customHeight="1">
      <c r="B35" s="30">
        <f>IF(Cadets!$B17="","",ROW()-23)</f>
        <v/>
      </c>
      <c r="C35" s="29">
        <f>IF(Cadets!$B17="","",IF(Cadets!$I17&lt;&gt;"Active","",Cadets!$F17))</f>
        <v/>
      </c>
      <c r="D35" s="29">
        <f>IF(C35="","",Cadets!$B17)</f>
        <v/>
      </c>
      <c r="E35" s="29">
        <f>IF(C35="","",Cadets!$H17)</f>
        <v/>
      </c>
      <c r="F35" s="33" t="n"/>
      <c r="G35" s="33" t="n"/>
      <c r="H35" s="33" t="n"/>
    </row>
    <row r="36" ht="20" customHeight="1">
      <c r="B36" s="30">
        <f>IF(Cadets!$B18="","",ROW()-23)</f>
        <v/>
      </c>
      <c r="C36" s="29">
        <f>IF(Cadets!$B18="","",IF(Cadets!$I18&lt;&gt;"Active","",Cadets!$F18))</f>
        <v/>
      </c>
      <c r="D36" s="29">
        <f>IF(C36="","",Cadets!$B18)</f>
        <v/>
      </c>
      <c r="E36" s="29">
        <f>IF(C36="","",Cadets!$H18)</f>
        <v/>
      </c>
      <c r="F36" s="33" t="n"/>
      <c r="G36" s="33" t="n"/>
      <c r="H36" s="33" t="n"/>
    </row>
    <row r="37" ht="20" customHeight="1">
      <c r="B37" s="30">
        <f>IF(Cadets!$B19="","",ROW()-23)</f>
        <v/>
      </c>
      <c r="C37" s="29">
        <f>IF(Cadets!$B19="","",IF(Cadets!$I19&lt;&gt;"Active","",Cadets!$F19))</f>
        <v/>
      </c>
      <c r="D37" s="29">
        <f>IF(C37="","",Cadets!$B19)</f>
        <v/>
      </c>
      <c r="E37" s="29">
        <f>IF(C37="","",Cadets!$H19)</f>
        <v/>
      </c>
      <c r="F37" s="33" t="n"/>
      <c r="G37" s="33" t="n"/>
      <c r="H37" s="33" t="n"/>
    </row>
    <row r="38" ht="20" customHeight="1">
      <c r="B38" s="30">
        <f>IF(Cadets!$B20="","",ROW()-23)</f>
        <v/>
      </c>
      <c r="C38" s="29">
        <f>IF(Cadets!$B20="","",IF(Cadets!$I20&lt;&gt;"Active","",Cadets!$F20))</f>
        <v/>
      </c>
      <c r="D38" s="29">
        <f>IF(C38="","",Cadets!$B20)</f>
        <v/>
      </c>
      <c r="E38" s="29">
        <f>IF(C38="","",Cadets!$H20)</f>
        <v/>
      </c>
      <c r="F38" s="33" t="n"/>
      <c r="G38" s="33" t="n"/>
      <c r="H38" s="33" t="n"/>
    </row>
    <row r="39" ht="20" customHeight="1">
      <c r="B39" s="30">
        <f>IF(Cadets!$B21="","",ROW()-23)</f>
        <v/>
      </c>
      <c r="C39" s="29">
        <f>IF(Cadets!$B21="","",IF(Cadets!$I21&lt;&gt;"Active","",Cadets!$F21))</f>
        <v/>
      </c>
      <c r="D39" s="29">
        <f>IF(C39="","",Cadets!$B21)</f>
        <v/>
      </c>
      <c r="E39" s="29">
        <f>IF(C39="","",Cadets!$H21)</f>
        <v/>
      </c>
      <c r="F39" s="33" t="n"/>
      <c r="G39" s="33" t="n"/>
      <c r="H39" s="33" t="n"/>
    </row>
    <row r="40" ht="20" customHeight="1">
      <c r="B40" s="30">
        <f>IF(Cadets!$B22="","",ROW()-23)</f>
        <v/>
      </c>
      <c r="C40" s="29">
        <f>IF(Cadets!$B22="","",IF(Cadets!$I22&lt;&gt;"Active","",Cadets!$F22))</f>
        <v/>
      </c>
      <c r="D40" s="29">
        <f>IF(C40="","",Cadets!$B22)</f>
        <v/>
      </c>
      <c r="E40" s="29">
        <f>IF(C40="","",Cadets!$H22)</f>
        <v/>
      </c>
      <c r="F40" s="33" t="n"/>
      <c r="G40" s="33" t="n"/>
      <c r="H40" s="33" t="n"/>
    </row>
    <row r="41" ht="20" customHeight="1">
      <c r="B41" s="30">
        <f>IF(Cadets!$B23="","",ROW()-23)</f>
        <v/>
      </c>
      <c r="C41" s="29">
        <f>IF(Cadets!$B23="","",IF(Cadets!$I23&lt;&gt;"Active","",Cadets!$F23))</f>
        <v/>
      </c>
      <c r="D41" s="29">
        <f>IF(C41="","",Cadets!$B23)</f>
        <v/>
      </c>
      <c r="E41" s="29">
        <f>IF(C41="","",Cadets!$H23)</f>
        <v/>
      </c>
      <c r="F41" s="33" t="n"/>
      <c r="G41" s="33" t="n"/>
      <c r="H41" s="33" t="n"/>
    </row>
    <row r="42" ht="20" customHeight="1">
      <c r="B42" s="30">
        <f>IF(Cadets!$B24="","",ROW()-23)</f>
        <v/>
      </c>
      <c r="C42" s="29">
        <f>IF(Cadets!$B24="","",IF(Cadets!$I24&lt;&gt;"Active","",Cadets!$F24))</f>
        <v/>
      </c>
      <c r="D42" s="29">
        <f>IF(C42="","",Cadets!$B24)</f>
        <v/>
      </c>
      <c r="E42" s="29">
        <f>IF(C42="","",Cadets!$H24)</f>
        <v/>
      </c>
      <c r="F42" s="33" t="n"/>
      <c r="G42" s="33" t="n"/>
      <c r="H42" s="33" t="n"/>
    </row>
    <row r="43" ht="20" customHeight="1">
      <c r="B43" s="30">
        <f>IF(Cadets!$B25="","",ROW()-23)</f>
        <v/>
      </c>
      <c r="C43" s="29">
        <f>IF(Cadets!$B25="","",IF(Cadets!$I25&lt;&gt;"Active","",Cadets!$F25))</f>
        <v/>
      </c>
      <c r="D43" s="29">
        <f>IF(C43="","",Cadets!$B25)</f>
        <v/>
      </c>
      <c r="E43" s="29">
        <f>IF(C43="","",Cadets!$H25)</f>
        <v/>
      </c>
      <c r="F43" s="33" t="n"/>
      <c r="G43" s="33" t="n"/>
      <c r="H43" s="33" t="n"/>
    </row>
    <row r="44" ht="20" customHeight="1">
      <c r="B44" s="30">
        <f>IF(Cadets!$B26="","",ROW()-23)</f>
        <v/>
      </c>
      <c r="C44" s="29">
        <f>IF(Cadets!$B26="","",IF(Cadets!$I26&lt;&gt;"Active","",Cadets!$F26))</f>
        <v/>
      </c>
      <c r="D44" s="29">
        <f>IF(C44="","",Cadets!$B26)</f>
        <v/>
      </c>
      <c r="E44" s="29">
        <f>IF(C44="","",Cadets!$H26)</f>
        <v/>
      </c>
      <c r="F44" s="33" t="n"/>
      <c r="G44" s="33" t="n"/>
      <c r="H44" s="33" t="n"/>
    </row>
    <row r="45" ht="20" customHeight="1">
      <c r="B45" s="30">
        <f>IF(Cadets!$B27="","",ROW()-23)</f>
        <v/>
      </c>
      <c r="C45" s="29">
        <f>IF(Cadets!$B27="","",IF(Cadets!$I27&lt;&gt;"Active","",Cadets!$F27))</f>
        <v/>
      </c>
      <c r="D45" s="29">
        <f>IF(C45="","",Cadets!$B27)</f>
        <v/>
      </c>
      <c r="E45" s="29">
        <f>IF(C45="","",Cadets!$H27)</f>
        <v/>
      </c>
      <c r="F45" s="33" t="n"/>
      <c r="G45" s="33" t="n"/>
      <c r="H45" s="33" t="n"/>
    </row>
    <row r="46" ht="20" customHeight="1">
      <c r="B46" s="30">
        <f>IF(Cadets!$B28="","",ROW()-23)</f>
        <v/>
      </c>
      <c r="C46" s="29">
        <f>IF(Cadets!$B28="","",IF(Cadets!$I28&lt;&gt;"Active","",Cadets!$F28))</f>
        <v/>
      </c>
      <c r="D46" s="29">
        <f>IF(C46="","",Cadets!$B28)</f>
        <v/>
      </c>
      <c r="E46" s="29">
        <f>IF(C46="","",Cadets!$H28)</f>
        <v/>
      </c>
      <c r="F46" s="33" t="n"/>
      <c r="G46" s="33" t="n"/>
      <c r="H46" s="33" t="n"/>
    </row>
    <row r="47" ht="20" customHeight="1">
      <c r="B47" s="30">
        <f>IF(Cadets!$B29="","",ROW()-23)</f>
        <v/>
      </c>
      <c r="C47" s="29">
        <f>IF(Cadets!$B29="","",IF(Cadets!$I29&lt;&gt;"Active","",Cadets!$F29))</f>
        <v/>
      </c>
      <c r="D47" s="29">
        <f>IF(C47="","",Cadets!$B29)</f>
        <v/>
      </c>
      <c r="E47" s="29">
        <f>IF(C47="","",Cadets!$H29)</f>
        <v/>
      </c>
      <c r="F47" s="33" t="n"/>
      <c r="G47" s="33" t="n"/>
      <c r="H47" s="33" t="n"/>
    </row>
    <row r="48" ht="20" customHeight="1">
      <c r="B48" s="30">
        <f>IF(Cadets!$B30="","",ROW()-23)</f>
        <v/>
      </c>
      <c r="C48" s="29">
        <f>IF(Cadets!$B30="","",IF(Cadets!$I30&lt;&gt;"Active","",Cadets!$F30))</f>
        <v/>
      </c>
      <c r="D48" s="29">
        <f>IF(C48="","",Cadets!$B30)</f>
        <v/>
      </c>
      <c r="E48" s="29">
        <f>IF(C48="","",Cadets!$H30)</f>
        <v/>
      </c>
      <c r="F48" s="33" t="n"/>
      <c r="G48" s="33" t="n"/>
      <c r="H48" s="33" t="n"/>
    </row>
    <row r="49" ht="20" customHeight="1">
      <c r="B49" s="30">
        <f>IF(Cadets!$B31="","",ROW()-23)</f>
        <v/>
      </c>
      <c r="C49" s="29">
        <f>IF(Cadets!$B31="","",IF(Cadets!$I31&lt;&gt;"Active","",Cadets!$F31))</f>
        <v/>
      </c>
      <c r="D49" s="29">
        <f>IF(C49="","",Cadets!$B31)</f>
        <v/>
      </c>
      <c r="E49" s="29">
        <f>IF(C49="","",Cadets!$H31)</f>
        <v/>
      </c>
      <c r="F49" s="33" t="n"/>
      <c r="G49" s="33" t="n"/>
      <c r="H49" s="33" t="n"/>
    </row>
    <row r="50" ht="20" customHeight="1">
      <c r="B50" s="30">
        <f>IF(Cadets!$B32="","",ROW()-23)</f>
        <v/>
      </c>
      <c r="C50" s="29">
        <f>IF(Cadets!$B32="","",IF(Cadets!$I32&lt;&gt;"Active","",Cadets!$F32))</f>
        <v/>
      </c>
      <c r="D50" s="29">
        <f>IF(C50="","",Cadets!$B32)</f>
        <v/>
      </c>
      <c r="E50" s="29">
        <f>IF(C50="","",Cadets!$H32)</f>
        <v/>
      </c>
      <c r="F50" s="33" t="n"/>
      <c r="G50" s="33" t="n"/>
      <c r="H50" s="33" t="n"/>
    </row>
    <row r="51" ht="20" customHeight="1">
      <c r="B51" s="30">
        <f>IF(Cadets!$B33="","",ROW()-23)</f>
        <v/>
      </c>
      <c r="C51" s="29">
        <f>IF(Cadets!$B33="","",IF(Cadets!$I33&lt;&gt;"Active","",Cadets!$F33))</f>
        <v/>
      </c>
      <c r="D51" s="29">
        <f>IF(C51="","",Cadets!$B33)</f>
        <v/>
      </c>
      <c r="E51" s="29">
        <f>IF(C51="","",Cadets!$H33)</f>
        <v/>
      </c>
      <c r="F51" s="33" t="n"/>
      <c r="G51" s="33" t="n"/>
      <c r="H51" s="33" t="n"/>
    </row>
    <row r="52" ht="20" customHeight="1">
      <c r="B52" s="30">
        <f>IF(Cadets!$B34="","",ROW()-23)</f>
        <v/>
      </c>
      <c r="C52" s="29">
        <f>IF(Cadets!$B34="","",IF(Cadets!$I34&lt;&gt;"Active","",Cadets!$F34))</f>
        <v/>
      </c>
      <c r="D52" s="29">
        <f>IF(C52="","",Cadets!$B34)</f>
        <v/>
      </c>
      <c r="E52" s="29">
        <f>IF(C52="","",Cadets!$H34)</f>
        <v/>
      </c>
      <c r="F52" s="33" t="n"/>
      <c r="G52" s="33" t="n"/>
      <c r="H52" s="33" t="n"/>
    </row>
    <row r="53" ht="20" customHeight="1">
      <c r="B53" s="30">
        <f>IF(Cadets!$B35="","",ROW()-23)</f>
        <v/>
      </c>
      <c r="C53" s="29">
        <f>IF(Cadets!$B35="","",IF(Cadets!$I35&lt;&gt;"Active","",Cadets!$F35))</f>
        <v/>
      </c>
      <c r="D53" s="29">
        <f>IF(C53="","",Cadets!$B35)</f>
        <v/>
      </c>
      <c r="E53" s="29">
        <f>IF(C53="","",Cadets!$H35)</f>
        <v/>
      </c>
      <c r="F53" s="33" t="n"/>
      <c r="G53" s="33" t="n"/>
      <c r="H53" s="33" t="n"/>
    </row>
    <row r="54" ht="20" customHeight="1">
      <c r="B54" s="30">
        <f>IF(Cadets!$B36="","",ROW()-23)</f>
        <v/>
      </c>
      <c r="C54" s="29">
        <f>IF(Cadets!$B36="","",IF(Cadets!$I36&lt;&gt;"Active","",Cadets!$F36))</f>
        <v/>
      </c>
      <c r="D54" s="29">
        <f>IF(C54="","",Cadets!$B36)</f>
        <v/>
      </c>
      <c r="E54" s="29">
        <f>IF(C54="","",Cadets!$H36)</f>
        <v/>
      </c>
      <c r="F54" s="33" t="n"/>
      <c r="G54" s="33" t="n"/>
      <c r="H54" s="33" t="n"/>
    </row>
    <row r="55" ht="20" customHeight="1">
      <c r="B55" s="30">
        <f>IF(Cadets!$B37="","",ROW()-23)</f>
        <v/>
      </c>
      <c r="C55" s="29">
        <f>IF(Cadets!$B37="","",IF(Cadets!$I37&lt;&gt;"Active","",Cadets!$F37))</f>
        <v/>
      </c>
      <c r="D55" s="29">
        <f>IF(C55="","",Cadets!$B37)</f>
        <v/>
      </c>
      <c r="E55" s="29">
        <f>IF(C55="","",Cadets!$H37)</f>
        <v/>
      </c>
      <c r="F55" s="33" t="n"/>
      <c r="G55" s="33" t="n"/>
      <c r="H55" s="33" t="n"/>
    </row>
    <row r="56" ht="20" customHeight="1">
      <c r="B56" s="30">
        <f>IF(Cadets!$B38="","",ROW()-23)</f>
        <v/>
      </c>
      <c r="C56" s="29">
        <f>IF(Cadets!$B38="","",IF(Cadets!$I38&lt;&gt;"Active","",Cadets!$F38))</f>
        <v/>
      </c>
      <c r="D56" s="29">
        <f>IF(C56="","",Cadets!$B38)</f>
        <v/>
      </c>
      <c r="E56" s="29">
        <f>IF(C56="","",Cadets!$H38)</f>
        <v/>
      </c>
      <c r="F56" s="33" t="n"/>
      <c r="G56" s="33" t="n"/>
      <c r="H56" s="33" t="n"/>
    </row>
    <row r="57" ht="20" customHeight="1">
      <c r="B57" s="30">
        <f>IF(Cadets!$B39="","",ROW()-23)</f>
        <v/>
      </c>
      <c r="C57" s="29">
        <f>IF(Cadets!$B39="","",IF(Cadets!$I39&lt;&gt;"Active","",Cadets!$F39))</f>
        <v/>
      </c>
      <c r="D57" s="29">
        <f>IF(C57="","",Cadets!$B39)</f>
        <v/>
      </c>
      <c r="E57" s="29">
        <f>IF(C57="","",Cadets!$H39)</f>
        <v/>
      </c>
      <c r="F57" s="33" t="n"/>
      <c r="G57" s="33" t="n"/>
      <c r="H57" s="33" t="n"/>
    </row>
    <row r="58" ht="20" customHeight="1">
      <c r="B58" s="30">
        <f>IF(Cadets!$B40="","",ROW()-23)</f>
        <v/>
      </c>
      <c r="C58" s="29">
        <f>IF(Cadets!$B40="","",IF(Cadets!$I40&lt;&gt;"Active","",Cadets!$F40))</f>
        <v/>
      </c>
      <c r="D58" s="29">
        <f>IF(C58="","",Cadets!$B40)</f>
        <v/>
      </c>
      <c r="E58" s="29">
        <f>IF(C58="","",Cadets!$H40)</f>
        <v/>
      </c>
      <c r="F58" s="33" t="n"/>
      <c r="G58" s="33" t="n"/>
      <c r="H58" s="33" t="n"/>
    </row>
    <row r="59" ht="20" customHeight="1">
      <c r="B59" s="30">
        <f>IF(Cadets!$B41="","",ROW()-23)</f>
        <v/>
      </c>
      <c r="C59" s="29">
        <f>IF(Cadets!$B41="","",IF(Cadets!$I41&lt;&gt;"Active","",Cadets!$F41))</f>
        <v/>
      </c>
      <c r="D59" s="29">
        <f>IF(C59="","",Cadets!$B41)</f>
        <v/>
      </c>
      <c r="E59" s="29">
        <f>IF(C59="","",Cadets!$H41)</f>
        <v/>
      </c>
      <c r="F59" s="33" t="n"/>
      <c r="G59" s="33" t="n"/>
      <c r="H59" s="33" t="n"/>
    </row>
    <row r="60" ht="20" customHeight="1">
      <c r="B60" s="30">
        <f>IF(Cadets!$B42="","",ROW()-23)</f>
        <v/>
      </c>
      <c r="C60" s="29">
        <f>IF(Cadets!$B42="","",IF(Cadets!$I42&lt;&gt;"Active","",Cadets!$F42))</f>
        <v/>
      </c>
      <c r="D60" s="29">
        <f>IF(C60="","",Cadets!$B42)</f>
        <v/>
      </c>
      <c r="E60" s="29">
        <f>IF(C60="","",Cadets!$H42)</f>
        <v/>
      </c>
      <c r="F60" s="33" t="n"/>
      <c r="G60" s="33" t="n"/>
      <c r="H60" s="33" t="n"/>
    </row>
    <row r="61" ht="20" customHeight="1">
      <c r="B61" s="30">
        <f>IF(Cadets!$B43="","",ROW()-23)</f>
        <v/>
      </c>
      <c r="C61" s="29">
        <f>IF(Cadets!$B43="","",IF(Cadets!$I43&lt;&gt;"Active","",Cadets!$F43))</f>
        <v/>
      </c>
      <c r="D61" s="29">
        <f>IF(C61="","",Cadets!$B43)</f>
        <v/>
      </c>
      <c r="E61" s="29">
        <f>IF(C61="","",Cadets!$H43)</f>
        <v/>
      </c>
      <c r="F61" s="33" t="n"/>
      <c r="G61" s="33" t="n"/>
      <c r="H61" s="33" t="n"/>
    </row>
    <row r="62" ht="20" customHeight="1">
      <c r="B62" s="30">
        <f>IF(Cadets!$B44="","",ROW()-23)</f>
        <v/>
      </c>
      <c r="C62" s="29">
        <f>IF(Cadets!$B44="","",IF(Cadets!$I44&lt;&gt;"Active","",Cadets!$F44))</f>
        <v/>
      </c>
      <c r="D62" s="29">
        <f>IF(C62="","",Cadets!$B44)</f>
        <v/>
      </c>
      <c r="E62" s="29">
        <f>IF(C62="","",Cadets!$H44)</f>
        <v/>
      </c>
      <c r="F62" s="33" t="n"/>
      <c r="G62" s="33" t="n"/>
      <c r="H62" s="33" t="n"/>
    </row>
    <row r="63" ht="20" customHeight="1">
      <c r="B63" s="30">
        <f>IF(Cadets!$B45="","",ROW()-23)</f>
        <v/>
      </c>
      <c r="C63" s="29">
        <f>IF(Cadets!$B45="","",IF(Cadets!$I45&lt;&gt;"Active","",Cadets!$F45))</f>
        <v/>
      </c>
      <c r="D63" s="29">
        <f>IF(C63="","",Cadets!$B45)</f>
        <v/>
      </c>
      <c r="E63" s="29">
        <f>IF(C63="","",Cadets!$H45)</f>
        <v/>
      </c>
      <c r="F63" s="33" t="n"/>
      <c r="G63" s="33" t="n"/>
      <c r="H63" s="33" t="n"/>
    </row>
    <row r="64" ht="20" customHeight="1">
      <c r="B64" s="30">
        <f>IF(Cadets!$B46="","",ROW()-23)</f>
        <v/>
      </c>
      <c r="C64" s="29">
        <f>IF(Cadets!$B46="","",IF(Cadets!$I46&lt;&gt;"Active","",Cadets!$F46))</f>
        <v/>
      </c>
      <c r="D64" s="29">
        <f>IF(C64="","",Cadets!$B46)</f>
        <v/>
      </c>
      <c r="E64" s="29">
        <f>IF(C64="","",Cadets!$H46)</f>
        <v/>
      </c>
      <c r="F64" s="33" t="n"/>
      <c r="G64" s="33" t="n"/>
      <c r="H64" s="33" t="n"/>
    </row>
    <row r="65" ht="20" customHeight="1">
      <c r="B65" s="30">
        <f>IF(Cadets!$B47="","",ROW()-23)</f>
        <v/>
      </c>
      <c r="C65" s="29">
        <f>IF(Cadets!$B47="","",IF(Cadets!$I47&lt;&gt;"Active","",Cadets!$F47))</f>
        <v/>
      </c>
      <c r="D65" s="29">
        <f>IF(C65="","",Cadets!$B47)</f>
        <v/>
      </c>
      <c r="E65" s="29">
        <f>IF(C65="","",Cadets!$H47)</f>
        <v/>
      </c>
      <c r="F65" s="33" t="n"/>
      <c r="G65" s="33" t="n"/>
      <c r="H65" s="33" t="n"/>
    </row>
    <row r="66" ht="20" customHeight="1">
      <c r="B66" s="30">
        <f>IF(Cadets!$B48="","",ROW()-23)</f>
        <v/>
      </c>
      <c r="C66" s="29">
        <f>IF(Cadets!$B48="","",IF(Cadets!$I48&lt;&gt;"Active","",Cadets!$F48))</f>
        <v/>
      </c>
      <c r="D66" s="29">
        <f>IF(C66="","",Cadets!$B48)</f>
        <v/>
      </c>
      <c r="E66" s="29">
        <f>IF(C66="","",Cadets!$H48)</f>
        <v/>
      </c>
      <c r="F66" s="33" t="n"/>
      <c r="G66" s="33" t="n"/>
      <c r="H66" s="33" t="n"/>
    </row>
    <row r="67" ht="20" customHeight="1">
      <c r="B67" s="30">
        <f>IF(Cadets!$B49="","",ROW()-23)</f>
        <v/>
      </c>
      <c r="C67" s="29">
        <f>IF(Cadets!$B49="","",IF(Cadets!$I49&lt;&gt;"Active","",Cadets!$F49))</f>
        <v/>
      </c>
      <c r="D67" s="29">
        <f>IF(C67="","",Cadets!$B49)</f>
        <v/>
      </c>
      <c r="E67" s="29">
        <f>IF(C67="","",Cadets!$H49)</f>
        <v/>
      </c>
      <c r="F67" s="33" t="n"/>
      <c r="G67" s="33" t="n"/>
      <c r="H67" s="33" t="n"/>
    </row>
    <row r="68" ht="20" customHeight="1">
      <c r="B68" s="30">
        <f>IF(Cadets!$B50="","",ROW()-23)</f>
        <v/>
      </c>
      <c r="C68" s="29">
        <f>IF(Cadets!$B50="","",IF(Cadets!$I50&lt;&gt;"Active","",Cadets!$F50))</f>
        <v/>
      </c>
      <c r="D68" s="29">
        <f>IF(C68="","",Cadets!$B50)</f>
        <v/>
      </c>
      <c r="E68" s="29">
        <f>IF(C68="","",Cadets!$H50)</f>
        <v/>
      </c>
      <c r="F68" s="33" t="n"/>
      <c r="G68" s="33" t="n"/>
      <c r="H68" s="33" t="n"/>
    </row>
    <row r="69" ht="20" customHeight="1">
      <c r="B69" s="30">
        <f>IF(Cadets!$B51="","",ROW()-23)</f>
        <v/>
      </c>
      <c r="C69" s="29">
        <f>IF(Cadets!$B51="","",IF(Cadets!$I51&lt;&gt;"Active","",Cadets!$F51))</f>
        <v/>
      </c>
      <c r="D69" s="29">
        <f>IF(C69="","",Cadets!$B51)</f>
        <v/>
      </c>
      <c r="E69" s="29">
        <f>IF(C69="","",Cadets!$H51)</f>
        <v/>
      </c>
      <c r="F69" s="33" t="n"/>
      <c r="G69" s="33" t="n"/>
      <c r="H69" s="33" t="n"/>
    </row>
    <row r="70" ht="20" customHeight="1">
      <c r="B70" s="30">
        <f>IF(Cadets!$B52="","",ROW()-23)</f>
        <v/>
      </c>
      <c r="C70" s="29">
        <f>IF(Cadets!$B52="","",IF(Cadets!$I52&lt;&gt;"Active","",Cadets!$F52))</f>
        <v/>
      </c>
      <c r="D70" s="29">
        <f>IF(C70="","",Cadets!$B52)</f>
        <v/>
      </c>
      <c r="E70" s="29">
        <f>IF(C70="","",Cadets!$H52)</f>
        <v/>
      </c>
      <c r="F70" s="33" t="n"/>
      <c r="G70" s="33" t="n"/>
      <c r="H70" s="33" t="n"/>
    </row>
    <row r="71" ht="20" customHeight="1">
      <c r="B71" s="30">
        <f>IF(Cadets!$B53="","",ROW()-23)</f>
        <v/>
      </c>
      <c r="C71" s="29">
        <f>IF(Cadets!$B53="","",IF(Cadets!$I53&lt;&gt;"Active","",Cadets!$F53))</f>
        <v/>
      </c>
      <c r="D71" s="29">
        <f>IF(C71="","",Cadets!$B53)</f>
        <v/>
      </c>
      <c r="E71" s="29">
        <f>IF(C71="","",Cadets!$H53)</f>
        <v/>
      </c>
      <c r="F71" s="33" t="n"/>
      <c r="G71" s="33" t="n"/>
      <c r="H71" s="33" t="n"/>
    </row>
    <row r="72" ht="20" customHeight="1">
      <c r="B72" s="30">
        <f>IF(Cadets!$B54="","",ROW()-23)</f>
        <v/>
      </c>
      <c r="C72" s="29">
        <f>IF(Cadets!$B54="","",IF(Cadets!$I54&lt;&gt;"Active","",Cadets!$F54))</f>
        <v/>
      </c>
      <c r="D72" s="29">
        <f>IF(C72="","",Cadets!$B54)</f>
        <v/>
      </c>
      <c r="E72" s="29">
        <f>IF(C72="","",Cadets!$H54)</f>
        <v/>
      </c>
      <c r="F72" s="33" t="n"/>
      <c r="G72" s="33" t="n"/>
      <c r="H72" s="33" t="n"/>
    </row>
    <row r="73" ht="20" customHeight="1">
      <c r="B73" s="30">
        <f>IF(Cadets!$B55="","",ROW()-23)</f>
        <v/>
      </c>
      <c r="C73" s="29">
        <f>IF(Cadets!$B55="","",IF(Cadets!$I55&lt;&gt;"Active","",Cadets!$F55))</f>
        <v/>
      </c>
      <c r="D73" s="29">
        <f>IF(C73="","",Cadets!$B55)</f>
        <v/>
      </c>
      <c r="E73" s="29">
        <f>IF(C73="","",Cadets!$H55)</f>
        <v/>
      </c>
      <c r="F73" s="33" t="n"/>
      <c r="G73" s="33" t="n"/>
      <c r="H73" s="33"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4"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9" t="n">
        <v>1</v>
      </c>
      <c r="C17" s="34" t="inlineStr">
        <is>
          <t>Were the goals and objectives for the course provided at the beginning of the class?</t>
        </is>
      </c>
      <c r="D17" s="33" t="n"/>
      <c r="E17" s="33" t="n"/>
      <c r="F17" s="33" t="n"/>
      <c r="G17" s="33" t="n"/>
      <c r="H17" s="33" t="n"/>
    </row>
    <row r="18" ht="26" customHeight="1">
      <c r="B18" s="29" t="n">
        <v>2</v>
      </c>
      <c r="C18" s="34" t="inlineStr">
        <is>
          <t>Was the material presented in a logical order?</t>
        </is>
      </c>
      <c r="D18" s="33" t="n"/>
      <c r="E18" s="33" t="n"/>
      <c r="F18" s="33" t="n"/>
      <c r="G18" s="33" t="n"/>
      <c r="H18" s="33" t="n"/>
    </row>
    <row r="19" ht="26" customHeight="1">
      <c r="B19" s="29" t="n">
        <v>3</v>
      </c>
      <c r="C19" s="34" t="inlineStr">
        <is>
          <t>Was the course related to your job needs?</t>
        </is>
      </c>
      <c r="D19" s="33" t="n"/>
      <c r="E19" s="33" t="n"/>
      <c r="F19" s="33" t="n"/>
      <c r="G19" s="33" t="n"/>
      <c r="H19" s="33" t="n"/>
    </row>
    <row r="20" ht="26" customHeight="1">
      <c r="B20" s="29" t="n">
        <v>4</v>
      </c>
      <c r="C20" s="34" t="inlineStr">
        <is>
          <t>Were real-life examples or situations used to relate the material?</t>
        </is>
      </c>
      <c r="D20" s="33" t="n"/>
      <c r="E20" s="33" t="n"/>
      <c r="F20" s="33" t="n"/>
      <c r="G20" s="33" t="n"/>
      <c r="H20" s="33" t="n"/>
    </row>
    <row r="21" ht="26" customHeight="1">
      <c r="B21" s="29" t="n">
        <v>5</v>
      </c>
      <c r="C21" s="34" t="inlineStr">
        <is>
          <t>Will this course improve your job performance?</t>
        </is>
      </c>
      <c r="D21" s="33" t="n"/>
      <c r="E21" s="33" t="n"/>
      <c r="F21" s="33" t="n"/>
      <c r="G21" s="33" t="n"/>
      <c r="H21" s="33" t="n"/>
    </row>
    <row r="22" ht="26" customHeight="1">
      <c r="B22" s="29" t="n">
        <v>6</v>
      </c>
      <c r="C22" s="34" t="inlineStr">
        <is>
          <t>Were the teaching aids, demonstrations, and handout materials of adequate quality?</t>
        </is>
      </c>
      <c r="D22" s="33" t="n"/>
      <c r="E22" s="33" t="n"/>
      <c r="F22" s="33" t="n"/>
      <c r="G22" s="33" t="n"/>
      <c r="H22" s="33" t="n"/>
    </row>
    <row r="23" ht="26" customHeight="1">
      <c r="B23" s="29" t="n">
        <v>7</v>
      </c>
      <c r="C23" s="34" t="inlineStr">
        <is>
          <t>Was the instructor knowledgeable about the course material?</t>
        </is>
      </c>
      <c r="D23" s="33" t="n"/>
      <c r="E23" s="33" t="n"/>
      <c r="F23" s="33" t="n"/>
      <c r="G23" s="33" t="n"/>
      <c r="H23" s="33" t="n"/>
    </row>
    <row r="24" ht="26" customHeight="1">
      <c r="B24" s="29" t="n">
        <v>8</v>
      </c>
      <c r="C24" s="34" t="inlineStr">
        <is>
          <t>Did the instructor present the information in a clear and understandable way?</t>
        </is>
      </c>
      <c r="D24" s="33" t="n"/>
      <c r="E24" s="33" t="n"/>
      <c r="F24" s="33" t="n"/>
      <c r="G24" s="33" t="n"/>
      <c r="H24" s="33" t="n"/>
    </row>
    <row r="25" ht="26" customHeight="1">
      <c r="B25" s="29" t="n">
        <v>9</v>
      </c>
      <c r="C25" s="34" t="inlineStr">
        <is>
          <t>Did the instructor give you an opportunity to interact with the class or ask questions?</t>
        </is>
      </c>
      <c r="D25" s="33" t="n"/>
      <c r="E25" s="33" t="n"/>
      <c r="F25" s="33" t="n"/>
      <c r="G25" s="33" t="n"/>
      <c r="H25" s="33" t="n"/>
    </row>
    <row r="26" ht="26" customHeight="1">
      <c r="B26" s="29" t="n">
        <v>10</v>
      </c>
      <c r="C26" s="34" t="inlineStr">
        <is>
          <t>Did you get satisfactory answers to your questions about the material?</t>
        </is>
      </c>
      <c r="D26" s="33" t="n"/>
      <c r="E26" s="33" t="n"/>
      <c r="F26" s="33" t="n"/>
      <c r="G26" s="33" t="n"/>
      <c r="H26" s="33" t="n"/>
    </row>
    <row r="27" ht="26" customHeight="1">
      <c r="B27" s="29" t="n">
        <v>11</v>
      </c>
      <c r="C27" s="34" t="inlineStr">
        <is>
          <t>Would you recommend this course to others?</t>
        </is>
      </c>
      <c r="D27" s="33" t="n"/>
      <c r="E27" s="33" t="n"/>
      <c r="F27" s="33" t="n"/>
      <c r="G27" s="33" t="n"/>
      <c r="H27" s="33" t="n"/>
    </row>
    <row r="28"/>
    <row r="29">
      <c r="B29" s="3" t="inlineStr">
        <is>
          <t>ADDITIONAL COMMENTS</t>
        </is>
      </c>
    </row>
    <row r="30" ht="20" customHeight="1">
      <c r="B30" s="35" t="n"/>
    </row>
    <row r="31" ht="20" customHeight="1">
      <c r="B31" s="35" t="n"/>
    </row>
    <row r="32" ht="20" customHeight="1">
      <c r="B32" s="35" t="n"/>
    </row>
    <row r="33" ht="20" customHeight="1">
      <c r="B33" s="35" t="n"/>
    </row>
    <row r="34" ht="20" customHeight="1">
      <c r="B34" s="35" t="n"/>
    </row>
    <row r="35" ht="20" customHeight="1">
      <c r="B35" s="35"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6" t="inlineStr">
        <is>
          <t>Mode:</t>
        </is>
      </c>
      <c r="E5" s="24"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7">
        <f>IFERROR(_xlfn._xlws.FILTER(_xlfn.HSTACK(rngWMnum,rngWMtitle,TEXT(rngWMassigned,"mm/dd"),TEXT(rngWMdue,"mm/dd"),rngWMprompt),IFERROR(_xlfn.XLOOKUP(rngWMassigned,nrCDdate,nrCDweek),0)=cfgHandoutWeek),"— no assignments start this week —")</f>
        <v/>
      </c>
      <c r="C11" s="37" t="n"/>
      <c r="D11" s="37" t="n"/>
      <c r="E11" s="37" t="n"/>
      <c r="F11" s="37" t="n"/>
      <c r="G11" s="37" t="n"/>
      <c r="H11" s="37" t="n"/>
    </row>
    <row r="12" ht="60" customHeight="1">
      <c r="B12" s="37" t="n"/>
      <c r="C12" s="37" t="n"/>
      <c r="D12" s="37" t="n"/>
      <c r="E12" s="37" t="n"/>
      <c r="F12" s="37" t="n"/>
      <c r="G12" s="37" t="n"/>
      <c r="H12" s="37" t="n"/>
    </row>
    <row r="13" ht="60" customHeight="1">
      <c r="B13" s="37" t="n"/>
      <c r="C13" s="37" t="n"/>
      <c r="D13" s="37" t="n"/>
      <c r="E13" s="37" t="n"/>
      <c r="F13" s="37" t="n"/>
      <c r="G13" s="37" t="n"/>
      <c r="H13" s="37" t="n"/>
    </row>
    <row r="14" ht="60" customHeight="1">
      <c r="B14" s="37" t="n"/>
      <c r="C14" s="37" t="n"/>
      <c r="D14" s="37" t="n"/>
      <c r="E14" s="37" t="n"/>
      <c r="F14" s="37" t="n"/>
      <c r="G14" s="37" t="n"/>
      <c r="H14" s="37" t="n"/>
    </row>
    <row r="15" ht="60" customHeight="1">
      <c r="B15" s="37" t="n"/>
      <c r="C15" s="37" t="n"/>
      <c r="D15" s="37" t="n"/>
      <c r="E15" s="37" t="n"/>
      <c r="F15" s="37" t="n"/>
      <c r="G15" s="37" t="n"/>
      <c r="H15" s="37" t="n"/>
    </row>
    <row r="16" ht="60" customHeight="1">
      <c r="B16" s="37" t="n"/>
      <c r="C16" s="37" t="n"/>
      <c r="D16" s="37" t="n"/>
      <c r="E16" s="37" t="n"/>
      <c r="F16" s="37" t="n"/>
      <c r="G16" s="37" t="n"/>
      <c r="H16" s="37" t="n"/>
    </row>
    <row r="17" ht="60" customHeight="1">
      <c r="B17" s="37" t="n"/>
      <c r="C17" s="37" t="n"/>
      <c r="D17" s="37" t="n"/>
      <c r="E17" s="37" t="n"/>
      <c r="F17" s="37" t="n"/>
      <c r="G17" s="37" t="n"/>
      <c r="H17" s="37" t="n"/>
    </row>
    <row r="18" ht="60" customHeight="1">
      <c r="B18" s="37" t="n"/>
      <c r="C18" s="37" t="n"/>
      <c r="D18" s="37" t="n"/>
      <c r="E18" s="37" t="n"/>
      <c r="F18" s="37" t="n"/>
      <c r="G18" s="37" t="n"/>
      <c r="H18" s="37"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IF($B9="","",IFERROR(SUMIFS(nrES_Rec,nrES_PID,Cadets!$B6,nrES_Seq,cfgCurrentExamNum,nrES_Final,"Yes"),""))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IF($B10="","",IFERROR(SUMIFS(nrES_Rec,nrES_PID,Cadets!$B7,nrES_Seq,cfgCurrentExamNum,nrES_Final,"Yes"),""))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IF($B11="","",IFERROR(SUMIFS(nrES_Rec,nrES_PID,Cadets!$B8,nrES_Seq,cfgCurrentExamNum,nrES_Final,"Yes"),""))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IF($B12="","",IFERROR(SUMIFS(nrES_Rec,nrES_PID,Cadets!$B9,nrES_Seq,cfgCurrentExamNum,nrES_Final,"Yes"),""))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IF($B13="","",IFERROR(SUMIFS(nrES_Rec,nrES_PID,Cadets!$B10,nrES_Seq,cfgCurrentExamNum,nrES_Final,"Yes"),""))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IF($B14="","",IFERROR(SUMIFS(nrES_Rec,nrES_PID,Cadets!$B11,nrES_Seq,cfgCurrentExamNum,nrES_Final,"Yes"),""))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IF($B15="","",IFERROR(SUMIFS(nrES_Rec,nrES_PID,Cadets!$B12,nrES_Seq,cfgCurrentExamNum,nrES_Final,"Yes"),""))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IF($B16="","",IFERROR(SUMIFS(nrES_Rec,nrES_PID,Cadets!$B13,nrES_Seq,cfgCurrentExamNum,nrES_Final,"Yes"),""))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IF($B17="","",IFERROR(SUMIFS(nrES_Rec,nrES_PID,Cadets!$B14,nrES_Seq,cfgCurrentExamNum,nrES_Final,"Yes"),""))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IF($B18="","",IFERROR(SUMIFS(nrES_Rec,nrES_PID,Cadets!$B15,nrES_Seq,cfgCurrentExamNum,nrES_Final,"Yes"),""))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IF($B19="","",IFERROR(SUMIFS(nrES_Rec,nrES_PID,Cadets!$B16,nrES_Seq,cfgCurrentExamNum,nrES_Final,"Yes"),""))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IF($B20="","",IFERROR(SUMIFS(nrES_Rec,nrES_PID,Cadets!$B17,nrES_Seq,cfgCurrentExamNum,nrES_Final,"Yes"),""))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IF($B21="","",IFERROR(SUMIFS(nrES_Rec,nrES_PID,Cadets!$B18,nrES_Seq,cfgCurrentExamNum,nrES_Final,"Yes"),""))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IF($B22="","",IFERROR(SUMIFS(nrES_Rec,nrES_PID,Cadets!$B19,nrES_Seq,cfgCurrentExamNum,nrES_Final,"Yes"),""))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IF($B23="","",IFERROR(SUMIFS(nrES_Rec,nrES_PID,Cadets!$B20,nrES_Seq,cfgCurrentExamNum,nrES_Final,"Yes"),""))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IF($B24="","",IFERROR(SUMIFS(nrES_Rec,nrES_PID,Cadets!$B21,nrES_Seq,cfgCurrentExamNum,nrES_Final,"Yes"),""))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IF($B25="","",IFERROR(SUMIFS(nrES_Rec,nrES_PID,Cadets!$B22,nrES_Seq,cfgCurrentExamNum,nrES_Final,"Yes"),""))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IF($B26="","",IFERROR(SUMIFS(nrES_Rec,nrES_PID,Cadets!$B23,nrES_Seq,cfgCurrentExamNum,nrES_Final,"Yes"),""))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IF($B27="","",IFERROR(SUMIFS(nrES_Rec,nrES_PID,Cadets!$B24,nrES_Seq,cfgCurrentExamNum,nrES_Final,"Yes"),""))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IF($B28="","",IFERROR(SUMIFS(nrES_Rec,nrES_PID,Cadets!$B25,nrES_Seq,cfgCurrentExamNum,nrES_Final,"Yes"),""))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IF($B29="","",IFERROR(SUMIFS(nrES_Rec,nrES_PID,Cadets!$B26,nrES_Seq,cfgCurrentExamNum,nrES_Final,"Yes"),""))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IF($B30="","",IFERROR(SUMIFS(nrES_Rec,nrES_PID,Cadets!$B27,nrES_Seq,cfgCurrentExamNum,nrES_Final,"Yes"),""))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IF($B31="","",IFERROR(SUMIFS(nrES_Rec,nrES_PID,Cadets!$B28,nrES_Seq,cfgCurrentExamNum,nrES_Final,"Yes"),""))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IF($B32="","",IFERROR(SUMIFS(nrES_Rec,nrES_PID,Cadets!$B29,nrES_Seq,cfgCurrentExamNum,nrES_Final,"Yes"),""))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IF($B33="","",IFERROR(SUMIFS(nrES_Rec,nrES_PID,Cadets!$B30,nrES_Seq,cfgCurrentExamNum,nrES_Final,"Yes"),""))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IF($B34="","",IFERROR(SUMIFS(nrES_Rec,nrES_PID,Cadets!$B31,nrES_Seq,cfgCurrentExamNum,nrES_Final,"Yes"),""))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IF($B35="","",IFERROR(SUMIFS(nrES_Rec,nrES_PID,Cadets!$B32,nrES_Seq,cfgCurrentExamNum,nrES_Final,"Yes"),""))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IF($B36="","",IFERROR(SUMIFS(nrES_Rec,nrES_PID,Cadets!$B33,nrES_Seq,cfgCurrentExamNum,nrES_Final,"Yes"),""))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IF($B37="","",IFERROR(SUMIFS(nrES_Rec,nrES_PID,Cadets!$B34,nrES_Seq,cfgCurrentExamNum,nrES_Final,"Yes"),""))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IF($B38="","",IFERROR(SUMIFS(nrES_Rec,nrES_PID,Cadets!$B35,nrES_Seq,cfgCurrentExamNum,nrES_Final,"Yes"),""))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IF($B39="","",IFERROR(SUMIFS(nrES_Rec,nrES_PID,Cadets!$B36,nrES_Seq,cfgCurrentExamNum,nrES_Final,"Yes"),""))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IF($B40="","",IFERROR(SUMIFS(nrES_Rec,nrES_PID,Cadets!$B37,nrES_Seq,cfgCurrentExamNum,nrES_Final,"Yes"),""))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IF($B41="","",IFERROR(SUMIFS(nrES_Rec,nrES_PID,Cadets!$B38,nrES_Seq,cfgCurrentExamNum,nrES_Final,"Yes"),""))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IF($B42="","",IFERROR(SUMIFS(nrES_Rec,nrES_PID,Cadets!$B39,nrES_Seq,cfgCurrentExamNum,nrES_Final,"Yes"),""))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IF($B43="","",IFERROR(SUMIFS(nrES_Rec,nrES_PID,Cadets!$B40,nrES_Seq,cfgCurrentExamNum,nrES_Final,"Yes"),""))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IF($B44="","",IFERROR(SUMIFS(nrES_Rec,nrES_PID,Cadets!$B41,nrES_Seq,cfgCurrentExamNum,nrES_Final,"Yes"),""))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IF($B45="","",IFERROR(SUMIFS(nrES_Rec,nrES_PID,Cadets!$B42,nrES_Seq,cfgCurrentExamNum,nrES_Final,"Yes"),""))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IF($B46="","",IFERROR(SUMIFS(nrES_Rec,nrES_PID,Cadets!$B43,nrES_Seq,cfgCurrentExamNum,nrES_Final,"Yes"),""))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IF($B47="","",IFERROR(SUMIFS(nrES_Rec,nrES_PID,Cadets!$B44,nrES_Seq,cfgCurrentExamNum,nrES_Final,"Yes"),""))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IF($B48="","",IFERROR(SUMIFS(nrES_Rec,nrES_PID,Cadets!$B45,nrES_Seq,cfgCurrentExamNum,nrES_Final,"Yes"),""))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IF($B49="","",IFERROR(SUMIFS(nrES_Rec,nrES_PID,Cadets!$B46,nrES_Seq,cfgCurrentExamNum,nrES_Final,"Yes"),""))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IF($B50="","",IFERROR(SUMIFS(nrES_Rec,nrES_PID,Cadets!$B47,nrES_Seq,cfgCurrentExamNum,nrES_Final,"Yes"),""))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IF($B51="","",IFERROR(SUMIFS(nrES_Rec,nrES_PID,Cadets!$B48,nrES_Seq,cfgCurrentExamNum,nrES_Final,"Yes"),""))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IF($B52="","",IFERROR(SUMIFS(nrES_Rec,nrES_PID,Cadets!$B49,nrES_Seq,cfgCurrentExamNum,nrES_Final,"Yes"),""))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IF($B53="","",IFERROR(SUMIFS(nrES_Rec,nrES_PID,Cadets!$B50,nrES_Seq,cfgCurrentExamNum,nrES_Final,"Yes"),""))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IF($B54="","",IFERROR(SUMIFS(nrES_Rec,nrES_PID,Cadets!$B51,nrES_Seq,cfgCurrentExamNum,nrES_Final,"Yes"),""))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IF($B55="","",IFERROR(SUMIFS(nrES_Rec,nrES_PID,Cadets!$B52,nrES_Seq,cfgCurrentExamNum,nrES_Final,"Yes"),""))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IF($B56="","",IFERROR(SUMIFS(nrES_Rec,nrES_PID,Cadets!$B53,nrES_Seq,cfgCurrentExamNum,nrES_Final,"Yes"),""))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IF($B57="","",IFERROR(SUMIFS(nrES_Rec,nrES_PID,Cadets!$B54,nrES_Seq,cfgCurrentExamNum,nrES_Final,"Yes"),""))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IF($B58="","",IFERROR(SUMIFS(nrES_Rec,nrES_PID,Cadets!$B55,nrES_Seq,cfgCurrentExamNum,nrES_Final,"Yes"),""))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fn._xlws.SORT(_xlfn.VSTACK(_xlpm.inc,_xlpm.cns,_xlpm.mem),1)),"— nothing marked for this agency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8"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MAX(SUMPRODUCT(MAX((nrSpellTaken&gt;0)*COLUMN(nrSpellTaken)))-COLUMN(Spelling!$D$1)+1,0)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7" t="n"/>
      <c r="D55" s="28"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30">
        <f>IF(OR($B56="",$G56=0),"",ROUND($G56-$F56,2))</f>
        <v/>
      </c>
    </row>
    <row r="57">
      <c r="B57" s="16" t="inlineStr">
        <is>
          <t>Crash Investigation</t>
        </is>
      </c>
      <c r="E57" s="16" t="inlineStr">
        <is>
          <t>22</t>
        </is>
      </c>
      <c r="F57" s="16" t="n">
        <v>12</v>
      </c>
      <c r="G57" s="17">
        <f>IF($B57="","",ROUND(SUMIFS(nrSCH_Hrs,nrSCH_Act,$B57),2))</f>
        <v/>
      </c>
      <c r="H57" s="30">
        <f>IF(OR($B57="",$G57=0),"",ROUND($G57-$F57,2))</f>
        <v/>
      </c>
    </row>
    <row r="58">
      <c r="B58" s="16" t="inlineStr">
        <is>
          <t>TIM</t>
        </is>
      </c>
      <c r="E58" s="16" t="inlineStr">
        <is>
          <t>22</t>
        </is>
      </c>
      <c r="F58" s="16" t="n">
        <v>12</v>
      </c>
      <c r="G58" s="17">
        <f>IF($B58="","",ROUND(SUMIFS(nrSCH_Hrs,nrSCH_Act,$B58),2))</f>
        <v/>
      </c>
      <c r="H58" s="30">
        <f>IF(OR($B58="",$G58=0),"",ROUND($G58-$F58,2))</f>
        <v/>
      </c>
    </row>
    <row r="59">
      <c r="B59" s="16" t="inlineStr">
        <is>
          <t>Criminal Investigations - General Investigations</t>
        </is>
      </c>
      <c r="E59" s="16" t="inlineStr">
        <is>
          <t>32</t>
        </is>
      </c>
      <c r="F59" s="16" t="n">
        <v>16</v>
      </c>
      <c r="G59" s="17">
        <f>IF($B59="","",ROUND(SUMIFS(nrSCH_Hrs,nrSCH_Act,$B59),2))</f>
        <v/>
      </c>
      <c r="H59" s="30">
        <f>IF(OR($B59="",$G59=0),"",ROUND($G59-$F59,2))</f>
        <v/>
      </c>
    </row>
    <row r="60">
      <c r="B60" s="16" t="inlineStr">
        <is>
          <t>Criminal Investigations - Auto Theft</t>
        </is>
      </c>
      <c r="E60" s="16" t="inlineStr">
        <is>
          <t>32</t>
        </is>
      </c>
      <c r="F60" s="16" t="n">
        <v>4</v>
      </c>
      <c r="G60" s="17">
        <f>IF($B60="","",ROUND(SUMIFS(nrSCH_Hrs,nrSCH_Act,$B60),2))</f>
        <v/>
      </c>
      <c r="H60" s="30">
        <f>IF(OR($B60="",$G60=0),"",ROUND($G60-$F60,2))</f>
        <v/>
      </c>
    </row>
    <row r="61">
      <c r="B61" s="16" t="inlineStr">
        <is>
          <t>Criminal Investigations - Crime Scene</t>
        </is>
      </c>
      <c r="E61" s="16" t="inlineStr">
        <is>
          <t>32</t>
        </is>
      </c>
      <c r="F61" s="16" t="n">
        <v>8</v>
      </c>
      <c r="G61" s="17">
        <f>IF($B61="","",ROUND(SUMIFS(nrSCH_Hrs,nrSCH_Act,$B61),2))</f>
        <v/>
      </c>
      <c r="H61" s="30">
        <f>IF(OR($B61="",$G61=0),"",ROUND($G61-$F61,2))</f>
        <v/>
      </c>
    </row>
    <row r="62">
      <c r="B62" s="16" t="inlineStr">
        <is>
          <t>Criminal Investigations - Booking Operations</t>
        </is>
      </c>
      <c r="E62" s="16" t="inlineStr">
        <is>
          <t>32</t>
        </is>
      </c>
      <c r="F62" s="16" t="n">
        <v>8</v>
      </c>
      <c r="G62" s="17">
        <f>IF($B62="","",ROUND(SUMIFS(nrSCH_Hrs,nrSCH_Act,$B62),2))</f>
        <v/>
      </c>
      <c r="H62" s="30">
        <f>IF(OR($B62="",$G62=0),"",ROUND($G62-$F62,2))</f>
        <v/>
      </c>
    </row>
    <row r="63">
      <c r="B63" s="16" t="inlineStr">
        <is>
          <t>Criminal Investigations - Interview Techniques</t>
        </is>
      </c>
      <c r="E63" s="16" t="inlineStr">
        <is>
          <t>32</t>
        </is>
      </c>
      <c r="F63" s="16" t="n">
        <v>4</v>
      </c>
      <c r="G63" s="17">
        <f>IF($B63="","",ROUND(SUMIFS(nrSCH_Hrs,nrSCH_Act,$B63),2))</f>
        <v/>
      </c>
      <c r="H63" s="30">
        <f>IF(OR($B63="",$G63=0),"",ROUND($G63-$F63,2))</f>
        <v/>
      </c>
    </row>
    <row r="64">
      <c r="B64" s="16" t="inlineStr">
        <is>
          <t>Criminal Investigations - Case Management</t>
        </is>
      </c>
      <c r="E64" s="16" t="inlineStr">
        <is>
          <t>32</t>
        </is>
      </c>
      <c r="F64" s="16" t="n">
        <v>4</v>
      </c>
      <c r="G64" s="17">
        <f>IF($B64="","",ROUND(SUMIFS(nrSCH_Hrs,nrSCH_Act,$B64),2))</f>
        <v/>
      </c>
      <c r="H64" s="30">
        <f>IF(OR($B64="",$G64=0),"",ROUND($G64-$F64,2))</f>
        <v/>
      </c>
    </row>
    <row r="65">
      <c r="B65" s="16" t="inlineStr">
        <is>
          <t>Criminal Investigations - Media Relations</t>
        </is>
      </c>
      <c r="E65" s="16" t="inlineStr">
        <is>
          <t>32</t>
        </is>
      </c>
      <c r="F65" s="16" t="n">
        <v>4</v>
      </c>
      <c r="G65" s="17">
        <f>IF($B65="","",ROUND(SUMIFS(nrSCH_Hrs,nrSCH_Act,$B65),2))</f>
        <v/>
      </c>
      <c r="H65" s="30">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 must reach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IF($B6="","",IF($L6=0,"Yes","No"))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IF($B7="","",IF($L7=0,"Yes","No"))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IF($B8="","",IF($L8=0,"Yes","No"))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IF($B9="","",IF($L9=0,"Yes","No"))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IF($B10="","",IF($L10=0,"Yes","No"))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IF($B11="","",IF($L11=0,"Yes","No"))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IF($B12="","",IF($L12=0,"Yes","No"))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IF($B13="","",IF($L13=0,"Yes","No"))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IF($B14="","",IF($L14=0,"Yes","No"))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IF($B15="","",IF($L15=0,"Yes","No"))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IF($B16="","",IF($L16=0,"Yes","No"))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IF($B17="","",IF($L17=0,"Yes","No"))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IF($B18="","",IF($L18=0,"Yes","No"))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IF($B19="","",IF($L19=0,"Yes","No"))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IF($B20="","",IF($L20=0,"Yes","No"))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IF($B21="","",IF($L21=0,"Yes","No"))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IF($B22="","",IF($L22=0,"Yes","No"))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IF($B23="","",IF($L23=0,"Yes","No"))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IF($B24="","",IF($L24=0,"Yes","No"))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IF($B25="","",IF($L25=0,"Yes","No"))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IF($B26="","",IF($L26=0,"Yes","No"))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IF($B27="","",IF($L27=0,"Yes","No"))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IF($B28="","",IF($L28=0,"Yes","No"))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IF($B29="","",IF($L29=0,"Yes","No"))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IF($B30="","",IF($L30=0,"Yes","No"))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IF($B31="","",IF($L31=0,"Yes","No"))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IF($B32="","",IF($L32=0,"Yes","No"))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IF($B33="","",IF($L33=0,"Yes","No"))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IF($B34="","",IF($L34=0,"Yes","No"))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IF($B35="","",IF($L35=0,"Yes","No"))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IF($B36="","",IF($L36=0,"Yes","No"))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IF($B37="","",IF($L37=0,"Yes","No"))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IF($B38="","",IF($L38=0,"Yes","No"))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IF($B39="","",IF($L39=0,"Yes","No"))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IF($B40="","",IF($L40=0,"Yes","No"))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IF($B41="","",IF($L41=0,"Yes","No"))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IF($B42="","",IF($L42=0,"Yes","No"))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IF($B43="","",IF($L43=0,"Yes","No"))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IF($B44="","",IF($L44=0,"Yes","No"))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IF($B45="","",IF($L45=0,"Yes","No"))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IF($B46="","",IF($L46=0,"Yes","No"))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IF($B47="","",IF($L47=0,"Yes","No"))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IF($B48="","",IF($L48=0,"Yes","No"))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IF($B49="","",IF($L49=0,"Yes","No"))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IF($B50="","",IF($L50=0,"Yes","No"))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IF($B51="","",IF($L51=0,"Yes","No"))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IF($B52="","",IF($L52=0,"Yes","No"))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IF($B53="","",IF($L53=0,"Yes","No"))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IF($B54="","",IF($L54=0,"Yes","No"))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IF($B55="","",IF($L55=0,"Yes","No"))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ChainReviewCnt</t>
        </is>
      </c>
      <c r="L5" s="12" t="inlineStr">
        <is>
          <t>Incidents Elig</t>
        </is>
      </c>
      <c r="M5" s="12" t="inlineStr">
        <is>
          <t>Counseling Cnt</t>
        </is>
      </c>
      <c r="N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IF($B6="","",IF(COUNTIFS(nrME_PID,$B6,nrME_Status,"OVERDUE")&gt;0,1,0))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IF($B7="","",IF(COUNTIFS(nrME_PID,$B7,nrME_Status,"OVERDUE")&gt;0,1,0))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IF($B8="","",IF(COUNTIFS(nrME_PID,$B8,nrME_Status,"OVERDUE")&gt;0,1,0))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IF($B9="","",IF(COUNTIFS(nrME_PID,$B9,nrME_Status,"OVERDUE")&gt;0,1,0))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IF($B10="","",IF(COUNTIFS(nrME_PID,$B10,nrME_Status,"OVERDUE")&gt;0,1,0))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IF($B11="","",IF(COUNTIFS(nrME_PID,$B11,nrME_Status,"OVERDUE")&gt;0,1,0))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IF($B12="","",IF(COUNTIFS(nrME_PID,$B12,nrME_Status,"OVERDUE")&gt;0,1,0))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IF($B13="","",IF(COUNTIFS(nrME_PID,$B13,nrME_Status,"OVERDUE")&gt;0,1,0))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IF($B14="","",IF(COUNTIFS(nrME_PID,$B14,nrME_Status,"OVERDUE")&gt;0,1,0))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IF($B15="","",IF(COUNTIFS(nrME_PID,$B15,nrME_Status,"OVERDUE")&gt;0,1,0))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IF($B16="","",IF(COUNTIFS(nrME_PID,$B16,nrME_Status,"OVERDUE")&gt;0,1,0))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IF($B17="","",IF(COUNTIFS(nrME_PID,$B17,nrME_Status,"OVERDUE")&gt;0,1,0))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IF($B18="","",IF(COUNTIFS(nrME_PID,$B18,nrME_Status,"OVERDUE")&gt;0,1,0))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IF($B19="","",IF(COUNTIFS(nrME_PID,$B19,nrME_Status,"OVERDUE")&gt;0,1,0))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IF($B20="","",IF(COUNTIFS(nrME_PID,$B20,nrME_Status,"OVERDUE")&gt;0,1,0))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IF($B21="","",IF(COUNTIFS(nrME_PID,$B21,nrME_Status,"OVERDUE")&gt;0,1,0))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IF($B22="","",IF(COUNTIFS(nrME_PID,$B22,nrME_Status,"OVERDUE")&gt;0,1,0))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IF($B23="","",IF(COUNTIFS(nrME_PID,$B23,nrME_Status,"OVERDUE")&gt;0,1,0))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IF($B24="","",IF(COUNTIFS(nrME_PID,$B24,nrME_Status,"OVERDUE")&gt;0,1,0))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IF($B25="","",IF(COUNTIFS(nrME_PID,$B25,nrME_Status,"OVERDUE")&gt;0,1,0))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IF($B26="","",IF(COUNTIFS(nrME_PID,$B26,nrME_Status,"OVERDUE")&gt;0,1,0))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IF($B27="","",IF(COUNTIFS(nrME_PID,$B27,nrME_Status,"OVERDUE")&gt;0,1,0))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IF($B28="","",IF(COUNTIFS(nrME_PID,$B28,nrME_Status,"OVERDUE")&gt;0,1,0))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IF($B29="","",IF(COUNTIFS(nrME_PID,$B29,nrME_Status,"OVERDUE")&gt;0,1,0))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IF($B30="","",IF(COUNTIFS(nrME_PID,$B30,nrME_Status,"OVERDUE")&gt;0,1,0))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IF($B31="","",IF(COUNTIFS(nrME_PID,$B31,nrME_Status,"OVERDUE")&gt;0,1,0))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IF($B32="","",IF(COUNTIFS(nrME_PID,$B32,nrME_Status,"OVERDUE")&gt;0,1,0))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IF($B33="","",IF(COUNTIFS(nrME_PID,$B33,nrME_Status,"OVERDUE")&gt;0,1,0))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IF($B34="","",IF(COUNTIFS(nrME_PID,$B34,nrME_Status,"OVERDUE")&gt;0,1,0))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IF($B35="","",IF(COUNTIFS(nrME_PID,$B35,nrME_Status,"OVERDUE")&gt;0,1,0))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IF($B36="","",IF(COUNTIFS(nrME_PID,$B36,nrME_Status,"OVERDUE")&gt;0,1,0))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IF($B37="","",IF(COUNTIFS(nrME_PID,$B37,nrME_Status,"OVERDUE")&gt;0,1,0))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IF($B38="","",IF(COUNTIFS(nrME_PID,$B38,nrME_Status,"OVERDUE")&gt;0,1,0))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IF($B39="","",IF(COUNTIFS(nrME_PID,$B39,nrME_Status,"OVERDUE")&gt;0,1,0))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IF($B40="","",IF(COUNTIFS(nrME_PID,$B40,nrME_Status,"OVERDUE")&gt;0,1,0))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IF($B41="","",IF(COUNTIFS(nrME_PID,$B41,nrME_Status,"OVERDUE")&gt;0,1,0))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IF($B42="","",IF(COUNTIFS(nrME_PID,$B42,nrME_Status,"OVERDUE")&gt;0,1,0))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IF($B43="","",IF(COUNTIFS(nrME_PID,$B43,nrME_Status,"OVERDUE")&gt;0,1,0))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IF($B44="","",IF(COUNTIFS(nrME_PID,$B44,nrME_Status,"OVERDUE")&gt;0,1,0))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IF($B45="","",IF(COUNTIFS(nrME_PID,$B45,nrME_Status,"OVERDUE")&gt;0,1,0))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IF($B46="","",IF(COUNTIFS(nrME_PID,$B46,nrME_Status,"OVERDUE")&gt;0,1,0))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IF($B47="","",IF(COUNTIFS(nrME_PID,$B47,nrME_Status,"OVERDUE")&gt;0,1,0))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IF($B48="","",IF(COUNTIFS(nrME_PID,$B48,nrME_Status,"OVERDUE")&gt;0,1,0))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IF($B49="","",IF(COUNTIFS(nrME_PID,$B49,nrME_Status,"OVERDUE")&gt;0,1,0))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IF($B50="","",IF(COUNTIFS(nrME_PID,$B50,nrME_Status,"OVERDUE")&gt;0,1,0))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IF($B51="","",IF(COUNTIFS(nrME_PID,$B51,nrME_Status,"OVERDUE")&gt;0,1,0))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IF($B52="","",IF(COUNTIFS(nrME_PID,$B52,nrME_Status,"OVERDUE")&gt;0,1,0))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IF($B53="","",IF(COUNTIFS(nrME_PID,$B53,nrME_Status,"OVERDUE")&gt;0,1,0))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IF($B54="","",IF(COUNTIFS(nrME_PID,$B54,nrME_Status,"OVERDUE")&gt;0,1,0))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IF($B55="","",IF(COUNTIFS(nrME_PID,$B55,nrME_Status,"OVERDUE")&gt;0,1,0))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IF($B6="","",IF(AND($E6="Yes",$F6="Yes",$G6="Yes",$H6="Yes",$I6="Yes",$J6="Yes",$K6="Yes",$L6="Yes",$M6="No"),"Yes","No"))</f>
        <v/>
      </c>
      <c r="O6" s="17">
        <f>IF($B6="","",IF($N6="Yes","Eligible",TRIM(IF($E6&lt;&gt;"Yes","Academic; ","")&amp;IF($F6&lt;&gt;"Yes","Classroom; ","")&amp;IF($G6&lt;&gt;"Yes","PT sessions; ","")&amp;IF($H6&lt;&gt;"Yes","Skills; ","")&amp;IF($I6&lt;&gt;"Yes","Incidents; ","")&amp;IF($J6&lt;&gt;"Yes","Writing; ","")&amp;IF($K6&lt;&gt;"Yes","Makeup owed; ","")&amp;IF($L6&lt;&gt;"Yes","Final PT;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IF($B7="","",IF(AND($E7="Yes",$F7="Yes",$G7="Yes",$H7="Yes",$I7="Yes",$J7="Yes",$K7="Yes",$L7="Yes",$M7="No"),"Yes","No"))</f>
        <v/>
      </c>
      <c r="O7" s="17">
        <f>IF($B7="","",IF($N7="Yes","Eligible",TRIM(IF($E7&lt;&gt;"Yes","Academic; ","")&amp;IF($F7&lt;&gt;"Yes","Classroom; ","")&amp;IF($G7&lt;&gt;"Yes","PT sessions; ","")&amp;IF($H7&lt;&gt;"Yes","Skills; ","")&amp;IF($I7&lt;&gt;"Yes","Incidents; ","")&amp;IF($J7&lt;&gt;"Yes","Writing; ","")&amp;IF($K7&lt;&gt;"Yes","Makeup owed; ","")&amp;IF($L7&lt;&gt;"Yes","Final PT;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IF($B8="","",IF(AND($E8="Yes",$F8="Yes",$G8="Yes",$H8="Yes",$I8="Yes",$J8="Yes",$K8="Yes",$L8="Yes",$M8="No"),"Yes","No"))</f>
        <v/>
      </c>
      <c r="O8" s="17">
        <f>IF($B8="","",IF($N8="Yes","Eligible",TRIM(IF($E8&lt;&gt;"Yes","Academic; ","")&amp;IF($F8&lt;&gt;"Yes","Classroom; ","")&amp;IF($G8&lt;&gt;"Yes","PT sessions; ","")&amp;IF($H8&lt;&gt;"Yes","Skills; ","")&amp;IF($I8&lt;&gt;"Yes","Incidents; ","")&amp;IF($J8&lt;&gt;"Yes","Writing; ","")&amp;IF($K8&lt;&gt;"Yes","Makeup owed; ","")&amp;IF($L8&lt;&gt;"Yes","Final PT;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IF($B9="","",IF(AND($E9="Yes",$F9="Yes",$G9="Yes",$H9="Yes",$I9="Yes",$J9="Yes",$K9="Yes",$L9="Yes",$M9="No"),"Yes","No"))</f>
        <v/>
      </c>
      <c r="O9" s="17">
        <f>IF($B9="","",IF($N9="Yes","Eligible",TRIM(IF($E9&lt;&gt;"Yes","Academic; ","")&amp;IF($F9&lt;&gt;"Yes","Classroom; ","")&amp;IF($G9&lt;&gt;"Yes","PT sessions; ","")&amp;IF($H9&lt;&gt;"Yes","Skills; ","")&amp;IF($I9&lt;&gt;"Yes","Incidents; ","")&amp;IF($J9&lt;&gt;"Yes","Writing; ","")&amp;IF($K9&lt;&gt;"Yes","Makeup owed; ","")&amp;IF($L9&lt;&gt;"Yes","Final PT;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IF($B10="","",IF(AND($E10="Yes",$F10="Yes",$G10="Yes",$H10="Yes",$I10="Yes",$J10="Yes",$K10="Yes",$L10="Yes",$M10="No"),"Yes","No"))</f>
        <v/>
      </c>
      <c r="O10" s="17">
        <f>IF($B10="","",IF($N10="Yes","Eligible",TRIM(IF($E10&lt;&gt;"Yes","Academic; ","")&amp;IF($F10&lt;&gt;"Yes","Classroom; ","")&amp;IF($G10&lt;&gt;"Yes","PT sessions; ","")&amp;IF($H10&lt;&gt;"Yes","Skills; ","")&amp;IF($I10&lt;&gt;"Yes","Incidents; ","")&amp;IF($J10&lt;&gt;"Yes","Writing; ","")&amp;IF($K10&lt;&gt;"Yes","Makeup owed; ","")&amp;IF($L10&lt;&gt;"Yes","Final PT;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IF($B11="","",IF(AND($E11="Yes",$F11="Yes",$G11="Yes",$H11="Yes",$I11="Yes",$J11="Yes",$K11="Yes",$L11="Yes",$M11="No"),"Yes","No"))</f>
        <v/>
      </c>
      <c r="O11" s="17">
        <f>IF($B11="","",IF($N11="Yes","Eligible",TRIM(IF($E11&lt;&gt;"Yes","Academic; ","")&amp;IF($F11&lt;&gt;"Yes","Classroom; ","")&amp;IF($G11&lt;&gt;"Yes","PT sessions; ","")&amp;IF($H11&lt;&gt;"Yes","Skills; ","")&amp;IF($I11&lt;&gt;"Yes","Incidents; ","")&amp;IF($J11&lt;&gt;"Yes","Writing; ","")&amp;IF($K11&lt;&gt;"Yes","Makeup owed; ","")&amp;IF($L11&lt;&gt;"Yes","Final PT;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IF($B12="","",IF(AND($E12="Yes",$F12="Yes",$G12="Yes",$H12="Yes",$I12="Yes",$J12="Yes",$K12="Yes",$L12="Yes",$M12="No"),"Yes","No"))</f>
        <v/>
      </c>
      <c r="O12" s="17">
        <f>IF($B12="","",IF($N12="Yes","Eligible",TRIM(IF($E12&lt;&gt;"Yes","Academic; ","")&amp;IF($F12&lt;&gt;"Yes","Classroom; ","")&amp;IF($G12&lt;&gt;"Yes","PT sessions; ","")&amp;IF($H12&lt;&gt;"Yes","Skills; ","")&amp;IF($I12&lt;&gt;"Yes","Incidents; ","")&amp;IF($J12&lt;&gt;"Yes","Writing; ","")&amp;IF($K12&lt;&gt;"Yes","Makeup owed; ","")&amp;IF($L12&lt;&gt;"Yes","Final PT;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IF($B13="","",IF(AND($E13="Yes",$F13="Yes",$G13="Yes",$H13="Yes",$I13="Yes",$J13="Yes",$K13="Yes",$L13="Yes",$M13="No"),"Yes","No"))</f>
        <v/>
      </c>
      <c r="O13" s="17">
        <f>IF($B13="","",IF($N13="Yes","Eligible",TRIM(IF($E13&lt;&gt;"Yes","Academic; ","")&amp;IF($F13&lt;&gt;"Yes","Classroom; ","")&amp;IF($G13&lt;&gt;"Yes","PT sessions; ","")&amp;IF($H13&lt;&gt;"Yes","Skills; ","")&amp;IF($I13&lt;&gt;"Yes","Incidents; ","")&amp;IF($J13&lt;&gt;"Yes","Writing; ","")&amp;IF($K13&lt;&gt;"Yes","Makeup owed; ","")&amp;IF($L13&lt;&gt;"Yes","Final PT;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IF($B14="","",IF(AND($E14="Yes",$F14="Yes",$G14="Yes",$H14="Yes",$I14="Yes",$J14="Yes",$K14="Yes",$L14="Yes",$M14="No"),"Yes","No"))</f>
        <v/>
      </c>
      <c r="O14" s="17">
        <f>IF($B14="","",IF($N14="Yes","Eligible",TRIM(IF($E14&lt;&gt;"Yes","Academic; ","")&amp;IF($F14&lt;&gt;"Yes","Classroom; ","")&amp;IF($G14&lt;&gt;"Yes","PT sessions; ","")&amp;IF($H14&lt;&gt;"Yes","Skills; ","")&amp;IF($I14&lt;&gt;"Yes","Incidents; ","")&amp;IF($J14&lt;&gt;"Yes","Writing; ","")&amp;IF($K14&lt;&gt;"Yes","Makeup owed; ","")&amp;IF($L14&lt;&gt;"Yes","Final PT;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IF($B15="","",IF(AND($E15="Yes",$F15="Yes",$G15="Yes",$H15="Yes",$I15="Yes",$J15="Yes",$K15="Yes",$L15="Yes",$M15="No"),"Yes","No"))</f>
        <v/>
      </c>
      <c r="O15" s="17">
        <f>IF($B15="","",IF($N15="Yes","Eligible",TRIM(IF($E15&lt;&gt;"Yes","Academic; ","")&amp;IF($F15&lt;&gt;"Yes","Classroom; ","")&amp;IF($G15&lt;&gt;"Yes","PT sessions; ","")&amp;IF($H15&lt;&gt;"Yes","Skills; ","")&amp;IF($I15&lt;&gt;"Yes","Incidents; ","")&amp;IF($J15&lt;&gt;"Yes","Writing; ","")&amp;IF($K15&lt;&gt;"Yes","Makeup owed; ","")&amp;IF($L15&lt;&gt;"Yes","Final PT;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IF($B16="","",IF(AND($E16="Yes",$F16="Yes",$G16="Yes",$H16="Yes",$I16="Yes",$J16="Yes",$K16="Yes",$L16="Yes",$M16="No"),"Yes","No"))</f>
        <v/>
      </c>
      <c r="O16" s="17">
        <f>IF($B16="","",IF($N16="Yes","Eligible",TRIM(IF($E16&lt;&gt;"Yes","Academic; ","")&amp;IF($F16&lt;&gt;"Yes","Classroom; ","")&amp;IF($G16&lt;&gt;"Yes","PT sessions; ","")&amp;IF($H16&lt;&gt;"Yes","Skills; ","")&amp;IF($I16&lt;&gt;"Yes","Incidents; ","")&amp;IF($J16&lt;&gt;"Yes","Writing; ","")&amp;IF($K16&lt;&gt;"Yes","Makeup owed; ","")&amp;IF($L16&lt;&gt;"Yes","Final PT;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IF($B17="","",IF(AND($E17="Yes",$F17="Yes",$G17="Yes",$H17="Yes",$I17="Yes",$J17="Yes",$K17="Yes",$L17="Yes",$M17="No"),"Yes","No"))</f>
        <v/>
      </c>
      <c r="O17" s="17">
        <f>IF($B17="","",IF($N17="Yes","Eligible",TRIM(IF($E17&lt;&gt;"Yes","Academic; ","")&amp;IF($F17&lt;&gt;"Yes","Classroom; ","")&amp;IF($G17&lt;&gt;"Yes","PT sessions; ","")&amp;IF($H17&lt;&gt;"Yes","Skills; ","")&amp;IF($I17&lt;&gt;"Yes","Incidents; ","")&amp;IF($J17&lt;&gt;"Yes","Writing; ","")&amp;IF($K17&lt;&gt;"Yes","Makeup owed; ","")&amp;IF($L17&lt;&gt;"Yes","Final PT;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IF($B18="","",IF(AND($E18="Yes",$F18="Yes",$G18="Yes",$H18="Yes",$I18="Yes",$J18="Yes",$K18="Yes",$L18="Yes",$M18="No"),"Yes","No"))</f>
        <v/>
      </c>
      <c r="O18" s="17">
        <f>IF($B18="","",IF($N18="Yes","Eligible",TRIM(IF($E18&lt;&gt;"Yes","Academic; ","")&amp;IF($F18&lt;&gt;"Yes","Classroom; ","")&amp;IF($G18&lt;&gt;"Yes","PT sessions; ","")&amp;IF($H18&lt;&gt;"Yes","Skills; ","")&amp;IF($I18&lt;&gt;"Yes","Incidents; ","")&amp;IF($J18&lt;&gt;"Yes","Writing; ","")&amp;IF($K18&lt;&gt;"Yes","Makeup owed; ","")&amp;IF($L18&lt;&gt;"Yes","Final PT;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IF($B19="","",IF(AND($E19="Yes",$F19="Yes",$G19="Yes",$H19="Yes",$I19="Yes",$J19="Yes",$K19="Yes",$L19="Yes",$M19="No"),"Yes","No"))</f>
        <v/>
      </c>
      <c r="O19" s="17">
        <f>IF($B19="","",IF($N19="Yes","Eligible",TRIM(IF($E19&lt;&gt;"Yes","Academic; ","")&amp;IF($F19&lt;&gt;"Yes","Classroom; ","")&amp;IF($G19&lt;&gt;"Yes","PT sessions; ","")&amp;IF($H19&lt;&gt;"Yes","Skills; ","")&amp;IF($I19&lt;&gt;"Yes","Incidents; ","")&amp;IF($J19&lt;&gt;"Yes","Writing; ","")&amp;IF($K19&lt;&gt;"Yes","Makeup owed; ","")&amp;IF($L19&lt;&gt;"Yes","Final PT;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IF($B20="","",IF(AND($E20="Yes",$F20="Yes",$G20="Yes",$H20="Yes",$I20="Yes",$J20="Yes",$K20="Yes",$L20="Yes",$M20="No"),"Yes","No"))</f>
        <v/>
      </c>
      <c r="O20" s="17">
        <f>IF($B20="","",IF($N20="Yes","Eligible",TRIM(IF($E20&lt;&gt;"Yes","Academic; ","")&amp;IF($F20&lt;&gt;"Yes","Classroom; ","")&amp;IF($G20&lt;&gt;"Yes","PT sessions; ","")&amp;IF($H20&lt;&gt;"Yes","Skills; ","")&amp;IF($I20&lt;&gt;"Yes","Incidents; ","")&amp;IF($J20&lt;&gt;"Yes","Writing; ","")&amp;IF($K20&lt;&gt;"Yes","Makeup owed; ","")&amp;IF($L20&lt;&gt;"Yes","Final PT;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IF($B21="","",IF(AND($E21="Yes",$F21="Yes",$G21="Yes",$H21="Yes",$I21="Yes",$J21="Yes",$K21="Yes",$L21="Yes",$M21="No"),"Yes","No"))</f>
        <v/>
      </c>
      <c r="O21" s="17">
        <f>IF($B21="","",IF($N21="Yes","Eligible",TRIM(IF($E21&lt;&gt;"Yes","Academic; ","")&amp;IF($F21&lt;&gt;"Yes","Classroom; ","")&amp;IF($G21&lt;&gt;"Yes","PT sessions; ","")&amp;IF($H21&lt;&gt;"Yes","Skills; ","")&amp;IF($I21&lt;&gt;"Yes","Incidents; ","")&amp;IF($J21&lt;&gt;"Yes","Writing; ","")&amp;IF($K21&lt;&gt;"Yes","Makeup owed; ","")&amp;IF($L21&lt;&gt;"Yes","Final PT;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IF($B22="","",IF(AND($E22="Yes",$F22="Yes",$G22="Yes",$H22="Yes",$I22="Yes",$J22="Yes",$K22="Yes",$L22="Yes",$M22="No"),"Yes","No"))</f>
        <v/>
      </c>
      <c r="O22" s="17">
        <f>IF($B22="","",IF($N22="Yes","Eligible",TRIM(IF($E22&lt;&gt;"Yes","Academic; ","")&amp;IF($F22&lt;&gt;"Yes","Classroom; ","")&amp;IF($G22&lt;&gt;"Yes","PT sessions; ","")&amp;IF($H22&lt;&gt;"Yes","Skills; ","")&amp;IF($I22&lt;&gt;"Yes","Incidents; ","")&amp;IF($J22&lt;&gt;"Yes","Writing; ","")&amp;IF($K22&lt;&gt;"Yes","Makeup owed; ","")&amp;IF($L22&lt;&gt;"Yes","Final PT;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IF($B23="","",IF(AND($E23="Yes",$F23="Yes",$G23="Yes",$H23="Yes",$I23="Yes",$J23="Yes",$K23="Yes",$L23="Yes",$M23="No"),"Yes","No"))</f>
        <v/>
      </c>
      <c r="O23" s="17">
        <f>IF($B23="","",IF($N23="Yes","Eligible",TRIM(IF($E23&lt;&gt;"Yes","Academic; ","")&amp;IF($F23&lt;&gt;"Yes","Classroom; ","")&amp;IF($G23&lt;&gt;"Yes","PT sessions; ","")&amp;IF($H23&lt;&gt;"Yes","Skills; ","")&amp;IF($I23&lt;&gt;"Yes","Incidents; ","")&amp;IF($J23&lt;&gt;"Yes","Writing; ","")&amp;IF($K23&lt;&gt;"Yes","Makeup owed; ","")&amp;IF($L23&lt;&gt;"Yes","Final PT;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IF($B24="","",IF(AND($E24="Yes",$F24="Yes",$G24="Yes",$H24="Yes",$I24="Yes",$J24="Yes",$K24="Yes",$L24="Yes",$M24="No"),"Yes","No"))</f>
        <v/>
      </c>
      <c r="O24" s="17">
        <f>IF($B24="","",IF($N24="Yes","Eligible",TRIM(IF($E24&lt;&gt;"Yes","Academic; ","")&amp;IF($F24&lt;&gt;"Yes","Classroom; ","")&amp;IF($G24&lt;&gt;"Yes","PT sessions; ","")&amp;IF($H24&lt;&gt;"Yes","Skills; ","")&amp;IF($I24&lt;&gt;"Yes","Incidents; ","")&amp;IF($J24&lt;&gt;"Yes","Writing; ","")&amp;IF($K24&lt;&gt;"Yes","Makeup owed; ","")&amp;IF($L24&lt;&gt;"Yes","Final PT;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IF($B25="","",IF(AND($E25="Yes",$F25="Yes",$G25="Yes",$H25="Yes",$I25="Yes",$J25="Yes",$K25="Yes",$L25="Yes",$M25="No"),"Yes","No"))</f>
        <v/>
      </c>
      <c r="O25" s="17">
        <f>IF($B25="","",IF($N25="Yes","Eligible",TRIM(IF($E25&lt;&gt;"Yes","Academic; ","")&amp;IF($F25&lt;&gt;"Yes","Classroom; ","")&amp;IF($G25&lt;&gt;"Yes","PT sessions; ","")&amp;IF($H25&lt;&gt;"Yes","Skills; ","")&amp;IF($I25&lt;&gt;"Yes","Incidents; ","")&amp;IF($J25&lt;&gt;"Yes","Writing; ","")&amp;IF($K25&lt;&gt;"Yes","Makeup owed; ","")&amp;IF($L25&lt;&gt;"Yes","Final PT;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IF($B26="","",IF(AND($E26="Yes",$F26="Yes",$G26="Yes",$H26="Yes",$I26="Yes",$J26="Yes",$K26="Yes",$L26="Yes",$M26="No"),"Yes","No"))</f>
        <v/>
      </c>
      <c r="O26" s="17">
        <f>IF($B26="","",IF($N26="Yes","Eligible",TRIM(IF($E26&lt;&gt;"Yes","Academic; ","")&amp;IF($F26&lt;&gt;"Yes","Classroom; ","")&amp;IF($G26&lt;&gt;"Yes","PT sessions; ","")&amp;IF($H26&lt;&gt;"Yes","Skills; ","")&amp;IF($I26&lt;&gt;"Yes","Incidents; ","")&amp;IF($J26&lt;&gt;"Yes","Writing; ","")&amp;IF($K26&lt;&gt;"Yes","Makeup owed; ","")&amp;IF($L26&lt;&gt;"Yes","Final PT;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IF($B27="","",IF(AND($E27="Yes",$F27="Yes",$G27="Yes",$H27="Yes",$I27="Yes",$J27="Yes",$K27="Yes",$L27="Yes",$M27="No"),"Yes","No"))</f>
        <v/>
      </c>
      <c r="O27" s="17">
        <f>IF($B27="","",IF($N27="Yes","Eligible",TRIM(IF($E27&lt;&gt;"Yes","Academic; ","")&amp;IF($F27&lt;&gt;"Yes","Classroom; ","")&amp;IF($G27&lt;&gt;"Yes","PT sessions; ","")&amp;IF($H27&lt;&gt;"Yes","Skills; ","")&amp;IF($I27&lt;&gt;"Yes","Incidents; ","")&amp;IF($J27&lt;&gt;"Yes","Writing; ","")&amp;IF($K27&lt;&gt;"Yes","Makeup owed; ","")&amp;IF($L27&lt;&gt;"Yes","Final PT;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IF($B28="","",IF(AND($E28="Yes",$F28="Yes",$G28="Yes",$H28="Yes",$I28="Yes",$J28="Yes",$K28="Yes",$L28="Yes",$M28="No"),"Yes","No"))</f>
        <v/>
      </c>
      <c r="O28" s="17">
        <f>IF($B28="","",IF($N28="Yes","Eligible",TRIM(IF($E28&lt;&gt;"Yes","Academic; ","")&amp;IF($F28&lt;&gt;"Yes","Classroom; ","")&amp;IF($G28&lt;&gt;"Yes","PT sessions; ","")&amp;IF($H28&lt;&gt;"Yes","Skills; ","")&amp;IF($I28&lt;&gt;"Yes","Incidents; ","")&amp;IF($J28&lt;&gt;"Yes","Writing; ","")&amp;IF($K28&lt;&gt;"Yes","Makeup owed; ","")&amp;IF($L28&lt;&gt;"Yes","Final PT;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IF($B29="","",IF(AND($E29="Yes",$F29="Yes",$G29="Yes",$H29="Yes",$I29="Yes",$J29="Yes",$K29="Yes",$L29="Yes",$M29="No"),"Yes","No"))</f>
        <v/>
      </c>
      <c r="O29" s="17">
        <f>IF($B29="","",IF($N29="Yes","Eligible",TRIM(IF($E29&lt;&gt;"Yes","Academic; ","")&amp;IF($F29&lt;&gt;"Yes","Classroom; ","")&amp;IF($G29&lt;&gt;"Yes","PT sessions; ","")&amp;IF($H29&lt;&gt;"Yes","Skills; ","")&amp;IF($I29&lt;&gt;"Yes","Incidents; ","")&amp;IF($J29&lt;&gt;"Yes","Writing; ","")&amp;IF($K29&lt;&gt;"Yes","Makeup owed; ","")&amp;IF($L29&lt;&gt;"Yes","Final PT;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IF($B30="","",IF(AND($E30="Yes",$F30="Yes",$G30="Yes",$H30="Yes",$I30="Yes",$J30="Yes",$K30="Yes",$L30="Yes",$M30="No"),"Yes","No"))</f>
        <v/>
      </c>
      <c r="O30" s="17">
        <f>IF($B30="","",IF($N30="Yes","Eligible",TRIM(IF($E30&lt;&gt;"Yes","Academic; ","")&amp;IF($F30&lt;&gt;"Yes","Classroom; ","")&amp;IF($G30&lt;&gt;"Yes","PT sessions; ","")&amp;IF($H30&lt;&gt;"Yes","Skills; ","")&amp;IF($I30&lt;&gt;"Yes","Incidents; ","")&amp;IF($J30&lt;&gt;"Yes","Writing; ","")&amp;IF($K30&lt;&gt;"Yes","Makeup owed; ","")&amp;IF($L30&lt;&gt;"Yes","Final PT;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IF($B31="","",IF(AND($E31="Yes",$F31="Yes",$G31="Yes",$H31="Yes",$I31="Yes",$J31="Yes",$K31="Yes",$L31="Yes",$M31="No"),"Yes","No"))</f>
        <v/>
      </c>
      <c r="O31" s="17">
        <f>IF($B31="","",IF($N31="Yes","Eligible",TRIM(IF($E31&lt;&gt;"Yes","Academic; ","")&amp;IF($F31&lt;&gt;"Yes","Classroom; ","")&amp;IF($G31&lt;&gt;"Yes","PT sessions; ","")&amp;IF($H31&lt;&gt;"Yes","Skills; ","")&amp;IF($I31&lt;&gt;"Yes","Incidents; ","")&amp;IF($J31&lt;&gt;"Yes","Writing; ","")&amp;IF($K31&lt;&gt;"Yes","Makeup owed; ","")&amp;IF($L31&lt;&gt;"Yes","Final PT;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IF($B32="","",IF(AND($E32="Yes",$F32="Yes",$G32="Yes",$H32="Yes",$I32="Yes",$J32="Yes",$K32="Yes",$L32="Yes",$M32="No"),"Yes","No"))</f>
        <v/>
      </c>
      <c r="O32" s="17">
        <f>IF($B32="","",IF($N32="Yes","Eligible",TRIM(IF($E32&lt;&gt;"Yes","Academic; ","")&amp;IF($F32&lt;&gt;"Yes","Classroom; ","")&amp;IF($G32&lt;&gt;"Yes","PT sessions; ","")&amp;IF($H32&lt;&gt;"Yes","Skills; ","")&amp;IF($I32&lt;&gt;"Yes","Incidents; ","")&amp;IF($J32&lt;&gt;"Yes","Writing; ","")&amp;IF($K32&lt;&gt;"Yes","Makeup owed; ","")&amp;IF($L32&lt;&gt;"Yes","Final PT;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IF($B33="","",IF(AND($E33="Yes",$F33="Yes",$G33="Yes",$H33="Yes",$I33="Yes",$J33="Yes",$K33="Yes",$L33="Yes",$M33="No"),"Yes","No"))</f>
        <v/>
      </c>
      <c r="O33" s="17">
        <f>IF($B33="","",IF($N33="Yes","Eligible",TRIM(IF($E33&lt;&gt;"Yes","Academic; ","")&amp;IF($F33&lt;&gt;"Yes","Classroom; ","")&amp;IF($G33&lt;&gt;"Yes","PT sessions; ","")&amp;IF($H33&lt;&gt;"Yes","Skills; ","")&amp;IF($I33&lt;&gt;"Yes","Incidents; ","")&amp;IF($J33&lt;&gt;"Yes","Writing; ","")&amp;IF($K33&lt;&gt;"Yes","Makeup owed; ","")&amp;IF($L33&lt;&gt;"Yes","Final PT;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IF($B34="","",IF(AND($E34="Yes",$F34="Yes",$G34="Yes",$H34="Yes",$I34="Yes",$J34="Yes",$K34="Yes",$L34="Yes",$M34="No"),"Yes","No"))</f>
        <v/>
      </c>
      <c r="O34" s="17">
        <f>IF($B34="","",IF($N34="Yes","Eligible",TRIM(IF($E34&lt;&gt;"Yes","Academic; ","")&amp;IF($F34&lt;&gt;"Yes","Classroom; ","")&amp;IF($G34&lt;&gt;"Yes","PT sessions; ","")&amp;IF($H34&lt;&gt;"Yes","Skills; ","")&amp;IF($I34&lt;&gt;"Yes","Incidents; ","")&amp;IF($J34&lt;&gt;"Yes","Writing; ","")&amp;IF($K34&lt;&gt;"Yes","Makeup owed; ","")&amp;IF($L34&lt;&gt;"Yes","Final PT;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IF($B35="","",IF(AND($E35="Yes",$F35="Yes",$G35="Yes",$H35="Yes",$I35="Yes",$J35="Yes",$K35="Yes",$L35="Yes",$M35="No"),"Yes","No"))</f>
        <v/>
      </c>
      <c r="O35" s="17">
        <f>IF($B35="","",IF($N35="Yes","Eligible",TRIM(IF($E35&lt;&gt;"Yes","Academic; ","")&amp;IF($F35&lt;&gt;"Yes","Classroom; ","")&amp;IF($G35&lt;&gt;"Yes","PT sessions; ","")&amp;IF($H35&lt;&gt;"Yes","Skills; ","")&amp;IF($I35&lt;&gt;"Yes","Incidents; ","")&amp;IF($J35&lt;&gt;"Yes","Writing; ","")&amp;IF($K35&lt;&gt;"Yes","Makeup owed; ","")&amp;IF($L35&lt;&gt;"Yes","Final PT;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IF($B36="","",IF(AND($E36="Yes",$F36="Yes",$G36="Yes",$H36="Yes",$I36="Yes",$J36="Yes",$K36="Yes",$L36="Yes",$M36="No"),"Yes","No"))</f>
        <v/>
      </c>
      <c r="O36" s="17">
        <f>IF($B36="","",IF($N36="Yes","Eligible",TRIM(IF($E36&lt;&gt;"Yes","Academic; ","")&amp;IF($F36&lt;&gt;"Yes","Classroom; ","")&amp;IF($G36&lt;&gt;"Yes","PT sessions; ","")&amp;IF($H36&lt;&gt;"Yes","Skills; ","")&amp;IF($I36&lt;&gt;"Yes","Incidents; ","")&amp;IF($J36&lt;&gt;"Yes","Writing; ","")&amp;IF($K36&lt;&gt;"Yes","Makeup owed; ","")&amp;IF($L36&lt;&gt;"Yes","Final PT;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IF($B37="","",IF(AND($E37="Yes",$F37="Yes",$G37="Yes",$H37="Yes",$I37="Yes",$J37="Yes",$K37="Yes",$L37="Yes",$M37="No"),"Yes","No"))</f>
        <v/>
      </c>
      <c r="O37" s="17">
        <f>IF($B37="","",IF($N37="Yes","Eligible",TRIM(IF($E37&lt;&gt;"Yes","Academic; ","")&amp;IF($F37&lt;&gt;"Yes","Classroom; ","")&amp;IF($G37&lt;&gt;"Yes","PT sessions; ","")&amp;IF($H37&lt;&gt;"Yes","Skills; ","")&amp;IF($I37&lt;&gt;"Yes","Incidents; ","")&amp;IF($J37&lt;&gt;"Yes","Writing; ","")&amp;IF($K37&lt;&gt;"Yes","Makeup owed; ","")&amp;IF($L37&lt;&gt;"Yes","Final PT;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IF($B38="","",IF(AND($E38="Yes",$F38="Yes",$G38="Yes",$H38="Yes",$I38="Yes",$J38="Yes",$K38="Yes",$L38="Yes",$M38="No"),"Yes","No"))</f>
        <v/>
      </c>
      <c r="O38" s="17">
        <f>IF($B38="","",IF($N38="Yes","Eligible",TRIM(IF($E38&lt;&gt;"Yes","Academic; ","")&amp;IF($F38&lt;&gt;"Yes","Classroom; ","")&amp;IF($G38&lt;&gt;"Yes","PT sessions; ","")&amp;IF($H38&lt;&gt;"Yes","Skills; ","")&amp;IF($I38&lt;&gt;"Yes","Incidents; ","")&amp;IF($J38&lt;&gt;"Yes","Writing; ","")&amp;IF($K38&lt;&gt;"Yes","Makeup owed; ","")&amp;IF($L38&lt;&gt;"Yes","Final PT;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IF($B39="","",IF(AND($E39="Yes",$F39="Yes",$G39="Yes",$H39="Yes",$I39="Yes",$J39="Yes",$K39="Yes",$L39="Yes",$M39="No"),"Yes","No"))</f>
        <v/>
      </c>
      <c r="O39" s="17">
        <f>IF($B39="","",IF($N39="Yes","Eligible",TRIM(IF($E39&lt;&gt;"Yes","Academic; ","")&amp;IF($F39&lt;&gt;"Yes","Classroom; ","")&amp;IF($G39&lt;&gt;"Yes","PT sessions; ","")&amp;IF($H39&lt;&gt;"Yes","Skills; ","")&amp;IF($I39&lt;&gt;"Yes","Incidents; ","")&amp;IF($J39&lt;&gt;"Yes","Writing; ","")&amp;IF($K39&lt;&gt;"Yes","Makeup owed; ","")&amp;IF($L39&lt;&gt;"Yes","Final PT;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IF($B40="","",IF(AND($E40="Yes",$F40="Yes",$G40="Yes",$H40="Yes",$I40="Yes",$J40="Yes",$K40="Yes",$L40="Yes",$M40="No"),"Yes","No"))</f>
        <v/>
      </c>
      <c r="O40" s="17">
        <f>IF($B40="","",IF($N40="Yes","Eligible",TRIM(IF($E40&lt;&gt;"Yes","Academic; ","")&amp;IF($F40&lt;&gt;"Yes","Classroom; ","")&amp;IF($G40&lt;&gt;"Yes","PT sessions; ","")&amp;IF($H40&lt;&gt;"Yes","Skills; ","")&amp;IF($I40&lt;&gt;"Yes","Incidents; ","")&amp;IF($J40&lt;&gt;"Yes","Writing; ","")&amp;IF($K40&lt;&gt;"Yes","Makeup owed; ","")&amp;IF($L40&lt;&gt;"Yes","Final PT;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IF($B41="","",IF(AND($E41="Yes",$F41="Yes",$G41="Yes",$H41="Yes",$I41="Yes",$J41="Yes",$K41="Yes",$L41="Yes",$M41="No"),"Yes","No"))</f>
        <v/>
      </c>
      <c r="O41" s="17">
        <f>IF($B41="","",IF($N41="Yes","Eligible",TRIM(IF($E41&lt;&gt;"Yes","Academic; ","")&amp;IF($F41&lt;&gt;"Yes","Classroom; ","")&amp;IF($G41&lt;&gt;"Yes","PT sessions; ","")&amp;IF($H41&lt;&gt;"Yes","Skills; ","")&amp;IF($I41&lt;&gt;"Yes","Incidents; ","")&amp;IF($J41&lt;&gt;"Yes","Writing; ","")&amp;IF($K41&lt;&gt;"Yes","Makeup owed; ","")&amp;IF($L41&lt;&gt;"Yes","Final PT;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IF($B42="","",IF(AND($E42="Yes",$F42="Yes",$G42="Yes",$H42="Yes",$I42="Yes",$J42="Yes",$K42="Yes",$L42="Yes",$M42="No"),"Yes","No"))</f>
        <v/>
      </c>
      <c r="O42" s="17">
        <f>IF($B42="","",IF($N42="Yes","Eligible",TRIM(IF($E42&lt;&gt;"Yes","Academic; ","")&amp;IF($F42&lt;&gt;"Yes","Classroom; ","")&amp;IF($G42&lt;&gt;"Yes","PT sessions; ","")&amp;IF($H42&lt;&gt;"Yes","Skills; ","")&amp;IF($I42&lt;&gt;"Yes","Incidents; ","")&amp;IF($J42&lt;&gt;"Yes","Writing; ","")&amp;IF($K42&lt;&gt;"Yes","Makeup owed; ","")&amp;IF($L42&lt;&gt;"Yes","Final PT;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IF($B43="","",IF(AND($E43="Yes",$F43="Yes",$G43="Yes",$H43="Yes",$I43="Yes",$J43="Yes",$K43="Yes",$L43="Yes",$M43="No"),"Yes","No"))</f>
        <v/>
      </c>
      <c r="O43" s="17">
        <f>IF($B43="","",IF($N43="Yes","Eligible",TRIM(IF($E43&lt;&gt;"Yes","Academic; ","")&amp;IF($F43&lt;&gt;"Yes","Classroom; ","")&amp;IF($G43&lt;&gt;"Yes","PT sessions; ","")&amp;IF($H43&lt;&gt;"Yes","Skills; ","")&amp;IF($I43&lt;&gt;"Yes","Incidents; ","")&amp;IF($J43&lt;&gt;"Yes","Writing; ","")&amp;IF($K43&lt;&gt;"Yes","Makeup owed; ","")&amp;IF($L43&lt;&gt;"Yes","Final PT;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IF($B44="","",IF(AND($E44="Yes",$F44="Yes",$G44="Yes",$H44="Yes",$I44="Yes",$J44="Yes",$K44="Yes",$L44="Yes",$M44="No"),"Yes","No"))</f>
        <v/>
      </c>
      <c r="O44" s="17">
        <f>IF($B44="","",IF($N44="Yes","Eligible",TRIM(IF($E44&lt;&gt;"Yes","Academic; ","")&amp;IF($F44&lt;&gt;"Yes","Classroom; ","")&amp;IF($G44&lt;&gt;"Yes","PT sessions; ","")&amp;IF($H44&lt;&gt;"Yes","Skills; ","")&amp;IF($I44&lt;&gt;"Yes","Incidents; ","")&amp;IF($J44&lt;&gt;"Yes","Writing; ","")&amp;IF($K44&lt;&gt;"Yes","Makeup owed; ","")&amp;IF($L44&lt;&gt;"Yes","Final PT;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IF($B45="","",IF(AND($E45="Yes",$F45="Yes",$G45="Yes",$H45="Yes",$I45="Yes",$J45="Yes",$K45="Yes",$L45="Yes",$M45="No"),"Yes","No"))</f>
        <v/>
      </c>
      <c r="O45" s="17">
        <f>IF($B45="","",IF($N45="Yes","Eligible",TRIM(IF($E45&lt;&gt;"Yes","Academic; ","")&amp;IF($F45&lt;&gt;"Yes","Classroom; ","")&amp;IF($G45&lt;&gt;"Yes","PT sessions; ","")&amp;IF($H45&lt;&gt;"Yes","Skills; ","")&amp;IF($I45&lt;&gt;"Yes","Incidents; ","")&amp;IF($J45&lt;&gt;"Yes","Writing; ","")&amp;IF($K45&lt;&gt;"Yes","Makeup owed; ","")&amp;IF($L45&lt;&gt;"Yes","Final PT;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IF($B46="","",IF(AND($E46="Yes",$F46="Yes",$G46="Yes",$H46="Yes",$I46="Yes",$J46="Yes",$K46="Yes",$L46="Yes",$M46="No"),"Yes","No"))</f>
        <v/>
      </c>
      <c r="O46" s="17">
        <f>IF($B46="","",IF($N46="Yes","Eligible",TRIM(IF($E46&lt;&gt;"Yes","Academic; ","")&amp;IF($F46&lt;&gt;"Yes","Classroom; ","")&amp;IF($G46&lt;&gt;"Yes","PT sessions; ","")&amp;IF($H46&lt;&gt;"Yes","Skills; ","")&amp;IF($I46&lt;&gt;"Yes","Incidents; ","")&amp;IF($J46&lt;&gt;"Yes","Writing; ","")&amp;IF($K46&lt;&gt;"Yes","Makeup owed; ","")&amp;IF($L46&lt;&gt;"Yes","Final PT;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IF($B47="","",IF(AND($E47="Yes",$F47="Yes",$G47="Yes",$H47="Yes",$I47="Yes",$J47="Yes",$K47="Yes",$L47="Yes",$M47="No"),"Yes","No"))</f>
        <v/>
      </c>
      <c r="O47" s="17">
        <f>IF($B47="","",IF($N47="Yes","Eligible",TRIM(IF($E47&lt;&gt;"Yes","Academic; ","")&amp;IF($F47&lt;&gt;"Yes","Classroom; ","")&amp;IF($G47&lt;&gt;"Yes","PT sessions; ","")&amp;IF($H47&lt;&gt;"Yes","Skills; ","")&amp;IF($I47&lt;&gt;"Yes","Incidents; ","")&amp;IF($J47&lt;&gt;"Yes","Writing; ","")&amp;IF($K47&lt;&gt;"Yes","Makeup owed; ","")&amp;IF($L47&lt;&gt;"Yes","Final PT;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IF($B48="","",IF(AND($E48="Yes",$F48="Yes",$G48="Yes",$H48="Yes",$I48="Yes",$J48="Yes",$K48="Yes",$L48="Yes",$M48="No"),"Yes","No"))</f>
        <v/>
      </c>
      <c r="O48" s="17">
        <f>IF($B48="","",IF($N48="Yes","Eligible",TRIM(IF($E48&lt;&gt;"Yes","Academic; ","")&amp;IF($F48&lt;&gt;"Yes","Classroom; ","")&amp;IF($G48&lt;&gt;"Yes","PT sessions; ","")&amp;IF($H48&lt;&gt;"Yes","Skills; ","")&amp;IF($I48&lt;&gt;"Yes","Incidents; ","")&amp;IF($J48&lt;&gt;"Yes","Writing; ","")&amp;IF($K48&lt;&gt;"Yes","Makeup owed; ","")&amp;IF($L48&lt;&gt;"Yes","Final PT;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IF($B49="","",IF(AND($E49="Yes",$F49="Yes",$G49="Yes",$H49="Yes",$I49="Yes",$J49="Yes",$K49="Yes",$L49="Yes",$M49="No"),"Yes","No"))</f>
        <v/>
      </c>
      <c r="O49" s="17">
        <f>IF($B49="","",IF($N49="Yes","Eligible",TRIM(IF($E49&lt;&gt;"Yes","Academic; ","")&amp;IF($F49&lt;&gt;"Yes","Classroom; ","")&amp;IF($G49&lt;&gt;"Yes","PT sessions; ","")&amp;IF($H49&lt;&gt;"Yes","Skills; ","")&amp;IF($I49&lt;&gt;"Yes","Incidents; ","")&amp;IF($J49&lt;&gt;"Yes","Writing; ","")&amp;IF($K49&lt;&gt;"Yes","Makeup owed; ","")&amp;IF($L49&lt;&gt;"Yes","Final PT;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IF($B50="","",IF(AND($E50="Yes",$F50="Yes",$G50="Yes",$H50="Yes",$I50="Yes",$J50="Yes",$K50="Yes",$L50="Yes",$M50="No"),"Yes","No"))</f>
        <v/>
      </c>
      <c r="O50" s="17">
        <f>IF($B50="","",IF($N50="Yes","Eligible",TRIM(IF($E50&lt;&gt;"Yes","Academic; ","")&amp;IF($F50&lt;&gt;"Yes","Classroom; ","")&amp;IF($G50&lt;&gt;"Yes","PT sessions; ","")&amp;IF($H50&lt;&gt;"Yes","Skills; ","")&amp;IF($I50&lt;&gt;"Yes","Incidents; ","")&amp;IF($J50&lt;&gt;"Yes","Writing; ","")&amp;IF($K50&lt;&gt;"Yes","Makeup owed; ","")&amp;IF($L50&lt;&gt;"Yes","Final PT;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IF($B51="","",IF(AND($E51="Yes",$F51="Yes",$G51="Yes",$H51="Yes",$I51="Yes",$J51="Yes",$K51="Yes",$L51="Yes",$M51="No"),"Yes","No"))</f>
        <v/>
      </c>
      <c r="O51" s="17">
        <f>IF($B51="","",IF($N51="Yes","Eligible",TRIM(IF($E51&lt;&gt;"Yes","Academic; ","")&amp;IF($F51&lt;&gt;"Yes","Classroom; ","")&amp;IF($G51&lt;&gt;"Yes","PT sessions; ","")&amp;IF($H51&lt;&gt;"Yes","Skills; ","")&amp;IF($I51&lt;&gt;"Yes","Incidents; ","")&amp;IF($J51&lt;&gt;"Yes","Writing; ","")&amp;IF($K51&lt;&gt;"Yes","Makeup owed; ","")&amp;IF($L51&lt;&gt;"Yes","Final PT;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IF($B52="","",IF(AND($E52="Yes",$F52="Yes",$G52="Yes",$H52="Yes",$I52="Yes",$J52="Yes",$K52="Yes",$L52="Yes",$M52="No"),"Yes","No"))</f>
        <v/>
      </c>
      <c r="O52" s="17">
        <f>IF($B52="","",IF($N52="Yes","Eligible",TRIM(IF($E52&lt;&gt;"Yes","Academic; ","")&amp;IF($F52&lt;&gt;"Yes","Classroom; ","")&amp;IF($G52&lt;&gt;"Yes","PT sessions; ","")&amp;IF($H52&lt;&gt;"Yes","Skills; ","")&amp;IF($I52&lt;&gt;"Yes","Incidents; ","")&amp;IF($J52&lt;&gt;"Yes","Writing; ","")&amp;IF($K52&lt;&gt;"Yes","Makeup owed; ","")&amp;IF($L52&lt;&gt;"Yes","Final PT;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IF($B53="","",IF(AND($E53="Yes",$F53="Yes",$G53="Yes",$H53="Yes",$I53="Yes",$J53="Yes",$K53="Yes",$L53="Yes",$M53="No"),"Yes","No"))</f>
        <v/>
      </c>
      <c r="O53" s="17">
        <f>IF($B53="","",IF($N53="Yes","Eligible",TRIM(IF($E53&lt;&gt;"Yes","Academic; ","")&amp;IF($F53&lt;&gt;"Yes","Classroom; ","")&amp;IF($G53&lt;&gt;"Yes","PT sessions; ","")&amp;IF($H53&lt;&gt;"Yes","Skills; ","")&amp;IF($I53&lt;&gt;"Yes","Incidents; ","")&amp;IF($J53&lt;&gt;"Yes","Writing; ","")&amp;IF($K53&lt;&gt;"Yes","Makeup owed; ","")&amp;IF($L53&lt;&gt;"Yes","Final PT;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IF($B54="","",IF(AND($E54="Yes",$F54="Yes",$G54="Yes",$H54="Yes",$I54="Yes",$J54="Yes",$K54="Yes",$L54="Yes",$M54="No"),"Yes","No"))</f>
        <v/>
      </c>
      <c r="O54" s="17">
        <f>IF($B54="","",IF($N54="Yes","Eligible",TRIM(IF($E54&lt;&gt;"Yes","Academic; ","")&amp;IF($F54&lt;&gt;"Yes","Classroom; ","")&amp;IF($G54&lt;&gt;"Yes","PT sessions; ","")&amp;IF($H54&lt;&gt;"Yes","Skills; ","")&amp;IF($I54&lt;&gt;"Yes","Incidents; ","")&amp;IF($J54&lt;&gt;"Yes","Writing; ","")&amp;IF($K54&lt;&gt;"Yes","Makeup owed; ","")&amp;IF($L54&lt;&gt;"Yes","Final PT;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IF($B55="","",IF(AND($E55="Yes",$F55="Yes",$G55="Yes",$H55="Yes",$I55="Yes",$J55="Yes",$K55="Yes",$L55="Yes",$M55="No"),"Yes","No"))</f>
        <v/>
      </c>
      <c r="O55" s="17">
        <f>IF($B55="","",IF($N55="Yes","Eligible",TRIM(IF($E55&lt;&gt;"Yes","Academic; ","")&amp;IF($F55&lt;&gt;"Yes","Classroom; ","")&amp;IF($G55&lt;&gt;"Yes","PT sessions; ","")&amp;IF($H55&lt;&gt;"Yes","Skills; ","")&amp;IF($I55&lt;&gt;"Yes","Incidents; ","")&amp;IF($J55&lt;&gt;"Yes","Writing; ","")&amp;IF($K55&lt;&gt;"Yes","Makeup owed; ","")&amp;IF($L55&lt;&gt;"Yes","Final PT;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1">
        <f>IF($E6&lt;&gt;"",$E6,$C6)</f>
        <v/>
      </c>
      <c r="G6" s="16" t="n"/>
    </row>
    <row r="7" ht="30" customHeight="1">
      <c r="B7" s="3" t="inlineStr">
        <is>
          <t>Physical Fitness</t>
        </is>
      </c>
      <c r="C7" s="17">
        <f>IFERROR(INDEX(rngCadetNames,MATCH(MAX(nrPT_FinalPts),nrPT_FinalPts,0)),"")</f>
        <v/>
      </c>
      <c r="D7" s="15">
        <f>"Top final PT points: "&amp;IFERROR(MAX(nrPT_FinalPts),"n/a")</f>
        <v/>
      </c>
      <c r="E7" s="16" t="n"/>
      <c r="F7" s="31">
        <f>IF($E7&lt;&gt;"",$E7,$C7)</f>
        <v/>
      </c>
      <c r="G7" s="16" t="n"/>
    </row>
    <row r="8" ht="30" customHeight="1">
      <c r="B8" s="3" t="inlineStr">
        <is>
          <t>Top Gun</t>
        </is>
      </c>
      <c r="C8" s="17">
        <f>IFERROR(INDEX(rngCadetNames,MATCH(MAX(nrSKfirearmsAvg),nrSKfirearmsAvg,0)),"")</f>
        <v/>
      </c>
      <c r="D8" s="15">
        <f>"Top firearms average: "&amp;IFERROR(ROUND(MAX(nrSKfirearmsAvg),2),"n/a")</f>
        <v/>
      </c>
      <c r="E8" s="16" t="n"/>
      <c r="F8" s="31">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1">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2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30">
        <f>nrCHtotalDelivered</f>
        <v/>
      </c>
      <c r="D6" s="20">
        <f>cfgRequiredHours</f>
        <v/>
      </c>
      <c r="E6" s="31">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30">
        <f>SUMPRODUCT((nrCHdeliv&lt;&gt;"")*(nrCHdeliv&gt;0)*(nrCHdeliv&lt;nrCHmin))</f>
        <v/>
      </c>
      <c r="D7" s="20" t="n">
        <v>0</v>
      </c>
      <c r="E7" s="31">
        <f>IF(SUMPRODUCT((nrCHdeliv&lt;&gt;"")*(nrCHdeliv&gt;0)*(nrCHdeliv&lt;nrCHmin))=0,"OK","CHECK")</f>
        <v/>
      </c>
      <c r="F7" s="15">
        <f>"Rule 218.1(C)(4): failure to meet minimum course length = denial of training"</f>
        <v/>
      </c>
    </row>
    <row r="8">
      <c r="B8" s="3" t="inlineStr">
        <is>
          <t>Chapter training files incomplete</t>
        </is>
      </c>
      <c r="C8" s="30">
        <f>SUMPRODUCT((nrCHname&lt;&gt;"")*(nrCHfileOK="No"))</f>
        <v/>
      </c>
      <c r="D8" s="20" t="n">
        <v>0</v>
      </c>
      <c r="E8" s="31">
        <f>IF(SUMPRODUCT((nrCHname&lt;&gt;"")*(nrCHfileOK="No"))=0,"OK","CHECK")</f>
        <v/>
      </c>
      <c r="F8" s="15">
        <f>"SME lesson plan, instructor bio, sign-ins w/ PID, assessment, grade sheet, eval"</f>
        <v/>
      </c>
    </row>
    <row r="9">
      <c r="B9" s="3" t="inlineStr">
        <is>
          <t>Special TCOLE chapter requirements unmet</t>
        </is>
      </c>
      <c r="C9" s="30">
        <f>SUMPRODUCT((nrCHspecial&lt;&gt;"")*(nrCHspecialMet&lt;&gt;"Yes")*(nrCHspecialMet&lt;&gt;"N/A"))</f>
        <v/>
      </c>
      <c r="D9" s="20" t="n">
        <v>0</v>
      </c>
      <c r="E9" s="31">
        <f>IF(SUMPRODUCT((nrCHspecial&lt;&gt;"")*(nrCHspecialMet&lt;&gt;"Yes")*(nrCHspecialMet&lt;&gt;"N/A"))=0,"OK","CHECK")</f>
        <v/>
      </c>
      <c r="F9" s="15">
        <f>"TIM, SFST, ALERRT, CPR/AED, TCIC #4800, Crime Stoppers, Seven Step, canine scenarios, CIT lead, SIT 3232"</f>
        <v/>
      </c>
    </row>
    <row r="10">
      <c r="B10" s="3" t="inlineStr">
        <is>
          <t>Chapters without evals collected</t>
        </is>
      </c>
      <c r="C10" s="30">
        <f>SUMPRODUCT((nrCHname&lt;&gt;"")*(nrCHevals&lt;&gt;"On File")*(nrCHevals&lt;&gt;"N/A"))</f>
        <v/>
      </c>
      <c r="D10" s="20" t="n">
        <v>0</v>
      </c>
      <c r="E10" s="31">
        <f>IF(SUMPRODUCT((nrCHname&lt;&gt;"")*(nrCHevals&lt;&gt;"On File")*(nrCHevals&lt;&gt;"N/A"))=0,"OK","CHECK")</f>
        <v/>
      </c>
      <c r="F10" s="15">
        <f>"Course critiques per chapter (print from Print Center)"</f>
        <v/>
      </c>
    </row>
    <row r="11">
      <c r="B11" s="3" t="inlineStr">
        <is>
          <t>Program requirements unchecked (Audit sheet)</t>
        </is>
      </c>
      <c r="C11" s="30">
        <f>SUMPRODUCT((nrPRGitems&lt;&gt;"")*(nrPRGmet&lt;&gt;"Yes"))</f>
        <v/>
      </c>
      <c r="D11" s="20" t="n">
        <v>0</v>
      </c>
      <c r="E11" s="31">
        <f>IF(SUMPRODUCT((nrPRGitems&lt;&gt;"")*(nrPRGmet&lt;&gt;"Yes"))=0,"OK","CHECK")</f>
        <v/>
      </c>
      <c r="F11" s="15">
        <f>"Rule 215.9 distribution, TCLEDDS roster, 736 exact reporting, facility, assessments"</f>
        <v/>
      </c>
    </row>
    <row r="12">
      <c r="B12" s="3" t="inlineStr">
        <is>
          <t>Teaching instructors lacking documentation</t>
        </is>
      </c>
      <c r="C12" s="30">
        <f>SUMPRODUCT((nrInstrOnSched="Yes")*(nrInstrReady="No"))</f>
        <v/>
      </c>
      <c r="D12" s="20" t="n">
        <v>0</v>
      </c>
      <c r="E12" s="31">
        <f>IF(SUMPRODUCT((nrInstrOnSched="Yes")*(nrInstrReady="No"))=0,"OK","CHECK")</f>
        <v/>
      </c>
      <c r="F12" s="15">
        <f>"IRG: every instructor/co-teacher teaching an LO needs bio + TCOLE cert or SME letter"</f>
        <v/>
      </c>
    </row>
    <row r="13">
      <c r="B13" s="3" t="inlineStr">
        <is>
          <t>Schedule blocks with unrecognized instructor</t>
        </is>
      </c>
      <c r="C13" s="30">
        <f>COUNTIF(nrSCH_InstrOK,"UNRECOGNIZED")</f>
        <v/>
      </c>
      <c r="D13" s="20" t="n">
        <v>0</v>
      </c>
      <c r="E13" s="31">
        <f>IF(COUNTIF(nrSCH_InstrOK,"UNRECOGNIZED")=0,"OK","CHECK")</f>
        <v/>
      </c>
      <c r="F13" s="15">
        <f>"Instructor text matches nobody on the Instructors roster - fix spelling or add them"</f>
        <v/>
      </c>
    </row>
    <row r="14">
      <c r="B14" s="3" t="inlineStr">
        <is>
          <t>Overdue retests</t>
        </is>
      </c>
      <c r="C14" s="30">
        <f>COUNTIF(nrES_RetStat,"OVERDUE")</f>
        <v/>
      </c>
      <c r="D14" s="20" t="n">
        <v>0</v>
      </c>
      <c r="E14" s="31">
        <f>IF(COUNTIF(nrES_RetStat,"OVERDUE")=0,"OK","ACT NOW")</f>
        <v/>
      </c>
      <c r="F14" s="15">
        <f>"Policy 300.5: retest within 5 class days"</f>
        <v/>
      </c>
    </row>
    <row r="15">
      <c r="B15" s="3" t="inlineStr">
        <is>
          <t>Cadets with makeup owed</t>
        </is>
      </c>
      <c r="C15" s="30">
        <f>SUMPRODUCT((nrATTmakeupOK="No")*1)</f>
        <v/>
      </c>
      <c r="D15" s="20" t="n">
        <v>0</v>
      </c>
      <c r="E15" s="31">
        <f>IF(SUMPRODUCT((nrATTmakeupOK="No")*1)=0,"OK","CHECK")</f>
        <v/>
      </c>
      <c r="F15" s="15">
        <f>"Missed minutes not yet made up"</f>
        <v/>
      </c>
    </row>
    <row r="16">
      <c r="B16" s="3" t="inlineStr">
        <is>
          <t>Active cadets failing a category</t>
        </is>
      </c>
      <c r="C16" s="30">
        <f>SUMPRODUCT((nrCadetStatus="Active")*(nrGRacademic="No"))</f>
        <v/>
      </c>
      <c r="D16" s="20" t="n">
        <v>0</v>
      </c>
      <c r="E16" s="31">
        <f>IF(SUMPRODUCT((nrCadetStatus="Active")*(nrGRacademic="No"))=0,"OK","CHECK")</f>
        <v/>
      </c>
      <c r="F16" s="15">
        <f>"70 in each category (policy 300.2)"</f>
        <v/>
      </c>
    </row>
    <row r="17">
      <c r="B17" s="3" t="inlineStr">
        <is>
          <t>Spelling interventions open</t>
        </is>
      </c>
      <c r="C17" s="30">
        <f>COUNTIF(nrSpellFlag,"INTERVENTION")</f>
        <v/>
      </c>
      <c r="D17" s="20" t="n">
        <v>0</v>
      </c>
      <c r="E17" s="31">
        <f>IF(COUNTIF(nrSpellFlag,"INTERVENTION")=0,"OK","CHECK")</f>
        <v/>
      </c>
      <c r="F17" s="15">
        <f>"Document intervention on Counseling log (300.4.B)"</f>
        <v/>
      </c>
    </row>
    <row r="18">
      <c r="B18" s="3" t="inlineStr">
        <is>
          <t>Cadets missing certification copies</t>
        </is>
      </c>
      <c r="C18" s="30">
        <f>SUMPRODUCT((nrCadetStatus="Active")*(nrCERTmissing&lt;&gt;""))</f>
        <v/>
      </c>
      <c r="D18" s="20" t="n">
        <v>0</v>
      </c>
      <c r="E18" s="31">
        <f>IF(SUMPRODUCT((nrCadetStatus="Active")*(nrCERTmissing&lt;&gt;""))=0,"OK","CHECK")</f>
        <v/>
      </c>
      <c r="F18" s="15">
        <f>"TIM, SFST, TCIC, CPR/AED, ALERRT, ICS copies - see Certifications sheet"</f>
        <v/>
      </c>
    </row>
    <row r="19">
      <c r="B19" s="3" t="inlineStr">
        <is>
          <t>Firearms: both courses of fire not passed</t>
        </is>
      </c>
      <c r="C19" s="30">
        <f>SUMPRODUCT((nrCadetStatus="Active")*(nrSKbothCoF="No"))</f>
        <v/>
      </c>
      <c r="D19" s="20" t="n">
        <v>0</v>
      </c>
      <c r="E19" s="31">
        <f>IF(SUMPRODUCT((nrCadetStatus="Active")*(nrSKbothCoF="No"))=0,"OK","CHECK")</f>
        <v/>
      </c>
      <c r="F19" s="15">
        <f>"IRG requires 70%+ on BOTH firearms courses of fire (ch 41)"</f>
        <v/>
      </c>
    </row>
    <row r="20">
      <c r="B20" s="3" t="inlineStr">
        <is>
          <t>Advisory board meetings on record</t>
        </is>
      </c>
      <c r="C20" s="30">
        <f>COUNT(nrAB_Date)</f>
        <v/>
      </c>
      <c r="D20" s="20">
        <f>&gt;0</f>
        <v/>
      </c>
      <c r="E20" s="31">
        <f>IF(COUNT(nrAB_Date)&gt;0,"OK","CHECK")</f>
        <v/>
      </c>
      <c r="F20" s="15">
        <f>"Log meetings + scanned minutes on the AdvisoryBoard sheet"</f>
        <v/>
      </c>
    </row>
    <row r="21">
      <c r="B21" s="3" t="inlineStr">
        <is>
          <t>Board minutes not yet scanned</t>
        </is>
      </c>
      <c r="C21" s="30">
        <f>SUMPRODUCT((nrAB_Date&lt;&gt;"")*(nrAB_Minutes&lt;&gt;"Yes"))</f>
        <v/>
      </c>
      <c r="D21" s="20" t="n">
        <v>0</v>
      </c>
      <c r="E21" s="31">
        <f>IF(SUMPRODUCT((nrAB_Date&lt;&gt;"")*(nrAB_Minutes&lt;&gt;"Yes"))=0,"OK","CHECK")</f>
        <v/>
      </c>
      <c r="F21" s="15">
        <f>"Every logged meeting needs its minutes in the evidence library"</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21">
    <cfRule type="expression" priority="1" dxfId="1">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IFERROR(_xlfn.TOCOL(_xlfn.VSTACK(Incidents!$B$6:$B$405,Attendance!$B$6:$B$805,Counseling!$B$6:$B$405),1),"")</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81"/>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cfgAttendanceAdvisoryPct</t>
        </is>
      </c>
      <c r="C7" s="2" t="inlineStr">
        <is>
          <t>'Settings'!$C$23</t>
        </is>
      </c>
    </row>
    <row r="8">
      <c r="B8" s="14" t="inlineStr">
        <is>
          <t>cfgAttendanceCriticalPct</t>
        </is>
      </c>
      <c r="C8" s="2" t="inlineStr">
        <is>
          <t>'Settings'!$C$24</t>
        </is>
      </c>
    </row>
    <row r="9">
      <c r="B9" s="14" t="inlineStr">
        <is>
          <t>cfgClassroomCapMinutes</t>
        </is>
      </c>
      <c r="C9" s="2" t="inlineStr">
        <is>
          <t>'Settings'!$C$36</t>
        </is>
      </c>
    </row>
    <row r="10">
      <c r="B10" s="14" t="inlineStr">
        <is>
          <t>cfgClassroomCapPct</t>
        </is>
      </c>
      <c r="C10" s="2" t="inlineStr">
        <is>
          <t>'Settings'!$C$21</t>
        </is>
      </c>
    </row>
    <row r="11">
      <c r="B11" s="14" t="inlineStr">
        <is>
          <t>cfgCurrentExamNum</t>
        </is>
      </c>
      <c r="C11" s="2" t="inlineStr">
        <is>
          <t>'Settings'!$C$26</t>
        </is>
      </c>
    </row>
    <row r="12">
      <c r="B12" s="14" t="inlineStr">
        <is>
          <t>cfgCurrentSpellingNum</t>
        </is>
      </c>
      <c r="C12" s="2" t="inlineStr">
        <is>
          <t>'Settings'!$C$27</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'Settings'!$C$33</t>
        </is>
      </c>
    </row>
    <row r="16">
      <c r="B16" s="14" t="inlineStr">
        <is>
          <t>cfgFlagCategoryMargin</t>
        </is>
      </c>
      <c r="C16" s="2" t="inlineStr">
        <is>
          <t>'Settings'!$C$32</t>
        </is>
      </c>
    </row>
    <row r="17">
      <c r="B17" s="14" t="inlineStr">
        <is>
          <t>cfgFlagConsecFails</t>
        </is>
      </c>
      <c r="C17" s="2" t="inlineStr">
        <is>
          <t>'Settings'!$C$30</t>
        </is>
      </c>
    </row>
    <row r="18">
      <c r="B18" s="14" t="inlineStr">
        <is>
          <t>cfgFlagGradeDrop</t>
        </is>
      </c>
      <c r="C18" s="2" t="inlineStr">
        <is>
          <t>'Settings'!$C$31</t>
        </is>
      </c>
    </row>
    <row r="19">
      <c r="B19" s="14" t="inlineStr">
        <is>
          <t>cfgFlagOpenIncidents</t>
        </is>
      </c>
      <c r="C19" s="2" t="inlineStr">
        <is>
          <t>'Settings'!$C$34</t>
        </is>
      </c>
    </row>
    <row r="20">
      <c r="B20" s="14" t="inlineStr">
        <is>
          <t>cfgFlagOverdueWriting</t>
        </is>
      </c>
      <c r="C20" s="2" t="inlineStr">
        <is>
          <t>'Settings'!$C$35</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'Settings'!$C$25</t>
        </is>
      </c>
    </row>
    <row r="24">
      <c r="B24" s="14" t="inlineStr">
        <is>
          <t>cfgMemoDueClassDays</t>
        </is>
      </c>
      <c r="C24" s="2" t="inlineStr">
        <is>
          <t>'Settings'!$C$15</t>
        </is>
      </c>
    </row>
    <row r="25">
      <c r="B25" s="14" t="inlineStr">
        <is>
          <t>cfgPTCapSessions</t>
        </is>
      </c>
      <c r="C25" s="2" t="inlineStr">
        <is>
          <t>'Settings'!$C$22</t>
        </is>
      </c>
    </row>
    <row r="26">
      <c r="B26" s="14" t="inlineStr">
        <is>
          <t>cfgPTFinalMinPoints</t>
        </is>
      </c>
      <c r="C26" s="2" t="inlineStr">
        <is>
          <t>'Settings'!$C$29</t>
        </is>
      </c>
    </row>
    <row r="27">
      <c r="B27" s="14" t="inlineStr">
        <is>
          <t>cfgPacketChapter</t>
        </is>
      </c>
      <c r="C27" s="2" t="inlineStr">
        <is>
          <t>'ChapterPacket'!$C$5</t>
        </is>
      </c>
    </row>
    <row r="28">
      <c r="B28" s="14" t="inlineStr">
        <is>
          <t>cfgPassingScore</t>
        </is>
      </c>
      <c r="C28" s="2" t="inlineStr">
        <is>
          <t>'Settings'!$C$10</t>
        </is>
      </c>
    </row>
    <row r="29">
      <c r="B29" s="14" t="inlineStr">
        <is>
          <t>cfgPreviewAgency</t>
        </is>
      </c>
      <c r="C29" s="2" t="inlineStr">
        <is>
          <t>'EmailPreview'!$C$5</t>
        </is>
      </c>
    </row>
    <row r="30">
      <c r="B30" s="14" t="inlineStr">
        <is>
          <t>cfgProfileCadet</t>
        </is>
      </c>
      <c r="C30" s="2" t="inlineStr">
        <is>
          <t>'CadetProfile'!$C$5</t>
        </is>
      </c>
    </row>
    <row r="31">
      <c r="B31" s="14" t="inlineStr">
        <is>
          <t>cfgRequiredHours</t>
        </is>
      </c>
      <c r="C31" s="2" t="inlineStr">
        <is>
          <t>'sysAudit'!$H$6</t>
        </is>
      </c>
    </row>
    <row r="32">
      <c r="B32" s="14" t="inlineStr">
        <is>
          <t>cfgRetakeRecordedCap</t>
        </is>
      </c>
      <c r="C32" s="2" t="inlineStr">
        <is>
          <t>'Settings'!$C$12</t>
        </is>
      </c>
    </row>
    <row r="33">
      <c r="B33" s="14" t="inlineStr">
        <is>
          <t>cfgRetestClassDays</t>
        </is>
      </c>
      <c r="C33" s="2" t="inlineStr">
        <is>
          <t>'Settings'!$C$14</t>
        </is>
      </c>
    </row>
    <row r="34">
      <c r="B34" s="14" t="inlineStr">
        <is>
          <t>cfgSignInDate</t>
        </is>
      </c>
      <c r="C34" s="2" t="inlineStr">
        <is>
          <t>'SignIn'!$C$5</t>
        </is>
      </c>
    </row>
    <row r="35">
      <c r="B35" s="14" t="inlineStr">
        <is>
          <t>cfgSpellInterventionAvg</t>
        </is>
      </c>
      <c r="C35" s="2" t="inlineStr">
        <is>
          <t>'Settings'!$C$20</t>
        </is>
      </c>
    </row>
    <row r="36">
      <c r="B36" s="14" t="inlineStr">
        <is>
          <t>cfgSpellPrintMode</t>
        </is>
      </c>
      <c r="C36" s="2" t="inlineStr">
        <is>
          <t>'SpellingPrint'!$E$5</t>
        </is>
      </c>
    </row>
    <row r="37">
      <c r="B37" s="14" t="inlineStr">
        <is>
          <t>cfgSpellPrintNum</t>
        </is>
      </c>
      <c r="C37" s="2" t="inlineStr">
        <is>
          <t>'SpellingPrint'!$C$5</t>
        </is>
      </c>
    </row>
    <row r="38">
      <c r="B38" s="14" t="inlineStr">
        <is>
          <t>cfgStartDate</t>
        </is>
      </c>
      <c r="C38" s="2" t="inlineStr">
        <is>
          <t>'Settings'!$C$7</t>
        </is>
      </c>
    </row>
    <row r="39">
      <c r="B39" s="14" t="inlineStr">
        <is>
          <t>cfgThresholdAfterExam</t>
        </is>
      </c>
      <c r="C39" s="2" t="inlineStr">
        <is>
          <t>'Settings'!$C$13</t>
        </is>
      </c>
    </row>
    <row r="40">
      <c r="B40" s="14" t="inlineStr">
        <is>
          <t>cfgThresholdScore</t>
        </is>
      </c>
      <c r="C40" s="2" t="inlineStr">
        <is>
          <t>'Settings'!$C$11</t>
        </is>
      </c>
    </row>
    <row r="41">
      <c r="B41" s="14" t="inlineStr">
        <is>
          <t>cfgTotalScheduledMinutes</t>
        </is>
      </c>
      <c r="C41" s="2" t="inlineStr">
        <is>
          <t>'Settings'!$C$9</t>
        </is>
      </c>
    </row>
    <row r="42">
      <c r="B42" s="14" t="inlineStr">
        <is>
          <t>cfgTranscriptCadet</t>
        </is>
      </c>
      <c r="C42" s="2" t="inlineStr">
        <is>
          <t>'Transcript'!$C$5</t>
        </is>
      </c>
    </row>
    <row r="43">
      <c r="B43" s="14" t="inlineStr">
        <is>
          <t>cfgWeightFinal</t>
        </is>
      </c>
      <c r="C43" s="2" t="inlineStr">
        <is>
          <t>'Settings'!$C$19</t>
        </is>
      </c>
    </row>
    <row r="44">
      <c r="B44" s="14" t="inlineStr">
        <is>
          <t>cfgWeightMajor</t>
        </is>
      </c>
      <c r="C44" s="2" t="inlineStr">
        <is>
          <t>'Settings'!$C$16</t>
        </is>
      </c>
    </row>
    <row r="45">
      <c r="B45" s="14" t="inlineStr">
        <is>
          <t>cfgWeightMinor</t>
        </is>
      </c>
      <c r="C45" s="2" t="inlineStr">
        <is>
          <t>'Settings'!$C$17</t>
        </is>
      </c>
    </row>
    <row r="46">
      <c r="B46" s="14" t="inlineStr">
        <is>
          <t>cfgWeightSpelling</t>
        </is>
      </c>
      <c r="C46" s="2" t="inlineStr">
        <is>
          <t>'Settings'!$C$18</t>
        </is>
      </c>
    </row>
    <row r="47">
      <c r="B47" s="14" t="inlineStr">
        <is>
          <t>cfgWeightsTotal</t>
        </is>
      </c>
      <c r="C47" s="2" t="inlineStr">
        <is>
          <t>'Settings'!$C$37</t>
        </is>
      </c>
    </row>
    <row r="48">
      <c r="B48" s="14" t="inlineStr">
        <is>
          <t>cfgWritingDueTime</t>
        </is>
      </c>
      <c r="C48" s="2" t="inlineStr">
        <is>
          <t>'Settings'!$C$28</t>
        </is>
      </c>
    </row>
    <row r="49">
      <c r="B49" s="14" t="inlineStr">
        <is>
          <t>lstAssignmentType</t>
        </is>
      </c>
      <c r="C49" s="2" t="inlineStr">
        <is>
          <t>'Lists'!$O$6:$O$10</t>
        </is>
      </c>
    </row>
    <row r="50">
      <c r="B50" s="14" t="inlineStr">
        <is>
          <t>lstAttemptNum</t>
        </is>
      </c>
      <c r="C50" s="2" t="inlineStr">
        <is>
          <t>'Lists'!$Q$6:$Q$10</t>
        </is>
      </c>
    </row>
    <row r="51">
      <c r="B51" s="14" t="inlineStr">
        <is>
          <t>lstAttendanceEvent</t>
        </is>
      </c>
      <c r="C51" s="2" t="inlineStr">
        <is>
          <t>'Lists'!$E$6:$E$14</t>
        </is>
      </c>
    </row>
    <row r="52">
      <c r="B52" s="14" t="inlineStr">
        <is>
          <t>lstAward</t>
        </is>
      </c>
      <c r="C52" s="2" t="inlineStr">
        <is>
          <t>'Lists'!$V$6:$V$9</t>
        </is>
      </c>
    </row>
    <row r="53">
      <c r="B53" s="14" t="inlineStr">
        <is>
          <t>lstCadetStatus</t>
        </is>
      </c>
      <c r="C53" s="2" t="inlineStr">
        <is>
          <t>'Lists'!$C$6:$C$9</t>
        </is>
      </c>
    </row>
    <row r="54">
      <c r="B54" s="14" t="inlineStr">
        <is>
          <t>lstCounselingType</t>
        </is>
      </c>
      <c r="C54" s="2" t="inlineStr">
        <is>
          <t>'Lists'!$S$6:$S$13</t>
        </is>
      </c>
    </row>
    <row r="55">
      <c r="B55" s="14" t="inlineStr">
        <is>
          <t>lstDocumentation</t>
        </is>
      </c>
      <c r="C55" s="2" t="inlineStr">
        <is>
          <t>'Lists'!$G$6:$G$8</t>
        </is>
      </c>
    </row>
    <row r="56">
      <c r="B56" s="14" t="inlineStr">
        <is>
          <t>lstExamType</t>
        </is>
      </c>
      <c r="C56" s="2" t="inlineStr">
        <is>
          <t>'Lists'!$D$6:$D$9</t>
        </is>
      </c>
    </row>
    <row r="57">
      <c r="B57" s="14" t="inlineStr">
        <is>
          <t>lstExcused</t>
        </is>
      </c>
      <c r="C57" s="2" t="inlineStr">
        <is>
          <t>'Lists'!$H$6:$H$7</t>
        </is>
      </c>
    </row>
    <row r="58">
      <c r="B58" s="14" t="inlineStr">
        <is>
          <t>lstIncidentDirection</t>
        </is>
      </c>
      <c r="C58" s="2" t="inlineStr">
        <is>
          <t>'Lists'!$L$6:$L$8</t>
        </is>
      </c>
    </row>
    <row r="59">
      <c r="B59" s="14" t="inlineStr">
        <is>
          <t>lstInstructorType</t>
        </is>
      </c>
      <c r="C59" s="2" t="inlineStr">
        <is>
          <t>'Lists'!$W$6:$W$9</t>
        </is>
      </c>
    </row>
    <row r="60">
      <c r="B60" s="14" t="inlineStr">
        <is>
          <t>lstIssuetype</t>
        </is>
      </c>
      <c r="C60" s="2" t="inlineStr">
        <is>
          <t>'Lists'!$R$6:$R$12</t>
        </is>
      </c>
    </row>
    <row r="61">
      <c r="B61" s="14" t="inlineStr">
        <is>
          <t>lstMakeupType</t>
        </is>
      </c>
      <c r="C61" s="2" t="inlineStr">
        <is>
          <t>'Lists'!$I$6:$I$9</t>
        </is>
      </c>
    </row>
    <row r="62">
      <c r="B62" s="14" t="inlineStr">
        <is>
          <t>lstMaterialsStatus</t>
        </is>
      </c>
      <c r="C62" s="2" t="inlineStr">
        <is>
          <t>'Lists'!$X$6:$X$9</t>
        </is>
      </c>
    </row>
    <row r="63">
      <c r="B63" s="14" t="inlineStr">
        <is>
          <t>lstMedicalStatus</t>
        </is>
      </c>
      <c r="C63" s="2" t="inlineStr">
        <is>
          <t>'Lists'!$T$6:$T$9</t>
        </is>
      </c>
    </row>
    <row r="64">
      <c r="B64" s="14" t="inlineStr">
        <is>
          <t>lstPtSession</t>
        </is>
      </c>
      <c r="C64" s="2" t="inlineStr">
        <is>
          <t>'Lists'!$U$6:$U$8</t>
        </is>
      </c>
    </row>
    <row r="65">
      <c r="B65" s="14" t="inlineStr">
        <is>
          <t>lstReason</t>
        </is>
      </c>
      <c r="C65" s="2" t="inlineStr">
        <is>
          <t>'Lists'!$F$6:$F$12</t>
        </is>
      </c>
    </row>
    <row r="66">
      <c r="B66" s="14" t="inlineStr">
        <is>
          <t>lstRequirementSource</t>
        </is>
      </c>
      <c r="C66" s="2" t="inlineStr">
        <is>
          <t>'Lists'!$Y$6:$Y$7</t>
        </is>
      </c>
    </row>
    <row r="67">
      <c r="B67" s="14" t="inlineStr">
        <is>
          <t>lstResolution</t>
        </is>
      </c>
      <c r="C67" s="2" t="inlineStr">
        <is>
          <t>'Lists'!$N$6:$N$9</t>
        </is>
      </c>
    </row>
    <row r="68">
      <c r="B68" s="14" t="inlineStr">
        <is>
          <t>lstReviewOutcome</t>
        </is>
      </c>
      <c r="C68" s="2" t="inlineStr">
        <is>
          <t>'Lists'!$AA$6:$AA$9</t>
        </is>
      </c>
    </row>
    <row r="69">
      <c r="B69" s="14" t="inlineStr">
        <is>
          <t>lstReviewType</t>
        </is>
      </c>
      <c r="C69" s="2" t="inlineStr">
        <is>
          <t>'Lists'!$Z$6:$Z$8</t>
        </is>
      </c>
    </row>
    <row r="70">
      <c r="B70" s="14" t="inlineStr">
        <is>
          <t>lstScoringMode</t>
        </is>
      </c>
      <c r="C70" s="2" t="inlineStr">
        <is>
          <t>'Lists'!$J$6:$J$7</t>
        </is>
      </c>
    </row>
    <row r="71">
      <c r="B71" s="14" t="inlineStr">
        <is>
          <t>lstSeverity</t>
        </is>
      </c>
      <c r="C71" s="2" t="inlineStr">
        <is>
          <t>'Lists'!$M$6:$M$10</t>
        </is>
      </c>
    </row>
    <row r="72">
      <c r="B72" s="14" t="inlineStr">
        <is>
          <t>lstSkillResult</t>
        </is>
      </c>
      <c r="C72" s="2" t="inlineStr">
        <is>
          <t>'Lists'!$K$6:$K$8</t>
        </is>
      </c>
    </row>
    <row r="73">
      <c r="B73" s="14" t="inlineStr">
        <is>
          <t>lstSubmission</t>
        </is>
      </c>
      <c r="C73" s="2" t="inlineStr">
        <is>
          <t>'Lists'!$P$6:$P$9</t>
        </is>
      </c>
    </row>
    <row r="74">
      <c r="B74" s="14" t="inlineStr">
        <is>
          <t>lstYesNo</t>
        </is>
      </c>
      <c r="C74" s="2" t="inlineStr">
        <is>
          <t>'Lists'!$B$6:$B$7</t>
        </is>
      </c>
    </row>
    <row r="75">
      <c r="B75" s="14" t="inlineStr">
        <is>
          <t>nrAB_Date</t>
        </is>
      </c>
      <c r="C75" s="2" t="inlineStr">
        <is>
          <t>'AdvisoryBoard'!$B$6:$B$55</t>
        </is>
      </c>
    </row>
    <row r="76">
      <c r="B76" s="14" t="inlineStr">
        <is>
          <t>nrAB_Minutes</t>
        </is>
      </c>
      <c r="C76" s="2" t="inlineStr">
        <is>
          <t>'AdvisoryBoard'!$G$6:$G$55</t>
        </is>
      </c>
    </row>
    <row r="77">
      <c r="B77" s="14" t="inlineStr">
        <is>
          <t>nrATTclElig</t>
        </is>
      </c>
      <c r="C77" s="2" t="inlineStr">
        <is>
          <t>'sysAttendance'!$K$6:$K$55</t>
        </is>
      </c>
    </row>
    <row r="78">
      <c r="B78" s="14" t="inlineStr">
        <is>
          <t>nrATTclOwed</t>
        </is>
      </c>
      <c r="C78" s="2" t="inlineStr">
        <is>
          <t>'sysAttendance'!$L$6:$L$55</t>
        </is>
      </c>
    </row>
    <row r="79">
      <c r="B79" s="14" t="inlineStr">
        <is>
          <t>nrATTclPct</t>
        </is>
      </c>
      <c r="C79" s="2" t="inlineStr">
        <is>
          <t>'sysAttendance'!$I$6:$I$55</t>
        </is>
      </c>
    </row>
    <row r="80">
      <c r="B80" s="14" t="inlineStr">
        <is>
          <t>nrATTclTier</t>
        </is>
      </c>
      <c r="C80" s="2" t="inlineStr">
        <is>
          <t>'sysAttendance'!$J$6:$J$55</t>
        </is>
      </c>
    </row>
    <row r="81">
      <c r="B81" s="14" t="inlineStr">
        <is>
          <t>nrATTmakeupOK</t>
        </is>
      </c>
      <c r="C81" s="2" t="inlineStr">
        <is>
          <t>'sysAttendance'!$T$6:$T$55</t>
        </is>
      </c>
    </row>
    <row r="82">
      <c r="B82" s="14" t="inlineStr">
        <is>
          <t>nrATTptElig</t>
        </is>
      </c>
      <c r="C82" s="2" t="inlineStr">
        <is>
          <t>'sysAttendance'!$S$6:$S$55</t>
        </is>
      </c>
    </row>
    <row r="83">
      <c r="B83" s="14" t="inlineStr">
        <is>
          <t>nrATTptPct</t>
        </is>
      </c>
      <c r="C83" s="2" t="inlineStr">
        <is>
          <t>'sysAttendance'!$Q$6:$Q$55</t>
        </is>
      </c>
    </row>
    <row r="84">
      <c r="B84" s="14" t="inlineStr">
        <is>
          <t>nrATTptTier</t>
        </is>
      </c>
      <c r="C84" s="2" t="inlineStr">
        <is>
          <t>'sysAttendance'!$R$6:$R$55</t>
        </is>
      </c>
    </row>
    <row r="85">
      <c r="B85" s="14" t="inlineStr">
        <is>
          <t>nrAT_Balance</t>
        </is>
      </c>
      <c r="C85" s="2" t="inlineStr">
        <is>
          <t>'Attendance'!$R$6:$R$805</t>
        </is>
      </c>
    </row>
    <row r="86">
      <c r="B86" s="14" t="inlineStr">
        <is>
          <t>nrAT_Cleared</t>
        </is>
      </c>
      <c r="C86" s="2" t="inlineStr">
        <is>
          <t>'Attendance'!$S$6:$S$805</t>
        </is>
      </c>
    </row>
    <row r="87">
      <c r="B87" s="14" t="inlineStr">
        <is>
          <t>nrAT_Counts</t>
        </is>
      </c>
      <c r="C87" s="2" t="inlineStr">
        <is>
          <t>'Attendance'!$N$6:$N$805</t>
        </is>
      </c>
    </row>
    <row r="88">
      <c r="B88" s="14" t="inlineStr">
        <is>
          <t>nrAT_Date</t>
        </is>
      </c>
      <c r="C88" s="2" t="inlineStr">
        <is>
          <t>'Attendance'!$C$6:$C$805</t>
        </is>
      </c>
    </row>
    <row r="89">
      <c r="B89" s="14" t="inlineStr">
        <is>
          <t>nrAT_Excused</t>
        </is>
      </c>
      <c r="C89" s="2" t="inlineStr">
        <is>
          <t>'Attendance'!$M$6:$M$805</t>
        </is>
      </c>
    </row>
    <row r="90">
      <c r="B90" s="14" t="inlineStr">
        <is>
          <t>nrAT_ID</t>
        </is>
      </c>
      <c r="C90" s="2" t="inlineStr">
        <is>
          <t>'Attendance'!$B$6:$B$805</t>
        </is>
      </c>
    </row>
    <row r="91">
      <c r="B91" s="14" t="inlineStr">
        <is>
          <t>nrAT_IsPT</t>
        </is>
      </c>
      <c r="C91" s="2" t="inlineStr">
        <is>
          <t>'Attendance'!$K$6:$K$805</t>
        </is>
      </c>
    </row>
    <row r="92">
      <c r="B92" s="14" t="inlineStr">
        <is>
          <t>nrAT_Min</t>
        </is>
      </c>
      <c r="C92" s="2" t="inlineStr">
        <is>
          <t>'Attendance'!$I$6:$I$805</t>
        </is>
      </c>
    </row>
    <row r="93">
      <c r="B93" s="14" t="inlineStr">
        <is>
          <t>nrAT_PID</t>
        </is>
      </c>
      <c r="C93" s="2" t="inlineStr">
        <is>
          <t>'Attendance'!$E$6:$E$805</t>
        </is>
      </c>
    </row>
    <row r="94">
      <c r="B94" s="14" t="inlineStr">
        <is>
          <t>nrAT_Sess</t>
        </is>
      </c>
      <c r="C94" s="2" t="inlineStr">
        <is>
          <t>'Attendance'!$J$6:$J$805</t>
        </is>
      </c>
    </row>
    <row r="95">
      <c r="B95" s="14" t="inlineStr">
        <is>
          <t>nrAT_Type</t>
        </is>
      </c>
      <c r="C95" s="2" t="inlineStr">
        <is>
          <t>'Attendance'!$G$6:$G$805</t>
        </is>
      </c>
    </row>
    <row r="96">
      <c r="B96" s="14" t="inlineStr">
        <is>
          <t>nrAUDcheck</t>
        </is>
      </c>
      <c r="C96" s="2" t="inlineStr">
        <is>
          <t>'sysAudit'!$B$6:$B$21</t>
        </is>
      </c>
    </row>
    <row r="97">
      <c r="B97" s="14" t="inlineStr">
        <is>
          <t>nrAUDstatus</t>
        </is>
      </c>
      <c r="C97" s="2" t="inlineStr">
        <is>
          <t>'sysAudit'!$E$6:$E$21</t>
        </is>
      </c>
    </row>
    <row r="98">
      <c r="B98" s="14" t="inlineStr">
        <is>
          <t>nrAWfinal</t>
        </is>
      </c>
      <c r="C98" s="2" t="inlineStr">
        <is>
          <t>'sysAwards'!$F$6:$F$9</t>
        </is>
      </c>
    </row>
    <row r="99">
      <c r="B99" s="14" t="inlineStr">
        <is>
          <t>nrAWnames</t>
        </is>
      </c>
      <c r="C99" s="2" t="inlineStr">
        <is>
          <t>'sysAwards'!$B$6:$B$9</t>
        </is>
      </c>
    </row>
    <row r="100">
      <c r="B100" s="14" t="inlineStr">
        <is>
          <t>nrAgencyLastEmail</t>
        </is>
      </c>
      <c r="C100" s="2" t="inlineStr">
        <is>
          <t>'Agencies'!$I$6:$I$50</t>
        </is>
      </c>
    </row>
    <row r="101">
      <c r="B101" s="14" t="inlineStr">
        <is>
          <t>nrAllClosures</t>
        </is>
      </c>
      <c r="C101" s="2" t="inlineStr">
        <is>
          <t>'Control'!$M$6:$M$42</t>
        </is>
      </c>
    </row>
    <row r="102">
      <c r="B102" s="14" t="inlineStr">
        <is>
          <t>nrAllRefIDs</t>
        </is>
      </c>
      <c r="C102" s="2" t="inlineStr">
        <is>
          <t>'sysListsHelper'!$D$6:$D$1621</t>
        </is>
      </c>
    </row>
    <row r="103">
      <c r="B103" s="14" t="inlineStr">
        <is>
          <t>nrBankGrid</t>
        </is>
      </c>
      <c r="C103" s="2" t="inlineStr">
        <is>
          <t>'InstructorBanks'!$C$6:$L$80</t>
        </is>
      </c>
    </row>
    <row r="104">
      <c r="B104" s="14" t="inlineStr">
        <is>
          <t>nrBankSel</t>
        </is>
      </c>
      <c r="C104" s="2" t="inlineStr">
        <is>
          <t>'InstructorBanks'!$M$6:$T$80</t>
        </is>
      </c>
    </row>
    <row r="105">
      <c r="B105" s="14" t="inlineStr">
        <is>
          <t>nrBankTopics</t>
        </is>
      </c>
      <c r="C105" s="2" t="inlineStr">
        <is>
          <t>'InstructorBanks'!$B$6:$B$80</t>
        </is>
      </c>
    </row>
    <row r="106">
      <c r="B106" s="14" t="inlineStr">
        <is>
          <t>nrCDdate</t>
        </is>
      </c>
      <c r="C106" s="2" t="inlineStr">
        <is>
          <t>'Control'!$I$6:$I$175</t>
        </is>
      </c>
    </row>
    <row r="107">
      <c r="B107" s="14" t="inlineStr">
        <is>
          <t>nrCDinsession</t>
        </is>
      </c>
      <c r="C107" s="2" t="inlineStr">
        <is>
          <t>'Control'!$K$6:$K$175</t>
        </is>
      </c>
    </row>
    <row r="108">
      <c r="B108" s="14" t="inlineStr">
        <is>
          <t>nrCDnum</t>
        </is>
      </c>
      <c r="C108" s="2" t="inlineStr">
        <is>
          <t>'Control'!$H$6:$H$175</t>
        </is>
      </c>
    </row>
    <row r="109">
      <c r="B109" s="14" t="inlineStr">
        <is>
          <t>nrCDweek</t>
        </is>
      </c>
      <c r="C109" s="2" t="inlineStr">
        <is>
          <t>'Control'!$J$6:$J$175</t>
        </is>
      </c>
    </row>
    <row r="110">
      <c r="B110" s="14" t="inlineStr">
        <is>
          <t>nrCERTall</t>
        </is>
      </c>
      <c r="C110" s="2" t="inlineStr">
        <is>
          <t>'Certifications'!$T$6:$T$55</t>
        </is>
      </c>
    </row>
    <row r="111">
      <c r="B111" s="14" t="inlineStr">
        <is>
          <t>nrCERTmissing</t>
        </is>
      </c>
      <c r="C111" s="2" t="inlineStr">
        <is>
          <t>'Certifications'!$U$6:$U$55</t>
        </is>
      </c>
    </row>
    <row r="112">
      <c r="B112" s="14" t="inlineStr">
        <is>
          <t>nrCHassess</t>
        </is>
      </c>
      <c r="C112" s="2" t="inlineStr">
        <is>
          <t>'ChapterMaster'!$O$6:$O$49</t>
        </is>
      </c>
    </row>
    <row r="113">
      <c r="B113" s="14" t="inlineStr">
        <is>
          <t>nrCHbio</t>
        </is>
      </c>
      <c r="C113" s="2" t="inlineStr">
        <is>
          <t>'ChapterMaster'!$M$6:$M$49</t>
        </is>
      </c>
    </row>
    <row r="114">
      <c r="B114" s="14" t="inlineStr">
        <is>
          <t>nrCHdeliv</t>
        </is>
      </c>
      <c r="C114" s="2" t="inlineStr">
        <is>
          <t>'ChapterMaster'!$G$6:$G$49</t>
        </is>
      </c>
    </row>
    <row r="115">
      <c r="B115" s="14" t="inlineStr">
        <is>
          <t>nrCHevals</t>
        </is>
      </c>
      <c r="C115" s="2" t="inlineStr">
        <is>
          <t>'ChapterMaster'!$Q$6:$Q$49</t>
        </is>
      </c>
    </row>
    <row r="116">
      <c r="B116" s="14" t="inlineStr">
        <is>
          <t>nrCHfileOK</t>
        </is>
      </c>
      <c r="C116" s="2" t="inlineStr">
        <is>
          <t>'ChapterMaster'!$U$6:$U$49</t>
        </is>
      </c>
    </row>
    <row r="117">
      <c r="B117" s="14" t="inlineStr">
        <is>
          <t>nrCHfirst</t>
        </is>
      </c>
      <c r="C117" s="2" t="inlineStr">
        <is>
          <t>'ChapterMaster'!$I$6:$I$49</t>
        </is>
      </c>
    </row>
    <row r="118">
      <c r="B118" s="14" t="inlineStr">
        <is>
          <t>nrCHgrade</t>
        </is>
      </c>
      <c r="C118" s="2" t="inlineStr">
        <is>
          <t>'ChapterMaster'!$P$6:$P$49</t>
        </is>
      </c>
    </row>
    <row r="119">
      <c r="B119" s="14" t="inlineStr">
        <is>
          <t>nrCHhandoutOpt</t>
        </is>
      </c>
      <c r="C119" s="2" t="inlineStr">
        <is>
          <t>'ChapterMaster'!$R$6:$R$49</t>
        </is>
      </c>
    </row>
    <row r="120">
      <c r="B120" s="14" t="inlineStr">
        <is>
          <t>nrCHinstr</t>
        </is>
      </c>
      <c r="C120" s="2" t="inlineStr">
        <is>
          <t>'ChapterMaster'!$K$6:$K$49</t>
        </is>
      </c>
    </row>
    <row r="121">
      <c r="B121" s="14" t="inlineStr">
        <is>
          <t>nrCHlesson</t>
        </is>
      </c>
      <c r="C121" s="2" t="inlineStr">
        <is>
          <t>'ChapterMaster'!$L$6:$L$49</t>
        </is>
      </c>
    </row>
    <row r="122">
      <c r="B122" s="14" t="inlineStr">
        <is>
          <t>nrCHmin</t>
        </is>
      </c>
      <c r="C122" s="2" t="inlineStr">
        <is>
          <t>'ChapterMaster'!$E$6:$E$49</t>
        </is>
      </c>
    </row>
    <row r="123">
      <c r="B123" s="14" t="inlineStr">
        <is>
          <t>nrCHmod</t>
        </is>
      </c>
      <c r="C123" s="2" t="inlineStr">
        <is>
          <t>'ChapterMaster'!$B$6:$B$49</t>
        </is>
      </c>
    </row>
    <row r="124">
      <c r="B124" s="14" t="inlineStr">
        <is>
          <t>nrCHname</t>
        </is>
      </c>
      <c r="C124" s="2" t="inlineStr">
        <is>
          <t>'ChapterMaster'!$D$6:$D$49</t>
        </is>
      </c>
    </row>
    <row r="125">
      <c r="B125" s="14" t="inlineStr">
        <is>
          <t>nrCHnum</t>
        </is>
      </c>
      <c r="C125" s="2" t="inlineStr">
        <is>
          <t>'ChapterMaster'!$C$6:$C$49</t>
        </is>
      </c>
    </row>
    <row r="126">
      <c r="B126" s="14" t="inlineStr">
        <is>
          <t>nrCHplan</t>
        </is>
      </c>
      <c r="C126" s="2" t="inlineStr">
        <is>
          <t>'ChapterMaster'!$F$6:$F$49</t>
        </is>
      </c>
    </row>
    <row r="127">
      <c r="B127" s="14" t="inlineStr">
        <is>
          <t>nrCHsignin</t>
        </is>
      </c>
      <c r="C127" s="2" t="inlineStr">
        <is>
          <t>'ChapterMaster'!$N$6:$N$49</t>
        </is>
      </c>
    </row>
    <row r="128">
      <c r="B128" s="14" t="inlineStr">
        <is>
          <t>nrCHspecial</t>
        </is>
      </c>
      <c r="C128" s="2" t="inlineStr">
        <is>
          <t>'ChapterMaster'!$S$6:$S$49</t>
        </is>
      </c>
    </row>
    <row r="129">
      <c r="B129" s="14" t="inlineStr">
        <is>
          <t>nrCHspecialMet</t>
        </is>
      </c>
      <c r="C129" s="2" t="inlineStr">
        <is>
          <t>'ChapterMaster'!$T$6:$T$49</t>
        </is>
      </c>
    </row>
    <row r="130">
      <c r="B130" s="14" t="inlineStr">
        <is>
          <t>nrCHtotalDelivered</t>
        </is>
      </c>
      <c r="C130" s="2" t="inlineStr">
        <is>
          <t>'ChapterMaster'!$G$51</t>
        </is>
      </c>
    </row>
    <row r="131">
      <c r="B131" s="14" t="inlineStr">
        <is>
          <t>nrCKblocking</t>
        </is>
      </c>
      <c r="C131" s="2" t="inlineStr">
        <is>
          <t>'sysChecks'!$O$6:$O$55</t>
        </is>
      </c>
    </row>
    <row r="132">
      <c r="B132" s="14" t="inlineStr">
        <is>
          <t>nrCKfinalExamElig</t>
        </is>
      </c>
      <c r="C132" s="2" t="inlineStr">
        <is>
          <t>'sysChecks'!$P$6:$P$55</t>
        </is>
      </c>
    </row>
    <row r="133">
      <c r="B133" s="14" t="inlineStr">
        <is>
          <t>nrCKgradElig</t>
        </is>
      </c>
      <c r="C133" s="2" t="inlineStr">
        <is>
          <t>'sysChecks'!$N$6:$N$55</t>
        </is>
      </c>
    </row>
    <row r="134">
      <c r="B134" s="14" t="inlineStr">
        <is>
          <t>nrCO_Date</t>
        </is>
      </c>
      <c r="C134" s="2" t="inlineStr">
        <is>
          <t>'Counseling'!$C$6:$C$405</t>
        </is>
      </c>
    </row>
    <row r="135">
      <c r="B135" s="14" t="inlineStr">
        <is>
          <t>nrCO_Desc</t>
        </is>
      </c>
      <c r="C135" s="2" t="inlineStr">
        <is>
          <t>'Counseling'!$H$6:$H$405</t>
        </is>
      </c>
    </row>
    <row r="136">
      <c r="B136" s="14" t="inlineStr">
        <is>
          <t>nrCO_PID</t>
        </is>
      </c>
      <c r="C136" s="2" t="inlineStr">
        <is>
          <t>'Counseling'!$E$6:$E$405</t>
        </is>
      </c>
    </row>
    <row r="137">
      <c r="B137" s="14" t="inlineStr">
        <is>
          <t>nrCO_Report</t>
        </is>
      </c>
      <c r="C137" s="2" t="inlineStr">
        <is>
          <t>'Counseling'!$J$6:$J$405</t>
        </is>
      </c>
    </row>
    <row r="138">
      <c r="B138" s="14" t="inlineStr">
        <is>
          <t>nrCO_Status</t>
        </is>
      </c>
      <c r="C138" s="2" t="inlineStr">
        <is>
          <t>'Counseling'!$M$6:$M$405</t>
        </is>
      </c>
    </row>
    <row r="139">
      <c r="B139" s="14" t="inlineStr">
        <is>
          <t>nrCO_Type</t>
        </is>
      </c>
      <c r="C139" s="2" t="inlineStr">
        <is>
          <t>'Counseling'!$F$6:$F$405</t>
        </is>
      </c>
    </row>
    <row r="140">
      <c r="B140" s="14" t="inlineStr">
        <is>
          <t>nrCadetAgency</t>
        </is>
      </c>
      <c r="C140" s="2" t="inlineStr">
        <is>
          <t>'Cadets'!$H$6:$H$55</t>
        </is>
      </c>
    </row>
    <row r="141">
      <c r="B141" s="14" t="inlineStr">
        <is>
          <t>nrCadetAgencyID</t>
        </is>
      </c>
      <c r="C141" s="2" t="inlineStr">
        <is>
          <t>'Cadets'!$G$6:$G$55</t>
        </is>
      </c>
    </row>
    <row r="142">
      <c r="B142" s="14" t="inlineStr">
        <is>
          <t>nrCadetStatus</t>
        </is>
      </c>
      <c r="C142" s="2" t="inlineStr">
        <is>
          <t>'Cadets'!$I$6:$I$55</t>
        </is>
      </c>
    </row>
    <row r="143">
      <c r="B143" s="14" t="inlineStr">
        <is>
          <t>nrDL_Date</t>
        </is>
      </c>
      <c r="C143" s="2" t="inlineStr">
        <is>
          <t>'DailyLog'!$B$6:$B$175</t>
        </is>
      </c>
    </row>
    <row r="144">
      <c r="B144" s="14" t="inlineStr">
        <is>
          <t>nrELagency</t>
        </is>
      </c>
      <c r="C144" s="2" t="inlineStr">
        <is>
          <t>'EmailLog'!$C$6:$C$505</t>
        </is>
      </c>
    </row>
    <row r="145">
      <c r="B145" s="14" t="inlineStr">
        <is>
          <t>nrELdate</t>
        </is>
      </c>
      <c r="C145" s="2" t="inlineStr">
        <is>
          <t>'EmailLog'!$B$6:$B$505</t>
        </is>
      </c>
    </row>
    <row r="146">
      <c r="B146" s="14" t="inlineStr">
        <is>
          <t>nrEPVgrid</t>
        </is>
      </c>
      <c r="C146" s="2" t="inlineStr">
        <is>
          <t>'EmailPreview'!$B$9:$J$58</t>
        </is>
      </c>
    </row>
    <row r="147">
      <c r="B147" s="14" t="inlineStr">
        <is>
          <t>nrEPVsinceRow</t>
        </is>
      </c>
      <c r="C147" s="2" t="inlineStr">
        <is>
          <t>'EmailPreview'!$B$62</t>
        </is>
      </c>
    </row>
    <row r="148">
      <c r="B148" s="14" t="inlineStr">
        <is>
          <t>nrES_Att</t>
        </is>
      </c>
      <c r="C148" s="2" t="inlineStr">
        <is>
          <t>'ExamScores'!$K$6:$K$1505</t>
        </is>
      </c>
    </row>
    <row r="149">
      <c r="B149" s="14" t="inlineStr">
        <is>
          <t>nrES_Code</t>
        </is>
      </c>
      <c r="C149" s="2" t="inlineStr">
        <is>
          <t>'ExamScores'!$F$6:$F$1505</t>
        </is>
      </c>
    </row>
    <row r="150">
      <c r="B150" s="14" t="inlineStr">
        <is>
          <t>nrES_Date</t>
        </is>
      </c>
      <c r="C150" s="2" t="inlineStr">
        <is>
          <t>'ExamScores'!$S$6:$S$1505</t>
        </is>
      </c>
    </row>
    <row r="151">
      <c r="B151" s="14" t="inlineStr">
        <is>
          <t>nrES_Dis</t>
        </is>
      </c>
      <c r="C151" s="2" t="inlineStr">
        <is>
          <t>'ExamScores'!$R$6:$R$1505</t>
        </is>
      </c>
    </row>
    <row r="152">
      <c r="B152" s="14" t="inlineStr">
        <is>
          <t>nrES_Final</t>
        </is>
      </c>
      <c r="C152" s="2" t="inlineStr">
        <is>
          <t>'ExamScores'!$P$6:$P$1505</t>
        </is>
      </c>
    </row>
    <row r="153">
      <c r="B153" s="14" t="inlineStr">
        <is>
          <t>nrES_PID</t>
        </is>
      </c>
      <c r="C153" s="2" t="inlineStr">
        <is>
          <t>'ExamScores'!$D$6:$D$1505</t>
        </is>
      </c>
    </row>
    <row r="154">
      <c r="B154" s="14" t="inlineStr">
        <is>
          <t>nrES_Raw</t>
        </is>
      </c>
      <c r="C154" s="2" t="inlineStr">
        <is>
          <t>'ExamScores'!$L$6:$L$1505</t>
        </is>
      </c>
    </row>
    <row r="155">
      <c r="B155" s="14" t="inlineStr">
        <is>
          <t>nrES_Rec</t>
        </is>
      </c>
      <c r="C155" s="2" t="inlineStr">
        <is>
          <t>'ExamScores'!$M$6:$M$1505</t>
        </is>
      </c>
    </row>
    <row r="156">
      <c r="B156" s="14" t="inlineStr">
        <is>
          <t>nrES_RetDue</t>
        </is>
      </c>
      <c r="C156" s="2" t="inlineStr">
        <is>
          <t>'ExamScores'!$T$6:$T$1505</t>
        </is>
      </c>
    </row>
    <row r="157">
      <c r="B157" s="14" t="inlineStr">
        <is>
          <t>nrES_RetReq</t>
        </is>
      </c>
      <c r="C157" s="2" t="inlineStr">
        <is>
          <t>'ExamScores'!$Q$6:$Q$1505</t>
        </is>
      </c>
    </row>
    <row r="158">
      <c r="B158" s="14" t="inlineStr">
        <is>
          <t>nrES_RetStat</t>
        </is>
      </c>
      <c r="C158" s="2" t="inlineStr">
        <is>
          <t>'ExamScores'!$U$6:$U$1505</t>
        </is>
      </c>
    </row>
    <row r="159">
      <c r="B159" s="14" t="inlineStr">
        <is>
          <t>nrES_Seq</t>
        </is>
      </c>
      <c r="C159" s="2" t="inlineStr">
        <is>
          <t>'ExamScores'!$I$6:$I$1505</t>
        </is>
      </c>
    </row>
    <row r="160">
      <c r="B160" s="14" t="inlineStr">
        <is>
          <t>nrES_Type</t>
        </is>
      </c>
      <c r="C160" s="2" t="inlineStr">
        <is>
          <t>'ExamScores'!$H$6:$H$1505</t>
        </is>
      </c>
    </row>
    <row r="161">
      <c r="B161" s="14" t="inlineStr">
        <is>
          <t>nrExtraClosures</t>
        </is>
      </c>
      <c r="C161" s="2" t="inlineStr">
        <is>
          <t>'Control'!$F$6:$F$20</t>
        </is>
      </c>
    </row>
    <row r="162">
      <c r="B162" s="14" t="inlineStr">
        <is>
          <t>nrFLcount</t>
        </is>
      </c>
      <c r="C162" s="2" t="inlineStr">
        <is>
          <t>'sysFlags'!$R$6:$R$55</t>
        </is>
      </c>
    </row>
    <row r="163">
      <c r="B163" s="14" t="inlineStr">
        <is>
          <t>nrFLreasons</t>
        </is>
      </c>
      <c r="C163" s="2" t="inlineStr">
        <is>
          <t>'sysFlags'!$S$6:$S$55</t>
        </is>
      </c>
    </row>
    <row r="164">
      <c r="B164" s="14" t="inlineStr">
        <is>
          <t>nrGRacademic</t>
        </is>
      </c>
      <c r="C164" s="2" t="inlineStr">
        <is>
          <t>'sysGrades'!$V$6:$V$55</t>
        </is>
      </c>
    </row>
    <row r="165">
      <c r="B165" s="14" t="inlineStr">
        <is>
          <t>nrGRconsec</t>
        </is>
      </c>
      <c r="C165" s="2" t="inlineStr">
        <is>
          <t>'sysGrades'!$AC$6:$AC$55</t>
        </is>
      </c>
    </row>
    <row r="166">
      <c r="B166" s="14" t="inlineStr">
        <is>
          <t>nrGRcurrent</t>
        </is>
      </c>
      <c r="C166" s="2" t="inlineStr">
        <is>
          <t>'sysGrades'!$M$6:$M$55</t>
        </is>
      </c>
    </row>
    <row r="167">
      <c r="B167" s="14" t="inlineStr">
        <is>
          <t>nrGRdisrev</t>
        </is>
      </c>
      <c r="C167" s="2" t="inlineStr">
        <is>
          <t>'sysGrades'!$P$6:$P$55</t>
        </is>
      </c>
    </row>
    <row r="168">
      <c r="B168" s="14" t="inlineStr">
        <is>
          <t>nrGRfinal</t>
        </is>
      </c>
      <c r="C168" s="2" t="inlineStr">
        <is>
          <t>'sysGrades'!$N$6:$N$55</t>
        </is>
      </c>
    </row>
    <row r="169">
      <c r="B169" s="14" t="inlineStr">
        <is>
          <t>nrGRgradedrop</t>
        </is>
      </c>
      <c r="C169" s="2" t="inlineStr">
        <is>
          <t>'sysGrades'!$AB$6:$AB$55</t>
        </is>
      </c>
    </row>
    <row r="170">
      <c r="B170" s="14" t="inlineStr">
        <is>
          <t>nrGRmajavg</t>
        </is>
      </c>
      <c r="C170" s="2" t="inlineStr">
        <is>
          <t>'sysGrades'!$I$6:$I$55</t>
        </is>
      </c>
    </row>
    <row r="171">
      <c r="B171" s="14" t="inlineStr">
        <is>
          <t>nrGRminavg</t>
        </is>
      </c>
      <c r="C171" s="2" t="inlineStr">
        <is>
          <t>'sysGrades'!$J$6:$J$55</t>
        </is>
      </c>
    </row>
    <row r="172">
      <c r="B172" s="14" t="inlineStr">
        <is>
          <t>nrGRrank</t>
        </is>
      </c>
      <c r="C172" s="2" t="inlineStr">
        <is>
          <t>'sysGrades'!$U$6:$U$55</t>
        </is>
      </c>
    </row>
    <row r="173">
      <c r="B173" s="14" t="inlineStr">
        <is>
          <t>nrGRretakes</t>
        </is>
      </c>
      <c r="C173" s="2" t="inlineStr">
        <is>
          <t>'sysGrades'!$O$6:$O$55</t>
        </is>
      </c>
    </row>
    <row r="174">
      <c r="B174" s="14" t="inlineStr">
        <is>
          <t>nrHolidays1</t>
        </is>
      </c>
      <c r="C174" s="2" t="inlineStr">
        <is>
          <t>'Control'!$C$6:$C$16</t>
        </is>
      </c>
    </row>
    <row r="175">
      <c r="B175" s="14" t="inlineStr">
        <is>
          <t>nrHolidays2</t>
        </is>
      </c>
      <c r="C175" s="2" t="inlineStr">
        <is>
          <t>'Control'!$D$6:$D$16</t>
        </is>
      </c>
    </row>
    <row r="176">
      <c r="B176" s="14" t="inlineStr">
        <is>
          <t>nrINCelig</t>
        </is>
      </c>
      <c r="C176" s="2" t="inlineStr">
        <is>
          <t>'sysIncidents'!$K$6:$K$55</t>
        </is>
      </c>
    </row>
    <row r="177">
      <c r="B177" s="14" t="inlineStr">
        <is>
          <t>nrINCopenNeg</t>
        </is>
      </c>
      <c r="C177" s="2" t="inlineStr">
        <is>
          <t>'sysIncidents'!$H$6:$H$55</t>
        </is>
      </c>
    </row>
    <row r="178">
      <c r="B178" s="14" t="inlineStr">
        <is>
          <t>nrIN_Chain</t>
        </is>
      </c>
      <c r="C178" s="2" t="inlineStr">
        <is>
          <t>'Incidents'!$L$6:$L$405</t>
        </is>
      </c>
    </row>
    <row r="179">
      <c r="B179" s="14" t="inlineStr">
        <is>
          <t>nrIN_Date</t>
        </is>
      </c>
      <c r="C179" s="2" t="inlineStr">
        <is>
          <t>'Incidents'!$C$6:$C$405</t>
        </is>
      </c>
    </row>
    <row r="180">
      <c r="B180" s="14" t="inlineStr">
        <is>
          <t>nrIN_Desc</t>
        </is>
      </c>
      <c r="C180" s="2" t="inlineStr">
        <is>
          <t>'Incidents'!$I$6:$I$405</t>
        </is>
      </c>
    </row>
    <row r="181">
      <c r="B181" s="14" t="inlineStr">
        <is>
          <t>nrIN_Dir</t>
        </is>
      </c>
      <c r="C181" s="2" t="inlineStr">
        <is>
          <t>'Incidents'!$F$6:$F$405</t>
        </is>
      </c>
    </row>
    <row r="182">
      <c r="B182" s="14" t="inlineStr">
        <is>
          <t>nrIN_PID</t>
        </is>
      </c>
      <c r="C182" s="2" t="inlineStr">
        <is>
          <t>'Incidents'!$E$6:$E$405</t>
        </is>
      </c>
    </row>
    <row r="183">
      <c r="B183" s="14" t="inlineStr">
        <is>
          <t>nrIN_Report</t>
        </is>
      </c>
      <c r="C183" s="2" t="inlineStr">
        <is>
          <t>'Incidents'!$O$6:$O$405</t>
        </is>
      </c>
    </row>
    <row r="184">
      <c r="B184" s="14" t="inlineStr">
        <is>
          <t>nrIN_Res</t>
        </is>
      </c>
      <c r="C184" s="2" t="inlineStr">
        <is>
          <t>'Incidents'!$M$6:$M$405</t>
        </is>
      </c>
    </row>
    <row r="185">
      <c r="B185" s="14" t="inlineStr">
        <is>
          <t>nrIN_Sev</t>
        </is>
      </c>
      <c r="C185" s="2" t="inlineStr">
        <is>
          <t>'Incidents'!$G$6:$G$405</t>
        </is>
      </c>
    </row>
    <row r="186">
      <c r="B186" s="14" t="inlineStr">
        <is>
          <t>nrInstrChTaught</t>
        </is>
      </c>
      <c r="C186" s="2" t="inlineStr">
        <is>
          <t>'Instructors'!$M$6:$M$95</t>
        </is>
      </c>
    </row>
    <row r="187">
      <c r="B187" s="14" t="inlineStr">
        <is>
          <t>nrInstrNames</t>
        </is>
      </c>
      <c r="C187" s="2" t="inlineStr">
        <is>
          <t>'Instructors'!$B$6:$B$95</t>
        </is>
      </c>
    </row>
    <row r="188">
      <c r="B188" s="14" t="inlineStr">
        <is>
          <t>nrInstrOnSched</t>
        </is>
      </c>
      <c r="C188" s="2" t="inlineStr">
        <is>
          <t>'Instructors'!$L$6:$L$95</t>
        </is>
      </c>
    </row>
    <row r="189">
      <c r="B189" s="14" t="inlineStr">
        <is>
          <t>nrInstrReady</t>
        </is>
      </c>
      <c r="C189" s="2" t="inlineStr">
        <is>
          <t>'Instructors'!$K$6:$K$95</t>
        </is>
      </c>
    </row>
    <row r="190">
      <c r="B190" s="14" t="inlineStr">
        <is>
          <t>nrMD_PID</t>
        </is>
      </c>
      <c r="C190" s="2" t="inlineStr">
        <is>
          <t>'Medical'!$E$6:$E$205</t>
        </is>
      </c>
    </row>
    <row r="191">
      <c r="B191" s="14" t="inlineStr">
        <is>
          <t>nrMD_Restr</t>
        </is>
      </c>
      <c r="C191" s="2" t="inlineStr">
        <is>
          <t>'Medical'!$H$6:$H$205</t>
        </is>
      </c>
    </row>
    <row r="192">
      <c r="B192" s="14" t="inlineStr">
        <is>
          <t>nrMD_Status</t>
        </is>
      </c>
      <c r="C192" s="2" t="inlineStr">
        <is>
          <t>'Medical'!$M$6:$M$205</t>
        </is>
      </c>
    </row>
    <row r="193">
      <c r="B193" s="14" t="inlineStr">
        <is>
          <t>nrME_Assigned</t>
        </is>
      </c>
      <c r="C193" s="2" t="inlineStr">
        <is>
          <t>'Memos'!$C$6:$C$305</t>
        </is>
      </c>
    </row>
    <row r="194">
      <c r="B194" s="14" t="inlineStr">
        <is>
          <t>nrME_Cadet</t>
        </is>
      </c>
      <c r="C194" s="2" t="inlineStr">
        <is>
          <t>'Memos'!$D$6:$D$305</t>
        </is>
      </c>
    </row>
    <row r="195">
      <c r="B195" s="14" t="inlineStr">
        <is>
          <t>nrME_Due</t>
        </is>
      </c>
      <c r="C195" s="2" t="inlineStr">
        <is>
          <t>'Memos'!$J$6:$J$305</t>
        </is>
      </c>
    </row>
    <row r="196">
      <c r="B196" s="14" t="inlineStr">
        <is>
          <t>nrME_PID</t>
        </is>
      </c>
      <c r="C196" s="2" t="inlineStr">
        <is>
          <t>'Memos'!$E$6:$E$305</t>
        </is>
      </c>
    </row>
    <row r="197">
      <c r="B197" s="14" t="inlineStr">
        <is>
          <t>nrME_Received</t>
        </is>
      </c>
      <c r="C197" s="2" t="inlineStr">
        <is>
          <t>'Memos'!$K$6:$K$305</t>
        </is>
      </c>
    </row>
    <row r="198">
      <c r="B198" s="14" t="inlineStr">
        <is>
          <t>nrME_Ref</t>
        </is>
      </c>
      <c r="C198" s="2" t="inlineStr">
        <is>
          <t>'Memos'!$F$6:$F$305</t>
        </is>
      </c>
    </row>
    <row r="199">
      <c r="B199" s="14" t="inlineStr">
        <is>
          <t>nrME_Report</t>
        </is>
      </c>
      <c r="C199" s="2" t="inlineStr">
        <is>
          <t>'Memos'!$M$6:$M$305</t>
        </is>
      </c>
    </row>
    <row r="200">
      <c r="B200" s="14" t="inlineStr">
        <is>
          <t>nrME_Status</t>
        </is>
      </c>
      <c r="C200" s="2" t="inlineStr">
        <is>
          <t>'Memos'!$L$6:$L$305</t>
        </is>
      </c>
    </row>
    <row r="201">
      <c r="B201" s="14" t="inlineStr">
        <is>
          <t>nrME_Subject</t>
        </is>
      </c>
      <c r="C201" s="2" t="inlineStr">
        <is>
          <t>'Memos'!$G$6:$G$305</t>
        </is>
      </c>
    </row>
    <row r="202">
      <c r="B202" s="14" t="inlineStr">
        <is>
          <t>nrMK_Credit</t>
        </is>
      </c>
      <c r="C202" s="2" t="inlineStr">
        <is>
          <t>'Makeup'!$L$6:$L$505</t>
        </is>
      </c>
    </row>
    <row r="203">
      <c r="B203" s="14" t="inlineStr">
        <is>
          <t>nrMK_Date</t>
        </is>
      </c>
      <c r="C203" s="2" t="inlineStr">
        <is>
          <t>'Makeup'!$C$6:$C$505</t>
        </is>
      </c>
    </row>
    <row r="204">
      <c r="B204" s="14" t="inlineStr">
        <is>
          <t>nrMK_Link</t>
        </is>
      </c>
      <c r="C204" s="2" t="inlineStr">
        <is>
          <t>'Makeup'!$I$6:$I$505</t>
        </is>
      </c>
    </row>
    <row r="205">
      <c r="B205" s="14" t="inlineStr">
        <is>
          <t>nrMK_Min</t>
        </is>
      </c>
      <c r="C205" s="2" t="inlineStr">
        <is>
          <t>'Makeup'!$G$6:$G$505</t>
        </is>
      </c>
    </row>
    <row r="206">
      <c r="B206" s="14" t="inlineStr">
        <is>
          <t>nrMK_PID</t>
        </is>
      </c>
      <c r="C206" s="2" t="inlineStr">
        <is>
          <t>'Makeup'!$E$6:$E$505</t>
        </is>
      </c>
    </row>
    <row r="207">
      <c r="B207" s="14" t="inlineStr">
        <is>
          <t>nrMK_Sess</t>
        </is>
      </c>
      <c r="C207" s="2" t="inlineStr">
        <is>
          <t>'Makeup'!$H$6:$H$505</t>
        </is>
      </c>
    </row>
    <row r="208">
      <c r="B208" s="14" t="inlineStr">
        <is>
          <t>nrMK_Type</t>
        </is>
      </c>
      <c r="C208" s="2" t="inlineStr">
        <is>
          <t>'Makeup'!$F$6:$F$505</t>
        </is>
      </c>
    </row>
    <row r="209">
      <c r="B209" s="14" t="inlineStr">
        <is>
          <t>nrPRGitems</t>
        </is>
      </c>
      <c r="C209" s="2" t="inlineStr">
        <is>
          <t>'Audit'!$B$32:$B$49</t>
        </is>
      </c>
    </row>
    <row r="210">
      <c r="B210" s="14" t="inlineStr">
        <is>
          <t>nrPRGmet</t>
        </is>
      </c>
      <c r="C210" s="2" t="inlineStr">
        <is>
          <t>'Audit'!$F$32:$F$49</t>
        </is>
      </c>
    </row>
    <row r="211">
      <c r="B211" s="14" t="inlineStr">
        <is>
          <t>nrPTRubricEvents</t>
        </is>
      </c>
      <c r="C211" s="2" t="inlineStr">
        <is>
          <t>'Settings'!$B$43:$B$49</t>
        </is>
      </c>
    </row>
    <row r="212">
      <c r="B212" s="14" t="inlineStr">
        <is>
          <t>nrPTRubricPoints</t>
        </is>
      </c>
      <c r="C212" s="2" t="inlineStr">
        <is>
          <t>'Settings'!$D$43:$H$49</t>
        </is>
      </c>
    </row>
    <row r="213">
      <c r="B213" s="14" t="inlineStr">
        <is>
          <t>nrPT_BasePass</t>
        </is>
      </c>
      <c r="C213" s="2" t="inlineStr">
        <is>
          <t>'PT'!$K$6:$K$55</t>
        </is>
      </c>
    </row>
    <row r="214">
      <c r="B214" s="14" t="inlineStr">
        <is>
          <t>nrPT_FinalPass</t>
        </is>
      </c>
      <c r="C214" s="2" t="inlineStr">
        <is>
          <t>'PT'!$AB$6:$AB$55</t>
        </is>
      </c>
    </row>
    <row r="215">
      <c r="B215" s="14" t="inlineStr">
        <is>
          <t>nrPT_FinalPts</t>
        </is>
      </c>
      <c r="C215" s="2" t="inlineStr">
        <is>
          <t>'PT'!$AA$6:$AA$55</t>
        </is>
      </c>
    </row>
    <row r="216">
      <c r="B216" s="14" t="inlineStr">
        <is>
          <t>nrPT_Improve</t>
        </is>
      </c>
      <c r="C216" s="2" t="inlineStr">
        <is>
          <t>'PT'!$AC$6:$AC$55</t>
        </is>
      </c>
    </row>
    <row r="217">
      <c r="B217" s="14" t="inlineStr">
        <is>
          <t>nrSCH_Act</t>
        </is>
      </c>
      <c r="C217" s="2" t="inlineStr">
        <is>
          <t>'Schedule'!$G$6:$G$905</t>
        </is>
      </c>
    </row>
    <row r="218">
      <c r="B218" s="14" t="inlineStr">
        <is>
          <t>nrSCH_ChNum</t>
        </is>
      </c>
      <c r="C218" s="2" t="inlineStr">
        <is>
          <t>'Schedule'!$H$6:$H$905</t>
        </is>
      </c>
    </row>
    <row r="219">
      <c r="B219" s="14" t="inlineStr">
        <is>
          <t>nrSCH_Date</t>
        </is>
      </c>
      <c r="C219" s="2" t="inlineStr">
        <is>
          <t>'Schedule'!$B$6:$B$905</t>
        </is>
      </c>
    </row>
    <row r="220">
      <c r="B220" s="14" t="inlineStr">
        <is>
          <t>nrSCH_End</t>
        </is>
      </c>
      <c r="C220" s="2" t="inlineStr">
        <is>
          <t>'Schedule'!$E$6:$E$905</t>
        </is>
      </c>
    </row>
    <row r="221">
      <c r="B221" s="14" t="inlineStr">
        <is>
          <t>nrSCH_Hrs</t>
        </is>
      </c>
      <c r="C221" s="2" t="inlineStr">
        <is>
          <t>'Schedule'!$F$6:$F$905</t>
        </is>
      </c>
    </row>
    <row r="222">
      <c r="B222" s="14" t="inlineStr">
        <is>
          <t>nrSCH_Instr</t>
        </is>
      </c>
      <c r="C222" s="2" t="inlineStr">
        <is>
          <t>'Schedule'!$I$6:$I$905</t>
        </is>
      </c>
    </row>
    <row r="223">
      <c r="B223" s="14" t="inlineStr">
        <is>
          <t>nrSCH_InstrOK</t>
        </is>
      </c>
      <c r="C223" s="2" t="inlineStr">
        <is>
          <t>'Schedule'!$N$6:$N$905</t>
        </is>
      </c>
    </row>
    <row r="224">
      <c r="B224" s="14" t="inlineStr">
        <is>
          <t>nrSCH_Loc</t>
        </is>
      </c>
      <c r="C224" s="2" t="inlineStr">
        <is>
          <t>'Schedule'!$J$6:$J$905</t>
        </is>
      </c>
    </row>
    <row r="225">
      <c r="B225" s="14" t="inlineStr">
        <is>
          <t>nrSCH_Start</t>
        </is>
      </c>
      <c r="C225" s="2" t="inlineStr">
        <is>
          <t>'Schedule'!$D$6:$D$905</t>
        </is>
      </c>
    </row>
    <row r="226">
      <c r="B226" s="14" t="inlineStr">
        <is>
          <t>nrSEstatus</t>
        </is>
      </c>
      <c r="C226" s="2" t="inlineStr">
        <is>
          <t>'StateExam'!$K$6:$K$55</t>
        </is>
      </c>
    </row>
    <row r="227">
      <c r="B227" s="14" t="inlineStr">
        <is>
          <t>nrSGclassavg</t>
        </is>
      </c>
      <c r="C227" s="2" t="inlineStr">
        <is>
          <t>'ScoresGrid'!$D$57:$AB$57</t>
        </is>
      </c>
    </row>
    <row r="228">
      <c r="B228" s="14" t="inlineStr">
        <is>
          <t>nrSK_Att</t>
        </is>
      </c>
      <c r="C228" s="2" t="inlineStr">
        <is>
          <t>'Skills'!$I$6:$I$605</t>
        </is>
      </c>
    </row>
    <row r="229">
      <c r="B229" s="14" t="inlineStr">
        <is>
          <t>nrSK_Cat</t>
        </is>
      </c>
      <c r="C229" s="2" t="inlineStr">
        <is>
          <t>'Skills'!$E$6:$E$605</t>
        </is>
      </c>
    </row>
    <row r="230">
      <c r="B230" s="14" t="inlineStr">
        <is>
          <t>nrSK_CoF</t>
        </is>
      </c>
      <c r="C230" s="2" t="inlineStr">
        <is>
          <t>'Skills'!$R$6:$R$605</t>
        </is>
      </c>
    </row>
    <row r="231">
      <c r="B231" s="14" t="inlineStr">
        <is>
          <t>nrSK_Dis</t>
        </is>
      </c>
      <c r="C231" s="2" t="inlineStr">
        <is>
          <t>'Skills'!$P$6:$P$605</t>
        </is>
      </c>
    </row>
    <row r="232">
      <c r="B232" s="14" t="inlineStr">
        <is>
          <t>nrSK_PID</t>
        </is>
      </c>
      <c r="C232" s="2" t="inlineStr">
        <is>
          <t>'Skills'!$D$6:$D$605</t>
        </is>
      </c>
    </row>
    <row r="233">
      <c r="B233" s="14" t="inlineStr">
        <is>
          <t>nrSK_Res</t>
        </is>
      </c>
      <c r="C233" s="2" t="inlineStr">
        <is>
          <t>'Skills'!$J$6:$J$605</t>
        </is>
      </c>
    </row>
    <row r="234">
      <c r="B234" s="14" t="inlineStr">
        <is>
          <t>nrSK_Score</t>
        </is>
      </c>
      <c r="C234" s="2" t="inlineStr">
        <is>
          <t>'Skills'!$K$6:$K$605</t>
        </is>
      </c>
    </row>
    <row r="235">
      <c r="B235" s="14" t="inlineStr">
        <is>
          <t>nrSK_Status</t>
        </is>
      </c>
      <c r="C235" s="2" t="inlineStr">
        <is>
          <t>'Skills'!$O$6:$O$605</t>
        </is>
      </c>
    </row>
    <row r="236">
      <c r="B236" s="14" t="inlineStr">
        <is>
          <t>nrSKbothCoF</t>
        </is>
      </c>
      <c r="C236" s="2" t="inlineStr">
        <is>
          <t>'sysSkills'!$P$6:$P$55</t>
        </is>
      </c>
    </row>
    <row r="237">
      <c r="B237" s="14" t="inlineStr">
        <is>
          <t>nrSKelig</t>
        </is>
      </c>
      <c r="C237" s="2" t="inlineStr">
        <is>
          <t>'sysSkills'!$K$6:$K$55</t>
        </is>
      </c>
    </row>
    <row r="238">
      <c r="B238" s="14" t="inlineStr">
        <is>
          <t>nrSKfailedout</t>
        </is>
      </c>
      <c r="C238" s="2" t="inlineStr">
        <is>
          <t>'sysSkills'!$J$6:$J$55</t>
        </is>
      </c>
    </row>
    <row r="239">
      <c r="B239" s="14" t="inlineStr">
        <is>
          <t>nrSKfirearmsAvg</t>
        </is>
      </c>
      <c r="C239" s="2" t="inlineStr">
        <is>
          <t>'sysSkills'!$L$6:$L$55</t>
        </is>
      </c>
    </row>
    <row r="240">
      <c r="B240" s="14" t="inlineStr">
        <is>
          <t>nrSUBname</t>
        </is>
      </c>
      <c r="C240" s="2" t="inlineStr">
        <is>
          <t>'ChapterMaster'!$B$56:$B$70</t>
        </is>
      </c>
    </row>
    <row r="241">
      <c r="B241" s="14" t="inlineStr">
        <is>
          <t>nrSUBparent</t>
        </is>
      </c>
      <c r="C241" s="2" t="inlineStr">
        <is>
          <t>'ChapterMaster'!$E$56:$E$70</t>
        </is>
      </c>
    </row>
    <row r="242">
      <c r="B242" s="14" t="inlineStr">
        <is>
          <t>nrSUBtarget</t>
        </is>
      </c>
      <c r="C242" s="2" t="inlineStr">
        <is>
          <t>'ChapterMaster'!$F$56:$F$70</t>
        </is>
      </c>
    </row>
    <row r="243">
      <c r="B243" s="14" t="inlineStr">
        <is>
          <t>nrScheduleItems</t>
        </is>
      </c>
      <c r="C243" s="2" t="inlineStr">
        <is>
          <t>'sysListsHelper'!$B$6:$B$89</t>
        </is>
      </c>
    </row>
    <row r="244">
      <c r="B244" s="14" t="inlineStr">
        <is>
          <t>nrSpellAvg</t>
        </is>
      </c>
      <c r="C244" s="2" t="inlineStr">
        <is>
          <t>'Spelling'!$P$6:$P$55</t>
        </is>
      </c>
    </row>
    <row r="245">
      <c r="B245" s="14" t="inlineStr">
        <is>
          <t>nrSpellClassAvg</t>
        </is>
      </c>
      <c r="C245" s="2" t="inlineStr">
        <is>
          <t>'Spelling'!$D$58:$O$58</t>
        </is>
      </c>
    </row>
    <row r="246">
      <c r="B246" s="14" t="inlineStr">
        <is>
          <t>nrSpellCounts</t>
        </is>
      </c>
      <c r="C246" s="2" t="inlineStr">
        <is>
          <t>'Spelling'!$D$57:$O$57</t>
        </is>
      </c>
    </row>
    <row r="247">
      <c r="B247" s="14" t="inlineStr">
        <is>
          <t>nrSpellFlag</t>
        </is>
      </c>
      <c r="C247" s="2" t="inlineStr">
        <is>
          <t>'Spelling'!$R$6:$R$55</t>
        </is>
      </c>
    </row>
    <row r="248">
      <c r="B248" s="14" t="inlineStr">
        <is>
          <t>nrSpellTaken</t>
        </is>
      </c>
      <c r="C248" s="2" t="inlineStr">
        <is>
          <t>'Spelling'!$Q$6:$Q$55</t>
        </is>
      </c>
    </row>
    <row r="249">
      <c r="B249" s="14" t="inlineStr">
        <is>
          <t>nrSpellTestNums</t>
        </is>
      </c>
      <c r="C249" s="2" t="inlineStr">
        <is>
          <t>'Spelling'!$D$59:$O$59</t>
        </is>
      </c>
    </row>
    <row r="250">
      <c r="B250" s="14" t="inlineStr">
        <is>
          <t>nrSpellWords</t>
        </is>
      </c>
      <c r="C250" s="2" t="inlineStr">
        <is>
          <t>'SpellingMaster'!$C$6:$N$30</t>
        </is>
      </c>
    </row>
    <row r="251">
      <c r="B251" s="14" t="inlineStr">
        <is>
          <t>nrWRcomplete</t>
        </is>
      </c>
      <c r="C251" s="2" t="inlineStr">
        <is>
          <t>'Writing'!$AR$6:$AR$55</t>
        </is>
      </c>
    </row>
    <row r="252">
      <c r="B252" s="14" t="inlineStr">
        <is>
          <t>nrWRcurrent</t>
        </is>
      </c>
      <c r="C252" s="2" t="inlineStr">
        <is>
          <t>'Writing'!$AT$6:$AT$55</t>
        </is>
      </c>
    </row>
    <row r="253">
      <c r="B253" s="14" t="inlineStr">
        <is>
          <t>nrWRoverdue</t>
        </is>
      </c>
      <c r="C253" s="2" t="inlineStr">
        <is>
          <t>'Writing'!$AS$6:$AS$55</t>
        </is>
      </c>
    </row>
    <row r="254">
      <c r="B254" s="14" t="inlineStr">
        <is>
          <t>rngAgencyActive</t>
        </is>
      </c>
      <c r="C254" s="2" t="inlineStr">
        <is>
          <t>'Agencies'!$H$6:$H$50</t>
        </is>
      </c>
    </row>
    <row r="255">
      <c r="B255" s="14" t="inlineStr">
        <is>
          <t>rngAgencyEmails</t>
        </is>
      </c>
      <c r="C255" s="2" t="inlineStr">
        <is>
          <t>'Agencies'!$E$6:$E$50</t>
        </is>
      </c>
    </row>
    <row r="256">
      <c r="B256" s="14" t="inlineStr">
        <is>
          <t>rngAgencyIDs</t>
        </is>
      </c>
      <c r="C256" s="2" t="inlineStr">
        <is>
          <t>'Agencies'!$B$6:$B$50</t>
        </is>
      </c>
    </row>
    <row r="257">
      <c r="B257" s="14" t="inlineStr">
        <is>
          <t>rngAgencyNames</t>
        </is>
      </c>
      <c r="C257" s="2" t="inlineStr">
        <is>
          <t>'Agencies'!$C$6:$C$50</t>
        </is>
      </c>
    </row>
    <row r="258">
      <c r="B258" s="14" t="inlineStr">
        <is>
          <t>rngCadetNames</t>
        </is>
      </c>
      <c r="C258" s="2" t="inlineStr">
        <is>
          <t>'Cadets'!$F$6:$F$55</t>
        </is>
      </c>
    </row>
    <row r="259">
      <c r="B259" s="14" t="inlineStr">
        <is>
          <t>rngCadetPIDs</t>
        </is>
      </c>
      <c r="C259" s="2" t="inlineStr">
        <is>
          <t>'Cadets'!$B$6:$B$55</t>
        </is>
      </c>
    </row>
    <row r="260">
      <c r="B260" s="14" t="inlineStr">
        <is>
          <t>rngEMcode</t>
        </is>
      </c>
      <c r="C260" s="2" t="inlineStr">
        <is>
          <t>'ExamMaster'!$B$6:$B$30</t>
        </is>
      </c>
    </row>
    <row r="261">
      <c r="B261" s="14" t="inlineStr">
        <is>
          <t>rngEMname</t>
        </is>
      </c>
      <c r="C261" s="2" t="inlineStr">
        <is>
          <t>'ExamMaster'!$C$6:$C$30</t>
        </is>
      </c>
    </row>
    <row r="262">
      <c r="B262" s="14" t="inlineStr">
        <is>
          <t>rngEMpass</t>
        </is>
      </c>
      <c r="C262" s="2" t="inlineStr">
        <is>
          <t>'ExamMaster'!$E$6:$E$30</t>
        </is>
      </c>
    </row>
    <row r="263">
      <c r="B263" s="14" t="inlineStr">
        <is>
          <t>rngEMseq</t>
        </is>
      </c>
      <c r="C263" s="2" t="inlineStr">
        <is>
          <t>'ExamMaster'!$F$6:$F$30</t>
        </is>
      </c>
    </row>
    <row r="264">
      <c r="B264" s="14" t="inlineStr">
        <is>
          <t>rngEMtype</t>
        </is>
      </c>
      <c r="C264" s="2" t="inlineStr">
        <is>
          <t>'ExamMaster'!$D$6:$D$30</t>
        </is>
      </c>
    </row>
    <row r="265">
      <c r="B265" s="14" t="inlineStr">
        <is>
          <t>rngEPch</t>
        </is>
      </c>
      <c r="C265" s="2" t="inlineStr">
        <is>
          <t>'ExamPlan'!$H$6:$H$30</t>
        </is>
      </c>
    </row>
    <row r="266">
      <c r="B266" s="14" t="inlineStr">
        <is>
          <t>rngEPcode</t>
        </is>
      </c>
      <c r="C266" s="2" t="inlineStr">
        <is>
          <t>'ExamPlan'!$C$6:$C$30</t>
        </is>
      </c>
    </row>
    <row r="267">
      <c r="B267" s="14" t="inlineStr">
        <is>
          <t>rngEPdate</t>
        </is>
      </c>
      <c r="C267" s="2" t="inlineStr">
        <is>
          <t>'ExamPlan'!$I$6:$I$30</t>
        </is>
      </c>
    </row>
    <row r="268">
      <c r="B268" s="14" t="inlineStr">
        <is>
          <t>rngEPname</t>
        </is>
      </c>
      <c r="C268" s="2" t="inlineStr">
        <is>
          <t>'ExamPlan'!$D$6:$D$30</t>
        </is>
      </c>
    </row>
    <row r="269">
      <c r="B269" s="14" t="inlineStr">
        <is>
          <t>rngEPpass</t>
        </is>
      </c>
      <c r="C269" s="2" t="inlineStr">
        <is>
          <t>'ExamPlan'!$F$6:$F$30</t>
        </is>
      </c>
    </row>
    <row r="270">
      <c r="B270" s="14" t="inlineStr">
        <is>
          <t>rngEPseq</t>
        </is>
      </c>
      <c r="C270" s="2" t="inlineStr">
        <is>
          <t>'ExamPlan'!$G$6:$G$30</t>
        </is>
      </c>
    </row>
    <row r="271">
      <c r="B271" s="14" t="inlineStr">
        <is>
          <t>rngEPtype</t>
        </is>
      </c>
      <c r="C271" s="2" t="inlineStr">
        <is>
          <t>'ExamPlan'!$E$6:$E$30</t>
        </is>
      </c>
    </row>
    <row r="272">
      <c r="B272" s="14" t="inlineStr">
        <is>
          <t>rngEPuse</t>
        </is>
      </c>
      <c r="C272" s="2" t="inlineStr">
        <is>
          <t>'ExamPlan'!$B$6:$B$30</t>
        </is>
      </c>
    </row>
    <row r="273">
      <c r="B273" s="14" t="inlineStr">
        <is>
          <t>rngSM_cat</t>
        </is>
      </c>
      <c r="C273" s="2" t="inlineStr">
        <is>
          <t>'SkillsMaster'!$B$6:$B$15</t>
        </is>
      </c>
    </row>
    <row r="274">
      <c r="B274" s="14" t="inlineStr">
        <is>
          <t>rngSM_max</t>
        </is>
      </c>
      <c r="C274" s="2" t="inlineStr">
        <is>
          <t>'SkillsMaster'!$C$6:$C$15</t>
        </is>
      </c>
    </row>
    <row r="275">
      <c r="B275" s="14" t="inlineStr">
        <is>
          <t>rngSM_mode</t>
        </is>
      </c>
      <c r="C275" s="2" t="inlineStr">
        <is>
          <t>'SkillsMaster'!$D$6:$D$15</t>
        </is>
      </c>
    </row>
    <row r="276">
      <c r="B276" s="14" t="inlineStr">
        <is>
          <t>rngSM_pass</t>
        </is>
      </c>
      <c r="C276" s="2" t="inlineStr">
        <is>
          <t>'SkillsMaster'!$E$6:$E$15</t>
        </is>
      </c>
    </row>
    <row r="277">
      <c r="B277" s="14" t="inlineStr">
        <is>
          <t>rngWMassigned</t>
        </is>
      </c>
      <c r="C277" s="2" t="inlineStr">
        <is>
          <t>'WritingMaster'!$K$6:$K$45</t>
        </is>
      </c>
    </row>
    <row r="278">
      <c r="B278" s="14" t="inlineStr">
        <is>
          <t>rngWMdue</t>
        </is>
      </c>
      <c r="C278" s="2" t="inlineStr">
        <is>
          <t>'WritingMaster'!$L$6:$L$45</t>
        </is>
      </c>
    </row>
    <row r="279">
      <c r="B279" s="14" t="inlineStr">
        <is>
          <t>rngWMnum</t>
        </is>
      </c>
      <c r="C279" s="2" t="inlineStr">
        <is>
          <t>'WritingMaster'!$B$6:$B$45</t>
        </is>
      </c>
    </row>
    <row r="280">
      <c r="B280" s="14" t="inlineStr">
        <is>
          <t>rngWMprompt</t>
        </is>
      </c>
      <c r="C280" s="2" t="inlineStr">
        <is>
          <t>'WritingMaster'!$M$6:$M$45</t>
        </is>
      </c>
    </row>
    <row r="281">
      <c r="B281" s="14" t="inlineStr">
        <is>
          <t>rngWMtitle</t>
        </is>
      </c>
      <c r="C281"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2026-08-20T15:34:51Z</dcterms:created>
  <dcterms:modified xsi:type="dcterms:W3CDTF">2026-08-20T15:34:56Z</dcterms:modified>
</cp:coreProperties>
</file>