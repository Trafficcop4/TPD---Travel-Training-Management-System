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Requests" sheetId="2" state="visible" r:id="rId4"/>
    <sheet name="Application" sheetId="3" state="visible" r:id="rId5"/>
    <sheet name="Pre 2-90" sheetId="4" state="visible" r:id="rId6"/>
    <sheet name="Post 2-90" sheetId="5" state="visible" r:id="rId7"/>
    <sheet name="Notification" sheetId="6" state="visible" r:id="rId8"/>
    <sheet name="Ledger" sheetId="7" state="visible" r:id="rId9"/>
    <sheet name="YTD Report" sheetId="8" state="visible" r:id="rId10"/>
    <sheet name="Settings" sheetId="9" state="visible" r:id="rId11"/>
    <sheet name="Instructions" sheetId="10" state="visible" r:id="rId12"/>
    <sheet name="Lists" sheetId="11" state="hidden" r:id="rId13"/>
  </sheets>
  <definedNames>
    <definedName function="false" hidden="false" localSheetId="2" name="_xlnm.Print_Area" vbProcedure="false">Application!$A$1:$F$40</definedName>
    <definedName function="false" hidden="false" localSheetId="0" name="_xlnm.Print_Area" vbProcedure="false">Dashboard!$A$1:$P$35</definedName>
    <definedName function="false" hidden="true" localSheetId="6" name="_xlnm._FilterDatabase" vbProcedure="false">Ledger!$A$1:$L$251</definedName>
    <definedName function="false" hidden="false" localSheetId="5" name="_xlnm.Print_Area" vbProcedure="false">Notification!$A$1:$F$24</definedName>
    <definedName function="false" hidden="false" localSheetId="4" name="_xlnm.Print_Area" vbProcedure="false">'Post 2-90'!$A$1:$G$33</definedName>
    <definedName function="false" hidden="false" localSheetId="3" name="_xlnm.Print_Area" vbProcedure="false">'Pre 2-90'!$A$1:$G$28</definedName>
    <definedName function="false" hidden="true" localSheetId="1" name="_xlnm._FilterDatabase" vbProcedure="false">Requests!$A$1:$BI$251</definedName>
    <definedName function="false" hidden="false" localSheetId="7" name="_xlnm.Print_Area" vbProcedure="false">'YTD Report'!$A$1:$G$36</definedName>
    <definedName function="false" hidden="false" name="ActiveRow" vbProcedure="false">Dashboard!$R$4</definedName>
    <definedName function="false" hidden="false" name="ActiveTrk" vbProcedure="false">Dashboard!$C$4</definedName>
    <definedName function="false" hidden="false" name="ArchiveFolder" vbProcedure="false">Settings!$C$34</definedName>
    <definedName function="false" hidden="false" name="Budget_Total" vbProcedure="false">Settings!$C$29</definedName>
    <definedName function="false" hidden="false" name="CoordName" vbProcedure="false">Settings!$C$6</definedName>
    <definedName function="false" hidden="false" name="CoordPhone" vbProcedure="false">Settings!$C$7</definedName>
    <definedName function="false" hidden="false" name="ET_ApprBody" vbProcedure="false">Settings!$C$37</definedName>
    <definedName function="false" hidden="false" name="ET_ApprSubj" vbProcedure="false">Settings!$C$36</definedName>
    <definedName function="false" hidden="false" name="ET_NotifBody" vbProcedure="false">Settings!$C$39</definedName>
    <definedName function="false" hidden="false" name="ET_NotifSubj" vbProcedure="false">Settings!$C$38</definedName>
    <definedName function="false" hidden="false" name="ET_ReimbBody" vbProcedure="false">Settings!$C$41</definedName>
    <definedName function="false" hidden="false" name="ET_ReimbSubj" vbProcedure="false">Settings!$C$40</definedName>
    <definedName function="false" hidden="false" name="FinanceEmail" vbProcedure="false">Settings!$C$8</definedName>
    <definedName function="false" hidden="false" name="FinanceLeadDays" vbProcedure="false">Settings!$C$24</definedName>
    <definedName function="false" hidden="false" name="FY_Label" vbProcedure="false">Settings!$C$26</definedName>
    <definedName function="false" hidden="false" name="FY_Start" vbProcedure="false">Settings!$C$27</definedName>
    <definedName function="false" hidden="false" name="ImportFolder" vbProcedure="false">Settings!$C$31</definedName>
    <definedName function="false" hidden="false" name="MileageRate" vbProcedure="false">Settings!$C$22</definedName>
    <definedName function="false" hidden="false" name="ModeList" vbProcedure="false">Lists!$B$2:$B$5</definedName>
    <definedName function="false" hidden="false" name="PacketFolder" vbProcedure="false">Settings!$C$33</definedName>
    <definedName function="false" hidden="false" name="PD_Bfast" vbProcedure="false">Settings!$C$10</definedName>
    <definedName function="false" hidden="false" name="PD_Dinner" vbProcedure="false">Settings!$C$12</definedName>
    <definedName function="false" hidden="false" name="PD_Incid" vbProcedure="false">Settings!$C$13</definedName>
    <definedName function="false" hidden="false" name="PD_Lunch" vbProcedure="false">Settings!$C$11</definedName>
    <definedName function="false" hidden="false" name="ProcessedFolder" vbProcedure="false">Settings!$C$32</definedName>
    <definedName function="false" hidden="false" name="ReceiptDays" vbProcedure="false">Settings!$C$23</definedName>
    <definedName function="false" hidden="false" name="StatusList" vbProcedure="false">Lists!$A$2:$A$7</definedName>
    <definedName function="false" hidden="false" name="TrainingEmail" vbProcedure="false">Settings!$C$5</definedName>
    <definedName function="false" hidden="false" name="TrkList" vbProcedure="false">Requests!$A$2:$A$251</definedName>
    <definedName function="false" hidden="false" name="TrkPrefix" vbProcedure="false">Settings!$C$28</definedName>
    <definedName function="false" hidden="false" name="T_DepBfast" vbProcedure="false">Settings!$C$15</definedName>
    <definedName function="false" hidden="false" name="T_DepDinner" vbProcedure="false">Settings!$C$17</definedName>
    <definedName function="false" hidden="false" name="T_DepLunch" vbProcedure="false">Settings!$C$16</definedName>
    <definedName function="false" hidden="false" name="T_RetBfast" vbProcedure="false">Settings!$C$18</definedName>
    <definedName function="false" hidden="false" name="T_RetDinner" vbProcedure="false">Settings!$C$20</definedName>
    <definedName function="false" hidden="false" name="T_RetLunch" vbProcedure="false">Settings!$C$19</definedName>
    <definedName function="false" hidden="false" name="YNList" vbProcedure="false">Lists!$C$2:$C$3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<sst xmlns="http://schemas.openxmlformats.org/spreadsheetml/2006/main" count="416" uniqueCount="312">
  <si>
    <t xml:space="preserve">TPD TRAINING UNIT — COMMAND DASHBOARD</t>
  </si>
  <si>
    <t xml:space="preserve">What needs doing today. Lists refresh themselves; buttons drive the paperwork for the record picked in ACTIVE RECORD.</t>
  </si>
  <si>
    <t xml:space="preserve">ACTIVE ▶</t>
  </si>
  <si>
    <t xml:space="preserve">T26-003</t>
  </si>
  <si>
    <t xml:space="preserve">Today:</t>
  </si>
  <si>
    <t xml:space="preserve">BUDGET (FY)</t>
  </si>
  <si>
    <t xml:space="preserve">SPENT</t>
  </si>
  <si>
    <t xml:space="preserve">ENCUMBERED (open est.)</t>
  </si>
  <si>
    <t xml:space="preserve">REMAINING</t>
  </si>
  <si>
    <t xml:space="preserve">REQUESTS (FY)</t>
  </si>
  <si>
    <t xml:space="preserve">DEPARTING ≤ 30 DAYS</t>
  </si>
  <si>
    <t xml:space="preserve">Trk</t>
  </si>
  <si>
    <t xml:space="preserve">Officer</t>
  </si>
  <si>
    <t xml:space="preserve">Course</t>
  </si>
  <si>
    <t xml:space="preserve">Submitted</t>
  </si>
  <si>
    <t xml:space="preserve">Departs</t>
  </si>
  <si>
    <t xml:space="preserve">Was Due</t>
  </si>
  <si>
    <t xml:space="preserve">Due (Tue)</t>
  </si>
  <si>
    <t xml:space="preserve">BUTTONS (added by the one-time installer): Import Requests • Draft Approval Email • Draft Officer Notification • Draft Settlement Email • Print Packet (PDF) • Push Deadlines to Outlook • Archive Year</t>
  </si>
  <si>
    <t xml:space="preserve">No buttons? Press Alt+F8 and run the same macros by name. Emails always OPEN FOR REVIEW — nothing sends itself. Calendar push only adds items not already pushed (Cal Pushed? column).</t>
  </si>
  <si>
    <t xml:space="preserve">Tracking #</t>
  </si>
  <si>
    <t xml:space="preserve">Status</t>
  </si>
  <si>
    <t xml:space="preserve">Rank</t>
  </si>
  <si>
    <t xml:space="preserve">Emp ID</t>
  </si>
  <si>
    <t xml:space="preserve">Division</t>
  </si>
  <si>
    <t xml:space="preserve">Officer Email</t>
  </si>
  <si>
    <t xml:space="preserve">Phone</t>
  </si>
  <si>
    <t xml:space="preserve">Supervisor</t>
  </si>
  <si>
    <t xml:space="preserve">Supervisor Email</t>
  </si>
  <si>
    <t xml:space="preserve">Course / Event</t>
  </si>
  <si>
    <t xml:space="preserve">Provider</t>
  </si>
  <si>
    <t xml:space="preserve">Location</t>
  </si>
  <si>
    <t xml:space="preserve">Class Start</t>
  </si>
  <si>
    <t xml:space="preserve">Class End</t>
  </si>
  <si>
    <t xml:space="preserve">Depart Date</t>
  </si>
  <si>
    <t xml:space="preserve">Depart Time</t>
  </si>
  <si>
    <t xml:space="preserve">Return Date</t>
  </si>
  <si>
    <t xml:space="preserve">Return Time</t>
  </si>
  <si>
    <t xml:space="preserve">Registration Est</t>
  </si>
  <si>
    <t xml:space="preserve">Nights</t>
  </si>
  <si>
    <t xml:space="preserve">Lodging Rate</t>
  </si>
  <si>
    <t xml:space="preserve">Lodging Est</t>
  </si>
  <si>
    <t xml:space="preserve">Travel Mode</t>
  </si>
  <si>
    <t xml:space="preserve">Miles (RT)</t>
  </si>
  <si>
    <t xml:space="preserve">Airfare/Other Trv</t>
  </si>
  <si>
    <t xml:space="preserve">Travel Est</t>
  </si>
  <si>
    <t xml:space="preserve">Per Diem Est</t>
  </si>
  <si>
    <t xml:space="preserve">Other Est</t>
  </si>
  <si>
    <t xml:space="preserve">TOTAL EST</t>
  </si>
  <si>
    <t xml:space="preserve">Registration Act</t>
  </si>
  <si>
    <t xml:space="preserve">Lodging Act</t>
  </si>
  <si>
    <t xml:space="preserve">Travel Act</t>
  </si>
  <si>
    <t xml:space="preserve">Per Diem Act</t>
  </si>
  <si>
    <t xml:space="preserve">Other Act</t>
  </si>
  <si>
    <t xml:space="preserve">TOTAL ACT</t>
  </si>
  <si>
    <t xml:space="preserve">Paid Direct by City</t>
  </si>
  <si>
    <t xml:space="preserve">Advance to Traveler</t>
  </si>
  <si>
    <t xml:space="preserve">Balance Due Traveler</t>
  </si>
  <si>
    <t xml:space="preserve">Approved</t>
  </si>
  <si>
    <t xml:space="preserve">Registered?</t>
  </si>
  <si>
    <t xml:space="preserve">Hotel Booked?</t>
  </si>
  <si>
    <t xml:space="preserve">Receipts Due</t>
  </si>
  <si>
    <t xml:space="preserve">Receipts Rec'd</t>
  </si>
  <si>
    <t xml:space="preserve">Finance Packet Due (Tue noon)</t>
  </si>
  <si>
    <t xml:space="preserve">Sent to Finance</t>
  </si>
  <si>
    <t xml:space="preserve">Cal Pushed?</t>
  </si>
  <si>
    <t xml:space="preserve">Coordinator Notes</t>
  </si>
  <si>
    <t xml:space="preserve">hEst</t>
  </si>
  <si>
    <t xml:space="preserve">hSpent</t>
  </si>
  <si>
    <t xml:space="preserve">hOpen</t>
  </si>
  <si>
    <t xml:space="preserve">qApproval</t>
  </si>
  <si>
    <t xml:space="preserve">qRegister</t>
  </si>
  <si>
    <t xml:space="preserve">qHotel</t>
  </si>
  <si>
    <t xml:space="preserve">qReceipts</t>
  </si>
  <si>
    <t xml:space="preserve">qFinance</t>
  </si>
  <si>
    <t xml:space="preserve">TCOLE #</t>
  </si>
  <si>
    <t xml:space="preserve">Website</t>
  </si>
  <si>
    <t xml:space="preserve">Other Desc</t>
  </si>
  <si>
    <t xml:space="preserve">Justification</t>
  </si>
  <si>
    <t xml:space="preserve">T26-001</t>
  </si>
  <si>
    <t xml:space="preserve">Closed</t>
  </si>
  <si>
    <t xml:space="preserve">SAMPLE — J. Doe</t>
  </si>
  <si>
    <t xml:space="preserve">4101</t>
  </si>
  <si>
    <t xml:space="preserve">Patrol</t>
  </si>
  <si>
    <t xml:space="preserve">jdoe@example.com</t>
  </si>
  <si>
    <t xml:space="preserve">903-555-0101</t>
  </si>
  <si>
    <t xml:space="preserve">Sgt. R. Lee</t>
  </si>
  <si>
    <t xml:space="preserve">rlee@example.com</t>
  </si>
  <si>
    <t xml:space="preserve">Interview &amp; Interrogation</t>
  </si>
  <si>
    <t xml:space="preserve">TMPA</t>
  </si>
  <si>
    <t xml:space="preserve">Plano, TX</t>
  </si>
  <si>
    <t xml:space="preserve">City Vehicle</t>
  </si>
  <si>
    <t xml:space="preserve">Y</t>
  </si>
  <si>
    <t xml:space="preserve">TCOLE intermediate certificate requirement.</t>
  </si>
  <si>
    <t xml:space="preserve">T26-002</t>
  </si>
  <si>
    <t xml:space="preserve">Travel Complete</t>
  </si>
  <si>
    <t xml:space="preserve">SAMPLE — M. Rivera</t>
  </si>
  <si>
    <t xml:space="preserve">Detective</t>
  </si>
  <si>
    <t xml:space="preserve">3877</t>
  </si>
  <si>
    <t xml:space="preserve">CID</t>
  </si>
  <si>
    <t xml:space="preserve">mrivera@example.com</t>
  </si>
  <si>
    <t xml:space="preserve">903-555-0102</t>
  </si>
  <si>
    <t xml:space="preserve">Lt. K. Ford</t>
  </si>
  <si>
    <t xml:space="preserve">kford@example.com</t>
  </si>
  <si>
    <t xml:space="preserve">Homicide Investigation</t>
  </si>
  <si>
    <t xml:space="preserve">ILEETA</t>
  </si>
  <si>
    <t xml:space="preserve">Dallas, TX</t>
  </si>
  <si>
    <t xml:space="preserve">POV</t>
  </si>
  <si>
    <t xml:space="preserve">Case-load requires homicide certification.</t>
  </si>
  <si>
    <t xml:space="preserve">SAMPLE — A. Chen</t>
  </si>
  <si>
    <t xml:space="preserve">Corporal</t>
  </si>
  <si>
    <t xml:space="preserve">4215</t>
  </si>
  <si>
    <t xml:space="preserve">Traffic</t>
  </si>
  <si>
    <t xml:space="preserve">achen@example.com</t>
  </si>
  <si>
    <t xml:space="preserve">903-555-0103</t>
  </si>
  <si>
    <t xml:space="preserve">Advanced Crash Reconstruction</t>
  </si>
  <si>
    <t xml:space="preserve">TEEX</t>
  </si>
  <si>
    <t xml:space="preserve">College Station, TX</t>
  </si>
  <si>
    <t xml:space="preserve">Required for accident-investigator certification.</t>
  </si>
  <si>
    <t xml:space="preserve">T26-004</t>
  </si>
  <si>
    <t xml:space="preserve">Awaiting Approval</t>
  </si>
  <si>
    <t xml:space="preserve">SAMPLE — T. Okafor</t>
  </si>
  <si>
    <t xml:space="preserve">4302</t>
  </si>
  <si>
    <t xml:space="preserve">tokafor@example.com</t>
  </si>
  <si>
    <t xml:space="preserve">903-555-0104</t>
  </si>
  <si>
    <t xml:space="preserve">Sgt. B. Hall</t>
  </si>
  <si>
    <t xml:space="preserve">bhall@example.com</t>
  </si>
  <si>
    <t xml:space="preserve">Crisis Intervention Training</t>
  </si>
  <si>
    <t xml:space="preserve">TCOLE Reg. Academy</t>
  </si>
  <si>
    <t xml:space="preserve">Longview, TX</t>
  </si>
  <si>
    <t xml:space="preserve">40-hr CIT — department mental-health response initiative.</t>
  </si>
  <si>
    <t xml:space="preserve">TYLER POLICE DEPARTMENT — TRAINING / TRAVEL APPLICATION</t>
  </si>
  <si>
    <t xml:space="preserve">Internal chain-of-command approval. Auto-filled from the Dashboard's ACTIVE RECORD — never type on this sheet.</t>
  </si>
  <si>
    <t xml:space="preserve">Date Submitted</t>
  </si>
  <si>
    <t xml:space="preserve">APPLICANT</t>
  </si>
  <si>
    <t xml:space="preserve">Name</t>
  </si>
  <si>
    <t xml:space="preserve">Employee ID</t>
  </si>
  <si>
    <t xml:space="preserve">COURSE / EVENT</t>
  </si>
  <si>
    <t xml:space="preserve">Provider / Host</t>
  </si>
  <si>
    <t xml:space="preserve">Class Dates</t>
  </si>
  <si>
    <t xml:space="preserve">Departure</t>
  </si>
  <si>
    <t xml:space="preserve">Return</t>
  </si>
  <si>
    <t xml:space="preserve">ESTIMATED COST  (calculated under city travel policy)</t>
  </si>
  <si>
    <t xml:space="preserve">Registration</t>
  </si>
  <si>
    <t xml:space="preserve">Lodging</t>
  </si>
  <si>
    <t xml:space="preserve">Travel / Mileage</t>
  </si>
  <si>
    <t xml:space="preserve">Per Diem (M&amp;IE)</t>
  </si>
  <si>
    <t xml:space="preserve">Other</t>
  </si>
  <si>
    <t xml:space="preserve">TOTAL ESTIMATE</t>
  </si>
  <si>
    <t xml:space="preserve">JUSTIFICATION</t>
  </si>
  <si>
    <t xml:space="preserve">APPROVALS</t>
  </si>
  <si>
    <t xml:space="preserve">Immediate Supervisor  /  Date</t>
  </si>
  <si>
    <t xml:space="preserve">Division Commander  /  Date</t>
  </si>
  <si>
    <t xml:space="preserve">Training Coordinator  /  Date</t>
  </si>
  <si>
    <t xml:space="preserve">Chief of Police / Designee  /  Date</t>
  </si>
  <si>
    <t xml:space="preserve">CITY OF TYLER — TRAVEL EXPENSE FORM 2-90 • PRE-TRIP ESTIMATE &amp; AUTHORIZATION</t>
  </si>
  <si>
    <t xml:space="preserve">Functional recreation of the Finance form — auto-filled from the ACTIVE RECORD. If Finance issues a new 2-90, replace this sheet per docs/.</t>
  </si>
  <si>
    <t xml:space="preserve">Department</t>
  </si>
  <si>
    <t xml:space="preserve">Employee</t>
  </si>
  <si>
    <t xml:space="preserve">Title / Rank</t>
  </si>
  <si>
    <t xml:space="preserve">Destination</t>
  </si>
  <si>
    <t xml:space="preserve">Purpose (course/event)</t>
  </si>
  <si>
    <t xml:space="preserve">EXPENSES  (estimated)</t>
  </si>
  <si>
    <t xml:space="preserve">Category</t>
  </si>
  <si>
    <t xml:space="preserve">Account Code</t>
  </si>
  <si>
    <t xml:space="preserve">Estimated</t>
  </si>
  <si>
    <t xml:space="preserve">Registration / Tuition</t>
  </si>
  <si>
    <t xml:space="preserve">Meals &amp; Incidentals (per diem)</t>
  </si>
  <si>
    <t xml:space="preserve">Transportation</t>
  </si>
  <si>
    <t xml:space="preserve">TOTAL</t>
  </si>
  <si>
    <t xml:space="preserve">Advance requested (if any)</t>
  </si>
  <si>
    <t xml:space="preserve">Employee  /  Date</t>
  </si>
  <si>
    <t xml:space="preserve">Department Head / Designee  /  Date</t>
  </si>
  <si>
    <t xml:space="preserve">Finance  /  Date</t>
  </si>
  <si>
    <t xml:space="preserve">CITY OF TYLER — TRAVEL EXPENSE FORM 2-90 • POST-TRIP RECONCILIATION</t>
  </si>
  <si>
    <t xml:space="preserve">EXPENSES  (estimate vs. actual)</t>
  </si>
  <si>
    <t xml:space="preserve">Actual</t>
  </si>
  <si>
    <t xml:space="preserve">Variance</t>
  </si>
  <si>
    <t xml:space="preserve">Total actual expenses</t>
  </si>
  <si>
    <t xml:space="preserve">Less: paid directly by city</t>
  </si>
  <si>
    <t xml:space="preserve">Less: advance to employee</t>
  </si>
  <si>
    <t xml:space="preserve">BALANCE DUE EMPLOYEE / (CITY)</t>
  </si>
  <si>
    <t xml:space="preserve">I certify these expenses were incurred on official city business and itemized receipts are attached.</t>
  </si>
  <si>
    <t xml:space="preserve">TPD TRAINING UNIT — ATTENDEE TRAVEL NOTIFICATION</t>
  </si>
  <si>
    <t xml:space="preserve">Give this sheet to the traveler. Auto-filled from the ACTIVE RECORD.</t>
  </si>
  <si>
    <t xml:space="preserve">To</t>
  </si>
  <si>
    <t xml:space="preserve">From</t>
  </si>
  <si>
    <t xml:space="preserve">Date</t>
  </si>
  <si>
    <t xml:space="preserve">YOUR TRIP</t>
  </si>
  <si>
    <t xml:space="preserve">Depart</t>
  </si>
  <si>
    <t xml:space="preserve">WHAT IS ARRANGED FOR YOU</t>
  </si>
  <si>
    <t xml:space="preserve">Hotel</t>
  </si>
  <si>
    <t xml:space="preserve">YOUR MONEY</t>
  </si>
  <si>
    <t xml:space="preserve">Mileage / travel</t>
  </si>
  <si>
    <t xml:space="preserve">Month</t>
  </si>
  <si>
    <t xml:space="preserve">Variance (E−A)</t>
  </si>
  <si>
    <t xml:space="preserve">Reconciled?</t>
  </si>
  <si>
    <t xml:space="preserve">FISCAL YEAR TOTALS</t>
  </si>
  <si>
    <t xml:space="preserve">TRAINING BUDGET — YEAR-TO-DATE REPORT</t>
  </si>
  <si>
    <t xml:space="preserve">BUDGET POSITION</t>
  </si>
  <si>
    <t xml:space="preserve">Adopted budget</t>
  </si>
  <si>
    <t xml:space="preserve">Spent (actuals recorded)</t>
  </si>
  <si>
    <t xml:space="preserve">Encumbered (approved, not yet reconciled)</t>
  </si>
  <si>
    <t xml:space="preserve">BY MONTH  (by departure date)</t>
  </si>
  <si>
    <t xml:space="preserve">Trips</t>
  </si>
  <si>
    <t xml:space="preserve">BY CATEGORY</t>
  </si>
  <si>
    <t xml:space="preserve">Per Diem</t>
  </si>
  <si>
    <t xml:space="preserve">SETTINGS — everything a coordinator may ever need to change</t>
  </si>
  <si>
    <t xml:space="preserve">Change VALUES in column C only. Yellow cells MUST be set before go-live. Never rename this sheet or move cells — formulas and macros read them by name.</t>
  </si>
  <si>
    <t xml:space="preserve">CONTACTS</t>
  </si>
  <si>
    <t xml:space="preserve">Training Unit mailbox</t>
  </si>
  <si>
    <t xml:space="preserve">training@tylertexas.com</t>
  </si>
  <si>
    <t xml:space="preserve">PLACEHOLDER — set to the real Training Unit email.</t>
  </si>
  <si>
    <t xml:space="preserve">Coordinator name</t>
  </si>
  <si>
    <t xml:space="preserve">Training Coordinator</t>
  </si>
  <si>
    <t xml:space="preserve">Appears on notifications and emails.</t>
  </si>
  <si>
    <t xml:space="preserve">Coordinator phone</t>
  </si>
  <si>
    <t xml:space="preserve">903-555-0100</t>
  </si>
  <si>
    <t xml:space="preserve">Finance office email</t>
  </si>
  <si>
    <t xml:space="preserve">finance@tylertexas.com</t>
  </si>
  <si>
    <t xml:space="preserve">PLACEHOLDER — where completed 2-90 packets go.</t>
  </si>
  <si>
    <t xml:space="preserve">PER DIEM — MEAL RATES  (set to current City of Tyler policy)</t>
  </si>
  <si>
    <t xml:space="preserve">Breakfast</t>
  </si>
  <si>
    <t xml:space="preserve">Placeholder = GSA standard M&amp;IE split. Verify against the current city travel policy.</t>
  </si>
  <si>
    <t xml:space="preserve">Lunch</t>
  </si>
  <si>
    <t xml:space="preserve">Dinner</t>
  </si>
  <si>
    <t xml:space="preserve">Incidentals (per day)</t>
  </si>
  <si>
    <t xml:space="preserve">Paid for every travel day, first through last. Set 0 if the city pays none.</t>
  </si>
  <si>
    <t xml:space="preserve">PER DIEM — ELIGIBILITY CUTOFFS  (which meals a travel day earns)</t>
  </si>
  <si>
    <t xml:space="preserve">Departure day: breakfast if leaving at/before</t>
  </si>
  <si>
    <t xml:space="preserve">First-day meal is reimbursable when departure is at/before this time.</t>
  </si>
  <si>
    <t xml:space="preserve">Departure day: lunch if leaving at/before</t>
  </si>
  <si>
    <t xml:space="preserve">Departure day: dinner if leaving at/before</t>
  </si>
  <si>
    <t xml:space="preserve">Return day: breakfast if back at/after</t>
  </si>
  <si>
    <t xml:space="preserve">Last-day meal is reimbursable when return is at/after this time.</t>
  </si>
  <si>
    <t xml:space="preserve">Return day: lunch if back at/after</t>
  </si>
  <si>
    <t xml:space="preserve">Return day: dinner if back at/after</t>
  </si>
  <si>
    <t xml:space="preserve">RATES &amp; DEADLINES</t>
  </si>
  <si>
    <t xml:space="preserve">Mileage rate (POV, per mile)</t>
  </si>
  <si>
    <t xml:space="preserve">PLACEHOLDER — set to the current IRS/city rate.</t>
  </si>
  <si>
    <t xml:space="preserve">Receipts due (days after return)</t>
  </si>
  <si>
    <t xml:space="preserve">Drives the Receipts Due column and the overdue queue.</t>
  </si>
  <si>
    <t xml:space="preserve">Finance lead time (days before departure)</t>
  </si>
  <si>
    <t xml:space="preserve">Packet deadline = the TUESDAY on/before (departure − this many days). Packets reaching Finance by Tuesday NOON get a check cut that week.</t>
  </si>
  <si>
    <t xml:space="preserve">FISCAL YEAR &amp; BUDGET</t>
  </si>
  <si>
    <t xml:space="preserve">Fiscal year label</t>
  </si>
  <si>
    <t xml:space="preserve">FY26</t>
  </si>
  <si>
    <t xml:space="preserve">City FY runs Oct 1 – Sep 30.</t>
  </si>
  <si>
    <t xml:space="preserve">Fiscal year start</t>
  </si>
  <si>
    <t xml:space="preserve">First day of the FY this workbook covers. Drives the YTD report months.</t>
  </si>
  <si>
    <t xml:space="preserve">Tracking # prefix</t>
  </si>
  <si>
    <t xml:space="preserve">T26-</t>
  </si>
  <si>
    <t xml:space="preserve">Import assigns T26-001, T26-002, … Change at rollover (see Instructions).</t>
  </si>
  <si>
    <t xml:space="preserve">Training budget (this FY)</t>
  </si>
  <si>
    <t xml:space="preserve">PLACEHOLDER — set to the adopted budget line.</t>
  </si>
  <si>
    <t xml:space="preserve">FOLDERS  (full paths; used by the macros)</t>
  </si>
  <si>
    <t xml:space="preserve">Incoming request forms</t>
  </si>
  <si>
    <t xml:space="preserve">H:\Training\Requests\Inbox</t>
  </si>
  <si>
    <t xml:space="preserve">The Import button reads every officer request form saved here.</t>
  </si>
  <si>
    <t xml:space="preserve">Processed request forms</t>
  </si>
  <si>
    <t xml:space="preserve">H:\Training\Requests\Processed</t>
  </si>
  <si>
    <t xml:space="preserve">Imported forms are moved here, renamed to their tracking number.</t>
  </si>
  <si>
    <t xml:space="preserve">Printed packets (PDF)</t>
  </si>
  <si>
    <t xml:space="preserve">H:\Training\Packets</t>
  </si>
  <si>
    <t xml:space="preserve">Print Packet saves the PDF here before opening it.</t>
  </si>
  <si>
    <t xml:space="preserve">Year-end archives</t>
  </si>
  <si>
    <t xml:space="preserve">H:\Training\Archive</t>
  </si>
  <si>
    <t xml:space="preserve">Archive Year saves the closing FY's copy here.</t>
  </si>
  <si>
    <t xml:space="preserve">EMAIL TEMPLATES  — placeholders in {braces} are filled automatically</t>
  </si>
  <si>
    <t xml:space="preserve">Approval request — subject</t>
  </si>
  <si>
    <t xml:space="preserve">Training approval needed: {OFFICER} — {COURSE} ({TRK})</t>
  </si>
  <si>
    <t xml:space="preserve">Placeholders: {TRK} {OFFICER} {RANK} {COURSE} {PROVIDER} {LOCATION} {DATES} {DEPART} {RETURN} {TOTAL} {RECEIPTS_DUE} {BALANCE} {COORD} {PHONE}</t>
  </si>
  <si>
    <t xml:space="preserve">Approval request — body</t>
  </si>
  <si>
    <t xml:space="preserve">{SUPERVISOR},
Please review the attached training application for {RANK} {OFFICER}:
    Course:  {COURSE} — {PROVIDER}
    Where:   {LOCATION}
    Dates:   {DATES}
    Estimated cost:  {TOTAL}
Reply to this email with your approval or denial.
{COORD}
Training Unit — {PHONE}</t>
  </si>
  <si>
    <t xml:space="preserve">Officer notification — subject</t>
  </si>
  <si>
    <t xml:space="preserve">Your training is booked: {COURSE} ({TRK})</t>
  </si>
  <si>
    <t xml:space="preserve">Officer notification — body</t>
  </si>
  <si>
    <t xml:space="preserve">{RANK} {OFFICER},
You are confirmed for {COURSE} in {LOCATION}, {DATES}.
Departure {DEPART} — return {RETURN}.
Your notification sheet is attached; it lists what is prepaid and your per diem.
Keep EVERY itemized receipt — they are due to the Training Unit by {RECEIPTS_DUE}.
{COORD}
Training Unit — {PHONE}</t>
  </si>
  <si>
    <t xml:space="preserve">Post-trip settlement — subject</t>
  </si>
  <si>
    <t xml:space="preserve">Training trip {TRK} — expense settlement</t>
  </si>
  <si>
    <t xml:space="preserve">Post-trip settlement — body</t>
  </si>
  <si>
    <t xml:space="preserve">{RANK} {OFFICER},
Your expense reconciliation for {COURSE} is complete.
Balance: {BALANCE}
(A positive balance is owed to you; a negative balance is owed back to the city.)
Contact me with any questions before this goes to Finance.
{COORD}
Training Unit — {PHONE}</t>
  </si>
  <si>
    <t xml:space="preserve">HOW THIS WORKBOOK RUNS THE TRAINING DESK</t>
  </si>
  <si>
    <t xml:space="preserve">The short version. Full manuals live in the docs folder of the project.</t>
  </si>
  <si>
    <t xml:space="preserve">THE DAILY LOOP</t>
  </si>
  <si>
    <t xml:space="preserve">1.  Open the Dashboard. The five queues ARE your to-do list.</t>
  </si>
  <si>
    <t xml:space="preserve">2.  Click IMPORT REQUESTS — every form officers emailed in is pulled in and given the next tracking number automatically.</t>
  </si>
  <si>
    <t xml:space="preserve">3.  Pick a record in ACTIVE RECORD. Application, 2-90s and Notification fill themselves. Draft the approval email; when approval comes back, set Status = Approved and enter the date.</t>
  </si>
  <si>
    <t xml:space="preserve">4.  Register, book the hotel, mark the Y columns. Draft the officer notification. PUSH DEADLINES TO OUTLOOK adds any calendar items not already pushed.</t>
  </si>
  <si>
    <t xml:space="preserve">5.  After the trip: enter actuals, receipts date, draft the settlement email, print the packet, send to Finance by TUESDAY NOON, enter the sent date.</t>
  </si>
  <si>
    <t xml:space="preserve">RULES THE WORKBOOK LIVES BY</t>
  </si>
  <si>
    <t xml:space="preserve">•  All math is spreadsheet formulas — per diem, deadlines, ledger, YTD. Code only touches what formulas can't: email, printing, calendar, importing.</t>
  </si>
  <si>
    <t xml:space="preserve">•  Emails always OPEN for your review. Nothing ever sends itself.</t>
  </si>
  <si>
    <t xml:space="preserve">•  Application, Pre 2-90 and Post 2-90 are PROTECTED — never type on them; they fill from the active record. (Review &gt; Unprotect Sheet if you must fix layout; no password.)</t>
  </si>
  <si>
    <t xml:space="preserve">•  Every number or address you might need to change lives on Settings.</t>
  </si>
  <si>
    <t xml:space="preserve">•  Rows 2–5 of Requests are SAMPLE records (officers named 'SAMPLE —'). Delete their rows' typed values before go-live; leave formula columns alone.</t>
  </si>
  <si>
    <t xml:space="preserve">•  Need more than 250 rows? Select the last data row's formula cells and fill down as far as needed.</t>
  </si>
  <si>
    <t xml:space="preserve">YEAR-END ROLLOVER — THE 10-MINUTE PROCEDURE</t>
  </si>
  <si>
    <t xml:space="preserve">1.  (2 min) Finish reconciling — Ledger column L should read Yes on every row that had travel; chase anything Open.</t>
  </si>
  <si>
    <t xml:space="preserve">2.  (1 min) Dashboard &gt; ARCHIVE YEAR. It saves a full copy to the archive folder named 'TPD_Training_Master_&lt;FY&gt;.xlsx' — that file IS the permanent record.</t>
  </si>
  <si>
    <t xml:space="preserve">3.  (2 min) In THIS workbook: Settings — advance FY label (FY26→FY27), FY start (+1 year), tracking prefix (T26-→T27-), new budget figure.</t>
  </si>
  <si>
    <t xml:space="preserve">4.  (3 min) Requests sheet: delete the VALUES in the input columns of all data rows (don't touch formula columns W, AA, AB, AD, AJ, AM, AR, AT or the helper columns AX–BE). Carry forward any trip that straddles the new year by re-importing or retyping it with a new-year tracking number.</t>
  </si>
  <si>
    <t xml:space="preserve">5.  (2 min) Verify: Dashboard tiles read zero; YTD months show the new year; Save. Done — the docs folder has the same list with screenshots.</t>
  </si>
  <si>
    <t xml:space="preserve">IF A MACRO BUTTON IS MISSING</t>
  </si>
  <si>
    <t xml:space="preserve">Alt+F8 lists every macro by name (ImportRequests, DraftApprovalEmail, DraftOfficerNotification, DraftSettlementEmail, PrintPacket, PushDeadlinesToOutlook, ArchiveYear). The installer in the project's tools folder re-adds the buttons.</t>
  </si>
  <si>
    <t xml:space="preserve">Statuses</t>
  </si>
  <si>
    <t xml:space="preserve">Travel Modes</t>
  </si>
  <si>
    <t xml:space="preserve">Y/N</t>
  </si>
  <si>
    <t xml:space="preserve">N</t>
  </si>
  <si>
    <t xml:space="preserve">Denied</t>
  </si>
  <si>
    <t xml:space="preserve">Air</t>
  </si>
  <si>
    <t xml:space="preserve">Cancelled</t>
  </si>
</sst>
</file>

<file path=xl/styles.xml><?xml version="1.0" encoding="utf-8"?>
<styleSheet xmlns="http://schemas.openxmlformats.org/spreadsheetml/2006/main">
  <numFmts count="8">
    <numFmt numFmtId="164" formatCode="General"/>
    <numFmt numFmtId="165" formatCode="mm/dd/yyyy"/>
    <numFmt numFmtId="166" formatCode="General"/>
    <numFmt numFmtId="167" formatCode="\$#,##0"/>
    <numFmt numFmtId="168" formatCode="0"/>
    <numFmt numFmtId="169" formatCode="h:mm\ AM/PM"/>
    <numFmt numFmtId="170" formatCode="\$#,##0.00"/>
    <numFmt numFmtId="171" formatCode="\$0.000"/>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FFFFFF"/>
      <name val="Arial"/>
      <family val="0"/>
      <charset val="1"/>
    </font>
    <font>
      <sz val="10"/>
      <name val="Arial"/>
      <family val="0"/>
      <charset val="1"/>
    </font>
    <font>
      <b val="true"/>
      <sz val="10"/>
      <color rgb="FF1F3B5C"/>
      <name val="Arial"/>
      <family val="0"/>
      <charset val="1"/>
    </font>
    <font>
      <b val="true"/>
      <sz val="12"/>
      <color rgb="FF0000FF"/>
      <name val="Arial"/>
      <family val="0"/>
      <charset val="1"/>
    </font>
    <font>
      <i val="true"/>
      <sz val="9"/>
      <color rgb="FF555555"/>
      <name val="Arial"/>
      <family val="0"/>
      <charset val="1"/>
    </font>
    <font>
      <b val="true"/>
      <sz val="8"/>
      <color rgb="FFFFFFFF"/>
      <name val="Arial"/>
      <family val="0"/>
      <charset val="1"/>
    </font>
    <font>
      <b val="true"/>
      <sz val="14"/>
      <color rgb="FF1F3B5C"/>
      <name val="Arial"/>
      <family val="0"/>
      <charset val="1"/>
    </font>
    <font>
      <b val="true"/>
      <sz val="11"/>
      <color rgb="FFFFFFFF"/>
      <name val="Arial"/>
      <family val="0"/>
      <charset val="1"/>
    </font>
    <font>
      <b val="true"/>
      <sz val="8"/>
      <color rgb="FF1F3B5C"/>
      <name val="Arial"/>
      <family val="0"/>
      <charset val="1"/>
    </font>
    <font>
      <sz val="9"/>
      <name val="Arial"/>
      <family val="0"/>
      <charset val="1"/>
    </font>
    <font>
      <b val="true"/>
      <sz val="9"/>
      <color rgb="FFC0392B"/>
      <name val="Arial"/>
      <family val="0"/>
      <charset val="1"/>
    </font>
    <font>
      <b val="true"/>
      <sz val="9"/>
      <color rgb="FFFFFFFF"/>
      <name val="Arial"/>
      <family val="0"/>
      <charset val="1"/>
    </font>
    <font>
      <b val="true"/>
      <sz val="10"/>
      <name val="Arial"/>
      <family val="0"/>
      <charset val="1"/>
    </font>
    <font>
      <i val="true"/>
      <sz val="8"/>
      <color rgb="FF555555"/>
      <name val="Arial"/>
      <family val="0"/>
      <charset val="1"/>
    </font>
    <font>
      <sz val="10"/>
      <color rgb="FF0000FF"/>
      <name val="Arial"/>
      <family val="0"/>
      <charset val="1"/>
    </font>
  </fonts>
  <fills count="9">
    <fill>
      <patternFill patternType="none"/>
    </fill>
    <fill>
      <patternFill patternType="gray125"/>
    </fill>
    <fill>
      <patternFill patternType="solid">
        <fgColor rgb="FF1F3B5C"/>
        <bgColor rgb="FF333399"/>
      </patternFill>
    </fill>
    <fill>
      <patternFill patternType="solid">
        <fgColor rgb="FFC8A24B"/>
        <bgColor rgb="FF9AA5B1"/>
      </patternFill>
    </fill>
    <fill>
      <patternFill patternType="solid">
        <fgColor rgb="FFEDEFF2"/>
        <bgColor rgb="FFDCE3EB"/>
      </patternFill>
    </fill>
    <fill>
      <patternFill patternType="solid">
        <fgColor rgb="FFFFF2CC"/>
        <bgColor rgb="FFEDEFF2"/>
      </patternFill>
    </fill>
    <fill>
      <patternFill patternType="solid">
        <fgColor rgb="FF44607E"/>
        <bgColor rgb="FF555555"/>
      </patternFill>
    </fill>
    <fill>
      <patternFill patternType="solid">
        <fgColor rgb="FFDCE3EB"/>
        <bgColor rgb="FFEDEFF2"/>
      </patternFill>
    </fill>
    <fill>
      <patternFill patternType="solid">
        <fgColor rgb="FFFFFFFF"/>
        <bgColor rgb="FFEDEFF2"/>
      </patternFill>
    </fill>
  </fills>
  <borders count="3">
    <border diagonalUp="false" diagonalDown="false">
      <left/>
      <right/>
      <top/>
      <bottom/>
      <diagonal/>
    </border>
    <border diagonalUp="false" diagonalDown="false">
      <left style="thin">
        <color rgb="FF9AA5B1"/>
      </left>
      <right style="thin">
        <color rgb="FF9AA5B1"/>
      </right>
      <top style="thin">
        <color rgb="FF9AA5B1"/>
      </top>
      <bottom style="thin">
        <color rgb="FF9AA5B1"/>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right"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false" applyProtection="false">
      <alignment horizontal="general" vertical="bottom" textRotation="0" wrapText="false" indent="0" shrinkToFit="false"/>
      <protection locked="true" hidden="false"/>
    </xf>
    <xf numFmtId="165" fontId="7" fillId="4"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10" fillId="6" borderId="0" xfId="0" applyFont="true" applyBorder="true" applyAlignment="true" applyProtection="false">
      <alignment horizontal="center" vertical="center" textRotation="0" wrapText="false" indent="0" shrinkToFit="false"/>
      <protection locked="true" hidden="false"/>
    </xf>
    <xf numFmtId="167" fontId="11" fillId="7" borderId="0" xfId="0" applyFont="true" applyBorder="true" applyAlignment="true" applyProtection="false">
      <alignment horizontal="center" vertical="center" textRotation="0" wrapText="false" indent="0" shrinkToFit="false"/>
      <protection locked="true" hidden="false"/>
    </xf>
    <xf numFmtId="168" fontId="11" fillId="7" borderId="0"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left" vertical="center" textRotation="0" wrapText="false" indent="0" shrinkToFit="false"/>
      <protection locked="true" hidden="false"/>
    </xf>
    <xf numFmtId="164" fontId="13"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65" fontId="14" fillId="4" borderId="1" xfId="0" applyFont="true" applyBorder="true" applyAlignment="false" applyProtection="false">
      <alignment horizontal="general" vertical="bottom" textRotation="0" wrapText="false" indent="0" shrinkToFit="false"/>
      <protection locked="true" hidden="false"/>
    </xf>
    <xf numFmtId="165" fontId="15" fillId="4" borderId="1" xfId="0" applyFont="true" applyBorder="true" applyAlignment="false" applyProtection="false">
      <alignment horizontal="general" vertical="bottom" textRotation="0" wrapText="false" indent="0" shrinkToFit="false"/>
      <protection locked="true" hidden="false"/>
    </xf>
    <xf numFmtId="164" fontId="12" fillId="6" borderId="0" xfId="0" applyFont="true" applyBorder="true" applyAlignment="true" applyProtection="false">
      <alignment horizontal="left" vertical="center"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xf numFmtId="164" fontId="16" fillId="2" borderId="0" xfId="0" applyFont="true" applyBorder="false" applyAlignment="true" applyProtection="false">
      <alignment horizontal="center" vertical="center" textRotation="0" wrapText="true" indent="0" shrinkToFit="false"/>
      <protection locked="true" hidden="false"/>
    </xf>
    <xf numFmtId="164" fontId="16" fillId="6" borderId="0" xfId="0" applyFont="true" applyBorder="false" applyAlignment="true" applyProtection="false">
      <alignment horizontal="center" vertical="center" textRotation="0" wrapText="true" indent="0" shrinkToFit="false"/>
      <protection locked="true" hidden="false"/>
    </xf>
    <xf numFmtId="164" fontId="14" fillId="7" borderId="0" xfId="0" applyFont="true" applyBorder="false" applyAlignment="false" applyProtection="false">
      <alignment horizontal="general" vertical="bottom" textRotation="0" wrapText="false" indent="0" shrinkToFit="false"/>
      <protection locked="true" hidden="false"/>
    </xf>
    <xf numFmtId="165" fontId="14" fillId="7" borderId="0" xfId="0" applyFont="true" applyBorder="false" applyAlignment="false" applyProtection="false">
      <alignment horizontal="general" vertical="bottom" textRotation="0" wrapText="false" indent="0" shrinkToFit="false"/>
      <protection locked="true" hidden="false"/>
    </xf>
    <xf numFmtId="169" fontId="14" fillId="7" borderId="0" xfId="0" applyFont="true" applyBorder="false" applyAlignment="false" applyProtection="false">
      <alignment horizontal="general" vertical="bottom" textRotation="0" wrapText="false" indent="0" shrinkToFit="false"/>
      <protection locked="true" hidden="false"/>
    </xf>
    <xf numFmtId="170" fontId="14" fillId="7" borderId="0" xfId="0" applyFont="true" applyBorder="false" applyAlignment="false" applyProtection="false">
      <alignment horizontal="general" vertical="bottom" textRotation="0" wrapText="false" indent="0" shrinkToFit="false"/>
      <protection locked="true" hidden="false"/>
    </xf>
    <xf numFmtId="168" fontId="14" fillId="7"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4" fontId="17" fillId="8" borderId="1" xfId="0" applyFont="true" applyBorder="true" applyAlignment="true" applyProtection="false">
      <alignment horizontal="left" vertical="center" textRotation="0" wrapText="false" indent="0" shrinkToFit="false"/>
      <protection locked="true" hidden="false"/>
    </xf>
    <xf numFmtId="165" fontId="6" fillId="8" borderId="1"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left" vertical="center" textRotation="0" wrapText="false" indent="0" shrinkToFit="false"/>
      <protection locked="true" hidden="false"/>
    </xf>
    <xf numFmtId="170" fontId="6" fillId="8" borderId="1" xfId="0" applyFont="true" applyBorder="true" applyAlignment="true" applyProtection="false">
      <alignment horizontal="left" vertical="center" textRotation="0" wrapText="false" indent="0" shrinkToFit="false"/>
      <protection locked="true" hidden="false"/>
    </xf>
    <xf numFmtId="170" fontId="17" fillId="7" borderId="1" xfId="0" applyFont="true" applyBorder="true" applyAlignment="true" applyProtection="false">
      <alignment horizontal="left" vertical="center" textRotation="0" wrapText="fals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6" fillId="4" borderId="2" xfId="0" applyFont="true" applyBorder="true" applyAlignment="false" applyProtection="false">
      <alignment horizontal="general" vertical="bottom" textRotation="0" wrapText="false" indent="0" shrinkToFit="false"/>
      <protection locked="true" hidden="false"/>
    </xf>
    <xf numFmtId="164" fontId="18" fillId="4"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9" fillId="5" borderId="1" xfId="0" applyFont="true" applyBorder="true" applyAlignment="false" applyProtection="true">
      <alignment horizontal="general" vertical="bottom" textRotation="0" wrapText="false" indent="0" shrinkToFit="false"/>
      <protection locked="false" hidden="false"/>
    </xf>
    <xf numFmtId="170" fontId="6" fillId="4"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70" fontId="7" fillId="7" borderId="1" xfId="0" applyFont="true" applyBorder="true" applyAlignment="false" applyProtection="false">
      <alignment horizontal="general" vertical="bottom" textRotation="0" wrapText="false" indent="0" shrinkToFit="false"/>
      <protection locked="true" hidden="false"/>
    </xf>
    <xf numFmtId="170" fontId="19" fillId="5" borderId="1" xfId="0" applyFont="true" applyBorder="true" applyAlignment="false" applyProtection="true">
      <alignment horizontal="general" vertical="bottom" textRotation="0" wrapText="false" indent="0" shrinkToFit="false"/>
      <protection locked="false" hidden="false"/>
    </xf>
    <xf numFmtId="170" fontId="17" fillId="8" borderId="1" xfId="0" applyFont="true" applyBorder="true" applyAlignment="true" applyProtection="false">
      <alignment horizontal="left"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70" fontId="7" fillId="7"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true" applyAlignment="false" applyProtection="false">
      <alignment horizontal="general" vertical="bottom" textRotation="0" wrapText="false" indent="0" shrinkToFit="false"/>
      <protection locked="true" hidden="false"/>
    </xf>
    <xf numFmtId="170" fontId="6" fillId="4"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true" applyAlignment="false" applyProtection="false">
      <alignment horizontal="general" vertical="bottom" textRotation="0" wrapText="false" indent="0" shrinkToFit="false"/>
      <protection locked="true" hidden="false"/>
    </xf>
    <xf numFmtId="165" fontId="18" fillId="4" borderId="0" xfId="0" applyFont="true" applyBorder="false" applyAlignment="false" applyProtection="false">
      <alignment horizontal="general" vertical="bottom" textRotation="0" wrapText="false" indent="0" shrinkToFit="false"/>
      <protection locked="true" hidden="false"/>
    </xf>
    <xf numFmtId="168" fontId="6" fillId="4" borderId="1" xfId="0" applyFont="true" applyBorder="true" applyAlignment="false" applyProtection="false">
      <alignment horizontal="general" vertical="bottom" textRotation="0" wrapText="false" indent="0" shrinkToFit="false"/>
      <protection locked="true" hidden="false"/>
    </xf>
    <xf numFmtId="168" fontId="7" fillId="7" borderId="1" xfId="0" applyFont="true" applyBorder="true" applyAlignment="false" applyProtection="false">
      <alignment horizontal="general" vertical="bottom" textRotation="0" wrapText="false" indent="0" shrinkToFit="false"/>
      <protection locked="true" hidden="false"/>
    </xf>
    <xf numFmtId="164" fontId="19" fillId="5" borderId="1" xfId="0" applyFont="true" applyBorder="true" applyAlignment="true" applyProtection="false">
      <alignment horizontal="left" vertical="center" textRotation="0" wrapText="false" indent="0" shrinkToFit="false"/>
      <protection locked="true" hidden="false"/>
    </xf>
    <xf numFmtId="164" fontId="9" fillId="4" borderId="0" xfId="0" applyFont="true" applyBorder="false" applyAlignment="true" applyProtection="false">
      <alignment horizontal="left" vertical="top" textRotation="0" wrapText="true" indent="0" shrinkToFit="false"/>
      <protection locked="true" hidden="false"/>
    </xf>
    <xf numFmtId="170" fontId="19" fillId="5" borderId="1" xfId="0" applyFont="true" applyBorder="true" applyAlignment="true" applyProtection="false">
      <alignment horizontal="left" vertical="center" textRotation="0" wrapText="false" indent="0" shrinkToFit="false"/>
      <protection locked="true" hidden="false"/>
    </xf>
    <xf numFmtId="169" fontId="19" fillId="8" borderId="1" xfId="0" applyFont="true" applyBorder="true" applyAlignment="true" applyProtection="false">
      <alignment horizontal="left" vertical="center" textRotation="0" wrapText="false" indent="0" shrinkToFit="false"/>
      <protection locked="true" hidden="false"/>
    </xf>
    <xf numFmtId="171" fontId="19" fillId="5" borderId="1" xfId="0" applyFont="true" applyBorder="true" applyAlignment="true" applyProtection="false">
      <alignment horizontal="left" vertical="center" textRotation="0" wrapText="false" indent="0" shrinkToFit="false"/>
      <protection locked="true" hidden="false"/>
    </xf>
    <xf numFmtId="168" fontId="19" fillId="8" borderId="1" xfId="0" applyFont="true" applyBorder="true" applyAlignment="true" applyProtection="false">
      <alignment horizontal="left" vertical="center" textRotation="0" wrapText="false" indent="0" shrinkToFit="false"/>
      <protection locked="true" hidden="false"/>
    </xf>
    <xf numFmtId="164" fontId="19" fillId="8" borderId="1" xfId="0" applyFont="true" applyBorder="true" applyAlignment="true" applyProtection="false">
      <alignment horizontal="left" vertical="center" textRotation="0" wrapText="false" indent="0" shrinkToFit="false"/>
      <protection locked="true" hidden="false"/>
    </xf>
    <xf numFmtId="165" fontId="19" fillId="8" borderId="1" xfId="0" applyFont="true" applyBorder="true" applyAlignment="true" applyProtection="false">
      <alignment horizontal="left" vertical="center" textRotation="0" wrapText="false" indent="0" shrinkToFit="false"/>
      <protection locked="true" hidden="false"/>
    </xf>
    <xf numFmtId="164" fontId="19" fillId="8" borderId="1" xfId="0" applyFont="true" applyBorder="true" applyAlignment="true" applyProtection="false">
      <alignment horizontal="left" vertical="top" textRotation="0" wrapText="true" indent="0" shrinkToFit="false"/>
      <protection locked="true" hidden="false"/>
    </xf>
    <xf numFmtId="164" fontId="6" fillId="4" borderId="0" xfId="0" applyFont="true" applyBorder="fals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3B5C"/>
          <bgColor rgb="FF000000"/>
        </patternFill>
      </fill>
    </dxf>
    <dxf>
      <fill>
        <patternFill patternType="solid">
          <fgColor rgb="FFDCE3EB"/>
          <bgColor rgb="FF000000"/>
        </patternFill>
      </fill>
    </dxf>
    <dxf>
      <fill>
        <patternFill patternType="solid">
          <bgColor rgb="FF000000"/>
        </patternFill>
      </fill>
    </dxf>
    <dxf>
      <fill>
        <patternFill patternType="solid">
          <fgColor rgb="FFFFFFFF"/>
          <bgColor rgb="FF000000"/>
        </patternFill>
      </fill>
    </dxf>
    <dxf>
      <fill>
        <patternFill patternType="solid">
          <fgColor rgb="FF44607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FF2"/>
      <rgbColor rgb="FF660066"/>
      <rgbColor rgb="FFFF8080"/>
      <rgbColor rgb="FF0066CC"/>
      <rgbColor rgb="FFDCE3E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8A24B"/>
      <rgbColor rgb="FFFF6600"/>
      <rgbColor rgb="FF44607E"/>
      <rgbColor rgb="FF9AA5B1"/>
      <rgbColor rgb="FF1F3B5C"/>
      <rgbColor rgb="FF339966"/>
      <rgbColor rgb="FF003300"/>
      <rgbColor rgb="FF333300"/>
      <rgbColor rgb="FFC0392B"/>
      <rgbColor rgb="FF993366"/>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V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11"/>
    <col collapsed="false" customWidth="true" hidden="false" outlineLevel="0" max="3" min="3" style="0" width="20"/>
    <col collapsed="false" customWidth="true" hidden="false" outlineLevel="0" max="4" min="4" style="0" width="30"/>
    <col collapsed="false" customWidth="true" hidden="false" outlineLevel="0" max="5" min="5" style="0" width="13"/>
    <col collapsed="false" customWidth="true" hidden="false" outlineLevel="0" max="6" min="6" style="0" width="3"/>
    <col collapsed="false" customWidth="true" hidden="false" outlineLevel="0" max="7" min="7" style="0" width="11"/>
    <col collapsed="false" customWidth="true" hidden="false" outlineLevel="0" max="8" min="8" style="0" width="20"/>
    <col collapsed="false" customWidth="true" hidden="false" outlineLevel="0" max="9" min="9" style="0" width="30"/>
    <col collapsed="false" customWidth="true" hidden="false" outlineLevel="0" max="10" min="10" style="0" width="13"/>
    <col collapsed="false" customWidth="true" hidden="false" outlineLevel="0" max="11" min="11" style="0" width="3"/>
    <col collapsed="false" customWidth="true" hidden="false" outlineLevel="0" max="12" min="12" style="0" width="11"/>
    <col collapsed="false" customWidth="true" hidden="false" outlineLevel="0" max="13" min="13" style="0" width="20"/>
    <col collapsed="false" customWidth="true" hidden="false" outlineLevel="0" max="14" min="14" style="0" width="30"/>
    <col collapsed="false" customWidth="true" hidden="false" outlineLevel="0" max="15" min="15" style="0" width="13"/>
    <col collapsed="false" customWidth="true" hidden="false" outlineLevel="0" max="16" min="16" style="0" width="2"/>
    <col collapsed="false" customWidth="true" hidden="true" outlineLevel="0" max="22" min="18" style="0" width="6"/>
  </cols>
  <sheetData>
    <row r="1" customFormat="false" ht="25.5" hidden="false" customHeight="true" outlineLevel="0" collapsed="false">
      <c r="A1" s="1" t="s">
        <v>0</v>
      </c>
      <c r="B1" s="1"/>
      <c r="C1" s="1"/>
      <c r="D1" s="1"/>
      <c r="E1" s="1"/>
      <c r="F1" s="1"/>
      <c r="G1" s="1"/>
      <c r="H1" s="1"/>
      <c r="I1" s="1"/>
      <c r="J1" s="1"/>
      <c r="K1" s="1"/>
      <c r="L1" s="1"/>
      <c r="M1" s="1"/>
      <c r="N1" s="1"/>
      <c r="O1" s="1"/>
      <c r="P1" s="1"/>
    </row>
    <row r="2" customFormat="false" ht="13.5" hidden="false" customHeight="true" outlineLevel="0" collapsed="false">
      <c r="A2" s="2" t="s">
        <v>1</v>
      </c>
      <c r="B2" s="2"/>
      <c r="C2" s="2"/>
      <c r="D2" s="2"/>
      <c r="E2" s="2"/>
      <c r="F2" s="2"/>
      <c r="G2" s="2"/>
      <c r="H2" s="2"/>
      <c r="I2" s="2"/>
      <c r="J2" s="2"/>
      <c r="K2" s="2"/>
      <c r="L2" s="2"/>
      <c r="M2" s="2"/>
      <c r="N2" s="2"/>
      <c r="O2" s="2"/>
      <c r="P2" s="2"/>
    </row>
    <row r="3" customFormat="false" ht="3" hidden="false" customHeight="true" outlineLevel="0" collapsed="false">
      <c r="A3" s="3"/>
      <c r="B3" s="3"/>
      <c r="C3" s="3"/>
      <c r="D3" s="3"/>
      <c r="E3" s="3"/>
      <c r="F3" s="3"/>
      <c r="G3" s="3"/>
      <c r="H3" s="3"/>
      <c r="I3" s="3"/>
      <c r="J3" s="3"/>
      <c r="K3" s="3"/>
      <c r="L3" s="3"/>
      <c r="M3" s="3"/>
      <c r="N3" s="3"/>
      <c r="O3" s="3"/>
      <c r="P3" s="3"/>
    </row>
    <row r="4" customFormat="false" ht="15" hidden="false" customHeight="false" outlineLevel="0" collapsed="false">
      <c r="A4" s="4"/>
      <c r="B4" s="5" t="s">
        <v>2</v>
      </c>
      <c r="C4" s="6" t="s">
        <v>3</v>
      </c>
      <c r="D4" s="7" t="str">
        <f aca="false">IF(ActiveRow=0,"← pick a tracking # — all forms &amp; emails use it",INDEX(Requests!$C$2:$C$251,ActiveRow)&amp;"   •   "&amp;INDEX(Requests!$K$2:$K$251,ActiveRow))</f>
        <v>SAMPLE — A. Chen   •   Advanced Crash Reconstruction</v>
      </c>
      <c r="E4" s="4"/>
      <c r="F4" s="4"/>
      <c r="G4" s="4"/>
      <c r="H4" s="4"/>
      <c r="I4" s="4"/>
      <c r="J4" s="4"/>
      <c r="K4" s="4"/>
      <c r="L4" s="4"/>
      <c r="M4" s="4"/>
      <c r="N4" s="5" t="s">
        <v>4</v>
      </c>
      <c r="O4" s="8" t="n">
        <f aca="true">TODAY()</f>
        <v>46243</v>
      </c>
      <c r="P4" s="4"/>
      <c r="R4" s="9" t="n">
        <f aca="false">IFERROR(MATCH(ActiveTrk,Requests!$A$2:$A$251,0),0)</f>
        <v>3</v>
      </c>
    </row>
    <row r="5" customFormat="false" ht="15" hidden="false" customHeight="false" outlineLevel="0" collapsed="false">
      <c r="A5" s="4"/>
      <c r="B5" s="4"/>
      <c r="C5" s="4"/>
      <c r="D5" s="4"/>
      <c r="E5" s="4"/>
      <c r="F5" s="4"/>
      <c r="G5" s="4"/>
      <c r="H5" s="4"/>
      <c r="I5" s="4"/>
      <c r="J5" s="4"/>
      <c r="K5" s="4"/>
      <c r="L5" s="4"/>
      <c r="M5" s="4"/>
      <c r="N5" s="4"/>
      <c r="O5" s="4"/>
      <c r="P5" s="4"/>
    </row>
    <row r="6" customFormat="false" ht="15" hidden="false" customHeight="false" outlineLevel="0" collapsed="false">
      <c r="A6" s="4"/>
      <c r="B6" s="10" t="s">
        <v>5</v>
      </c>
      <c r="C6" s="10"/>
      <c r="D6" s="10" t="s">
        <v>6</v>
      </c>
      <c r="E6" s="10"/>
      <c r="F6" s="4"/>
      <c r="G6" s="10" t="s">
        <v>7</v>
      </c>
      <c r="H6" s="10"/>
      <c r="I6" s="10" t="s">
        <v>8</v>
      </c>
      <c r="J6" s="10"/>
      <c r="K6" s="4"/>
      <c r="L6" s="10" t="s">
        <v>9</v>
      </c>
      <c r="M6" s="10"/>
      <c r="N6" s="10" t="s">
        <v>10</v>
      </c>
      <c r="O6" s="10"/>
      <c r="P6" s="4"/>
    </row>
    <row r="7" customFormat="false" ht="21.75" hidden="false" customHeight="true" outlineLevel="0" collapsed="false">
      <c r="A7" s="4"/>
      <c r="B7" s="11" t="n">
        <f aca="false">Budget_Total</f>
        <v>75000</v>
      </c>
      <c r="C7" s="11"/>
      <c r="D7" s="11" t="n">
        <f aca="false">SUM(Requests!$AY$2:$AY$251)</f>
        <v>889.07</v>
      </c>
      <c r="E7" s="11"/>
      <c r="F7" s="4"/>
      <c r="G7" s="11" t="n">
        <f aca="false">SUM(Requests!$AZ$2:$AZ$251)</f>
        <v>2601</v>
      </c>
      <c r="H7" s="11"/>
      <c r="I7" s="11" t="n">
        <f aca="false">Budget_Total-SUM(Requests!$AY$2:$AY$251)-SUM(Requests!$AZ$2:$AZ$251)</f>
        <v>71509.93</v>
      </c>
      <c r="J7" s="11"/>
      <c r="K7" s="4"/>
      <c r="L7" s="12" t="n">
        <f aca="false">SUMPRODUCT((Requests!$A$2:$A$251&lt;&gt;"")*1)</f>
        <v>4</v>
      </c>
      <c r="M7" s="12"/>
      <c r="N7" s="12" t="n">
        <f aca="true">SUMPRODUCT((Requests!$P$2:$P$251&gt;=TODAY())*(Requests!$P$2:$P$251&lt;=TODAY()+30)*(Requests!$A$2:$A$251&lt;&gt;"")*(Requests!$B$2:$B$251&lt;&gt;"Denied")*(Requests!$B$2:$B$251&lt;&gt;"Cancelled"))</f>
        <v>1</v>
      </c>
      <c r="O7" s="12"/>
      <c r="P7" s="4"/>
    </row>
    <row r="8" customFormat="false" ht="15" hidden="false" customHeight="false" outlineLevel="0" collapsed="false">
      <c r="A8" s="4"/>
      <c r="B8" s="4"/>
      <c r="C8" s="4"/>
      <c r="D8" s="4"/>
      <c r="E8" s="4"/>
      <c r="F8" s="4"/>
      <c r="G8" s="4"/>
      <c r="H8" s="4"/>
      <c r="I8" s="4"/>
      <c r="J8" s="4"/>
      <c r="K8" s="4"/>
      <c r="L8" s="4"/>
      <c r="M8" s="4"/>
      <c r="N8" s="4"/>
      <c r="O8" s="4"/>
      <c r="P8" s="4"/>
    </row>
    <row r="9" customFormat="false" ht="15" hidden="false" customHeight="false" outlineLevel="0" collapsed="false">
      <c r="A9" s="4"/>
      <c r="B9" s="4"/>
      <c r="C9" s="4"/>
      <c r="D9" s="4"/>
      <c r="E9" s="4"/>
      <c r="F9" s="4"/>
      <c r="G9" s="4"/>
      <c r="H9" s="4"/>
      <c r="I9" s="4"/>
      <c r="J9" s="4"/>
      <c r="K9" s="4"/>
      <c r="L9" s="4"/>
      <c r="M9" s="4"/>
      <c r="N9" s="4"/>
      <c r="O9" s="4"/>
      <c r="P9" s="4"/>
    </row>
    <row r="10" customFormat="false" ht="15" hidden="false" customHeight="false" outlineLevel="0" collapsed="false">
      <c r="A10" s="4"/>
      <c r="B10" s="13" t="str">
        <f aca="false">"1 — AWAITING APPROVAL   ("&amp;COUNTIF(Requests!$BA$2:$BA$251,"&gt;0")&amp;")"</f>
        <v>1 — AWAITING APPROVAL   (1)</v>
      </c>
      <c r="C10" s="13"/>
      <c r="D10" s="13"/>
      <c r="E10" s="13"/>
      <c r="F10" s="4"/>
      <c r="G10" s="13" t="str">
        <f aca="false">"2 — NEEDS REGISTRATION   ("&amp;COUNTIF(Requests!$BB$2:$BB$251,"&gt;0")&amp;")"</f>
        <v>2 — NEEDS REGISTRATION   (1)</v>
      </c>
      <c r="H10" s="13"/>
      <c r="I10" s="13"/>
      <c r="J10" s="13"/>
      <c r="K10" s="4"/>
      <c r="L10" s="13" t="str">
        <f aca="false">"3 — NEEDS HOTEL   ("&amp;COUNTIF(Requests!$BC$2:$BC$251,"&gt;0")&amp;")"</f>
        <v>3 — NEEDS HOTEL   (1)</v>
      </c>
      <c r="M10" s="13"/>
      <c r="N10" s="13"/>
      <c r="O10" s="13"/>
      <c r="P10" s="4"/>
    </row>
    <row r="11" customFormat="false" ht="15" hidden="false" customHeight="false" outlineLevel="0" collapsed="false">
      <c r="A11" s="4"/>
      <c r="B11" s="14" t="s">
        <v>11</v>
      </c>
      <c r="C11" s="14" t="s">
        <v>12</v>
      </c>
      <c r="D11" s="14" t="s">
        <v>13</v>
      </c>
      <c r="E11" s="14" t="s">
        <v>14</v>
      </c>
      <c r="F11" s="4"/>
      <c r="G11" s="14" t="s">
        <v>11</v>
      </c>
      <c r="H11" s="14" t="s">
        <v>12</v>
      </c>
      <c r="I11" s="14" t="s">
        <v>13</v>
      </c>
      <c r="J11" s="14" t="s">
        <v>15</v>
      </c>
      <c r="K11" s="4"/>
      <c r="L11" s="14" t="s">
        <v>11</v>
      </c>
      <c r="M11" s="14" t="s">
        <v>12</v>
      </c>
      <c r="N11" s="14" t="s">
        <v>13</v>
      </c>
      <c r="O11" s="14" t="s">
        <v>15</v>
      </c>
      <c r="P11" s="4"/>
    </row>
    <row r="12" customFormat="false" ht="15" hidden="false" customHeight="false" outlineLevel="0" collapsed="false">
      <c r="A12" s="4"/>
      <c r="B12" s="15" t="str">
        <f aca="false">IF($S12="","",INDEX(Requests!$A$2:$A$251,$S12))</f>
        <v>T26-004</v>
      </c>
      <c r="C12" s="15" t="str">
        <f aca="false">IF($S12="","",INDEX(Requests!$C$2:$C$251,$S12))</f>
        <v>SAMPLE — T. Okafor</v>
      </c>
      <c r="D12" s="15" t="str">
        <f aca="false">IF($S12="","",INDEX(Requests!$K$2:$K$251,$S12))</f>
        <v>Crisis Intervention Training</v>
      </c>
      <c r="E12" s="16" t="n">
        <f aca="false">IF($S12="","",INDEX(Requests!$AN$2:$AN$251,$S12))</f>
        <v>46240</v>
      </c>
      <c r="F12" s="4"/>
      <c r="G12" s="15" t="str">
        <f aca="false">IF($T12="","",INDEX(Requests!$A$2:$A$251,$T12))</f>
        <v>T26-003</v>
      </c>
      <c r="H12" s="15" t="str">
        <f aca="false">IF($T12="","",INDEX(Requests!$C$2:$C$251,$T12))</f>
        <v>SAMPLE — A. Chen</v>
      </c>
      <c r="I12" s="15" t="str">
        <f aca="false">IF($T12="","",INDEX(Requests!$K$2:$K$251,$T12))</f>
        <v>Advanced Crash Reconstruction</v>
      </c>
      <c r="J12" s="16" t="n">
        <f aca="false">IF($T12="","",INDEX(Requests!$P$2:$P$251,$T12))</f>
        <v>46257</v>
      </c>
      <c r="K12" s="4"/>
      <c r="L12" s="15" t="str">
        <f aca="false">IF($U12="","",INDEX(Requests!$A$2:$A$251,$U12))</f>
        <v>T26-003</v>
      </c>
      <c r="M12" s="15" t="str">
        <f aca="false">IF($U12="","",INDEX(Requests!$C$2:$C$251,$U12))</f>
        <v>SAMPLE — A. Chen</v>
      </c>
      <c r="N12" s="15" t="str">
        <f aca="false">IF($U12="","",INDEX(Requests!$K$2:$K$251,$U12))</f>
        <v>Advanced Crash Reconstruction</v>
      </c>
      <c r="O12" s="16" t="n">
        <f aca="false">IF($U12="","",INDEX(Requests!$P$2:$P$251,$U12))</f>
        <v>46257</v>
      </c>
      <c r="P12" s="4"/>
      <c r="S12" s="9" t="n">
        <f aca="false">IFERROR(MATCH(1,Requests!$BA$2:$BA$251,0),"")</f>
        <v>4</v>
      </c>
      <c r="T12" s="9" t="n">
        <f aca="false">IFERROR(MATCH(1,Requests!$BB$2:$BB$251,0),"")</f>
        <v>3</v>
      </c>
      <c r="U12" s="9" t="n">
        <f aca="false">IFERROR(MATCH(1,Requests!$BC$2:$BC$251,0),"")</f>
        <v>3</v>
      </c>
    </row>
    <row r="13" customFormat="false" ht="15" hidden="false" customHeight="false" outlineLevel="0" collapsed="false">
      <c r="A13" s="4"/>
      <c r="B13" s="15" t="str">
        <f aca="false">IF($S13="","",INDEX(Requests!$A$2:$A$251,$S13))</f>
        <v/>
      </c>
      <c r="C13" s="15" t="str">
        <f aca="false">IF($S13="","",INDEX(Requests!$C$2:$C$251,$S13))</f>
        <v/>
      </c>
      <c r="D13" s="15" t="str">
        <f aca="false">IF($S13="","",INDEX(Requests!$K$2:$K$251,$S13))</f>
        <v/>
      </c>
      <c r="E13" s="16" t="str">
        <f aca="false">IF($S13="","",INDEX(Requests!$AN$2:$AN$251,$S13))</f>
        <v/>
      </c>
      <c r="F13" s="4"/>
      <c r="G13" s="15" t="str">
        <f aca="false">IF($T13="","",INDEX(Requests!$A$2:$A$251,$T13))</f>
        <v/>
      </c>
      <c r="H13" s="15" t="str">
        <f aca="false">IF($T13="","",INDEX(Requests!$C$2:$C$251,$T13))</f>
        <v/>
      </c>
      <c r="I13" s="15" t="str">
        <f aca="false">IF($T13="","",INDEX(Requests!$K$2:$K$251,$T13))</f>
        <v/>
      </c>
      <c r="J13" s="16" t="str">
        <f aca="false">IF($T13="","",INDEX(Requests!$P$2:$P$251,$T13))</f>
        <v/>
      </c>
      <c r="K13" s="4"/>
      <c r="L13" s="15" t="str">
        <f aca="false">IF($U13="","",INDEX(Requests!$A$2:$A$251,$U13))</f>
        <v/>
      </c>
      <c r="M13" s="15" t="str">
        <f aca="false">IF($U13="","",INDEX(Requests!$C$2:$C$251,$U13))</f>
        <v/>
      </c>
      <c r="N13" s="15" t="str">
        <f aca="false">IF($U13="","",INDEX(Requests!$K$2:$K$251,$U13))</f>
        <v/>
      </c>
      <c r="O13" s="16" t="str">
        <f aca="false">IF($U13="","",INDEX(Requests!$P$2:$P$251,$U13))</f>
        <v/>
      </c>
      <c r="P13" s="4"/>
      <c r="S13" s="0" t="str">
        <f aca="false">IFERROR(MATCH(2,Requests!$BA$2:$BA$251,0),"")</f>
        <v/>
      </c>
      <c r="T13" s="0" t="str">
        <f aca="false">IFERROR(MATCH(2,Requests!$BB$2:$BB$251,0),"")</f>
        <v/>
      </c>
      <c r="U13" s="0" t="str">
        <f aca="false">IFERROR(MATCH(2,Requests!$BC$2:$BC$251,0),"")</f>
        <v/>
      </c>
    </row>
    <row r="14" customFormat="false" ht="15" hidden="false" customHeight="false" outlineLevel="0" collapsed="false">
      <c r="A14" s="4"/>
      <c r="B14" s="15" t="str">
        <f aca="false">IF($S14="","",INDEX(Requests!$A$2:$A$251,$S14))</f>
        <v/>
      </c>
      <c r="C14" s="15" t="str">
        <f aca="false">IF($S14="","",INDEX(Requests!$C$2:$C$251,$S14))</f>
        <v/>
      </c>
      <c r="D14" s="15" t="str">
        <f aca="false">IF($S14="","",INDEX(Requests!$K$2:$K$251,$S14))</f>
        <v/>
      </c>
      <c r="E14" s="16" t="str">
        <f aca="false">IF($S14="","",INDEX(Requests!$AN$2:$AN$251,$S14))</f>
        <v/>
      </c>
      <c r="F14" s="4"/>
      <c r="G14" s="15" t="str">
        <f aca="false">IF($T14="","",INDEX(Requests!$A$2:$A$251,$T14))</f>
        <v/>
      </c>
      <c r="H14" s="15" t="str">
        <f aca="false">IF($T14="","",INDEX(Requests!$C$2:$C$251,$T14))</f>
        <v/>
      </c>
      <c r="I14" s="15" t="str">
        <f aca="false">IF($T14="","",INDEX(Requests!$K$2:$K$251,$T14))</f>
        <v/>
      </c>
      <c r="J14" s="16" t="str">
        <f aca="false">IF($T14="","",INDEX(Requests!$P$2:$P$251,$T14))</f>
        <v/>
      </c>
      <c r="K14" s="4"/>
      <c r="L14" s="15" t="str">
        <f aca="false">IF($U14="","",INDEX(Requests!$A$2:$A$251,$U14))</f>
        <v/>
      </c>
      <c r="M14" s="15" t="str">
        <f aca="false">IF($U14="","",INDEX(Requests!$C$2:$C$251,$U14))</f>
        <v/>
      </c>
      <c r="N14" s="15" t="str">
        <f aca="false">IF($U14="","",INDEX(Requests!$K$2:$K$251,$U14))</f>
        <v/>
      </c>
      <c r="O14" s="16" t="str">
        <f aca="false">IF($U14="","",INDEX(Requests!$P$2:$P$251,$U14))</f>
        <v/>
      </c>
      <c r="P14" s="4"/>
      <c r="S14" s="0" t="str">
        <f aca="false">IFERROR(MATCH(3,Requests!$BA$2:$BA$251,0),"")</f>
        <v/>
      </c>
      <c r="T14" s="0" t="str">
        <f aca="false">IFERROR(MATCH(3,Requests!$BB$2:$BB$251,0),"")</f>
        <v/>
      </c>
      <c r="U14" s="0" t="str">
        <f aca="false">IFERROR(MATCH(3,Requests!$BC$2:$BC$251,0),"")</f>
        <v/>
      </c>
    </row>
    <row r="15" customFormat="false" ht="15" hidden="false" customHeight="false" outlineLevel="0" collapsed="false">
      <c r="A15" s="4"/>
      <c r="B15" s="15" t="str">
        <f aca="false">IF($S15="","",INDEX(Requests!$A$2:$A$251,$S15))</f>
        <v/>
      </c>
      <c r="C15" s="15" t="str">
        <f aca="false">IF($S15="","",INDEX(Requests!$C$2:$C$251,$S15))</f>
        <v/>
      </c>
      <c r="D15" s="15" t="str">
        <f aca="false">IF($S15="","",INDEX(Requests!$K$2:$K$251,$S15))</f>
        <v/>
      </c>
      <c r="E15" s="16" t="str">
        <f aca="false">IF($S15="","",INDEX(Requests!$AN$2:$AN$251,$S15))</f>
        <v/>
      </c>
      <c r="F15" s="4"/>
      <c r="G15" s="15" t="str">
        <f aca="false">IF($T15="","",INDEX(Requests!$A$2:$A$251,$T15))</f>
        <v/>
      </c>
      <c r="H15" s="15" t="str">
        <f aca="false">IF($T15="","",INDEX(Requests!$C$2:$C$251,$T15))</f>
        <v/>
      </c>
      <c r="I15" s="15" t="str">
        <f aca="false">IF($T15="","",INDEX(Requests!$K$2:$K$251,$T15))</f>
        <v/>
      </c>
      <c r="J15" s="16" t="str">
        <f aca="false">IF($T15="","",INDEX(Requests!$P$2:$P$251,$T15))</f>
        <v/>
      </c>
      <c r="K15" s="4"/>
      <c r="L15" s="15" t="str">
        <f aca="false">IF($U15="","",INDEX(Requests!$A$2:$A$251,$U15))</f>
        <v/>
      </c>
      <c r="M15" s="15" t="str">
        <f aca="false">IF($U15="","",INDEX(Requests!$C$2:$C$251,$U15))</f>
        <v/>
      </c>
      <c r="N15" s="15" t="str">
        <f aca="false">IF($U15="","",INDEX(Requests!$K$2:$K$251,$U15))</f>
        <v/>
      </c>
      <c r="O15" s="16" t="str">
        <f aca="false">IF($U15="","",INDEX(Requests!$P$2:$P$251,$U15))</f>
        <v/>
      </c>
      <c r="P15" s="4"/>
      <c r="S15" s="0" t="str">
        <f aca="false">IFERROR(MATCH(4,Requests!$BA$2:$BA$251,0),"")</f>
        <v/>
      </c>
      <c r="T15" s="0" t="str">
        <f aca="false">IFERROR(MATCH(4,Requests!$BB$2:$BB$251,0),"")</f>
        <v/>
      </c>
      <c r="U15" s="0" t="str">
        <f aca="false">IFERROR(MATCH(4,Requests!$BC$2:$BC$251,0),"")</f>
        <v/>
      </c>
    </row>
    <row r="16" customFormat="false" ht="15" hidden="false" customHeight="false" outlineLevel="0" collapsed="false">
      <c r="A16" s="4"/>
      <c r="B16" s="15" t="str">
        <f aca="false">IF($S16="","",INDEX(Requests!$A$2:$A$251,$S16))</f>
        <v/>
      </c>
      <c r="C16" s="15" t="str">
        <f aca="false">IF($S16="","",INDEX(Requests!$C$2:$C$251,$S16))</f>
        <v/>
      </c>
      <c r="D16" s="15" t="str">
        <f aca="false">IF($S16="","",INDEX(Requests!$K$2:$K$251,$S16))</f>
        <v/>
      </c>
      <c r="E16" s="16" t="str">
        <f aca="false">IF($S16="","",INDEX(Requests!$AN$2:$AN$251,$S16))</f>
        <v/>
      </c>
      <c r="F16" s="4"/>
      <c r="G16" s="15" t="str">
        <f aca="false">IF($T16="","",INDEX(Requests!$A$2:$A$251,$T16))</f>
        <v/>
      </c>
      <c r="H16" s="15" t="str">
        <f aca="false">IF($T16="","",INDEX(Requests!$C$2:$C$251,$T16))</f>
        <v/>
      </c>
      <c r="I16" s="15" t="str">
        <f aca="false">IF($T16="","",INDEX(Requests!$K$2:$K$251,$T16))</f>
        <v/>
      </c>
      <c r="J16" s="16" t="str">
        <f aca="false">IF($T16="","",INDEX(Requests!$P$2:$P$251,$T16))</f>
        <v/>
      </c>
      <c r="K16" s="4"/>
      <c r="L16" s="15" t="str">
        <f aca="false">IF($U16="","",INDEX(Requests!$A$2:$A$251,$U16))</f>
        <v/>
      </c>
      <c r="M16" s="15" t="str">
        <f aca="false">IF($U16="","",INDEX(Requests!$C$2:$C$251,$U16))</f>
        <v/>
      </c>
      <c r="N16" s="15" t="str">
        <f aca="false">IF($U16="","",INDEX(Requests!$K$2:$K$251,$U16))</f>
        <v/>
      </c>
      <c r="O16" s="16" t="str">
        <f aca="false">IF($U16="","",INDEX(Requests!$P$2:$P$251,$U16))</f>
        <v/>
      </c>
      <c r="P16" s="4"/>
      <c r="S16" s="0" t="str">
        <f aca="false">IFERROR(MATCH(5,Requests!$BA$2:$BA$251,0),"")</f>
        <v/>
      </c>
      <c r="T16" s="0" t="str">
        <f aca="false">IFERROR(MATCH(5,Requests!$BB$2:$BB$251,0),"")</f>
        <v/>
      </c>
      <c r="U16" s="0" t="str">
        <f aca="false">IFERROR(MATCH(5,Requests!$BC$2:$BC$251,0),"")</f>
        <v/>
      </c>
    </row>
    <row r="17" customFormat="false" ht="15" hidden="false" customHeight="false" outlineLevel="0" collapsed="false">
      <c r="A17" s="4"/>
      <c r="B17" s="15" t="str">
        <f aca="false">IF($S17="","",INDEX(Requests!$A$2:$A$251,$S17))</f>
        <v/>
      </c>
      <c r="C17" s="15" t="str">
        <f aca="false">IF($S17="","",INDEX(Requests!$C$2:$C$251,$S17))</f>
        <v/>
      </c>
      <c r="D17" s="15" t="str">
        <f aca="false">IF($S17="","",INDEX(Requests!$K$2:$K$251,$S17))</f>
        <v/>
      </c>
      <c r="E17" s="16" t="str">
        <f aca="false">IF($S17="","",INDEX(Requests!$AN$2:$AN$251,$S17))</f>
        <v/>
      </c>
      <c r="F17" s="4"/>
      <c r="G17" s="15" t="str">
        <f aca="false">IF($T17="","",INDEX(Requests!$A$2:$A$251,$T17))</f>
        <v/>
      </c>
      <c r="H17" s="15" t="str">
        <f aca="false">IF($T17="","",INDEX(Requests!$C$2:$C$251,$T17))</f>
        <v/>
      </c>
      <c r="I17" s="15" t="str">
        <f aca="false">IF($T17="","",INDEX(Requests!$K$2:$K$251,$T17))</f>
        <v/>
      </c>
      <c r="J17" s="16" t="str">
        <f aca="false">IF($T17="","",INDEX(Requests!$P$2:$P$251,$T17))</f>
        <v/>
      </c>
      <c r="K17" s="4"/>
      <c r="L17" s="15" t="str">
        <f aca="false">IF($U17="","",INDEX(Requests!$A$2:$A$251,$U17))</f>
        <v/>
      </c>
      <c r="M17" s="15" t="str">
        <f aca="false">IF($U17="","",INDEX(Requests!$C$2:$C$251,$U17))</f>
        <v/>
      </c>
      <c r="N17" s="15" t="str">
        <f aca="false">IF($U17="","",INDEX(Requests!$K$2:$K$251,$U17))</f>
        <v/>
      </c>
      <c r="O17" s="16" t="str">
        <f aca="false">IF($U17="","",INDEX(Requests!$P$2:$P$251,$U17))</f>
        <v/>
      </c>
      <c r="P17" s="4"/>
      <c r="S17" s="0" t="str">
        <f aca="false">IFERROR(MATCH(6,Requests!$BA$2:$BA$251,0),"")</f>
        <v/>
      </c>
      <c r="T17" s="0" t="str">
        <f aca="false">IFERROR(MATCH(6,Requests!$BB$2:$BB$251,0),"")</f>
        <v/>
      </c>
      <c r="U17" s="0" t="str">
        <f aca="false">IFERROR(MATCH(6,Requests!$BC$2:$BC$251,0),"")</f>
        <v/>
      </c>
    </row>
    <row r="18" customFormat="false" ht="15" hidden="false" customHeight="false" outlineLevel="0" collapsed="false">
      <c r="A18" s="4"/>
      <c r="B18" s="15" t="str">
        <f aca="false">IF($S18="","",INDEX(Requests!$A$2:$A$251,$S18))</f>
        <v/>
      </c>
      <c r="C18" s="15" t="str">
        <f aca="false">IF($S18="","",INDEX(Requests!$C$2:$C$251,$S18))</f>
        <v/>
      </c>
      <c r="D18" s="15" t="str">
        <f aca="false">IF($S18="","",INDEX(Requests!$K$2:$K$251,$S18))</f>
        <v/>
      </c>
      <c r="E18" s="16" t="str">
        <f aca="false">IF($S18="","",INDEX(Requests!$AN$2:$AN$251,$S18))</f>
        <v/>
      </c>
      <c r="F18" s="4"/>
      <c r="G18" s="15" t="str">
        <f aca="false">IF($T18="","",INDEX(Requests!$A$2:$A$251,$T18))</f>
        <v/>
      </c>
      <c r="H18" s="15" t="str">
        <f aca="false">IF($T18="","",INDEX(Requests!$C$2:$C$251,$T18))</f>
        <v/>
      </c>
      <c r="I18" s="15" t="str">
        <f aca="false">IF($T18="","",INDEX(Requests!$K$2:$K$251,$T18))</f>
        <v/>
      </c>
      <c r="J18" s="16" t="str">
        <f aca="false">IF($T18="","",INDEX(Requests!$P$2:$P$251,$T18))</f>
        <v/>
      </c>
      <c r="K18" s="4"/>
      <c r="L18" s="15" t="str">
        <f aca="false">IF($U18="","",INDEX(Requests!$A$2:$A$251,$U18))</f>
        <v/>
      </c>
      <c r="M18" s="15" t="str">
        <f aca="false">IF($U18="","",INDEX(Requests!$C$2:$C$251,$U18))</f>
        <v/>
      </c>
      <c r="N18" s="15" t="str">
        <f aca="false">IF($U18="","",INDEX(Requests!$K$2:$K$251,$U18))</f>
        <v/>
      </c>
      <c r="O18" s="16" t="str">
        <f aca="false">IF($U18="","",INDEX(Requests!$P$2:$P$251,$U18))</f>
        <v/>
      </c>
      <c r="P18" s="4"/>
      <c r="S18" s="0" t="str">
        <f aca="false">IFERROR(MATCH(7,Requests!$BA$2:$BA$251,0),"")</f>
        <v/>
      </c>
      <c r="T18" s="0" t="str">
        <f aca="false">IFERROR(MATCH(7,Requests!$BB$2:$BB$251,0),"")</f>
        <v/>
      </c>
      <c r="U18" s="0" t="str">
        <f aca="false">IFERROR(MATCH(7,Requests!$BC$2:$BC$251,0),"")</f>
        <v/>
      </c>
    </row>
    <row r="19" customFormat="false" ht="15" hidden="false" customHeight="false" outlineLevel="0" collapsed="false">
      <c r="A19" s="4"/>
      <c r="B19" s="15" t="str">
        <f aca="false">IF($S19="","",INDEX(Requests!$A$2:$A$251,$S19))</f>
        <v/>
      </c>
      <c r="C19" s="15" t="str">
        <f aca="false">IF($S19="","",INDEX(Requests!$C$2:$C$251,$S19))</f>
        <v/>
      </c>
      <c r="D19" s="15" t="str">
        <f aca="false">IF($S19="","",INDEX(Requests!$K$2:$K$251,$S19))</f>
        <v/>
      </c>
      <c r="E19" s="16" t="str">
        <f aca="false">IF($S19="","",INDEX(Requests!$AN$2:$AN$251,$S19))</f>
        <v/>
      </c>
      <c r="F19" s="4"/>
      <c r="G19" s="15" t="str">
        <f aca="false">IF($T19="","",INDEX(Requests!$A$2:$A$251,$T19))</f>
        <v/>
      </c>
      <c r="H19" s="15" t="str">
        <f aca="false">IF($T19="","",INDEX(Requests!$C$2:$C$251,$T19))</f>
        <v/>
      </c>
      <c r="I19" s="15" t="str">
        <f aca="false">IF($T19="","",INDEX(Requests!$K$2:$K$251,$T19))</f>
        <v/>
      </c>
      <c r="J19" s="16" t="str">
        <f aca="false">IF($T19="","",INDEX(Requests!$P$2:$P$251,$T19))</f>
        <v/>
      </c>
      <c r="K19" s="4"/>
      <c r="L19" s="15" t="str">
        <f aca="false">IF($U19="","",INDEX(Requests!$A$2:$A$251,$U19))</f>
        <v/>
      </c>
      <c r="M19" s="15" t="str">
        <f aca="false">IF($U19="","",INDEX(Requests!$C$2:$C$251,$U19))</f>
        <v/>
      </c>
      <c r="N19" s="15" t="str">
        <f aca="false">IF($U19="","",INDEX(Requests!$K$2:$K$251,$U19))</f>
        <v/>
      </c>
      <c r="O19" s="16" t="str">
        <f aca="false">IF($U19="","",INDEX(Requests!$P$2:$P$251,$U19))</f>
        <v/>
      </c>
      <c r="P19" s="4"/>
      <c r="S19" s="0" t="str">
        <f aca="false">IFERROR(MATCH(8,Requests!$BA$2:$BA$251,0),"")</f>
        <v/>
      </c>
      <c r="T19" s="0" t="str">
        <f aca="false">IFERROR(MATCH(8,Requests!$BB$2:$BB$251,0),"")</f>
        <v/>
      </c>
      <c r="U19" s="0" t="str">
        <f aca="false">IFERROR(MATCH(8,Requests!$BC$2:$BC$251,0),"")</f>
        <v/>
      </c>
    </row>
    <row r="20" customFormat="false" ht="15" hidden="false" customHeight="false" outlineLevel="0" collapsed="false">
      <c r="A20" s="4"/>
      <c r="B20" s="4"/>
      <c r="C20" s="4"/>
      <c r="D20" s="4"/>
      <c r="E20" s="4"/>
      <c r="F20" s="4"/>
      <c r="G20" s="4"/>
      <c r="H20" s="4"/>
      <c r="I20" s="4"/>
      <c r="J20" s="4"/>
      <c r="K20" s="4"/>
      <c r="L20" s="4"/>
      <c r="M20" s="4"/>
      <c r="N20" s="4"/>
      <c r="O20" s="4"/>
      <c r="P20" s="4"/>
    </row>
    <row r="21" customFormat="false" ht="15" hidden="false" customHeight="false" outlineLevel="0" collapsed="false">
      <c r="A21" s="4"/>
      <c r="B21" s="4"/>
      <c r="C21" s="4"/>
      <c r="D21" s="4"/>
      <c r="E21" s="4"/>
      <c r="F21" s="4"/>
      <c r="G21" s="4"/>
      <c r="H21" s="4"/>
      <c r="I21" s="4"/>
      <c r="J21" s="4"/>
      <c r="K21" s="4"/>
      <c r="L21" s="4"/>
      <c r="M21" s="4"/>
      <c r="N21" s="4"/>
      <c r="O21" s="4"/>
      <c r="P21" s="4"/>
    </row>
    <row r="22" customFormat="false" ht="15" hidden="false" customHeight="false" outlineLevel="0" collapsed="false">
      <c r="A22" s="4"/>
      <c r="B22" s="13" t="str">
        <f aca="false">"4 — RECEIPTS OVERDUE   ("&amp;COUNTIF(Requests!$BD$2:$BD$251,"&gt;0")&amp;")"</f>
        <v>4 — RECEIPTS OVERDUE   (1)</v>
      </c>
      <c r="C22" s="13"/>
      <c r="D22" s="13"/>
      <c r="E22" s="13"/>
      <c r="F22" s="4"/>
      <c r="G22" s="13" t="str">
        <f aca="false">"5 — FINANCE PACKET DUE ≤ 7 DAYS  (Tuesday NOON)   ("&amp;COUNTIF(Requests!$BE$2:$BE$251,"&gt;0")&amp;")"</f>
        <v>5 — FINANCE PACKET DUE ≤ 7 DAYS  (Tuesday NOON)   (2)</v>
      </c>
      <c r="H22" s="13"/>
      <c r="I22" s="13"/>
      <c r="J22" s="13"/>
      <c r="K22" s="4"/>
      <c r="L22" s="4"/>
      <c r="M22" s="4"/>
      <c r="N22" s="4"/>
      <c r="O22" s="4"/>
      <c r="P22" s="4"/>
    </row>
    <row r="23" customFormat="false" ht="15" hidden="false" customHeight="false" outlineLevel="0" collapsed="false">
      <c r="A23" s="4"/>
      <c r="B23" s="14" t="s">
        <v>11</v>
      </c>
      <c r="C23" s="14" t="s">
        <v>12</v>
      </c>
      <c r="D23" s="14" t="s">
        <v>13</v>
      </c>
      <c r="E23" s="14" t="s">
        <v>16</v>
      </c>
      <c r="F23" s="4"/>
      <c r="G23" s="14" t="s">
        <v>11</v>
      </c>
      <c r="H23" s="14" t="s">
        <v>12</v>
      </c>
      <c r="I23" s="14" t="s">
        <v>13</v>
      </c>
      <c r="J23" s="14" t="s">
        <v>17</v>
      </c>
      <c r="K23" s="4"/>
      <c r="L23" s="4"/>
      <c r="M23" s="4"/>
      <c r="N23" s="4"/>
      <c r="O23" s="4"/>
      <c r="P23" s="4"/>
    </row>
    <row r="24" customFormat="false" ht="15" hidden="false" customHeight="false" outlineLevel="0" collapsed="false">
      <c r="A24" s="4"/>
      <c r="B24" s="15" t="str">
        <f aca="false">IF($V24="","",INDEX(Requests!$A$2:$A$251,$V24))</f>
        <v>T26-002</v>
      </c>
      <c r="C24" s="15" t="str">
        <f aca="false">IF($V24="","",INDEX(Requests!$C$2:$C$251,$V24))</f>
        <v>SAMPLE — M. Rivera</v>
      </c>
      <c r="D24" s="15" t="str">
        <f aca="false">IF($V24="","",INDEX(Requests!$K$2:$K$251,$V24))</f>
        <v>Homicide Investigation</v>
      </c>
      <c r="E24" s="17" t="n">
        <f aca="false">IF($V24="","",INDEX(Requests!$AR$2:$AR$251,$V24))</f>
        <v>46238</v>
      </c>
      <c r="F24" s="4"/>
      <c r="G24" s="15" t="str">
        <f aca="false">IF($R24="","",INDEX(Requests!$A$2:$A$251,$R24))</f>
        <v>T26-002</v>
      </c>
      <c r="H24" s="15" t="str">
        <f aca="false">IF($R24="","",INDEX(Requests!$C$2:$C$251,$R24))</f>
        <v>SAMPLE — M. Rivera</v>
      </c>
      <c r="I24" s="15" t="str">
        <f aca="false">IF($R24="","",INDEX(Requests!$K$2:$K$251,$R24))</f>
        <v>Homicide Investigation</v>
      </c>
      <c r="J24" s="16" t="n">
        <f aca="false">IF($R24="","",INDEX(Requests!$AT$2:$AT$251,$R24))</f>
        <v>46217</v>
      </c>
      <c r="K24" s="4"/>
      <c r="L24" s="4"/>
      <c r="M24" s="4"/>
      <c r="N24" s="4"/>
      <c r="O24" s="4"/>
      <c r="P24" s="4"/>
      <c r="R24" s="9" t="n">
        <f aca="false">IFERROR(MATCH(1,Requests!$BE$2:$BE$251,0),"")</f>
        <v>2</v>
      </c>
      <c r="V24" s="9" t="n">
        <f aca="false">IFERROR(MATCH(1,Requests!$BD$2:$BD$251,0),"")</f>
        <v>2</v>
      </c>
    </row>
    <row r="25" customFormat="false" ht="15" hidden="false" customHeight="false" outlineLevel="0" collapsed="false">
      <c r="A25" s="4"/>
      <c r="B25" s="15" t="str">
        <f aca="false">IF($V25="","",INDEX(Requests!$A$2:$A$251,$V25))</f>
        <v/>
      </c>
      <c r="C25" s="15" t="str">
        <f aca="false">IF($V25="","",INDEX(Requests!$C$2:$C$251,$V25))</f>
        <v/>
      </c>
      <c r="D25" s="15" t="str">
        <f aca="false">IF($V25="","",INDEX(Requests!$K$2:$K$251,$V25))</f>
        <v/>
      </c>
      <c r="E25" s="17" t="str">
        <f aca="false">IF($V25="","",INDEX(Requests!$AR$2:$AR$251,$V25))</f>
        <v/>
      </c>
      <c r="F25" s="4"/>
      <c r="G25" s="15" t="str">
        <f aca="false">IF($R25="","",INDEX(Requests!$A$2:$A$251,$R25))</f>
        <v>T26-003</v>
      </c>
      <c r="H25" s="15" t="str">
        <f aca="false">IF($R25="","",INDEX(Requests!$C$2:$C$251,$R25))</f>
        <v>SAMPLE — A. Chen</v>
      </c>
      <c r="I25" s="15" t="str">
        <f aca="false">IF($R25="","",INDEX(Requests!$K$2:$K$251,$R25))</f>
        <v>Advanced Crash Reconstruction</v>
      </c>
      <c r="J25" s="16" t="n">
        <f aca="false">IF($R25="","",INDEX(Requests!$AT$2:$AT$251,$R25))</f>
        <v>46245</v>
      </c>
      <c r="K25" s="4"/>
      <c r="L25" s="4"/>
      <c r="M25" s="4"/>
      <c r="N25" s="4"/>
      <c r="O25" s="4"/>
      <c r="P25" s="4"/>
      <c r="R25" s="9" t="n">
        <f aca="false">IFERROR(MATCH(2,Requests!$BE$2:$BE$251,0),"")</f>
        <v>3</v>
      </c>
      <c r="V25" s="0" t="str">
        <f aca="false">IFERROR(MATCH(2,Requests!$BD$2:$BD$251,0),"")</f>
        <v/>
      </c>
    </row>
    <row r="26" customFormat="false" ht="15" hidden="false" customHeight="false" outlineLevel="0" collapsed="false">
      <c r="A26" s="4"/>
      <c r="B26" s="15" t="str">
        <f aca="false">IF($V26="","",INDEX(Requests!$A$2:$A$251,$V26))</f>
        <v/>
      </c>
      <c r="C26" s="15" t="str">
        <f aca="false">IF($V26="","",INDEX(Requests!$C$2:$C$251,$V26))</f>
        <v/>
      </c>
      <c r="D26" s="15" t="str">
        <f aca="false">IF($V26="","",INDEX(Requests!$K$2:$K$251,$V26))</f>
        <v/>
      </c>
      <c r="E26" s="17" t="str">
        <f aca="false">IF($V26="","",INDEX(Requests!$AR$2:$AR$251,$V26))</f>
        <v/>
      </c>
      <c r="F26" s="4"/>
      <c r="G26" s="15" t="str">
        <f aca="false">IF($R26="","",INDEX(Requests!$A$2:$A$251,$R26))</f>
        <v/>
      </c>
      <c r="H26" s="15" t="str">
        <f aca="false">IF($R26="","",INDEX(Requests!$C$2:$C$251,$R26))</f>
        <v/>
      </c>
      <c r="I26" s="15" t="str">
        <f aca="false">IF($R26="","",INDEX(Requests!$K$2:$K$251,$R26))</f>
        <v/>
      </c>
      <c r="J26" s="16" t="str">
        <f aca="false">IF($R26="","",INDEX(Requests!$AT$2:$AT$251,$R26))</f>
        <v/>
      </c>
      <c r="K26" s="4"/>
      <c r="L26" s="4"/>
      <c r="M26" s="4"/>
      <c r="N26" s="4"/>
      <c r="O26" s="4"/>
      <c r="P26" s="4"/>
      <c r="R26" s="0" t="str">
        <f aca="false">IFERROR(MATCH(3,Requests!$BE$2:$BE$251,0),"")</f>
        <v/>
      </c>
      <c r="V26" s="0" t="str">
        <f aca="false">IFERROR(MATCH(3,Requests!$BD$2:$BD$251,0),"")</f>
        <v/>
      </c>
    </row>
    <row r="27" customFormat="false" ht="15" hidden="false" customHeight="false" outlineLevel="0" collapsed="false">
      <c r="A27" s="4"/>
      <c r="B27" s="15" t="str">
        <f aca="false">IF($V27="","",INDEX(Requests!$A$2:$A$251,$V27))</f>
        <v/>
      </c>
      <c r="C27" s="15" t="str">
        <f aca="false">IF($V27="","",INDEX(Requests!$C$2:$C$251,$V27))</f>
        <v/>
      </c>
      <c r="D27" s="15" t="str">
        <f aca="false">IF($V27="","",INDEX(Requests!$K$2:$K$251,$V27))</f>
        <v/>
      </c>
      <c r="E27" s="17" t="str">
        <f aca="false">IF($V27="","",INDEX(Requests!$AR$2:$AR$251,$V27))</f>
        <v/>
      </c>
      <c r="F27" s="4"/>
      <c r="G27" s="15" t="str">
        <f aca="false">IF($R27="","",INDEX(Requests!$A$2:$A$251,$R27))</f>
        <v/>
      </c>
      <c r="H27" s="15" t="str">
        <f aca="false">IF($R27="","",INDEX(Requests!$C$2:$C$251,$R27))</f>
        <v/>
      </c>
      <c r="I27" s="15" t="str">
        <f aca="false">IF($R27="","",INDEX(Requests!$K$2:$K$251,$R27))</f>
        <v/>
      </c>
      <c r="J27" s="16" t="str">
        <f aca="false">IF($R27="","",INDEX(Requests!$AT$2:$AT$251,$R27))</f>
        <v/>
      </c>
      <c r="K27" s="4"/>
      <c r="L27" s="4"/>
      <c r="M27" s="4"/>
      <c r="N27" s="4"/>
      <c r="O27" s="4"/>
      <c r="P27" s="4"/>
      <c r="R27" s="0" t="str">
        <f aca="false">IFERROR(MATCH(4,Requests!$BE$2:$BE$251,0),"")</f>
        <v/>
      </c>
      <c r="V27" s="0" t="str">
        <f aca="false">IFERROR(MATCH(4,Requests!$BD$2:$BD$251,0),"")</f>
        <v/>
      </c>
    </row>
    <row r="28" customFormat="false" ht="15" hidden="false" customHeight="false" outlineLevel="0" collapsed="false">
      <c r="A28" s="4"/>
      <c r="B28" s="15" t="str">
        <f aca="false">IF($V28="","",INDEX(Requests!$A$2:$A$251,$V28))</f>
        <v/>
      </c>
      <c r="C28" s="15" t="str">
        <f aca="false">IF($V28="","",INDEX(Requests!$C$2:$C$251,$V28))</f>
        <v/>
      </c>
      <c r="D28" s="15" t="str">
        <f aca="false">IF($V28="","",INDEX(Requests!$K$2:$K$251,$V28))</f>
        <v/>
      </c>
      <c r="E28" s="17" t="str">
        <f aca="false">IF($V28="","",INDEX(Requests!$AR$2:$AR$251,$V28))</f>
        <v/>
      </c>
      <c r="F28" s="4"/>
      <c r="G28" s="15" t="str">
        <f aca="false">IF($R28="","",INDEX(Requests!$A$2:$A$251,$R28))</f>
        <v/>
      </c>
      <c r="H28" s="15" t="str">
        <f aca="false">IF($R28="","",INDEX(Requests!$C$2:$C$251,$R28))</f>
        <v/>
      </c>
      <c r="I28" s="15" t="str">
        <f aca="false">IF($R28="","",INDEX(Requests!$K$2:$K$251,$R28))</f>
        <v/>
      </c>
      <c r="J28" s="16" t="str">
        <f aca="false">IF($R28="","",INDEX(Requests!$AT$2:$AT$251,$R28))</f>
        <v/>
      </c>
      <c r="K28" s="4"/>
      <c r="L28" s="4"/>
      <c r="M28" s="4"/>
      <c r="N28" s="4"/>
      <c r="O28" s="4"/>
      <c r="P28" s="4"/>
      <c r="R28" s="0" t="str">
        <f aca="false">IFERROR(MATCH(5,Requests!$BE$2:$BE$251,0),"")</f>
        <v/>
      </c>
      <c r="V28" s="0" t="str">
        <f aca="false">IFERROR(MATCH(5,Requests!$BD$2:$BD$251,0),"")</f>
        <v/>
      </c>
    </row>
    <row r="29" customFormat="false" ht="15" hidden="false" customHeight="false" outlineLevel="0" collapsed="false">
      <c r="A29" s="4"/>
      <c r="B29" s="15" t="str">
        <f aca="false">IF($V29="","",INDEX(Requests!$A$2:$A$251,$V29))</f>
        <v/>
      </c>
      <c r="C29" s="15" t="str">
        <f aca="false">IF($V29="","",INDEX(Requests!$C$2:$C$251,$V29))</f>
        <v/>
      </c>
      <c r="D29" s="15" t="str">
        <f aca="false">IF($V29="","",INDEX(Requests!$K$2:$K$251,$V29))</f>
        <v/>
      </c>
      <c r="E29" s="17" t="str">
        <f aca="false">IF($V29="","",INDEX(Requests!$AR$2:$AR$251,$V29))</f>
        <v/>
      </c>
      <c r="F29" s="4"/>
      <c r="G29" s="15" t="str">
        <f aca="false">IF($R29="","",INDEX(Requests!$A$2:$A$251,$R29))</f>
        <v/>
      </c>
      <c r="H29" s="15" t="str">
        <f aca="false">IF($R29="","",INDEX(Requests!$C$2:$C$251,$R29))</f>
        <v/>
      </c>
      <c r="I29" s="15" t="str">
        <f aca="false">IF($R29="","",INDEX(Requests!$K$2:$K$251,$R29))</f>
        <v/>
      </c>
      <c r="J29" s="16" t="str">
        <f aca="false">IF($R29="","",INDEX(Requests!$AT$2:$AT$251,$R29))</f>
        <v/>
      </c>
      <c r="K29" s="4"/>
      <c r="L29" s="4"/>
      <c r="M29" s="4"/>
      <c r="N29" s="4"/>
      <c r="O29" s="4"/>
      <c r="P29" s="4"/>
      <c r="R29" s="0" t="str">
        <f aca="false">IFERROR(MATCH(6,Requests!$BE$2:$BE$251,0),"")</f>
        <v/>
      </c>
      <c r="V29" s="0" t="str">
        <f aca="false">IFERROR(MATCH(6,Requests!$BD$2:$BD$251,0),"")</f>
        <v/>
      </c>
    </row>
    <row r="30" customFormat="false" ht="15" hidden="false" customHeight="false" outlineLevel="0" collapsed="false">
      <c r="A30" s="4"/>
      <c r="B30" s="15" t="str">
        <f aca="false">IF($V30="","",INDEX(Requests!$A$2:$A$251,$V30))</f>
        <v/>
      </c>
      <c r="C30" s="15" t="str">
        <f aca="false">IF($V30="","",INDEX(Requests!$C$2:$C$251,$V30))</f>
        <v/>
      </c>
      <c r="D30" s="15" t="str">
        <f aca="false">IF($V30="","",INDEX(Requests!$K$2:$K$251,$V30))</f>
        <v/>
      </c>
      <c r="E30" s="17" t="str">
        <f aca="false">IF($V30="","",INDEX(Requests!$AR$2:$AR$251,$V30))</f>
        <v/>
      </c>
      <c r="F30" s="4"/>
      <c r="G30" s="15" t="str">
        <f aca="false">IF($R30="","",INDEX(Requests!$A$2:$A$251,$R30))</f>
        <v/>
      </c>
      <c r="H30" s="15" t="str">
        <f aca="false">IF($R30="","",INDEX(Requests!$C$2:$C$251,$R30))</f>
        <v/>
      </c>
      <c r="I30" s="15" t="str">
        <f aca="false">IF($R30="","",INDEX(Requests!$K$2:$K$251,$R30))</f>
        <v/>
      </c>
      <c r="J30" s="16" t="str">
        <f aca="false">IF($R30="","",INDEX(Requests!$AT$2:$AT$251,$R30))</f>
        <v/>
      </c>
      <c r="K30" s="4"/>
      <c r="L30" s="4"/>
      <c r="M30" s="4"/>
      <c r="N30" s="4"/>
      <c r="O30" s="4"/>
      <c r="P30" s="4"/>
      <c r="R30" s="0" t="str">
        <f aca="false">IFERROR(MATCH(7,Requests!$BE$2:$BE$251,0),"")</f>
        <v/>
      </c>
      <c r="V30" s="0" t="str">
        <f aca="false">IFERROR(MATCH(7,Requests!$BD$2:$BD$251,0),"")</f>
        <v/>
      </c>
    </row>
    <row r="31" customFormat="false" ht="15" hidden="false" customHeight="false" outlineLevel="0" collapsed="false">
      <c r="A31" s="4"/>
      <c r="B31" s="15" t="str">
        <f aca="false">IF($V31="","",INDEX(Requests!$A$2:$A$251,$V31))</f>
        <v/>
      </c>
      <c r="C31" s="15" t="str">
        <f aca="false">IF($V31="","",INDEX(Requests!$C$2:$C$251,$V31))</f>
        <v/>
      </c>
      <c r="D31" s="15" t="str">
        <f aca="false">IF($V31="","",INDEX(Requests!$K$2:$K$251,$V31))</f>
        <v/>
      </c>
      <c r="E31" s="17" t="str">
        <f aca="false">IF($V31="","",INDEX(Requests!$AR$2:$AR$251,$V31))</f>
        <v/>
      </c>
      <c r="F31" s="4"/>
      <c r="G31" s="15" t="str">
        <f aca="false">IF($R31="","",INDEX(Requests!$A$2:$A$251,$R31))</f>
        <v/>
      </c>
      <c r="H31" s="15" t="str">
        <f aca="false">IF($R31="","",INDEX(Requests!$C$2:$C$251,$R31))</f>
        <v/>
      </c>
      <c r="I31" s="15" t="str">
        <f aca="false">IF($R31="","",INDEX(Requests!$K$2:$K$251,$R31))</f>
        <v/>
      </c>
      <c r="J31" s="16" t="str">
        <f aca="false">IF($R31="","",INDEX(Requests!$AT$2:$AT$251,$R31))</f>
        <v/>
      </c>
      <c r="K31" s="4"/>
      <c r="L31" s="4"/>
      <c r="M31" s="4"/>
      <c r="N31" s="4"/>
      <c r="O31" s="4"/>
      <c r="P31" s="4"/>
      <c r="R31" s="0" t="str">
        <f aca="false">IFERROR(MATCH(8,Requests!$BE$2:$BE$251,0),"")</f>
        <v/>
      </c>
      <c r="V31" s="0" t="str">
        <f aca="false">IFERROR(MATCH(8,Requests!$BD$2:$BD$251,0),"")</f>
        <v/>
      </c>
    </row>
    <row r="32" customFormat="false" ht="15" hidden="false" customHeight="false" outlineLevel="0" collapsed="false">
      <c r="A32" s="4"/>
      <c r="B32" s="4"/>
      <c r="C32" s="4"/>
      <c r="D32" s="4"/>
      <c r="E32" s="4"/>
      <c r="F32" s="4"/>
      <c r="G32" s="4"/>
      <c r="H32" s="4"/>
      <c r="I32" s="4"/>
      <c r="J32" s="4"/>
      <c r="K32" s="4"/>
      <c r="L32" s="4"/>
      <c r="M32" s="4"/>
      <c r="N32" s="4"/>
      <c r="O32" s="4"/>
      <c r="P32" s="4"/>
    </row>
    <row r="33" customFormat="false" ht="27.75" hidden="false" customHeight="true" outlineLevel="0" collapsed="false">
      <c r="A33" s="4"/>
      <c r="B33" s="18" t="s">
        <v>18</v>
      </c>
      <c r="C33" s="18"/>
      <c r="D33" s="18"/>
      <c r="E33" s="18"/>
      <c r="F33" s="18"/>
      <c r="G33" s="18"/>
      <c r="H33" s="18"/>
      <c r="I33" s="18"/>
      <c r="J33" s="18"/>
      <c r="K33" s="18"/>
      <c r="L33" s="18"/>
      <c r="M33" s="18"/>
      <c r="N33" s="18"/>
      <c r="O33" s="18"/>
      <c r="P33" s="4"/>
    </row>
    <row r="34" customFormat="false" ht="15" hidden="false" customHeight="false" outlineLevel="0" collapsed="false">
      <c r="A34" s="4"/>
      <c r="B34" s="4"/>
      <c r="C34" s="4"/>
      <c r="D34" s="4"/>
      <c r="E34" s="4"/>
      <c r="F34" s="4"/>
      <c r="G34" s="4"/>
      <c r="H34" s="4"/>
      <c r="I34" s="4"/>
      <c r="J34" s="4"/>
      <c r="K34" s="4"/>
      <c r="L34" s="4"/>
      <c r="M34" s="4"/>
      <c r="N34" s="4"/>
      <c r="O34" s="4"/>
      <c r="P34" s="4"/>
    </row>
    <row r="35" customFormat="false" ht="15" hidden="false" customHeight="false" outlineLevel="0" collapsed="false">
      <c r="A35" s="4"/>
      <c r="B35" s="19" t="s">
        <v>19</v>
      </c>
      <c r="C35" s="19"/>
      <c r="D35" s="19"/>
      <c r="E35" s="19"/>
      <c r="F35" s="19"/>
      <c r="G35" s="19"/>
      <c r="H35" s="19"/>
      <c r="I35" s="19"/>
      <c r="J35" s="19"/>
      <c r="K35" s="19"/>
      <c r="L35" s="19"/>
      <c r="M35" s="19"/>
      <c r="N35" s="19"/>
      <c r="O35" s="19"/>
      <c r="P35" s="4"/>
    </row>
    <row r="36" customFormat="false" ht="15" hidden="false" customHeight="false" outlineLevel="0" collapsed="false">
      <c r="A36" s="4"/>
      <c r="B36" s="4"/>
      <c r="C36" s="4"/>
      <c r="D36" s="4"/>
      <c r="E36" s="4"/>
      <c r="F36" s="4"/>
      <c r="G36" s="4"/>
      <c r="H36" s="4"/>
      <c r="I36" s="4"/>
      <c r="J36" s="4"/>
      <c r="K36" s="4"/>
      <c r="L36" s="4"/>
      <c r="M36" s="4"/>
      <c r="N36" s="4"/>
      <c r="O36" s="4"/>
      <c r="P36" s="4"/>
    </row>
    <row r="37" customFormat="false" ht="15" hidden="false" customHeight="false" outlineLevel="0" collapsed="false">
      <c r="A37" s="4"/>
      <c r="B37" s="4"/>
      <c r="C37" s="4"/>
      <c r="D37" s="4"/>
      <c r="E37" s="4"/>
      <c r="F37" s="4"/>
      <c r="G37" s="4"/>
      <c r="H37" s="4"/>
      <c r="I37" s="4"/>
      <c r="J37" s="4"/>
      <c r="K37" s="4"/>
      <c r="L37" s="4"/>
      <c r="M37" s="4"/>
      <c r="N37" s="4"/>
      <c r="O37" s="4"/>
      <c r="P37" s="4"/>
    </row>
    <row r="38" customFormat="false" ht="15" hidden="false" customHeight="false" outlineLevel="0" collapsed="false">
      <c r="A38" s="4"/>
      <c r="B38" s="4"/>
      <c r="C38" s="4"/>
      <c r="D38" s="4"/>
      <c r="E38" s="4"/>
      <c r="F38" s="4"/>
      <c r="G38" s="4"/>
      <c r="H38" s="4"/>
      <c r="I38" s="4"/>
      <c r="J38" s="4"/>
      <c r="K38" s="4"/>
      <c r="L38" s="4"/>
      <c r="M38" s="4"/>
      <c r="N38" s="4"/>
      <c r="O38" s="4"/>
      <c r="P38" s="4"/>
    </row>
    <row r="39" customFormat="false" ht="15" hidden="false" customHeight="false" outlineLevel="0" collapsed="false">
      <c r="A39" s="4"/>
      <c r="B39" s="4"/>
      <c r="C39" s="4"/>
      <c r="D39" s="4"/>
      <c r="E39" s="4"/>
      <c r="F39" s="4"/>
      <c r="G39" s="4"/>
      <c r="H39" s="4"/>
      <c r="I39" s="4"/>
      <c r="J39" s="4"/>
      <c r="K39" s="4"/>
      <c r="L39" s="4"/>
      <c r="M39" s="4"/>
      <c r="N39" s="4"/>
      <c r="O39" s="4"/>
      <c r="P39" s="4"/>
    </row>
    <row r="40" customFormat="false" ht="15" hidden="false" customHeight="false" outlineLevel="0" collapsed="false">
      <c r="A40" s="4"/>
      <c r="B40" s="4"/>
      <c r="C40" s="4"/>
      <c r="D40" s="4"/>
      <c r="E40" s="4"/>
      <c r="F40" s="4"/>
      <c r="G40" s="4"/>
      <c r="H40" s="4"/>
      <c r="I40" s="4"/>
      <c r="J40" s="4"/>
      <c r="K40" s="4"/>
      <c r="L40" s="4"/>
      <c r="M40" s="4"/>
      <c r="N40" s="4"/>
      <c r="O40" s="4"/>
      <c r="P40" s="4"/>
    </row>
    <row r="41" customFormat="false" ht="15" hidden="false" customHeight="false" outlineLevel="0" collapsed="false">
      <c r="A41" s="4"/>
      <c r="B41" s="4"/>
      <c r="C41" s="4"/>
      <c r="D41" s="4"/>
      <c r="E41" s="4"/>
      <c r="F41" s="4"/>
      <c r="G41" s="4"/>
      <c r="H41" s="4"/>
      <c r="I41" s="4"/>
      <c r="J41" s="4"/>
      <c r="K41" s="4"/>
      <c r="L41" s="4"/>
      <c r="M41" s="4"/>
      <c r="N41" s="4"/>
      <c r="O41" s="4"/>
      <c r="P41" s="4"/>
    </row>
    <row r="42" customFormat="false" ht="15" hidden="false" customHeight="false" outlineLevel="0" collapsed="false">
      <c r="A42" s="4"/>
      <c r="B42" s="4"/>
      <c r="C42" s="4"/>
      <c r="D42" s="4"/>
      <c r="E42" s="4"/>
      <c r="F42" s="4"/>
      <c r="G42" s="4"/>
      <c r="H42" s="4"/>
      <c r="I42" s="4"/>
      <c r="J42" s="4"/>
      <c r="K42" s="4"/>
      <c r="L42" s="4"/>
      <c r="M42" s="4"/>
      <c r="N42" s="4"/>
      <c r="O42" s="4"/>
      <c r="P42" s="4"/>
    </row>
    <row r="43" customFormat="false" ht="15" hidden="false" customHeight="false" outlineLevel="0" collapsed="false">
      <c r="A43" s="4"/>
      <c r="B43" s="4"/>
      <c r="C43" s="4"/>
      <c r="D43" s="4"/>
      <c r="E43" s="4"/>
      <c r="F43" s="4"/>
      <c r="G43" s="4"/>
      <c r="H43" s="4"/>
      <c r="I43" s="4"/>
      <c r="J43" s="4"/>
      <c r="K43" s="4"/>
      <c r="L43" s="4"/>
      <c r="M43" s="4"/>
      <c r="N43" s="4"/>
      <c r="O43" s="4"/>
      <c r="P43" s="4"/>
    </row>
    <row r="44" customFormat="false" ht="15" hidden="false" customHeight="false" outlineLevel="0" collapsed="false">
      <c r="A44" s="4"/>
      <c r="B44" s="4"/>
      <c r="C44" s="4"/>
      <c r="D44" s="4"/>
      <c r="E44" s="4"/>
      <c r="F44" s="4"/>
      <c r="G44" s="4"/>
      <c r="H44" s="4"/>
      <c r="I44" s="4"/>
      <c r="J44" s="4"/>
      <c r="K44" s="4"/>
      <c r="L44" s="4"/>
      <c r="M44" s="4"/>
      <c r="N44" s="4"/>
      <c r="O44" s="4"/>
      <c r="P44" s="4"/>
    </row>
    <row r="45" customFormat="false" ht="15" hidden="false" customHeight="false" outlineLevel="0" collapsed="false">
      <c r="A45" s="4"/>
      <c r="B45" s="4"/>
      <c r="C45" s="4"/>
      <c r="D45" s="4"/>
      <c r="E45" s="4"/>
      <c r="F45" s="4"/>
      <c r="G45" s="4"/>
      <c r="H45" s="4"/>
      <c r="I45" s="4"/>
      <c r="J45" s="4"/>
      <c r="K45" s="4"/>
      <c r="L45" s="4"/>
      <c r="M45" s="4"/>
      <c r="N45" s="4"/>
      <c r="O45" s="4"/>
      <c r="P45" s="4"/>
    </row>
    <row r="46" customFormat="false" ht="15" hidden="false" customHeight="false" outlineLevel="0" collapsed="false">
      <c r="A46" s="4"/>
      <c r="B46" s="4"/>
      <c r="C46" s="4"/>
      <c r="D46" s="4"/>
      <c r="E46" s="4"/>
      <c r="F46" s="4"/>
      <c r="G46" s="4"/>
      <c r="H46" s="4"/>
      <c r="I46" s="4"/>
      <c r="J46" s="4"/>
      <c r="K46" s="4"/>
      <c r="L46" s="4"/>
      <c r="M46" s="4"/>
      <c r="N46" s="4"/>
      <c r="O46" s="4"/>
      <c r="P46" s="4"/>
    </row>
  </sheetData>
  <mergeCells count="21">
    <mergeCell ref="A1:P1"/>
    <mergeCell ref="A2:P2"/>
    <mergeCell ref="B6:C6"/>
    <mergeCell ref="D6:E6"/>
    <mergeCell ref="G6:H6"/>
    <mergeCell ref="I6:J6"/>
    <mergeCell ref="L6:M6"/>
    <mergeCell ref="N6:O6"/>
    <mergeCell ref="B7:C7"/>
    <mergeCell ref="D7:E7"/>
    <mergeCell ref="G7:H7"/>
    <mergeCell ref="I7:J7"/>
    <mergeCell ref="L7:M7"/>
    <mergeCell ref="N7:O7"/>
    <mergeCell ref="B10:E10"/>
    <mergeCell ref="G10:J10"/>
    <mergeCell ref="L10:O10"/>
    <mergeCell ref="B22:E22"/>
    <mergeCell ref="G22:J22"/>
    <mergeCell ref="B33:O33"/>
    <mergeCell ref="B35:O35"/>
  </mergeCells>
  <dataValidations count="1">
    <dataValidation allowBlank="true" errorStyle="stop" operator="between" showDropDown="false" showErrorMessage="false" showInputMessage="false" sqref="C4" type="list">
      <formula1>TrkList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I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18"/>
    <col collapsed="false" customWidth="true" hidden="false" outlineLevel="0" max="4" min="4" style="0" width="10"/>
    <col collapsed="false" customWidth="true" hidden="false" outlineLevel="0" max="5" min="5" style="0" width="8"/>
    <col collapsed="false" customWidth="true" hidden="false" outlineLevel="0" max="6" min="6" style="0" width="14"/>
    <col collapsed="false" customWidth="true" hidden="false" outlineLevel="0" max="7" min="7" style="0" width="22"/>
    <col collapsed="false" customWidth="true" hidden="false" outlineLevel="0" max="8" min="8" style="0" width="12"/>
    <col collapsed="false" customWidth="true" hidden="false" outlineLevel="0" max="9" min="9" style="0" width="16"/>
    <col collapsed="false" customWidth="true" hidden="false" outlineLevel="0" max="10" min="10" style="0" width="22"/>
    <col collapsed="false" customWidth="true" hidden="false" outlineLevel="0" max="11" min="11" style="0" width="28"/>
    <col collapsed="false" customWidth="true" hidden="false" outlineLevel="0" max="13" min="12" style="0" width="16"/>
    <col collapsed="false" customWidth="true" hidden="false" outlineLevel="0" max="16" min="14" style="0" width="11"/>
    <col collapsed="false" customWidth="true" hidden="false" outlineLevel="0" max="17" min="17" style="0" width="10"/>
    <col collapsed="false" customWidth="true" hidden="false" outlineLevel="0" max="18" min="18" style="0" width="11"/>
    <col collapsed="false" customWidth="true" hidden="false" outlineLevel="0" max="19" min="19" style="0" width="10"/>
    <col collapsed="false" customWidth="true" hidden="false" outlineLevel="0" max="20" min="20" style="0" width="12"/>
    <col collapsed="false" customWidth="true" hidden="false" outlineLevel="0" max="21" min="21" style="0" width="7"/>
    <col collapsed="false" customWidth="true" hidden="false" outlineLevel="0" max="24" min="22" style="0" width="11"/>
    <col collapsed="false" customWidth="true" hidden="false" outlineLevel="0" max="25" min="25" style="0" width="9"/>
    <col collapsed="false" customWidth="true" hidden="false" outlineLevel="0" max="26" min="26" style="0" width="12"/>
    <col collapsed="false" customWidth="true" hidden="false" outlineLevel="0" max="28" min="27" style="0" width="11"/>
    <col collapsed="false" customWidth="true" hidden="false" outlineLevel="0" max="29" min="29" style="0" width="10"/>
    <col collapsed="false" customWidth="true" hidden="false" outlineLevel="0" max="31" min="30" style="0" width="12"/>
    <col collapsed="false" customWidth="true" hidden="false" outlineLevel="0" max="34" min="32" style="0" width="11"/>
    <col collapsed="false" customWidth="true" hidden="false" outlineLevel="0" max="35" min="35" style="0" width="10"/>
    <col collapsed="false" customWidth="true" hidden="false" outlineLevel="0" max="38" min="36" style="0" width="12"/>
    <col collapsed="false" customWidth="true" hidden="false" outlineLevel="0" max="39" min="39" style="0" width="13"/>
    <col collapsed="false" customWidth="true" hidden="false" outlineLevel="0" max="41" min="40" style="0" width="11"/>
    <col collapsed="false" customWidth="true" hidden="false" outlineLevel="0" max="43" min="42" style="0" width="9"/>
    <col collapsed="false" customWidth="true" hidden="false" outlineLevel="0" max="45" min="44" style="0" width="11"/>
    <col collapsed="false" customWidth="true" hidden="false" outlineLevel="0" max="46" min="46" style="0" width="13"/>
    <col collapsed="false" customWidth="true" hidden="false" outlineLevel="0" max="47" min="47" style="0" width="11"/>
    <col collapsed="false" customWidth="true" hidden="false" outlineLevel="0" max="48" min="48" style="0" width="9"/>
    <col collapsed="false" customWidth="true" hidden="false" outlineLevel="0" max="49" min="49" style="0" width="24"/>
    <col collapsed="false" customWidth="true" hidden="false" outlineLevel="0" max="52" min="50" style="0" width="10"/>
    <col collapsed="false" customWidth="true" hidden="false" outlineLevel="0" max="57" min="53" style="0" width="8"/>
    <col collapsed="false" customWidth="true" hidden="false" outlineLevel="0" max="58" min="58" style="0" width="9"/>
    <col collapsed="false" customWidth="true" hidden="false" outlineLevel="0" max="59" min="59" style="0" width="18"/>
    <col collapsed="false" customWidth="true" hidden="false" outlineLevel="0" max="60" min="60" style="0" width="14"/>
    <col collapsed="false" customWidth="true" hidden="false" outlineLevel="0" max="61" min="61" style="0" width="30"/>
  </cols>
  <sheetData>
    <row r="1" customFormat="false" ht="39.75" hidden="false" customHeight="true" outlineLevel="0" collapsed="false">
      <c r="A1" s="20" t="s">
        <v>20</v>
      </c>
      <c r="B1" s="20" t="s">
        <v>21</v>
      </c>
      <c r="C1" s="20" t="s">
        <v>12</v>
      </c>
      <c r="D1" s="20" t="s">
        <v>22</v>
      </c>
      <c r="E1" s="20" t="s">
        <v>23</v>
      </c>
      <c r="F1" s="20" t="s">
        <v>24</v>
      </c>
      <c r="G1" s="20" t="s">
        <v>25</v>
      </c>
      <c r="H1" s="20" t="s">
        <v>26</v>
      </c>
      <c r="I1" s="20" t="s">
        <v>27</v>
      </c>
      <c r="J1" s="20" t="s">
        <v>28</v>
      </c>
      <c r="K1" s="20" t="s">
        <v>29</v>
      </c>
      <c r="L1" s="20" t="s">
        <v>30</v>
      </c>
      <c r="M1" s="20" t="s">
        <v>31</v>
      </c>
      <c r="N1" s="20" t="s">
        <v>32</v>
      </c>
      <c r="O1" s="20" t="s">
        <v>33</v>
      </c>
      <c r="P1" s="20" t="s">
        <v>34</v>
      </c>
      <c r="Q1" s="20" t="s">
        <v>35</v>
      </c>
      <c r="R1" s="20" t="s">
        <v>36</v>
      </c>
      <c r="S1" s="20" t="s">
        <v>37</v>
      </c>
      <c r="T1" s="20" t="s">
        <v>38</v>
      </c>
      <c r="U1" s="20" t="s">
        <v>39</v>
      </c>
      <c r="V1" s="20" t="s">
        <v>40</v>
      </c>
      <c r="W1" s="20" t="s">
        <v>41</v>
      </c>
      <c r="X1" s="20" t="s">
        <v>42</v>
      </c>
      <c r="Y1" s="20" t="s">
        <v>43</v>
      </c>
      <c r="Z1" s="20" t="s">
        <v>44</v>
      </c>
      <c r="AA1" s="20" t="s">
        <v>45</v>
      </c>
      <c r="AB1" s="20" t="s">
        <v>46</v>
      </c>
      <c r="AC1" s="20" t="s">
        <v>47</v>
      </c>
      <c r="AD1" s="20" t="s">
        <v>48</v>
      </c>
      <c r="AE1" s="20" t="s">
        <v>49</v>
      </c>
      <c r="AF1" s="20" t="s">
        <v>50</v>
      </c>
      <c r="AG1" s="20" t="s">
        <v>51</v>
      </c>
      <c r="AH1" s="20" t="s">
        <v>52</v>
      </c>
      <c r="AI1" s="20" t="s">
        <v>53</v>
      </c>
      <c r="AJ1" s="20" t="s">
        <v>54</v>
      </c>
      <c r="AK1" s="20" t="s">
        <v>55</v>
      </c>
      <c r="AL1" s="20" t="s">
        <v>56</v>
      </c>
      <c r="AM1" s="20" t="s">
        <v>57</v>
      </c>
      <c r="AN1" s="20" t="s">
        <v>14</v>
      </c>
      <c r="AO1" s="20" t="s">
        <v>58</v>
      </c>
      <c r="AP1" s="20" t="s">
        <v>59</v>
      </c>
      <c r="AQ1" s="20" t="s">
        <v>60</v>
      </c>
      <c r="AR1" s="20" t="s">
        <v>61</v>
      </c>
      <c r="AS1" s="20" t="s">
        <v>62</v>
      </c>
      <c r="AT1" s="20" t="s">
        <v>63</v>
      </c>
      <c r="AU1" s="20" t="s">
        <v>64</v>
      </c>
      <c r="AV1" s="20" t="s">
        <v>65</v>
      </c>
      <c r="AW1" s="20" t="s">
        <v>66</v>
      </c>
      <c r="AX1" s="21" t="s">
        <v>67</v>
      </c>
      <c r="AY1" s="21" t="s">
        <v>68</v>
      </c>
      <c r="AZ1" s="21" t="s">
        <v>69</v>
      </c>
      <c r="BA1" s="21" t="s">
        <v>70</v>
      </c>
      <c r="BB1" s="21" t="s">
        <v>71</v>
      </c>
      <c r="BC1" s="21" t="s">
        <v>72</v>
      </c>
      <c r="BD1" s="21" t="s">
        <v>73</v>
      </c>
      <c r="BE1" s="21" t="s">
        <v>74</v>
      </c>
      <c r="BF1" s="20" t="s">
        <v>75</v>
      </c>
      <c r="BG1" s="20" t="s">
        <v>76</v>
      </c>
      <c r="BH1" s="20" t="s">
        <v>77</v>
      </c>
      <c r="BI1" s="20" t="s">
        <v>78</v>
      </c>
    </row>
    <row r="2" customFormat="false" ht="15" hidden="false" customHeight="false" outlineLevel="0" collapsed="false">
      <c r="A2" s="22" t="s">
        <v>79</v>
      </c>
      <c r="B2" s="22" t="s">
        <v>80</v>
      </c>
      <c r="C2" s="22" t="s">
        <v>81</v>
      </c>
      <c r="D2" s="22" t="s">
        <v>12</v>
      </c>
      <c r="E2" s="22" t="s">
        <v>82</v>
      </c>
      <c r="F2" s="22" t="s">
        <v>83</v>
      </c>
      <c r="G2" s="22" t="s">
        <v>84</v>
      </c>
      <c r="H2" s="22" t="s">
        <v>85</v>
      </c>
      <c r="I2" s="22" t="s">
        <v>86</v>
      </c>
      <c r="J2" s="22" t="s">
        <v>87</v>
      </c>
      <c r="K2" s="22" t="s">
        <v>88</v>
      </c>
      <c r="L2" s="22" t="s">
        <v>89</v>
      </c>
      <c r="M2" s="22" t="s">
        <v>90</v>
      </c>
      <c r="N2" s="23" t="n">
        <v>46090</v>
      </c>
      <c r="O2" s="23" t="n">
        <v>46092</v>
      </c>
      <c r="P2" s="23" t="n">
        <v>46089</v>
      </c>
      <c r="Q2" s="24" t="n">
        <v>0.625</v>
      </c>
      <c r="R2" s="23" t="n">
        <v>46092</v>
      </c>
      <c r="S2" s="24" t="n">
        <v>0.770833333333333</v>
      </c>
      <c r="T2" s="25" t="n">
        <v>350</v>
      </c>
      <c r="U2" s="26" t="n">
        <v>3</v>
      </c>
      <c r="V2" s="25" t="n">
        <v>119</v>
      </c>
      <c r="W2" s="25" t="n">
        <f aca="false">IF($A2="","",N($U2)*N($V2))</f>
        <v>357</v>
      </c>
      <c r="X2" s="22" t="s">
        <v>91</v>
      </c>
      <c r="Y2" s="26" t="n">
        <v>0</v>
      </c>
      <c r="Z2" s="25" t="n">
        <v>0</v>
      </c>
      <c r="AA2" s="25" t="n">
        <f aca="false">IF($A2="","",IF($X2="POV",N($Y2)*MileageRate,0)+N($Z2))</f>
        <v>0</v>
      </c>
      <c r="AB2" s="25" t="n">
        <f aca="false">IF(OR($A2="",$P2="",$R2="",$Q2="",$S2=""),"",IF($R2=$P2,($Q2&lt;=T_DepBfast)*($S2&gt;=T_RetBfast)*PD_Bfast+($Q2&lt;=T_DepLunch)*($S2&gt;=T_RetLunch)*PD_Lunch+($Q2&lt;=T_DepDinner)*($S2&gt;=T_RetDinner)*PD_Dinner+PD_Incid,($Q2&lt;=T_DepBfast)*PD_Bfast+($Q2&lt;=T_DepLunch)*PD_Lunch+($Q2&lt;=T_DepDinner)*PD_Dinner+($S2&gt;=T_RetBfast)*PD_Bfast+($S2&gt;=T_RetLunch)*PD_Lunch+($S2&gt;=T_RetDinner)*PD_Dinner+MAX($R2-$P2-1,0)*(PD_Bfast+PD_Lunch+PD_Dinner)+($R2-$P2+1)*PD_Incid))</f>
        <v>182</v>
      </c>
      <c r="AC2" s="25" t="n">
        <v>0</v>
      </c>
      <c r="AD2" s="25" t="n">
        <f aca="false">IF($A2="","",N($T2)+N($W2)+N($AA2)+N($AB2)+N($AC2))</f>
        <v>889</v>
      </c>
      <c r="AE2" s="25" t="n">
        <v>350</v>
      </c>
      <c r="AF2" s="25" t="n">
        <v>371.07</v>
      </c>
      <c r="AG2" s="25" t="n">
        <v>0</v>
      </c>
      <c r="AH2" s="25" t="n">
        <v>168</v>
      </c>
      <c r="AI2" s="25" t="n">
        <v>0</v>
      </c>
      <c r="AJ2" s="25" t="n">
        <f aca="false">IF($A2="","",IF(COUNT($AE2:$AI2)=0,"",SUM($AE2:$AI2)))</f>
        <v>889.07</v>
      </c>
      <c r="AK2" s="25" t="n">
        <v>721.07</v>
      </c>
      <c r="AL2" s="25" t="n">
        <v>168</v>
      </c>
      <c r="AM2" s="25" t="n">
        <f aca="false">IF(OR($A2="",$AJ2=""),"",$AJ2-N($AK2)-N($AL2))</f>
        <v>0</v>
      </c>
      <c r="AN2" s="23" t="n">
        <v>46034</v>
      </c>
      <c r="AO2" s="23" t="n">
        <v>46037</v>
      </c>
      <c r="AP2" s="22" t="s">
        <v>92</v>
      </c>
      <c r="AQ2" s="22" t="s">
        <v>92</v>
      </c>
      <c r="AR2" s="23" t="n">
        <f aca="false">IF(OR($A2="",$R2=""),"",$R2+ReceiptDays)</f>
        <v>46099</v>
      </c>
      <c r="AS2" s="23" t="n">
        <v>46097</v>
      </c>
      <c r="AT2" s="23" t="n">
        <f aca="false">IF(OR($A2="",$P2=""),"",($P2-FinanceLeadDays)-MOD(($P2-FinanceLeadDays)-DATE(2024,1,2),7))</f>
        <v>46077</v>
      </c>
      <c r="AU2" s="23" t="n">
        <v>46098</v>
      </c>
      <c r="AV2" s="22" t="s">
        <v>92</v>
      </c>
      <c r="AW2" s="22"/>
      <c r="AX2" s="25" t="n">
        <f aca="false">IF(OR($A2="",$B2="Denied",$B2="Cancelled"),0,N($AD2))</f>
        <v>889</v>
      </c>
      <c r="AY2" s="25" t="n">
        <f aca="false">IF($A2="",0,N($AJ2))</f>
        <v>889.07</v>
      </c>
      <c r="AZ2" s="25" t="n">
        <f aca="false">IF(OR($A2="",$B2="Denied",$B2="Cancelled",$B2="Closed"),0,IF(N($AJ2)&gt;0,0,N($AD2)))</f>
        <v>0</v>
      </c>
      <c r="BA2" s="26" t="n">
        <f aca="false">IF($A2="",0,IF($B2="Awaiting Approval",COUNTIF(BA$1:BA1,"&gt;0")+1,0))</f>
        <v>0</v>
      </c>
      <c r="BB2" s="26" t="n">
        <f aca="false">IF($A2="",0,IF(AND($B2="Approved",$AP2&lt;&gt;"Y"),COUNTIF(BB$1:BB1,"&gt;0")+1,0))</f>
        <v>0</v>
      </c>
      <c r="BC2" s="26" t="n">
        <f aca="false">IF($A2="",0,IF(AND($B2="Approved",N($U2)&gt;0,$AQ2&lt;&gt;"Y"),COUNTIF(BC$1:BC1,"&gt;0")+1,0))</f>
        <v>0</v>
      </c>
      <c r="BD2" s="26" t="n">
        <f aca="true">IF($A2="",0,IF(AND($AR2&lt;&gt;"",N($AR2)&lt;TODAY(),$AS2="",$B2&lt;&gt;"Closed",$B2&lt;&gt;"Cancelled",$B2&lt;&gt;"Denied"),COUNTIF(BD$1:BD1,"&gt;0")+1,0))</f>
        <v>0</v>
      </c>
      <c r="BE2" s="26" t="n">
        <f aca="true">IF($A2="",0,IF(AND($AT2&lt;&gt;"",N($AT2)&lt;=TODAY()+7,$AU2="",$B2&lt;&gt;"Denied",$B2&lt;&gt;"Cancelled",$B2&lt;&gt;"Closed"),COUNTIF(BE$1:BE1,"&gt;0")+1,0))</f>
        <v>0</v>
      </c>
      <c r="BF2" s="22"/>
      <c r="BG2" s="22"/>
      <c r="BH2" s="22"/>
      <c r="BI2" s="22" t="s">
        <v>93</v>
      </c>
    </row>
    <row r="3" customFormat="false" ht="15" hidden="false" customHeight="false" outlineLevel="0" collapsed="false">
      <c r="A3" s="27" t="s">
        <v>94</v>
      </c>
      <c r="B3" s="27" t="s">
        <v>95</v>
      </c>
      <c r="C3" s="27" t="s">
        <v>96</v>
      </c>
      <c r="D3" s="27" t="s">
        <v>97</v>
      </c>
      <c r="E3" s="27" t="s">
        <v>98</v>
      </c>
      <c r="F3" s="27" t="s">
        <v>99</v>
      </c>
      <c r="G3" s="27" t="s">
        <v>100</v>
      </c>
      <c r="H3" s="27" t="s">
        <v>101</v>
      </c>
      <c r="I3" s="27" t="s">
        <v>102</v>
      </c>
      <c r="J3" s="27" t="s">
        <v>103</v>
      </c>
      <c r="K3" s="27" t="s">
        <v>104</v>
      </c>
      <c r="L3" s="27" t="s">
        <v>105</v>
      </c>
      <c r="M3" s="27" t="s">
        <v>106</v>
      </c>
      <c r="N3" s="28" t="n">
        <v>46230</v>
      </c>
      <c r="O3" s="28" t="n">
        <v>46231</v>
      </c>
      <c r="P3" s="28" t="n">
        <v>46230</v>
      </c>
      <c r="Q3" s="29" t="n">
        <v>0.270833333333333</v>
      </c>
      <c r="R3" s="28" t="n">
        <v>46231</v>
      </c>
      <c r="S3" s="29" t="n">
        <v>0.791666666666667</v>
      </c>
      <c r="T3" s="30" t="n">
        <v>425</v>
      </c>
      <c r="U3" s="31" t="n">
        <v>1</v>
      </c>
      <c r="V3" s="30" t="n">
        <v>139</v>
      </c>
      <c r="W3" s="30" t="n">
        <f aca="false">IF($A3="","",N($U3)*N($V3))</f>
        <v>139</v>
      </c>
      <c r="X3" s="27" t="s">
        <v>107</v>
      </c>
      <c r="Y3" s="31" t="n">
        <v>190</v>
      </c>
      <c r="Z3" s="30" t="n">
        <v>0</v>
      </c>
      <c r="AA3" s="30" t="n">
        <f aca="false">IF($A3="","",IF($X3="POV",N($Y3)*MileageRate,0)+N($Z3))</f>
        <v>133</v>
      </c>
      <c r="AB3" s="30" t="n">
        <f aca="false">IF(OR($A3="",$P3="",$R3="",$Q3="",$S3=""),"",IF($R3=$P3,($Q3&lt;=T_DepBfast)*($S3&gt;=T_RetBfast)*PD_Bfast+($Q3&lt;=T_DepLunch)*($S3&gt;=T_RetLunch)*PD_Lunch+($Q3&lt;=T_DepDinner)*($S3&gt;=T_RetDinner)*PD_Dinner+PD_Incid,($Q3&lt;=T_DepBfast)*PD_Bfast+($Q3&lt;=T_DepLunch)*PD_Lunch+($Q3&lt;=T_DepDinner)*PD_Dinner+($S3&gt;=T_RetBfast)*PD_Bfast+($S3&gt;=T_RetLunch)*PD_Lunch+($S3&gt;=T_RetDinner)*PD_Dinner+MAX($R3-$P3-1,0)*(PD_Bfast+PD_Lunch+PD_Dinner)+($R3-$P3+1)*PD_Incid))</f>
        <v>105</v>
      </c>
      <c r="AC3" s="30" t="n">
        <v>0</v>
      </c>
      <c r="AD3" s="30" t="n">
        <f aca="false">IF($A3="","",N($T3)+N($W3)+N($AA3)+N($AB3)+N($AC3))</f>
        <v>802</v>
      </c>
      <c r="AE3" s="30"/>
      <c r="AF3" s="30"/>
      <c r="AG3" s="30"/>
      <c r="AH3" s="30"/>
      <c r="AI3" s="30"/>
      <c r="AJ3" s="30" t="str">
        <f aca="false">IF($A3="","",IF(COUNT($AE3:$AI3)=0,"",SUM($AE3:$AI3)))</f>
        <v/>
      </c>
      <c r="AK3" s="30"/>
      <c r="AL3" s="30"/>
      <c r="AM3" s="30" t="str">
        <f aca="false">IF(OR($A3="",$AJ3=""),"",$AJ3-N($AK3)-N($AL3))</f>
        <v/>
      </c>
      <c r="AN3" s="28" t="n">
        <v>46174</v>
      </c>
      <c r="AO3" s="28" t="n">
        <v>46176</v>
      </c>
      <c r="AP3" s="27" t="s">
        <v>92</v>
      </c>
      <c r="AQ3" s="27" t="s">
        <v>92</v>
      </c>
      <c r="AR3" s="28" t="n">
        <f aca="false">IF(OR($A3="",$R3=""),"",$R3+ReceiptDays)</f>
        <v>46238</v>
      </c>
      <c r="AS3" s="28"/>
      <c r="AT3" s="28" t="n">
        <f aca="false">IF(OR($A3="",$P3=""),"",($P3-FinanceLeadDays)-MOD(($P3-FinanceLeadDays)-DATE(2024,1,2),7))</f>
        <v>46217</v>
      </c>
      <c r="AU3" s="28"/>
      <c r="AV3" s="27" t="s">
        <v>92</v>
      </c>
      <c r="AW3" s="27"/>
      <c r="AX3" s="30" t="n">
        <f aca="false">IF(OR($A3="",$B3="Denied",$B3="Cancelled"),0,N($AD3))</f>
        <v>802</v>
      </c>
      <c r="AY3" s="30" t="n">
        <f aca="false">IF($A3="",0,N($AJ3))</f>
        <v>0</v>
      </c>
      <c r="AZ3" s="30" t="n">
        <f aca="false">IF(OR($A3="",$B3="Denied",$B3="Cancelled",$B3="Closed"),0,IF(N($AJ3)&gt;0,0,N($AD3)))</f>
        <v>802</v>
      </c>
      <c r="BA3" s="31" t="n">
        <f aca="false">IF($A3="",0,IF($B3="Awaiting Approval",COUNTIF(BA$1:BA2,"&gt;0")+1,0))</f>
        <v>0</v>
      </c>
      <c r="BB3" s="31" t="n">
        <f aca="false">IF($A3="",0,IF(AND($B3="Approved",$AP3&lt;&gt;"Y"),COUNTIF(BB$1:BB2,"&gt;0")+1,0))</f>
        <v>0</v>
      </c>
      <c r="BC3" s="31" t="n">
        <f aca="false">IF($A3="",0,IF(AND($B3="Approved",N($U3)&gt;0,$AQ3&lt;&gt;"Y"),COUNTIF(BC$1:BC2,"&gt;0")+1,0))</f>
        <v>0</v>
      </c>
      <c r="BD3" s="31" t="n">
        <f aca="true">IF($A3="",0,IF(AND($AR3&lt;&gt;"",N($AR3)&lt;TODAY(),$AS3="",$B3&lt;&gt;"Closed",$B3&lt;&gt;"Cancelled",$B3&lt;&gt;"Denied"),COUNTIF(BD$1:BD2,"&gt;0")+1,0))</f>
        <v>1</v>
      </c>
      <c r="BE3" s="31" t="n">
        <f aca="true">IF($A3="",0,IF(AND($AT3&lt;&gt;"",N($AT3)&lt;=TODAY()+7,$AU3="",$B3&lt;&gt;"Denied",$B3&lt;&gt;"Cancelled",$B3&lt;&gt;"Closed"),COUNTIF(BE$1:BE2,"&gt;0")+1,0))</f>
        <v>1</v>
      </c>
      <c r="BF3" s="27"/>
      <c r="BG3" s="27"/>
      <c r="BH3" s="27"/>
      <c r="BI3" s="27" t="s">
        <v>108</v>
      </c>
    </row>
    <row r="4" customFormat="false" ht="15" hidden="false" customHeight="false" outlineLevel="0" collapsed="false">
      <c r="A4" s="22" t="s">
        <v>3</v>
      </c>
      <c r="B4" s="22" t="s">
        <v>58</v>
      </c>
      <c r="C4" s="22" t="s">
        <v>109</v>
      </c>
      <c r="D4" s="22" t="s">
        <v>110</v>
      </c>
      <c r="E4" s="22" t="s">
        <v>111</v>
      </c>
      <c r="F4" s="22" t="s">
        <v>112</v>
      </c>
      <c r="G4" s="22" t="s">
        <v>113</v>
      </c>
      <c r="H4" s="22" t="s">
        <v>114</v>
      </c>
      <c r="I4" s="22" t="s">
        <v>86</v>
      </c>
      <c r="J4" s="22" t="s">
        <v>87</v>
      </c>
      <c r="K4" s="22" t="s">
        <v>115</v>
      </c>
      <c r="L4" s="22" t="s">
        <v>116</v>
      </c>
      <c r="M4" s="22" t="s">
        <v>117</v>
      </c>
      <c r="N4" s="23" t="n">
        <v>46258</v>
      </c>
      <c r="O4" s="23" t="n">
        <v>46262</v>
      </c>
      <c r="P4" s="23" t="n">
        <v>46257</v>
      </c>
      <c r="Q4" s="24" t="n">
        <v>0.541666666666667</v>
      </c>
      <c r="R4" s="23" t="n">
        <v>46262</v>
      </c>
      <c r="S4" s="24" t="n">
        <v>0.770833333333333</v>
      </c>
      <c r="T4" s="25" t="n">
        <v>450</v>
      </c>
      <c r="U4" s="26" t="n">
        <v>5</v>
      </c>
      <c r="V4" s="25" t="n">
        <v>129</v>
      </c>
      <c r="W4" s="25" t="n">
        <f aca="false">IF($A4="","",N($U4)*N($V4))</f>
        <v>645</v>
      </c>
      <c r="X4" s="22" t="s">
        <v>91</v>
      </c>
      <c r="Y4" s="26" t="n">
        <v>0</v>
      </c>
      <c r="Z4" s="25" t="n">
        <v>0</v>
      </c>
      <c r="AA4" s="25" t="n">
        <f aca="false">IF($A4="","",IF($X4="POV",N($Y4)*MileageRate,0)+N($Z4))</f>
        <v>0</v>
      </c>
      <c r="AB4" s="25" t="n">
        <f aca="false">IF(OR($A4="",$P4="",$R4="",$Q4="",$S4=""),"",IF($R4=$P4,($Q4&lt;=T_DepBfast)*($S4&gt;=T_RetBfast)*PD_Bfast+($Q4&lt;=T_DepLunch)*($S4&gt;=T_RetLunch)*PD_Lunch+($Q4&lt;=T_DepDinner)*($S4&gt;=T_RetDinner)*PD_Dinner+PD_Incid,($Q4&lt;=T_DepBfast)*PD_Bfast+($Q4&lt;=T_DepLunch)*PD_Lunch+($Q4&lt;=T_DepDinner)*PD_Dinner+($S4&gt;=T_RetBfast)*PD_Bfast+($S4&gt;=T_RetLunch)*PD_Lunch+($S4&gt;=T_RetDinner)*PD_Dinner+MAX($R4-$P4-1,0)*(PD_Bfast+PD_Lunch+PD_Dinner)+($R4-$P4+1)*PD_Incid))</f>
        <v>300</v>
      </c>
      <c r="AC4" s="25" t="n">
        <v>35</v>
      </c>
      <c r="AD4" s="25" t="n">
        <f aca="false">IF($A4="","",N($T4)+N($W4)+N($AA4)+N($AB4)+N($AC4))</f>
        <v>1430</v>
      </c>
      <c r="AE4" s="25"/>
      <c r="AF4" s="25"/>
      <c r="AG4" s="25"/>
      <c r="AH4" s="25"/>
      <c r="AI4" s="25"/>
      <c r="AJ4" s="25" t="str">
        <f aca="false">IF($A4="","",IF(COUNT($AE4:$AI4)=0,"",SUM($AE4:$AI4)))</f>
        <v/>
      </c>
      <c r="AK4" s="25"/>
      <c r="AL4" s="25"/>
      <c r="AM4" s="25" t="str">
        <f aca="false">IF(OR($A4="",$AJ4=""),"",$AJ4-N($AK4)-N($AL4))</f>
        <v/>
      </c>
      <c r="AN4" s="23" t="n">
        <v>46223</v>
      </c>
      <c r="AO4" s="23" t="n">
        <v>46227</v>
      </c>
      <c r="AP4" s="22"/>
      <c r="AQ4" s="22"/>
      <c r="AR4" s="23" t="n">
        <f aca="false">IF(OR($A4="",$R4=""),"",$R4+ReceiptDays)</f>
        <v>46269</v>
      </c>
      <c r="AS4" s="23"/>
      <c r="AT4" s="23" t="n">
        <f aca="false">IF(OR($A4="",$P4=""),"",($P4-FinanceLeadDays)-MOD(($P4-FinanceLeadDays)-DATE(2024,1,2),7))</f>
        <v>46245</v>
      </c>
      <c r="AU4" s="23"/>
      <c r="AV4" s="22"/>
      <c r="AW4" s="22"/>
      <c r="AX4" s="25" t="n">
        <f aca="false">IF(OR($A4="",$B4="Denied",$B4="Cancelled"),0,N($AD4))</f>
        <v>1430</v>
      </c>
      <c r="AY4" s="25" t="n">
        <f aca="false">IF($A4="",0,N($AJ4))</f>
        <v>0</v>
      </c>
      <c r="AZ4" s="25" t="n">
        <f aca="false">IF(OR($A4="",$B4="Denied",$B4="Cancelled",$B4="Closed"),0,IF(N($AJ4)&gt;0,0,N($AD4)))</f>
        <v>1430</v>
      </c>
      <c r="BA4" s="26" t="n">
        <f aca="false">IF($A4="",0,IF($B4="Awaiting Approval",COUNTIF(BA$1:BA3,"&gt;0")+1,0))</f>
        <v>0</v>
      </c>
      <c r="BB4" s="26" t="n">
        <f aca="false">IF($A4="",0,IF(AND($B4="Approved",$AP4&lt;&gt;"Y"),COUNTIF(BB$1:BB3,"&gt;0")+1,0))</f>
        <v>1</v>
      </c>
      <c r="BC4" s="26" t="n">
        <f aca="false">IF($A4="",0,IF(AND($B4="Approved",N($U4)&gt;0,$AQ4&lt;&gt;"Y"),COUNTIF(BC$1:BC3,"&gt;0")+1,0))</f>
        <v>1</v>
      </c>
      <c r="BD4" s="26" t="n">
        <f aca="true">IF($A4="",0,IF(AND($AR4&lt;&gt;"",N($AR4)&lt;TODAY(),$AS4="",$B4&lt;&gt;"Closed",$B4&lt;&gt;"Cancelled",$B4&lt;&gt;"Denied"),COUNTIF(BD$1:BD3,"&gt;0")+1,0))</f>
        <v>0</v>
      </c>
      <c r="BE4" s="26" t="n">
        <f aca="true">IF($A4="",0,IF(AND($AT4&lt;&gt;"",N($AT4)&lt;=TODAY()+7,$AU4="",$B4&lt;&gt;"Denied",$B4&lt;&gt;"Cancelled",$B4&lt;&gt;"Closed"),COUNTIF(BE$1:BE3,"&gt;0")+1,0))</f>
        <v>2</v>
      </c>
      <c r="BF4" s="22"/>
      <c r="BG4" s="22"/>
      <c r="BH4" s="22"/>
      <c r="BI4" s="22" t="s">
        <v>118</v>
      </c>
    </row>
    <row r="5" customFormat="false" ht="15" hidden="false" customHeight="false" outlineLevel="0" collapsed="false">
      <c r="A5" s="27" t="s">
        <v>119</v>
      </c>
      <c r="B5" s="27" t="s">
        <v>120</v>
      </c>
      <c r="C5" s="27" t="s">
        <v>121</v>
      </c>
      <c r="D5" s="27" t="s">
        <v>12</v>
      </c>
      <c r="E5" s="27" t="s">
        <v>122</v>
      </c>
      <c r="F5" s="27" t="s">
        <v>83</v>
      </c>
      <c r="G5" s="27" t="s">
        <v>123</v>
      </c>
      <c r="H5" s="27" t="s">
        <v>124</v>
      </c>
      <c r="I5" s="27" t="s">
        <v>125</v>
      </c>
      <c r="J5" s="27" t="s">
        <v>126</v>
      </c>
      <c r="K5" s="27" t="s">
        <v>127</v>
      </c>
      <c r="L5" s="27" t="s">
        <v>128</v>
      </c>
      <c r="M5" s="27" t="s">
        <v>129</v>
      </c>
      <c r="N5" s="28" t="n">
        <v>46280</v>
      </c>
      <c r="O5" s="28" t="n">
        <v>46282</v>
      </c>
      <c r="P5" s="28" t="n">
        <v>46280</v>
      </c>
      <c r="Q5" s="29" t="n">
        <v>0.25</v>
      </c>
      <c r="R5" s="28" t="n">
        <v>46282</v>
      </c>
      <c r="S5" s="29" t="n">
        <v>0.729166666666667</v>
      </c>
      <c r="T5" s="30" t="n">
        <v>0</v>
      </c>
      <c r="U5" s="31" t="n">
        <v>2</v>
      </c>
      <c r="V5" s="30" t="n">
        <v>109</v>
      </c>
      <c r="W5" s="30" t="n">
        <f aca="false">IF($A5="","",N($U5)*N($V5))</f>
        <v>218</v>
      </c>
      <c r="X5" s="27" t="s">
        <v>91</v>
      </c>
      <c r="Y5" s="31" t="n">
        <v>0</v>
      </c>
      <c r="Z5" s="30" t="n">
        <v>0</v>
      </c>
      <c r="AA5" s="30" t="n">
        <f aca="false">IF($A5="","",IF($X5="POV",N($Y5)*MileageRate,0)+N($Z5))</f>
        <v>0</v>
      </c>
      <c r="AB5" s="30" t="n">
        <f aca="false">IF(OR($A5="",$P5="",$R5="",$Q5="",$S5=""),"",IF($R5=$P5,($Q5&lt;=T_DepBfast)*($S5&gt;=T_RetBfast)*PD_Bfast+($Q5&lt;=T_DepLunch)*($S5&gt;=T_RetLunch)*PD_Lunch+($Q5&lt;=T_DepDinner)*($S5&gt;=T_RetDinner)*PD_Dinner+PD_Incid,($Q5&lt;=T_DepBfast)*PD_Bfast+($Q5&lt;=T_DepLunch)*PD_Lunch+($Q5&lt;=T_DepDinner)*PD_Dinner+($S5&gt;=T_RetBfast)*PD_Bfast+($S5&gt;=T_RetLunch)*PD_Lunch+($S5&gt;=T_RetDinner)*PD_Dinner+MAX($R5-$P5-1,0)*(PD_Bfast+PD_Lunch+PD_Dinner)+($R5-$P5+1)*PD_Incid))</f>
        <v>151</v>
      </c>
      <c r="AC5" s="30" t="n">
        <v>0</v>
      </c>
      <c r="AD5" s="30" t="n">
        <f aca="false">IF($A5="","",N($T5)+N($W5)+N($AA5)+N($AB5)+N($AC5))</f>
        <v>369</v>
      </c>
      <c r="AE5" s="30"/>
      <c r="AF5" s="30"/>
      <c r="AG5" s="30"/>
      <c r="AH5" s="30"/>
      <c r="AI5" s="30"/>
      <c r="AJ5" s="30" t="str">
        <f aca="false">IF($A5="","",IF(COUNT($AE5:$AI5)=0,"",SUM($AE5:$AI5)))</f>
        <v/>
      </c>
      <c r="AK5" s="30"/>
      <c r="AL5" s="30"/>
      <c r="AM5" s="30" t="str">
        <f aca="false">IF(OR($A5="",$AJ5=""),"",$AJ5-N($AK5)-N($AL5))</f>
        <v/>
      </c>
      <c r="AN5" s="28" t="n">
        <v>46240</v>
      </c>
      <c r="AO5" s="28"/>
      <c r="AP5" s="27"/>
      <c r="AQ5" s="27"/>
      <c r="AR5" s="28" t="n">
        <f aca="false">IF(OR($A5="",$R5=""),"",$R5+ReceiptDays)</f>
        <v>46289</v>
      </c>
      <c r="AS5" s="28"/>
      <c r="AT5" s="28" t="n">
        <f aca="false">IF(OR($A5="",$P5=""),"",($P5-FinanceLeadDays)-MOD(($P5-FinanceLeadDays)-DATE(2024,1,2),7))</f>
        <v>46273</v>
      </c>
      <c r="AU5" s="28"/>
      <c r="AV5" s="27"/>
      <c r="AW5" s="27"/>
      <c r="AX5" s="30" t="n">
        <f aca="false">IF(OR($A5="",$B5="Denied",$B5="Cancelled"),0,N($AD5))</f>
        <v>369</v>
      </c>
      <c r="AY5" s="30" t="n">
        <f aca="false">IF($A5="",0,N($AJ5))</f>
        <v>0</v>
      </c>
      <c r="AZ5" s="30" t="n">
        <f aca="false">IF(OR($A5="",$B5="Denied",$B5="Cancelled",$B5="Closed"),0,IF(N($AJ5)&gt;0,0,N($AD5)))</f>
        <v>369</v>
      </c>
      <c r="BA5" s="31" t="n">
        <f aca="false">IF($A5="",0,IF($B5="Awaiting Approval",COUNTIF(BA$1:BA4,"&gt;0")+1,0))</f>
        <v>1</v>
      </c>
      <c r="BB5" s="31" t="n">
        <f aca="false">IF($A5="",0,IF(AND($B5="Approved",$AP5&lt;&gt;"Y"),COUNTIF(BB$1:BB4,"&gt;0")+1,0))</f>
        <v>0</v>
      </c>
      <c r="BC5" s="31" t="n">
        <f aca="false">IF($A5="",0,IF(AND($B5="Approved",N($U5)&gt;0,$AQ5&lt;&gt;"Y"),COUNTIF(BC$1:BC4,"&gt;0")+1,0))</f>
        <v>0</v>
      </c>
      <c r="BD5" s="31" t="n">
        <f aca="true">IF($A5="",0,IF(AND($AR5&lt;&gt;"",N($AR5)&lt;TODAY(),$AS5="",$B5&lt;&gt;"Closed",$B5&lt;&gt;"Cancelled",$B5&lt;&gt;"Denied"),COUNTIF(BD$1:BD4,"&gt;0")+1,0))</f>
        <v>0</v>
      </c>
      <c r="BE5" s="31" t="n">
        <f aca="true">IF($A5="",0,IF(AND($AT5&lt;&gt;"",N($AT5)&lt;=TODAY()+7,$AU5="",$B5&lt;&gt;"Denied",$B5&lt;&gt;"Cancelled",$B5&lt;&gt;"Closed"),COUNTIF(BE$1:BE4,"&gt;0")+1,0))</f>
        <v>0</v>
      </c>
      <c r="BF5" s="27"/>
      <c r="BG5" s="27"/>
      <c r="BH5" s="27"/>
      <c r="BI5" s="27" t="s">
        <v>130</v>
      </c>
    </row>
    <row r="6" customFormat="false" ht="15" hidden="false" customHeight="false" outlineLevel="0" collapsed="false">
      <c r="A6" s="22"/>
      <c r="B6" s="22"/>
      <c r="C6" s="22"/>
      <c r="D6" s="22"/>
      <c r="E6" s="22"/>
      <c r="F6" s="22"/>
      <c r="G6" s="22"/>
      <c r="H6" s="22"/>
      <c r="I6" s="22"/>
      <c r="J6" s="22"/>
      <c r="K6" s="22"/>
      <c r="L6" s="22"/>
      <c r="M6" s="22"/>
      <c r="N6" s="23"/>
      <c r="O6" s="23"/>
      <c r="P6" s="23"/>
      <c r="Q6" s="24"/>
      <c r="R6" s="23"/>
      <c r="S6" s="24"/>
      <c r="T6" s="25"/>
      <c r="U6" s="26"/>
      <c r="V6" s="25"/>
      <c r="W6" s="25" t="str">
        <f aca="false">IF($A6="","",N($U6)*N($V6))</f>
        <v/>
      </c>
      <c r="X6" s="22"/>
      <c r="Y6" s="26"/>
      <c r="Z6" s="25"/>
      <c r="AA6" s="25" t="str">
        <f aca="false">IF($A6="","",IF($X6="POV",N($Y6)*MileageRate,0)+N($Z6))</f>
        <v/>
      </c>
      <c r="AB6" s="25" t="str">
        <f aca="false">IF(OR($A6="",$P6="",$R6="",$Q6="",$S6=""),"",IF($R6=$P6,($Q6&lt;=T_DepBfast)*($S6&gt;=T_RetBfast)*PD_Bfast+($Q6&lt;=T_DepLunch)*($S6&gt;=T_RetLunch)*PD_Lunch+($Q6&lt;=T_DepDinner)*($S6&gt;=T_RetDinner)*PD_Dinner+PD_Incid,($Q6&lt;=T_DepBfast)*PD_Bfast+($Q6&lt;=T_DepLunch)*PD_Lunch+($Q6&lt;=T_DepDinner)*PD_Dinner+($S6&gt;=T_RetBfast)*PD_Bfast+($S6&gt;=T_RetLunch)*PD_Lunch+($S6&gt;=T_RetDinner)*PD_Dinner+MAX($R6-$P6-1,0)*(PD_Bfast+PD_Lunch+PD_Dinner)+($R6-$P6+1)*PD_Incid))</f>
        <v/>
      </c>
      <c r="AC6" s="25"/>
      <c r="AD6" s="25" t="str">
        <f aca="false">IF($A6="","",N($T6)+N($W6)+N($AA6)+N($AB6)+N($AC6))</f>
        <v/>
      </c>
      <c r="AE6" s="25"/>
      <c r="AF6" s="25"/>
      <c r="AG6" s="25"/>
      <c r="AH6" s="25"/>
      <c r="AI6" s="25"/>
      <c r="AJ6" s="25" t="str">
        <f aca="false">IF($A6="","",IF(COUNT($AE6:$AI6)=0,"",SUM($AE6:$AI6)))</f>
        <v/>
      </c>
      <c r="AK6" s="25"/>
      <c r="AL6" s="25"/>
      <c r="AM6" s="25" t="str">
        <f aca="false">IF(OR($A6="",$AJ6=""),"",$AJ6-N($AK6)-N($AL6))</f>
        <v/>
      </c>
      <c r="AN6" s="23"/>
      <c r="AO6" s="23"/>
      <c r="AP6" s="22"/>
      <c r="AQ6" s="22"/>
      <c r="AR6" s="23" t="str">
        <f aca="false">IF(OR($A6="",$R6=""),"",$R6+ReceiptDays)</f>
        <v/>
      </c>
      <c r="AS6" s="23"/>
      <c r="AT6" s="23" t="str">
        <f aca="false">IF(OR($A6="",$P6=""),"",($P6-FinanceLeadDays)-MOD(($P6-FinanceLeadDays)-DATE(2024,1,2),7))</f>
        <v/>
      </c>
      <c r="AU6" s="23"/>
      <c r="AV6" s="22"/>
      <c r="AW6" s="22"/>
      <c r="AX6" s="25" t="n">
        <f aca="false">IF(OR($A6="",$B6="Denied",$B6="Cancelled"),0,N($AD6))</f>
        <v>0</v>
      </c>
      <c r="AY6" s="25" t="n">
        <f aca="false">IF($A6="",0,N($AJ6))</f>
        <v>0</v>
      </c>
      <c r="AZ6" s="25" t="n">
        <f aca="false">IF(OR($A6="",$B6="Denied",$B6="Cancelled",$B6="Closed"),0,IF(N($AJ6)&gt;0,0,N($AD6)))</f>
        <v>0</v>
      </c>
      <c r="BA6" s="26" t="n">
        <f aca="false">IF($A6="",0,IF($B6="Awaiting Approval",COUNTIF(BA$1:BA5,"&gt;0")+1,0))</f>
        <v>0</v>
      </c>
      <c r="BB6" s="26" t="n">
        <f aca="false">IF($A6="",0,IF(AND($B6="Approved",$AP6&lt;&gt;"Y"),COUNTIF(BB$1:BB5,"&gt;0")+1,0))</f>
        <v>0</v>
      </c>
      <c r="BC6" s="26" t="n">
        <f aca="false">IF($A6="",0,IF(AND($B6="Approved",N($U6)&gt;0,$AQ6&lt;&gt;"Y"),COUNTIF(BC$1:BC5,"&gt;0")+1,0))</f>
        <v>0</v>
      </c>
      <c r="BD6" s="26" t="n">
        <f aca="true">IF($A6="",0,IF(AND($AR6&lt;&gt;"",N($AR6)&lt;TODAY(),$AS6="",$B6&lt;&gt;"Closed",$B6&lt;&gt;"Cancelled",$B6&lt;&gt;"Denied"),COUNTIF(BD$1:BD5,"&gt;0")+1,0))</f>
        <v>0</v>
      </c>
      <c r="BE6" s="26" t="n">
        <f aca="true">IF($A6="",0,IF(AND($AT6&lt;&gt;"",N($AT6)&lt;=TODAY()+7,$AU6="",$B6&lt;&gt;"Denied",$B6&lt;&gt;"Cancelled",$B6&lt;&gt;"Closed"),COUNTIF(BE$1:BE5,"&gt;0")+1,0))</f>
        <v>0</v>
      </c>
      <c r="BF6" s="22"/>
      <c r="BG6" s="22"/>
      <c r="BH6" s="22"/>
      <c r="BI6" s="22"/>
    </row>
    <row r="7" customFormat="false" ht="15" hidden="false" customHeight="false" outlineLevel="0" collapsed="false">
      <c r="A7" s="27"/>
      <c r="B7" s="27"/>
      <c r="C7" s="27"/>
      <c r="D7" s="27"/>
      <c r="E7" s="27"/>
      <c r="F7" s="27"/>
      <c r="G7" s="27"/>
      <c r="H7" s="27"/>
      <c r="I7" s="27"/>
      <c r="J7" s="27"/>
      <c r="K7" s="27"/>
      <c r="L7" s="27"/>
      <c r="M7" s="27"/>
      <c r="N7" s="28"/>
      <c r="O7" s="28"/>
      <c r="P7" s="28"/>
      <c r="Q7" s="29"/>
      <c r="R7" s="28"/>
      <c r="S7" s="29"/>
      <c r="T7" s="30"/>
      <c r="U7" s="31"/>
      <c r="V7" s="30"/>
      <c r="W7" s="30" t="str">
        <f aca="false">IF($A7="","",N($U7)*N($V7))</f>
        <v/>
      </c>
      <c r="X7" s="27"/>
      <c r="Y7" s="31"/>
      <c r="Z7" s="30"/>
      <c r="AA7" s="30" t="str">
        <f aca="false">IF($A7="","",IF($X7="POV",N($Y7)*MileageRate,0)+N($Z7))</f>
        <v/>
      </c>
      <c r="AB7" s="30" t="str">
        <f aca="false">IF(OR($A7="",$P7="",$R7="",$Q7="",$S7=""),"",IF($R7=$P7,($Q7&lt;=T_DepBfast)*($S7&gt;=T_RetBfast)*PD_Bfast+($Q7&lt;=T_DepLunch)*($S7&gt;=T_RetLunch)*PD_Lunch+($Q7&lt;=T_DepDinner)*($S7&gt;=T_RetDinner)*PD_Dinner+PD_Incid,($Q7&lt;=T_DepBfast)*PD_Bfast+($Q7&lt;=T_DepLunch)*PD_Lunch+($Q7&lt;=T_DepDinner)*PD_Dinner+($S7&gt;=T_RetBfast)*PD_Bfast+($S7&gt;=T_RetLunch)*PD_Lunch+($S7&gt;=T_RetDinner)*PD_Dinner+MAX($R7-$P7-1,0)*(PD_Bfast+PD_Lunch+PD_Dinner)+($R7-$P7+1)*PD_Incid))</f>
        <v/>
      </c>
      <c r="AC7" s="30"/>
      <c r="AD7" s="30" t="str">
        <f aca="false">IF($A7="","",N($T7)+N($W7)+N($AA7)+N($AB7)+N($AC7))</f>
        <v/>
      </c>
      <c r="AE7" s="30"/>
      <c r="AF7" s="30"/>
      <c r="AG7" s="30"/>
      <c r="AH7" s="30"/>
      <c r="AI7" s="30"/>
      <c r="AJ7" s="30" t="str">
        <f aca="false">IF($A7="","",IF(COUNT($AE7:$AI7)=0,"",SUM($AE7:$AI7)))</f>
        <v/>
      </c>
      <c r="AK7" s="30"/>
      <c r="AL7" s="30"/>
      <c r="AM7" s="30" t="str">
        <f aca="false">IF(OR($A7="",$AJ7=""),"",$AJ7-N($AK7)-N($AL7))</f>
        <v/>
      </c>
      <c r="AN7" s="28"/>
      <c r="AO7" s="28"/>
      <c r="AP7" s="27"/>
      <c r="AQ7" s="27"/>
      <c r="AR7" s="28" t="str">
        <f aca="false">IF(OR($A7="",$R7=""),"",$R7+ReceiptDays)</f>
        <v/>
      </c>
      <c r="AS7" s="28"/>
      <c r="AT7" s="28" t="str">
        <f aca="false">IF(OR($A7="",$P7=""),"",($P7-FinanceLeadDays)-MOD(($P7-FinanceLeadDays)-DATE(2024,1,2),7))</f>
        <v/>
      </c>
      <c r="AU7" s="28"/>
      <c r="AV7" s="27"/>
      <c r="AW7" s="27"/>
      <c r="AX7" s="30" t="n">
        <f aca="false">IF(OR($A7="",$B7="Denied",$B7="Cancelled"),0,N($AD7))</f>
        <v>0</v>
      </c>
      <c r="AY7" s="30" t="n">
        <f aca="false">IF($A7="",0,N($AJ7))</f>
        <v>0</v>
      </c>
      <c r="AZ7" s="30" t="n">
        <f aca="false">IF(OR($A7="",$B7="Denied",$B7="Cancelled",$B7="Closed"),0,IF(N($AJ7)&gt;0,0,N($AD7)))</f>
        <v>0</v>
      </c>
      <c r="BA7" s="31" t="n">
        <f aca="false">IF($A7="",0,IF($B7="Awaiting Approval",COUNTIF(BA$1:BA6,"&gt;0")+1,0))</f>
        <v>0</v>
      </c>
      <c r="BB7" s="31" t="n">
        <f aca="false">IF($A7="",0,IF(AND($B7="Approved",$AP7&lt;&gt;"Y"),COUNTIF(BB$1:BB6,"&gt;0")+1,0))</f>
        <v>0</v>
      </c>
      <c r="BC7" s="31" t="n">
        <f aca="false">IF($A7="",0,IF(AND($B7="Approved",N($U7)&gt;0,$AQ7&lt;&gt;"Y"),COUNTIF(BC$1:BC6,"&gt;0")+1,0))</f>
        <v>0</v>
      </c>
      <c r="BD7" s="31" t="n">
        <f aca="true">IF($A7="",0,IF(AND($AR7&lt;&gt;"",N($AR7)&lt;TODAY(),$AS7="",$B7&lt;&gt;"Closed",$B7&lt;&gt;"Cancelled",$B7&lt;&gt;"Denied"),COUNTIF(BD$1:BD6,"&gt;0")+1,0))</f>
        <v>0</v>
      </c>
      <c r="BE7" s="31" t="n">
        <f aca="true">IF($A7="",0,IF(AND($AT7&lt;&gt;"",N($AT7)&lt;=TODAY()+7,$AU7="",$B7&lt;&gt;"Denied",$B7&lt;&gt;"Cancelled",$B7&lt;&gt;"Closed"),COUNTIF(BE$1:BE6,"&gt;0")+1,0))</f>
        <v>0</v>
      </c>
      <c r="BF7" s="27"/>
      <c r="BG7" s="27"/>
      <c r="BH7" s="27"/>
      <c r="BI7" s="27"/>
    </row>
    <row r="8" customFormat="false" ht="15" hidden="false" customHeight="false" outlineLevel="0" collapsed="false">
      <c r="A8" s="22"/>
      <c r="B8" s="22"/>
      <c r="C8" s="22"/>
      <c r="D8" s="22"/>
      <c r="E8" s="22"/>
      <c r="F8" s="22"/>
      <c r="G8" s="22"/>
      <c r="H8" s="22"/>
      <c r="I8" s="22"/>
      <c r="J8" s="22"/>
      <c r="K8" s="22"/>
      <c r="L8" s="22"/>
      <c r="M8" s="22"/>
      <c r="N8" s="23"/>
      <c r="O8" s="23"/>
      <c r="P8" s="23"/>
      <c r="Q8" s="24"/>
      <c r="R8" s="23"/>
      <c r="S8" s="24"/>
      <c r="T8" s="25"/>
      <c r="U8" s="26"/>
      <c r="V8" s="25"/>
      <c r="W8" s="25" t="str">
        <f aca="false">IF($A8="","",N($U8)*N($V8))</f>
        <v/>
      </c>
      <c r="X8" s="22"/>
      <c r="Y8" s="26"/>
      <c r="Z8" s="25"/>
      <c r="AA8" s="25" t="str">
        <f aca="false">IF($A8="","",IF($X8="POV",N($Y8)*MileageRate,0)+N($Z8))</f>
        <v/>
      </c>
      <c r="AB8" s="25" t="str">
        <f aca="false">IF(OR($A8="",$P8="",$R8="",$Q8="",$S8=""),"",IF($R8=$P8,($Q8&lt;=T_DepBfast)*($S8&gt;=T_RetBfast)*PD_Bfast+($Q8&lt;=T_DepLunch)*($S8&gt;=T_RetLunch)*PD_Lunch+($Q8&lt;=T_DepDinner)*($S8&gt;=T_RetDinner)*PD_Dinner+PD_Incid,($Q8&lt;=T_DepBfast)*PD_Bfast+($Q8&lt;=T_DepLunch)*PD_Lunch+($Q8&lt;=T_DepDinner)*PD_Dinner+($S8&gt;=T_RetBfast)*PD_Bfast+($S8&gt;=T_RetLunch)*PD_Lunch+($S8&gt;=T_RetDinner)*PD_Dinner+MAX($R8-$P8-1,0)*(PD_Bfast+PD_Lunch+PD_Dinner)+($R8-$P8+1)*PD_Incid))</f>
        <v/>
      </c>
      <c r="AC8" s="25"/>
      <c r="AD8" s="25" t="str">
        <f aca="false">IF($A8="","",N($T8)+N($W8)+N($AA8)+N($AB8)+N($AC8))</f>
        <v/>
      </c>
      <c r="AE8" s="25"/>
      <c r="AF8" s="25"/>
      <c r="AG8" s="25"/>
      <c r="AH8" s="25"/>
      <c r="AI8" s="25"/>
      <c r="AJ8" s="25" t="str">
        <f aca="false">IF($A8="","",IF(COUNT($AE8:$AI8)=0,"",SUM($AE8:$AI8)))</f>
        <v/>
      </c>
      <c r="AK8" s="25"/>
      <c r="AL8" s="25"/>
      <c r="AM8" s="25" t="str">
        <f aca="false">IF(OR($A8="",$AJ8=""),"",$AJ8-N($AK8)-N($AL8))</f>
        <v/>
      </c>
      <c r="AN8" s="23"/>
      <c r="AO8" s="23"/>
      <c r="AP8" s="22"/>
      <c r="AQ8" s="22"/>
      <c r="AR8" s="23" t="str">
        <f aca="false">IF(OR($A8="",$R8=""),"",$R8+ReceiptDays)</f>
        <v/>
      </c>
      <c r="AS8" s="23"/>
      <c r="AT8" s="23" t="str">
        <f aca="false">IF(OR($A8="",$P8=""),"",($P8-FinanceLeadDays)-MOD(($P8-FinanceLeadDays)-DATE(2024,1,2),7))</f>
        <v/>
      </c>
      <c r="AU8" s="23"/>
      <c r="AV8" s="22"/>
      <c r="AW8" s="22"/>
      <c r="AX8" s="25" t="n">
        <f aca="false">IF(OR($A8="",$B8="Denied",$B8="Cancelled"),0,N($AD8))</f>
        <v>0</v>
      </c>
      <c r="AY8" s="25" t="n">
        <f aca="false">IF($A8="",0,N($AJ8))</f>
        <v>0</v>
      </c>
      <c r="AZ8" s="25" t="n">
        <f aca="false">IF(OR($A8="",$B8="Denied",$B8="Cancelled",$B8="Closed"),0,IF(N($AJ8)&gt;0,0,N($AD8)))</f>
        <v>0</v>
      </c>
      <c r="BA8" s="26" t="n">
        <f aca="false">IF($A8="",0,IF($B8="Awaiting Approval",COUNTIF(BA$1:BA7,"&gt;0")+1,0))</f>
        <v>0</v>
      </c>
      <c r="BB8" s="26" t="n">
        <f aca="false">IF($A8="",0,IF(AND($B8="Approved",$AP8&lt;&gt;"Y"),COUNTIF(BB$1:BB7,"&gt;0")+1,0))</f>
        <v>0</v>
      </c>
      <c r="BC8" s="26" t="n">
        <f aca="false">IF($A8="",0,IF(AND($B8="Approved",N($U8)&gt;0,$AQ8&lt;&gt;"Y"),COUNTIF(BC$1:BC7,"&gt;0")+1,0))</f>
        <v>0</v>
      </c>
      <c r="BD8" s="26" t="n">
        <f aca="true">IF($A8="",0,IF(AND($AR8&lt;&gt;"",N($AR8)&lt;TODAY(),$AS8="",$B8&lt;&gt;"Closed",$B8&lt;&gt;"Cancelled",$B8&lt;&gt;"Denied"),COUNTIF(BD$1:BD7,"&gt;0")+1,0))</f>
        <v>0</v>
      </c>
      <c r="BE8" s="26" t="n">
        <f aca="true">IF($A8="",0,IF(AND($AT8&lt;&gt;"",N($AT8)&lt;=TODAY()+7,$AU8="",$B8&lt;&gt;"Denied",$B8&lt;&gt;"Cancelled",$B8&lt;&gt;"Closed"),COUNTIF(BE$1:BE7,"&gt;0")+1,0))</f>
        <v>0</v>
      </c>
      <c r="BF8" s="22"/>
      <c r="BG8" s="22"/>
      <c r="BH8" s="22"/>
      <c r="BI8" s="22"/>
    </row>
    <row r="9" customFormat="false" ht="15" hidden="false" customHeight="false" outlineLevel="0" collapsed="false">
      <c r="A9" s="27"/>
      <c r="B9" s="27"/>
      <c r="C9" s="27"/>
      <c r="D9" s="27"/>
      <c r="E9" s="27"/>
      <c r="F9" s="27"/>
      <c r="G9" s="27"/>
      <c r="H9" s="27"/>
      <c r="I9" s="27"/>
      <c r="J9" s="27"/>
      <c r="K9" s="27"/>
      <c r="L9" s="27"/>
      <c r="M9" s="27"/>
      <c r="N9" s="28"/>
      <c r="O9" s="28"/>
      <c r="P9" s="28"/>
      <c r="Q9" s="29"/>
      <c r="R9" s="28"/>
      <c r="S9" s="29"/>
      <c r="T9" s="30"/>
      <c r="U9" s="31"/>
      <c r="V9" s="30"/>
      <c r="W9" s="30" t="str">
        <f aca="false">IF($A9="","",N($U9)*N($V9))</f>
        <v/>
      </c>
      <c r="X9" s="27"/>
      <c r="Y9" s="31"/>
      <c r="Z9" s="30"/>
      <c r="AA9" s="30" t="str">
        <f aca="false">IF($A9="","",IF($X9="POV",N($Y9)*MileageRate,0)+N($Z9))</f>
        <v/>
      </c>
      <c r="AB9" s="30" t="str">
        <f aca="false">IF(OR($A9="",$P9="",$R9="",$Q9="",$S9=""),"",IF($R9=$P9,($Q9&lt;=T_DepBfast)*($S9&gt;=T_RetBfast)*PD_Bfast+($Q9&lt;=T_DepLunch)*($S9&gt;=T_RetLunch)*PD_Lunch+($Q9&lt;=T_DepDinner)*($S9&gt;=T_RetDinner)*PD_Dinner+PD_Incid,($Q9&lt;=T_DepBfast)*PD_Bfast+($Q9&lt;=T_DepLunch)*PD_Lunch+($Q9&lt;=T_DepDinner)*PD_Dinner+($S9&gt;=T_RetBfast)*PD_Bfast+($S9&gt;=T_RetLunch)*PD_Lunch+($S9&gt;=T_RetDinner)*PD_Dinner+MAX($R9-$P9-1,0)*(PD_Bfast+PD_Lunch+PD_Dinner)+($R9-$P9+1)*PD_Incid))</f>
        <v/>
      </c>
      <c r="AC9" s="30"/>
      <c r="AD9" s="30" t="str">
        <f aca="false">IF($A9="","",N($T9)+N($W9)+N($AA9)+N($AB9)+N($AC9))</f>
        <v/>
      </c>
      <c r="AE9" s="30"/>
      <c r="AF9" s="30"/>
      <c r="AG9" s="30"/>
      <c r="AH9" s="30"/>
      <c r="AI9" s="30"/>
      <c r="AJ9" s="30" t="str">
        <f aca="false">IF($A9="","",IF(COUNT($AE9:$AI9)=0,"",SUM($AE9:$AI9)))</f>
        <v/>
      </c>
      <c r="AK9" s="30"/>
      <c r="AL9" s="30"/>
      <c r="AM9" s="30" t="str">
        <f aca="false">IF(OR($A9="",$AJ9=""),"",$AJ9-N($AK9)-N($AL9))</f>
        <v/>
      </c>
      <c r="AN9" s="28"/>
      <c r="AO9" s="28"/>
      <c r="AP9" s="27"/>
      <c r="AQ9" s="27"/>
      <c r="AR9" s="28" t="str">
        <f aca="false">IF(OR($A9="",$R9=""),"",$R9+ReceiptDays)</f>
        <v/>
      </c>
      <c r="AS9" s="28"/>
      <c r="AT9" s="28" t="str">
        <f aca="false">IF(OR($A9="",$P9=""),"",($P9-FinanceLeadDays)-MOD(($P9-FinanceLeadDays)-DATE(2024,1,2),7))</f>
        <v/>
      </c>
      <c r="AU9" s="28"/>
      <c r="AV9" s="27"/>
      <c r="AW9" s="27"/>
      <c r="AX9" s="30" t="n">
        <f aca="false">IF(OR($A9="",$B9="Denied",$B9="Cancelled"),0,N($AD9))</f>
        <v>0</v>
      </c>
      <c r="AY9" s="30" t="n">
        <f aca="false">IF($A9="",0,N($AJ9))</f>
        <v>0</v>
      </c>
      <c r="AZ9" s="30" t="n">
        <f aca="false">IF(OR($A9="",$B9="Denied",$B9="Cancelled",$B9="Closed"),0,IF(N($AJ9)&gt;0,0,N($AD9)))</f>
        <v>0</v>
      </c>
      <c r="BA9" s="31" t="n">
        <f aca="false">IF($A9="",0,IF($B9="Awaiting Approval",COUNTIF(BA$1:BA8,"&gt;0")+1,0))</f>
        <v>0</v>
      </c>
      <c r="BB9" s="31" t="n">
        <f aca="false">IF($A9="",0,IF(AND($B9="Approved",$AP9&lt;&gt;"Y"),COUNTIF(BB$1:BB8,"&gt;0")+1,0))</f>
        <v>0</v>
      </c>
      <c r="BC9" s="31" t="n">
        <f aca="false">IF($A9="",0,IF(AND($B9="Approved",N($U9)&gt;0,$AQ9&lt;&gt;"Y"),COUNTIF(BC$1:BC8,"&gt;0")+1,0))</f>
        <v>0</v>
      </c>
      <c r="BD9" s="31" t="n">
        <f aca="true">IF($A9="",0,IF(AND($AR9&lt;&gt;"",N($AR9)&lt;TODAY(),$AS9="",$B9&lt;&gt;"Closed",$B9&lt;&gt;"Cancelled",$B9&lt;&gt;"Denied"),COUNTIF(BD$1:BD8,"&gt;0")+1,0))</f>
        <v>0</v>
      </c>
      <c r="BE9" s="31" t="n">
        <f aca="true">IF($A9="",0,IF(AND($AT9&lt;&gt;"",N($AT9)&lt;=TODAY()+7,$AU9="",$B9&lt;&gt;"Denied",$B9&lt;&gt;"Cancelled",$B9&lt;&gt;"Closed"),COUNTIF(BE$1:BE8,"&gt;0")+1,0))</f>
        <v>0</v>
      </c>
      <c r="BF9" s="27"/>
      <c r="BG9" s="27"/>
      <c r="BH9" s="27"/>
      <c r="BI9" s="27"/>
    </row>
    <row r="10" customFormat="false" ht="15" hidden="false" customHeight="false" outlineLevel="0" collapsed="false">
      <c r="A10" s="22"/>
      <c r="B10" s="22"/>
      <c r="C10" s="22"/>
      <c r="D10" s="22"/>
      <c r="E10" s="22"/>
      <c r="F10" s="22"/>
      <c r="G10" s="22"/>
      <c r="H10" s="22"/>
      <c r="I10" s="22"/>
      <c r="J10" s="22"/>
      <c r="K10" s="22"/>
      <c r="L10" s="22"/>
      <c r="M10" s="22"/>
      <c r="N10" s="23"/>
      <c r="O10" s="23"/>
      <c r="P10" s="23"/>
      <c r="Q10" s="24"/>
      <c r="R10" s="23"/>
      <c r="S10" s="24"/>
      <c r="T10" s="25"/>
      <c r="U10" s="26"/>
      <c r="V10" s="25"/>
      <c r="W10" s="25" t="str">
        <f aca="false">IF($A10="","",N($U10)*N($V10))</f>
        <v/>
      </c>
      <c r="X10" s="22"/>
      <c r="Y10" s="26"/>
      <c r="Z10" s="25"/>
      <c r="AA10" s="25" t="str">
        <f aca="false">IF($A10="","",IF($X10="POV",N($Y10)*MileageRate,0)+N($Z10))</f>
        <v/>
      </c>
      <c r="AB10" s="25" t="str">
        <f aca="false">IF(OR($A10="",$P10="",$R10="",$Q10="",$S10=""),"",IF($R10=$P10,($Q10&lt;=T_DepBfast)*($S10&gt;=T_RetBfast)*PD_Bfast+($Q10&lt;=T_DepLunch)*($S10&gt;=T_RetLunch)*PD_Lunch+($Q10&lt;=T_DepDinner)*($S10&gt;=T_RetDinner)*PD_Dinner+PD_Incid,($Q10&lt;=T_DepBfast)*PD_Bfast+($Q10&lt;=T_DepLunch)*PD_Lunch+($Q10&lt;=T_DepDinner)*PD_Dinner+($S10&gt;=T_RetBfast)*PD_Bfast+($S10&gt;=T_RetLunch)*PD_Lunch+($S10&gt;=T_RetDinner)*PD_Dinner+MAX($R10-$P10-1,0)*(PD_Bfast+PD_Lunch+PD_Dinner)+($R10-$P10+1)*PD_Incid))</f>
        <v/>
      </c>
      <c r="AC10" s="25"/>
      <c r="AD10" s="25" t="str">
        <f aca="false">IF($A10="","",N($T10)+N($W10)+N($AA10)+N($AB10)+N($AC10))</f>
        <v/>
      </c>
      <c r="AE10" s="25"/>
      <c r="AF10" s="25"/>
      <c r="AG10" s="25"/>
      <c r="AH10" s="25"/>
      <c r="AI10" s="25"/>
      <c r="AJ10" s="25" t="str">
        <f aca="false">IF($A10="","",IF(COUNT($AE10:$AI10)=0,"",SUM($AE10:$AI10)))</f>
        <v/>
      </c>
      <c r="AK10" s="25"/>
      <c r="AL10" s="25"/>
      <c r="AM10" s="25" t="str">
        <f aca="false">IF(OR($A10="",$AJ10=""),"",$AJ10-N($AK10)-N($AL10))</f>
        <v/>
      </c>
      <c r="AN10" s="23"/>
      <c r="AO10" s="23"/>
      <c r="AP10" s="22"/>
      <c r="AQ10" s="22"/>
      <c r="AR10" s="23" t="str">
        <f aca="false">IF(OR($A10="",$R10=""),"",$R10+ReceiptDays)</f>
        <v/>
      </c>
      <c r="AS10" s="23"/>
      <c r="AT10" s="23" t="str">
        <f aca="false">IF(OR($A10="",$P10=""),"",($P10-FinanceLeadDays)-MOD(($P10-FinanceLeadDays)-DATE(2024,1,2),7))</f>
        <v/>
      </c>
      <c r="AU10" s="23"/>
      <c r="AV10" s="22"/>
      <c r="AW10" s="22"/>
      <c r="AX10" s="25" t="n">
        <f aca="false">IF(OR($A10="",$B10="Denied",$B10="Cancelled"),0,N($AD10))</f>
        <v>0</v>
      </c>
      <c r="AY10" s="25" t="n">
        <f aca="false">IF($A10="",0,N($AJ10))</f>
        <v>0</v>
      </c>
      <c r="AZ10" s="25" t="n">
        <f aca="false">IF(OR($A10="",$B10="Denied",$B10="Cancelled",$B10="Closed"),0,IF(N($AJ10)&gt;0,0,N($AD10)))</f>
        <v>0</v>
      </c>
      <c r="BA10" s="26" t="n">
        <f aca="false">IF($A10="",0,IF($B10="Awaiting Approval",COUNTIF(BA$1:BA9,"&gt;0")+1,0))</f>
        <v>0</v>
      </c>
      <c r="BB10" s="26" t="n">
        <f aca="false">IF($A10="",0,IF(AND($B10="Approved",$AP10&lt;&gt;"Y"),COUNTIF(BB$1:BB9,"&gt;0")+1,0))</f>
        <v>0</v>
      </c>
      <c r="BC10" s="26" t="n">
        <f aca="false">IF($A10="",0,IF(AND($B10="Approved",N($U10)&gt;0,$AQ10&lt;&gt;"Y"),COUNTIF(BC$1:BC9,"&gt;0")+1,0))</f>
        <v>0</v>
      </c>
      <c r="BD10" s="26" t="n">
        <f aca="true">IF($A10="",0,IF(AND($AR10&lt;&gt;"",N($AR10)&lt;TODAY(),$AS10="",$B10&lt;&gt;"Closed",$B10&lt;&gt;"Cancelled",$B10&lt;&gt;"Denied"),COUNTIF(BD$1:BD9,"&gt;0")+1,0))</f>
        <v>0</v>
      </c>
      <c r="BE10" s="26" t="n">
        <f aca="true">IF($A10="",0,IF(AND($AT10&lt;&gt;"",N($AT10)&lt;=TODAY()+7,$AU10="",$B10&lt;&gt;"Denied",$B10&lt;&gt;"Cancelled",$B10&lt;&gt;"Closed"),COUNTIF(BE$1:BE9,"&gt;0")+1,0))</f>
        <v>0</v>
      </c>
      <c r="BF10" s="22"/>
      <c r="BG10" s="22"/>
      <c r="BH10" s="22"/>
      <c r="BI10" s="22"/>
    </row>
    <row r="11" customFormat="false" ht="15" hidden="false" customHeight="false" outlineLevel="0" collapsed="false">
      <c r="A11" s="27"/>
      <c r="B11" s="27"/>
      <c r="C11" s="27"/>
      <c r="D11" s="27"/>
      <c r="E11" s="27"/>
      <c r="F11" s="27"/>
      <c r="G11" s="27"/>
      <c r="H11" s="27"/>
      <c r="I11" s="27"/>
      <c r="J11" s="27"/>
      <c r="K11" s="27"/>
      <c r="L11" s="27"/>
      <c r="M11" s="27"/>
      <c r="N11" s="28"/>
      <c r="O11" s="28"/>
      <c r="P11" s="28"/>
      <c r="Q11" s="29"/>
      <c r="R11" s="28"/>
      <c r="S11" s="29"/>
      <c r="T11" s="30"/>
      <c r="U11" s="31"/>
      <c r="V11" s="30"/>
      <c r="W11" s="30" t="str">
        <f aca="false">IF($A11="","",N($U11)*N($V11))</f>
        <v/>
      </c>
      <c r="X11" s="27"/>
      <c r="Y11" s="31"/>
      <c r="Z11" s="30"/>
      <c r="AA11" s="30" t="str">
        <f aca="false">IF($A11="","",IF($X11="POV",N($Y11)*MileageRate,0)+N($Z11))</f>
        <v/>
      </c>
      <c r="AB11" s="30" t="str">
        <f aca="false">IF(OR($A11="",$P11="",$R11="",$Q11="",$S11=""),"",IF($R11=$P11,($Q11&lt;=T_DepBfast)*($S11&gt;=T_RetBfast)*PD_Bfast+($Q11&lt;=T_DepLunch)*($S11&gt;=T_RetLunch)*PD_Lunch+($Q11&lt;=T_DepDinner)*($S11&gt;=T_RetDinner)*PD_Dinner+PD_Incid,($Q11&lt;=T_DepBfast)*PD_Bfast+($Q11&lt;=T_DepLunch)*PD_Lunch+($Q11&lt;=T_DepDinner)*PD_Dinner+($S11&gt;=T_RetBfast)*PD_Bfast+($S11&gt;=T_RetLunch)*PD_Lunch+($S11&gt;=T_RetDinner)*PD_Dinner+MAX($R11-$P11-1,0)*(PD_Bfast+PD_Lunch+PD_Dinner)+($R11-$P11+1)*PD_Incid))</f>
        <v/>
      </c>
      <c r="AC11" s="30"/>
      <c r="AD11" s="30" t="str">
        <f aca="false">IF($A11="","",N($T11)+N($W11)+N($AA11)+N($AB11)+N($AC11))</f>
        <v/>
      </c>
      <c r="AE11" s="30"/>
      <c r="AF11" s="30"/>
      <c r="AG11" s="30"/>
      <c r="AH11" s="30"/>
      <c r="AI11" s="30"/>
      <c r="AJ11" s="30" t="str">
        <f aca="false">IF($A11="","",IF(COUNT($AE11:$AI11)=0,"",SUM($AE11:$AI11)))</f>
        <v/>
      </c>
      <c r="AK11" s="30"/>
      <c r="AL11" s="30"/>
      <c r="AM11" s="30" t="str">
        <f aca="false">IF(OR($A11="",$AJ11=""),"",$AJ11-N($AK11)-N($AL11))</f>
        <v/>
      </c>
      <c r="AN11" s="28"/>
      <c r="AO11" s="28"/>
      <c r="AP11" s="27"/>
      <c r="AQ11" s="27"/>
      <c r="AR11" s="28" t="str">
        <f aca="false">IF(OR($A11="",$R11=""),"",$R11+ReceiptDays)</f>
        <v/>
      </c>
      <c r="AS11" s="28"/>
      <c r="AT11" s="28" t="str">
        <f aca="false">IF(OR($A11="",$P11=""),"",($P11-FinanceLeadDays)-MOD(($P11-FinanceLeadDays)-DATE(2024,1,2),7))</f>
        <v/>
      </c>
      <c r="AU11" s="28"/>
      <c r="AV11" s="27"/>
      <c r="AW11" s="27"/>
      <c r="AX11" s="30" t="n">
        <f aca="false">IF(OR($A11="",$B11="Denied",$B11="Cancelled"),0,N($AD11))</f>
        <v>0</v>
      </c>
      <c r="AY11" s="30" t="n">
        <f aca="false">IF($A11="",0,N($AJ11))</f>
        <v>0</v>
      </c>
      <c r="AZ11" s="30" t="n">
        <f aca="false">IF(OR($A11="",$B11="Denied",$B11="Cancelled",$B11="Closed"),0,IF(N($AJ11)&gt;0,0,N($AD11)))</f>
        <v>0</v>
      </c>
      <c r="BA11" s="31" t="n">
        <f aca="false">IF($A11="",0,IF($B11="Awaiting Approval",COUNTIF(BA$1:BA10,"&gt;0")+1,0))</f>
        <v>0</v>
      </c>
      <c r="BB11" s="31" t="n">
        <f aca="false">IF($A11="",0,IF(AND($B11="Approved",$AP11&lt;&gt;"Y"),COUNTIF(BB$1:BB10,"&gt;0")+1,0))</f>
        <v>0</v>
      </c>
      <c r="BC11" s="31" t="n">
        <f aca="false">IF($A11="",0,IF(AND($B11="Approved",N($U11)&gt;0,$AQ11&lt;&gt;"Y"),COUNTIF(BC$1:BC10,"&gt;0")+1,0))</f>
        <v>0</v>
      </c>
      <c r="BD11" s="31" t="n">
        <f aca="true">IF($A11="",0,IF(AND($AR11&lt;&gt;"",N($AR11)&lt;TODAY(),$AS11="",$B11&lt;&gt;"Closed",$B11&lt;&gt;"Cancelled",$B11&lt;&gt;"Denied"),COUNTIF(BD$1:BD10,"&gt;0")+1,0))</f>
        <v>0</v>
      </c>
      <c r="BE11" s="31" t="n">
        <f aca="true">IF($A11="",0,IF(AND($AT11&lt;&gt;"",N($AT11)&lt;=TODAY()+7,$AU11="",$B11&lt;&gt;"Denied",$B11&lt;&gt;"Cancelled",$B11&lt;&gt;"Closed"),COUNTIF(BE$1:BE10,"&gt;0")+1,0))</f>
        <v>0</v>
      </c>
      <c r="BF11" s="27"/>
      <c r="BG11" s="27"/>
      <c r="BH11" s="27"/>
      <c r="BI11" s="27"/>
    </row>
    <row r="12" customFormat="false" ht="15" hidden="false" customHeight="false" outlineLevel="0" collapsed="false">
      <c r="A12" s="22"/>
      <c r="B12" s="22"/>
      <c r="C12" s="22"/>
      <c r="D12" s="22"/>
      <c r="E12" s="22"/>
      <c r="F12" s="22"/>
      <c r="G12" s="22"/>
      <c r="H12" s="22"/>
      <c r="I12" s="22"/>
      <c r="J12" s="22"/>
      <c r="K12" s="22"/>
      <c r="L12" s="22"/>
      <c r="M12" s="22"/>
      <c r="N12" s="23"/>
      <c r="O12" s="23"/>
      <c r="P12" s="23"/>
      <c r="Q12" s="24"/>
      <c r="R12" s="23"/>
      <c r="S12" s="24"/>
      <c r="T12" s="25"/>
      <c r="U12" s="26"/>
      <c r="V12" s="25"/>
      <c r="W12" s="25" t="str">
        <f aca="false">IF($A12="","",N($U12)*N($V12))</f>
        <v/>
      </c>
      <c r="X12" s="22"/>
      <c r="Y12" s="26"/>
      <c r="Z12" s="25"/>
      <c r="AA12" s="25" t="str">
        <f aca="false">IF($A12="","",IF($X12="POV",N($Y12)*MileageRate,0)+N($Z12))</f>
        <v/>
      </c>
      <c r="AB12" s="25" t="str">
        <f aca="false">IF(OR($A12="",$P12="",$R12="",$Q12="",$S12=""),"",IF($R12=$P12,($Q12&lt;=T_DepBfast)*($S12&gt;=T_RetBfast)*PD_Bfast+($Q12&lt;=T_DepLunch)*($S12&gt;=T_RetLunch)*PD_Lunch+($Q12&lt;=T_DepDinner)*($S12&gt;=T_RetDinner)*PD_Dinner+PD_Incid,($Q12&lt;=T_DepBfast)*PD_Bfast+($Q12&lt;=T_DepLunch)*PD_Lunch+($Q12&lt;=T_DepDinner)*PD_Dinner+($S12&gt;=T_RetBfast)*PD_Bfast+($S12&gt;=T_RetLunch)*PD_Lunch+($S12&gt;=T_RetDinner)*PD_Dinner+MAX($R12-$P12-1,0)*(PD_Bfast+PD_Lunch+PD_Dinner)+($R12-$P12+1)*PD_Incid))</f>
        <v/>
      </c>
      <c r="AC12" s="25"/>
      <c r="AD12" s="25" t="str">
        <f aca="false">IF($A12="","",N($T12)+N($W12)+N($AA12)+N($AB12)+N($AC12))</f>
        <v/>
      </c>
      <c r="AE12" s="25"/>
      <c r="AF12" s="25"/>
      <c r="AG12" s="25"/>
      <c r="AH12" s="25"/>
      <c r="AI12" s="25"/>
      <c r="AJ12" s="25" t="str">
        <f aca="false">IF($A12="","",IF(COUNT($AE12:$AI12)=0,"",SUM($AE12:$AI12)))</f>
        <v/>
      </c>
      <c r="AK12" s="25"/>
      <c r="AL12" s="25"/>
      <c r="AM12" s="25" t="str">
        <f aca="false">IF(OR($A12="",$AJ12=""),"",$AJ12-N($AK12)-N($AL12))</f>
        <v/>
      </c>
      <c r="AN12" s="23"/>
      <c r="AO12" s="23"/>
      <c r="AP12" s="22"/>
      <c r="AQ12" s="22"/>
      <c r="AR12" s="23" t="str">
        <f aca="false">IF(OR($A12="",$R12=""),"",$R12+ReceiptDays)</f>
        <v/>
      </c>
      <c r="AS12" s="23"/>
      <c r="AT12" s="23" t="str">
        <f aca="false">IF(OR($A12="",$P12=""),"",($P12-FinanceLeadDays)-MOD(($P12-FinanceLeadDays)-DATE(2024,1,2),7))</f>
        <v/>
      </c>
      <c r="AU12" s="23"/>
      <c r="AV12" s="22"/>
      <c r="AW12" s="22"/>
      <c r="AX12" s="25" t="n">
        <f aca="false">IF(OR($A12="",$B12="Denied",$B12="Cancelled"),0,N($AD12))</f>
        <v>0</v>
      </c>
      <c r="AY12" s="25" t="n">
        <f aca="false">IF($A12="",0,N($AJ12))</f>
        <v>0</v>
      </c>
      <c r="AZ12" s="25" t="n">
        <f aca="false">IF(OR($A12="",$B12="Denied",$B12="Cancelled",$B12="Closed"),0,IF(N($AJ12)&gt;0,0,N($AD12)))</f>
        <v>0</v>
      </c>
      <c r="BA12" s="26" t="n">
        <f aca="false">IF($A12="",0,IF($B12="Awaiting Approval",COUNTIF(BA$1:BA11,"&gt;0")+1,0))</f>
        <v>0</v>
      </c>
      <c r="BB12" s="26" t="n">
        <f aca="false">IF($A12="",0,IF(AND($B12="Approved",$AP12&lt;&gt;"Y"),COUNTIF(BB$1:BB11,"&gt;0")+1,0))</f>
        <v>0</v>
      </c>
      <c r="BC12" s="26" t="n">
        <f aca="false">IF($A12="",0,IF(AND($B12="Approved",N($U12)&gt;0,$AQ12&lt;&gt;"Y"),COUNTIF(BC$1:BC11,"&gt;0")+1,0))</f>
        <v>0</v>
      </c>
      <c r="BD12" s="26" t="n">
        <f aca="true">IF($A12="",0,IF(AND($AR12&lt;&gt;"",N($AR12)&lt;TODAY(),$AS12="",$B12&lt;&gt;"Closed",$B12&lt;&gt;"Cancelled",$B12&lt;&gt;"Denied"),COUNTIF(BD$1:BD11,"&gt;0")+1,0))</f>
        <v>0</v>
      </c>
      <c r="BE12" s="26" t="n">
        <f aca="true">IF($A12="",0,IF(AND($AT12&lt;&gt;"",N($AT12)&lt;=TODAY()+7,$AU12="",$B12&lt;&gt;"Denied",$B12&lt;&gt;"Cancelled",$B12&lt;&gt;"Closed"),COUNTIF(BE$1:BE11,"&gt;0")+1,0))</f>
        <v>0</v>
      </c>
      <c r="BF12" s="22"/>
      <c r="BG12" s="22"/>
      <c r="BH12" s="22"/>
      <c r="BI12" s="22"/>
    </row>
    <row r="13" customFormat="false" ht="15" hidden="false" customHeight="false" outlineLevel="0" collapsed="false">
      <c r="A13" s="27"/>
      <c r="B13" s="27"/>
      <c r="C13" s="27"/>
      <c r="D13" s="27"/>
      <c r="E13" s="27"/>
      <c r="F13" s="27"/>
      <c r="G13" s="27"/>
      <c r="H13" s="27"/>
      <c r="I13" s="27"/>
      <c r="J13" s="27"/>
      <c r="K13" s="27"/>
      <c r="L13" s="27"/>
      <c r="M13" s="27"/>
      <c r="N13" s="28"/>
      <c r="O13" s="28"/>
      <c r="P13" s="28"/>
      <c r="Q13" s="29"/>
      <c r="R13" s="28"/>
      <c r="S13" s="29"/>
      <c r="T13" s="30"/>
      <c r="U13" s="31"/>
      <c r="V13" s="30"/>
      <c r="W13" s="30" t="str">
        <f aca="false">IF($A13="","",N($U13)*N($V13))</f>
        <v/>
      </c>
      <c r="X13" s="27"/>
      <c r="Y13" s="31"/>
      <c r="Z13" s="30"/>
      <c r="AA13" s="30" t="str">
        <f aca="false">IF($A13="","",IF($X13="POV",N($Y13)*MileageRate,0)+N($Z13))</f>
        <v/>
      </c>
      <c r="AB13" s="30" t="str">
        <f aca="false">IF(OR($A13="",$P13="",$R13="",$Q13="",$S13=""),"",IF($R13=$P13,($Q13&lt;=T_DepBfast)*($S13&gt;=T_RetBfast)*PD_Bfast+($Q13&lt;=T_DepLunch)*($S13&gt;=T_RetLunch)*PD_Lunch+($Q13&lt;=T_DepDinner)*($S13&gt;=T_RetDinner)*PD_Dinner+PD_Incid,($Q13&lt;=T_DepBfast)*PD_Bfast+($Q13&lt;=T_DepLunch)*PD_Lunch+($Q13&lt;=T_DepDinner)*PD_Dinner+($S13&gt;=T_RetBfast)*PD_Bfast+($S13&gt;=T_RetLunch)*PD_Lunch+($S13&gt;=T_RetDinner)*PD_Dinner+MAX($R13-$P13-1,0)*(PD_Bfast+PD_Lunch+PD_Dinner)+($R13-$P13+1)*PD_Incid))</f>
        <v/>
      </c>
      <c r="AC13" s="30"/>
      <c r="AD13" s="30" t="str">
        <f aca="false">IF($A13="","",N($T13)+N($W13)+N($AA13)+N($AB13)+N($AC13))</f>
        <v/>
      </c>
      <c r="AE13" s="30"/>
      <c r="AF13" s="30"/>
      <c r="AG13" s="30"/>
      <c r="AH13" s="30"/>
      <c r="AI13" s="30"/>
      <c r="AJ13" s="30" t="str">
        <f aca="false">IF($A13="","",IF(COUNT($AE13:$AI13)=0,"",SUM($AE13:$AI13)))</f>
        <v/>
      </c>
      <c r="AK13" s="30"/>
      <c r="AL13" s="30"/>
      <c r="AM13" s="30" t="str">
        <f aca="false">IF(OR($A13="",$AJ13=""),"",$AJ13-N($AK13)-N($AL13))</f>
        <v/>
      </c>
      <c r="AN13" s="28"/>
      <c r="AO13" s="28"/>
      <c r="AP13" s="27"/>
      <c r="AQ13" s="27"/>
      <c r="AR13" s="28" t="str">
        <f aca="false">IF(OR($A13="",$R13=""),"",$R13+ReceiptDays)</f>
        <v/>
      </c>
      <c r="AS13" s="28"/>
      <c r="AT13" s="28" t="str">
        <f aca="false">IF(OR($A13="",$P13=""),"",($P13-FinanceLeadDays)-MOD(($P13-FinanceLeadDays)-DATE(2024,1,2),7))</f>
        <v/>
      </c>
      <c r="AU13" s="28"/>
      <c r="AV13" s="27"/>
      <c r="AW13" s="27"/>
      <c r="AX13" s="30" t="n">
        <f aca="false">IF(OR($A13="",$B13="Denied",$B13="Cancelled"),0,N($AD13))</f>
        <v>0</v>
      </c>
      <c r="AY13" s="30" t="n">
        <f aca="false">IF($A13="",0,N($AJ13))</f>
        <v>0</v>
      </c>
      <c r="AZ13" s="30" t="n">
        <f aca="false">IF(OR($A13="",$B13="Denied",$B13="Cancelled",$B13="Closed"),0,IF(N($AJ13)&gt;0,0,N($AD13)))</f>
        <v>0</v>
      </c>
      <c r="BA13" s="31" t="n">
        <f aca="false">IF($A13="",0,IF($B13="Awaiting Approval",COUNTIF(BA$1:BA12,"&gt;0")+1,0))</f>
        <v>0</v>
      </c>
      <c r="BB13" s="31" t="n">
        <f aca="false">IF($A13="",0,IF(AND($B13="Approved",$AP13&lt;&gt;"Y"),COUNTIF(BB$1:BB12,"&gt;0")+1,0))</f>
        <v>0</v>
      </c>
      <c r="BC13" s="31" t="n">
        <f aca="false">IF($A13="",0,IF(AND($B13="Approved",N($U13)&gt;0,$AQ13&lt;&gt;"Y"),COUNTIF(BC$1:BC12,"&gt;0")+1,0))</f>
        <v>0</v>
      </c>
      <c r="BD13" s="31" t="n">
        <f aca="true">IF($A13="",0,IF(AND($AR13&lt;&gt;"",N($AR13)&lt;TODAY(),$AS13="",$B13&lt;&gt;"Closed",$B13&lt;&gt;"Cancelled",$B13&lt;&gt;"Denied"),COUNTIF(BD$1:BD12,"&gt;0")+1,0))</f>
        <v>0</v>
      </c>
      <c r="BE13" s="31" t="n">
        <f aca="true">IF($A13="",0,IF(AND($AT13&lt;&gt;"",N($AT13)&lt;=TODAY()+7,$AU13="",$B13&lt;&gt;"Denied",$B13&lt;&gt;"Cancelled",$B13&lt;&gt;"Closed"),COUNTIF(BE$1:BE12,"&gt;0")+1,0))</f>
        <v>0</v>
      </c>
      <c r="BF13" s="27"/>
      <c r="BG13" s="27"/>
      <c r="BH13" s="27"/>
      <c r="BI13" s="27"/>
    </row>
    <row r="14" customFormat="false" ht="15" hidden="false" customHeight="false" outlineLevel="0" collapsed="false">
      <c r="A14" s="22"/>
      <c r="B14" s="22"/>
      <c r="C14" s="22"/>
      <c r="D14" s="22"/>
      <c r="E14" s="22"/>
      <c r="F14" s="22"/>
      <c r="G14" s="22"/>
      <c r="H14" s="22"/>
      <c r="I14" s="22"/>
      <c r="J14" s="22"/>
      <c r="K14" s="22"/>
      <c r="L14" s="22"/>
      <c r="M14" s="22"/>
      <c r="N14" s="23"/>
      <c r="O14" s="23"/>
      <c r="P14" s="23"/>
      <c r="Q14" s="24"/>
      <c r="R14" s="23"/>
      <c r="S14" s="24"/>
      <c r="T14" s="25"/>
      <c r="U14" s="26"/>
      <c r="V14" s="25"/>
      <c r="W14" s="25" t="str">
        <f aca="false">IF($A14="","",N($U14)*N($V14))</f>
        <v/>
      </c>
      <c r="X14" s="22"/>
      <c r="Y14" s="26"/>
      <c r="Z14" s="25"/>
      <c r="AA14" s="25" t="str">
        <f aca="false">IF($A14="","",IF($X14="POV",N($Y14)*MileageRate,0)+N($Z14))</f>
        <v/>
      </c>
      <c r="AB14" s="25" t="str">
        <f aca="false">IF(OR($A14="",$P14="",$R14="",$Q14="",$S14=""),"",IF($R14=$P14,($Q14&lt;=T_DepBfast)*($S14&gt;=T_RetBfast)*PD_Bfast+($Q14&lt;=T_DepLunch)*($S14&gt;=T_RetLunch)*PD_Lunch+($Q14&lt;=T_DepDinner)*($S14&gt;=T_RetDinner)*PD_Dinner+PD_Incid,($Q14&lt;=T_DepBfast)*PD_Bfast+($Q14&lt;=T_DepLunch)*PD_Lunch+($Q14&lt;=T_DepDinner)*PD_Dinner+($S14&gt;=T_RetBfast)*PD_Bfast+($S14&gt;=T_RetLunch)*PD_Lunch+($S14&gt;=T_RetDinner)*PD_Dinner+MAX($R14-$P14-1,0)*(PD_Bfast+PD_Lunch+PD_Dinner)+($R14-$P14+1)*PD_Incid))</f>
        <v/>
      </c>
      <c r="AC14" s="25"/>
      <c r="AD14" s="25" t="str">
        <f aca="false">IF($A14="","",N($T14)+N($W14)+N($AA14)+N($AB14)+N($AC14))</f>
        <v/>
      </c>
      <c r="AE14" s="25"/>
      <c r="AF14" s="25"/>
      <c r="AG14" s="25"/>
      <c r="AH14" s="25"/>
      <c r="AI14" s="25"/>
      <c r="AJ14" s="25" t="str">
        <f aca="false">IF($A14="","",IF(COUNT($AE14:$AI14)=0,"",SUM($AE14:$AI14)))</f>
        <v/>
      </c>
      <c r="AK14" s="25"/>
      <c r="AL14" s="25"/>
      <c r="AM14" s="25" t="str">
        <f aca="false">IF(OR($A14="",$AJ14=""),"",$AJ14-N($AK14)-N($AL14))</f>
        <v/>
      </c>
      <c r="AN14" s="23"/>
      <c r="AO14" s="23"/>
      <c r="AP14" s="22"/>
      <c r="AQ14" s="22"/>
      <c r="AR14" s="23" t="str">
        <f aca="false">IF(OR($A14="",$R14=""),"",$R14+ReceiptDays)</f>
        <v/>
      </c>
      <c r="AS14" s="23"/>
      <c r="AT14" s="23" t="str">
        <f aca="false">IF(OR($A14="",$P14=""),"",($P14-FinanceLeadDays)-MOD(($P14-FinanceLeadDays)-DATE(2024,1,2),7))</f>
        <v/>
      </c>
      <c r="AU14" s="23"/>
      <c r="AV14" s="22"/>
      <c r="AW14" s="22"/>
      <c r="AX14" s="25" t="n">
        <f aca="false">IF(OR($A14="",$B14="Denied",$B14="Cancelled"),0,N($AD14))</f>
        <v>0</v>
      </c>
      <c r="AY14" s="25" t="n">
        <f aca="false">IF($A14="",0,N($AJ14))</f>
        <v>0</v>
      </c>
      <c r="AZ14" s="25" t="n">
        <f aca="false">IF(OR($A14="",$B14="Denied",$B14="Cancelled",$B14="Closed"),0,IF(N($AJ14)&gt;0,0,N($AD14)))</f>
        <v>0</v>
      </c>
      <c r="BA14" s="26" t="n">
        <f aca="false">IF($A14="",0,IF($B14="Awaiting Approval",COUNTIF(BA$1:BA13,"&gt;0")+1,0))</f>
        <v>0</v>
      </c>
      <c r="BB14" s="26" t="n">
        <f aca="false">IF($A14="",0,IF(AND($B14="Approved",$AP14&lt;&gt;"Y"),COUNTIF(BB$1:BB13,"&gt;0")+1,0))</f>
        <v>0</v>
      </c>
      <c r="BC14" s="26" t="n">
        <f aca="false">IF($A14="",0,IF(AND($B14="Approved",N($U14)&gt;0,$AQ14&lt;&gt;"Y"),COUNTIF(BC$1:BC13,"&gt;0")+1,0))</f>
        <v>0</v>
      </c>
      <c r="BD14" s="26" t="n">
        <f aca="true">IF($A14="",0,IF(AND($AR14&lt;&gt;"",N($AR14)&lt;TODAY(),$AS14="",$B14&lt;&gt;"Closed",$B14&lt;&gt;"Cancelled",$B14&lt;&gt;"Denied"),COUNTIF(BD$1:BD13,"&gt;0")+1,0))</f>
        <v>0</v>
      </c>
      <c r="BE14" s="26" t="n">
        <f aca="true">IF($A14="",0,IF(AND($AT14&lt;&gt;"",N($AT14)&lt;=TODAY()+7,$AU14="",$B14&lt;&gt;"Denied",$B14&lt;&gt;"Cancelled",$B14&lt;&gt;"Closed"),COUNTIF(BE$1:BE13,"&gt;0")+1,0))</f>
        <v>0</v>
      </c>
      <c r="BF14" s="22"/>
      <c r="BG14" s="22"/>
      <c r="BH14" s="22"/>
      <c r="BI14" s="22"/>
    </row>
    <row r="15" customFormat="false" ht="15" hidden="false" customHeight="false" outlineLevel="0" collapsed="false">
      <c r="A15" s="27"/>
      <c r="B15" s="27"/>
      <c r="C15" s="27"/>
      <c r="D15" s="27"/>
      <c r="E15" s="27"/>
      <c r="F15" s="27"/>
      <c r="G15" s="27"/>
      <c r="H15" s="27"/>
      <c r="I15" s="27"/>
      <c r="J15" s="27"/>
      <c r="K15" s="27"/>
      <c r="L15" s="27"/>
      <c r="M15" s="27"/>
      <c r="N15" s="28"/>
      <c r="O15" s="28"/>
      <c r="P15" s="28"/>
      <c r="Q15" s="29"/>
      <c r="R15" s="28"/>
      <c r="S15" s="29"/>
      <c r="T15" s="30"/>
      <c r="U15" s="31"/>
      <c r="V15" s="30"/>
      <c r="W15" s="30" t="str">
        <f aca="false">IF($A15="","",N($U15)*N($V15))</f>
        <v/>
      </c>
      <c r="X15" s="27"/>
      <c r="Y15" s="31"/>
      <c r="Z15" s="30"/>
      <c r="AA15" s="30" t="str">
        <f aca="false">IF($A15="","",IF($X15="POV",N($Y15)*MileageRate,0)+N($Z15))</f>
        <v/>
      </c>
      <c r="AB15" s="30" t="str">
        <f aca="false">IF(OR($A15="",$P15="",$R15="",$Q15="",$S15=""),"",IF($R15=$P15,($Q15&lt;=T_DepBfast)*($S15&gt;=T_RetBfast)*PD_Bfast+($Q15&lt;=T_DepLunch)*($S15&gt;=T_RetLunch)*PD_Lunch+($Q15&lt;=T_DepDinner)*($S15&gt;=T_RetDinner)*PD_Dinner+PD_Incid,($Q15&lt;=T_DepBfast)*PD_Bfast+($Q15&lt;=T_DepLunch)*PD_Lunch+($Q15&lt;=T_DepDinner)*PD_Dinner+($S15&gt;=T_RetBfast)*PD_Bfast+($S15&gt;=T_RetLunch)*PD_Lunch+($S15&gt;=T_RetDinner)*PD_Dinner+MAX($R15-$P15-1,0)*(PD_Bfast+PD_Lunch+PD_Dinner)+($R15-$P15+1)*PD_Incid))</f>
        <v/>
      </c>
      <c r="AC15" s="30"/>
      <c r="AD15" s="30" t="str">
        <f aca="false">IF($A15="","",N($T15)+N($W15)+N($AA15)+N($AB15)+N($AC15))</f>
        <v/>
      </c>
      <c r="AE15" s="30"/>
      <c r="AF15" s="30"/>
      <c r="AG15" s="30"/>
      <c r="AH15" s="30"/>
      <c r="AI15" s="30"/>
      <c r="AJ15" s="30" t="str">
        <f aca="false">IF($A15="","",IF(COUNT($AE15:$AI15)=0,"",SUM($AE15:$AI15)))</f>
        <v/>
      </c>
      <c r="AK15" s="30"/>
      <c r="AL15" s="30"/>
      <c r="AM15" s="30" t="str">
        <f aca="false">IF(OR($A15="",$AJ15=""),"",$AJ15-N($AK15)-N($AL15))</f>
        <v/>
      </c>
      <c r="AN15" s="28"/>
      <c r="AO15" s="28"/>
      <c r="AP15" s="27"/>
      <c r="AQ15" s="27"/>
      <c r="AR15" s="28" t="str">
        <f aca="false">IF(OR($A15="",$R15=""),"",$R15+ReceiptDays)</f>
        <v/>
      </c>
      <c r="AS15" s="28"/>
      <c r="AT15" s="28" t="str">
        <f aca="false">IF(OR($A15="",$P15=""),"",($P15-FinanceLeadDays)-MOD(($P15-FinanceLeadDays)-DATE(2024,1,2),7))</f>
        <v/>
      </c>
      <c r="AU15" s="28"/>
      <c r="AV15" s="27"/>
      <c r="AW15" s="27"/>
      <c r="AX15" s="30" t="n">
        <f aca="false">IF(OR($A15="",$B15="Denied",$B15="Cancelled"),0,N($AD15))</f>
        <v>0</v>
      </c>
      <c r="AY15" s="30" t="n">
        <f aca="false">IF($A15="",0,N($AJ15))</f>
        <v>0</v>
      </c>
      <c r="AZ15" s="30" t="n">
        <f aca="false">IF(OR($A15="",$B15="Denied",$B15="Cancelled",$B15="Closed"),0,IF(N($AJ15)&gt;0,0,N($AD15)))</f>
        <v>0</v>
      </c>
      <c r="BA15" s="31" t="n">
        <f aca="false">IF($A15="",0,IF($B15="Awaiting Approval",COUNTIF(BA$1:BA14,"&gt;0")+1,0))</f>
        <v>0</v>
      </c>
      <c r="BB15" s="31" t="n">
        <f aca="false">IF($A15="",0,IF(AND($B15="Approved",$AP15&lt;&gt;"Y"),COUNTIF(BB$1:BB14,"&gt;0")+1,0))</f>
        <v>0</v>
      </c>
      <c r="BC15" s="31" t="n">
        <f aca="false">IF($A15="",0,IF(AND($B15="Approved",N($U15)&gt;0,$AQ15&lt;&gt;"Y"),COUNTIF(BC$1:BC14,"&gt;0")+1,0))</f>
        <v>0</v>
      </c>
      <c r="BD15" s="31" t="n">
        <f aca="true">IF($A15="",0,IF(AND($AR15&lt;&gt;"",N($AR15)&lt;TODAY(),$AS15="",$B15&lt;&gt;"Closed",$B15&lt;&gt;"Cancelled",$B15&lt;&gt;"Denied"),COUNTIF(BD$1:BD14,"&gt;0")+1,0))</f>
        <v>0</v>
      </c>
      <c r="BE15" s="31" t="n">
        <f aca="true">IF($A15="",0,IF(AND($AT15&lt;&gt;"",N($AT15)&lt;=TODAY()+7,$AU15="",$B15&lt;&gt;"Denied",$B15&lt;&gt;"Cancelled",$B15&lt;&gt;"Closed"),COUNTIF(BE$1:BE14,"&gt;0")+1,0))</f>
        <v>0</v>
      </c>
      <c r="BF15" s="27"/>
      <c r="BG15" s="27"/>
      <c r="BH15" s="27"/>
      <c r="BI15" s="27"/>
    </row>
    <row r="16" customFormat="false" ht="15" hidden="false" customHeight="false" outlineLevel="0" collapsed="false">
      <c r="A16" s="22"/>
      <c r="B16" s="22"/>
      <c r="C16" s="22"/>
      <c r="D16" s="22"/>
      <c r="E16" s="22"/>
      <c r="F16" s="22"/>
      <c r="G16" s="22"/>
      <c r="H16" s="22"/>
      <c r="I16" s="22"/>
      <c r="J16" s="22"/>
      <c r="K16" s="22"/>
      <c r="L16" s="22"/>
      <c r="M16" s="22"/>
      <c r="N16" s="23"/>
      <c r="O16" s="23"/>
      <c r="P16" s="23"/>
      <c r="Q16" s="24"/>
      <c r="R16" s="23"/>
      <c r="S16" s="24"/>
      <c r="T16" s="25"/>
      <c r="U16" s="26"/>
      <c r="V16" s="25"/>
      <c r="W16" s="25" t="str">
        <f aca="false">IF($A16="","",N($U16)*N($V16))</f>
        <v/>
      </c>
      <c r="X16" s="22"/>
      <c r="Y16" s="26"/>
      <c r="Z16" s="25"/>
      <c r="AA16" s="25" t="str">
        <f aca="false">IF($A16="","",IF($X16="POV",N($Y16)*MileageRate,0)+N($Z16))</f>
        <v/>
      </c>
      <c r="AB16" s="25" t="str">
        <f aca="false">IF(OR($A16="",$P16="",$R16="",$Q16="",$S16=""),"",IF($R16=$P16,($Q16&lt;=T_DepBfast)*($S16&gt;=T_RetBfast)*PD_Bfast+($Q16&lt;=T_DepLunch)*($S16&gt;=T_RetLunch)*PD_Lunch+($Q16&lt;=T_DepDinner)*($S16&gt;=T_RetDinner)*PD_Dinner+PD_Incid,($Q16&lt;=T_DepBfast)*PD_Bfast+($Q16&lt;=T_DepLunch)*PD_Lunch+($Q16&lt;=T_DepDinner)*PD_Dinner+($S16&gt;=T_RetBfast)*PD_Bfast+($S16&gt;=T_RetLunch)*PD_Lunch+($S16&gt;=T_RetDinner)*PD_Dinner+MAX($R16-$P16-1,0)*(PD_Bfast+PD_Lunch+PD_Dinner)+($R16-$P16+1)*PD_Incid))</f>
        <v/>
      </c>
      <c r="AC16" s="25"/>
      <c r="AD16" s="25" t="str">
        <f aca="false">IF($A16="","",N($T16)+N($W16)+N($AA16)+N($AB16)+N($AC16))</f>
        <v/>
      </c>
      <c r="AE16" s="25"/>
      <c r="AF16" s="25"/>
      <c r="AG16" s="25"/>
      <c r="AH16" s="25"/>
      <c r="AI16" s="25"/>
      <c r="AJ16" s="25" t="str">
        <f aca="false">IF($A16="","",IF(COUNT($AE16:$AI16)=0,"",SUM($AE16:$AI16)))</f>
        <v/>
      </c>
      <c r="AK16" s="25"/>
      <c r="AL16" s="25"/>
      <c r="AM16" s="25" t="str">
        <f aca="false">IF(OR($A16="",$AJ16=""),"",$AJ16-N($AK16)-N($AL16))</f>
        <v/>
      </c>
      <c r="AN16" s="23"/>
      <c r="AO16" s="23"/>
      <c r="AP16" s="22"/>
      <c r="AQ16" s="22"/>
      <c r="AR16" s="23" t="str">
        <f aca="false">IF(OR($A16="",$R16=""),"",$R16+ReceiptDays)</f>
        <v/>
      </c>
      <c r="AS16" s="23"/>
      <c r="AT16" s="23" t="str">
        <f aca="false">IF(OR($A16="",$P16=""),"",($P16-FinanceLeadDays)-MOD(($P16-FinanceLeadDays)-DATE(2024,1,2),7))</f>
        <v/>
      </c>
      <c r="AU16" s="23"/>
      <c r="AV16" s="22"/>
      <c r="AW16" s="22"/>
      <c r="AX16" s="25" t="n">
        <f aca="false">IF(OR($A16="",$B16="Denied",$B16="Cancelled"),0,N($AD16))</f>
        <v>0</v>
      </c>
      <c r="AY16" s="25" t="n">
        <f aca="false">IF($A16="",0,N($AJ16))</f>
        <v>0</v>
      </c>
      <c r="AZ16" s="25" t="n">
        <f aca="false">IF(OR($A16="",$B16="Denied",$B16="Cancelled",$B16="Closed"),0,IF(N($AJ16)&gt;0,0,N($AD16)))</f>
        <v>0</v>
      </c>
      <c r="BA16" s="26" t="n">
        <f aca="false">IF($A16="",0,IF($B16="Awaiting Approval",COUNTIF(BA$1:BA15,"&gt;0")+1,0))</f>
        <v>0</v>
      </c>
      <c r="BB16" s="26" t="n">
        <f aca="false">IF($A16="",0,IF(AND($B16="Approved",$AP16&lt;&gt;"Y"),COUNTIF(BB$1:BB15,"&gt;0")+1,0))</f>
        <v>0</v>
      </c>
      <c r="BC16" s="26" t="n">
        <f aca="false">IF($A16="",0,IF(AND($B16="Approved",N($U16)&gt;0,$AQ16&lt;&gt;"Y"),COUNTIF(BC$1:BC15,"&gt;0")+1,0))</f>
        <v>0</v>
      </c>
      <c r="BD16" s="26" t="n">
        <f aca="true">IF($A16="",0,IF(AND($AR16&lt;&gt;"",N($AR16)&lt;TODAY(),$AS16="",$B16&lt;&gt;"Closed",$B16&lt;&gt;"Cancelled",$B16&lt;&gt;"Denied"),COUNTIF(BD$1:BD15,"&gt;0")+1,0))</f>
        <v>0</v>
      </c>
      <c r="BE16" s="26" t="n">
        <f aca="true">IF($A16="",0,IF(AND($AT16&lt;&gt;"",N($AT16)&lt;=TODAY()+7,$AU16="",$B16&lt;&gt;"Denied",$B16&lt;&gt;"Cancelled",$B16&lt;&gt;"Closed"),COUNTIF(BE$1:BE15,"&gt;0")+1,0))</f>
        <v>0</v>
      </c>
      <c r="BF16" s="22"/>
      <c r="BG16" s="22"/>
      <c r="BH16" s="22"/>
      <c r="BI16" s="22"/>
    </row>
    <row r="17" customFormat="false" ht="15" hidden="false" customHeight="false" outlineLevel="0" collapsed="false">
      <c r="A17" s="27"/>
      <c r="B17" s="27"/>
      <c r="C17" s="27"/>
      <c r="D17" s="27"/>
      <c r="E17" s="27"/>
      <c r="F17" s="27"/>
      <c r="G17" s="27"/>
      <c r="H17" s="27"/>
      <c r="I17" s="27"/>
      <c r="J17" s="27"/>
      <c r="K17" s="27"/>
      <c r="L17" s="27"/>
      <c r="M17" s="27"/>
      <c r="N17" s="28"/>
      <c r="O17" s="28"/>
      <c r="P17" s="28"/>
      <c r="Q17" s="29"/>
      <c r="R17" s="28"/>
      <c r="S17" s="29"/>
      <c r="T17" s="30"/>
      <c r="U17" s="31"/>
      <c r="V17" s="30"/>
      <c r="W17" s="30" t="str">
        <f aca="false">IF($A17="","",N($U17)*N($V17))</f>
        <v/>
      </c>
      <c r="X17" s="27"/>
      <c r="Y17" s="31"/>
      <c r="Z17" s="30"/>
      <c r="AA17" s="30" t="str">
        <f aca="false">IF($A17="","",IF($X17="POV",N($Y17)*MileageRate,0)+N($Z17))</f>
        <v/>
      </c>
      <c r="AB17" s="30" t="str">
        <f aca="false">IF(OR($A17="",$P17="",$R17="",$Q17="",$S17=""),"",IF($R17=$P17,($Q17&lt;=T_DepBfast)*($S17&gt;=T_RetBfast)*PD_Bfast+($Q17&lt;=T_DepLunch)*($S17&gt;=T_RetLunch)*PD_Lunch+($Q17&lt;=T_DepDinner)*($S17&gt;=T_RetDinner)*PD_Dinner+PD_Incid,($Q17&lt;=T_DepBfast)*PD_Bfast+($Q17&lt;=T_DepLunch)*PD_Lunch+($Q17&lt;=T_DepDinner)*PD_Dinner+($S17&gt;=T_RetBfast)*PD_Bfast+($S17&gt;=T_RetLunch)*PD_Lunch+($S17&gt;=T_RetDinner)*PD_Dinner+MAX($R17-$P17-1,0)*(PD_Bfast+PD_Lunch+PD_Dinner)+($R17-$P17+1)*PD_Incid))</f>
        <v/>
      </c>
      <c r="AC17" s="30"/>
      <c r="AD17" s="30" t="str">
        <f aca="false">IF($A17="","",N($T17)+N($W17)+N($AA17)+N($AB17)+N($AC17))</f>
        <v/>
      </c>
      <c r="AE17" s="30"/>
      <c r="AF17" s="30"/>
      <c r="AG17" s="30"/>
      <c r="AH17" s="30"/>
      <c r="AI17" s="30"/>
      <c r="AJ17" s="30" t="str">
        <f aca="false">IF($A17="","",IF(COUNT($AE17:$AI17)=0,"",SUM($AE17:$AI17)))</f>
        <v/>
      </c>
      <c r="AK17" s="30"/>
      <c r="AL17" s="30"/>
      <c r="AM17" s="30" t="str">
        <f aca="false">IF(OR($A17="",$AJ17=""),"",$AJ17-N($AK17)-N($AL17))</f>
        <v/>
      </c>
      <c r="AN17" s="28"/>
      <c r="AO17" s="28"/>
      <c r="AP17" s="27"/>
      <c r="AQ17" s="27"/>
      <c r="AR17" s="28" t="str">
        <f aca="false">IF(OR($A17="",$R17=""),"",$R17+ReceiptDays)</f>
        <v/>
      </c>
      <c r="AS17" s="28"/>
      <c r="AT17" s="28" t="str">
        <f aca="false">IF(OR($A17="",$P17=""),"",($P17-FinanceLeadDays)-MOD(($P17-FinanceLeadDays)-DATE(2024,1,2),7))</f>
        <v/>
      </c>
      <c r="AU17" s="28"/>
      <c r="AV17" s="27"/>
      <c r="AW17" s="27"/>
      <c r="AX17" s="30" t="n">
        <f aca="false">IF(OR($A17="",$B17="Denied",$B17="Cancelled"),0,N($AD17))</f>
        <v>0</v>
      </c>
      <c r="AY17" s="30" t="n">
        <f aca="false">IF($A17="",0,N($AJ17))</f>
        <v>0</v>
      </c>
      <c r="AZ17" s="30" t="n">
        <f aca="false">IF(OR($A17="",$B17="Denied",$B17="Cancelled",$B17="Closed"),0,IF(N($AJ17)&gt;0,0,N($AD17)))</f>
        <v>0</v>
      </c>
      <c r="BA17" s="31" t="n">
        <f aca="false">IF($A17="",0,IF($B17="Awaiting Approval",COUNTIF(BA$1:BA16,"&gt;0")+1,0))</f>
        <v>0</v>
      </c>
      <c r="BB17" s="31" t="n">
        <f aca="false">IF($A17="",0,IF(AND($B17="Approved",$AP17&lt;&gt;"Y"),COUNTIF(BB$1:BB16,"&gt;0")+1,0))</f>
        <v>0</v>
      </c>
      <c r="BC17" s="31" t="n">
        <f aca="false">IF($A17="",0,IF(AND($B17="Approved",N($U17)&gt;0,$AQ17&lt;&gt;"Y"),COUNTIF(BC$1:BC16,"&gt;0")+1,0))</f>
        <v>0</v>
      </c>
      <c r="BD17" s="31" t="n">
        <f aca="true">IF($A17="",0,IF(AND($AR17&lt;&gt;"",N($AR17)&lt;TODAY(),$AS17="",$B17&lt;&gt;"Closed",$B17&lt;&gt;"Cancelled",$B17&lt;&gt;"Denied"),COUNTIF(BD$1:BD16,"&gt;0")+1,0))</f>
        <v>0</v>
      </c>
      <c r="BE17" s="31" t="n">
        <f aca="true">IF($A17="",0,IF(AND($AT17&lt;&gt;"",N($AT17)&lt;=TODAY()+7,$AU17="",$B17&lt;&gt;"Denied",$B17&lt;&gt;"Cancelled",$B17&lt;&gt;"Closed"),COUNTIF(BE$1:BE16,"&gt;0")+1,0))</f>
        <v>0</v>
      </c>
      <c r="BF17" s="27"/>
      <c r="BG17" s="27"/>
      <c r="BH17" s="27"/>
      <c r="BI17" s="27"/>
    </row>
    <row r="18" customFormat="false" ht="15" hidden="false" customHeight="false" outlineLevel="0" collapsed="false">
      <c r="A18" s="22"/>
      <c r="B18" s="22"/>
      <c r="C18" s="22"/>
      <c r="D18" s="22"/>
      <c r="E18" s="22"/>
      <c r="F18" s="22"/>
      <c r="G18" s="22"/>
      <c r="H18" s="22"/>
      <c r="I18" s="22"/>
      <c r="J18" s="22"/>
      <c r="K18" s="22"/>
      <c r="L18" s="22"/>
      <c r="M18" s="22"/>
      <c r="N18" s="23"/>
      <c r="O18" s="23"/>
      <c r="P18" s="23"/>
      <c r="Q18" s="24"/>
      <c r="R18" s="23"/>
      <c r="S18" s="24"/>
      <c r="T18" s="25"/>
      <c r="U18" s="26"/>
      <c r="V18" s="25"/>
      <c r="W18" s="25" t="str">
        <f aca="false">IF($A18="","",N($U18)*N($V18))</f>
        <v/>
      </c>
      <c r="X18" s="22"/>
      <c r="Y18" s="26"/>
      <c r="Z18" s="25"/>
      <c r="AA18" s="25" t="str">
        <f aca="false">IF($A18="","",IF($X18="POV",N($Y18)*MileageRate,0)+N($Z18))</f>
        <v/>
      </c>
      <c r="AB18" s="25" t="str">
        <f aca="false">IF(OR($A18="",$P18="",$R18="",$Q18="",$S18=""),"",IF($R18=$P18,($Q18&lt;=T_DepBfast)*($S18&gt;=T_RetBfast)*PD_Bfast+($Q18&lt;=T_DepLunch)*($S18&gt;=T_RetLunch)*PD_Lunch+($Q18&lt;=T_DepDinner)*($S18&gt;=T_RetDinner)*PD_Dinner+PD_Incid,($Q18&lt;=T_DepBfast)*PD_Bfast+($Q18&lt;=T_DepLunch)*PD_Lunch+($Q18&lt;=T_DepDinner)*PD_Dinner+($S18&gt;=T_RetBfast)*PD_Bfast+($S18&gt;=T_RetLunch)*PD_Lunch+($S18&gt;=T_RetDinner)*PD_Dinner+MAX($R18-$P18-1,0)*(PD_Bfast+PD_Lunch+PD_Dinner)+($R18-$P18+1)*PD_Incid))</f>
        <v/>
      </c>
      <c r="AC18" s="25"/>
      <c r="AD18" s="25" t="str">
        <f aca="false">IF($A18="","",N($T18)+N($W18)+N($AA18)+N($AB18)+N($AC18))</f>
        <v/>
      </c>
      <c r="AE18" s="25"/>
      <c r="AF18" s="25"/>
      <c r="AG18" s="25"/>
      <c r="AH18" s="25"/>
      <c r="AI18" s="25"/>
      <c r="AJ18" s="25" t="str">
        <f aca="false">IF($A18="","",IF(COUNT($AE18:$AI18)=0,"",SUM($AE18:$AI18)))</f>
        <v/>
      </c>
      <c r="AK18" s="25"/>
      <c r="AL18" s="25"/>
      <c r="AM18" s="25" t="str">
        <f aca="false">IF(OR($A18="",$AJ18=""),"",$AJ18-N($AK18)-N($AL18))</f>
        <v/>
      </c>
      <c r="AN18" s="23"/>
      <c r="AO18" s="23"/>
      <c r="AP18" s="22"/>
      <c r="AQ18" s="22"/>
      <c r="AR18" s="23" t="str">
        <f aca="false">IF(OR($A18="",$R18=""),"",$R18+ReceiptDays)</f>
        <v/>
      </c>
      <c r="AS18" s="23"/>
      <c r="AT18" s="23" t="str">
        <f aca="false">IF(OR($A18="",$P18=""),"",($P18-FinanceLeadDays)-MOD(($P18-FinanceLeadDays)-DATE(2024,1,2),7))</f>
        <v/>
      </c>
      <c r="AU18" s="23"/>
      <c r="AV18" s="22"/>
      <c r="AW18" s="22"/>
      <c r="AX18" s="25" t="n">
        <f aca="false">IF(OR($A18="",$B18="Denied",$B18="Cancelled"),0,N($AD18))</f>
        <v>0</v>
      </c>
      <c r="AY18" s="25" t="n">
        <f aca="false">IF($A18="",0,N($AJ18))</f>
        <v>0</v>
      </c>
      <c r="AZ18" s="25" t="n">
        <f aca="false">IF(OR($A18="",$B18="Denied",$B18="Cancelled",$B18="Closed"),0,IF(N($AJ18)&gt;0,0,N($AD18)))</f>
        <v>0</v>
      </c>
      <c r="BA18" s="26" t="n">
        <f aca="false">IF($A18="",0,IF($B18="Awaiting Approval",COUNTIF(BA$1:BA17,"&gt;0")+1,0))</f>
        <v>0</v>
      </c>
      <c r="BB18" s="26" t="n">
        <f aca="false">IF($A18="",0,IF(AND($B18="Approved",$AP18&lt;&gt;"Y"),COUNTIF(BB$1:BB17,"&gt;0")+1,0))</f>
        <v>0</v>
      </c>
      <c r="BC18" s="26" t="n">
        <f aca="false">IF($A18="",0,IF(AND($B18="Approved",N($U18)&gt;0,$AQ18&lt;&gt;"Y"),COUNTIF(BC$1:BC17,"&gt;0")+1,0))</f>
        <v>0</v>
      </c>
      <c r="BD18" s="26" t="n">
        <f aca="true">IF($A18="",0,IF(AND($AR18&lt;&gt;"",N($AR18)&lt;TODAY(),$AS18="",$B18&lt;&gt;"Closed",$B18&lt;&gt;"Cancelled",$B18&lt;&gt;"Denied"),COUNTIF(BD$1:BD17,"&gt;0")+1,0))</f>
        <v>0</v>
      </c>
      <c r="BE18" s="26" t="n">
        <f aca="true">IF($A18="",0,IF(AND($AT18&lt;&gt;"",N($AT18)&lt;=TODAY()+7,$AU18="",$B18&lt;&gt;"Denied",$B18&lt;&gt;"Cancelled",$B18&lt;&gt;"Closed"),COUNTIF(BE$1:BE17,"&gt;0")+1,0))</f>
        <v>0</v>
      </c>
      <c r="BF18" s="22"/>
      <c r="BG18" s="22"/>
      <c r="BH18" s="22"/>
      <c r="BI18" s="22"/>
    </row>
    <row r="19" customFormat="false" ht="15" hidden="false" customHeight="false" outlineLevel="0" collapsed="false">
      <c r="A19" s="27"/>
      <c r="B19" s="27"/>
      <c r="C19" s="27"/>
      <c r="D19" s="27"/>
      <c r="E19" s="27"/>
      <c r="F19" s="27"/>
      <c r="G19" s="27"/>
      <c r="H19" s="27"/>
      <c r="I19" s="27"/>
      <c r="J19" s="27"/>
      <c r="K19" s="27"/>
      <c r="L19" s="27"/>
      <c r="M19" s="27"/>
      <c r="N19" s="28"/>
      <c r="O19" s="28"/>
      <c r="P19" s="28"/>
      <c r="Q19" s="29"/>
      <c r="R19" s="28"/>
      <c r="S19" s="29"/>
      <c r="T19" s="30"/>
      <c r="U19" s="31"/>
      <c r="V19" s="30"/>
      <c r="W19" s="30" t="str">
        <f aca="false">IF($A19="","",N($U19)*N($V19))</f>
        <v/>
      </c>
      <c r="X19" s="27"/>
      <c r="Y19" s="31"/>
      <c r="Z19" s="30"/>
      <c r="AA19" s="30" t="str">
        <f aca="false">IF($A19="","",IF($X19="POV",N($Y19)*MileageRate,0)+N($Z19))</f>
        <v/>
      </c>
      <c r="AB19" s="30" t="str">
        <f aca="false">IF(OR($A19="",$P19="",$R19="",$Q19="",$S19=""),"",IF($R19=$P19,($Q19&lt;=T_DepBfast)*($S19&gt;=T_RetBfast)*PD_Bfast+($Q19&lt;=T_DepLunch)*($S19&gt;=T_RetLunch)*PD_Lunch+($Q19&lt;=T_DepDinner)*($S19&gt;=T_RetDinner)*PD_Dinner+PD_Incid,($Q19&lt;=T_DepBfast)*PD_Bfast+($Q19&lt;=T_DepLunch)*PD_Lunch+($Q19&lt;=T_DepDinner)*PD_Dinner+($S19&gt;=T_RetBfast)*PD_Bfast+($S19&gt;=T_RetLunch)*PD_Lunch+($S19&gt;=T_RetDinner)*PD_Dinner+MAX($R19-$P19-1,0)*(PD_Bfast+PD_Lunch+PD_Dinner)+($R19-$P19+1)*PD_Incid))</f>
        <v/>
      </c>
      <c r="AC19" s="30"/>
      <c r="AD19" s="30" t="str">
        <f aca="false">IF($A19="","",N($T19)+N($W19)+N($AA19)+N($AB19)+N($AC19))</f>
        <v/>
      </c>
      <c r="AE19" s="30"/>
      <c r="AF19" s="30"/>
      <c r="AG19" s="30"/>
      <c r="AH19" s="30"/>
      <c r="AI19" s="30"/>
      <c r="AJ19" s="30" t="str">
        <f aca="false">IF($A19="","",IF(COUNT($AE19:$AI19)=0,"",SUM($AE19:$AI19)))</f>
        <v/>
      </c>
      <c r="AK19" s="30"/>
      <c r="AL19" s="30"/>
      <c r="AM19" s="30" t="str">
        <f aca="false">IF(OR($A19="",$AJ19=""),"",$AJ19-N($AK19)-N($AL19))</f>
        <v/>
      </c>
      <c r="AN19" s="28"/>
      <c r="AO19" s="28"/>
      <c r="AP19" s="27"/>
      <c r="AQ19" s="27"/>
      <c r="AR19" s="28" t="str">
        <f aca="false">IF(OR($A19="",$R19=""),"",$R19+ReceiptDays)</f>
        <v/>
      </c>
      <c r="AS19" s="28"/>
      <c r="AT19" s="28" t="str">
        <f aca="false">IF(OR($A19="",$P19=""),"",($P19-FinanceLeadDays)-MOD(($P19-FinanceLeadDays)-DATE(2024,1,2),7))</f>
        <v/>
      </c>
      <c r="AU19" s="28"/>
      <c r="AV19" s="27"/>
      <c r="AW19" s="27"/>
      <c r="AX19" s="30" t="n">
        <f aca="false">IF(OR($A19="",$B19="Denied",$B19="Cancelled"),0,N($AD19))</f>
        <v>0</v>
      </c>
      <c r="AY19" s="30" t="n">
        <f aca="false">IF($A19="",0,N($AJ19))</f>
        <v>0</v>
      </c>
      <c r="AZ19" s="30" t="n">
        <f aca="false">IF(OR($A19="",$B19="Denied",$B19="Cancelled",$B19="Closed"),0,IF(N($AJ19)&gt;0,0,N($AD19)))</f>
        <v>0</v>
      </c>
      <c r="BA19" s="31" t="n">
        <f aca="false">IF($A19="",0,IF($B19="Awaiting Approval",COUNTIF(BA$1:BA18,"&gt;0")+1,0))</f>
        <v>0</v>
      </c>
      <c r="BB19" s="31" t="n">
        <f aca="false">IF($A19="",0,IF(AND($B19="Approved",$AP19&lt;&gt;"Y"),COUNTIF(BB$1:BB18,"&gt;0")+1,0))</f>
        <v>0</v>
      </c>
      <c r="BC19" s="31" t="n">
        <f aca="false">IF($A19="",0,IF(AND($B19="Approved",N($U19)&gt;0,$AQ19&lt;&gt;"Y"),COUNTIF(BC$1:BC18,"&gt;0")+1,0))</f>
        <v>0</v>
      </c>
      <c r="BD19" s="31" t="n">
        <f aca="true">IF($A19="",0,IF(AND($AR19&lt;&gt;"",N($AR19)&lt;TODAY(),$AS19="",$B19&lt;&gt;"Closed",$B19&lt;&gt;"Cancelled",$B19&lt;&gt;"Denied"),COUNTIF(BD$1:BD18,"&gt;0")+1,0))</f>
        <v>0</v>
      </c>
      <c r="BE19" s="31" t="n">
        <f aca="true">IF($A19="",0,IF(AND($AT19&lt;&gt;"",N($AT19)&lt;=TODAY()+7,$AU19="",$B19&lt;&gt;"Denied",$B19&lt;&gt;"Cancelled",$B19&lt;&gt;"Closed"),COUNTIF(BE$1:BE18,"&gt;0")+1,0))</f>
        <v>0</v>
      </c>
      <c r="BF19" s="27"/>
      <c r="BG19" s="27"/>
      <c r="BH19" s="27"/>
      <c r="BI19" s="27"/>
    </row>
    <row r="20" customFormat="false" ht="15" hidden="false" customHeight="false" outlineLevel="0" collapsed="false">
      <c r="A20" s="22"/>
      <c r="B20" s="22"/>
      <c r="C20" s="22"/>
      <c r="D20" s="22"/>
      <c r="E20" s="22"/>
      <c r="F20" s="22"/>
      <c r="G20" s="22"/>
      <c r="H20" s="22"/>
      <c r="I20" s="22"/>
      <c r="J20" s="22"/>
      <c r="K20" s="22"/>
      <c r="L20" s="22"/>
      <c r="M20" s="22"/>
      <c r="N20" s="23"/>
      <c r="O20" s="23"/>
      <c r="P20" s="23"/>
      <c r="Q20" s="24"/>
      <c r="R20" s="23"/>
      <c r="S20" s="24"/>
      <c r="T20" s="25"/>
      <c r="U20" s="26"/>
      <c r="V20" s="25"/>
      <c r="W20" s="25" t="str">
        <f aca="false">IF($A20="","",N($U20)*N($V20))</f>
        <v/>
      </c>
      <c r="X20" s="22"/>
      <c r="Y20" s="26"/>
      <c r="Z20" s="25"/>
      <c r="AA20" s="25" t="str">
        <f aca="false">IF($A20="","",IF($X20="POV",N($Y20)*MileageRate,0)+N($Z20))</f>
        <v/>
      </c>
      <c r="AB20" s="25" t="str">
        <f aca="false">IF(OR($A20="",$P20="",$R20="",$Q20="",$S20=""),"",IF($R20=$P20,($Q20&lt;=T_DepBfast)*($S20&gt;=T_RetBfast)*PD_Bfast+($Q20&lt;=T_DepLunch)*($S20&gt;=T_RetLunch)*PD_Lunch+($Q20&lt;=T_DepDinner)*($S20&gt;=T_RetDinner)*PD_Dinner+PD_Incid,($Q20&lt;=T_DepBfast)*PD_Bfast+($Q20&lt;=T_DepLunch)*PD_Lunch+($Q20&lt;=T_DepDinner)*PD_Dinner+($S20&gt;=T_RetBfast)*PD_Bfast+($S20&gt;=T_RetLunch)*PD_Lunch+($S20&gt;=T_RetDinner)*PD_Dinner+MAX($R20-$P20-1,0)*(PD_Bfast+PD_Lunch+PD_Dinner)+($R20-$P20+1)*PD_Incid))</f>
        <v/>
      </c>
      <c r="AC20" s="25"/>
      <c r="AD20" s="25" t="str">
        <f aca="false">IF($A20="","",N($T20)+N($W20)+N($AA20)+N($AB20)+N($AC20))</f>
        <v/>
      </c>
      <c r="AE20" s="25"/>
      <c r="AF20" s="25"/>
      <c r="AG20" s="25"/>
      <c r="AH20" s="25"/>
      <c r="AI20" s="25"/>
      <c r="AJ20" s="25" t="str">
        <f aca="false">IF($A20="","",IF(COUNT($AE20:$AI20)=0,"",SUM($AE20:$AI20)))</f>
        <v/>
      </c>
      <c r="AK20" s="25"/>
      <c r="AL20" s="25"/>
      <c r="AM20" s="25" t="str">
        <f aca="false">IF(OR($A20="",$AJ20=""),"",$AJ20-N($AK20)-N($AL20))</f>
        <v/>
      </c>
      <c r="AN20" s="23"/>
      <c r="AO20" s="23"/>
      <c r="AP20" s="22"/>
      <c r="AQ20" s="22"/>
      <c r="AR20" s="23" t="str">
        <f aca="false">IF(OR($A20="",$R20=""),"",$R20+ReceiptDays)</f>
        <v/>
      </c>
      <c r="AS20" s="23"/>
      <c r="AT20" s="23" t="str">
        <f aca="false">IF(OR($A20="",$P20=""),"",($P20-FinanceLeadDays)-MOD(($P20-FinanceLeadDays)-DATE(2024,1,2),7))</f>
        <v/>
      </c>
      <c r="AU20" s="23"/>
      <c r="AV20" s="22"/>
      <c r="AW20" s="22"/>
      <c r="AX20" s="25" t="n">
        <f aca="false">IF(OR($A20="",$B20="Denied",$B20="Cancelled"),0,N($AD20))</f>
        <v>0</v>
      </c>
      <c r="AY20" s="25" t="n">
        <f aca="false">IF($A20="",0,N($AJ20))</f>
        <v>0</v>
      </c>
      <c r="AZ20" s="25" t="n">
        <f aca="false">IF(OR($A20="",$B20="Denied",$B20="Cancelled",$B20="Closed"),0,IF(N($AJ20)&gt;0,0,N($AD20)))</f>
        <v>0</v>
      </c>
      <c r="BA20" s="26" t="n">
        <f aca="false">IF($A20="",0,IF($B20="Awaiting Approval",COUNTIF(BA$1:BA19,"&gt;0")+1,0))</f>
        <v>0</v>
      </c>
      <c r="BB20" s="26" t="n">
        <f aca="false">IF($A20="",0,IF(AND($B20="Approved",$AP20&lt;&gt;"Y"),COUNTIF(BB$1:BB19,"&gt;0")+1,0))</f>
        <v>0</v>
      </c>
      <c r="BC20" s="26" t="n">
        <f aca="false">IF($A20="",0,IF(AND($B20="Approved",N($U20)&gt;0,$AQ20&lt;&gt;"Y"),COUNTIF(BC$1:BC19,"&gt;0")+1,0))</f>
        <v>0</v>
      </c>
      <c r="BD20" s="26" t="n">
        <f aca="true">IF($A20="",0,IF(AND($AR20&lt;&gt;"",N($AR20)&lt;TODAY(),$AS20="",$B20&lt;&gt;"Closed",$B20&lt;&gt;"Cancelled",$B20&lt;&gt;"Denied"),COUNTIF(BD$1:BD19,"&gt;0")+1,0))</f>
        <v>0</v>
      </c>
      <c r="BE20" s="26" t="n">
        <f aca="true">IF($A20="",0,IF(AND($AT20&lt;&gt;"",N($AT20)&lt;=TODAY()+7,$AU20="",$B20&lt;&gt;"Denied",$B20&lt;&gt;"Cancelled",$B20&lt;&gt;"Closed"),COUNTIF(BE$1:BE19,"&gt;0")+1,0))</f>
        <v>0</v>
      </c>
      <c r="BF20" s="22"/>
      <c r="BG20" s="22"/>
      <c r="BH20" s="22"/>
      <c r="BI20" s="22"/>
    </row>
    <row r="21" customFormat="false" ht="15" hidden="false" customHeight="false" outlineLevel="0" collapsed="false">
      <c r="A21" s="27"/>
      <c r="B21" s="27"/>
      <c r="C21" s="27"/>
      <c r="D21" s="27"/>
      <c r="E21" s="27"/>
      <c r="F21" s="27"/>
      <c r="G21" s="27"/>
      <c r="H21" s="27"/>
      <c r="I21" s="27"/>
      <c r="J21" s="27"/>
      <c r="K21" s="27"/>
      <c r="L21" s="27"/>
      <c r="M21" s="27"/>
      <c r="N21" s="28"/>
      <c r="O21" s="28"/>
      <c r="P21" s="28"/>
      <c r="Q21" s="29"/>
      <c r="R21" s="28"/>
      <c r="S21" s="29"/>
      <c r="T21" s="30"/>
      <c r="U21" s="31"/>
      <c r="V21" s="30"/>
      <c r="W21" s="30" t="str">
        <f aca="false">IF($A21="","",N($U21)*N($V21))</f>
        <v/>
      </c>
      <c r="X21" s="27"/>
      <c r="Y21" s="31"/>
      <c r="Z21" s="30"/>
      <c r="AA21" s="30" t="str">
        <f aca="false">IF($A21="","",IF($X21="POV",N($Y21)*MileageRate,0)+N($Z21))</f>
        <v/>
      </c>
      <c r="AB21" s="30" t="str">
        <f aca="false">IF(OR($A21="",$P21="",$R21="",$Q21="",$S21=""),"",IF($R21=$P21,($Q21&lt;=T_DepBfast)*($S21&gt;=T_RetBfast)*PD_Bfast+($Q21&lt;=T_DepLunch)*($S21&gt;=T_RetLunch)*PD_Lunch+($Q21&lt;=T_DepDinner)*($S21&gt;=T_RetDinner)*PD_Dinner+PD_Incid,($Q21&lt;=T_DepBfast)*PD_Bfast+($Q21&lt;=T_DepLunch)*PD_Lunch+($Q21&lt;=T_DepDinner)*PD_Dinner+($S21&gt;=T_RetBfast)*PD_Bfast+($S21&gt;=T_RetLunch)*PD_Lunch+($S21&gt;=T_RetDinner)*PD_Dinner+MAX($R21-$P21-1,0)*(PD_Bfast+PD_Lunch+PD_Dinner)+($R21-$P21+1)*PD_Incid))</f>
        <v/>
      </c>
      <c r="AC21" s="30"/>
      <c r="AD21" s="30" t="str">
        <f aca="false">IF($A21="","",N($T21)+N($W21)+N($AA21)+N($AB21)+N($AC21))</f>
        <v/>
      </c>
      <c r="AE21" s="30"/>
      <c r="AF21" s="30"/>
      <c r="AG21" s="30"/>
      <c r="AH21" s="30"/>
      <c r="AI21" s="30"/>
      <c r="AJ21" s="30" t="str">
        <f aca="false">IF($A21="","",IF(COUNT($AE21:$AI21)=0,"",SUM($AE21:$AI21)))</f>
        <v/>
      </c>
      <c r="AK21" s="30"/>
      <c r="AL21" s="30"/>
      <c r="AM21" s="30" t="str">
        <f aca="false">IF(OR($A21="",$AJ21=""),"",$AJ21-N($AK21)-N($AL21))</f>
        <v/>
      </c>
      <c r="AN21" s="28"/>
      <c r="AO21" s="28"/>
      <c r="AP21" s="27"/>
      <c r="AQ21" s="27"/>
      <c r="AR21" s="28" t="str">
        <f aca="false">IF(OR($A21="",$R21=""),"",$R21+ReceiptDays)</f>
        <v/>
      </c>
      <c r="AS21" s="28"/>
      <c r="AT21" s="28" t="str">
        <f aca="false">IF(OR($A21="",$P21=""),"",($P21-FinanceLeadDays)-MOD(($P21-FinanceLeadDays)-DATE(2024,1,2),7))</f>
        <v/>
      </c>
      <c r="AU21" s="28"/>
      <c r="AV21" s="27"/>
      <c r="AW21" s="27"/>
      <c r="AX21" s="30" t="n">
        <f aca="false">IF(OR($A21="",$B21="Denied",$B21="Cancelled"),0,N($AD21))</f>
        <v>0</v>
      </c>
      <c r="AY21" s="30" t="n">
        <f aca="false">IF($A21="",0,N($AJ21))</f>
        <v>0</v>
      </c>
      <c r="AZ21" s="30" t="n">
        <f aca="false">IF(OR($A21="",$B21="Denied",$B21="Cancelled",$B21="Closed"),0,IF(N($AJ21)&gt;0,0,N($AD21)))</f>
        <v>0</v>
      </c>
      <c r="BA21" s="31" t="n">
        <f aca="false">IF($A21="",0,IF($B21="Awaiting Approval",COUNTIF(BA$1:BA20,"&gt;0")+1,0))</f>
        <v>0</v>
      </c>
      <c r="BB21" s="31" t="n">
        <f aca="false">IF($A21="",0,IF(AND($B21="Approved",$AP21&lt;&gt;"Y"),COUNTIF(BB$1:BB20,"&gt;0")+1,0))</f>
        <v>0</v>
      </c>
      <c r="BC21" s="31" t="n">
        <f aca="false">IF($A21="",0,IF(AND($B21="Approved",N($U21)&gt;0,$AQ21&lt;&gt;"Y"),COUNTIF(BC$1:BC20,"&gt;0")+1,0))</f>
        <v>0</v>
      </c>
      <c r="BD21" s="31" t="n">
        <f aca="true">IF($A21="",0,IF(AND($AR21&lt;&gt;"",N($AR21)&lt;TODAY(),$AS21="",$B21&lt;&gt;"Closed",$B21&lt;&gt;"Cancelled",$B21&lt;&gt;"Denied"),COUNTIF(BD$1:BD20,"&gt;0")+1,0))</f>
        <v>0</v>
      </c>
      <c r="BE21" s="31" t="n">
        <f aca="true">IF($A21="",0,IF(AND($AT21&lt;&gt;"",N($AT21)&lt;=TODAY()+7,$AU21="",$B21&lt;&gt;"Denied",$B21&lt;&gt;"Cancelled",$B21&lt;&gt;"Closed"),COUNTIF(BE$1:BE20,"&gt;0")+1,0))</f>
        <v>0</v>
      </c>
      <c r="BF21" s="27"/>
      <c r="BG21" s="27"/>
      <c r="BH21" s="27"/>
      <c r="BI21" s="27"/>
    </row>
    <row r="22" customFormat="false" ht="15" hidden="false" customHeight="false" outlineLevel="0" collapsed="false">
      <c r="A22" s="22"/>
      <c r="B22" s="22"/>
      <c r="C22" s="22"/>
      <c r="D22" s="22"/>
      <c r="E22" s="22"/>
      <c r="F22" s="22"/>
      <c r="G22" s="22"/>
      <c r="H22" s="22"/>
      <c r="I22" s="22"/>
      <c r="J22" s="22"/>
      <c r="K22" s="22"/>
      <c r="L22" s="22"/>
      <c r="M22" s="22"/>
      <c r="N22" s="23"/>
      <c r="O22" s="23"/>
      <c r="P22" s="23"/>
      <c r="Q22" s="24"/>
      <c r="R22" s="23"/>
      <c r="S22" s="24"/>
      <c r="T22" s="25"/>
      <c r="U22" s="26"/>
      <c r="V22" s="25"/>
      <c r="W22" s="25" t="str">
        <f aca="false">IF($A22="","",N($U22)*N($V22))</f>
        <v/>
      </c>
      <c r="X22" s="22"/>
      <c r="Y22" s="26"/>
      <c r="Z22" s="25"/>
      <c r="AA22" s="25" t="str">
        <f aca="false">IF($A22="","",IF($X22="POV",N($Y22)*MileageRate,0)+N($Z22))</f>
        <v/>
      </c>
      <c r="AB22" s="25" t="str">
        <f aca="false">IF(OR($A22="",$P22="",$R22="",$Q22="",$S22=""),"",IF($R22=$P22,($Q22&lt;=T_DepBfast)*($S22&gt;=T_RetBfast)*PD_Bfast+($Q22&lt;=T_DepLunch)*($S22&gt;=T_RetLunch)*PD_Lunch+($Q22&lt;=T_DepDinner)*($S22&gt;=T_RetDinner)*PD_Dinner+PD_Incid,($Q22&lt;=T_DepBfast)*PD_Bfast+($Q22&lt;=T_DepLunch)*PD_Lunch+($Q22&lt;=T_DepDinner)*PD_Dinner+($S22&gt;=T_RetBfast)*PD_Bfast+($S22&gt;=T_RetLunch)*PD_Lunch+($S22&gt;=T_RetDinner)*PD_Dinner+MAX($R22-$P22-1,0)*(PD_Bfast+PD_Lunch+PD_Dinner)+($R22-$P22+1)*PD_Incid))</f>
        <v/>
      </c>
      <c r="AC22" s="25"/>
      <c r="AD22" s="25" t="str">
        <f aca="false">IF($A22="","",N($T22)+N($W22)+N($AA22)+N($AB22)+N($AC22))</f>
        <v/>
      </c>
      <c r="AE22" s="25"/>
      <c r="AF22" s="25"/>
      <c r="AG22" s="25"/>
      <c r="AH22" s="25"/>
      <c r="AI22" s="25"/>
      <c r="AJ22" s="25" t="str">
        <f aca="false">IF($A22="","",IF(COUNT($AE22:$AI22)=0,"",SUM($AE22:$AI22)))</f>
        <v/>
      </c>
      <c r="AK22" s="25"/>
      <c r="AL22" s="25"/>
      <c r="AM22" s="25" t="str">
        <f aca="false">IF(OR($A22="",$AJ22=""),"",$AJ22-N($AK22)-N($AL22))</f>
        <v/>
      </c>
      <c r="AN22" s="23"/>
      <c r="AO22" s="23"/>
      <c r="AP22" s="22"/>
      <c r="AQ22" s="22"/>
      <c r="AR22" s="23" t="str">
        <f aca="false">IF(OR($A22="",$R22=""),"",$R22+ReceiptDays)</f>
        <v/>
      </c>
      <c r="AS22" s="23"/>
      <c r="AT22" s="23" t="str">
        <f aca="false">IF(OR($A22="",$P22=""),"",($P22-FinanceLeadDays)-MOD(($P22-FinanceLeadDays)-DATE(2024,1,2),7))</f>
        <v/>
      </c>
      <c r="AU22" s="23"/>
      <c r="AV22" s="22"/>
      <c r="AW22" s="22"/>
      <c r="AX22" s="25" t="n">
        <f aca="false">IF(OR($A22="",$B22="Denied",$B22="Cancelled"),0,N($AD22))</f>
        <v>0</v>
      </c>
      <c r="AY22" s="25" t="n">
        <f aca="false">IF($A22="",0,N($AJ22))</f>
        <v>0</v>
      </c>
      <c r="AZ22" s="25" t="n">
        <f aca="false">IF(OR($A22="",$B22="Denied",$B22="Cancelled",$B22="Closed"),0,IF(N($AJ22)&gt;0,0,N($AD22)))</f>
        <v>0</v>
      </c>
      <c r="BA22" s="26" t="n">
        <f aca="false">IF($A22="",0,IF($B22="Awaiting Approval",COUNTIF(BA$1:BA21,"&gt;0")+1,0))</f>
        <v>0</v>
      </c>
      <c r="BB22" s="26" t="n">
        <f aca="false">IF($A22="",0,IF(AND($B22="Approved",$AP22&lt;&gt;"Y"),COUNTIF(BB$1:BB21,"&gt;0")+1,0))</f>
        <v>0</v>
      </c>
      <c r="BC22" s="26" t="n">
        <f aca="false">IF($A22="",0,IF(AND($B22="Approved",N($U22)&gt;0,$AQ22&lt;&gt;"Y"),COUNTIF(BC$1:BC21,"&gt;0")+1,0))</f>
        <v>0</v>
      </c>
      <c r="BD22" s="26" t="n">
        <f aca="true">IF($A22="",0,IF(AND($AR22&lt;&gt;"",N($AR22)&lt;TODAY(),$AS22="",$B22&lt;&gt;"Closed",$B22&lt;&gt;"Cancelled",$B22&lt;&gt;"Denied"),COUNTIF(BD$1:BD21,"&gt;0")+1,0))</f>
        <v>0</v>
      </c>
      <c r="BE22" s="26" t="n">
        <f aca="true">IF($A22="",0,IF(AND($AT22&lt;&gt;"",N($AT22)&lt;=TODAY()+7,$AU22="",$B22&lt;&gt;"Denied",$B22&lt;&gt;"Cancelled",$B22&lt;&gt;"Closed"),COUNTIF(BE$1:BE21,"&gt;0")+1,0))</f>
        <v>0</v>
      </c>
      <c r="BF22" s="22"/>
      <c r="BG22" s="22"/>
      <c r="BH22" s="22"/>
      <c r="BI22" s="22"/>
    </row>
    <row r="23" customFormat="false" ht="15" hidden="false" customHeight="false" outlineLevel="0" collapsed="false">
      <c r="A23" s="27"/>
      <c r="B23" s="27"/>
      <c r="C23" s="27"/>
      <c r="D23" s="27"/>
      <c r="E23" s="27"/>
      <c r="F23" s="27"/>
      <c r="G23" s="27"/>
      <c r="H23" s="27"/>
      <c r="I23" s="27"/>
      <c r="J23" s="27"/>
      <c r="K23" s="27"/>
      <c r="L23" s="27"/>
      <c r="M23" s="27"/>
      <c r="N23" s="28"/>
      <c r="O23" s="28"/>
      <c r="P23" s="28"/>
      <c r="Q23" s="29"/>
      <c r="R23" s="28"/>
      <c r="S23" s="29"/>
      <c r="T23" s="30"/>
      <c r="U23" s="31"/>
      <c r="V23" s="30"/>
      <c r="W23" s="30" t="str">
        <f aca="false">IF($A23="","",N($U23)*N($V23))</f>
        <v/>
      </c>
      <c r="X23" s="27"/>
      <c r="Y23" s="31"/>
      <c r="Z23" s="30"/>
      <c r="AA23" s="30" t="str">
        <f aca="false">IF($A23="","",IF($X23="POV",N($Y23)*MileageRate,0)+N($Z23))</f>
        <v/>
      </c>
      <c r="AB23" s="30" t="str">
        <f aca="false">IF(OR($A23="",$P23="",$R23="",$Q23="",$S23=""),"",IF($R23=$P23,($Q23&lt;=T_DepBfast)*($S23&gt;=T_RetBfast)*PD_Bfast+($Q23&lt;=T_DepLunch)*($S23&gt;=T_RetLunch)*PD_Lunch+($Q23&lt;=T_DepDinner)*($S23&gt;=T_RetDinner)*PD_Dinner+PD_Incid,($Q23&lt;=T_DepBfast)*PD_Bfast+($Q23&lt;=T_DepLunch)*PD_Lunch+($Q23&lt;=T_DepDinner)*PD_Dinner+($S23&gt;=T_RetBfast)*PD_Bfast+($S23&gt;=T_RetLunch)*PD_Lunch+($S23&gt;=T_RetDinner)*PD_Dinner+MAX($R23-$P23-1,0)*(PD_Bfast+PD_Lunch+PD_Dinner)+($R23-$P23+1)*PD_Incid))</f>
        <v/>
      </c>
      <c r="AC23" s="30"/>
      <c r="AD23" s="30" t="str">
        <f aca="false">IF($A23="","",N($T23)+N($W23)+N($AA23)+N($AB23)+N($AC23))</f>
        <v/>
      </c>
      <c r="AE23" s="30"/>
      <c r="AF23" s="30"/>
      <c r="AG23" s="30"/>
      <c r="AH23" s="30"/>
      <c r="AI23" s="30"/>
      <c r="AJ23" s="30" t="str">
        <f aca="false">IF($A23="","",IF(COUNT($AE23:$AI23)=0,"",SUM($AE23:$AI23)))</f>
        <v/>
      </c>
      <c r="AK23" s="30"/>
      <c r="AL23" s="30"/>
      <c r="AM23" s="30" t="str">
        <f aca="false">IF(OR($A23="",$AJ23=""),"",$AJ23-N($AK23)-N($AL23))</f>
        <v/>
      </c>
      <c r="AN23" s="28"/>
      <c r="AO23" s="28"/>
      <c r="AP23" s="27"/>
      <c r="AQ23" s="27"/>
      <c r="AR23" s="28" t="str">
        <f aca="false">IF(OR($A23="",$R23=""),"",$R23+ReceiptDays)</f>
        <v/>
      </c>
      <c r="AS23" s="28"/>
      <c r="AT23" s="28" t="str">
        <f aca="false">IF(OR($A23="",$P23=""),"",($P23-FinanceLeadDays)-MOD(($P23-FinanceLeadDays)-DATE(2024,1,2),7))</f>
        <v/>
      </c>
      <c r="AU23" s="28"/>
      <c r="AV23" s="27"/>
      <c r="AW23" s="27"/>
      <c r="AX23" s="30" t="n">
        <f aca="false">IF(OR($A23="",$B23="Denied",$B23="Cancelled"),0,N($AD23))</f>
        <v>0</v>
      </c>
      <c r="AY23" s="30" t="n">
        <f aca="false">IF($A23="",0,N($AJ23))</f>
        <v>0</v>
      </c>
      <c r="AZ23" s="30" t="n">
        <f aca="false">IF(OR($A23="",$B23="Denied",$B23="Cancelled",$B23="Closed"),0,IF(N($AJ23)&gt;0,0,N($AD23)))</f>
        <v>0</v>
      </c>
      <c r="BA23" s="31" t="n">
        <f aca="false">IF($A23="",0,IF($B23="Awaiting Approval",COUNTIF(BA$1:BA22,"&gt;0")+1,0))</f>
        <v>0</v>
      </c>
      <c r="BB23" s="31" t="n">
        <f aca="false">IF($A23="",0,IF(AND($B23="Approved",$AP23&lt;&gt;"Y"),COUNTIF(BB$1:BB22,"&gt;0")+1,0))</f>
        <v>0</v>
      </c>
      <c r="BC23" s="31" t="n">
        <f aca="false">IF($A23="",0,IF(AND($B23="Approved",N($U23)&gt;0,$AQ23&lt;&gt;"Y"),COUNTIF(BC$1:BC22,"&gt;0")+1,0))</f>
        <v>0</v>
      </c>
      <c r="BD23" s="31" t="n">
        <f aca="true">IF($A23="",0,IF(AND($AR23&lt;&gt;"",N($AR23)&lt;TODAY(),$AS23="",$B23&lt;&gt;"Closed",$B23&lt;&gt;"Cancelled",$B23&lt;&gt;"Denied"),COUNTIF(BD$1:BD22,"&gt;0")+1,0))</f>
        <v>0</v>
      </c>
      <c r="BE23" s="31" t="n">
        <f aca="true">IF($A23="",0,IF(AND($AT23&lt;&gt;"",N($AT23)&lt;=TODAY()+7,$AU23="",$B23&lt;&gt;"Denied",$B23&lt;&gt;"Cancelled",$B23&lt;&gt;"Closed"),COUNTIF(BE$1:BE22,"&gt;0")+1,0))</f>
        <v>0</v>
      </c>
      <c r="BF23" s="27"/>
      <c r="BG23" s="27"/>
      <c r="BH23" s="27"/>
      <c r="BI23" s="27"/>
    </row>
    <row r="24" customFormat="false" ht="15" hidden="false" customHeight="false" outlineLevel="0" collapsed="false">
      <c r="A24" s="22"/>
      <c r="B24" s="22"/>
      <c r="C24" s="22"/>
      <c r="D24" s="22"/>
      <c r="E24" s="22"/>
      <c r="F24" s="22"/>
      <c r="G24" s="22"/>
      <c r="H24" s="22"/>
      <c r="I24" s="22"/>
      <c r="J24" s="22"/>
      <c r="K24" s="22"/>
      <c r="L24" s="22"/>
      <c r="M24" s="22"/>
      <c r="N24" s="23"/>
      <c r="O24" s="23"/>
      <c r="P24" s="23"/>
      <c r="Q24" s="24"/>
      <c r="R24" s="23"/>
      <c r="S24" s="24"/>
      <c r="T24" s="25"/>
      <c r="U24" s="26"/>
      <c r="V24" s="25"/>
      <c r="W24" s="25" t="str">
        <f aca="false">IF($A24="","",N($U24)*N($V24))</f>
        <v/>
      </c>
      <c r="X24" s="22"/>
      <c r="Y24" s="26"/>
      <c r="Z24" s="25"/>
      <c r="AA24" s="25" t="str">
        <f aca="false">IF($A24="","",IF($X24="POV",N($Y24)*MileageRate,0)+N($Z24))</f>
        <v/>
      </c>
      <c r="AB24" s="25" t="str">
        <f aca="false">IF(OR($A24="",$P24="",$R24="",$Q24="",$S24=""),"",IF($R24=$P24,($Q24&lt;=T_DepBfast)*($S24&gt;=T_RetBfast)*PD_Bfast+($Q24&lt;=T_DepLunch)*($S24&gt;=T_RetLunch)*PD_Lunch+($Q24&lt;=T_DepDinner)*($S24&gt;=T_RetDinner)*PD_Dinner+PD_Incid,($Q24&lt;=T_DepBfast)*PD_Bfast+($Q24&lt;=T_DepLunch)*PD_Lunch+($Q24&lt;=T_DepDinner)*PD_Dinner+($S24&gt;=T_RetBfast)*PD_Bfast+($S24&gt;=T_RetLunch)*PD_Lunch+($S24&gt;=T_RetDinner)*PD_Dinner+MAX($R24-$P24-1,0)*(PD_Bfast+PD_Lunch+PD_Dinner)+($R24-$P24+1)*PD_Incid))</f>
        <v/>
      </c>
      <c r="AC24" s="25"/>
      <c r="AD24" s="25" t="str">
        <f aca="false">IF($A24="","",N($T24)+N($W24)+N($AA24)+N($AB24)+N($AC24))</f>
        <v/>
      </c>
      <c r="AE24" s="25"/>
      <c r="AF24" s="25"/>
      <c r="AG24" s="25"/>
      <c r="AH24" s="25"/>
      <c r="AI24" s="25"/>
      <c r="AJ24" s="25" t="str">
        <f aca="false">IF($A24="","",IF(COUNT($AE24:$AI24)=0,"",SUM($AE24:$AI24)))</f>
        <v/>
      </c>
      <c r="AK24" s="25"/>
      <c r="AL24" s="25"/>
      <c r="AM24" s="25" t="str">
        <f aca="false">IF(OR($A24="",$AJ24=""),"",$AJ24-N($AK24)-N($AL24))</f>
        <v/>
      </c>
      <c r="AN24" s="23"/>
      <c r="AO24" s="23"/>
      <c r="AP24" s="22"/>
      <c r="AQ24" s="22"/>
      <c r="AR24" s="23" t="str">
        <f aca="false">IF(OR($A24="",$R24=""),"",$R24+ReceiptDays)</f>
        <v/>
      </c>
      <c r="AS24" s="23"/>
      <c r="AT24" s="23" t="str">
        <f aca="false">IF(OR($A24="",$P24=""),"",($P24-FinanceLeadDays)-MOD(($P24-FinanceLeadDays)-DATE(2024,1,2),7))</f>
        <v/>
      </c>
      <c r="AU24" s="23"/>
      <c r="AV24" s="22"/>
      <c r="AW24" s="22"/>
      <c r="AX24" s="25" t="n">
        <f aca="false">IF(OR($A24="",$B24="Denied",$B24="Cancelled"),0,N($AD24))</f>
        <v>0</v>
      </c>
      <c r="AY24" s="25" t="n">
        <f aca="false">IF($A24="",0,N($AJ24))</f>
        <v>0</v>
      </c>
      <c r="AZ24" s="25" t="n">
        <f aca="false">IF(OR($A24="",$B24="Denied",$B24="Cancelled",$B24="Closed"),0,IF(N($AJ24)&gt;0,0,N($AD24)))</f>
        <v>0</v>
      </c>
      <c r="BA24" s="26" t="n">
        <f aca="false">IF($A24="",0,IF($B24="Awaiting Approval",COUNTIF(BA$1:BA23,"&gt;0")+1,0))</f>
        <v>0</v>
      </c>
      <c r="BB24" s="26" t="n">
        <f aca="false">IF($A24="",0,IF(AND($B24="Approved",$AP24&lt;&gt;"Y"),COUNTIF(BB$1:BB23,"&gt;0")+1,0))</f>
        <v>0</v>
      </c>
      <c r="BC24" s="26" t="n">
        <f aca="false">IF($A24="",0,IF(AND($B24="Approved",N($U24)&gt;0,$AQ24&lt;&gt;"Y"),COUNTIF(BC$1:BC23,"&gt;0")+1,0))</f>
        <v>0</v>
      </c>
      <c r="BD24" s="26" t="n">
        <f aca="true">IF($A24="",0,IF(AND($AR24&lt;&gt;"",N($AR24)&lt;TODAY(),$AS24="",$B24&lt;&gt;"Closed",$B24&lt;&gt;"Cancelled",$B24&lt;&gt;"Denied"),COUNTIF(BD$1:BD23,"&gt;0")+1,0))</f>
        <v>0</v>
      </c>
      <c r="BE24" s="26" t="n">
        <f aca="true">IF($A24="",0,IF(AND($AT24&lt;&gt;"",N($AT24)&lt;=TODAY()+7,$AU24="",$B24&lt;&gt;"Denied",$B24&lt;&gt;"Cancelled",$B24&lt;&gt;"Closed"),COUNTIF(BE$1:BE23,"&gt;0")+1,0))</f>
        <v>0</v>
      </c>
      <c r="BF24" s="22"/>
      <c r="BG24" s="22"/>
      <c r="BH24" s="22"/>
      <c r="BI24" s="22"/>
    </row>
    <row r="25" customFormat="false" ht="15" hidden="false" customHeight="false" outlineLevel="0" collapsed="false">
      <c r="A25" s="27"/>
      <c r="B25" s="27"/>
      <c r="C25" s="27"/>
      <c r="D25" s="27"/>
      <c r="E25" s="27"/>
      <c r="F25" s="27"/>
      <c r="G25" s="27"/>
      <c r="H25" s="27"/>
      <c r="I25" s="27"/>
      <c r="J25" s="27"/>
      <c r="K25" s="27"/>
      <c r="L25" s="27"/>
      <c r="M25" s="27"/>
      <c r="N25" s="28"/>
      <c r="O25" s="28"/>
      <c r="P25" s="28"/>
      <c r="Q25" s="29"/>
      <c r="R25" s="28"/>
      <c r="S25" s="29"/>
      <c r="T25" s="30"/>
      <c r="U25" s="31"/>
      <c r="V25" s="30"/>
      <c r="W25" s="30" t="str">
        <f aca="false">IF($A25="","",N($U25)*N($V25))</f>
        <v/>
      </c>
      <c r="X25" s="27"/>
      <c r="Y25" s="31"/>
      <c r="Z25" s="30"/>
      <c r="AA25" s="30" t="str">
        <f aca="false">IF($A25="","",IF($X25="POV",N($Y25)*MileageRate,0)+N($Z25))</f>
        <v/>
      </c>
      <c r="AB25" s="30" t="str">
        <f aca="false">IF(OR($A25="",$P25="",$R25="",$Q25="",$S25=""),"",IF($R25=$P25,($Q25&lt;=T_DepBfast)*($S25&gt;=T_RetBfast)*PD_Bfast+($Q25&lt;=T_DepLunch)*($S25&gt;=T_RetLunch)*PD_Lunch+($Q25&lt;=T_DepDinner)*($S25&gt;=T_RetDinner)*PD_Dinner+PD_Incid,($Q25&lt;=T_DepBfast)*PD_Bfast+($Q25&lt;=T_DepLunch)*PD_Lunch+($Q25&lt;=T_DepDinner)*PD_Dinner+($S25&gt;=T_RetBfast)*PD_Bfast+($S25&gt;=T_RetLunch)*PD_Lunch+($S25&gt;=T_RetDinner)*PD_Dinner+MAX($R25-$P25-1,0)*(PD_Bfast+PD_Lunch+PD_Dinner)+($R25-$P25+1)*PD_Incid))</f>
        <v/>
      </c>
      <c r="AC25" s="30"/>
      <c r="AD25" s="30" t="str">
        <f aca="false">IF($A25="","",N($T25)+N($W25)+N($AA25)+N($AB25)+N($AC25))</f>
        <v/>
      </c>
      <c r="AE25" s="30"/>
      <c r="AF25" s="30"/>
      <c r="AG25" s="30"/>
      <c r="AH25" s="30"/>
      <c r="AI25" s="30"/>
      <c r="AJ25" s="30" t="str">
        <f aca="false">IF($A25="","",IF(COUNT($AE25:$AI25)=0,"",SUM($AE25:$AI25)))</f>
        <v/>
      </c>
      <c r="AK25" s="30"/>
      <c r="AL25" s="30"/>
      <c r="AM25" s="30" t="str">
        <f aca="false">IF(OR($A25="",$AJ25=""),"",$AJ25-N($AK25)-N($AL25))</f>
        <v/>
      </c>
      <c r="AN25" s="28"/>
      <c r="AO25" s="28"/>
      <c r="AP25" s="27"/>
      <c r="AQ25" s="27"/>
      <c r="AR25" s="28" t="str">
        <f aca="false">IF(OR($A25="",$R25=""),"",$R25+ReceiptDays)</f>
        <v/>
      </c>
      <c r="AS25" s="28"/>
      <c r="AT25" s="28" t="str">
        <f aca="false">IF(OR($A25="",$P25=""),"",($P25-FinanceLeadDays)-MOD(($P25-FinanceLeadDays)-DATE(2024,1,2),7))</f>
        <v/>
      </c>
      <c r="AU25" s="28"/>
      <c r="AV25" s="27"/>
      <c r="AW25" s="27"/>
      <c r="AX25" s="30" t="n">
        <f aca="false">IF(OR($A25="",$B25="Denied",$B25="Cancelled"),0,N($AD25))</f>
        <v>0</v>
      </c>
      <c r="AY25" s="30" t="n">
        <f aca="false">IF($A25="",0,N($AJ25))</f>
        <v>0</v>
      </c>
      <c r="AZ25" s="30" t="n">
        <f aca="false">IF(OR($A25="",$B25="Denied",$B25="Cancelled",$B25="Closed"),0,IF(N($AJ25)&gt;0,0,N($AD25)))</f>
        <v>0</v>
      </c>
      <c r="BA25" s="31" t="n">
        <f aca="false">IF($A25="",0,IF($B25="Awaiting Approval",COUNTIF(BA$1:BA24,"&gt;0")+1,0))</f>
        <v>0</v>
      </c>
      <c r="BB25" s="31" t="n">
        <f aca="false">IF($A25="",0,IF(AND($B25="Approved",$AP25&lt;&gt;"Y"),COUNTIF(BB$1:BB24,"&gt;0")+1,0))</f>
        <v>0</v>
      </c>
      <c r="BC25" s="31" t="n">
        <f aca="false">IF($A25="",0,IF(AND($B25="Approved",N($U25)&gt;0,$AQ25&lt;&gt;"Y"),COUNTIF(BC$1:BC24,"&gt;0")+1,0))</f>
        <v>0</v>
      </c>
      <c r="BD25" s="31" t="n">
        <f aca="true">IF($A25="",0,IF(AND($AR25&lt;&gt;"",N($AR25)&lt;TODAY(),$AS25="",$B25&lt;&gt;"Closed",$B25&lt;&gt;"Cancelled",$B25&lt;&gt;"Denied"),COUNTIF(BD$1:BD24,"&gt;0")+1,0))</f>
        <v>0</v>
      </c>
      <c r="BE25" s="31" t="n">
        <f aca="true">IF($A25="",0,IF(AND($AT25&lt;&gt;"",N($AT25)&lt;=TODAY()+7,$AU25="",$B25&lt;&gt;"Denied",$B25&lt;&gt;"Cancelled",$B25&lt;&gt;"Closed"),COUNTIF(BE$1:BE24,"&gt;0")+1,0))</f>
        <v>0</v>
      </c>
      <c r="BF25" s="27"/>
      <c r="BG25" s="27"/>
      <c r="BH25" s="27"/>
      <c r="BI25" s="27"/>
    </row>
    <row r="26" customFormat="false" ht="15" hidden="false" customHeight="false" outlineLevel="0" collapsed="false">
      <c r="A26" s="22"/>
      <c r="B26" s="22"/>
      <c r="C26" s="22"/>
      <c r="D26" s="22"/>
      <c r="E26" s="22"/>
      <c r="F26" s="22"/>
      <c r="G26" s="22"/>
      <c r="H26" s="22"/>
      <c r="I26" s="22"/>
      <c r="J26" s="22"/>
      <c r="K26" s="22"/>
      <c r="L26" s="22"/>
      <c r="M26" s="22"/>
      <c r="N26" s="23"/>
      <c r="O26" s="23"/>
      <c r="P26" s="23"/>
      <c r="Q26" s="24"/>
      <c r="R26" s="23"/>
      <c r="S26" s="24"/>
      <c r="T26" s="25"/>
      <c r="U26" s="26"/>
      <c r="V26" s="25"/>
      <c r="W26" s="25" t="str">
        <f aca="false">IF($A26="","",N($U26)*N($V26))</f>
        <v/>
      </c>
      <c r="X26" s="22"/>
      <c r="Y26" s="26"/>
      <c r="Z26" s="25"/>
      <c r="AA26" s="25" t="str">
        <f aca="false">IF($A26="","",IF($X26="POV",N($Y26)*MileageRate,0)+N($Z26))</f>
        <v/>
      </c>
      <c r="AB26" s="25" t="str">
        <f aca="false">IF(OR($A26="",$P26="",$R26="",$Q26="",$S26=""),"",IF($R26=$P26,($Q26&lt;=T_DepBfast)*($S26&gt;=T_RetBfast)*PD_Bfast+($Q26&lt;=T_DepLunch)*($S26&gt;=T_RetLunch)*PD_Lunch+($Q26&lt;=T_DepDinner)*($S26&gt;=T_RetDinner)*PD_Dinner+PD_Incid,($Q26&lt;=T_DepBfast)*PD_Bfast+($Q26&lt;=T_DepLunch)*PD_Lunch+($Q26&lt;=T_DepDinner)*PD_Dinner+($S26&gt;=T_RetBfast)*PD_Bfast+($S26&gt;=T_RetLunch)*PD_Lunch+($S26&gt;=T_RetDinner)*PD_Dinner+MAX($R26-$P26-1,0)*(PD_Bfast+PD_Lunch+PD_Dinner)+($R26-$P26+1)*PD_Incid))</f>
        <v/>
      </c>
      <c r="AC26" s="25"/>
      <c r="AD26" s="25" t="str">
        <f aca="false">IF($A26="","",N($T26)+N($W26)+N($AA26)+N($AB26)+N($AC26))</f>
        <v/>
      </c>
      <c r="AE26" s="25"/>
      <c r="AF26" s="25"/>
      <c r="AG26" s="25"/>
      <c r="AH26" s="25"/>
      <c r="AI26" s="25"/>
      <c r="AJ26" s="25" t="str">
        <f aca="false">IF($A26="","",IF(COUNT($AE26:$AI26)=0,"",SUM($AE26:$AI26)))</f>
        <v/>
      </c>
      <c r="AK26" s="25"/>
      <c r="AL26" s="25"/>
      <c r="AM26" s="25" t="str">
        <f aca="false">IF(OR($A26="",$AJ26=""),"",$AJ26-N($AK26)-N($AL26))</f>
        <v/>
      </c>
      <c r="AN26" s="23"/>
      <c r="AO26" s="23"/>
      <c r="AP26" s="22"/>
      <c r="AQ26" s="22"/>
      <c r="AR26" s="23" t="str">
        <f aca="false">IF(OR($A26="",$R26=""),"",$R26+ReceiptDays)</f>
        <v/>
      </c>
      <c r="AS26" s="23"/>
      <c r="AT26" s="23" t="str">
        <f aca="false">IF(OR($A26="",$P26=""),"",($P26-FinanceLeadDays)-MOD(($P26-FinanceLeadDays)-DATE(2024,1,2),7))</f>
        <v/>
      </c>
      <c r="AU26" s="23"/>
      <c r="AV26" s="22"/>
      <c r="AW26" s="22"/>
      <c r="AX26" s="25" t="n">
        <f aca="false">IF(OR($A26="",$B26="Denied",$B26="Cancelled"),0,N($AD26))</f>
        <v>0</v>
      </c>
      <c r="AY26" s="25" t="n">
        <f aca="false">IF($A26="",0,N($AJ26))</f>
        <v>0</v>
      </c>
      <c r="AZ26" s="25" t="n">
        <f aca="false">IF(OR($A26="",$B26="Denied",$B26="Cancelled",$B26="Closed"),0,IF(N($AJ26)&gt;0,0,N($AD26)))</f>
        <v>0</v>
      </c>
      <c r="BA26" s="26" t="n">
        <f aca="false">IF($A26="",0,IF($B26="Awaiting Approval",COUNTIF(BA$1:BA25,"&gt;0")+1,0))</f>
        <v>0</v>
      </c>
      <c r="BB26" s="26" t="n">
        <f aca="false">IF($A26="",0,IF(AND($B26="Approved",$AP26&lt;&gt;"Y"),COUNTIF(BB$1:BB25,"&gt;0")+1,0))</f>
        <v>0</v>
      </c>
      <c r="BC26" s="26" t="n">
        <f aca="false">IF($A26="",0,IF(AND($B26="Approved",N($U26)&gt;0,$AQ26&lt;&gt;"Y"),COUNTIF(BC$1:BC25,"&gt;0")+1,0))</f>
        <v>0</v>
      </c>
      <c r="BD26" s="26" t="n">
        <f aca="true">IF($A26="",0,IF(AND($AR26&lt;&gt;"",N($AR26)&lt;TODAY(),$AS26="",$B26&lt;&gt;"Closed",$B26&lt;&gt;"Cancelled",$B26&lt;&gt;"Denied"),COUNTIF(BD$1:BD25,"&gt;0")+1,0))</f>
        <v>0</v>
      </c>
      <c r="BE26" s="26" t="n">
        <f aca="true">IF($A26="",0,IF(AND($AT26&lt;&gt;"",N($AT26)&lt;=TODAY()+7,$AU26="",$B26&lt;&gt;"Denied",$B26&lt;&gt;"Cancelled",$B26&lt;&gt;"Closed"),COUNTIF(BE$1:BE25,"&gt;0")+1,0))</f>
        <v>0</v>
      </c>
      <c r="BF26" s="22"/>
      <c r="BG26" s="22"/>
      <c r="BH26" s="22"/>
      <c r="BI26" s="22"/>
    </row>
    <row r="27" customFormat="false" ht="15" hidden="false" customHeight="false" outlineLevel="0" collapsed="false">
      <c r="A27" s="27"/>
      <c r="B27" s="27"/>
      <c r="C27" s="27"/>
      <c r="D27" s="27"/>
      <c r="E27" s="27"/>
      <c r="F27" s="27"/>
      <c r="G27" s="27"/>
      <c r="H27" s="27"/>
      <c r="I27" s="27"/>
      <c r="J27" s="27"/>
      <c r="K27" s="27"/>
      <c r="L27" s="27"/>
      <c r="M27" s="27"/>
      <c r="N27" s="28"/>
      <c r="O27" s="28"/>
      <c r="P27" s="28"/>
      <c r="Q27" s="29"/>
      <c r="R27" s="28"/>
      <c r="S27" s="29"/>
      <c r="T27" s="30"/>
      <c r="U27" s="31"/>
      <c r="V27" s="30"/>
      <c r="W27" s="30" t="str">
        <f aca="false">IF($A27="","",N($U27)*N($V27))</f>
        <v/>
      </c>
      <c r="X27" s="27"/>
      <c r="Y27" s="31"/>
      <c r="Z27" s="30"/>
      <c r="AA27" s="30" t="str">
        <f aca="false">IF($A27="","",IF($X27="POV",N($Y27)*MileageRate,0)+N($Z27))</f>
        <v/>
      </c>
      <c r="AB27" s="30" t="str">
        <f aca="false">IF(OR($A27="",$P27="",$R27="",$Q27="",$S27=""),"",IF($R27=$P27,($Q27&lt;=T_DepBfast)*($S27&gt;=T_RetBfast)*PD_Bfast+($Q27&lt;=T_DepLunch)*($S27&gt;=T_RetLunch)*PD_Lunch+($Q27&lt;=T_DepDinner)*($S27&gt;=T_RetDinner)*PD_Dinner+PD_Incid,($Q27&lt;=T_DepBfast)*PD_Bfast+($Q27&lt;=T_DepLunch)*PD_Lunch+($Q27&lt;=T_DepDinner)*PD_Dinner+($S27&gt;=T_RetBfast)*PD_Bfast+($S27&gt;=T_RetLunch)*PD_Lunch+($S27&gt;=T_RetDinner)*PD_Dinner+MAX($R27-$P27-1,0)*(PD_Bfast+PD_Lunch+PD_Dinner)+($R27-$P27+1)*PD_Incid))</f>
        <v/>
      </c>
      <c r="AC27" s="30"/>
      <c r="AD27" s="30" t="str">
        <f aca="false">IF($A27="","",N($T27)+N($W27)+N($AA27)+N($AB27)+N($AC27))</f>
        <v/>
      </c>
      <c r="AE27" s="30"/>
      <c r="AF27" s="30"/>
      <c r="AG27" s="30"/>
      <c r="AH27" s="30"/>
      <c r="AI27" s="30"/>
      <c r="AJ27" s="30" t="str">
        <f aca="false">IF($A27="","",IF(COUNT($AE27:$AI27)=0,"",SUM($AE27:$AI27)))</f>
        <v/>
      </c>
      <c r="AK27" s="30"/>
      <c r="AL27" s="30"/>
      <c r="AM27" s="30" t="str">
        <f aca="false">IF(OR($A27="",$AJ27=""),"",$AJ27-N($AK27)-N($AL27))</f>
        <v/>
      </c>
      <c r="AN27" s="28"/>
      <c r="AO27" s="28"/>
      <c r="AP27" s="27"/>
      <c r="AQ27" s="27"/>
      <c r="AR27" s="28" t="str">
        <f aca="false">IF(OR($A27="",$R27=""),"",$R27+ReceiptDays)</f>
        <v/>
      </c>
      <c r="AS27" s="28"/>
      <c r="AT27" s="28" t="str">
        <f aca="false">IF(OR($A27="",$P27=""),"",($P27-FinanceLeadDays)-MOD(($P27-FinanceLeadDays)-DATE(2024,1,2),7))</f>
        <v/>
      </c>
      <c r="AU27" s="28"/>
      <c r="AV27" s="27"/>
      <c r="AW27" s="27"/>
      <c r="AX27" s="30" t="n">
        <f aca="false">IF(OR($A27="",$B27="Denied",$B27="Cancelled"),0,N($AD27))</f>
        <v>0</v>
      </c>
      <c r="AY27" s="30" t="n">
        <f aca="false">IF($A27="",0,N($AJ27))</f>
        <v>0</v>
      </c>
      <c r="AZ27" s="30" t="n">
        <f aca="false">IF(OR($A27="",$B27="Denied",$B27="Cancelled",$B27="Closed"),0,IF(N($AJ27)&gt;0,0,N($AD27)))</f>
        <v>0</v>
      </c>
      <c r="BA27" s="31" t="n">
        <f aca="false">IF($A27="",0,IF($B27="Awaiting Approval",COUNTIF(BA$1:BA26,"&gt;0")+1,0))</f>
        <v>0</v>
      </c>
      <c r="BB27" s="31" t="n">
        <f aca="false">IF($A27="",0,IF(AND($B27="Approved",$AP27&lt;&gt;"Y"),COUNTIF(BB$1:BB26,"&gt;0")+1,0))</f>
        <v>0</v>
      </c>
      <c r="BC27" s="31" t="n">
        <f aca="false">IF($A27="",0,IF(AND($B27="Approved",N($U27)&gt;0,$AQ27&lt;&gt;"Y"),COUNTIF(BC$1:BC26,"&gt;0")+1,0))</f>
        <v>0</v>
      </c>
      <c r="BD27" s="31" t="n">
        <f aca="true">IF($A27="",0,IF(AND($AR27&lt;&gt;"",N($AR27)&lt;TODAY(),$AS27="",$B27&lt;&gt;"Closed",$B27&lt;&gt;"Cancelled",$B27&lt;&gt;"Denied"),COUNTIF(BD$1:BD26,"&gt;0")+1,0))</f>
        <v>0</v>
      </c>
      <c r="BE27" s="31" t="n">
        <f aca="true">IF($A27="",0,IF(AND($AT27&lt;&gt;"",N($AT27)&lt;=TODAY()+7,$AU27="",$B27&lt;&gt;"Denied",$B27&lt;&gt;"Cancelled",$B27&lt;&gt;"Closed"),COUNTIF(BE$1:BE26,"&gt;0")+1,0))</f>
        <v>0</v>
      </c>
      <c r="BF27" s="27"/>
      <c r="BG27" s="27"/>
      <c r="BH27" s="27"/>
      <c r="BI27" s="27"/>
    </row>
    <row r="28" customFormat="false" ht="15" hidden="false" customHeight="false" outlineLevel="0" collapsed="false">
      <c r="A28" s="22"/>
      <c r="B28" s="22"/>
      <c r="C28" s="22"/>
      <c r="D28" s="22"/>
      <c r="E28" s="22"/>
      <c r="F28" s="22"/>
      <c r="G28" s="22"/>
      <c r="H28" s="22"/>
      <c r="I28" s="22"/>
      <c r="J28" s="22"/>
      <c r="K28" s="22"/>
      <c r="L28" s="22"/>
      <c r="M28" s="22"/>
      <c r="N28" s="23"/>
      <c r="O28" s="23"/>
      <c r="P28" s="23"/>
      <c r="Q28" s="24"/>
      <c r="R28" s="23"/>
      <c r="S28" s="24"/>
      <c r="T28" s="25"/>
      <c r="U28" s="26"/>
      <c r="V28" s="25"/>
      <c r="W28" s="25" t="str">
        <f aca="false">IF($A28="","",N($U28)*N($V28))</f>
        <v/>
      </c>
      <c r="X28" s="22"/>
      <c r="Y28" s="26"/>
      <c r="Z28" s="25"/>
      <c r="AA28" s="25" t="str">
        <f aca="false">IF($A28="","",IF($X28="POV",N($Y28)*MileageRate,0)+N($Z28))</f>
        <v/>
      </c>
      <c r="AB28" s="25" t="str">
        <f aca="false">IF(OR($A28="",$P28="",$R28="",$Q28="",$S28=""),"",IF($R28=$P28,($Q28&lt;=T_DepBfast)*($S28&gt;=T_RetBfast)*PD_Bfast+($Q28&lt;=T_DepLunch)*($S28&gt;=T_RetLunch)*PD_Lunch+($Q28&lt;=T_DepDinner)*($S28&gt;=T_RetDinner)*PD_Dinner+PD_Incid,($Q28&lt;=T_DepBfast)*PD_Bfast+($Q28&lt;=T_DepLunch)*PD_Lunch+($Q28&lt;=T_DepDinner)*PD_Dinner+($S28&gt;=T_RetBfast)*PD_Bfast+($S28&gt;=T_RetLunch)*PD_Lunch+($S28&gt;=T_RetDinner)*PD_Dinner+MAX($R28-$P28-1,0)*(PD_Bfast+PD_Lunch+PD_Dinner)+($R28-$P28+1)*PD_Incid))</f>
        <v/>
      </c>
      <c r="AC28" s="25"/>
      <c r="AD28" s="25" t="str">
        <f aca="false">IF($A28="","",N($T28)+N($W28)+N($AA28)+N($AB28)+N($AC28))</f>
        <v/>
      </c>
      <c r="AE28" s="25"/>
      <c r="AF28" s="25"/>
      <c r="AG28" s="25"/>
      <c r="AH28" s="25"/>
      <c r="AI28" s="25"/>
      <c r="AJ28" s="25" t="str">
        <f aca="false">IF($A28="","",IF(COUNT($AE28:$AI28)=0,"",SUM($AE28:$AI28)))</f>
        <v/>
      </c>
      <c r="AK28" s="25"/>
      <c r="AL28" s="25"/>
      <c r="AM28" s="25" t="str">
        <f aca="false">IF(OR($A28="",$AJ28=""),"",$AJ28-N($AK28)-N($AL28))</f>
        <v/>
      </c>
      <c r="AN28" s="23"/>
      <c r="AO28" s="23"/>
      <c r="AP28" s="22"/>
      <c r="AQ28" s="22"/>
      <c r="AR28" s="23" t="str">
        <f aca="false">IF(OR($A28="",$R28=""),"",$R28+ReceiptDays)</f>
        <v/>
      </c>
      <c r="AS28" s="23"/>
      <c r="AT28" s="23" t="str">
        <f aca="false">IF(OR($A28="",$P28=""),"",($P28-FinanceLeadDays)-MOD(($P28-FinanceLeadDays)-DATE(2024,1,2),7))</f>
        <v/>
      </c>
      <c r="AU28" s="23"/>
      <c r="AV28" s="22"/>
      <c r="AW28" s="22"/>
      <c r="AX28" s="25" t="n">
        <f aca="false">IF(OR($A28="",$B28="Denied",$B28="Cancelled"),0,N($AD28))</f>
        <v>0</v>
      </c>
      <c r="AY28" s="25" t="n">
        <f aca="false">IF($A28="",0,N($AJ28))</f>
        <v>0</v>
      </c>
      <c r="AZ28" s="25" t="n">
        <f aca="false">IF(OR($A28="",$B28="Denied",$B28="Cancelled",$B28="Closed"),0,IF(N($AJ28)&gt;0,0,N($AD28)))</f>
        <v>0</v>
      </c>
      <c r="BA28" s="26" t="n">
        <f aca="false">IF($A28="",0,IF($B28="Awaiting Approval",COUNTIF(BA$1:BA27,"&gt;0")+1,0))</f>
        <v>0</v>
      </c>
      <c r="BB28" s="26" t="n">
        <f aca="false">IF($A28="",0,IF(AND($B28="Approved",$AP28&lt;&gt;"Y"),COUNTIF(BB$1:BB27,"&gt;0")+1,0))</f>
        <v>0</v>
      </c>
      <c r="BC28" s="26" t="n">
        <f aca="false">IF($A28="",0,IF(AND($B28="Approved",N($U28)&gt;0,$AQ28&lt;&gt;"Y"),COUNTIF(BC$1:BC27,"&gt;0")+1,0))</f>
        <v>0</v>
      </c>
      <c r="BD28" s="26" t="n">
        <f aca="true">IF($A28="",0,IF(AND($AR28&lt;&gt;"",N($AR28)&lt;TODAY(),$AS28="",$B28&lt;&gt;"Closed",$B28&lt;&gt;"Cancelled",$B28&lt;&gt;"Denied"),COUNTIF(BD$1:BD27,"&gt;0")+1,0))</f>
        <v>0</v>
      </c>
      <c r="BE28" s="26" t="n">
        <f aca="true">IF($A28="",0,IF(AND($AT28&lt;&gt;"",N($AT28)&lt;=TODAY()+7,$AU28="",$B28&lt;&gt;"Denied",$B28&lt;&gt;"Cancelled",$B28&lt;&gt;"Closed"),COUNTIF(BE$1:BE27,"&gt;0")+1,0))</f>
        <v>0</v>
      </c>
      <c r="BF28" s="22"/>
      <c r="BG28" s="22"/>
      <c r="BH28" s="22"/>
      <c r="BI28" s="22"/>
    </row>
    <row r="29" customFormat="false" ht="15" hidden="false" customHeight="false" outlineLevel="0" collapsed="false">
      <c r="A29" s="27"/>
      <c r="B29" s="27"/>
      <c r="C29" s="27"/>
      <c r="D29" s="27"/>
      <c r="E29" s="27"/>
      <c r="F29" s="27"/>
      <c r="G29" s="27"/>
      <c r="H29" s="27"/>
      <c r="I29" s="27"/>
      <c r="J29" s="27"/>
      <c r="K29" s="27"/>
      <c r="L29" s="27"/>
      <c r="M29" s="27"/>
      <c r="N29" s="28"/>
      <c r="O29" s="28"/>
      <c r="P29" s="28"/>
      <c r="Q29" s="29"/>
      <c r="R29" s="28"/>
      <c r="S29" s="29"/>
      <c r="T29" s="30"/>
      <c r="U29" s="31"/>
      <c r="V29" s="30"/>
      <c r="W29" s="30" t="str">
        <f aca="false">IF($A29="","",N($U29)*N($V29))</f>
        <v/>
      </c>
      <c r="X29" s="27"/>
      <c r="Y29" s="31"/>
      <c r="Z29" s="30"/>
      <c r="AA29" s="30" t="str">
        <f aca="false">IF($A29="","",IF($X29="POV",N($Y29)*MileageRate,0)+N($Z29))</f>
        <v/>
      </c>
      <c r="AB29" s="30" t="str">
        <f aca="false">IF(OR($A29="",$P29="",$R29="",$Q29="",$S29=""),"",IF($R29=$P29,($Q29&lt;=T_DepBfast)*($S29&gt;=T_RetBfast)*PD_Bfast+($Q29&lt;=T_DepLunch)*($S29&gt;=T_RetLunch)*PD_Lunch+($Q29&lt;=T_DepDinner)*($S29&gt;=T_RetDinner)*PD_Dinner+PD_Incid,($Q29&lt;=T_DepBfast)*PD_Bfast+($Q29&lt;=T_DepLunch)*PD_Lunch+($Q29&lt;=T_DepDinner)*PD_Dinner+($S29&gt;=T_RetBfast)*PD_Bfast+($S29&gt;=T_RetLunch)*PD_Lunch+($S29&gt;=T_RetDinner)*PD_Dinner+MAX($R29-$P29-1,0)*(PD_Bfast+PD_Lunch+PD_Dinner)+($R29-$P29+1)*PD_Incid))</f>
        <v/>
      </c>
      <c r="AC29" s="30"/>
      <c r="AD29" s="30" t="str">
        <f aca="false">IF($A29="","",N($T29)+N($W29)+N($AA29)+N($AB29)+N($AC29))</f>
        <v/>
      </c>
      <c r="AE29" s="30"/>
      <c r="AF29" s="30"/>
      <c r="AG29" s="30"/>
      <c r="AH29" s="30"/>
      <c r="AI29" s="30"/>
      <c r="AJ29" s="30" t="str">
        <f aca="false">IF($A29="","",IF(COUNT($AE29:$AI29)=0,"",SUM($AE29:$AI29)))</f>
        <v/>
      </c>
      <c r="AK29" s="30"/>
      <c r="AL29" s="30"/>
      <c r="AM29" s="30" t="str">
        <f aca="false">IF(OR($A29="",$AJ29=""),"",$AJ29-N($AK29)-N($AL29))</f>
        <v/>
      </c>
      <c r="AN29" s="28"/>
      <c r="AO29" s="28"/>
      <c r="AP29" s="27"/>
      <c r="AQ29" s="27"/>
      <c r="AR29" s="28" t="str">
        <f aca="false">IF(OR($A29="",$R29=""),"",$R29+ReceiptDays)</f>
        <v/>
      </c>
      <c r="AS29" s="28"/>
      <c r="AT29" s="28" t="str">
        <f aca="false">IF(OR($A29="",$P29=""),"",($P29-FinanceLeadDays)-MOD(($P29-FinanceLeadDays)-DATE(2024,1,2),7))</f>
        <v/>
      </c>
      <c r="AU29" s="28"/>
      <c r="AV29" s="27"/>
      <c r="AW29" s="27"/>
      <c r="AX29" s="30" t="n">
        <f aca="false">IF(OR($A29="",$B29="Denied",$B29="Cancelled"),0,N($AD29))</f>
        <v>0</v>
      </c>
      <c r="AY29" s="30" t="n">
        <f aca="false">IF($A29="",0,N($AJ29))</f>
        <v>0</v>
      </c>
      <c r="AZ29" s="30" t="n">
        <f aca="false">IF(OR($A29="",$B29="Denied",$B29="Cancelled",$B29="Closed"),0,IF(N($AJ29)&gt;0,0,N($AD29)))</f>
        <v>0</v>
      </c>
      <c r="BA29" s="31" t="n">
        <f aca="false">IF($A29="",0,IF($B29="Awaiting Approval",COUNTIF(BA$1:BA28,"&gt;0")+1,0))</f>
        <v>0</v>
      </c>
      <c r="BB29" s="31" t="n">
        <f aca="false">IF($A29="",0,IF(AND($B29="Approved",$AP29&lt;&gt;"Y"),COUNTIF(BB$1:BB28,"&gt;0")+1,0))</f>
        <v>0</v>
      </c>
      <c r="BC29" s="31" t="n">
        <f aca="false">IF($A29="",0,IF(AND($B29="Approved",N($U29)&gt;0,$AQ29&lt;&gt;"Y"),COUNTIF(BC$1:BC28,"&gt;0")+1,0))</f>
        <v>0</v>
      </c>
      <c r="BD29" s="31" t="n">
        <f aca="true">IF($A29="",0,IF(AND($AR29&lt;&gt;"",N($AR29)&lt;TODAY(),$AS29="",$B29&lt;&gt;"Closed",$B29&lt;&gt;"Cancelled",$B29&lt;&gt;"Denied"),COUNTIF(BD$1:BD28,"&gt;0")+1,0))</f>
        <v>0</v>
      </c>
      <c r="BE29" s="31" t="n">
        <f aca="true">IF($A29="",0,IF(AND($AT29&lt;&gt;"",N($AT29)&lt;=TODAY()+7,$AU29="",$B29&lt;&gt;"Denied",$B29&lt;&gt;"Cancelled",$B29&lt;&gt;"Closed"),COUNTIF(BE$1:BE28,"&gt;0")+1,0))</f>
        <v>0</v>
      </c>
      <c r="BF29" s="27"/>
      <c r="BG29" s="27"/>
      <c r="BH29" s="27"/>
      <c r="BI29" s="27"/>
    </row>
    <row r="30" customFormat="false" ht="15" hidden="false" customHeight="false" outlineLevel="0" collapsed="false">
      <c r="A30" s="22"/>
      <c r="B30" s="22"/>
      <c r="C30" s="22"/>
      <c r="D30" s="22"/>
      <c r="E30" s="22"/>
      <c r="F30" s="22"/>
      <c r="G30" s="22"/>
      <c r="H30" s="22"/>
      <c r="I30" s="22"/>
      <c r="J30" s="22"/>
      <c r="K30" s="22"/>
      <c r="L30" s="22"/>
      <c r="M30" s="22"/>
      <c r="N30" s="23"/>
      <c r="O30" s="23"/>
      <c r="P30" s="23"/>
      <c r="Q30" s="24"/>
      <c r="R30" s="23"/>
      <c r="S30" s="24"/>
      <c r="T30" s="25"/>
      <c r="U30" s="26"/>
      <c r="V30" s="25"/>
      <c r="W30" s="25" t="str">
        <f aca="false">IF($A30="","",N($U30)*N($V30))</f>
        <v/>
      </c>
      <c r="X30" s="22"/>
      <c r="Y30" s="26"/>
      <c r="Z30" s="25"/>
      <c r="AA30" s="25" t="str">
        <f aca="false">IF($A30="","",IF($X30="POV",N($Y30)*MileageRate,0)+N($Z30))</f>
        <v/>
      </c>
      <c r="AB30" s="25" t="str">
        <f aca="false">IF(OR($A30="",$P30="",$R30="",$Q30="",$S30=""),"",IF($R30=$P30,($Q30&lt;=T_DepBfast)*($S30&gt;=T_RetBfast)*PD_Bfast+($Q30&lt;=T_DepLunch)*($S30&gt;=T_RetLunch)*PD_Lunch+($Q30&lt;=T_DepDinner)*($S30&gt;=T_RetDinner)*PD_Dinner+PD_Incid,($Q30&lt;=T_DepBfast)*PD_Bfast+($Q30&lt;=T_DepLunch)*PD_Lunch+($Q30&lt;=T_DepDinner)*PD_Dinner+($S30&gt;=T_RetBfast)*PD_Bfast+($S30&gt;=T_RetLunch)*PD_Lunch+($S30&gt;=T_RetDinner)*PD_Dinner+MAX($R30-$P30-1,0)*(PD_Bfast+PD_Lunch+PD_Dinner)+($R30-$P30+1)*PD_Incid))</f>
        <v/>
      </c>
      <c r="AC30" s="25"/>
      <c r="AD30" s="25" t="str">
        <f aca="false">IF($A30="","",N($T30)+N($W30)+N($AA30)+N($AB30)+N($AC30))</f>
        <v/>
      </c>
      <c r="AE30" s="25"/>
      <c r="AF30" s="25"/>
      <c r="AG30" s="25"/>
      <c r="AH30" s="25"/>
      <c r="AI30" s="25"/>
      <c r="AJ30" s="25" t="str">
        <f aca="false">IF($A30="","",IF(COUNT($AE30:$AI30)=0,"",SUM($AE30:$AI30)))</f>
        <v/>
      </c>
      <c r="AK30" s="25"/>
      <c r="AL30" s="25"/>
      <c r="AM30" s="25" t="str">
        <f aca="false">IF(OR($A30="",$AJ30=""),"",$AJ30-N($AK30)-N($AL30))</f>
        <v/>
      </c>
      <c r="AN30" s="23"/>
      <c r="AO30" s="23"/>
      <c r="AP30" s="22"/>
      <c r="AQ30" s="22"/>
      <c r="AR30" s="23" t="str">
        <f aca="false">IF(OR($A30="",$R30=""),"",$R30+ReceiptDays)</f>
        <v/>
      </c>
      <c r="AS30" s="23"/>
      <c r="AT30" s="23" t="str">
        <f aca="false">IF(OR($A30="",$P30=""),"",($P30-FinanceLeadDays)-MOD(($P30-FinanceLeadDays)-DATE(2024,1,2),7))</f>
        <v/>
      </c>
      <c r="AU30" s="23"/>
      <c r="AV30" s="22"/>
      <c r="AW30" s="22"/>
      <c r="AX30" s="25" t="n">
        <f aca="false">IF(OR($A30="",$B30="Denied",$B30="Cancelled"),0,N($AD30))</f>
        <v>0</v>
      </c>
      <c r="AY30" s="25" t="n">
        <f aca="false">IF($A30="",0,N($AJ30))</f>
        <v>0</v>
      </c>
      <c r="AZ30" s="25" t="n">
        <f aca="false">IF(OR($A30="",$B30="Denied",$B30="Cancelled",$B30="Closed"),0,IF(N($AJ30)&gt;0,0,N($AD30)))</f>
        <v>0</v>
      </c>
      <c r="BA30" s="26" t="n">
        <f aca="false">IF($A30="",0,IF($B30="Awaiting Approval",COUNTIF(BA$1:BA29,"&gt;0")+1,0))</f>
        <v>0</v>
      </c>
      <c r="BB30" s="26" t="n">
        <f aca="false">IF($A30="",0,IF(AND($B30="Approved",$AP30&lt;&gt;"Y"),COUNTIF(BB$1:BB29,"&gt;0")+1,0))</f>
        <v>0</v>
      </c>
      <c r="BC30" s="26" t="n">
        <f aca="false">IF($A30="",0,IF(AND($B30="Approved",N($U30)&gt;0,$AQ30&lt;&gt;"Y"),COUNTIF(BC$1:BC29,"&gt;0")+1,0))</f>
        <v>0</v>
      </c>
      <c r="BD30" s="26" t="n">
        <f aca="true">IF($A30="",0,IF(AND($AR30&lt;&gt;"",N($AR30)&lt;TODAY(),$AS30="",$B30&lt;&gt;"Closed",$B30&lt;&gt;"Cancelled",$B30&lt;&gt;"Denied"),COUNTIF(BD$1:BD29,"&gt;0")+1,0))</f>
        <v>0</v>
      </c>
      <c r="BE30" s="26" t="n">
        <f aca="true">IF($A30="",0,IF(AND($AT30&lt;&gt;"",N($AT30)&lt;=TODAY()+7,$AU30="",$B30&lt;&gt;"Denied",$B30&lt;&gt;"Cancelled",$B30&lt;&gt;"Closed"),COUNTIF(BE$1:BE29,"&gt;0")+1,0))</f>
        <v>0</v>
      </c>
      <c r="BF30" s="22"/>
      <c r="BG30" s="22"/>
      <c r="BH30" s="22"/>
      <c r="BI30" s="22"/>
    </row>
    <row r="31" customFormat="false" ht="15" hidden="false" customHeight="false" outlineLevel="0" collapsed="false">
      <c r="A31" s="27"/>
      <c r="B31" s="27"/>
      <c r="C31" s="27"/>
      <c r="D31" s="27"/>
      <c r="E31" s="27"/>
      <c r="F31" s="27"/>
      <c r="G31" s="27"/>
      <c r="H31" s="27"/>
      <c r="I31" s="27"/>
      <c r="J31" s="27"/>
      <c r="K31" s="27"/>
      <c r="L31" s="27"/>
      <c r="M31" s="27"/>
      <c r="N31" s="28"/>
      <c r="O31" s="28"/>
      <c r="P31" s="28"/>
      <c r="Q31" s="29"/>
      <c r="R31" s="28"/>
      <c r="S31" s="29"/>
      <c r="T31" s="30"/>
      <c r="U31" s="31"/>
      <c r="V31" s="30"/>
      <c r="W31" s="30" t="str">
        <f aca="false">IF($A31="","",N($U31)*N($V31))</f>
        <v/>
      </c>
      <c r="X31" s="27"/>
      <c r="Y31" s="31"/>
      <c r="Z31" s="30"/>
      <c r="AA31" s="30" t="str">
        <f aca="false">IF($A31="","",IF($X31="POV",N($Y31)*MileageRate,0)+N($Z31))</f>
        <v/>
      </c>
      <c r="AB31" s="30" t="str">
        <f aca="false">IF(OR($A31="",$P31="",$R31="",$Q31="",$S31=""),"",IF($R31=$P31,($Q31&lt;=T_DepBfast)*($S31&gt;=T_RetBfast)*PD_Bfast+($Q31&lt;=T_DepLunch)*($S31&gt;=T_RetLunch)*PD_Lunch+($Q31&lt;=T_DepDinner)*($S31&gt;=T_RetDinner)*PD_Dinner+PD_Incid,($Q31&lt;=T_DepBfast)*PD_Bfast+($Q31&lt;=T_DepLunch)*PD_Lunch+($Q31&lt;=T_DepDinner)*PD_Dinner+($S31&gt;=T_RetBfast)*PD_Bfast+($S31&gt;=T_RetLunch)*PD_Lunch+($S31&gt;=T_RetDinner)*PD_Dinner+MAX($R31-$P31-1,0)*(PD_Bfast+PD_Lunch+PD_Dinner)+($R31-$P31+1)*PD_Incid))</f>
        <v/>
      </c>
      <c r="AC31" s="30"/>
      <c r="AD31" s="30" t="str">
        <f aca="false">IF($A31="","",N($T31)+N($W31)+N($AA31)+N($AB31)+N($AC31))</f>
        <v/>
      </c>
      <c r="AE31" s="30"/>
      <c r="AF31" s="30"/>
      <c r="AG31" s="30"/>
      <c r="AH31" s="30"/>
      <c r="AI31" s="30"/>
      <c r="AJ31" s="30" t="str">
        <f aca="false">IF($A31="","",IF(COUNT($AE31:$AI31)=0,"",SUM($AE31:$AI31)))</f>
        <v/>
      </c>
      <c r="AK31" s="30"/>
      <c r="AL31" s="30"/>
      <c r="AM31" s="30" t="str">
        <f aca="false">IF(OR($A31="",$AJ31=""),"",$AJ31-N($AK31)-N($AL31))</f>
        <v/>
      </c>
      <c r="AN31" s="28"/>
      <c r="AO31" s="28"/>
      <c r="AP31" s="27"/>
      <c r="AQ31" s="27"/>
      <c r="AR31" s="28" t="str">
        <f aca="false">IF(OR($A31="",$R31=""),"",$R31+ReceiptDays)</f>
        <v/>
      </c>
      <c r="AS31" s="28"/>
      <c r="AT31" s="28" t="str">
        <f aca="false">IF(OR($A31="",$P31=""),"",($P31-FinanceLeadDays)-MOD(($P31-FinanceLeadDays)-DATE(2024,1,2),7))</f>
        <v/>
      </c>
      <c r="AU31" s="28"/>
      <c r="AV31" s="27"/>
      <c r="AW31" s="27"/>
      <c r="AX31" s="30" t="n">
        <f aca="false">IF(OR($A31="",$B31="Denied",$B31="Cancelled"),0,N($AD31))</f>
        <v>0</v>
      </c>
      <c r="AY31" s="30" t="n">
        <f aca="false">IF($A31="",0,N($AJ31))</f>
        <v>0</v>
      </c>
      <c r="AZ31" s="30" t="n">
        <f aca="false">IF(OR($A31="",$B31="Denied",$B31="Cancelled",$B31="Closed"),0,IF(N($AJ31)&gt;0,0,N($AD31)))</f>
        <v>0</v>
      </c>
      <c r="BA31" s="31" t="n">
        <f aca="false">IF($A31="",0,IF($B31="Awaiting Approval",COUNTIF(BA$1:BA30,"&gt;0")+1,0))</f>
        <v>0</v>
      </c>
      <c r="BB31" s="31" t="n">
        <f aca="false">IF($A31="",0,IF(AND($B31="Approved",$AP31&lt;&gt;"Y"),COUNTIF(BB$1:BB30,"&gt;0")+1,0))</f>
        <v>0</v>
      </c>
      <c r="BC31" s="31" t="n">
        <f aca="false">IF($A31="",0,IF(AND($B31="Approved",N($U31)&gt;0,$AQ31&lt;&gt;"Y"),COUNTIF(BC$1:BC30,"&gt;0")+1,0))</f>
        <v>0</v>
      </c>
      <c r="BD31" s="31" t="n">
        <f aca="true">IF($A31="",0,IF(AND($AR31&lt;&gt;"",N($AR31)&lt;TODAY(),$AS31="",$B31&lt;&gt;"Closed",$B31&lt;&gt;"Cancelled",$B31&lt;&gt;"Denied"),COUNTIF(BD$1:BD30,"&gt;0")+1,0))</f>
        <v>0</v>
      </c>
      <c r="BE31" s="31" t="n">
        <f aca="true">IF($A31="",0,IF(AND($AT31&lt;&gt;"",N($AT31)&lt;=TODAY()+7,$AU31="",$B31&lt;&gt;"Denied",$B31&lt;&gt;"Cancelled",$B31&lt;&gt;"Closed"),COUNTIF(BE$1:BE30,"&gt;0")+1,0))</f>
        <v>0</v>
      </c>
      <c r="BF31" s="27"/>
      <c r="BG31" s="27"/>
      <c r="BH31" s="27"/>
      <c r="BI31" s="27"/>
    </row>
    <row r="32" customFormat="false" ht="15" hidden="false" customHeight="false" outlineLevel="0" collapsed="false">
      <c r="A32" s="22"/>
      <c r="B32" s="22"/>
      <c r="C32" s="22"/>
      <c r="D32" s="22"/>
      <c r="E32" s="22"/>
      <c r="F32" s="22"/>
      <c r="G32" s="22"/>
      <c r="H32" s="22"/>
      <c r="I32" s="22"/>
      <c r="J32" s="22"/>
      <c r="K32" s="22"/>
      <c r="L32" s="22"/>
      <c r="M32" s="22"/>
      <c r="N32" s="23"/>
      <c r="O32" s="23"/>
      <c r="P32" s="23"/>
      <c r="Q32" s="24"/>
      <c r="R32" s="23"/>
      <c r="S32" s="24"/>
      <c r="T32" s="25"/>
      <c r="U32" s="26"/>
      <c r="V32" s="25"/>
      <c r="W32" s="25" t="str">
        <f aca="false">IF($A32="","",N($U32)*N($V32))</f>
        <v/>
      </c>
      <c r="X32" s="22"/>
      <c r="Y32" s="26"/>
      <c r="Z32" s="25"/>
      <c r="AA32" s="25" t="str">
        <f aca="false">IF($A32="","",IF($X32="POV",N($Y32)*MileageRate,0)+N($Z32))</f>
        <v/>
      </c>
      <c r="AB32" s="25" t="str">
        <f aca="false">IF(OR($A32="",$P32="",$R32="",$Q32="",$S32=""),"",IF($R32=$P32,($Q32&lt;=T_DepBfast)*($S32&gt;=T_RetBfast)*PD_Bfast+($Q32&lt;=T_DepLunch)*($S32&gt;=T_RetLunch)*PD_Lunch+($Q32&lt;=T_DepDinner)*($S32&gt;=T_RetDinner)*PD_Dinner+PD_Incid,($Q32&lt;=T_DepBfast)*PD_Bfast+($Q32&lt;=T_DepLunch)*PD_Lunch+($Q32&lt;=T_DepDinner)*PD_Dinner+($S32&gt;=T_RetBfast)*PD_Bfast+($S32&gt;=T_RetLunch)*PD_Lunch+($S32&gt;=T_RetDinner)*PD_Dinner+MAX($R32-$P32-1,0)*(PD_Bfast+PD_Lunch+PD_Dinner)+($R32-$P32+1)*PD_Incid))</f>
        <v/>
      </c>
      <c r="AC32" s="25"/>
      <c r="AD32" s="25" t="str">
        <f aca="false">IF($A32="","",N($T32)+N($W32)+N($AA32)+N($AB32)+N($AC32))</f>
        <v/>
      </c>
      <c r="AE32" s="25"/>
      <c r="AF32" s="25"/>
      <c r="AG32" s="25"/>
      <c r="AH32" s="25"/>
      <c r="AI32" s="25"/>
      <c r="AJ32" s="25" t="str">
        <f aca="false">IF($A32="","",IF(COUNT($AE32:$AI32)=0,"",SUM($AE32:$AI32)))</f>
        <v/>
      </c>
      <c r="AK32" s="25"/>
      <c r="AL32" s="25"/>
      <c r="AM32" s="25" t="str">
        <f aca="false">IF(OR($A32="",$AJ32=""),"",$AJ32-N($AK32)-N($AL32))</f>
        <v/>
      </c>
      <c r="AN32" s="23"/>
      <c r="AO32" s="23"/>
      <c r="AP32" s="22"/>
      <c r="AQ32" s="22"/>
      <c r="AR32" s="23" t="str">
        <f aca="false">IF(OR($A32="",$R32=""),"",$R32+ReceiptDays)</f>
        <v/>
      </c>
      <c r="AS32" s="23"/>
      <c r="AT32" s="23" t="str">
        <f aca="false">IF(OR($A32="",$P32=""),"",($P32-FinanceLeadDays)-MOD(($P32-FinanceLeadDays)-DATE(2024,1,2),7))</f>
        <v/>
      </c>
      <c r="AU32" s="23"/>
      <c r="AV32" s="22"/>
      <c r="AW32" s="22"/>
      <c r="AX32" s="25" t="n">
        <f aca="false">IF(OR($A32="",$B32="Denied",$B32="Cancelled"),0,N($AD32))</f>
        <v>0</v>
      </c>
      <c r="AY32" s="25" t="n">
        <f aca="false">IF($A32="",0,N($AJ32))</f>
        <v>0</v>
      </c>
      <c r="AZ32" s="25" t="n">
        <f aca="false">IF(OR($A32="",$B32="Denied",$B32="Cancelled",$B32="Closed"),0,IF(N($AJ32)&gt;0,0,N($AD32)))</f>
        <v>0</v>
      </c>
      <c r="BA32" s="26" t="n">
        <f aca="false">IF($A32="",0,IF($B32="Awaiting Approval",COUNTIF(BA$1:BA31,"&gt;0")+1,0))</f>
        <v>0</v>
      </c>
      <c r="BB32" s="26" t="n">
        <f aca="false">IF($A32="",0,IF(AND($B32="Approved",$AP32&lt;&gt;"Y"),COUNTIF(BB$1:BB31,"&gt;0")+1,0))</f>
        <v>0</v>
      </c>
      <c r="BC32" s="26" t="n">
        <f aca="false">IF($A32="",0,IF(AND($B32="Approved",N($U32)&gt;0,$AQ32&lt;&gt;"Y"),COUNTIF(BC$1:BC31,"&gt;0")+1,0))</f>
        <v>0</v>
      </c>
      <c r="BD32" s="26" t="n">
        <f aca="true">IF($A32="",0,IF(AND($AR32&lt;&gt;"",N($AR32)&lt;TODAY(),$AS32="",$B32&lt;&gt;"Closed",$B32&lt;&gt;"Cancelled",$B32&lt;&gt;"Denied"),COUNTIF(BD$1:BD31,"&gt;0")+1,0))</f>
        <v>0</v>
      </c>
      <c r="BE32" s="26" t="n">
        <f aca="true">IF($A32="",0,IF(AND($AT32&lt;&gt;"",N($AT32)&lt;=TODAY()+7,$AU32="",$B32&lt;&gt;"Denied",$B32&lt;&gt;"Cancelled",$B32&lt;&gt;"Closed"),COUNTIF(BE$1:BE31,"&gt;0")+1,0))</f>
        <v>0</v>
      </c>
      <c r="BF32" s="22"/>
      <c r="BG32" s="22"/>
      <c r="BH32" s="22"/>
      <c r="BI32" s="22"/>
    </row>
    <row r="33" customFormat="false" ht="15" hidden="false" customHeight="false" outlineLevel="0" collapsed="false">
      <c r="A33" s="27"/>
      <c r="B33" s="27"/>
      <c r="C33" s="27"/>
      <c r="D33" s="27"/>
      <c r="E33" s="27"/>
      <c r="F33" s="27"/>
      <c r="G33" s="27"/>
      <c r="H33" s="27"/>
      <c r="I33" s="27"/>
      <c r="J33" s="27"/>
      <c r="K33" s="27"/>
      <c r="L33" s="27"/>
      <c r="M33" s="27"/>
      <c r="N33" s="28"/>
      <c r="O33" s="28"/>
      <c r="P33" s="28"/>
      <c r="Q33" s="29"/>
      <c r="R33" s="28"/>
      <c r="S33" s="29"/>
      <c r="T33" s="30"/>
      <c r="U33" s="31"/>
      <c r="V33" s="30"/>
      <c r="W33" s="30" t="str">
        <f aca="false">IF($A33="","",N($U33)*N($V33))</f>
        <v/>
      </c>
      <c r="X33" s="27"/>
      <c r="Y33" s="31"/>
      <c r="Z33" s="30"/>
      <c r="AA33" s="30" t="str">
        <f aca="false">IF($A33="","",IF($X33="POV",N($Y33)*MileageRate,0)+N($Z33))</f>
        <v/>
      </c>
      <c r="AB33" s="30" t="str">
        <f aca="false">IF(OR($A33="",$P33="",$R33="",$Q33="",$S33=""),"",IF($R33=$P33,($Q33&lt;=T_DepBfast)*($S33&gt;=T_RetBfast)*PD_Bfast+($Q33&lt;=T_DepLunch)*($S33&gt;=T_RetLunch)*PD_Lunch+($Q33&lt;=T_DepDinner)*($S33&gt;=T_RetDinner)*PD_Dinner+PD_Incid,($Q33&lt;=T_DepBfast)*PD_Bfast+($Q33&lt;=T_DepLunch)*PD_Lunch+($Q33&lt;=T_DepDinner)*PD_Dinner+($S33&gt;=T_RetBfast)*PD_Bfast+($S33&gt;=T_RetLunch)*PD_Lunch+($S33&gt;=T_RetDinner)*PD_Dinner+MAX($R33-$P33-1,0)*(PD_Bfast+PD_Lunch+PD_Dinner)+($R33-$P33+1)*PD_Incid))</f>
        <v/>
      </c>
      <c r="AC33" s="30"/>
      <c r="AD33" s="30" t="str">
        <f aca="false">IF($A33="","",N($T33)+N($W33)+N($AA33)+N($AB33)+N($AC33))</f>
        <v/>
      </c>
      <c r="AE33" s="30"/>
      <c r="AF33" s="30"/>
      <c r="AG33" s="30"/>
      <c r="AH33" s="30"/>
      <c r="AI33" s="30"/>
      <c r="AJ33" s="30" t="str">
        <f aca="false">IF($A33="","",IF(COUNT($AE33:$AI33)=0,"",SUM($AE33:$AI33)))</f>
        <v/>
      </c>
      <c r="AK33" s="30"/>
      <c r="AL33" s="30"/>
      <c r="AM33" s="30" t="str">
        <f aca="false">IF(OR($A33="",$AJ33=""),"",$AJ33-N($AK33)-N($AL33))</f>
        <v/>
      </c>
      <c r="AN33" s="28"/>
      <c r="AO33" s="28"/>
      <c r="AP33" s="27"/>
      <c r="AQ33" s="27"/>
      <c r="AR33" s="28" t="str">
        <f aca="false">IF(OR($A33="",$R33=""),"",$R33+ReceiptDays)</f>
        <v/>
      </c>
      <c r="AS33" s="28"/>
      <c r="AT33" s="28" t="str">
        <f aca="false">IF(OR($A33="",$P33=""),"",($P33-FinanceLeadDays)-MOD(($P33-FinanceLeadDays)-DATE(2024,1,2),7))</f>
        <v/>
      </c>
      <c r="AU33" s="28"/>
      <c r="AV33" s="27"/>
      <c r="AW33" s="27"/>
      <c r="AX33" s="30" t="n">
        <f aca="false">IF(OR($A33="",$B33="Denied",$B33="Cancelled"),0,N($AD33))</f>
        <v>0</v>
      </c>
      <c r="AY33" s="30" t="n">
        <f aca="false">IF($A33="",0,N($AJ33))</f>
        <v>0</v>
      </c>
      <c r="AZ33" s="30" t="n">
        <f aca="false">IF(OR($A33="",$B33="Denied",$B33="Cancelled",$B33="Closed"),0,IF(N($AJ33)&gt;0,0,N($AD33)))</f>
        <v>0</v>
      </c>
      <c r="BA33" s="31" t="n">
        <f aca="false">IF($A33="",0,IF($B33="Awaiting Approval",COUNTIF(BA$1:BA32,"&gt;0")+1,0))</f>
        <v>0</v>
      </c>
      <c r="BB33" s="31" t="n">
        <f aca="false">IF($A33="",0,IF(AND($B33="Approved",$AP33&lt;&gt;"Y"),COUNTIF(BB$1:BB32,"&gt;0")+1,0))</f>
        <v>0</v>
      </c>
      <c r="BC33" s="31" t="n">
        <f aca="false">IF($A33="",0,IF(AND($B33="Approved",N($U33)&gt;0,$AQ33&lt;&gt;"Y"),COUNTIF(BC$1:BC32,"&gt;0")+1,0))</f>
        <v>0</v>
      </c>
      <c r="BD33" s="31" t="n">
        <f aca="true">IF($A33="",0,IF(AND($AR33&lt;&gt;"",N($AR33)&lt;TODAY(),$AS33="",$B33&lt;&gt;"Closed",$B33&lt;&gt;"Cancelled",$B33&lt;&gt;"Denied"),COUNTIF(BD$1:BD32,"&gt;0")+1,0))</f>
        <v>0</v>
      </c>
      <c r="BE33" s="31" t="n">
        <f aca="true">IF($A33="",0,IF(AND($AT33&lt;&gt;"",N($AT33)&lt;=TODAY()+7,$AU33="",$B33&lt;&gt;"Denied",$B33&lt;&gt;"Cancelled",$B33&lt;&gt;"Closed"),COUNTIF(BE$1:BE32,"&gt;0")+1,0))</f>
        <v>0</v>
      </c>
      <c r="BF33" s="27"/>
      <c r="BG33" s="27"/>
      <c r="BH33" s="27"/>
      <c r="BI33" s="27"/>
    </row>
    <row r="34" customFormat="false" ht="15" hidden="false" customHeight="false" outlineLevel="0" collapsed="false">
      <c r="A34" s="22"/>
      <c r="B34" s="22"/>
      <c r="C34" s="22"/>
      <c r="D34" s="22"/>
      <c r="E34" s="22"/>
      <c r="F34" s="22"/>
      <c r="G34" s="22"/>
      <c r="H34" s="22"/>
      <c r="I34" s="22"/>
      <c r="J34" s="22"/>
      <c r="K34" s="22"/>
      <c r="L34" s="22"/>
      <c r="M34" s="22"/>
      <c r="N34" s="23"/>
      <c r="O34" s="23"/>
      <c r="P34" s="23"/>
      <c r="Q34" s="24"/>
      <c r="R34" s="23"/>
      <c r="S34" s="24"/>
      <c r="T34" s="25"/>
      <c r="U34" s="26"/>
      <c r="V34" s="25"/>
      <c r="W34" s="25" t="str">
        <f aca="false">IF($A34="","",N($U34)*N($V34))</f>
        <v/>
      </c>
      <c r="X34" s="22"/>
      <c r="Y34" s="26"/>
      <c r="Z34" s="25"/>
      <c r="AA34" s="25" t="str">
        <f aca="false">IF($A34="","",IF($X34="POV",N($Y34)*MileageRate,0)+N($Z34))</f>
        <v/>
      </c>
      <c r="AB34" s="25" t="str">
        <f aca="false">IF(OR($A34="",$P34="",$R34="",$Q34="",$S34=""),"",IF($R34=$P34,($Q34&lt;=T_DepBfast)*($S34&gt;=T_RetBfast)*PD_Bfast+($Q34&lt;=T_DepLunch)*($S34&gt;=T_RetLunch)*PD_Lunch+($Q34&lt;=T_DepDinner)*($S34&gt;=T_RetDinner)*PD_Dinner+PD_Incid,($Q34&lt;=T_DepBfast)*PD_Bfast+($Q34&lt;=T_DepLunch)*PD_Lunch+($Q34&lt;=T_DepDinner)*PD_Dinner+($S34&gt;=T_RetBfast)*PD_Bfast+($S34&gt;=T_RetLunch)*PD_Lunch+($S34&gt;=T_RetDinner)*PD_Dinner+MAX($R34-$P34-1,0)*(PD_Bfast+PD_Lunch+PD_Dinner)+($R34-$P34+1)*PD_Incid))</f>
        <v/>
      </c>
      <c r="AC34" s="25"/>
      <c r="AD34" s="25" t="str">
        <f aca="false">IF($A34="","",N($T34)+N($W34)+N($AA34)+N($AB34)+N($AC34))</f>
        <v/>
      </c>
      <c r="AE34" s="25"/>
      <c r="AF34" s="25"/>
      <c r="AG34" s="25"/>
      <c r="AH34" s="25"/>
      <c r="AI34" s="25"/>
      <c r="AJ34" s="25" t="str">
        <f aca="false">IF($A34="","",IF(COUNT($AE34:$AI34)=0,"",SUM($AE34:$AI34)))</f>
        <v/>
      </c>
      <c r="AK34" s="25"/>
      <c r="AL34" s="25"/>
      <c r="AM34" s="25" t="str">
        <f aca="false">IF(OR($A34="",$AJ34=""),"",$AJ34-N($AK34)-N($AL34))</f>
        <v/>
      </c>
      <c r="AN34" s="23"/>
      <c r="AO34" s="23"/>
      <c r="AP34" s="22"/>
      <c r="AQ34" s="22"/>
      <c r="AR34" s="23" t="str">
        <f aca="false">IF(OR($A34="",$R34=""),"",$R34+ReceiptDays)</f>
        <v/>
      </c>
      <c r="AS34" s="23"/>
      <c r="AT34" s="23" t="str">
        <f aca="false">IF(OR($A34="",$P34=""),"",($P34-FinanceLeadDays)-MOD(($P34-FinanceLeadDays)-DATE(2024,1,2),7))</f>
        <v/>
      </c>
      <c r="AU34" s="23"/>
      <c r="AV34" s="22"/>
      <c r="AW34" s="22"/>
      <c r="AX34" s="25" t="n">
        <f aca="false">IF(OR($A34="",$B34="Denied",$B34="Cancelled"),0,N($AD34))</f>
        <v>0</v>
      </c>
      <c r="AY34" s="25" t="n">
        <f aca="false">IF($A34="",0,N($AJ34))</f>
        <v>0</v>
      </c>
      <c r="AZ34" s="25" t="n">
        <f aca="false">IF(OR($A34="",$B34="Denied",$B34="Cancelled",$B34="Closed"),0,IF(N($AJ34)&gt;0,0,N($AD34)))</f>
        <v>0</v>
      </c>
      <c r="BA34" s="26" t="n">
        <f aca="false">IF($A34="",0,IF($B34="Awaiting Approval",COUNTIF(BA$1:BA33,"&gt;0")+1,0))</f>
        <v>0</v>
      </c>
      <c r="BB34" s="26" t="n">
        <f aca="false">IF($A34="",0,IF(AND($B34="Approved",$AP34&lt;&gt;"Y"),COUNTIF(BB$1:BB33,"&gt;0")+1,0))</f>
        <v>0</v>
      </c>
      <c r="BC34" s="26" t="n">
        <f aca="false">IF($A34="",0,IF(AND($B34="Approved",N($U34)&gt;0,$AQ34&lt;&gt;"Y"),COUNTIF(BC$1:BC33,"&gt;0")+1,0))</f>
        <v>0</v>
      </c>
      <c r="BD34" s="26" t="n">
        <f aca="true">IF($A34="",0,IF(AND($AR34&lt;&gt;"",N($AR34)&lt;TODAY(),$AS34="",$B34&lt;&gt;"Closed",$B34&lt;&gt;"Cancelled",$B34&lt;&gt;"Denied"),COUNTIF(BD$1:BD33,"&gt;0")+1,0))</f>
        <v>0</v>
      </c>
      <c r="BE34" s="26" t="n">
        <f aca="true">IF($A34="",0,IF(AND($AT34&lt;&gt;"",N($AT34)&lt;=TODAY()+7,$AU34="",$B34&lt;&gt;"Denied",$B34&lt;&gt;"Cancelled",$B34&lt;&gt;"Closed"),COUNTIF(BE$1:BE33,"&gt;0")+1,0))</f>
        <v>0</v>
      </c>
      <c r="BF34" s="22"/>
      <c r="BG34" s="22"/>
      <c r="BH34" s="22"/>
      <c r="BI34" s="22"/>
    </row>
    <row r="35" customFormat="false" ht="15" hidden="false" customHeight="false" outlineLevel="0" collapsed="false">
      <c r="A35" s="27"/>
      <c r="B35" s="27"/>
      <c r="C35" s="27"/>
      <c r="D35" s="27"/>
      <c r="E35" s="27"/>
      <c r="F35" s="27"/>
      <c r="G35" s="27"/>
      <c r="H35" s="27"/>
      <c r="I35" s="27"/>
      <c r="J35" s="27"/>
      <c r="K35" s="27"/>
      <c r="L35" s="27"/>
      <c r="M35" s="27"/>
      <c r="N35" s="28"/>
      <c r="O35" s="28"/>
      <c r="P35" s="28"/>
      <c r="Q35" s="29"/>
      <c r="R35" s="28"/>
      <c r="S35" s="29"/>
      <c r="T35" s="30"/>
      <c r="U35" s="31"/>
      <c r="V35" s="30"/>
      <c r="W35" s="30" t="str">
        <f aca="false">IF($A35="","",N($U35)*N($V35))</f>
        <v/>
      </c>
      <c r="X35" s="27"/>
      <c r="Y35" s="31"/>
      <c r="Z35" s="30"/>
      <c r="AA35" s="30" t="str">
        <f aca="false">IF($A35="","",IF($X35="POV",N($Y35)*MileageRate,0)+N($Z35))</f>
        <v/>
      </c>
      <c r="AB35" s="30" t="str">
        <f aca="false">IF(OR($A35="",$P35="",$R35="",$Q35="",$S35=""),"",IF($R35=$P35,($Q35&lt;=T_DepBfast)*($S35&gt;=T_RetBfast)*PD_Bfast+($Q35&lt;=T_DepLunch)*($S35&gt;=T_RetLunch)*PD_Lunch+($Q35&lt;=T_DepDinner)*($S35&gt;=T_RetDinner)*PD_Dinner+PD_Incid,($Q35&lt;=T_DepBfast)*PD_Bfast+($Q35&lt;=T_DepLunch)*PD_Lunch+($Q35&lt;=T_DepDinner)*PD_Dinner+($S35&gt;=T_RetBfast)*PD_Bfast+($S35&gt;=T_RetLunch)*PD_Lunch+($S35&gt;=T_RetDinner)*PD_Dinner+MAX($R35-$P35-1,0)*(PD_Bfast+PD_Lunch+PD_Dinner)+($R35-$P35+1)*PD_Incid))</f>
        <v/>
      </c>
      <c r="AC35" s="30"/>
      <c r="AD35" s="30" t="str">
        <f aca="false">IF($A35="","",N($T35)+N($W35)+N($AA35)+N($AB35)+N($AC35))</f>
        <v/>
      </c>
      <c r="AE35" s="30"/>
      <c r="AF35" s="30"/>
      <c r="AG35" s="30"/>
      <c r="AH35" s="30"/>
      <c r="AI35" s="30"/>
      <c r="AJ35" s="30" t="str">
        <f aca="false">IF($A35="","",IF(COUNT($AE35:$AI35)=0,"",SUM($AE35:$AI35)))</f>
        <v/>
      </c>
      <c r="AK35" s="30"/>
      <c r="AL35" s="30"/>
      <c r="AM35" s="30" t="str">
        <f aca="false">IF(OR($A35="",$AJ35=""),"",$AJ35-N($AK35)-N($AL35))</f>
        <v/>
      </c>
      <c r="AN35" s="28"/>
      <c r="AO35" s="28"/>
      <c r="AP35" s="27"/>
      <c r="AQ35" s="27"/>
      <c r="AR35" s="28" t="str">
        <f aca="false">IF(OR($A35="",$R35=""),"",$R35+ReceiptDays)</f>
        <v/>
      </c>
      <c r="AS35" s="28"/>
      <c r="AT35" s="28" t="str">
        <f aca="false">IF(OR($A35="",$P35=""),"",($P35-FinanceLeadDays)-MOD(($P35-FinanceLeadDays)-DATE(2024,1,2),7))</f>
        <v/>
      </c>
      <c r="AU35" s="28"/>
      <c r="AV35" s="27"/>
      <c r="AW35" s="27"/>
      <c r="AX35" s="30" t="n">
        <f aca="false">IF(OR($A35="",$B35="Denied",$B35="Cancelled"),0,N($AD35))</f>
        <v>0</v>
      </c>
      <c r="AY35" s="30" t="n">
        <f aca="false">IF($A35="",0,N($AJ35))</f>
        <v>0</v>
      </c>
      <c r="AZ35" s="30" t="n">
        <f aca="false">IF(OR($A35="",$B35="Denied",$B35="Cancelled",$B35="Closed"),0,IF(N($AJ35)&gt;0,0,N($AD35)))</f>
        <v>0</v>
      </c>
      <c r="BA35" s="31" t="n">
        <f aca="false">IF($A35="",0,IF($B35="Awaiting Approval",COUNTIF(BA$1:BA34,"&gt;0")+1,0))</f>
        <v>0</v>
      </c>
      <c r="BB35" s="31" t="n">
        <f aca="false">IF($A35="",0,IF(AND($B35="Approved",$AP35&lt;&gt;"Y"),COUNTIF(BB$1:BB34,"&gt;0")+1,0))</f>
        <v>0</v>
      </c>
      <c r="BC35" s="31" t="n">
        <f aca="false">IF($A35="",0,IF(AND($B35="Approved",N($U35)&gt;0,$AQ35&lt;&gt;"Y"),COUNTIF(BC$1:BC34,"&gt;0")+1,0))</f>
        <v>0</v>
      </c>
      <c r="BD35" s="31" t="n">
        <f aca="true">IF($A35="",0,IF(AND($AR35&lt;&gt;"",N($AR35)&lt;TODAY(),$AS35="",$B35&lt;&gt;"Closed",$B35&lt;&gt;"Cancelled",$B35&lt;&gt;"Denied"),COUNTIF(BD$1:BD34,"&gt;0")+1,0))</f>
        <v>0</v>
      </c>
      <c r="BE35" s="31" t="n">
        <f aca="true">IF($A35="",0,IF(AND($AT35&lt;&gt;"",N($AT35)&lt;=TODAY()+7,$AU35="",$B35&lt;&gt;"Denied",$B35&lt;&gt;"Cancelled",$B35&lt;&gt;"Closed"),COUNTIF(BE$1:BE34,"&gt;0")+1,0))</f>
        <v>0</v>
      </c>
      <c r="BF35" s="27"/>
      <c r="BG35" s="27"/>
      <c r="BH35" s="27"/>
      <c r="BI35" s="27"/>
    </row>
    <row r="36" customFormat="false" ht="15" hidden="false" customHeight="false" outlineLevel="0" collapsed="false">
      <c r="A36" s="22"/>
      <c r="B36" s="22"/>
      <c r="C36" s="22"/>
      <c r="D36" s="22"/>
      <c r="E36" s="22"/>
      <c r="F36" s="22"/>
      <c r="G36" s="22"/>
      <c r="H36" s="22"/>
      <c r="I36" s="22"/>
      <c r="J36" s="22"/>
      <c r="K36" s="22"/>
      <c r="L36" s="22"/>
      <c r="M36" s="22"/>
      <c r="N36" s="23"/>
      <c r="O36" s="23"/>
      <c r="P36" s="23"/>
      <c r="Q36" s="24"/>
      <c r="R36" s="23"/>
      <c r="S36" s="24"/>
      <c r="T36" s="25"/>
      <c r="U36" s="26"/>
      <c r="V36" s="25"/>
      <c r="W36" s="25" t="str">
        <f aca="false">IF($A36="","",N($U36)*N($V36))</f>
        <v/>
      </c>
      <c r="X36" s="22"/>
      <c r="Y36" s="26"/>
      <c r="Z36" s="25"/>
      <c r="AA36" s="25" t="str">
        <f aca="false">IF($A36="","",IF($X36="POV",N($Y36)*MileageRate,0)+N($Z36))</f>
        <v/>
      </c>
      <c r="AB36" s="25" t="str">
        <f aca="false">IF(OR($A36="",$P36="",$R36="",$Q36="",$S36=""),"",IF($R36=$P36,($Q36&lt;=T_DepBfast)*($S36&gt;=T_RetBfast)*PD_Bfast+($Q36&lt;=T_DepLunch)*($S36&gt;=T_RetLunch)*PD_Lunch+($Q36&lt;=T_DepDinner)*($S36&gt;=T_RetDinner)*PD_Dinner+PD_Incid,($Q36&lt;=T_DepBfast)*PD_Bfast+($Q36&lt;=T_DepLunch)*PD_Lunch+($Q36&lt;=T_DepDinner)*PD_Dinner+($S36&gt;=T_RetBfast)*PD_Bfast+($S36&gt;=T_RetLunch)*PD_Lunch+($S36&gt;=T_RetDinner)*PD_Dinner+MAX($R36-$P36-1,0)*(PD_Bfast+PD_Lunch+PD_Dinner)+($R36-$P36+1)*PD_Incid))</f>
        <v/>
      </c>
      <c r="AC36" s="25"/>
      <c r="AD36" s="25" t="str">
        <f aca="false">IF($A36="","",N($T36)+N($W36)+N($AA36)+N($AB36)+N($AC36))</f>
        <v/>
      </c>
      <c r="AE36" s="25"/>
      <c r="AF36" s="25"/>
      <c r="AG36" s="25"/>
      <c r="AH36" s="25"/>
      <c r="AI36" s="25"/>
      <c r="AJ36" s="25" t="str">
        <f aca="false">IF($A36="","",IF(COUNT($AE36:$AI36)=0,"",SUM($AE36:$AI36)))</f>
        <v/>
      </c>
      <c r="AK36" s="25"/>
      <c r="AL36" s="25"/>
      <c r="AM36" s="25" t="str">
        <f aca="false">IF(OR($A36="",$AJ36=""),"",$AJ36-N($AK36)-N($AL36))</f>
        <v/>
      </c>
      <c r="AN36" s="23"/>
      <c r="AO36" s="23"/>
      <c r="AP36" s="22"/>
      <c r="AQ36" s="22"/>
      <c r="AR36" s="23" t="str">
        <f aca="false">IF(OR($A36="",$R36=""),"",$R36+ReceiptDays)</f>
        <v/>
      </c>
      <c r="AS36" s="23"/>
      <c r="AT36" s="23" t="str">
        <f aca="false">IF(OR($A36="",$P36=""),"",($P36-FinanceLeadDays)-MOD(($P36-FinanceLeadDays)-DATE(2024,1,2),7))</f>
        <v/>
      </c>
      <c r="AU36" s="23"/>
      <c r="AV36" s="22"/>
      <c r="AW36" s="22"/>
      <c r="AX36" s="25" t="n">
        <f aca="false">IF(OR($A36="",$B36="Denied",$B36="Cancelled"),0,N($AD36))</f>
        <v>0</v>
      </c>
      <c r="AY36" s="25" t="n">
        <f aca="false">IF($A36="",0,N($AJ36))</f>
        <v>0</v>
      </c>
      <c r="AZ36" s="25" t="n">
        <f aca="false">IF(OR($A36="",$B36="Denied",$B36="Cancelled",$B36="Closed"),0,IF(N($AJ36)&gt;0,0,N($AD36)))</f>
        <v>0</v>
      </c>
      <c r="BA36" s="26" t="n">
        <f aca="false">IF($A36="",0,IF($B36="Awaiting Approval",COUNTIF(BA$1:BA35,"&gt;0")+1,0))</f>
        <v>0</v>
      </c>
      <c r="BB36" s="26" t="n">
        <f aca="false">IF($A36="",0,IF(AND($B36="Approved",$AP36&lt;&gt;"Y"),COUNTIF(BB$1:BB35,"&gt;0")+1,0))</f>
        <v>0</v>
      </c>
      <c r="BC36" s="26" t="n">
        <f aca="false">IF($A36="",0,IF(AND($B36="Approved",N($U36)&gt;0,$AQ36&lt;&gt;"Y"),COUNTIF(BC$1:BC35,"&gt;0")+1,0))</f>
        <v>0</v>
      </c>
      <c r="BD36" s="26" t="n">
        <f aca="true">IF($A36="",0,IF(AND($AR36&lt;&gt;"",N($AR36)&lt;TODAY(),$AS36="",$B36&lt;&gt;"Closed",$B36&lt;&gt;"Cancelled",$B36&lt;&gt;"Denied"),COUNTIF(BD$1:BD35,"&gt;0")+1,0))</f>
        <v>0</v>
      </c>
      <c r="BE36" s="26" t="n">
        <f aca="true">IF($A36="",0,IF(AND($AT36&lt;&gt;"",N($AT36)&lt;=TODAY()+7,$AU36="",$B36&lt;&gt;"Denied",$B36&lt;&gt;"Cancelled",$B36&lt;&gt;"Closed"),COUNTIF(BE$1:BE35,"&gt;0")+1,0))</f>
        <v>0</v>
      </c>
      <c r="BF36" s="22"/>
      <c r="BG36" s="22"/>
      <c r="BH36" s="22"/>
      <c r="BI36" s="22"/>
    </row>
    <row r="37" customFormat="false" ht="15" hidden="false" customHeight="false" outlineLevel="0" collapsed="false">
      <c r="A37" s="27"/>
      <c r="B37" s="27"/>
      <c r="C37" s="27"/>
      <c r="D37" s="27"/>
      <c r="E37" s="27"/>
      <c r="F37" s="27"/>
      <c r="G37" s="27"/>
      <c r="H37" s="27"/>
      <c r="I37" s="27"/>
      <c r="J37" s="27"/>
      <c r="K37" s="27"/>
      <c r="L37" s="27"/>
      <c r="M37" s="27"/>
      <c r="N37" s="28"/>
      <c r="O37" s="28"/>
      <c r="P37" s="28"/>
      <c r="Q37" s="29"/>
      <c r="R37" s="28"/>
      <c r="S37" s="29"/>
      <c r="T37" s="30"/>
      <c r="U37" s="31"/>
      <c r="V37" s="30"/>
      <c r="W37" s="30" t="str">
        <f aca="false">IF($A37="","",N($U37)*N($V37))</f>
        <v/>
      </c>
      <c r="X37" s="27"/>
      <c r="Y37" s="31"/>
      <c r="Z37" s="30"/>
      <c r="AA37" s="30" t="str">
        <f aca="false">IF($A37="","",IF($X37="POV",N($Y37)*MileageRate,0)+N($Z37))</f>
        <v/>
      </c>
      <c r="AB37" s="30" t="str">
        <f aca="false">IF(OR($A37="",$P37="",$R37="",$Q37="",$S37=""),"",IF($R37=$P37,($Q37&lt;=T_DepBfast)*($S37&gt;=T_RetBfast)*PD_Bfast+($Q37&lt;=T_DepLunch)*($S37&gt;=T_RetLunch)*PD_Lunch+($Q37&lt;=T_DepDinner)*($S37&gt;=T_RetDinner)*PD_Dinner+PD_Incid,($Q37&lt;=T_DepBfast)*PD_Bfast+($Q37&lt;=T_DepLunch)*PD_Lunch+($Q37&lt;=T_DepDinner)*PD_Dinner+($S37&gt;=T_RetBfast)*PD_Bfast+($S37&gt;=T_RetLunch)*PD_Lunch+($S37&gt;=T_RetDinner)*PD_Dinner+MAX($R37-$P37-1,0)*(PD_Bfast+PD_Lunch+PD_Dinner)+($R37-$P37+1)*PD_Incid))</f>
        <v/>
      </c>
      <c r="AC37" s="30"/>
      <c r="AD37" s="30" t="str">
        <f aca="false">IF($A37="","",N($T37)+N($W37)+N($AA37)+N($AB37)+N($AC37))</f>
        <v/>
      </c>
      <c r="AE37" s="30"/>
      <c r="AF37" s="30"/>
      <c r="AG37" s="30"/>
      <c r="AH37" s="30"/>
      <c r="AI37" s="30"/>
      <c r="AJ37" s="30" t="str">
        <f aca="false">IF($A37="","",IF(COUNT($AE37:$AI37)=0,"",SUM($AE37:$AI37)))</f>
        <v/>
      </c>
      <c r="AK37" s="30"/>
      <c r="AL37" s="30"/>
      <c r="AM37" s="30" t="str">
        <f aca="false">IF(OR($A37="",$AJ37=""),"",$AJ37-N($AK37)-N($AL37))</f>
        <v/>
      </c>
      <c r="AN37" s="28"/>
      <c r="AO37" s="28"/>
      <c r="AP37" s="27"/>
      <c r="AQ37" s="27"/>
      <c r="AR37" s="28" t="str">
        <f aca="false">IF(OR($A37="",$R37=""),"",$R37+ReceiptDays)</f>
        <v/>
      </c>
      <c r="AS37" s="28"/>
      <c r="AT37" s="28" t="str">
        <f aca="false">IF(OR($A37="",$P37=""),"",($P37-FinanceLeadDays)-MOD(($P37-FinanceLeadDays)-DATE(2024,1,2),7))</f>
        <v/>
      </c>
      <c r="AU37" s="28"/>
      <c r="AV37" s="27"/>
      <c r="AW37" s="27"/>
      <c r="AX37" s="30" t="n">
        <f aca="false">IF(OR($A37="",$B37="Denied",$B37="Cancelled"),0,N($AD37))</f>
        <v>0</v>
      </c>
      <c r="AY37" s="30" t="n">
        <f aca="false">IF($A37="",0,N($AJ37))</f>
        <v>0</v>
      </c>
      <c r="AZ37" s="30" t="n">
        <f aca="false">IF(OR($A37="",$B37="Denied",$B37="Cancelled",$B37="Closed"),0,IF(N($AJ37)&gt;0,0,N($AD37)))</f>
        <v>0</v>
      </c>
      <c r="BA37" s="31" t="n">
        <f aca="false">IF($A37="",0,IF($B37="Awaiting Approval",COUNTIF(BA$1:BA36,"&gt;0")+1,0))</f>
        <v>0</v>
      </c>
      <c r="BB37" s="31" t="n">
        <f aca="false">IF($A37="",0,IF(AND($B37="Approved",$AP37&lt;&gt;"Y"),COUNTIF(BB$1:BB36,"&gt;0")+1,0))</f>
        <v>0</v>
      </c>
      <c r="BC37" s="31" t="n">
        <f aca="false">IF($A37="",0,IF(AND($B37="Approved",N($U37)&gt;0,$AQ37&lt;&gt;"Y"),COUNTIF(BC$1:BC36,"&gt;0")+1,0))</f>
        <v>0</v>
      </c>
      <c r="BD37" s="31" t="n">
        <f aca="true">IF($A37="",0,IF(AND($AR37&lt;&gt;"",N($AR37)&lt;TODAY(),$AS37="",$B37&lt;&gt;"Closed",$B37&lt;&gt;"Cancelled",$B37&lt;&gt;"Denied"),COUNTIF(BD$1:BD36,"&gt;0")+1,0))</f>
        <v>0</v>
      </c>
      <c r="BE37" s="31" t="n">
        <f aca="true">IF($A37="",0,IF(AND($AT37&lt;&gt;"",N($AT37)&lt;=TODAY()+7,$AU37="",$B37&lt;&gt;"Denied",$B37&lt;&gt;"Cancelled",$B37&lt;&gt;"Closed"),COUNTIF(BE$1:BE36,"&gt;0")+1,0))</f>
        <v>0</v>
      </c>
      <c r="BF37" s="27"/>
      <c r="BG37" s="27"/>
      <c r="BH37" s="27"/>
      <c r="BI37" s="27"/>
    </row>
    <row r="38" customFormat="false" ht="15" hidden="false" customHeight="false" outlineLevel="0" collapsed="false">
      <c r="A38" s="22"/>
      <c r="B38" s="22"/>
      <c r="C38" s="22"/>
      <c r="D38" s="22"/>
      <c r="E38" s="22"/>
      <c r="F38" s="22"/>
      <c r="G38" s="22"/>
      <c r="H38" s="22"/>
      <c r="I38" s="22"/>
      <c r="J38" s="22"/>
      <c r="K38" s="22"/>
      <c r="L38" s="22"/>
      <c r="M38" s="22"/>
      <c r="N38" s="23"/>
      <c r="O38" s="23"/>
      <c r="P38" s="23"/>
      <c r="Q38" s="24"/>
      <c r="R38" s="23"/>
      <c r="S38" s="24"/>
      <c r="T38" s="25"/>
      <c r="U38" s="26"/>
      <c r="V38" s="25"/>
      <c r="W38" s="25" t="str">
        <f aca="false">IF($A38="","",N($U38)*N($V38))</f>
        <v/>
      </c>
      <c r="X38" s="22"/>
      <c r="Y38" s="26"/>
      <c r="Z38" s="25"/>
      <c r="AA38" s="25" t="str">
        <f aca="false">IF($A38="","",IF($X38="POV",N($Y38)*MileageRate,0)+N($Z38))</f>
        <v/>
      </c>
      <c r="AB38" s="25" t="str">
        <f aca="false">IF(OR($A38="",$P38="",$R38="",$Q38="",$S38=""),"",IF($R38=$P38,($Q38&lt;=T_DepBfast)*($S38&gt;=T_RetBfast)*PD_Bfast+($Q38&lt;=T_DepLunch)*($S38&gt;=T_RetLunch)*PD_Lunch+($Q38&lt;=T_DepDinner)*($S38&gt;=T_RetDinner)*PD_Dinner+PD_Incid,($Q38&lt;=T_DepBfast)*PD_Bfast+($Q38&lt;=T_DepLunch)*PD_Lunch+($Q38&lt;=T_DepDinner)*PD_Dinner+($S38&gt;=T_RetBfast)*PD_Bfast+($S38&gt;=T_RetLunch)*PD_Lunch+($S38&gt;=T_RetDinner)*PD_Dinner+MAX($R38-$P38-1,0)*(PD_Bfast+PD_Lunch+PD_Dinner)+($R38-$P38+1)*PD_Incid))</f>
        <v/>
      </c>
      <c r="AC38" s="25"/>
      <c r="AD38" s="25" t="str">
        <f aca="false">IF($A38="","",N($T38)+N($W38)+N($AA38)+N($AB38)+N($AC38))</f>
        <v/>
      </c>
      <c r="AE38" s="25"/>
      <c r="AF38" s="25"/>
      <c r="AG38" s="25"/>
      <c r="AH38" s="25"/>
      <c r="AI38" s="25"/>
      <c r="AJ38" s="25" t="str">
        <f aca="false">IF($A38="","",IF(COUNT($AE38:$AI38)=0,"",SUM($AE38:$AI38)))</f>
        <v/>
      </c>
      <c r="AK38" s="25"/>
      <c r="AL38" s="25"/>
      <c r="AM38" s="25" t="str">
        <f aca="false">IF(OR($A38="",$AJ38=""),"",$AJ38-N($AK38)-N($AL38))</f>
        <v/>
      </c>
      <c r="AN38" s="23"/>
      <c r="AO38" s="23"/>
      <c r="AP38" s="22"/>
      <c r="AQ38" s="22"/>
      <c r="AR38" s="23" t="str">
        <f aca="false">IF(OR($A38="",$R38=""),"",$R38+ReceiptDays)</f>
        <v/>
      </c>
      <c r="AS38" s="23"/>
      <c r="AT38" s="23" t="str">
        <f aca="false">IF(OR($A38="",$P38=""),"",($P38-FinanceLeadDays)-MOD(($P38-FinanceLeadDays)-DATE(2024,1,2),7))</f>
        <v/>
      </c>
      <c r="AU38" s="23"/>
      <c r="AV38" s="22"/>
      <c r="AW38" s="22"/>
      <c r="AX38" s="25" t="n">
        <f aca="false">IF(OR($A38="",$B38="Denied",$B38="Cancelled"),0,N($AD38))</f>
        <v>0</v>
      </c>
      <c r="AY38" s="25" t="n">
        <f aca="false">IF($A38="",0,N($AJ38))</f>
        <v>0</v>
      </c>
      <c r="AZ38" s="25" t="n">
        <f aca="false">IF(OR($A38="",$B38="Denied",$B38="Cancelled",$B38="Closed"),0,IF(N($AJ38)&gt;0,0,N($AD38)))</f>
        <v>0</v>
      </c>
      <c r="BA38" s="26" t="n">
        <f aca="false">IF($A38="",0,IF($B38="Awaiting Approval",COUNTIF(BA$1:BA37,"&gt;0")+1,0))</f>
        <v>0</v>
      </c>
      <c r="BB38" s="26" t="n">
        <f aca="false">IF($A38="",0,IF(AND($B38="Approved",$AP38&lt;&gt;"Y"),COUNTIF(BB$1:BB37,"&gt;0")+1,0))</f>
        <v>0</v>
      </c>
      <c r="BC38" s="26" t="n">
        <f aca="false">IF($A38="",0,IF(AND($B38="Approved",N($U38)&gt;0,$AQ38&lt;&gt;"Y"),COUNTIF(BC$1:BC37,"&gt;0")+1,0))</f>
        <v>0</v>
      </c>
      <c r="BD38" s="26" t="n">
        <f aca="true">IF($A38="",0,IF(AND($AR38&lt;&gt;"",N($AR38)&lt;TODAY(),$AS38="",$B38&lt;&gt;"Closed",$B38&lt;&gt;"Cancelled",$B38&lt;&gt;"Denied"),COUNTIF(BD$1:BD37,"&gt;0")+1,0))</f>
        <v>0</v>
      </c>
      <c r="BE38" s="26" t="n">
        <f aca="true">IF($A38="",0,IF(AND($AT38&lt;&gt;"",N($AT38)&lt;=TODAY()+7,$AU38="",$B38&lt;&gt;"Denied",$B38&lt;&gt;"Cancelled",$B38&lt;&gt;"Closed"),COUNTIF(BE$1:BE37,"&gt;0")+1,0))</f>
        <v>0</v>
      </c>
      <c r="BF38" s="22"/>
      <c r="BG38" s="22"/>
      <c r="BH38" s="22"/>
      <c r="BI38" s="22"/>
    </row>
    <row r="39" customFormat="false" ht="15" hidden="false" customHeight="false" outlineLevel="0" collapsed="false">
      <c r="A39" s="27"/>
      <c r="B39" s="27"/>
      <c r="C39" s="27"/>
      <c r="D39" s="27"/>
      <c r="E39" s="27"/>
      <c r="F39" s="27"/>
      <c r="G39" s="27"/>
      <c r="H39" s="27"/>
      <c r="I39" s="27"/>
      <c r="J39" s="27"/>
      <c r="K39" s="27"/>
      <c r="L39" s="27"/>
      <c r="M39" s="27"/>
      <c r="N39" s="28"/>
      <c r="O39" s="28"/>
      <c r="P39" s="28"/>
      <c r="Q39" s="29"/>
      <c r="R39" s="28"/>
      <c r="S39" s="29"/>
      <c r="T39" s="30"/>
      <c r="U39" s="31"/>
      <c r="V39" s="30"/>
      <c r="W39" s="30" t="str">
        <f aca="false">IF($A39="","",N($U39)*N($V39))</f>
        <v/>
      </c>
      <c r="X39" s="27"/>
      <c r="Y39" s="31"/>
      <c r="Z39" s="30"/>
      <c r="AA39" s="30" t="str">
        <f aca="false">IF($A39="","",IF($X39="POV",N($Y39)*MileageRate,0)+N($Z39))</f>
        <v/>
      </c>
      <c r="AB39" s="30" t="str">
        <f aca="false">IF(OR($A39="",$P39="",$R39="",$Q39="",$S39=""),"",IF($R39=$P39,($Q39&lt;=T_DepBfast)*($S39&gt;=T_RetBfast)*PD_Bfast+($Q39&lt;=T_DepLunch)*($S39&gt;=T_RetLunch)*PD_Lunch+($Q39&lt;=T_DepDinner)*($S39&gt;=T_RetDinner)*PD_Dinner+PD_Incid,($Q39&lt;=T_DepBfast)*PD_Bfast+($Q39&lt;=T_DepLunch)*PD_Lunch+($Q39&lt;=T_DepDinner)*PD_Dinner+($S39&gt;=T_RetBfast)*PD_Bfast+($S39&gt;=T_RetLunch)*PD_Lunch+($S39&gt;=T_RetDinner)*PD_Dinner+MAX($R39-$P39-1,0)*(PD_Bfast+PD_Lunch+PD_Dinner)+($R39-$P39+1)*PD_Incid))</f>
        <v/>
      </c>
      <c r="AC39" s="30"/>
      <c r="AD39" s="30" t="str">
        <f aca="false">IF($A39="","",N($T39)+N($W39)+N($AA39)+N($AB39)+N($AC39))</f>
        <v/>
      </c>
      <c r="AE39" s="30"/>
      <c r="AF39" s="30"/>
      <c r="AG39" s="30"/>
      <c r="AH39" s="30"/>
      <c r="AI39" s="30"/>
      <c r="AJ39" s="30" t="str">
        <f aca="false">IF($A39="","",IF(COUNT($AE39:$AI39)=0,"",SUM($AE39:$AI39)))</f>
        <v/>
      </c>
      <c r="AK39" s="30"/>
      <c r="AL39" s="30"/>
      <c r="AM39" s="30" t="str">
        <f aca="false">IF(OR($A39="",$AJ39=""),"",$AJ39-N($AK39)-N($AL39))</f>
        <v/>
      </c>
      <c r="AN39" s="28"/>
      <c r="AO39" s="28"/>
      <c r="AP39" s="27"/>
      <c r="AQ39" s="27"/>
      <c r="AR39" s="28" t="str">
        <f aca="false">IF(OR($A39="",$R39=""),"",$R39+ReceiptDays)</f>
        <v/>
      </c>
      <c r="AS39" s="28"/>
      <c r="AT39" s="28" t="str">
        <f aca="false">IF(OR($A39="",$P39=""),"",($P39-FinanceLeadDays)-MOD(($P39-FinanceLeadDays)-DATE(2024,1,2),7))</f>
        <v/>
      </c>
      <c r="AU39" s="28"/>
      <c r="AV39" s="27"/>
      <c r="AW39" s="27"/>
      <c r="AX39" s="30" t="n">
        <f aca="false">IF(OR($A39="",$B39="Denied",$B39="Cancelled"),0,N($AD39))</f>
        <v>0</v>
      </c>
      <c r="AY39" s="30" t="n">
        <f aca="false">IF($A39="",0,N($AJ39))</f>
        <v>0</v>
      </c>
      <c r="AZ39" s="30" t="n">
        <f aca="false">IF(OR($A39="",$B39="Denied",$B39="Cancelled",$B39="Closed"),0,IF(N($AJ39)&gt;0,0,N($AD39)))</f>
        <v>0</v>
      </c>
      <c r="BA39" s="31" t="n">
        <f aca="false">IF($A39="",0,IF($B39="Awaiting Approval",COUNTIF(BA$1:BA38,"&gt;0")+1,0))</f>
        <v>0</v>
      </c>
      <c r="BB39" s="31" t="n">
        <f aca="false">IF($A39="",0,IF(AND($B39="Approved",$AP39&lt;&gt;"Y"),COUNTIF(BB$1:BB38,"&gt;0")+1,0))</f>
        <v>0</v>
      </c>
      <c r="BC39" s="31" t="n">
        <f aca="false">IF($A39="",0,IF(AND($B39="Approved",N($U39)&gt;0,$AQ39&lt;&gt;"Y"),COUNTIF(BC$1:BC38,"&gt;0")+1,0))</f>
        <v>0</v>
      </c>
      <c r="BD39" s="31" t="n">
        <f aca="true">IF($A39="",0,IF(AND($AR39&lt;&gt;"",N($AR39)&lt;TODAY(),$AS39="",$B39&lt;&gt;"Closed",$B39&lt;&gt;"Cancelled",$B39&lt;&gt;"Denied"),COUNTIF(BD$1:BD38,"&gt;0")+1,0))</f>
        <v>0</v>
      </c>
      <c r="BE39" s="31" t="n">
        <f aca="true">IF($A39="",0,IF(AND($AT39&lt;&gt;"",N($AT39)&lt;=TODAY()+7,$AU39="",$B39&lt;&gt;"Denied",$B39&lt;&gt;"Cancelled",$B39&lt;&gt;"Closed"),COUNTIF(BE$1:BE38,"&gt;0")+1,0))</f>
        <v>0</v>
      </c>
      <c r="BF39" s="27"/>
      <c r="BG39" s="27"/>
      <c r="BH39" s="27"/>
      <c r="BI39" s="27"/>
    </row>
    <row r="40" customFormat="false" ht="15" hidden="false" customHeight="false" outlineLevel="0" collapsed="false">
      <c r="A40" s="22"/>
      <c r="B40" s="22"/>
      <c r="C40" s="22"/>
      <c r="D40" s="22"/>
      <c r="E40" s="22"/>
      <c r="F40" s="22"/>
      <c r="G40" s="22"/>
      <c r="H40" s="22"/>
      <c r="I40" s="22"/>
      <c r="J40" s="22"/>
      <c r="K40" s="22"/>
      <c r="L40" s="22"/>
      <c r="M40" s="22"/>
      <c r="N40" s="23"/>
      <c r="O40" s="23"/>
      <c r="P40" s="23"/>
      <c r="Q40" s="24"/>
      <c r="R40" s="23"/>
      <c r="S40" s="24"/>
      <c r="T40" s="25"/>
      <c r="U40" s="26"/>
      <c r="V40" s="25"/>
      <c r="W40" s="25" t="str">
        <f aca="false">IF($A40="","",N($U40)*N($V40))</f>
        <v/>
      </c>
      <c r="X40" s="22"/>
      <c r="Y40" s="26"/>
      <c r="Z40" s="25"/>
      <c r="AA40" s="25" t="str">
        <f aca="false">IF($A40="","",IF($X40="POV",N($Y40)*MileageRate,0)+N($Z40))</f>
        <v/>
      </c>
      <c r="AB40" s="25" t="str">
        <f aca="false">IF(OR($A40="",$P40="",$R40="",$Q40="",$S40=""),"",IF($R40=$P40,($Q40&lt;=T_DepBfast)*($S40&gt;=T_RetBfast)*PD_Bfast+($Q40&lt;=T_DepLunch)*($S40&gt;=T_RetLunch)*PD_Lunch+($Q40&lt;=T_DepDinner)*($S40&gt;=T_RetDinner)*PD_Dinner+PD_Incid,($Q40&lt;=T_DepBfast)*PD_Bfast+($Q40&lt;=T_DepLunch)*PD_Lunch+($Q40&lt;=T_DepDinner)*PD_Dinner+($S40&gt;=T_RetBfast)*PD_Bfast+($S40&gt;=T_RetLunch)*PD_Lunch+($S40&gt;=T_RetDinner)*PD_Dinner+MAX($R40-$P40-1,0)*(PD_Bfast+PD_Lunch+PD_Dinner)+($R40-$P40+1)*PD_Incid))</f>
        <v/>
      </c>
      <c r="AC40" s="25"/>
      <c r="AD40" s="25" t="str">
        <f aca="false">IF($A40="","",N($T40)+N($W40)+N($AA40)+N($AB40)+N($AC40))</f>
        <v/>
      </c>
      <c r="AE40" s="25"/>
      <c r="AF40" s="25"/>
      <c r="AG40" s="25"/>
      <c r="AH40" s="25"/>
      <c r="AI40" s="25"/>
      <c r="AJ40" s="25" t="str">
        <f aca="false">IF($A40="","",IF(COUNT($AE40:$AI40)=0,"",SUM($AE40:$AI40)))</f>
        <v/>
      </c>
      <c r="AK40" s="25"/>
      <c r="AL40" s="25"/>
      <c r="AM40" s="25" t="str">
        <f aca="false">IF(OR($A40="",$AJ40=""),"",$AJ40-N($AK40)-N($AL40))</f>
        <v/>
      </c>
      <c r="AN40" s="23"/>
      <c r="AO40" s="23"/>
      <c r="AP40" s="22"/>
      <c r="AQ40" s="22"/>
      <c r="AR40" s="23" t="str">
        <f aca="false">IF(OR($A40="",$R40=""),"",$R40+ReceiptDays)</f>
        <v/>
      </c>
      <c r="AS40" s="23"/>
      <c r="AT40" s="23" t="str">
        <f aca="false">IF(OR($A40="",$P40=""),"",($P40-FinanceLeadDays)-MOD(($P40-FinanceLeadDays)-DATE(2024,1,2),7))</f>
        <v/>
      </c>
      <c r="AU40" s="23"/>
      <c r="AV40" s="22"/>
      <c r="AW40" s="22"/>
      <c r="AX40" s="25" t="n">
        <f aca="false">IF(OR($A40="",$B40="Denied",$B40="Cancelled"),0,N($AD40))</f>
        <v>0</v>
      </c>
      <c r="AY40" s="25" t="n">
        <f aca="false">IF($A40="",0,N($AJ40))</f>
        <v>0</v>
      </c>
      <c r="AZ40" s="25" t="n">
        <f aca="false">IF(OR($A40="",$B40="Denied",$B40="Cancelled",$B40="Closed"),0,IF(N($AJ40)&gt;0,0,N($AD40)))</f>
        <v>0</v>
      </c>
      <c r="BA40" s="26" t="n">
        <f aca="false">IF($A40="",0,IF($B40="Awaiting Approval",COUNTIF(BA$1:BA39,"&gt;0")+1,0))</f>
        <v>0</v>
      </c>
      <c r="BB40" s="26" t="n">
        <f aca="false">IF($A40="",0,IF(AND($B40="Approved",$AP40&lt;&gt;"Y"),COUNTIF(BB$1:BB39,"&gt;0")+1,0))</f>
        <v>0</v>
      </c>
      <c r="BC40" s="26" t="n">
        <f aca="false">IF($A40="",0,IF(AND($B40="Approved",N($U40)&gt;0,$AQ40&lt;&gt;"Y"),COUNTIF(BC$1:BC39,"&gt;0")+1,0))</f>
        <v>0</v>
      </c>
      <c r="BD40" s="26" t="n">
        <f aca="true">IF($A40="",0,IF(AND($AR40&lt;&gt;"",N($AR40)&lt;TODAY(),$AS40="",$B40&lt;&gt;"Closed",$B40&lt;&gt;"Cancelled",$B40&lt;&gt;"Denied"),COUNTIF(BD$1:BD39,"&gt;0")+1,0))</f>
        <v>0</v>
      </c>
      <c r="BE40" s="26" t="n">
        <f aca="true">IF($A40="",0,IF(AND($AT40&lt;&gt;"",N($AT40)&lt;=TODAY()+7,$AU40="",$B40&lt;&gt;"Denied",$B40&lt;&gt;"Cancelled",$B40&lt;&gt;"Closed"),COUNTIF(BE$1:BE39,"&gt;0")+1,0))</f>
        <v>0</v>
      </c>
      <c r="BF40" s="22"/>
      <c r="BG40" s="22"/>
      <c r="BH40" s="22"/>
      <c r="BI40" s="22"/>
    </row>
    <row r="41" customFormat="false" ht="15" hidden="false" customHeight="false" outlineLevel="0" collapsed="false">
      <c r="A41" s="27"/>
      <c r="B41" s="27"/>
      <c r="C41" s="27"/>
      <c r="D41" s="27"/>
      <c r="E41" s="27"/>
      <c r="F41" s="27"/>
      <c r="G41" s="27"/>
      <c r="H41" s="27"/>
      <c r="I41" s="27"/>
      <c r="J41" s="27"/>
      <c r="K41" s="27"/>
      <c r="L41" s="27"/>
      <c r="M41" s="27"/>
      <c r="N41" s="28"/>
      <c r="O41" s="28"/>
      <c r="P41" s="28"/>
      <c r="Q41" s="29"/>
      <c r="R41" s="28"/>
      <c r="S41" s="29"/>
      <c r="T41" s="30"/>
      <c r="U41" s="31"/>
      <c r="V41" s="30"/>
      <c r="W41" s="30" t="str">
        <f aca="false">IF($A41="","",N($U41)*N($V41))</f>
        <v/>
      </c>
      <c r="X41" s="27"/>
      <c r="Y41" s="31"/>
      <c r="Z41" s="30"/>
      <c r="AA41" s="30" t="str">
        <f aca="false">IF($A41="","",IF($X41="POV",N($Y41)*MileageRate,0)+N($Z41))</f>
        <v/>
      </c>
      <c r="AB41" s="30" t="str">
        <f aca="false">IF(OR($A41="",$P41="",$R41="",$Q41="",$S41=""),"",IF($R41=$P41,($Q41&lt;=T_DepBfast)*($S41&gt;=T_RetBfast)*PD_Bfast+($Q41&lt;=T_DepLunch)*($S41&gt;=T_RetLunch)*PD_Lunch+($Q41&lt;=T_DepDinner)*($S41&gt;=T_RetDinner)*PD_Dinner+PD_Incid,($Q41&lt;=T_DepBfast)*PD_Bfast+($Q41&lt;=T_DepLunch)*PD_Lunch+($Q41&lt;=T_DepDinner)*PD_Dinner+($S41&gt;=T_RetBfast)*PD_Bfast+($S41&gt;=T_RetLunch)*PD_Lunch+($S41&gt;=T_RetDinner)*PD_Dinner+MAX($R41-$P41-1,0)*(PD_Bfast+PD_Lunch+PD_Dinner)+($R41-$P41+1)*PD_Incid))</f>
        <v/>
      </c>
      <c r="AC41" s="30"/>
      <c r="AD41" s="30" t="str">
        <f aca="false">IF($A41="","",N($T41)+N($W41)+N($AA41)+N($AB41)+N($AC41))</f>
        <v/>
      </c>
      <c r="AE41" s="30"/>
      <c r="AF41" s="30"/>
      <c r="AG41" s="30"/>
      <c r="AH41" s="30"/>
      <c r="AI41" s="30"/>
      <c r="AJ41" s="30" t="str">
        <f aca="false">IF($A41="","",IF(COUNT($AE41:$AI41)=0,"",SUM($AE41:$AI41)))</f>
        <v/>
      </c>
      <c r="AK41" s="30"/>
      <c r="AL41" s="30"/>
      <c r="AM41" s="30" t="str">
        <f aca="false">IF(OR($A41="",$AJ41=""),"",$AJ41-N($AK41)-N($AL41))</f>
        <v/>
      </c>
      <c r="AN41" s="28"/>
      <c r="AO41" s="28"/>
      <c r="AP41" s="27"/>
      <c r="AQ41" s="27"/>
      <c r="AR41" s="28" t="str">
        <f aca="false">IF(OR($A41="",$R41=""),"",$R41+ReceiptDays)</f>
        <v/>
      </c>
      <c r="AS41" s="28"/>
      <c r="AT41" s="28" t="str">
        <f aca="false">IF(OR($A41="",$P41=""),"",($P41-FinanceLeadDays)-MOD(($P41-FinanceLeadDays)-DATE(2024,1,2),7))</f>
        <v/>
      </c>
      <c r="AU41" s="28"/>
      <c r="AV41" s="27"/>
      <c r="AW41" s="27"/>
      <c r="AX41" s="30" t="n">
        <f aca="false">IF(OR($A41="",$B41="Denied",$B41="Cancelled"),0,N($AD41))</f>
        <v>0</v>
      </c>
      <c r="AY41" s="30" t="n">
        <f aca="false">IF($A41="",0,N($AJ41))</f>
        <v>0</v>
      </c>
      <c r="AZ41" s="30" t="n">
        <f aca="false">IF(OR($A41="",$B41="Denied",$B41="Cancelled",$B41="Closed"),0,IF(N($AJ41)&gt;0,0,N($AD41)))</f>
        <v>0</v>
      </c>
      <c r="BA41" s="31" t="n">
        <f aca="false">IF($A41="",0,IF($B41="Awaiting Approval",COUNTIF(BA$1:BA40,"&gt;0")+1,0))</f>
        <v>0</v>
      </c>
      <c r="BB41" s="31" t="n">
        <f aca="false">IF($A41="",0,IF(AND($B41="Approved",$AP41&lt;&gt;"Y"),COUNTIF(BB$1:BB40,"&gt;0")+1,0))</f>
        <v>0</v>
      </c>
      <c r="BC41" s="31" t="n">
        <f aca="false">IF($A41="",0,IF(AND($B41="Approved",N($U41)&gt;0,$AQ41&lt;&gt;"Y"),COUNTIF(BC$1:BC40,"&gt;0")+1,0))</f>
        <v>0</v>
      </c>
      <c r="BD41" s="31" t="n">
        <f aca="true">IF($A41="",0,IF(AND($AR41&lt;&gt;"",N($AR41)&lt;TODAY(),$AS41="",$B41&lt;&gt;"Closed",$B41&lt;&gt;"Cancelled",$B41&lt;&gt;"Denied"),COUNTIF(BD$1:BD40,"&gt;0")+1,0))</f>
        <v>0</v>
      </c>
      <c r="BE41" s="31" t="n">
        <f aca="true">IF($A41="",0,IF(AND($AT41&lt;&gt;"",N($AT41)&lt;=TODAY()+7,$AU41="",$B41&lt;&gt;"Denied",$B41&lt;&gt;"Cancelled",$B41&lt;&gt;"Closed"),COUNTIF(BE$1:BE40,"&gt;0")+1,0))</f>
        <v>0</v>
      </c>
      <c r="BF41" s="27"/>
      <c r="BG41" s="27"/>
      <c r="BH41" s="27"/>
      <c r="BI41" s="27"/>
    </row>
    <row r="42" customFormat="false" ht="15" hidden="false" customHeight="false" outlineLevel="0" collapsed="false">
      <c r="A42" s="22"/>
      <c r="B42" s="22"/>
      <c r="C42" s="22"/>
      <c r="D42" s="22"/>
      <c r="E42" s="22"/>
      <c r="F42" s="22"/>
      <c r="G42" s="22"/>
      <c r="H42" s="22"/>
      <c r="I42" s="22"/>
      <c r="J42" s="22"/>
      <c r="K42" s="22"/>
      <c r="L42" s="22"/>
      <c r="M42" s="22"/>
      <c r="N42" s="23"/>
      <c r="O42" s="23"/>
      <c r="P42" s="23"/>
      <c r="Q42" s="24"/>
      <c r="R42" s="23"/>
      <c r="S42" s="24"/>
      <c r="T42" s="25"/>
      <c r="U42" s="26"/>
      <c r="V42" s="25"/>
      <c r="W42" s="25" t="str">
        <f aca="false">IF($A42="","",N($U42)*N($V42))</f>
        <v/>
      </c>
      <c r="X42" s="22"/>
      <c r="Y42" s="26"/>
      <c r="Z42" s="25"/>
      <c r="AA42" s="25" t="str">
        <f aca="false">IF($A42="","",IF($X42="POV",N($Y42)*MileageRate,0)+N($Z42))</f>
        <v/>
      </c>
      <c r="AB42" s="25" t="str">
        <f aca="false">IF(OR($A42="",$P42="",$R42="",$Q42="",$S42=""),"",IF($R42=$P42,($Q42&lt;=T_DepBfast)*($S42&gt;=T_RetBfast)*PD_Bfast+($Q42&lt;=T_DepLunch)*($S42&gt;=T_RetLunch)*PD_Lunch+($Q42&lt;=T_DepDinner)*($S42&gt;=T_RetDinner)*PD_Dinner+PD_Incid,($Q42&lt;=T_DepBfast)*PD_Bfast+($Q42&lt;=T_DepLunch)*PD_Lunch+($Q42&lt;=T_DepDinner)*PD_Dinner+($S42&gt;=T_RetBfast)*PD_Bfast+($S42&gt;=T_RetLunch)*PD_Lunch+($S42&gt;=T_RetDinner)*PD_Dinner+MAX($R42-$P42-1,0)*(PD_Bfast+PD_Lunch+PD_Dinner)+($R42-$P42+1)*PD_Incid))</f>
        <v/>
      </c>
      <c r="AC42" s="25"/>
      <c r="AD42" s="25" t="str">
        <f aca="false">IF($A42="","",N($T42)+N($W42)+N($AA42)+N($AB42)+N($AC42))</f>
        <v/>
      </c>
      <c r="AE42" s="25"/>
      <c r="AF42" s="25"/>
      <c r="AG42" s="25"/>
      <c r="AH42" s="25"/>
      <c r="AI42" s="25"/>
      <c r="AJ42" s="25" t="str">
        <f aca="false">IF($A42="","",IF(COUNT($AE42:$AI42)=0,"",SUM($AE42:$AI42)))</f>
        <v/>
      </c>
      <c r="AK42" s="25"/>
      <c r="AL42" s="25"/>
      <c r="AM42" s="25" t="str">
        <f aca="false">IF(OR($A42="",$AJ42=""),"",$AJ42-N($AK42)-N($AL42))</f>
        <v/>
      </c>
      <c r="AN42" s="23"/>
      <c r="AO42" s="23"/>
      <c r="AP42" s="22"/>
      <c r="AQ42" s="22"/>
      <c r="AR42" s="23" t="str">
        <f aca="false">IF(OR($A42="",$R42=""),"",$R42+ReceiptDays)</f>
        <v/>
      </c>
      <c r="AS42" s="23"/>
      <c r="AT42" s="23" t="str">
        <f aca="false">IF(OR($A42="",$P42=""),"",($P42-FinanceLeadDays)-MOD(($P42-FinanceLeadDays)-DATE(2024,1,2),7))</f>
        <v/>
      </c>
      <c r="AU42" s="23"/>
      <c r="AV42" s="22"/>
      <c r="AW42" s="22"/>
      <c r="AX42" s="25" t="n">
        <f aca="false">IF(OR($A42="",$B42="Denied",$B42="Cancelled"),0,N($AD42))</f>
        <v>0</v>
      </c>
      <c r="AY42" s="25" t="n">
        <f aca="false">IF($A42="",0,N($AJ42))</f>
        <v>0</v>
      </c>
      <c r="AZ42" s="25" t="n">
        <f aca="false">IF(OR($A42="",$B42="Denied",$B42="Cancelled",$B42="Closed"),0,IF(N($AJ42)&gt;0,0,N($AD42)))</f>
        <v>0</v>
      </c>
      <c r="BA42" s="26" t="n">
        <f aca="false">IF($A42="",0,IF($B42="Awaiting Approval",COUNTIF(BA$1:BA41,"&gt;0")+1,0))</f>
        <v>0</v>
      </c>
      <c r="BB42" s="26" t="n">
        <f aca="false">IF($A42="",0,IF(AND($B42="Approved",$AP42&lt;&gt;"Y"),COUNTIF(BB$1:BB41,"&gt;0")+1,0))</f>
        <v>0</v>
      </c>
      <c r="BC42" s="26" t="n">
        <f aca="false">IF($A42="",0,IF(AND($B42="Approved",N($U42)&gt;0,$AQ42&lt;&gt;"Y"),COUNTIF(BC$1:BC41,"&gt;0")+1,0))</f>
        <v>0</v>
      </c>
      <c r="BD42" s="26" t="n">
        <f aca="true">IF($A42="",0,IF(AND($AR42&lt;&gt;"",N($AR42)&lt;TODAY(),$AS42="",$B42&lt;&gt;"Closed",$B42&lt;&gt;"Cancelled",$B42&lt;&gt;"Denied"),COUNTIF(BD$1:BD41,"&gt;0")+1,0))</f>
        <v>0</v>
      </c>
      <c r="BE42" s="26" t="n">
        <f aca="true">IF($A42="",0,IF(AND($AT42&lt;&gt;"",N($AT42)&lt;=TODAY()+7,$AU42="",$B42&lt;&gt;"Denied",$B42&lt;&gt;"Cancelled",$B42&lt;&gt;"Closed"),COUNTIF(BE$1:BE41,"&gt;0")+1,0))</f>
        <v>0</v>
      </c>
      <c r="BF42" s="22"/>
      <c r="BG42" s="22"/>
      <c r="BH42" s="22"/>
      <c r="BI42" s="22"/>
    </row>
    <row r="43" customFormat="false" ht="15" hidden="false" customHeight="false" outlineLevel="0" collapsed="false">
      <c r="A43" s="27"/>
      <c r="B43" s="27"/>
      <c r="C43" s="27"/>
      <c r="D43" s="27"/>
      <c r="E43" s="27"/>
      <c r="F43" s="27"/>
      <c r="G43" s="27"/>
      <c r="H43" s="27"/>
      <c r="I43" s="27"/>
      <c r="J43" s="27"/>
      <c r="K43" s="27"/>
      <c r="L43" s="27"/>
      <c r="M43" s="27"/>
      <c r="N43" s="28"/>
      <c r="O43" s="28"/>
      <c r="P43" s="28"/>
      <c r="Q43" s="29"/>
      <c r="R43" s="28"/>
      <c r="S43" s="29"/>
      <c r="T43" s="30"/>
      <c r="U43" s="31"/>
      <c r="V43" s="30"/>
      <c r="W43" s="30" t="str">
        <f aca="false">IF($A43="","",N($U43)*N($V43))</f>
        <v/>
      </c>
      <c r="X43" s="27"/>
      <c r="Y43" s="31"/>
      <c r="Z43" s="30"/>
      <c r="AA43" s="30" t="str">
        <f aca="false">IF($A43="","",IF($X43="POV",N($Y43)*MileageRate,0)+N($Z43))</f>
        <v/>
      </c>
      <c r="AB43" s="30" t="str">
        <f aca="false">IF(OR($A43="",$P43="",$R43="",$Q43="",$S43=""),"",IF($R43=$P43,($Q43&lt;=T_DepBfast)*($S43&gt;=T_RetBfast)*PD_Bfast+($Q43&lt;=T_DepLunch)*($S43&gt;=T_RetLunch)*PD_Lunch+($Q43&lt;=T_DepDinner)*($S43&gt;=T_RetDinner)*PD_Dinner+PD_Incid,($Q43&lt;=T_DepBfast)*PD_Bfast+($Q43&lt;=T_DepLunch)*PD_Lunch+($Q43&lt;=T_DepDinner)*PD_Dinner+($S43&gt;=T_RetBfast)*PD_Bfast+($S43&gt;=T_RetLunch)*PD_Lunch+($S43&gt;=T_RetDinner)*PD_Dinner+MAX($R43-$P43-1,0)*(PD_Bfast+PD_Lunch+PD_Dinner)+($R43-$P43+1)*PD_Incid))</f>
        <v/>
      </c>
      <c r="AC43" s="30"/>
      <c r="AD43" s="30" t="str">
        <f aca="false">IF($A43="","",N($T43)+N($W43)+N($AA43)+N($AB43)+N($AC43))</f>
        <v/>
      </c>
      <c r="AE43" s="30"/>
      <c r="AF43" s="30"/>
      <c r="AG43" s="30"/>
      <c r="AH43" s="30"/>
      <c r="AI43" s="30"/>
      <c r="AJ43" s="30" t="str">
        <f aca="false">IF($A43="","",IF(COUNT($AE43:$AI43)=0,"",SUM($AE43:$AI43)))</f>
        <v/>
      </c>
      <c r="AK43" s="30"/>
      <c r="AL43" s="30"/>
      <c r="AM43" s="30" t="str">
        <f aca="false">IF(OR($A43="",$AJ43=""),"",$AJ43-N($AK43)-N($AL43))</f>
        <v/>
      </c>
      <c r="AN43" s="28"/>
      <c r="AO43" s="28"/>
      <c r="AP43" s="27"/>
      <c r="AQ43" s="27"/>
      <c r="AR43" s="28" t="str">
        <f aca="false">IF(OR($A43="",$R43=""),"",$R43+ReceiptDays)</f>
        <v/>
      </c>
      <c r="AS43" s="28"/>
      <c r="AT43" s="28" t="str">
        <f aca="false">IF(OR($A43="",$P43=""),"",($P43-FinanceLeadDays)-MOD(($P43-FinanceLeadDays)-DATE(2024,1,2),7))</f>
        <v/>
      </c>
      <c r="AU43" s="28"/>
      <c r="AV43" s="27"/>
      <c r="AW43" s="27"/>
      <c r="AX43" s="30" t="n">
        <f aca="false">IF(OR($A43="",$B43="Denied",$B43="Cancelled"),0,N($AD43))</f>
        <v>0</v>
      </c>
      <c r="AY43" s="30" t="n">
        <f aca="false">IF($A43="",0,N($AJ43))</f>
        <v>0</v>
      </c>
      <c r="AZ43" s="30" t="n">
        <f aca="false">IF(OR($A43="",$B43="Denied",$B43="Cancelled",$B43="Closed"),0,IF(N($AJ43)&gt;0,0,N($AD43)))</f>
        <v>0</v>
      </c>
      <c r="BA43" s="31" t="n">
        <f aca="false">IF($A43="",0,IF($B43="Awaiting Approval",COUNTIF(BA$1:BA42,"&gt;0")+1,0))</f>
        <v>0</v>
      </c>
      <c r="BB43" s="31" t="n">
        <f aca="false">IF($A43="",0,IF(AND($B43="Approved",$AP43&lt;&gt;"Y"),COUNTIF(BB$1:BB42,"&gt;0")+1,0))</f>
        <v>0</v>
      </c>
      <c r="BC43" s="31" t="n">
        <f aca="false">IF($A43="",0,IF(AND($B43="Approved",N($U43)&gt;0,$AQ43&lt;&gt;"Y"),COUNTIF(BC$1:BC42,"&gt;0")+1,0))</f>
        <v>0</v>
      </c>
      <c r="BD43" s="31" t="n">
        <f aca="true">IF($A43="",0,IF(AND($AR43&lt;&gt;"",N($AR43)&lt;TODAY(),$AS43="",$B43&lt;&gt;"Closed",$B43&lt;&gt;"Cancelled",$B43&lt;&gt;"Denied"),COUNTIF(BD$1:BD42,"&gt;0")+1,0))</f>
        <v>0</v>
      </c>
      <c r="BE43" s="31" t="n">
        <f aca="true">IF($A43="",0,IF(AND($AT43&lt;&gt;"",N($AT43)&lt;=TODAY()+7,$AU43="",$B43&lt;&gt;"Denied",$B43&lt;&gt;"Cancelled",$B43&lt;&gt;"Closed"),COUNTIF(BE$1:BE42,"&gt;0")+1,0))</f>
        <v>0</v>
      </c>
      <c r="BF43" s="27"/>
      <c r="BG43" s="27"/>
      <c r="BH43" s="27"/>
      <c r="BI43" s="27"/>
    </row>
    <row r="44" customFormat="false" ht="15" hidden="false" customHeight="false" outlineLevel="0" collapsed="false">
      <c r="A44" s="22"/>
      <c r="B44" s="22"/>
      <c r="C44" s="22"/>
      <c r="D44" s="22"/>
      <c r="E44" s="22"/>
      <c r="F44" s="22"/>
      <c r="G44" s="22"/>
      <c r="H44" s="22"/>
      <c r="I44" s="22"/>
      <c r="J44" s="22"/>
      <c r="K44" s="22"/>
      <c r="L44" s="22"/>
      <c r="M44" s="22"/>
      <c r="N44" s="23"/>
      <c r="O44" s="23"/>
      <c r="P44" s="23"/>
      <c r="Q44" s="24"/>
      <c r="R44" s="23"/>
      <c r="S44" s="24"/>
      <c r="T44" s="25"/>
      <c r="U44" s="26"/>
      <c r="V44" s="25"/>
      <c r="W44" s="25" t="str">
        <f aca="false">IF($A44="","",N($U44)*N($V44))</f>
        <v/>
      </c>
      <c r="X44" s="22"/>
      <c r="Y44" s="26"/>
      <c r="Z44" s="25"/>
      <c r="AA44" s="25" t="str">
        <f aca="false">IF($A44="","",IF($X44="POV",N($Y44)*MileageRate,0)+N($Z44))</f>
        <v/>
      </c>
      <c r="AB44" s="25" t="str">
        <f aca="false">IF(OR($A44="",$P44="",$R44="",$Q44="",$S44=""),"",IF($R44=$P44,($Q44&lt;=T_DepBfast)*($S44&gt;=T_RetBfast)*PD_Bfast+($Q44&lt;=T_DepLunch)*($S44&gt;=T_RetLunch)*PD_Lunch+($Q44&lt;=T_DepDinner)*($S44&gt;=T_RetDinner)*PD_Dinner+PD_Incid,($Q44&lt;=T_DepBfast)*PD_Bfast+($Q44&lt;=T_DepLunch)*PD_Lunch+($Q44&lt;=T_DepDinner)*PD_Dinner+($S44&gt;=T_RetBfast)*PD_Bfast+($S44&gt;=T_RetLunch)*PD_Lunch+($S44&gt;=T_RetDinner)*PD_Dinner+MAX($R44-$P44-1,0)*(PD_Bfast+PD_Lunch+PD_Dinner)+($R44-$P44+1)*PD_Incid))</f>
        <v/>
      </c>
      <c r="AC44" s="25"/>
      <c r="AD44" s="25" t="str">
        <f aca="false">IF($A44="","",N($T44)+N($W44)+N($AA44)+N($AB44)+N($AC44))</f>
        <v/>
      </c>
      <c r="AE44" s="25"/>
      <c r="AF44" s="25"/>
      <c r="AG44" s="25"/>
      <c r="AH44" s="25"/>
      <c r="AI44" s="25"/>
      <c r="AJ44" s="25" t="str">
        <f aca="false">IF($A44="","",IF(COUNT($AE44:$AI44)=0,"",SUM($AE44:$AI44)))</f>
        <v/>
      </c>
      <c r="AK44" s="25"/>
      <c r="AL44" s="25"/>
      <c r="AM44" s="25" t="str">
        <f aca="false">IF(OR($A44="",$AJ44=""),"",$AJ44-N($AK44)-N($AL44))</f>
        <v/>
      </c>
      <c r="AN44" s="23"/>
      <c r="AO44" s="23"/>
      <c r="AP44" s="22"/>
      <c r="AQ44" s="22"/>
      <c r="AR44" s="23" t="str">
        <f aca="false">IF(OR($A44="",$R44=""),"",$R44+ReceiptDays)</f>
        <v/>
      </c>
      <c r="AS44" s="23"/>
      <c r="AT44" s="23" t="str">
        <f aca="false">IF(OR($A44="",$P44=""),"",($P44-FinanceLeadDays)-MOD(($P44-FinanceLeadDays)-DATE(2024,1,2),7))</f>
        <v/>
      </c>
      <c r="AU44" s="23"/>
      <c r="AV44" s="22"/>
      <c r="AW44" s="22"/>
      <c r="AX44" s="25" t="n">
        <f aca="false">IF(OR($A44="",$B44="Denied",$B44="Cancelled"),0,N($AD44))</f>
        <v>0</v>
      </c>
      <c r="AY44" s="25" t="n">
        <f aca="false">IF($A44="",0,N($AJ44))</f>
        <v>0</v>
      </c>
      <c r="AZ44" s="25" t="n">
        <f aca="false">IF(OR($A44="",$B44="Denied",$B44="Cancelled",$B44="Closed"),0,IF(N($AJ44)&gt;0,0,N($AD44)))</f>
        <v>0</v>
      </c>
      <c r="BA44" s="26" t="n">
        <f aca="false">IF($A44="",0,IF($B44="Awaiting Approval",COUNTIF(BA$1:BA43,"&gt;0")+1,0))</f>
        <v>0</v>
      </c>
      <c r="BB44" s="26" t="n">
        <f aca="false">IF($A44="",0,IF(AND($B44="Approved",$AP44&lt;&gt;"Y"),COUNTIF(BB$1:BB43,"&gt;0")+1,0))</f>
        <v>0</v>
      </c>
      <c r="BC44" s="26" t="n">
        <f aca="false">IF($A44="",0,IF(AND($B44="Approved",N($U44)&gt;0,$AQ44&lt;&gt;"Y"),COUNTIF(BC$1:BC43,"&gt;0")+1,0))</f>
        <v>0</v>
      </c>
      <c r="BD44" s="26" t="n">
        <f aca="true">IF($A44="",0,IF(AND($AR44&lt;&gt;"",N($AR44)&lt;TODAY(),$AS44="",$B44&lt;&gt;"Closed",$B44&lt;&gt;"Cancelled",$B44&lt;&gt;"Denied"),COUNTIF(BD$1:BD43,"&gt;0")+1,0))</f>
        <v>0</v>
      </c>
      <c r="BE44" s="26" t="n">
        <f aca="true">IF($A44="",0,IF(AND($AT44&lt;&gt;"",N($AT44)&lt;=TODAY()+7,$AU44="",$B44&lt;&gt;"Denied",$B44&lt;&gt;"Cancelled",$B44&lt;&gt;"Closed"),COUNTIF(BE$1:BE43,"&gt;0")+1,0))</f>
        <v>0</v>
      </c>
      <c r="BF44" s="22"/>
      <c r="BG44" s="22"/>
      <c r="BH44" s="22"/>
      <c r="BI44" s="22"/>
    </row>
    <row r="45" customFormat="false" ht="15" hidden="false" customHeight="false" outlineLevel="0" collapsed="false">
      <c r="A45" s="27"/>
      <c r="B45" s="27"/>
      <c r="C45" s="27"/>
      <c r="D45" s="27"/>
      <c r="E45" s="27"/>
      <c r="F45" s="27"/>
      <c r="G45" s="27"/>
      <c r="H45" s="27"/>
      <c r="I45" s="27"/>
      <c r="J45" s="27"/>
      <c r="K45" s="27"/>
      <c r="L45" s="27"/>
      <c r="M45" s="27"/>
      <c r="N45" s="28"/>
      <c r="O45" s="28"/>
      <c r="P45" s="28"/>
      <c r="Q45" s="29"/>
      <c r="R45" s="28"/>
      <c r="S45" s="29"/>
      <c r="T45" s="30"/>
      <c r="U45" s="31"/>
      <c r="V45" s="30"/>
      <c r="W45" s="30" t="str">
        <f aca="false">IF($A45="","",N($U45)*N($V45))</f>
        <v/>
      </c>
      <c r="X45" s="27"/>
      <c r="Y45" s="31"/>
      <c r="Z45" s="30"/>
      <c r="AA45" s="30" t="str">
        <f aca="false">IF($A45="","",IF($X45="POV",N($Y45)*MileageRate,0)+N($Z45))</f>
        <v/>
      </c>
      <c r="AB45" s="30" t="str">
        <f aca="false">IF(OR($A45="",$P45="",$R45="",$Q45="",$S45=""),"",IF($R45=$P45,($Q45&lt;=T_DepBfast)*($S45&gt;=T_RetBfast)*PD_Bfast+($Q45&lt;=T_DepLunch)*($S45&gt;=T_RetLunch)*PD_Lunch+($Q45&lt;=T_DepDinner)*($S45&gt;=T_RetDinner)*PD_Dinner+PD_Incid,($Q45&lt;=T_DepBfast)*PD_Bfast+($Q45&lt;=T_DepLunch)*PD_Lunch+($Q45&lt;=T_DepDinner)*PD_Dinner+($S45&gt;=T_RetBfast)*PD_Bfast+($S45&gt;=T_RetLunch)*PD_Lunch+($S45&gt;=T_RetDinner)*PD_Dinner+MAX($R45-$P45-1,0)*(PD_Bfast+PD_Lunch+PD_Dinner)+($R45-$P45+1)*PD_Incid))</f>
        <v/>
      </c>
      <c r="AC45" s="30"/>
      <c r="AD45" s="30" t="str">
        <f aca="false">IF($A45="","",N($T45)+N($W45)+N($AA45)+N($AB45)+N($AC45))</f>
        <v/>
      </c>
      <c r="AE45" s="30"/>
      <c r="AF45" s="30"/>
      <c r="AG45" s="30"/>
      <c r="AH45" s="30"/>
      <c r="AI45" s="30"/>
      <c r="AJ45" s="30" t="str">
        <f aca="false">IF($A45="","",IF(COUNT($AE45:$AI45)=0,"",SUM($AE45:$AI45)))</f>
        <v/>
      </c>
      <c r="AK45" s="30"/>
      <c r="AL45" s="30"/>
      <c r="AM45" s="30" t="str">
        <f aca="false">IF(OR($A45="",$AJ45=""),"",$AJ45-N($AK45)-N($AL45))</f>
        <v/>
      </c>
      <c r="AN45" s="28"/>
      <c r="AO45" s="28"/>
      <c r="AP45" s="27"/>
      <c r="AQ45" s="27"/>
      <c r="AR45" s="28" t="str">
        <f aca="false">IF(OR($A45="",$R45=""),"",$R45+ReceiptDays)</f>
        <v/>
      </c>
      <c r="AS45" s="28"/>
      <c r="AT45" s="28" t="str">
        <f aca="false">IF(OR($A45="",$P45=""),"",($P45-FinanceLeadDays)-MOD(($P45-FinanceLeadDays)-DATE(2024,1,2),7))</f>
        <v/>
      </c>
      <c r="AU45" s="28"/>
      <c r="AV45" s="27"/>
      <c r="AW45" s="27"/>
      <c r="AX45" s="30" t="n">
        <f aca="false">IF(OR($A45="",$B45="Denied",$B45="Cancelled"),0,N($AD45))</f>
        <v>0</v>
      </c>
      <c r="AY45" s="30" t="n">
        <f aca="false">IF($A45="",0,N($AJ45))</f>
        <v>0</v>
      </c>
      <c r="AZ45" s="30" t="n">
        <f aca="false">IF(OR($A45="",$B45="Denied",$B45="Cancelled",$B45="Closed"),0,IF(N($AJ45)&gt;0,0,N($AD45)))</f>
        <v>0</v>
      </c>
      <c r="BA45" s="31" t="n">
        <f aca="false">IF($A45="",0,IF($B45="Awaiting Approval",COUNTIF(BA$1:BA44,"&gt;0")+1,0))</f>
        <v>0</v>
      </c>
      <c r="BB45" s="31" t="n">
        <f aca="false">IF($A45="",0,IF(AND($B45="Approved",$AP45&lt;&gt;"Y"),COUNTIF(BB$1:BB44,"&gt;0")+1,0))</f>
        <v>0</v>
      </c>
      <c r="BC45" s="31" t="n">
        <f aca="false">IF($A45="",0,IF(AND($B45="Approved",N($U45)&gt;0,$AQ45&lt;&gt;"Y"),COUNTIF(BC$1:BC44,"&gt;0")+1,0))</f>
        <v>0</v>
      </c>
      <c r="BD45" s="31" t="n">
        <f aca="true">IF($A45="",0,IF(AND($AR45&lt;&gt;"",N($AR45)&lt;TODAY(),$AS45="",$B45&lt;&gt;"Closed",$B45&lt;&gt;"Cancelled",$B45&lt;&gt;"Denied"),COUNTIF(BD$1:BD44,"&gt;0")+1,0))</f>
        <v>0</v>
      </c>
      <c r="BE45" s="31" t="n">
        <f aca="true">IF($A45="",0,IF(AND($AT45&lt;&gt;"",N($AT45)&lt;=TODAY()+7,$AU45="",$B45&lt;&gt;"Denied",$B45&lt;&gt;"Cancelled",$B45&lt;&gt;"Closed"),COUNTIF(BE$1:BE44,"&gt;0")+1,0))</f>
        <v>0</v>
      </c>
      <c r="BF45" s="27"/>
      <c r="BG45" s="27"/>
      <c r="BH45" s="27"/>
      <c r="BI45" s="27"/>
    </row>
    <row r="46" customFormat="false" ht="15" hidden="false" customHeight="false" outlineLevel="0" collapsed="false">
      <c r="A46" s="22"/>
      <c r="B46" s="22"/>
      <c r="C46" s="22"/>
      <c r="D46" s="22"/>
      <c r="E46" s="22"/>
      <c r="F46" s="22"/>
      <c r="G46" s="22"/>
      <c r="H46" s="22"/>
      <c r="I46" s="22"/>
      <c r="J46" s="22"/>
      <c r="K46" s="22"/>
      <c r="L46" s="22"/>
      <c r="M46" s="22"/>
      <c r="N46" s="23"/>
      <c r="O46" s="23"/>
      <c r="P46" s="23"/>
      <c r="Q46" s="24"/>
      <c r="R46" s="23"/>
      <c r="S46" s="24"/>
      <c r="T46" s="25"/>
      <c r="U46" s="26"/>
      <c r="V46" s="25"/>
      <c r="W46" s="25" t="str">
        <f aca="false">IF($A46="","",N($U46)*N($V46))</f>
        <v/>
      </c>
      <c r="X46" s="22"/>
      <c r="Y46" s="26"/>
      <c r="Z46" s="25"/>
      <c r="AA46" s="25" t="str">
        <f aca="false">IF($A46="","",IF($X46="POV",N($Y46)*MileageRate,0)+N($Z46))</f>
        <v/>
      </c>
      <c r="AB46" s="25" t="str">
        <f aca="false">IF(OR($A46="",$P46="",$R46="",$Q46="",$S46=""),"",IF($R46=$P46,($Q46&lt;=T_DepBfast)*($S46&gt;=T_RetBfast)*PD_Bfast+($Q46&lt;=T_DepLunch)*($S46&gt;=T_RetLunch)*PD_Lunch+($Q46&lt;=T_DepDinner)*($S46&gt;=T_RetDinner)*PD_Dinner+PD_Incid,($Q46&lt;=T_DepBfast)*PD_Bfast+($Q46&lt;=T_DepLunch)*PD_Lunch+($Q46&lt;=T_DepDinner)*PD_Dinner+($S46&gt;=T_RetBfast)*PD_Bfast+($S46&gt;=T_RetLunch)*PD_Lunch+($S46&gt;=T_RetDinner)*PD_Dinner+MAX($R46-$P46-1,0)*(PD_Bfast+PD_Lunch+PD_Dinner)+($R46-$P46+1)*PD_Incid))</f>
        <v/>
      </c>
      <c r="AC46" s="25"/>
      <c r="AD46" s="25" t="str">
        <f aca="false">IF($A46="","",N($T46)+N($W46)+N($AA46)+N($AB46)+N($AC46))</f>
        <v/>
      </c>
      <c r="AE46" s="25"/>
      <c r="AF46" s="25"/>
      <c r="AG46" s="25"/>
      <c r="AH46" s="25"/>
      <c r="AI46" s="25"/>
      <c r="AJ46" s="25" t="str">
        <f aca="false">IF($A46="","",IF(COUNT($AE46:$AI46)=0,"",SUM($AE46:$AI46)))</f>
        <v/>
      </c>
      <c r="AK46" s="25"/>
      <c r="AL46" s="25"/>
      <c r="AM46" s="25" t="str">
        <f aca="false">IF(OR($A46="",$AJ46=""),"",$AJ46-N($AK46)-N($AL46))</f>
        <v/>
      </c>
      <c r="AN46" s="23"/>
      <c r="AO46" s="23"/>
      <c r="AP46" s="22"/>
      <c r="AQ46" s="22"/>
      <c r="AR46" s="23" t="str">
        <f aca="false">IF(OR($A46="",$R46=""),"",$R46+ReceiptDays)</f>
        <v/>
      </c>
      <c r="AS46" s="23"/>
      <c r="AT46" s="23" t="str">
        <f aca="false">IF(OR($A46="",$P46=""),"",($P46-FinanceLeadDays)-MOD(($P46-FinanceLeadDays)-DATE(2024,1,2),7))</f>
        <v/>
      </c>
      <c r="AU46" s="23"/>
      <c r="AV46" s="22"/>
      <c r="AW46" s="22"/>
      <c r="AX46" s="25" t="n">
        <f aca="false">IF(OR($A46="",$B46="Denied",$B46="Cancelled"),0,N($AD46))</f>
        <v>0</v>
      </c>
      <c r="AY46" s="25" t="n">
        <f aca="false">IF($A46="",0,N($AJ46))</f>
        <v>0</v>
      </c>
      <c r="AZ46" s="25" t="n">
        <f aca="false">IF(OR($A46="",$B46="Denied",$B46="Cancelled",$B46="Closed"),0,IF(N($AJ46)&gt;0,0,N($AD46)))</f>
        <v>0</v>
      </c>
      <c r="BA46" s="26" t="n">
        <f aca="false">IF($A46="",0,IF($B46="Awaiting Approval",COUNTIF(BA$1:BA45,"&gt;0")+1,0))</f>
        <v>0</v>
      </c>
      <c r="BB46" s="26" t="n">
        <f aca="false">IF($A46="",0,IF(AND($B46="Approved",$AP46&lt;&gt;"Y"),COUNTIF(BB$1:BB45,"&gt;0")+1,0))</f>
        <v>0</v>
      </c>
      <c r="BC46" s="26" t="n">
        <f aca="false">IF($A46="",0,IF(AND($B46="Approved",N($U46)&gt;0,$AQ46&lt;&gt;"Y"),COUNTIF(BC$1:BC45,"&gt;0")+1,0))</f>
        <v>0</v>
      </c>
      <c r="BD46" s="26" t="n">
        <f aca="true">IF($A46="",0,IF(AND($AR46&lt;&gt;"",N($AR46)&lt;TODAY(),$AS46="",$B46&lt;&gt;"Closed",$B46&lt;&gt;"Cancelled",$B46&lt;&gt;"Denied"),COUNTIF(BD$1:BD45,"&gt;0")+1,0))</f>
        <v>0</v>
      </c>
      <c r="BE46" s="26" t="n">
        <f aca="true">IF($A46="",0,IF(AND($AT46&lt;&gt;"",N($AT46)&lt;=TODAY()+7,$AU46="",$B46&lt;&gt;"Denied",$B46&lt;&gt;"Cancelled",$B46&lt;&gt;"Closed"),COUNTIF(BE$1:BE45,"&gt;0")+1,0))</f>
        <v>0</v>
      </c>
      <c r="BF46" s="22"/>
      <c r="BG46" s="22"/>
      <c r="BH46" s="22"/>
      <c r="BI46" s="22"/>
    </row>
    <row r="47" customFormat="false" ht="15" hidden="false" customHeight="false" outlineLevel="0" collapsed="false">
      <c r="A47" s="27"/>
      <c r="B47" s="27"/>
      <c r="C47" s="27"/>
      <c r="D47" s="27"/>
      <c r="E47" s="27"/>
      <c r="F47" s="27"/>
      <c r="G47" s="27"/>
      <c r="H47" s="27"/>
      <c r="I47" s="27"/>
      <c r="J47" s="27"/>
      <c r="K47" s="27"/>
      <c r="L47" s="27"/>
      <c r="M47" s="27"/>
      <c r="N47" s="28"/>
      <c r="O47" s="28"/>
      <c r="P47" s="28"/>
      <c r="Q47" s="29"/>
      <c r="R47" s="28"/>
      <c r="S47" s="29"/>
      <c r="T47" s="30"/>
      <c r="U47" s="31"/>
      <c r="V47" s="30"/>
      <c r="W47" s="30" t="str">
        <f aca="false">IF($A47="","",N($U47)*N($V47))</f>
        <v/>
      </c>
      <c r="X47" s="27"/>
      <c r="Y47" s="31"/>
      <c r="Z47" s="30"/>
      <c r="AA47" s="30" t="str">
        <f aca="false">IF($A47="","",IF($X47="POV",N($Y47)*MileageRate,0)+N($Z47))</f>
        <v/>
      </c>
      <c r="AB47" s="30" t="str">
        <f aca="false">IF(OR($A47="",$P47="",$R47="",$Q47="",$S47=""),"",IF($R47=$P47,($Q47&lt;=T_DepBfast)*($S47&gt;=T_RetBfast)*PD_Bfast+($Q47&lt;=T_DepLunch)*($S47&gt;=T_RetLunch)*PD_Lunch+($Q47&lt;=T_DepDinner)*($S47&gt;=T_RetDinner)*PD_Dinner+PD_Incid,($Q47&lt;=T_DepBfast)*PD_Bfast+($Q47&lt;=T_DepLunch)*PD_Lunch+($Q47&lt;=T_DepDinner)*PD_Dinner+($S47&gt;=T_RetBfast)*PD_Bfast+($S47&gt;=T_RetLunch)*PD_Lunch+($S47&gt;=T_RetDinner)*PD_Dinner+MAX($R47-$P47-1,0)*(PD_Bfast+PD_Lunch+PD_Dinner)+($R47-$P47+1)*PD_Incid))</f>
        <v/>
      </c>
      <c r="AC47" s="30"/>
      <c r="AD47" s="30" t="str">
        <f aca="false">IF($A47="","",N($T47)+N($W47)+N($AA47)+N($AB47)+N($AC47))</f>
        <v/>
      </c>
      <c r="AE47" s="30"/>
      <c r="AF47" s="30"/>
      <c r="AG47" s="30"/>
      <c r="AH47" s="30"/>
      <c r="AI47" s="30"/>
      <c r="AJ47" s="30" t="str">
        <f aca="false">IF($A47="","",IF(COUNT($AE47:$AI47)=0,"",SUM($AE47:$AI47)))</f>
        <v/>
      </c>
      <c r="AK47" s="30"/>
      <c r="AL47" s="30"/>
      <c r="AM47" s="30" t="str">
        <f aca="false">IF(OR($A47="",$AJ47=""),"",$AJ47-N($AK47)-N($AL47))</f>
        <v/>
      </c>
      <c r="AN47" s="28"/>
      <c r="AO47" s="28"/>
      <c r="AP47" s="27"/>
      <c r="AQ47" s="27"/>
      <c r="AR47" s="28" t="str">
        <f aca="false">IF(OR($A47="",$R47=""),"",$R47+ReceiptDays)</f>
        <v/>
      </c>
      <c r="AS47" s="28"/>
      <c r="AT47" s="28" t="str">
        <f aca="false">IF(OR($A47="",$P47=""),"",($P47-FinanceLeadDays)-MOD(($P47-FinanceLeadDays)-DATE(2024,1,2),7))</f>
        <v/>
      </c>
      <c r="AU47" s="28"/>
      <c r="AV47" s="27"/>
      <c r="AW47" s="27"/>
      <c r="AX47" s="30" t="n">
        <f aca="false">IF(OR($A47="",$B47="Denied",$B47="Cancelled"),0,N($AD47))</f>
        <v>0</v>
      </c>
      <c r="AY47" s="30" t="n">
        <f aca="false">IF($A47="",0,N($AJ47))</f>
        <v>0</v>
      </c>
      <c r="AZ47" s="30" t="n">
        <f aca="false">IF(OR($A47="",$B47="Denied",$B47="Cancelled",$B47="Closed"),0,IF(N($AJ47)&gt;0,0,N($AD47)))</f>
        <v>0</v>
      </c>
      <c r="BA47" s="31" t="n">
        <f aca="false">IF($A47="",0,IF($B47="Awaiting Approval",COUNTIF(BA$1:BA46,"&gt;0")+1,0))</f>
        <v>0</v>
      </c>
      <c r="BB47" s="31" t="n">
        <f aca="false">IF($A47="",0,IF(AND($B47="Approved",$AP47&lt;&gt;"Y"),COUNTIF(BB$1:BB46,"&gt;0")+1,0))</f>
        <v>0</v>
      </c>
      <c r="BC47" s="31" t="n">
        <f aca="false">IF($A47="",0,IF(AND($B47="Approved",N($U47)&gt;0,$AQ47&lt;&gt;"Y"),COUNTIF(BC$1:BC46,"&gt;0")+1,0))</f>
        <v>0</v>
      </c>
      <c r="BD47" s="31" t="n">
        <f aca="true">IF($A47="",0,IF(AND($AR47&lt;&gt;"",N($AR47)&lt;TODAY(),$AS47="",$B47&lt;&gt;"Closed",$B47&lt;&gt;"Cancelled",$B47&lt;&gt;"Denied"),COUNTIF(BD$1:BD46,"&gt;0")+1,0))</f>
        <v>0</v>
      </c>
      <c r="BE47" s="31" t="n">
        <f aca="true">IF($A47="",0,IF(AND($AT47&lt;&gt;"",N($AT47)&lt;=TODAY()+7,$AU47="",$B47&lt;&gt;"Denied",$B47&lt;&gt;"Cancelled",$B47&lt;&gt;"Closed"),COUNTIF(BE$1:BE46,"&gt;0")+1,0))</f>
        <v>0</v>
      </c>
      <c r="BF47" s="27"/>
      <c r="BG47" s="27"/>
      <c r="BH47" s="27"/>
      <c r="BI47" s="27"/>
    </row>
    <row r="48" customFormat="false" ht="15" hidden="false" customHeight="false" outlineLevel="0" collapsed="false">
      <c r="A48" s="22"/>
      <c r="B48" s="22"/>
      <c r="C48" s="22"/>
      <c r="D48" s="22"/>
      <c r="E48" s="22"/>
      <c r="F48" s="22"/>
      <c r="G48" s="22"/>
      <c r="H48" s="22"/>
      <c r="I48" s="22"/>
      <c r="J48" s="22"/>
      <c r="K48" s="22"/>
      <c r="L48" s="22"/>
      <c r="M48" s="22"/>
      <c r="N48" s="23"/>
      <c r="O48" s="23"/>
      <c r="P48" s="23"/>
      <c r="Q48" s="24"/>
      <c r="R48" s="23"/>
      <c r="S48" s="24"/>
      <c r="T48" s="25"/>
      <c r="U48" s="26"/>
      <c r="V48" s="25"/>
      <c r="W48" s="25" t="str">
        <f aca="false">IF($A48="","",N($U48)*N($V48))</f>
        <v/>
      </c>
      <c r="X48" s="22"/>
      <c r="Y48" s="26"/>
      <c r="Z48" s="25"/>
      <c r="AA48" s="25" t="str">
        <f aca="false">IF($A48="","",IF($X48="POV",N($Y48)*MileageRate,0)+N($Z48))</f>
        <v/>
      </c>
      <c r="AB48" s="25" t="str">
        <f aca="false">IF(OR($A48="",$P48="",$R48="",$Q48="",$S48=""),"",IF($R48=$P48,($Q48&lt;=T_DepBfast)*($S48&gt;=T_RetBfast)*PD_Bfast+($Q48&lt;=T_DepLunch)*($S48&gt;=T_RetLunch)*PD_Lunch+($Q48&lt;=T_DepDinner)*($S48&gt;=T_RetDinner)*PD_Dinner+PD_Incid,($Q48&lt;=T_DepBfast)*PD_Bfast+($Q48&lt;=T_DepLunch)*PD_Lunch+($Q48&lt;=T_DepDinner)*PD_Dinner+($S48&gt;=T_RetBfast)*PD_Bfast+($S48&gt;=T_RetLunch)*PD_Lunch+($S48&gt;=T_RetDinner)*PD_Dinner+MAX($R48-$P48-1,0)*(PD_Bfast+PD_Lunch+PD_Dinner)+($R48-$P48+1)*PD_Incid))</f>
        <v/>
      </c>
      <c r="AC48" s="25"/>
      <c r="AD48" s="25" t="str">
        <f aca="false">IF($A48="","",N($T48)+N($W48)+N($AA48)+N($AB48)+N($AC48))</f>
        <v/>
      </c>
      <c r="AE48" s="25"/>
      <c r="AF48" s="25"/>
      <c r="AG48" s="25"/>
      <c r="AH48" s="25"/>
      <c r="AI48" s="25"/>
      <c r="AJ48" s="25" t="str">
        <f aca="false">IF($A48="","",IF(COUNT($AE48:$AI48)=0,"",SUM($AE48:$AI48)))</f>
        <v/>
      </c>
      <c r="AK48" s="25"/>
      <c r="AL48" s="25"/>
      <c r="AM48" s="25" t="str">
        <f aca="false">IF(OR($A48="",$AJ48=""),"",$AJ48-N($AK48)-N($AL48))</f>
        <v/>
      </c>
      <c r="AN48" s="23"/>
      <c r="AO48" s="23"/>
      <c r="AP48" s="22"/>
      <c r="AQ48" s="22"/>
      <c r="AR48" s="23" t="str">
        <f aca="false">IF(OR($A48="",$R48=""),"",$R48+ReceiptDays)</f>
        <v/>
      </c>
      <c r="AS48" s="23"/>
      <c r="AT48" s="23" t="str">
        <f aca="false">IF(OR($A48="",$P48=""),"",($P48-FinanceLeadDays)-MOD(($P48-FinanceLeadDays)-DATE(2024,1,2),7))</f>
        <v/>
      </c>
      <c r="AU48" s="23"/>
      <c r="AV48" s="22"/>
      <c r="AW48" s="22"/>
      <c r="AX48" s="25" t="n">
        <f aca="false">IF(OR($A48="",$B48="Denied",$B48="Cancelled"),0,N($AD48))</f>
        <v>0</v>
      </c>
      <c r="AY48" s="25" t="n">
        <f aca="false">IF($A48="",0,N($AJ48))</f>
        <v>0</v>
      </c>
      <c r="AZ48" s="25" t="n">
        <f aca="false">IF(OR($A48="",$B48="Denied",$B48="Cancelled",$B48="Closed"),0,IF(N($AJ48)&gt;0,0,N($AD48)))</f>
        <v>0</v>
      </c>
      <c r="BA48" s="26" t="n">
        <f aca="false">IF($A48="",0,IF($B48="Awaiting Approval",COUNTIF(BA$1:BA47,"&gt;0")+1,0))</f>
        <v>0</v>
      </c>
      <c r="BB48" s="26" t="n">
        <f aca="false">IF($A48="",0,IF(AND($B48="Approved",$AP48&lt;&gt;"Y"),COUNTIF(BB$1:BB47,"&gt;0")+1,0))</f>
        <v>0</v>
      </c>
      <c r="BC48" s="26" t="n">
        <f aca="false">IF($A48="",0,IF(AND($B48="Approved",N($U48)&gt;0,$AQ48&lt;&gt;"Y"),COUNTIF(BC$1:BC47,"&gt;0")+1,0))</f>
        <v>0</v>
      </c>
      <c r="BD48" s="26" t="n">
        <f aca="true">IF($A48="",0,IF(AND($AR48&lt;&gt;"",N($AR48)&lt;TODAY(),$AS48="",$B48&lt;&gt;"Closed",$B48&lt;&gt;"Cancelled",$B48&lt;&gt;"Denied"),COUNTIF(BD$1:BD47,"&gt;0")+1,0))</f>
        <v>0</v>
      </c>
      <c r="BE48" s="26" t="n">
        <f aca="true">IF($A48="",0,IF(AND($AT48&lt;&gt;"",N($AT48)&lt;=TODAY()+7,$AU48="",$B48&lt;&gt;"Denied",$B48&lt;&gt;"Cancelled",$B48&lt;&gt;"Closed"),COUNTIF(BE$1:BE47,"&gt;0")+1,0))</f>
        <v>0</v>
      </c>
      <c r="BF48" s="22"/>
      <c r="BG48" s="22"/>
      <c r="BH48" s="22"/>
      <c r="BI48" s="22"/>
    </row>
    <row r="49" customFormat="false" ht="15" hidden="false" customHeight="false" outlineLevel="0" collapsed="false">
      <c r="A49" s="27"/>
      <c r="B49" s="27"/>
      <c r="C49" s="27"/>
      <c r="D49" s="27"/>
      <c r="E49" s="27"/>
      <c r="F49" s="27"/>
      <c r="G49" s="27"/>
      <c r="H49" s="27"/>
      <c r="I49" s="27"/>
      <c r="J49" s="27"/>
      <c r="K49" s="27"/>
      <c r="L49" s="27"/>
      <c r="M49" s="27"/>
      <c r="N49" s="28"/>
      <c r="O49" s="28"/>
      <c r="P49" s="28"/>
      <c r="Q49" s="29"/>
      <c r="R49" s="28"/>
      <c r="S49" s="29"/>
      <c r="T49" s="30"/>
      <c r="U49" s="31"/>
      <c r="V49" s="30"/>
      <c r="W49" s="30" t="str">
        <f aca="false">IF($A49="","",N($U49)*N($V49))</f>
        <v/>
      </c>
      <c r="X49" s="27"/>
      <c r="Y49" s="31"/>
      <c r="Z49" s="30"/>
      <c r="AA49" s="30" t="str">
        <f aca="false">IF($A49="","",IF($X49="POV",N($Y49)*MileageRate,0)+N($Z49))</f>
        <v/>
      </c>
      <c r="AB49" s="30" t="str">
        <f aca="false">IF(OR($A49="",$P49="",$R49="",$Q49="",$S49=""),"",IF($R49=$P49,($Q49&lt;=T_DepBfast)*($S49&gt;=T_RetBfast)*PD_Bfast+($Q49&lt;=T_DepLunch)*($S49&gt;=T_RetLunch)*PD_Lunch+($Q49&lt;=T_DepDinner)*($S49&gt;=T_RetDinner)*PD_Dinner+PD_Incid,($Q49&lt;=T_DepBfast)*PD_Bfast+($Q49&lt;=T_DepLunch)*PD_Lunch+($Q49&lt;=T_DepDinner)*PD_Dinner+($S49&gt;=T_RetBfast)*PD_Bfast+($S49&gt;=T_RetLunch)*PD_Lunch+($S49&gt;=T_RetDinner)*PD_Dinner+MAX($R49-$P49-1,0)*(PD_Bfast+PD_Lunch+PD_Dinner)+($R49-$P49+1)*PD_Incid))</f>
        <v/>
      </c>
      <c r="AC49" s="30"/>
      <c r="AD49" s="30" t="str">
        <f aca="false">IF($A49="","",N($T49)+N($W49)+N($AA49)+N($AB49)+N($AC49))</f>
        <v/>
      </c>
      <c r="AE49" s="30"/>
      <c r="AF49" s="30"/>
      <c r="AG49" s="30"/>
      <c r="AH49" s="30"/>
      <c r="AI49" s="30"/>
      <c r="AJ49" s="30" t="str">
        <f aca="false">IF($A49="","",IF(COUNT($AE49:$AI49)=0,"",SUM($AE49:$AI49)))</f>
        <v/>
      </c>
      <c r="AK49" s="30"/>
      <c r="AL49" s="30"/>
      <c r="AM49" s="30" t="str">
        <f aca="false">IF(OR($A49="",$AJ49=""),"",$AJ49-N($AK49)-N($AL49))</f>
        <v/>
      </c>
      <c r="AN49" s="28"/>
      <c r="AO49" s="28"/>
      <c r="AP49" s="27"/>
      <c r="AQ49" s="27"/>
      <c r="AR49" s="28" t="str">
        <f aca="false">IF(OR($A49="",$R49=""),"",$R49+ReceiptDays)</f>
        <v/>
      </c>
      <c r="AS49" s="28"/>
      <c r="AT49" s="28" t="str">
        <f aca="false">IF(OR($A49="",$P49=""),"",($P49-FinanceLeadDays)-MOD(($P49-FinanceLeadDays)-DATE(2024,1,2),7))</f>
        <v/>
      </c>
      <c r="AU49" s="28"/>
      <c r="AV49" s="27"/>
      <c r="AW49" s="27"/>
      <c r="AX49" s="30" t="n">
        <f aca="false">IF(OR($A49="",$B49="Denied",$B49="Cancelled"),0,N($AD49))</f>
        <v>0</v>
      </c>
      <c r="AY49" s="30" t="n">
        <f aca="false">IF($A49="",0,N($AJ49))</f>
        <v>0</v>
      </c>
      <c r="AZ49" s="30" t="n">
        <f aca="false">IF(OR($A49="",$B49="Denied",$B49="Cancelled",$B49="Closed"),0,IF(N($AJ49)&gt;0,0,N($AD49)))</f>
        <v>0</v>
      </c>
      <c r="BA49" s="31" t="n">
        <f aca="false">IF($A49="",0,IF($B49="Awaiting Approval",COUNTIF(BA$1:BA48,"&gt;0")+1,0))</f>
        <v>0</v>
      </c>
      <c r="BB49" s="31" t="n">
        <f aca="false">IF($A49="",0,IF(AND($B49="Approved",$AP49&lt;&gt;"Y"),COUNTIF(BB$1:BB48,"&gt;0")+1,0))</f>
        <v>0</v>
      </c>
      <c r="BC49" s="31" t="n">
        <f aca="false">IF($A49="",0,IF(AND($B49="Approved",N($U49)&gt;0,$AQ49&lt;&gt;"Y"),COUNTIF(BC$1:BC48,"&gt;0")+1,0))</f>
        <v>0</v>
      </c>
      <c r="BD49" s="31" t="n">
        <f aca="true">IF($A49="",0,IF(AND($AR49&lt;&gt;"",N($AR49)&lt;TODAY(),$AS49="",$B49&lt;&gt;"Closed",$B49&lt;&gt;"Cancelled",$B49&lt;&gt;"Denied"),COUNTIF(BD$1:BD48,"&gt;0")+1,0))</f>
        <v>0</v>
      </c>
      <c r="BE49" s="31" t="n">
        <f aca="true">IF($A49="",0,IF(AND($AT49&lt;&gt;"",N($AT49)&lt;=TODAY()+7,$AU49="",$B49&lt;&gt;"Denied",$B49&lt;&gt;"Cancelled",$B49&lt;&gt;"Closed"),COUNTIF(BE$1:BE48,"&gt;0")+1,0))</f>
        <v>0</v>
      </c>
      <c r="BF49" s="27"/>
      <c r="BG49" s="27"/>
      <c r="BH49" s="27"/>
      <c r="BI49" s="27"/>
    </row>
    <row r="50" customFormat="false" ht="15" hidden="false" customHeight="false" outlineLevel="0" collapsed="false">
      <c r="A50" s="22"/>
      <c r="B50" s="22"/>
      <c r="C50" s="22"/>
      <c r="D50" s="22"/>
      <c r="E50" s="22"/>
      <c r="F50" s="22"/>
      <c r="G50" s="22"/>
      <c r="H50" s="22"/>
      <c r="I50" s="22"/>
      <c r="J50" s="22"/>
      <c r="K50" s="22"/>
      <c r="L50" s="22"/>
      <c r="M50" s="22"/>
      <c r="N50" s="23"/>
      <c r="O50" s="23"/>
      <c r="P50" s="23"/>
      <c r="Q50" s="24"/>
      <c r="R50" s="23"/>
      <c r="S50" s="24"/>
      <c r="T50" s="25"/>
      <c r="U50" s="26"/>
      <c r="V50" s="25"/>
      <c r="W50" s="25" t="str">
        <f aca="false">IF($A50="","",N($U50)*N($V50))</f>
        <v/>
      </c>
      <c r="X50" s="22"/>
      <c r="Y50" s="26"/>
      <c r="Z50" s="25"/>
      <c r="AA50" s="25" t="str">
        <f aca="false">IF($A50="","",IF($X50="POV",N($Y50)*MileageRate,0)+N($Z50))</f>
        <v/>
      </c>
      <c r="AB50" s="25" t="str">
        <f aca="false">IF(OR($A50="",$P50="",$R50="",$Q50="",$S50=""),"",IF($R50=$P50,($Q50&lt;=T_DepBfast)*($S50&gt;=T_RetBfast)*PD_Bfast+($Q50&lt;=T_DepLunch)*($S50&gt;=T_RetLunch)*PD_Lunch+($Q50&lt;=T_DepDinner)*($S50&gt;=T_RetDinner)*PD_Dinner+PD_Incid,($Q50&lt;=T_DepBfast)*PD_Bfast+($Q50&lt;=T_DepLunch)*PD_Lunch+($Q50&lt;=T_DepDinner)*PD_Dinner+($S50&gt;=T_RetBfast)*PD_Bfast+($S50&gt;=T_RetLunch)*PD_Lunch+($S50&gt;=T_RetDinner)*PD_Dinner+MAX($R50-$P50-1,0)*(PD_Bfast+PD_Lunch+PD_Dinner)+($R50-$P50+1)*PD_Incid))</f>
        <v/>
      </c>
      <c r="AC50" s="25"/>
      <c r="AD50" s="25" t="str">
        <f aca="false">IF($A50="","",N($T50)+N($W50)+N($AA50)+N($AB50)+N($AC50))</f>
        <v/>
      </c>
      <c r="AE50" s="25"/>
      <c r="AF50" s="25"/>
      <c r="AG50" s="25"/>
      <c r="AH50" s="25"/>
      <c r="AI50" s="25"/>
      <c r="AJ50" s="25" t="str">
        <f aca="false">IF($A50="","",IF(COUNT($AE50:$AI50)=0,"",SUM($AE50:$AI50)))</f>
        <v/>
      </c>
      <c r="AK50" s="25"/>
      <c r="AL50" s="25"/>
      <c r="AM50" s="25" t="str">
        <f aca="false">IF(OR($A50="",$AJ50=""),"",$AJ50-N($AK50)-N($AL50))</f>
        <v/>
      </c>
      <c r="AN50" s="23"/>
      <c r="AO50" s="23"/>
      <c r="AP50" s="22"/>
      <c r="AQ50" s="22"/>
      <c r="AR50" s="23" t="str">
        <f aca="false">IF(OR($A50="",$R50=""),"",$R50+ReceiptDays)</f>
        <v/>
      </c>
      <c r="AS50" s="23"/>
      <c r="AT50" s="23" t="str">
        <f aca="false">IF(OR($A50="",$P50=""),"",($P50-FinanceLeadDays)-MOD(($P50-FinanceLeadDays)-DATE(2024,1,2),7))</f>
        <v/>
      </c>
      <c r="AU50" s="23"/>
      <c r="AV50" s="22"/>
      <c r="AW50" s="22"/>
      <c r="AX50" s="25" t="n">
        <f aca="false">IF(OR($A50="",$B50="Denied",$B50="Cancelled"),0,N($AD50))</f>
        <v>0</v>
      </c>
      <c r="AY50" s="25" t="n">
        <f aca="false">IF($A50="",0,N($AJ50))</f>
        <v>0</v>
      </c>
      <c r="AZ50" s="25" t="n">
        <f aca="false">IF(OR($A50="",$B50="Denied",$B50="Cancelled",$B50="Closed"),0,IF(N($AJ50)&gt;0,0,N($AD50)))</f>
        <v>0</v>
      </c>
      <c r="BA50" s="26" t="n">
        <f aca="false">IF($A50="",0,IF($B50="Awaiting Approval",COUNTIF(BA$1:BA49,"&gt;0")+1,0))</f>
        <v>0</v>
      </c>
      <c r="BB50" s="26" t="n">
        <f aca="false">IF($A50="",0,IF(AND($B50="Approved",$AP50&lt;&gt;"Y"),COUNTIF(BB$1:BB49,"&gt;0")+1,0))</f>
        <v>0</v>
      </c>
      <c r="BC50" s="26" t="n">
        <f aca="false">IF($A50="",0,IF(AND($B50="Approved",N($U50)&gt;0,$AQ50&lt;&gt;"Y"),COUNTIF(BC$1:BC49,"&gt;0")+1,0))</f>
        <v>0</v>
      </c>
      <c r="BD50" s="26" t="n">
        <f aca="true">IF($A50="",0,IF(AND($AR50&lt;&gt;"",N($AR50)&lt;TODAY(),$AS50="",$B50&lt;&gt;"Closed",$B50&lt;&gt;"Cancelled",$B50&lt;&gt;"Denied"),COUNTIF(BD$1:BD49,"&gt;0")+1,0))</f>
        <v>0</v>
      </c>
      <c r="BE50" s="26" t="n">
        <f aca="true">IF($A50="",0,IF(AND($AT50&lt;&gt;"",N($AT50)&lt;=TODAY()+7,$AU50="",$B50&lt;&gt;"Denied",$B50&lt;&gt;"Cancelled",$B50&lt;&gt;"Closed"),COUNTIF(BE$1:BE49,"&gt;0")+1,0))</f>
        <v>0</v>
      </c>
      <c r="BF50" s="22"/>
      <c r="BG50" s="22"/>
      <c r="BH50" s="22"/>
      <c r="BI50" s="22"/>
    </row>
    <row r="51" customFormat="false" ht="15" hidden="false" customHeight="false" outlineLevel="0" collapsed="false">
      <c r="A51" s="27"/>
      <c r="B51" s="27"/>
      <c r="C51" s="27"/>
      <c r="D51" s="27"/>
      <c r="E51" s="27"/>
      <c r="F51" s="27"/>
      <c r="G51" s="27"/>
      <c r="H51" s="27"/>
      <c r="I51" s="27"/>
      <c r="J51" s="27"/>
      <c r="K51" s="27"/>
      <c r="L51" s="27"/>
      <c r="M51" s="27"/>
      <c r="N51" s="28"/>
      <c r="O51" s="28"/>
      <c r="P51" s="28"/>
      <c r="Q51" s="29"/>
      <c r="R51" s="28"/>
      <c r="S51" s="29"/>
      <c r="T51" s="30"/>
      <c r="U51" s="31"/>
      <c r="V51" s="30"/>
      <c r="W51" s="30" t="str">
        <f aca="false">IF($A51="","",N($U51)*N($V51))</f>
        <v/>
      </c>
      <c r="X51" s="27"/>
      <c r="Y51" s="31"/>
      <c r="Z51" s="30"/>
      <c r="AA51" s="30" t="str">
        <f aca="false">IF($A51="","",IF($X51="POV",N($Y51)*MileageRate,0)+N($Z51))</f>
        <v/>
      </c>
      <c r="AB51" s="30" t="str">
        <f aca="false">IF(OR($A51="",$P51="",$R51="",$Q51="",$S51=""),"",IF($R51=$P51,($Q51&lt;=T_DepBfast)*($S51&gt;=T_RetBfast)*PD_Bfast+($Q51&lt;=T_DepLunch)*($S51&gt;=T_RetLunch)*PD_Lunch+($Q51&lt;=T_DepDinner)*($S51&gt;=T_RetDinner)*PD_Dinner+PD_Incid,($Q51&lt;=T_DepBfast)*PD_Bfast+($Q51&lt;=T_DepLunch)*PD_Lunch+($Q51&lt;=T_DepDinner)*PD_Dinner+($S51&gt;=T_RetBfast)*PD_Bfast+($S51&gt;=T_RetLunch)*PD_Lunch+($S51&gt;=T_RetDinner)*PD_Dinner+MAX($R51-$P51-1,0)*(PD_Bfast+PD_Lunch+PD_Dinner)+($R51-$P51+1)*PD_Incid))</f>
        <v/>
      </c>
      <c r="AC51" s="30"/>
      <c r="AD51" s="30" t="str">
        <f aca="false">IF($A51="","",N($T51)+N($W51)+N($AA51)+N($AB51)+N($AC51))</f>
        <v/>
      </c>
      <c r="AE51" s="30"/>
      <c r="AF51" s="30"/>
      <c r="AG51" s="30"/>
      <c r="AH51" s="30"/>
      <c r="AI51" s="30"/>
      <c r="AJ51" s="30" t="str">
        <f aca="false">IF($A51="","",IF(COUNT($AE51:$AI51)=0,"",SUM($AE51:$AI51)))</f>
        <v/>
      </c>
      <c r="AK51" s="30"/>
      <c r="AL51" s="30"/>
      <c r="AM51" s="30" t="str">
        <f aca="false">IF(OR($A51="",$AJ51=""),"",$AJ51-N($AK51)-N($AL51))</f>
        <v/>
      </c>
      <c r="AN51" s="28"/>
      <c r="AO51" s="28"/>
      <c r="AP51" s="27"/>
      <c r="AQ51" s="27"/>
      <c r="AR51" s="28" t="str">
        <f aca="false">IF(OR($A51="",$R51=""),"",$R51+ReceiptDays)</f>
        <v/>
      </c>
      <c r="AS51" s="28"/>
      <c r="AT51" s="28" t="str">
        <f aca="false">IF(OR($A51="",$P51=""),"",($P51-FinanceLeadDays)-MOD(($P51-FinanceLeadDays)-DATE(2024,1,2),7))</f>
        <v/>
      </c>
      <c r="AU51" s="28"/>
      <c r="AV51" s="27"/>
      <c r="AW51" s="27"/>
      <c r="AX51" s="30" t="n">
        <f aca="false">IF(OR($A51="",$B51="Denied",$B51="Cancelled"),0,N($AD51))</f>
        <v>0</v>
      </c>
      <c r="AY51" s="30" t="n">
        <f aca="false">IF($A51="",0,N($AJ51))</f>
        <v>0</v>
      </c>
      <c r="AZ51" s="30" t="n">
        <f aca="false">IF(OR($A51="",$B51="Denied",$B51="Cancelled",$B51="Closed"),0,IF(N($AJ51)&gt;0,0,N($AD51)))</f>
        <v>0</v>
      </c>
      <c r="BA51" s="31" t="n">
        <f aca="false">IF($A51="",0,IF($B51="Awaiting Approval",COUNTIF(BA$1:BA50,"&gt;0")+1,0))</f>
        <v>0</v>
      </c>
      <c r="BB51" s="31" t="n">
        <f aca="false">IF($A51="",0,IF(AND($B51="Approved",$AP51&lt;&gt;"Y"),COUNTIF(BB$1:BB50,"&gt;0")+1,0))</f>
        <v>0</v>
      </c>
      <c r="BC51" s="31" t="n">
        <f aca="false">IF($A51="",0,IF(AND($B51="Approved",N($U51)&gt;0,$AQ51&lt;&gt;"Y"),COUNTIF(BC$1:BC50,"&gt;0")+1,0))</f>
        <v>0</v>
      </c>
      <c r="BD51" s="31" t="n">
        <f aca="true">IF($A51="",0,IF(AND($AR51&lt;&gt;"",N($AR51)&lt;TODAY(),$AS51="",$B51&lt;&gt;"Closed",$B51&lt;&gt;"Cancelled",$B51&lt;&gt;"Denied"),COUNTIF(BD$1:BD50,"&gt;0")+1,0))</f>
        <v>0</v>
      </c>
      <c r="BE51" s="31" t="n">
        <f aca="true">IF($A51="",0,IF(AND($AT51&lt;&gt;"",N($AT51)&lt;=TODAY()+7,$AU51="",$B51&lt;&gt;"Denied",$B51&lt;&gt;"Cancelled",$B51&lt;&gt;"Closed"),COUNTIF(BE$1:BE50,"&gt;0")+1,0))</f>
        <v>0</v>
      </c>
      <c r="BF51" s="27"/>
      <c r="BG51" s="27"/>
      <c r="BH51" s="27"/>
      <c r="BI51" s="27"/>
    </row>
    <row r="52" customFormat="false" ht="15" hidden="false" customHeight="false" outlineLevel="0" collapsed="false">
      <c r="A52" s="22"/>
      <c r="B52" s="22"/>
      <c r="C52" s="22"/>
      <c r="D52" s="22"/>
      <c r="E52" s="22"/>
      <c r="F52" s="22"/>
      <c r="G52" s="22"/>
      <c r="H52" s="22"/>
      <c r="I52" s="22"/>
      <c r="J52" s="22"/>
      <c r="K52" s="22"/>
      <c r="L52" s="22"/>
      <c r="M52" s="22"/>
      <c r="N52" s="23"/>
      <c r="O52" s="23"/>
      <c r="P52" s="23"/>
      <c r="Q52" s="24"/>
      <c r="R52" s="23"/>
      <c r="S52" s="24"/>
      <c r="T52" s="25"/>
      <c r="U52" s="26"/>
      <c r="V52" s="25"/>
      <c r="W52" s="25" t="str">
        <f aca="false">IF($A52="","",N($U52)*N($V52))</f>
        <v/>
      </c>
      <c r="X52" s="22"/>
      <c r="Y52" s="26"/>
      <c r="Z52" s="25"/>
      <c r="AA52" s="25" t="str">
        <f aca="false">IF($A52="","",IF($X52="POV",N($Y52)*MileageRate,0)+N($Z52))</f>
        <v/>
      </c>
      <c r="AB52" s="25" t="str">
        <f aca="false">IF(OR($A52="",$P52="",$R52="",$Q52="",$S52=""),"",IF($R52=$P52,($Q52&lt;=T_DepBfast)*($S52&gt;=T_RetBfast)*PD_Bfast+($Q52&lt;=T_DepLunch)*($S52&gt;=T_RetLunch)*PD_Lunch+($Q52&lt;=T_DepDinner)*($S52&gt;=T_RetDinner)*PD_Dinner+PD_Incid,($Q52&lt;=T_DepBfast)*PD_Bfast+($Q52&lt;=T_DepLunch)*PD_Lunch+($Q52&lt;=T_DepDinner)*PD_Dinner+($S52&gt;=T_RetBfast)*PD_Bfast+($S52&gt;=T_RetLunch)*PD_Lunch+($S52&gt;=T_RetDinner)*PD_Dinner+MAX($R52-$P52-1,0)*(PD_Bfast+PD_Lunch+PD_Dinner)+($R52-$P52+1)*PD_Incid))</f>
        <v/>
      </c>
      <c r="AC52" s="25"/>
      <c r="AD52" s="25" t="str">
        <f aca="false">IF($A52="","",N($T52)+N($W52)+N($AA52)+N($AB52)+N($AC52))</f>
        <v/>
      </c>
      <c r="AE52" s="25"/>
      <c r="AF52" s="25"/>
      <c r="AG52" s="25"/>
      <c r="AH52" s="25"/>
      <c r="AI52" s="25"/>
      <c r="AJ52" s="25" t="str">
        <f aca="false">IF($A52="","",IF(COUNT($AE52:$AI52)=0,"",SUM($AE52:$AI52)))</f>
        <v/>
      </c>
      <c r="AK52" s="25"/>
      <c r="AL52" s="25"/>
      <c r="AM52" s="25" t="str">
        <f aca="false">IF(OR($A52="",$AJ52=""),"",$AJ52-N($AK52)-N($AL52))</f>
        <v/>
      </c>
      <c r="AN52" s="23"/>
      <c r="AO52" s="23"/>
      <c r="AP52" s="22"/>
      <c r="AQ52" s="22"/>
      <c r="AR52" s="23" t="str">
        <f aca="false">IF(OR($A52="",$R52=""),"",$R52+ReceiptDays)</f>
        <v/>
      </c>
      <c r="AS52" s="23"/>
      <c r="AT52" s="23" t="str">
        <f aca="false">IF(OR($A52="",$P52=""),"",($P52-FinanceLeadDays)-MOD(($P52-FinanceLeadDays)-DATE(2024,1,2),7))</f>
        <v/>
      </c>
      <c r="AU52" s="23"/>
      <c r="AV52" s="22"/>
      <c r="AW52" s="22"/>
      <c r="AX52" s="25" t="n">
        <f aca="false">IF(OR($A52="",$B52="Denied",$B52="Cancelled"),0,N($AD52))</f>
        <v>0</v>
      </c>
      <c r="AY52" s="25" t="n">
        <f aca="false">IF($A52="",0,N($AJ52))</f>
        <v>0</v>
      </c>
      <c r="AZ52" s="25" t="n">
        <f aca="false">IF(OR($A52="",$B52="Denied",$B52="Cancelled",$B52="Closed"),0,IF(N($AJ52)&gt;0,0,N($AD52)))</f>
        <v>0</v>
      </c>
      <c r="BA52" s="26" t="n">
        <f aca="false">IF($A52="",0,IF($B52="Awaiting Approval",COUNTIF(BA$1:BA51,"&gt;0")+1,0))</f>
        <v>0</v>
      </c>
      <c r="BB52" s="26" t="n">
        <f aca="false">IF($A52="",0,IF(AND($B52="Approved",$AP52&lt;&gt;"Y"),COUNTIF(BB$1:BB51,"&gt;0")+1,0))</f>
        <v>0</v>
      </c>
      <c r="BC52" s="26" t="n">
        <f aca="false">IF($A52="",0,IF(AND($B52="Approved",N($U52)&gt;0,$AQ52&lt;&gt;"Y"),COUNTIF(BC$1:BC51,"&gt;0")+1,0))</f>
        <v>0</v>
      </c>
      <c r="BD52" s="26" t="n">
        <f aca="true">IF($A52="",0,IF(AND($AR52&lt;&gt;"",N($AR52)&lt;TODAY(),$AS52="",$B52&lt;&gt;"Closed",$B52&lt;&gt;"Cancelled",$B52&lt;&gt;"Denied"),COUNTIF(BD$1:BD51,"&gt;0")+1,0))</f>
        <v>0</v>
      </c>
      <c r="BE52" s="26" t="n">
        <f aca="true">IF($A52="",0,IF(AND($AT52&lt;&gt;"",N($AT52)&lt;=TODAY()+7,$AU52="",$B52&lt;&gt;"Denied",$B52&lt;&gt;"Cancelled",$B52&lt;&gt;"Closed"),COUNTIF(BE$1:BE51,"&gt;0")+1,0))</f>
        <v>0</v>
      </c>
      <c r="BF52" s="22"/>
      <c r="BG52" s="22"/>
      <c r="BH52" s="22"/>
      <c r="BI52" s="22"/>
    </row>
    <row r="53" customFormat="false" ht="15" hidden="false" customHeight="false" outlineLevel="0" collapsed="false">
      <c r="A53" s="27"/>
      <c r="B53" s="27"/>
      <c r="C53" s="27"/>
      <c r="D53" s="27"/>
      <c r="E53" s="27"/>
      <c r="F53" s="27"/>
      <c r="G53" s="27"/>
      <c r="H53" s="27"/>
      <c r="I53" s="27"/>
      <c r="J53" s="27"/>
      <c r="K53" s="27"/>
      <c r="L53" s="27"/>
      <c r="M53" s="27"/>
      <c r="N53" s="28"/>
      <c r="O53" s="28"/>
      <c r="P53" s="28"/>
      <c r="Q53" s="29"/>
      <c r="R53" s="28"/>
      <c r="S53" s="29"/>
      <c r="T53" s="30"/>
      <c r="U53" s="31"/>
      <c r="V53" s="30"/>
      <c r="W53" s="30" t="str">
        <f aca="false">IF($A53="","",N($U53)*N($V53))</f>
        <v/>
      </c>
      <c r="X53" s="27"/>
      <c r="Y53" s="31"/>
      <c r="Z53" s="30"/>
      <c r="AA53" s="30" t="str">
        <f aca="false">IF($A53="","",IF($X53="POV",N($Y53)*MileageRate,0)+N($Z53))</f>
        <v/>
      </c>
      <c r="AB53" s="30" t="str">
        <f aca="false">IF(OR($A53="",$P53="",$R53="",$Q53="",$S53=""),"",IF($R53=$P53,($Q53&lt;=T_DepBfast)*($S53&gt;=T_RetBfast)*PD_Bfast+($Q53&lt;=T_DepLunch)*($S53&gt;=T_RetLunch)*PD_Lunch+($Q53&lt;=T_DepDinner)*($S53&gt;=T_RetDinner)*PD_Dinner+PD_Incid,($Q53&lt;=T_DepBfast)*PD_Bfast+($Q53&lt;=T_DepLunch)*PD_Lunch+($Q53&lt;=T_DepDinner)*PD_Dinner+($S53&gt;=T_RetBfast)*PD_Bfast+($S53&gt;=T_RetLunch)*PD_Lunch+($S53&gt;=T_RetDinner)*PD_Dinner+MAX($R53-$P53-1,0)*(PD_Bfast+PD_Lunch+PD_Dinner)+($R53-$P53+1)*PD_Incid))</f>
        <v/>
      </c>
      <c r="AC53" s="30"/>
      <c r="AD53" s="30" t="str">
        <f aca="false">IF($A53="","",N($T53)+N($W53)+N($AA53)+N($AB53)+N($AC53))</f>
        <v/>
      </c>
      <c r="AE53" s="30"/>
      <c r="AF53" s="30"/>
      <c r="AG53" s="30"/>
      <c r="AH53" s="30"/>
      <c r="AI53" s="30"/>
      <c r="AJ53" s="30" t="str">
        <f aca="false">IF($A53="","",IF(COUNT($AE53:$AI53)=0,"",SUM($AE53:$AI53)))</f>
        <v/>
      </c>
      <c r="AK53" s="30"/>
      <c r="AL53" s="30"/>
      <c r="AM53" s="30" t="str">
        <f aca="false">IF(OR($A53="",$AJ53=""),"",$AJ53-N($AK53)-N($AL53))</f>
        <v/>
      </c>
      <c r="AN53" s="28"/>
      <c r="AO53" s="28"/>
      <c r="AP53" s="27"/>
      <c r="AQ53" s="27"/>
      <c r="AR53" s="28" t="str">
        <f aca="false">IF(OR($A53="",$R53=""),"",$R53+ReceiptDays)</f>
        <v/>
      </c>
      <c r="AS53" s="28"/>
      <c r="AT53" s="28" t="str">
        <f aca="false">IF(OR($A53="",$P53=""),"",($P53-FinanceLeadDays)-MOD(($P53-FinanceLeadDays)-DATE(2024,1,2),7))</f>
        <v/>
      </c>
      <c r="AU53" s="28"/>
      <c r="AV53" s="27"/>
      <c r="AW53" s="27"/>
      <c r="AX53" s="30" t="n">
        <f aca="false">IF(OR($A53="",$B53="Denied",$B53="Cancelled"),0,N($AD53))</f>
        <v>0</v>
      </c>
      <c r="AY53" s="30" t="n">
        <f aca="false">IF($A53="",0,N($AJ53))</f>
        <v>0</v>
      </c>
      <c r="AZ53" s="30" t="n">
        <f aca="false">IF(OR($A53="",$B53="Denied",$B53="Cancelled",$B53="Closed"),0,IF(N($AJ53)&gt;0,0,N($AD53)))</f>
        <v>0</v>
      </c>
      <c r="BA53" s="31" t="n">
        <f aca="false">IF($A53="",0,IF($B53="Awaiting Approval",COUNTIF(BA$1:BA52,"&gt;0")+1,0))</f>
        <v>0</v>
      </c>
      <c r="BB53" s="31" t="n">
        <f aca="false">IF($A53="",0,IF(AND($B53="Approved",$AP53&lt;&gt;"Y"),COUNTIF(BB$1:BB52,"&gt;0")+1,0))</f>
        <v>0</v>
      </c>
      <c r="BC53" s="31" t="n">
        <f aca="false">IF($A53="",0,IF(AND($B53="Approved",N($U53)&gt;0,$AQ53&lt;&gt;"Y"),COUNTIF(BC$1:BC52,"&gt;0")+1,0))</f>
        <v>0</v>
      </c>
      <c r="BD53" s="31" t="n">
        <f aca="true">IF($A53="",0,IF(AND($AR53&lt;&gt;"",N($AR53)&lt;TODAY(),$AS53="",$B53&lt;&gt;"Closed",$B53&lt;&gt;"Cancelled",$B53&lt;&gt;"Denied"),COUNTIF(BD$1:BD52,"&gt;0")+1,0))</f>
        <v>0</v>
      </c>
      <c r="BE53" s="31" t="n">
        <f aca="true">IF($A53="",0,IF(AND($AT53&lt;&gt;"",N($AT53)&lt;=TODAY()+7,$AU53="",$B53&lt;&gt;"Denied",$B53&lt;&gt;"Cancelled",$B53&lt;&gt;"Closed"),COUNTIF(BE$1:BE52,"&gt;0")+1,0))</f>
        <v>0</v>
      </c>
      <c r="BF53" s="27"/>
      <c r="BG53" s="27"/>
      <c r="BH53" s="27"/>
      <c r="BI53" s="27"/>
    </row>
    <row r="54" customFormat="false" ht="15" hidden="false" customHeight="false" outlineLevel="0" collapsed="false">
      <c r="A54" s="22"/>
      <c r="B54" s="22"/>
      <c r="C54" s="22"/>
      <c r="D54" s="22"/>
      <c r="E54" s="22"/>
      <c r="F54" s="22"/>
      <c r="G54" s="22"/>
      <c r="H54" s="22"/>
      <c r="I54" s="22"/>
      <c r="J54" s="22"/>
      <c r="K54" s="22"/>
      <c r="L54" s="22"/>
      <c r="M54" s="22"/>
      <c r="N54" s="23"/>
      <c r="O54" s="23"/>
      <c r="P54" s="23"/>
      <c r="Q54" s="24"/>
      <c r="R54" s="23"/>
      <c r="S54" s="24"/>
      <c r="T54" s="25"/>
      <c r="U54" s="26"/>
      <c r="V54" s="25"/>
      <c r="W54" s="25" t="str">
        <f aca="false">IF($A54="","",N($U54)*N($V54))</f>
        <v/>
      </c>
      <c r="X54" s="22"/>
      <c r="Y54" s="26"/>
      <c r="Z54" s="25"/>
      <c r="AA54" s="25" t="str">
        <f aca="false">IF($A54="","",IF($X54="POV",N($Y54)*MileageRate,0)+N($Z54))</f>
        <v/>
      </c>
      <c r="AB54" s="25" t="str">
        <f aca="false">IF(OR($A54="",$P54="",$R54="",$Q54="",$S54=""),"",IF($R54=$P54,($Q54&lt;=T_DepBfast)*($S54&gt;=T_RetBfast)*PD_Bfast+($Q54&lt;=T_DepLunch)*($S54&gt;=T_RetLunch)*PD_Lunch+($Q54&lt;=T_DepDinner)*($S54&gt;=T_RetDinner)*PD_Dinner+PD_Incid,($Q54&lt;=T_DepBfast)*PD_Bfast+($Q54&lt;=T_DepLunch)*PD_Lunch+($Q54&lt;=T_DepDinner)*PD_Dinner+($S54&gt;=T_RetBfast)*PD_Bfast+($S54&gt;=T_RetLunch)*PD_Lunch+($S54&gt;=T_RetDinner)*PD_Dinner+MAX($R54-$P54-1,0)*(PD_Bfast+PD_Lunch+PD_Dinner)+($R54-$P54+1)*PD_Incid))</f>
        <v/>
      </c>
      <c r="AC54" s="25"/>
      <c r="AD54" s="25" t="str">
        <f aca="false">IF($A54="","",N($T54)+N($W54)+N($AA54)+N($AB54)+N($AC54))</f>
        <v/>
      </c>
      <c r="AE54" s="25"/>
      <c r="AF54" s="25"/>
      <c r="AG54" s="25"/>
      <c r="AH54" s="25"/>
      <c r="AI54" s="25"/>
      <c r="AJ54" s="25" t="str">
        <f aca="false">IF($A54="","",IF(COUNT($AE54:$AI54)=0,"",SUM($AE54:$AI54)))</f>
        <v/>
      </c>
      <c r="AK54" s="25"/>
      <c r="AL54" s="25"/>
      <c r="AM54" s="25" t="str">
        <f aca="false">IF(OR($A54="",$AJ54=""),"",$AJ54-N($AK54)-N($AL54))</f>
        <v/>
      </c>
      <c r="AN54" s="23"/>
      <c r="AO54" s="23"/>
      <c r="AP54" s="22"/>
      <c r="AQ54" s="22"/>
      <c r="AR54" s="23" t="str">
        <f aca="false">IF(OR($A54="",$R54=""),"",$R54+ReceiptDays)</f>
        <v/>
      </c>
      <c r="AS54" s="23"/>
      <c r="AT54" s="23" t="str">
        <f aca="false">IF(OR($A54="",$P54=""),"",($P54-FinanceLeadDays)-MOD(($P54-FinanceLeadDays)-DATE(2024,1,2),7))</f>
        <v/>
      </c>
      <c r="AU54" s="23"/>
      <c r="AV54" s="22"/>
      <c r="AW54" s="22"/>
      <c r="AX54" s="25" t="n">
        <f aca="false">IF(OR($A54="",$B54="Denied",$B54="Cancelled"),0,N($AD54))</f>
        <v>0</v>
      </c>
      <c r="AY54" s="25" t="n">
        <f aca="false">IF($A54="",0,N($AJ54))</f>
        <v>0</v>
      </c>
      <c r="AZ54" s="25" t="n">
        <f aca="false">IF(OR($A54="",$B54="Denied",$B54="Cancelled",$B54="Closed"),0,IF(N($AJ54)&gt;0,0,N($AD54)))</f>
        <v>0</v>
      </c>
      <c r="BA54" s="26" t="n">
        <f aca="false">IF($A54="",0,IF($B54="Awaiting Approval",COUNTIF(BA$1:BA53,"&gt;0")+1,0))</f>
        <v>0</v>
      </c>
      <c r="BB54" s="26" t="n">
        <f aca="false">IF($A54="",0,IF(AND($B54="Approved",$AP54&lt;&gt;"Y"),COUNTIF(BB$1:BB53,"&gt;0")+1,0))</f>
        <v>0</v>
      </c>
      <c r="BC54" s="26" t="n">
        <f aca="false">IF($A54="",0,IF(AND($B54="Approved",N($U54)&gt;0,$AQ54&lt;&gt;"Y"),COUNTIF(BC$1:BC53,"&gt;0")+1,0))</f>
        <v>0</v>
      </c>
      <c r="BD54" s="26" t="n">
        <f aca="true">IF($A54="",0,IF(AND($AR54&lt;&gt;"",N($AR54)&lt;TODAY(),$AS54="",$B54&lt;&gt;"Closed",$B54&lt;&gt;"Cancelled",$B54&lt;&gt;"Denied"),COUNTIF(BD$1:BD53,"&gt;0")+1,0))</f>
        <v>0</v>
      </c>
      <c r="BE54" s="26" t="n">
        <f aca="true">IF($A54="",0,IF(AND($AT54&lt;&gt;"",N($AT54)&lt;=TODAY()+7,$AU54="",$B54&lt;&gt;"Denied",$B54&lt;&gt;"Cancelled",$B54&lt;&gt;"Closed"),COUNTIF(BE$1:BE53,"&gt;0")+1,0))</f>
        <v>0</v>
      </c>
      <c r="BF54" s="22"/>
      <c r="BG54" s="22"/>
      <c r="BH54" s="22"/>
      <c r="BI54" s="22"/>
    </row>
    <row r="55" customFormat="false" ht="15" hidden="false" customHeight="false" outlineLevel="0" collapsed="false">
      <c r="A55" s="27"/>
      <c r="B55" s="27"/>
      <c r="C55" s="27"/>
      <c r="D55" s="27"/>
      <c r="E55" s="27"/>
      <c r="F55" s="27"/>
      <c r="G55" s="27"/>
      <c r="H55" s="27"/>
      <c r="I55" s="27"/>
      <c r="J55" s="27"/>
      <c r="K55" s="27"/>
      <c r="L55" s="27"/>
      <c r="M55" s="27"/>
      <c r="N55" s="28"/>
      <c r="O55" s="28"/>
      <c r="P55" s="28"/>
      <c r="Q55" s="29"/>
      <c r="R55" s="28"/>
      <c r="S55" s="29"/>
      <c r="T55" s="30"/>
      <c r="U55" s="31"/>
      <c r="V55" s="30"/>
      <c r="W55" s="30" t="str">
        <f aca="false">IF($A55="","",N($U55)*N($V55))</f>
        <v/>
      </c>
      <c r="X55" s="27"/>
      <c r="Y55" s="31"/>
      <c r="Z55" s="30"/>
      <c r="AA55" s="30" t="str">
        <f aca="false">IF($A55="","",IF($X55="POV",N($Y55)*MileageRate,0)+N($Z55))</f>
        <v/>
      </c>
      <c r="AB55" s="30" t="str">
        <f aca="false">IF(OR($A55="",$P55="",$R55="",$Q55="",$S55=""),"",IF($R55=$P55,($Q55&lt;=T_DepBfast)*($S55&gt;=T_RetBfast)*PD_Bfast+($Q55&lt;=T_DepLunch)*($S55&gt;=T_RetLunch)*PD_Lunch+($Q55&lt;=T_DepDinner)*($S55&gt;=T_RetDinner)*PD_Dinner+PD_Incid,($Q55&lt;=T_DepBfast)*PD_Bfast+($Q55&lt;=T_DepLunch)*PD_Lunch+($Q55&lt;=T_DepDinner)*PD_Dinner+($S55&gt;=T_RetBfast)*PD_Bfast+($S55&gt;=T_RetLunch)*PD_Lunch+($S55&gt;=T_RetDinner)*PD_Dinner+MAX($R55-$P55-1,0)*(PD_Bfast+PD_Lunch+PD_Dinner)+($R55-$P55+1)*PD_Incid))</f>
        <v/>
      </c>
      <c r="AC55" s="30"/>
      <c r="AD55" s="30" t="str">
        <f aca="false">IF($A55="","",N($T55)+N($W55)+N($AA55)+N($AB55)+N($AC55))</f>
        <v/>
      </c>
      <c r="AE55" s="30"/>
      <c r="AF55" s="30"/>
      <c r="AG55" s="30"/>
      <c r="AH55" s="30"/>
      <c r="AI55" s="30"/>
      <c r="AJ55" s="30" t="str">
        <f aca="false">IF($A55="","",IF(COUNT($AE55:$AI55)=0,"",SUM($AE55:$AI55)))</f>
        <v/>
      </c>
      <c r="AK55" s="30"/>
      <c r="AL55" s="30"/>
      <c r="AM55" s="30" t="str">
        <f aca="false">IF(OR($A55="",$AJ55=""),"",$AJ55-N($AK55)-N($AL55))</f>
        <v/>
      </c>
      <c r="AN55" s="28"/>
      <c r="AO55" s="28"/>
      <c r="AP55" s="27"/>
      <c r="AQ55" s="27"/>
      <c r="AR55" s="28" t="str">
        <f aca="false">IF(OR($A55="",$R55=""),"",$R55+ReceiptDays)</f>
        <v/>
      </c>
      <c r="AS55" s="28"/>
      <c r="AT55" s="28" t="str">
        <f aca="false">IF(OR($A55="",$P55=""),"",($P55-FinanceLeadDays)-MOD(($P55-FinanceLeadDays)-DATE(2024,1,2),7))</f>
        <v/>
      </c>
      <c r="AU55" s="28"/>
      <c r="AV55" s="27"/>
      <c r="AW55" s="27"/>
      <c r="AX55" s="30" t="n">
        <f aca="false">IF(OR($A55="",$B55="Denied",$B55="Cancelled"),0,N($AD55))</f>
        <v>0</v>
      </c>
      <c r="AY55" s="30" t="n">
        <f aca="false">IF($A55="",0,N($AJ55))</f>
        <v>0</v>
      </c>
      <c r="AZ55" s="30" t="n">
        <f aca="false">IF(OR($A55="",$B55="Denied",$B55="Cancelled",$B55="Closed"),0,IF(N($AJ55)&gt;0,0,N($AD55)))</f>
        <v>0</v>
      </c>
      <c r="BA55" s="31" t="n">
        <f aca="false">IF($A55="",0,IF($B55="Awaiting Approval",COUNTIF(BA$1:BA54,"&gt;0")+1,0))</f>
        <v>0</v>
      </c>
      <c r="BB55" s="31" t="n">
        <f aca="false">IF($A55="",0,IF(AND($B55="Approved",$AP55&lt;&gt;"Y"),COUNTIF(BB$1:BB54,"&gt;0")+1,0))</f>
        <v>0</v>
      </c>
      <c r="BC55" s="31" t="n">
        <f aca="false">IF($A55="",0,IF(AND($B55="Approved",N($U55)&gt;0,$AQ55&lt;&gt;"Y"),COUNTIF(BC$1:BC54,"&gt;0")+1,0))</f>
        <v>0</v>
      </c>
      <c r="BD55" s="31" t="n">
        <f aca="true">IF($A55="",0,IF(AND($AR55&lt;&gt;"",N($AR55)&lt;TODAY(),$AS55="",$B55&lt;&gt;"Closed",$B55&lt;&gt;"Cancelled",$B55&lt;&gt;"Denied"),COUNTIF(BD$1:BD54,"&gt;0")+1,0))</f>
        <v>0</v>
      </c>
      <c r="BE55" s="31" t="n">
        <f aca="true">IF($A55="",0,IF(AND($AT55&lt;&gt;"",N($AT55)&lt;=TODAY()+7,$AU55="",$B55&lt;&gt;"Denied",$B55&lt;&gt;"Cancelled",$B55&lt;&gt;"Closed"),COUNTIF(BE$1:BE54,"&gt;0")+1,0))</f>
        <v>0</v>
      </c>
      <c r="BF55" s="27"/>
      <c r="BG55" s="27"/>
      <c r="BH55" s="27"/>
      <c r="BI55" s="27"/>
    </row>
    <row r="56" customFormat="false" ht="15" hidden="false" customHeight="false" outlineLevel="0" collapsed="false">
      <c r="A56" s="22"/>
      <c r="B56" s="22"/>
      <c r="C56" s="22"/>
      <c r="D56" s="22"/>
      <c r="E56" s="22"/>
      <c r="F56" s="22"/>
      <c r="G56" s="22"/>
      <c r="H56" s="22"/>
      <c r="I56" s="22"/>
      <c r="J56" s="22"/>
      <c r="K56" s="22"/>
      <c r="L56" s="22"/>
      <c r="M56" s="22"/>
      <c r="N56" s="23"/>
      <c r="O56" s="23"/>
      <c r="P56" s="23"/>
      <c r="Q56" s="24"/>
      <c r="R56" s="23"/>
      <c r="S56" s="24"/>
      <c r="T56" s="25"/>
      <c r="U56" s="26"/>
      <c r="V56" s="25"/>
      <c r="W56" s="25" t="str">
        <f aca="false">IF($A56="","",N($U56)*N($V56))</f>
        <v/>
      </c>
      <c r="X56" s="22"/>
      <c r="Y56" s="26"/>
      <c r="Z56" s="25"/>
      <c r="AA56" s="25" t="str">
        <f aca="false">IF($A56="","",IF($X56="POV",N($Y56)*MileageRate,0)+N($Z56))</f>
        <v/>
      </c>
      <c r="AB56" s="25" t="str">
        <f aca="false">IF(OR($A56="",$P56="",$R56="",$Q56="",$S56=""),"",IF($R56=$P56,($Q56&lt;=T_DepBfast)*($S56&gt;=T_RetBfast)*PD_Bfast+($Q56&lt;=T_DepLunch)*($S56&gt;=T_RetLunch)*PD_Lunch+($Q56&lt;=T_DepDinner)*($S56&gt;=T_RetDinner)*PD_Dinner+PD_Incid,($Q56&lt;=T_DepBfast)*PD_Bfast+($Q56&lt;=T_DepLunch)*PD_Lunch+($Q56&lt;=T_DepDinner)*PD_Dinner+($S56&gt;=T_RetBfast)*PD_Bfast+($S56&gt;=T_RetLunch)*PD_Lunch+($S56&gt;=T_RetDinner)*PD_Dinner+MAX($R56-$P56-1,0)*(PD_Bfast+PD_Lunch+PD_Dinner)+($R56-$P56+1)*PD_Incid))</f>
        <v/>
      </c>
      <c r="AC56" s="25"/>
      <c r="AD56" s="25" t="str">
        <f aca="false">IF($A56="","",N($T56)+N($W56)+N($AA56)+N($AB56)+N($AC56))</f>
        <v/>
      </c>
      <c r="AE56" s="25"/>
      <c r="AF56" s="25"/>
      <c r="AG56" s="25"/>
      <c r="AH56" s="25"/>
      <c r="AI56" s="25"/>
      <c r="AJ56" s="25" t="str">
        <f aca="false">IF($A56="","",IF(COUNT($AE56:$AI56)=0,"",SUM($AE56:$AI56)))</f>
        <v/>
      </c>
      <c r="AK56" s="25"/>
      <c r="AL56" s="25"/>
      <c r="AM56" s="25" t="str">
        <f aca="false">IF(OR($A56="",$AJ56=""),"",$AJ56-N($AK56)-N($AL56))</f>
        <v/>
      </c>
      <c r="AN56" s="23"/>
      <c r="AO56" s="23"/>
      <c r="AP56" s="22"/>
      <c r="AQ56" s="22"/>
      <c r="AR56" s="23" t="str">
        <f aca="false">IF(OR($A56="",$R56=""),"",$R56+ReceiptDays)</f>
        <v/>
      </c>
      <c r="AS56" s="23"/>
      <c r="AT56" s="23" t="str">
        <f aca="false">IF(OR($A56="",$P56=""),"",($P56-FinanceLeadDays)-MOD(($P56-FinanceLeadDays)-DATE(2024,1,2),7))</f>
        <v/>
      </c>
      <c r="AU56" s="23"/>
      <c r="AV56" s="22"/>
      <c r="AW56" s="22"/>
      <c r="AX56" s="25" t="n">
        <f aca="false">IF(OR($A56="",$B56="Denied",$B56="Cancelled"),0,N($AD56))</f>
        <v>0</v>
      </c>
      <c r="AY56" s="25" t="n">
        <f aca="false">IF($A56="",0,N($AJ56))</f>
        <v>0</v>
      </c>
      <c r="AZ56" s="25" t="n">
        <f aca="false">IF(OR($A56="",$B56="Denied",$B56="Cancelled",$B56="Closed"),0,IF(N($AJ56)&gt;0,0,N($AD56)))</f>
        <v>0</v>
      </c>
      <c r="BA56" s="26" t="n">
        <f aca="false">IF($A56="",0,IF($B56="Awaiting Approval",COUNTIF(BA$1:BA55,"&gt;0")+1,0))</f>
        <v>0</v>
      </c>
      <c r="BB56" s="26" t="n">
        <f aca="false">IF($A56="",0,IF(AND($B56="Approved",$AP56&lt;&gt;"Y"),COUNTIF(BB$1:BB55,"&gt;0")+1,0))</f>
        <v>0</v>
      </c>
      <c r="BC56" s="26" t="n">
        <f aca="false">IF($A56="",0,IF(AND($B56="Approved",N($U56)&gt;0,$AQ56&lt;&gt;"Y"),COUNTIF(BC$1:BC55,"&gt;0")+1,0))</f>
        <v>0</v>
      </c>
      <c r="BD56" s="26" t="n">
        <f aca="true">IF($A56="",0,IF(AND($AR56&lt;&gt;"",N($AR56)&lt;TODAY(),$AS56="",$B56&lt;&gt;"Closed",$B56&lt;&gt;"Cancelled",$B56&lt;&gt;"Denied"),COUNTIF(BD$1:BD55,"&gt;0")+1,0))</f>
        <v>0</v>
      </c>
      <c r="BE56" s="26" t="n">
        <f aca="true">IF($A56="",0,IF(AND($AT56&lt;&gt;"",N($AT56)&lt;=TODAY()+7,$AU56="",$B56&lt;&gt;"Denied",$B56&lt;&gt;"Cancelled",$B56&lt;&gt;"Closed"),COUNTIF(BE$1:BE55,"&gt;0")+1,0))</f>
        <v>0</v>
      </c>
      <c r="BF56" s="22"/>
      <c r="BG56" s="22"/>
      <c r="BH56" s="22"/>
      <c r="BI56" s="22"/>
    </row>
    <row r="57" customFormat="false" ht="15" hidden="false" customHeight="false" outlineLevel="0" collapsed="false">
      <c r="A57" s="27"/>
      <c r="B57" s="27"/>
      <c r="C57" s="27"/>
      <c r="D57" s="27"/>
      <c r="E57" s="27"/>
      <c r="F57" s="27"/>
      <c r="G57" s="27"/>
      <c r="H57" s="27"/>
      <c r="I57" s="27"/>
      <c r="J57" s="27"/>
      <c r="K57" s="27"/>
      <c r="L57" s="27"/>
      <c r="M57" s="27"/>
      <c r="N57" s="28"/>
      <c r="O57" s="28"/>
      <c r="P57" s="28"/>
      <c r="Q57" s="29"/>
      <c r="R57" s="28"/>
      <c r="S57" s="29"/>
      <c r="T57" s="30"/>
      <c r="U57" s="31"/>
      <c r="V57" s="30"/>
      <c r="W57" s="30" t="str">
        <f aca="false">IF($A57="","",N($U57)*N($V57))</f>
        <v/>
      </c>
      <c r="X57" s="27"/>
      <c r="Y57" s="31"/>
      <c r="Z57" s="30"/>
      <c r="AA57" s="30" t="str">
        <f aca="false">IF($A57="","",IF($X57="POV",N($Y57)*MileageRate,0)+N($Z57))</f>
        <v/>
      </c>
      <c r="AB57" s="30" t="str">
        <f aca="false">IF(OR($A57="",$P57="",$R57="",$Q57="",$S57=""),"",IF($R57=$P57,($Q57&lt;=T_DepBfast)*($S57&gt;=T_RetBfast)*PD_Bfast+($Q57&lt;=T_DepLunch)*($S57&gt;=T_RetLunch)*PD_Lunch+($Q57&lt;=T_DepDinner)*($S57&gt;=T_RetDinner)*PD_Dinner+PD_Incid,($Q57&lt;=T_DepBfast)*PD_Bfast+($Q57&lt;=T_DepLunch)*PD_Lunch+($Q57&lt;=T_DepDinner)*PD_Dinner+($S57&gt;=T_RetBfast)*PD_Bfast+($S57&gt;=T_RetLunch)*PD_Lunch+($S57&gt;=T_RetDinner)*PD_Dinner+MAX($R57-$P57-1,0)*(PD_Bfast+PD_Lunch+PD_Dinner)+($R57-$P57+1)*PD_Incid))</f>
        <v/>
      </c>
      <c r="AC57" s="30"/>
      <c r="AD57" s="30" t="str">
        <f aca="false">IF($A57="","",N($T57)+N($W57)+N($AA57)+N($AB57)+N($AC57))</f>
        <v/>
      </c>
      <c r="AE57" s="30"/>
      <c r="AF57" s="30"/>
      <c r="AG57" s="30"/>
      <c r="AH57" s="30"/>
      <c r="AI57" s="30"/>
      <c r="AJ57" s="30" t="str">
        <f aca="false">IF($A57="","",IF(COUNT($AE57:$AI57)=0,"",SUM($AE57:$AI57)))</f>
        <v/>
      </c>
      <c r="AK57" s="30"/>
      <c r="AL57" s="30"/>
      <c r="AM57" s="30" t="str">
        <f aca="false">IF(OR($A57="",$AJ57=""),"",$AJ57-N($AK57)-N($AL57))</f>
        <v/>
      </c>
      <c r="AN57" s="28"/>
      <c r="AO57" s="28"/>
      <c r="AP57" s="27"/>
      <c r="AQ57" s="27"/>
      <c r="AR57" s="28" t="str">
        <f aca="false">IF(OR($A57="",$R57=""),"",$R57+ReceiptDays)</f>
        <v/>
      </c>
      <c r="AS57" s="28"/>
      <c r="AT57" s="28" t="str">
        <f aca="false">IF(OR($A57="",$P57=""),"",($P57-FinanceLeadDays)-MOD(($P57-FinanceLeadDays)-DATE(2024,1,2),7))</f>
        <v/>
      </c>
      <c r="AU57" s="28"/>
      <c r="AV57" s="27"/>
      <c r="AW57" s="27"/>
      <c r="AX57" s="30" t="n">
        <f aca="false">IF(OR($A57="",$B57="Denied",$B57="Cancelled"),0,N($AD57))</f>
        <v>0</v>
      </c>
      <c r="AY57" s="30" t="n">
        <f aca="false">IF($A57="",0,N($AJ57))</f>
        <v>0</v>
      </c>
      <c r="AZ57" s="30" t="n">
        <f aca="false">IF(OR($A57="",$B57="Denied",$B57="Cancelled",$B57="Closed"),0,IF(N($AJ57)&gt;0,0,N($AD57)))</f>
        <v>0</v>
      </c>
      <c r="BA57" s="31" t="n">
        <f aca="false">IF($A57="",0,IF($B57="Awaiting Approval",COUNTIF(BA$1:BA56,"&gt;0")+1,0))</f>
        <v>0</v>
      </c>
      <c r="BB57" s="31" t="n">
        <f aca="false">IF($A57="",0,IF(AND($B57="Approved",$AP57&lt;&gt;"Y"),COUNTIF(BB$1:BB56,"&gt;0")+1,0))</f>
        <v>0</v>
      </c>
      <c r="BC57" s="31" t="n">
        <f aca="false">IF($A57="",0,IF(AND($B57="Approved",N($U57)&gt;0,$AQ57&lt;&gt;"Y"),COUNTIF(BC$1:BC56,"&gt;0")+1,0))</f>
        <v>0</v>
      </c>
      <c r="BD57" s="31" t="n">
        <f aca="true">IF($A57="",0,IF(AND($AR57&lt;&gt;"",N($AR57)&lt;TODAY(),$AS57="",$B57&lt;&gt;"Closed",$B57&lt;&gt;"Cancelled",$B57&lt;&gt;"Denied"),COUNTIF(BD$1:BD56,"&gt;0")+1,0))</f>
        <v>0</v>
      </c>
      <c r="BE57" s="31" t="n">
        <f aca="true">IF($A57="",0,IF(AND($AT57&lt;&gt;"",N($AT57)&lt;=TODAY()+7,$AU57="",$B57&lt;&gt;"Denied",$B57&lt;&gt;"Cancelled",$B57&lt;&gt;"Closed"),COUNTIF(BE$1:BE56,"&gt;0")+1,0))</f>
        <v>0</v>
      </c>
      <c r="BF57" s="27"/>
      <c r="BG57" s="27"/>
      <c r="BH57" s="27"/>
      <c r="BI57" s="27"/>
    </row>
    <row r="58" customFormat="false" ht="15" hidden="false" customHeight="false" outlineLevel="0" collapsed="false">
      <c r="A58" s="22"/>
      <c r="B58" s="22"/>
      <c r="C58" s="22"/>
      <c r="D58" s="22"/>
      <c r="E58" s="22"/>
      <c r="F58" s="22"/>
      <c r="G58" s="22"/>
      <c r="H58" s="22"/>
      <c r="I58" s="22"/>
      <c r="J58" s="22"/>
      <c r="K58" s="22"/>
      <c r="L58" s="22"/>
      <c r="M58" s="22"/>
      <c r="N58" s="23"/>
      <c r="O58" s="23"/>
      <c r="P58" s="23"/>
      <c r="Q58" s="24"/>
      <c r="R58" s="23"/>
      <c r="S58" s="24"/>
      <c r="T58" s="25"/>
      <c r="U58" s="26"/>
      <c r="V58" s="25"/>
      <c r="W58" s="25" t="str">
        <f aca="false">IF($A58="","",N($U58)*N($V58))</f>
        <v/>
      </c>
      <c r="X58" s="22"/>
      <c r="Y58" s="26"/>
      <c r="Z58" s="25"/>
      <c r="AA58" s="25" t="str">
        <f aca="false">IF($A58="","",IF($X58="POV",N($Y58)*MileageRate,0)+N($Z58))</f>
        <v/>
      </c>
      <c r="AB58" s="25" t="str">
        <f aca="false">IF(OR($A58="",$P58="",$R58="",$Q58="",$S58=""),"",IF($R58=$P58,($Q58&lt;=T_DepBfast)*($S58&gt;=T_RetBfast)*PD_Bfast+($Q58&lt;=T_DepLunch)*($S58&gt;=T_RetLunch)*PD_Lunch+($Q58&lt;=T_DepDinner)*($S58&gt;=T_RetDinner)*PD_Dinner+PD_Incid,($Q58&lt;=T_DepBfast)*PD_Bfast+($Q58&lt;=T_DepLunch)*PD_Lunch+($Q58&lt;=T_DepDinner)*PD_Dinner+($S58&gt;=T_RetBfast)*PD_Bfast+($S58&gt;=T_RetLunch)*PD_Lunch+($S58&gt;=T_RetDinner)*PD_Dinner+MAX($R58-$P58-1,0)*(PD_Bfast+PD_Lunch+PD_Dinner)+($R58-$P58+1)*PD_Incid))</f>
        <v/>
      </c>
      <c r="AC58" s="25"/>
      <c r="AD58" s="25" t="str">
        <f aca="false">IF($A58="","",N($T58)+N($W58)+N($AA58)+N($AB58)+N($AC58))</f>
        <v/>
      </c>
      <c r="AE58" s="25"/>
      <c r="AF58" s="25"/>
      <c r="AG58" s="25"/>
      <c r="AH58" s="25"/>
      <c r="AI58" s="25"/>
      <c r="AJ58" s="25" t="str">
        <f aca="false">IF($A58="","",IF(COUNT($AE58:$AI58)=0,"",SUM($AE58:$AI58)))</f>
        <v/>
      </c>
      <c r="AK58" s="25"/>
      <c r="AL58" s="25"/>
      <c r="AM58" s="25" t="str">
        <f aca="false">IF(OR($A58="",$AJ58=""),"",$AJ58-N($AK58)-N($AL58))</f>
        <v/>
      </c>
      <c r="AN58" s="23"/>
      <c r="AO58" s="23"/>
      <c r="AP58" s="22"/>
      <c r="AQ58" s="22"/>
      <c r="AR58" s="23" t="str">
        <f aca="false">IF(OR($A58="",$R58=""),"",$R58+ReceiptDays)</f>
        <v/>
      </c>
      <c r="AS58" s="23"/>
      <c r="AT58" s="23" t="str">
        <f aca="false">IF(OR($A58="",$P58=""),"",($P58-FinanceLeadDays)-MOD(($P58-FinanceLeadDays)-DATE(2024,1,2),7))</f>
        <v/>
      </c>
      <c r="AU58" s="23"/>
      <c r="AV58" s="22"/>
      <c r="AW58" s="22"/>
      <c r="AX58" s="25" t="n">
        <f aca="false">IF(OR($A58="",$B58="Denied",$B58="Cancelled"),0,N($AD58))</f>
        <v>0</v>
      </c>
      <c r="AY58" s="25" t="n">
        <f aca="false">IF($A58="",0,N($AJ58))</f>
        <v>0</v>
      </c>
      <c r="AZ58" s="25" t="n">
        <f aca="false">IF(OR($A58="",$B58="Denied",$B58="Cancelled",$B58="Closed"),0,IF(N($AJ58)&gt;0,0,N($AD58)))</f>
        <v>0</v>
      </c>
      <c r="BA58" s="26" t="n">
        <f aca="false">IF($A58="",0,IF($B58="Awaiting Approval",COUNTIF(BA$1:BA57,"&gt;0")+1,0))</f>
        <v>0</v>
      </c>
      <c r="BB58" s="26" t="n">
        <f aca="false">IF($A58="",0,IF(AND($B58="Approved",$AP58&lt;&gt;"Y"),COUNTIF(BB$1:BB57,"&gt;0")+1,0))</f>
        <v>0</v>
      </c>
      <c r="BC58" s="26" t="n">
        <f aca="false">IF($A58="",0,IF(AND($B58="Approved",N($U58)&gt;0,$AQ58&lt;&gt;"Y"),COUNTIF(BC$1:BC57,"&gt;0")+1,0))</f>
        <v>0</v>
      </c>
      <c r="BD58" s="26" t="n">
        <f aca="true">IF($A58="",0,IF(AND($AR58&lt;&gt;"",N($AR58)&lt;TODAY(),$AS58="",$B58&lt;&gt;"Closed",$B58&lt;&gt;"Cancelled",$B58&lt;&gt;"Denied"),COUNTIF(BD$1:BD57,"&gt;0")+1,0))</f>
        <v>0</v>
      </c>
      <c r="BE58" s="26" t="n">
        <f aca="true">IF($A58="",0,IF(AND($AT58&lt;&gt;"",N($AT58)&lt;=TODAY()+7,$AU58="",$B58&lt;&gt;"Denied",$B58&lt;&gt;"Cancelled",$B58&lt;&gt;"Closed"),COUNTIF(BE$1:BE57,"&gt;0")+1,0))</f>
        <v>0</v>
      </c>
      <c r="BF58" s="22"/>
      <c r="BG58" s="22"/>
      <c r="BH58" s="22"/>
      <c r="BI58" s="22"/>
    </row>
    <row r="59" customFormat="false" ht="15" hidden="false" customHeight="false" outlineLevel="0" collapsed="false">
      <c r="A59" s="27"/>
      <c r="B59" s="27"/>
      <c r="C59" s="27"/>
      <c r="D59" s="27"/>
      <c r="E59" s="27"/>
      <c r="F59" s="27"/>
      <c r="G59" s="27"/>
      <c r="H59" s="27"/>
      <c r="I59" s="27"/>
      <c r="J59" s="27"/>
      <c r="K59" s="27"/>
      <c r="L59" s="27"/>
      <c r="M59" s="27"/>
      <c r="N59" s="28"/>
      <c r="O59" s="28"/>
      <c r="P59" s="28"/>
      <c r="Q59" s="29"/>
      <c r="R59" s="28"/>
      <c r="S59" s="29"/>
      <c r="T59" s="30"/>
      <c r="U59" s="31"/>
      <c r="V59" s="30"/>
      <c r="W59" s="30" t="str">
        <f aca="false">IF($A59="","",N($U59)*N($V59))</f>
        <v/>
      </c>
      <c r="X59" s="27"/>
      <c r="Y59" s="31"/>
      <c r="Z59" s="30"/>
      <c r="AA59" s="30" t="str">
        <f aca="false">IF($A59="","",IF($X59="POV",N($Y59)*MileageRate,0)+N($Z59))</f>
        <v/>
      </c>
      <c r="AB59" s="30" t="str">
        <f aca="false">IF(OR($A59="",$P59="",$R59="",$Q59="",$S59=""),"",IF($R59=$P59,($Q59&lt;=T_DepBfast)*($S59&gt;=T_RetBfast)*PD_Bfast+($Q59&lt;=T_DepLunch)*($S59&gt;=T_RetLunch)*PD_Lunch+($Q59&lt;=T_DepDinner)*($S59&gt;=T_RetDinner)*PD_Dinner+PD_Incid,($Q59&lt;=T_DepBfast)*PD_Bfast+($Q59&lt;=T_DepLunch)*PD_Lunch+($Q59&lt;=T_DepDinner)*PD_Dinner+($S59&gt;=T_RetBfast)*PD_Bfast+($S59&gt;=T_RetLunch)*PD_Lunch+($S59&gt;=T_RetDinner)*PD_Dinner+MAX($R59-$P59-1,0)*(PD_Bfast+PD_Lunch+PD_Dinner)+($R59-$P59+1)*PD_Incid))</f>
        <v/>
      </c>
      <c r="AC59" s="30"/>
      <c r="AD59" s="30" t="str">
        <f aca="false">IF($A59="","",N($T59)+N($W59)+N($AA59)+N($AB59)+N($AC59))</f>
        <v/>
      </c>
      <c r="AE59" s="30"/>
      <c r="AF59" s="30"/>
      <c r="AG59" s="30"/>
      <c r="AH59" s="30"/>
      <c r="AI59" s="30"/>
      <c r="AJ59" s="30" t="str">
        <f aca="false">IF($A59="","",IF(COUNT($AE59:$AI59)=0,"",SUM($AE59:$AI59)))</f>
        <v/>
      </c>
      <c r="AK59" s="30"/>
      <c r="AL59" s="30"/>
      <c r="AM59" s="30" t="str">
        <f aca="false">IF(OR($A59="",$AJ59=""),"",$AJ59-N($AK59)-N($AL59))</f>
        <v/>
      </c>
      <c r="AN59" s="28"/>
      <c r="AO59" s="28"/>
      <c r="AP59" s="27"/>
      <c r="AQ59" s="27"/>
      <c r="AR59" s="28" t="str">
        <f aca="false">IF(OR($A59="",$R59=""),"",$R59+ReceiptDays)</f>
        <v/>
      </c>
      <c r="AS59" s="28"/>
      <c r="AT59" s="28" t="str">
        <f aca="false">IF(OR($A59="",$P59=""),"",($P59-FinanceLeadDays)-MOD(($P59-FinanceLeadDays)-DATE(2024,1,2),7))</f>
        <v/>
      </c>
      <c r="AU59" s="28"/>
      <c r="AV59" s="27"/>
      <c r="AW59" s="27"/>
      <c r="AX59" s="30" t="n">
        <f aca="false">IF(OR($A59="",$B59="Denied",$B59="Cancelled"),0,N($AD59))</f>
        <v>0</v>
      </c>
      <c r="AY59" s="30" t="n">
        <f aca="false">IF($A59="",0,N($AJ59))</f>
        <v>0</v>
      </c>
      <c r="AZ59" s="30" t="n">
        <f aca="false">IF(OR($A59="",$B59="Denied",$B59="Cancelled",$B59="Closed"),0,IF(N($AJ59)&gt;0,0,N($AD59)))</f>
        <v>0</v>
      </c>
      <c r="BA59" s="31" t="n">
        <f aca="false">IF($A59="",0,IF($B59="Awaiting Approval",COUNTIF(BA$1:BA58,"&gt;0")+1,0))</f>
        <v>0</v>
      </c>
      <c r="BB59" s="31" t="n">
        <f aca="false">IF($A59="",0,IF(AND($B59="Approved",$AP59&lt;&gt;"Y"),COUNTIF(BB$1:BB58,"&gt;0")+1,0))</f>
        <v>0</v>
      </c>
      <c r="BC59" s="31" t="n">
        <f aca="false">IF($A59="",0,IF(AND($B59="Approved",N($U59)&gt;0,$AQ59&lt;&gt;"Y"),COUNTIF(BC$1:BC58,"&gt;0")+1,0))</f>
        <v>0</v>
      </c>
      <c r="BD59" s="31" t="n">
        <f aca="true">IF($A59="",0,IF(AND($AR59&lt;&gt;"",N($AR59)&lt;TODAY(),$AS59="",$B59&lt;&gt;"Closed",$B59&lt;&gt;"Cancelled",$B59&lt;&gt;"Denied"),COUNTIF(BD$1:BD58,"&gt;0")+1,0))</f>
        <v>0</v>
      </c>
      <c r="BE59" s="31" t="n">
        <f aca="true">IF($A59="",0,IF(AND($AT59&lt;&gt;"",N($AT59)&lt;=TODAY()+7,$AU59="",$B59&lt;&gt;"Denied",$B59&lt;&gt;"Cancelled",$B59&lt;&gt;"Closed"),COUNTIF(BE$1:BE58,"&gt;0")+1,0))</f>
        <v>0</v>
      </c>
      <c r="BF59" s="27"/>
      <c r="BG59" s="27"/>
      <c r="BH59" s="27"/>
      <c r="BI59" s="27"/>
    </row>
    <row r="60" customFormat="false" ht="15" hidden="false" customHeight="false" outlineLevel="0" collapsed="false">
      <c r="A60" s="22"/>
      <c r="B60" s="22"/>
      <c r="C60" s="22"/>
      <c r="D60" s="22"/>
      <c r="E60" s="22"/>
      <c r="F60" s="22"/>
      <c r="G60" s="22"/>
      <c r="H60" s="22"/>
      <c r="I60" s="22"/>
      <c r="J60" s="22"/>
      <c r="K60" s="22"/>
      <c r="L60" s="22"/>
      <c r="M60" s="22"/>
      <c r="N60" s="23"/>
      <c r="O60" s="23"/>
      <c r="P60" s="23"/>
      <c r="Q60" s="24"/>
      <c r="R60" s="23"/>
      <c r="S60" s="24"/>
      <c r="T60" s="25"/>
      <c r="U60" s="26"/>
      <c r="V60" s="25"/>
      <c r="W60" s="25" t="str">
        <f aca="false">IF($A60="","",N($U60)*N($V60))</f>
        <v/>
      </c>
      <c r="X60" s="22"/>
      <c r="Y60" s="26"/>
      <c r="Z60" s="25"/>
      <c r="AA60" s="25" t="str">
        <f aca="false">IF($A60="","",IF($X60="POV",N($Y60)*MileageRate,0)+N($Z60))</f>
        <v/>
      </c>
      <c r="AB60" s="25" t="str">
        <f aca="false">IF(OR($A60="",$P60="",$R60="",$Q60="",$S60=""),"",IF($R60=$P60,($Q60&lt;=T_DepBfast)*($S60&gt;=T_RetBfast)*PD_Bfast+($Q60&lt;=T_DepLunch)*($S60&gt;=T_RetLunch)*PD_Lunch+($Q60&lt;=T_DepDinner)*($S60&gt;=T_RetDinner)*PD_Dinner+PD_Incid,($Q60&lt;=T_DepBfast)*PD_Bfast+($Q60&lt;=T_DepLunch)*PD_Lunch+($Q60&lt;=T_DepDinner)*PD_Dinner+($S60&gt;=T_RetBfast)*PD_Bfast+($S60&gt;=T_RetLunch)*PD_Lunch+($S60&gt;=T_RetDinner)*PD_Dinner+MAX($R60-$P60-1,0)*(PD_Bfast+PD_Lunch+PD_Dinner)+($R60-$P60+1)*PD_Incid))</f>
        <v/>
      </c>
      <c r="AC60" s="25"/>
      <c r="AD60" s="25" t="str">
        <f aca="false">IF($A60="","",N($T60)+N($W60)+N($AA60)+N($AB60)+N($AC60))</f>
        <v/>
      </c>
      <c r="AE60" s="25"/>
      <c r="AF60" s="25"/>
      <c r="AG60" s="25"/>
      <c r="AH60" s="25"/>
      <c r="AI60" s="25"/>
      <c r="AJ60" s="25" t="str">
        <f aca="false">IF($A60="","",IF(COUNT($AE60:$AI60)=0,"",SUM($AE60:$AI60)))</f>
        <v/>
      </c>
      <c r="AK60" s="25"/>
      <c r="AL60" s="25"/>
      <c r="AM60" s="25" t="str">
        <f aca="false">IF(OR($A60="",$AJ60=""),"",$AJ60-N($AK60)-N($AL60))</f>
        <v/>
      </c>
      <c r="AN60" s="23"/>
      <c r="AO60" s="23"/>
      <c r="AP60" s="22"/>
      <c r="AQ60" s="22"/>
      <c r="AR60" s="23" t="str">
        <f aca="false">IF(OR($A60="",$R60=""),"",$R60+ReceiptDays)</f>
        <v/>
      </c>
      <c r="AS60" s="23"/>
      <c r="AT60" s="23" t="str">
        <f aca="false">IF(OR($A60="",$P60=""),"",($P60-FinanceLeadDays)-MOD(($P60-FinanceLeadDays)-DATE(2024,1,2),7))</f>
        <v/>
      </c>
      <c r="AU60" s="23"/>
      <c r="AV60" s="22"/>
      <c r="AW60" s="22"/>
      <c r="AX60" s="25" t="n">
        <f aca="false">IF(OR($A60="",$B60="Denied",$B60="Cancelled"),0,N($AD60))</f>
        <v>0</v>
      </c>
      <c r="AY60" s="25" t="n">
        <f aca="false">IF($A60="",0,N($AJ60))</f>
        <v>0</v>
      </c>
      <c r="AZ60" s="25" t="n">
        <f aca="false">IF(OR($A60="",$B60="Denied",$B60="Cancelled",$B60="Closed"),0,IF(N($AJ60)&gt;0,0,N($AD60)))</f>
        <v>0</v>
      </c>
      <c r="BA60" s="26" t="n">
        <f aca="false">IF($A60="",0,IF($B60="Awaiting Approval",COUNTIF(BA$1:BA59,"&gt;0")+1,0))</f>
        <v>0</v>
      </c>
      <c r="BB60" s="26" t="n">
        <f aca="false">IF($A60="",0,IF(AND($B60="Approved",$AP60&lt;&gt;"Y"),COUNTIF(BB$1:BB59,"&gt;0")+1,0))</f>
        <v>0</v>
      </c>
      <c r="BC60" s="26" t="n">
        <f aca="false">IF($A60="",0,IF(AND($B60="Approved",N($U60)&gt;0,$AQ60&lt;&gt;"Y"),COUNTIF(BC$1:BC59,"&gt;0")+1,0))</f>
        <v>0</v>
      </c>
      <c r="BD60" s="26" t="n">
        <f aca="true">IF($A60="",0,IF(AND($AR60&lt;&gt;"",N($AR60)&lt;TODAY(),$AS60="",$B60&lt;&gt;"Closed",$B60&lt;&gt;"Cancelled",$B60&lt;&gt;"Denied"),COUNTIF(BD$1:BD59,"&gt;0")+1,0))</f>
        <v>0</v>
      </c>
      <c r="BE60" s="26" t="n">
        <f aca="true">IF($A60="",0,IF(AND($AT60&lt;&gt;"",N($AT60)&lt;=TODAY()+7,$AU60="",$B60&lt;&gt;"Denied",$B60&lt;&gt;"Cancelled",$B60&lt;&gt;"Closed"),COUNTIF(BE$1:BE59,"&gt;0")+1,0))</f>
        <v>0</v>
      </c>
      <c r="BF60" s="22"/>
      <c r="BG60" s="22"/>
      <c r="BH60" s="22"/>
      <c r="BI60" s="22"/>
    </row>
    <row r="61" customFormat="false" ht="15" hidden="false" customHeight="false" outlineLevel="0" collapsed="false">
      <c r="A61" s="27"/>
      <c r="B61" s="27"/>
      <c r="C61" s="27"/>
      <c r="D61" s="27"/>
      <c r="E61" s="27"/>
      <c r="F61" s="27"/>
      <c r="G61" s="27"/>
      <c r="H61" s="27"/>
      <c r="I61" s="27"/>
      <c r="J61" s="27"/>
      <c r="K61" s="27"/>
      <c r="L61" s="27"/>
      <c r="M61" s="27"/>
      <c r="N61" s="28"/>
      <c r="O61" s="28"/>
      <c r="P61" s="28"/>
      <c r="Q61" s="29"/>
      <c r="R61" s="28"/>
      <c r="S61" s="29"/>
      <c r="T61" s="30"/>
      <c r="U61" s="31"/>
      <c r="V61" s="30"/>
      <c r="W61" s="30" t="str">
        <f aca="false">IF($A61="","",N($U61)*N($V61))</f>
        <v/>
      </c>
      <c r="X61" s="27"/>
      <c r="Y61" s="31"/>
      <c r="Z61" s="30"/>
      <c r="AA61" s="30" t="str">
        <f aca="false">IF($A61="","",IF($X61="POV",N($Y61)*MileageRate,0)+N($Z61))</f>
        <v/>
      </c>
      <c r="AB61" s="30" t="str">
        <f aca="false">IF(OR($A61="",$P61="",$R61="",$Q61="",$S61=""),"",IF($R61=$P61,($Q61&lt;=T_DepBfast)*($S61&gt;=T_RetBfast)*PD_Bfast+($Q61&lt;=T_DepLunch)*($S61&gt;=T_RetLunch)*PD_Lunch+($Q61&lt;=T_DepDinner)*($S61&gt;=T_RetDinner)*PD_Dinner+PD_Incid,($Q61&lt;=T_DepBfast)*PD_Bfast+($Q61&lt;=T_DepLunch)*PD_Lunch+($Q61&lt;=T_DepDinner)*PD_Dinner+($S61&gt;=T_RetBfast)*PD_Bfast+($S61&gt;=T_RetLunch)*PD_Lunch+($S61&gt;=T_RetDinner)*PD_Dinner+MAX($R61-$P61-1,0)*(PD_Bfast+PD_Lunch+PD_Dinner)+($R61-$P61+1)*PD_Incid))</f>
        <v/>
      </c>
      <c r="AC61" s="30"/>
      <c r="AD61" s="30" t="str">
        <f aca="false">IF($A61="","",N($T61)+N($W61)+N($AA61)+N($AB61)+N($AC61))</f>
        <v/>
      </c>
      <c r="AE61" s="30"/>
      <c r="AF61" s="30"/>
      <c r="AG61" s="30"/>
      <c r="AH61" s="30"/>
      <c r="AI61" s="30"/>
      <c r="AJ61" s="30" t="str">
        <f aca="false">IF($A61="","",IF(COUNT($AE61:$AI61)=0,"",SUM($AE61:$AI61)))</f>
        <v/>
      </c>
      <c r="AK61" s="30"/>
      <c r="AL61" s="30"/>
      <c r="AM61" s="30" t="str">
        <f aca="false">IF(OR($A61="",$AJ61=""),"",$AJ61-N($AK61)-N($AL61))</f>
        <v/>
      </c>
      <c r="AN61" s="28"/>
      <c r="AO61" s="28"/>
      <c r="AP61" s="27"/>
      <c r="AQ61" s="27"/>
      <c r="AR61" s="28" t="str">
        <f aca="false">IF(OR($A61="",$R61=""),"",$R61+ReceiptDays)</f>
        <v/>
      </c>
      <c r="AS61" s="28"/>
      <c r="AT61" s="28" t="str">
        <f aca="false">IF(OR($A61="",$P61=""),"",($P61-FinanceLeadDays)-MOD(($P61-FinanceLeadDays)-DATE(2024,1,2),7))</f>
        <v/>
      </c>
      <c r="AU61" s="28"/>
      <c r="AV61" s="27"/>
      <c r="AW61" s="27"/>
      <c r="AX61" s="30" t="n">
        <f aca="false">IF(OR($A61="",$B61="Denied",$B61="Cancelled"),0,N($AD61))</f>
        <v>0</v>
      </c>
      <c r="AY61" s="30" t="n">
        <f aca="false">IF($A61="",0,N($AJ61))</f>
        <v>0</v>
      </c>
      <c r="AZ61" s="30" t="n">
        <f aca="false">IF(OR($A61="",$B61="Denied",$B61="Cancelled",$B61="Closed"),0,IF(N($AJ61)&gt;0,0,N($AD61)))</f>
        <v>0</v>
      </c>
      <c r="BA61" s="31" t="n">
        <f aca="false">IF($A61="",0,IF($B61="Awaiting Approval",COUNTIF(BA$1:BA60,"&gt;0")+1,0))</f>
        <v>0</v>
      </c>
      <c r="BB61" s="31" t="n">
        <f aca="false">IF($A61="",0,IF(AND($B61="Approved",$AP61&lt;&gt;"Y"),COUNTIF(BB$1:BB60,"&gt;0")+1,0))</f>
        <v>0</v>
      </c>
      <c r="BC61" s="31" t="n">
        <f aca="false">IF($A61="",0,IF(AND($B61="Approved",N($U61)&gt;0,$AQ61&lt;&gt;"Y"),COUNTIF(BC$1:BC60,"&gt;0")+1,0))</f>
        <v>0</v>
      </c>
      <c r="BD61" s="31" t="n">
        <f aca="true">IF($A61="",0,IF(AND($AR61&lt;&gt;"",N($AR61)&lt;TODAY(),$AS61="",$B61&lt;&gt;"Closed",$B61&lt;&gt;"Cancelled",$B61&lt;&gt;"Denied"),COUNTIF(BD$1:BD60,"&gt;0")+1,0))</f>
        <v>0</v>
      </c>
      <c r="BE61" s="31" t="n">
        <f aca="true">IF($A61="",0,IF(AND($AT61&lt;&gt;"",N($AT61)&lt;=TODAY()+7,$AU61="",$B61&lt;&gt;"Denied",$B61&lt;&gt;"Cancelled",$B61&lt;&gt;"Closed"),COUNTIF(BE$1:BE60,"&gt;0")+1,0))</f>
        <v>0</v>
      </c>
      <c r="BF61" s="27"/>
      <c r="BG61" s="27"/>
      <c r="BH61" s="27"/>
      <c r="BI61" s="27"/>
    </row>
    <row r="62" customFormat="false" ht="15" hidden="false" customHeight="false" outlineLevel="0" collapsed="false">
      <c r="A62" s="22"/>
      <c r="B62" s="22"/>
      <c r="C62" s="22"/>
      <c r="D62" s="22"/>
      <c r="E62" s="22"/>
      <c r="F62" s="22"/>
      <c r="G62" s="22"/>
      <c r="H62" s="22"/>
      <c r="I62" s="22"/>
      <c r="J62" s="22"/>
      <c r="K62" s="22"/>
      <c r="L62" s="22"/>
      <c r="M62" s="22"/>
      <c r="N62" s="23"/>
      <c r="O62" s="23"/>
      <c r="P62" s="23"/>
      <c r="Q62" s="24"/>
      <c r="R62" s="23"/>
      <c r="S62" s="24"/>
      <c r="T62" s="25"/>
      <c r="U62" s="26"/>
      <c r="V62" s="25"/>
      <c r="W62" s="25" t="str">
        <f aca="false">IF($A62="","",N($U62)*N($V62))</f>
        <v/>
      </c>
      <c r="X62" s="22"/>
      <c r="Y62" s="26"/>
      <c r="Z62" s="25"/>
      <c r="AA62" s="25" t="str">
        <f aca="false">IF($A62="","",IF($X62="POV",N($Y62)*MileageRate,0)+N($Z62))</f>
        <v/>
      </c>
      <c r="AB62" s="25" t="str">
        <f aca="false">IF(OR($A62="",$P62="",$R62="",$Q62="",$S62=""),"",IF($R62=$P62,($Q62&lt;=T_DepBfast)*($S62&gt;=T_RetBfast)*PD_Bfast+($Q62&lt;=T_DepLunch)*($S62&gt;=T_RetLunch)*PD_Lunch+($Q62&lt;=T_DepDinner)*($S62&gt;=T_RetDinner)*PD_Dinner+PD_Incid,($Q62&lt;=T_DepBfast)*PD_Bfast+($Q62&lt;=T_DepLunch)*PD_Lunch+($Q62&lt;=T_DepDinner)*PD_Dinner+($S62&gt;=T_RetBfast)*PD_Bfast+($S62&gt;=T_RetLunch)*PD_Lunch+($S62&gt;=T_RetDinner)*PD_Dinner+MAX($R62-$P62-1,0)*(PD_Bfast+PD_Lunch+PD_Dinner)+($R62-$P62+1)*PD_Incid))</f>
        <v/>
      </c>
      <c r="AC62" s="25"/>
      <c r="AD62" s="25" t="str">
        <f aca="false">IF($A62="","",N($T62)+N($W62)+N($AA62)+N($AB62)+N($AC62))</f>
        <v/>
      </c>
      <c r="AE62" s="25"/>
      <c r="AF62" s="25"/>
      <c r="AG62" s="25"/>
      <c r="AH62" s="25"/>
      <c r="AI62" s="25"/>
      <c r="AJ62" s="25" t="str">
        <f aca="false">IF($A62="","",IF(COUNT($AE62:$AI62)=0,"",SUM($AE62:$AI62)))</f>
        <v/>
      </c>
      <c r="AK62" s="25"/>
      <c r="AL62" s="25"/>
      <c r="AM62" s="25" t="str">
        <f aca="false">IF(OR($A62="",$AJ62=""),"",$AJ62-N($AK62)-N($AL62))</f>
        <v/>
      </c>
      <c r="AN62" s="23"/>
      <c r="AO62" s="23"/>
      <c r="AP62" s="22"/>
      <c r="AQ62" s="22"/>
      <c r="AR62" s="23" t="str">
        <f aca="false">IF(OR($A62="",$R62=""),"",$R62+ReceiptDays)</f>
        <v/>
      </c>
      <c r="AS62" s="23"/>
      <c r="AT62" s="23" t="str">
        <f aca="false">IF(OR($A62="",$P62=""),"",($P62-FinanceLeadDays)-MOD(($P62-FinanceLeadDays)-DATE(2024,1,2),7))</f>
        <v/>
      </c>
      <c r="AU62" s="23"/>
      <c r="AV62" s="22"/>
      <c r="AW62" s="22"/>
      <c r="AX62" s="25" t="n">
        <f aca="false">IF(OR($A62="",$B62="Denied",$B62="Cancelled"),0,N($AD62))</f>
        <v>0</v>
      </c>
      <c r="AY62" s="25" t="n">
        <f aca="false">IF($A62="",0,N($AJ62))</f>
        <v>0</v>
      </c>
      <c r="AZ62" s="25" t="n">
        <f aca="false">IF(OR($A62="",$B62="Denied",$B62="Cancelled",$B62="Closed"),0,IF(N($AJ62)&gt;0,0,N($AD62)))</f>
        <v>0</v>
      </c>
      <c r="BA62" s="26" t="n">
        <f aca="false">IF($A62="",0,IF($B62="Awaiting Approval",COUNTIF(BA$1:BA61,"&gt;0")+1,0))</f>
        <v>0</v>
      </c>
      <c r="BB62" s="26" t="n">
        <f aca="false">IF($A62="",0,IF(AND($B62="Approved",$AP62&lt;&gt;"Y"),COUNTIF(BB$1:BB61,"&gt;0")+1,0))</f>
        <v>0</v>
      </c>
      <c r="BC62" s="26" t="n">
        <f aca="false">IF($A62="",0,IF(AND($B62="Approved",N($U62)&gt;0,$AQ62&lt;&gt;"Y"),COUNTIF(BC$1:BC61,"&gt;0")+1,0))</f>
        <v>0</v>
      </c>
      <c r="BD62" s="26" t="n">
        <f aca="true">IF($A62="",0,IF(AND($AR62&lt;&gt;"",N($AR62)&lt;TODAY(),$AS62="",$B62&lt;&gt;"Closed",$B62&lt;&gt;"Cancelled",$B62&lt;&gt;"Denied"),COUNTIF(BD$1:BD61,"&gt;0")+1,0))</f>
        <v>0</v>
      </c>
      <c r="BE62" s="26" t="n">
        <f aca="true">IF($A62="",0,IF(AND($AT62&lt;&gt;"",N($AT62)&lt;=TODAY()+7,$AU62="",$B62&lt;&gt;"Denied",$B62&lt;&gt;"Cancelled",$B62&lt;&gt;"Closed"),COUNTIF(BE$1:BE61,"&gt;0")+1,0))</f>
        <v>0</v>
      </c>
      <c r="BF62" s="22"/>
      <c r="BG62" s="22"/>
      <c r="BH62" s="22"/>
      <c r="BI62" s="22"/>
    </row>
    <row r="63" customFormat="false" ht="15" hidden="false" customHeight="false" outlineLevel="0" collapsed="false">
      <c r="A63" s="27"/>
      <c r="B63" s="27"/>
      <c r="C63" s="27"/>
      <c r="D63" s="27"/>
      <c r="E63" s="27"/>
      <c r="F63" s="27"/>
      <c r="G63" s="27"/>
      <c r="H63" s="27"/>
      <c r="I63" s="27"/>
      <c r="J63" s="27"/>
      <c r="K63" s="27"/>
      <c r="L63" s="27"/>
      <c r="M63" s="27"/>
      <c r="N63" s="28"/>
      <c r="O63" s="28"/>
      <c r="P63" s="28"/>
      <c r="Q63" s="29"/>
      <c r="R63" s="28"/>
      <c r="S63" s="29"/>
      <c r="T63" s="30"/>
      <c r="U63" s="31"/>
      <c r="V63" s="30"/>
      <c r="W63" s="30" t="str">
        <f aca="false">IF($A63="","",N($U63)*N($V63))</f>
        <v/>
      </c>
      <c r="X63" s="27"/>
      <c r="Y63" s="31"/>
      <c r="Z63" s="30"/>
      <c r="AA63" s="30" t="str">
        <f aca="false">IF($A63="","",IF($X63="POV",N($Y63)*MileageRate,0)+N($Z63))</f>
        <v/>
      </c>
      <c r="AB63" s="30" t="str">
        <f aca="false">IF(OR($A63="",$P63="",$R63="",$Q63="",$S63=""),"",IF($R63=$P63,($Q63&lt;=T_DepBfast)*($S63&gt;=T_RetBfast)*PD_Bfast+($Q63&lt;=T_DepLunch)*($S63&gt;=T_RetLunch)*PD_Lunch+($Q63&lt;=T_DepDinner)*($S63&gt;=T_RetDinner)*PD_Dinner+PD_Incid,($Q63&lt;=T_DepBfast)*PD_Bfast+($Q63&lt;=T_DepLunch)*PD_Lunch+($Q63&lt;=T_DepDinner)*PD_Dinner+($S63&gt;=T_RetBfast)*PD_Bfast+($S63&gt;=T_RetLunch)*PD_Lunch+($S63&gt;=T_RetDinner)*PD_Dinner+MAX($R63-$P63-1,0)*(PD_Bfast+PD_Lunch+PD_Dinner)+($R63-$P63+1)*PD_Incid))</f>
        <v/>
      </c>
      <c r="AC63" s="30"/>
      <c r="AD63" s="30" t="str">
        <f aca="false">IF($A63="","",N($T63)+N($W63)+N($AA63)+N($AB63)+N($AC63))</f>
        <v/>
      </c>
      <c r="AE63" s="30"/>
      <c r="AF63" s="30"/>
      <c r="AG63" s="30"/>
      <c r="AH63" s="30"/>
      <c r="AI63" s="30"/>
      <c r="AJ63" s="30" t="str">
        <f aca="false">IF($A63="","",IF(COUNT($AE63:$AI63)=0,"",SUM($AE63:$AI63)))</f>
        <v/>
      </c>
      <c r="AK63" s="30"/>
      <c r="AL63" s="30"/>
      <c r="AM63" s="30" t="str">
        <f aca="false">IF(OR($A63="",$AJ63=""),"",$AJ63-N($AK63)-N($AL63))</f>
        <v/>
      </c>
      <c r="AN63" s="28"/>
      <c r="AO63" s="28"/>
      <c r="AP63" s="27"/>
      <c r="AQ63" s="27"/>
      <c r="AR63" s="28" t="str">
        <f aca="false">IF(OR($A63="",$R63=""),"",$R63+ReceiptDays)</f>
        <v/>
      </c>
      <c r="AS63" s="28"/>
      <c r="AT63" s="28" t="str">
        <f aca="false">IF(OR($A63="",$P63=""),"",($P63-FinanceLeadDays)-MOD(($P63-FinanceLeadDays)-DATE(2024,1,2),7))</f>
        <v/>
      </c>
      <c r="AU63" s="28"/>
      <c r="AV63" s="27"/>
      <c r="AW63" s="27"/>
      <c r="AX63" s="30" t="n">
        <f aca="false">IF(OR($A63="",$B63="Denied",$B63="Cancelled"),0,N($AD63))</f>
        <v>0</v>
      </c>
      <c r="AY63" s="30" t="n">
        <f aca="false">IF($A63="",0,N($AJ63))</f>
        <v>0</v>
      </c>
      <c r="AZ63" s="30" t="n">
        <f aca="false">IF(OR($A63="",$B63="Denied",$B63="Cancelled",$B63="Closed"),0,IF(N($AJ63)&gt;0,0,N($AD63)))</f>
        <v>0</v>
      </c>
      <c r="BA63" s="31" t="n">
        <f aca="false">IF($A63="",0,IF($B63="Awaiting Approval",COUNTIF(BA$1:BA62,"&gt;0")+1,0))</f>
        <v>0</v>
      </c>
      <c r="BB63" s="31" t="n">
        <f aca="false">IF($A63="",0,IF(AND($B63="Approved",$AP63&lt;&gt;"Y"),COUNTIF(BB$1:BB62,"&gt;0")+1,0))</f>
        <v>0</v>
      </c>
      <c r="BC63" s="31" t="n">
        <f aca="false">IF($A63="",0,IF(AND($B63="Approved",N($U63)&gt;0,$AQ63&lt;&gt;"Y"),COUNTIF(BC$1:BC62,"&gt;0")+1,0))</f>
        <v>0</v>
      </c>
      <c r="BD63" s="31" t="n">
        <f aca="true">IF($A63="",0,IF(AND($AR63&lt;&gt;"",N($AR63)&lt;TODAY(),$AS63="",$B63&lt;&gt;"Closed",$B63&lt;&gt;"Cancelled",$B63&lt;&gt;"Denied"),COUNTIF(BD$1:BD62,"&gt;0")+1,0))</f>
        <v>0</v>
      </c>
      <c r="BE63" s="31" t="n">
        <f aca="true">IF($A63="",0,IF(AND($AT63&lt;&gt;"",N($AT63)&lt;=TODAY()+7,$AU63="",$B63&lt;&gt;"Denied",$B63&lt;&gt;"Cancelled",$B63&lt;&gt;"Closed"),COUNTIF(BE$1:BE62,"&gt;0")+1,0))</f>
        <v>0</v>
      </c>
      <c r="BF63" s="27"/>
      <c r="BG63" s="27"/>
      <c r="BH63" s="27"/>
      <c r="BI63" s="27"/>
    </row>
    <row r="64" customFormat="false" ht="15" hidden="false" customHeight="false" outlineLevel="0" collapsed="false">
      <c r="A64" s="22"/>
      <c r="B64" s="22"/>
      <c r="C64" s="22"/>
      <c r="D64" s="22"/>
      <c r="E64" s="22"/>
      <c r="F64" s="22"/>
      <c r="G64" s="22"/>
      <c r="H64" s="22"/>
      <c r="I64" s="22"/>
      <c r="J64" s="22"/>
      <c r="K64" s="22"/>
      <c r="L64" s="22"/>
      <c r="M64" s="22"/>
      <c r="N64" s="23"/>
      <c r="O64" s="23"/>
      <c r="P64" s="23"/>
      <c r="Q64" s="24"/>
      <c r="R64" s="23"/>
      <c r="S64" s="24"/>
      <c r="T64" s="25"/>
      <c r="U64" s="26"/>
      <c r="V64" s="25"/>
      <c r="W64" s="25" t="str">
        <f aca="false">IF($A64="","",N($U64)*N($V64))</f>
        <v/>
      </c>
      <c r="X64" s="22"/>
      <c r="Y64" s="26"/>
      <c r="Z64" s="25"/>
      <c r="AA64" s="25" t="str">
        <f aca="false">IF($A64="","",IF($X64="POV",N($Y64)*MileageRate,0)+N($Z64))</f>
        <v/>
      </c>
      <c r="AB64" s="25" t="str">
        <f aca="false">IF(OR($A64="",$P64="",$R64="",$Q64="",$S64=""),"",IF($R64=$P64,($Q64&lt;=T_DepBfast)*($S64&gt;=T_RetBfast)*PD_Bfast+($Q64&lt;=T_DepLunch)*($S64&gt;=T_RetLunch)*PD_Lunch+($Q64&lt;=T_DepDinner)*($S64&gt;=T_RetDinner)*PD_Dinner+PD_Incid,($Q64&lt;=T_DepBfast)*PD_Bfast+($Q64&lt;=T_DepLunch)*PD_Lunch+($Q64&lt;=T_DepDinner)*PD_Dinner+($S64&gt;=T_RetBfast)*PD_Bfast+($S64&gt;=T_RetLunch)*PD_Lunch+($S64&gt;=T_RetDinner)*PD_Dinner+MAX($R64-$P64-1,0)*(PD_Bfast+PD_Lunch+PD_Dinner)+($R64-$P64+1)*PD_Incid))</f>
        <v/>
      </c>
      <c r="AC64" s="25"/>
      <c r="AD64" s="25" t="str">
        <f aca="false">IF($A64="","",N($T64)+N($W64)+N($AA64)+N($AB64)+N($AC64))</f>
        <v/>
      </c>
      <c r="AE64" s="25"/>
      <c r="AF64" s="25"/>
      <c r="AG64" s="25"/>
      <c r="AH64" s="25"/>
      <c r="AI64" s="25"/>
      <c r="AJ64" s="25" t="str">
        <f aca="false">IF($A64="","",IF(COUNT($AE64:$AI64)=0,"",SUM($AE64:$AI64)))</f>
        <v/>
      </c>
      <c r="AK64" s="25"/>
      <c r="AL64" s="25"/>
      <c r="AM64" s="25" t="str">
        <f aca="false">IF(OR($A64="",$AJ64=""),"",$AJ64-N($AK64)-N($AL64))</f>
        <v/>
      </c>
      <c r="AN64" s="23"/>
      <c r="AO64" s="23"/>
      <c r="AP64" s="22"/>
      <c r="AQ64" s="22"/>
      <c r="AR64" s="23" t="str">
        <f aca="false">IF(OR($A64="",$R64=""),"",$R64+ReceiptDays)</f>
        <v/>
      </c>
      <c r="AS64" s="23"/>
      <c r="AT64" s="23" t="str">
        <f aca="false">IF(OR($A64="",$P64=""),"",($P64-FinanceLeadDays)-MOD(($P64-FinanceLeadDays)-DATE(2024,1,2),7))</f>
        <v/>
      </c>
      <c r="AU64" s="23"/>
      <c r="AV64" s="22"/>
      <c r="AW64" s="22"/>
      <c r="AX64" s="25" t="n">
        <f aca="false">IF(OR($A64="",$B64="Denied",$B64="Cancelled"),0,N($AD64))</f>
        <v>0</v>
      </c>
      <c r="AY64" s="25" t="n">
        <f aca="false">IF($A64="",0,N($AJ64))</f>
        <v>0</v>
      </c>
      <c r="AZ64" s="25" t="n">
        <f aca="false">IF(OR($A64="",$B64="Denied",$B64="Cancelled",$B64="Closed"),0,IF(N($AJ64)&gt;0,0,N($AD64)))</f>
        <v>0</v>
      </c>
      <c r="BA64" s="26" t="n">
        <f aca="false">IF($A64="",0,IF($B64="Awaiting Approval",COUNTIF(BA$1:BA63,"&gt;0")+1,0))</f>
        <v>0</v>
      </c>
      <c r="BB64" s="26" t="n">
        <f aca="false">IF($A64="",0,IF(AND($B64="Approved",$AP64&lt;&gt;"Y"),COUNTIF(BB$1:BB63,"&gt;0")+1,0))</f>
        <v>0</v>
      </c>
      <c r="BC64" s="26" t="n">
        <f aca="false">IF($A64="",0,IF(AND($B64="Approved",N($U64)&gt;0,$AQ64&lt;&gt;"Y"),COUNTIF(BC$1:BC63,"&gt;0")+1,0))</f>
        <v>0</v>
      </c>
      <c r="BD64" s="26" t="n">
        <f aca="true">IF($A64="",0,IF(AND($AR64&lt;&gt;"",N($AR64)&lt;TODAY(),$AS64="",$B64&lt;&gt;"Closed",$B64&lt;&gt;"Cancelled",$B64&lt;&gt;"Denied"),COUNTIF(BD$1:BD63,"&gt;0")+1,0))</f>
        <v>0</v>
      </c>
      <c r="BE64" s="26" t="n">
        <f aca="true">IF($A64="",0,IF(AND($AT64&lt;&gt;"",N($AT64)&lt;=TODAY()+7,$AU64="",$B64&lt;&gt;"Denied",$B64&lt;&gt;"Cancelled",$B64&lt;&gt;"Closed"),COUNTIF(BE$1:BE63,"&gt;0")+1,0))</f>
        <v>0</v>
      </c>
      <c r="BF64" s="22"/>
      <c r="BG64" s="22"/>
      <c r="BH64" s="22"/>
      <c r="BI64" s="22"/>
    </row>
    <row r="65" customFormat="false" ht="15" hidden="false" customHeight="false" outlineLevel="0" collapsed="false">
      <c r="A65" s="27"/>
      <c r="B65" s="27"/>
      <c r="C65" s="27"/>
      <c r="D65" s="27"/>
      <c r="E65" s="27"/>
      <c r="F65" s="27"/>
      <c r="G65" s="27"/>
      <c r="H65" s="27"/>
      <c r="I65" s="27"/>
      <c r="J65" s="27"/>
      <c r="K65" s="27"/>
      <c r="L65" s="27"/>
      <c r="M65" s="27"/>
      <c r="N65" s="28"/>
      <c r="O65" s="28"/>
      <c r="P65" s="28"/>
      <c r="Q65" s="29"/>
      <c r="R65" s="28"/>
      <c r="S65" s="29"/>
      <c r="T65" s="30"/>
      <c r="U65" s="31"/>
      <c r="V65" s="30"/>
      <c r="W65" s="30" t="str">
        <f aca="false">IF($A65="","",N($U65)*N($V65))</f>
        <v/>
      </c>
      <c r="X65" s="27"/>
      <c r="Y65" s="31"/>
      <c r="Z65" s="30"/>
      <c r="AA65" s="30" t="str">
        <f aca="false">IF($A65="","",IF($X65="POV",N($Y65)*MileageRate,0)+N($Z65))</f>
        <v/>
      </c>
      <c r="AB65" s="30" t="str">
        <f aca="false">IF(OR($A65="",$P65="",$R65="",$Q65="",$S65=""),"",IF($R65=$P65,($Q65&lt;=T_DepBfast)*($S65&gt;=T_RetBfast)*PD_Bfast+($Q65&lt;=T_DepLunch)*($S65&gt;=T_RetLunch)*PD_Lunch+($Q65&lt;=T_DepDinner)*($S65&gt;=T_RetDinner)*PD_Dinner+PD_Incid,($Q65&lt;=T_DepBfast)*PD_Bfast+($Q65&lt;=T_DepLunch)*PD_Lunch+($Q65&lt;=T_DepDinner)*PD_Dinner+($S65&gt;=T_RetBfast)*PD_Bfast+($S65&gt;=T_RetLunch)*PD_Lunch+($S65&gt;=T_RetDinner)*PD_Dinner+MAX($R65-$P65-1,0)*(PD_Bfast+PD_Lunch+PD_Dinner)+($R65-$P65+1)*PD_Incid))</f>
        <v/>
      </c>
      <c r="AC65" s="30"/>
      <c r="AD65" s="30" t="str">
        <f aca="false">IF($A65="","",N($T65)+N($W65)+N($AA65)+N($AB65)+N($AC65))</f>
        <v/>
      </c>
      <c r="AE65" s="30"/>
      <c r="AF65" s="30"/>
      <c r="AG65" s="30"/>
      <c r="AH65" s="30"/>
      <c r="AI65" s="30"/>
      <c r="AJ65" s="30" t="str">
        <f aca="false">IF($A65="","",IF(COUNT($AE65:$AI65)=0,"",SUM($AE65:$AI65)))</f>
        <v/>
      </c>
      <c r="AK65" s="30"/>
      <c r="AL65" s="30"/>
      <c r="AM65" s="30" t="str">
        <f aca="false">IF(OR($A65="",$AJ65=""),"",$AJ65-N($AK65)-N($AL65))</f>
        <v/>
      </c>
      <c r="AN65" s="28"/>
      <c r="AO65" s="28"/>
      <c r="AP65" s="27"/>
      <c r="AQ65" s="27"/>
      <c r="AR65" s="28" t="str">
        <f aca="false">IF(OR($A65="",$R65=""),"",$R65+ReceiptDays)</f>
        <v/>
      </c>
      <c r="AS65" s="28"/>
      <c r="AT65" s="28" t="str">
        <f aca="false">IF(OR($A65="",$P65=""),"",($P65-FinanceLeadDays)-MOD(($P65-FinanceLeadDays)-DATE(2024,1,2),7))</f>
        <v/>
      </c>
      <c r="AU65" s="28"/>
      <c r="AV65" s="27"/>
      <c r="AW65" s="27"/>
      <c r="AX65" s="30" t="n">
        <f aca="false">IF(OR($A65="",$B65="Denied",$B65="Cancelled"),0,N($AD65))</f>
        <v>0</v>
      </c>
      <c r="AY65" s="30" t="n">
        <f aca="false">IF($A65="",0,N($AJ65))</f>
        <v>0</v>
      </c>
      <c r="AZ65" s="30" t="n">
        <f aca="false">IF(OR($A65="",$B65="Denied",$B65="Cancelled",$B65="Closed"),0,IF(N($AJ65)&gt;0,0,N($AD65)))</f>
        <v>0</v>
      </c>
      <c r="BA65" s="31" t="n">
        <f aca="false">IF($A65="",0,IF($B65="Awaiting Approval",COUNTIF(BA$1:BA64,"&gt;0")+1,0))</f>
        <v>0</v>
      </c>
      <c r="BB65" s="31" t="n">
        <f aca="false">IF($A65="",0,IF(AND($B65="Approved",$AP65&lt;&gt;"Y"),COUNTIF(BB$1:BB64,"&gt;0")+1,0))</f>
        <v>0</v>
      </c>
      <c r="BC65" s="31" t="n">
        <f aca="false">IF($A65="",0,IF(AND($B65="Approved",N($U65)&gt;0,$AQ65&lt;&gt;"Y"),COUNTIF(BC$1:BC64,"&gt;0")+1,0))</f>
        <v>0</v>
      </c>
      <c r="BD65" s="31" t="n">
        <f aca="true">IF($A65="",0,IF(AND($AR65&lt;&gt;"",N($AR65)&lt;TODAY(),$AS65="",$B65&lt;&gt;"Closed",$B65&lt;&gt;"Cancelled",$B65&lt;&gt;"Denied"),COUNTIF(BD$1:BD64,"&gt;0")+1,0))</f>
        <v>0</v>
      </c>
      <c r="BE65" s="31" t="n">
        <f aca="true">IF($A65="",0,IF(AND($AT65&lt;&gt;"",N($AT65)&lt;=TODAY()+7,$AU65="",$B65&lt;&gt;"Denied",$B65&lt;&gt;"Cancelled",$B65&lt;&gt;"Closed"),COUNTIF(BE$1:BE64,"&gt;0")+1,0))</f>
        <v>0</v>
      </c>
      <c r="BF65" s="27"/>
      <c r="BG65" s="27"/>
      <c r="BH65" s="27"/>
      <c r="BI65" s="27"/>
    </row>
    <row r="66" customFormat="false" ht="15" hidden="false" customHeight="false" outlineLevel="0" collapsed="false">
      <c r="A66" s="22"/>
      <c r="B66" s="22"/>
      <c r="C66" s="22"/>
      <c r="D66" s="22"/>
      <c r="E66" s="22"/>
      <c r="F66" s="22"/>
      <c r="G66" s="22"/>
      <c r="H66" s="22"/>
      <c r="I66" s="22"/>
      <c r="J66" s="22"/>
      <c r="K66" s="22"/>
      <c r="L66" s="22"/>
      <c r="M66" s="22"/>
      <c r="N66" s="23"/>
      <c r="O66" s="23"/>
      <c r="P66" s="23"/>
      <c r="Q66" s="24"/>
      <c r="R66" s="23"/>
      <c r="S66" s="24"/>
      <c r="T66" s="25"/>
      <c r="U66" s="26"/>
      <c r="V66" s="25"/>
      <c r="W66" s="25" t="str">
        <f aca="false">IF($A66="","",N($U66)*N($V66))</f>
        <v/>
      </c>
      <c r="X66" s="22"/>
      <c r="Y66" s="26"/>
      <c r="Z66" s="25"/>
      <c r="AA66" s="25" t="str">
        <f aca="false">IF($A66="","",IF($X66="POV",N($Y66)*MileageRate,0)+N($Z66))</f>
        <v/>
      </c>
      <c r="AB66" s="25" t="str">
        <f aca="false">IF(OR($A66="",$P66="",$R66="",$Q66="",$S66=""),"",IF($R66=$P66,($Q66&lt;=T_DepBfast)*($S66&gt;=T_RetBfast)*PD_Bfast+($Q66&lt;=T_DepLunch)*($S66&gt;=T_RetLunch)*PD_Lunch+($Q66&lt;=T_DepDinner)*($S66&gt;=T_RetDinner)*PD_Dinner+PD_Incid,($Q66&lt;=T_DepBfast)*PD_Bfast+($Q66&lt;=T_DepLunch)*PD_Lunch+($Q66&lt;=T_DepDinner)*PD_Dinner+($S66&gt;=T_RetBfast)*PD_Bfast+($S66&gt;=T_RetLunch)*PD_Lunch+($S66&gt;=T_RetDinner)*PD_Dinner+MAX($R66-$P66-1,0)*(PD_Bfast+PD_Lunch+PD_Dinner)+($R66-$P66+1)*PD_Incid))</f>
        <v/>
      </c>
      <c r="AC66" s="25"/>
      <c r="AD66" s="25" t="str">
        <f aca="false">IF($A66="","",N($T66)+N($W66)+N($AA66)+N($AB66)+N($AC66))</f>
        <v/>
      </c>
      <c r="AE66" s="25"/>
      <c r="AF66" s="25"/>
      <c r="AG66" s="25"/>
      <c r="AH66" s="25"/>
      <c r="AI66" s="25"/>
      <c r="AJ66" s="25" t="str">
        <f aca="false">IF($A66="","",IF(COUNT($AE66:$AI66)=0,"",SUM($AE66:$AI66)))</f>
        <v/>
      </c>
      <c r="AK66" s="25"/>
      <c r="AL66" s="25"/>
      <c r="AM66" s="25" t="str">
        <f aca="false">IF(OR($A66="",$AJ66=""),"",$AJ66-N($AK66)-N($AL66))</f>
        <v/>
      </c>
      <c r="AN66" s="23"/>
      <c r="AO66" s="23"/>
      <c r="AP66" s="22"/>
      <c r="AQ66" s="22"/>
      <c r="AR66" s="23" t="str">
        <f aca="false">IF(OR($A66="",$R66=""),"",$R66+ReceiptDays)</f>
        <v/>
      </c>
      <c r="AS66" s="23"/>
      <c r="AT66" s="23" t="str">
        <f aca="false">IF(OR($A66="",$P66=""),"",($P66-FinanceLeadDays)-MOD(($P66-FinanceLeadDays)-DATE(2024,1,2),7))</f>
        <v/>
      </c>
      <c r="AU66" s="23"/>
      <c r="AV66" s="22"/>
      <c r="AW66" s="22"/>
      <c r="AX66" s="25" t="n">
        <f aca="false">IF(OR($A66="",$B66="Denied",$B66="Cancelled"),0,N($AD66))</f>
        <v>0</v>
      </c>
      <c r="AY66" s="25" t="n">
        <f aca="false">IF($A66="",0,N($AJ66))</f>
        <v>0</v>
      </c>
      <c r="AZ66" s="25" t="n">
        <f aca="false">IF(OR($A66="",$B66="Denied",$B66="Cancelled",$B66="Closed"),0,IF(N($AJ66)&gt;0,0,N($AD66)))</f>
        <v>0</v>
      </c>
      <c r="BA66" s="26" t="n">
        <f aca="false">IF($A66="",0,IF($B66="Awaiting Approval",COUNTIF(BA$1:BA65,"&gt;0")+1,0))</f>
        <v>0</v>
      </c>
      <c r="BB66" s="26" t="n">
        <f aca="false">IF($A66="",0,IF(AND($B66="Approved",$AP66&lt;&gt;"Y"),COUNTIF(BB$1:BB65,"&gt;0")+1,0))</f>
        <v>0</v>
      </c>
      <c r="BC66" s="26" t="n">
        <f aca="false">IF($A66="",0,IF(AND($B66="Approved",N($U66)&gt;0,$AQ66&lt;&gt;"Y"),COUNTIF(BC$1:BC65,"&gt;0")+1,0))</f>
        <v>0</v>
      </c>
      <c r="BD66" s="26" t="n">
        <f aca="true">IF($A66="",0,IF(AND($AR66&lt;&gt;"",N($AR66)&lt;TODAY(),$AS66="",$B66&lt;&gt;"Closed",$B66&lt;&gt;"Cancelled",$B66&lt;&gt;"Denied"),COUNTIF(BD$1:BD65,"&gt;0")+1,0))</f>
        <v>0</v>
      </c>
      <c r="BE66" s="26" t="n">
        <f aca="true">IF($A66="",0,IF(AND($AT66&lt;&gt;"",N($AT66)&lt;=TODAY()+7,$AU66="",$B66&lt;&gt;"Denied",$B66&lt;&gt;"Cancelled",$B66&lt;&gt;"Closed"),COUNTIF(BE$1:BE65,"&gt;0")+1,0))</f>
        <v>0</v>
      </c>
      <c r="BF66" s="22"/>
      <c r="BG66" s="22"/>
      <c r="BH66" s="22"/>
      <c r="BI66" s="22"/>
    </row>
    <row r="67" customFormat="false" ht="15" hidden="false" customHeight="false" outlineLevel="0" collapsed="false">
      <c r="A67" s="27"/>
      <c r="B67" s="27"/>
      <c r="C67" s="27"/>
      <c r="D67" s="27"/>
      <c r="E67" s="27"/>
      <c r="F67" s="27"/>
      <c r="G67" s="27"/>
      <c r="H67" s="27"/>
      <c r="I67" s="27"/>
      <c r="J67" s="27"/>
      <c r="K67" s="27"/>
      <c r="L67" s="27"/>
      <c r="M67" s="27"/>
      <c r="N67" s="28"/>
      <c r="O67" s="28"/>
      <c r="P67" s="28"/>
      <c r="Q67" s="29"/>
      <c r="R67" s="28"/>
      <c r="S67" s="29"/>
      <c r="T67" s="30"/>
      <c r="U67" s="31"/>
      <c r="V67" s="30"/>
      <c r="W67" s="30" t="str">
        <f aca="false">IF($A67="","",N($U67)*N($V67))</f>
        <v/>
      </c>
      <c r="X67" s="27"/>
      <c r="Y67" s="31"/>
      <c r="Z67" s="30"/>
      <c r="AA67" s="30" t="str">
        <f aca="false">IF($A67="","",IF($X67="POV",N($Y67)*MileageRate,0)+N($Z67))</f>
        <v/>
      </c>
      <c r="AB67" s="30" t="str">
        <f aca="false">IF(OR($A67="",$P67="",$R67="",$Q67="",$S67=""),"",IF($R67=$P67,($Q67&lt;=T_DepBfast)*($S67&gt;=T_RetBfast)*PD_Bfast+($Q67&lt;=T_DepLunch)*($S67&gt;=T_RetLunch)*PD_Lunch+($Q67&lt;=T_DepDinner)*($S67&gt;=T_RetDinner)*PD_Dinner+PD_Incid,($Q67&lt;=T_DepBfast)*PD_Bfast+($Q67&lt;=T_DepLunch)*PD_Lunch+($Q67&lt;=T_DepDinner)*PD_Dinner+($S67&gt;=T_RetBfast)*PD_Bfast+($S67&gt;=T_RetLunch)*PD_Lunch+($S67&gt;=T_RetDinner)*PD_Dinner+MAX($R67-$P67-1,0)*(PD_Bfast+PD_Lunch+PD_Dinner)+($R67-$P67+1)*PD_Incid))</f>
        <v/>
      </c>
      <c r="AC67" s="30"/>
      <c r="AD67" s="30" t="str">
        <f aca="false">IF($A67="","",N($T67)+N($W67)+N($AA67)+N($AB67)+N($AC67))</f>
        <v/>
      </c>
      <c r="AE67" s="30"/>
      <c r="AF67" s="30"/>
      <c r="AG67" s="30"/>
      <c r="AH67" s="30"/>
      <c r="AI67" s="30"/>
      <c r="AJ67" s="30" t="str">
        <f aca="false">IF($A67="","",IF(COUNT($AE67:$AI67)=0,"",SUM($AE67:$AI67)))</f>
        <v/>
      </c>
      <c r="AK67" s="30"/>
      <c r="AL67" s="30"/>
      <c r="AM67" s="30" t="str">
        <f aca="false">IF(OR($A67="",$AJ67=""),"",$AJ67-N($AK67)-N($AL67))</f>
        <v/>
      </c>
      <c r="AN67" s="28"/>
      <c r="AO67" s="28"/>
      <c r="AP67" s="27"/>
      <c r="AQ67" s="27"/>
      <c r="AR67" s="28" t="str">
        <f aca="false">IF(OR($A67="",$R67=""),"",$R67+ReceiptDays)</f>
        <v/>
      </c>
      <c r="AS67" s="28"/>
      <c r="AT67" s="28" t="str">
        <f aca="false">IF(OR($A67="",$P67=""),"",($P67-FinanceLeadDays)-MOD(($P67-FinanceLeadDays)-DATE(2024,1,2),7))</f>
        <v/>
      </c>
      <c r="AU67" s="28"/>
      <c r="AV67" s="27"/>
      <c r="AW67" s="27"/>
      <c r="AX67" s="30" t="n">
        <f aca="false">IF(OR($A67="",$B67="Denied",$B67="Cancelled"),0,N($AD67))</f>
        <v>0</v>
      </c>
      <c r="AY67" s="30" t="n">
        <f aca="false">IF($A67="",0,N($AJ67))</f>
        <v>0</v>
      </c>
      <c r="AZ67" s="30" t="n">
        <f aca="false">IF(OR($A67="",$B67="Denied",$B67="Cancelled",$B67="Closed"),0,IF(N($AJ67)&gt;0,0,N($AD67)))</f>
        <v>0</v>
      </c>
      <c r="BA67" s="31" t="n">
        <f aca="false">IF($A67="",0,IF($B67="Awaiting Approval",COUNTIF(BA$1:BA66,"&gt;0")+1,0))</f>
        <v>0</v>
      </c>
      <c r="BB67" s="31" t="n">
        <f aca="false">IF($A67="",0,IF(AND($B67="Approved",$AP67&lt;&gt;"Y"),COUNTIF(BB$1:BB66,"&gt;0")+1,0))</f>
        <v>0</v>
      </c>
      <c r="BC67" s="31" t="n">
        <f aca="false">IF($A67="",0,IF(AND($B67="Approved",N($U67)&gt;0,$AQ67&lt;&gt;"Y"),COUNTIF(BC$1:BC66,"&gt;0")+1,0))</f>
        <v>0</v>
      </c>
      <c r="BD67" s="31" t="n">
        <f aca="true">IF($A67="",0,IF(AND($AR67&lt;&gt;"",N($AR67)&lt;TODAY(),$AS67="",$B67&lt;&gt;"Closed",$B67&lt;&gt;"Cancelled",$B67&lt;&gt;"Denied"),COUNTIF(BD$1:BD66,"&gt;0")+1,0))</f>
        <v>0</v>
      </c>
      <c r="BE67" s="31" t="n">
        <f aca="true">IF($A67="",0,IF(AND($AT67&lt;&gt;"",N($AT67)&lt;=TODAY()+7,$AU67="",$B67&lt;&gt;"Denied",$B67&lt;&gt;"Cancelled",$B67&lt;&gt;"Closed"),COUNTIF(BE$1:BE66,"&gt;0")+1,0))</f>
        <v>0</v>
      </c>
      <c r="BF67" s="27"/>
      <c r="BG67" s="27"/>
      <c r="BH67" s="27"/>
      <c r="BI67" s="27"/>
    </row>
    <row r="68" customFormat="false" ht="15" hidden="false" customHeight="false" outlineLevel="0" collapsed="false">
      <c r="A68" s="22"/>
      <c r="B68" s="22"/>
      <c r="C68" s="22"/>
      <c r="D68" s="22"/>
      <c r="E68" s="22"/>
      <c r="F68" s="22"/>
      <c r="G68" s="22"/>
      <c r="H68" s="22"/>
      <c r="I68" s="22"/>
      <c r="J68" s="22"/>
      <c r="K68" s="22"/>
      <c r="L68" s="22"/>
      <c r="M68" s="22"/>
      <c r="N68" s="23"/>
      <c r="O68" s="23"/>
      <c r="P68" s="23"/>
      <c r="Q68" s="24"/>
      <c r="R68" s="23"/>
      <c r="S68" s="24"/>
      <c r="T68" s="25"/>
      <c r="U68" s="26"/>
      <c r="V68" s="25"/>
      <c r="W68" s="25" t="str">
        <f aca="false">IF($A68="","",N($U68)*N($V68))</f>
        <v/>
      </c>
      <c r="X68" s="22"/>
      <c r="Y68" s="26"/>
      <c r="Z68" s="25"/>
      <c r="AA68" s="25" t="str">
        <f aca="false">IF($A68="","",IF($X68="POV",N($Y68)*MileageRate,0)+N($Z68))</f>
        <v/>
      </c>
      <c r="AB68" s="25" t="str">
        <f aca="false">IF(OR($A68="",$P68="",$R68="",$Q68="",$S68=""),"",IF($R68=$P68,($Q68&lt;=T_DepBfast)*($S68&gt;=T_RetBfast)*PD_Bfast+($Q68&lt;=T_DepLunch)*($S68&gt;=T_RetLunch)*PD_Lunch+($Q68&lt;=T_DepDinner)*($S68&gt;=T_RetDinner)*PD_Dinner+PD_Incid,($Q68&lt;=T_DepBfast)*PD_Bfast+($Q68&lt;=T_DepLunch)*PD_Lunch+($Q68&lt;=T_DepDinner)*PD_Dinner+($S68&gt;=T_RetBfast)*PD_Bfast+($S68&gt;=T_RetLunch)*PD_Lunch+($S68&gt;=T_RetDinner)*PD_Dinner+MAX($R68-$P68-1,0)*(PD_Bfast+PD_Lunch+PD_Dinner)+($R68-$P68+1)*PD_Incid))</f>
        <v/>
      </c>
      <c r="AC68" s="25"/>
      <c r="AD68" s="25" t="str">
        <f aca="false">IF($A68="","",N($T68)+N($W68)+N($AA68)+N($AB68)+N($AC68))</f>
        <v/>
      </c>
      <c r="AE68" s="25"/>
      <c r="AF68" s="25"/>
      <c r="AG68" s="25"/>
      <c r="AH68" s="25"/>
      <c r="AI68" s="25"/>
      <c r="AJ68" s="25" t="str">
        <f aca="false">IF($A68="","",IF(COUNT($AE68:$AI68)=0,"",SUM($AE68:$AI68)))</f>
        <v/>
      </c>
      <c r="AK68" s="25"/>
      <c r="AL68" s="25"/>
      <c r="AM68" s="25" t="str">
        <f aca="false">IF(OR($A68="",$AJ68=""),"",$AJ68-N($AK68)-N($AL68))</f>
        <v/>
      </c>
      <c r="AN68" s="23"/>
      <c r="AO68" s="23"/>
      <c r="AP68" s="22"/>
      <c r="AQ68" s="22"/>
      <c r="AR68" s="23" t="str">
        <f aca="false">IF(OR($A68="",$R68=""),"",$R68+ReceiptDays)</f>
        <v/>
      </c>
      <c r="AS68" s="23"/>
      <c r="AT68" s="23" t="str">
        <f aca="false">IF(OR($A68="",$P68=""),"",($P68-FinanceLeadDays)-MOD(($P68-FinanceLeadDays)-DATE(2024,1,2),7))</f>
        <v/>
      </c>
      <c r="AU68" s="23"/>
      <c r="AV68" s="22"/>
      <c r="AW68" s="22"/>
      <c r="AX68" s="25" t="n">
        <f aca="false">IF(OR($A68="",$B68="Denied",$B68="Cancelled"),0,N($AD68))</f>
        <v>0</v>
      </c>
      <c r="AY68" s="25" t="n">
        <f aca="false">IF($A68="",0,N($AJ68))</f>
        <v>0</v>
      </c>
      <c r="AZ68" s="25" t="n">
        <f aca="false">IF(OR($A68="",$B68="Denied",$B68="Cancelled",$B68="Closed"),0,IF(N($AJ68)&gt;0,0,N($AD68)))</f>
        <v>0</v>
      </c>
      <c r="BA68" s="26" t="n">
        <f aca="false">IF($A68="",0,IF($B68="Awaiting Approval",COUNTIF(BA$1:BA67,"&gt;0")+1,0))</f>
        <v>0</v>
      </c>
      <c r="BB68" s="26" t="n">
        <f aca="false">IF($A68="",0,IF(AND($B68="Approved",$AP68&lt;&gt;"Y"),COUNTIF(BB$1:BB67,"&gt;0")+1,0))</f>
        <v>0</v>
      </c>
      <c r="BC68" s="26" t="n">
        <f aca="false">IF($A68="",0,IF(AND($B68="Approved",N($U68)&gt;0,$AQ68&lt;&gt;"Y"),COUNTIF(BC$1:BC67,"&gt;0")+1,0))</f>
        <v>0</v>
      </c>
      <c r="BD68" s="26" t="n">
        <f aca="true">IF($A68="",0,IF(AND($AR68&lt;&gt;"",N($AR68)&lt;TODAY(),$AS68="",$B68&lt;&gt;"Closed",$B68&lt;&gt;"Cancelled",$B68&lt;&gt;"Denied"),COUNTIF(BD$1:BD67,"&gt;0")+1,0))</f>
        <v>0</v>
      </c>
      <c r="BE68" s="26" t="n">
        <f aca="true">IF($A68="",0,IF(AND($AT68&lt;&gt;"",N($AT68)&lt;=TODAY()+7,$AU68="",$B68&lt;&gt;"Denied",$B68&lt;&gt;"Cancelled",$B68&lt;&gt;"Closed"),COUNTIF(BE$1:BE67,"&gt;0")+1,0))</f>
        <v>0</v>
      </c>
      <c r="BF68" s="22"/>
      <c r="BG68" s="22"/>
      <c r="BH68" s="22"/>
      <c r="BI68" s="22"/>
    </row>
    <row r="69" customFormat="false" ht="15" hidden="false" customHeight="false" outlineLevel="0" collapsed="false">
      <c r="A69" s="27"/>
      <c r="B69" s="27"/>
      <c r="C69" s="27"/>
      <c r="D69" s="27"/>
      <c r="E69" s="27"/>
      <c r="F69" s="27"/>
      <c r="G69" s="27"/>
      <c r="H69" s="27"/>
      <c r="I69" s="27"/>
      <c r="J69" s="27"/>
      <c r="K69" s="27"/>
      <c r="L69" s="27"/>
      <c r="M69" s="27"/>
      <c r="N69" s="28"/>
      <c r="O69" s="28"/>
      <c r="P69" s="28"/>
      <c r="Q69" s="29"/>
      <c r="R69" s="28"/>
      <c r="S69" s="29"/>
      <c r="T69" s="30"/>
      <c r="U69" s="31"/>
      <c r="V69" s="30"/>
      <c r="W69" s="30" t="str">
        <f aca="false">IF($A69="","",N($U69)*N($V69))</f>
        <v/>
      </c>
      <c r="X69" s="27"/>
      <c r="Y69" s="31"/>
      <c r="Z69" s="30"/>
      <c r="AA69" s="30" t="str">
        <f aca="false">IF($A69="","",IF($X69="POV",N($Y69)*MileageRate,0)+N($Z69))</f>
        <v/>
      </c>
      <c r="AB69" s="30" t="str">
        <f aca="false">IF(OR($A69="",$P69="",$R69="",$Q69="",$S69=""),"",IF($R69=$P69,($Q69&lt;=T_DepBfast)*($S69&gt;=T_RetBfast)*PD_Bfast+($Q69&lt;=T_DepLunch)*($S69&gt;=T_RetLunch)*PD_Lunch+($Q69&lt;=T_DepDinner)*($S69&gt;=T_RetDinner)*PD_Dinner+PD_Incid,($Q69&lt;=T_DepBfast)*PD_Bfast+($Q69&lt;=T_DepLunch)*PD_Lunch+($Q69&lt;=T_DepDinner)*PD_Dinner+($S69&gt;=T_RetBfast)*PD_Bfast+($S69&gt;=T_RetLunch)*PD_Lunch+($S69&gt;=T_RetDinner)*PD_Dinner+MAX($R69-$P69-1,0)*(PD_Bfast+PD_Lunch+PD_Dinner)+($R69-$P69+1)*PD_Incid))</f>
        <v/>
      </c>
      <c r="AC69" s="30"/>
      <c r="AD69" s="30" t="str">
        <f aca="false">IF($A69="","",N($T69)+N($W69)+N($AA69)+N($AB69)+N($AC69))</f>
        <v/>
      </c>
      <c r="AE69" s="30"/>
      <c r="AF69" s="30"/>
      <c r="AG69" s="30"/>
      <c r="AH69" s="30"/>
      <c r="AI69" s="30"/>
      <c r="AJ69" s="30" t="str">
        <f aca="false">IF($A69="","",IF(COUNT($AE69:$AI69)=0,"",SUM($AE69:$AI69)))</f>
        <v/>
      </c>
      <c r="AK69" s="30"/>
      <c r="AL69" s="30"/>
      <c r="AM69" s="30" t="str">
        <f aca="false">IF(OR($A69="",$AJ69=""),"",$AJ69-N($AK69)-N($AL69))</f>
        <v/>
      </c>
      <c r="AN69" s="28"/>
      <c r="AO69" s="28"/>
      <c r="AP69" s="27"/>
      <c r="AQ69" s="27"/>
      <c r="AR69" s="28" t="str">
        <f aca="false">IF(OR($A69="",$R69=""),"",$R69+ReceiptDays)</f>
        <v/>
      </c>
      <c r="AS69" s="28"/>
      <c r="AT69" s="28" t="str">
        <f aca="false">IF(OR($A69="",$P69=""),"",($P69-FinanceLeadDays)-MOD(($P69-FinanceLeadDays)-DATE(2024,1,2),7))</f>
        <v/>
      </c>
      <c r="AU69" s="28"/>
      <c r="AV69" s="27"/>
      <c r="AW69" s="27"/>
      <c r="AX69" s="30" t="n">
        <f aca="false">IF(OR($A69="",$B69="Denied",$B69="Cancelled"),0,N($AD69))</f>
        <v>0</v>
      </c>
      <c r="AY69" s="30" t="n">
        <f aca="false">IF($A69="",0,N($AJ69))</f>
        <v>0</v>
      </c>
      <c r="AZ69" s="30" t="n">
        <f aca="false">IF(OR($A69="",$B69="Denied",$B69="Cancelled",$B69="Closed"),0,IF(N($AJ69)&gt;0,0,N($AD69)))</f>
        <v>0</v>
      </c>
      <c r="BA69" s="31" t="n">
        <f aca="false">IF($A69="",0,IF($B69="Awaiting Approval",COUNTIF(BA$1:BA68,"&gt;0")+1,0))</f>
        <v>0</v>
      </c>
      <c r="BB69" s="31" t="n">
        <f aca="false">IF($A69="",0,IF(AND($B69="Approved",$AP69&lt;&gt;"Y"),COUNTIF(BB$1:BB68,"&gt;0")+1,0))</f>
        <v>0</v>
      </c>
      <c r="BC69" s="31" t="n">
        <f aca="false">IF($A69="",0,IF(AND($B69="Approved",N($U69)&gt;0,$AQ69&lt;&gt;"Y"),COUNTIF(BC$1:BC68,"&gt;0")+1,0))</f>
        <v>0</v>
      </c>
      <c r="BD69" s="31" t="n">
        <f aca="true">IF($A69="",0,IF(AND($AR69&lt;&gt;"",N($AR69)&lt;TODAY(),$AS69="",$B69&lt;&gt;"Closed",$B69&lt;&gt;"Cancelled",$B69&lt;&gt;"Denied"),COUNTIF(BD$1:BD68,"&gt;0")+1,0))</f>
        <v>0</v>
      </c>
      <c r="BE69" s="31" t="n">
        <f aca="true">IF($A69="",0,IF(AND($AT69&lt;&gt;"",N($AT69)&lt;=TODAY()+7,$AU69="",$B69&lt;&gt;"Denied",$B69&lt;&gt;"Cancelled",$B69&lt;&gt;"Closed"),COUNTIF(BE$1:BE68,"&gt;0")+1,0))</f>
        <v>0</v>
      </c>
      <c r="BF69" s="27"/>
      <c r="BG69" s="27"/>
      <c r="BH69" s="27"/>
      <c r="BI69" s="27"/>
    </row>
    <row r="70" customFormat="false" ht="15" hidden="false" customHeight="false" outlineLevel="0" collapsed="false">
      <c r="A70" s="22"/>
      <c r="B70" s="22"/>
      <c r="C70" s="22"/>
      <c r="D70" s="22"/>
      <c r="E70" s="22"/>
      <c r="F70" s="22"/>
      <c r="G70" s="22"/>
      <c r="H70" s="22"/>
      <c r="I70" s="22"/>
      <c r="J70" s="22"/>
      <c r="K70" s="22"/>
      <c r="L70" s="22"/>
      <c r="M70" s="22"/>
      <c r="N70" s="23"/>
      <c r="O70" s="23"/>
      <c r="P70" s="23"/>
      <c r="Q70" s="24"/>
      <c r="R70" s="23"/>
      <c r="S70" s="24"/>
      <c r="T70" s="25"/>
      <c r="U70" s="26"/>
      <c r="V70" s="25"/>
      <c r="W70" s="25" t="str">
        <f aca="false">IF($A70="","",N($U70)*N($V70))</f>
        <v/>
      </c>
      <c r="X70" s="22"/>
      <c r="Y70" s="26"/>
      <c r="Z70" s="25"/>
      <c r="AA70" s="25" t="str">
        <f aca="false">IF($A70="","",IF($X70="POV",N($Y70)*MileageRate,0)+N($Z70))</f>
        <v/>
      </c>
      <c r="AB70" s="25" t="str">
        <f aca="false">IF(OR($A70="",$P70="",$R70="",$Q70="",$S70=""),"",IF($R70=$P70,($Q70&lt;=T_DepBfast)*($S70&gt;=T_RetBfast)*PD_Bfast+($Q70&lt;=T_DepLunch)*($S70&gt;=T_RetLunch)*PD_Lunch+($Q70&lt;=T_DepDinner)*($S70&gt;=T_RetDinner)*PD_Dinner+PD_Incid,($Q70&lt;=T_DepBfast)*PD_Bfast+($Q70&lt;=T_DepLunch)*PD_Lunch+($Q70&lt;=T_DepDinner)*PD_Dinner+($S70&gt;=T_RetBfast)*PD_Bfast+($S70&gt;=T_RetLunch)*PD_Lunch+($S70&gt;=T_RetDinner)*PD_Dinner+MAX($R70-$P70-1,0)*(PD_Bfast+PD_Lunch+PD_Dinner)+($R70-$P70+1)*PD_Incid))</f>
        <v/>
      </c>
      <c r="AC70" s="25"/>
      <c r="AD70" s="25" t="str">
        <f aca="false">IF($A70="","",N($T70)+N($W70)+N($AA70)+N($AB70)+N($AC70))</f>
        <v/>
      </c>
      <c r="AE70" s="25"/>
      <c r="AF70" s="25"/>
      <c r="AG70" s="25"/>
      <c r="AH70" s="25"/>
      <c r="AI70" s="25"/>
      <c r="AJ70" s="25" t="str">
        <f aca="false">IF($A70="","",IF(COUNT($AE70:$AI70)=0,"",SUM($AE70:$AI70)))</f>
        <v/>
      </c>
      <c r="AK70" s="25"/>
      <c r="AL70" s="25"/>
      <c r="AM70" s="25" t="str">
        <f aca="false">IF(OR($A70="",$AJ70=""),"",$AJ70-N($AK70)-N($AL70))</f>
        <v/>
      </c>
      <c r="AN70" s="23"/>
      <c r="AO70" s="23"/>
      <c r="AP70" s="22"/>
      <c r="AQ70" s="22"/>
      <c r="AR70" s="23" t="str">
        <f aca="false">IF(OR($A70="",$R70=""),"",$R70+ReceiptDays)</f>
        <v/>
      </c>
      <c r="AS70" s="23"/>
      <c r="AT70" s="23" t="str">
        <f aca="false">IF(OR($A70="",$P70=""),"",($P70-FinanceLeadDays)-MOD(($P70-FinanceLeadDays)-DATE(2024,1,2),7))</f>
        <v/>
      </c>
      <c r="AU70" s="23"/>
      <c r="AV70" s="22"/>
      <c r="AW70" s="22"/>
      <c r="AX70" s="25" t="n">
        <f aca="false">IF(OR($A70="",$B70="Denied",$B70="Cancelled"),0,N($AD70))</f>
        <v>0</v>
      </c>
      <c r="AY70" s="25" t="n">
        <f aca="false">IF($A70="",0,N($AJ70))</f>
        <v>0</v>
      </c>
      <c r="AZ70" s="25" t="n">
        <f aca="false">IF(OR($A70="",$B70="Denied",$B70="Cancelled",$B70="Closed"),0,IF(N($AJ70)&gt;0,0,N($AD70)))</f>
        <v>0</v>
      </c>
      <c r="BA70" s="26" t="n">
        <f aca="false">IF($A70="",0,IF($B70="Awaiting Approval",COUNTIF(BA$1:BA69,"&gt;0")+1,0))</f>
        <v>0</v>
      </c>
      <c r="BB70" s="26" t="n">
        <f aca="false">IF($A70="",0,IF(AND($B70="Approved",$AP70&lt;&gt;"Y"),COUNTIF(BB$1:BB69,"&gt;0")+1,0))</f>
        <v>0</v>
      </c>
      <c r="BC70" s="26" t="n">
        <f aca="false">IF($A70="",0,IF(AND($B70="Approved",N($U70)&gt;0,$AQ70&lt;&gt;"Y"),COUNTIF(BC$1:BC69,"&gt;0")+1,0))</f>
        <v>0</v>
      </c>
      <c r="BD70" s="26" t="n">
        <f aca="true">IF($A70="",0,IF(AND($AR70&lt;&gt;"",N($AR70)&lt;TODAY(),$AS70="",$B70&lt;&gt;"Closed",$B70&lt;&gt;"Cancelled",$B70&lt;&gt;"Denied"),COUNTIF(BD$1:BD69,"&gt;0")+1,0))</f>
        <v>0</v>
      </c>
      <c r="BE70" s="26" t="n">
        <f aca="true">IF($A70="",0,IF(AND($AT70&lt;&gt;"",N($AT70)&lt;=TODAY()+7,$AU70="",$B70&lt;&gt;"Denied",$B70&lt;&gt;"Cancelled",$B70&lt;&gt;"Closed"),COUNTIF(BE$1:BE69,"&gt;0")+1,0))</f>
        <v>0</v>
      </c>
      <c r="BF70" s="22"/>
      <c r="BG70" s="22"/>
      <c r="BH70" s="22"/>
      <c r="BI70" s="22"/>
    </row>
    <row r="71" customFormat="false" ht="15" hidden="false" customHeight="false" outlineLevel="0" collapsed="false">
      <c r="A71" s="27"/>
      <c r="B71" s="27"/>
      <c r="C71" s="27"/>
      <c r="D71" s="27"/>
      <c r="E71" s="27"/>
      <c r="F71" s="27"/>
      <c r="G71" s="27"/>
      <c r="H71" s="27"/>
      <c r="I71" s="27"/>
      <c r="J71" s="27"/>
      <c r="K71" s="27"/>
      <c r="L71" s="27"/>
      <c r="M71" s="27"/>
      <c r="N71" s="28"/>
      <c r="O71" s="28"/>
      <c r="P71" s="28"/>
      <c r="Q71" s="29"/>
      <c r="R71" s="28"/>
      <c r="S71" s="29"/>
      <c r="T71" s="30"/>
      <c r="U71" s="31"/>
      <c r="V71" s="30"/>
      <c r="W71" s="30" t="str">
        <f aca="false">IF($A71="","",N($U71)*N($V71))</f>
        <v/>
      </c>
      <c r="X71" s="27"/>
      <c r="Y71" s="31"/>
      <c r="Z71" s="30"/>
      <c r="AA71" s="30" t="str">
        <f aca="false">IF($A71="","",IF($X71="POV",N($Y71)*MileageRate,0)+N($Z71))</f>
        <v/>
      </c>
      <c r="AB71" s="30" t="str">
        <f aca="false">IF(OR($A71="",$P71="",$R71="",$Q71="",$S71=""),"",IF($R71=$P71,($Q71&lt;=T_DepBfast)*($S71&gt;=T_RetBfast)*PD_Bfast+($Q71&lt;=T_DepLunch)*($S71&gt;=T_RetLunch)*PD_Lunch+($Q71&lt;=T_DepDinner)*($S71&gt;=T_RetDinner)*PD_Dinner+PD_Incid,($Q71&lt;=T_DepBfast)*PD_Bfast+($Q71&lt;=T_DepLunch)*PD_Lunch+($Q71&lt;=T_DepDinner)*PD_Dinner+($S71&gt;=T_RetBfast)*PD_Bfast+($S71&gt;=T_RetLunch)*PD_Lunch+($S71&gt;=T_RetDinner)*PD_Dinner+MAX($R71-$P71-1,0)*(PD_Bfast+PD_Lunch+PD_Dinner)+($R71-$P71+1)*PD_Incid))</f>
        <v/>
      </c>
      <c r="AC71" s="30"/>
      <c r="AD71" s="30" t="str">
        <f aca="false">IF($A71="","",N($T71)+N($W71)+N($AA71)+N($AB71)+N($AC71))</f>
        <v/>
      </c>
      <c r="AE71" s="30"/>
      <c r="AF71" s="30"/>
      <c r="AG71" s="30"/>
      <c r="AH71" s="30"/>
      <c r="AI71" s="30"/>
      <c r="AJ71" s="30" t="str">
        <f aca="false">IF($A71="","",IF(COUNT($AE71:$AI71)=0,"",SUM($AE71:$AI71)))</f>
        <v/>
      </c>
      <c r="AK71" s="30"/>
      <c r="AL71" s="30"/>
      <c r="AM71" s="30" t="str">
        <f aca="false">IF(OR($A71="",$AJ71=""),"",$AJ71-N($AK71)-N($AL71))</f>
        <v/>
      </c>
      <c r="AN71" s="28"/>
      <c r="AO71" s="28"/>
      <c r="AP71" s="27"/>
      <c r="AQ71" s="27"/>
      <c r="AR71" s="28" t="str">
        <f aca="false">IF(OR($A71="",$R71=""),"",$R71+ReceiptDays)</f>
        <v/>
      </c>
      <c r="AS71" s="28"/>
      <c r="AT71" s="28" t="str">
        <f aca="false">IF(OR($A71="",$P71=""),"",($P71-FinanceLeadDays)-MOD(($P71-FinanceLeadDays)-DATE(2024,1,2),7))</f>
        <v/>
      </c>
      <c r="AU71" s="28"/>
      <c r="AV71" s="27"/>
      <c r="AW71" s="27"/>
      <c r="AX71" s="30" t="n">
        <f aca="false">IF(OR($A71="",$B71="Denied",$B71="Cancelled"),0,N($AD71))</f>
        <v>0</v>
      </c>
      <c r="AY71" s="30" t="n">
        <f aca="false">IF($A71="",0,N($AJ71))</f>
        <v>0</v>
      </c>
      <c r="AZ71" s="30" t="n">
        <f aca="false">IF(OR($A71="",$B71="Denied",$B71="Cancelled",$B71="Closed"),0,IF(N($AJ71)&gt;0,0,N($AD71)))</f>
        <v>0</v>
      </c>
      <c r="BA71" s="31" t="n">
        <f aca="false">IF($A71="",0,IF($B71="Awaiting Approval",COUNTIF(BA$1:BA70,"&gt;0")+1,0))</f>
        <v>0</v>
      </c>
      <c r="BB71" s="31" t="n">
        <f aca="false">IF($A71="",0,IF(AND($B71="Approved",$AP71&lt;&gt;"Y"),COUNTIF(BB$1:BB70,"&gt;0")+1,0))</f>
        <v>0</v>
      </c>
      <c r="BC71" s="31" t="n">
        <f aca="false">IF($A71="",0,IF(AND($B71="Approved",N($U71)&gt;0,$AQ71&lt;&gt;"Y"),COUNTIF(BC$1:BC70,"&gt;0")+1,0))</f>
        <v>0</v>
      </c>
      <c r="BD71" s="31" t="n">
        <f aca="true">IF($A71="",0,IF(AND($AR71&lt;&gt;"",N($AR71)&lt;TODAY(),$AS71="",$B71&lt;&gt;"Closed",$B71&lt;&gt;"Cancelled",$B71&lt;&gt;"Denied"),COUNTIF(BD$1:BD70,"&gt;0")+1,0))</f>
        <v>0</v>
      </c>
      <c r="BE71" s="31" t="n">
        <f aca="true">IF($A71="",0,IF(AND($AT71&lt;&gt;"",N($AT71)&lt;=TODAY()+7,$AU71="",$B71&lt;&gt;"Denied",$B71&lt;&gt;"Cancelled",$B71&lt;&gt;"Closed"),COUNTIF(BE$1:BE70,"&gt;0")+1,0))</f>
        <v>0</v>
      </c>
      <c r="BF71" s="27"/>
      <c r="BG71" s="27"/>
      <c r="BH71" s="27"/>
      <c r="BI71" s="27"/>
    </row>
    <row r="72" customFormat="false" ht="15" hidden="false" customHeight="false" outlineLevel="0" collapsed="false">
      <c r="A72" s="22"/>
      <c r="B72" s="22"/>
      <c r="C72" s="22"/>
      <c r="D72" s="22"/>
      <c r="E72" s="22"/>
      <c r="F72" s="22"/>
      <c r="G72" s="22"/>
      <c r="H72" s="22"/>
      <c r="I72" s="22"/>
      <c r="J72" s="22"/>
      <c r="K72" s="22"/>
      <c r="L72" s="22"/>
      <c r="M72" s="22"/>
      <c r="N72" s="23"/>
      <c r="O72" s="23"/>
      <c r="P72" s="23"/>
      <c r="Q72" s="24"/>
      <c r="R72" s="23"/>
      <c r="S72" s="24"/>
      <c r="T72" s="25"/>
      <c r="U72" s="26"/>
      <c r="V72" s="25"/>
      <c r="W72" s="25" t="str">
        <f aca="false">IF($A72="","",N($U72)*N($V72))</f>
        <v/>
      </c>
      <c r="X72" s="22"/>
      <c r="Y72" s="26"/>
      <c r="Z72" s="25"/>
      <c r="AA72" s="25" t="str">
        <f aca="false">IF($A72="","",IF($X72="POV",N($Y72)*MileageRate,0)+N($Z72))</f>
        <v/>
      </c>
      <c r="AB72" s="25" t="str">
        <f aca="false">IF(OR($A72="",$P72="",$R72="",$Q72="",$S72=""),"",IF($R72=$P72,($Q72&lt;=T_DepBfast)*($S72&gt;=T_RetBfast)*PD_Bfast+($Q72&lt;=T_DepLunch)*($S72&gt;=T_RetLunch)*PD_Lunch+($Q72&lt;=T_DepDinner)*($S72&gt;=T_RetDinner)*PD_Dinner+PD_Incid,($Q72&lt;=T_DepBfast)*PD_Bfast+($Q72&lt;=T_DepLunch)*PD_Lunch+($Q72&lt;=T_DepDinner)*PD_Dinner+($S72&gt;=T_RetBfast)*PD_Bfast+($S72&gt;=T_RetLunch)*PD_Lunch+($S72&gt;=T_RetDinner)*PD_Dinner+MAX($R72-$P72-1,0)*(PD_Bfast+PD_Lunch+PD_Dinner)+($R72-$P72+1)*PD_Incid))</f>
        <v/>
      </c>
      <c r="AC72" s="25"/>
      <c r="AD72" s="25" t="str">
        <f aca="false">IF($A72="","",N($T72)+N($W72)+N($AA72)+N($AB72)+N($AC72))</f>
        <v/>
      </c>
      <c r="AE72" s="25"/>
      <c r="AF72" s="25"/>
      <c r="AG72" s="25"/>
      <c r="AH72" s="25"/>
      <c r="AI72" s="25"/>
      <c r="AJ72" s="25" t="str">
        <f aca="false">IF($A72="","",IF(COUNT($AE72:$AI72)=0,"",SUM($AE72:$AI72)))</f>
        <v/>
      </c>
      <c r="AK72" s="25"/>
      <c r="AL72" s="25"/>
      <c r="AM72" s="25" t="str">
        <f aca="false">IF(OR($A72="",$AJ72=""),"",$AJ72-N($AK72)-N($AL72))</f>
        <v/>
      </c>
      <c r="AN72" s="23"/>
      <c r="AO72" s="23"/>
      <c r="AP72" s="22"/>
      <c r="AQ72" s="22"/>
      <c r="AR72" s="23" t="str">
        <f aca="false">IF(OR($A72="",$R72=""),"",$R72+ReceiptDays)</f>
        <v/>
      </c>
      <c r="AS72" s="23"/>
      <c r="AT72" s="23" t="str">
        <f aca="false">IF(OR($A72="",$P72=""),"",($P72-FinanceLeadDays)-MOD(($P72-FinanceLeadDays)-DATE(2024,1,2),7))</f>
        <v/>
      </c>
      <c r="AU72" s="23"/>
      <c r="AV72" s="22"/>
      <c r="AW72" s="22"/>
      <c r="AX72" s="25" t="n">
        <f aca="false">IF(OR($A72="",$B72="Denied",$B72="Cancelled"),0,N($AD72))</f>
        <v>0</v>
      </c>
      <c r="AY72" s="25" t="n">
        <f aca="false">IF($A72="",0,N($AJ72))</f>
        <v>0</v>
      </c>
      <c r="AZ72" s="25" t="n">
        <f aca="false">IF(OR($A72="",$B72="Denied",$B72="Cancelled",$B72="Closed"),0,IF(N($AJ72)&gt;0,0,N($AD72)))</f>
        <v>0</v>
      </c>
      <c r="BA72" s="26" t="n">
        <f aca="false">IF($A72="",0,IF($B72="Awaiting Approval",COUNTIF(BA$1:BA71,"&gt;0")+1,0))</f>
        <v>0</v>
      </c>
      <c r="BB72" s="26" t="n">
        <f aca="false">IF($A72="",0,IF(AND($B72="Approved",$AP72&lt;&gt;"Y"),COUNTIF(BB$1:BB71,"&gt;0")+1,0))</f>
        <v>0</v>
      </c>
      <c r="BC72" s="26" t="n">
        <f aca="false">IF($A72="",0,IF(AND($B72="Approved",N($U72)&gt;0,$AQ72&lt;&gt;"Y"),COUNTIF(BC$1:BC71,"&gt;0")+1,0))</f>
        <v>0</v>
      </c>
      <c r="BD72" s="26" t="n">
        <f aca="true">IF($A72="",0,IF(AND($AR72&lt;&gt;"",N($AR72)&lt;TODAY(),$AS72="",$B72&lt;&gt;"Closed",$B72&lt;&gt;"Cancelled",$B72&lt;&gt;"Denied"),COUNTIF(BD$1:BD71,"&gt;0")+1,0))</f>
        <v>0</v>
      </c>
      <c r="BE72" s="26" t="n">
        <f aca="true">IF($A72="",0,IF(AND($AT72&lt;&gt;"",N($AT72)&lt;=TODAY()+7,$AU72="",$B72&lt;&gt;"Denied",$B72&lt;&gt;"Cancelled",$B72&lt;&gt;"Closed"),COUNTIF(BE$1:BE71,"&gt;0")+1,0))</f>
        <v>0</v>
      </c>
      <c r="BF72" s="22"/>
      <c r="BG72" s="22"/>
      <c r="BH72" s="22"/>
      <c r="BI72" s="22"/>
    </row>
    <row r="73" customFormat="false" ht="15" hidden="false" customHeight="false" outlineLevel="0" collapsed="false">
      <c r="A73" s="27"/>
      <c r="B73" s="27"/>
      <c r="C73" s="27"/>
      <c r="D73" s="27"/>
      <c r="E73" s="27"/>
      <c r="F73" s="27"/>
      <c r="G73" s="27"/>
      <c r="H73" s="27"/>
      <c r="I73" s="27"/>
      <c r="J73" s="27"/>
      <c r="K73" s="27"/>
      <c r="L73" s="27"/>
      <c r="M73" s="27"/>
      <c r="N73" s="28"/>
      <c r="O73" s="28"/>
      <c r="P73" s="28"/>
      <c r="Q73" s="29"/>
      <c r="R73" s="28"/>
      <c r="S73" s="29"/>
      <c r="T73" s="30"/>
      <c r="U73" s="31"/>
      <c r="V73" s="30"/>
      <c r="W73" s="30" t="str">
        <f aca="false">IF($A73="","",N($U73)*N($V73))</f>
        <v/>
      </c>
      <c r="X73" s="27"/>
      <c r="Y73" s="31"/>
      <c r="Z73" s="30"/>
      <c r="AA73" s="30" t="str">
        <f aca="false">IF($A73="","",IF($X73="POV",N($Y73)*MileageRate,0)+N($Z73))</f>
        <v/>
      </c>
      <c r="AB73" s="30" t="str">
        <f aca="false">IF(OR($A73="",$P73="",$R73="",$Q73="",$S73=""),"",IF($R73=$P73,($Q73&lt;=T_DepBfast)*($S73&gt;=T_RetBfast)*PD_Bfast+($Q73&lt;=T_DepLunch)*($S73&gt;=T_RetLunch)*PD_Lunch+($Q73&lt;=T_DepDinner)*($S73&gt;=T_RetDinner)*PD_Dinner+PD_Incid,($Q73&lt;=T_DepBfast)*PD_Bfast+($Q73&lt;=T_DepLunch)*PD_Lunch+($Q73&lt;=T_DepDinner)*PD_Dinner+($S73&gt;=T_RetBfast)*PD_Bfast+($S73&gt;=T_RetLunch)*PD_Lunch+($S73&gt;=T_RetDinner)*PD_Dinner+MAX($R73-$P73-1,0)*(PD_Bfast+PD_Lunch+PD_Dinner)+($R73-$P73+1)*PD_Incid))</f>
        <v/>
      </c>
      <c r="AC73" s="30"/>
      <c r="AD73" s="30" t="str">
        <f aca="false">IF($A73="","",N($T73)+N($W73)+N($AA73)+N($AB73)+N($AC73))</f>
        <v/>
      </c>
      <c r="AE73" s="30"/>
      <c r="AF73" s="30"/>
      <c r="AG73" s="30"/>
      <c r="AH73" s="30"/>
      <c r="AI73" s="30"/>
      <c r="AJ73" s="30" t="str">
        <f aca="false">IF($A73="","",IF(COUNT($AE73:$AI73)=0,"",SUM($AE73:$AI73)))</f>
        <v/>
      </c>
      <c r="AK73" s="30"/>
      <c r="AL73" s="30"/>
      <c r="AM73" s="30" t="str">
        <f aca="false">IF(OR($A73="",$AJ73=""),"",$AJ73-N($AK73)-N($AL73))</f>
        <v/>
      </c>
      <c r="AN73" s="28"/>
      <c r="AO73" s="28"/>
      <c r="AP73" s="27"/>
      <c r="AQ73" s="27"/>
      <c r="AR73" s="28" t="str">
        <f aca="false">IF(OR($A73="",$R73=""),"",$R73+ReceiptDays)</f>
        <v/>
      </c>
      <c r="AS73" s="28"/>
      <c r="AT73" s="28" t="str">
        <f aca="false">IF(OR($A73="",$P73=""),"",($P73-FinanceLeadDays)-MOD(($P73-FinanceLeadDays)-DATE(2024,1,2),7))</f>
        <v/>
      </c>
      <c r="AU73" s="28"/>
      <c r="AV73" s="27"/>
      <c r="AW73" s="27"/>
      <c r="AX73" s="30" t="n">
        <f aca="false">IF(OR($A73="",$B73="Denied",$B73="Cancelled"),0,N($AD73))</f>
        <v>0</v>
      </c>
      <c r="AY73" s="30" t="n">
        <f aca="false">IF($A73="",0,N($AJ73))</f>
        <v>0</v>
      </c>
      <c r="AZ73" s="30" t="n">
        <f aca="false">IF(OR($A73="",$B73="Denied",$B73="Cancelled",$B73="Closed"),0,IF(N($AJ73)&gt;0,0,N($AD73)))</f>
        <v>0</v>
      </c>
      <c r="BA73" s="31" t="n">
        <f aca="false">IF($A73="",0,IF($B73="Awaiting Approval",COUNTIF(BA$1:BA72,"&gt;0")+1,0))</f>
        <v>0</v>
      </c>
      <c r="BB73" s="31" t="n">
        <f aca="false">IF($A73="",0,IF(AND($B73="Approved",$AP73&lt;&gt;"Y"),COUNTIF(BB$1:BB72,"&gt;0")+1,0))</f>
        <v>0</v>
      </c>
      <c r="BC73" s="31" t="n">
        <f aca="false">IF($A73="",0,IF(AND($B73="Approved",N($U73)&gt;0,$AQ73&lt;&gt;"Y"),COUNTIF(BC$1:BC72,"&gt;0")+1,0))</f>
        <v>0</v>
      </c>
      <c r="BD73" s="31" t="n">
        <f aca="true">IF($A73="",0,IF(AND($AR73&lt;&gt;"",N($AR73)&lt;TODAY(),$AS73="",$B73&lt;&gt;"Closed",$B73&lt;&gt;"Cancelled",$B73&lt;&gt;"Denied"),COUNTIF(BD$1:BD72,"&gt;0")+1,0))</f>
        <v>0</v>
      </c>
      <c r="BE73" s="31" t="n">
        <f aca="true">IF($A73="",0,IF(AND($AT73&lt;&gt;"",N($AT73)&lt;=TODAY()+7,$AU73="",$B73&lt;&gt;"Denied",$B73&lt;&gt;"Cancelled",$B73&lt;&gt;"Closed"),COUNTIF(BE$1:BE72,"&gt;0")+1,0))</f>
        <v>0</v>
      </c>
      <c r="BF73" s="27"/>
      <c r="BG73" s="27"/>
      <c r="BH73" s="27"/>
      <c r="BI73" s="27"/>
    </row>
    <row r="74" customFormat="false" ht="15" hidden="false" customHeight="false" outlineLevel="0" collapsed="false">
      <c r="A74" s="22"/>
      <c r="B74" s="22"/>
      <c r="C74" s="22"/>
      <c r="D74" s="22"/>
      <c r="E74" s="22"/>
      <c r="F74" s="22"/>
      <c r="G74" s="22"/>
      <c r="H74" s="22"/>
      <c r="I74" s="22"/>
      <c r="J74" s="22"/>
      <c r="K74" s="22"/>
      <c r="L74" s="22"/>
      <c r="M74" s="22"/>
      <c r="N74" s="23"/>
      <c r="O74" s="23"/>
      <c r="P74" s="23"/>
      <c r="Q74" s="24"/>
      <c r="R74" s="23"/>
      <c r="S74" s="24"/>
      <c r="T74" s="25"/>
      <c r="U74" s="26"/>
      <c r="V74" s="25"/>
      <c r="W74" s="25" t="str">
        <f aca="false">IF($A74="","",N($U74)*N($V74))</f>
        <v/>
      </c>
      <c r="X74" s="22"/>
      <c r="Y74" s="26"/>
      <c r="Z74" s="25"/>
      <c r="AA74" s="25" t="str">
        <f aca="false">IF($A74="","",IF($X74="POV",N($Y74)*MileageRate,0)+N($Z74))</f>
        <v/>
      </c>
      <c r="AB74" s="25" t="str">
        <f aca="false">IF(OR($A74="",$P74="",$R74="",$Q74="",$S74=""),"",IF($R74=$P74,($Q74&lt;=T_DepBfast)*($S74&gt;=T_RetBfast)*PD_Bfast+($Q74&lt;=T_DepLunch)*($S74&gt;=T_RetLunch)*PD_Lunch+($Q74&lt;=T_DepDinner)*($S74&gt;=T_RetDinner)*PD_Dinner+PD_Incid,($Q74&lt;=T_DepBfast)*PD_Bfast+($Q74&lt;=T_DepLunch)*PD_Lunch+($Q74&lt;=T_DepDinner)*PD_Dinner+($S74&gt;=T_RetBfast)*PD_Bfast+($S74&gt;=T_RetLunch)*PD_Lunch+($S74&gt;=T_RetDinner)*PD_Dinner+MAX($R74-$P74-1,0)*(PD_Bfast+PD_Lunch+PD_Dinner)+($R74-$P74+1)*PD_Incid))</f>
        <v/>
      </c>
      <c r="AC74" s="25"/>
      <c r="AD74" s="25" t="str">
        <f aca="false">IF($A74="","",N($T74)+N($W74)+N($AA74)+N($AB74)+N($AC74))</f>
        <v/>
      </c>
      <c r="AE74" s="25"/>
      <c r="AF74" s="25"/>
      <c r="AG74" s="25"/>
      <c r="AH74" s="25"/>
      <c r="AI74" s="25"/>
      <c r="AJ74" s="25" t="str">
        <f aca="false">IF($A74="","",IF(COUNT($AE74:$AI74)=0,"",SUM($AE74:$AI74)))</f>
        <v/>
      </c>
      <c r="AK74" s="25"/>
      <c r="AL74" s="25"/>
      <c r="AM74" s="25" t="str">
        <f aca="false">IF(OR($A74="",$AJ74=""),"",$AJ74-N($AK74)-N($AL74))</f>
        <v/>
      </c>
      <c r="AN74" s="23"/>
      <c r="AO74" s="23"/>
      <c r="AP74" s="22"/>
      <c r="AQ74" s="22"/>
      <c r="AR74" s="23" t="str">
        <f aca="false">IF(OR($A74="",$R74=""),"",$R74+ReceiptDays)</f>
        <v/>
      </c>
      <c r="AS74" s="23"/>
      <c r="AT74" s="23" t="str">
        <f aca="false">IF(OR($A74="",$P74=""),"",($P74-FinanceLeadDays)-MOD(($P74-FinanceLeadDays)-DATE(2024,1,2),7))</f>
        <v/>
      </c>
      <c r="AU74" s="23"/>
      <c r="AV74" s="22"/>
      <c r="AW74" s="22"/>
      <c r="AX74" s="25" t="n">
        <f aca="false">IF(OR($A74="",$B74="Denied",$B74="Cancelled"),0,N($AD74))</f>
        <v>0</v>
      </c>
      <c r="AY74" s="25" t="n">
        <f aca="false">IF($A74="",0,N($AJ74))</f>
        <v>0</v>
      </c>
      <c r="AZ74" s="25" t="n">
        <f aca="false">IF(OR($A74="",$B74="Denied",$B74="Cancelled",$B74="Closed"),0,IF(N($AJ74)&gt;0,0,N($AD74)))</f>
        <v>0</v>
      </c>
      <c r="BA74" s="26" t="n">
        <f aca="false">IF($A74="",0,IF($B74="Awaiting Approval",COUNTIF(BA$1:BA73,"&gt;0")+1,0))</f>
        <v>0</v>
      </c>
      <c r="BB74" s="26" t="n">
        <f aca="false">IF($A74="",0,IF(AND($B74="Approved",$AP74&lt;&gt;"Y"),COUNTIF(BB$1:BB73,"&gt;0")+1,0))</f>
        <v>0</v>
      </c>
      <c r="BC74" s="26" t="n">
        <f aca="false">IF($A74="",0,IF(AND($B74="Approved",N($U74)&gt;0,$AQ74&lt;&gt;"Y"),COUNTIF(BC$1:BC73,"&gt;0")+1,0))</f>
        <v>0</v>
      </c>
      <c r="BD74" s="26" t="n">
        <f aca="true">IF($A74="",0,IF(AND($AR74&lt;&gt;"",N($AR74)&lt;TODAY(),$AS74="",$B74&lt;&gt;"Closed",$B74&lt;&gt;"Cancelled",$B74&lt;&gt;"Denied"),COUNTIF(BD$1:BD73,"&gt;0")+1,0))</f>
        <v>0</v>
      </c>
      <c r="BE74" s="26" t="n">
        <f aca="true">IF($A74="",0,IF(AND($AT74&lt;&gt;"",N($AT74)&lt;=TODAY()+7,$AU74="",$B74&lt;&gt;"Denied",$B74&lt;&gt;"Cancelled",$B74&lt;&gt;"Closed"),COUNTIF(BE$1:BE73,"&gt;0")+1,0))</f>
        <v>0</v>
      </c>
      <c r="BF74" s="22"/>
      <c r="BG74" s="22"/>
      <c r="BH74" s="22"/>
      <c r="BI74" s="22"/>
    </row>
    <row r="75" customFormat="false" ht="15" hidden="false" customHeight="false" outlineLevel="0" collapsed="false">
      <c r="A75" s="27"/>
      <c r="B75" s="27"/>
      <c r="C75" s="27"/>
      <c r="D75" s="27"/>
      <c r="E75" s="27"/>
      <c r="F75" s="27"/>
      <c r="G75" s="27"/>
      <c r="H75" s="27"/>
      <c r="I75" s="27"/>
      <c r="J75" s="27"/>
      <c r="K75" s="27"/>
      <c r="L75" s="27"/>
      <c r="M75" s="27"/>
      <c r="N75" s="28"/>
      <c r="O75" s="28"/>
      <c r="P75" s="28"/>
      <c r="Q75" s="29"/>
      <c r="R75" s="28"/>
      <c r="S75" s="29"/>
      <c r="T75" s="30"/>
      <c r="U75" s="31"/>
      <c r="V75" s="30"/>
      <c r="W75" s="30" t="str">
        <f aca="false">IF($A75="","",N($U75)*N($V75))</f>
        <v/>
      </c>
      <c r="X75" s="27"/>
      <c r="Y75" s="31"/>
      <c r="Z75" s="30"/>
      <c r="AA75" s="30" t="str">
        <f aca="false">IF($A75="","",IF($X75="POV",N($Y75)*MileageRate,0)+N($Z75))</f>
        <v/>
      </c>
      <c r="AB75" s="30" t="str">
        <f aca="false">IF(OR($A75="",$P75="",$R75="",$Q75="",$S75=""),"",IF($R75=$P75,($Q75&lt;=T_DepBfast)*($S75&gt;=T_RetBfast)*PD_Bfast+($Q75&lt;=T_DepLunch)*($S75&gt;=T_RetLunch)*PD_Lunch+($Q75&lt;=T_DepDinner)*($S75&gt;=T_RetDinner)*PD_Dinner+PD_Incid,($Q75&lt;=T_DepBfast)*PD_Bfast+($Q75&lt;=T_DepLunch)*PD_Lunch+($Q75&lt;=T_DepDinner)*PD_Dinner+($S75&gt;=T_RetBfast)*PD_Bfast+($S75&gt;=T_RetLunch)*PD_Lunch+($S75&gt;=T_RetDinner)*PD_Dinner+MAX($R75-$P75-1,0)*(PD_Bfast+PD_Lunch+PD_Dinner)+($R75-$P75+1)*PD_Incid))</f>
        <v/>
      </c>
      <c r="AC75" s="30"/>
      <c r="AD75" s="30" t="str">
        <f aca="false">IF($A75="","",N($T75)+N($W75)+N($AA75)+N($AB75)+N($AC75))</f>
        <v/>
      </c>
      <c r="AE75" s="30"/>
      <c r="AF75" s="30"/>
      <c r="AG75" s="30"/>
      <c r="AH75" s="30"/>
      <c r="AI75" s="30"/>
      <c r="AJ75" s="30" t="str">
        <f aca="false">IF($A75="","",IF(COUNT($AE75:$AI75)=0,"",SUM($AE75:$AI75)))</f>
        <v/>
      </c>
      <c r="AK75" s="30"/>
      <c r="AL75" s="30"/>
      <c r="AM75" s="30" t="str">
        <f aca="false">IF(OR($A75="",$AJ75=""),"",$AJ75-N($AK75)-N($AL75))</f>
        <v/>
      </c>
      <c r="AN75" s="28"/>
      <c r="AO75" s="28"/>
      <c r="AP75" s="27"/>
      <c r="AQ75" s="27"/>
      <c r="AR75" s="28" t="str">
        <f aca="false">IF(OR($A75="",$R75=""),"",$R75+ReceiptDays)</f>
        <v/>
      </c>
      <c r="AS75" s="28"/>
      <c r="AT75" s="28" t="str">
        <f aca="false">IF(OR($A75="",$P75=""),"",($P75-FinanceLeadDays)-MOD(($P75-FinanceLeadDays)-DATE(2024,1,2),7))</f>
        <v/>
      </c>
      <c r="AU75" s="28"/>
      <c r="AV75" s="27"/>
      <c r="AW75" s="27"/>
      <c r="AX75" s="30" t="n">
        <f aca="false">IF(OR($A75="",$B75="Denied",$B75="Cancelled"),0,N($AD75))</f>
        <v>0</v>
      </c>
      <c r="AY75" s="30" t="n">
        <f aca="false">IF($A75="",0,N($AJ75))</f>
        <v>0</v>
      </c>
      <c r="AZ75" s="30" t="n">
        <f aca="false">IF(OR($A75="",$B75="Denied",$B75="Cancelled",$B75="Closed"),0,IF(N($AJ75)&gt;0,0,N($AD75)))</f>
        <v>0</v>
      </c>
      <c r="BA75" s="31" t="n">
        <f aca="false">IF($A75="",0,IF($B75="Awaiting Approval",COUNTIF(BA$1:BA74,"&gt;0")+1,0))</f>
        <v>0</v>
      </c>
      <c r="BB75" s="31" t="n">
        <f aca="false">IF($A75="",0,IF(AND($B75="Approved",$AP75&lt;&gt;"Y"),COUNTIF(BB$1:BB74,"&gt;0")+1,0))</f>
        <v>0</v>
      </c>
      <c r="BC75" s="31" t="n">
        <f aca="false">IF($A75="",0,IF(AND($B75="Approved",N($U75)&gt;0,$AQ75&lt;&gt;"Y"),COUNTIF(BC$1:BC74,"&gt;0")+1,0))</f>
        <v>0</v>
      </c>
      <c r="BD75" s="31" t="n">
        <f aca="true">IF($A75="",0,IF(AND($AR75&lt;&gt;"",N($AR75)&lt;TODAY(),$AS75="",$B75&lt;&gt;"Closed",$B75&lt;&gt;"Cancelled",$B75&lt;&gt;"Denied"),COUNTIF(BD$1:BD74,"&gt;0")+1,0))</f>
        <v>0</v>
      </c>
      <c r="BE75" s="31" t="n">
        <f aca="true">IF($A75="",0,IF(AND($AT75&lt;&gt;"",N($AT75)&lt;=TODAY()+7,$AU75="",$B75&lt;&gt;"Denied",$B75&lt;&gt;"Cancelled",$B75&lt;&gt;"Closed"),COUNTIF(BE$1:BE74,"&gt;0")+1,0))</f>
        <v>0</v>
      </c>
      <c r="BF75" s="27"/>
      <c r="BG75" s="27"/>
      <c r="BH75" s="27"/>
      <c r="BI75" s="27"/>
    </row>
    <row r="76" customFormat="false" ht="15" hidden="false" customHeight="false" outlineLevel="0" collapsed="false">
      <c r="A76" s="22"/>
      <c r="B76" s="22"/>
      <c r="C76" s="22"/>
      <c r="D76" s="22"/>
      <c r="E76" s="22"/>
      <c r="F76" s="22"/>
      <c r="G76" s="22"/>
      <c r="H76" s="22"/>
      <c r="I76" s="22"/>
      <c r="J76" s="22"/>
      <c r="K76" s="22"/>
      <c r="L76" s="22"/>
      <c r="M76" s="22"/>
      <c r="N76" s="23"/>
      <c r="O76" s="23"/>
      <c r="P76" s="23"/>
      <c r="Q76" s="24"/>
      <c r="R76" s="23"/>
      <c r="S76" s="24"/>
      <c r="T76" s="25"/>
      <c r="U76" s="26"/>
      <c r="V76" s="25"/>
      <c r="W76" s="25" t="str">
        <f aca="false">IF($A76="","",N($U76)*N($V76))</f>
        <v/>
      </c>
      <c r="X76" s="22"/>
      <c r="Y76" s="26"/>
      <c r="Z76" s="25"/>
      <c r="AA76" s="25" t="str">
        <f aca="false">IF($A76="","",IF($X76="POV",N($Y76)*MileageRate,0)+N($Z76))</f>
        <v/>
      </c>
      <c r="AB76" s="25" t="str">
        <f aca="false">IF(OR($A76="",$P76="",$R76="",$Q76="",$S76=""),"",IF($R76=$P76,($Q76&lt;=T_DepBfast)*($S76&gt;=T_RetBfast)*PD_Bfast+($Q76&lt;=T_DepLunch)*($S76&gt;=T_RetLunch)*PD_Lunch+($Q76&lt;=T_DepDinner)*($S76&gt;=T_RetDinner)*PD_Dinner+PD_Incid,($Q76&lt;=T_DepBfast)*PD_Bfast+($Q76&lt;=T_DepLunch)*PD_Lunch+($Q76&lt;=T_DepDinner)*PD_Dinner+($S76&gt;=T_RetBfast)*PD_Bfast+($S76&gt;=T_RetLunch)*PD_Lunch+($S76&gt;=T_RetDinner)*PD_Dinner+MAX($R76-$P76-1,0)*(PD_Bfast+PD_Lunch+PD_Dinner)+($R76-$P76+1)*PD_Incid))</f>
        <v/>
      </c>
      <c r="AC76" s="25"/>
      <c r="AD76" s="25" t="str">
        <f aca="false">IF($A76="","",N($T76)+N($W76)+N($AA76)+N($AB76)+N($AC76))</f>
        <v/>
      </c>
      <c r="AE76" s="25"/>
      <c r="AF76" s="25"/>
      <c r="AG76" s="25"/>
      <c r="AH76" s="25"/>
      <c r="AI76" s="25"/>
      <c r="AJ76" s="25" t="str">
        <f aca="false">IF($A76="","",IF(COUNT($AE76:$AI76)=0,"",SUM($AE76:$AI76)))</f>
        <v/>
      </c>
      <c r="AK76" s="25"/>
      <c r="AL76" s="25"/>
      <c r="AM76" s="25" t="str">
        <f aca="false">IF(OR($A76="",$AJ76=""),"",$AJ76-N($AK76)-N($AL76))</f>
        <v/>
      </c>
      <c r="AN76" s="23"/>
      <c r="AO76" s="23"/>
      <c r="AP76" s="22"/>
      <c r="AQ76" s="22"/>
      <c r="AR76" s="23" t="str">
        <f aca="false">IF(OR($A76="",$R76=""),"",$R76+ReceiptDays)</f>
        <v/>
      </c>
      <c r="AS76" s="23"/>
      <c r="AT76" s="23" t="str">
        <f aca="false">IF(OR($A76="",$P76=""),"",($P76-FinanceLeadDays)-MOD(($P76-FinanceLeadDays)-DATE(2024,1,2),7))</f>
        <v/>
      </c>
      <c r="AU76" s="23"/>
      <c r="AV76" s="22"/>
      <c r="AW76" s="22"/>
      <c r="AX76" s="25" t="n">
        <f aca="false">IF(OR($A76="",$B76="Denied",$B76="Cancelled"),0,N($AD76))</f>
        <v>0</v>
      </c>
      <c r="AY76" s="25" t="n">
        <f aca="false">IF($A76="",0,N($AJ76))</f>
        <v>0</v>
      </c>
      <c r="AZ76" s="25" t="n">
        <f aca="false">IF(OR($A76="",$B76="Denied",$B76="Cancelled",$B76="Closed"),0,IF(N($AJ76)&gt;0,0,N($AD76)))</f>
        <v>0</v>
      </c>
      <c r="BA76" s="26" t="n">
        <f aca="false">IF($A76="",0,IF($B76="Awaiting Approval",COUNTIF(BA$1:BA75,"&gt;0")+1,0))</f>
        <v>0</v>
      </c>
      <c r="BB76" s="26" t="n">
        <f aca="false">IF($A76="",0,IF(AND($B76="Approved",$AP76&lt;&gt;"Y"),COUNTIF(BB$1:BB75,"&gt;0")+1,0))</f>
        <v>0</v>
      </c>
      <c r="BC76" s="26" t="n">
        <f aca="false">IF($A76="",0,IF(AND($B76="Approved",N($U76)&gt;0,$AQ76&lt;&gt;"Y"),COUNTIF(BC$1:BC75,"&gt;0")+1,0))</f>
        <v>0</v>
      </c>
      <c r="BD76" s="26" t="n">
        <f aca="true">IF($A76="",0,IF(AND($AR76&lt;&gt;"",N($AR76)&lt;TODAY(),$AS76="",$B76&lt;&gt;"Closed",$B76&lt;&gt;"Cancelled",$B76&lt;&gt;"Denied"),COUNTIF(BD$1:BD75,"&gt;0")+1,0))</f>
        <v>0</v>
      </c>
      <c r="BE76" s="26" t="n">
        <f aca="true">IF($A76="",0,IF(AND($AT76&lt;&gt;"",N($AT76)&lt;=TODAY()+7,$AU76="",$B76&lt;&gt;"Denied",$B76&lt;&gt;"Cancelled",$B76&lt;&gt;"Closed"),COUNTIF(BE$1:BE75,"&gt;0")+1,0))</f>
        <v>0</v>
      </c>
      <c r="BF76" s="22"/>
      <c r="BG76" s="22"/>
      <c r="BH76" s="22"/>
      <c r="BI76" s="22"/>
    </row>
    <row r="77" customFormat="false" ht="15" hidden="false" customHeight="false" outlineLevel="0" collapsed="false">
      <c r="A77" s="27"/>
      <c r="B77" s="27"/>
      <c r="C77" s="27"/>
      <c r="D77" s="27"/>
      <c r="E77" s="27"/>
      <c r="F77" s="27"/>
      <c r="G77" s="27"/>
      <c r="H77" s="27"/>
      <c r="I77" s="27"/>
      <c r="J77" s="27"/>
      <c r="K77" s="27"/>
      <c r="L77" s="27"/>
      <c r="M77" s="27"/>
      <c r="N77" s="28"/>
      <c r="O77" s="28"/>
      <c r="P77" s="28"/>
      <c r="Q77" s="29"/>
      <c r="R77" s="28"/>
      <c r="S77" s="29"/>
      <c r="T77" s="30"/>
      <c r="U77" s="31"/>
      <c r="V77" s="30"/>
      <c r="W77" s="30" t="str">
        <f aca="false">IF($A77="","",N($U77)*N($V77))</f>
        <v/>
      </c>
      <c r="X77" s="27"/>
      <c r="Y77" s="31"/>
      <c r="Z77" s="30"/>
      <c r="AA77" s="30" t="str">
        <f aca="false">IF($A77="","",IF($X77="POV",N($Y77)*MileageRate,0)+N($Z77))</f>
        <v/>
      </c>
      <c r="AB77" s="30" t="str">
        <f aca="false">IF(OR($A77="",$P77="",$R77="",$Q77="",$S77=""),"",IF($R77=$P77,($Q77&lt;=T_DepBfast)*($S77&gt;=T_RetBfast)*PD_Bfast+($Q77&lt;=T_DepLunch)*($S77&gt;=T_RetLunch)*PD_Lunch+($Q77&lt;=T_DepDinner)*($S77&gt;=T_RetDinner)*PD_Dinner+PD_Incid,($Q77&lt;=T_DepBfast)*PD_Bfast+($Q77&lt;=T_DepLunch)*PD_Lunch+($Q77&lt;=T_DepDinner)*PD_Dinner+($S77&gt;=T_RetBfast)*PD_Bfast+($S77&gt;=T_RetLunch)*PD_Lunch+($S77&gt;=T_RetDinner)*PD_Dinner+MAX($R77-$P77-1,0)*(PD_Bfast+PD_Lunch+PD_Dinner)+($R77-$P77+1)*PD_Incid))</f>
        <v/>
      </c>
      <c r="AC77" s="30"/>
      <c r="AD77" s="30" t="str">
        <f aca="false">IF($A77="","",N($T77)+N($W77)+N($AA77)+N($AB77)+N($AC77))</f>
        <v/>
      </c>
      <c r="AE77" s="30"/>
      <c r="AF77" s="30"/>
      <c r="AG77" s="30"/>
      <c r="AH77" s="30"/>
      <c r="AI77" s="30"/>
      <c r="AJ77" s="30" t="str">
        <f aca="false">IF($A77="","",IF(COUNT($AE77:$AI77)=0,"",SUM($AE77:$AI77)))</f>
        <v/>
      </c>
      <c r="AK77" s="30"/>
      <c r="AL77" s="30"/>
      <c r="AM77" s="30" t="str">
        <f aca="false">IF(OR($A77="",$AJ77=""),"",$AJ77-N($AK77)-N($AL77))</f>
        <v/>
      </c>
      <c r="AN77" s="28"/>
      <c r="AO77" s="28"/>
      <c r="AP77" s="27"/>
      <c r="AQ77" s="27"/>
      <c r="AR77" s="28" t="str">
        <f aca="false">IF(OR($A77="",$R77=""),"",$R77+ReceiptDays)</f>
        <v/>
      </c>
      <c r="AS77" s="28"/>
      <c r="AT77" s="28" t="str">
        <f aca="false">IF(OR($A77="",$P77=""),"",($P77-FinanceLeadDays)-MOD(($P77-FinanceLeadDays)-DATE(2024,1,2),7))</f>
        <v/>
      </c>
      <c r="AU77" s="28"/>
      <c r="AV77" s="27"/>
      <c r="AW77" s="27"/>
      <c r="AX77" s="30" t="n">
        <f aca="false">IF(OR($A77="",$B77="Denied",$B77="Cancelled"),0,N($AD77))</f>
        <v>0</v>
      </c>
      <c r="AY77" s="30" t="n">
        <f aca="false">IF($A77="",0,N($AJ77))</f>
        <v>0</v>
      </c>
      <c r="AZ77" s="30" t="n">
        <f aca="false">IF(OR($A77="",$B77="Denied",$B77="Cancelled",$B77="Closed"),0,IF(N($AJ77)&gt;0,0,N($AD77)))</f>
        <v>0</v>
      </c>
      <c r="BA77" s="31" t="n">
        <f aca="false">IF($A77="",0,IF($B77="Awaiting Approval",COUNTIF(BA$1:BA76,"&gt;0")+1,0))</f>
        <v>0</v>
      </c>
      <c r="BB77" s="31" t="n">
        <f aca="false">IF($A77="",0,IF(AND($B77="Approved",$AP77&lt;&gt;"Y"),COUNTIF(BB$1:BB76,"&gt;0")+1,0))</f>
        <v>0</v>
      </c>
      <c r="BC77" s="31" t="n">
        <f aca="false">IF($A77="",0,IF(AND($B77="Approved",N($U77)&gt;0,$AQ77&lt;&gt;"Y"),COUNTIF(BC$1:BC76,"&gt;0")+1,0))</f>
        <v>0</v>
      </c>
      <c r="BD77" s="31" t="n">
        <f aca="true">IF($A77="",0,IF(AND($AR77&lt;&gt;"",N($AR77)&lt;TODAY(),$AS77="",$B77&lt;&gt;"Closed",$B77&lt;&gt;"Cancelled",$B77&lt;&gt;"Denied"),COUNTIF(BD$1:BD76,"&gt;0")+1,0))</f>
        <v>0</v>
      </c>
      <c r="BE77" s="31" t="n">
        <f aca="true">IF($A77="",0,IF(AND($AT77&lt;&gt;"",N($AT77)&lt;=TODAY()+7,$AU77="",$B77&lt;&gt;"Denied",$B77&lt;&gt;"Cancelled",$B77&lt;&gt;"Closed"),COUNTIF(BE$1:BE76,"&gt;0")+1,0))</f>
        <v>0</v>
      </c>
      <c r="BF77" s="27"/>
      <c r="BG77" s="27"/>
      <c r="BH77" s="27"/>
      <c r="BI77" s="27"/>
    </row>
    <row r="78" customFormat="false" ht="15" hidden="false" customHeight="false" outlineLevel="0" collapsed="false">
      <c r="A78" s="22"/>
      <c r="B78" s="22"/>
      <c r="C78" s="22"/>
      <c r="D78" s="22"/>
      <c r="E78" s="22"/>
      <c r="F78" s="22"/>
      <c r="G78" s="22"/>
      <c r="H78" s="22"/>
      <c r="I78" s="22"/>
      <c r="J78" s="22"/>
      <c r="K78" s="22"/>
      <c r="L78" s="22"/>
      <c r="M78" s="22"/>
      <c r="N78" s="23"/>
      <c r="O78" s="23"/>
      <c r="P78" s="23"/>
      <c r="Q78" s="24"/>
      <c r="R78" s="23"/>
      <c r="S78" s="24"/>
      <c r="T78" s="25"/>
      <c r="U78" s="26"/>
      <c r="V78" s="25"/>
      <c r="W78" s="25" t="str">
        <f aca="false">IF($A78="","",N($U78)*N($V78))</f>
        <v/>
      </c>
      <c r="X78" s="22"/>
      <c r="Y78" s="26"/>
      <c r="Z78" s="25"/>
      <c r="AA78" s="25" t="str">
        <f aca="false">IF($A78="","",IF($X78="POV",N($Y78)*MileageRate,0)+N($Z78))</f>
        <v/>
      </c>
      <c r="AB78" s="25" t="str">
        <f aca="false">IF(OR($A78="",$P78="",$R78="",$Q78="",$S78=""),"",IF($R78=$P78,($Q78&lt;=T_DepBfast)*($S78&gt;=T_RetBfast)*PD_Bfast+($Q78&lt;=T_DepLunch)*($S78&gt;=T_RetLunch)*PD_Lunch+($Q78&lt;=T_DepDinner)*($S78&gt;=T_RetDinner)*PD_Dinner+PD_Incid,($Q78&lt;=T_DepBfast)*PD_Bfast+($Q78&lt;=T_DepLunch)*PD_Lunch+($Q78&lt;=T_DepDinner)*PD_Dinner+($S78&gt;=T_RetBfast)*PD_Bfast+($S78&gt;=T_RetLunch)*PD_Lunch+($S78&gt;=T_RetDinner)*PD_Dinner+MAX($R78-$P78-1,0)*(PD_Bfast+PD_Lunch+PD_Dinner)+($R78-$P78+1)*PD_Incid))</f>
        <v/>
      </c>
      <c r="AC78" s="25"/>
      <c r="AD78" s="25" t="str">
        <f aca="false">IF($A78="","",N($T78)+N($W78)+N($AA78)+N($AB78)+N($AC78))</f>
        <v/>
      </c>
      <c r="AE78" s="25"/>
      <c r="AF78" s="25"/>
      <c r="AG78" s="25"/>
      <c r="AH78" s="25"/>
      <c r="AI78" s="25"/>
      <c r="AJ78" s="25" t="str">
        <f aca="false">IF($A78="","",IF(COUNT($AE78:$AI78)=0,"",SUM($AE78:$AI78)))</f>
        <v/>
      </c>
      <c r="AK78" s="25"/>
      <c r="AL78" s="25"/>
      <c r="AM78" s="25" t="str">
        <f aca="false">IF(OR($A78="",$AJ78=""),"",$AJ78-N($AK78)-N($AL78))</f>
        <v/>
      </c>
      <c r="AN78" s="23"/>
      <c r="AO78" s="23"/>
      <c r="AP78" s="22"/>
      <c r="AQ78" s="22"/>
      <c r="AR78" s="23" t="str">
        <f aca="false">IF(OR($A78="",$R78=""),"",$R78+ReceiptDays)</f>
        <v/>
      </c>
      <c r="AS78" s="23"/>
      <c r="AT78" s="23" t="str">
        <f aca="false">IF(OR($A78="",$P78=""),"",($P78-FinanceLeadDays)-MOD(($P78-FinanceLeadDays)-DATE(2024,1,2),7))</f>
        <v/>
      </c>
      <c r="AU78" s="23"/>
      <c r="AV78" s="22"/>
      <c r="AW78" s="22"/>
      <c r="AX78" s="25" t="n">
        <f aca="false">IF(OR($A78="",$B78="Denied",$B78="Cancelled"),0,N($AD78))</f>
        <v>0</v>
      </c>
      <c r="AY78" s="25" t="n">
        <f aca="false">IF($A78="",0,N($AJ78))</f>
        <v>0</v>
      </c>
      <c r="AZ78" s="25" t="n">
        <f aca="false">IF(OR($A78="",$B78="Denied",$B78="Cancelled",$B78="Closed"),0,IF(N($AJ78)&gt;0,0,N($AD78)))</f>
        <v>0</v>
      </c>
      <c r="BA78" s="26" t="n">
        <f aca="false">IF($A78="",0,IF($B78="Awaiting Approval",COUNTIF(BA$1:BA77,"&gt;0")+1,0))</f>
        <v>0</v>
      </c>
      <c r="BB78" s="26" t="n">
        <f aca="false">IF($A78="",0,IF(AND($B78="Approved",$AP78&lt;&gt;"Y"),COUNTIF(BB$1:BB77,"&gt;0")+1,0))</f>
        <v>0</v>
      </c>
      <c r="BC78" s="26" t="n">
        <f aca="false">IF($A78="",0,IF(AND($B78="Approved",N($U78)&gt;0,$AQ78&lt;&gt;"Y"),COUNTIF(BC$1:BC77,"&gt;0")+1,0))</f>
        <v>0</v>
      </c>
      <c r="BD78" s="26" t="n">
        <f aca="true">IF($A78="",0,IF(AND($AR78&lt;&gt;"",N($AR78)&lt;TODAY(),$AS78="",$B78&lt;&gt;"Closed",$B78&lt;&gt;"Cancelled",$B78&lt;&gt;"Denied"),COUNTIF(BD$1:BD77,"&gt;0")+1,0))</f>
        <v>0</v>
      </c>
      <c r="BE78" s="26" t="n">
        <f aca="true">IF($A78="",0,IF(AND($AT78&lt;&gt;"",N($AT78)&lt;=TODAY()+7,$AU78="",$B78&lt;&gt;"Denied",$B78&lt;&gt;"Cancelled",$B78&lt;&gt;"Closed"),COUNTIF(BE$1:BE77,"&gt;0")+1,0))</f>
        <v>0</v>
      </c>
      <c r="BF78" s="22"/>
      <c r="BG78" s="22"/>
      <c r="BH78" s="22"/>
      <c r="BI78" s="22"/>
    </row>
    <row r="79" customFormat="false" ht="15" hidden="false" customHeight="false" outlineLevel="0" collapsed="false">
      <c r="A79" s="27"/>
      <c r="B79" s="27"/>
      <c r="C79" s="27"/>
      <c r="D79" s="27"/>
      <c r="E79" s="27"/>
      <c r="F79" s="27"/>
      <c r="G79" s="27"/>
      <c r="H79" s="27"/>
      <c r="I79" s="27"/>
      <c r="J79" s="27"/>
      <c r="K79" s="27"/>
      <c r="L79" s="27"/>
      <c r="M79" s="27"/>
      <c r="N79" s="28"/>
      <c r="O79" s="28"/>
      <c r="P79" s="28"/>
      <c r="Q79" s="29"/>
      <c r="R79" s="28"/>
      <c r="S79" s="29"/>
      <c r="T79" s="30"/>
      <c r="U79" s="31"/>
      <c r="V79" s="30"/>
      <c r="W79" s="30" t="str">
        <f aca="false">IF($A79="","",N($U79)*N($V79))</f>
        <v/>
      </c>
      <c r="X79" s="27"/>
      <c r="Y79" s="31"/>
      <c r="Z79" s="30"/>
      <c r="AA79" s="30" t="str">
        <f aca="false">IF($A79="","",IF($X79="POV",N($Y79)*MileageRate,0)+N($Z79))</f>
        <v/>
      </c>
      <c r="AB79" s="30" t="str">
        <f aca="false">IF(OR($A79="",$P79="",$R79="",$Q79="",$S79=""),"",IF($R79=$P79,($Q79&lt;=T_DepBfast)*($S79&gt;=T_RetBfast)*PD_Bfast+($Q79&lt;=T_DepLunch)*($S79&gt;=T_RetLunch)*PD_Lunch+($Q79&lt;=T_DepDinner)*($S79&gt;=T_RetDinner)*PD_Dinner+PD_Incid,($Q79&lt;=T_DepBfast)*PD_Bfast+($Q79&lt;=T_DepLunch)*PD_Lunch+($Q79&lt;=T_DepDinner)*PD_Dinner+($S79&gt;=T_RetBfast)*PD_Bfast+($S79&gt;=T_RetLunch)*PD_Lunch+($S79&gt;=T_RetDinner)*PD_Dinner+MAX($R79-$P79-1,0)*(PD_Bfast+PD_Lunch+PD_Dinner)+($R79-$P79+1)*PD_Incid))</f>
        <v/>
      </c>
      <c r="AC79" s="30"/>
      <c r="AD79" s="30" t="str">
        <f aca="false">IF($A79="","",N($T79)+N($W79)+N($AA79)+N($AB79)+N($AC79))</f>
        <v/>
      </c>
      <c r="AE79" s="30"/>
      <c r="AF79" s="30"/>
      <c r="AG79" s="30"/>
      <c r="AH79" s="30"/>
      <c r="AI79" s="30"/>
      <c r="AJ79" s="30" t="str">
        <f aca="false">IF($A79="","",IF(COUNT($AE79:$AI79)=0,"",SUM($AE79:$AI79)))</f>
        <v/>
      </c>
      <c r="AK79" s="30"/>
      <c r="AL79" s="30"/>
      <c r="AM79" s="30" t="str">
        <f aca="false">IF(OR($A79="",$AJ79=""),"",$AJ79-N($AK79)-N($AL79))</f>
        <v/>
      </c>
      <c r="AN79" s="28"/>
      <c r="AO79" s="28"/>
      <c r="AP79" s="27"/>
      <c r="AQ79" s="27"/>
      <c r="AR79" s="28" t="str">
        <f aca="false">IF(OR($A79="",$R79=""),"",$R79+ReceiptDays)</f>
        <v/>
      </c>
      <c r="AS79" s="28"/>
      <c r="AT79" s="28" t="str">
        <f aca="false">IF(OR($A79="",$P79=""),"",($P79-FinanceLeadDays)-MOD(($P79-FinanceLeadDays)-DATE(2024,1,2),7))</f>
        <v/>
      </c>
      <c r="AU79" s="28"/>
      <c r="AV79" s="27"/>
      <c r="AW79" s="27"/>
      <c r="AX79" s="30" t="n">
        <f aca="false">IF(OR($A79="",$B79="Denied",$B79="Cancelled"),0,N($AD79))</f>
        <v>0</v>
      </c>
      <c r="AY79" s="30" t="n">
        <f aca="false">IF($A79="",0,N($AJ79))</f>
        <v>0</v>
      </c>
      <c r="AZ79" s="30" t="n">
        <f aca="false">IF(OR($A79="",$B79="Denied",$B79="Cancelled",$B79="Closed"),0,IF(N($AJ79)&gt;0,0,N($AD79)))</f>
        <v>0</v>
      </c>
      <c r="BA79" s="31" t="n">
        <f aca="false">IF($A79="",0,IF($B79="Awaiting Approval",COUNTIF(BA$1:BA78,"&gt;0")+1,0))</f>
        <v>0</v>
      </c>
      <c r="BB79" s="31" t="n">
        <f aca="false">IF($A79="",0,IF(AND($B79="Approved",$AP79&lt;&gt;"Y"),COUNTIF(BB$1:BB78,"&gt;0")+1,0))</f>
        <v>0</v>
      </c>
      <c r="BC79" s="31" t="n">
        <f aca="false">IF($A79="",0,IF(AND($B79="Approved",N($U79)&gt;0,$AQ79&lt;&gt;"Y"),COUNTIF(BC$1:BC78,"&gt;0")+1,0))</f>
        <v>0</v>
      </c>
      <c r="BD79" s="31" t="n">
        <f aca="true">IF($A79="",0,IF(AND($AR79&lt;&gt;"",N($AR79)&lt;TODAY(),$AS79="",$B79&lt;&gt;"Closed",$B79&lt;&gt;"Cancelled",$B79&lt;&gt;"Denied"),COUNTIF(BD$1:BD78,"&gt;0")+1,0))</f>
        <v>0</v>
      </c>
      <c r="BE79" s="31" t="n">
        <f aca="true">IF($A79="",0,IF(AND($AT79&lt;&gt;"",N($AT79)&lt;=TODAY()+7,$AU79="",$B79&lt;&gt;"Denied",$B79&lt;&gt;"Cancelled",$B79&lt;&gt;"Closed"),COUNTIF(BE$1:BE78,"&gt;0")+1,0))</f>
        <v>0</v>
      </c>
      <c r="BF79" s="27"/>
      <c r="BG79" s="27"/>
      <c r="BH79" s="27"/>
      <c r="BI79" s="27"/>
    </row>
    <row r="80" customFormat="false" ht="15" hidden="false" customHeight="false" outlineLevel="0" collapsed="false">
      <c r="A80" s="22"/>
      <c r="B80" s="22"/>
      <c r="C80" s="22"/>
      <c r="D80" s="22"/>
      <c r="E80" s="22"/>
      <c r="F80" s="22"/>
      <c r="G80" s="22"/>
      <c r="H80" s="22"/>
      <c r="I80" s="22"/>
      <c r="J80" s="22"/>
      <c r="K80" s="22"/>
      <c r="L80" s="22"/>
      <c r="M80" s="22"/>
      <c r="N80" s="23"/>
      <c r="O80" s="23"/>
      <c r="P80" s="23"/>
      <c r="Q80" s="24"/>
      <c r="R80" s="23"/>
      <c r="S80" s="24"/>
      <c r="T80" s="25"/>
      <c r="U80" s="26"/>
      <c r="V80" s="25"/>
      <c r="W80" s="25" t="str">
        <f aca="false">IF($A80="","",N($U80)*N($V80))</f>
        <v/>
      </c>
      <c r="X80" s="22"/>
      <c r="Y80" s="26"/>
      <c r="Z80" s="25"/>
      <c r="AA80" s="25" t="str">
        <f aca="false">IF($A80="","",IF($X80="POV",N($Y80)*MileageRate,0)+N($Z80))</f>
        <v/>
      </c>
      <c r="AB80" s="25" t="str">
        <f aca="false">IF(OR($A80="",$P80="",$R80="",$Q80="",$S80=""),"",IF($R80=$P80,($Q80&lt;=T_DepBfast)*($S80&gt;=T_RetBfast)*PD_Bfast+($Q80&lt;=T_DepLunch)*($S80&gt;=T_RetLunch)*PD_Lunch+($Q80&lt;=T_DepDinner)*($S80&gt;=T_RetDinner)*PD_Dinner+PD_Incid,($Q80&lt;=T_DepBfast)*PD_Bfast+($Q80&lt;=T_DepLunch)*PD_Lunch+($Q80&lt;=T_DepDinner)*PD_Dinner+($S80&gt;=T_RetBfast)*PD_Bfast+($S80&gt;=T_RetLunch)*PD_Lunch+($S80&gt;=T_RetDinner)*PD_Dinner+MAX($R80-$P80-1,0)*(PD_Bfast+PD_Lunch+PD_Dinner)+($R80-$P80+1)*PD_Incid))</f>
        <v/>
      </c>
      <c r="AC80" s="25"/>
      <c r="AD80" s="25" t="str">
        <f aca="false">IF($A80="","",N($T80)+N($W80)+N($AA80)+N($AB80)+N($AC80))</f>
        <v/>
      </c>
      <c r="AE80" s="25"/>
      <c r="AF80" s="25"/>
      <c r="AG80" s="25"/>
      <c r="AH80" s="25"/>
      <c r="AI80" s="25"/>
      <c r="AJ80" s="25" t="str">
        <f aca="false">IF($A80="","",IF(COUNT($AE80:$AI80)=0,"",SUM($AE80:$AI80)))</f>
        <v/>
      </c>
      <c r="AK80" s="25"/>
      <c r="AL80" s="25"/>
      <c r="AM80" s="25" t="str">
        <f aca="false">IF(OR($A80="",$AJ80=""),"",$AJ80-N($AK80)-N($AL80))</f>
        <v/>
      </c>
      <c r="AN80" s="23"/>
      <c r="AO80" s="23"/>
      <c r="AP80" s="22"/>
      <c r="AQ80" s="22"/>
      <c r="AR80" s="23" t="str">
        <f aca="false">IF(OR($A80="",$R80=""),"",$R80+ReceiptDays)</f>
        <v/>
      </c>
      <c r="AS80" s="23"/>
      <c r="AT80" s="23" t="str">
        <f aca="false">IF(OR($A80="",$P80=""),"",($P80-FinanceLeadDays)-MOD(($P80-FinanceLeadDays)-DATE(2024,1,2),7))</f>
        <v/>
      </c>
      <c r="AU80" s="23"/>
      <c r="AV80" s="22"/>
      <c r="AW80" s="22"/>
      <c r="AX80" s="25" t="n">
        <f aca="false">IF(OR($A80="",$B80="Denied",$B80="Cancelled"),0,N($AD80))</f>
        <v>0</v>
      </c>
      <c r="AY80" s="25" t="n">
        <f aca="false">IF($A80="",0,N($AJ80))</f>
        <v>0</v>
      </c>
      <c r="AZ80" s="25" t="n">
        <f aca="false">IF(OR($A80="",$B80="Denied",$B80="Cancelled",$B80="Closed"),0,IF(N($AJ80)&gt;0,0,N($AD80)))</f>
        <v>0</v>
      </c>
      <c r="BA80" s="26" t="n">
        <f aca="false">IF($A80="",0,IF($B80="Awaiting Approval",COUNTIF(BA$1:BA79,"&gt;0")+1,0))</f>
        <v>0</v>
      </c>
      <c r="BB80" s="26" t="n">
        <f aca="false">IF($A80="",0,IF(AND($B80="Approved",$AP80&lt;&gt;"Y"),COUNTIF(BB$1:BB79,"&gt;0")+1,0))</f>
        <v>0</v>
      </c>
      <c r="BC80" s="26" t="n">
        <f aca="false">IF($A80="",0,IF(AND($B80="Approved",N($U80)&gt;0,$AQ80&lt;&gt;"Y"),COUNTIF(BC$1:BC79,"&gt;0")+1,0))</f>
        <v>0</v>
      </c>
      <c r="BD80" s="26" t="n">
        <f aca="true">IF($A80="",0,IF(AND($AR80&lt;&gt;"",N($AR80)&lt;TODAY(),$AS80="",$B80&lt;&gt;"Closed",$B80&lt;&gt;"Cancelled",$B80&lt;&gt;"Denied"),COUNTIF(BD$1:BD79,"&gt;0")+1,0))</f>
        <v>0</v>
      </c>
      <c r="BE80" s="26" t="n">
        <f aca="true">IF($A80="",0,IF(AND($AT80&lt;&gt;"",N($AT80)&lt;=TODAY()+7,$AU80="",$B80&lt;&gt;"Denied",$B80&lt;&gt;"Cancelled",$B80&lt;&gt;"Closed"),COUNTIF(BE$1:BE79,"&gt;0")+1,0))</f>
        <v>0</v>
      </c>
      <c r="BF80" s="22"/>
      <c r="BG80" s="22"/>
      <c r="BH80" s="22"/>
      <c r="BI80" s="22"/>
    </row>
    <row r="81" customFormat="false" ht="15" hidden="false" customHeight="false" outlineLevel="0" collapsed="false">
      <c r="A81" s="27"/>
      <c r="B81" s="27"/>
      <c r="C81" s="27"/>
      <c r="D81" s="27"/>
      <c r="E81" s="27"/>
      <c r="F81" s="27"/>
      <c r="G81" s="27"/>
      <c r="H81" s="27"/>
      <c r="I81" s="27"/>
      <c r="J81" s="27"/>
      <c r="K81" s="27"/>
      <c r="L81" s="27"/>
      <c r="M81" s="27"/>
      <c r="N81" s="28"/>
      <c r="O81" s="28"/>
      <c r="P81" s="28"/>
      <c r="Q81" s="29"/>
      <c r="R81" s="28"/>
      <c r="S81" s="29"/>
      <c r="T81" s="30"/>
      <c r="U81" s="31"/>
      <c r="V81" s="30"/>
      <c r="W81" s="30" t="str">
        <f aca="false">IF($A81="","",N($U81)*N($V81))</f>
        <v/>
      </c>
      <c r="X81" s="27"/>
      <c r="Y81" s="31"/>
      <c r="Z81" s="30"/>
      <c r="AA81" s="30" t="str">
        <f aca="false">IF($A81="","",IF($X81="POV",N($Y81)*MileageRate,0)+N($Z81))</f>
        <v/>
      </c>
      <c r="AB81" s="30" t="str">
        <f aca="false">IF(OR($A81="",$P81="",$R81="",$Q81="",$S81=""),"",IF($R81=$P81,($Q81&lt;=T_DepBfast)*($S81&gt;=T_RetBfast)*PD_Bfast+($Q81&lt;=T_DepLunch)*($S81&gt;=T_RetLunch)*PD_Lunch+($Q81&lt;=T_DepDinner)*($S81&gt;=T_RetDinner)*PD_Dinner+PD_Incid,($Q81&lt;=T_DepBfast)*PD_Bfast+($Q81&lt;=T_DepLunch)*PD_Lunch+($Q81&lt;=T_DepDinner)*PD_Dinner+($S81&gt;=T_RetBfast)*PD_Bfast+($S81&gt;=T_RetLunch)*PD_Lunch+($S81&gt;=T_RetDinner)*PD_Dinner+MAX($R81-$P81-1,0)*(PD_Bfast+PD_Lunch+PD_Dinner)+($R81-$P81+1)*PD_Incid))</f>
        <v/>
      </c>
      <c r="AC81" s="30"/>
      <c r="AD81" s="30" t="str">
        <f aca="false">IF($A81="","",N($T81)+N($W81)+N($AA81)+N($AB81)+N($AC81))</f>
        <v/>
      </c>
      <c r="AE81" s="30"/>
      <c r="AF81" s="30"/>
      <c r="AG81" s="30"/>
      <c r="AH81" s="30"/>
      <c r="AI81" s="30"/>
      <c r="AJ81" s="30" t="str">
        <f aca="false">IF($A81="","",IF(COUNT($AE81:$AI81)=0,"",SUM($AE81:$AI81)))</f>
        <v/>
      </c>
      <c r="AK81" s="30"/>
      <c r="AL81" s="30"/>
      <c r="AM81" s="30" t="str">
        <f aca="false">IF(OR($A81="",$AJ81=""),"",$AJ81-N($AK81)-N($AL81))</f>
        <v/>
      </c>
      <c r="AN81" s="28"/>
      <c r="AO81" s="28"/>
      <c r="AP81" s="27"/>
      <c r="AQ81" s="27"/>
      <c r="AR81" s="28" t="str">
        <f aca="false">IF(OR($A81="",$R81=""),"",$R81+ReceiptDays)</f>
        <v/>
      </c>
      <c r="AS81" s="28"/>
      <c r="AT81" s="28" t="str">
        <f aca="false">IF(OR($A81="",$P81=""),"",($P81-FinanceLeadDays)-MOD(($P81-FinanceLeadDays)-DATE(2024,1,2),7))</f>
        <v/>
      </c>
      <c r="AU81" s="28"/>
      <c r="AV81" s="27"/>
      <c r="AW81" s="27"/>
      <c r="AX81" s="30" t="n">
        <f aca="false">IF(OR($A81="",$B81="Denied",$B81="Cancelled"),0,N($AD81))</f>
        <v>0</v>
      </c>
      <c r="AY81" s="30" t="n">
        <f aca="false">IF($A81="",0,N($AJ81))</f>
        <v>0</v>
      </c>
      <c r="AZ81" s="30" t="n">
        <f aca="false">IF(OR($A81="",$B81="Denied",$B81="Cancelled",$B81="Closed"),0,IF(N($AJ81)&gt;0,0,N($AD81)))</f>
        <v>0</v>
      </c>
      <c r="BA81" s="31" t="n">
        <f aca="false">IF($A81="",0,IF($B81="Awaiting Approval",COUNTIF(BA$1:BA80,"&gt;0")+1,0))</f>
        <v>0</v>
      </c>
      <c r="BB81" s="31" t="n">
        <f aca="false">IF($A81="",0,IF(AND($B81="Approved",$AP81&lt;&gt;"Y"),COUNTIF(BB$1:BB80,"&gt;0")+1,0))</f>
        <v>0</v>
      </c>
      <c r="BC81" s="31" t="n">
        <f aca="false">IF($A81="",0,IF(AND($B81="Approved",N($U81)&gt;0,$AQ81&lt;&gt;"Y"),COUNTIF(BC$1:BC80,"&gt;0")+1,0))</f>
        <v>0</v>
      </c>
      <c r="BD81" s="31" t="n">
        <f aca="true">IF($A81="",0,IF(AND($AR81&lt;&gt;"",N($AR81)&lt;TODAY(),$AS81="",$B81&lt;&gt;"Closed",$B81&lt;&gt;"Cancelled",$B81&lt;&gt;"Denied"),COUNTIF(BD$1:BD80,"&gt;0")+1,0))</f>
        <v>0</v>
      </c>
      <c r="BE81" s="31" t="n">
        <f aca="true">IF($A81="",0,IF(AND($AT81&lt;&gt;"",N($AT81)&lt;=TODAY()+7,$AU81="",$B81&lt;&gt;"Denied",$B81&lt;&gt;"Cancelled",$B81&lt;&gt;"Closed"),COUNTIF(BE$1:BE80,"&gt;0")+1,0))</f>
        <v>0</v>
      </c>
      <c r="BF81" s="27"/>
      <c r="BG81" s="27"/>
      <c r="BH81" s="27"/>
      <c r="BI81" s="27"/>
    </row>
    <row r="82" customFormat="false" ht="15" hidden="false" customHeight="false" outlineLevel="0" collapsed="false">
      <c r="A82" s="22"/>
      <c r="B82" s="22"/>
      <c r="C82" s="22"/>
      <c r="D82" s="22"/>
      <c r="E82" s="22"/>
      <c r="F82" s="22"/>
      <c r="G82" s="22"/>
      <c r="H82" s="22"/>
      <c r="I82" s="22"/>
      <c r="J82" s="22"/>
      <c r="K82" s="22"/>
      <c r="L82" s="22"/>
      <c r="M82" s="22"/>
      <c r="N82" s="23"/>
      <c r="O82" s="23"/>
      <c r="P82" s="23"/>
      <c r="Q82" s="24"/>
      <c r="R82" s="23"/>
      <c r="S82" s="24"/>
      <c r="T82" s="25"/>
      <c r="U82" s="26"/>
      <c r="V82" s="25"/>
      <c r="W82" s="25" t="str">
        <f aca="false">IF($A82="","",N($U82)*N($V82))</f>
        <v/>
      </c>
      <c r="X82" s="22"/>
      <c r="Y82" s="26"/>
      <c r="Z82" s="25"/>
      <c r="AA82" s="25" t="str">
        <f aca="false">IF($A82="","",IF($X82="POV",N($Y82)*MileageRate,0)+N($Z82))</f>
        <v/>
      </c>
      <c r="AB82" s="25" t="str">
        <f aca="false">IF(OR($A82="",$P82="",$R82="",$Q82="",$S82=""),"",IF($R82=$P82,($Q82&lt;=T_DepBfast)*($S82&gt;=T_RetBfast)*PD_Bfast+($Q82&lt;=T_DepLunch)*($S82&gt;=T_RetLunch)*PD_Lunch+($Q82&lt;=T_DepDinner)*($S82&gt;=T_RetDinner)*PD_Dinner+PD_Incid,($Q82&lt;=T_DepBfast)*PD_Bfast+($Q82&lt;=T_DepLunch)*PD_Lunch+($Q82&lt;=T_DepDinner)*PD_Dinner+($S82&gt;=T_RetBfast)*PD_Bfast+($S82&gt;=T_RetLunch)*PD_Lunch+($S82&gt;=T_RetDinner)*PD_Dinner+MAX($R82-$P82-1,0)*(PD_Bfast+PD_Lunch+PD_Dinner)+($R82-$P82+1)*PD_Incid))</f>
        <v/>
      </c>
      <c r="AC82" s="25"/>
      <c r="AD82" s="25" t="str">
        <f aca="false">IF($A82="","",N($T82)+N($W82)+N($AA82)+N($AB82)+N($AC82))</f>
        <v/>
      </c>
      <c r="AE82" s="25"/>
      <c r="AF82" s="25"/>
      <c r="AG82" s="25"/>
      <c r="AH82" s="25"/>
      <c r="AI82" s="25"/>
      <c r="AJ82" s="25" t="str">
        <f aca="false">IF($A82="","",IF(COUNT($AE82:$AI82)=0,"",SUM($AE82:$AI82)))</f>
        <v/>
      </c>
      <c r="AK82" s="25"/>
      <c r="AL82" s="25"/>
      <c r="AM82" s="25" t="str">
        <f aca="false">IF(OR($A82="",$AJ82=""),"",$AJ82-N($AK82)-N($AL82))</f>
        <v/>
      </c>
      <c r="AN82" s="23"/>
      <c r="AO82" s="23"/>
      <c r="AP82" s="22"/>
      <c r="AQ82" s="22"/>
      <c r="AR82" s="23" t="str">
        <f aca="false">IF(OR($A82="",$R82=""),"",$R82+ReceiptDays)</f>
        <v/>
      </c>
      <c r="AS82" s="23"/>
      <c r="AT82" s="23" t="str">
        <f aca="false">IF(OR($A82="",$P82=""),"",($P82-FinanceLeadDays)-MOD(($P82-FinanceLeadDays)-DATE(2024,1,2),7))</f>
        <v/>
      </c>
      <c r="AU82" s="23"/>
      <c r="AV82" s="22"/>
      <c r="AW82" s="22"/>
      <c r="AX82" s="25" t="n">
        <f aca="false">IF(OR($A82="",$B82="Denied",$B82="Cancelled"),0,N($AD82))</f>
        <v>0</v>
      </c>
      <c r="AY82" s="25" t="n">
        <f aca="false">IF($A82="",0,N($AJ82))</f>
        <v>0</v>
      </c>
      <c r="AZ82" s="25" t="n">
        <f aca="false">IF(OR($A82="",$B82="Denied",$B82="Cancelled",$B82="Closed"),0,IF(N($AJ82)&gt;0,0,N($AD82)))</f>
        <v>0</v>
      </c>
      <c r="BA82" s="26" t="n">
        <f aca="false">IF($A82="",0,IF($B82="Awaiting Approval",COUNTIF(BA$1:BA81,"&gt;0")+1,0))</f>
        <v>0</v>
      </c>
      <c r="BB82" s="26" t="n">
        <f aca="false">IF($A82="",0,IF(AND($B82="Approved",$AP82&lt;&gt;"Y"),COUNTIF(BB$1:BB81,"&gt;0")+1,0))</f>
        <v>0</v>
      </c>
      <c r="BC82" s="26" t="n">
        <f aca="false">IF($A82="",0,IF(AND($B82="Approved",N($U82)&gt;0,$AQ82&lt;&gt;"Y"),COUNTIF(BC$1:BC81,"&gt;0")+1,0))</f>
        <v>0</v>
      </c>
      <c r="BD82" s="26" t="n">
        <f aca="true">IF($A82="",0,IF(AND($AR82&lt;&gt;"",N($AR82)&lt;TODAY(),$AS82="",$B82&lt;&gt;"Closed",$B82&lt;&gt;"Cancelled",$B82&lt;&gt;"Denied"),COUNTIF(BD$1:BD81,"&gt;0")+1,0))</f>
        <v>0</v>
      </c>
      <c r="BE82" s="26" t="n">
        <f aca="true">IF($A82="",0,IF(AND($AT82&lt;&gt;"",N($AT82)&lt;=TODAY()+7,$AU82="",$B82&lt;&gt;"Denied",$B82&lt;&gt;"Cancelled",$B82&lt;&gt;"Closed"),COUNTIF(BE$1:BE81,"&gt;0")+1,0))</f>
        <v>0</v>
      </c>
      <c r="BF82" s="22"/>
      <c r="BG82" s="22"/>
      <c r="BH82" s="22"/>
      <c r="BI82" s="22"/>
    </row>
    <row r="83" customFormat="false" ht="15" hidden="false" customHeight="false" outlineLevel="0" collapsed="false">
      <c r="A83" s="27"/>
      <c r="B83" s="27"/>
      <c r="C83" s="27"/>
      <c r="D83" s="27"/>
      <c r="E83" s="27"/>
      <c r="F83" s="27"/>
      <c r="G83" s="27"/>
      <c r="H83" s="27"/>
      <c r="I83" s="27"/>
      <c r="J83" s="27"/>
      <c r="K83" s="27"/>
      <c r="L83" s="27"/>
      <c r="M83" s="27"/>
      <c r="N83" s="28"/>
      <c r="O83" s="28"/>
      <c r="P83" s="28"/>
      <c r="Q83" s="29"/>
      <c r="R83" s="28"/>
      <c r="S83" s="29"/>
      <c r="T83" s="30"/>
      <c r="U83" s="31"/>
      <c r="V83" s="30"/>
      <c r="W83" s="30" t="str">
        <f aca="false">IF($A83="","",N($U83)*N($V83))</f>
        <v/>
      </c>
      <c r="X83" s="27"/>
      <c r="Y83" s="31"/>
      <c r="Z83" s="30"/>
      <c r="AA83" s="30" t="str">
        <f aca="false">IF($A83="","",IF($X83="POV",N($Y83)*MileageRate,0)+N($Z83))</f>
        <v/>
      </c>
      <c r="AB83" s="30" t="str">
        <f aca="false">IF(OR($A83="",$P83="",$R83="",$Q83="",$S83=""),"",IF($R83=$P83,($Q83&lt;=T_DepBfast)*($S83&gt;=T_RetBfast)*PD_Bfast+($Q83&lt;=T_DepLunch)*($S83&gt;=T_RetLunch)*PD_Lunch+($Q83&lt;=T_DepDinner)*($S83&gt;=T_RetDinner)*PD_Dinner+PD_Incid,($Q83&lt;=T_DepBfast)*PD_Bfast+($Q83&lt;=T_DepLunch)*PD_Lunch+($Q83&lt;=T_DepDinner)*PD_Dinner+($S83&gt;=T_RetBfast)*PD_Bfast+($S83&gt;=T_RetLunch)*PD_Lunch+($S83&gt;=T_RetDinner)*PD_Dinner+MAX($R83-$P83-1,0)*(PD_Bfast+PD_Lunch+PD_Dinner)+($R83-$P83+1)*PD_Incid))</f>
        <v/>
      </c>
      <c r="AC83" s="30"/>
      <c r="AD83" s="30" t="str">
        <f aca="false">IF($A83="","",N($T83)+N($W83)+N($AA83)+N($AB83)+N($AC83))</f>
        <v/>
      </c>
      <c r="AE83" s="30"/>
      <c r="AF83" s="30"/>
      <c r="AG83" s="30"/>
      <c r="AH83" s="30"/>
      <c r="AI83" s="30"/>
      <c r="AJ83" s="30" t="str">
        <f aca="false">IF($A83="","",IF(COUNT($AE83:$AI83)=0,"",SUM($AE83:$AI83)))</f>
        <v/>
      </c>
      <c r="AK83" s="30"/>
      <c r="AL83" s="30"/>
      <c r="AM83" s="30" t="str">
        <f aca="false">IF(OR($A83="",$AJ83=""),"",$AJ83-N($AK83)-N($AL83))</f>
        <v/>
      </c>
      <c r="AN83" s="28"/>
      <c r="AO83" s="28"/>
      <c r="AP83" s="27"/>
      <c r="AQ83" s="27"/>
      <c r="AR83" s="28" t="str">
        <f aca="false">IF(OR($A83="",$R83=""),"",$R83+ReceiptDays)</f>
        <v/>
      </c>
      <c r="AS83" s="28"/>
      <c r="AT83" s="28" t="str">
        <f aca="false">IF(OR($A83="",$P83=""),"",($P83-FinanceLeadDays)-MOD(($P83-FinanceLeadDays)-DATE(2024,1,2),7))</f>
        <v/>
      </c>
      <c r="AU83" s="28"/>
      <c r="AV83" s="27"/>
      <c r="AW83" s="27"/>
      <c r="AX83" s="30" t="n">
        <f aca="false">IF(OR($A83="",$B83="Denied",$B83="Cancelled"),0,N($AD83))</f>
        <v>0</v>
      </c>
      <c r="AY83" s="30" t="n">
        <f aca="false">IF($A83="",0,N($AJ83))</f>
        <v>0</v>
      </c>
      <c r="AZ83" s="30" t="n">
        <f aca="false">IF(OR($A83="",$B83="Denied",$B83="Cancelled",$B83="Closed"),0,IF(N($AJ83)&gt;0,0,N($AD83)))</f>
        <v>0</v>
      </c>
      <c r="BA83" s="31" t="n">
        <f aca="false">IF($A83="",0,IF($B83="Awaiting Approval",COUNTIF(BA$1:BA82,"&gt;0")+1,0))</f>
        <v>0</v>
      </c>
      <c r="BB83" s="31" t="n">
        <f aca="false">IF($A83="",0,IF(AND($B83="Approved",$AP83&lt;&gt;"Y"),COUNTIF(BB$1:BB82,"&gt;0")+1,0))</f>
        <v>0</v>
      </c>
      <c r="BC83" s="31" t="n">
        <f aca="false">IF($A83="",0,IF(AND($B83="Approved",N($U83)&gt;0,$AQ83&lt;&gt;"Y"),COUNTIF(BC$1:BC82,"&gt;0")+1,0))</f>
        <v>0</v>
      </c>
      <c r="BD83" s="31" t="n">
        <f aca="true">IF($A83="",0,IF(AND($AR83&lt;&gt;"",N($AR83)&lt;TODAY(),$AS83="",$B83&lt;&gt;"Closed",$B83&lt;&gt;"Cancelled",$B83&lt;&gt;"Denied"),COUNTIF(BD$1:BD82,"&gt;0")+1,0))</f>
        <v>0</v>
      </c>
      <c r="BE83" s="31" t="n">
        <f aca="true">IF($A83="",0,IF(AND($AT83&lt;&gt;"",N($AT83)&lt;=TODAY()+7,$AU83="",$B83&lt;&gt;"Denied",$B83&lt;&gt;"Cancelled",$B83&lt;&gt;"Closed"),COUNTIF(BE$1:BE82,"&gt;0")+1,0))</f>
        <v>0</v>
      </c>
      <c r="BF83" s="27"/>
      <c r="BG83" s="27"/>
      <c r="BH83" s="27"/>
      <c r="BI83" s="27"/>
    </row>
    <row r="84" customFormat="false" ht="15" hidden="false" customHeight="false" outlineLevel="0" collapsed="false">
      <c r="A84" s="22"/>
      <c r="B84" s="22"/>
      <c r="C84" s="22"/>
      <c r="D84" s="22"/>
      <c r="E84" s="22"/>
      <c r="F84" s="22"/>
      <c r="G84" s="22"/>
      <c r="H84" s="22"/>
      <c r="I84" s="22"/>
      <c r="J84" s="22"/>
      <c r="K84" s="22"/>
      <c r="L84" s="22"/>
      <c r="M84" s="22"/>
      <c r="N84" s="23"/>
      <c r="O84" s="23"/>
      <c r="P84" s="23"/>
      <c r="Q84" s="24"/>
      <c r="R84" s="23"/>
      <c r="S84" s="24"/>
      <c r="T84" s="25"/>
      <c r="U84" s="26"/>
      <c r="V84" s="25"/>
      <c r="W84" s="25" t="str">
        <f aca="false">IF($A84="","",N($U84)*N($V84))</f>
        <v/>
      </c>
      <c r="X84" s="22"/>
      <c r="Y84" s="26"/>
      <c r="Z84" s="25"/>
      <c r="AA84" s="25" t="str">
        <f aca="false">IF($A84="","",IF($X84="POV",N($Y84)*MileageRate,0)+N($Z84))</f>
        <v/>
      </c>
      <c r="AB84" s="25" t="str">
        <f aca="false">IF(OR($A84="",$P84="",$R84="",$Q84="",$S84=""),"",IF($R84=$P84,($Q84&lt;=T_DepBfast)*($S84&gt;=T_RetBfast)*PD_Bfast+($Q84&lt;=T_DepLunch)*($S84&gt;=T_RetLunch)*PD_Lunch+($Q84&lt;=T_DepDinner)*($S84&gt;=T_RetDinner)*PD_Dinner+PD_Incid,($Q84&lt;=T_DepBfast)*PD_Bfast+($Q84&lt;=T_DepLunch)*PD_Lunch+($Q84&lt;=T_DepDinner)*PD_Dinner+($S84&gt;=T_RetBfast)*PD_Bfast+($S84&gt;=T_RetLunch)*PD_Lunch+($S84&gt;=T_RetDinner)*PD_Dinner+MAX($R84-$P84-1,0)*(PD_Bfast+PD_Lunch+PD_Dinner)+($R84-$P84+1)*PD_Incid))</f>
        <v/>
      </c>
      <c r="AC84" s="25"/>
      <c r="AD84" s="25" t="str">
        <f aca="false">IF($A84="","",N($T84)+N($W84)+N($AA84)+N($AB84)+N($AC84))</f>
        <v/>
      </c>
      <c r="AE84" s="25"/>
      <c r="AF84" s="25"/>
      <c r="AG84" s="25"/>
      <c r="AH84" s="25"/>
      <c r="AI84" s="25"/>
      <c r="AJ84" s="25" t="str">
        <f aca="false">IF($A84="","",IF(COUNT($AE84:$AI84)=0,"",SUM($AE84:$AI84)))</f>
        <v/>
      </c>
      <c r="AK84" s="25"/>
      <c r="AL84" s="25"/>
      <c r="AM84" s="25" t="str">
        <f aca="false">IF(OR($A84="",$AJ84=""),"",$AJ84-N($AK84)-N($AL84))</f>
        <v/>
      </c>
      <c r="AN84" s="23"/>
      <c r="AO84" s="23"/>
      <c r="AP84" s="22"/>
      <c r="AQ84" s="22"/>
      <c r="AR84" s="23" t="str">
        <f aca="false">IF(OR($A84="",$R84=""),"",$R84+ReceiptDays)</f>
        <v/>
      </c>
      <c r="AS84" s="23"/>
      <c r="AT84" s="23" t="str">
        <f aca="false">IF(OR($A84="",$P84=""),"",($P84-FinanceLeadDays)-MOD(($P84-FinanceLeadDays)-DATE(2024,1,2),7))</f>
        <v/>
      </c>
      <c r="AU84" s="23"/>
      <c r="AV84" s="22"/>
      <c r="AW84" s="22"/>
      <c r="AX84" s="25" t="n">
        <f aca="false">IF(OR($A84="",$B84="Denied",$B84="Cancelled"),0,N($AD84))</f>
        <v>0</v>
      </c>
      <c r="AY84" s="25" t="n">
        <f aca="false">IF($A84="",0,N($AJ84))</f>
        <v>0</v>
      </c>
      <c r="AZ84" s="25" t="n">
        <f aca="false">IF(OR($A84="",$B84="Denied",$B84="Cancelled",$B84="Closed"),0,IF(N($AJ84)&gt;0,0,N($AD84)))</f>
        <v>0</v>
      </c>
      <c r="BA84" s="26" t="n">
        <f aca="false">IF($A84="",0,IF($B84="Awaiting Approval",COUNTIF(BA$1:BA83,"&gt;0")+1,0))</f>
        <v>0</v>
      </c>
      <c r="BB84" s="26" t="n">
        <f aca="false">IF($A84="",0,IF(AND($B84="Approved",$AP84&lt;&gt;"Y"),COUNTIF(BB$1:BB83,"&gt;0")+1,0))</f>
        <v>0</v>
      </c>
      <c r="BC84" s="26" t="n">
        <f aca="false">IF($A84="",0,IF(AND($B84="Approved",N($U84)&gt;0,$AQ84&lt;&gt;"Y"),COUNTIF(BC$1:BC83,"&gt;0")+1,0))</f>
        <v>0</v>
      </c>
      <c r="BD84" s="26" t="n">
        <f aca="true">IF($A84="",0,IF(AND($AR84&lt;&gt;"",N($AR84)&lt;TODAY(),$AS84="",$B84&lt;&gt;"Closed",$B84&lt;&gt;"Cancelled",$B84&lt;&gt;"Denied"),COUNTIF(BD$1:BD83,"&gt;0")+1,0))</f>
        <v>0</v>
      </c>
      <c r="BE84" s="26" t="n">
        <f aca="true">IF($A84="",0,IF(AND($AT84&lt;&gt;"",N($AT84)&lt;=TODAY()+7,$AU84="",$B84&lt;&gt;"Denied",$B84&lt;&gt;"Cancelled",$B84&lt;&gt;"Closed"),COUNTIF(BE$1:BE83,"&gt;0")+1,0))</f>
        <v>0</v>
      </c>
      <c r="BF84" s="22"/>
      <c r="BG84" s="22"/>
      <c r="BH84" s="22"/>
      <c r="BI84" s="22"/>
    </row>
    <row r="85" customFormat="false" ht="15" hidden="false" customHeight="false" outlineLevel="0" collapsed="false">
      <c r="A85" s="27"/>
      <c r="B85" s="27"/>
      <c r="C85" s="27"/>
      <c r="D85" s="27"/>
      <c r="E85" s="27"/>
      <c r="F85" s="27"/>
      <c r="G85" s="27"/>
      <c r="H85" s="27"/>
      <c r="I85" s="27"/>
      <c r="J85" s="27"/>
      <c r="K85" s="27"/>
      <c r="L85" s="27"/>
      <c r="M85" s="27"/>
      <c r="N85" s="28"/>
      <c r="O85" s="28"/>
      <c r="P85" s="28"/>
      <c r="Q85" s="29"/>
      <c r="R85" s="28"/>
      <c r="S85" s="29"/>
      <c r="T85" s="30"/>
      <c r="U85" s="31"/>
      <c r="V85" s="30"/>
      <c r="W85" s="30" t="str">
        <f aca="false">IF($A85="","",N($U85)*N($V85))</f>
        <v/>
      </c>
      <c r="X85" s="27"/>
      <c r="Y85" s="31"/>
      <c r="Z85" s="30"/>
      <c r="AA85" s="30" t="str">
        <f aca="false">IF($A85="","",IF($X85="POV",N($Y85)*MileageRate,0)+N($Z85))</f>
        <v/>
      </c>
      <c r="AB85" s="30" t="str">
        <f aca="false">IF(OR($A85="",$P85="",$R85="",$Q85="",$S85=""),"",IF($R85=$P85,($Q85&lt;=T_DepBfast)*($S85&gt;=T_RetBfast)*PD_Bfast+($Q85&lt;=T_DepLunch)*($S85&gt;=T_RetLunch)*PD_Lunch+($Q85&lt;=T_DepDinner)*($S85&gt;=T_RetDinner)*PD_Dinner+PD_Incid,($Q85&lt;=T_DepBfast)*PD_Bfast+($Q85&lt;=T_DepLunch)*PD_Lunch+($Q85&lt;=T_DepDinner)*PD_Dinner+($S85&gt;=T_RetBfast)*PD_Bfast+($S85&gt;=T_RetLunch)*PD_Lunch+($S85&gt;=T_RetDinner)*PD_Dinner+MAX($R85-$P85-1,0)*(PD_Bfast+PD_Lunch+PD_Dinner)+($R85-$P85+1)*PD_Incid))</f>
        <v/>
      </c>
      <c r="AC85" s="30"/>
      <c r="AD85" s="30" t="str">
        <f aca="false">IF($A85="","",N($T85)+N($W85)+N($AA85)+N($AB85)+N($AC85))</f>
        <v/>
      </c>
      <c r="AE85" s="30"/>
      <c r="AF85" s="30"/>
      <c r="AG85" s="30"/>
      <c r="AH85" s="30"/>
      <c r="AI85" s="30"/>
      <c r="AJ85" s="30" t="str">
        <f aca="false">IF($A85="","",IF(COUNT($AE85:$AI85)=0,"",SUM($AE85:$AI85)))</f>
        <v/>
      </c>
      <c r="AK85" s="30"/>
      <c r="AL85" s="30"/>
      <c r="AM85" s="30" t="str">
        <f aca="false">IF(OR($A85="",$AJ85=""),"",$AJ85-N($AK85)-N($AL85))</f>
        <v/>
      </c>
      <c r="AN85" s="28"/>
      <c r="AO85" s="28"/>
      <c r="AP85" s="27"/>
      <c r="AQ85" s="27"/>
      <c r="AR85" s="28" t="str">
        <f aca="false">IF(OR($A85="",$R85=""),"",$R85+ReceiptDays)</f>
        <v/>
      </c>
      <c r="AS85" s="28"/>
      <c r="AT85" s="28" t="str">
        <f aca="false">IF(OR($A85="",$P85=""),"",($P85-FinanceLeadDays)-MOD(($P85-FinanceLeadDays)-DATE(2024,1,2),7))</f>
        <v/>
      </c>
      <c r="AU85" s="28"/>
      <c r="AV85" s="27"/>
      <c r="AW85" s="27"/>
      <c r="AX85" s="30" t="n">
        <f aca="false">IF(OR($A85="",$B85="Denied",$B85="Cancelled"),0,N($AD85))</f>
        <v>0</v>
      </c>
      <c r="AY85" s="30" t="n">
        <f aca="false">IF($A85="",0,N($AJ85))</f>
        <v>0</v>
      </c>
      <c r="AZ85" s="30" t="n">
        <f aca="false">IF(OR($A85="",$B85="Denied",$B85="Cancelled",$B85="Closed"),0,IF(N($AJ85)&gt;0,0,N($AD85)))</f>
        <v>0</v>
      </c>
      <c r="BA85" s="31" t="n">
        <f aca="false">IF($A85="",0,IF($B85="Awaiting Approval",COUNTIF(BA$1:BA84,"&gt;0")+1,0))</f>
        <v>0</v>
      </c>
      <c r="BB85" s="31" t="n">
        <f aca="false">IF($A85="",0,IF(AND($B85="Approved",$AP85&lt;&gt;"Y"),COUNTIF(BB$1:BB84,"&gt;0")+1,0))</f>
        <v>0</v>
      </c>
      <c r="BC85" s="31" t="n">
        <f aca="false">IF($A85="",0,IF(AND($B85="Approved",N($U85)&gt;0,$AQ85&lt;&gt;"Y"),COUNTIF(BC$1:BC84,"&gt;0")+1,0))</f>
        <v>0</v>
      </c>
      <c r="BD85" s="31" t="n">
        <f aca="true">IF($A85="",0,IF(AND($AR85&lt;&gt;"",N($AR85)&lt;TODAY(),$AS85="",$B85&lt;&gt;"Closed",$B85&lt;&gt;"Cancelled",$B85&lt;&gt;"Denied"),COUNTIF(BD$1:BD84,"&gt;0")+1,0))</f>
        <v>0</v>
      </c>
      <c r="BE85" s="31" t="n">
        <f aca="true">IF($A85="",0,IF(AND($AT85&lt;&gt;"",N($AT85)&lt;=TODAY()+7,$AU85="",$B85&lt;&gt;"Denied",$B85&lt;&gt;"Cancelled",$B85&lt;&gt;"Closed"),COUNTIF(BE$1:BE84,"&gt;0")+1,0))</f>
        <v>0</v>
      </c>
      <c r="BF85" s="27"/>
      <c r="BG85" s="27"/>
      <c r="BH85" s="27"/>
      <c r="BI85" s="27"/>
    </row>
    <row r="86" customFormat="false" ht="15" hidden="false" customHeight="false" outlineLevel="0" collapsed="false">
      <c r="A86" s="22"/>
      <c r="B86" s="22"/>
      <c r="C86" s="22"/>
      <c r="D86" s="22"/>
      <c r="E86" s="22"/>
      <c r="F86" s="22"/>
      <c r="G86" s="22"/>
      <c r="H86" s="22"/>
      <c r="I86" s="22"/>
      <c r="J86" s="22"/>
      <c r="K86" s="22"/>
      <c r="L86" s="22"/>
      <c r="M86" s="22"/>
      <c r="N86" s="23"/>
      <c r="O86" s="23"/>
      <c r="P86" s="23"/>
      <c r="Q86" s="24"/>
      <c r="R86" s="23"/>
      <c r="S86" s="24"/>
      <c r="T86" s="25"/>
      <c r="U86" s="26"/>
      <c r="V86" s="25"/>
      <c r="W86" s="25" t="str">
        <f aca="false">IF($A86="","",N($U86)*N($V86))</f>
        <v/>
      </c>
      <c r="X86" s="22"/>
      <c r="Y86" s="26"/>
      <c r="Z86" s="25"/>
      <c r="AA86" s="25" t="str">
        <f aca="false">IF($A86="","",IF($X86="POV",N($Y86)*MileageRate,0)+N($Z86))</f>
        <v/>
      </c>
      <c r="AB86" s="25" t="str">
        <f aca="false">IF(OR($A86="",$P86="",$R86="",$Q86="",$S86=""),"",IF($R86=$P86,($Q86&lt;=T_DepBfast)*($S86&gt;=T_RetBfast)*PD_Bfast+($Q86&lt;=T_DepLunch)*($S86&gt;=T_RetLunch)*PD_Lunch+($Q86&lt;=T_DepDinner)*($S86&gt;=T_RetDinner)*PD_Dinner+PD_Incid,($Q86&lt;=T_DepBfast)*PD_Bfast+($Q86&lt;=T_DepLunch)*PD_Lunch+($Q86&lt;=T_DepDinner)*PD_Dinner+($S86&gt;=T_RetBfast)*PD_Bfast+($S86&gt;=T_RetLunch)*PD_Lunch+($S86&gt;=T_RetDinner)*PD_Dinner+MAX($R86-$P86-1,0)*(PD_Bfast+PD_Lunch+PD_Dinner)+($R86-$P86+1)*PD_Incid))</f>
        <v/>
      </c>
      <c r="AC86" s="25"/>
      <c r="AD86" s="25" t="str">
        <f aca="false">IF($A86="","",N($T86)+N($W86)+N($AA86)+N($AB86)+N($AC86))</f>
        <v/>
      </c>
      <c r="AE86" s="25"/>
      <c r="AF86" s="25"/>
      <c r="AG86" s="25"/>
      <c r="AH86" s="25"/>
      <c r="AI86" s="25"/>
      <c r="AJ86" s="25" t="str">
        <f aca="false">IF($A86="","",IF(COUNT($AE86:$AI86)=0,"",SUM($AE86:$AI86)))</f>
        <v/>
      </c>
      <c r="AK86" s="25"/>
      <c r="AL86" s="25"/>
      <c r="AM86" s="25" t="str">
        <f aca="false">IF(OR($A86="",$AJ86=""),"",$AJ86-N($AK86)-N($AL86))</f>
        <v/>
      </c>
      <c r="AN86" s="23"/>
      <c r="AO86" s="23"/>
      <c r="AP86" s="22"/>
      <c r="AQ86" s="22"/>
      <c r="AR86" s="23" t="str">
        <f aca="false">IF(OR($A86="",$R86=""),"",$R86+ReceiptDays)</f>
        <v/>
      </c>
      <c r="AS86" s="23"/>
      <c r="AT86" s="23" t="str">
        <f aca="false">IF(OR($A86="",$P86=""),"",($P86-FinanceLeadDays)-MOD(($P86-FinanceLeadDays)-DATE(2024,1,2),7))</f>
        <v/>
      </c>
      <c r="AU86" s="23"/>
      <c r="AV86" s="22"/>
      <c r="AW86" s="22"/>
      <c r="AX86" s="25" t="n">
        <f aca="false">IF(OR($A86="",$B86="Denied",$B86="Cancelled"),0,N($AD86))</f>
        <v>0</v>
      </c>
      <c r="AY86" s="25" t="n">
        <f aca="false">IF($A86="",0,N($AJ86))</f>
        <v>0</v>
      </c>
      <c r="AZ86" s="25" t="n">
        <f aca="false">IF(OR($A86="",$B86="Denied",$B86="Cancelled",$B86="Closed"),0,IF(N($AJ86)&gt;0,0,N($AD86)))</f>
        <v>0</v>
      </c>
      <c r="BA86" s="26" t="n">
        <f aca="false">IF($A86="",0,IF($B86="Awaiting Approval",COUNTIF(BA$1:BA85,"&gt;0")+1,0))</f>
        <v>0</v>
      </c>
      <c r="BB86" s="26" t="n">
        <f aca="false">IF($A86="",0,IF(AND($B86="Approved",$AP86&lt;&gt;"Y"),COUNTIF(BB$1:BB85,"&gt;0")+1,0))</f>
        <v>0</v>
      </c>
      <c r="BC86" s="26" t="n">
        <f aca="false">IF($A86="",0,IF(AND($B86="Approved",N($U86)&gt;0,$AQ86&lt;&gt;"Y"),COUNTIF(BC$1:BC85,"&gt;0")+1,0))</f>
        <v>0</v>
      </c>
      <c r="BD86" s="26" t="n">
        <f aca="true">IF($A86="",0,IF(AND($AR86&lt;&gt;"",N($AR86)&lt;TODAY(),$AS86="",$B86&lt;&gt;"Closed",$B86&lt;&gt;"Cancelled",$B86&lt;&gt;"Denied"),COUNTIF(BD$1:BD85,"&gt;0")+1,0))</f>
        <v>0</v>
      </c>
      <c r="BE86" s="26" t="n">
        <f aca="true">IF($A86="",0,IF(AND($AT86&lt;&gt;"",N($AT86)&lt;=TODAY()+7,$AU86="",$B86&lt;&gt;"Denied",$B86&lt;&gt;"Cancelled",$B86&lt;&gt;"Closed"),COUNTIF(BE$1:BE85,"&gt;0")+1,0))</f>
        <v>0</v>
      </c>
      <c r="BF86" s="22"/>
      <c r="BG86" s="22"/>
      <c r="BH86" s="22"/>
      <c r="BI86" s="22"/>
    </row>
    <row r="87" customFormat="false" ht="15" hidden="false" customHeight="false" outlineLevel="0" collapsed="false">
      <c r="A87" s="27"/>
      <c r="B87" s="27"/>
      <c r="C87" s="27"/>
      <c r="D87" s="27"/>
      <c r="E87" s="27"/>
      <c r="F87" s="27"/>
      <c r="G87" s="27"/>
      <c r="H87" s="27"/>
      <c r="I87" s="27"/>
      <c r="J87" s="27"/>
      <c r="K87" s="27"/>
      <c r="L87" s="27"/>
      <c r="M87" s="27"/>
      <c r="N87" s="28"/>
      <c r="O87" s="28"/>
      <c r="P87" s="28"/>
      <c r="Q87" s="29"/>
      <c r="R87" s="28"/>
      <c r="S87" s="29"/>
      <c r="T87" s="30"/>
      <c r="U87" s="31"/>
      <c r="V87" s="30"/>
      <c r="W87" s="30" t="str">
        <f aca="false">IF($A87="","",N($U87)*N($V87))</f>
        <v/>
      </c>
      <c r="X87" s="27"/>
      <c r="Y87" s="31"/>
      <c r="Z87" s="30"/>
      <c r="AA87" s="30" t="str">
        <f aca="false">IF($A87="","",IF($X87="POV",N($Y87)*MileageRate,0)+N($Z87))</f>
        <v/>
      </c>
      <c r="AB87" s="30" t="str">
        <f aca="false">IF(OR($A87="",$P87="",$R87="",$Q87="",$S87=""),"",IF($R87=$P87,($Q87&lt;=T_DepBfast)*($S87&gt;=T_RetBfast)*PD_Bfast+($Q87&lt;=T_DepLunch)*($S87&gt;=T_RetLunch)*PD_Lunch+($Q87&lt;=T_DepDinner)*($S87&gt;=T_RetDinner)*PD_Dinner+PD_Incid,($Q87&lt;=T_DepBfast)*PD_Bfast+($Q87&lt;=T_DepLunch)*PD_Lunch+($Q87&lt;=T_DepDinner)*PD_Dinner+($S87&gt;=T_RetBfast)*PD_Bfast+($S87&gt;=T_RetLunch)*PD_Lunch+($S87&gt;=T_RetDinner)*PD_Dinner+MAX($R87-$P87-1,0)*(PD_Bfast+PD_Lunch+PD_Dinner)+($R87-$P87+1)*PD_Incid))</f>
        <v/>
      </c>
      <c r="AC87" s="30"/>
      <c r="AD87" s="30" t="str">
        <f aca="false">IF($A87="","",N($T87)+N($W87)+N($AA87)+N($AB87)+N($AC87))</f>
        <v/>
      </c>
      <c r="AE87" s="30"/>
      <c r="AF87" s="30"/>
      <c r="AG87" s="30"/>
      <c r="AH87" s="30"/>
      <c r="AI87" s="30"/>
      <c r="AJ87" s="30" t="str">
        <f aca="false">IF($A87="","",IF(COUNT($AE87:$AI87)=0,"",SUM($AE87:$AI87)))</f>
        <v/>
      </c>
      <c r="AK87" s="30"/>
      <c r="AL87" s="30"/>
      <c r="AM87" s="30" t="str">
        <f aca="false">IF(OR($A87="",$AJ87=""),"",$AJ87-N($AK87)-N($AL87))</f>
        <v/>
      </c>
      <c r="AN87" s="28"/>
      <c r="AO87" s="28"/>
      <c r="AP87" s="27"/>
      <c r="AQ87" s="27"/>
      <c r="AR87" s="28" t="str">
        <f aca="false">IF(OR($A87="",$R87=""),"",$R87+ReceiptDays)</f>
        <v/>
      </c>
      <c r="AS87" s="28"/>
      <c r="AT87" s="28" t="str">
        <f aca="false">IF(OR($A87="",$P87=""),"",($P87-FinanceLeadDays)-MOD(($P87-FinanceLeadDays)-DATE(2024,1,2),7))</f>
        <v/>
      </c>
      <c r="AU87" s="28"/>
      <c r="AV87" s="27"/>
      <c r="AW87" s="27"/>
      <c r="AX87" s="30" t="n">
        <f aca="false">IF(OR($A87="",$B87="Denied",$B87="Cancelled"),0,N($AD87))</f>
        <v>0</v>
      </c>
      <c r="AY87" s="30" t="n">
        <f aca="false">IF($A87="",0,N($AJ87))</f>
        <v>0</v>
      </c>
      <c r="AZ87" s="30" t="n">
        <f aca="false">IF(OR($A87="",$B87="Denied",$B87="Cancelled",$B87="Closed"),0,IF(N($AJ87)&gt;0,0,N($AD87)))</f>
        <v>0</v>
      </c>
      <c r="BA87" s="31" t="n">
        <f aca="false">IF($A87="",0,IF($B87="Awaiting Approval",COUNTIF(BA$1:BA86,"&gt;0")+1,0))</f>
        <v>0</v>
      </c>
      <c r="BB87" s="31" t="n">
        <f aca="false">IF($A87="",0,IF(AND($B87="Approved",$AP87&lt;&gt;"Y"),COUNTIF(BB$1:BB86,"&gt;0")+1,0))</f>
        <v>0</v>
      </c>
      <c r="BC87" s="31" t="n">
        <f aca="false">IF($A87="",0,IF(AND($B87="Approved",N($U87)&gt;0,$AQ87&lt;&gt;"Y"),COUNTIF(BC$1:BC86,"&gt;0")+1,0))</f>
        <v>0</v>
      </c>
      <c r="BD87" s="31" t="n">
        <f aca="true">IF($A87="",0,IF(AND($AR87&lt;&gt;"",N($AR87)&lt;TODAY(),$AS87="",$B87&lt;&gt;"Closed",$B87&lt;&gt;"Cancelled",$B87&lt;&gt;"Denied"),COUNTIF(BD$1:BD86,"&gt;0")+1,0))</f>
        <v>0</v>
      </c>
      <c r="BE87" s="31" t="n">
        <f aca="true">IF($A87="",0,IF(AND($AT87&lt;&gt;"",N($AT87)&lt;=TODAY()+7,$AU87="",$B87&lt;&gt;"Denied",$B87&lt;&gt;"Cancelled",$B87&lt;&gt;"Closed"),COUNTIF(BE$1:BE86,"&gt;0")+1,0))</f>
        <v>0</v>
      </c>
      <c r="BF87" s="27"/>
      <c r="BG87" s="27"/>
      <c r="BH87" s="27"/>
      <c r="BI87" s="27"/>
    </row>
    <row r="88" customFormat="false" ht="15" hidden="false" customHeight="false" outlineLevel="0" collapsed="false">
      <c r="A88" s="22"/>
      <c r="B88" s="22"/>
      <c r="C88" s="22"/>
      <c r="D88" s="22"/>
      <c r="E88" s="22"/>
      <c r="F88" s="22"/>
      <c r="G88" s="22"/>
      <c r="H88" s="22"/>
      <c r="I88" s="22"/>
      <c r="J88" s="22"/>
      <c r="K88" s="22"/>
      <c r="L88" s="22"/>
      <c r="M88" s="22"/>
      <c r="N88" s="23"/>
      <c r="O88" s="23"/>
      <c r="P88" s="23"/>
      <c r="Q88" s="24"/>
      <c r="R88" s="23"/>
      <c r="S88" s="24"/>
      <c r="T88" s="25"/>
      <c r="U88" s="26"/>
      <c r="V88" s="25"/>
      <c r="W88" s="25" t="str">
        <f aca="false">IF($A88="","",N($U88)*N($V88))</f>
        <v/>
      </c>
      <c r="X88" s="22"/>
      <c r="Y88" s="26"/>
      <c r="Z88" s="25"/>
      <c r="AA88" s="25" t="str">
        <f aca="false">IF($A88="","",IF($X88="POV",N($Y88)*MileageRate,0)+N($Z88))</f>
        <v/>
      </c>
      <c r="AB88" s="25" t="str">
        <f aca="false">IF(OR($A88="",$P88="",$R88="",$Q88="",$S88=""),"",IF($R88=$P88,($Q88&lt;=T_DepBfast)*($S88&gt;=T_RetBfast)*PD_Bfast+($Q88&lt;=T_DepLunch)*($S88&gt;=T_RetLunch)*PD_Lunch+($Q88&lt;=T_DepDinner)*($S88&gt;=T_RetDinner)*PD_Dinner+PD_Incid,($Q88&lt;=T_DepBfast)*PD_Bfast+($Q88&lt;=T_DepLunch)*PD_Lunch+($Q88&lt;=T_DepDinner)*PD_Dinner+($S88&gt;=T_RetBfast)*PD_Bfast+($S88&gt;=T_RetLunch)*PD_Lunch+($S88&gt;=T_RetDinner)*PD_Dinner+MAX($R88-$P88-1,0)*(PD_Bfast+PD_Lunch+PD_Dinner)+($R88-$P88+1)*PD_Incid))</f>
        <v/>
      </c>
      <c r="AC88" s="25"/>
      <c r="AD88" s="25" t="str">
        <f aca="false">IF($A88="","",N($T88)+N($W88)+N($AA88)+N($AB88)+N($AC88))</f>
        <v/>
      </c>
      <c r="AE88" s="25"/>
      <c r="AF88" s="25"/>
      <c r="AG88" s="25"/>
      <c r="AH88" s="25"/>
      <c r="AI88" s="25"/>
      <c r="AJ88" s="25" t="str">
        <f aca="false">IF($A88="","",IF(COUNT($AE88:$AI88)=0,"",SUM($AE88:$AI88)))</f>
        <v/>
      </c>
      <c r="AK88" s="25"/>
      <c r="AL88" s="25"/>
      <c r="AM88" s="25" t="str">
        <f aca="false">IF(OR($A88="",$AJ88=""),"",$AJ88-N($AK88)-N($AL88))</f>
        <v/>
      </c>
      <c r="AN88" s="23"/>
      <c r="AO88" s="23"/>
      <c r="AP88" s="22"/>
      <c r="AQ88" s="22"/>
      <c r="AR88" s="23" t="str">
        <f aca="false">IF(OR($A88="",$R88=""),"",$R88+ReceiptDays)</f>
        <v/>
      </c>
      <c r="AS88" s="23"/>
      <c r="AT88" s="23" t="str">
        <f aca="false">IF(OR($A88="",$P88=""),"",($P88-FinanceLeadDays)-MOD(($P88-FinanceLeadDays)-DATE(2024,1,2),7))</f>
        <v/>
      </c>
      <c r="AU88" s="23"/>
      <c r="AV88" s="22"/>
      <c r="AW88" s="22"/>
      <c r="AX88" s="25" t="n">
        <f aca="false">IF(OR($A88="",$B88="Denied",$B88="Cancelled"),0,N($AD88))</f>
        <v>0</v>
      </c>
      <c r="AY88" s="25" t="n">
        <f aca="false">IF($A88="",0,N($AJ88))</f>
        <v>0</v>
      </c>
      <c r="AZ88" s="25" t="n">
        <f aca="false">IF(OR($A88="",$B88="Denied",$B88="Cancelled",$B88="Closed"),0,IF(N($AJ88)&gt;0,0,N($AD88)))</f>
        <v>0</v>
      </c>
      <c r="BA88" s="26" t="n">
        <f aca="false">IF($A88="",0,IF($B88="Awaiting Approval",COUNTIF(BA$1:BA87,"&gt;0")+1,0))</f>
        <v>0</v>
      </c>
      <c r="BB88" s="26" t="n">
        <f aca="false">IF($A88="",0,IF(AND($B88="Approved",$AP88&lt;&gt;"Y"),COUNTIF(BB$1:BB87,"&gt;0")+1,0))</f>
        <v>0</v>
      </c>
      <c r="BC88" s="26" t="n">
        <f aca="false">IF($A88="",0,IF(AND($B88="Approved",N($U88)&gt;0,$AQ88&lt;&gt;"Y"),COUNTIF(BC$1:BC87,"&gt;0")+1,0))</f>
        <v>0</v>
      </c>
      <c r="BD88" s="26" t="n">
        <f aca="true">IF($A88="",0,IF(AND($AR88&lt;&gt;"",N($AR88)&lt;TODAY(),$AS88="",$B88&lt;&gt;"Closed",$B88&lt;&gt;"Cancelled",$B88&lt;&gt;"Denied"),COUNTIF(BD$1:BD87,"&gt;0")+1,0))</f>
        <v>0</v>
      </c>
      <c r="BE88" s="26" t="n">
        <f aca="true">IF($A88="",0,IF(AND($AT88&lt;&gt;"",N($AT88)&lt;=TODAY()+7,$AU88="",$B88&lt;&gt;"Denied",$B88&lt;&gt;"Cancelled",$B88&lt;&gt;"Closed"),COUNTIF(BE$1:BE87,"&gt;0")+1,0))</f>
        <v>0</v>
      </c>
      <c r="BF88" s="22"/>
      <c r="BG88" s="22"/>
      <c r="BH88" s="22"/>
      <c r="BI88" s="22"/>
    </row>
    <row r="89" customFormat="false" ht="15" hidden="false" customHeight="false" outlineLevel="0" collapsed="false">
      <c r="A89" s="27"/>
      <c r="B89" s="27"/>
      <c r="C89" s="27"/>
      <c r="D89" s="27"/>
      <c r="E89" s="27"/>
      <c r="F89" s="27"/>
      <c r="G89" s="27"/>
      <c r="H89" s="27"/>
      <c r="I89" s="27"/>
      <c r="J89" s="27"/>
      <c r="K89" s="27"/>
      <c r="L89" s="27"/>
      <c r="M89" s="27"/>
      <c r="N89" s="28"/>
      <c r="O89" s="28"/>
      <c r="P89" s="28"/>
      <c r="Q89" s="29"/>
      <c r="R89" s="28"/>
      <c r="S89" s="29"/>
      <c r="T89" s="30"/>
      <c r="U89" s="31"/>
      <c r="V89" s="30"/>
      <c r="W89" s="30" t="str">
        <f aca="false">IF($A89="","",N($U89)*N($V89))</f>
        <v/>
      </c>
      <c r="X89" s="27"/>
      <c r="Y89" s="31"/>
      <c r="Z89" s="30"/>
      <c r="AA89" s="30" t="str">
        <f aca="false">IF($A89="","",IF($X89="POV",N($Y89)*MileageRate,0)+N($Z89))</f>
        <v/>
      </c>
      <c r="AB89" s="30" t="str">
        <f aca="false">IF(OR($A89="",$P89="",$R89="",$Q89="",$S89=""),"",IF($R89=$P89,($Q89&lt;=T_DepBfast)*($S89&gt;=T_RetBfast)*PD_Bfast+($Q89&lt;=T_DepLunch)*($S89&gt;=T_RetLunch)*PD_Lunch+($Q89&lt;=T_DepDinner)*($S89&gt;=T_RetDinner)*PD_Dinner+PD_Incid,($Q89&lt;=T_DepBfast)*PD_Bfast+($Q89&lt;=T_DepLunch)*PD_Lunch+($Q89&lt;=T_DepDinner)*PD_Dinner+($S89&gt;=T_RetBfast)*PD_Bfast+($S89&gt;=T_RetLunch)*PD_Lunch+($S89&gt;=T_RetDinner)*PD_Dinner+MAX($R89-$P89-1,0)*(PD_Bfast+PD_Lunch+PD_Dinner)+($R89-$P89+1)*PD_Incid))</f>
        <v/>
      </c>
      <c r="AC89" s="30"/>
      <c r="AD89" s="30" t="str">
        <f aca="false">IF($A89="","",N($T89)+N($W89)+N($AA89)+N($AB89)+N($AC89))</f>
        <v/>
      </c>
      <c r="AE89" s="30"/>
      <c r="AF89" s="30"/>
      <c r="AG89" s="30"/>
      <c r="AH89" s="30"/>
      <c r="AI89" s="30"/>
      <c r="AJ89" s="30" t="str">
        <f aca="false">IF($A89="","",IF(COUNT($AE89:$AI89)=0,"",SUM($AE89:$AI89)))</f>
        <v/>
      </c>
      <c r="AK89" s="30"/>
      <c r="AL89" s="30"/>
      <c r="AM89" s="30" t="str">
        <f aca="false">IF(OR($A89="",$AJ89=""),"",$AJ89-N($AK89)-N($AL89))</f>
        <v/>
      </c>
      <c r="AN89" s="28"/>
      <c r="AO89" s="28"/>
      <c r="AP89" s="27"/>
      <c r="AQ89" s="27"/>
      <c r="AR89" s="28" t="str">
        <f aca="false">IF(OR($A89="",$R89=""),"",$R89+ReceiptDays)</f>
        <v/>
      </c>
      <c r="AS89" s="28"/>
      <c r="AT89" s="28" t="str">
        <f aca="false">IF(OR($A89="",$P89=""),"",($P89-FinanceLeadDays)-MOD(($P89-FinanceLeadDays)-DATE(2024,1,2),7))</f>
        <v/>
      </c>
      <c r="AU89" s="28"/>
      <c r="AV89" s="27"/>
      <c r="AW89" s="27"/>
      <c r="AX89" s="30" t="n">
        <f aca="false">IF(OR($A89="",$B89="Denied",$B89="Cancelled"),0,N($AD89))</f>
        <v>0</v>
      </c>
      <c r="AY89" s="30" t="n">
        <f aca="false">IF($A89="",0,N($AJ89))</f>
        <v>0</v>
      </c>
      <c r="AZ89" s="30" t="n">
        <f aca="false">IF(OR($A89="",$B89="Denied",$B89="Cancelled",$B89="Closed"),0,IF(N($AJ89)&gt;0,0,N($AD89)))</f>
        <v>0</v>
      </c>
      <c r="BA89" s="31" t="n">
        <f aca="false">IF($A89="",0,IF($B89="Awaiting Approval",COUNTIF(BA$1:BA88,"&gt;0")+1,0))</f>
        <v>0</v>
      </c>
      <c r="BB89" s="31" t="n">
        <f aca="false">IF($A89="",0,IF(AND($B89="Approved",$AP89&lt;&gt;"Y"),COUNTIF(BB$1:BB88,"&gt;0")+1,0))</f>
        <v>0</v>
      </c>
      <c r="BC89" s="31" t="n">
        <f aca="false">IF($A89="",0,IF(AND($B89="Approved",N($U89)&gt;0,$AQ89&lt;&gt;"Y"),COUNTIF(BC$1:BC88,"&gt;0")+1,0))</f>
        <v>0</v>
      </c>
      <c r="BD89" s="31" t="n">
        <f aca="true">IF($A89="",0,IF(AND($AR89&lt;&gt;"",N($AR89)&lt;TODAY(),$AS89="",$B89&lt;&gt;"Closed",$B89&lt;&gt;"Cancelled",$B89&lt;&gt;"Denied"),COUNTIF(BD$1:BD88,"&gt;0")+1,0))</f>
        <v>0</v>
      </c>
      <c r="BE89" s="31" t="n">
        <f aca="true">IF($A89="",0,IF(AND($AT89&lt;&gt;"",N($AT89)&lt;=TODAY()+7,$AU89="",$B89&lt;&gt;"Denied",$B89&lt;&gt;"Cancelled",$B89&lt;&gt;"Closed"),COUNTIF(BE$1:BE88,"&gt;0")+1,0))</f>
        <v>0</v>
      </c>
      <c r="BF89" s="27"/>
      <c r="BG89" s="27"/>
      <c r="BH89" s="27"/>
      <c r="BI89" s="27"/>
    </row>
    <row r="90" customFormat="false" ht="15" hidden="false" customHeight="false" outlineLevel="0" collapsed="false">
      <c r="A90" s="22"/>
      <c r="B90" s="22"/>
      <c r="C90" s="22"/>
      <c r="D90" s="22"/>
      <c r="E90" s="22"/>
      <c r="F90" s="22"/>
      <c r="G90" s="22"/>
      <c r="H90" s="22"/>
      <c r="I90" s="22"/>
      <c r="J90" s="22"/>
      <c r="K90" s="22"/>
      <c r="L90" s="22"/>
      <c r="M90" s="22"/>
      <c r="N90" s="23"/>
      <c r="O90" s="23"/>
      <c r="P90" s="23"/>
      <c r="Q90" s="24"/>
      <c r="R90" s="23"/>
      <c r="S90" s="24"/>
      <c r="T90" s="25"/>
      <c r="U90" s="26"/>
      <c r="V90" s="25"/>
      <c r="W90" s="25" t="str">
        <f aca="false">IF($A90="","",N($U90)*N($V90))</f>
        <v/>
      </c>
      <c r="X90" s="22"/>
      <c r="Y90" s="26"/>
      <c r="Z90" s="25"/>
      <c r="AA90" s="25" t="str">
        <f aca="false">IF($A90="","",IF($X90="POV",N($Y90)*MileageRate,0)+N($Z90))</f>
        <v/>
      </c>
      <c r="AB90" s="25" t="str">
        <f aca="false">IF(OR($A90="",$P90="",$R90="",$Q90="",$S90=""),"",IF($R90=$P90,($Q90&lt;=T_DepBfast)*($S90&gt;=T_RetBfast)*PD_Bfast+($Q90&lt;=T_DepLunch)*($S90&gt;=T_RetLunch)*PD_Lunch+($Q90&lt;=T_DepDinner)*($S90&gt;=T_RetDinner)*PD_Dinner+PD_Incid,($Q90&lt;=T_DepBfast)*PD_Bfast+($Q90&lt;=T_DepLunch)*PD_Lunch+($Q90&lt;=T_DepDinner)*PD_Dinner+($S90&gt;=T_RetBfast)*PD_Bfast+($S90&gt;=T_RetLunch)*PD_Lunch+($S90&gt;=T_RetDinner)*PD_Dinner+MAX($R90-$P90-1,0)*(PD_Bfast+PD_Lunch+PD_Dinner)+($R90-$P90+1)*PD_Incid))</f>
        <v/>
      </c>
      <c r="AC90" s="25"/>
      <c r="AD90" s="25" t="str">
        <f aca="false">IF($A90="","",N($T90)+N($W90)+N($AA90)+N($AB90)+N($AC90))</f>
        <v/>
      </c>
      <c r="AE90" s="25"/>
      <c r="AF90" s="25"/>
      <c r="AG90" s="25"/>
      <c r="AH90" s="25"/>
      <c r="AI90" s="25"/>
      <c r="AJ90" s="25" t="str">
        <f aca="false">IF($A90="","",IF(COUNT($AE90:$AI90)=0,"",SUM($AE90:$AI90)))</f>
        <v/>
      </c>
      <c r="AK90" s="25"/>
      <c r="AL90" s="25"/>
      <c r="AM90" s="25" t="str">
        <f aca="false">IF(OR($A90="",$AJ90=""),"",$AJ90-N($AK90)-N($AL90))</f>
        <v/>
      </c>
      <c r="AN90" s="23"/>
      <c r="AO90" s="23"/>
      <c r="AP90" s="22"/>
      <c r="AQ90" s="22"/>
      <c r="AR90" s="23" t="str">
        <f aca="false">IF(OR($A90="",$R90=""),"",$R90+ReceiptDays)</f>
        <v/>
      </c>
      <c r="AS90" s="23"/>
      <c r="AT90" s="23" t="str">
        <f aca="false">IF(OR($A90="",$P90=""),"",($P90-FinanceLeadDays)-MOD(($P90-FinanceLeadDays)-DATE(2024,1,2),7))</f>
        <v/>
      </c>
      <c r="AU90" s="23"/>
      <c r="AV90" s="22"/>
      <c r="AW90" s="22"/>
      <c r="AX90" s="25" t="n">
        <f aca="false">IF(OR($A90="",$B90="Denied",$B90="Cancelled"),0,N($AD90))</f>
        <v>0</v>
      </c>
      <c r="AY90" s="25" t="n">
        <f aca="false">IF($A90="",0,N($AJ90))</f>
        <v>0</v>
      </c>
      <c r="AZ90" s="25" t="n">
        <f aca="false">IF(OR($A90="",$B90="Denied",$B90="Cancelled",$B90="Closed"),0,IF(N($AJ90)&gt;0,0,N($AD90)))</f>
        <v>0</v>
      </c>
      <c r="BA90" s="26" t="n">
        <f aca="false">IF($A90="",0,IF($B90="Awaiting Approval",COUNTIF(BA$1:BA89,"&gt;0")+1,0))</f>
        <v>0</v>
      </c>
      <c r="BB90" s="26" t="n">
        <f aca="false">IF($A90="",0,IF(AND($B90="Approved",$AP90&lt;&gt;"Y"),COUNTIF(BB$1:BB89,"&gt;0")+1,0))</f>
        <v>0</v>
      </c>
      <c r="BC90" s="26" t="n">
        <f aca="false">IF($A90="",0,IF(AND($B90="Approved",N($U90)&gt;0,$AQ90&lt;&gt;"Y"),COUNTIF(BC$1:BC89,"&gt;0")+1,0))</f>
        <v>0</v>
      </c>
      <c r="BD90" s="26" t="n">
        <f aca="true">IF($A90="",0,IF(AND($AR90&lt;&gt;"",N($AR90)&lt;TODAY(),$AS90="",$B90&lt;&gt;"Closed",$B90&lt;&gt;"Cancelled",$B90&lt;&gt;"Denied"),COUNTIF(BD$1:BD89,"&gt;0")+1,0))</f>
        <v>0</v>
      </c>
      <c r="BE90" s="26" t="n">
        <f aca="true">IF($A90="",0,IF(AND($AT90&lt;&gt;"",N($AT90)&lt;=TODAY()+7,$AU90="",$B90&lt;&gt;"Denied",$B90&lt;&gt;"Cancelled",$B90&lt;&gt;"Closed"),COUNTIF(BE$1:BE89,"&gt;0")+1,0))</f>
        <v>0</v>
      </c>
      <c r="BF90" s="22"/>
      <c r="BG90" s="22"/>
      <c r="BH90" s="22"/>
      <c r="BI90" s="22"/>
    </row>
    <row r="91" customFormat="false" ht="15" hidden="false" customHeight="false" outlineLevel="0" collapsed="false">
      <c r="A91" s="27"/>
      <c r="B91" s="27"/>
      <c r="C91" s="27"/>
      <c r="D91" s="27"/>
      <c r="E91" s="27"/>
      <c r="F91" s="27"/>
      <c r="G91" s="27"/>
      <c r="H91" s="27"/>
      <c r="I91" s="27"/>
      <c r="J91" s="27"/>
      <c r="K91" s="27"/>
      <c r="L91" s="27"/>
      <c r="M91" s="27"/>
      <c r="N91" s="28"/>
      <c r="O91" s="28"/>
      <c r="P91" s="28"/>
      <c r="Q91" s="29"/>
      <c r="R91" s="28"/>
      <c r="S91" s="29"/>
      <c r="T91" s="30"/>
      <c r="U91" s="31"/>
      <c r="V91" s="30"/>
      <c r="W91" s="30" t="str">
        <f aca="false">IF($A91="","",N($U91)*N($V91))</f>
        <v/>
      </c>
      <c r="X91" s="27"/>
      <c r="Y91" s="31"/>
      <c r="Z91" s="30"/>
      <c r="AA91" s="30" t="str">
        <f aca="false">IF($A91="","",IF($X91="POV",N($Y91)*MileageRate,0)+N($Z91))</f>
        <v/>
      </c>
      <c r="AB91" s="30" t="str">
        <f aca="false">IF(OR($A91="",$P91="",$R91="",$Q91="",$S91=""),"",IF($R91=$P91,($Q91&lt;=T_DepBfast)*($S91&gt;=T_RetBfast)*PD_Bfast+($Q91&lt;=T_DepLunch)*($S91&gt;=T_RetLunch)*PD_Lunch+($Q91&lt;=T_DepDinner)*($S91&gt;=T_RetDinner)*PD_Dinner+PD_Incid,($Q91&lt;=T_DepBfast)*PD_Bfast+($Q91&lt;=T_DepLunch)*PD_Lunch+($Q91&lt;=T_DepDinner)*PD_Dinner+($S91&gt;=T_RetBfast)*PD_Bfast+($S91&gt;=T_RetLunch)*PD_Lunch+($S91&gt;=T_RetDinner)*PD_Dinner+MAX($R91-$P91-1,0)*(PD_Bfast+PD_Lunch+PD_Dinner)+($R91-$P91+1)*PD_Incid))</f>
        <v/>
      </c>
      <c r="AC91" s="30"/>
      <c r="AD91" s="30" t="str">
        <f aca="false">IF($A91="","",N($T91)+N($W91)+N($AA91)+N($AB91)+N($AC91))</f>
        <v/>
      </c>
      <c r="AE91" s="30"/>
      <c r="AF91" s="30"/>
      <c r="AG91" s="30"/>
      <c r="AH91" s="30"/>
      <c r="AI91" s="30"/>
      <c r="AJ91" s="30" t="str">
        <f aca="false">IF($A91="","",IF(COUNT($AE91:$AI91)=0,"",SUM($AE91:$AI91)))</f>
        <v/>
      </c>
      <c r="AK91" s="30"/>
      <c r="AL91" s="30"/>
      <c r="AM91" s="30" t="str">
        <f aca="false">IF(OR($A91="",$AJ91=""),"",$AJ91-N($AK91)-N($AL91))</f>
        <v/>
      </c>
      <c r="AN91" s="28"/>
      <c r="AO91" s="28"/>
      <c r="AP91" s="27"/>
      <c r="AQ91" s="27"/>
      <c r="AR91" s="28" t="str">
        <f aca="false">IF(OR($A91="",$R91=""),"",$R91+ReceiptDays)</f>
        <v/>
      </c>
      <c r="AS91" s="28"/>
      <c r="AT91" s="28" t="str">
        <f aca="false">IF(OR($A91="",$P91=""),"",($P91-FinanceLeadDays)-MOD(($P91-FinanceLeadDays)-DATE(2024,1,2),7))</f>
        <v/>
      </c>
      <c r="AU91" s="28"/>
      <c r="AV91" s="27"/>
      <c r="AW91" s="27"/>
      <c r="AX91" s="30" t="n">
        <f aca="false">IF(OR($A91="",$B91="Denied",$B91="Cancelled"),0,N($AD91))</f>
        <v>0</v>
      </c>
      <c r="AY91" s="30" t="n">
        <f aca="false">IF($A91="",0,N($AJ91))</f>
        <v>0</v>
      </c>
      <c r="AZ91" s="30" t="n">
        <f aca="false">IF(OR($A91="",$B91="Denied",$B91="Cancelled",$B91="Closed"),0,IF(N($AJ91)&gt;0,0,N($AD91)))</f>
        <v>0</v>
      </c>
      <c r="BA91" s="31" t="n">
        <f aca="false">IF($A91="",0,IF($B91="Awaiting Approval",COUNTIF(BA$1:BA90,"&gt;0")+1,0))</f>
        <v>0</v>
      </c>
      <c r="BB91" s="31" t="n">
        <f aca="false">IF($A91="",0,IF(AND($B91="Approved",$AP91&lt;&gt;"Y"),COUNTIF(BB$1:BB90,"&gt;0")+1,0))</f>
        <v>0</v>
      </c>
      <c r="BC91" s="31" t="n">
        <f aca="false">IF($A91="",0,IF(AND($B91="Approved",N($U91)&gt;0,$AQ91&lt;&gt;"Y"),COUNTIF(BC$1:BC90,"&gt;0")+1,0))</f>
        <v>0</v>
      </c>
      <c r="BD91" s="31" t="n">
        <f aca="true">IF($A91="",0,IF(AND($AR91&lt;&gt;"",N($AR91)&lt;TODAY(),$AS91="",$B91&lt;&gt;"Closed",$B91&lt;&gt;"Cancelled",$B91&lt;&gt;"Denied"),COUNTIF(BD$1:BD90,"&gt;0")+1,0))</f>
        <v>0</v>
      </c>
      <c r="BE91" s="31" t="n">
        <f aca="true">IF($A91="",0,IF(AND($AT91&lt;&gt;"",N($AT91)&lt;=TODAY()+7,$AU91="",$B91&lt;&gt;"Denied",$B91&lt;&gt;"Cancelled",$B91&lt;&gt;"Closed"),COUNTIF(BE$1:BE90,"&gt;0")+1,0))</f>
        <v>0</v>
      </c>
      <c r="BF91" s="27"/>
      <c r="BG91" s="27"/>
      <c r="BH91" s="27"/>
      <c r="BI91" s="27"/>
    </row>
    <row r="92" customFormat="false" ht="15" hidden="false" customHeight="false" outlineLevel="0" collapsed="false">
      <c r="A92" s="22"/>
      <c r="B92" s="22"/>
      <c r="C92" s="22"/>
      <c r="D92" s="22"/>
      <c r="E92" s="22"/>
      <c r="F92" s="22"/>
      <c r="G92" s="22"/>
      <c r="H92" s="22"/>
      <c r="I92" s="22"/>
      <c r="J92" s="22"/>
      <c r="K92" s="22"/>
      <c r="L92" s="22"/>
      <c r="M92" s="22"/>
      <c r="N92" s="23"/>
      <c r="O92" s="23"/>
      <c r="P92" s="23"/>
      <c r="Q92" s="24"/>
      <c r="R92" s="23"/>
      <c r="S92" s="24"/>
      <c r="T92" s="25"/>
      <c r="U92" s="26"/>
      <c r="V92" s="25"/>
      <c r="W92" s="25" t="str">
        <f aca="false">IF($A92="","",N($U92)*N($V92))</f>
        <v/>
      </c>
      <c r="X92" s="22"/>
      <c r="Y92" s="26"/>
      <c r="Z92" s="25"/>
      <c r="AA92" s="25" t="str">
        <f aca="false">IF($A92="","",IF($X92="POV",N($Y92)*MileageRate,0)+N($Z92))</f>
        <v/>
      </c>
      <c r="AB92" s="25" t="str">
        <f aca="false">IF(OR($A92="",$P92="",$R92="",$Q92="",$S92=""),"",IF($R92=$P92,($Q92&lt;=T_DepBfast)*($S92&gt;=T_RetBfast)*PD_Bfast+($Q92&lt;=T_DepLunch)*($S92&gt;=T_RetLunch)*PD_Lunch+($Q92&lt;=T_DepDinner)*($S92&gt;=T_RetDinner)*PD_Dinner+PD_Incid,($Q92&lt;=T_DepBfast)*PD_Bfast+($Q92&lt;=T_DepLunch)*PD_Lunch+($Q92&lt;=T_DepDinner)*PD_Dinner+($S92&gt;=T_RetBfast)*PD_Bfast+($S92&gt;=T_RetLunch)*PD_Lunch+($S92&gt;=T_RetDinner)*PD_Dinner+MAX($R92-$P92-1,0)*(PD_Bfast+PD_Lunch+PD_Dinner)+($R92-$P92+1)*PD_Incid))</f>
        <v/>
      </c>
      <c r="AC92" s="25"/>
      <c r="AD92" s="25" t="str">
        <f aca="false">IF($A92="","",N($T92)+N($W92)+N($AA92)+N($AB92)+N($AC92))</f>
        <v/>
      </c>
      <c r="AE92" s="25"/>
      <c r="AF92" s="25"/>
      <c r="AG92" s="25"/>
      <c r="AH92" s="25"/>
      <c r="AI92" s="25"/>
      <c r="AJ92" s="25" t="str">
        <f aca="false">IF($A92="","",IF(COUNT($AE92:$AI92)=0,"",SUM($AE92:$AI92)))</f>
        <v/>
      </c>
      <c r="AK92" s="25"/>
      <c r="AL92" s="25"/>
      <c r="AM92" s="25" t="str">
        <f aca="false">IF(OR($A92="",$AJ92=""),"",$AJ92-N($AK92)-N($AL92))</f>
        <v/>
      </c>
      <c r="AN92" s="23"/>
      <c r="AO92" s="23"/>
      <c r="AP92" s="22"/>
      <c r="AQ92" s="22"/>
      <c r="AR92" s="23" t="str">
        <f aca="false">IF(OR($A92="",$R92=""),"",$R92+ReceiptDays)</f>
        <v/>
      </c>
      <c r="AS92" s="23"/>
      <c r="AT92" s="23" t="str">
        <f aca="false">IF(OR($A92="",$P92=""),"",($P92-FinanceLeadDays)-MOD(($P92-FinanceLeadDays)-DATE(2024,1,2),7))</f>
        <v/>
      </c>
      <c r="AU92" s="23"/>
      <c r="AV92" s="22"/>
      <c r="AW92" s="22"/>
      <c r="AX92" s="25" t="n">
        <f aca="false">IF(OR($A92="",$B92="Denied",$B92="Cancelled"),0,N($AD92))</f>
        <v>0</v>
      </c>
      <c r="AY92" s="25" t="n">
        <f aca="false">IF($A92="",0,N($AJ92))</f>
        <v>0</v>
      </c>
      <c r="AZ92" s="25" t="n">
        <f aca="false">IF(OR($A92="",$B92="Denied",$B92="Cancelled",$B92="Closed"),0,IF(N($AJ92)&gt;0,0,N($AD92)))</f>
        <v>0</v>
      </c>
      <c r="BA92" s="26" t="n">
        <f aca="false">IF($A92="",0,IF($B92="Awaiting Approval",COUNTIF(BA$1:BA91,"&gt;0")+1,0))</f>
        <v>0</v>
      </c>
      <c r="BB92" s="26" t="n">
        <f aca="false">IF($A92="",0,IF(AND($B92="Approved",$AP92&lt;&gt;"Y"),COUNTIF(BB$1:BB91,"&gt;0")+1,0))</f>
        <v>0</v>
      </c>
      <c r="BC92" s="26" t="n">
        <f aca="false">IF($A92="",0,IF(AND($B92="Approved",N($U92)&gt;0,$AQ92&lt;&gt;"Y"),COUNTIF(BC$1:BC91,"&gt;0")+1,0))</f>
        <v>0</v>
      </c>
      <c r="BD92" s="26" t="n">
        <f aca="true">IF($A92="",0,IF(AND($AR92&lt;&gt;"",N($AR92)&lt;TODAY(),$AS92="",$B92&lt;&gt;"Closed",$B92&lt;&gt;"Cancelled",$B92&lt;&gt;"Denied"),COUNTIF(BD$1:BD91,"&gt;0")+1,0))</f>
        <v>0</v>
      </c>
      <c r="BE92" s="26" t="n">
        <f aca="true">IF($A92="",0,IF(AND($AT92&lt;&gt;"",N($AT92)&lt;=TODAY()+7,$AU92="",$B92&lt;&gt;"Denied",$B92&lt;&gt;"Cancelled",$B92&lt;&gt;"Closed"),COUNTIF(BE$1:BE91,"&gt;0")+1,0))</f>
        <v>0</v>
      </c>
      <c r="BF92" s="22"/>
      <c r="BG92" s="22"/>
      <c r="BH92" s="22"/>
      <c r="BI92" s="22"/>
    </row>
    <row r="93" customFormat="false" ht="15" hidden="false" customHeight="false" outlineLevel="0" collapsed="false">
      <c r="A93" s="27"/>
      <c r="B93" s="27"/>
      <c r="C93" s="27"/>
      <c r="D93" s="27"/>
      <c r="E93" s="27"/>
      <c r="F93" s="27"/>
      <c r="G93" s="27"/>
      <c r="H93" s="27"/>
      <c r="I93" s="27"/>
      <c r="J93" s="27"/>
      <c r="K93" s="27"/>
      <c r="L93" s="27"/>
      <c r="M93" s="27"/>
      <c r="N93" s="28"/>
      <c r="O93" s="28"/>
      <c r="P93" s="28"/>
      <c r="Q93" s="29"/>
      <c r="R93" s="28"/>
      <c r="S93" s="29"/>
      <c r="T93" s="30"/>
      <c r="U93" s="31"/>
      <c r="V93" s="30"/>
      <c r="W93" s="30" t="str">
        <f aca="false">IF($A93="","",N($U93)*N($V93))</f>
        <v/>
      </c>
      <c r="X93" s="27"/>
      <c r="Y93" s="31"/>
      <c r="Z93" s="30"/>
      <c r="AA93" s="30" t="str">
        <f aca="false">IF($A93="","",IF($X93="POV",N($Y93)*MileageRate,0)+N($Z93))</f>
        <v/>
      </c>
      <c r="AB93" s="30" t="str">
        <f aca="false">IF(OR($A93="",$P93="",$R93="",$Q93="",$S93=""),"",IF($R93=$P93,($Q93&lt;=T_DepBfast)*($S93&gt;=T_RetBfast)*PD_Bfast+($Q93&lt;=T_DepLunch)*($S93&gt;=T_RetLunch)*PD_Lunch+($Q93&lt;=T_DepDinner)*($S93&gt;=T_RetDinner)*PD_Dinner+PD_Incid,($Q93&lt;=T_DepBfast)*PD_Bfast+($Q93&lt;=T_DepLunch)*PD_Lunch+($Q93&lt;=T_DepDinner)*PD_Dinner+($S93&gt;=T_RetBfast)*PD_Bfast+($S93&gt;=T_RetLunch)*PD_Lunch+($S93&gt;=T_RetDinner)*PD_Dinner+MAX($R93-$P93-1,0)*(PD_Bfast+PD_Lunch+PD_Dinner)+($R93-$P93+1)*PD_Incid))</f>
        <v/>
      </c>
      <c r="AC93" s="30"/>
      <c r="AD93" s="30" t="str">
        <f aca="false">IF($A93="","",N($T93)+N($W93)+N($AA93)+N($AB93)+N($AC93))</f>
        <v/>
      </c>
      <c r="AE93" s="30"/>
      <c r="AF93" s="30"/>
      <c r="AG93" s="30"/>
      <c r="AH93" s="30"/>
      <c r="AI93" s="30"/>
      <c r="AJ93" s="30" t="str">
        <f aca="false">IF($A93="","",IF(COUNT($AE93:$AI93)=0,"",SUM($AE93:$AI93)))</f>
        <v/>
      </c>
      <c r="AK93" s="30"/>
      <c r="AL93" s="30"/>
      <c r="AM93" s="30" t="str">
        <f aca="false">IF(OR($A93="",$AJ93=""),"",$AJ93-N($AK93)-N($AL93))</f>
        <v/>
      </c>
      <c r="AN93" s="28"/>
      <c r="AO93" s="28"/>
      <c r="AP93" s="27"/>
      <c r="AQ93" s="27"/>
      <c r="AR93" s="28" t="str">
        <f aca="false">IF(OR($A93="",$R93=""),"",$R93+ReceiptDays)</f>
        <v/>
      </c>
      <c r="AS93" s="28"/>
      <c r="AT93" s="28" t="str">
        <f aca="false">IF(OR($A93="",$P93=""),"",($P93-FinanceLeadDays)-MOD(($P93-FinanceLeadDays)-DATE(2024,1,2),7))</f>
        <v/>
      </c>
      <c r="AU93" s="28"/>
      <c r="AV93" s="27"/>
      <c r="AW93" s="27"/>
      <c r="AX93" s="30" t="n">
        <f aca="false">IF(OR($A93="",$B93="Denied",$B93="Cancelled"),0,N($AD93))</f>
        <v>0</v>
      </c>
      <c r="AY93" s="30" t="n">
        <f aca="false">IF($A93="",0,N($AJ93))</f>
        <v>0</v>
      </c>
      <c r="AZ93" s="30" t="n">
        <f aca="false">IF(OR($A93="",$B93="Denied",$B93="Cancelled",$B93="Closed"),0,IF(N($AJ93)&gt;0,0,N($AD93)))</f>
        <v>0</v>
      </c>
      <c r="BA93" s="31" t="n">
        <f aca="false">IF($A93="",0,IF($B93="Awaiting Approval",COUNTIF(BA$1:BA92,"&gt;0")+1,0))</f>
        <v>0</v>
      </c>
      <c r="BB93" s="31" t="n">
        <f aca="false">IF($A93="",0,IF(AND($B93="Approved",$AP93&lt;&gt;"Y"),COUNTIF(BB$1:BB92,"&gt;0")+1,0))</f>
        <v>0</v>
      </c>
      <c r="BC93" s="31" t="n">
        <f aca="false">IF($A93="",0,IF(AND($B93="Approved",N($U93)&gt;0,$AQ93&lt;&gt;"Y"),COUNTIF(BC$1:BC92,"&gt;0")+1,0))</f>
        <v>0</v>
      </c>
      <c r="BD93" s="31" t="n">
        <f aca="true">IF($A93="",0,IF(AND($AR93&lt;&gt;"",N($AR93)&lt;TODAY(),$AS93="",$B93&lt;&gt;"Closed",$B93&lt;&gt;"Cancelled",$B93&lt;&gt;"Denied"),COUNTIF(BD$1:BD92,"&gt;0")+1,0))</f>
        <v>0</v>
      </c>
      <c r="BE93" s="31" t="n">
        <f aca="true">IF($A93="",0,IF(AND($AT93&lt;&gt;"",N($AT93)&lt;=TODAY()+7,$AU93="",$B93&lt;&gt;"Denied",$B93&lt;&gt;"Cancelled",$B93&lt;&gt;"Closed"),COUNTIF(BE$1:BE92,"&gt;0")+1,0))</f>
        <v>0</v>
      </c>
      <c r="BF93" s="27"/>
      <c r="BG93" s="27"/>
      <c r="BH93" s="27"/>
      <c r="BI93" s="27"/>
    </row>
    <row r="94" customFormat="false" ht="15" hidden="false" customHeight="false" outlineLevel="0" collapsed="false">
      <c r="A94" s="22"/>
      <c r="B94" s="22"/>
      <c r="C94" s="22"/>
      <c r="D94" s="22"/>
      <c r="E94" s="22"/>
      <c r="F94" s="22"/>
      <c r="G94" s="22"/>
      <c r="H94" s="22"/>
      <c r="I94" s="22"/>
      <c r="J94" s="22"/>
      <c r="K94" s="22"/>
      <c r="L94" s="22"/>
      <c r="M94" s="22"/>
      <c r="N94" s="23"/>
      <c r="O94" s="23"/>
      <c r="P94" s="23"/>
      <c r="Q94" s="24"/>
      <c r="R94" s="23"/>
      <c r="S94" s="24"/>
      <c r="T94" s="25"/>
      <c r="U94" s="26"/>
      <c r="V94" s="25"/>
      <c r="W94" s="25" t="str">
        <f aca="false">IF($A94="","",N($U94)*N($V94))</f>
        <v/>
      </c>
      <c r="X94" s="22"/>
      <c r="Y94" s="26"/>
      <c r="Z94" s="25"/>
      <c r="AA94" s="25" t="str">
        <f aca="false">IF($A94="","",IF($X94="POV",N($Y94)*MileageRate,0)+N($Z94))</f>
        <v/>
      </c>
      <c r="AB94" s="25" t="str">
        <f aca="false">IF(OR($A94="",$P94="",$R94="",$Q94="",$S94=""),"",IF($R94=$P94,($Q94&lt;=T_DepBfast)*($S94&gt;=T_RetBfast)*PD_Bfast+($Q94&lt;=T_DepLunch)*($S94&gt;=T_RetLunch)*PD_Lunch+($Q94&lt;=T_DepDinner)*($S94&gt;=T_RetDinner)*PD_Dinner+PD_Incid,($Q94&lt;=T_DepBfast)*PD_Bfast+($Q94&lt;=T_DepLunch)*PD_Lunch+($Q94&lt;=T_DepDinner)*PD_Dinner+($S94&gt;=T_RetBfast)*PD_Bfast+($S94&gt;=T_RetLunch)*PD_Lunch+($S94&gt;=T_RetDinner)*PD_Dinner+MAX($R94-$P94-1,0)*(PD_Bfast+PD_Lunch+PD_Dinner)+($R94-$P94+1)*PD_Incid))</f>
        <v/>
      </c>
      <c r="AC94" s="25"/>
      <c r="AD94" s="25" t="str">
        <f aca="false">IF($A94="","",N($T94)+N($W94)+N($AA94)+N($AB94)+N($AC94))</f>
        <v/>
      </c>
      <c r="AE94" s="25"/>
      <c r="AF94" s="25"/>
      <c r="AG94" s="25"/>
      <c r="AH94" s="25"/>
      <c r="AI94" s="25"/>
      <c r="AJ94" s="25" t="str">
        <f aca="false">IF($A94="","",IF(COUNT($AE94:$AI94)=0,"",SUM($AE94:$AI94)))</f>
        <v/>
      </c>
      <c r="AK94" s="25"/>
      <c r="AL94" s="25"/>
      <c r="AM94" s="25" t="str">
        <f aca="false">IF(OR($A94="",$AJ94=""),"",$AJ94-N($AK94)-N($AL94))</f>
        <v/>
      </c>
      <c r="AN94" s="23"/>
      <c r="AO94" s="23"/>
      <c r="AP94" s="22"/>
      <c r="AQ94" s="22"/>
      <c r="AR94" s="23" t="str">
        <f aca="false">IF(OR($A94="",$R94=""),"",$R94+ReceiptDays)</f>
        <v/>
      </c>
      <c r="AS94" s="23"/>
      <c r="AT94" s="23" t="str">
        <f aca="false">IF(OR($A94="",$P94=""),"",($P94-FinanceLeadDays)-MOD(($P94-FinanceLeadDays)-DATE(2024,1,2),7))</f>
        <v/>
      </c>
      <c r="AU94" s="23"/>
      <c r="AV94" s="22"/>
      <c r="AW94" s="22"/>
      <c r="AX94" s="25" t="n">
        <f aca="false">IF(OR($A94="",$B94="Denied",$B94="Cancelled"),0,N($AD94))</f>
        <v>0</v>
      </c>
      <c r="AY94" s="25" t="n">
        <f aca="false">IF($A94="",0,N($AJ94))</f>
        <v>0</v>
      </c>
      <c r="AZ94" s="25" t="n">
        <f aca="false">IF(OR($A94="",$B94="Denied",$B94="Cancelled",$B94="Closed"),0,IF(N($AJ94)&gt;0,0,N($AD94)))</f>
        <v>0</v>
      </c>
      <c r="BA94" s="26" t="n">
        <f aca="false">IF($A94="",0,IF($B94="Awaiting Approval",COUNTIF(BA$1:BA93,"&gt;0")+1,0))</f>
        <v>0</v>
      </c>
      <c r="BB94" s="26" t="n">
        <f aca="false">IF($A94="",0,IF(AND($B94="Approved",$AP94&lt;&gt;"Y"),COUNTIF(BB$1:BB93,"&gt;0")+1,0))</f>
        <v>0</v>
      </c>
      <c r="BC94" s="26" t="n">
        <f aca="false">IF($A94="",0,IF(AND($B94="Approved",N($U94)&gt;0,$AQ94&lt;&gt;"Y"),COUNTIF(BC$1:BC93,"&gt;0")+1,0))</f>
        <v>0</v>
      </c>
      <c r="BD94" s="26" t="n">
        <f aca="true">IF($A94="",0,IF(AND($AR94&lt;&gt;"",N($AR94)&lt;TODAY(),$AS94="",$B94&lt;&gt;"Closed",$B94&lt;&gt;"Cancelled",$B94&lt;&gt;"Denied"),COUNTIF(BD$1:BD93,"&gt;0")+1,0))</f>
        <v>0</v>
      </c>
      <c r="BE94" s="26" t="n">
        <f aca="true">IF($A94="",0,IF(AND($AT94&lt;&gt;"",N($AT94)&lt;=TODAY()+7,$AU94="",$B94&lt;&gt;"Denied",$B94&lt;&gt;"Cancelled",$B94&lt;&gt;"Closed"),COUNTIF(BE$1:BE93,"&gt;0")+1,0))</f>
        <v>0</v>
      </c>
      <c r="BF94" s="22"/>
      <c r="BG94" s="22"/>
      <c r="BH94" s="22"/>
      <c r="BI94" s="22"/>
    </row>
    <row r="95" customFormat="false" ht="15" hidden="false" customHeight="false" outlineLevel="0" collapsed="false">
      <c r="A95" s="27"/>
      <c r="B95" s="27"/>
      <c r="C95" s="27"/>
      <c r="D95" s="27"/>
      <c r="E95" s="27"/>
      <c r="F95" s="27"/>
      <c r="G95" s="27"/>
      <c r="H95" s="27"/>
      <c r="I95" s="27"/>
      <c r="J95" s="27"/>
      <c r="K95" s="27"/>
      <c r="L95" s="27"/>
      <c r="M95" s="27"/>
      <c r="N95" s="28"/>
      <c r="O95" s="28"/>
      <c r="P95" s="28"/>
      <c r="Q95" s="29"/>
      <c r="R95" s="28"/>
      <c r="S95" s="29"/>
      <c r="T95" s="30"/>
      <c r="U95" s="31"/>
      <c r="V95" s="30"/>
      <c r="W95" s="30" t="str">
        <f aca="false">IF($A95="","",N($U95)*N($V95))</f>
        <v/>
      </c>
      <c r="X95" s="27"/>
      <c r="Y95" s="31"/>
      <c r="Z95" s="30"/>
      <c r="AA95" s="30" t="str">
        <f aca="false">IF($A95="","",IF($X95="POV",N($Y95)*MileageRate,0)+N($Z95))</f>
        <v/>
      </c>
      <c r="AB95" s="30" t="str">
        <f aca="false">IF(OR($A95="",$P95="",$R95="",$Q95="",$S95=""),"",IF($R95=$P95,($Q95&lt;=T_DepBfast)*($S95&gt;=T_RetBfast)*PD_Bfast+($Q95&lt;=T_DepLunch)*($S95&gt;=T_RetLunch)*PD_Lunch+($Q95&lt;=T_DepDinner)*($S95&gt;=T_RetDinner)*PD_Dinner+PD_Incid,($Q95&lt;=T_DepBfast)*PD_Bfast+($Q95&lt;=T_DepLunch)*PD_Lunch+($Q95&lt;=T_DepDinner)*PD_Dinner+($S95&gt;=T_RetBfast)*PD_Bfast+($S95&gt;=T_RetLunch)*PD_Lunch+($S95&gt;=T_RetDinner)*PD_Dinner+MAX($R95-$P95-1,0)*(PD_Bfast+PD_Lunch+PD_Dinner)+($R95-$P95+1)*PD_Incid))</f>
        <v/>
      </c>
      <c r="AC95" s="30"/>
      <c r="AD95" s="30" t="str">
        <f aca="false">IF($A95="","",N($T95)+N($W95)+N($AA95)+N($AB95)+N($AC95))</f>
        <v/>
      </c>
      <c r="AE95" s="30"/>
      <c r="AF95" s="30"/>
      <c r="AG95" s="30"/>
      <c r="AH95" s="30"/>
      <c r="AI95" s="30"/>
      <c r="AJ95" s="30" t="str">
        <f aca="false">IF($A95="","",IF(COUNT($AE95:$AI95)=0,"",SUM($AE95:$AI95)))</f>
        <v/>
      </c>
      <c r="AK95" s="30"/>
      <c r="AL95" s="30"/>
      <c r="AM95" s="30" t="str">
        <f aca="false">IF(OR($A95="",$AJ95=""),"",$AJ95-N($AK95)-N($AL95))</f>
        <v/>
      </c>
      <c r="AN95" s="28"/>
      <c r="AO95" s="28"/>
      <c r="AP95" s="27"/>
      <c r="AQ95" s="27"/>
      <c r="AR95" s="28" t="str">
        <f aca="false">IF(OR($A95="",$R95=""),"",$R95+ReceiptDays)</f>
        <v/>
      </c>
      <c r="AS95" s="28"/>
      <c r="AT95" s="28" t="str">
        <f aca="false">IF(OR($A95="",$P95=""),"",($P95-FinanceLeadDays)-MOD(($P95-FinanceLeadDays)-DATE(2024,1,2),7))</f>
        <v/>
      </c>
      <c r="AU95" s="28"/>
      <c r="AV95" s="27"/>
      <c r="AW95" s="27"/>
      <c r="AX95" s="30" t="n">
        <f aca="false">IF(OR($A95="",$B95="Denied",$B95="Cancelled"),0,N($AD95))</f>
        <v>0</v>
      </c>
      <c r="AY95" s="30" t="n">
        <f aca="false">IF($A95="",0,N($AJ95))</f>
        <v>0</v>
      </c>
      <c r="AZ95" s="30" t="n">
        <f aca="false">IF(OR($A95="",$B95="Denied",$B95="Cancelled",$B95="Closed"),0,IF(N($AJ95)&gt;0,0,N($AD95)))</f>
        <v>0</v>
      </c>
      <c r="BA95" s="31" t="n">
        <f aca="false">IF($A95="",0,IF($B95="Awaiting Approval",COUNTIF(BA$1:BA94,"&gt;0")+1,0))</f>
        <v>0</v>
      </c>
      <c r="BB95" s="31" t="n">
        <f aca="false">IF($A95="",0,IF(AND($B95="Approved",$AP95&lt;&gt;"Y"),COUNTIF(BB$1:BB94,"&gt;0")+1,0))</f>
        <v>0</v>
      </c>
      <c r="BC95" s="31" t="n">
        <f aca="false">IF($A95="",0,IF(AND($B95="Approved",N($U95)&gt;0,$AQ95&lt;&gt;"Y"),COUNTIF(BC$1:BC94,"&gt;0")+1,0))</f>
        <v>0</v>
      </c>
      <c r="BD95" s="31" t="n">
        <f aca="true">IF($A95="",0,IF(AND($AR95&lt;&gt;"",N($AR95)&lt;TODAY(),$AS95="",$B95&lt;&gt;"Closed",$B95&lt;&gt;"Cancelled",$B95&lt;&gt;"Denied"),COUNTIF(BD$1:BD94,"&gt;0")+1,0))</f>
        <v>0</v>
      </c>
      <c r="BE95" s="31" t="n">
        <f aca="true">IF($A95="",0,IF(AND($AT95&lt;&gt;"",N($AT95)&lt;=TODAY()+7,$AU95="",$B95&lt;&gt;"Denied",$B95&lt;&gt;"Cancelled",$B95&lt;&gt;"Closed"),COUNTIF(BE$1:BE94,"&gt;0")+1,0))</f>
        <v>0</v>
      </c>
      <c r="BF95" s="27"/>
      <c r="BG95" s="27"/>
      <c r="BH95" s="27"/>
      <c r="BI95" s="27"/>
    </row>
    <row r="96" customFormat="false" ht="15" hidden="false" customHeight="false" outlineLevel="0" collapsed="false">
      <c r="A96" s="22"/>
      <c r="B96" s="22"/>
      <c r="C96" s="22"/>
      <c r="D96" s="22"/>
      <c r="E96" s="22"/>
      <c r="F96" s="22"/>
      <c r="G96" s="22"/>
      <c r="H96" s="22"/>
      <c r="I96" s="22"/>
      <c r="J96" s="22"/>
      <c r="K96" s="22"/>
      <c r="L96" s="22"/>
      <c r="M96" s="22"/>
      <c r="N96" s="23"/>
      <c r="O96" s="23"/>
      <c r="P96" s="23"/>
      <c r="Q96" s="24"/>
      <c r="R96" s="23"/>
      <c r="S96" s="24"/>
      <c r="T96" s="25"/>
      <c r="U96" s="26"/>
      <c r="V96" s="25"/>
      <c r="W96" s="25" t="str">
        <f aca="false">IF($A96="","",N($U96)*N($V96))</f>
        <v/>
      </c>
      <c r="X96" s="22"/>
      <c r="Y96" s="26"/>
      <c r="Z96" s="25"/>
      <c r="AA96" s="25" t="str">
        <f aca="false">IF($A96="","",IF($X96="POV",N($Y96)*MileageRate,0)+N($Z96))</f>
        <v/>
      </c>
      <c r="AB96" s="25" t="str">
        <f aca="false">IF(OR($A96="",$P96="",$R96="",$Q96="",$S96=""),"",IF($R96=$P96,($Q96&lt;=T_DepBfast)*($S96&gt;=T_RetBfast)*PD_Bfast+($Q96&lt;=T_DepLunch)*($S96&gt;=T_RetLunch)*PD_Lunch+($Q96&lt;=T_DepDinner)*($S96&gt;=T_RetDinner)*PD_Dinner+PD_Incid,($Q96&lt;=T_DepBfast)*PD_Bfast+($Q96&lt;=T_DepLunch)*PD_Lunch+($Q96&lt;=T_DepDinner)*PD_Dinner+($S96&gt;=T_RetBfast)*PD_Bfast+($S96&gt;=T_RetLunch)*PD_Lunch+($S96&gt;=T_RetDinner)*PD_Dinner+MAX($R96-$P96-1,0)*(PD_Bfast+PD_Lunch+PD_Dinner)+($R96-$P96+1)*PD_Incid))</f>
        <v/>
      </c>
      <c r="AC96" s="25"/>
      <c r="AD96" s="25" t="str">
        <f aca="false">IF($A96="","",N($T96)+N($W96)+N($AA96)+N($AB96)+N($AC96))</f>
        <v/>
      </c>
      <c r="AE96" s="25"/>
      <c r="AF96" s="25"/>
      <c r="AG96" s="25"/>
      <c r="AH96" s="25"/>
      <c r="AI96" s="25"/>
      <c r="AJ96" s="25" t="str">
        <f aca="false">IF($A96="","",IF(COUNT($AE96:$AI96)=0,"",SUM($AE96:$AI96)))</f>
        <v/>
      </c>
      <c r="AK96" s="25"/>
      <c r="AL96" s="25"/>
      <c r="AM96" s="25" t="str">
        <f aca="false">IF(OR($A96="",$AJ96=""),"",$AJ96-N($AK96)-N($AL96))</f>
        <v/>
      </c>
      <c r="AN96" s="23"/>
      <c r="AO96" s="23"/>
      <c r="AP96" s="22"/>
      <c r="AQ96" s="22"/>
      <c r="AR96" s="23" t="str">
        <f aca="false">IF(OR($A96="",$R96=""),"",$R96+ReceiptDays)</f>
        <v/>
      </c>
      <c r="AS96" s="23"/>
      <c r="AT96" s="23" t="str">
        <f aca="false">IF(OR($A96="",$P96=""),"",($P96-FinanceLeadDays)-MOD(($P96-FinanceLeadDays)-DATE(2024,1,2),7))</f>
        <v/>
      </c>
      <c r="AU96" s="23"/>
      <c r="AV96" s="22"/>
      <c r="AW96" s="22"/>
      <c r="AX96" s="25" t="n">
        <f aca="false">IF(OR($A96="",$B96="Denied",$B96="Cancelled"),0,N($AD96))</f>
        <v>0</v>
      </c>
      <c r="AY96" s="25" t="n">
        <f aca="false">IF($A96="",0,N($AJ96))</f>
        <v>0</v>
      </c>
      <c r="AZ96" s="25" t="n">
        <f aca="false">IF(OR($A96="",$B96="Denied",$B96="Cancelled",$B96="Closed"),0,IF(N($AJ96)&gt;0,0,N($AD96)))</f>
        <v>0</v>
      </c>
      <c r="BA96" s="26" t="n">
        <f aca="false">IF($A96="",0,IF($B96="Awaiting Approval",COUNTIF(BA$1:BA95,"&gt;0")+1,0))</f>
        <v>0</v>
      </c>
      <c r="BB96" s="26" t="n">
        <f aca="false">IF($A96="",0,IF(AND($B96="Approved",$AP96&lt;&gt;"Y"),COUNTIF(BB$1:BB95,"&gt;0")+1,0))</f>
        <v>0</v>
      </c>
      <c r="BC96" s="26" t="n">
        <f aca="false">IF($A96="",0,IF(AND($B96="Approved",N($U96)&gt;0,$AQ96&lt;&gt;"Y"),COUNTIF(BC$1:BC95,"&gt;0")+1,0))</f>
        <v>0</v>
      </c>
      <c r="BD96" s="26" t="n">
        <f aca="true">IF($A96="",0,IF(AND($AR96&lt;&gt;"",N($AR96)&lt;TODAY(),$AS96="",$B96&lt;&gt;"Closed",$B96&lt;&gt;"Cancelled",$B96&lt;&gt;"Denied"),COUNTIF(BD$1:BD95,"&gt;0")+1,0))</f>
        <v>0</v>
      </c>
      <c r="BE96" s="26" t="n">
        <f aca="true">IF($A96="",0,IF(AND($AT96&lt;&gt;"",N($AT96)&lt;=TODAY()+7,$AU96="",$B96&lt;&gt;"Denied",$B96&lt;&gt;"Cancelled",$B96&lt;&gt;"Closed"),COUNTIF(BE$1:BE95,"&gt;0")+1,0))</f>
        <v>0</v>
      </c>
      <c r="BF96" s="22"/>
      <c r="BG96" s="22"/>
      <c r="BH96" s="22"/>
      <c r="BI96" s="22"/>
    </row>
    <row r="97" customFormat="false" ht="15" hidden="false" customHeight="false" outlineLevel="0" collapsed="false">
      <c r="A97" s="27"/>
      <c r="B97" s="27"/>
      <c r="C97" s="27"/>
      <c r="D97" s="27"/>
      <c r="E97" s="27"/>
      <c r="F97" s="27"/>
      <c r="G97" s="27"/>
      <c r="H97" s="27"/>
      <c r="I97" s="27"/>
      <c r="J97" s="27"/>
      <c r="K97" s="27"/>
      <c r="L97" s="27"/>
      <c r="M97" s="27"/>
      <c r="N97" s="28"/>
      <c r="O97" s="28"/>
      <c r="P97" s="28"/>
      <c r="Q97" s="29"/>
      <c r="R97" s="28"/>
      <c r="S97" s="29"/>
      <c r="T97" s="30"/>
      <c r="U97" s="31"/>
      <c r="V97" s="30"/>
      <c r="W97" s="30" t="str">
        <f aca="false">IF($A97="","",N($U97)*N($V97))</f>
        <v/>
      </c>
      <c r="X97" s="27"/>
      <c r="Y97" s="31"/>
      <c r="Z97" s="30"/>
      <c r="AA97" s="30" t="str">
        <f aca="false">IF($A97="","",IF($X97="POV",N($Y97)*MileageRate,0)+N($Z97))</f>
        <v/>
      </c>
      <c r="AB97" s="30" t="str">
        <f aca="false">IF(OR($A97="",$P97="",$R97="",$Q97="",$S97=""),"",IF($R97=$P97,($Q97&lt;=T_DepBfast)*($S97&gt;=T_RetBfast)*PD_Bfast+($Q97&lt;=T_DepLunch)*($S97&gt;=T_RetLunch)*PD_Lunch+($Q97&lt;=T_DepDinner)*($S97&gt;=T_RetDinner)*PD_Dinner+PD_Incid,($Q97&lt;=T_DepBfast)*PD_Bfast+($Q97&lt;=T_DepLunch)*PD_Lunch+($Q97&lt;=T_DepDinner)*PD_Dinner+($S97&gt;=T_RetBfast)*PD_Bfast+($S97&gt;=T_RetLunch)*PD_Lunch+($S97&gt;=T_RetDinner)*PD_Dinner+MAX($R97-$P97-1,0)*(PD_Bfast+PD_Lunch+PD_Dinner)+($R97-$P97+1)*PD_Incid))</f>
        <v/>
      </c>
      <c r="AC97" s="30"/>
      <c r="AD97" s="30" t="str">
        <f aca="false">IF($A97="","",N($T97)+N($W97)+N($AA97)+N($AB97)+N($AC97))</f>
        <v/>
      </c>
      <c r="AE97" s="30"/>
      <c r="AF97" s="30"/>
      <c r="AG97" s="30"/>
      <c r="AH97" s="30"/>
      <c r="AI97" s="30"/>
      <c r="AJ97" s="30" t="str">
        <f aca="false">IF($A97="","",IF(COUNT($AE97:$AI97)=0,"",SUM($AE97:$AI97)))</f>
        <v/>
      </c>
      <c r="AK97" s="30"/>
      <c r="AL97" s="30"/>
      <c r="AM97" s="30" t="str">
        <f aca="false">IF(OR($A97="",$AJ97=""),"",$AJ97-N($AK97)-N($AL97))</f>
        <v/>
      </c>
      <c r="AN97" s="28"/>
      <c r="AO97" s="28"/>
      <c r="AP97" s="27"/>
      <c r="AQ97" s="27"/>
      <c r="AR97" s="28" t="str">
        <f aca="false">IF(OR($A97="",$R97=""),"",$R97+ReceiptDays)</f>
        <v/>
      </c>
      <c r="AS97" s="28"/>
      <c r="AT97" s="28" t="str">
        <f aca="false">IF(OR($A97="",$P97=""),"",($P97-FinanceLeadDays)-MOD(($P97-FinanceLeadDays)-DATE(2024,1,2),7))</f>
        <v/>
      </c>
      <c r="AU97" s="28"/>
      <c r="AV97" s="27"/>
      <c r="AW97" s="27"/>
      <c r="AX97" s="30" t="n">
        <f aca="false">IF(OR($A97="",$B97="Denied",$B97="Cancelled"),0,N($AD97))</f>
        <v>0</v>
      </c>
      <c r="AY97" s="30" t="n">
        <f aca="false">IF($A97="",0,N($AJ97))</f>
        <v>0</v>
      </c>
      <c r="AZ97" s="30" t="n">
        <f aca="false">IF(OR($A97="",$B97="Denied",$B97="Cancelled",$B97="Closed"),0,IF(N($AJ97)&gt;0,0,N($AD97)))</f>
        <v>0</v>
      </c>
      <c r="BA97" s="31" t="n">
        <f aca="false">IF($A97="",0,IF($B97="Awaiting Approval",COUNTIF(BA$1:BA96,"&gt;0")+1,0))</f>
        <v>0</v>
      </c>
      <c r="BB97" s="31" t="n">
        <f aca="false">IF($A97="",0,IF(AND($B97="Approved",$AP97&lt;&gt;"Y"),COUNTIF(BB$1:BB96,"&gt;0")+1,0))</f>
        <v>0</v>
      </c>
      <c r="BC97" s="31" t="n">
        <f aca="false">IF($A97="",0,IF(AND($B97="Approved",N($U97)&gt;0,$AQ97&lt;&gt;"Y"),COUNTIF(BC$1:BC96,"&gt;0")+1,0))</f>
        <v>0</v>
      </c>
      <c r="BD97" s="31" t="n">
        <f aca="true">IF($A97="",0,IF(AND($AR97&lt;&gt;"",N($AR97)&lt;TODAY(),$AS97="",$B97&lt;&gt;"Closed",$B97&lt;&gt;"Cancelled",$B97&lt;&gt;"Denied"),COUNTIF(BD$1:BD96,"&gt;0")+1,0))</f>
        <v>0</v>
      </c>
      <c r="BE97" s="31" t="n">
        <f aca="true">IF($A97="",0,IF(AND($AT97&lt;&gt;"",N($AT97)&lt;=TODAY()+7,$AU97="",$B97&lt;&gt;"Denied",$B97&lt;&gt;"Cancelled",$B97&lt;&gt;"Closed"),COUNTIF(BE$1:BE96,"&gt;0")+1,0))</f>
        <v>0</v>
      </c>
      <c r="BF97" s="27"/>
      <c r="BG97" s="27"/>
      <c r="BH97" s="27"/>
      <c r="BI97" s="27"/>
    </row>
    <row r="98" customFormat="false" ht="15" hidden="false" customHeight="false" outlineLevel="0" collapsed="false">
      <c r="A98" s="22"/>
      <c r="B98" s="22"/>
      <c r="C98" s="22"/>
      <c r="D98" s="22"/>
      <c r="E98" s="22"/>
      <c r="F98" s="22"/>
      <c r="G98" s="22"/>
      <c r="H98" s="22"/>
      <c r="I98" s="22"/>
      <c r="J98" s="22"/>
      <c r="K98" s="22"/>
      <c r="L98" s="22"/>
      <c r="M98" s="22"/>
      <c r="N98" s="23"/>
      <c r="O98" s="23"/>
      <c r="P98" s="23"/>
      <c r="Q98" s="24"/>
      <c r="R98" s="23"/>
      <c r="S98" s="24"/>
      <c r="T98" s="25"/>
      <c r="U98" s="26"/>
      <c r="V98" s="25"/>
      <c r="W98" s="25" t="str">
        <f aca="false">IF($A98="","",N($U98)*N($V98))</f>
        <v/>
      </c>
      <c r="X98" s="22"/>
      <c r="Y98" s="26"/>
      <c r="Z98" s="25"/>
      <c r="AA98" s="25" t="str">
        <f aca="false">IF($A98="","",IF($X98="POV",N($Y98)*MileageRate,0)+N($Z98))</f>
        <v/>
      </c>
      <c r="AB98" s="25" t="str">
        <f aca="false">IF(OR($A98="",$P98="",$R98="",$Q98="",$S98=""),"",IF($R98=$P98,($Q98&lt;=T_DepBfast)*($S98&gt;=T_RetBfast)*PD_Bfast+($Q98&lt;=T_DepLunch)*($S98&gt;=T_RetLunch)*PD_Lunch+($Q98&lt;=T_DepDinner)*($S98&gt;=T_RetDinner)*PD_Dinner+PD_Incid,($Q98&lt;=T_DepBfast)*PD_Bfast+($Q98&lt;=T_DepLunch)*PD_Lunch+($Q98&lt;=T_DepDinner)*PD_Dinner+($S98&gt;=T_RetBfast)*PD_Bfast+($S98&gt;=T_RetLunch)*PD_Lunch+($S98&gt;=T_RetDinner)*PD_Dinner+MAX($R98-$P98-1,0)*(PD_Bfast+PD_Lunch+PD_Dinner)+($R98-$P98+1)*PD_Incid))</f>
        <v/>
      </c>
      <c r="AC98" s="25"/>
      <c r="AD98" s="25" t="str">
        <f aca="false">IF($A98="","",N($T98)+N($W98)+N($AA98)+N($AB98)+N($AC98))</f>
        <v/>
      </c>
      <c r="AE98" s="25"/>
      <c r="AF98" s="25"/>
      <c r="AG98" s="25"/>
      <c r="AH98" s="25"/>
      <c r="AI98" s="25"/>
      <c r="AJ98" s="25" t="str">
        <f aca="false">IF($A98="","",IF(COUNT($AE98:$AI98)=0,"",SUM($AE98:$AI98)))</f>
        <v/>
      </c>
      <c r="AK98" s="25"/>
      <c r="AL98" s="25"/>
      <c r="AM98" s="25" t="str">
        <f aca="false">IF(OR($A98="",$AJ98=""),"",$AJ98-N($AK98)-N($AL98))</f>
        <v/>
      </c>
      <c r="AN98" s="23"/>
      <c r="AO98" s="23"/>
      <c r="AP98" s="22"/>
      <c r="AQ98" s="22"/>
      <c r="AR98" s="23" t="str">
        <f aca="false">IF(OR($A98="",$R98=""),"",$R98+ReceiptDays)</f>
        <v/>
      </c>
      <c r="AS98" s="23"/>
      <c r="AT98" s="23" t="str">
        <f aca="false">IF(OR($A98="",$P98=""),"",($P98-FinanceLeadDays)-MOD(($P98-FinanceLeadDays)-DATE(2024,1,2),7))</f>
        <v/>
      </c>
      <c r="AU98" s="23"/>
      <c r="AV98" s="22"/>
      <c r="AW98" s="22"/>
      <c r="AX98" s="25" t="n">
        <f aca="false">IF(OR($A98="",$B98="Denied",$B98="Cancelled"),0,N($AD98))</f>
        <v>0</v>
      </c>
      <c r="AY98" s="25" t="n">
        <f aca="false">IF($A98="",0,N($AJ98))</f>
        <v>0</v>
      </c>
      <c r="AZ98" s="25" t="n">
        <f aca="false">IF(OR($A98="",$B98="Denied",$B98="Cancelled",$B98="Closed"),0,IF(N($AJ98)&gt;0,0,N($AD98)))</f>
        <v>0</v>
      </c>
      <c r="BA98" s="26" t="n">
        <f aca="false">IF($A98="",0,IF($B98="Awaiting Approval",COUNTIF(BA$1:BA97,"&gt;0")+1,0))</f>
        <v>0</v>
      </c>
      <c r="BB98" s="26" t="n">
        <f aca="false">IF($A98="",0,IF(AND($B98="Approved",$AP98&lt;&gt;"Y"),COUNTIF(BB$1:BB97,"&gt;0")+1,0))</f>
        <v>0</v>
      </c>
      <c r="BC98" s="26" t="n">
        <f aca="false">IF($A98="",0,IF(AND($B98="Approved",N($U98)&gt;0,$AQ98&lt;&gt;"Y"),COUNTIF(BC$1:BC97,"&gt;0")+1,0))</f>
        <v>0</v>
      </c>
      <c r="BD98" s="26" t="n">
        <f aca="true">IF($A98="",0,IF(AND($AR98&lt;&gt;"",N($AR98)&lt;TODAY(),$AS98="",$B98&lt;&gt;"Closed",$B98&lt;&gt;"Cancelled",$B98&lt;&gt;"Denied"),COUNTIF(BD$1:BD97,"&gt;0")+1,0))</f>
        <v>0</v>
      </c>
      <c r="BE98" s="26" t="n">
        <f aca="true">IF($A98="",0,IF(AND($AT98&lt;&gt;"",N($AT98)&lt;=TODAY()+7,$AU98="",$B98&lt;&gt;"Denied",$B98&lt;&gt;"Cancelled",$B98&lt;&gt;"Closed"),COUNTIF(BE$1:BE97,"&gt;0")+1,0))</f>
        <v>0</v>
      </c>
      <c r="BF98" s="22"/>
      <c r="BG98" s="22"/>
      <c r="BH98" s="22"/>
      <c r="BI98" s="22"/>
    </row>
    <row r="99" customFormat="false" ht="15" hidden="false" customHeight="false" outlineLevel="0" collapsed="false">
      <c r="A99" s="27"/>
      <c r="B99" s="27"/>
      <c r="C99" s="27"/>
      <c r="D99" s="27"/>
      <c r="E99" s="27"/>
      <c r="F99" s="27"/>
      <c r="G99" s="27"/>
      <c r="H99" s="27"/>
      <c r="I99" s="27"/>
      <c r="J99" s="27"/>
      <c r="K99" s="27"/>
      <c r="L99" s="27"/>
      <c r="M99" s="27"/>
      <c r="N99" s="28"/>
      <c r="O99" s="28"/>
      <c r="P99" s="28"/>
      <c r="Q99" s="29"/>
      <c r="R99" s="28"/>
      <c r="S99" s="29"/>
      <c r="T99" s="30"/>
      <c r="U99" s="31"/>
      <c r="V99" s="30"/>
      <c r="W99" s="30" t="str">
        <f aca="false">IF($A99="","",N($U99)*N($V99))</f>
        <v/>
      </c>
      <c r="X99" s="27"/>
      <c r="Y99" s="31"/>
      <c r="Z99" s="30"/>
      <c r="AA99" s="30" t="str">
        <f aca="false">IF($A99="","",IF($X99="POV",N($Y99)*MileageRate,0)+N($Z99))</f>
        <v/>
      </c>
      <c r="AB99" s="30" t="str">
        <f aca="false">IF(OR($A99="",$P99="",$R99="",$Q99="",$S99=""),"",IF($R99=$P99,($Q99&lt;=T_DepBfast)*($S99&gt;=T_RetBfast)*PD_Bfast+($Q99&lt;=T_DepLunch)*($S99&gt;=T_RetLunch)*PD_Lunch+($Q99&lt;=T_DepDinner)*($S99&gt;=T_RetDinner)*PD_Dinner+PD_Incid,($Q99&lt;=T_DepBfast)*PD_Bfast+($Q99&lt;=T_DepLunch)*PD_Lunch+($Q99&lt;=T_DepDinner)*PD_Dinner+($S99&gt;=T_RetBfast)*PD_Bfast+($S99&gt;=T_RetLunch)*PD_Lunch+($S99&gt;=T_RetDinner)*PD_Dinner+MAX($R99-$P99-1,0)*(PD_Bfast+PD_Lunch+PD_Dinner)+($R99-$P99+1)*PD_Incid))</f>
        <v/>
      </c>
      <c r="AC99" s="30"/>
      <c r="AD99" s="30" t="str">
        <f aca="false">IF($A99="","",N($T99)+N($W99)+N($AA99)+N($AB99)+N($AC99))</f>
        <v/>
      </c>
      <c r="AE99" s="30"/>
      <c r="AF99" s="30"/>
      <c r="AG99" s="30"/>
      <c r="AH99" s="30"/>
      <c r="AI99" s="30"/>
      <c r="AJ99" s="30" t="str">
        <f aca="false">IF($A99="","",IF(COUNT($AE99:$AI99)=0,"",SUM($AE99:$AI99)))</f>
        <v/>
      </c>
      <c r="AK99" s="30"/>
      <c r="AL99" s="30"/>
      <c r="AM99" s="30" t="str">
        <f aca="false">IF(OR($A99="",$AJ99=""),"",$AJ99-N($AK99)-N($AL99))</f>
        <v/>
      </c>
      <c r="AN99" s="28"/>
      <c r="AO99" s="28"/>
      <c r="AP99" s="27"/>
      <c r="AQ99" s="27"/>
      <c r="AR99" s="28" t="str">
        <f aca="false">IF(OR($A99="",$R99=""),"",$R99+ReceiptDays)</f>
        <v/>
      </c>
      <c r="AS99" s="28"/>
      <c r="AT99" s="28" t="str">
        <f aca="false">IF(OR($A99="",$P99=""),"",($P99-FinanceLeadDays)-MOD(($P99-FinanceLeadDays)-DATE(2024,1,2),7))</f>
        <v/>
      </c>
      <c r="AU99" s="28"/>
      <c r="AV99" s="27"/>
      <c r="AW99" s="27"/>
      <c r="AX99" s="30" t="n">
        <f aca="false">IF(OR($A99="",$B99="Denied",$B99="Cancelled"),0,N($AD99))</f>
        <v>0</v>
      </c>
      <c r="AY99" s="30" t="n">
        <f aca="false">IF($A99="",0,N($AJ99))</f>
        <v>0</v>
      </c>
      <c r="AZ99" s="30" t="n">
        <f aca="false">IF(OR($A99="",$B99="Denied",$B99="Cancelled",$B99="Closed"),0,IF(N($AJ99)&gt;0,0,N($AD99)))</f>
        <v>0</v>
      </c>
      <c r="BA99" s="31" t="n">
        <f aca="false">IF($A99="",0,IF($B99="Awaiting Approval",COUNTIF(BA$1:BA98,"&gt;0")+1,0))</f>
        <v>0</v>
      </c>
      <c r="BB99" s="31" t="n">
        <f aca="false">IF($A99="",0,IF(AND($B99="Approved",$AP99&lt;&gt;"Y"),COUNTIF(BB$1:BB98,"&gt;0")+1,0))</f>
        <v>0</v>
      </c>
      <c r="BC99" s="31" t="n">
        <f aca="false">IF($A99="",0,IF(AND($B99="Approved",N($U99)&gt;0,$AQ99&lt;&gt;"Y"),COUNTIF(BC$1:BC98,"&gt;0")+1,0))</f>
        <v>0</v>
      </c>
      <c r="BD99" s="31" t="n">
        <f aca="true">IF($A99="",0,IF(AND($AR99&lt;&gt;"",N($AR99)&lt;TODAY(),$AS99="",$B99&lt;&gt;"Closed",$B99&lt;&gt;"Cancelled",$B99&lt;&gt;"Denied"),COUNTIF(BD$1:BD98,"&gt;0")+1,0))</f>
        <v>0</v>
      </c>
      <c r="BE99" s="31" t="n">
        <f aca="true">IF($A99="",0,IF(AND($AT99&lt;&gt;"",N($AT99)&lt;=TODAY()+7,$AU99="",$B99&lt;&gt;"Denied",$B99&lt;&gt;"Cancelled",$B99&lt;&gt;"Closed"),COUNTIF(BE$1:BE98,"&gt;0")+1,0))</f>
        <v>0</v>
      </c>
      <c r="BF99" s="27"/>
      <c r="BG99" s="27"/>
      <c r="BH99" s="27"/>
      <c r="BI99" s="27"/>
    </row>
    <row r="100" customFormat="false" ht="15" hidden="false" customHeight="false" outlineLevel="0" collapsed="false">
      <c r="A100" s="22"/>
      <c r="B100" s="22"/>
      <c r="C100" s="22"/>
      <c r="D100" s="22"/>
      <c r="E100" s="22"/>
      <c r="F100" s="22"/>
      <c r="G100" s="22"/>
      <c r="H100" s="22"/>
      <c r="I100" s="22"/>
      <c r="J100" s="22"/>
      <c r="K100" s="22"/>
      <c r="L100" s="22"/>
      <c r="M100" s="22"/>
      <c r="N100" s="23"/>
      <c r="O100" s="23"/>
      <c r="P100" s="23"/>
      <c r="Q100" s="24"/>
      <c r="R100" s="23"/>
      <c r="S100" s="24"/>
      <c r="T100" s="25"/>
      <c r="U100" s="26"/>
      <c r="V100" s="25"/>
      <c r="W100" s="25" t="str">
        <f aca="false">IF($A100="","",N($U100)*N($V100))</f>
        <v/>
      </c>
      <c r="X100" s="22"/>
      <c r="Y100" s="26"/>
      <c r="Z100" s="25"/>
      <c r="AA100" s="25" t="str">
        <f aca="false">IF($A100="","",IF($X100="POV",N($Y100)*MileageRate,0)+N($Z100))</f>
        <v/>
      </c>
      <c r="AB100" s="25" t="str">
        <f aca="false">IF(OR($A100="",$P100="",$R100="",$Q100="",$S100=""),"",IF($R100=$P100,($Q100&lt;=T_DepBfast)*($S100&gt;=T_RetBfast)*PD_Bfast+($Q100&lt;=T_DepLunch)*($S100&gt;=T_RetLunch)*PD_Lunch+($Q100&lt;=T_DepDinner)*($S100&gt;=T_RetDinner)*PD_Dinner+PD_Incid,($Q100&lt;=T_DepBfast)*PD_Bfast+($Q100&lt;=T_DepLunch)*PD_Lunch+($Q100&lt;=T_DepDinner)*PD_Dinner+($S100&gt;=T_RetBfast)*PD_Bfast+($S100&gt;=T_RetLunch)*PD_Lunch+($S100&gt;=T_RetDinner)*PD_Dinner+MAX($R100-$P100-1,0)*(PD_Bfast+PD_Lunch+PD_Dinner)+($R100-$P100+1)*PD_Incid))</f>
        <v/>
      </c>
      <c r="AC100" s="25"/>
      <c r="AD100" s="25" t="str">
        <f aca="false">IF($A100="","",N($T100)+N($W100)+N($AA100)+N($AB100)+N($AC100))</f>
        <v/>
      </c>
      <c r="AE100" s="25"/>
      <c r="AF100" s="25"/>
      <c r="AG100" s="25"/>
      <c r="AH100" s="25"/>
      <c r="AI100" s="25"/>
      <c r="AJ100" s="25" t="str">
        <f aca="false">IF($A100="","",IF(COUNT($AE100:$AI100)=0,"",SUM($AE100:$AI100)))</f>
        <v/>
      </c>
      <c r="AK100" s="25"/>
      <c r="AL100" s="25"/>
      <c r="AM100" s="25" t="str">
        <f aca="false">IF(OR($A100="",$AJ100=""),"",$AJ100-N($AK100)-N($AL100))</f>
        <v/>
      </c>
      <c r="AN100" s="23"/>
      <c r="AO100" s="23"/>
      <c r="AP100" s="22"/>
      <c r="AQ100" s="22"/>
      <c r="AR100" s="23" t="str">
        <f aca="false">IF(OR($A100="",$R100=""),"",$R100+ReceiptDays)</f>
        <v/>
      </c>
      <c r="AS100" s="23"/>
      <c r="AT100" s="23" t="str">
        <f aca="false">IF(OR($A100="",$P100=""),"",($P100-FinanceLeadDays)-MOD(($P100-FinanceLeadDays)-DATE(2024,1,2),7))</f>
        <v/>
      </c>
      <c r="AU100" s="23"/>
      <c r="AV100" s="22"/>
      <c r="AW100" s="22"/>
      <c r="AX100" s="25" t="n">
        <f aca="false">IF(OR($A100="",$B100="Denied",$B100="Cancelled"),0,N($AD100))</f>
        <v>0</v>
      </c>
      <c r="AY100" s="25" t="n">
        <f aca="false">IF($A100="",0,N($AJ100))</f>
        <v>0</v>
      </c>
      <c r="AZ100" s="25" t="n">
        <f aca="false">IF(OR($A100="",$B100="Denied",$B100="Cancelled",$B100="Closed"),0,IF(N($AJ100)&gt;0,0,N($AD100)))</f>
        <v>0</v>
      </c>
      <c r="BA100" s="26" t="n">
        <f aca="false">IF($A100="",0,IF($B100="Awaiting Approval",COUNTIF(BA$1:BA99,"&gt;0")+1,0))</f>
        <v>0</v>
      </c>
      <c r="BB100" s="26" t="n">
        <f aca="false">IF($A100="",0,IF(AND($B100="Approved",$AP100&lt;&gt;"Y"),COUNTIF(BB$1:BB99,"&gt;0")+1,0))</f>
        <v>0</v>
      </c>
      <c r="BC100" s="26" t="n">
        <f aca="false">IF($A100="",0,IF(AND($B100="Approved",N($U100)&gt;0,$AQ100&lt;&gt;"Y"),COUNTIF(BC$1:BC99,"&gt;0")+1,0))</f>
        <v>0</v>
      </c>
      <c r="BD100" s="26" t="n">
        <f aca="true">IF($A100="",0,IF(AND($AR100&lt;&gt;"",N($AR100)&lt;TODAY(),$AS100="",$B100&lt;&gt;"Closed",$B100&lt;&gt;"Cancelled",$B100&lt;&gt;"Denied"),COUNTIF(BD$1:BD99,"&gt;0")+1,0))</f>
        <v>0</v>
      </c>
      <c r="BE100" s="26" t="n">
        <f aca="true">IF($A100="",0,IF(AND($AT100&lt;&gt;"",N($AT100)&lt;=TODAY()+7,$AU100="",$B100&lt;&gt;"Denied",$B100&lt;&gt;"Cancelled",$B100&lt;&gt;"Closed"),COUNTIF(BE$1:BE99,"&gt;0")+1,0))</f>
        <v>0</v>
      </c>
      <c r="BF100" s="22"/>
      <c r="BG100" s="22"/>
      <c r="BH100" s="22"/>
      <c r="BI100" s="22"/>
    </row>
    <row r="101" customFormat="false" ht="15" hidden="false" customHeight="false" outlineLevel="0" collapsed="false">
      <c r="A101" s="27"/>
      <c r="B101" s="27"/>
      <c r="C101" s="27"/>
      <c r="D101" s="27"/>
      <c r="E101" s="27"/>
      <c r="F101" s="27"/>
      <c r="G101" s="27"/>
      <c r="H101" s="27"/>
      <c r="I101" s="27"/>
      <c r="J101" s="27"/>
      <c r="K101" s="27"/>
      <c r="L101" s="27"/>
      <c r="M101" s="27"/>
      <c r="N101" s="28"/>
      <c r="O101" s="28"/>
      <c r="P101" s="28"/>
      <c r="Q101" s="29"/>
      <c r="R101" s="28"/>
      <c r="S101" s="29"/>
      <c r="T101" s="30"/>
      <c r="U101" s="31"/>
      <c r="V101" s="30"/>
      <c r="W101" s="30" t="str">
        <f aca="false">IF($A101="","",N($U101)*N($V101))</f>
        <v/>
      </c>
      <c r="X101" s="27"/>
      <c r="Y101" s="31"/>
      <c r="Z101" s="30"/>
      <c r="AA101" s="30" t="str">
        <f aca="false">IF($A101="","",IF($X101="POV",N($Y101)*MileageRate,0)+N($Z101))</f>
        <v/>
      </c>
      <c r="AB101" s="30" t="str">
        <f aca="false">IF(OR($A101="",$P101="",$R101="",$Q101="",$S101=""),"",IF($R101=$P101,($Q101&lt;=T_DepBfast)*($S101&gt;=T_RetBfast)*PD_Bfast+($Q101&lt;=T_DepLunch)*($S101&gt;=T_RetLunch)*PD_Lunch+($Q101&lt;=T_DepDinner)*($S101&gt;=T_RetDinner)*PD_Dinner+PD_Incid,($Q101&lt;=T_DepBfast)*PD_Bfast+($Q101&lt;=T_DepLunch)*PD_Lunch+($Q101&lt;=T_DepDinner)*PD_Dinner+($S101&gt;=T_RetBfast)*PD_Bfast+($S101&gt;=T_RetLunch)*PD_Lunch+($S101&gt;=T_RetDinner)*PD_Dinner+MAX($R101-$P101-1,0)*(PD_Bfast+PD_Lunch+PD_Dinner)+($R101-$P101+1)*PD_Incid))</f>
        <v/>
      </c>
      <c r="AC101" s="30"/>
      <c r="AD101" s="30" t="str">
        <f aca="false">IF($A101="","",N($T101)+N($W101)+N($AA101)+N($AB101)+N($AC101))</f>
        <v/>
      </c>
      <c r="AE101" s="30"/>
      <c r="AF101" s="30"/>
      <c r="AG101" s="30"/>
      <c r="AH101" s="30"/>
      <c r="AI101" s="30"/>
      <c r="AJ101" s="30" t="str">
        <f aca="false">IF($A101="","",IF(COUNT($AE101:$AI101)=0,"",SUM($AE101:$AI101)))</f>
        <v/>
      </c>
      <c r="AK101" s="30"/>
      <c r="AL101" s="30"/>
      <c r="AM101" s="30" t="str">
        <f aca="false">IF(OR($A101="",$AJ101=""),"",$AJ101-N($AK101)-N($AL101))</f>
        <v/>
      </c>
      <c r="AN101" s="28"/>
      <c r="AO101" s="28"/>
      <c r="AP101" s="27"/>
      <c r="AQ101" s="27"/>
      <c r="AR101" s="28" t="str">
        <f aca="false">IF(OR($A101="",$R101=""),"",$R101+ReceiptDays)</f>
        <v/>
      </c>
      <c r="AS101" s="28"/>
      <c r="AT101" s="28" t="str">
        <f aca="false">IF(OR($A101="",$P101=""),"",($P101-FinanceLeadDays)-MOD(($P101-FinanceLeadDays)-DATE(2024,1,2),7))</f>
        <v/>
      </c>
      <c r="AU101" s="28"/>
      <c r="AV101" s="27"/>
      <c r="AW101" s="27"/>
      <c r="AX101" s="30" t="n">
        <f aca="false">IF(OR($A101="",$B101="Denied",$B101="Cancelled"),0,N($AD101))</f>
        <v>0</v>
      </c>
      <c r="AY101" s="30" t="n">
        <f aca="false">IF($A101="",0,N($AJ101))</f>
        <v>0</v>
      </c>
      <c r="AZ101" s="30" t="n">
        <f aca="false">IF(OR($A101="",$B101="Denied",$B101="Cancelled",$B101="Closed"),0,IF(N($AJ101)&gt;0,0,N($AD101)))</f>
        <v>0</v>
      </c>
      <c r="BA101" s="31" t="n">
        <f aca="false">IF($A101="",0,IF($B101="Awaiting Approval",COUNTIF(BA$1:BA100,"&gt;0")+1,0))</f>
        <v>0</v>
      </c>
      <c r="BB101" s="31" t="n">
        <f aca="false">IF($A101="",0,IF(AND($B101="Approved",$AP101&lt;&gt;"Y"),COUNTIF(BB$1:BB100,"&gt;0")+1,0))</f>
        <v>0</v>
      </c>
      <c r="BC101" s="31" t="n">
        <f aca="false">IF($A101="",0,IF(AND($B101="Approved",N($U101)&gt;0,$AQ101&lt;&gt;"Y"),COUNTIF(BC$1:BC100,"&gt;0")+1,0))</f>
        <v>0</v>
      </c>
      <c r="BD101" s="31" t="n">
        <f aca="true">IF($A101="",0,IF(AND($AR101&lt;&gt;"",N($AR101)&lt;TODAY(),$AS101="",$B101&lt;&gt;"Closed",$B101&lt;&gt;"Cancelled",$B101&lt;&gt;"Denied"),COUNTIF(BD$1:BD100,"&gt;0")+1,0))</f>
        <v>0</v>
      </c>
      <c r="BE101" s="31" t="n">
        <f aca="true">IF($A101="",0,IF(AND($AT101&lt;&gt;"",N($AT101)&lt;=TODAY()+7,$AU101="",$B101&lt;&gt;"Denied",$B101&lt;&gt;"Cancelled",$B101&lt;&gt;"Closed"),COUNTIF(BE$1:BE100,"&gt;0")+1,0))</f>
        <v>0</v>
      </c>
      <c r="BF101" s="27"/>
      <c r="BG101" s="27"/>
      <c r="BH101" s="27"/>
      <c r="BI101" s="27"/>
    </row>
    <row r="102" customFormat="false" ht="15" hidden="false" customHeight="false" outlineLevel="0" collapsed="false">
      <c r="A102" s="22"/>
      <c r="B102" s="22"/>
      <c r="C102" s="22"/>
      <c r="D102" s="22"/>
      <c r="E102" s="22"/>
      <c r="F102" s="22"/>
      <c r="G102" s="22"/>
      <c r="H102" s="22"/>
      <c r="I102" s="22"/>
      <c r="J102" s="22"/>
      <c r="K102" s="22"/>
      <c r="L102" s="22"/>
      <c r="M102" s="22"/>
      <c r="N102" s="23"/>
      <c r="O102" s="23"/>
      <c r="P102" s="23"/>
      <c r="Q102" s="24"/>
      <c r="R102" s="23"/>
      <c r="S102" s="24"/>
      <c r="T102" s="25"/>
      <c r="U102" s="26"/>
      <c r="V102" s="25"/>
      <c r="W102" s="25" t="str">
        <f aca="false">IF($A102="","",N($U102)*N($V102))</f>
        <v/>
      </c>
      <c r="X102" s="22"/>
      <c r="Y102" s="26"/>
      <c r="Z102" s="25"/>
      <c r="AA102" s="25" t="str">
        <f aca="false">IF($A102="","",IF($X102="POV",N($Y102)*MileageRate,0)+N($Z102))</f>
        <v/>
      </c>
      <c r="AB102" s="25" t="str">
        <f aca="false">IF(OR($A102="",$P102="",$R102="",$Q102="",$S102=""),"",IF($R102=$P102,($Q102&lt;=T_DepBfast)*($S102&gt;=T_RetBfast)*PD_Bfast+($Q102&lt;=T_DepLunch)*($S102&gt;=T_RetLunch)*PD_Lunch+($Q102&lt;=T_DepDinner)*($S102&gt;=T_RetDinner)*PD_Dinner+PD_Incid,($Q102&lt;=T_DepBfast)*PD_Bfast+($Q102&lt;=T_DepLunch)*PD_Lunch+($Q102&lt;=T_DepDinner)*PD_Dinner+($S102&gt;=T_RetBfast)*PD_Bfast+($S102&gt;=T_RetLunch)*PD_Lunch+($S102&gt;=T_RetDinner)*PD_Dinner+MAX($R102-$P102-1,0)*(PD_Bfast+PD_Lunch+PD_Dinner)+($R102-$P102+1)*PD_Incid))</f>
        <v/>
      </c>
      <c r="AC102" s="25"/>
      <c r="AD102" s="25" t="str">
        <f aca="false">IF($A102="","",N($T102)+N($W102)+N($AA102)+N($AB102)+N($AC102))</f>
        <v/>
      </c>
      <c r="AE102" s="25"/>
      <c r="AF102" s="25"/>
      <c r="AG102" s="25"/>
      <c r="AH102" s="25"/>
      <c r="AI102" s="25"/>
      <c r="AJ102" s="25" t="str">
        <f aca="false">IF($A102="","",IF(COUNT($AE102:$AI102)=0,"",SUM($AE102:$AI102)))</f>
        <v/>
      </c>
      <c r="AK102" s="25"/>
      <c r="AL102" s="25"/>
      <c r="AM102" s="25" t="str">
        <f aca="false">IF(OR($A102="",$AJ102=""),"",$AJ102-N($AK102)-N($AL102))</f>
        <v/>
      </c>
      <c r="AN102" s="23"/>
      <c r="AO102" s="23"/>
      <c r="AP102" s="22"/>
      <c r="AQ102" s="22"/>
      <c r="AR102" s="23" t="str">
        <f aca="false">IF(OR($A102="",$R102=""),"",$R102+ReceiptDays)</f>
        <v/>
      </c>
      <c r="AS102" s="23"/>
      <c r="AT102" s="23" t="str">
        <f aca="false">IF(OR($A102="",$P102=""),"",($P102-FinanceLeadDays)-MOD(($P102-FinanceLeadDays)-DATE(2024,1,2),7))</f>
        <v/>
      </c>
      <c r="AU102" s="23"/>
      <c r="AV102" s="22"/>
      <c r="AW102" s="22"/>
      <c r="AX102" s="25" t="n">
        <f aca="false">IF(OR($A102="",$B102="Denied",$B102="Cancelled"),0,N($AD102))</f>
        <v>0</v>
      </c>
      <c r="AY102" s="25" t="n">
        <f aca="false">IF($A102="",0,N($AJ102))</f>
        <v>0</v>
      </c>
      <c r="AZ102" s="25" t="n">
        <f aca="false">IF(OR($A102="",$B102="Denied",$B102="Cancelled",$B102="Closed"),0,IF(N($AJ102)&gt;0,0,N($AD102)))</f>
        <v>0</v>
      </c>
      <c r="BA102" s="26" t="n">
        <f aca="false">IF($A102="",0,IF($B102="Awaiting Approval",COUNTIF(BA$1:BA101,"&gt;0")+1,0))</f>
        <v>0</v>
      </c>
      <c r="BB102" s="26" t="n">
        <f aca="false">IF($A102="",0,IF(AND($B102="Approved",$AP102&lt;&gt;"Y"),COUNTIF(BB$1:BB101,"&gt;0")+1,0))</f>
        <v>0</v>
      </c>
      <c r="BC102" s="26" t="n">
        <f aca="false">IF($A102="",0,IF(AND($B102="Approved",N($U102)&gt;0,$AQ102&lt;&gt;"Y"),COUNTIF(BC$1:BC101,"&gt;0")+1,0))</f>
        <v>0</v>
      </c>
      <c r="BD102" s="26" t="n">
        <f aca="true">IF($A102="",0,IF(AND($AR102&lt;&gt;"",N($AR102)&lt;TODAY(),$AS102="",$B102&lt;&gt;"Closed",$B102&lt;&gt;"Cancelled",$B102&lt;&gt;"Denied"),COUNTIF(BD$1:BD101,"&gt;0")+1,0))</f>
        <v>0</v>
      </c>
      <c r="BE102" s="26" t="n">
        <f aca="true">IF($A102="",0,IF(AND($AT102&lt;&gt;"",N($AT102)&lt;=TODAY()+7,$AU102="",$B102&lt;&gt;"Denied",$B102&lt;&gt;"Cancelled",$B102&lt;&gt;"Closed"),COUNTIF(BE$1:BE101,"&gt;0")+1,0))</f>
        <v>0</v>
      </c>
      <c r="BF102" s="22"/>
      <c r="BG102" s="22"/>
      <c r="BH102" s="22"/>
      <c r="BI102" s="22"/>
    </row>
    <row r="103" customFormat="false" ht="15" hidden="false" customHeight="false" outlineLevel="0" collapsed="false">
      <c r="A103" s="27"/>
      <c r="B103" s="27"/>
      <c r="C103" s="27"/>
      <c r="D103" s="27"/>
      <c r="E103" s="27"/>
      <c r="F103" s="27"/>
      <c r="G103" s="27"/>
      <c r="H103" s="27"/>
      <c r="I103" s="27"/>
      <c r="J103" s="27"/>
      <c r="K103" s="27"/>
      <c r="L103" s="27"/>
      <c r="M103" s="27"/>
      <c r="N103" s="28"/>
      <c r="O103" s="28"/>
      <c r="P103" s="28"/>
      <c r="Q103" s="29"/>
      <c r="R103" s="28"/>
      <c r="S103" s="29"/>
      <c r="T103" s="30"/>
      <c r="U103" s="31"/>
      <c r="V103" s="30"/>
      <c r="W103" s="30" t="str">
        <f aca="false">IF($A103="","",N($U103)*N($V103))</f>
        <v/>
      </c>
      <c r="X103" s="27"/>
      <c r="Y103" s="31"/>
      <c r="Z103" s="30"/>
      <c r="AA103" s="30" t="str">
        <f aca="false">IF($A103="","",IF($X103="POV",N($Y103)*MileageRate,0)+N($Z103))</f>
        <v/>
      </c>
      <c r="AB103" s="30" t="str">
        <f aca="false">IF(OR($A103="",$P103="",$R103="",$Q103="",$S103=""),"",IF($R103=$P103,($Q103&lt;=T_DepBfast)*($S103&gt;=T_RetBfast)*PD_Bfast+($Q103&lt;=T_DepLunch)*($S103&gt;=T_RetLunch)*PD_Lunch+($Q103&lt;=T_DepDinner)*($S103&gt;=T_RetDinner)*PD_Dinner+PD_Incid,($Q103&lt;=T_DepBfast)*PD_Bfast+($Q103&lt;=T_DepLunch)*PD_Lunch+($Q103&lt;=T_DepDinner)*PD_Dinner+($S103&gt;=T_RetBfast)*PD_Bfast+($S103&gt;=T_RetLunch)*PD_Lunch+($S103&gt;=T_RetDinner)*PD_Dinner+MAX($R103-$P103-1,0)*(PD_Bfast+PD_Lunch+PD_Dinner)+($R103-$P103+1)*PD_Incid))</f>
        <v/>
      </c>
      <c r="AC103" s="30"/>
      <c r="AD103" s="30" t="str">
        <f aca="false">IF($A103="","",N($T103)+N($W103)+N($AA103)+N($AB103)+N($AC103))</f>
        <v/>
      </c>
      <c r="AE103" s="30"/>
      <c r="AF103" s="30"/>
      <c r="AG103" s="30"/>
      <c r="AH103" s="30"/>
      <c r="AI103" s="30"/>
      <c r="AJ103" s="30" t="str">
        <f aca="false">IF($A103="","",IF(COUNT($AE103:$AI103)=0,"",SUM($AE103:$AI103)))</f>
        <v/>
      </c>
      <c r="AK103" s="30"/>
      <c r="AL103" s="30"/>
      <c r="AM103" s="30" t="str">
        <f aca="false">IF(OR($A103="",$AJ103=""),"",$AJ103-N($AK103)-N($AL103))</f>
        <v/>
      </c>
      <c r="AN103" s="28"/>
      <c r="AO103" s="28"/>
      <c r="AP103" s="27"/>
      <c r="AQ103" s="27"/>
      <c r="AR103" s="28" t="str">
        <f aca="false">IF(OR($A103="",$R103=""),"",$R103+ReceiptDays)</f>
        <v/>
      </c>
      <c r="AS103" s="28"/>
      <c r="AT103" s="28" t="str">
        <f aca="false">IF(OR($A103="",$P103=""),"",($P103-FinanceLeadDays)-MOD(($P103-FinanceLeadDays)-DATE(2024,1,2),7))</f>
        <v/>
      </c>
      <c r="AU103" s="28"/>
      <c r="AV103" s="27"/>
      <c r="AW103" s="27"/>
      <c r="AX103" s="30" t="n">
        <f aca="false">IF(OR($A103="",$B103="Denied",$B103="Cancelled"),0,N($AD103))</f>
        <v>0</v>
      </c>
      <c r="AY103" s="30" t="n">
        <f aca="false">IF($A103="",0,N($AJ103))</f>
        <v>0</v>
      </c>
      <c r="AZ103" s="30" t="n">
        <f aca="false">IF(OR($A103="",$B103="Denied",$B103="Cancelled",$B103="Closed"),0,IF(N($AJ103)&gt;0,0,N($AD103)))</f>
        <v>0</v>
      </c>
      <c r="BA103" s="31" t="n">
        <f aca="false">IF($A103="",0,IF($B103="Awaiting Approval",COUNTIF(BA$1:BA102,"&gt;0")+1,0))</f>
        <v>0</v>
      </c>
      <c r="BB103" s="31" t="n">
        <f aca="false">IF($A103="",0,IF(AND($B103="Approved",$AP103&lt;&gt;"Y"),COUNTIF(BB$1:BB102,"&gt;0")+1,0))</f>
        <v>0</v>
      </c>
      <c r="BC103" s="31" t="n">
        <f aca="false">IF($A103="",0,IF(AND($B103="Approved",N($U103)&gt;0,$AQ103&lt;&gt;"Y"),COUNTIF(BC$1:BC102,"&gt;0")+1,0))</f>
        <v>0</v>
      </c>
      <c r="BD103" s="31" t="n">
        <f aca="true">IF($A103="",0,IF(AND($AR103&lt;&gt;"",N($AR103)&lt;TODAY(),$AS103="",$B103&lt;&gt;"Closed",$B103&lt;&gt;"Cancelled",$B103&lt;&gt;"Denied"),COUNTIF(BD$1:BD102,"&gt;0")+1,0))</f>
        <v>0</v>
      </c>
      <c r="BE103" s="31" t="n">
        <f aca="true">IF($A103="",0,IF(AND($AT103&lt;&gt;"",N($AT103)&lt;=TODAY()+7,$AU103="",$B103&lt;&gt;"Denied",$B103&lt;&gt;"Cancelled",$B103&lt;&gt;"Closed"),COUNTIF(BE$1:BE102,"&gt;0")+1,0))</f>
        <v>0</v>
      </c>
      <c r="BF103" s="27"/>
      <c r="BG103" s="27"/>
      <c r="BH103" s="27"/>
      <c r="BI103" s="27"/>
    </row>
    <row r="104" customFormat="false" ht="15" hidden="false" customHeight="false" outlineLevel="0" collapsed="false">
      <c r="A104" s="22"/>
      <c r="B104" s="22"/>
      <c r="C104" s="22"/>
      <c r="D104" s="22"/>
      <c r="E104" s="22"/>
      <c r="F104" s="22"/>
      <c r="G104" s="22"/>
      <c r="H104" s="22"/>
      <c r="I104" s="22"/>
      <c r="J104" s="22"/>
      <c r="K104" s="22"/>
      <c r="L104" s="22"/>
      <c r="M104" s="22"/>
      <c r="N104" s="23"/>
      <c r="O104" s="23"/>
      <c r="P104" s="23"/>
      <c r="Q104" s="24"/>
      <c r="R104" s="23"/>
      <c r="S104" s="24"/>
      <c r="T104" s="25"/>
      <c r="U104" s="26"/>
      <c r="V104" s="25"/>
      <c r="W104" s="25" t="str">
        <f aca="false">IF($A104="","",N($U104)*N($V104))</f>
        <v/>
      </c>
      <c r="X104" s="22"/>
      <c r="Y104" s="26"/>
      <c r="Z104" s="25"/>
      <c r="AA104" s="25" t="str">
        <f aca="false">IF($A104="","",IF($X104="POV",N($Y104)*MileageRate,0)+N($Z104))</f>
        <v/>
      </c>
      <c r="AB104" s="25" t="str">
        <f aca="false">IF(OR($A104="",$P104="",$R104="",$Q104="",$S104=""),"",IF($R104=$P104,($Q104&lt;=T_DepBfast)*($S104&gt;=T_RetBfast)*PD_Bfast+($Q104&lt;=T_DepLunch)*($S104&gt;=T_RetLunch)*PD_Lunch+($Q104&lt;=T_DepDinner)*($S104&gt;=T_RetDinner)*PD_Dinner+PD_Incid,($Q104&lt;=T_DepBfast)*PD_Bfast+($Q104&lt;=T_DepLunch)*PD_Lunch+($Q104&lt;=T_DepDinner)*PD_Dinner+($S104&gt;=T_RetBfast)*PD_Bfast+($S104&gt;=T_RetLunch)*PD_Lunch+($S104&gt;=T_RetDinner)*PD_Dinner+MAX($R104-$P104-1,0)*(PD_Bfast+PD_Lunch+PD_Dinner)+($R104-$P104+1)*PD_Incid))</f>
        <v/>
      </c>
      <c r="AC104" s="25"/>
      <c r="AD104" s="25" t="str">
        <f aca="false">IF($A104="","",N($T104)+N($W104)+N($AA104)+N($AB104)+N($AC104))</f>
        <v/>
      </c>
      <c r="AE104" s="25"/>
      <c r="AF104" s="25"/>
      <c r="AG104" s="25"/>
      <c r="AH104" s="25"/>
      <c r="AI104" s="25"/>
      <c r="AJ104" s="25" t="str">
        <f aca="false">IF($A104="","",IF(COUNT($AE104:$AI104)=0,"",SUM($AE104:$AI104)))</f>
        <v/>
      </c>
      <c r="AK104" s="25"/>
      <c r="AL104" s="25"/>
      <c r="AM104" s="25" t="str">
        <f aca="false">IF(OR($A104="",$AJ104=""),"",$AJ104-N($AK104)-N($AL104))</f>
        <v/>
      </c>
      <c r="AN104" s="23"/>
      <c r="AO104" s="23"/>
      <c r="AP104" s="22"/>
      <c r="AQ104" s="22"/>
      <c r="AR104" s="23" t="str">
        <f aca="false">IF(OR($A104="",$R104=""),"",$R104+ReceiptDays)</f>
        <v/>
      </c>
      <c r="AS104" s="23"/>
      <c r="AT104" s="23" t="str">
        <f aca="false">IF(OR($A104="",$P104=""),"",($P104-FinanceLeadDays)-MOD(($P104-FinanceLeadDays)-DATE(2024,1,2),7))</f>
        <v/>
      </c>
      <c r="AU104" s="23"/>
      <c r="AV104" s="22"/>
      <c r="AW104" s="22"/>
      <c r="AX104" s="25" t="n">
        <f aca="false">IF(OR($A104="",$B104="Denied",$B104="Cancelled"),0,N($AD104))</f>
        <v>0</v>
      </c>
      <c r="AY104" s="25" t="n">
        <f aca="false">IF($A104="",0,N($AJ104))</f>
        <v>0</v>
      </c>
      <c r="AZ104" s="25" t="n">
        <f aca="false">IF(OR($A104="",$B104="Denied",$B104="Cancelled",$B104="Closed"),0,IF(N($AJ104)&gt;0,0,N($AD104)))</f>
        <v>0</v>
      </c>
      <c r="BA104" s="26" t="n">
        <f aca="false">IF($A104="",0,IF($B104="Awaiting Approval",COUNTIF(BA$1:BA103,"&gt;0")+1,0))</f>
        <v>0</v>
      </c>
      <c r="BB104" s="26" t="n">
        <f aca="false">IF($A104="",0,IF(AND($B104="Approved",$AP104&lt;&gt;"Y"),COUNTIF(BB$1:BB103,"&gt;0")+1,0))</f>
        <v>0</v>
      </c>
      <c r="BC104" s="26" t="n">
        <f aca="false">IF($A104="",0,IF(AND($B104="Approved",N($U104)&gt;0,$AQ104&lt;&gt;"Y"),COUNTIF(BC$1:BC103,"&gt;0")+1,0))</f>
        <v>0</v>
      </c>
      <c r="BD104" s="26" t="n">
        <f aca="true">IF($A104="",0,IF(AND($AR104&lt;&gt;"",N($AR104)&lt;TODAY(),$AS104="",$B104&lt;&gt;"Closed",$B104&lt;&gt;"Cancelled",$B104&lt;&gt;"Denied"),COUNTIF(BD$1:BD103,"&gt;0")+1,0))</f>
        <v>0</v>
      </c>
      <c r="BE104" s="26" t="n">
        <f aca="true">IF($A104="",0,IF(AND($AT104&lt;&gt;"",N($AT104)&lt;=TODAY()+7,$AU104="",$B104&lt;&gt;"Denied",$B104&lt;&gt;"Cancelled",$B104&lt;&gt;"Closed"),COUNTIF(BE$1:BE103,"&gt;0")+1,0))</f>
        <v>0</v>
      </c>
      <c r="BF104" s="22"/>
      <c r="BG104" s="22"/>
      <c r="BH104" s="22"/>
      <c r="BI104" s="22"/>
    </row>
    <row r="105" customFormat="false" ht="15" hidden="false" customHeight="false" outlineLevel="0" collapsed="false">
      <c r="A105" s="27"/>
      <c r="B105" s="27"/>
      <c r="C105" s="27"/>
      <c r="D105" s="27"/>
      <c r="E105" s="27"/>
      <c r="F105" s="27"/>
      <c r="G105" s="27"/>
      <c r="H105" s="27"/>
      <c r="I105" s="27"/>
      <c r="J105" s="27"/>
      <c r="K105" s="27"/>
      <c r="L105" s="27"/>
      <c r="M105" s="27"/>
      <c r="N105" s="28"/>
      <c r="O105" s="28"/>
      <c r="P105" s="28"/>
      <c r="Q105" s="29"/>
      <c r="R105" s="28"/>
      <c r="S105" s="29"/>
      <c r="T105" s="30"/>
      <c r="U105" s="31"/>
      <c r="V105" s="30"/>
      <c r="W105" s="30" t="str">
        <f aca="false">IF($A105="","",N($U105)*N($V105))</f>
        <v/>
      </c>
      <c r="X105" s="27"/>
      <c r="Y105" s="31"/>
      <c r="Z105" s="30"/>
      <c r="AA105" s="30" t="str">
        <f aca="false">IF($A105="","",IF($X105="POV",N($Y105)*MileageRate,0)+N($Z105))</f>
        <v/>
      </c>
      <c r="AB105" s="30" t="str">
        <f aca="false">IF(OR($A105="",$P105="",$R105="",$Q105="",$S105=""),"",IF($R105=$P105,($Q105&lt;=T_DepBfast)*($S105&gt;=T_RetBfast)*PD_Bfast+($Q105&lt;=T_DepLunch)*($S105&gt;=T_RetLunch)*PD_Lunch+($Q105&lt;=T_DepDinner)*($S105&gt;=T_RetDinner)*PD_Dinner+PD_Incid,($Q105&lt;=T_DepBfast)*PD_Bfast+($Q105&lt;=T_DepLunch)*PD_Lunch+($Q105&lt;=T_DepDinner)*PD_Dinner+($S105&gt;=T_RetBfast)*PD_Bfast+($S105&gt;=T_RetLunch)*PD_Lunch+($S105&gt;=T_RetDinner)*PD_Dinner+MAX($R105-$P105-1,0)*(PD_Bfast+PD_Lunch+PD_Dinner)+($R105-$P105+1)*PD_Incid))</f>
        <v/>
      </c>
      <c r="AC105" s="30"/>
      <c r="AD105" s="30" t="str">
        <f aca="false">IF($A105="","",N($T105)+N($W105)+N($AA105)+N($AB105)+N($AC105))</f>
        <v/>
      </c>
      <c r="AE105" s="30"/>
      <c r="AF105" s="30"/>
      <c r="AG105" s="30"/>
      <c r="AH105" s="30"/>
      <c r="AI105" s="30"/>
      <c r="AJ105" s="30" t="str">
        <f aca="false">IF($A105="","",IF(COUNT($AE105:$AI105)=0,"",SUM($AE105:$AI105)))</f>
        <v/>
      </c>
      <c r="AK105" s="30"/>
      <c r="AL105" s="30"/>
      <c r="AM105" s="30" t="str">
        <f aca="false">IF(OR($A105="",$AJ105=""),"",$AJ105-N($AK105)-N($AL105))</f>
        <v/>
      </c>
      <c r="AN105" s="28"/>
      <c r="AO105" s="28"/>
      <c r="AP105" s="27"/>
      <c r="AQ105" s="27"/>
      <c r="AR105" s="28" t="str">
        <f aca="false">IF(OR($A105="",$R105=""),"",$R105+ReceiptDays)</f>
        <v/>
      </c>
      <c r="AS105" s="28"/>
      <c r="AT105" s="28" t="str">
        <f aca="false">IF(OR($A105="",$P105=""),"",($P105-FinanceLeadDays)-MOD(($P105-FinanceLeadDays)-DATE(2024,1,2),7))</f>
        <v/>
      </c>
      <c r="AU105" s="28"/>
      <c r="AV105" s="27"/>
      <c r="AW105" s="27"/>
      <c r="AX105" s="30" t="n">
        <f aca="false">IF(OR($A105="",$B105="Denied",$B105="Cancelled"),0,N($AD105))</f>
        <v>0</v>
      </c>
      <c r="AY105" s="30" t="n">
        <f aca="false">IF($A105="",0,N($AJ105))</f>
        <v>0</v>
      </c>
      <c r="AZ105" s="30" t="n">
        <f aca="false">IF(OR($A105="",$B105="Denied",$B105="Cancelled",$B105="Closed"),0,IF(N($AJ105)&gt;0,0,N($AD105)))</f>
        <v>0</v>
      </c>
      <c r="BA105" s="31" t="n">
        <f aca="false">IF($A105="",0,IF($B105="Awaiting Approval",COUNTIF(BA$1:BA104,"&gt;0")+1,0))</f>
        <v>0</v>
      </c>
      <c r="BB105" s="31" t="n">
        <f aca="false">IF($A105="",0,IF(AND($B105="Approved",$AP105&lt;&gt;"Y"),COUNTIF(BB$1:BB104,"&gt;0")+1,0))</f>
        <v>0</v>
      </c>
      <c r="BC105" s="31" t="n">
        <f aca="false">IF($A105="",0,IF(AND($B105="Approved",N($U105)&gt;0,$AQ105&lt;&gt;"Y"),COUNTIF(BC$1:BC104,"&gt;0")+1,0))</f>
        <v>0</v>
      </c>
      <c r="BD105" s="31" t="n">
        <f aca="true">IF($A105="",0,IF(AND($AR105&lt;&gt;"",N($AR105)&lt;TODAY(),$AS105="",$B105&lt;&gt;"Closed",$B105&lt;&gt;"Cancelled",$B105&lt;&gt;"Denied"),COUNTIF(BD$1:BD104,"&gt;0")+1,0))</f>
        <v>0</v>
      </c>
      <c r="BE105" s="31" t="n">
        <f aca="true">IF($A105="",0,IF(AND($AT105&lt;&gt;"",N($AT105)&lt;=TODAY()+7,$AU105="",$B105&lt;&gt;"Denied",$B105&lt;&gt;"Cancelled",$B105&lt;&gt;"Closed"),COUNTIF(BE$1:BE104,"&gt;0")+1,0))</f>
        <v>0</v>
      </c>
      <c r="BF105" s="27"/>
      <c r="BG105" s="27"/>
      <c r="BH105" s="27"/>
      <c r="BI105" s="27"/>
    </row>
    <row r="106" customFormat="false" ht="15" hidden="false" customHeight="false" outlineLevel="0" collapsed="false">
      <c r="A106" s="22"/>
      <c r="B106" s="22"/>
      <c r="C106" s="22"/>
      <c r="D106" s="22"/>
      <c r="E106" s="22"/>
      <c r="F106" s="22"/>
      <c r="G106" s="22"/>
      <c r="H106" s="22"/>
      <c r="I106" s="22"/>
      <c r="J106" s="22"/>
      <c r="K106" s="22"/>
      <c r="L106" s="22"/>
      <c r="M106" s="22"/>
      <c r="N106" s="23"/>
      <c r="O106" s="23"/>
      <c r="P106" s="23"/>
      <c r="Q106" s="24"/>
      <c r="R106" s="23"/>
      <c r="S106" s="24"/>
      <c r="T106" s="25"/>
      <c r="U106" s="26"/>
      <c r="V106" s="25"/>
      <c r="W106" s="25" t="str">
        <f aca="false">IF($A106="","",N($U106)*N($V106))</f>
        <v/>
      </c>
      <c r="X106" s="22"/>
      <c r="Y106" s="26"/>
      <c r="Z106" s="25"/>
      <c r="AA106" s="25" t="str">
        <f aca="false">IF($A106="","",IF($X106="POV",N($Y106)*MileageRate,0)+N($Z106))</f>
        <v/>
      </c>
      <c r="AB106" s="25" t="str">
        <f aca="false">IF(OR($A106="",$P106="",$R106="",$Q106="",$S106=""),"",IF($R106=$P106,($Q106&lt;=T_DepBfast)*($S106&gt;=T_RetBfast)*PD_Bfast+($Q106&lt;=T_DepLunch)*($S106&gt;=T_RetLunch)*PD_Lunch+($Q106&lt;=T_DepDinner)*($S106&gt;=T_RetDinner)*PD_Dinner+PD_Incid,($Q106&lt;=T_DepBfast)*PD_Bfast+($Q106&lt;=T_DepLunch)*PD_Lunch+($Q106&lt;=T_DepDinner)*PD_Dinner+($S106&gt;=T_RetBfast)*PD_Bfast+($S106&gt;=T_RetLunch)*PD_Lunch+($S106&gt;=T_RetDinner)*PD_Dinner+MAX($R106-$P106-1,0)*(PD_Bfast+PD_Lunch+PD_Dinner)+($R106-$P106+1)*PD_Incid))</f>
        <v/>
      </c>
      <c r="AC106" s="25"/>
      <c r="AD106" s="25" t="str">
        <f aca="false">IF($A106="","",N($T106)+N($W106)+N($AA106)+N($AB106)+N($AC106))</f>
        <v/>
      </c>
      <c r="AE106" s="25"/>
      <c r="AF106" s="25"/>
      <c r="AG106" s="25"/>
      <c r="AH106" s="25"/>
      <c r="AI106" s="25"/>
      <c r="AJ106" s="25" t="str">
        <f aca="false">IF($A106="","",IF(COUNT($AE106:$AI106)=0,"",SUM($AE106:$AI106)))</f>
        <v/>
      </c>
      <c r="AK106" s="25"/>
      <c r="AL106" s="25"/>
      <c r="AM106" s="25" t="str">
        <f aca="false">IF(OR($A106="",$AJ106=""),"",$AJ106-N($AK106)-N($AL106))</f>
        <v/>
      </c>
      <c r="AN106" s="23"/>
      <c r="AO106" s="23"/>
      <c r="AP106" s="22"/>
      <c r="AQ106" s="22"/>
      <c r="AR106" s="23" t="str">
        <f aca="false">IF(OR($A106="",$R106=""),"",$R106+ReceiptDays)</f>
        <v/>
      </c>
      <c r="AS106" s="23"/>
      <c r="AT106" s="23" t="str">
        <f aca="false">IF(OR($A106="",$P106=""),"",($P106-FinanceLeadDays)-MOD(($P106-FinanceLeadDays)-DATE(2024,1,2),7))</f>
        <v/>
      </c>
      <c r="AU106" s="23"/>
      <c r="AV106" s="22"/>
      <c r="AW106" s="22"/>
      <c r="AX106" s="25" t="n">
        <f aca="false">IF(OR($A106="",$B106="Denied",$B106="Cancelled"),0,N($AD106))</f>
        <v>0</v>
      </c>
      <c r="AY106" s="25" t="n">
        <f aca="false">IF($A106="",0,N($AJ106))</f>
        <v>0</v>
      </c>
      <c r="AZ106" s="25" t="n">
        <f aca="false">IF(OR($A106="",$B106="Denied",$B106="Cancelled",$B106="Closed"),0,IF(N($AJ106)&gt;0,0,N($AD106)))</f>
        <v>0</v>
      </c>
      <c r="BA106" s="26" t="n">
        <f aca="false">IF($A106="",0,IF($B106="Awaiting Approval",COUNTIF(BA$1:BA105,"&gt;0")+1,0))</f>
        <v>0</v>
      </c>
      <c r="BB106" s="26" t="n">
        <f aca="false">IF($A106="",0,IF(AND($B106="Approved",$AP106&lt;&gt;"Y"),COUNTIF(BB$1:BB105,"&gt;0")+1,0))</f>
        <v>0</v>
      </c>
      <c r="BC106" s="26" t="n">
        <f aca="false">IF($A106="",0,IF(AND($B106="Approved",N($U106)&gt;0,$AQ106&lt;&gt;"Y"),COUNTIF(BC$1:BC105,"&gt;0")+1,0))</f>
        <v>0</v>
      </c>
      <c r="BD106" s="26" t="n">
        <f aca="true">IF($A106="",0,IF(AND($AR106&lt;&gt;"",N($AR106)&lt;TODAY(),$AS106="",$B106&lt;&gt;"Closed",$B106&lt;&gt;"Cancelled",$B106&lt;&gt;"Denied"),COUNTIF(BD$1:BD105,"&gt;0")+1,0))</f>
        <v>0</v>
      </c>
      <c r="BE106" s="26" t="n">
        <f aca="true">IF($A106="",0,IF(AND($AT106&lt;&gt;"",N($AT106)&lt;=TODAY()+7,$AU106="",$B106&lt;&gt;"Denied",$B106&lt;&gt;"Cancelled",$B106&lt;&gt;"Closed"),COUNTIF(BE$1:BE105,"&gt;0")+1,0))</f>
        <v>0</v>
      </c>
      <c r="BF106" s="22"/>
      <c r="BG106" s="22"/>
      <c r="BH106" s="22"/>
      <c r="BI106" s="22"/>
    </row>
    <row r="107" customFormat="false" ht="15" hidden="false" customHeight="false" outlineLevel="0" collapsed="false">
      <c r="A107" s="27"/>
      <c r="B107" s="27"/>
      <c r="C107" s="27"/>
      <c r="D107" s="27"/>
      <c r="E107" s="27"/>
      <c r="F107" s="27"/>
      <c r="G107" s="27"/>
      <c r="H107" s="27"/>
      <c r="I107" s="27"/>
      <c r="J107" s="27"/>
      <c r="K107" s="27"/>
      <c r="L107" s="27"/>
      <c r="M107" s="27"/>
      <c r="N107" s="28"/>
      <c r="O107" s="28"/>
      <c r="P107" s="28"/>
      <c r="Q107" s="29"/>
      <c r="R107" s="28"/>
      <c r="S107" s="29"/>
      <c r="T107" s="30"/>
      <c r="U107" s="31"/>
      <c r="V107" s="30"/>
      <c r="W107" s="30" t="str">
        <f aca="false">IF($A107="","",N($U107)*N($V107))</f>
        <v/>
      </c>
      <c r="X107" s="27"/>
      <c r="Y107" s="31"/>
      <c r="Z107" s="30"/>
      <c r="AA107" s="30" t="str">
        <f aca="false">IF($A107="","",IF($X107="POV",N($Y107)*MileageRate,0)+N($Z107))</f>
        <v/>
      </c>
      <c r="AB107" s="30" t="str">
        <f aca="false">IF(OR($A107="",$P107="",$R107="",$Q107="",$S107=""),"",IF($R107=$P107,($Q107&lt;=T_DepBfast)*($S107&gt;=T_RetBfast)*PD_Bfast+($Q107&lt;=T_DepLunch)*($S107&gt;=T_RetLunch)*PD_Lunch+($Q107&lt;=T_DepDinner)*($S107&gt;=T_RetDinner)*PD_Dinner+PD_Incid,($Q107&lt;=T_DepBfast)*PD_Bfast+($Q107&lt;=T_DepLunch)*PD_Lunch+($Q107&lt;=T_DepDinner)*PD_Dinner+($S107&gt;=T_RetBfast)*PD_Bfast+($S107&gt;=T_RetLunch)*PD_Lunch+($S107&gt;=T_RetDinner)*PD_Dinner+MAX($R107-$P107-1,0)*(PD_Bfast+PD_Lunch+PD_Dinner)+($R107-$P107+1)*PD_Incid))</f>
        <v/>
      </c>
      <c r="AC107" s="30"/>
      <c r="AD107" s="30" t="str">
        <f aca="false">IF($A107="","",N($T107)+N($W107)+N($AA107)+N($AB107)+N($AC107))</f>
        <v/>
      </c>
      <c r="AE107" s="30"/>
      <c r="AF107" s="30"/>
      <c r="AG107" s="30"/>
      <c r="AH107" s="30"/>
      <c r="AI107" s="30"/>
      <c r="AJ107" s="30" t="str">
        <f aca="false">IF($A107="","",IF(COUNT($AE107:$AI107)=0,"",SUM($AE107:$AI107)))</f>
        <v/>
      </c>
      <c r="AK107" s="30"/>
      <c r="AL107" s="30"/>
      <c r="AM107" s="30" t="str">
        <f aca="false">IF(OR($A107="",$AJ107=""),"",$AJ107-N($AK107)-N($AL107))</f>
        <v/>
      </c>
      <c r="AN107" s="28"/>
      <c r="AO107" s="28"/>
      <c r="AP107" s="27"/>
      <c r="AQ107" s="27"/>
      <c r="AR107" s="28" t="str">
        <f aca="false">IF(OR($A107="",$R107=""),"",$R107+ReceiptDays)</f>
        <v/>
      </c>
      <c r="AS107" s="28"/>
      <c r="AT107" s="28" t="str">
        <f aca="false">IF(OR($A107="",$P107=""),"",($P107-FinanceLeadDays)-MOD(($P107-FinanceLeadDays)-DATE(2024,1,2),7))</f>
        <v/>
      </c>
      <c r="AU107" s="28"/>
      <c r="AV107" s="27"/>
      <c r="AW107" s="27"/>
      <c r="AX107" s="30" t="n">
        <f aca="false">IF(OR($A107="",$B107="Denied",$B107="Cancelled"),0,N($AD107))</f>
        <v>0</v>
      </c>
      <c r="AY107" s="30" t="n">
        <f aca="false">IF($A107="",0,N($AJ107))</f>
        <v>0</v>
      </c>
      <c r="AZ107" s="30" t="n">
        <f aca="false">IF(OR($A107="",$B107="Denied",$B107="Cancelled",$B107="Closed"),0,IF(N($AJ107)&gt;0,0,N($AD107)))</f>
        <v>0</v>
      </c>
      <c r="BA107" s="31" t="n">
        <f aca="false">IF($A107="",0,IF($B107="Awaiting Approval",COUNTIF(BA$1:BA106,"&gt;0")+1,0))</f>
        <v>0</v>
      </c>
      <c r="BB107" s="31" t="n">
        <f aca="false">IF($A107="",0,IF(AND($B107="Approved",$AP107&lt;&gt;"Y"),COUNTIF(BB$1:BB106,"&gt;0")+1,0))</f>
        <v>0</v>
      </c>
      <c r="BC107" s="31" t="n">
        <f aca="false">IF($A107="",0,IF(AND($B107="Approved",N($U107)&gt;0,$AQ107&lt;&gt;"Y"),COUNTIF(BC$1:BC106,"&gt;0")+1,0))</f>
        <v>0</v>
      </c>
      <c r="BD107" s="31" t="n">
        <f aca="true">IF($A107="",0,IF(AND($AR107&lt;&gt;"",N($AR107)&lt;TODAY(),$AS107="",$B107&lt;&gt;"Closed",$B107&lt;&gt;"Cancelled",$B107&lt;&gt;"Denied"),COUNTIF(BD$1:BD106,"&gt;0")+1,0))</f>
        <v>0</v>
      </c>
      <c r="BE107" s="31" t="n">
        <f aca="true">IF($A107="",0,IF(AND($AT107&lt;&gt;"",N($AT107)&lt;=TODAY()+7,$AU107="",$B107&lt;&gt;"Denied",$B107&lt;&gt;"Cancelled",$B107&lt;&gt;"Closed"),COUNTIF(BE$1:BE106,"&gt;0")+1,0))</f>
        <v>0</v>
      </c>
      <c r="BF107" s="27"/>
      <c r="BG107" s="27"/>
      <c r="BH107" s="27"/>
      <c r="BI107" s="27"/>
    </row>
    <row r="108" customFormat="false" ht="15" hidden="false" customHeight="false" outlineLevel="0" collapsed="false">
      <c r="A108" s="22"/>
      <c r="B108" s="22"/>
      <c r="C108" s="22"/>
      <c r="D108" s="22"/>
      <c r="E108" s="22"/>
      <c r="F108" s="22"/>
      <c r="G108" s="22"/>
      <c r="H108" s="22"/>
      <c r="I108" s="22"/>
      <c r="J108" s="22"/>
      <c r="K108" s="22"/>
      <c r="L108" s="22"/>
      <c r="M108" s="22"/>
      <c r="N108" s="23"/>
      <c r="O108" s="23"/>
      <c r="P108" s="23"/>
      <c r="Q108" s="24"/>
      <c r="R108" s="23"/>
      <c r="S108" s="24"/>
      <c r="T108" s="25"/>
      <c r="U108" s="26"/>
      <c r="V108" s="25"/>
      <c r="W108" s="25" t="str">
        <f aca="false">IF($A108="","",N($U108)*N($V108))</f>
        <v/>
      </c>
      <c r="X108" s="22"/>
      <c r="Y108" s="26"/>
      <c r="Z108" s="25"/>
      <c r="AA108" s="25" t="str">
        <f aca="false">IF($A108="","",IF($X108="POV",N($Y108)*MileageRate,0)+N($Z108))</f>
        <v/>
      </c>
      <c r="AB108" s="25" t="str">
        <f aca="false">IF(OR($A108="",$P108="",$R108="",$Q108="",$S108=""),"",IF($R108=$P108,($Q108&lt;=T_DepBfast)*($S108&gt;=T_RetBfast)*PD_Bfast+($Q108&lt;=T_DepLunch)*($S108&gt;=T_RetLunch)*PD_Lunch+($Q108&lt;=T_DepDinner)*($S108&gt;=T_RetDinner)*PD_Dinner+PD_Incid,($Q108&lt;=T_DepBfast)*PD_Bfast+($Q108&lt;=T_DepLunch)*PD_Lunch+($Q108&lt;=T_DepDinner)*PD_Dinner+($S108&gt;=T_RetBfast)*PD_Bfast+($S108&gt;=T_RetLunch)*PD_Lunch+($S108&gt;=T_RetDinner)*PD_Dinner+MAX($R108-$P108-1,0)*(PD_Bfast+PD_Lunch+PD_Dinner)+($R108-$P108+1)*PD_Incid))</f>
        <v/>
      </c>
      <c r="AC108" s="25"/>
      <c r="AD108" s="25" t="str">
        <f aca="false">IF($A108="","",N($T108)+N($W108)+N($AA108)+N($AB108)+N($AC108))</f>
        <v/>
      </c>
      <c r="AE108" s="25"/>
      <c r="AF108" s="25"/>
      <c r="AG108" s="25"/>
      <c r="AH108" s="25"/>
      <c r="AI108" s="25"/>
      <c r="AJ108" s="25" t="str">
        <f aca="false">IF($A108="","",IF(COUNT($AE108:$AI108)=0,"",SUM($AE108:$AI108)))</f>
        <v/>
      </c>
      <c r="AK108" s="25"/>
      <c r="AL108" s="25"/>
      <c r="AM108" s="25" t="str">
        <f aca="false">IF(OR($A108="",$AJ108=""),"",$AJ108-N($AK108)-N($AL108))</f>
        <v/>
      </c>
      <c r="AN108" s="23"/>
      <c r="AO108" s="23"/>
      <c r="AP108" s="22"/>
      <c r="AQ108" s="22"/>
      <c r="AR108" s="23" t="str">
        <f aca="false">IF(OR($A108="",$R108=""),"",$R108+ReceiptDays)</f>
        <v/>
      </c>
      <c r="AS108" s="23"/>
      <c r="AT108" s="23" t="str">
        <f aca="false">IF(OR($A108="",$P108=""),"",($P108-FinanceLeadDays)-MOD(($P108-FinanceLeadDays)-DATE(2024,1,2),7))</f>
        <v/>
      </c>
      <c r="AU108" s="23"/>
      <c r="AV108" s="22"/>
      <c r="AW108" s="22"/>
      <c r="AX108" s="25" t="n">
        <f aca="false">IF(OR($A108="",$B108="Denied",$B108="Cancelled"),0,N($AD108))</f>
        <v>0</v>
      </c>
      <c r="AY108" s="25" t="n">
        <f aca="false">IF($A108="",0,N($AJ108))</f>
        <v>0</v>
      </c>
      <c r="AZ108" s="25" t="n">
        <f aca="false">IF(OR($A108="",$B108="Denied",$B108="Cancelled",$B108="Closed"),0,IF(N($AJ108)&gt;0,0,N($AD108)))</f>
        <v>0</v>
      </c>
      <c r="BA108" s="26" t="n">
        <f aca="false">IF($A108="",0,IF($B108="Awaiting Approval",COUNTIF(BA$1:BA107,"&gt;0")+1,0))</f>
        <v>0</v>
      </c>
      <c r="BB108" s="26" t="n">
        <f aca="false">IF($A108="",0,IF(AND($B108="Approved",$AP108&lt;&gt;"Y"),COUNTIF(BB$1:BB107,"&gt;0")+1,0))</f>
        <v>0</v>
      </c>
      <c r="BC108" s="26" t="n">
        <f aca="false">IF($A108="",0,IF(AND($B108="Approved",N($U108)&gt;0,$AQ108&lt;&gt;"Y"),COUNTIF(BC$1:BC107,"&gt;0")+1,0))</f>
        <v>0</v>
      </c>
      <c r="BD108" s="26" t="n">
        <f aca="true">IF($A108="",0,IF(AND($AR108&lt;&gt;"",N($AR108)&lt;TODAY(),$AS108="",$B108&lt;&gt;"Closed",$B108&lt;&gt;"Cancelled",$B108&lt;&gt;"Denied"),COUNTIF(BD$1:BD107,"&gt;0")+1,0))</f>
        <v>0</v>
      </c>
      <c r="BE108" s="26" t="n">
        <f aca="true">IF($A108="",0,IF(AND($AT108&lt;&gt;"",N($AT108)&lt;=TODAY()+7,$AU108="",$B108&lt;&gt;"Denied",$B108&lt;&gt;"Cancelled",$B108&lt;&gt;"Closed"),COUNTIF(BE$1:BE107,"&gt;0")+1,0))</f>
        <v>0</v>
      </c>
      <c r="BF108" s="22"/>
      <c r="BG108" s="22"/>
      <c r="BH108" s="22"/>
      <c r="BI108" s="22"/>
    </row>
    <row r="109" customFormat="false" ht="15" hidden="false" customHeight="false" outlineLevel="0" collapsed="false">
      <c r="A109" s="27"/>
      <c r="B109" s="27"/>
      <c r="C109" s="27"/>
      <c r="D109" s="27"/>
      <c r="E109" s="27"/>
      <c r="F109" s="27"/>
      <c r="G109" s="27"/>
      <c r="H109" s="27"/>
      <c r="I109" s="27"/>
      <c r="J109" s="27"/>
      <c r="K109" s="27"/>
      <c r="L109" s="27"/>
      <c r="M109" s="27"/>
      <c r="N109" s="28"/>
      <c r="O109" s="28"/>
      <c r="P109" s="28"/>
      <c r="Q109" s="29"/>
      <c r="R109" s="28"/>
      <c r="S109" s="29"/>
      <c r="T109" s="30"/>
      <c r="U109" s="31"/>
      <c r="V109" s="30"/>
      <c r="W109" s="30" t="str">
        <f aca="false">IF($A109="","",N($U109)*N($V109))</f>
        <v/>
      </c>
      <c r="X109" s="27"/>
      <c r="Y109" s="31"/>
      <c r="Z109" s="30"/>
      <c r="AA109" s="30" t="str">
        <f aca="false">IF($A109="","",IF($X109="POV",N($Y109)*MileageRate,0)+N($Z109))</f>
        <v/>
      </c>
      <c r="AB109" s="30" t="str">
        <f aca="false">IF(OR($A109="",$P109="",$R109="",$Q109="",$S109=""),"",IF($R109=$P109,($Q109&lt;=T_DepBfast)*($S109&gt;=T_RetBfast)*PD_Bfast+($Q109&lt;=T_DepLunch)*($S109&gt;=T_RetLunch)*PD_Lunch+($Q109&lt;=T_DepDinner)*($S109&gt;=T_RetDinner)*PD_Dinner+PD_Incid,($Q109&lt;=T_DepBfast)*PD_Bfast+($Q109&lt;=T_DepLunch)*PD_Lunch+($Q109&lt;=T_DepDinner)*PD_Dinner+($S109&gt;=T_RetBfast)*PD_Bfast+($S109&gt;=T_RetLunch)*PD_Lunch+($S109&gt;=T_RetDinner)*PD_Dinner+MAX($R109-$P109-1,0)*(PD_Bfast+PD_Lunch+PD_Dinner)+($R109-$P109+1)*PD_Incid))</f>
        <v/>
      </c>
      <c r="AC109" s="30"/>
      <c r="AD109" s="30" t="str">
        <f aca="false">IF($A109="","",N($T109)+N($W109)+N($AA109)+N($AB109)+N($AC109))</f>
        <v/>
      </c>
      <c r="AE109" s="30"/>
      <c r="AF109" s="30"/>
      <c r="AG109" s="30"/>
      <c r="AH109" s="30"/>
      <c r="AI109" s="30"/>
      <c r="AJ109" s="30" t="str">
        <f aca="false">IF($A109="","",IF(COUNT($AE109:$AI109)=0,"",SUM($AE109:$AI109)))</f>
        <v/>
      </c>
      <c r="AK109" s="30"/>
      <c r="AL109" s="30"/>
      <c r="AM109" s="30" t="str">
        <f aca="false">IF(OR($A109="",$AJ109=""),"",$AJ109-N($AK109)-N($AL109))</f>
        <v/>
      </c>
      <c r="AN109" s="28"/>
      <c r="AO109" s="28"/>
      <c r="AP109" s="27"/>
      <c r="AQ109" s="27"/>
      <c r="AR109" s="28" t="str">
        <f aca="false">IF(OR($A109="",$R109=""),"",$R109+ReceiptDays)</f>
        <v/>
      </c>
      <c r="AS109" s="28"/>
      <c r="AT109" s="28" t="str">
        <f aca="false">IF(OR($A109="",$P109=""),"",($P109-FinanceLeadDays)-MOD(($P109-FinanceLeadDays)-DATE(2024,1,2),7))</f>
        <v/>
      </c>
      <c r="AU109" s="28"/>
      <c r="AV109" s="27"/>
      <c r="AW109" s="27"/>
      <c r="AX109" s="30" t="n">
        <f aca="false">IF(OR($A109="",$B109="Denied",$B109="Cancelled"),0,N($AD109))</f>
        <v>0</v>
      </c>
      <c r="AY109" s="30" t="n">
        <f aca="false">IF($A109="",0,N($AJ109))</f>
        <v>0</v>
      </c>
      <c r="AZ109" s="30" t="n">
        <f aca="false">IF(OR($A109="",$B109="Denied",$B109="Cancelled",$B109="Closed"),0,IF(N($AJ109)&gt;0,0,N($AD109)))</f>
        <v>0</v>
      </c>
      <c r="BA109" s="31" t="n">
        <f aca="false">IF($A109="",0,IF($B109="Awaiting Approval",COUNTIF(BA$1:BA108,"&gt;0")+1,0))</f>
        <v>0</v>
      </c>
      <c r="BB109" s="31" t="n">
        <f aca="false">IF($A109="",0,IF(AND($B109="Approved",$AP109&lt;&gt;"Y"),COUNTIF(BB$1:BB108,"&gt;0")+1,0))</f>
        <v>0</v>
      </c>
      <c r="BC109" s="31" t="n">
        <f aca="false">IF($A109="",0,IF(AND($B109="Approved",N($U109)&gt;0,$AQ109&lt;&gt;"Y"),COUNTIF(BC$1:BC108,"&gt;0")+1,0))</f>
        <v>0</v>
      </c>
      <c r="BD109" s="31" t="n">
        <f aca="true">IF($A109="",0,IF(AND($AR109&lt;&gt;"",N($AR109)&lt;TODAY(),$AS109="",$B109&lt;&gt;"Closed",$B109&lt;&gt;"Cancelled",$B109&lt;&gt;"Denied"),COUNTIF(BD$1:BD108,"&gt;0")+1,0))</f>
        <v>0</v>
      </c>
      <c r="BE109" s="31" t="n">
        <f aca="true">IF($A109="",0,IF(AND($AT109&lt;&gt;"",N($AT109)&lt;=TODAY()+7,$AU109="",$B109&lt;&gt;"Denied",$B109&lt;&gt;"Cancelled",$B109&lt;&gt;"Closed"),COUNTIF(BE$1:BE108,"&gt;0")+1,0))</f>
        <v>0</v>
      </c>
      <c r="BF109" s="27"/>
      <c r="BG109" s="27"/>
      <c r="BH109" s="27"/>
      <c r="BI109" s="27"/>
    </row>
    <row r="110" customFormat="false" ht="15" hidden="false" customHeight="false" outlineLevel="0" collapsed="false">
      <c r="A110" s="22"/>
      <c r="B110" s="22"/>
      <c r="C110" s="22"/>
      <c r="D110" s="22"/>
      <c r="E110" s="22"/>
      <c r="F110" s="22"/>
      <c r="G110" s="22"/>
      <c r="H110" s="22"/>
      <c r="I110" s="22"/>
      <c r="J110" s="22"/>
      <c r="K110" s="22"/>
      <c r="L110" s="22"/>
      <c r="M110" s="22"/>
      <c r="N110" s="23"/>
      <c r="O110" s="23"/>
      <c r="P110" s="23"/>
      <c r="Q110" s="24"/>
      <c r="R110" s="23"/>
      <c r="S110" s="24"/>
      <c r="T110" s="25"/>
      <c r="U110" s="26"/>
      <c r="V110" s="25"/>
      <c r="W110" s="25" t="str">
        <f aca="false">IF($A110="","",N($U110)*N($V110))</f>
        <v/>
      </c>
      <c r="X110" s="22"/>
      <c r="Y110" s="26"/>
      <c r="Z110" s="25"/>
      <c r="AA110" s="25" t="str">
        <f aca="false">IF($A110="","",IF($X110="POV",N($Y110)*MileageRate,0)+N($Z110))</f>
        <v/>
      </c>
      <c r="AB110" s="25" t="str">
        <f aca="false">IF(OR($A110="",$P110="",$R110="",$Q110="",$S110=""),"",IF($R110=$P110,($Q110&lt;=T_DepBfast)*($S110&gt;=T_RetBfast)*PD_Bfast+($Q110&lt;=T_DepLunch)*($S110&gt;=T_RetLunch)*PD_Lunch+($Q110&lt;=T_DepDinner)*($S110&gt;=T_RetDinner)*PD_Dinner+PD_Incid,($Q110&lt;=T_DepBfast)*PD_Bfast+($Q110&lt;=T_DepLunch)*PD_Lunch+($Q110&lt;=T_DepDinner)*PD_Dinner+($S110&gt;=T_RetBfast)*PD_Bfast+($S110&gt;=T_RetLunch)*PD_Lunch+($S110&gt;=T_RetDinner)*PD_Dinner+MAX($R110-$P110-1,0)*(PD_Bfast+PD_Lunch+PD_Dinner)+($R110-$P110+1)*PD_Incid))</f>
        <v/>
      </c>
      <c r="AC110" s="25"/>
      <c r="AD110" s="25" t="str">
        <f aca="false">IF($A110="","",N($T110)+N($W110)+N($AA110)+N($AB110)+N($AC110))</f>
        <v/>
      </c>
      <c r="AE110" s="25"/>
      <c r="AF110" s="25"/>
      <c r="AG110" s="25"/>
      <c r="AH110" s="25"/>
      <c r="AI110" s="25"/>
      <c r="AJ110" s="25" t="str">
        <f aca="false">IF($A110="","",IF(COUNT($AE110:$AI110)=0,"",SUM($AE110:$AI110)))</f>
        <v/>
      </c>
      <c r="AK110" s="25"/>
      <c r="AL110" s="25"/>
      <c r="AM110" s="25" t="str">
        <f aca="false">IF(OR($A110="",$AJ110=""),"",$AJ110-N($AK110)-N($AL110))</f>
        <v/>
      </c>
      <c r="AN110" s="23"/>
      <c r="AO110" s="23"/>
      <c r="AP110" s="22"/>
      <c r="AQ110" s="22"/>
      <c r="AR110" s="23" t="str">
        <f aca="false">IF(OR($A110="",$R110=""),"",$R110+ReceiptDays)</f>
        <v/>
      </c>
      <c r="AS110" s="23"/>
      <c r="AT110" s="23" t="str">
        <f aca="false">IF(OR($A110="",$P110=""),"",($P110-FinanceLeadDays)-MOD(($P110-FinanceLeadDays)-DATE(2024,1,2),7))</f>
        <v/>
      </c>
      <c r="AU110" s="23"/>
      <c r="AV110" s="22"/>
      <c r="AW110" s="22"/>
      <c r="AX110" s="25" t="n">
        <f aca="false">IF(OR($A110="",$B110="Denied",$B110="Cancelled"),0,N($AD110))</f>
        <v>0</v>
      </c>
      <c r="AY110" s="25" t="n">
        <f aca="false">IF($A110="",0,N($AJ110))</f>
        <v>0</v>
      </c>
      <c r="AZ110" s="25" t="n">
        <f aca="false">IF(OR($A110="",$B110="Denied",$B110="Cancelled",$B110="Closed"),0,IF(N($AJ110)&gt;0,0,N($AD110)))</f>
        <v>0</v>
      </c>
      <c r="BA110" s="26" t="n">
        <f aca="false">IF($A110="",0,IF($B110="Awaiting Approval",COUNTIF(BA$1:BA109,"&gt;0")+1,0))</f>
        <v>0</v>
      </c>
      <c r="BB110" s="26" t="n">
        <f aca="false">IF($A110="",0,IF(AND($B110="Approved",$AP110&lt;&gt;"Y"),COUNTIF(BB$1:BB109,"&gt;0")+1,0))</f>
        <v>0</v>
      </c>
      <c r="BC110" s="26" t="n">
        <f aca="false">IF($A110="",0,IF(AND($B110="Approved",N($U110)&gt;0,$AQ110&lt;&gt;"Y"),COUNTIF(BC$1:BC109,"&gt;0")+1,0))</f>
        <v>0</v>
      </c>
      <c r="BD110" s="26" t="n">
        <f aca="true">IF($A110="",0,IF(AND($AR110&lt;&gt;"",N($AR110)&lt;TODAY(),$AS110="",$B110&lt;&gt;"Closed",$B110&lt;&gt;"Cancelled",$B110&lt;&gt;"Denied"),COUNTIF(BD$1:BD109,"&gt;0")+1,0))</f>
        <v>0</v>
      </c>
      <c r="BE110" s="26" t="n">
        <f aca="true">IF($A110="",0,IF(AND($AT110&lt;&gt;"",N($AT110)&lt;=TODAY()+7,$AU110="",$B110&lt;&gt;"Denied",$B110&lt;&gt;"Cancelled",$B110&lt;&gt;"Closed"),COUNTIF(BE$1:BE109,"&gt;0")+1,0))</f>
        <v>0</v>
      </c>
      <c r="BF110" s="22"/>
      <c r="BG110" s="22"/>
      <c r="BH110" s="22"/>
      <c r="BI110" s="22"/>
    </row>
    <row r="111" customFormat="false" ht="15" hidden="false" customHeight="false" outlineLevel="0" collapsed="false">
      <c r="A111" s="27"/>
      <c r="B111" s="27"/>
      <c r="C111" s="27"/>
      <c r="D111" s="27"/>
      <c r="E111" s="27"/>
      <c r="F111" s="27"/>
      <c r="G111" s="27"/>
      <c r="H111" s="27"/>
      <c r="I111" s="27"/>
      <c r="J111" s="27"/>
      <c r="K111" s="27"/>
      <c r="L111" s="27"/>
      <c r="M111" s="27"/>
      <c r="N111" s="28"/>
      <c r="O111" s="28"/>
      <c r="P111" s="28"/>
      <c r="Q111" s="29"/>
      <c r="R111" s="28"/>
      <c r="S111" s="29"/>
      <c r="T111" s="30"/>
      <c r="U111" s="31"/>
      <c r="V111" s="30"/>
      <c r="W111" s="30" t="str">
        <f aca="false">IF($A111="","",N($U111)*N($V111))</f>
        <v/>
      </c>
      <c r="X111" s="27"/>
      <c r="Y111" s="31"/>
      <c r="Z111" s="30"/>
      <c r="AA111" s="30" t="str">
        <f aca="false">IF($A111="","",IF($X111="POV",N($Y111)*MileageRate,0)+N($Z111))</f>
        <v/>
      </c>
      <c r="AB111" s="30" t="str">
        <f aca="false">IF(OR($A111="",$P111="",$R111="",$Q111="",$S111=""),"",IF($R111=$P111,($Q111&lt;=T_DepBfast)*($S111&gt;=T_RetBfast)*PD_Bfast+($Q111&lt;=T_DepLunch)*($S111&gt;=T_RetLunch)*PD_Lunch+($Q111&lt;=T_DepDinner)*($S111&gt;=T_RetDinner)*PD_Dinner+PD_Incid,($Q111&lt;=T_DepBfast)*PD_Bfast+($Q111&lt;=T_DepLunch)*PD_Lunch+($Q111&lt;=T_DepDinner)*PD_Dinner+($S111&gt;=T_RetBfast)*PD_Bfast+($S111&gt;=T_RetLunch)*PD_Lunch+($S111&gt;=T_RetDinner)*PD_Dinner+MAX($R111-$P111-1,0)*(PD_Bfast+PD_Lunch+PD_Dinner)+($R111-$P111+1)*PD_Incid))</f>
        <v/>
      </c>
      <c r="AC111" s="30"/>
      <c r="AD111" s="30" t="str">
        <f aca="false">IF($A111="","",N($T111)+N($W111)+N($AA111)+N($AB111)+N($AC111))</f>
        <v/>
      </c>
      <c r="AE111" s="30"/>
      <c r="AF111" s="30"/>
      <c r="AG111" s="30"/>
      <c r="AH111" s="30"/>
      <c r="AI111" s="30"/>
      <c r="AJ111" s="30" t="str">
        <f aca="false">IF($A111="","",IF(COUNT($AE111:$AI111)=0,"",SUM($AE111:$AI111)))</f>
        <v/>
      </c>
      <c r="AK111" s="30"/>
      <c r="AL111" s="30"/>
      <c r="AM111" s="30" t="str">
        <f aca="false">IF(OR($A111="",$AJ111=""),"",$AJ111-N($AK111)-N($AL111))</f>
        <v/>
      </c>
      <c r="AN111" s="28"/>
      <c r="AO111" s="28"/>
      <c r="AP111" s="27"/>
      <c r="AQ111" s="27"/>
      <c r="AR111" s="28" t="str">
        <f aca="false">IF(OR($A111="",$R111=""),"",$R111+ReceiptDays)</f>
        <v/>
      </c>
      <c r="AS111" s="28"/>
      <c r="AT111" s="28" t="str">
        <f aca="false">IF(OR($A111="",$P111=""),"",($P111-FinanceLeadDays)-MOD(($P111-FinanceLeadDays)-DATE(2024,1,2),7))</f>
        <v/>
      </c>
      <c r="AU111" s="28"/>
      <c r="AV111" s="27"/>
      <c r="AW111" s="27"/>
      <c r="AX111" s="30" t="n">
        <f aca="false">IF(OR($A111="",$B111="Denied",$B111="Cancelled"),0,N($AD111))</f>
        <v>0</v>
      </c>
      <c r="AY111" s="30" t="n">
        <f aca="false">IF($A111="",0,N($AJ111))</f>
        <v>0</v>
      </c>
      <c r="AZ111" s="30" t="n">
        <f aca="false">IF(OR($A111="",$B111="Denied",$B111="Cancelled",$B111="Closed"),0,IF(N($AJ111)&gt;0,0,N($AD111)))</f>
        <v>0</v>
      </c>
      <c r="BA111" s="31" t="n">
        <f aca="false">IF($A111="",0,IF($B111="Awaiting Approval",COUNTIF(BA$1:BA110,"&gt;0")+1,0))</f>
        <v>0</v>
      </c>
      <c r="BB111" s="31" t="n">
        <f aca="false">IF($A111="",0,IF(AND($B111="Approved",$AP111&lt;&gt;"Y"),COUNTIF(BB$1:BB110,"&gt;0")+1,0))</f>
        <v>0</v>
      </c>
      <c r="BC111" s="31" t="n">
        <f aca="false">IF($A111="",0,IF(AND($B111="Approved",N($U111)&gt;0,$AQ111&lt;&gt;"Y"),COUNTIF(BC$1:BC110,"&gt;0")+1,0))</f>
        <v>0</v>
      </c>
      <c r="BD111" s="31" t="n">
        <f aca="true">IF($A111="",0,IF(AND($AR111&lt;&gt;"",N($AR111)&lt;TODAY(),$AS111="",$B111&lt;&gt;"Closed",$B111&lt;&gt;"Cancelled",$B111&lt;&gt;"Denied"),COUNTIF(BD$1:BD110,"&gt;0")+1,0))</f>
        <v>0</v>
      </c>
      <c r="BE111" s="31" t="n">
        <f aca="true">IF($A111="",0,IF(AND($AT111&lt;&gt;"",N($AT111)&lt;=TODAY()+7,$AU111="",$B111&lt;&gt;"Denied",$B111&lt;&gt;"Cancelled",$B111&lt;&gt;"Closed"),COUNTIF(BE$1:BE110,"&gt;0")+1,0))</f>
        <v>0</v>
      </c>
      <c r="BF111" s="27"/>
      <c r="BG111" s="27"/>
      <c r="BH111" s="27"/>
      <c r="BI111" s="27"/>
    </row>
    <row r="112" customFormat="false" ht="15" hidden="false" customHeight="false" outlineLevel="0" collapsed="false">
      <c r="A112" s="22"/>
      <c r="B112" s="22"/>
      <c r="C112" s="22"/>
      <c r="D112" s="22"/>
      <c r="E112" s="22"/>
      <c r="F112" s="22"/>
      <c r="G112" s="22"/>
      <c r="H112" s="22"/>
      <c r="I112" s="22"/>
      <c r="J112" s="22"/>
      <c r="K112" s="22"/>
      <c r="L112" s="22"/>
      <c r="M112" s="22"/>
      <c r="N112" s="23"/>
      <c r="O112" s="23"/>
      <c r="P112" s="23"/>
      <c r="Q112" s="24"/>
      <c r="R112" s="23"/>
      <c r="S112" s="24"/>
      <c r="T112" s="25"/>
      <c r="U112" s="26"/>
      <c r="V112" s="25"/>
      <c r="W112" s="25" t="str">
        <f aca="false">IF($A112="","",N($U112)*N($V112))</f>
        <v/>
      </c>
      <c r="X112" s="22"/>
      <c r="Y112" s="26"/>
      <c r="Z112" s="25"/>
      <c r="AA112" s="25" t="str">
        <f aca="false">IF($A112="","",IF($X112="POV",N($Y112)*MileageRate,0)+N($Z112))</f>
        <v/>
      </c>
      <c r="AB112" s="25" t="str">
        <f aca="false">IF(OR($A112="",$P112="",$R112="",$Q112="",$S112=""),"",IF($R112=$P112,($Q112&lt;=T_DepBfast)*($S112&gt;=T_RetBfast)*PD_Bfast+($Q112&lt;=T_DepLunch)*($S112&gt;=T_RetLunch)*PD_Lunch+($Q112&lt;=T_DepDinner)*($S112&gt;=T_RetDinner)*PD_Dinner+PD_Incid,($Q112&lt;=T_DepBfast)*PD_Bfast+($Q112&lt;=T_DepLunch)*PD_Lunch+($Q112&lt;=T_DepDinner)*PD_Dinner+($S112&gt;=T_RetBfast)*PD_Bfast+($S112&gt;=T_RetLunch)*PD_Lunch+($S112&gt;=T_RetDinner)*PD_Dinner+MAX($R112-$P112-1,0)*(PD_Bfast+PD_Lunch+PD_Dinner)+($R112-$P112+1)*PD_Incid))</f>
        <v/>
      </c>
      <c r="AC112" s="25"/>
      <c r="AD112" s="25" t="str">
        <f aca="false">IF($A112="","",N($T112)+N($W112)+N($AA112)+N($AB112)+N($AC112))</f>
        <v/>
      </c>
      <c r="AE112" s="25"/>
      <c r="AF112" s="25"/>
      <c r="AG112" s="25"/>
      <c r="AH112" s="25"/>
      <c r="AI112" s="25"/>
      <c r="AJ112" s="25" t="str">
        <f aca="false">IF($A112="","",IF(COUNT($AE112:$AI112)=0,"",SUM($AE112:$AI112)))</f>
        <v/>
      </c>
      <c r="AK112" s="25"/>
      <c r="AL112" s="25"/>
      <c r="AM112" s="25" t="str">
        <f aca="false">IF(OR($A112="",$AJ112=""),"",$AJ112-N($AK112)-N($AL112))</f>
        <v/>
      </c>
      <c r="AN112" s="23"/>
      <c r="AO112" s="23"/>
      <c r="AP112" s="22"/>
      <c r="AQ112" s="22"/>
      <c r="AR112" s="23" t="str">
        <f aca="false">IF(OR($A112="",$R112=""),"",$R112+ReceiptDays)</f>
        <v/>
      </c>
      <c r="AS112" s="23"/>
      <c r="AT112" s="23" t="str">
        <f aca="false">IF(OR($A112="",$P112=""),"",($P112-FinanceLeadDays)-MOD(($P112-FinanceLeadDays)-DATE(2024,1,2),7))</f>
        <v/>
      </c>
      <c r="AU112" s="23"/>
      <c r="AV112" s="22"/>
      <c r="AW112" s="22"/>
      <c r="AX112" s="25" t="n">
        <f aca="false">IF(OR($A112="",$B112="Denied",$B112="Cancelled"),0,N($AD112))</f>
        <v>0</v>
      </c>
      <c r="AY112" s="25" t="n">
        <f aca="false">IF($A112="",0,N($AJ112))</f>
        <v>0</v>
      </c>
      <c r="AZ112" s="25" t="n">
        <f aca="false">IF(OR($A112="",$B112="Denied",$B112="Cancelled",$B112="Closed"),0,IF(N($AJ112)&gt;0,0,N($AD112)))</f>
        <v>0</v>
      </c>
      <c r="BA112" s="26" t="n">
        <f aca="false">IF($A112="",0,IF($B112="Awaiting Approval",COUNTIF(BA$1:BA111,"&gt;0")+1,0))</f>
        <v>0</v>
      </c>
      <c r="BB112" s="26" t="n">
        <f aca="false">IF($A112="",0,IF(AND($B112="Approved",$AP112&lt;&gt;"Y"),COUNTIF(BB$1:BB111,"&gt;0")+1,0))</f>
        <v>0</v>
      </c>
      <c r="BC112" s="26" t="n">
        <f aca="false">IF($A112="",0,IF(AND($B112="Approved",N($U112)&gt;0,$AQ112&lt;&gt;"Y"),COUNTIF(BC$1:BC111,"&gt;0")+1,0))</f>
        <v>0</v>
      </c>
      <c r="BD112" s="26" t="n">
        <f aca="true">IF($A112="",0,IF(AND($AR112&lt;&gt;"",N($AR112)&lt;TODAY(),$AS112="",$B112&lt;&gt;"Closed",$B112&lt;&gt;"Cancelled",$B112&lt;&gt;"Denied"),COUNTIF(BD$1:BD111,"&gt;0")+1,0))</f>
        <v>0</v>
      </c>
      <c r="BE112" s="26" t="n">
        <f aca="true">IF($A112="",0,IF(AND($AT112&lt;&gt;"",N($AT112)&lt;=TODAY()+7,$AU112="",$B112&lt;&gt;"Denied",$B112&lt;&gt;"Cancelled",$B112&lt;&gt;"Closed"),COUNTIF(BE$1:BE111,"&gt;0")+1,0))</f>
        <v>0</v>
      </c>
      <c r="BF112" s="22"/>
      <c r="BG112" s="22"/>
      <c r="BH112" s="22"/>
      <c r="BI112" s="22"/>
    </row>
    <row r="113" customFormat="false" ht="15" hidden="false" customHeight="false" outlineLevel="0" collapsed="false">
      <c r="A113" s="27"/>
      <c r="B113" s="27"/>
      <c r="C113" s="27"/>
      <c r="D113" s="27"/>
      <c r="E113" s="27"/>
      <c r="F113" s="27"/>
      <c r="G113" s="27"/>
      <c r="H113" s="27"/>
      <c r="I113" s="27"/>
      <c r="J113" s="27"/>
      <c r="K113" s="27"/>
      <c r="L113" s="27"/>
      <c r="M113" s="27"/>
      <c r="N113" s="28"/>
      <c r="O113" s="28"/>
      <c r="P113" s="28"/>
      <c r="Q113" s="29"/>
      <c r="R113" s="28"/>
      <c r="S113" s="29"/>
      <c r="T113" s="30"/>
      <c r="U113" s="31"/>
      <c r="V113" s="30"/>
      <c r="W113" s="30" t="str">
        <f aca="false">IF($A113="","",N($U113)*N($V113))</f>
        <v/>
      </c>
      <c r="X113" s="27"/>
      <c r="Y113" s="31"/>
      <c r="Z113" s="30"/>
      <c r="AA113" s="30" t="str">
        <f aca="false">IF($A113="","",IF($X113="POV",N($Y113)*MileageRate,0)+N($Z113))</f>
        <v/>
      </c>
      <c r="AB113" s="30" t="str">
        <f aca="false">IF(OR($A113="",$P113="",$R113="",$Q113="",$S113=""),"",IF($R113=$P113,($Q113&lt;=T_DepBfast)*($S113&gt;=T_RetBfast)*PD_Bfast+($Q113&lt;=T_DepLunch)*($S113&gt;=T_RetLunch)*PD_Lunch+($Q113&lt;=T_DepDinner)*($S113&gt;=T_RetDinner)*PD_Dinner+PD_Incid,($Q113&lt;=T_DepBfast)*PD_Bfast+($Q113&lt;=T_DepLunch)*PD_Lunch+($Q113&lt;=T_DepDinner)*PD_Dinner+($S113&gt;=T_RetBfast)*PD_Bfast+($S113&gt;=T_RetLunch)*PD_Lunch+($S113&gt;=T_RetDinner)*PD_Dinner+MAX($R113-$P113-1,0)*(PD_Bfast+PD_Lunch+PD_Dinner)+($R113-$P113+1)*PD_Incid))</f>
        <v/>
      </c>
      <c r="AC113" s="30"/>
      <c r="AD113" s="30" t="str">
        <f aca="false">IF($A113="","",N($T113)+N($W113)+N($AA113)+N($AB113)+N($AC113))</f>
        <v/>
      </c>
      <c r="AE113" s="30"/>
      <c r="AF113" s="30"/>
      <c r="AG113" s="30"/>
      <c r="AH113" s="30"/>
      <c r="AI113" s="30"/>
      <c r="AJ113" s="30" t="str">
        <f aca="false">IF($A113="","",IF(COUNT($AE113:$AI113)=0,"",SUM($AE113:$AI113)))</f>
        <v/>
      </c>
      <c r="AK113" s="30"/>
      <c r="AL113" s="30"/>
      <c r="AM113" s="30" t="str">
        <f aca="false">IF(OR($A113="",$AJ113=""),"",$AJ113-N($AK113)-N($AL113))</f>
        <v/>
      </c>
      <c r="AN113" s="28"/>
      <c r="AO113" s="28"/>
      <c r="AP113" s="27"/>
      <c r="AQ113" s="27"/>
      <c r="AR113" s="28" t="str">
        <f aca="false">IF(OR($A113="",$R113=""),"",$R113+ReceiptDays)</f>
        <v/>
      </c>
      <c r="AS113" s="28"/>
      <c r="AT113" s="28" t="str">
        <f aca="false">IF(OR($A113="",$P113=""),"",($P113-FinanceLeadDays)-MOD(($P113-FinanceLeadDays)-DATE(2024,1,2),7))</f>
        <v/>
      </c>
      <c r="AU113" s="28"/>
      <c r="AV113" s="27"/>
      <c r="AW113" s="27"/>
      <c r="AX113" s="30" t="n">
        <f aca="false">IF(OR($A113="",$B113="Denied",$B113="Cancelled"),0,N($AD113))</f>
        <v>0</v>
      </c>
      <c r="AY113" s="30" t="n">
        <f aca="false">IF($A113="",0,N($AJ113))</f>
        <v>0</v>
      </c>
      <c r="AZ113" s="30" t="n">
        <f aca="false">IF(OR($A113="",$B113="Denied",$B113="Cancelled",$B113="Closed"),0,IF(N($AJ113)&gt;0,0,N($AD113)))</f>
        <v>0</v>
      </c>
      <c r="BA113" s="31" t="n">
        <f aca="false">IF($A113="",0,IF($B113="Awaiting Approval",COUNTIF(BA$1:BA112,"&gt;0")+1,0))</f>
        <v>0</v>
      </c>
      <c r="BB113" s="31" t="n">
        <f aca="false">IF($A113="",0,IF(AND($B113="Approved",$AP113&lt;&gt;"Y"),COUNTIF(BB$1:BB112,"&gt;0")+1,0))</f>
        <v>0</v>
      </c>
      <c r="BC113" s="31" t="n">
        <f aca="false">IF($A113="",0,IF(AND($B113="Approved",N($U113)&gt;0,$AQ113&lt;&gt;"Y"),COUNTIF(BC$1:BC112,"&gt;0")+1,0))</f>
        <v>0</v>
      </c>
      <c r="BD113" s="31" t="n">
        <f aca="true">IF($A113="",0,IF(AND($AR113&lt;&gt;"",N($AR113)&lt;TODAY(),$AS113="",$B113&lt;&gt;"Closed",$B113&lt;&gt;"Cancelled",$B113&lt;&gt;"Denied"),COUNTIF(BD$1:BD112,"&gt;0")+1,0))</f>
        <v>0</v>
      </c>
      <c r="BE113" s="31" t="n">
        <f aca="true">IF($A113="",0,IF(AND($AT113&lt;&gt;"",N($AT113)&lt;=TODAY()+7,$AU113="",$B113&lt;&gt;"Denied",$B113&lt;&gt;"Cancelled",$B113&lt;&gt;"Closed"),COUNTIF(BE$1:BE112,"&gt;0")+1,0))</f>
        <v>0</v>
      </c>
      <c r="BF113" s="27"/>
      <c r="BG113" s="27"/>
      <c r="BH113" s="27"/>
      <c r="BI113" s="27"/>
    </row>
    <row r="114" customFormat="false" ht="15" hidden="false" customHeight="false" outlineLevel="0" collapsed="false">
      <c r="A114" s="22"/>
      <c r="B114" s="22"/>
      <c r="C114" s="22"/>
      <c r="D114" s="22"/>
      <c r="E114" s="22"/>
      <c r="F114" s="22"/>
      <c r="G114" s="22"/>
      <c r="H114" s="22"/>
      <c r="I114" s="22"/>
      <c r="J114" s="22"/>
      <c r="K114" s="22"/>
      <c r="L114" s="22"/>
      <c r="M114" s="22"/>
      <c r="N114" s="23"/>
      <c r="O114" s="23"/>
      <c r="P114" s="23"/>
      <c r="Q114" s="24"/>
      <c r="R114" s="23"/>
      <c r="S114" s="24"/>
      <c r="T114" s="25"/>
      <c r="U114" s="26"/>
      <c r="V114" s="25"/>
      <c r="W114" s="25" t="str">
        <f aca="false">IF($A114="","",N($U114)*N($V114))</f>
        <v/>
      </c>
      <c r="X114" s="22"/>
      <c r="Y114" s="26"/>
      <c r="Z114" s="25"/>
      <c r="AA114" s="25" t="str">
        <f aca="false">IF($A114="","",IF($X114="POV",N($Y114)*MileageRate,0)+N($Z114))</f>
        <v/>
      </c>
      <c r="AB114" s="25" t="str">
        <f aca="false">IF(OR($A114="",$P114="",$R114="",$Q114="",$S114=""),"",IF($R114=$P114,($Q114&lt;=T_DepBfast)*($S114&gt;=T_RetBfast)*PD_Bfast+($Q114&lt;=T_DepLunch)*($S114&gt;=T_RetLunch)*PD_Lunch+($Q114&lt;=T_DepDinner)*($S114&gt;=T_RetDinner)*PD_Dinner+PD_Incid,($Q114&lt;=T_DepBfast)*PD_Bfast+($Q114&lt;=T_DepLunch)*PD_Lunch+($Q114&lt;=T_DepDinner)*PD_Dinner+($S114&gt;=T_RetBfast)*PD_Bfast+($S114&gt;=T_RetLunch)*PD_Lunch+($S114&gt;=T_RetDinner)*PD_Dinner+MAX($R114-$P114-1,0)*(PD_Bfast+PD_Lunch+PD_Dinner)+($R114-$P114+1)*PD_Incid))</f>
        <v/>
      </c>
      <c r="AC114" s="25"/>
      <c r="AD114" s="25" t="str">
        <f aca="false">IF($A114="","",N($T114)+N($W114)+N($AA114)+N($AB114)+N($AC114))</f>
        <v/>
      </c>
      <c r="AE114" s="25"/>
      <c r="AF114" s="25"/>
      <c r="AG114" s="25"/>
      <c r="AH114" s="25"/>
      <c r="AI114" s="25"/>
      <c r="AJ114" s="25" t="str">
        <f aca="false">IF($A114="","",IF(COUNT($AE114:$AI114)=0,"",SUM($AE114:$AI114)))</f>
        <v/>
      </c>
      <c r="AK114" s="25"/>
      <c r="AL114" s="25"/>
      <c r="AM114" s="25" t="str">
        <f aca="false">IF(OR($A114="",$AJ114=""),"",$AJ114-N($AK114)-N($AL114))</f>
        <v/>
      </c>
      <c r="AN114" s="23"/>
      <c r="AO114" s="23"/>
      <c r="AP114" s="22"/>
      <c r="AQ114" s="22"/>
      <c r="AR114" s="23" t="str">
        <f aca="false">IF(OR($A114="",$R114=""),"",$R114+ReceiptDays)</f>
        <v/>
      </c>
      <c r="AS114" s="23"/>
      <c r="AT114" s="23" t="str">
        <f aca="false">IF(OR($A114="",$P114=""),"",($P114-FinanceLeadDays)-MOD(($P114-FinanceLeadDays)-DATE(2024,1,2),7))</f>
        <v/>
      </c>
      <c r="AU114" s="23"/>
      <c r="AV114" s="22"/>
      <c r="AW114" s="22"/>
      <c r="AX114" s="25" t="n">
        <f aca="false">IF(OR($A114="",$B114="Denied",$B114="Cancelled"),0,N($AD114))</f>
        <v>0</v>
      </c>
      <c r="AY114" s="25" t="n">
        <f aca="false">IF($A114="",0,N($AJ114))</f>
        <v>0</v>
      </c>
      <c r="AZ114" s="25" t="n">
        <f aca="false">IF(OR($A114="",$B114="Denied",$B114="Cancelled",$B114="Closed"),0,IF(N($AJ114)&gt;0,0,N($AD114)))</f>
        <v>0</v>
      </c>
      <c r="BA114" s="26" t="n">
        <f aca="false">IF($A114="",0,IF($B114="Awaiting Approval",COUNTIF(BA$1:BA113,"&gt;0")+1,0))</f>
        <v>0</v>
      </c>
      <c r="BB114" s="26" t="n">
        <f aca="false">IF($A114="",0,IF(AND($B114="Approved",$AP114&lt;&gt;"Y"),COUNTIF(BB$1:BB113,"&gt;0")+1,0))</f>
        <v>0</v>
      </c>
      <c r="BC114" s="26" t="n">
        <f aca="false">IF($A114="",0,IF(AND($B114="Approved",N($U114)&gt;0,$AQ114&lt;&gt;"Y"),COUNTIF(BC$1:BC113,"&gt;0")+1,0))</f>
        <v>0</v>
      </c>
      <c r="BD114" s="26" t="n">
        <f aca="true">IF($A114="",0,IF(AND($AR114&lt;&gt;"",N($AR114)&lt;TODAY(),$AS114="",$B114&lt;&gt;"Closed",$B114&lt;&gt;"Cancelled",$B114&lt;&gt;"Denied"),COUNTIF(BD$1:BD113,"&gt;0")+1,0))</f>
        <v>0</v>
      </c>
      <c r="BE114" s="26" t="n">
        <f aca="true">IF($A114="",0,IF(AND($AT114&lt;&gt;"",N($AT114)&lt;=TODAY()+7,$AU114="",$B114&lt;&gt;"Denied",$B114&lt;&gt;"Cancelled",$B114&lt;&gt;"Closed"),COUNTIF(BE$1:BE113,"&gt;0")+1,0))</f>
        <v>0</v>
      </c>
      <c r="BF114" s="22"/>
      <c r="BG114" s="22"/>
      <c r="BH114" s="22"/>
      <c r="BI114" s="22"/>
    </row>
    <row r="115" customFormat="false" ht="15" hidden="false" customHeight="false" outlineLevel="0" collapsed="false">
      <c r="A115" s="27"/>
      <c r="B115" s="27"/>
      <c r="C115" s="27"/>
      <c r="D115" s="27"/>
      <c r="E115" s="27"/>
      <c r="F115" s="27"/>
      <c r="G115" s="27"/>
      <c r="H115" s="27"/>
      <c r="I115" s="27"/>
      <c r="J115" s="27"/>
      <c r="K115" s="27"/>
      <c r="L115" s="27"/>
      <c r="M115" s="27"/>
      <c r="N115" s="28"/>
      <c r="O115" s="28"/>
      <c r="P115" s="28"/>
      <c r="Q115" s="29"/>
      <c r="R115" s="28"/>
      <c r="S115" s="29"/>
      <c r="T115" s="30"/>
      <c r="U115" s="31"/>
      <c r="V115" s="30"/>
      <c r="W115" s="30" t="str">
        <f aca="false">IF($A115="","",N($U115)*N($V115))</f>
        <v/>
      </c>
      <c r="X115" s="27"/>
      <c r="Y115" s="31"/>
      <c r="Z115" s="30"/>
      <c r="AA115" s="30" t="str">
        <f aca="false">IF($A115="","",IF($X115="POV",N($Y115)*MileageRate,0)+N($Z115))</f>
        <v/>
      </c>
      <c r="AB115" s="30" t="str">
        <f aca="false">IF(OR($A115="",$P115="",$R115="",$Q115="",$S115=""),"",IF($R115=$P115,($Q115&lt;=T_DepBfast)*($S115&gt;=T_RetBfast)*PD_Bfast+($Q115&lt;=T_DepLunch)*($S115&gt;=T_RetLunch)*PD_Lunch+($Q115&lt;=T_DepDinner)*($S115&gt;=T_RetDinner)*PD_Dinner+PD_Incid,($Q115&lt;=T_DepBfast)*PD_Bfast+($Q115&lt;=T_DepLunch)*PD_Lunch+($Q115&lt;=T_DepDinner)*PD_Dinner+($S115&gt;=T_RetBfast)*PD_Bfast+($S115&gt;=T_RetLunch)*PD_Lunch+($S115&gt;=T_RetDinner)*PD_Dinner+MAX($R115-$P115-1,0)*(PD_Bfast+PD_Lunch+PD_Dinner)+($R115-$P115+1)*PD_Incid))</f>
        <v/>
      </c>
      <c r="AC115" s="30"/>
      <c r="AD115" s="30" t="str">
        <f aca="false">IF($A115="","",N($T115)+N($W115)+N($AA115)+N($AB115)+N($AC115))</f>
        <v/>
      </c>
      <c r="AE115" s="30"/>
      <c r="AF115" s="30"/>
      <c r="AG115" s="30"/>
      <c r="AH115" s="30"/>
      <c r="AI115" s="30"/>
      <c r="AJ115" s="30" t="str">
        <f aca="false">IF($A115="","",IF(COUNT($AE115:$AI115)=0,"",SUM($AE115:$AI115)))</f>
        <v/>
      </c>
      <c r="AK115" s="30"/>
      <c r="AL115" s="30"/>
      <c r="AM115" s="30" t="str">
        <f aca="false">IF(OR($A115="",$AJ115=""),"",$AJ115-N($AK115)-N($AL115))</f>
        <v/>
      </c>
      <c r="AN115" s="28"/>
      <c r="AO115" s="28"/>
      <c r="AP115" s="27"/>
      <c r="AQ115" s="27"/>
      <c r="AR115" s="28" t="str">
        <f aca="false">IF(OR($A115="",$R115=""),"",$R115+ReceiptDays)</f>
        <v/>
      </c>
      <c r="AS115" s="28"/>
      <c r="AT115" s="28" t="str">
        <f aca="false">IF(OR($A115="",$P115=""),"",($P115-FinanceLeadDays)-MOD(($P115-FinanceLeadDays)-DATE(2024,1,2),7))</f>
        <v/>
      </c>
      <c r="AU115" s="28"/>
      <c r="AV115" s="27"/>
      <c r="AW115" s="27"/>
      <c r="AX115" s="30" t="n">
        <f aca="false">IF(OR($A115="",$B115="Denied",$B115="Cancelled"),0,N($AD115))</f>
        <v>0</v>
      </c>
      <c r="AY115" s="30" t="n">
        <f aca="false">IF($A115="",0,N($AJ115))</f>
        <v>0</v>
      </c>
      <c r="AZ115" s="30" t="n">
        <f aca="false">IF(OR($A115="",$B115="Denied",$B115="Cancelled",$B115="Closed"),0,IF(N($AJ115)&gt;0,0,N($AD115)))</f>
        <v>0</v>
      </c>
      <c r="BA115" s="31" t="n">
        <f aca="false">IF($A115="",0,IF($B115="Awaiting Approval",COUNTIF(BA$1:BA114,"&gt;0")+1,0))</f>
        <v>0</v>
      </c>
      <c r="BB115" s="31" t="n">
        <f aca="false">IF($A115="",0,IF(AND($B115="Approved",$AP115&lt;&gt;"Y"),COUNTIF(BB$1:BB114,"&gt;0")+1,0))</f>
        <v>0</v>
      </c>
      <c r="BC115" s="31" t="n">
        <f aca="false">IF($A115="",0,IF(AND($B115="Approved",N($U115)&gt;0,$AQ115&lt;&gt;"Y"),COUNTIF(BC$1:BC114,"&gt;0")+1,0))</f>
        <v>0</v>
      </c>
      <c r="BD115" s="31" t="n">
        <f aca="true">IF($A115="",0,IF(AND($AR115&lt;&gt;"",N($AR115)&lt;TODAY(),$AS115="",$B115&lt;&gt;"Closed",$B115&lt;&gt;"Cancelled",$B115&lt;&gt;"Denied"),COUNTIF(BD$1:BD114,"&gt;0")+1,0))</f>
        <v>0</v>
      </c>
      <c r="BE115" s="31" t="n">
        <f aca="true">IF($A115="",0,IF(AND($AT115&lt;&gt;"",N($AT115)&lt;=TODAY()+7,$AU115="",$B115&lt;&gt;"Denied",$B115&lt;&gt;"Cancelled",$B115&lt;&gt;"Closed"),COUNTIF(BE$1:BE114,"&gt;0")+1,0))</f>
        <v>0</v>
      </c>
      <c r="BF115" s="27"/>
      <c r="BG115" s="27"/>
      <c r="BH115" s="27"/>
      <c r="BI115" s="27"/>
    </row>
    <row r="116" customFormat="false" ht="15" hidden="false" customHeight="false" outlineLevel="0" collapsed="false">
      <c r="A116" s="22"/>
      <c r="B116" s="22"/>
      <c r="C116" s="22"/>
      <c r="D116" s="22"/>
      <c r="E116" s="22"/>
      <c r="F116" s="22"/>
      <c r="G116" s="22"/>
      <c r="H116" s="22"/>
      <c r="I116" s="22"/>
      <c r="J116" s="22"/>
      <c r="K116" s="22"/>
      <c r="L116" s="22"/>
      <c r="M116" s="22"/>
      <c r="N116" s="23"/>
      <c r="O116" s="23"/>
      <c r="P116" s="23"/>
      <c r="Q116" s="24"/>
      <c r="R116" s="23"/>
      <c r="S116" s="24"/>
      <c r="T116" s="25"/>
      <c r="U116" s="26"/>
      <c r="V116" s="25"/>
      <c r="W116" s="25" t="str">
        <f aca="false">IF($A116="","",N($U116)*N($V116))</f>
        <v/>
      </c>
      <c r="X116" s="22"/>
      <c r="Y116" s="26"/>
      <c r="Z116" s="25"/>
      <c r="AA116" s="25" t="str">
        <f aca="false">IF($A116="","",IF($X116="POV",N($Y116)*MileageRate,0)+N($Z116))</f>
        <v/>
      </c>
      <c r="AB116" s="25" t="str">
        <f aca="false">IF(OR($A116="",$P116="",$R116="",$Q116="",$S116=""),"",IF($R116=$P116,($Q116&lt;=T_DepBfast)*($S116&gt;=T_RetBfast)*PD_Bfast+($Q116&lt;=T_DepLunch)*($S116&gt;=T_RetLunch)*PD_Lunch+($Q116&lt;=T_DepDinner)*($S116&gt;=T_RetDinner)*PD_Dinner+PD_Incid,($Q116&lt;=T_DepBfast)*PD_Bfast+($Q116&lt;=T_DepLunch)*PD_Lunch+($Q116&lt;=T_DepDinner)*PD_Dinner+($S116&gt;=T_RetBfast)*PD_Bfast+($S116&gt;=T_RetLunch)*PD_Lunch+($S116&gt;=T_RetDinner)*PD_Dinner+MAX($R116-$P116-1,0)*(PD_Bfast+PD_Lunch+PD_Dinner)+($R116-$P116+1)*PD_Incid))</f>
        <v/>
      </c>
      <c r="AC116" s="25"/>
      <c r="AD116" s="25" t="str">
        <f aca="false">IF($A116="","",N($T116)+N($W116)+N($AA116)+N($AB116)+N($AC116))</f>
        <v/>
      </c>
      <c r="AE116" s="25"/>
      <c r="AF116" s="25"/>
      <c r="AG116" s="25"/>
      <c r="AH116" s="25"/>
      <c r="AI116" s="25"/>
      <c r="AJ116" s="25" t="str">
        <f aca="false">IF($A116="","",IF(COUNT($AE116:$AI116)=0,"",SUM($AE116:$AI116)))</f>
        <v/>
      </c>
      <c r="AK116" s="25"/>
      <c r="AL116" s="25"/>
      <c r="AM116" s="25" t="str">
        <f aca="false">IF(OR($A116="",$AJ116=""),"",$AJ116-N($AK116)-N($AL116))</f>
        <v/>
      </c>
      <c r="AN116" s="23"/>
      <c r="AO116" s="23"/>
      <c r="AP116" s="22"/>
      <c r="AQ116" s="22"/>
      <c r="AR116" s="23" t="str">
        <f aca="false">IF(OR($A116="",$R116=""),"",$R116+ReceiptDays)</f>
        <v/>
      </c>
      <c r="AS116" s="23"/>
      <c r="AT116" s="23" t="str">
        <f aca="false">IF(OR($A116="",$P116=""),"",($P116-FinanceLeadDays)-MOD(($P116-FinanceLeadDays)-DATE(2024,1,2),7))</f>
        <v/>
      </c>
      <c r="AU116" s="23"/>
      <c r="AV116" s="22"/>
      <c r="AW116" s="22"/>
      <c r="AX116" s="25" t="n">
        <f aca="false">IF(OR($A116="",$B116="Denied",$B116="Cancelled"),0,N($AD116))</f>
        <v>0</v>
      </c>
      <c r="AY116" s="25" t="n">
        <f aca="false">IF($A116="",0,N($AJ116))</f>
        <v>0</v>
      </c>
      <c r="AZ116" s="25" t="n">
        <f aca="false">IF(OR($A116="",$B116="Denied",$B116="Cancelled",$B116="Closed"),0,IF(N($AJ116)&gt;0,0,N($AD116)))</f>
        <v>0</v>
      </c>
      <c r="BA116" s="26" t="n">
        <f aca="false">IF($A116="",0,IF($B116="Awaiting Approval",COUNTIF(BA$1:BA115,"&gt;0")+1,0))</f>
        <v>0</v>
      </c>
      <c r="BB116" s="26" t="n">
        <f aca="false">IF($A116="",0,IF(AND($B116="Approved",$AP116&lt;&gt;"Y"),COUNTIF(BB$1:BB115,"&gt;0")+1,0))</f>
        <v>0</v>
      </c>
      <c r="BC116" s="26" t="n">
        <f aca="false">IF($A116="",0,IF(AND($B116="Approved",N($U116)&gt;0,$AQ116&lt;&gt;"Y"),COUNTIF(BC$1:BC115,"&gt;0")+1,0))</f>
        <v>0</v>
      </c>
      <c r="BD116" s="26" t="n">
        <f aca="true">IF($A116="",0,IF(AND($AR116&lt;&gt;"",N($AR116)&lt;TODAY(),$AS116="",$B116&lt;&gt;"Closed",$B116&lt;&gt;"Cancelled",$B116&lt;&gt;"Denied"),COUNTIF(BD$1:BD115,"&gt;0")+1,0))</f>
        <v>0</v>
      </c>
      <c r="BE116" s="26" t="n">
        <f aca="true">IF($A116="",0,IF(AND($AT116&lt;&gt;"",N($AT116)&lt;=TODAY()+7,$AU116="",$B116&lt;&gt;"Denied",$B116&lt;&gt;"Cancelled",$B116&lt;&gt;"Closed"),COUNTIF(BE$1:BE115,"&gt;0")+1,0))</f>
        <v>0</v>
      </c>
      <c r="BF116" s="22"/>
      <c r="BG116" s="22"/>
      <c r="BH116" s="22"/>
      <c r="BI116" s="22"/>
    </row>
    <row r="117" customFormat="false" ht="15" hidden="false" customHeight="false" outlineLevel="0" collapsed="false">
      <c r="A117" s="27"/>
      <c r="B117" s="27"/>
      <c r="C117" s="27"/>
      <c r="D117" s="27"/>
      <c r="E117" s="27"/>
      <c r="F117" s="27"/>
      <c r="G117" s="27"/>
      <c r="H117" s="27"/>
      <c r="I117" s="27"/>
      <c r="J117" s="27"/>
      <c r="K117" s="27"/>
      <c r="L117" s="27"/>
      <c r="M117" s="27"/>
      <c r="N117" s="28"/>
      <c r="O117" s="28"/>
      <c r="P117" s="28"/>
      <c r="Q117" s="29"/>
      <c r="R117" s="28"/>
      <c r="S117" s="29"/>
      <c r="T117" s="30"/>
      <c r="U117" s="31"/>
      <c r="V117" s="30"/>
      <c r="W117" s="30" t="str">
        <f aca="false">IF($A117="","",N($U117)*N($V117))</f>
        <v/>
      </c>
      <c r="X117" s="27"/>
      <c r="Y117" s="31"/>
      <c r="Z117" s="30"/>
      <c r="AA117" s="30" t="str">
        <f aca="false">IF($A117="","",IF($X117="POV",N($Y117)*MileageRate,0)+N($Z117))</f>
        <v/>
      </c>
      <c r="AB117" s="30" t="str">
        <f aca="false">IF(OR($A117="",$P117="",$R117="",$Q117="",$S117=""),"",IF($R117=$P117,($Q117&lt;=T_DepBfast)*($S117&gt;=T_RetBfast)*PD_Bfast+($Q117&lt;=T_DepLunch)*($S117&gt;=T_RetLunch)*PD_Lunch+($Q117&lt;=T_DepDinner)*($S117&gt;=T_RetDinner)*PD_Dinner+PD_Incid,($Q117&lt;=T_DepBfast)*PD_Bfast+($Q117&lt;=T_DepLunch)*PD_Lunch+($Q117&lt;=T_DepDinner)*PD_Dinner+($S117&gt;=T_RetBfast)*PD_Bfast+($S117&gt;=T_RetLunch)*PD_Lunch+($S117&gt;=T_RetDinner)*PD_Dinner+MAX($R117-$P117-1,0)*(PD_Bfast+PD_Lunch+PD_Dinner)+($R117-$P117+1)*PD_Incid))</f>
        <v/>
      </c>
      <c r="AC117" s="30"/>
      <c r="AD117" s="30" t="str">
        <f aca="false">IF($A117="","",N($T117)+N($W117)+N($AA117)+N($AB117)+N($AC117))</f>
        <v/>
      </c>
      <c r="AE117" s="30"/>
      <c r="AF117" s="30"/>
      <c r="AG117" s="30"/>
      <c r="AH117" s="30"/>
      <c r="AI117" s="30"/>
      <c r="AJ117" s="30" t="str">
        <f aca="false">IF($A117="","",IF(COUNT($AE117:$AI117)=0,"",SUM($AE117:$AI117)))</f>
        <v/>
      </c>
      <c r="AK117" s="30"/>
      <c r="AL117" s="30"/>
      <c r="AM117" s="30" t="str">
        <f aca="false">IF(OR($A117="",$AJ117=""),"",$AJ117-N($AK117)-N($AL117))</f>
        <v/>
      </c>
      <c r="AN117" s="28"/>
      <c r="AO117" s="28"/>
      <c r="AP117" s="27"/>
      <c r="AQ117" s="27"/>
      <c r="AR117" s="28" t="str">
        <f aca="false">IF(OR($A117="",$R117=""),"",$R117+ReceiptDays)</f>
        <v/>
      </c>
      <c r="AS117" s="28"/>
      <c r="AT117" s="28" t="str">
        <f aca="false">IF(OR($A117="",$P117=""),"",($P117-FinanceLeadDays)-MOD(($P117-FinanceLeadDays)-DATE(2024,1,2),7))</f>
        <v/>
      </c>
      <c r="AU117" s="28"/>
      <c r="AV117" s="27"/>
      <c r="AW117" s="27"/>
      <c r="AX117" s="30" t="n">
        <f aca="false">IF(OR($A117="",$B117="Denied",$B117="Cancelled"),0,N($AD117))</f>
        <v>0</v>
      </c>
      <c r="AY117" s="30" t="n">
        <f aca="false">IF($A117="",0,N($AJ117))</f>
        <v>0</v>
      </c>
      <c r="AZ117" s="30" t="n">
        <f aca="false">IF(OR($A117="",$B117="Denied",$B117="Cancelled",$B117="Closed"),0,IF(N($AJ117)&gt;0,0,N($AD117)))</f>
        <v>0</v>
      </c>
      <c r="BA117" s="31" t="n">
        <f aca="false">IF($A117="",0,IF($B117="Awaiting Approval",COUNTIF(BA$1:BA116,"&gt;0")+1,0))</f>
        <v>0</v>
      </c>
      <c r="BB117" s="31" t="n">
        <f aca="false">IF($A117="",0,IF(AND($B117="Approved",$AP117&lt;&gt;"Y"),COUNTIF(BB$1:BB116,"&gt;0")+1,0))</f>
        <v>0</v>
      </c>
      <c r="BC117" s="31" t="n">
        <f aca="false">IF($A117="",0,IF(AND($B117="Approved",N($U117)&gt;0,$AQ117&lt;&gt;"Y"),COUNTIF(BC$1:BC116,"&gt;0")+1,0))</f>
        <v>0</v>
      </c>
      <c r="BD117" s="31" t="n">
        <f aca="true">IF($A117="",0,IF(AND($AR117&lt;&gt;"",N($AR117)&lt;TODAY(),$AS117="",$B117&lt;&gt;"Closed",$B117&lt;&gt;"Cancelled",$B117&lt;&gt;"Denied"),COUNTIF(BD$1:BD116,"&gt;0")+1,0))</f>
        <v>0</v>
      </c>
      <c r="BE117" s="31" t="n">
        <f aca="true">IF($A117="",0,IF(AND($AT117&lt;&gt;"",N($AT117)&lt;=TODAY()+7,$AU117="",$B117&lt;&gt;"Denied",$B117&lt;&gt;"Cancelled",$B117&lt;&gt;"Closed"),COUNTIF(BE$1:BE116,"&gt;0")+1,0))</f>
        <v>0</v>
      </c>
      <c r="BF117" s="27"/>
      <c r="BG117" s="27"/>
      <c r="BH117" s="27"/>
      <c r="BI117" s="27"/>
    </row>
    <row r="118" customFormat="false" ht="15" hidden="false" customHeight="false" outlineLevel="0" collapsed="false">
      <c r="A118" s="22"/>
      <c r="B118" s="22"/>
      <c r="C118" s="22"/>
      <c r="D118" s="22"/>
      <c r="E118" s="22"/>
      <c r="F118" s="22"/>
      <c r="G118" s="22"/>
      <c r="H118" s="22"/>
      <c r="I118" s="22"/>
      <c r="J118" s="22"/>
      <c r="K118" s="22"/>
      <c r="L118" s="22"/>
      <c r="M118" s="22"/>
      <c r="N118" s="23"/>
      <c r="O118" s="23"/>
      <c r="P118" s="23"/>
      <c r="Q118" s="24"/>
      <c r="R118" s="23"/>
      <c r="S118" s="24"/>
      <c r="T118" s="25"/>
      <c r="U118" s="26"/>
      <c r="V118" s="25"/>
      <c r="W118" s="25" t="str">
        <f aca="false">IF($A118="","",N($U118)*N($V118))</f>
        <v/>
      </c>
      <c r="X118" s="22"/>
      <c r="Y118" s="26"/>
      <c r="Z118" s="25"/>
      <c r="AA118" s="25" t="str">
        <f aca="false">IF($A118="","",IF($X118="POV",N($Y118)*MileageRate,0)+N($Z118))</f>
        <v/>
      </c>
      <c r="AB118" s="25" t="str">
        <f aca="false">IF(OR($A118="",$P118="",$R118="",$Q118="",$S118=""),"",IF($R118=$P118,($Q118&lt;=T_DepBfast)*($S118&gt;=T_RetBfast)*PD_Bfast+($Q118&lt;=T_DepLunch)*($S118&gt;=T_RetLunch)*PD_Lunch+($Q118&lt;=T_DepDinner)*($S118&gt;=T_RetDinner)*PD_Dinner+PD_Incid,($Q118&lt;=T_DepBfast)*PD_Bfast+($Q118&lt;=T_DepLunch)*PD_Lunch+($Q118&lt;=T_DepDinner)*PD_Dinner+($S118&gt;=T_RetBfast)*PD_Bfast+($S118&gt;=T_RetLunch)*PD_Lunch+($S118&gt;=T_RetDinner)*PD_Dinner+MAX($R118-$P118-1,0)*(PD_Bfast+PD_Lunch+PD_Dinner)+($R118-$P118+1)*PD_Incid))</f>
        <v/>
      </c>
      <c r="AC118" s="25"/>
      <c r="AD118" s="25" t="str">
        <f aca="false">IF($A118="","",N($T118)+N($W118)+N($AA118)+N($AB118)+N($AC118))</f>
        <v/>
      </c>
      <c r="AE118" s="25"/>
      <c r="AF118" s="25"/>
      <c r="AG118" s="25"/>
      <c r="AH118" s="25"/>
      <c r="AI118" s="25"/>
      <c r="AJ118" s="25" t="str">
        <f aca="false">IF($A118="","",IF(COUNT($AE118:$AI118)=0,"",SUM($AE118:$AI118)))</f>
        <v/>
      </c>
      <c r="AK118" s="25"/>
      <c r="AL118" s="25"/>
      <c r="AM118" s="25" t="str">
        <f aca="false">IF(OR($A118="",$AJ118=""),"",$AJ118-N($AK118)-N($AL118))</f>
        <v/>
      </c>
      <c r="AN118" s="23"/>
      <c r="AO118" s="23"/>
      <c r="AP118" s="22"/>
      <c r="AQ118" s="22"/>
      <c r="AR118" s="23" t="str">
        <f aca="false">IF(OR($A118="",$R118=""),"",$R118+ReceiptDays)</f>
        <v/>
      </c>
      <c r="AS118" s="23"/>
      <c r="AT118" s="23" t="str">
        <f aca="false">IF(OR($A118="",$P118=""),"",($P118-FinanceLeadDays)-MOD(($P118-FinanceLeadDays)-DATE(2024,1,2),7))</f>
        <v/>
      </c>
      <c r="AU118" s="23"/>
      <c r="AV118" s="22"/>
      <c r="AW118" s="22"/>
      <c r="AX118" s="25" t="n">
        <f aca="false">IF(OR($A118="",$B118="Denied",$B118="Cancelled"),0,N($AD118))</f>
        <v>0</v>
      </c>
      <c r="AY118" s="25" t="n">
        <f aca="false">IF($A118="",0,N($AJ118))</f>
        <v>0</v>
      </c>
      <c r="AZ118" s="25" t="n">
        <f aca="false">IF(OR($A118="",$B118="Denied",$B118="Cancelled",$B118="Closed"),0,IF(N($AJ118)&gt;0,0,N($AD118)))</f>
        <v>0</v>
      </c>
      <c r="BA118" s="26" t="n">
        <f aca="false">IF($A118="",0,IF($B118="Awaiting Approval",COUNTIF(BA$1:BA117,"&gt;0")+1,0))</f>
        <v>0</v>
      </c>
      <c r="BB118" s="26" t="n">
        <f aca="false">IF($A118="",0,IF(AND($B118="Approved",$AP118&lt;&gt;"Y"),COUNTIF(BB$1:BB117,"&gt;0")+1,0))</f>
        <v>0</v>
      </c>
      <c r="BC118" s="26" t="n">
        <f aca="false">IF($A118="",0,IF(AND($B118="Approved",N($U118)&gt;0,$AQ118&lt;&gt;"Y"),COUNTIF(BC$1:BC117,"&gt;0")+1,0))</f>
        <v>0</v>
      </c>
      <c r="BD118" s="26" t="n">
        <f aca="true">IF($A118="",0,IF(AND($AR118&lt;&gt;"",N($AR118)&lt;TODAY(),$AS118="",$B118&lt;&gt;"Closed",$B118&lt;&gt;"Cancelled",$B118&lt;&gt;"Denied"),COUNTIF(BD$1:BD117,"&gt;0")+1,0))</f>
        <v>0</v>
      </c>
      <c r="BE118" s="26" t="n">
        <f aca="true">IF($A118="",0,IF(AND($AT118&lt;&gt;"",N($AT118)&lt;=TODAY()+7,$AU118="",$B118&lt;&gt;"Denied",$B118&lt;&gt;"Cancelled",$B118&lt;&gt;"Closed"),COUNTIF(BE$1:BE117,"&gt;0")+1,0))</f>
        <v>0</v>
      </c>
      <c r="BF118" s="22"/>
      <c r="BG118" s="22"/>
      <c r="BH118" s="22"/>
      <c r="BI118" s="22"/>
    </row>
    <row r="119" customFormat="false" ht="15" hidden="false" customHeight="false" outlineLevel="0" collapsed="false">
      <c r="A119" s="27"/>
      <c r="B119" s="27"/>
      <c r="C119" s="27"/>
      <c r="D119" s="27"/>
      <c r="E119" s="27"/>
      <c r="F119" s="27"/>
      <c r="G119" s="27"/>
      <c r="H119" s="27"/>
      <c r="I119" s="27"/>
      <c r="J119" s="27"/>
      <c r="K119" s="27"/>
      <c r="L119" s="27"/>
      <c r="M119" s="27"/>
      <c r="N119" s="28"/>
      <c r="O119" s="28"/>
      <c r="P119" s="28"/>
      <c r="Q119" s="29"/>
      <c r="R119" s="28"/>
      <c r="S119" s="29"/>
      <c r="T119" s="30"/>
      <c r="U119" s="31"/>
      <c r="V119" s="30"/>
      <c r="W119" s="30" t="str">
        <f aca="false">IF($A119="","",N($U119)*N($V119))</f>
        <v/>
      </c>
      <c r="X119" s="27"/>
      <c r="Y119" s="31"/>
      <c r="Z119" s="30"/>
      <c r="AA119" s="30" t="str">
        <f aca="false">IF($A119="","",IF($X119="POV",N($Y119)*MileageRate,0)+N($Z119))</f>
        <v/>
      </c>
      <c r="AB119" s="30" t="str">
        <f aca="false">IF(OR($A119="",$P119="",$R119="",$Q119="",$S119=""),"",IF($R119=$P119,($Q119&lt;=T_DepBfast)*($S119&gt;=T_RetBfast)*PD_Bfast+($Q119&lt;=T_DepLunch)*($S119&gt;=T_RetLunch)*PD_Lunch+($Q119&lt;=T_DepDinner)*($S119&gt;=T_RetDinner)*PD_Dinner+PD_Incid,($Q119&lt;=T_DepBfast)*PD_Bfast+($Q119&lt;=T_DepLunch)*PD_Lunch+($Q119&lt;=T_DepDinner)*PD_Dinner+($S119&gt;=T_RetBfast)*PD_Bfast+($S119&gt;=T_RetLunch)*PD_Lunch+($S119&gt;=T_RetDinner)*PD_Dinner+MAX($R119-$P119-1,0)*(PD_Bfast+PD_Lunch+PD_Dinner)+($R119-$P119+1)*PD_Incid))</f>
        <v/>
      </c>
      <c r="AC119" s="30"/>
      <c r="AD119" s="30" t="str">
        <f aca="false">IF($A119="","",N($T119)+N($W119)+N($AA119)+N($AB119)+N($AC119))</f>
        <v/>
      </c>
      <c r="AE119" s="30"/>
      <c r="AF119" s="30"/>
      <c r="AG119" s="30"/>
      <c r="AH119" s="30"/>
      <c r="AI119" s="30"/>
      <c r="AJ119" s="30" t="str">
        <f aca="false">IF($A119="","",IF(COUNT($AE119:$AI119)=0,"",SUM($AE119:$AI119)))</f>
        <v/>
      </c>
      <c r="AK119" s="30"/>
      <c r="AL119" s="30"/>
      <c r="AM119" s="30" t="str">
        <f aca="false">IF(OR($A119="",$AJ119=""),"",$AJ119-N($AK119)-N($AL119))</f>
        <v/>
      </c>
      <c r="AN119" s="28"/>
      <c r="AO119" s="28"/>
      <c r="AP119" s="27"/>
      <c r="AQ119" s="27"/>
      <c r="AR119" s="28" t="str">
        <f aca="false">IF(OR($A119="",$R119=""),"",$R119+ReceiptDays)</f>
        <v/>
      </c>
      <c r="AS119" s="28"/>
      <c r="AT119" s="28" t="str">
        <f aca="false">IF(OR($A119="",$P119=""),"",($P119-FinanceLeadDays)-MOD(($P119-FinanceLeadDays)-DATE(2024,1,2),7))</f>
        <v/>
      </c>
      <c r="AU119" s="28"/>
      <c r="AV119" s="27"/>
      <c r="AW119" s="27"/>
      <c r="AX119" s="30" t="n">
        <f aca="false">IF(OR($A119="",$B119="Denied",$B119="Cancelled"),0,N($AD119))</f>
        <v>0</v>
      </c>
      <c r="AY119" s="30" t="n">
        <f aca="false">IF($A119="",0,N($AJ119))</f>
        <v>0</v>
      </c>
      <c r="AZ119" s="30" t="n">
        <f aca="false">IF(OR($A119="",$B119="Denied",$B119="Cancelled",$B119="Closed"),0,IF(N($AJ119)&gt;0,0,N($AD119)))</f>
        <v>0</v>
      </c>
      <c r="BA119" s="31" t="n">
        <f aca="false">IF($A119="",0,IF($B119="Awaiting Approval",COUNTIF(BA$1:BA118,"&gt;0")+1,0))</f>
        <v>0</v>
      </c>
      <c r="BB119" s="31" t="n">
        <f aca="false">IF($A119="",0,IF(AND($B119="Approved",$AP119&lt;&gt;"Y"),COUNTIF(BB$1:BB118,"&gt;0")+1,0))</f>
        <v>0</v>
      </c>
      <c r="BC119" s="31" t="n">
        <f aca="false">IF($A119="",0,IF(AND($B119="Approved",N($U119)&gt;0,$AQ119&lt;&gt;"Y"),COUNTIF(BC$1:BC118,"&gt;0")+1,0))</f>
        <v>0</v>
      </c>
      <c r="BD119" s="31" t="n">
        <f aca="true">IF($A119="",0,IF(AND($AR119&lt;&gt;"",N($AR119)&lt;TODAY(),$AS119="",$B119&lt;&gt;"Closed",$B119&lt;&gt;"Cancelled",$B119&lt;&gt;"Denied"),COUNTIF(BD$1:BD118,"&gt;0")+1,0))</f>
        <v>0</v>
      </c>
      <c r="BE119" s="31" t="n">
        <f aca="true">IF($A119="",0,IF(AND($AT119&lt;&gt;"",N($AT119)&lt;=TODAY()+7,$AU119="",$B119&lt;&gt;"Denied",$B119&lt;&gt;"Cancelled",$B119&lt;&gt;"Closed"),COUNTIF(BE$1:BE118,"&gt;0")+1,0))</f>
        <v>0</v>
      </c>
      <c r="BF119" s="27"/>
      <c r="BG119" s="27"/>
      <c r="BH119" s="27"/>
      <c r="BI119" s="27"/>
    </row>
    <row r="120" customFormat="false" ht="15" hidden="false" customHeight="false" outlineLevel="0" collapsed="false">
      <c r="A120" s="22"/>
      <c r="B120" s="22"/>
      <c r="C120" s="22"/>
      <c r="D120" s="22"/>
      <c r="E120" s="22"/>
      <c r="F120" s="22"/>
      <c r="G120" s="22"/>
      <c r="H120" s="22"/>
      <c r="I120" s="22"/>
      <c r="J120" s="22"/>
      <c r="K120" s="22"/>
      <c r="L120" s="22"/>
      <c r="M120" s="22"/>
      <c r="N120" s="23"/>
      <c r="O120" s="23"/>
      <c r="P120" s="23"/>
      <c r="Q120" s="24"/>
      <c r="R120" s="23"/>
      <c r="S120" s="24"/>
      <c r="T120" s="25"/>
      <c r="U120" s="26"/>
      <c r="V120" s="25"/>
      <c r="W120" s="25" t="str">
        <f aca="false">IF($A120="","",N($U120)*N($V120))</f>
        <v/>
      </c>
      <c r="X120" s="22"/>
      <c r="Y120" s="26"/>
      <c r="Z120" s="25"/>
      <c r="AA120" s="25" t="str">
        <f aca="false">IF($A120="","",IF($X120="POV",N($Y120)*MileageRate,0)+N($Z120))</f>
        <v/>
      </c>
      <c r="AB120" s="25" t="str">
        <f aca="false">IF(OR($A120="",$P120="",$R120="",$Q120="",$S120=""),"",IF($R120=$P120,($Q120&lt;=T_DepBfast)*($S120&gt;=T_RetBfast)*PD_Bfast+($Q120&lt;=T_DepLunch)*($S120&gt;=T_RetLunch)*PD_Lunch+($Q120&lt;=T_DepDinner)*($S120&gt;=T_RetDinner)*PD_Dinner+PD_Incid,($Q120&lt;=T_DepBfast)*PD_Bfast+($Q120&lt;=T_DepLunch)*PD_Lunch+($Q120&lt;=T_DepDinner)*PD_Dinner+($S120&gt;=T_RetBfast)*PD_Bfast+($S120&gt;=T_RetLunch)*PD_Lunch+($S120&gt;=T_RetDinner)*PD_Dinner+MAX($R120-$P120-1,0)*(PD_Bfast+PD_Lunch+PD_Dinner)+($R120-$P120+1)*PD_Incid))</f>
        <v/>
      </c>
      <c r="AC120" s="25"/>
      <c r="AD120" s="25" t="str">
        <f aca="false">IF($A120="","",N($T120)+N($W120)+N($AA120)+N($AB120)+N($AC120))</f>
        <v/>
      </c>
      <c r="AE120" s="25"/>
      <c r="AF120" s="25"/>
      <c r="AG120" s="25"/>
      <c r="AH120" s="25"/>
      <c r="AI120" s="25"/>
      <c r="AJ120" s="25" t="str">
        <f aca="false">IF($A120="","",IF(COUNT($AE120:$AI120)=0,"",SUM($AE120:$AI120)))</f>
        <v/>
      </c>
      <c r="AK120" s="25"/>
      <c r="AL120" s="25"/>
      <c r="AM120" s="25" t="str">
        <f aca="false">IF(OR($A120="",$AJ120=""),"",$AJ120-N($AK120)-N($AL120))</f>
        <v/>
      </c>
      <c r="AN120" s="23"/>
      <c r="AO120" s="23"/>
      <c r="AP120" s="22"/>
      <c r="AQ120" s="22"/>
      <c r="AR120" s="23" t="str">
        <f aca="false">IF(OR($A120="",$R120=""),"",$R120+ReceiptDays)</f>
        <v/>
      </c>
      <c r="AS120" s="23"/>
      <c r="AT120" s="23" t="str">
        <f aca="false">IF(OR($A120="",$P120=""),"",($P120-FinanceLeadDays)-MOD(($P120-FinanceLeadDays)-DATE(2024,1,2),7))</f>
        <v/>
      </c>
      <c r="AU120" s="23"/>
      <c r="AV120" s="22"/>
      <c r="AW120" s="22"/>
      <c r="AX120" s="25" t="n">
        <f aca="false">IF(OR($A120="",$B120="Denied",$B120="Cancelled"),0,N($AD120))</f>
        <v>0</v>
      </c>
      <c r="AY120" s="25" t="n">
        <f aca="false">IF($A120="",0,N($AJ120))</f>
        <v>0</v>
      </c>
      <c r="AZ120" s="25" t="n">
        <f aca="false">IF(OR($A120="",$B120="Denied",$B120="Cancelled",$B120="Closed"),0,IF(N($AJ120)&gt;0,0,N($AD120)))</f>
        <v>0</v>
      </c>
      <c r="BA120" s="26" t="n">
        <f aca="false">IF($A120="",0,IF($B120="Awaiting Approval",COUNTIF(BA$1:BA119,"&gt;0")+1,0))</f>
        <v>0</v>
      </c>
      <c r="BB120" s="26" t="n">
        <f aca="false">IF($A120="",0,IF(AND($B120="Approved",$AP120&lt;&gt;"Y"),COUNTIF(BB$1:BB119,"&gt;0")+1,0))</f>
        <v>0</v>
      </c>
      <c r="BC120" s="26" t="n">
        <f aca="false">IF($A120="",0,IF(AND($B120="Approved",N($U120)&gt;0,$AQ120&lt;&gt;"Y"),COUNTIF(BC$1:BC119,"&gt;0")+1,0))</f>
        <v>0</v>
      </c>
      <c r="BD120" s="26" t="n">
        <f aca="true">IF($A120="",0,IF(AND($AR120&lt;&gt;"",N($AR120)&lt;TODAY(),$AS120="",$B120&lt;&gt;"Closed",$B120&lt;&gt;"Cancelled",$B120&lt;&gt;"Denied"),COUNTIF(BD$1:BD119,"&gt;0")+1,0))</f>
        <v>0</v>
      </c>
      <c r="BE120" s="26" t="n">
        <f aca="true">IF($A120="",0,IF(AND($AT120&lt;&gt;"",N($AT120)&lt;=TODAY()+7,$AU120="",$B120&lt;&gt;"Denied",$B120&lt;&gt;"Cancelled",$B120&lt;&gt;"Closed"),COUNTIF(BE$1:BE119,"&gt;0")+1,0))</f>
        <v>0</v>
      </c>
      <c r="BF120" s="22"/>
      <c r="BG120" s="22"/>
      <c r="BH120" s="22"/>
      <c r="BI120" s="22"/>
    </row>
    <row r="121" customFormat="false" ht="15" hidden="false" customHeight="false" outlineLevel="0" collapsed="false">
      <c r="A121" s="27"/>
      <c r="B121" s="27"/>
      <c r="C121" s="27"/>
      <c r="D121" s="27"/>
      <c r="E121" s="27"/>
      <c r="F121" s="27"/>
      <c r="G121" s="27"/>
      <c r="H121" s="27"/>
      <c r="I121" s="27"/>
      <c r="J121" s="27"/>
      <c r="K121" s="27"/>
      <c r="L121" s="27"/>
      <c r="M121" s="27"/>
      <c r="N121" s="28"/>
      <c r="O121" s="28"/>
      <c r="P121" s="28"/>
      <c r="Q121" s="29"/>
      <c r="R121" s="28"/>
      <c r="S121" s="29"/>
      <c r="T121" s="30"/>
      <c r="U121" s="31"/>
      <c r="V121" s="30"/>
      <c r="W121" s="30" t="str">
        <f aca="false">IF($A121="","",N($U121)*N($V121))</f>
        <v/>
      </c>
      <c r="X121" s="27"/>
      <c r="Y121" s="31"/>
      <c r="Z121" s="30"/>
      <c r="AA121" s="30" t="str">
        <f aca="false">IF($A121="","",IF($X121="POV",N($Y121)*MileageRate,0)+N($Z121))</f>
        <v/>
      </c>
      <c r="AB121" s="30" t="str">
        <f aca="false">IF(OR($A121="",$P121="",$R121="",$Q121="",$S121=""),"",IF($R121=$P121,($Q121&lt;=T_DepBfast)*($S121&gt;=T_RetBfast)*PD_Bfast+($Q121&lt;=T_DepLunch)*($S121&gt;=T_RetLunch)*PD_Lunch+($Q121&lt;=T_DepDinner)*($S121&gt;=T_RetDinner)*PD_Dinner+PD_Incid,($Q121&lt;=T_DepBfast)*PD_Bfast+($Q121&lt;=T_DepLunch)*PD_Lunch+($Q121&lt;=T_DepDinner)*PD_Dinner+($S121&gt;=T_RetBfast)*PD_Bfast+($S121&gt;=T_RetLunch)*PD_Lunch+($S121&gt;=T_RetDinner)*PD_Dinner+MAX($R121-$P121-1,0)*(PD_Bfast+PD_Lunch+PD_Dinner)+($R121-$P121+1)*PD_Incid))</f>
        <v/>
      </c>
      <c r="AC121" s="30"/>
      <c r="AD121" s="30" t="str">
        <f aca="false">IF($A121="","",N($T121)+N($W121)+N($AA121)+N($AB121)+N($AC121))</f>
        <v/>
      </c>
      <c r="AE121" s="30"/>
      <c r="AF121" s="30"/>
      <c r="AG121" s="30"/>
      <c r="AH121" s="30"/>
      <c r="AI121" s="30"/>
      <c r="AJ121" s="30" t="str">
        <f aca="false">IF($A121="","",IF(COUNT($AE121:$AI121)=0,"",SUM($AE121:$AI121)))</f>
        <v/>
      </c>
      <c r="AK121" s="30"/>
      <c r="AL121" s="30"/>
      <c r="AM121" s="30" t="str">
        <f aca="false">IF(OR($A121="",$AJ121=""),"",$AJ121-N($AK121)-N($AL121))</f>
        <v/>
      </c>
      <c r="AN121" s="28"/>
      <c r="AO121" s="28"/>
      <c r="AP121" s="27"/>
      <c r="AQ121" s="27"/>
      <c r="AR121" s="28" t="str">
        <f aca="false">IF(OR($A121="",$R121=""),"",$R121+ReceiptDays)</f>
        <v/>
      </c>
      <c r="AS121" s="28"/>
      <c r="AT121" s="28" t="str">
        <f aca="false">IF(OR($A121="",$P121=""),"",($P121-FinanceLeadDays)-MOD(($P121-FinanceLeadDays)-DATE(2024,1,2),7))</f>
        <v/>
      </c>
      <c r="AU121" s="28"/>
      <c r="AV121" s="27"/>
      <c r="AW121" s="27"/>
      <c r="AX121" s="30" t="n">
        <f aca="false">IF(OR($A121="",$B121="Denied",$B121="Cancelled"),0,N($AD121))</f>
        <v>0</v>
      </c>
      <c r="AY121" s="30" t="n">
        <f aca="false">IF($A121="",0,N($AJ121))</f>
        <v>0</v>
      </c>
      <c r="AZ121" s="30" t="n">
        <f aca="false">IF(OR($A121="",$B121="Denied",$B121="Cancelled",$B121="Closed"),0,IF(N($AJ121)&gt;0,0,N($AD121)))</f>
        <v>0</v>
      </c>
      <c r="BA121" s="31" t="n">
        <f aca="false">IF($A121="",0,IF($B121="Awaiting Approval",COUNTIF(BA$1:BA120,"&gt;0")+1,0))</f>
        <v>0</v>
      </c>
      <c r="BB121" s="31" t="n">
        <f aca="false">IF($A121="",0,IF(AND($B121="Approved",$AP121&lt;&gt;"Y"),COUNTIF(BB$1:BB120,"&gt;0")+1,0))</f>
        <v>0</v>
      </c>
      <c r="BC121" s="31" t="n">
        <f aca="false">IF($A121="",0,IF(AND($B121="Approved",N($U121)&gt;0,$AQ121&lt;&gt;"Y"),COUNTIF(BC$1:BC120,"&gt;0")+1,0))</f>
        <v>0</v>
      </c>
      <c r="BD121" s="31" t="n">
        <f aca="true">IF($A121="",0,IF(AND($AR121&lt;&gt;"",N($AR121)&lt;TODAY(),$AS121="",$B121&lt;&gt;"Closed",$B121&lt;&gt;"Cancelled",$B121&lt;&gt;"Denied"),COUNTIF(BD$1:BD120,"&gt;0")+1,0))</f>
        <v>0</v>
      </c>
      <c r="BE121" s="31" t="n">
        <f aca="true">IF($A121="",0,IF(AND($AT121&lt;&gt;"",N($AT121)&lt;=TODAY()+7,$AU121="",$B121&lt;&gt;"Denied",$B121&lt;&gt;"Cancelled",$B121&lt;&gt;"Closed"),COUNTIF(BE$1:BE120,"&gt;0")+1,0))</f>
        <v>0</v>
      </c>
      <c r="BF121" s="27"/>
      <c r="BG121" s="27"/>
      <c r="BH121" s="27"/>
      <c r="BI121" s="27"/>
    </row>
    <row r="122" customFormat="false" ht="15" hidden="false" customHeight="false" outlineLevel="0" collapsed="false">
      <c r="A122" s="22"/>
      <c r="B122" s="22"/>
      <c r="C122" s="22"/>
      <c r="D122" s="22"/>
      <c r="E122" s="22"/>
      <c r="F122" s="22"/>
      <c r="G122" s="22"/>
      <c r="H122" s="22"/>
      <c r="I122" s="22"/>
      <c r="J122" s="22"/>
      <c r="K122" s="22"/>
      <c r="L122" s="22"/>
      <c r="M122" s="22"/>
      <c r="N122" s="23"/>
      <c r="O122" s="23"/>
      <c r="P122" s="23"/>
      <c r="Q122" s="24"/>
      <c r="R122" s="23"/>
      <c r="S122" s="24"/>
      <c r="T122" s="25"/>
      <c r="U122" s="26"/>
      <c r="V122" s="25"/>
      <c r="W122" s="25" t="str">
        <f aca="false">IF($A122="","",N($U122)*N($V122))</f>
        <v/>
      </c>
      <c r="X122" s="22"/>
      <c r="Y122" s="26"/>
      <c r="Z122" s="25"/>
      <c r="AA122" s="25" t="str">
        <f aca="false">IF($A122="","",IF($X122="POV",N($Y122)*MileageRate,0)+N($Z122))</f>
        <v/>
      </c>
      <c r="AB122" s="25" t="str">
        <f aca="false">IF(OR($A122="",$P122="",$R122="",$Q122="",$S122=""),"",IF($R122=$P122,($Q122&lt;=T_DepBfast)*($S122&gt;=T_RetBfast)*PD_Bfast+($Q122&lt;=T_DepLunch)*($S122&gt;=T_RetLunch)*PD_Lunch+($Q122&lt;=T_DepDinner)*($S122&gt;=T_RetDinner)*PD_Dinner+PD_Incid,($Q122&lt;=T_DepBfast)*PD_Bfast+($Q122&lt;=T_DepLunch)*PD_Lunch+($Q122&lt;=T_DepDinner)*PD_Dinner+($S122&gt;=T_RetBfast)*PD_Bfast+($S122&gt;=T_RetLunch)*PD_Lunch+($S122&gt;=T_RetDinner)*PD_Dinner+MAX($R122-$P122-1,0)*(PD_Bfast+PD_Lunch+PD_Dinner)+($R122-$P122+1)*PD_Incid))</f>
        <v/>
      </c>
      <c r="AC122" s="25"/>
      <c r="AD122" s="25" t="str">
        <f aca="false">IF($A122="","",N($T122)+N($W122)+N($AA122)+N($AB122)+N($AC122))</f>
        <v/>
      </c>
      <c r="AE122" s="25"/>
      <c r="AF122" s="25"/>
      <c r="AG122" s="25"/>
      <c r="AH122" s="25"/>
      <c r="AI122" s="25"/>
      <c r="AJ122" s="25" t="str">
        <f aca="false">IF($A122="","",IF(COUNT($AE122:$AI122)=0,"",SUM($AE122:$AI122)))</f>
        <v/>
      </c>
      <c r="AK122" s="25"/>
      <c r="AL122" s="25"/>
      <c r="AM122" s="25" t="str">
        <f aca="false">IF(OR($A122="",$AJ122=""),"",$AJ122-N($AK122)-N($AL122))</f>
        <v/>
      </c>
      <c r="AN122" s="23"/>
      <c r="AO122" s="23"/>
      <c r="AP122" s="22"/>
      <c r="AQ122" s="22"/>
      <c r="AR122" s="23" t="str">
        <f aca="false">IF(OR($A122="",$R122=""),"",$R122+ReceiptDays)</f>
        <v/>
      </c>
      <c r="AS122" s="23"/>
      <c r="AT122" s="23" t="str">
        <f aca="false">IF(OR($A122="",$P122=""),"",($P122-FinanceLeadDays)-MOD(($P122-FinanceLeadDays)-DATE(2024,1,2),7))</f>
        <v/>
      </c>
      <c r="AU122" s="23"/>
      <c r="AV122" s="22"/>
      <c r="AW122" s="22"/>
      <c r="AX122" s="25" t="n">
        <f aca="false">IF(OR($A122="",$B122="Denied",$B122="Cancelled"),0,N($AD122))</f>
        <v>0</v>
      </c>
      <c r="AY122" s="25" t="n">
        <f aca="false">IF($A122="",0,N($AJ122))</f>
        <v>0</v>
      </c>
      <c r="AZ122" s="25" t="n">
        <f aca="false">IF(OR($A122="",$B122="Denied",$B122="Cancelled",$B122="Closed"),0,IF(N($AJ122)&gt;0,0,N($AD122)))</f>
        <v>0</v>
      </c>
      <c r="BA122" s="26" t="n">
        <f aca="false">IF($A122="",0,IF($B122="Awaiting Approval",COUNTIF(BA$1:BA121,"&gt;0")+1,0))</f>
        <v>0</v>
      </c>
      <c r="BB122" s="26" t="n">
        <f aca="false">IF($A122="",0,IF(AND($B122="Approved",$AP122&lt;&gt;"Y"),COUNTIF(BB$1:BB121,"&gt;0")+1,0))</f>
        <v>0</v>
      </c>
      <c r="BC122" s="26" t="n">
        <f aca="false">IF($A122="",0,IF(AND($B122="Approved",N($U122)&gt;0,$AQ122&lt;&gt;"Y"),COUNTIF(BC$1:BC121,"&gt;0")+1,0))</f>
        <v>0</v>
      </c>
      <c r="BD122" s="26" t="n">
        <f aca="true">IF($A122="",0,IF(AND($AR122&lt;&gt;"",N($AR122)&lt;TODAY(),$AS122="",$B122&lt;&gt;"Closed",$B122&lt;&gt;"Cancelled",$B122&lt;&gt;"Denied"),COUNTIF(BD$1:BD121,"&gt;0")+1,0))</f>
        <v>0</v>
      </c>
      <c r="BE122" s="26" t="n">
        <f aca="true">IF($A122="",0,IF(AND($AT122&lt;&gt;"",N($AT122)&lt;=TODAY()+7,$AU122="",$B122&lt;&gt;"Denied",$B122&lt;&gt;"Cancelled",$B122&lt;&gt;"Closed"),COUNTIF(BE$1:BE121,"&gt;0")+1,0))</f>
        <v>0</v>
      </c>
      <c r="BF122" s="22"/>
      <c r="BG122" s="22"/>
      <c r="BH122" s="22"/>
      <c r="BI122" s="22"/>
    </row>
    <row r="123" customFormat="false" ht="15" hidden="false" customHeight="false" outlineLevel="0" collapsed="false">
      <c r="A123" s="27"/>
      <c r="B123" s="27"/>
      <c r="C123" s="27"/>
      <c r="D123" s="27"/>
      <c r="E123" s="27"/>
      <c r="F123" s="27"/>
      <c r="G123" s="27"/>
      <c r="H123" s="27"/>
      <c r="I123" s="27"/>
      <c r="J123" s="27"/>
      <c r="K123" s="27"/>
      <c r="L123" s="27"/>
      <c r="M123" s="27"/>
      <c r="N123" s="28"/>
      <c r="O123" s="28"/>
      <c r="P123" s="28"/>
      <c r="Q123" s="29"/>
      <c r="R123" s="28"/>
      <c r="S123" s="29"/>
      <c r="T123" s="30"/>
      <c r="U123" s="31"/>
      <c r="V123" s="30"/>
      <c r="W123" s="30" t="str">
        <f aca="false">IF($A123="","",N($U123)*N($V123))</f>
        <v/>
      </c>
      <c r="X123" s="27"/>
      <c r="Y123" s="31"/>
      <c r="Z123" s="30"/>
      <c r="AA123" s="30" t="str">
        <f aca="false">IF($A123="","",IF($X123="POV",N($Y123)*MileageRate,0)+N($Z123))</f>
        <v/>
      </c>
      <c r="AB123" s="30" t="str">
        <f aca="false">IF(OR($A123="",$P123="",$R123="",$Q123="",$S123=""),"",IF($R123=$P123,($Q123&lt;=T_DepBfast)*($S123&gt;=T_RetBfast)*PD_Bfast+($Q123&lt;=T_DepLunch)*($S123&gt;=T_RetLunch)*PD_Lunch+($Q123&lt;=T_DepDinner)*($S123&gt;=T_RetDinner)*PD_Dinner+PD_Incid,($Q123&lt;=T_DepBfast)*PD_Bfast+($Q123&lt;=T_DepLunch)*PD_Lunch+($Q123&lt;=T_DepDinner)*PD_Dinner+($S123&gt;=T_RetBfast)*PD_Bfast+($S123&gt;=T_RetLunch)*PD_Lunch+($S123&gt;=T_RetDinner)*PD_Dinner+MAX($R123-$P123-1,0)*(PD_Bfast+PD_Lunch+PD_Dinner)+($R123-$P123+1)*PD_Incid))</f>
        <v/>
      </c>
      <c r="AC123" s="30"/>
      <c r="AD123" s="30" t="str">
        <f aca="false">IF($A123="","",N($T123)+N($W123)+N($AA123)+N($AB123)+N($AC123))</f>
        <v/>
      </c>
      <c r="AE123" s="30"/>
      <c r="AF123" s="30"/>
      <c r="AG123" s="30"/>
      <c r="AH123" s="30"/>
      <c r="AI123" s="30"/>
      <c r="AJ123" s="30" t="str">
        <f aca="false">IF($A123="","",IF(COUNT($AE123:$AI123)=0,"",SUM($AE123:$AI123)))</f>
        <v/>
      </c>
      <c r="AK123" s="30"/>
      <c r="AL123" s="30"/>
      <c r="AM123" s="30" t="str">
        <f aca="false">IF(OR($A123="",$AJ123=""),"",$AJ123-N($AK123)-N($AL123))</f>
        <v/>
      </c>
      <c r="AN123" s="28"/>
      <c r="AO123" s="28"/>
      <c r="AP123" s="27"/>
      <c r="AQ123" s="27"/>
      <c r="AR123" s="28" t="str">
        <f aca="false">IF(OR($A123="",$R123=""),"",$R123+ReceiptDays)</f>
        <v/>
      </c>
      <c r="AS123" s="28"/>
      <c r="AT123" s="28" t="str">
        <f aca="false">IF(OR($A123="",$P123=""),"",($P123-FinanceLeadDays)-MOD(($P123-FinanceLeadDays)-DATE(2024,1,2),7))</f>
        <v/>
      </c>
      <c r="AU123" s="28"/>
      <c r="AV123" s="27"/>
      <c r="AW123" s="27"/>
      <c r="AX123" s="30" t="n">
        <f aca="false">IF(OR($A123="",$B123="Denied",$B123="Cancelled"),0,N($AD123))</f>
        <v>0</v>
      </c>
      <c r="AY123" s="30" t="n">
        <f aca="false">IF($A123="",0,N($AJ123))</f>
        <v>0</v>
      </c>
      <c r="AZ123" s="30" t="n">
        <f aca="false">IF(OR($A123="",$B123="Denied",$B123="Cancelled",$B123="Closed"),0,IF(N($AJ123)&gt;0,0,N($AD123)))</f>
        <v>0</v>
      </c>
      <c r="BA123" s="31" t="n">
        <f aca="false">IF($A123="",0,IF($B123="Awaiting Approval",COUNTIF(BA$1:BA122,"&gt;0")+1,0))</f>
        <v>0</v>
      </c>
      <c r="BB123" s="31" t="n">
        <f aca="false">IF($A123="",0,IF(AND($B123="Approved",$AP123&lt;&gt;"Y"),COUNTIF(BB$1:BB122,"&gt;0")+1,0))</f>
        <v>0</v>
      </c>
      <c r="BC123" s="31" t="n">
        <f aca="false">IF($A123="",0,IF(AND($B123="Approved",N($U123)&gt;0,$AQ123&lt;&gt;"Y"),COUNTIF(BC$1:BC122,"&gt;0")+1,0))</f>
        <v>0</v>
      </c>
      <c r="BD123" s="31" t="n">
        <f aca="true">IF($A123="",0,IF(AND($AR123&lt;&gt;"",N($AR123)&lt;TODAY(),$AS123="",$B123&lt;&gt;"Closed",$B123&lt;&gt;"Cancelled",$B123&lt;&gt;"Denied"),COUNTIF(BD$1:BD122,"&gt;0")+1,0))</f>
        <v>0</v>
      </c>
      <c r="BE123" s="31" t="n">
        <f aca="true">IF($A123="",0,IF(AND($AT123&lt;&gt;"",N($AT123)&lt;=TODAY()+7,$AU123="",$B123&lt;&gt;"Denied",$B123&lt;&gt;"Cancelled",$B123&lt;&gt;"Closed"),COUNTIF(BE$1:BE122,"&gt;0")+1,0))</f>
        <v>0</v>
      </c>
      <c r="BF123" s="27"/>
      <c r="BG123" s="27"/>
      <c r="BH123" s="27"/>
      <c r="BI123" s="27"/>
    </row>
    <row r="124" customFormat="false" ht="15" hidden="false" customHeight="false" outlineLevel="0" collapsed="false">
      <c r="A124" s="22"/>
      <c r="B124" s="22"/>
      <c r="C124" s="22"/>
      <c r="D124" s="22"/>
      <c r="E124" s="22"/>
      <c r="F124" s="22"/>
      <c r="G124" s="22"/>
      <c r="H124" s="22"/>
      <c r="I124" s="22"/>
      <c r="J124" s="22"/>
      <c r="K124" s="22"/>
      <c r="L124" s="22"/>
      <c r="M124" s="22"/>
      <c r="N124" s="23"/>
      <c r="O124" s="23"/>
      <c r="P124" s="23"/>
      <c r="Q124" s="24"/>
      <c r="R124" s="23"/>
      <c r="S124" s="24"/>
      <c r="T124" s="25"/>
      <c r="U124" s="26"/>
      <c r="V124" s="25"/>
      <c r="W124" s="25" t="str">
        <f aca="false">IF($A124="","",N($U124)*N($V124))</f>
        <v/>
      </c>
      <c r="X124" s="22"/>
      <c r="Y124" s="26"/>
      <c r="Z124" s="25"/>
      <c r="AA124" s="25" t="str">
        <f aca="false">IF($A124="","",IF($X124="POV",N($Y124)*MileageRate,0)+N($Z124))</f>
        <v/>
      </c>
      <c r="AB124" s="25" t="str">
        <f aca="false">IF(OR($A124="",$P124="",$R124="",$Q124="",$S124=""),"",IF($R124=$P124,($Q124&lt;=T_DepBfast)*($S124&gt;=T_RetBfast)*PD_Bfast+($Q124&lt;=T_DepLunch)*($S124&gt;=T_RetLunch)*PD_Lunch+($Q124&lt;=T_DepDinner)*($S124&gt;=T_RetDinner)*PD_Dinner+PD_Incid,($Q124&lt;=T_DepBfast)*PD_Bfast+($Q124&lt;=T_DepLunch)*PD_Lunch+($Q124&lt;=T_DepDinner)*PD_Dinner+($S124&gt;=T_RetBfast)*PD_Bfast+($S124&gt;=T_RetLunch)*PD_Lunch+($S124&gt;=T_RetDinner)*PD_Dinner+MAX($R124-$P124-1,0)*(PD_Bfast+PD_Lunch+PD_Dinner)+($R124-$P124+1)*PD_Incid))</f>
        <v/>
      </c>
      <c r="AC124" s="25"/>
      <c r="AD124" s="25" t="str">
        <f aca="false">IF($A124="","",N($T124)+N($W124)+N($AA124)+N($AB124)+N($AC124))</f>
        <v/>
      </c>
      <c r="AE124" s="25"/>
      <c r="AF124" s="25"/>
      <c r="AG124" s="25"/>
      <c r="AH124" s="25"/>
      <c r="AI124" s="25"/>
      <c r="AJ124" s="25" t="str">
        <f aca="false">IF($A124="","",IF(COUNT($AE124:$AI124)=0,"",SUM($AE124:$AI124)))</f>
        <v/>
      </c>
      <c r="AK124" s="25"/>
      <c r="AL124" s="25"/>
      <c r="AM124" s="25" t="str">
        <f aca="false">IF(OR($A124="",$AJ124=""),"",$AJ124-N($AK124)-N($AL124))</f>
        <v/>
      </c>
      <c r="AN124" s="23"/>
      <c r="AO124" s="23"/>
      <c r="AP124" s="22"/>
      <c r="AQ124" s="22"/>
      <c r="AR124" s="23" t="str">
        <f aca="false">IF(OR($A124="",$R124=""),"",$R124+ReceiptDays)</f>
        <v/>
      </c>
      <c r="AS124" s="23"/>
      <c r="AT124" s="23" t="str">
        <f aca="false">IF(OR($A124="",$P124=""),"",($P124-FinanceLeadDays)-MOD(($P124-FinanceLeadDays)-DATE(2024,1,2),7))</f>
        <v/>
      </c>
      <c r="AU124" s="23"/>
      <c r="AV124" s="22"/>
      <c r="AW124" s="22"/>
      <c r="AX124" s="25" t="n">
        <f aca="false">IF(OR($A124="",$B124="Denied",$B124="Cancelled"),0,N($AD124))</f>
        <v>0</v>
      </c>
      <c r="AY124" s="25" t="n">
        <f aca="false">IF($A124="",0,N($AJ124))</f>
        <v>0</v>
      </c>
      <c r="AZ124" s="25" t="n">
        <f aca="false">IF(OR($A124="",$B124="Denied",$B124="Cancelled",$B124="Closed"),0,IF(N($AJ124)&gt;0,0,N($AD124)))</f>
        <v>0</v>
      </c>
      <c r="BA124" s="26" t="n">
        <f aca="false">IF($A124="",0,IF($B124="Awaiting Approval",COUNTIF(BA$1:BA123,"&gt;0")+1,0))</f>
        <v>0</v>
      </c>
      <c r="BB124" s="26" t="n">
        <f aca="false">IF($A124="",0,IF(AND($B124="Approved",$AP124&lt;&gt;"Y"),COUNTIF(BB$1:BB123,"&gt;0")+1,0))</f>
        <v>0</v>
      </c>
      <c r="BC124" s="26" t="n">
        <f aca="false">IF($A124="",0,IF(AND($B124="Approved",N($U124)&gt;0,$AQ124&lt;&gt;"Y"),COUNTIF(BC$1:BC123,"&gt;0")+1,0))</f>
        <v>0</v>
      </c>
      <c r="BD124" s="26" t="n">
        <f aca="true">IF($A124="",0,IF(AND($AR124&lt;&gt;"",N($AR124)&lt;TODAY(),$AS124="",$B124&lt;&gt;"Closed",$B124&lt;&gt;"Cancelled",$B124&lt;&gt;"Denied"),COUNTIF(BD$1:BD123,"&gt;0")+1,0))</f>
        <v>0</v>
      </c>
      <c r="BE124" s="26" t="n">
        <f aca="true">IF($A124="",0,IF(AND($AT124&lt;&gt;"",N($AT124)&lt;=TODAY()+7,$AU124="",$B124&lt;&gt;"Denied",$B124&lt;&gt;"Cancelled",$B124&lt;&gt;"Closed"),COUNTIF(BE$1:BE123,"&gt;0")+1,0))</f>
        <v>0</v>
      </c>
      <c r="BF124" s="22"/>
      <c r="BG124" s="22"/>
      <c r="BH124" s="22"/>
      <c r="BI124" s="22"/>
    </row>
    <row r="125" customFormat="false" ht="15" hidden="false" customHeight="false" outlineLevel="0" collapsed="false">
      <c r="A125" s="27"/>
      <c r="B125" s="27"/>
      <c r="C125" s="27"/>
      <c r="D125" s="27"/>
      <c r="E125" s="27"/>
      <c r="F125" s="27"/>
      <c r="G125" s="27"/>
      <c r="H125" s="27"/>
      <c r="I125" s="27"/>
      <c r="J125" s="27"/>
      <c r="K125" s="27"/>
      <c r="L125" s="27"/>
      <c r="M125" s="27"/>
      <c r="N125" s="28"/>
      <c r="O125" s="28"/>
      <c r="P125" s="28"/>
      <c r="Q125" s="29"/>
      <c r="R125" s="28"/>
      <c r="S125" s="29"/>
      <c r="T125" s="30"/>
      <c r="U125" s="31"/>
      <c r="V125" s="30"/>
      <c r="W125" s="30" t="str">
        <f aca="false">IF($A125="","",N($U125)*N($V125))</f>
        <v/>
      </c>
      <c r="X125" s="27"/>
      <c r="Y125" s="31"/>
      <c r="Z125" s="30"/>
      <c r="AA125" s="30" t="str">
        <f aca="false">IF($A125="","",IF($X125="POV",N($Y125)*MileageRate,0)+N($Z125))</f>
        <v/>
      </c>
      <c r="AB125" s="30" t="str">
        <f aca="false">IF(OR($A125="",$P125="",$R125="",$Q125="",$S125=""),"",IF($R125=$P125,($Q125&lt;=T_DepBfast)*($S125&gt;=T_RetBfast)*PD_Bfast+($Q125&lt;=T_DepLunch)*($S125&gt;=T_RetLunch)*PD_Lunch+($Q125&lt;=T_DepDinner)*($S125&gt;=T_RetDinner)*PD_Dinner+PD_Incid,($Q125&lt;=T_DepBfast)*PD_Bfast+($Q125&lt;=T_DepLunch)*PD_Lunch+($Q125&lt;=T_DepDinner)*PD_Dinner+($S125&gt;=T_RetBfast)*PD_Bfast+($S125&gt;=T_RetLunch)*PD_Lunch+($S125&gt;=T_RetDinner)*PD_Dinner+MAX($R125-$P125-1,0)*(PD_Bfast+PD_Lunch+PD_Dinner)+($R125-$P125+1)*PD_Incid))</f>
        <v/>
      </c>
      <c r="AC125" s="30"/>
      <c r="AD125" s="30" t="str">
        <f aca="false">IF($A125="","",N($T125)+N($W125)+N($AA125)+N($AB125)+N($AC125))</f>
        <v/>
      </c>
      <c r="AE125" s="30"/>
      <c r="AF125" s="30"/>
      <c r="AG125" s="30"/>
      <c r="AH125" s="30"/>
      <c r="AI125" s="30"/>
      <c r="AJ125" s="30" t="str">
        <f aca="false">IF($A125="","",IF(COUNT($AE125:$AI125)=0,"",SUM($AE125:$AI125)))</f>
        <v/>
      </c>
      <c r="AK125" s="30"/>
      <c r="AL125" s="30"/>
      <c r="AM125" s="30" t="str">
        <f aca="false">IF(OR($A125="",$AJ125=""),"",$AJ125-N($AK125)-N($AL125))</f>
        <v/>
      </c>
      <c r="AN125" s="28"/>
      <c r="AO125" s="28"/>
      <c r="AP125" s="27"/>
      <c r="AQ125" s="27"/>
      <c r="AR125" s="28" t="str">
        <f aca="false">IF(OR($A125="",$R125=""),"",$R125+ReceiptDays)</f>
        <v/>
      </c>
      <c r="AS125" s="28"/>
      <c r="AT125" s="28" t="str">
        <f aca="false">IF(OR($A125="",$P125=""),"",($P125-FinanceLeadDays)-MOD(($P125-FinanceLeadDays)-DATE(2024,1,2),7))</f>
        <v/>
      </c>
      <c r="AU125" s="28"/>
      <c r="AV125" s="27"/>
      <c r="AW125" s="27"/>
      <c r="AX125" s="30" t="n">
        <f aca="false">IF(OR($A125="",$B125="Denied",$B125="Cancelled"),0,N($AD125))</f>
        <v>0</v>
      </c>
      <c r="AY125" s="30" t="n">
        <f aca="false">IF($A125="",0,N($AJ125))</f>
        <v>0</v>
      </c>
      <c r="AZ125" s="30" t="n">
        <f aca="false">IF(OR($A125="",$B125="Denied",$B125="Cancelled",$B125="Closed"),0,IF(N($AJ125)&gt;0,0,N($AD125)))</f>
        <v>0</v>
      </c>
      <c r="BA125" s="31" t="n">
        <f aca="false">IF($A125="",0,IF($B125="Awaiting Approval",COUNTIF(BA$1:BA124,"&gt;0")+1,0))</f>
        <v>0</v>
      </c>
      <c r="BB125" s="31" t="n">
        <f aca="false">IF($A125="",0,IF(AND($B125="Approved",$AP125&lt;&gt;"Y"),COUNTIF(BB$1:BB124,"&gt;0")+1,0))</f>
        <v>0</v>
      </c>
      <c r="BC125" s="31" t="n">
        <f aca="false">IF($A125="",0,IF(AND($B125="Approved",N($U125)&gt;0,$AQ125&lt;&gt;"Y"),COUNTIF(BC$1:BC124,"&gt;0")+1,0))</f>
        <v>0</v>
      </c>
      <c r="BD125" s="31" t="n">
        <f aca="true">IF($A125="",0,IF(AND($AR125&lt;&gt;"",N($AR125)&lt;TODAY(),$AS125="",$B125&lt;&gt;"Closed",$B125&lt;&gt;"Cancelled",$B125&lt;&gt;"Denied"),COUNTIF(BD$1:BD124,"&gt;0")+1,0))</f>
        <v>0</v>
      </c>
      <c r="BE125" s="31" t="n">
        <f aca="true">IF($A125="",0,IF(AND($AT125&lt;&gt;"",N($AT125)&lt;=TODAY()+7,$AU125="",$B125&lt;&gt;"Denied",$B125&lt;&gt;"Cancelled",$B125&lt;&gt;"Closed"),COUNTIF(BE$1:BE124,"&gt;0")+1,0))</f>
        <v>0</v>
      </c>
      <c r="BF125" s="27"/>
      <c r="BG125" s="27"/>
      <c r="BH125" s="27"/>
      <c r="BI125" s="27"/>
    </row>
    <row r="126" customFormat="false" ht="15" hidden="false" customHeight="false" outlineLevel="0" collapsed="false">
      <c r="A126" s="22"/>
      <c r="B126" s="22"/>
      <c r="C126" s="22"/>
      <c r="D126" s="22"/>
      <c r="E126" s="22"/>
      <c r="F126" s="22"/>
      <c r="G126" s="22"/>
      <c r="H126" s="22"/>
      <c r="I126" s="22"/>
      <c r="J126" s="22"/>
      <c r="K126" s="22"/>
      <c r="L126" s="22"/>
      <c r="M126" s="22"/>
      <c r="N126" s="23"/>
      <c r="O126" s="23"/>
      <c r="P126" s="23"/>
      <c r="Q126" s="24"/>
      <c r="R126" s="23"/>
      <c r="S126" s="24"/>
      <c r="T126" s="25"/>
      <c r="U126" s="26"/>
      <c r="V126" s="25"/>
      <c r="W126" s="25" t="str">
        <f aca="false">IF($A126="","",N($U126)*N($V126))</f>
        <v/>
      </c>
      <c r="X126" s="22"/>
      <c r="Y126" s="26"/>
      <c r="Z126" s="25"/>
      <c r="AA126" s="25" t="str">
        <f aca="false">IF($A126="","",IF($X126="POV",N($Y126)*MileageRate,0)+N($Z126))</f>
        <v/>
      </c>
      <c r="AB126" s="25" t="str">
        <f aca="false">IF(OR($A126="",$P126="",$R126="",$Q126="",$S126=""),"",IF($R126=$P126,($Q126&lt;=T_DepBfast)*($S126&gt;=T_RetBfast)*PD_Bfast+($Q126&lt;=T_DepLunch)*($S126&gt;=T_RetLunch)*PD_Lunch+($Q126&lt;=T_DepDinner)*($S126&gt;=T_RetDinner)*PD_Dinner+PD_Incid,($Q126&lt;=T_DepBfast)*PD_Bfast+($Q126&lt;=T_DepLunch)*PD_Lunch+($Q126&lt;=T_DepDinner)*PD_Dinner+($S126&gt;=T_RetBfast)*PD_Bfast+($S126&gt;=T_RetLunch)*PD_Lunch+($S126&gt;=T_RetDinner)*PD_Dinner+MAX($R126-$P126-1,0)*(PD_Bfast+PD_Lunch+PD_Dinner)+($R126-$P126+1)*PD_Incid))</f>
        <v/>
      </c>
      <c r="AC126" s="25"/>
      <c r="AD126" s="25" t="str">
        <f aca="false">IF($A126="","",N($T126)+N($W126)+N($AA126)+N($AB126)+N($AC126))</f>
        <v/>
      </c>
      <c r="AE126" s="25"/>
      <c r="AF126" s="25"/>
      <c r="AG126" s="25"/>
      <c r="AH126" s="25"/>
      <c r="AI126" s="25"/>
      <c r="AJ126" s="25" t="str">
        <f aca="false">IF($A126="","",IF(COUNT($AE126:$AI126)=0,"",SUM($AE126:$AI126)))</f>
        <v/>
      </c>
      <c r="AK126" s="25"/>
      <c r="AL126" s="25"/>
      <c r="AM126" s="25" t="str">
        <f aca="false">IF(OR($A126="",$AJ126=""),"",$AJ126-N($AK126)-N($AL126))</f>
        <v/>
      </c>
      <c r="AN126" s="23"/>
      <c r="AO126" s="23"/>
      <c r="AP126" s="22"/>
      <c r="AQ126" s="22"/>
      <c r="AR126" s="23" t="str">
        <f aca="false">IF(OR($A126="",$R126=""),"",$R126+ReceiptDays)</f>
        <v/>
      </c>
      <c r="AS126" s="23"/>
      <c r="AT126" s="23" t="str">
        <f aca="false">IF(OR($A126="",$P126=""),"",($P126-FinanceLeadDays)-MOD(($P126-FinanceLeadDays)-DATE(2024,1,2),7))</f>
        <v/>
      </c>
      <c r="AU126" s="23"/>
      <c r="AV126" s="22"/>
      <c r="AW126" s="22"/>
      <c r="AX126" s="25" t="n">
        <f aca="false">IF(OR($A126="",$B126="Denied",$B126="Cancelled"),0,N($AD126))</f>
        <v>0</v>
      </c>
      <c r="AY126" s="25" t="n">
        <f aca="false">IF($A126="",0,N($AJ126))</f>
        <v>0</v>
      </c>
      <c r="AZ126" s="25" t="n">
        <f aca="false">IF(OR($A126="",$B126="Denied",$B126="Cancelled",$B126="Closed"),0,IF(N($AJ126)&gt;0,0,N($AD126)))</f>
        <v>0</v>
      </c>
      <c r="BA126" s="26" t="n">
        <f aca="false">IF($A126="",0,IF($B126="Awaiting Approval",COUNTIF(BA$1:BA125,"&gt;0")+1,0))</f>
        <v>0</v>
      </c>
      <c r="BB126" s="26" t="n">
        <f aca="false">IF($A126="",0,IF(AND($B126="Approved",$AP126&lt;&gt;"Y"),COUNTIF(BB$1:BB125,"&gt;0")+1,0))</f>
        <v>0</v>
      </c>
      <c r="BC126" s="26" t="n">
        <f aca="false">IF($A126="",0,IF(AND($B126="Approved",N($U126)&gt;0,$AQ126&lt;&gt;"Y"),COUNTIF(BC$1:BC125,"&gt;0")+1,0))</f>
        <v>0</v>
      </c>
      <c r="BD126" s="26" t="n">
        <f aca="true">IF($A126="",0,IF(AND($AR126&lt;&gt;"",N($AR126)&lt;TODAY(),$AS126="",$B126&lt;&gt;"Closed",$B126&lt;&gt;"Cancelled",$B126&lt;&gt;"Denied"),COUNTIF(BD$1:BD125,"&gt;0")+1,0))</f>
        <v>0</v>
      </c>
      <c r="BE126" s="26" t="n">
        <f aca="true">IF($A126="",0,IF(AND($AT126&lt;&gt;"",N($AT126)&lt;=TODAY()+7,$AU126="",$B126&lt;&gt;"Denied",$B126&lt;&gt;"Cancelled",$B126&lt;&gt;"Closed"),COUNTIF(BE$1:BE125,"&gt;0")+1,0))</f>
        <v>0</v>
      </c>
      <c r="BF126" s="22"/>
      <c r="BG126" s="22"/>
      <c r="BH126" s="22"/>
      <c r="BI126" s="22"/>
    </row>
    <row r="127" customFormat="false" ht="15" hidden="false" customHeight="false" outlineLevel="0" collapsed="false">
      <c r="A127" s="27"/>
      <c r="B127" s="27"/>
      <c r="C127" s="27"/>
      <c r="D127" s="27"/>
      <c r="E127" s="27"/>
      <c r="F127" s="27"/>
      <c r="G127" s="27"/>
      <c r="H127" s="27"/>
      <c r="I127" s="27"/>
      <c r="J127" s="27"/>
      <c r="K127" s="27"/>
      <c r="L127" s="27"/>
      <c r="M127" s="27"/>
      <c r="N127" s="28"/>
      <c r="O127" s="28"/>
      <c r="P127" s="28"/>
      <c r="Q127" s="29"/>
      <c r="R127" s="28"/>
      <c r="S127" s="29"/>
      <c r="T127" s="30"/>
      <c r="U127" s="31"/>
      <c r="V127" s="30"/>
      <c r="W127" s="30" t="str">
        <f aca="false">IF($A127="","",N($U127)*N($V127))</f>
        <v/>
      </c>
      <c r="X127" s="27"/>
      <c r="Y127" s="31"/>
      <c r="Z127" s="30"/>
      <c r="AA127" s="30" t="str">
        <f aca="false">IF($A127="","",IF($X127="POV",N($Y127)*MileageRate,0)+N($Z127))</f>
        <v/>
      </c>
      <c r="AB127" s="30" t="str">
        <f aca="false">IF(OR($A127="",$P127="",$R127="",$Q127="",$S127=""),"",IF($R127=$P127,($Q127&lt;=T_DepBfast)*($S127&gt;=T_RetBfast)*PD_Bfast+($Q127&lt;=T_DepLunch)*($S127&gt;=T_RetLunch)*PD_Lunch+($Q127&lt;=T_DepDinner)*($S127&gt;=T_RetDinner)*PD_Dinner+PD_Incid,($Q127&lt;=T_DepBfast)*PD_Bfast+($Q127&lt;=T_DepLunch)*PD_Lunch+($Q127&lt;=T_DepDinner)*PD_Dinner+($S127&gt;=T_RetBfast)*PD_Bfast+($S127&gt;=T_RetLunch)*PD_Lunch+($S127&gt;=T_RetDinner)*PD_Dinner+MAX($R127-$P127-1,0)*(PD_Bfast+PD_Lunch+PD_Dinner)+($R127-$P127+1)*PD_Incid))</f>
        <v/>
      </c>
      <c r="AC127" s="30"/>
      <c r="AD127" s="30" t="str">
        <f aca="false">IF($A127="","",N($T127)+N($W127)+N($AA127)+N($AB127)+N($AC127))</f>
        <v/>
      </c>
      <c r="AE127" s="30"/>
      <c r="AF127" s="30"/>
      <c r="AG127" s="30"/>
      <c r="AH127" s="30"/>
      <c r="AI127" s="30"/>
      <c r="AJ127" s="30" t="str">
        <f aca="false">IF($A127="","",IF(COUNT($AE127:$AI127)=0,"",SUM($AE127:$AI127)))</f>
        <v/>
      </c>
      <c r="AK127" s="30"/>
      <c r="AL127" s="30"/>
      <c r="AM127" s="30" t="str">
        <f aca="false">IF(OR($A127="",$AJ127=""),"",$AJ127-N($AK127)-N($AL127))</f>
        <v/>
      </c>
      <c r="AN127" s="28"/>
      <c r="AO127" s="28"/>
      <c r="AP127" s="27"/>
      <c r="AQ127" s="27"/>
      <c r="AR127" s="28" t="str">
        <f aca="false">IF(OR($A127="",$R127=""),"",$R127+ReceiptDays)</f>
        <v/>
      </c>
      <c r="AS127" s="28"/>
      <c r="AT127" s="28" t="str">
        <f aca="false">IF(OR($A127="",$P127=""),"",($P127-FinanceLeadDays)-MOD(($P127-FinanceLeadDays)-DATE(2024,1,2),7))</f>
        <v/>
      </c>
      <c r="AU127" s="28"/>
      <c r="AV127" s="27"/>
      <c r="AW127" s="27"/>
      <c r="AX127" s="30" t="n">
        <f aca="false">IF(OR($A127="",$B127="Denied",$B127="Cancelled"),0,N($AD127))</f>
        <v>0</v>
      </c>
      <c r="AY127" s="30" t="n">
        <f aca="false">IF($A127="",0,N($AJ127))</f>
        <v>0</v>
      </c>
      <c r="AZ127" s="30" t="n">
        <f aca="false">IF(OR($A127="",$B127="Denied",$B127="Cancelled",$B127="Closed"),0,IF(N($AJ127)&gt;0,0,N($AD127)))</f>
        <v>0</v>
      </c>
      <c r="BA127" s="31" t="n">
        <f aca="false">IF($A127="",0,IF($B127="Awaiting Approval",COUNTIF(BA$1:BA126,"&gt;0")+1,0))</f>
        <v>0</v>
      </c>
      <c r="BB127" s="31" t="n">
        <f aca="false">IF($A127="",0,IF(AND($B127="Approved",$AP127&lt;&gt;"Y"),COUNTIF(BB$1:BB126,"&gt;0")+1,0))</f>
        <v>0</v>
      </c>
      <c r="BC127" s="31" t="n">
        <f aca="false">IF($A127="",0,IF(AND($B127="Approved",N($U127)&gt;0,$AQ127&lt;&gt;"Y"),COUNTIF(BC$1:BC126,"&gt;0")+1,0))</f>
        <v>0</v>
      </c>
      <c r="BD127" s="31" t="n">
        <f aca="true">IF($A127="",0,IF(AND($AR127&lt;&gt;"",N($AR127)&lt;TODAY(),$AS127="",$B127&lt;&gt;"Closed",$B127&lt;&gt;"Cancelled",$B127&lt;&gt;"Denied"),COUNTIF(BD$1:BD126,"&gt;0")+1,0))</f>
        <v>0</v>
      </c>
      <c r="BE127" s="31" t="n">
        <f aca="true">IF($A127="",0,IF(AND($AT127&lt;&gt;"",N($AT127)&lt;=TODAY()+7,$AU127="",$B127&lt;&gt;"Denied",$B127&lt;&gt;"Cancelled",$B127&lt;&gt;"Closed"),COUNTIF(BE$1:BE126,"&gt;0")+1,0))</f>
        <v>0</v>
      </c>
      <c r="BF127" s="27"/>
      <c r="BG127" s="27"/>
      <c r="BH127" s="27"/>
      <c r="BI127" s="27"/>
    </row>
    <row r="128" customFormat="false" ht="15" hidden="false" customHeight="false" outlineLevel="0" collapsed="false">
      <c r="A128" s="22"/>
      <c r="B128" s="22"/>
      <c r="C128" s="22"/>
      <c r="D128" s="22"/>
      <c r="E128" s="22"/>
      <c r="F128" s="22"/>
      <c r="G128" s="22"/>
      <c r="H128" s="22"/>
      <c r="I128" s="22"/>
      <c r="J128" s="22"/>
      <c r="K128" s="22"/>
      <c r="L128" s="22"/>
      <c r="M128" s="22"/>
      <c r="N128" s="23"/>
      <c r="O128" s="23"/>
      <c r="P128" s="23"/>
      <c r="Q128" s="24"/>
      <c r="R128" s="23"/>
      <c r="S128" s="24"/>
      <c r="T128" s="25"/>
      <c r="U128" s="26"/>
      <c r="V128" s="25"/>
      <c r="W128" s="25" t="str">
        <f aca="false">IF($A128="","",N($U128)*N($V128))</f>
        <v/>
      </c>
      <c r="X128" s="22"/>
      <c r="Y128" s="26"/>
      <c r="Z128" s="25"/>
      <c r="AA128" s="25" t="str">
        <f aca="false">IF($A128="","",IF($X128="POV",N($Y128)*MileageRate,0)+N($Z128))</f>
        <v/>
      </c>
      <c r="AB128" s="25" t="str">
        <f aca="false">IF(OR($A128="",$P128="",$R128="",$Q128="",$S128=""),"",IF($R128=$P128,($Q128&lt;=T_DepBfast)*($S128&gt;=T_RetBfast)*PD_Bfast+($Q128&lt;=T_DepLunch)*($S128&gt;=T_RetLunch)*PD_Lunch+($Q128&lt;=T_DepDinner)*($S128&gt;=T_RetDinner)*PD_Dinner+PD_Incid,($Q128&lt;=T_DepBfast)*PD_Bfast+($Q128&lt;=T_DepLunch)*PD_Lunch+($Q128&lt;=T_DepDinner)*PD_Dinner+($S128&gt;=T_RetBfast)*PD_Bfast+($S128&gt;=T_RetLunch)*PD_Lunch+($S128&gt;=T_RetDinner)*PD_Dinner+MAX($R128-$P128-1,0)*(PD_Bfast+PD_Lunch+PD_Dinner)+($R128-$P128+1)*PD_Incid))</f>
        <v/>
      </c>
      <c r="AC128" s="25"/>
      <c r="AD128" s="25" t="str">
        <f aca="false">IF($A128="","",N($T128)+N($W128)+N($AA128)+N($AB128)+N($AC128))</f>
        <v/>
      </c>
      <c r="AE128" s="25"/>
      <c r="AF128" s="25"/>
      <c r="AG128" s="25"/>
      <c r="AH128" s="25"/>
      <c r="AI128" s="25"/>
      <c r="AJ128" s="25" t="str">
        <f aca="false">IF($A128="","",IF(COUNT($AE128:$AI128)=0,"",SUM($AE128:$AI128)))</f>
        <v/>
      </c>
      <c r="AK128" s="25"/>
      <c r="AL128" s="25"/>
      <c r="AM128" s="25" t="str">
        <f aca="false">IF(OR($A128="",$AJ128=""),"",$AJ128-N($AK128)-N($AL128))</f>
        <v/>
      </c>
      <c r="AN128" s="23"/>
      <c r="AO128" s="23"/>
      <c r="AP128" s="22"/>
      <c r="AQ128" s="22"/>
      <c r="AR128" s="23" t="str">
        <f aca="false">IF(OR($A128="",$R128=""),"",$R128+ReceiptDays)</f>
        <v/>
      </c>
      <c r="AS128" s="23"/>
      <c r="AT128" s="23" t="str">
        <f aca="false">IF(OR($A128="",$P128=""),"",($P128-FinanceLeadDays)-MOD(($P128-FinanceLeadDays)-DATE(2024,1,2),7))</f>
        <v/>
      </c>
      <c r="AU128" s="23"/>
      <c r="AV128" s="22"/>
      <c r="AW128" s="22"/>
      <c r="AX128" s="25" t="n">
        <f aca="false">IF(OR($A128="",$B128="Denied",$B128="Cancelled"),0,N($AD128))</f>
        <v>0</v>
      </c>
      <c r="AY128" s="25" t="n">
        <f aca="false">IF($A128="",0,N($AJ128))</f>
        <v>0</v>
      </c>
      <c r="AZ128" s="25" t="n">
        <f aca="false">IF(OR($A128="",$B128="Denied",$B128="Cancelled",$B128="Closed"),0,IF(N($AJ128)&gt;0,0,N($AD128)))</f>
        <v>0</v>
      </c>
      <c r="BA128" s="26" t="n">
        <f aca="false">IF($A128="",0,IF($B128="Awaiting Approval",COUNTIF(BA$1:BA127,"&gt;0")+1,0))</f>
        <v>0</v>
      </c>
      <c r="BB128" s="26" t="n">
        <f aca="false">IF($A128="",0,IF(AND($B128="Approved",$AP128&lt;&gt;"Y"),COUNTIF(BB$1:BB127,"&gt;0")+1,0))</f>
        <v>0</v>
      </c>
      <c r="BC128" s="26" t="n">
        <f aca="false">IF($A128="",0,IF(AND($B128="Approved",N($U128)&gt;0,$AQ128&lt;&gt;"Y"),COUNTIF(BC$1:BC127,"&gt;0")+1,0))</f>
        <v>0</v>
      </c>
      <c r="BD128" s="26" t="n">
        <f aca="true">IF($A128="",0,IF(AND($AR128&lt;&gt;"",N($AR128)&lt;TODAY(),$AS128="",$B128&lt;&gt;"Closed",$B128&lt;&gt;"Cancelled",$B128&lt;&gt;"Denied"),COUNTIF(BD$1:BD127,"&gt;0")+1,0))</f>
        <v>0</v>
      </c>
      <c r="BE128" s="26" t="n">
        <f aca="true">IF($A128="",0,IF(AND($AT128&lt;&gt;"",N($AT128)&lt;=TODAY()+7,$AU128="",$B128&lt;&gt;"Denied",$B128&lt;&gt;"Cancelled",$B128&lt;&gt;"Closed"),COUNTIF(BE$1:BE127,"&gt;0")+1,0))</f>
        <v>0</v>
      </c>
      <c r="BF128" s="22"/>
      <c r="BG128" s="22"/>
      <c r="BH128" s="22"/>
      <c r="BI128" s="22"/>
    </row>
    <row r="129" customFormat="false" ht="15" hidden="false" customHeight="false" outlineLevel="0" collapsed="false">
      <c r="A129" s="27"/>
      <c r="B129" s="27"/>
      <c r="C129" s="27"/>
      <c r="D129" s="27"/>
      <c r="E129" s="27"/>
      <c r="F129" s="27"/>
      <c r="G129" s="27"/>
      <c r="H129" s="27"/>
      <c r="I129" s="27"/>
      <c r="J129" s="27"/>
      <c r="K129" s="27"/>
      <c r="L129" s="27"/>
      <c r="M129" s="27"/>
      <c r="N129" s="28"/>
      <c r="O129" s="28"/>
      <c r="P129" s="28"/>
      <c r="Q129" s="29"/>
      <c r="R129" s="28"/>
      <c r="S129" s="29"/>
      <c r="T129" s="30"/>
      <c r="U129" s="31"/>
      <c r="V129" s="30"/>
      <c r="W129" s="30" t="str">
        <f aca="false">IF($A129="","",N($U129)*N($V129))</f>
        <v/>
      </c>
      <c r="X129" s="27"/>
      <c r="Y129" s="31"/>
      <c r="Z129" s="30"/>
      <c r="AA129" s="30" t="str">
        <f aca="false">IF($A129="","",IF($X129="POV",N($Y129)*MileageRate,0)+N($Z129))</f>
        <v/>
      </c>
      <c r="AB129" s="30" t="str">
        <f aca="false">IF(OR($A129="",$P129="",$R129="",$Q129="",$S129=""),"",IF($R129=$P129,($Q129&lt;=T_DepBfast)*($S129&gt;=T_RetBfast)*PD_Bfast+($Q129&lt;=T_DepLunch)*($S129&gt;=T_RetLunch)*PD_Lunch+($Q129&lt;=T_DepDinner)*($S129&gt;=T_RetDinner)*PD_Dinner+PD_Incid,($Q129&lt;=T_DepBfast)*PD_Bfast+($Q129&lt;=T_DepLunch)*PD_Lunch+($Q129&lt;=T_DepDinner)*PD_Dinner+($S129&gt;=T_RetBfast)*PD_Bfast+($S129&gt;=T_RetLunch)*PD_Lunch+($S129&gt;=T_RetDinner)*PD_Dinner+MAX($R129-$P129-1,0)*(PD_Bfast+PD_Lunch+PD_Dinner)+($R129-$P129+1)*PD_Incid))</f>
        <v/>
      </c>
      <c r="AC129" s="30"/>
      <c r="AD129" s="30" t="str">
        <f aca="false">IF($A129="","",N($T129)+N($W129)+N($AA129)+N($AB129)+N($AC129))</f>
        <v/>
      </c>
      <c r="AE129" s="30"/>
      <c r="AF129" s="30"/>
      <c r="AG129" s="30"/>
      <c r="AH129" s="30"/>
      <c r="AI129" s="30"/>
      <c r="AJ129" s="30" t="str">
        <f aca="false">IF($A129="","",IF(COUNT($AE129:$AI129)=0,"",SUM($AE129:$AI129)))</f>
        <v/>
      </c>
      <c r="AK129" s="30"/>
      <c r="AL129" s="30"/>
      <c r="AM129" s="30" t="str">
        <f aca="false">IF(OR($A129="",$AJ129=""),"",$AJ129-N($AK129)-N($AL129))</f>
        <v/>
      </c>
      <c r="AN129" s="28"/>
      <c r="AO129" s="28"/>
      <c r="AP129" s="27"/>
      <c r="AQ129" s="27"/>
      <c r="AR129" s="28" t="str">
        <f aca="false">IF(OR($A129="",$R129=""),"",$R129+ReceiptDays)</f>
        <v/>
      </c>
      <c r="AS129" s="28"/>
      <c r="AT129" s="28" t="str">
        <f aca="false">IF(OR($A129="",$P129=""),"",($P129-FinanceLeadDays)-MOD(($P129-FinanceLeadDays)-DATE(2024,1,2),7))</f>
        <v/>
      </c>
      <c r="AU129" s="28"/>
      <c r="AV129" s="27"/>
      <c r="AW129" s="27"/>
      <c r="AX129" s="30" t="n">
        <f aca="false">IF(OR($A129="",$B129="Denied",$B129="Cancelled"),0,N($AD129))</f>
        <v>0</v>
      </c>
      <c r="AY129" s="30" t="n">
        <f aca="false">IF($A129="",0,N($AJ129))</f>
        <v>0</v>
      </c>
      <c r="AZ129" s="30" t="n">
        <f aca="false">IF(OR($A129="",$B129="Denied",$B129="Cancelled",$B129="Closed"),0,IF(N($AJ129)&gt;0,0,N($AD129)))</f>
        <v>0</v>
      </c>
      <c r="BA129" s="31" t="n">
        <f aca="false">IF($A129="",0,IF($B129="Awaiting Approval",COUNTIF(BA$1:BA128,"&gt;0")+1,0))</f>
        <v>0</v>
      </c>
      <c r="BB129" s="31" t="n">
        <f aca="false">IF($A129="",0,IF(AND($B129="Approved",$AP129&lt;&gt;"Y"),COUNTIF(BB$1:BB128,"&gt;0")+1,0))</f>
        <v>0</v>
      </c>
      <c r="BC129" s="31" t="n">
        <f aca="false">IF($A129="",0,IF(AND($B129="Approved",N($U129)&gt;0,$AQ129&lt;&gt;"Y"),COUNTIF(BC$1:BC128,"&gt;0")+1,0))</f>
        <v>0</v>
      </c>
      <c r="BD129" s="31" t="n">
        <f aca="true">IF($A129="",0,IF(AND($AR129&lt;&gt;"",N($AR129)&lt;TODAY(),$AS129="",$B129&lt;&gt;"Closed",$B129&lt;&gt;"Cancelled",$B129&lt;&gt;"Denied"),COUNTIF(BD$1:BD128,"&gt;0")+1,0))</f>
        <v>0</v>
      </c>
      <c r="BE129" s="31" t="n">
        <f aca="true">IF($A129="",0,IF(AND($AT129&lt;&gt;"",N($AT129)&lt;=TODAY()+7,$AU129="",$B129&lt;&gt;"Denied",$B129&lt;&gt;"Cancelled",$B129&lt;&gt;"Closed"),COUNTIF(BE$1:BE128,"&gt;0")+1,0))</f>
        <v>0</v>
      </c>
      <c r="BF129" s="27"/>
      <c r="BG129" s="27"/>
      <c r="BH129" s="27"/>
      <c r="BI129" s="27"/>
    </row>
    <row r="130" customFormat="false" ht="15" hidden="false" customHeight="false" outlineLevel="0" collapsed="false">
      <c r="A130" s="22"/>
      <c r="B130" s="22"/>
      <c r="C130" s="22"/>
      <c r="D130" s="22"/>
      <c r="E130" s="22"/>
      <c r="F130" s="22"/>
      <c r="G130" s="22"/>
      <c r="H130" s="22"/>
      <c r="I130" s="22"/>
      <c r="J130" s="22"/>
      <c r="K130" s="22"/>
      <c r="L130" s="22"/>
      <c r="M130" s="22"/>
      <c r="N130" s="23"/>
      <c r="O130" s="23"/>
      <c r="P130" s="23"/>
      <c r="Q130" s="24"/>
      <c r="R130" s="23"/>
      <c r="S130" s="24"/>
      <c r="T130" s="25"/>
      <c r="U130" s="26"/>
      <c r="V130" s="25"/>
      <c r="W130" s="25" t="str">
        <f aca="false">IF($A130="","",N($U130)*N($V130))</f>
        <v/>
      </c>
      <c r="X130" s="22"/>
      <c r="Y130" s="26"/>
      <c r="Z130" s="25"/>
      <c r="AA130" s="25" t="str">
        <f aca="false">IF($A130="","",IF($X130="POV",N($Y130)*MileageRate,0)+N($Z130))</f>
        <v/>
      </c>
      <c r="AB130" s="25" t="str">
        <f aca="false">IF(OR($A130="",$P130="",$R130="",$Q130="",$S130=""),"",IF($R130=$P130,($Q130&lt;=T_DepBfast)*($S130&gt;=T_RetBfast)*PD_Bfast+($Q130&lt;=T_DepLunch)*($S130&gt;=T_RetLunch)*PD_Lunch+($Q130&lt;=T_DepDinner)*($S130&gt;=T_RetDinner)*PD_Dinner+PD_Incid,($Q130&lt;=T_DepBfast)*PD_Bfast+($Q130&lt;=T_DepLunch)*PD_Lunch+($Q130&lt;=T_DepDinner)*PD_Dinner+($S130&gt;=T_RetBfast)*PD_Bfast+($S130&gt;=T_RetLunch)*PD_Lunch+($S130&gt;=T_RetDinner)*PD_Dinner+MAX($R130-$P130-1,0)*(PD_Bfast+PD_Lunch+PD_Dinner)+($R130-$P130+1)*PD_Incid))</f>
        <v/>
      </c>
      <c r="AC130" s="25"/>
      <c r="AD130" s="25" t="str">
        <f aca="false">IF($A130="","",N($T130)+N($W130)+N($AA130)+N($AB130)+N($AC130))</f>
        <v/>
      </c>
      <c r="AE130" s="25"/>
      <c r="AF130" s="25"/>
      <c r="AG130" s="25"/>
      <c r="AH130" s="25"/>
      <c r="AI130" s="25"/>
      <c r="AJ130" s="25" t="str">
        <f aca="false">IF($A130="","",IF(COUNT($AE130:$AI130)=0,"",SUM($AE130:$AI130)))</f>
        <v/>
      </c>
      <c r="AK130" s="25"/>
      <c r="AL130" s="25"/>
      <c r="AM130" s="25" t="str">
        <f aca="false">IF(OR($A130="",$AJ130=""),"",$AJ130-N($AK130)-N($AL130))</f>
        <v/>
      </c>
      <c r="AN130" s="23"/>
      <c r="AO130" s="23"/>
      <c r="AP130" s="22"/>
      <c r="AQ130" s="22"/>
      <c r="AR130" s="23" t="str">
        <f aca="false">IF(OR($A130="",$R130=""),"",$R130+ReceiptDays)</f>
        <v/>
      </c>
      <c r="AS130" s="23"/>
      <c r="AT130" s="23" t="str">
        <f aca="false">IF(OR($A130="",$P130=""),"",($P130-FinanceLeadDays)-MOD(($P130-FinanceLeadDays)-DATE(2024,1,2),7))</f>
        <v/>
      </c>
      <c r="AU130" s="23"/>
      <c r="AV130" s="22"/>
      <c r="AW130" s="22"/>
      <c r="AX130" s="25" t="n">
        <f aca="false">IF(OR($A130="",$B130="Denied",$B130="Cancelled"),0,N($AD130))</f>
        <v>0</v>
      </c>
      <c r="AY130" s="25" t="n">
        <f aca="false">IF($A130="",0,N($AJ130))</f>
        <v>0</v>
      </c>
      <c r="AZ130" s="25" t="n">
        <f aca="false">IF(OR($A130="",$B130="Denied",$B130="Cancelled",$B130="Closed"),0,IF(N($AJ130)&gt;0,0,N($AD130)))</f>
        <v>0</v>
      </c>
      <c r="BA130" s="26" t="n">
        <f aca="false">IF($A130="",0,IF($B130="Awaiting Approval",COUNTIF(BA$1:BA129,"&gt;0")+1,0))</f>
        <v>0</v>
      </c>
      <c r="BB130" s="26" t="n">
        <f aca="false">IF($A130="",0,IF(AND($B130="Approved",$AP130&lt;&gt;"Y"),COUNTIF(BB$1:BB129,"&gt;0")+1,0))</f>
        <v>0</v>
      </c>
      <c r="BC130" s="26" t="n">
        <f aca="false">IF($A130="",0,IF(AND($B130="Approved",N($U130)&gt;0,$AQ130&lt;&gt;"Y"),COUNTIF(BC$1:BC129,"&gt;0")+1,0))</f>
        <v>0</v>
      </c>
      <c r="BD130" s="26" t="n">
        <f aca="true">IF($A130="",0,IF(AND($AR130&lt;&gt;"",N($AR130)&lt;TODAY(),$AS130="",$B130&lt;&gt;"Closed",$B130&lt;&gt;"Cancelled",$B130&lt;&gt;"Denied"),COUNTIF(BD$1:BD129,"&gt;0")+1,0))</f>
        <v>0</v>
      </c>
      <c r="BE130" s="26" t="n">
        <f aca="true">IF($A130="",0,IF(AND($AT130&lt;&gt;"",N($AT130)&lt;=TODAY()+7,$AU130="",$B130&lt;&gt;"Denied",$B130&lt;&gt;"Cancelled",$B130&lt;&gt;"Closed"),COUNTIF(BE$1:BE129,"&gt;0")+1,0))</f>
        <v>0</v>
      </c>
      <c r="BF130" s="22"/>
      <c r="BG130" s="22"/>
      <c r="BH130" s="22"/>
      <c r="BI130" s="22"/>
    </row>
    <row r="131" customFormat="false" ht="15" hidden="false" customHeight="false" outlineLevel="0" collapsed="false">
      <c r="A131" s="27"/>
      <c r="B131" s="27"/>
      <c r="C131" s="27"/>
      <c r="D131" s="27"/>
      <c r="E131" s="27"/>
      <c r="F131" s="27"/>
      <c r="G131" s="27"/>
      <c r="H131" s="27"/>
      <c r="I131" s="27"/>
      <c r="J131" s="27"/>
      <c r="K131" s="27"/>
      <c r="L131" s="27"/>
      <c r="M131" s="27"/>
      <c r="N131" s="28"/>
      <c r="O131" s="28"/>
      <c r="P131" s="28"/>
      <c r="Q131" s="29"/>
      <c r="R131" s="28"/>
      <c r="S131" s="29"/>
      <c r="T131" s="30"/>
      <c r="U131" s="31"/>
      <c r="V131" s="30"/>
      <c r="W131" s="30" t="str">
        <f aca="false">IF($A131="","",N($U131)*N($V131))</f>
        <v/>
      </c>
      <c r="X131" s="27"/>
      <c r="Y131" s="31"/>
      <c r="Z131" s="30"/>
      <c r="AA131" s="30" t="str">
        <f aca="false">IF($A131="","",IF($X131="POV",N($Y131)*MileageRate,0)+N($Z131))</f>
        <v/>
      </c>
      <c r="AB131" s="30" t="str">
        <f aca="false">IF(OR($A131="",$P131="",$R131="",$Q131="",$S131=""),"",IF($R131=$P131,($Q131&lt;=T_DepBfast)*($S131&gt;=T_RetBfast)*PD_Bfast+($Q131&lt;=T_DepLunch)*($S131&gt;=T_RetLunch)*PD_Lunch+($Q131&lt;=T_DepDinner)*($S131&gt;=T_RetDinner)*PD_Dinner+PD_Incid,($Q131&lt;=T_DepBfast)*PD_Bfast+($Q131&lt;=T_DepLunch)*PD_Lunch+($Q131&lt;=T_DepDinner)*PD_Dinner+($S131&gt;=T_RetBfast)*PD_Bfast+($S131&gt;=T_RetLunch)*PD_Lunch+($S131&gt;=T_RetDinner)*PD_Dinner+MAX($R131-$P131-1,0)*(PD_Bfast+PD_Lunch+PD_Dinner)+($R131-$P131+1)*PD_Incid))</f>
        <v/>
      </c>
      <c r="AC131" s="30"/>
      <c r="AD131" s="30" t="str">
        <f aca="false">IF($A131="","",N($T131)+N($W131)+N($AA131)+N($AB131)+N($AC131))</f>
        <v/>
      </c>
      <c r="AE131" s="30"/>
      <c r="AF131" s="30"/>
      <c r="AG131" s="30"/>
      <c r="AH131" s="30"/>
      <c r="AI131" s="30"/>
      <c r="AJ131" s="30" t="str">
        <f aca="false">IF($A131="","",IF(COUNT($AE131:$AI131)=0,"",SUM($AE131:$AI131)))</f>
        <v/>
      </c>
      <c r="AK131" s="30"/>
      <c r="AL131" s="30"/>
      <c r="AM131" s="30" t="str">
        <f aca="false">IF(OR($A131="",$AJ131=""),"",$AJ131-N($AK131)-N($AL131))</f>
        <v/>
      </c>
      <c r="AN131" s="28"/>
      <c r="AO131" s="28"/>
      <c r="AP131" s="27"/>
      <c r="AQ131" s="27"/>
      <c r="AR131" s="28" t="str">
        <f aca="false">IF(OR($A131="",$R131=""),"",$R131+ReceiptDays)</f>
        <v/>
      </c>
      <c r="AS131" s="28"/>
      <c r="AT131" s="28" t="str">
        <f aca="false">IF(OR($A131="",$P131=""),"",($P131-FinanceLeadDays)-MOD(($P131-FinanceLeadDays)-DATE(2024,1,2),7))</f>
        <v/>
      </c>
      <c r="AU131" s="28"/>
      <c r="AV131" s="27"/>
      <c r="AW131" s="27"/>
      <c r="AX131" s="30" t="n">
        <f aca="false">IF(OR($A131="",$B131="Denied",$B131="Cancelled"),0,N($AD131))</f>
        <v>0</v>
      </c>
      <c r="AY131" s="30" t="n">
        <f aca="false">IF($A131="",0,N($AJ131))</f>
        <v>0</v>
      </c>
      <c r="AZ131" s="30" t="n">
        <f aca="false">IF(OR($A131="",$B131="Denied",$B131="Cancelled",$B131="Closed"),0,IF(N($AJ131)&gt;0,0,N($AD131)))</f>
        <v>0</v>
      </c>
      <c r="BA131" s="31" t="n">
        <f aca="false">IF($A131="",0,IF($B131="Awaiting Approval",COUNTIF(BA$1:BA130,"&gt;0")+1,0))</f>
        <v>0</v>
      </c>
      <c r="BB131" s="31" t="n">
        <f aca="false">IF($A131="",0,IF(AND($B131="Approved",$AP131&lt;&gt;"Y"),COUNTIF(BB$1:BB130,"&gt;0")+1,0))</f>
        <v>0</v>
      </c>
      <c r="BC131" s="31" t="n">
        <f aca="false">IF($A131="",0,IF(AND($B131="Approved",N($U131)&gt;0,$AQ131&lt;&gt;"Y"),COUNTIF(BC$1:BC130,"&gt;0")+1,0))</f>
        <v>0</v>
      </c>
      <c r="BD131" s="31" t="n">
        <f aca="true">IF($A131="",0,IF(AND($AR131&lt;&gt;"",N($AR131)&lt;TODAY(),$AS131="",$B131&lt;&gt;"Closed",$B131&lt;&gt;"Cancelled",$B131&lt;&gt;"Denied"),COUNTIF(BD$1:BD130,"&gt;0")+1,0))</f>
        <v>0</v>
      </c>
      <c r="BE131" s="31" t="n">
        <f aca="true">IF($A131="",0,IF(AND($AT131&lt;&gt;"",N($AT131)&lt;=TODAY()+7,$AU131="",$B131&lt;&gt;"Denied",$B131&lt;&gt;"Cancelled",$B131&lt;&gt;"Closed"),COUNTIF(BE$1:BE130,"&gt;0")+1,0))</f>
        <v>0</v>
      </c>
      <c r="BF131" s="27"/>
      <c r="BG131" s="27"/>
      <c r="BH131" s="27"/>
      <c r="BI131" s="27"/>
    </row>
    <row r="132" customFormat="false" ht="15" hidden="false" customHeight="false" outlineLevel="0" collapsed="false">
      <c r="A132" s="22"/>
      <c r="B132" s="22"/>
      <c r="C132" s="22"/>
      <c r="D132" s="22"/>
      <c r="E132" s="22"/>
      <c r="F132" s="22"/>
      <c r="G132" s="22"/>
      <c r="H132" s="22"/>
      <c r="I132" s="22"/>
      <c r="J132" s="22"/>
      <c r="K132" s="22"/>
      <c r="L132" s="22"/>
      <c r="M132" s="22"/>
      <c r="N132" s="23"/>
      <c r="O132" s="23"/>
      <c r="P132" s="23"/>
      <c r="Q132" s="24"/>
      <c r="R132" s="23"/>
      <c r="S132" s="24"/>
      <c r="T132" s="25"/>
      <c r="U132" s="26"/>
      <c r="V132" s="25"/>
      <c r="W132" s="25" t="str">
        <f aca="false">IF($A132="","",N($U132)*N($V132))</f>
        <v/>
      </c>
      <c r="X132" s="22"/>
      <c r="Y132" s="26"/>
      <c r="Z132" s="25"/>
      <c r="AA132" s="25" t="str">
        <f aca="false">IF($A132="","",IF($X132="POV",N($Y132)*MileageRate,0)+N($Z132))</f>
        <v/>
      </c>
      <c r="AB132" s="25" t="str">
        <f aca="false">IF(OR($A132="",$P132="",$R132="",$Q132="",$S132=""),"",IF($R132=$P132,($Q132&lt;=T_DepBfast)*($S132&gt;=T_RetBfast)*PD_Bfast+($Q132&lt;=T_DepLunch)*($S132&gt;=T_RetLunch)*PD_Lunch+($Q132&lt;=T_DepDinner)*($S132&gt;=T_RetDinner)*PD_Dinner+PD_Incid,($Q132&lt;=T_DepBfast)*PD_Bfast+($Q132&lt;=T_DepLunch)*PD_Lunch+($Q132&lt;=T_DepDinner)*PD_Dinner+($S132&gt;=T_RetBfast)*PD_Bfast+($S132&gt;=T_RetLunch)*PD_Lunch+($S132&gt;=T_RetDinner)*PD_Dinner+MAX($R132-$P132-1,0)*(PD_Bfast+PD_Lunch+PD_Dinner)+($R132-$P132+1)*PD_Incid))</f>
        <v/>
      </c>
      <c r="AC132" s="25"/>
      <c r="AD132" s="25" t="str">
        <f aca="false">IF($A132="","",N($T132)+N($W132)+N($AA132)+N($AB132)+N($AC132))</f>
        <v/>
      </c>
      <c r="AE132" s="25"/>
      <c r="AF132" s="25"/>
      <c r="AG132" s="25"/>
      <c r="AH132" s="25"/>
      <c r="AI132" s="25"/>
      <c r="AJ132" s="25" t="str">
        <f aca="false">IF($A132="","",IF(COUNT($AE132:$AI132)=0,"",SUM($AE132:$AI132)))</f>
        <v/>
      </c>
      <c r="AK132" s="25"/>
      <c r="AL132" s="25"/>
      <c r="AM132" s="25" t="str">
        <f aca="false">IF(OR($A132="",$AJ132=""),"",$AJ132-N($AK132)-N($AL132))</f>
        <v/>
      </c>
      <c r="AN132" s="23"/>
      <c r="AO132" s="23"/>
      <c r="AP132" s="22"/>
      <c r="AQ132" s="22"/>
      <c r="AR132" s="23" t="str">
        <f aca="false">IF(OR($A132="",$R132=""),"",$R132+ReceiptDays)</f>
        <v/>
      </c>
      <c r="AS132" s="23"/>
      <c r="AT132" s="23" t="str">
        <f aca="false">IF(OR($A132="",$P132=""),"",($P132-FinanceLeadDays)-MOD(($P132-FinanceLeadDays)-DATE(2024,1,2),7))</f>
        <v/>
      </c>
      <c r="AU132" s="23"/>
      <c r="AV132" s="22"/>
      <c r="AW132" s="22"/>
      <c r="AX132" s="25" t="n">
        <f aca="false">IF(OR($A132="",$B132="Denied",$B132="Cancelled"),0,N($AD132))</f>
        <v>0</v>
      </c>
      <c r="AY132" s="25" t="n">
        <f aca="false">IF($A132="",0,N($AJ132))</f>
        <v>0</v>
      </c>
      <c r="AZ132" s="25" t="n">
        <f aca="false">IF(OR($A132="",$B132="Denied",$B132="Cancelled",$B132="Closed"),0,IF(N($AJ132)&gt;0,0,N($AD132)))</f>
        <v>0</v>
      </c>
      <c r="BA132" s="26" t="n">
        <f aca="false">IF($A132="",0,IF($B132="Awaiting Approval",COUNTIF(BA$1:BA131,"&gt;0")+1,0))</f>
        <v>0</v>
      </c>
      <c r="BB132" s="26" t="n">
        <f aca="false">IF($A132="",0,IF(AND($B132="Approved",$AP132&lt;&gt;"Y"),COUNTIF(BB$1:BB131,"&gt;0")+1,0))</f>
        <v>0</v>
      </c>
      <c r="BC132" s="26" t="n">
        <f aca="false">IF($A132="",0,IF(AND($B132="Approved",N($U132)&gt;0,$AQ132&lt;&gt;"Y"),COUNTIF(BC$1:BC131,"&gt;0")+1,0))</f>
        <v>0</v>
      </c>
      <c r="BD132" s="26" t="n">
        <f aca="true">IF($A132="",0,IF(AND($AR132&lt;&gt;"",N($AR132)&lt;TODAY(),$AS132="",$B132&lt;&gt;"Closed",$B132&lt;&gt;"Cancelled",$B132&lt;&gt;"Denied"),COUNTIF(BD$1:BD131,"&gt;0")+1,0))</f>
        <v>0</v>
      </c>
      <c r="BE132" s="26" t="n">
        <f aca="true">IF($A132="",0,IF(AND($AT132&lt;&gt;"",N($AT132)&lt;=TODAY()+7,$AU132="",$B132&lt;&gt;"Denied",$B132&lt;&gt;"Cancelled",$B132&lt;&gt;"Closed"),COUNTIF(BE$1:BE131,"&gt;0")+1,0))</f>
        <v>0</v>
      </c>
      <c r="BF132" s="22"/>
      <c r="BG132" s="22"/>
      <c r="BH132" s="22"/>
      <c r="BI132" s="22"/>
    </row>
    <row r="133" customFormat="false" ht="15" hidden="false" customHeight="false" outlineLevel="0" collapsed="false">
      <c r="A133" s="27"/>
      <c r="B133" s="27"/>
      <c r="C133" s="27"/>
      <c r="D133" s="27"/>
      <c r="E133" s="27"/>
      <c r="F133" s="27"/>
      <c r="G133" s="27"/>
      <c r="H133" s="27"/>
      <c r="I133" s="27"/>
      <c r="J133" s="27"/>
      <c r="K133" s="27"/>
      <c r="L133" s="27"/>
      <c r="M133" s="27"/>
      <c r="N133" s="28"/>
      <c r="O133" s="28"/>
      <c r="P133" s="28"/>
      <c r="Q133" s="29"/>
      <c r="R133" s="28"/>
      <c r="S133" s="29"/>
      <c r="T133" s="30"/>
      <c r="U133" s="31"/>
      <c r="V133" s="30"/>
      <c r="W133" s="30" t="str">
        <f aca="false">IF($A133="","",N($U133)*N($V133))</f>
        <v/>
      </c>
      <c r="X133" s="27"/>
      <c r="Y133" s="31"/>
      <c r="Z133" s="30"/>
      <c r="AA133" s="30" t="str">
        <f aca="false">IF($A133="","",IF($X133="POV",N($Y133)*MileageRate,0)+N($Z133))</f>
        <v/>
      </c>
      <c r="AB133" s="30" t="str">
        <f aca="false">IF(OR($A133="",$P133="",$R133="",$Q133="",$S133=""),"",IF($R133=$P133,($Q133&lt;=T_DepBfast)*($S133&gt;=T_RetBfast)*PD_Bfast+($Q133&lt;=T_DepLunch)*($S133&gt;=T_RetLunch)*PD_Lunch+($Q133&lt;=T_DepDinner)*($S133&gt;=T_RetDinner)*PD_Dinner+PD_Incid,($Q133&lt;=T_DepBfast)*PD_Bfast+($Q133&lt;=T_DepLunch)*PD_Lunch+($Q133&lt;=T_DepDinner)*PD_Dinner+($S133&gt;=T_RetBfast)*PD_Bfast+($S133&gt;=T_RetLunch)*PD_Lunch+($S133&gt;=T_RetDinner)*PD_Dinner+MAX($R133-$P133-1,0)*(PD_Bfast+PD_Lunch+PD_Dinner)+($R133-$P133+1)*PD_Incid))</f>
        <v/>
      </c>
      <c r="AC133" s="30"/>
      <c r="AD133" s="30" t="str">
        <f aca="false">IF($A133="","",N($T133)+N($W133)+N($AA133)+N($AB133)+N($AC133))</f>
        <v/>
      </c>
      <c r="AE133" s="30"/>
      <c r="AF133" s="30"/>
      <c r="AG133" s="30"/>
      <c r="AH133" s="30"/>
      <c r="AI133" s="30"/>
      <c r="AJ133" s="30" t="str">
        <f aca="false">IF($A133="","",IF(COUNT($AE133:$AI133)=0,"",SUM($AE133:$AI133)))</f>
        <v/>
      </c>
      <c r="AK133" s="30"/>
      <c r="AL133" s="30"/>
      <c r="AM133" s="30" t="str">
        <f aca="false">IF(OR($A133="",$AJ133=""),"",$AJ133-N($AK133)-N($AL133))</f>
        <v/>
      </c>
      <c r="AN133" s="28"/>
      <c r="AO133" s="28"/>
      <c r="AP133" s="27"/>
      <c r="AQ133" s="27"/>
      <c r="AR133" s="28" t="str">
        <f aca="false">IF(OR($A133="",$R133=""),"",$R133+ReceiptDays)</f>
        <v/>
      </c>
      <c r="AS133" s="28"/>
      <c r="AT133" s="28" t="str">
        <f aca="false">IF(OR($A133="",$P133=""),"",($P133-FinanceLeadDays)-MOD(($P133-FinanceLeadDays)-DATE(2024,1,2),7))</f>
        <v/>
      </c>
      <c r="AU133" s="28"/>
      <c r="AV133" s="27"/>
      <c r="AW133" s="27"/>
      <c r="AX133" s="30" t="n">
        <f aca="false">IF(OR($A133="",$B133="Denied",$B133="Cancelled"),0,N($AD133))</f>
        <v>0</v>
      </c>
      <c r="AY133" s="30" t="n">
        <f aca="false">IF($A133="",0,N($AJ133))</f>
        <v>0</v>
      </c>
      <c r="AZ133" s="30" t="n">
        <f aca="false">IF(OR($A133="",$B133="Denied",$B133="Cancelled",$B133="Closed"),0,IF(N($AJ133)&gt;0,0,N($AD133)))</f>
        <v>0</v>
      </c>
      <c r="BA133" s="31" t="n">
        <f aca="false">IF($A133="",0,IF($B133="Awaiting Approval",COUNTIF(BA$1:BA132,"&gt;0")+1,0))</f>
        <v>0</v>
      </c>
      <c r="BB133" s="31" t="n">
        <f aca="false">IF($A133="",0,IF(AND($B133="Approved",$AP133&lt;&gt;"Y"),COUNTIF(BB$1:BB132,"&gt;0")+1,0))</f>
        <v>0</v>
      </c>
      <c r="BC133" s="31" t="n">
        <f aca="false">IF($A133="",0,IF(AND($B133="Approved",N($U133)&gt;0,$AQ133&lt;&gt;"Y"),COUNTIF(BC$1:BC132,"&gt;0")+1,0))</f>
        <v>0</v>
      </c>
      <c r="BD133" s="31" t="n">
        <f aca="true">IF($A133="",0,IF(AND($AR133&lt;&gt;"",N($AR133)&lt;TODAY(),$AS133="",$B133&lt;&gt;"Closed",$B133&lt;&gt;"Cancelled",$B133&lt;&gt;"Denied"),COUNTIF(BD$1:BD132,"&gt;0")+1,0))</f>
        <v>0</v>
      </c>
      <c r="BE133" s="31" t="n">
        <f aca="true">IF($A133="",0,IF(AND($AT133&lt;&gt;"",N($AT133)&lt;=TODAY()+7,$AU133="",$B133&lt;&gt;"Denied",$B133&lt;&gt;"Cancelled",$B133&lt;&gt;"Closed"),COUNTIF(BE$1:BE132,"&gt;0")+1,0))</f>
        <v>0</v>
      </c>
      <c r="BF133" s="27"/>
      <c r="BG133" s="27"/>
      <c r="BH133" s="27"/>
      <c r="BI133" s="27"/>
    </row>
    <row r="134" customFormat="false" ht="15" hidden="false" customHeight="false" outlineLevel="0" collapsed="false">
      <c r="A134" s="22"/>
      <c r="B134" s="22"/>
      <c r="C134" s="22"/>
      <c r="D134" s="22"/>
      <c r="E134" s="22"/>
      <c r="F134" s="22"/>
      <c r="G134" s="22"/>
      <c r="H134" s="22"/>
      <c r="I134" s="22"/>
      <c r="J134" s="22"/>
      <c r="K134" s="22"/>
      <c r="L134" s="22"/>
      <c r="M134" s="22"/>
      <c r="N134" s="23"/>
      <c r="O134" s="23"/>
      <c r="P134" s="23"/>
      <c r="Q134" s="24"/>
      <c r="R134" s="23"/>
      <c r="S134" s="24"/>
      <c r="T134" s="25"/>
      <c r="U134" s="26"/>
      <c r="V134" s="25"/>
      <c r="W134" s="25" t="str">
        <f aca="false">IF($A134="","",N($U134)*N($V134))</f>
        <v/>
      </c>
      <c r="X134" s="22"/>
      <c r="Y134" s="26"/>
      <c r="Z134" s="25"/>
      <c r="AA134" s="25" t="str">
        <f aca="false">IF($A134="","",IF($X134="POV",N($Y134)*MileageRate,0)+N($Z134))</f>
        <v/>
      </c>
      <c r="AB134" s="25" t="str">
        <f aca="false">IF(OR($A134="",$P134="",$R134="",$Q134="",$S134=""),"",IF($R134=$P134,($Q134&lt;=T_DepBfast)*($S134&gt;=T_RetBfast)*PD_Bfast+($Q134&lt;=T_DepLunch)*($S134&gt;=T_RetLunch)*PD_Lunch+($Q134&lt;=T_DepDinner)*($S134&gt;=T_RetDinner)*PD_Dinner+PD_Incid,($Q134&lt;=T_DepBfast)*PD_Bfast+($Q134&lt;=T_DepLunch)*PD_Lunch+($Q134&lt;=T_DepDinner)*PD_Dinner+($S134&gt;=T_RetBfast)*PD_Bfast+($S134&gt;=T_RetLunch)*PD_Lunch+($S134&gt;=T_RetDinner)*PD_Dinner+MAX($R134-$P134-1,0)*(PD_Bfast+PD_Lunch+PD_Dinner)+($R134-$P134+1)*PD_Incid))</f>
        <v/>
      </c>
      <c r="AC134" s="25"/>
      <c r="AD134" s="25" t="str">
        <f aca="false">IF($A134="","",N($T134)+N($W134)+N($AA134)+N($AB134)+N($AC134))</f>
        <v/>
      </c>
      <c r="AE134" s="25"/>
      <c r="AF134" s="25"/>
      <c r="AG134" s="25"/>
      <c r="AH134" s="25"/>
      <c r="AI134" s="25"/>
      <c r="AJ134" s="25" t="str">
        <f aca="false">IF($A134="","",IF(COUNT($AE134:$AI134)=0,"",SUM($AE134:$AI134)))</f>
        <v/>
      </c>
      <c r="AK134" s="25"/>
      <c r="AL134" s="25"/>
      <c r="AM134" s="25" t="str">
        <f aca="false">IF(OR($A134="",$AJ134=""),"",$AJ134-N($AK134)-N($AL134))</f>
        <v/>
      </c>
      <c r="AN134" s="23"/>
      <c r="AO134" s="23"/>
      <c r="AP134" s="22"/>
      <c r="AQ134" s="22"/>
      <c r="AR134" s="23" t="str">
        <f aca="false">IF(OR($A134="",$R134=""),"",$R134+ReceiptDays)</f>
        <v/>
      </c>
      <c r="AS134" s="23"/>
      <c r="AT134" s="23" t="str">
        <f aca="false">IF(OR($A134="",$P134=""),"",($P134-FinanceLeadDays)-MOD(($P134-FinanceLeadDays)-DATE(2024,1,2),7))</f>
        <v/>
      </c>
      <c r="AU134" s="23"/>
      <c r="AV134" s="22"/>
      <c r="AW134" s="22"/>
      <c r="AX134" s="25" t="n">
        <f aca="false">IF(OR($A134="",$B134="Denied",$B134="Cancelled"),0,N($AD134))</f>
        <v>0</v>
      </c>
      <c r="AY134" s="25" t="n">
        <f aca="false">IF($A134="",0,N($AJ134))</f>
        <v>0</v>
      </c>
      <c r="AZ134" s="25" t="n">
        <f aca="false">IF(OR($A134="",$B134="Denied",$B134="Cancelled",$B134="Closed"),0,IF(N($AJ134)&gt;0,0,N($AD134)))</f>
        <v>0</v>
      </c>
      <c r="BA134" s="26" t="n">
        <f aca="false">IF($A134="",0,IF($B134="Awaiting Approval",COUNTIF(BA$1:BA133,"&gt;0")+1,0))</f>
        <v>0</v>
      </c>
      <c r="BB134" s="26" t="n">
        <f aca="false">IF($A134="",0,IF(AND($B134="Approved",$AP134&lt;&gt;"Y"),COUNTIF(BB$1:BB133,"&gt;0")+1,0))</f>
        <v>0</v>
      </c>
      <c r="BC134" s="26" t="n">
        <f aca="false">IF($A134="",0,IF(AND($B134="Approved",N($U134)&gt;0,$AQ134&lt;&gt;"Y"),COUNTIF(BC$1:BC133,"&gt;0")+1,0))</f>
        <v>0</v>
      </c>
      <c r="BD134" s="26" t="n">
        <f aca="true">IF($A134="",0,IF(AND($AR134&lt;&gt;"",N($AR134)&lt;TODAY(),$AS134="",$B134&lt;&gt;"Closed",$B134&lt;&gt;"Cancelled",$B134&lt;&gt;"Denied"),COUNTIF(BD$1:BD133,"&gt;0")+1,0))</f>
        <v>0</v>
      </c>
      <c r="BE134" s="26" t="n">
        <f aca="true">IF($A134="",0,IF(AND($AT134&lt;&gt;"",N($AT134)&lt;=TODAY()+7,$AU134="",$B134&lt;&gt;"Denied",$B134&lt;&gt;"Cancelled",$B134&lt;&gt;"Closed"),COUNTIF(BE$1:BE133,"&gt;0")+1,0))</f>
        <v>0</v>
      </c>
      <c r="BF134" s="22"/>
      <c r="BG134" s="22"/>
      <c r="BH134" s="22"/>
      <c r="BI134" s="22"/>
    </row>
    <row r="135" customFormat="false" ht="15" hidden="false" customHeight="false" outlineLevel="0" collapsed="false">
      <c r="A135" s="27"/>
      <c r="B135" s="27"/>
      <c r="C135" s="27"/>
      <c r="D135" s="27"/>
      <c r="E135" s="27"/>
      <c r="F135" s="27"/>
      <c r="G135" s="27"/>
      <c r="H135" s="27"/>
      <c r="I135" s="27"/>
      <c r="J135" s="27"/>
      <c r="K135" s="27"/>
      <c r="L135" s="27"/>
      <c r="M135" s="27"/>
      <c r="N135" s="28"/>
      <c r="O135" s="28"/>
      <c r="P135" s="28"/>
      <c r="Q135" s="29"/>
      <c r="R135" s="28"/>
      <c r="S135" s="29"/>
      <c r="T135" s="30"/>
      <c r="U135" s="31"/>
      <c r="V135" s="30"/>
      <c r="W135" s="30" t="str">
        <f aca="false">IF($A135="","",N($U135)*N($V135))</f>
        <v/>
      </c>
      <c r="X135" s="27"/>
      <c r="Y135" s="31"/>
      <c r="Z135" s="30"/>
      <c r="AA135" s="30" t="str">
        <f aca="false">IF($A135="","",IF($X135="POV",N($Y135)*MileageRate,0)+N($Z135))</f>
        <v/>
      </c>
      <c r="AB135" s="30" t="str">
        <f aca="false">IF(OR($A135="",$P135="",$R135="",$Q135="",$S135=""),"",IF($R135=$P135,($Q135&lt;=T_DepBfast)*($S135&gt;=T_RetBfast)*PD_Bfast+($Q135&lt;=T_DepLunch)*($S135&gt;=T_RetLunch)*PD_Lunch+($Q135&lt;=T_DepDinner)*($S135&gt;=T_RetDinner)*PD_Dinner+PD_Incid,($Q135&lt;=T_DepBfast)*PD_Bfast+($Q135&lt;=T_DepLunch)*PD_Lunch+($Q135&lt;=T_DepDinner)*PD_Dinner+($S135&gt;=T_RetBfast)*PD_Bfast+($S135&gt;=T_RetLunch)*PD_Lunch+($S135&gt;=T_RetDinner)*PD_Dinner+MAX($R135-$P135-1,0)*(PD_Bfast+PD_Lunch+PD_Dinner)+($R135-$P135+1)*PD_Incid))</f>
        <v/>
      </c>
      <c r="AC135" s="30"/>
      <c r="AD135" s="30" t="str">
        <f aca="false">IF($A135="","",N($T135)+N($W135)+N($AA135)+N($AB135)+N($AC135))</f>
        <v/>
      </c>
      <c r="AE135" s="30"/>
      <c r="AF135" s="30"/>
      <c r="AG135" s="30"/>
      <c r="AH135" s="30"/>
      <c r="AI135" s="30"/>
      <c r="AJ135" s="30" t="str">
        <f aca="false">IF($A135="","",IF(COUNT($AE135:$AI135)=0,"",SUM($AE135:$AI135)))</f>
        <v/>
      </c>
      <c r="AK135" s="30"/>
      <c r="AL135" s="30"/>
      <c r="AM135" s="30" t="str">
        <f aca="false">IF(OR($A135="",$AJ135=""),"",$AJ135-N($AK135)-N($AL135))</f>
        <v/>
      </c>
      <c r="AN135" s="28"/>
      <c r="AO135" s="28"/>
      <c r="AP135" s="27"/>
      <c r="AQ135" s="27"/>
      <c r="AR135" s="28" t="str">
        <f aca="false">IF(OR($A135="",$R135=""),"",$R135+ReceiptDays)</f>
        <v/>
      </c>
      <c r="AS135" s="28"/>
      <c r="AT135" s="28" t="str">
        <f aca="false">IF(OR($A135="",$P135=""),"",($P135-FinanceLeadDays)-MOD(($P135-FinanceLeadDays)-DATE(2024,1,2),7))</f>
        <v/>
      </c>
      <c r="AU135" s="28"/>
      <c r="AV135" s="27"/>
      <c r="AW135" s="27"/>
      <c r="AX135" s="30" t="n">
        <f aca="false">IF(OR($A135="",$B135="Denied",$B135="Cancelled"),0,N($AD135))</f>
        <v>0</v>
      </c>
      <c r="AY135" s="30" t="n">
        <f aca="false">IF($A135="",0,N($AJ135))</f>
        <v>0</v>
      </c>
      <c r="AZ135" s="30" t="n">
        <f aca="false">IF(OR($A135="",$B135="Denied",$B135="Cancelled",$B135="Closed"),0,IF(N($AJ135)&gt;0,0,N($AD135)))</f>
        <v>0</v>
      </c>
      <c r="BA135" s="31" t="n">
        <f aca="false">IF($A135="",0,IF($B135="Awaiting Approval",COUNTIF(BA$1:BA134,"&gt;0")+1,0))</f>
        <v>0</v>
      </c>
      <c r="BB135" s="31" t="n">
        <f aca="false">IF($A135="",0,IF(AND($B135="Approved",$AP135&lt;&gt;"Y"),COUNTIF(BB$1:BB134,"&gt;0")+1,0))</f>
        <v>0</v>
      </c>
      <c r="BC135" s="31" t="n">
        <f aca="false">IF($A135="",0,IF(AND($B135="Approved",N($U135)&gt;0,$AQ135&lt;&gt;"Y"),COUNTIF(BC$1:BC134,"&gt;0")+1,0))</f>
        <v>0</v>
      </c>
      <c r="BD135" s="31" t="n">
        <f aca="true">IF($A135="",0,IF(AND($AR135&lt;&gt;"",N($AR135)&lt;TODAY(),$AS135="",$B135&lt;&gt;"Closed",$B135&lt;&gt;"Cancelled",$B135&lt;&gt;"Denied"),COUNTIF(BD$1:BD134,"&gt;0")+1,0))</f>
        <v>0</v>
      </c>
      <c r="BE135" s="31" t="n">
        <f aca="true">IF($A135="",0,IF(AND($AT135&lt;&gt;"",N($AT135)&lt;=TODAY()+7,$AU135="",$B135&lt;&gt;"Denied",$B135&lt;&gt;"Cancelled",$B135&lt;&gt;"Closed"),COUNTIF(BE$1:BE134,"&gt;0")+1,0))</f>
        <v>0</v>
      </c>
      <c r="BF135" s="27"/>
      <c r="BG135" s="27"/>
      <c r="BH135" s="27"/>
      <c r="BI135" s="27"/>
    </row>
    <row r="136" customFormat="false" ht="15" hidden="false" customHeight="false" outlineLevel="0" collapsed="false">
      <c r="A136" s="22"/>
      <c r="B136" s="22"/>
      <c r="C136" s="22"/>
      <c r="D136" s="22"/>
      <c r="E136" s="22"/>
      <c r="F136" s="22"/>
      <c r="G136" s="22"/>
      <c r="H136" s="22"/>
      <c r="I136" s="22"/>
      <c r="J136" s="22"/>
      <c r="K136" s="22"/>
      <c r="L136" s="22"/>
      <c r="M136" s="22"/>
      <c r="N136" s="23"/>
      <c r="O136" s="23"/>
      <c r="P136" s="23"/>
      <c r="Q136" s="24"/>
      <c r="R136" s="23"/>
      <c r="S136" s="24"/>
      <c r="T136" s="25"/>
      <c r="U136" s="26"/>
      <c r="V136" s="25"/>
      <c r="W136" s="25" t="str">
        <f aca="false">IF($A136="","",N($U136)*N($V136))</f>
        <v/>
      </c>
      <c r="X136" s="22"/>
      <c r="Y136" s="26"/>
      <c r="Z136" s="25"/>
      <c r="AA136" s="25" t="str">
        <f aca="false">IF($A136="","",IF($X136="POV",N($Y136)*MileageRate,0)+N($Z136))</f>
        <v/>
      </c>
      <c r="AB136" s="25" t="str">
        <f aca="false">IF(OR($A136="",$P136="",$R136="",$Q136="",$S136=""),"",IF($R136=$P136,($Q136&lt;=T_DepBfast)*($S136&gt;=T_RetBfast)*PD_Bfast+($Q136&lt;=T_DepLunch)*($S136&gt;=T_RetLunch)*PD_Lunch+($Q136&lt;=T_DepDinner)*($S136&gt;=T_RetDinner)*PD_Dinner+PD_Incid,($Q136&lt;=T_DepBfast)*PD_Bfast+($Q136&lt;=T_DepLunch)*PD_Lunch+($Q136&lt;=T_DepDinner)*PD_Dinner+($S136&gt;=T_RetBfast)*PD_Bfast+($S136&gt;=T_RetLunch)*PD_Lunch+($S136&gt;=T_RetDinner)*PD_Dinner+MAX($R136-$P136-1,0)*(PD_Bfast+PD_Lunch+PD_Dinner)+($R136-$P136+1)*PD_Incid))</f>
        <v/>
      </c>
      <c r="AC136" s="25"/>
      <c r="AD136" s="25" t="str">
        <f aca="false">IF($A136="","",N($T136)+N($W136)+N($AA136)+N($AB136)+N($AC136))</f>
        <v/>
      </c>
      <c r="AE136" s="25"/>
      <c r="AF136" s="25"/>
      <c r="AG136" s="25"/>
      <c r="AH136" s="25"/>
      <c r="AI136" s="25"/>
      <c r="AJ136" s="25" t="str">
        <f aca="false">IF($A136="","",IF(COUNT($AE136:$AI136)=0,"",SUM($AE136:$AI136)))</f>
        <v/>
      </c>
      <c r="AK136" s="25"/>
      <c r="AL136" s="25"/>
      <c r="AM136" s="25" t="str">
        <f aca="false">IF(OR($A136="",$AJ136=""),"",$AJ136-N($AK136)-N($AL136))</f>
        <v/>
      </c>
      <c r="AN136" s="23"/>
      <c r="AO136" s="23"/>
      <c r="AP136" s="22"/>
      <c r="AQ136" s="22"/>
      <c r="AR136" s="23" t="str">
        <f aca="false">IF(OR($A136="",$R136=""),"",$R136+ReceiptDays)</f>
        <v/>
      </c>
      <c r="AS136" s="23"/>
      <c r="AT136" s="23" t="str">
        <f aca="false">IF(OR($A136="",$P136=""),"",($P136-FinanceLeadDays)-MOD(($P136-FinanceLeadDays)-DATE(2024,1,2),7))</f>
        <v/>
      </c>
      <c r="AU136" s="23"/>
      <c r="AV136" s="22"/>
      <c r="AW136" s="22"/>
      <c r="AX136" s="25" t="n">
        <f aca="false">IF(OR($A136="",$B136="Denied",$B136="Cancelled"),0,N($AD136))</f>
        <v>0</v>
      </c>
      <c r="AY136" s="25" t="n">
        <f aca="false">IF($A136="",0,N($AJ136))</f>
        <v>0</v>
      </c>
      <c r="AZ136" s="25" t="n">
        <f aca="false">IF(OR($A136="",$B136="Denied",$B136="Cancelled",$B136="Closed"),0,IF(N($AJ136)&gt;0,0,N($AD136)))</f>
        <v>0</v>
      </c>
      <c r="BA136" s="26" t="n">
        <f aca="false">IF($A136="",0,IF($B136="Awaiting Approval",COUNTIF(BA$1:BA135,"&gt;0")+1,0))</f>
        <v>0</v>
      </c>
      <c r="BB136" s="26" t="n">
        <f aca="false">IF($A136="",0,IF(AND($B136="Approved",$AP136&lt;&gt;"Y"),COUNTIF(BB$1:BB135,"&gt;0")+1,0))</f>
        <v>0</v>
      </c>
      <c r="BC136" s="26" t="n">
        <f aca="false">IF($A136="",0,IF(AND($B136="Approved",N($U136)&gt;0,$AQ136&lt;&gt;"Y"),COUNTIF(BC$1:BC135,"&gt;0")+1,0))</f>
        <v>0</v>
      </c>
      <c r="BD136" s="26" t="n">
        <f aca="true">IF($A136="",0,IF(AND($AR136&lt;&gt;"",N($AR136)&lt;TODAY(),$AS136="",$B136&lt;&gt;"Closed",$B136&lt;&gt;"Cancelled",$B136&lt;&gt;"Denied"),COUNTIF(BD$1:BD135,"&gt;0")+1,0))</f>
        <v>0</v>
      </c>
      <c r="BE136" s="26" t="n">
        <f aca="true">IF($A136="",0,IF(AND($AT136&lt;&gt;"",N($AT136)&lt;=TODAY()+7,$AU136="",$B136&lt;&gt;"Denied",$B136&lt;&gt;"Cancelled",$B136&lt;&gt;"Closed"),COUNTIF(BE$1:BE135,"&gt;0")+1,0))</f>
        <v>0</v>
      </c>
      <c r="BF136" s="22"/>
      <c r="BG136" s="22"/>
      <c r="BH136" s="22"/>
      <c r="BI136" s="22"/>
    </row>
    <row r="137" customFormat="false" ht="15" hidden="false" customHeight="false" outlineLevel="0" collapsed="false">
      <c r="A137" s="27"/>
      <c r="B137" s="27"/>
      <c r="C137" s="27"/>
      <c r="D137" s="27"/>
      <c r="E137" s="27"/>
      <c r="F137" s="27"/>
      <c r="G137" s="27"/>
      <c r="H137" s="27"/>
      <c r="I137" s="27"/>
      <c r="J137" s="27"/>
      <c r="K137" s="27"/>
      <c r="L137" s="27"/>
      <c r="M137" s="27"/>
      <c r="N137" s="28"/>
      <c r="O137" s="28"/>
      <c r="P137" s="28"/>
      <c r="Q137" s="29"/>
      <c r="R137" s="28"/>
      <c r="S137" s="29"/>
      <c r="T137" s="30"/>
      <c r="U137" s="31"/>
      <c r="V137" s="30"/>
      <c r="W137" s="30" t="str">
        <f aca="false">IF($A137="","",N($U137)*N($V137))</f>
        <v/>
      </c>
      <c r="X137" s="27"/>
      <c r="Y137" s="31"/>
      <c r="Z137" s="30"/>
      <c r="AA137" s="30" t="str">
        <f aca="false">IF($A137="","",IF($X137="POV",N($Y137)*MileageRate,0)+N($Z137))</f>
        <v/>
      </c>
      <c r="AB137" s="30" t="str">
        <f aca="false">IF(OR($A137="",$P137="",$R137="",$Q137="",$S137=""),"",IF($R137=$P137,($Q137&lt;=T_DepBfast)*($S137&gt;=T_RetBfast)*PD_Bfast+($Q137&lt;=T_DepLunch)*($S137&gt;=T_RetLunch)*PD_Lunch+($Q137&lt;=T_DepDinner)*($S137&gt;=T_RetDinner)*PD_Dinner+PD_Incid,($Q137&lt;=T_DepBfast)*PD_Bfast+($Q137&lt;=T_DepLunch)*PD_Lunch+($Q137&lt;=T_DepDinner)*PD_Dinner+($S137&gt;=T_RetBfast)*PD_Bfast+($S137&gt;=T_RetLunch)*PD_Lunch+($S137&gt;=T_RetDinner)*PD_Dinner+MAX($R137-$P137-1,0)*(PD_Bfast+PD_Lunch+PD_Dinner)+($R137-$P137+1)*PD_Incid))</f>
        <v/>
      </c>
      <c r="AC137" s="30"/>
      <c r="AD137" s="30" t="str">
        <f aca="false">IF($A137="","",N($T137)+N($W137)+N($AA137)+N($AB137)+N($AC137))</f>
        <v/>
      </c>
      <c r="AE137" s="30"/>
      <c r="AF137" s="30"/>
      <c r="AG137" s="30"/>
      <c r="AH137" s="30"/>
      <c r="AI137" s="30"/>
      <c r="AJ137" s="30" t="str">
        <f aca="false">IF($A137="","",IF(COUNT($AE137:$AI137)=0,"",SUM($AE137:$AI137)))</f>
        <v/>
      </c>
      <c r="AK137" s="30"/>
      <c r="AL137" s="30"/>
      <c r="AM137" s="30" t="str">
        <f aca="false">IF(OR($A137="",$AJ137=""),"",$AJ137-N($AK137)-N($AL137))</f>
        <v/>
      </c>
      <c r="AN137" s="28"/>
      <c r="AO137" s="28"/>
      <c r="AP137" s="27"/>
      <c r="AQ137" s="27"/>
      <c r="AR137" s="28" t="str">
        <f aca="false">IF(OR($A137="",$R137=""),"",$R137+ReceiptDays)</f>
        <v/>
      </c>
      <c r="AS137" s="28"/>
      <c r="AT137" s="28" t="str">
        <f aca="false">IF(OR($A137="",$P137=""),"",($P137-FinanceLeadDays)-MOD(($P137-FinanceLeadDays)-DATE(2024,1,2),7))</f>
        <v/>
      </c>
      <c r="AU137" s="28"/>
      <c r="AV137" s="27"/>
      <c r="AW137" s="27"/>
      <c r="AX137" s="30" t="n">
        <f aca="false">IF(OR($A137="",$B137="Denied",$B137="Cancelled"),0,N($AD137))</f>
        <v>0</v>
      </c>
      <c r="AY137" s="30" t="n">
        <f aca="false">IF($A137="",0,N($AJ137))</f>
        <v>0</v>
      </c>
      <c r="AZ137" s="30" t="n">
        <f aca="false">IF(OR($A137="",$B137="Denied",$B137="Cancelled",$B137="Closed"),0,IF(N($AJ137)&gt;0,0,N($AD137)))</f>
        <v>0</v>
      </c>
      <c r="BA137" s="31" t="n">
        <f aca="false">IF($A137="",0,IF($B137="Awaiting Approval",COUNTIF(BA$1:BA136,"&gt;0")+1,0))</f>
        <v>0</v>
      </c>
      <c r="BB137" s="31" t="n">
        <f aca="false">IF($A137="",0,IF(AND($B137="Approved",$AP137&lt;&gt;"Y"),COUNTIF(BB$1:BB136,"&gt;0")+1,0))</f>
        <v>0</v>
      </c>
      <c r="BC137" s="31" t="n">
        <f aca="false">IF($A137="",0,IF(AND($B137="Approved",N($U137)&gt;0,$AQ137&lt;&gt;"Y"),COUNTIF(BC$1:BC136,"&gt;0")+1,0))</f>
        <v>0</v>
      </c>
      <c r="BD137" s="31" t="n">
        <f aca="true">IF($A137="",0,IF(AND($AR137&lt;&gt;"",N($AR137)&lt;TODAY(),$AS137="",$B137&lt;&gt;"Closed",$B137&lt;&gt;"Cancelled",$B137&lt;&gt;"Denied"),COUNTIF(BD$1:BD136,"&gt;0")+1,0))</f>
        <v>0</v>
      </c>
      <c r="BE137" s="31" t="n">
        <f aca="true">IF($A137="",0,IF(AND($AT137&lt;&gt;"",N($AT137)&lt;=TODAY()+7,$AU137="",$B137&lt;&gt;"Denied",$B137&lt;&gt;"Cancelled",$B137&lt;&gt;"Closed"),COUNTIF(BE$1:BE136,"&gt;0")+1,0))</f>
        <v>0</v>
      </c>
      <c r="BF137" s="27"/>
      <c r="BG137" s="27"/>
      <c r="BH137" s="27"/>
      <c r="BI137" s="27"/>
    </row>
    <row r="138" customFormat="false" ht="15" hidden="false" customHeight="false" outlineLevel="0" collapsed="false">
      <c r="A138" s="22"/>
      <c r="B138" s="22"/>
      <c r="C138" s="22"/>
      <c r="D138" s="22"/>
      <c r="E138" s="22"/>
      <c r="F138" s="22"/>
      <c r="G138" s="22"/>
      <c r="H138" s="22"/>
      <c r="I138" s="22"/>
      <c r="J138" s="22"/>
      <c r="K138" s="22"/>
      <c r="L138" s="22"/>
      <c r="M138" s="22"/>
      <c r="N138" s="23"/>
      <c r="O138" s="23"/>
      <c r="P138" s="23"/>
      <c r="Q138" s="24"/>
      <c r="R138" s="23"/>
      <c r="S138" s="24"/>
      <c r="T138" s="25"/>
      <c r="U138" s="26"/>
      <c r="V138" s="25"/>
      <c r="W138" s="25" t="str">
        <f aca="false">IF($A138="","",N($U138)*N($V138))</f>
        <v/>
      </c>
      <c r="X138" s="22"/>
      <c r="Y138" s="26"/>
      <c r="Z138" s="25"/>
      <c r="AA138" s="25" t="str">
        <f aca="false">IF($A138="","",IF($X138="POV",N($Y138)*MileageRate,0)+N($Z138))</f>
        <v/>
      </c>
      <c r="AB138" s="25" t="str">
        <f aca="false">IF(OR($A138="",$P138="",$R138="",$Q138="",$S138=""),"",IF($R138=$P138,($Q138&lt;=T_DepBfast)*($S138&gt;=T_RetBfast)*PD_Bfast+($Q138&lt;=T_DepLunch)*($S138&gt;=T_RetLunch)*PD_Lunch+($Q138&lt;=T_DepDinner)*($S138&gt;=T_RetDinner)*PD_Dinner+PD_Incid,($Q138&lt;=T_DepBfast)*PD_Bfast+($Q138&lt;=T_DepLunch)*PD_Lunch+($Q138&lt;=T_DepDinner)*PD_Dinner+($S138&gt;=T_RetBfast)*PD_Bfast+($S138&gt;=T_RetLunch)*PD_Lunch+($S138&gt;=T_RetDinner)*PD_Dinner+MAX($R138-$P138-1,0)*(PD_Bfast+PD_Lunch+PD_Dinner)+($R138-$P138+1)*PD_Incid))</f>
        <v/>
      </c>
      <c r="AC138" s="25"/>
      <c r="AD138" s="25" t="str">
        <f aca="false">IF($A138="","",N($T138)+N($W138)+N($AA138)+N($AB138)+N($AC138))</f>
        <v/>
      </c>
      <c r="AE138" s="25"/>
      <c r="AF138" s="25"/>
      <c r="AG138" s="25"/>
      <c r="AH138" s="25"/>
      <c r="AI138" s="25"/>
      <c r="AJ138" s="25" t="str">
        <f aca="false">IF($A138="","",IF(COUNT($AE138:$AI138)=0,"",SUM($AE138:$AI138)))</f>
        <v/>
      </c>
      <c r="AK138" s="25"/>
      <c r="AL138" s="25"/>
      <c r="AM138" s="25" t="str">
        <f aca="false">IF(OR($A138="",$AJ138=""),"",$AJ138-N($AK138)-N($AL138))</f>
        <v/>
      </c>
      <c r="AN138" s="23"/>
      <c r="AO138" s="23"/>
      <c r="AP138" s="22"/>
      <c r="AQ138" s="22"/>
      <c r="AR138" s="23" t="str">
        <f aca="false">IF(OR($A138="",$R138=""),"",$R138+ReceiptDays)</f>
        <v/>
      </c>
      <c r="AS138" s="23"/>
      <c r="AT138" s="23" t="str">
        <f aca="false">IF(OR($A138="",$P138=""),"",($P138-FinanceLeadDays)-MOD(($P138-FinanceLeadDays)-DATE(2024,1,2),7))</f>
        <v/>
      </c>
      <c r="AU138" s="23"/>
      <c r="AV138" s="22"/>
      <c r="AW138" s="22"/>
      <c r="AX138" s="25" t="n">
        <f aca="false">IF(OR($A138="",$B138="Denied",$B138="Cancelled"),0,N($AD138))</f>
        <v>0</v>
      </c>
      <c r="AY138" s="25" t="n">
        <f aca="false">IF($A138="",0,N($AJ138))</f>
        <v>0</v>
      </c>
      <c r="AZ138" s="25" t="n">
        <f aca="false">IF(OR($A138="",$B138="Denied",$B138="Cancelled",$B138="Closed"),0,IF(N($AJ138)&gt;0,0,N($AD138)))</f>
        <v>0</v>
      </c>
      <c r="BA138" s="26" t="n">
        <f aca="false">IF($A138="",0,IF($B138="Awaiting Approval",COUNTIF(BA$1:BA137,"&gt;0")+1,0))</f>
        <v>0</v>
      </c>
      <c r="BB138" s="26" t="n">
        <f aca="false">IF($A138="",0,IF(AND($B138="Approved",$AP138&lt;&gt;"Y"),COUNTIF(BB$1:BB137,"&gt;0")+1,0))</f>
        <v>0</v>
      </c>
      <c r="BC138" s="26" t="n">
        <f aca="false">IF($A138="",0,IF(AND($B138="Approved",N($U138)&gt;0,$AQ138&lt;&gt;"Y"),COUNTIF(BC$1:BC137,"&gt;0")+1,0))</f>
        <v>0</v>
      </c>
      <c r="BD138" s="26" t="n">
        <f aca="true">IF($A138="",0,IF(AND($AR138&lt;&gt;"",N($AR138)&lt;TODAY(),$AS138="",$B138&lt;&gt;"Closed",$B138&lt;&gt;"Cancelled",$B138&lt;&gt;"Denied"),COUNTIF(BD$1:BD137,"&gt;0")+1,0))</f>
        <v>0</v>
      </c>
      <c r="BE138" s="26" t="n">
        <f aca="true">IF($A138="",0,IF(AND($AT138&lt;&gt;"",N($AT138)&lt;=TODAY()+7,$AU138="",$B138&lt;&gt;"Denied",$B138&lt;&gt;"Cancelled",$B138&lt;&gt;"Closed"),COUNTIF(BE$1:BE137,"&gt;0")+1,0))</f>
        <v>0</v>
      </c>
      <c r="BF138" s="22"/>
      <c r="BG138" s="22"/>
      <c r="BH138" s="22"/>
      <c r="BI138" s="22"/>
    </row>
    <row r="139" customFormat="false" ht="15" hidden="false" customHeight="false" outlineLevel="0" collapsed="false">
      <c r="A139" s="27"/>
      <c r="B139" s="27"/>
      <c r="C139" s="27"/>
      <c r="D139" s="27"/>
      <c r="E139" s="27"/>
      <c r="F139" s="27"/>
      <c r="G139" s="27"/>
      <c r="H139" s="27"/>
      <c r="I139" s="27"/>
      <c r="J139" s="27"/>
      <c r="K139" s="27"/>
      <c r="L139" s="27"/>
      <c r="M139" s="27"/>
      <c r="N139" s="28"/>
      <c r="O139" s="28"/>
      <c r="P139" s="28"/>
      <c r="Q139" s="29"/>
      <c r="R139" s="28"/>
      <c r="S139" s="29"/>
      <c r="T139" s="30"/>
      <c r="U139" s="31"/>
      <c r="V139" s="30"/>
      <c r="W139" s="30" t="str">
        <f aca="false">IF($A139="","",N($U139)*N($V139))</f>
        <v/>
      </c>
      <c r="X139" s="27"/>
      <c r="Y139" s="31"/>
      <c r="Z139" s="30"/>
      <c r="AA139" s="30" t="str">
        <f aca="false">IF($A139="","",IF($X139="POV",N($Y139)*MileageRate,0)+N($Z139))</f>
        <v/>
      </c>
      <c r="AB139" s="30" t="str">
        <f aca="false">IF(OR($A139="",$P139="",$R139="",$Q139="",$S139=""),"",IF($R139=$P139,($Q139&lt;=T_DepBfast)*($S139&gt;=T_RetBfast)*PD_Bfast+($Q139&lt;=T_DepLunch)*($S139&gt;=T_RetLunch)*PD_Lunch+($Q139&lt;=T_DepDinner)*($S139&gt;=T_RetDinner)*PD_Dinner+PD_Incid,($Q139&lt;=T_DepBfast)*PD_Bfast+($Q139&lt;=T_DepLunch)*PD_Lunch+($Q139&lt;=T_DepDinner)*PD_Dinner+($S139&gt;=T_RetBfast)*PD_Bfast+($S139&gt;=T_RetLunch)*PD_Lunch+($S139&gt;=T_RetDinner)*PD_Dinner+MAX($R139-$P139-1,0)*(PD_Bfast+PD_Lunch+PD_Dinner)+($R139-$P139+1)*PD_Incid))</f>
        <v/>
      </c>
      <c r="AC139" s="30"/>
      <c r="AD139" s="30" t="str">
        <f aca="false">IF($A139="","",N($T139)+N($W139)+N($AA139)+N($AB139)+N($AC139))</f>
        <v/>
      </c>
      <c r="AE139" s="30"/>
      <c r="AF139" s="30"/>
      <c r="AG139" s="30"/>
      <c r="AH139" s="30"/>
      <c r="AI139" s="30"/>
      <c r="AJ139" s="30" t="str">
        <f aca="false">IF($A139="","",IF(COUNT($AE139:$AI139)=0,"",SUM($AE139:$AI139)))</f>
        <v/>
      </c>
      <c r="AK139" s="30"/>
      <c r="AL139" s="30"/>
      <c r="AM139" s="30" t="str">
        <f aca="false">IF(OR($A139="",$AJ139=""),"",$AJ139-N($AK139)-N($AL139))</f>
        <v/>
      </c>
      <c r="AN139" s="28"/>
      <c r="AO139" s="28"/>
      <c r="AP139" s="27"/>
      <c r="AQ139" s="27"/>
      <c r="AR139" s="28" t="str">
        <f aca="false">IF(OR($A139="",$R139=""),"",$R139+ReceiptDays)</f>
        <v/>
      </c>
      <c r="AS139" s="28"/>
      <c r="AT139" s="28" t="str">
        <f aca="false">IF(OR($A139="",$P139=""),"",($P139-FinanceLeadDays)-MOD(($P139-FinanceLeadDays)-DATE(2024,1,2),7))</f>
        <v/>
      </c>
      <c r="AU139" s="28"/>
      <c r="AV139" s="27"/>
      <c r="AW139" s="27"/>
      <c r="AX139" s="30" t="n">
        <f aca="false">IF(OR($A139="",$B139="Denied",$B139="Cancelled"),0,N($AD139))</f>
        <v>0</v>
      </c>
      <c r="AY139" s="30" t="n">
        <f aca="false">IF($A139="",0,N($AJ139))</f>
        <v>0</v>
      </c>
      <c r="AZ139" s="30" t="n">
        <f aca="false">IF(OR($A139="",$B139="Denied",$B139="Cancelled",$B139="Closed"),0,IF(N($AJ139)&gt;0,0,N($AD139)))</f>
        <v>0</v>
      </c>
      <c r="BA139" s="31" t="n">
        <f aca="false">IF($A139="",0,IF($B139="Awaiting Approval",COUNTIF(BA$1:BA138,"&gt;0")+1,0))</f>
        <v>0</v>
      </c>
      <c r="BB139" s="31" t="n">
        <f aca="false">IF($A139="",0,IF(AND($B139="Approved",$AP139&lt;&gt;"Y"),COUNTIF(BB$1:BB138,"&gt;0")+1,0))</f>
        <v>0</v>
      </c>
      <c r="BC139" s="31" t="n">
        <f aca="false">IF($A139="",0,IF(AND($B139="Approved",N($U139)&gt;0,$AQ139&lt;&gt;"Y"),COUNTIF(BC$1:BC138,"&gt;0")+1,0))</f>
        <v>0</v>
      </c>
      <c r="BD139" s="31" t="n">
        <f aca="true">IF($A139="",0,IF(AND($AR139&lt;&gt;"",N($AR139)&lt;TODAY(),$AS139="",$B139&lt;&gt;"Closed",$B139&lt;&gt;"Cancelled",$B139&lt;&gt;"Denied"),COUNTIF(BD$1:BD138,"&gt;0")+1,0))</f>
        <v>0</v>
      </c>
      <c r="BE139" s="31" t="n">
        <f aca="true">IF($A139="",0,IF(AND($AT139&lt;&gt;"",N($AT139)&lt;=TODAY()+7,$AU139="",$B139&lt;&gt;"Denied",$B139&lt;&gt;"Cancelled",$B139&lt;&gt;"Closed"),COUNTIF(BE$1:BE138,"&gt;0")+1,0))</f>
        <v>0</v>
      </c>
      <c r="BF139" s="27"/>
      <c r="BG139" s="27"/>
      <c r="BH139" s="27"/>
      <c r="BI139" s="27"/>
    </row>
    <row r="140" customFormat="false" ht="15" hidden="false" customHeight="false" outlineLevel="0" collapsed="false">
      <c r="A140" s="22"/>
      <c r="B140" s="22"/>
      <c r="C140" s="22"/>
      <c r="D140" s="22"/>
      <c r="E140" s="22"/>
      <c r="F140" s="22"/>
      <c r="G140" s="22"/>
      <c r="H140" s="22"/>
      <c r="I140" s="22"/>
      <c r="J140" s="22"/>
      <c r="K140" s="22"/>
      <c r="L140" s="22"/>
      <c r="M140" s="22"/>
      <c r="N140" s="23"/>
      <c r="O140" s="23"/>
      <c r="P140" s="23"/>
      <c r="Q140" s="24"/>
      <c r="R140" s="23"/>
      <c r="S140" s="24"/>
      <c r="T140" s="25"/>
      <c r="U140" s="26"/>
      <c r="V140" s="25"/>
      <c r="W140" s="25" t="str">
        <f aca="false">IF($A140="","",N($U140)*N($V140))</f>
        <v/>
      </c>
      <c r="X140" s="22"/>
      <c r="Y140" s="26"/>
      <c r="Z140" s="25"/>
      <c r="AA140" s="25" t="str">
        <f aca="false">IF($A140="","",IF($X140="POV",N($Y140)*MileageRate,0)+N($Z140))</f>
        <v/>
      </c>
      <c r="AB140" s="25" t="str">
        <f aca="false">IF(OR($A140="",$P140="",$R140="",$Q140="",$S140=""),"",IF($R140=$P140,($Q140&lt;=T_DepBfast)*($S140&gt;=T_RetBfast)*PD_Bfast+($Q140&lt;=T_DepLunch)*($S140&gt;=T_RetLunch)*PD_Lunch+($Q140&lt;=T_DepDinner)*($S140&gt;=T_RetDinner)*PD_Dinner+PD_Incid,($Q140&lt;=T_DepBfast)*PD_Bfast+($Q140&lt;=T_DepLunch)*PD_Lunch+($Q140&lt;=T_DepDinner)*PD_Dinner+($S140&gt;=T_RetBfast)*PD_Bfast+($S140&gt;=T_RetLunch)*PD_Lunch+($S140&gt;=T_RetDinner)*PD_Dinner+MAX($R140-$P140-1,0)*(PD_Bfast+PD_Lunch+PD_Dinner)+($R140-$P140+1)*PD_Incid))</f>
        <v/>
      </c>
      <c r="AC140" s="25"/>
      <c r="AD140" s="25" t="str">
        <f aca="false">IF($A140="","",N($T140)+N($W140)+N($AA140)+N($AB140)+N($AC140))</f>
        <v/>
      </c>
      <c r="AE140" s="25"/>
      <c r="AF140" s="25"/>
      <c r="AG140" s="25"/>
      <c r="AH140" s="25"/>
      <c r="AI140" s="25"/>
      <c r="AJ140" s="25" t="str">
        <f aca="false">IF($A140="","",IF(COUNT($AE140:$AI140)=0,"",SUM($AE140:$AI140)))</f>
        <v/>
      </c>
      <c r="AK140" s="25"/>
      <c r="AL140" s="25"/>
      <c r="AM140" s="25" t="str">
        <f aca="false">IF(OR($A140="",$AJ140=""),"",$AJ140-N($AK140)-N($AL140))</f>
        <v/>
      </c>
      <c r="AN140" s="23"/>
      <c r="AO140" s="23"/>
      <c r="AP140" s="22"/>
      <c r="AQ140" s="22"/>
      <c r="AR140" s="23" t="str">
        <f aca="false">IF(OR($A140="",$R140=""),"",$R140+ReceiptDays)</f>
        <v/>
      </c>
      <c r="AS140" s="23"/>
      <c r="AT140" s="23" t="str">
        <f aca="false">IF(OR($A140="",$P140=""),"",($P140-FinanceLeadDays)-MOD(($P140-FinanceLeadDays)-DATE(2024,1,2),7))</f>
        <v/>
      </c>
      <c r="AU140" s="23"/>
      <c r="AV140" s="22"/>
      <c r="AW140" s="22"/>
      <c r="AX140" s="25" t="n">
        <f aca="false">IF(OR($A140="",$B140="Denied",$B140="Cancelled"),0,N($AD140))</f>
        <v>0</v>
      </c>
      <c r="AY140" s="25" t="n">
        <f aca="false">IF($A140="",0,N($AJ140))</f>
        <v>0</v>
      </c>
      <c r="AZ140" s="25" t="n">
        <f aca="false">IF(OR($A140="",$B140="Denied",$B140="Cancelled",$B140="Closed"),0,IF(N($AJ140)&gt;0,0,N($AD140)))</f>
        <v>0</v>
      </c>
      <c r="BA140" s="26" t="n">
        <f aca="false">IF($A140="",0,IF($B140="Awaiting Approval",COUNTIF(BA$1:BA139,"&gt;0")+1,0))</f>
        <v>0</v>
      </c>
      <c r="BB140" s="26" t="n">
        <f aca="false">IF($A140="",0,IF(AND($B140="Approved",$AP140&lt;&gt;"Y"),COUNTIF(BB$1:BB139,"&gt;0")+1,0))</f>
        <v>0</v>
      </c>
      <c r="BC140" s="26" t="n">
        <f aca="false">IF($A140="",0,IF(AND($B140="Approved",N($U140)&gt;0,$AQ140&lt;&gt;"Y"),COUNTIF(BC$1:BC139,"&gt;0")+1,0))</f>
        <v>0</v>
      </c>
      <c r="BD140" s="26" t="n">
        <f aca="true">IF($A140="",0,IF(AND($AR140&lt;&gt;"",N($AR140)&lt;TODAY(),$AS140="",$B140&lt;&gt;"Closed",$B140&lt;&gt;"Cancelled",$B140&lt;&gt;"Denied"),COUNTIF(BD$1:BD139,"&gt;0")+1,0))</f>
        <v>0</v>
      </c>
      <c r="BE140" s="26" t="n">
        <f aca="true">IF($A140="",0,IF(AND($AT140&lt;&gt;"",N($AT140)&lt;=TODAY()+7,$AU140="",$B140&lt;&gt;"Denied",$B140&lt;&gt;"Cancelled",$B140&lt;&gt;"Closed"),COUNTIF(BE$1:BE139,"&gt;0")+1,0))</f>
        <v>0</v>
      </c>
      <c r="BF140" s="22"/>
      <c r="BG140" s="22"/>
      <c r="BH140" s="22"/>
      <c r="BI140" s="22"/>
    </row>
    <row r="141" customFormat="false" ht="15" hidden="false" customHeight="false" outlineLevel="0" collapsed="false">
      <c r="A141" s="27"/>
      <c r="B141" s="27"/>
      <c r="C141" s="27"/>
      <c r="D141" s="27"/>
      <c r="E141" s="27"/>
      <c r="F141" s="27"/>
      <c r="G141" s="27"/>
      <c r="H141" s="27"/>
      <c r="I141" s="27"/>
      <c r="J141" s="27"/>
      <c r="K141" s="27"/>
      <c r="L141" s="27"/>
      <c r="M141" s="27"/>
      <c r="N141" s="28"/>
      <c r="O141" s="28"/>
      <c r="P141" s="28"/>
      <c r="Q141" s="29"/>
      <c r="R141" s="28"/>
      <c r="S141" s="29"/>
      <c r="T141" s="30"/>
      <c r="U141" s="31"/>
      <c r="V141" s="30"/>
      <c r="W141" s="30" t="str">
        <f aca="false">IF($A141="","",N($U141)*N($V141))</f>
        <v/>
      </c>
      <c r="X141" s="27"/>
      <c r="Y141" s="31"/>
      <c r="Z141" s="30"/>
      <c r="AA141" s="30" t="str">
        <f aca="false">IF($A141="","",IF($X141="POV",N($Y141)*MileageRate,0)+N($Z141))</f>
        <v/>
      </c>
      <c r="AB141" s="30" t="str">
        <f aca="false">IF(OR($A141="",$P141="",$R141="",$Q141="",$S141=""),"",IF($R141=$P141,($Q141&lt;=T_DepBfast)*($S141&gt;=T_RetBfast)*PD_Bfast+($Q141&lt;=T_DepLunch)*($S141&gt;=T_RetLunch)*PD_Lunch+($Q141&lt;=T_DepDinner)*($S141&gt;=T_RetDinner)*PD_Dinner+PD_Incid,($Q141&lt;=T_DepBfast)*PD_Bfast+($Q141&lt;=T_DepLunch)*PD_Lunch+($Q141&lt;=T_DepDinner)*PD_Dinner+($S141&gt;=T_RetBfast)*PD_Bfast+($S141&gt;=T_RetLunch)*PD_Lunch+($S141&gt;=T_RetDinner)*PD_Dinner+MAX($R141-$P141-1,0)*(PD_Bfast+PD_Lunch+PD_Dinner)+($R141-$P141+1)*PD_Incid))</f>
        <v/>
      </c>
      <c r="AC141" s="30"/>
      <c r="AD141" s="30" t="str">
        <f aca="false">IF($A141="","",N($T141)+N($W141)+N($AA141)+N($AB141)+N($AC141))</f>
        <v/>
      </c>
      <c r="AE141" s="30"/>
      <c r="AF141" s="30"/>
      <c r="AG141" s="30"/>
      <c r="AH141" s="30"/>
      <c r="AI141" s="30"/>
      <c r="AJ141" s="30" t="str">
        <f aca="false">IF($A141="","",IF(COUNT($AE141:$AI141)=0,"",SUM($AE141:$AI141)))</f>
        <v/>
      </c>
      <c r="AK141" s="30"/>
      <c r="AL141" s="30"/>
      <c r="AM141" s="30" t="str">
        <f aca="false">IF(OR($A141="",$AJ141=""),"",$AJ141-N($AK141)-N($AL141))</f>
        <v/>
      </c>
      <c r="AN141" s="28"/>
      <c r="AO141" s="28"/>
      <c r="AP141" s="27"/>
      <c r="AQ141" s="27"/>
      <c r="AR141" s="28" t="str">
        <f aca="false">IF(OR($A141="",$R141=""),"",$R141+ReceiptDays)</f>
        <v/>
      </c>
      <c r="AS141" s="28"/>
      <c r="AT141" s="28" t="str">
        <f aca="false">IF(OR($A141="",$P141=""),"",($P141-FinanceLeadDays)-MOD(($P141-FinanceLeadDays)-DATE(2024,1,2),7))</f>
        <v/>
      </c>
      <c r="AU141" s="28"/>
      <c r="AV141" s="27"/>
      <c r="AW141" s="27"/>
      <c r="AX141" s="30" t="n">
        <f aca="false">IF(OR($A141="",$B141="Denied",$B141="Cancelled"),0,N($AD141))</f>
        <v>0</v>
      </c>
      <c r="AY141" s="30" t="n">
        <f aca="false">IF($A141="",0,N($AJ141))</f>
        <v>0</v>
      </c>
      <c r="AZ141" s="30" t="n">
        <f aca="false">IF(OR($A141="",$B141="Denied",$B141="Cancelled",$B141="Closed"),0,IF(N($AJ141)&gt;0,0,N($AD141)))</f>
        <v>0</v>
      </c>
      <c r="BA141" s="31" t="n">
        <f aca="false">IF($A141="",0,IF($B141="Awaiting Approval",COUNTIF(BA$1:BA140,"&gt;0")+1,0))</f>
        <v>0</v>
      </c>
      <c r="BB141" s="31" t="n">
        <f aca="false">IF($A141="",0,IF(AND($B141="Approved",$AP141&lt;&gt;"Y"),COUNTIF(BB$1:BB140,"&gt;0")+1,0))</f>
        <v>0</v>
      </c>
      <c r="BC141" s="31" t="n">
        <f aca="false">IF($A141="",0,IF(AND($B141="Approved",N($U141)&gt;0,$AQ141&lt;&gt;"Y"),COUNTIF(BC$1:BC140,"&gt;0")+1,0))</f>
        <v>0</v>
      </c>
      <c r="BD141" s="31" t="n">
        <f aca="true">IF($A141="",0,IF(AND($AR141&lt;&gt;"",N($AR141)&lt;TODAY(),$AS141="",$B141&lt;&gt;"Closed",$B141&lt;&gt;"Cancelled",$B141&lt;&gt;"Denied"),COUNTIF(BD$1:BD140,"&gt;0")+1,0))</f>
        <v>0</v>
      </c>
      <c r="BE141" s="31" t="n">
        <f aca="true">IF($A141="",0,IF(AND($AT141&lt;&gt;"",N($AT141)&lt;=TODAY()+7,$AU141="",$B141&lt;&gt;"Denied",$B141&lt;&gt;"Cancelled",$B141&lt;&gt;"Closed"),COUNTIF(BE$1:BE140,"&gt;0")+1,0))</f>
        <v>0</v>
      </c>
      <c r="BF141" s="27"/>
      <c r="BG141" s="27"/>
      <c r="BH141" s="27"/>
      <c r="BI141" s="27"/>
    </row>
    <row r="142" customFormat="false" ht="15" hidden="false" customHeight="false" outlineLevel="0" collapsed="false">
      <c r="A142" s="22"/>
      <c r="B142" s="22"/>
      <c r="C142" s="22"/>
      <c r="D142" s="22"/>
      <c r="E142" s="22"/>
      <c r="F142" s="22"/>
      <c r="G142" s="22"/>
      <c r="H142" s="22"/>
      <c r="I142" s="22"/>
      <c r="J142" s="22"/>
      <c r="K142" s="22"/>
      <c r="L142" s="22"/>
      <c r="M142" s="22"/>
      <c r="N142" s="23"/>
      <c r="O142" s="23"/>
      <c r="P142" s="23"/>
      <c r="Q142" s="24"/>
      <c r="R142" s="23"/>
      <c r="S142" s="24"/>
      <c r="T142" s="25"/>
      <c r="U142" s="26"/>
      <c r="V142" s="25"/>
      <c r="W142" s="25" t="str">
        <f aca="false">IF($A142="","",N($U142)*N($V142))</f>
        <v/>
      </c>
      <c r="X142" s="22"/>
      <c r="Y142" s="26"/>
      <c r="Z142" s="25"/>
      <c r="AA142" s="25" t="str">
        <f aca="false">IF($A142="","",IF($X142="POV",N($Y142)*MileageRate,0)+N($Z142))</f>
        <v/>
      </c>
      <c r="AB142" s="25" t="str">
        <f aca="false">IF(OR($A142="",$P142="",$R142="",$Q142="",$S142=""),"",IF($R142=$P142,($Q142&lt;=T_DepBfast)*($S142&gt;=T_RetBfast)*PD_Bfast+($Q142&lt;=T_DepLunch)*($S142&gt;=T_RetLunch)*PD_Lunch+($Q142&lt;=T_DepDinner)*($S142&gt;=T_RetDinner)*PD_Dinner+PD_Incid,($Q142&lt;=T_DepBfast)*PD_Bfast+($Q142&lt;=T_DepLunch)*PD_Lunch+($Q142&lt;=T_DepDinner)*PD_Dinner+($S142&gt;=T_RetBfast)*PD_Bfast+($S142&gt;=T_RetLunch)*PD_Lunch+($S142&gt;=T_RetDinner)*PD_Dinner+MAX($R142-$P142-1,0)*(PD_Bfast+PD_Lunch+PD_Dinner)+($R142-$P142+1)*PD_Incid))</f>
        <v/>
      </c>
      <c r="AC142" s="25"/>
      <c r="AD142" s="25" t="str">
        <f aca="false">IF($A142="","",N($T142)+N($W142)+N($AA142)+N($AB142)+N($AC142))</f>
        <v/>
      </c>
      <c r="AE142" s="25"/>
      <c r="AF142" s="25"/>
      <c r="AG142" s="25"/>
      <c r="AH142" s="25"/>
      <c r="AI142" s="25"/>
      <c r="AJ142" s="25" t="str">
        <f aca="false">IF($A142="","",IF(COUNT($AE142:$AI142)=0,"",SUM($AE142:$AI142)))</f>
        <v/>
      </c>
      <c r="AK142" s="25"/>
      <c r="AL142" s="25"/>
      <c r="AM142" s="25" t="str">
        <f aca="false">IF(OR($A142="",$AJ142=""),"",$AJ142-N($AK142)-N($AL142))</f>
        <v/>
      </c>
      <c r="AN142" s="23"/>
      <c r="AO142" s="23"/>
      <c r="AP142" s="22"/>
      <c r="AQ142" s="22"/>
      <c r="AR142" s="23" t="str">
        <f aca="false">IF(OR($A142="",$R142=""),"",$R142+ReceiptDays)</f>
        <v/>
      </c>
      <c r="AS142" s="23"/>
      <c r="AT142" s="23" t="str">
        <f aca="false">IF(OR($A142="",$P142=""),"",($P142-FinanceLeadDays)-MOD(($P142-FinanceLeadDays)-DATE(2024,1,2),7))</f>
        <v/>
      </c>
      <c r="AU142" s="23"/>
      <c r="AV142" s="22"/>
      <c r="AW142" s="22"/>
      <c r="AX142" s="25" t="n">
        <f aca="false">IF(OR($A142="",$B142="Denied",$B142="Cancelled"),0,N($AD142))</f>
        <v>0</v>
      </c>
      <c r="AY142" s="25" t="n">
        <f aca="false">IF($A142="",0,N($AJ142))</f>
        <v>0</v>
      </c>
      <c r="AZ142" s="25" t="n">
        <f aca="false">IF(OR($A142="",$B142="Denied",$B142="Cancelled",$B142="Closed"),0,IF(N($AJ142)&gt;0,0,N($AD142)))</f>
        <v>0</v>
      </c>
      <c r="BA142" s="26" t="n">
        <f aca="false">IF($A142="",0,IF($B142="Awaiting Approval",COUNTIF(BA$1:BA141,"&gt;0")+1,0))</f>
        <v>0</v>
      </c>
      <c r="BB142" s="26" t="n">
        <f aca="false">IF($A142="",0,IF(AND($B142="Approved",$AP142&lt;&gt;"Y"),COUNTIF(BB$1:BB141,"&gt;0")+1,0))</f>
        <v>0</v>
      </c>
      <c r="BC142" s="26" t="n">
        <f aca="false">IF($A142="",0,IF(AND($B142="Approved",N($U142)&gt;0,$AQ142&lt;&gt;"Y"),COUNTIF(BC$1:BC141,"&gt;0")+1,0))</f>
        <v>0</v>
      </c>
      <c r="BD142" s="26" t="n">
        <f aca="true">IF($A142="",0,IF(AND($AR142&lt;&gt;"",N($AR142)&lt;TODAY(),$AS142="",$B142&lt;&gt;"Closed",$B142&lt;&gt;"Cancelled",$B142&lt;&gt;"Denied"),COUNTIF(BD$1:BD141,"&gt;0")+1,0))</f>
        <v>0</v>
      </c>
      <c r="BE142" s="26" t="n">
        <f aca="true">IF($A142="",0,IF(AND($AT142&lt;&gt;"",N($AT142)&lt;=TODAY()+7,$AU142="",$B142&lt;&gt;"Denied",$B142&lt;&gt;"Cancelled",$B142&lt;&gt;"Closed"),COUNTIF(BE$1:BE141,"&gt;0")+1,0))</f>
        <v>0</v>
      </c>
      <c r="BF142" s="22"/>
      <c r="BG142" s="22"/>
      <c r="BH142" s="22"/>
      <c r="BI142" s="22"/>
    </row>
    <row r="143" customFormat="false" ht="15" hidden="false" customHeight="false" outlineLevel="0" collapsed="false">
      <c r="A143" s="27"/>
      <c r="B143" s="27"/>
      <c r="C143" s="27"/>
      <c r="D143" s="27"/>
      <c r="E143" s="27"/>
      <c r="F143" s="27"/>
      <c r="G143" s="27"/>
      <c r="H143" s="27"/>
      <c r="I143" s="27"/>
      <c r="J143" s="27"/>
      <c r="K143" s="27"/>
      <c r="L143" s="27"/>
      <c r="M143" s="27"/>
      <c r="N143" s="28"/>
      <c r="O143" s="28"/>
      <c r="P143" s="28"/>
      <c r="Q143" s="29"/>
      <c r="R143" s="28"/>
      <c r="S143" s="29"/>
      <c r="T143" s="30"/>
      <c r="U143" s="31"/>
      <c r="V143" s="30"/>
      <c r="W143" s="30" t="str">
        <f aca="false">IF($A143="","",N($U143)*N($V143))</f>
        <v/>
      </c>
      <c r="X143" s="27"/>
      <c r="Y143" s="31"/>
      <c r="Z143" s="30"/>
      <c r="AA143" s="30" t="str">
        <f aca="false">IF($A143="","",IF($X143="POV",N($Y143)*MileageRate,0)+N($Z143))</f>
        <v/>
      </c>
      <c r="AB143" s="30" t="str">
        <f aca="false">IF(OR($A143="",$P143="",$R143="",$Q143="",$S143=""),"",IF($R143=$P143,($Q143&lt;=T_DepBfast)*($S143&gt;=T_RetBfast)*PD_Bfast+($Q143&lt;=T_DepLunch)*($S143&gt;=T_RetLunch)*PD_Lunch+($Q143&lt;=T_DepDinner)*($S143&gt;=T_RetDinner)*PD_Dinner+PD_Incid,($Q143&lt;=T_DepBfast)*PD_Bfast+($Q143&lt;=T_DepLunch)*PD_Lunch+($Q143&lt;=T_DepDinner)*PD_Dinner+($S143&gt;=T_RetBfast)*PD_Bfast+($S143&gt;=T_RetLunch)*PD_Lunch+($S143&gt;=T_RetDinner)*PD_Dinner+MAX($R143-$P143-1,0)*(PD_Bfast+PD_Lunch+PD_Dinner)+($R143-$P143+1)*PD_Incid))</f>
        <v/>
      </c>
      <c r="AC143" s="30"/>
      <c r="AD143" s="30" t="str">
        <f aca="false">IF($A143="","",N($T143)+N($W143)+N($AA143)+N($AB143)+N($AC143))</f>
        <v/>
      </c>
      <c r="AE143" s="30"/>
      <c r="AF143" s="30"/>
      <c r="AG143" s="30"/>
      <c r="AH143" s="30"/>
      <c r="AI143" s="30"/>
      <c r="AJ143" s="30" t="str">
        <f aca="false">IF($A143="","",IF(COUNT($AE143:$AI143)=0,"",SUM($AE143:$AI143)))</f>
        <v/>
      </c>
      <c r="AK143" s="30"/>
      <c r="AL143" s="30"/>
      <c r="AM143" s="30" t="str">
        <f aca="false">IF(OR($A143="",$AJ143=""),"",$AJ143-N($AK143)-N($AL143))</f>
        <v/>
      </c>
      <c r="AN143" s="28"/>
      <c r="AO143" s="28"/>
      <c r="AP143" s="27"/>
      <c r="AQ143" s="27"/>
      <c r="AR143" s="28" t="str">
        <f aca="false">IF(OR($A143="",$R143=""),"",$R143+ReceiptDays)</f>
        <v/>
      </c>
      <c r="AS143" s="28"/>
      <c r="AT143" s="28" t="str">
        <f aca="false">IF(OR($A143="",$P143=""),"",($P143-FinanceLeadDays)-MOD(($P143-FinanceLeadDays)-DATE(2024,1,2),7))</f>
        <v/>
      </c>
      <c r="AU143" s="28"/>
      <c r="AV143" s="27"/>
      <c r="AW143" s="27"/>
      <c r="AX143" s="30" t="n">
        <f aca="false">IF(OR($A143="",$B143="Denied",$B143="Cancelled"),0,N($AD143))</f>
        <v>0</v>
      </c>
      <c r="AY143" s="30" t="n">
        <f aca="false">IF($A143="",0,N($AJ143))</f>
        <v>0</v>
      </c>
      <c r="AZ143" s="30" t="n">
        <f aca="false">IF(OR($A143="",$B143="Denied",$B143="Cancelled",$B143="Closed"),0,IF(N($AJ143)&gt;0,0,N($AD143)))</f>
        <v>0</v>
      </c>
      <c r="BA143" s="31" t="n">
        <f aca="false">IF($A143="",0,IF($B143="Awaiting Approval",COUNTIF(BA$1:BA142,"&gt;0")+1,0))</f>
        <v>0</v>
      </c>
      <c r="BB143" s="31" t="n">
        <f aca="false">IF($A143="",0,IF(AND($B143="Approved",$AP143&lt;&gt;"Y"),COUNTIF(BB$1:BB142,"&gt;0")+1,0))</f>
        <v>0</v>
      </c>
      <c r="BC143" s="31" t="n">
        <f aca="false">IF($A143="",0,IF(AND($B143="Approved",N($U143)&gt;0,$AQ143&lt;&gt;"Y"),COUNTIF(BC$1:BC142,"&gt;0")+1,0))</f>
        <v>0</v>
      </c>
      <c r="BD143" s="31" t="n">
        <f aca="true">IF($A143="",0,IF(AND($AR143&lt;&gt;"",N($AR143)&lt;TODAY(),$AS143="",$B143&lt;&gt;"Closed",$B143&lt;&gt;"Cancelled",$B143&lt;&gt;"Denied"),COUNTIF(BD$1:BD142,"&gt;0")+1,0))</f>
        <v>0</v>
      </c>
      <c r="BE143" s="31" t="n">
        <f aca="true">IF($A143="",0,IF(AND($AT143&lt;&gt;"",N($AT143)&lt;=TODAY()+7,$AU143="",$B143&lt;&gt;"Denied",$B143&lt;&gt;"Cancelled",$B143&lt;&gt;"Closed"),COUNTIF(BE$1:BE142,"&gt;0")+1,0))</f>
        <v>0</v>
      </c>
      <c r="BF143" s="27"/>
      <c r="BG143" s="27"/>
      <c r="BH143" s="27"/>
      <c r="BI143" s="27"/>
    </row>
    <row r="144" customFormat="false" ht="15" hidden="false" customHeight="false" outlineLevel="0" collapsed="false">
      <c r="A144" s="22"/>
      <c r="B144" s="22"/>
      <c r="C144" s="22"/>
      <c r="D144" s="22"/>
      <c r="E144" s="22"/>
      <c r="F144" s="22"/>
      <c r="G144" s="22"/>
      <c r="H144" s="22"/>
      <c r="I144" s="22"/>
      <c r="J144" s="22"/>
      <c r="K144" s="22"/>
      <c r="L144" s="22"/>
      <c r="M144" s="22"/>
      <c r="N144" s="23"/>
      <c r="O144" s="23"/>
      <c r="P144" s="23"/>
      <c r="Q144" s="24"/>
      <c r="R144" s="23"/>
      <c r="S144" s="24"/>
      <c r="T144" s="25"/>
      <c r="U144" s="26"/>
      <c r="V144" s="25"/>
      <c r="W144" s="25" t="str">
        <f aca="false">IF($A144="","",N($U144)*N($V144))</f>
        <v/>
      </c>
      <c r="X144" s="22"/>
      <c r="Y144" s="26"/>
      <c r="Z144" s="25"/>
      <c r="AA144" s="25" t="str">
        <f aca="false">IF($A144="","",IF($X144="POV",N($Y144)*MileageRate,0)+N($Z144))</f>
        <v/>
      </c>
      <c r="AB144" s="25" t="str">
        <f aca="false">IF(OR($A144="",$P144="",$R144="",$Q144="",$S144=""),"",IF($R144=$P144,($Q144&lt;=T_DepBfast)*($S144&gt;=T_RetBfast)*PD_Bfast+($Q144&lt;=T_DepLunch)*($S144&gt;=T_RetLunch)*PD_Lunch+($Q144&lt;=T_DepDinner)*($S144&gt;=T_RetDinner)*PD_Dinner+PD_Incid,($Q144&lt;=T_DepBfast)*PD_Bfast+($Q144&lt;=T_DepLunch)*PD_Lunch+($Q144&lt;=T_DepDinner)*PD_Dinner+($S144&gt;=T_RetBfast)*PD_Bfast+($S144&gt;=T_RetLunch)*PD_Lunch+($S144&gt;=T_RetDinner)*PD_Dinner+MAX($R144-$P144-1,0)*(PD_Bfast+PD_Lunch+PD_Dinner)+($R144-$P144+1)*PD_Incid))</f>
        <v/>
      </c>
      <c r="AC144" s="25"/>
      <c r="AD144" s="25" t="str">
        <f aca="false">IF($A144="","",N($T144)+N($W144)+N($AA144)+N($AB144)+N($AC144))</f>
        <v/>
      </c>
      <c r="AE144" s="25"/>
      <c r="AF144" s="25"/>
      <c r="AG144" s="25"/>
      <c r="AH144" s="25"/>
      <c r="AI144" s="25"/>
      <c r="AJ144" s="25" t="str">
        <f aca="false">IF($A144="","",IF(COUNT($AE144:$AI144)=0,"",SUM($AE144:$AI144)))</f>
        <v/>
      </c>
      <c r="AK144" s="25"/>
      <c r="AL144" s="25"/>
      <c r="AM144" s="25" t="str">
        <f aca="false">IF(OR($A144="",$AJ144=""),"",$AJ144-N($AK144)-N($AL144))</f>
        <v/>
      </c>
      <c r="AN144" s="23"/>
      <c r="AO144" s="23"/>
      <c r="AP144" s="22"/>
      <c r="AQ144" s="22"/>
      <c r="AR144" s="23" t="str">
        <f aca="false">IF(OR($A144="",$R144=""),"",$R144+ReceiptDays)</f>
        <v/>
      </c>
      <c r="AS144" s="23"/>
      <c r="AT144" s="23" t="str">
        <f aca="false">IF(OR($A144="",$P144=""),"",($P144-FinanceLeadDays)-MOD(($P144-FinanceLeadDays)-DATE(2024,1,2),7))</f>
        <v/>
      </c>
      <c r="AU144" s="23"/>
      <c r="AV144" s="22"/>
      <c r="AW144" s="22"/>
      <c r="AX144" s="25" t="n">
        <f aca="false">IF(OR($A144="",$B144="Denied",$B144="Cancelled"),0,N($AD144))</f>
        <v>0</v>
      </c>
      <c r="AY144" s="25" t="n">
        <f aca="false">IF($A144="",0,N($AJ144))</f>
        <v>0</v>
      </c>
      <c r="AZ144" s="25" t="n">
        <f aca="false">IF(OR($A144="",$B144="Denied",$B144="Cancelled",$B144="Closed"),0,IF(N($AJ144)&gt;0,0,N($AD144)))</f>
        <v>0</v>
      </c>
      <c r="BA144" s="26" t="n">
        <f aca="false">IF($A144="",0,IF($B144="Awaiting Approval",COUNTIF(BA$1:BA143,"&gt;0")+1,0))</f>
        <v>0</v>
      </c>
      <c r="BB144" s="26" t="n">
        <f aca="false">IF($A144="",0,IF(AND($B144="Approved",$AP144&lt;&gt;"Y"),COUNTIF(BB$1:BB143,"&gt;0")+1,0))</f>
        <v>0</v>
      </c>
      <c r="BC144" s="26" t="n">
        <f aca="false">IF($A144="",0,IF(AND($B144="Approved",N($U144)&gt;0,$AQ144&lt;&gt;"Y"),COUNTIF(BC$1:BC143,"&gt;0")+1,0))</f>
        <v>0</v>
      </c>
      <c r="BD144" s="26" t="n">
        <f aca="true">IF($A144="",0,IF(AND($AR144&lt;&gt;"",N($AR144)&lt;TODAY(),$AS144="",$B144&lt;&gt;"Closed",$B144&lt;&gt;"Cancelled",$B144&lt;&gt;"Denied"),COUNTIF(BD$1:BD143,"&gt;0")+1,0))</f>
        <v>0</v>
      </c>
      <c r="BE144" s="26" t="n">
        <f aca="true">IF($A144="",0,IF(AND($AT144&lt;&gt;"",N($AT144)&lt;=TODAY()+7,$AU144="",$B144&lt;&gt;"Denied",$B144&lt;&gt;"Cancelled",$B144&lt;&gt;"Closed"),COUNTIF(BE$1:BE143,"&gt;0")+1,0))</f>
        <v>0</v>
      </c>
      <c r="BF144" s="22"/>
      <c r="BG144" s="22"/>
      <c r="BH144" s="22"/>
      <c r="BI144" s="22"/>
    </row>
    <row r="145" customFormat="false" ht="15" hidden="false" customHeight="false" outlineLevel="0" collapsed="false">
      <c r="A145" s="27"/>
      <c r="B145" s="27"/>
      <c r="C145" s="27"/>
      <c r="D145" s="27"/>
      <c r="E145" s="27"/>
      <c r="F145" s="27"/>
      <c r="G145" s="27"/>
      <c r="H145" s="27"/>
      <c r="I145" s="27"/>
      <c r="J145" s="27"/>
      <c r="K145" s="27"/>
      <c r="L145" s="27"/>
      <c r="M145" s="27"/>
      <c r="N145" s="28"/>
      <c r="O145" s="28"/>
      <c r="P145" s="28"/>
      <c r="Q145" s="29"/>
      <c r="R145" s="28"/>
      <c r="S145" s="29"/>
      <c r="T145" s="30"/>
      <c r="U145" s="31"/>
      <c r="V145" s="30"/>
      <c r="W145" s="30" t="str">
        <f aca="false">IF($A145="","",N($U145)*N($V145))</f>
        <v/>
      </c>
      <c r="X145" s="27"/>
      <c r="Y145" s="31"/>
      <c r="Z145" s="30"/>
      <c r="AA145" s="30" t="str">
        <f aca="false">IF($A145="","",IF($X145="POV",N($Y145)*MileageRate,0)+N($Z145))</f>
        <v/>
      </c>
      <c r="AB145" s="30" t="str">
        <f aca="false">IF(OR($A145="",$P145="",$R145="",$Q145="",$S145=""),"",IF($R145=$P145,($Q145&lt;=T_DepBfast)*($S145&gt;=T_RetBfast)*PD_Bfast+($Q145&lt;=T_DepLunch)*($S145&gt;=T_RetLunch)*PD_Lunch+($Q145&lt;=T_DepDinner)*($S145&gt;=T_RetDinner)*PD_Dinner+PD_Incid,($Q145&lt;=T_DepBfast)*PD_Bfast+($Q145&lt;=T_DepLunch)*PD_Lunch+($Q145&lt;=T_DepDinner)*PD_Dinner+($S145&gt;=T_RetBfast)*PD_Bfast+($S145&gt;=T_RetLunch)*PD_Lunch+($S145&gt;=T_RetDinner)*PD_Dinner+MAX($R145-$P145-1,0)*(PD_Bfast+PD_Lunch+PD_Dinner)+($R145-$P145+1)*PD_Incid))</f>
        <v/>
      </c>
      <c r="AC145" s="30"/>
      <c r="AD145" s="30" t="str">
        <f aca="false">IF($A145="","",N($T145)+N($W145)+N($AA145)+N($AB145)+N($AC145))</f>
        <v/>
      </c>
      <c r="AE145" s="30"/>
      <c r="AF145" s="30"/>
      <c r="AG145" s="30"/>
      <c r="AH145" s="30"/>
      <c r="AI145" s="30"/>
      <c r="AJ145" s="30" t="str">
        <f aca="false">IF($A145="","",IF(COUNT($AE145:$AI145)=0,"",SUM($AE145:$AI145)))</f>
        <v/>
      </c>
      <c r="AK145" s="30"/>
      <c r="AL145" s="30"/>
      <c r="AM145" s="30" t="str">
        <f aca="false">IF(OR($A145="",$AJ145=""),"",$AJ145-N($AK145)-N($AL145))</f>
        <v/>
      </c>
      <c r="AN145" s="28"/>
      <c r="AO145" s="28"/>
      <c r="AP145" s="27"/>
      <c r="AQ145" s="27"/>
      <c r="AR145" s="28" t="str">
        <f aca="false">IF(OR($A145="",$R145=""),"",$R145+ReceiptDays)</f>
        <v/>
      </c>
      <c r="AS145" s="28"/>
      <c r="AT145" s="28" t="str">
        <f aca="false">IF(OR($A145="",$P145=""),"",($P145-FinanceLeadDays)-MOD(($P145-FinanceLeadDays)-DATE(2024,1,2),7))</f>
        <v/>
      </c>
      <c r="AU145" s="28"/>
      <c r="AV145" s="27"/>
      <c r="AW145" s="27"/>
      <c r="AX145" s="30" t="n">
        <f aca="false">IF(OR($A145="",$B145="Denied",$B145="Cancelled"),0,N($AD145))</f>
        <v>0</v>
      </c>
      <c r="AY145" s="30" t="n">
        <f aca="false">IF($A145="",0,N($AJ145))</f>
        <v>0</v>
      </c>
      <c r="AZ145" s="30" t="n">
        <f aca="false">IF(OR($A145="",$B145="Denied",$B145="Cancelled",$B145="Closed"),0,IF(N($AJ145)&gt;0,0,N($AD145)))</f>
        <v>0</v>
      </c>
      <c r="BA145" s="31" t="n">
        <f aca="false">IF($A145="",0,IF($B145="Awaiting Approval",COUNTIF(BA$1:BA144,"&gt;0")+1,0))</f>
        <v>0</v>
      </c>
      <c r="BB145" s="31" t="n">
        <f aca="false">IF($A145="",0,IF(AND($B145="Approved",$AP145&lt;&gt;"Y"),COUNTIF(BB$1:BB144,"&gt;0")+1,0))</f>
        <v>0</v>
      </c>
      <c r="BC145" s="31" t="n">
        <f aca="false">IF($A145="",0,IF(AND($B145="Approved",N($U145)&gt;0,$AQ145&lt;&gt;"Y"),COUNTIF(BC$1:BC144,"&gt;0")+1,0))</f>
        <v>0</v>
      </c>
      <c r="BD145" s="31" t="n">
        <f aca="true">IF($A145="",0,IF(AND($AR145&lt;&gt;"",N($AR145)&lt;TODAY(),$AS145="",$B145&lt;&gt;"Closed",$B145&lt;&gt;"Cancelled",$B145&lt;&gt;"Denied"),COUNTIF(BD$1:BD144,"&gt;0")+1,0))</f>
        <v>0</v>
      </c>
      <c r="BE145" s="31" t="n">
        <f aca="true">IF($A145="",0,IF(AND($AT145&lt;&gt;"",N($AT145)&lt;=TODAY()+7,$AU145="",$B145&lt;&gt;"Denied",$B145&lt;&gt;"Cancelled",$B145&lt;&gt;"Closed"),COUNTIF(BE$1:BE144,"&gt;0")+1,0))</f>
        <v>0</v>
      </c>
      <c r="BF145" s="27"/>
      <c r="BG145" s="27"/>
      <c r="BH145" s="27"/>
      <c r="BI145" s="27"/>
    </row>
    <row r="146" customFormat="false" ht="15" hidden="false" customHeight="false" outlineLevel="0" collapsed="false">
      <c r="A146" s="22"/>
      <c r="B146" s="22"/>
      <c r="C146" s="22"/>
      <c r="D146" s="22"/>
      <c r="E146" s="22"/>
      <c r="F146" s="22"/>
      <c r="G146" s="22"/>
      <c r="H146" s="22"/>
      <c r="I146" s="22"/>
      <c r="J146" s="22"/>
      <c r="K146" s="22"/>
      <c r="L146" s="22"/>
      <c r="M146" s="22"/>
      <c r="N146" s="23"/>
      <c r="O146" s="23"/>
      <c r="P146" s="23"/>
      <c r="Q146" s="24"/>
      <c r="R146" s="23"/>
      <c r="S146" s="24"/>
      <c r="T146" s="25"/>
      <c r="U146" s="26"/>
      <c r="V146" s="25"/>
      <c r="W146" s="25" t="str">
        <f aca="false">IF($A146="","",N($U146)*N($V146))</f>
        <v/>
      </c>
      <c r="X146" s="22"/>
      <c r="Y146" s="26"/>
      <c r="Z146" s="25"/>
      <c r="AA146" s="25" t="str">
        <f aca="false">IF($A146="","",IF($X146="POV",N($Y146)*MileageRate,0)+N($Z146))</f>
        <v/>
      </c>
      <c r="AB146" s="25" t="str">
        <f aca="false">IF(OR($A146="",$P146="",$R146="",$Q146="",$S146=""),"",IF($R146=$P146,($Q146&lt;=T_DepBfast)*($S146&gt;=T_RetBfast)*PD_Bfast+($Q146&lt;=T_DepLunch)*($S146&gt;=T_RetLunch)*PD_Lunch+($Q146&lt;=T_DepDinner)*($S146&gt;=T_RetDinner)*PD_Dinner+PD_Incid,($Q146&lt;=T_DepBfast)*PD_Bfast+($Q146&lt;=T_DepLunch)*PD_Lunch+($Q146&lt;=T_DepDinner)*PD_Dinner+($S146&gt;=T_RetBfast)*PD_Bfast+($S146&gt;=T_RetLunch)*PD_Lunch+($S146&gt;=T_RetDinner)*PD_Dinner+MAX($R146-$P146-1,0)*(PD_Bfast+PD_Lunch+PD_Dinner)+($R146-$P146+1)*PD_Incid))</f>
        <v/>
      </c>
      <c r="AC146" s="25"/>
      <c r="AD146" s="25" t="str">
        <f aca="false">IF($A146="","",N($T146)+N($W146)+N($AA146)+N($AB146)+N($AC146))</f>
        <v/>
      </c>
      <c r="AE146" s="25"/>
      <c r="AF146" s="25"/>
      <c r="AG146" s="25"/>
      <c r="AH146" s="25"/>
      <c r="AI146" s="25"/>
      <c r="AJ146" s="25" t="str">
        <f aca="false">IF($A146="","",IF(COUNT($AE146:$AI146)=0,"",SUM($AE146:$AI146)))</f>
        <v/>
      </c>
      <c r="AK146" s="25"/>
      <c r="AL146" s="25"/>
      <c r="AM146" s="25" t="str">
        <f aca="false">IF(OR($A146="",$AJ146=""),"",$AJ146-N($AK146)-N($AL146))</f>
        <v/>
      </c>
      <c r="AN146" s="23"/>
      <c r="AO146" s="23"/>
      <c r="AP146" s="22"/>
      <c r="AQ146" s="22"/>
      <c r="AR146" s="23" t="str">
        <f aca="false">IF(OR($A146="",$R146=""),"",$R146+ReceiptDays)</f>
        <v/>
      </c>
      <c r="AS146" s="23"/>
      <c r="AT146" s="23" t="str">
        <f aca="false">IF(OR($A146="",$P146=""),"",($P146-FinanceLeadDays)-MOD(($P146-FinanceLeadDays)-DATE(2024,1,2),7))</f>
        <v/>
      </c>
      <c r="AU146" s="23"/>
      <c r="AV146" s="22"/>
      <c r="AW146" s="22"/>
      <c r="AX146" s="25" t="n">
        <f aca="false">IF(OR($A146="",$B146="Denied",$B146="Cancelled"),0,N($AD146))</f>
        <v>0</v>
      </c>
      <c r="AY146" s="25" t="n">
        <f aca="false">IF($A146="",0,N($AJ146))</f>
        <v>0</v>
      </c>
      <c r="AZ146" s="25" t="n">
        <f aca="false">IF(OR($A146="",$B146="Denied",$B146="Cancelled",$B146="Closed"),0,IF(N($AJ146)&gt;0,0,N($AD146)))</f>
        <v>0</v>
      </c>
      <c r="BA146" s="26" t="n">
        <f aca="false">IF($A146="",0,IF($B146="Awaiting Approval",COUNTIF(BA$1:BA145,"&gt;0")+1,0))</f>
        <v>0</v>
      </c>
      <c r="BB146" s="26" t="n">
        <f aca="false">IF($A146="",0,IF(AND($B146="Approved",$AP146&lt;&gt;"Y"),COUNTIF(BB$1:BB145,"&gt;0")+1,0))</f>
        <v>0</v>
      </c>
      <c r="BC146" s="26" t="n">
        <f aca="false">IF($A146="",0,IF(AND($B146="Approved",N($U146)&gt;0,$AQ146&lt;&gt;"Y"),COUNTIF(BC$1:BC145,"&gt;0")+1,0))</f>
        <v>0</v>
      </c>
      <c r="BD146" s="26" t="n">
        <f aca="true">IF($A146="",0,IF(AND($AR146&lt;&gt;"",N($AR146)&lt;TODAY(),$AS146="",$B146&lt;&gt;"Closed",$B146&lt;&gt;"Cancelled",$B146&lt;&gt;"Denied"),COUNTIF(BD$1:BD145,"&gt;0")+1,0))</f>
        <v>0</v>
      </c>
      <c r="BE146" s="26" t="n">
        <f aca="true">IF($A146="",0,IF(AND($AT146&lt;&gt;"",N($AT146)&lt;=TODAY()+7,$AU146="",$B146&lt;&gt;"Denied",$B146&lt;&gt;"Cancelled",$B146&lt;&gt;"Closed"),COUNTIF(BE$1:BE145,"&gt;0")+1,0))</f>
        <v>0</v>
      </c>
      <c r="BF146" s="22"/>
      <c r="BG146" s="22"/>
      <c r="BH146" s="22"/>
      <c r="BI146" s="22"/>
    </row>
    <row r="147" customFormat="false" ht="15" hidden="false" customHeight="false" outlineLevel="0" collapsed="false">
      <c r="A147" s="27"/>
      <c r="B147" s="27"/>
      <c r="C147" s="27"/>
      <c r="D147" s="27"/>
      <c r="E147" s="27"/>
      <c r="F147" s="27"/>
      <c r="G147" s="27"/>
      <c r="H147" s="27"/>
      <c r="I147" s="27"/>
      <c r="J147" s="27"/>
      <c r="K147" s="27"/>
      <c r="L147" s="27"/>
      <c r="M147" s="27"/>
      <c r="N147" s="28"/>
      <c r="O147" s="28"/>
      <c r="P147" s="28"/>
      <c r="Q147" s="29"/>
      <c r="R147" s="28"/>
      <c r="S147" s="29"/>
      <c r="T147" s="30"/>
      <c r="U147" s="31"/>
      <c r="V147" s="30"/>
      <c r="W147" s="30" t="str">
        <f aca="false">IF($A147="","",N($U147)*N($V147))</f>
        <v/>
      </c>
      <c r="X147" s="27"/>
      <c r="Y147" s="31"/>
      <c r="Z147" s="30"/>
      <c r="AA147" s="30" t="str">
        <f aca="false">IF($A147="","",IF($X147="POV",N($Y147)*MileageRate,0)+N($Z147))</f>
        <v/>
      </c>
      <c r="AB147" s="30" t="str">
        <f aca="false">IF(OR($A147="",$P147="",$R147="",$Q147="",$S147=""),"",IF($R147=$P147,($Q147&lt;=T_DepBfast)*($S147&gt;=T_RetBfast)*PD_Bfast+($Q147&lt;=T_DepLunch)*($S147&gt;=T_RetLunch)*PD_Lunch+($Q147&lt;=T_DepDinner)*($S147&gt;=T_RetDinner)*PD_Dinner+PD_Incid,($Q147&lt;=T_DepBfast)*PD_Bfast+($Q147&lt;=T_DepLunch)*PD_Lunch+($Q147&lt;=T_DepDinner)*PD_Dinner+($S147&gt;=T_RetBfast)*PD_Bfast+($S147&gt;=T_RetLunch)*PD_Lunch+($S147&gt;=T_RetDinner)*PD_Dinner+MAX($R147-$P147-1,0)*(PD_Bfast+PD_Lunch+PD_Dinner)+($R147-$P147+1)*PD_Incid))</f>
        <v/>
      </c>
      <c r="AC147" s="30"/>
      <c r="AD147" s="30" t="str">
        <f aca="false">IF($A147="","",N($T147)+N($W147)+N($AA147)+N($AB147)+N($AC147))</f>
        <v/>
      </c>
      <c r="AE147" s="30"/>
      <c r="AF147" s="30"/>
      <c r="AG147" s="30"/>
      <c r="AH147" s="30"/>
      <c r="AI147" s="30"/>
      <c r="AJ147" s="30" t="str">
        <f aca="false">IF($A147="","",IF(COUNT($AE147:$AI147)=0,"",SUM($AE147:$AI147)))</f>
        <v/>
      </c>
      <c r="AK147" s="30"/>
      <c r="AL147" s="30"/>
      <c r="AM147" s="30" t="str">
        <f aca="false">IF(OR($A147="",$AJ147=""),"",$AJ147-N($AK147)-N($AL147))</f>
        <v/>
      </c>
      <c r="AN147" s="28"/>
      <c r="AO147" s="28"/>
      <c r="AP147" s="27"/>
      <c r="AQ147" s="27"/>
      <c r="AR147" s="28" t="str">
        <f aca="false">IF(OR($A147="",$R147=""),"",$R147+ReceiptDays)</f>
        <v/>
      </c>
      <c r="AS147" s="28"/>
      <c r="AT147" s="28" t="str">
        <f aca="false">IF(OR($A147="",$P147=""),"",($P147-FinanceLeadDays)-MOD(($P147-FinanceLeadDays)-DATE(2024,1,2),7))</f>
        <v/>
      </c>
      <c r="AU147" s="28"/>
      <c r="AV147" s="27"/>
      <c r="AW147" s="27"/>
      <c r="AX147" s="30" t="n">
        <f aca="false">IF(OR($A147="",$B147="Denied",$B147="Cancelled"),0,N($AD147))</f>
        <v>0</v>
      </c>
      <c r="AY147" s="30" t="n">
        <f aca="false">IF($A147="",0,N($AJ147))</f>
        <v>0</v>
      </c>
      <c r="AZ147" s="30" t="n">
        <f aca="false">IF(OR($A147="",$B147="Denied",$B147="Cancelled",$B147="Closed"),0,IF(N($AJ147)&gt;0,0,N($AD147)))</f>
        <v>0</v>
      </c>
      <c r="BA147" s="31" t="n">
        <f aca="false">IF($A147="",0,IF($B147="Awaiting Approval",COUNTIF(BA$1:BA146,"&gt;0")+1,0))</f>
        <v>0</v>
      </c>
      <c r="BB147" s="31" t="n">
        <f aca="false">IF($A147="",0,IF(AND($B147="Approved",$AP147&lt;&gt;"Y"),COUNTIF(BB$1:BB146,"&gt;0")+1,0))</f>
        <v>0</v>
      </c>
      <c r="BC147" s="31" t="n">
        <f aca="false">IF($A147="",0,IF(AND($B147="Approved",N($U147)&gt;0,$AQ147&lt;&gt;"Y"),COUNTIF(BC$1:BC146,"&gt;0")+1,0))</f>
        <v>0</v>
      </c>
      <c r="BD147" s="31" t="n">
        <f aca="true">IF($A147="",0,IF(AND($AR147&lt;&gt;"",N($AR147)&lt;TODAY(),$AS147="",$B147&lt;&gt;"Closed",$B147&lt;&gt;"Cancelled",$B147&lt;&gt;"Denied"),COUNTIF(BD$1:BD146,"&gt;0")+1,0))</f>
        <v>0</v>
      </c>
      <c r="BE147" s="31" t="n">
        <f aca="true">IF($A147="",0,IF(AND($AT147&lt;&gt;"",N($AT147)&lt;=TODAY()+7,$AU147="",$B147&lt;&gt;"Denied",$B147&lt;&gt;"Cancelled",$B147&lt;&gt;"Closed"),COUNTIF(BE$1:BE146,"&gt;0")+1,0))</f>
        <v>0</v>
      </c>
      <c r="BF147" s="27"/>
      <c r="BG147" s="27"/>
      <c r="BH147" s="27"/>
      <c r="BI147" s="27"/>
    </row>
    <row r="148" customFormat="false" ht="15" hidden="false" customHeight="false" outlineLevel="0" collapsed="false">
      <c r="A148" s="22"/>
      <c r="B148" s="22"/>
      <c r="C148" s="22"/>
      <c r="D148" s="22"/>
      <c r="E148" s="22"/>
      <c r="F148" s="22"/>
      <c r="G148" s="22"/>
      <c r="H148" s="22"/>
      <c r="I148" s="22"/>
      <c r="J148" s="22"/>
      <c r="K148" s="22"/>
      <c r="L148" s="22"/>
      <c r="M148" s="22"/>
      <c r="N148" s="23"/>
      <c r="O148" s="23"/>
      <c r="P148" s="23"/>
      <c r="Q148" s="24"/>
      <c r="R148" s="23"/>
      <c r="S148" s="24"/>
      <c r="T148" s="25"/>
      <c r="U148" s="26"/>
      <c r="V148" s="25"/>
      <c r="W148" s="25" t="str">
        <f aca="false">IF($A148="","",N($U148)*N($V148))</f>
        <v/>
      </c>
      <c r="X148" s="22"/>
      <c r="Y148" s="26"/>
      <c r="Z148" s="25"/>
      <c r="AA148" s="25" t="str">
        <f aca="false">IF($A148="","",IF($X148="POV",N($Y148)*MileageRate,0)+N($Z148))</f>
        <v/>
      </c>
      <c r="AB148" s="25" t="str">
        <f aca="false">IF(OR($A148="",$P148="",$R148="",$Q148="",$S148=""),"",IF($R148=$P148,($Q148&lt;=T_DepBfast)*($S148&gt;=T_RetBfast)*PD_Bfast+($Q148&lt;=T_DepLunch)*($S148&gt;=T_RetLunch)*PD_Lunch+($Q148&lt;=T_DepDinner)*($S148&gt;=T_RetDinner)*PD_Dinner+PD_Incid,($Q148&lt;=T_DepBfast)*PD_Bfast+($Q148&lt;=T_DepLunch)*PD_Lunch+($Q148&lt;=T_DepDinner)*PD_Dinner+($S148&gt;=T_RetBfast)*PD_Bfast+($S148&gt;=T_RetLunch)*PD_Lunch+($S148&gt;=T_RetDinner)*PD_Dinner+MAX($R148-$P148-1,0)*(PD_Bfast+PD_Lunch+PD_Dinner)+($R148-$P148+1)*PD_Incid))</f>
        <v/>
      </c>
      <c r="AC148" s="25"/>
      <c r="AD148" s="25" t="str">
        <f aca="false">IF($A148="","",N($T148)+N($W148)+N($AA148)+N($AB148)+N($AC148))</f>
        <v/>
      </c>
      <c r="AE148" s="25"/>
      <c r="AF148" s="25"/>
      <c r="AG148" s="25"/>
      <c r="AH148" s="25"/>
      <c r="AI148" s="25"/>
      <c r="AJ148" s="25" t="str">
        <f aca="false">IF($A148="","",IF(COUNT($AE148:$AI148)=0,"",SUM($AE148:$AI148)))</f>
        <v/>
      </c>
      <c r="AK148" s="25"/>
      <c r="AL148" s="25"/>
      <c r="AM148" s="25" t="str">
        <f aca="false">IF(OR($A148="",$AJ148=""),"",$AJ148-N($AK148)-N($AL148))</f>
        <v/>
      </c>
      <c r="AN148" s="23"/>
      <c r="AO148" s="23"/>
      <c r="AP148" s="22"/>
      <c r="AQ148" s="22"/>
      <c r="AR148" s="23" t="str">
        <f aca="false">IF(OR($A148="",$R148=""),"",$R148+ReceiptDays)</f>
        <v/>
      </c>
      <c r="AS148" s="23"/>
      <c r="AT148" s="23" t="str">
        <f aca="false">IF(OR($A148="",$P148=""),"",($P148-FinanceLeadDays)-MOD(($P148-FinanceLeadDays)-DATE(2024,1,2),7))</f>
        <v/>
      </c>
      <c r="AU148" s="23"/>
      <c r="AV148" s="22"/>
      <c r="AW148" s="22"/>
      <c r="AX148" s="25" t="n">
        <f aca="false">IF(OR($A148="",$B148="Denied",$B148="Cancelled"),0,N($AD148))</f>
        <v>0</v>
      </c>
      <c r="AY148" s="25" t="n">
        <f aca="false">IF($A148="",0,N($AJ148))</f>
        <v>0</v>
      </c>
      <c r="AZ148" s="25" t="n">
        <f aca="false">IF(OR($A148="",$B148="Denied",$B148="Cancelled",$B148="Closed"),0,IF(N($AJ148)&gt;0,0,N($AD148)))</f>
        <v>0</v>
      </c>
      <c r="BA148" s="26" t="n">
        <f aca="false">IF($A148="",0,IF($B148="Awaiting Approval",COUNTIF(BA$1:BA147,"&gt;0")+1,0))</f>
        <v>0</v>
      </c>
      <c r="BB148" s="26" t="n">
        <f aca="false">IF($A148="",0,IF(AND($B148="Approved",$AP148&lt;&gt;"Y"),COUNTIF(BB$1:BB147,"&gt;0")+1,0))</f>
        <v>0</v>
      </c>
      <c r="BC148" s="26" t="n">
        <f aca="false">IF($A148="",0,IF(AND($B148="Approved",N($U148)&gt;0,$AQ148&lt;&gt;"Y"),COUNTIF(BC$1:BC147,"&gt;0")+1,0))</f>
        <v>0</v>
      </c>
      <c r="BD148" s="26" t="n">
        <f aca="true">IF($A148="",0,IF(AND($AR148&lt;&gt;"",N($AR148)&lt;TODAY(),$AS148="",$B148&lt;&gt;"Closed",$B148&lt;&gt;"Cancelled",$B148&lt;&gt;"Denied"),COUNTIF(BD$1:BD147,"&gt;0")+1,0))</f>
        <v>0</v>
      </c>
      <c r="BE148" s="26" t="n">
        <f aca="true">IF($A148="",0,IF(AND($AT148&lt;&gt;"",N($AT148)&lt;=TODAY()+7,$AU148="",$B148&lt;&gt;"Denied",$B148&lt;&gt;"Cancelled",$B148&lt;&gt;"Closed"),COUNTIF(BE$1:BE147,"&gt;0")+1,0))</f>
        <v>0</v>
      </c>
      <c r="BF148" s="22"/>
      <c r="BG148" s="22"/>
      <c r="BH148" s="22"/>
      <c r="BI148" s="22"/>
    </row>
    <row r="149" customFormat="false" ht="15" hidden="false" customHeight="false" outlineLevel="0" collapsed="false">
      <c r="A149" s="27"/>
      <c r="B149" s="27"/>
      <c r="C149" s="27"/>
      <c r="D149" s="27"/>
      <c r="E149" s="27"/>
      <c r="F149" s="27"/>
      <c r="G149" s="27"/>
      <c r="H149" s="27"/>
      <c r="I149" s="27"/>
      <c r="J149" s="27"/>
      <c r="K149" s="27"/>
      <c r="L149" s="27"/>
      <c r="M149" s="27"/>
      <c r="N149" s="28"/>
      <c r="O149" s="28"/>
      <c r="P149" s="28"/>
      <c r="Q149" s="29"/>
      <c r="R149" s="28"/>
      <c r="S149" s="29"/>
      <c r="T149" s="30"/>
      <c r="U149" s="31"/>
      <c r="V149" s="30"/>
      <c r="W149" s="30" t="str">
        <f aca="false">IF($A149="","",N($U149)*N($V149))</f>
        <v/>
      </c>
      <c r="X149" s="27"/>
      <c r="Y149" s="31"/>
      <c r="Z149" s="30"/>
      <c r="AA149" s="30" t="str">
        <f aca="false">IF($A149="","",IF($X149="POV",N($Y149)*MileageRate,0)+N($Z149))</f>
        <v/>
      </c>
      <c r="AB149" s="30" t="str">
        <f aca="false">IF(OR($A149="",$P149="",$R149="",$Q149="",$S149=""),"",IF($R149=$P149,($Q149&lt;=T_DepBfast)*($S149&gt;=T_RetBfast)*PD_Bfast+($Q149&lt;=T_DepLunch)*($S149&gt;=T_RetLunch)*PD_Lunch+($Q149&lt;=T_DepDinner)*($S149&gt;=T_RetDinner)*PD_Dinner+PD_Incid,($Q149&lt;=T_DepBfast)*PD_Bfast+($Q149&lt;=T_DepLunch)*PD_Lunch+($Q149&lt;=T_DepDinner)*PD_Dinner+($S149&gt;=T_RetBfast)*PD_Bfast+($S149&gt;=T_RetLunch)*PD_Lunch+($S149&gt;=T_RetDinner)*PD_Dinner+MAX($R149-$P149-1,0)*(PD_Bfast+PD_Lunch+PD_Dinner)+($R149-$P149+1)*PD_Incid))</f>
        <v/>
      </c>
      <c r="AC149" s="30"/>
      <c r="AD149" s="30" t="str">
        <f aca="false">IF($A149="","",N($T149)+N($W149)+N($AA149)+N($AB149)+N($AC149))</f>
        <v/>
      </c>
      <c r="AE149" s="30"/>
      <c r="AF149" s="30"/>
      <c r="AG149" s="30"/>
      <c r="AH149" s="30"/>
      <c r="AI149" s="30"/>
      <c r="AJ149" s="30" t="str">
        <f aca="false">IF($A149="","",IF(COUNT($AE149:$AI149)=0,"",SUM($AE149:$AI149)))</f>
        <v/>
      </c>
      <c r="AK149" s="30"/>
      <c r="AL149" s="30"/>
      <c r="AM149" s="30" t="str">
        <f aca="false">IF(OR($A149="",$AJ149=""),"",$AJ149-N($AK149)-N($AL149))</f>
        <v/>
      </c>
      <c r="AN149" s="28"/>
      <c r="AO149" s="28"/>
      <c r="AP149" s="27"/>
      <c r="AQ149" s="27"/>
      <c r="AR149" s="28" t="str">
        <f aca="false">IF(OR($A149="",$R149=""),"",$R149+ReceiptDays)</f>
        <v/>
      </c>
      <c r="AS149" s="28"/>
      <c r="AT149" s="28" t="str">
        <f aca="false">IF(OR($A149="",$P149=""),"",($P149-FinanceLeadDays)-MOD(($P149-FinanceLeadDays)-DATE(2024,1,2),7))</f>
        <v/>
      </c>
      <c r="AU149" s="28"/>
      <c r="AV149" s="27"/>
      <c r="AW149" s="27"/>
      <c r="AX149" s="30" t="n">
        <f aca="false">IF(OR($A149="",$B149="Denied",$B149="Cancelled"),0,N($AD149))</f>
        <v>0</v>
      </c>
      <c r="AY149" s="30" t="n">
        <f aca="false">IF($A149="",0,N($AJ149))</f>
        <v>0</v>
      </c>
      <c r="AZ149" s="30" t="n">
        <f aca="false">IF(OR($A149="",$B149="Denied",$B149="Cancelled",$B149="Closed"),0,IF(N($AJ149)&gt;0,0,N($AD149)))</f>
        <v>0</v>
      </c>
      <c r="BA149" s="31" t="n">
        <f aca="false">IF($A149="",0,IF($B149="Awaiting Approval",COUNTIF(BA$1:BA148,"&gt;0")+1,0))</f>
        <v>0</v>
      </c>
      <c r="BB149" s="31" t="n">
        <f aca="false">IF($A149="",0,IF(AND($B149="Approved",$AP149&lt;&gt;"Y"),COUNTIF(BB$1:BB148,"&gt;0")+1,0))</f>
        <v>0</v>
      </c>
      <c r="BC149" s="31" t="n">
        <f aca="false">IF($A149="",0,IF(AND($B149="Approved",N($U149)&gt;0,$AQ149&lt;&gt;"Y"),COUNTIF(BC$1:BC148,"&gt;0")+1,0))</f>
        <v>0</v>
      </c>
      <c r="BD149" s="31" t="n">
        <f aca="true">IF($A149="",0,IF(AND($AR149&lt;&gt;"",N($AR149)&lt;TODAY(),$AS149="",$B149&lt;&gt;"Closed",$B149&lt;&gt;"Cancelled",$B149&lt;&gt;"Denied"),COUNTIF(BD$1:BD148,"&gt;0")+1,0))</f>
        <v>0</v>
      </c>
      <c r="BE149" s="31" t="n">
        <f aca="true">IF($A149="",0,IF(AND($AT149&lt;&gt;"",N($AT149)&lt;=TODAY()+7,$AU149="",$B149&lt;&gt;"Denied",$B149&lt;&gt;"Cancelled",$B149&lt;&gt;"Closed"),COUNTIF(BE$1:BE148,"&gt;0")+1,0))</f>
        <v>0</v>
      </c>
      <c r="BF149" s="27"/>
      <c r="BG149" s="27"/>
      <c r="BH149" s="27"/>
      <c r="BI149" s="27"/>
    </row>
    <row r="150" customFormat="false" ht="15" hidden="false" customHeight="false" outlineLevel="0" collapsed="false">
      <c r="A150" s="22"/>
      <c r="B150" s="22"/>
      <c r="C150" s="22"/>
      <c r="D150" s="22"/>
      <c r="E150" s="22"/>
      <c r="F150" s="22"/>
      <c r="G150" s="22"/>
      <c r="H150" s="22"/>
      <c r="I150" s="22"/>
      <c r="J150" s="22"/>
      <c r="K150" s="22"/>
      <c r="L150" s="22"/>
      <c r="M150" s="22"/>
      <c r="N150" s="23"/>
      <c r="O150" s="23"/>
      <c r="P150" s="23"/>
      <c r="Q150" s="24"/>
      <c r="R150" s="23"/>
      <c r="S150" s="24"/>
      <c r="T150" s="25"/>
      <c r="U150" s="26"/>
      <c r="V150" s="25"/>
      <c r="W150" s="25" t="str">
        <f aca="false">IF($A150="","",N($U150)*N($V150))</f>
        <v/>
      </c>
      <c r="X150" s="22"/>
      <c r="Y150" s="26"/>
      <c r="Z150" s="25"/>
      <c r="AA150" s="25" t="str">
        <f aca="false">IF($A150="","",IF($X150="POV",N($Y150)*MileageRate,0)+N($Z150))</f>
        <v/>
      </c>
      <c r="AB150" s="25" t="str">
        <f aca="false">IF(OR($A150="",$P150="",$R150="",$Q150="",$S150=""),"",IF($R150=$P150,($Q150&lt;=T_DepBfast)*($S150&gt;=T_RetBfast)*PD_Bfast+($Q150&lt;=T_DepLunch)*($S150&gt;=T_RetLunch)*PD_Lunch+($Q150&lt;=T_DepDinner)*($S150&gt;=T_RetDinner)*PD_Dinner+PD_Incid,($Q150&lt;=T_DepBfast)*PD_Bfast+($Q150&lt;=T_DepLunch)*PD_Lunch+($Q150&lt;=T_DepDinner)*PD_Dinner+($S150&gt;=T_RetBfast)*PD_Bfast+($S150&gt;=T_RetLunch)*PD_Lunch+($S150&gt;=T_RetDinner)*PD_Dinner+MAX($R150-$P150-1,0)*(PD_Bfast+PD_Lunch+PD_Dinner)+($R150-$P150+1)*PD_Incid))</f>
        <v/>
      </c>
      <c r="AC150" s="25"/>
      <c r="AD150" s="25" t="str">
        <f aca="false">IF($A150="","",N($T150)+N($W150)+N($AA150)+N($AB150)+N($AC150))</f>
        <v/>
      </c>
      <c r="AE150" s="25"/>
      <c r="AF150" s="25"/>
      <c r="AG150" s="25"/>
      <c r="AH150" s="25"/>
      <c r="AI150" s="25"/>
      <c r="AJ150" s="25" t="str">
        <f aca="false">IF($A150="","",IF(COUNT($AE150:$AI150)=0,"",SUM($AE150:$AI150)))</f>
        <v/>
      </c>
      <c r="AK150" s="25"/>
      <c r="AL150" s="25"/>
      <c r="AM150" s="25" t="str">
        <f aca="false">IF(OR($A150="",$AJ150=""),"",$AJ150-N($AK150)-N($AL150))</f>
        <v/>
      </c>
      <c r="AN150" s="23"/>
      <c r="AO150" s="23"/>
      <c r="AP150" s="22"/>
      <c r="AQ150" s="22"/>
      <c r="AR150" s="23" t="str">
        <f aca="false">IF(OR($A150="",$R150=""),"",$R150+ReceiptDays)</f>
        <v/>
      </c>
      <c r="AS150" s="23"/>
      <c r="AT150" s="23" t="str">
        <f aca="false">IF(OR($A150="",$P150=""),"",($P150-FinanceLeadDays)-MOD(($P150-FinanceLeadDays)-DATE(2024,1,2),7))</f>
        <v/>
      </c>
      <c r="AU150" s="23"/>
      <c r="AV150" s="22"/>
      <c r="AW150" s="22"/>
      <c r="AX150" s="25" t="n">
        <f aca="false">IF(OR($A150="",$B150="Denied",$B150="Cancelled"),0,N($AD150))</f>
        <v>0</v>
      </c>
      <c r="AY150" s="25" t="n">
        <f aca="false">IF($A150="",0,N($AJ150))</f>
        <v>0</v>
      </c>
      <c r="AZ150" s="25" t="n">
        <f aca="false">IF(OR($A150="",$B150="Denied",$B150="Cancelled",$B150="Closed"),0,IF(N($AJ150)&gt;0,0,N($AD150)))</f>
        <v>0</v>
      </c>
      <c r="BA150" s="26" t="n">
        <f aca="false">IF($A150="",0,IF($B150="Awaiting Approval",COUNTIF(BA$1:BA149,"&gt;0")+1,0))</f>
        <v>0</v>
      </c>
      <c r="BB150" s="26" t="n">
        <f aca="false">IF($A150="",0,IF(AND($B150="Approved",$AP150&lt;&gt;"Y"),COUNTIF(BB$1:BB149,"&gt;0")+1,0))</f>
        <v>0</v>
      </c>
      <c r="BC150" s="26" t="n">
        <f aca="false">IF($A150="",0,IF(AND($B150="Approved",N($U150)&gt;0,$AQ150&lt;&gt;"Y"),COUNTIF(BC$1:BC149,"&gt;0")+1,0))</f>
        <v>0</v>
      </c>
      <c r="BD150" s="26" t="n">
        <f aca="true">IF($A150="",0,IF(AND($AR150&lt;&gt;"",N($AR150)&lt;TODAY(),$AS150="",$B150&lt;&gt;"Closed",$B150&lt;&gt;"Cancelled",$B150&lt;&gt;"Denied"),COUNTIF(BD$1:BD149,"&gt;0")+1,0))</f>
        <v>0</v>
      </c>
      <c r="BE150" s="26" t="n">
        <f aca="true">IF($A150="",0,IF(AND($AT150&lt;&gt;"",N($AT150)&lt;=TODAY()+7,$AU150="",$B150&lt;&gt;"Denied",$B150&lt;&gt;"Cancelled",$B150&lt;&gt;"Closed"),COUNTIF(BE$1:BE149,"&gt;0")+1,0))</f>
        <v>0</v>
      </c>
      <c r="BF150" s="22"/>
      <c r="BG150" s="22"/>
      <c r="BH150" s="22"/>
      <c r="BI150" s="22"/>
    </row>
    <row r="151" customFormat="false" ht="15" hidden="false" customHeight="false" outlineLevel="0" collapsed="false">
      <c r="A151" s="27"/>
      <c r="B151" s="27"/>
      <c r="C151" s="27"/>
      <c r="D151" s="27"/>
      <c r="E151" s="27"/>
      <c r="F151" s="27"/>
      <c r="G151" s="27"/>
      <c r="H151" s="27"/>
      <c r="I151" s="27"/>
      <c r="J151" s="27"/>
      <c r="K151" s="27"/>
      <c r="L151" s="27"/>
      <c r="M151" s="27"/>
      <c r="N151" s="28"/>
      <c r="O151" s="28"/>
      <c r="P151" s="28"/>
      <c r="Q151" s="29"/>
      <c r="R151" s="28"/>
      <c r="S151" s="29"/>
      <c r="T151" s="30"/>
      <c r="U151" s="31"/>
      <c r="V151" s="30"/>
      <c r="W151" s="30" t="str">
        <f aca="false">IF($A151="","",N($U151)*N($V151))</f>
        <v/>
      </c>
      <c r="X151" s="27"/>
      <c r="Y151" s="31"/>
      <c r="Z151" s="30"/>
      <c r="AA151" s="30" t="str">
        <f aca="false">IF($A151="","",IF($X151="POV",N($Y151)*MileageRate,0)+N($Z151))</f>
        <v/>
      </c>
      <c r="AB151" s="30" t="str">
        <f aca="false">IF(OR($A151="",$P151="",$R151="",$Q151="",$S151=""),"",IF($R151=$P151,($Q151&lt;=T_DepBfast)*($S151&gt;=T_RetBfast)*PD_Bfast+($Q151&lt;=T_DepLunch)*($S151&gt;=T_RetLunch)*PD_Lunch+($Q151&lt;=T_DepDinner)*($S151&gt;=T_RetDinner)*PD_Dinner+PD_Incid,($Q151&lt;=T_DepBfast)*PD_Bfast+($Q151&lt;=T_DepLunch)*PD_Lunch+($Q151&lt;=T_DepDinner)*PD_Dinner+($S151&gt;=T_RetBfast)*PD_Bfast+($S151&gt;=T_RetLunch)*PD_Lunch+($S151&gt;=T_RetDinner)*PD_Dinner+MAX($R151-$P151-1,0)*(PD_Bfast+PD_Lunch+PD_Dinner)+($R151-$P151+1)*PD_Incid))</f>
        <v/>
      </c>
      <c r="AC151" s="30"/>
      <c r="AD151" s="30" t="str">
        <f aca="false">IF($A151="","",N($T151)+N($W151)+N($AA151)+N($AB151)+N($AC151))</f>
        <v/>
      </c>
      <c r="AE151" s="30"/>
      <c r="AF151" s="30"/>
      <c r="AG151" s="30"/>
      <c r="AH151" s="30"/>
      <c r="AI151" s="30"/>
      <c r="AJ151" s="30" t="str">
        <f aca="false">IF($A151="","",IF(COUNT($AE151:$AI151)=0,"",SUM($AE151:$AI151)))</f>
        <v/>
      </c>
      <c r="AK151" s="30"/>
      <c r="AL151" s="30"/>
      <c r="AM151" s="30" t="str">
        <f aca="false">IF(OR($A151="",$AJ151=""),"",$AJ151-N($AK151)-N($AL151))</f>
        <v/>
      </c>
      <c r="AN151" s="28"/>
      <c r="AO151" s="28"/>
      <c r="AP151" s="27"/>
      <c r="AQ151" s="27"/>
      <c r="AR151" s="28" t="str">
        <f aca="false">IF(OR($A151="",$R151=""),"",$R151+ReceiptDays)</f>
        <v/>
      </c>
      <c r="AS151" s="28"/>
      <c r="AT151" s="28" t="str">
        <f aca="false">IF(OR($A151="",$P151=""),"",($P151-FinanceLeadDays)-MOD(($P151-FinanceLeadDays)-DATE(2024,1,2),7))</f>
        <v/>
      </c>
      <c r="AU151" s="28"/>
      <c r="AV151" s="27"/>
      <c r="AW151" s="27"/>
      <c r="AX151" s="30" t="n">
        <f aca="false">IF(OR($A151="",$B151="Denied",$B151="Cancelled"),0,N($AD151))</f>
        <v>0</v>
      </c>
      <c r="AY151" s="30" t="n">
        <f aca="false">IF($A151="",0,N($AJ151))</f>
        <v>0</v>
      </c>
      <c r="AZ151" s="30" t="n">
        <f aca="false">IF(OR($A151="",$B151="Denied",$B151="Cancelled",$B151="Closed"),0,IF(N($AJ151)&gt;0,0,N($AD151)))</f>
        <v>0</v>
      </c>
      <c r="BA151" s="31" t="n">
        <f aca="false">IF($A151="",0,IF($B151="Awaiting Approval",COUNTIF(BA$1:BA150,"&gt;0")+1,0))</f>
        <v>0</v>
      </c>
      <c r="BB151" s="31" t="n">
        <f aca="false">IF($A151="",0,IF(AND($B151="Approved",$AP151&lt;&gt;"Y"),COUNTIF(BB$1:BB150,"&gt;0")+1,0))</f>
        <v>0</v>
      </c>
      <c r="BC151" s="31" t="n">
        <f aca="false">IF($A151="",0,IF(AND($B151="Approved",N($U151)&gt;0,$AQ151&lt;&gt;"Y"),COUNTIF(BC$1:BC150,"&gt;0")+1,0))</f>
        <v>0</v>
      </c>
      <c r="BD151" s="31" t="n">
        <f aca="true">IF($A151="",0,IF(AND($AR151&lt;&gt;"",N($AR151)&lt;TODAY(),$AS151="",$B151&lt;&gt;"Closed",$B151&lt;&gt;"Cancelled",$B151&lt;&gt;"Denied"),COUNTIF(BD$1:BD150,"&gt;0")+1,0))</f>
        <v>0</v>
      </c>
      <c r="BE151" s="31" t="n">
        <f aca="true">IF($A151="",0,IF(AND($AT151&lt;&gt;"",N($AT151)&lt;=TODAY()+7,$AU151="",$B151&lt;&gt;"Denied",$B151&lt;&gt;"Cancelled",$B151&lt;&gt;"Closed"),COUNTIF(BE$1:BE150,"&gt;0")+1,0))</f>
        <v>0</v>
      </c>
      <c r="BF151" s="27"/>
      <c r="BG151" s="27"/>
      <c r="BH151" s="27"/>
      <c r="BI151" s="27"/>
    </row>
    <row r="152" customFormat="false" ht="15" hidden="false" customHeight="false" outlineLevel="0" collapsed="false">
      <c r="A152" s="22"/>
      <c r="B152" s="22"/>
      <c r="C152" s="22"/>
      <c r="D152" s="22"/>
      <c r="E152" s="22"/>
      <c r="F152" s="22"/>
      <c r="G152" s="22"/>
      <c r="H152" s="22"/>
      <c r="I152" s="22"/>
      <c r="J152" s="22"/>
      <c r="K152" s="22"/>
      <c r="L152" s="22"/>
      <c r="M152" s="22"/>
      <c r="N152" s="23"/>
      <c r="O152" s="23"/>
      <c r="P152" s="23"/>
      <c r="Q152" s="24"/>
      <c r="R152" s="23"/>
      <c r="S152" s="24"/>
      <c r="T152" s="25"/>
      <c r="U152" s="26"/>
      <c r="V152" s="25"/>
      <c r="W152" s="25" t="str">
        <f aca="false">IF($A152="","",N($U152)*N($V152))</f>
        <v/>
      </c>
      <c r="X152" s="22"/>
      <c r="Y152" s="26"/>
      <c r="Z152" s="25"/>
      <c r="AA152" s="25" t="str">
        <f aca="false">IF($A152="","",IF($X152="POV",N($Y152)*MileageRate,0)+N($Z152))</f>
        <v/>
      </c>
      <c r="AB152" s="25" t="str">
        <f aca="false">IF(OR($A152="",$P152="",$R152="",$Q152="",$S152=""),"",IF($R152=$P152,($Q152&lt;=T_DepBfast)*($S152&gt;=T_RetBfast)*PD_Bfast+($Q152&lt;=T_DepLunch)*($S152&gt;=T_RetLunch)*PD_Lunch+($Q152&lt;=T_DepDinner)*($S152&gt;=T_RetDinner)*PD_Dinner+PD_Incid,($Q152&lt;=T_DepBfast)*PD_Bfast+($Q152&lt;=T_DepLunch)*PD_Lunch+($Q152&lt;=T_DepDinner)*PD_Dinner+($S152&gt;=T_RetBfast)*PD_Bfast+($S152&gt;=T_RetLunch)*PD_Lunch+($S152&gt;=T_RetDinner)*PD_Dinner+MAX($R152-$P152-1,0)*(PD_Bfast+PD_Lunch+PD_Dinner)+($R152-$P152+1)*PD_Incid))</f>
        <v/>
      </c>
      <c r="AC152" s="25"/>
      <c r="AD152" s="25" t="str">
        <f aca="false">IF($A152="","",N($T152)+N($W152)+N($AA152)+N($AB152)+N($AC152))</f>
        <v/>
      </c>
      <c r="AE152" s="25"/>
      <c r="AF152" s="25"/>
      <c r="AG152" s="25"/>
      <c r="AH152" s="25"/>
      <c r="AI152" s="25"/>
      <c r="AJ152" s="25" t="str">
        <f aca="false">IF($A152="","",IF(COUNT($AE152:$AI152)=0,"",SUM($AE152:$AI152)))</f>
        <v/>
      </c>
      <c r="AK152" s="25"/>
      <c r="AL152" s="25"/>
      <c r="AM152" s="25" t="str">
        <f aca="false">IF(OR($A152="",$AJ152=""),"",$AJ152-N($AK152)-N($AL152))</f>
        <v/>
      </c>
      <c r="AN152" s="23"/>
      <c r="AO152" s="23"/>
      <c r="AP152" s="22"/>
      <c r="AQ152" s="22"/>
      <c r="AR152" s="23" t="str">
        <f aca="false">IF(OR($A152="",$R152=""),"",$R152+ReceiptDays)</f>
        <v/>
      </c>
      <c r="AS152" s="23"/>
      <c r="AT152" s="23" t="str">
        <f aca="false">IF(OR($A152="",$P152=""),"",($P152-FinanceLeadDays)-MOD(($P152-FinanceLeadDays)-DATE(2024,1,2),7))</f>
        <v/>
      </c>
      <c r="AU152" s="23"/>
      <c r="AV152" s="22"/>
      <c r="AW152" s="22"/>
      <c r="AX152" s="25" t="n">
        <f aca="false">IF(OR($A152="",$B152="Denied",$B152="Cancelled"),0,N($AD152))</f>
        <v>0</v>
      </c>
      <c r="AY152" s="25" t="n">
        <f aca="false">IF($A152="",0,N($AJ152))</f>
        <v>0</v>
      </c>
      <c r="AZ152" s="25" t="n">
        <f aca="false">IF(OR($A152="",$B152="Denied",$B152="Cancelled",$B152="Closed"),0,IF(N($AJ152)&gt;0,0,N($AD152)))</f>
        <v>0</v>
      </c>
      <c r="BA152" s="26" t="n">
        <f aca="false">IF($A152="",0,IF($B152="Awaiting Approval",COUNTIF(BA$1:BA151,"&gt;0")+1,0))</f>
        <v>0</v>
      </c>
      <c r="BB152" s="26" t="n">
        <f aca="false">IF($A152="",0,IF(AND($B152="Approved",$AP152&lt;&gt;"Y"),COUNTIF(BB$1:BB151,"&gt;0")+1,0))</f>
        <v>0</v>
      </c>
      <c r="BC152" s="26" t="n">
        <f aca="false">IF($A152="",0,IF(AND($B152="Approved",N($U152)&gt;0,$AQ152&lt;&gt;"Y"),COUNTIF(BC$1:BC151,"&gt;0")+1,0))</f>
        <v>0</v>
      </c>
      <c r="BD152" s="26" t="n">
        <f aca="true">IF($A152="",0,IF(AND($AR152&lt;&gt;"",N($AR152)&lt;TODAY(),$AS152="",$B152&lt;&gt;"Closed",$B152&lt;&gt;"Cancelled",$B152&lt;&gt;"Denied"),COUNTIF(BD$1:BD151,"&gt;0")+1,0))</f>
        <v>0</v>
      </c>
      <c r="BE152" s="26" t="n">
        <f aca="true">IF($A152="",0,IF(AND($AT152&lt;&gt;"",N($AT152)&lt;=TODAY()+7,$AU152="",$B152&lt;&gt;"Denied",$B152&lt;&gt;"Cancelled",$B152&lt;&gt;"Closed"),COUNTIF(BE$1:BE151,"&gt;0")+1,0))</f>
        <v>0</v>
      </c>
      <c r="BF152" s="22"/>
      <c r="BG152" s="22"/>
      <c r="BH152" s="22"/>
      <c r="BI152" s="22"/>
    </row>
    <row r="153" customFormat="false" ht="15" hidden="false" customHeight="false" outlineLevel="0" collapsed="false">
      <c r="A153" s="27"/>
      <c r="B153" s="27"/>
      <c r="C153" s="27"/>
      <c r="D153" s="27"/>
      <c r="E153" s="27"/>
      <c r="F153" s="27"/>
      <c r="G153" s="27"/>
      <c r="H153" s="27"/>
      <c r="I153" s="27"/>
      <c r="J153" s="27"/>
      <c r="K153" s="27"/>
      <c r="L153" s="27"/>
      <c r="M153" s="27"/>
      <c r="N153" s="28"/>
      <c r="O153" s="28"/>
      <c r="P153" s="28"/>
      <c r="Q153" s="29"/>
      <c r="R153" s="28"/>
      <c r="S153" s="29"/>
      <c r="T153" s="30"/>
      <c r="U153" s="31"/>
      <c r="V153" s="30"/>
      <c r="W153" s="30" t="str">
        <f aca="false">IF($A153="","",N($U153)*N($V153))</f>
        <v/>
      </c>
      <c r="X153" s="27"/>
      <c r="Y153" s="31"/>
      <c r="Z153" s="30"/>
      <c r="AA153" s="30" t="str">
        <f aca="false">IF($A153="","",IF($X153="POV",N($Y153)*MileageRate,0)+N($Z153))</f>
        <v/>
      </c>
      <c r="AB153" s="30" t="str">
        <f aca="false">IF(OR($A153="",$P153="",$R153="",$Q153="",$S153=""),"",IF($R153=$P153,($Q153&lt;=T_DepBfast)*($S153&gt;=T_RetBfast)*PD_Bfast+($Q153&lt;=T_DepLunch)*($S153&gt;=T_RetLunch)*PD_Lunch+($Q153&lt;=T_DepDinner)*($S153&gt;=T_RetDinner)*PD_Dinner+PD_Incid,($Q153&lt;=T_DepBfast)*PD_Bfast+($Q153&lt;=T_DepLunch)*PD_Lunch+($Q153&lt;=T_DepDinner)*PD_Dinner+($S153&gt;=T_RetBfast)*PD_Bfast+($S153&gt;=T_RetLunch)*PD_Lunch+($S153&gt;=T_RetDinner)*PD_Dinner+MAX($R153-$P153-1,0)*(PD_Bfast+PD_Lunch+PD_Dinner)+($R153-$P153+1)*PD_Incid))</f>
        <v/>
      </c>
      <c r="AC153" s="30"/>
      <c r="AD153" s="30" t="str">
        <f aca="false">IF($A153="","",N($T153)+N($W153)+N($AA153)+N($AB153)+N($AC153))</f>
        <v/>
      </c>
      <c r="AE153" s="30"/>
      <c r="AF153" s="30"/>
      <c r="AG153" s="30"/>
      <c r="AH153" s="30"/>
      <c r="AI153" s="30"/>
      <c r="AJ153" s="30" t="str">
        <f aca="false">IF($A153="","",IF(COUNT($AE153:$AI153)=0,"",SUM($AE153:$AI153)))</f>
        <v/>
      </c>
      <c r="AK153" s="30"/>
      <c r="AL153" s="30"/>
      <c r="AM153" s="30" t="str">
        <f aca="false">IF(OR($A153="",$AJ153=""),"",$AJ153-N($AK153)-N($AL153))</f>
        <v/>
      </c>
      <c r="AN153" s="28"/>
      <c r="AO153" s="28"/>
      <c r="AP153" s="27"/>
      <c r="AQ153" s="27"/>
      <c r="AR153" s="28" t="str">
        <f aca="false">IF(OR($A153="",$R153=""),"",$R153+ReceiptDays)</f>
        <v/>
      </c>
      <c r="AS153" s="28"/>
      <c r="AT153" s="28" t="str">
        <f aca="false">IF(OR($A153="",$P153=""),"",($P153-FinanceLeadDays)-MOD(($P153-FinanceLeadDays)-DATE(2024,1,2),7))</f>
        <v/>
      </c>
      <c r="AU153" s="28"/>
      <c r="AV153" s="27"/>
      <c r="AW153" s="27"/>
      <c r="AX153" s="30" t="n">
        <f aca="false">IF(OR($A153="",$B153="Denied",$B153="Cancelled"),0,N($AD153))</f>
        <v>0</v>
      </c>
      <c r="AY153" s="30" t="n">
        <f aca="false">IF($A153="",0,N($AJ153))</f>
        <v>0</v>
      </c>
      <c r="AZ153" s="30" t="n">
        <f aca="false">IF(OR($A153="",$B153="Denied",$B153="Cancelled",$B153="Closed"),0,IF(N($AJ153)&gt;0,0,N($AD153)))</f>
        <v>0</v>
      </c>
      <c r="BA153" s="31" t="n">
        <f aca="false">IF($A153="",0,IF($B153="Awaiting Approval",COUNTIF(BA$1:BA152,"&gt;0")+1,0))</f>
        <v>0</v>
      </c>
      <c r="BB153" s="31" t="n">
        <f aca="false">IF($A153="",0,IF(AND($B153="Approved",$AP153&lt;&gt;"Y"),COUNTIF(BB$1:BB152,"&gt;0")+1,0))</f>
        <v>0</v>
      </c>
      <c r="BC153" s="31" t="n">
        <f aca="false">IF($A153="",0,IF(AND($B153="Approved",N($U153)&gt;0,$AQ153&lt;&gt;"Y"),COUNTIF(BC$1:BC152,"&gt;0")+1,0))</f>
        <v>0</v>
      </c>
      <c r="BD153" s="31" t="n">
        <f aca="true">IF($A153="",0,IF(AND($AR153&lt;&gt;"",N($AR153)&lt;TODAY(),$AS153="",$B153&lt;&gt;"Closed",$B153&lt;&gt;"Cancelled",$B153&lt;&gt;"Denied"),COUNTIF(BD$1:BD152,"&gt;0")+1,0))</f>
        <v>0</v>
      </c>
      <c r="BE153" s="31" t="n">
        <f aca="true">IF($A153="",0,IF(AND($AT153&lt;&gt;"",N($AT153)&lt;=TODAY()+7,$AU153="",$B153&lt;&gt;"Denied",$B153&lt;&gt;"Cancelled",$B153&lt;&gt;"Closed"),COUNTIF(BE$1:BE152,"&gt;0")+1,0))</f>
        <v>0</v>
      </c>
      <c r="BF153" s="27"/>
      <c r="BG153" s="27"/>
      <c r="BH153" s="27"/>
      <c r="BI153" s="27"/>
    </row>
    <row r="154" customFormat="false" ht="15" hidden="false" customHeight="false" outlineLevel="0" collapsed="false">
      <c r="A154" s="22"/>
      <c r="B154" s="22"/>
      <c r="C154" s="22"/>
      <c r="D154" s="22"/>
      <c r="E154" s="22"/>
      <c r="F154" s="22"/>
      <c r="G154" s="22"/>
      <c r="H154" s="22"/>
      <c r="I154" s="22"/>
      <c r="J154" s="22"/>
      <c r="K154" s="22"/>
      <c r="L154" s="22"/>
      <c r="M154" s="22"/>
      <c r="N154" s="23"/>
      <c r="O154" s="23"/>
      <c r="P154" s="23"/>
      <c r="Q154" s="24"/>
      <c r="R154" s="23"/>
      <c r="S154" s="24"/>
      <c r="T154" s="25"/>
      <c r="U154" s="26"/>
      <c r="V154" s="25"/>
      <c r="W154" s="25" t="str">
        <f aca="false">IF($A154="","",N($U154)*N($V154))</f>
        <v/>
      </c>
      <c r="X154" s="22"/>
      <c r="Y154" s="26"/>
      <c r="Z154" s="25"/>
      <c r="AA154" s="25" t="str">
        <f aca="false">IF($A154="","",IF($X154="POV",N($Y154)*MileageRate,0)+N($Z154))</f>
        <v/>
      </c>
      <c r="AB154" s="25" t="str">
        <f aca="false">IF(OR($A154="",$P154="",$R154="",$Q154="",$S154=""),"",IF($R154=$P154,($Q154&lt;=T_DepBfast)*($S154&gt;=T_RetBfast)*PD_Bfast+($Q154&lt;=T_DepLunch)*($S154&gt;=T_RetLunch)*PD_Lunch+($Q154&lt;=T_DepDinner)*($S154&gt;=T_RetDinner)*PD_Dinner+PD_Incid,($Q154&lt;=T_DepBfast)*PD_Bfast+($Q154&lt;=T_DepLunch)*PD_Lunch+($Q154&lt;=T_DepDinner)*PD_Dinner+($S154&gt;=T_RetBfast)*PD_Bfast+($S154&gt;=T_RetLunch)*PD_Lunch+($S154&gt;=T_RetDinner)*PD_Dinner+MAX($R154-$P154-1,0)*(PD_Bfast+PD_Lunch+PD_Dinner)+($R154-$P154+1)*PD_Incid))</f>
        <v/>
      </c>
      <c r="AC154" s="25"/>
      <c r="AD154" s="25" t="str">
        <f aca="false">IF($A154="","",N($T154)+N($W154)+N($AA154)+N($AB154)+N($AC154))</f>
        <v/>
      </c>
      <c r="AE154" s="25"/>
      <c r="AF154" s="25"/>
      <c r="AG154" s="25"/>
      <c r="AH154" s="25"/>
      <c r="AI154" s="25"/>
      <c r="AJ154" s="25" t="str">
        <f aca="false">IF($A154="","",IF(COUNT($AE154:$AI154)=0,"",SUM($AE154:$AI154)))</f>
        <v/>
      </c>
      <c r="AK154" s="25"/>
      <c r="AL154" s="25"/>
      <c r="AM154" s="25" t="str">
        <f aca="false">IF(OR($A154="",$AJ154=""),"",$AJ154-N($AK154)-N($AL154))</f>
        <v/>
      </c>
      <c r="AN154" s="23"/>
      <c r="AO154" s="23"/>
      <c r="AP154" s="22"/>
      <c r="AQ154" s="22"/>
      <c r="AR154" s="23" t="str">
        <f aca="false">IF(OR($A154="",$R154=""),"",$R154+ReceiptDays)</f>
        <v/>
      </c>
      <c r="AS154" s="23"/>
      <c r="AT154" s="23" t="str">
        <f aca="false">IF(OR($A154="",$P154=""),"",($P154-FinanceLeadDays)-MOD(($P154-FinanceLeadDays)-DATE(2024,1,2),7))</f>
        <v/>
      </c>
      <c r="AU154" s="23"/>
      <c r="AV154" s="22"/>
      <c r="AW154" s="22"/>
      <c r="AX154" s="25" t="n">
        <f aca="false">IF(OR($A154="",$B154="Denied",$B154="Cancelled"),0,N($AD154))</f>
        <v>0</v>
      </c>
      <c r="AY154" s="25" t="n">
        <f aca="false">IF($A154="",0,N($AJ154))</f>
        <v>0</v>
      </c>
      <c r="AZ154" s="25" t="n">
        <f aca="false">IF(OR($A154="",$B154="Denied",$B154="Cancelled",$B154="Closed"),0,IF(N($AJ154)&gt;0,0,N($AD154)))</f>
        <v>0</v>
      </c>
      <c r="BA154" s="26" t="n">
        <f aca="false">IF($A154="",0,IF($B154="Awaiting Approval",COUNTIF(BA$1:BA153,"&gt;0")+1,0))</f>
        <v>0</v>
      </c>
      <c r="BB154" s="26" t="n">
        <f aca="false">IF($A154="",0,IF(AND($B154="Approved",$AP154&lt;&gt;"Y"),COUNTIF(BB$1:BB153,"&gt;0")+1,0))</f>
        <v>0</v>
      </c>
      <c r="BC154" s="26" t="n">
        <f aca="false">IF($A154="",0,IF(AND($B154="Approved",N($U154)&gt;0,$AQ154&lt;&gt;"Y"),COUNTIF(BC$1:BC153,"&gt;0")+1,0))</f>
        <v>0</v>
      </c>
      <c r="BD154" s="26" t="n">
        <f aca="true">IF($A154="",0,IF(AND($AR154&lt;&gt;"",N($AR154)&lt;TODAY(),$AS154="",$B154&lt;&gt;"Closed",$B154&lt;&gt;"Cancelled",$B154&lt;&gt;"Denied"),COUNTIF(BD$1:BD153,"&gt;0")+1,0))</f>
        <v>0</v>
      </c>
      <c r="BE154" s="26" t="n">
        <f aca="true">IF($A154="",0,IF(AND($AT154&lt;&gt;"",N($AT154)&lt;=TODAY()+7,$AU154="",$B154&lt;&gt;"Denied",$B154&lt;&gt;"Cancelled",$B154&lt;&gt;"Closed"),COUNTIF(BE$1:BE153,"&gt;0")+1,0))</f>
        <v>0</v>
      </c>
      <c r="BF154" s="22"/>
      <c r="BG154" s="22"/>
      <c r="BH154" s="22"/>
      <c r="BI154" s="22"/>
    </row>
    <row r="155" customFormat="false" ht="15" hidden="false" customHeight="false" outlineLevel="0" collapsed="false">
      <c r="A155" s="27"/>
      <c r="B155" s="27"/>
      <c r="C155" s="27"/>
      <c r="D155" s="27"/>
      <c r="E155" s="27"/>
      <c r="F155" s="27"/>
      <c r="G155" s="27"/>
      <c r="H155" s="27"/>
      <c r="I155" s="27"/>
      <c r="J155" s="27"/>
      <c r="K155" s="27"/>
      <c r="L155" s="27"/>
      <c r="M155" s="27"/>
      <c r="N155" s="28"/>
      <c r="O155" s="28"/>
      <c r="P155" s="28"/>
      <c r="Q155" s="29"/>
      <c r="R155" s="28"/>
      <c r="S155" s="29"/>
      <c r="T155" s="30"/>
      <c r="U155" s="31"/>
      <c r="V155" s="30"/>
      <c r="W155" s="30" t="str">
        <f aca="false">IF($A155="","",N($U155)*N($V155))</f>
        <v/>
      </c>
      <c r="X155" s="27"/>
      <c r="Y155" s="31"/>
      <c r="Z155" s="30"/>
      <c r="AA155" s="30" t="str">
        <f aca="false">IF($A155="","",IF($X155="POV",N($Y155)*MileageRate,0)+N($Z155))</f>
        <v/>
      </c>
      <c r="AB155" s="30" t="str">
        <f aca="false">IF(OR($A155="",$P155="",$R155="",$Q155="",$S155=""),"",IF($R155=$P155,($Q155&lt;=T_DepBfast)*($S155&gt;=T_RetBfast)*PD_Bfast+($Q155&lt;=T_DepLunch)*($S155&gt;=T_RetLunch)*PD_Lunch+($Q155&lt;=T_DepDinner)*($S155&gt;=T_RetDinner)*PD_Dinner+PD_Incid,($Q155&lt;=T_DepBfast)*PD_Bfast+($Q155&lt;=T_DepLunch)*PD_Lunch+($Q155&lt;=T_DepDinner)*PD_Dinner+($S155&gt;=T_RetBfast)*PD_Bfast+($S155&gt;=T_RetLunch)*PD_Lunch+($S155&gt;=T_RetDinner)*PD_Dinner+MAX($R155-$P155-1,0)*(PD_Bfast+PD_Lunch+PD_Dinner)+($R155-$P155+1)*PD_Incid))</f>
        <v/>
      </c>
      <c r="AC155" s="30"/>
      <c r="AD155" s="30" t="str">
        <f aca="false">IF($A155="","",N($T155)+N($W155)+N($AA155)+N($AB155)+N($AC155))</f>
        <v/>
      </c>
      <c r="AE155" s="30"/>
      <c r="AF155" s="30"/>
      <c r="AG155" s="30"/>
      <c r="AH155" s="30"/>
      <c r="AI155" s="30"/>
      <c r="AJ155" s="30" t="str">
        <f aca="false">IF($A155="","",IF(COUNT($AE155:$AI155)=0,"",SUM($AE155:$AI155)))</f>
        <v/>
      </c>
      <c r="AK155" s="30"/>
      <c r="AL155" s="30"/>
      <c r="AM155" s="30" t="str">
        <f aca="false">IF(OR($A155="",$AJ155=""),"",$AJ155-N($AK155)-N($AL155))</f>
        <v/>
      </c>
      <c r="AN155" s="28"/>
      <c r="AO155" s="28"/>
      <c r="AP155" s="27"/>
      <c r="AQ155" s="27"/>
      <c r="AR155" s="28" t="str">
        <f aca="false">IF(OR($A155="",$R155=""),"",$R155+ReceiptDays)</f>
        <v/>
      </c>
      <c r="AS155" s="28"/>
      <c r="AT155" s="28" t="str">
        <f aca="false">IF(OR($A155="",$P155=""),"",($P155-FinanceLeadDays)-MOD(($P155-FinanceLeadDays)-DATE(2024,1,2),7))</f>
        <v/>
      </c>
      <c r="AU155" s="28"/>
      <c r="AV155" s="27"/>
      <c r="AW155" s="27"/>
      <c r="AX155" s="30" t="n">
        <f aca="false">IF(OR($A155="",$B155="Denied",$B155="Cancelled"),0,N($AD155))</f>
        <v>0</v>
      </c>
      <c r="AY155" s="30" t="n">
        <f aca="false">IF($A155="",0,N($AJ155))</f>
        <v>0</v>
      </c>
      <c r="AZ155" s="30" t="n">
        <f aca="false">IF(OR($A155="",$B155="Denied",$B155="Cancelled",$B155="Closed"),0,IF(N($AJ155)&gt;0,0,N($AD155)))</f>
        <v>0</v>
      </c>
      <c r="BA155" s="31" t="n">
        <f aca="false">IF($A155="",0,IF($B155="Awaiting Approval",COUNTIF(BA$1:BA154,"&gt;0")+1,0))</f>
        <v>0</v>
      </c>
      <c r="BB155" s="31" t="n">
        <f aca="false">IF($A155="",0,IF(AND($B155="Approved",$AP155&lt;&gt;"Y"),COUNTIF(BB$1:BB154,"&gt;0")+1,0))</f>
        <v>0</v>
      </c>
      <c r="BC155" s="31" t="n">
        <f aca="false">IF($A155="",0,IF(AND($B155="Approved",N($U155)&gt;0,$AQ155&lt;&gt;"Y"),COUNTIF(BC$1:BC154,"&gt;0")+1,0))</f>
        <v>0</v>
      </c>
      <c r="BD155" s="31" t="n">
        <f aca="true">IF($A155="",0,IF(AND($AR155&lt;&gt;"",N($AR155)&lt;TODAY(),$AS155="",$B155&lt;&gt;"Closed",$B155&lt;&gt;"Cancelled",$B155&lt;&gt;"Denied"),COUNTIF(BD$1:BD154,"&gt;0")+1,0))</f>
        <v>0</v>
      </c>
      <c r="BE155" s="31" t="n">
        <f aca="true">IF($A155="",0,IF(AND($AT155&lt;&gt;"",N($AT155)&lt;=TODAY()+7,$AU155="",$B155&lt;&gt;"Denied",$B155&lt;&gt;"Cancelled",$B155&lt;&gt;"Closed"),COUNTIF(BE$1:BE154,"&gt;0")+1,0))</f>
        <v>0</v>
      </c>
      <c r="BF155" s="27"/>
      <c r="BG155" s="27"/>
      <c r="BH155" s="27"/>
      <c r="BI155" s="27"/>
    </row>
    <row r="156" customFormat="false" ht="15" hidden="false" customHeight="false" outlineLevel="0" collapsed="false">
      <c r="A156" s="22"/>
      <c r="B156" s="22"/>
      <c r="C156" s="22"/>
      <c r="D156" s="22"/>
      <c r="E156" s="22"/>
      <c r="F156" s="22"/>
      <c r="G156" s="22"/>
      <c r="H156" s="22"/>
      <c r="I156" s="22"/>
      <c r="J156" s="22"/>
      <c r="K156" s="22"/>
      <c r="L156" s="22"/>
      <c r="M156" s="22"/>
      <c r="N156" s="23"/>
      <c r="O156" s="23"/>
      <c r="P156" s="23"/>
      <c r="Q156" s="24"/>
      <c r="R156" s="23"/>
      <c r="S156" s="24"/>
      <c r="T156" s="25"/>
      <c r="U156" s="26"/>
      <c r="V156" s="25"/>
      <c r="W156" s="25" t="str">
        <f aca="false">IF($A156="","",N($U156)*N($V156))</f>
        <v/>
      </c>
      <c r="X156" s="22"/>
      <c r="Y156" s="26"/>
      <c r="Z156" s="25"/>
      <c r="AA156" s="25" t="str">
        <f aca="false">IF($A156="","",IF($X156="POV",N($Y156)*MileageRate,0)+N($Z156))</f>
        <v/>
      </c>
      <c r="AB156" s="25" t="str">
        <f aca="false">IF(OR($A156="",$P156="",$R156="",$Q156="",$S156=""),"",IF($R156=$P156,($Q156&lt;=T_DepBfast)*($S156&gt;=T_RetBfast)*PD_Bfast+($Q156&lt;=T_DepLunch)*($S156&gt;=T_RetLunch)*PD_Lunch+($Q156&lt;=T_DepDinner)*($S156&gt;=T_RetDinner)*PD_Dinner+PD_Incid,($Q156&lt;=T_DepBfast)*PD_Bfast+($Q156&lt;=T_DepLunch)*PD_Lunch+($Q156&lt;=T_DepDinner)*PD_Dinner+($S156&gt;=T_RetBfast)*PD_Bfast+($S156&gt;=T_RetLunch)*PD_Lunch+($S156&gt;=T_RetDinner)*PD_Dinner+MAX($R156-$P156-1,0)*(PD_Bfast+PD_Lunch+PD_Dinner)+($R156-$P156+1)*PD_Incid))</f>
        <v/>
      </c>
      <c r="AC156" s="25"/>
      <c r="AD156" s="25" t="str">
        <f aca="false">IF($A156="","",N($T156)+N($W156)+N($AA156)+N($AB156)+N($AC156))</f>
        <v/>
      </c>
      <c r="AE156" s="25"/>
      <c r="AF156" s="25"/>
      <c r="AG156" s="25"/>
      <c r="AH156" s="25"/>
      <c r="AI156" s="25"/>
      <c r="AJ156" s="25" t="str">
        <f aca="false">IF($A156="","",IF(COUNT($AE156:$AI156)=0,"",SUM($AE156:$AI156)))</f>
        <v/>
      </c>
      <c r="AK156" s="25"/>
      <c r="AL156" s="25"/>
      <c r="AM156" s="25" t="str">
        <f aca="false">IF(OR($A156="",$AJ156=""),"",$AJ156-N($AK156)-N($AL156))</f>
        <v/>
      </c>
      <c r="AN156" s="23"/>
      <c r="AO156" s="23"/>
      <c r="AP156" s="22"/>
      <c r="AQ156" s="22"/>
      <c r="AR156" s="23" t="str">
        <f aca="false">IF(OR($A156="",$R156=""),"",$R156+ReceiptDays)</f>
        <v/>
      </c>
      <c r="AS156" s="23"/>
      <c r="AT156" s="23" t="str">
        <f aca="false">IF(OR($A156="",$P156=""),"",($P156-FinanceLeadDays)-MOD(($P156-FinanceLeadDays)-DATE(2024,1,2),7))</f>
        <v/>
      </c>
      <c r="AU156" s="23"/>
      <c r="AV156" s="22"/>
      <c r="AW156" s="22"/>
      <c r="AX156" s="25" t="n">
        <f aca="false">IF(OR($A156="",$B156="Denied",$B156="Cancelled"),0,N($AD156))</f>
        <v>0</v>
      </c>
      <c r="AY156" s="25" t="n">
        <f aca="false">IF($A156="",0,N($AJ156))</f>
        <v>0</v>
      </c>
      <c r="AZ156" s="25" t="n">
        <f aca="false">IF(OR($A156="",$B156="Denied",$B156="Cancelled",$B156="Closed"),0,IF(N($AJ156)&gt;0,0,N($AD156)))</f>
        <v>0</v>
      </c>
      <c r="BA156" s="26" t="n">
        <f aca="false">IF($A156="",0,IF($B156="Awaiting Approval",COUNTIF(BA$1:BA155,"&gt;0")+1,0))</f>
        <v>0</v>
      </c>
      <c r="BB156" s="26" t="n">
        <f aca="false">IF($A156="",0,IF(AND($B156="Approved",$AP156&lt;&gt;"Y"),COUNTIF(BB$1:BB155,"&gt;0")+1,0))</f>
        <v>0</v>
      </c>
      <c r="BC156" s="26" t="n">
        <f aca="false">IF($A156="",0,IF(AND($B156="Approved",N($U156)&gt;0,$AQ156&lt;&gt;"Y"),COUNTIF(BC$1:BC155,"&gt;0")+1,0))</f>
        <v>0</v>
      </c>
      <c r="BD156" s="26" t="n">
        <f aca="true">IF($A156="",0,IF(AND($AR156&lt;&gt;"",N($AR156)&lt;TODAY(),$AS156="",$B156&lt;&gt;"Closed",$B156&lt;&gt;"Cancelled",$B156&lt;&gt;"Denied"),COUNTIF(BD$1:BD155,"&gt;0")+1,0))</f>
        <v>0</v>
      </c>
      <c r="BE156" s="26" t="n">
        <f aca="true">IF($A156="",0,IF(AND($AT156&lt;&gt;"",N($AT156)&lt;=TODAY()+7,$AU156="",$B156&lt;&gt;"Denied",$B156&lt;&gt;"Cancelled",$B156&lt;&gt;"Closed"),COUNTIF(BE$1:BE155,"&gt;0")+1,0))</f>
        <v>0</v>
      </c>
      <c r="BF156" s="22"/>
      <c r="BG156" s="22"/>
      <c r="BH156" s="22"/>
      <c r="BI156" s="22"/>
    </row>
    <row r="157" customFormat="false" ht="15" hidden="false" customHeight="false" outlineLevel="0" collapsed="false">
      <c r="A157" s="27"/>
      <c r="B157" s="27"/>
      <c r="C157" s="27"/>
      <c r="D157" s="27"/>
      <c r="E157" s="27"/>
      <c r="F157" s="27"/>
      <c r="G157" s="27"/>
      <c r="H157" s="27"/>
      <c r="I157" s="27"/>
      <c r="J157" s="27"/>
      <c r="K157" s="27"/>
      <c r="L157" s="27"/>
      <c r="M157" s="27"/>
      <c r="N157" s="28"/>
      <c r="O157" s="28"/>
      <c r="P157" s="28"/>
      <c r="Q157" s="29"/>
      <c r="R157" s="28"/>
      <c r="S157" s="29"/>
      <c r="T157" s="30"/>
      <c r="U157" s="31"/>
      <c r="V157" s="30"/>
      <c r="W157" s="30" t="str">
        <f aca="false">IF($A157="","",N($U157)*N($V157))</f>
        <v/>
      </c>
      <c r="X157" s="27"/>
      <c r="Y157" s="31"/>
      <c r="Z157" s="30"/>
      <c r="AA157" s="30" t="str">
        <f aca="false">IF($A157="","",IF($X157="POV",N($Y157)*MileageRate,0)+N($Z157))</f>
        <v/>
      </c>
      <c r="AB157" s="30" t="str">
        <f aca="false">IF(OR($A157="",$P157="",$R157="",$Q157="",$S157=""),"",IF($R157=$P157,($Q157&lt;=T_DepBfast)*($S157&gt;=T_RetBfast)*PD_Bfast+($Q157&lt;=T_DepLunch)*($S157&gt;=T_RetLunch)*PD_Lunch+($Q157&lt;=T_DepDinner)*($S157&gt;=T_RetDinner)*PD_Dinner+PD_Incid,($Q157&lt;=T_DepBfast)*PD_Bfast+($Q157&lt;=T_DepLunch)*PD_Lunch+($Q157&lt;=T_DepDinner)*PD_Dinner+($S157&gt;=T_RetBfast)*PD_Bfast+($S157&gt;=T_RetLunch)*PD_Lunch+($S157&gt;=T_RetDinner)*PD_Dinner+MAX($R157-$P157-1,0)*(PD_Bfast+PD_Lunch+PD_Dinner)+($R157-$P157+1)*PD_Incid))</f>
        <v/>
      </c>
      <c r="AC157" s="30"/>
      <c r="AD157" s="30" t="str">
        <f aca="false">IF($A157="","",N($T157)+N($W157)+N($AA157)+N($AB157)+N($AC157))</f>
        <v/>
      </c>
      <c r="AE157" s="30"/>
      <c r="AF157" s="30"/>
      <c r="AG157" s="30"/>
      <c r="AH157" s="30"/>
      <c r="AI157" s="30"/>
      <c r="AJ157" s="30" t="str">
        <f aca="false">IF($A157="","",IF(COUNT($AE157:$AI157)=0,"",SUM($AE157:$AI157)))</f>
        <v/>
      </c>
      <c r="AK157" s="30"/>
      <c r="AL157" s="30"/>
      <c r="AM157" s="30" t="str">
        <f aca="false">IF(OR($A157="",$AJ157=""),"",$AJ157-N($AK157)-N($AL157))</f>
        <v/>
      </c>
      <c r="AN157" s="28"/>
      <c r="AO157" s="28"/>
      <c r="AP157" s="27"/>
      <c r="AQ157" s="27"/>
      <c r="AR157" s="28" t="str">
        <f aca="false">IF(OR($A157="",$R157=""),"",$R157+ReceiptDays)</f>
        <v/>
      </c>
      <c r="AS157" s="28"/>
      <c r="AT157" s="28" t="str">
        <f aca="false">IF(OR($A157="",$P157=""),"",($P157-FinanceLeadDays)-MOD(($P157-FinanceLeadDays)-DATE(2024,1,2),7))</f>
        <v/>
      </c>
      <c r="AU157" s="28"/>
      <c r="AV157" s="27"/>
      <c r="AW157" s="27"/>
      <c r="AX157" s="30" t="n">
        <f aca="false">IF(OR($A157="",$B157="Denied",$B157="Cancelled"),0,N($AD157))</f>
        <v>0</v>
      </c>
      <c r="AY157" s="30" t="n">
        <f aca="false">IF($A157="",0,N($AJ157))</f>
        <v>0</v>
      </c>
      <c r="AZ157" s="30" t="n">
        <f aca="false">IF(OR($A157="",$B157="Denied",$B157="Cancelled",$B157="Closed"),0,IF(N($AJ157)&gt;0,0,N($AD157)))</f>
        <v>0</v>
      </c>
      <c r="BA157" s="31" t="n">
        <f aca="false">IF($A157="",0,IF($B157="Awaiting Approval",COUNTIF(BA$1:BA156,"&gt;0")+1,0))</f>
        <v>0</v>
      </c>
      <c r="BB157" s="31" t="n">
        <f aca="false">IF($A157="",0,IF(AND($B157="Approved",$AP157&lt;&gt;"Y"),COUNTIF(BB$1:BB156,"&gt;0")+1,0))</f>
        <v>0</v>
      </c>
      <c r="BC157" s="31" t="n">
        <f aca="false">IF($A157="",0,IF(AND($B157="Approved",N($U157)&gt;0,$AQ157&lt;&gt;"Y"),COUNTIF(BC$1:BC156,"&gt;0")+1,0))</f>
        <v>0</v>
      </c>
      <c r="BD157" s="31" t="n">
        <f aca="true">IF($A157="",0,IF(AND($AR157&lt;&gt;"",N($AR157)&lt;TODAY(),$AS157="",$B157&lt;&gt;"Closed",$B157&lt;&gt;"Cancelled",$B157&lt;&gt;"Denied"),COUNTIF(BD$1:BD156,"&gt;0")+1,0))</f>
        <v>0</v>
      </c>
      <c r="BE157" s="31" t="n">
        <f aca="true">IF($A157="",0,IF(AND($AT157&lt;&gt;"",N($AT157)&lt;=TODAY()+7,$AU157="",$B157&lt;&gt;"Denied",$B157&lt;&gt;"Cancelled",$B157&lt;&gt;"Closed"),COUNTIF(BE$1:BE156,"&gt;0")+1,0))</f>
        <v>0</v>
      </c>
      <c r="BF157" s="27"/>
      <c r="BG157" s="27"/>
      <c r="BH157" s="27"/>
      <c r="BI157" s="27"/>
    </row>
    <row r="158" customFormat="false" ht="15" hidden="false" customHeight="false" outlineLevel="0" collapsed="false">
      <c r="A158" s="22"/>
      <c r="B158" s="22"/>
      <c r="C158" s="22"/>
      <c r="D158" s="22"/>
      <c r="E158" s="22"/>
      <c r="F158" s="22"/>
      <c r="G158" s="22"/>
      <c r="H158" s="22"/>
      <c r="I158" s="22"/>
      <c r="J158" s="22"/>
      <c r="K158" s="22"/>
      <c r="L158" s="22"/>
      <c r="M158" s="22"/>
      <c r="N158" s="23"/>
      <c r="O158" s="23"/>
      <c r="P158" s="23"/>
      <c r="Q158" s="24"/>
      <c r="R158" s="23"/>
      <c r="S158" s="24"/>
      <c r="T158" s="25"/>
      <c r="U158" s="26"/>
      <c r="V158" s="25"/>
      <c r="W158" s="25" t="str">
        <f aca="false">IF($A158="","",N($U158)*N($V158))</f>
        <v/>
      </c>
      <c r="X158" s="22"/>
      <c r="Y158" s="26"/>
      <c r="Z158" s="25"/>
      <c r="AA158" s="25" t="str">
        <f aca="false">IF($A158="","",IF($X158="POV",N($Y158)*MileageRate,0)+N($Z158))</f>
        <v/>
      </c>
      <c r="AB158" s="25" t="str">
        <f aca="false">IF(OR($A158="",$P158="",$R158="",$Q158="",$S158=""),"",IF($R158=$P158,($Q158&lt;=T_DepBfast)*($S158&gt;=T_RetBfast)*PD_Bfast+($Q158&lt;=T_DepLunch)*($S158&gt;=T_RetLunch)*PD_Lunch+($Q158&lt;=T_DepDinner)*($S158&gt;=T_RetDinner)*PD_Dinner+PD_Incid,($Q158&lt;=T_DepBfast)*PD_Bfast+($Q158&lt;=T_DepLunch)*PD_Lunch+($Q158&lt;=T_DepDinner)*PD_Dinner+($S158&gt;=T_RetBfast)*PD_Bfast+($S158&gt;=T_RetLunch)*PD_Lunch+($S158&gt;=T_RetDinner)*PD_Dinner+MAX($R158-$P158-1,0)*(PD_Bfast+PD_Lunch+PD_Dinner)+($R158-$P158+1)*PD_Incid))</f>
        <v/>
      </c>
      <c r="AC158" s="25"/>
      <c r="AD158" s="25" t="str">
        <f aca="false">IF($A158="","",N($T158)+N($W158)+N($AA158)+N($AB158)+N($AC158))</f>
        <v/>
      </c>
      <c r="AE158" s="25"/>
      <c r="AF158" s="25"/>
      <c r="AG158" s="25"/>
      <c r="AH158" s="25"/>
      <c r="AI158" s="25"/>
      <c r="AJ158" s="25" t="str">
        <f aca="false">IF($A158="","",IF(COUNT($AE158:$AI158)=0,"",SUM($AE158:$AI158)))</f>
        <v/>
      </c>
      <c r="AK158" s="25"/>
      <c r="AL158" s="25"/>
      <c r="AM158" s="25" t="str">
        <f aca="false">IF(OR($A158="",$AJ158=""),"",$AJ158-N($AK158)-N($AL158))</f>
        <v/>
      </c>
      <c r="AN158" s="23"/>
      <c r="AO158" s="23"/>
      <c r="AP158" s="22"/>
      <c r="AQ158" s="22"/>
      <c r="AR158" s="23" t="str">
        <f aca="false">IF(OR($A158="",$R158=""),"",$R158+ReceiptDays)</f>
        <v/>
      </c>
      <c r="AS158" s="23"/>
      <c r="AT158" s="23" t="str">
        <f aca="false">IF(OR($A158="",$P158=""),"",($P158-FinanceLeadDays)-MOD(($P158-FinanceLeadDays)-DATE(2024,1,2),7))</f>
        <v/>
      </c>
      <c r="AU158" s="23"/>
      <c r="AV158" s="22"/>
      <c r="AW158" s="22"/>
      <c r="AX158" s="25" t="n">
        <f aca="false">IF(OR($A158="",$B158="Denied",$B158="Cancelled"),0,N($AD158))</f>
        <v>0</v>
      </c>
      <c r="AY158" s="25" t="n">
        <f aca="false">IF($A158="",0,N($AJ158))</f>
        <v>0</v>
      </c>
      <c r="AZ158" s="25" t="n">
        <f aca="false">IF(OR($A158="",$B158="Denied",$B158="Cancelled",$B158="Closed"),0,IF(N($AJ158)&gt;0,0,N($AD158)))</f>
        <v>0</v>
      </c>
      <c r="BA158" s="26" t="n">
        <f aca="false">IF($A158="",0,IF($B158="Awaiting Approval",COUNTIF(BA$1:BA157,"&gt;0")+1,0))</f>
        <v>0</v>
      </c>
      <c r="BB158" s="26" t="n">
        <f aca="false">IF($A158="",0,IF(AND($B158="Approved",$AP158&lt;&gt;"Y"),COUNTIF(BB$1:BB157,"&gt;0")+1,0))</f>
        <v>0</v>
      </c>
      <c r="BC158" s="26" t="n">
        <f aca="false">IF($A158="",0,IF(AND($B158="Approved",N($U158)&gt;0,$AQ158&lt;&gt;"Y"),COUNTIF(BC$1:BC157,"&gt;0")+1,0))</f>
        <v>0</v>
      </c>
      <c r="BD158" s="26" t="n">
        <f aca="true">IF($A158="",0,IF(AND($AR158&lt;&gt;"",N($AR158)&lt;TODAY(),$AS158="",$B158&lt;&gt;"Closed",$B158&lt;&gt;"Cancelled",$B158&lt;&gt;"Denied"),COUNTIF(BD$1:BD157,"&gt;0")+1,0))</f>
        <v>0</v>
      </c>
      <c r="BE158" s="26" t="n">
        <f aca="true">IF($A158="",0,IF(AND($AT158&lt;&gt;"",N($AT158)&lt;=TODAY()+7,$AU158="",$B158&lt;&gt;"Denied",$B158&lt;&gt;"Cancelled",$B158&lt;&gt;"Closed"),COUNTIF(BE$1:BE157,"&gt;0")+1,0))</f>
        <v>0</v>
      </c>
      <c r="BF158" s="22"/>
      <c r="BG158" s="22"/>
      <c r="BH158" s="22"/>
      <c r="BI158" s="22"/>
    </row>
    <row r="159" customFormat="false" ht="15" hidden="false" customHeight="false" outlineLevel="0" collapsed="false">
      <c r="A159" s="27"/>
      <c r="B159" s="27"/>
      <c r="C159" s="27"/>
      <c r="D159" s="27"/>
      <c r="E159" s="27"/>
      <c r="F159" s="27"/>
      <c r="G159" s="27"/>
      <c r="H159" s="27"/>
      <c r="I159" s="27"/>
      <c r="J159" s="27"/>
      <c r="K159" s="27"/>
      <c r="L159" s="27"/>
      <c r="M159" s="27"/>
      <c r="N159" s="28"/>
      <c r="O159" s="28"/>
      <c r="P159" s="28"/>
      <c r="Q159" s="29"/>
      <c r="R159" s="28"/>
      <c r="S159" s="29"/>
      <c r="T159" s="30"/>
      <c r="U159" s="31"/>
      <c r="V159" s="30"/>
      <c r="W159" s="30" t="str">
        <f aca="false">IF($A159="","",N($U159)*N($V159))</f>
        <v/>
      </c>
      <c r="X159" s="27"/>
      <c r="Y159" s="31"/>
      <c r="Z159" s="30"/>
      <c r="AA159" s="30" t="str">
        <f aca="false">IF($A159="","",IF($X159="POV",N($Y159)*MileageRate,0)+N($Z159))</f>
        <v/>
      </c>
      <c r="AB159" s="30" t="str">
        <f aca="false">IF(OR($A159="",$P159="",$R159="",$Q159="",$S159=""),"",IF($R159=$P159,($Q159&lt;=T_DepBfast)*($S159&gt;=T_RetBfast)*PD_Bfast+($Q159&lt;=T_DepLunch)*($S159&gt;=T_RetLunch)*PD_Lunch+($Q159&lt;=T_DepDinner)*($S159&gt;=T_RetDinner)*PD_Dinner+PD_Incid,($Q159&lt;=T_DepBfast)*PD_Bfast+($Q159&lt;=T_DepLunch)*PD_Lunch+($Q159&lt;=T_DepDinner)*PD_Dinner+($S159&gt;=T_RetBfast)*PD_Bfast+($S159&gt;=T_RetLunch)*PD_Lunch+($S159&gt;=T_RetDinner)*PD_Dinner+MAX($R159-$P159-1,0)*(PD_Bfast+PD_Lunch+PD_Dinner)+($R159-$P159+1)*PD_Incid))</f>
        <v/>
      </c>
      <c r="AC159" s="30"/>
      <c r="AD159" s="30" t="str">
        <f aca="false">IF($A159="","",N($T159)+N($W159)+N($AA159)+N($AB159)+N($AC159))</f>
        <v/>
      </c>
      <c r="AE159" s="30"/>
      <c r="AF159" s="30"/>
      <c r="AG159" s="30"/>
      <c r="AH159" s="30"/>
      <c r="AI159" s="30"/>
      <c r="AJ159" s="30" t="str">
        <f aca="false">IF($A159="","",IF(COUNT($AE159:$AI159)=0,"",SUM($AE159:$AI159)))</f>
        <v/>
      </c>
      <c r="AK159" s="30"/>
      <c r="AL159" s="30"/>
      <c r="AM159" s="30" t="str">
        <f aca="false">IF(OR($A159="",$AJ159=""),"",$AJ159-N($AK159)-N($AL159))</f>
        <v/>
      </c>
      <c r="AN159" s="28"/>
      <c r="AO159" s="28"/>
      <c r="AP159" s="27"/>
      <c r="AQ159" s="27"/>
      <c r="AR159" s="28" t="str">
        <f aca="false">IF(OR($A159="",$R159=""),"",$R159+ReceiptDays)</f>
        <v/>
      </c>
      <c r="AS159" s="28"/>
      <c r="AT159" s="28" t="str">
        <f aca="false">IF(OR($A159="",$P159=""),"",($P159-FinanceLeadDays)-MOD(($P159-FinanceLeadDays)-DATE(2024,1,2),7))</f>
        <v/>
      </c>
      <c r="AU159" s="28"/>
      <c r="AV159" s="27"/>
      <c r="AW159" s="27"/>
      <c r="AX159" s="30" t="n">
        <f aca="false">IF(OR($A159="",$B159="Denied",$B159="Cancelled"),0,N($AD159))</f>
        <v>0</v>
      </c>
      <c r="AY159" s="30" t="n">
        <f aca="false">IF($A159="",0,N($AJ159))</f>
        <v>0</v>
      </c>
      <c r="AZ159" s="30" t="n">
        <f aca="false">IF(OR($A159="",$B159="Denied",$B159="Cancelled",$B159="Closed"),0,IF(N($AJ159)&gt;0,0,N($AD159)))</f>
        <v>0</v>
      </c>
      <c r="BA159" s="31" t="n">
        <f aca="false">IF($A159="",0,IF($B159="Awaiting Approval",COUNTIF(BA$1:BA158,"&gt;0")+1,0))</f>
        <v>0</v>
      </c>
      <c r="BB159" s="31" t="n">
        <f aca="false">IF($A159="",0,IF(AND($B159="Approved",$AP159&lt;&gt;"Y"),COUNTIF(BB$1:BB158,"&gt;0")+1,0))</f>
        <v>0</v>
      </c>
      <c r="BC159" s="31" t="n">
        <f aca="false">IF($A159="",0,IF(AND($B159="Approved",N($U159)&gt;0,$AQ159&lt;&gt;"Y"),COUNTIF(BC$1:BC158,"&gt;0")+1,0))</f>
        <v>0</v>
      </c>
      <c r="BD159" s="31" t="n">
        <f aca="true">IF($A159="",0,IF(AND($AR159&lt;&gt;"",N($AR159)&lt;TODAY(),$AS159="",$B159&lt;&gt;"Closed",$B159&lt;&gt;"Cancelled",$B159&lt;&gt;"Denied"),COUNTIF(BD$1:BD158,"&gt;0")+1,0))</f>
        <v>0</v>
      </c>
      <c r="BE159" s="31" t="n">
        <f aca="true">IF($A159="",0,IF(AND($AT159&lt;&gt;"",N($AT159)&lt;=TODAY()+7,$AU159="",$B159&lt;&gt;"Denied",$B159&lt;&gt;"Cancelled",$B159&lt;&gt;"Closed"),COUNTIF(BE$1:BE158,"&gt;0")+1,0))</f>
        <v>0</v>
      </c>
      <c r="BF159" s="27"/>
      <c r="BG159" s="27"/>
      <c r="BH159" s="27"/>
      <c r="BI159" s="27"/>
    </row>
    <row r="160" customFormat="false" ht="15" hidden="false" customHeight="false" outlineLevel="0" collapsed="false">
      <c r="A160" s="22"/>
      <c r="B160" s="22"/>
      <c r="C160" s="22"/>
      <c r="D160" s="22"/>
      <c r="E160" s="22"/>
      <c r="F160" s="22"/>
      <c r="G160" s="22"/>
      <c r="H160" s="22"/>
      <c r="I160" s="22"/>
      <c r="J160" s="22"/>
      <c r="K160" s="22"/>
      <c r="L160" s="22"/>
      <c r="M160" s="22"/>
      <c r="N160" s="23"/>
      <c r="O160" s="23"/>
      <c r="P160" s="23"/>
      <c r="Q160" s="24"/>
      <c r="R160" s="23"/>
      <c r="S160" s="24"/>
      <c r="T160" s="25"/>
      <c r="U160" s="26"/>
      <c r="V160" s="25"/>
      <c r="W160" s="25" t="str">
        <f aca="false">IF($A160="","",N($U160)*N($V160))</f>
        <v/>
      </c>
      <c r="X160" s="22"/>
      <c r="Y160" s="26"/>
      <c r="Z160" s="25"/>
      <c r="AA160" s="25" t="str">
        <f aca="false">IF($A160="","",IF($X160="POV",N($Y160)*MileageRate,0)+N($Z160))</f>
        <v/>
      </c>
      <c r="AB160" s="25" t="str">
        <f aca="false">IF(OR($A160="",$P160="",$R160="",$Q160="",$S160=""),"",IF($R160=$P160,($Q160&lt;=T_DepBfast)*($S160&gt;=T_RetBfast)*PD_Bfast+($Q160&lt;=T_DepLunch)*($S160&gt;=T_RetLunch)*PD_Lunch+($Q160&lt;=T_DepDinner)*($S160&gt;=T_RetDinner)*PD_Dinner+PD_Incid,($Q160&lt;=T_DepBfast)*PD_Bfast+($Q160&lt;=T_DepLunch)*PD_Lunch+($Q160&lt;=T_DepDinner)*PD_Dinner+($S160&gt;=T_RetBfast)*PD_Bfast+($S160&gt;=T_RetLunch)*PD_Lunch+($S160&gt;=T_RetDinner)*PD_Dinner+MAX($R160-$P160-1,0)*(PD_Bfast+PD_Lunch+PD_Dinner)+($R160-$P160+1)*PD_Incid))</f>
        <v/>
      </c>
      <c r="AC160" s="25"/>
      <c r="AD160" s="25" t="str">
        <f aca="false">IF($A160="","",N($T160)+N($W160)+N($AA160)+N($AB160)+N($AC160))</f>
        <v/>
      </c>
      <c r="AE160" s="25"/>
      <c r="AF160" s="25"/>
      <c r="AG160" s="25"/>
      <c r="AH160" s="25"/>
      <c r="AI160" s="25"/>
      <c r="AJ160" s="25" t="str">
        <f aca="false">IF($A160="","",IF(COUNT($AE160:$AI160)=0,"",SUM($AE160:$AI160)))</f>
        <v/>
      </c>
      <c r="AK160" s="25"/>
      <c r="AL160" s="25"/>
      <c r="AM160" s="25" t="str">
        <f aca="false">IF(OR($A160="",$AJ160=""),"",$AJ160-N($AK160)-N($AL160))</f>
        <v/>
      </c>
      <c r="AN160" s="23"/>
      <c r="AO160" s="23"/>
      <c r="AP160" s="22"/>
      <c r="AQ160" s="22"/>
      <c r="AR160" s="23" t="str">
        <f aca="false">IF(OR($A160="",$R160=""),"",$R160+ReceiptDays)</f>
        <v/>
      </c>
      <c r="AS160" s="23"/>
      <c r="AT160" s="23" t="str">
        <f aca="false">IF(OR($A160="",$P160=""),"",($P160-FinanceLeadDays)-MOD(($P160-FinanceLeadDays)-DATE(2024,1,2),7))</f>
        <v/>
      </c>
      <c r="AU160" s="23"/>
      <c r="AV160" s="22"/>
      <c r="AW160" s="22"/>
      <c r="AX160" s="25" t="n">
        <f aca="false">IF(OR($A160="",$B160="Denied",$B160="Cancelled"),0,N($AD160))</f>
        <v>0</v>
      </c>
      <c r="AY160" s="25" t="n">
        <f aca="false">IF($A160="",0,N($AJ160))</f>
        <v>0</v>
      </c>
      <c r="AZ160" s="25" t="n">
        <f aca="false">IF(OR($A160="",$B160="Denied",$B160="Cancelled",$B160="Closed"),0,IF(N($AJ160)&gt;0,0,N($AD160)))</f>
        <v>0</v>
      </c>
      <c r="BA160" s="26" t="n">
        <f aca="false">IF($A160="",0,IF($B160="Awaiting Approval",COUNTIF(BA$1:BA159,"&gt;0")+1,0))</f>
        <v>0</v>
      </c>
      <c r="BB160" s="26" t="n">
        <f aca="false">IF($A160="",0,IF(AND($B160="Approved",$AP160&lt;&gt;"Y"),COUNTIF(BB$1:BB159,"&gt;0")+1,0))</f>
        <v>0</v>
      </c>
      <c r="BC160" s="26" t="n">
        <f aca="false">IF($A160="",0,IF(AND($B160="Approved",N($U160)&gt;0,$AQ160&lt;&gt;"Y"),COUNTIF(BC$1:BC159,"&gt;0")+1,0))</f>
        <v>0</v>
      </c>
      <c r="BD160" s="26" t="n">
        <f aca="true">IF($A160="",0,IF(AND($AR160&lt;&gt;"",N($AR160)&lt;TODAY(),$AS160="",$B160&lt;&gt;"Closed",$B160&lt;&gt;"Cancelled",$B160&lt;&gt;"Denied"),COUNTIF(BD$1:BD159,"&gt;0")+1,0))</f>
        <v>0</v>
      </c>
      <c r="BE160" s="26" t="n">
        <f aca="true">IF($A160="",0,IF(AND($AT160&lt;&gt;"",N($AT160)&lt;=TODAY()+7,$AU160="",$B160&lt;&gt;"Denied",$B160&lt;&gt;"Cancelled",$B160&lt;&gt;"Closed"),COUNTIF(BE$1:BE159,"&gt;0")+1,0))</f>
        <v>0</v>
      </c>
      <c r="BF160" s="22"/>
      <c r="BG160" s="22"/>
      <c r="BH160" s="22"/>
      <c r="BI160" s="22"/>
    </row>
    <row r="161" customFormat="false" ht="15" hidden="false" customHeight="false" outlineLevel="0" collapsed="false">
      <c r="A161" s="27"/>
      <c r="B161" s="27"/>
      <c r="C161" s="27"/>
      <c r="D161" s="27"/>
      <c r="E161" s="27"/>
      <c r="F161" s="27"/>
      <c r="G161" s="27"/>
      <c r="H161" s="27"/>
      <c r="I161" s="27"/>
      <c r="J161" s="27"/>
      <c r="K161" s="27"/>
      <c r="L161" s="27"/>
      <c r="M161" s="27"/>
      <c r="N161" s="28"/>
      <c r="O161" s="28"/>
      <c r="P161" s="28"/>
      <c r="Q161" s="29"/>
      <c r="R161" s="28"/>
      <c r="S161" s="29"/>
      <c r="T161" s="30"/>
      <c r="U161" s="31"/>
      <c r="V161" s="30"/>
      <c r="W161" s="30" t="str">
        <f aca="false">IF($A161="","",N($U161)*N($V161))</f>
        <v/>
      </c>
      <c r="X161" s="27"/>
      <c r="Y161" s="31"/>
      <c r="Z161" s="30"/>
      <c r="AA161" s="30" t="str">
        <f aca="false">IF($A161="","",IF($X161="POV",N($Y161)*MileageRate,0)+N($Z161))</f>
        <v/>
      </c>
      <c r="AB161" s="30" t="str">
        <f aca="false">IF(OR($A161="",$P161="",$R161="",$Q161="",$S161=""),"",IF($R161=$P161,($Q161&lt;=T_DepBfast)*($S161&gt;=T_RetBfast)*PD_Bfast+($Q161&lt;=T_DepLunch)*($S161&gt;=T_RetLunch)*PD_Lunch+($Q161&lt;=T_DepDinner)*($S161&gt;=T_RetDinner)*PD_Dinner+PD_Incid,($Q161&lt;=T_DepBfast)*PD_Bfast+($Q161&lt;=T_DepLunch)*PD_Lunch+($Q161&lt;=T_DepDinner)*PD_Dinner+($S161&gt;=T_RetBfast)*PD_Bfast+($S161&gt;=T_RetLunch)*PD_Lunch+($S161&gt;=T_RetDinner)*PD_Dinner+MAX($R161-$P161-1,0)*(PD_Bfast+PD_Lunch+PD_Dinner)+($R161-$P161+1)*PD_Incid))</f>
        <v/>
      </c>
      <c r="AC161" s="30"/>
      <c r="AD161" s="30" t="str">
        <f aca="false">IF($A161="","",N($T161)+N($W161)+N($AA161)+N($AB161)+N($AC161))</f>
        <v/>
      </c>
      <c r="AE161" s="30"/>
      <c r="AF161" s="30"/>
      <c r="AG161" s="30"/>
      <c r="AH161" s="30"/>
      <c r="AI161" s="30"/>
      <c r="AJ161" s="30" t="str">
        <f aca="false">IF($A161="","",IF(COUNT($AE161:$AI161)=0,"",SUM($AE161:$AI161)))</f>
        <v/>
      </c>
      <c r="AK161" s="30"/>
      <c r="AL161" s="30"/>
      <c r="AM161" s="30" t="str">
        <f aca="false">IF(OR($A161="",$AJ161=""),"",$AJ161-N($AK161)-N($AL161))</f>
        <v/>
      </c>
      <c r="AN161" s="28"/>
      <c r="AO161" s="28"/>
      <c r="AP161" s="27"/>
      <c r="AQ161" s="27"/>
      <c r="AR161" s="28" t="str">
        <f aca="false">IF(OR($A161="",$R161=""),"",$R161+ReceiptDays)</f>
        <v/>
      </c>
      <c r="AS161" s="28"/>
      <c r="AT161" s="28" t="str">
        <f aca="false">IF(OR($A161="",$P161=""),"",($P161-FinanceLeadDays)-MOD(($P161-FinanceLeadDays)-DATE(2024,1,2),7))</f>
        <v/>
      </c>
      <c r="AU161" s="28"/>
      <c r="AV161" s="27"/>
      <c r="AW161" s="27"/>
      <c r="AX161" s="30" t="n">
        <f aca="false">IF(OR($A161="",$B161="Denied",$B161="Cancelled"),0,N($AD161))</f>
        <v>0</v>
      </c>
      <c r="AY161" s="30" t="n">
        <f aca="false">IF($A161="",0,N($AJ161))</f>
        <v>0</v>
      </c>
      <c r="AZ161" s="30" t="n">
        <f aca="false">IF(OR($A161="",$B161="Denied",$B161="Cancelled",$B161="Closed"),0,IF(N($AJ161)&gt;0,0,N($AD161)))</f>
        <v>0</v>
      </c>
      <c r="BA161" s="31" t="n">
        <f aca="false">IF($A161="",0,IF($B161="Awaiting Approval",COUNTIF(BA$1:BA160,"&gt;0")+1,0))</f>
        <v>0</v>
      </c>
      <c r="BB161" s="31" t="n">
        <f aca="false">IF($A161="",0,IF(AND($B161="Approved",$AP161&lt;&gt;"Y"),COUNTIF(BB$1:BB160,"&gt;0")+1,0))</f>
        <v>0</v>
      </c>
      <c r="BC161" s="31" t="n">
        <f aca="false">IF($A161="",0,IF(AND($B161="Approved",N($U161)&gt;0,$AQ161&lt;&gt;"Y"),COUNTIF(BC$1:BC160,"&gt;0")+1,0))</f>
        <v>0</v>
      </c>
      <c r="BD161" s="31" t="n">
        <f aca="true">IF($A161="",0,IF(AND($AR161&lt;&gt;"",N($AR161)&lt;TODAY(),$AS161="",$B161&lt;&gt;"Closed",$B161&lt;&gt;"Cancelled",$B161&lt;&gt;"Denied"),COUNTIF(BD$1:BD160,"&gt;0")+1,0))</f>
        <v>0</v>
      </c>
      <c r="BE161" s="31" t="n">
        <f aca="true">IF($A161="",0,IF(AND($AT161&lt;&gt;"",N($AT161)&lt;=TODAY()+7,$AU161="",$B161&lt;&gt;"Denied",$B161&lt;&gt;"Cancelled",$B161&lt;&gt;"Closed"),COUNTIF(BE$1:BE160,"&gt;0")+1,0))</f>
        <v>0</v>
      </c>
      <c r="BF161" s="27"/>
      <c r="BG161" s="27"/>
      <c r="BH161" s="27"/>
      <c r="BI161" s="27"/>
    </row>
    <row r="162" customFormat="false" ht="15" hidden="false" customHeight="false" outlineLevel="0" collapsed="false">
      <c r="A162" s="22"/>
      <c r="B162" s="22"/>
      <c r="C162" s="22"/>
      <c r="D162" s="22"/>
      <c r="E162" s="22"/>
      <c r="F162" s="22"/>
      <c r="G162" s="22"/>
      <c r="H162" s="22"/>
      <c r="I162" s="22"/>
      <c r="J162" s="22"/>
      <c r="K162" s="22"/>
      <c r="L162" s="22"/>
      <c r="M162" s="22"/>
      <c r="N162" s="23"/>
      <c r="O162" s="23"/>
      <c r="P162" s="23"/>
      <c r="Q162" s="24"/>
      <c r="R162" s="23"/>
      <c r="S162" s="24"/>
      <c r="T162" s="25"/>
      <c r="U162" s="26"/>
      <c r="V162" s="25"/>
      <c r="W162" s="25" t="str">
        <f aca="false">IF($A162="","",N($U162)*N($V162))</f>
        <v/>
      </c>
      <c r="X162" s="22"/>
      <c r="Y162" s="26"/>
      <c r="Z162" s="25"/>
      <c r="AA162" s="25" t="str">
        <f aca="false">IF($A162="","",IF($X162="POV",N($Y162)*MileageRate,0)+N($Z162))</f>
        <v/>
      </c>
      <c r="AB162" s="25" t="str">
        <f aca="false">IF(OR($A162="",$P162="",$R162="",$Q162="",$S162=""),"",IF($R162=$P162,($Q162&lt;=T_DepBfast)*($S162&gt;=T_RetBfast)*PD_Bfast+($Q162&lt;=T_DepLunch)*($S162&gt;=T_RetLunch)*PD_Lunch+($Q162&lt;=T_DepDinner)*($S162&gt;=T_RetDinner)*PD_Dinner+PD_Incid,($Q162&lt;=T_DepBfast)*PD_Bfast+($Q162&lt;=T_DepLunch)*PD_Lunch+($Q162&lt;=T_DepDinner)*PD_Dinner+($S162&gt;=T_RetBfast)*PD_Bfast+($S162&gt;=T_RetLunch)*PD_Lunch+($S162&gt;=T_RetDinner)*PD_Dinner+MAX($R162-$P162-1,0)*(PD_Bfast+PD_Lunch+PD_Dinner)+($R162-$P162+1)*PD_Incid))</f>
        <v/>
      </c>
      <c r="AC162" s="25"/>
      <c r="AD162" s="25" t="str">
        <f aca="false">IF($A162="","",N($T162)+N($W162)+N($AA162)+N($AB162)+N($AC162))</f>
        <v/>
      </c>
      <c r="AE162" s="25"/>
      <c r="AF162" s="25"/>
      <c r="AG162" s="25"/>
      <c r="AH162" s="25"/>
      <c r="AI162" s="25"/>
      <c r="AJ162" s="25" t="str">
        <f aca="false">IF($A162="","",IF(COUNT($AE162:$AI162)=0,"",SUM($AE162:$AI162)))</f>
        <v/>
      </c>
      <c r="AK162" s="25"/>
      <c r="AL162" s="25"/>
      <c r="AM162" s="25" t="str">
        <f aca="false">IF(OR($A162="",$AJ162=""),"",$AJ162-N($AK162)-N($AL162))</f>
        <v/>
      </c>
      <c r="AN162" s="23"/>
      <c r="AO162" s="23"/>
      <c r="AP162" s="22"/>
      <c r="AQ162" s="22"/>
      <c r="AR162" s="23" t="str">
        <f aca="false">IF(OR($A162="",$R162=""),"",$R162+ReceiptDays)</f>
        <v/>
      </c>
      <c r="AS162" s="23"/>
      <c r="AT162" s="23" t="str">
        <f aca="false">IF(OR($A162="",$P162=""),"",($P162-FinanceLeadDays)-MOD(($P162-FinanceLeadDays)-DATE(2024,1,2),7))</f>
        <v/>
      </c>
      <c r="AU162" s="23"/>
      <c r="AV162" s="22"/>
      <c r="AW162" s="22"/>
      <c r="AX162" s="25" t="n">
        <f aca="false">IF(OR($A162="",$B162="Denied",$B162="Cancelled"),0,N($AD162))</f>
        <v>0</v>
      </c>
      <c r="AY162" s="25" t="n">
        <f aca="false">IF($A162="",0,N($AJ162))</f>
        <v>0</v>
      </c>
      <c r="AZ162" s="25" t="n">
        <f aca="false">IF(OR($A162="",$B162="Denied",$B162="Cancelled",$B162="Closed"),0,IF(N($AJ162)&gt;0,0,N($AD162)))</f>
        <v>0</v>
      </c>
      <c r="BA162" s="26" t="n">
        <f aca="false">IF($A162="",0,IF($B162="Awaiting Approval",COUNTIF(BA$1:BA161,"&gt;0")+1,0))</f>
        <v>0</v>
      </c>
      <c r="BB162" s="26" t="n">
        <f aca="false">IF($A162="",0,IF(AND($B162="Approved",$AP162&lt;&gt;"Y"),COUNTIF(BB$1:BB161,"&gt;0")+1,0))</f>
        <v>0</v>
      </c>
      <c r="BC162" s="26" t="n">
        <f aca="false">IF($A162="",0,IF(AND($B162="Approved",N($U162)&gt;0,$AQ162&lt;&gt;"Y"),COUNTIF(BC$1:BC161,"&gt;0")+1,0))</f>
        <v>0</v>
      </c>
      <c r="BD162" s="26" t="n">
        <f aca="true">IF($A162="",0,IF(AND($AR162&lt;&gt;"",N($AR162)&lt;TODAY(),$AS162="",$B162&lt;&gt;"Closed",$B162&lt;&gt;"Cancelled",$B162&lt;&gt;"Denied"),COUNTIF(BD$1:BD161,"&gt;0")+1,0))</f>
        <v>0</v>
      </c>
      <c r="BE162" s="26" t="n">
        <f aca="true">IF($A162="",0,IF(AND($AT162&lt;&gt;"",N($AT162)&lt;=TODAY()+7,$AU162="",$B162&lt;&gt;"Denied",$B162&lt;&gt;"Cancelled",$B162&lt;&gt;"Closed"),COUNTIF(BE$1:BE161,"&gt;0")+1,0))</f>
        <v>0</v>
      </c>
      <c r="BF162" s="22"/>
      <c r="BG162" s="22"/>
      <c r="BH162" s="22"/>
      <c r="BI162" s="22"/>
    </row>
    <row r="163" customFormat="false" ht="15" hidden="false" customHeight="false" outlineLevel="0" collapsed="false">
      <c r="A163" s="27"/>
      <c r="B163" s="27"/>
      <c r="C163" s="27"/>
      <c r="D163" s="27"/>
      <c r="E163" s="27"/>
      <c r="F163" s="27"/>
      <c r="G163" s="27"/>
      <c r="H163" s="27"/>
      <c r="I163" s="27"/>
      <c r="J163" s="27"/>
      <c r="K163" s="27"/>
      <c r="L163" s="27"/>
      <c r="M163" s="27"/>
      <c r="N163" s="28"/>
      <c r="O163" s="28"/>
      <c r="P163" s="28"/>
      <c r="Q163" s="29"/>
      <c r="R163" s="28"/>
      <c r="S163" s="29"/>
      <c r="T163" s="30"/>
      <c r="U163" s="31"/>
      <c r="V163" s="30"/>
      <c r="W163" s="30" t="str">
        <f aca="false">IF($A163="","",N($U163)*N($V163))</f>
        <v/>
      </c>
      <c r="X163" s="27"/>
      <c r="Y163" s="31"/>
      <c r="Z163" s="30"/>
      <c r="AA163" s="30" t="str">
        <f aca="false">IF($A163="","",IF($X163="POV",N($Y163)*MileageRate,0)+N($Z163))</f>
        <v/>
      </c>
      <c r="AB163" s="30" t="str">
        <f aca="false">IF(OR($A163="",$P163="",$R163="",$Q163="",$S163=""),"",IF($R163=$P163,($Q163&lt;=T_DepBfast)*($S163&gt;=T_RetBfast)*PD_Bfast+($Q163&lt;=T_DepLunch)*($S163&gt;=T_RetLunch)*PD_Lunch+($Q163&lt;=T_DepDinner)*($S163&gt;=T_RetDinner)*PD_Dinner+PD_Incid,($Q163&lt;=T_DepBfast)*PD_Bfast+($Q163&lt;=T_DepLunch)*PD_Lunch+($Q163&lt;=T_DepDinner)*PD_Dinner+($S163&gt;=T_RetBfast)*PD_Bfast+($S163&gt;=T_RetLunch)*PD_Lunch+($S163&gt;=T_RetDinner)*PD_Dinner+MAX($R163-$P163-1,0)*(PD_Bfast+PD_Lunch+PD_Dinner)+($R163-$P163+1)*PD_Incid))</f>
        <v/>
      </c>
      <c r="AC163" s="30"/>
      <c r="AD163" s="30" t="str">
        <f aca="false">IF($A163="","",N($T163)+N($W163)+N($AA163)+N($AB163)+N($AC163))</f>
        <v/>
      </c>
      <c r="AE163" s="30"/>
      <c r="AF163" s="30"/>
      <c r="AG163" s="30"/>
      <c r="AH163" s="30"/>
      <c r="AI163" s="30"/>
      <c r="AJ163" s="30" t="str">
        <f aca="false">IF($A163="","",IF(COUNT($AE163:$AI163)=0,"",SUM($AE163:$AI163)))</f>
        <v/>
      </c>
      <c r="AK163" s="30"/>
      <c r="AL163" s="30"/>
      <c r="AM163" s="30" t="str">
        <f aca="false">IF(OR($A163="",$AJ163=""),"",$AJ163-N($AK163)-N($AL163))</f>
        <v/>
      </c>
      <c r="AN163" s="28"/>
      <c r="AO163" s="28"/>
      <c r="AP163" s="27"/>
      <c r="AQ163" s="27"/>
      <c r="AR163" s="28" t="str">
        <f aca="false">IF(OR($A163="",$R163=""),"",$R163+ReceiptDays)</f>
        <v/>
      </c>
      <c r="AS163" s="28"/>
      <c r="AT163" s="28" t="str">
        <f aca="false">IF(OR($A163="",$P163=""),"",($P163-FinanceLeadDays)-MOD(($P163-FinanceLeadDays)-DATE(2024,1,2),7))</f>
        <v/>
      </c>
      <c r="AU163" s="28"/>
      <c r="AV163" s="27"/>
      <c r="AW163" s="27"/>
      <c r="AX163" s="30" t="n">
        <f aca="false">IF(OR($A163="",$B163="Denied",$B163="Cancelled"),0,N($AD163))</f>
        <v>0</v>
      </c>
      <c r="AY163" s="30" t="n">
        <f aca="false">IF($A163="",0,N($AJ163))</f>
        <v>0</v>
      </c>
      <c r="AZ163" s="30" t="n">
        <f aca="false">IF(OR($A163="",$B163="Denied",$B163="Cancelled",$B163="Closed"),0,IF(N($AJ163)&gt;0,0,N($AD163)))</f>
        <v>0</v>
      </c>
      <c r="BA163" s="31" t="n">
        <f aca="false">IF($A163="",0,IF($B163="Awaiting Approval",COUNTIF(BA$1:BA162,"&gt;0")+1,0))</f>
        <v>0</v>
      </c>
      <c r="BB163" s="31" t="n">
        <f aca="false">IF($A163="",0,IF(AND($B163="Approved",$AP163&lt;&gt;"Y"),COUNTIF(BB$1:BB162,"&gt;0")+1,0))</f>
        <v>0</v>
      </c>
      <c r="BC163" s="31" t="n">
        <f aca="false">IF($A163="",0,IF(AND($B163="Approved",N($U163)&gt;0,$AQ163&lt;&gt;"Y"),COUNTIF(BC$1:BC162,"&gt;0")+1,0))</f>
        <v>0</v>
      </c>
      <c r="BD163" s="31" t="n">
        <f aca="true">IF($A163="",0,IF(AND($AR163&lt;&gt;"",N($AR163)&lt;TODAY(),$AS163="",$B163&lt;&gt;"Closed",$B163&lt;&gt;"Cancelled",$B163&lt;&gt;"Denied"),COUNTIF(BD$1:BD162,"&gt;0")+1,0))</f>
        <v>0</v>
      </c>
      <c r="BE163" s="31" t="n">
        <f aca="true">IF($A163="",0,IF(AND($AT163&lt;&gt;"",N($AT163)&lt;=TODAY()+7,$AU163="",$B163&lt;&gt;"Denied",$B163&lt;&gt;"Cancelled",$B163&lt;&gt;"Closed"),COUNTIF(BE$1:BE162,"&gt;0")+1,0))</f>
        <v>0</v>
      </c>
      <c r="BF163" s="27"/>
      <c r="BG163" s="27"/>
      <c r="BH163" s="27"/>
      <c r="BI163" s="27"/>
    </row>
    <row r="164" customFormat="false" ht="15" hidden="false" customHeight="false" outlineLevel="0" collapsed="false">
      <c r="A164" s="22"/>
      <c r="B164" s="22"/>
      <c r="C164" s="22"/>
      <c r="D164" s="22"/>
      <c r="E164" s="22"/>
      <c r="F164" s="22"/>
      <c r="G164" s="22"/>
      <c r="H164" s="22"/>
      <c r="I164" s="22"/>
      <c r="J164" s="22"/>
      <c r="K164" s="22"/>
      <c r="L164" s="22"/>
      <c r="M164" s="22"/>
      <c r="N164" s="23"/>
      <c r="O164" s="23"/>
      <c r="P164" s="23"/>
      <c r="Q164" s="24"/>
      <c r="R164" s="23"/>
      <c r="S164" s="24"/>
      <c r="T164" s="25"/>
      <c r="U164" s="26"/>
      <c r="V164" s="25"/>
      <c r="W164" s="25" t="str">
        <f aca="false">IF($A164="","",N($U164)*N($V164))</f>
        <v/>
      </c>
      <c r="X164" s="22"/>
      <c r="Y164" s="26"/>
      <c r="Z164" s="25"/>
      <c r="AA164" s="25" t="str">
        <f aca="false">IF($A164="","",IF($X164="POV",N($Y164)*MileageRate,0)+N($Z164))</f>
        <v/>
      </c>
      <c r="AB164" s="25" t="str">
        <f aca="false">IF(OR($A164="",$P164="",$R164="",$Q164="",$S164=""),"",IF($R164=$P164,($Q164&lt;=T_DepBfast)*($S164&gt;=T_RetBfast)*PD_Bfast+($Q164&lt;=T_DepLunch)*($S164&gt;=T_RetLunch)*PD_Lunch+($Q164&lt;=T_DepDinner)*($S164&gt;=T_RetDinner)*PD_Dinner+PD_Incid,($Q164&lt;=T_DepBfast)*PD_Bfast+($Q164&lt;=T_DepLunch)*PD_Lunch+($Q164&lt;=T_DepDinner)*PD_Dinner+($S164&gt;=T_RetBfast)*PD_Bfast+($S164&gt;=T_RetLunch)*PD_Lunch+($S164&gt;=T_RetDinner)*PD_Dinner+MAX($R164-$P164-1,0)*(PD_Bfast+PD_Lunch+PD_Dinner)+($R164-$P164+1)*PD_Incid))</f>
        <v/>
      </c>
      <c r="AC164" s="25"/>
      <c r="AD164" s="25" t="str">
        <f aca="false">IF($A164="","",N($T164)+N($W164)+N($AA164)+N($AB164)+N($AC164))</f>
        <v/>
      </c>
      <c r="AE164" s="25"/>
      <c r="AF164" s="25"/>
      <c r="AG164" s="25"/>
      <c r="AH164" s="25"/>
      <c r="AI164" s="25"/>
      <c r="AJ164" s="25" t="str">
        <f aca="false">IF($A164="","",IF(COUNT($AE164:$AI164)=0,"",SUM($AE164:$AI164)))</f>
        <v/>
      </c>
      <c r="AK164" s="25"/>
      <c r="AL164" s="25"/>
      <c r="AM164" s="25" t="str">
        <f aca="false">IF(OR($A164="",$AJ164=""),"",$AJ164-N($AK164)-N($AL164))</f>
        <v/>
      </c>
      <c r="AN164" s="23"/>
      <c r="AO164" s="23"/>
      <c r="AP164" s="22"/>
      <c r="AQ164" s="22"/>
      <c r="AR164" s="23" t="str">
        <f aca="false">IF(OR($A164="",$R164=""),"",$R164+ReceiptDays)</f>
        <v/>
      </c>
      <c r="AS164" s="23"/>
      <c r="AT164" s="23" t="str">
        <f aca="false">IF(OR($A164="",$P164=""),"",($P164-FinanceLeadDays)-MOD(($P164-FinanceLeadDays)-DATE(2024,1,2),7))</f>
        <v/>
      </c>
      <c r="AU164" s="23"/>
      <c r="AV164" s="22"/>
      <c r="AW164" s="22"/>
      <c r="AX164" s="25" t="n">
        <f aca="false">IF(OR($A164="",$B164="Denied",$B164="Cancelled"),0,N($AD164))</f>
        <v>0</v>
      </c>
      <c r="AY164" s="25" t="n">
        <f aca="false">IF($A164="",0,N($AJ164))</f>
        <v>0</v>
      </c>
      <c r="AZ164" s="25" t="n">
        <f aca="false">IF(OR($A164="",$B164="Denied",$B164="Cancelled",$B164="Closed"),0,IF(N($AJ164)&gt;0,0,N($AD164)))</f>
        <v>0</v>
      </c>
      <c r="BA164" s="26" t="n">
        <f aca="false">IF($A164="",0,IF($B164="Awaiting Approval",COUNTIF(BA$1:BA163,"&gt;0")+1,0))</f>
        <v>0</v>
      </c>
      <c r="BB164" s="26" t="n">
        <f aca="false">IF($A164="",0,IF(AND($B164="Approved",$AP164&lt;&gt;"Y"),COUNTIF(BB$1:BB163,"&gt;0")+1,0))</f>
        <v>0</v>
      </c>
      <c r="BC164" s="26" t="n">
        <f aca="false">IF($A164="",0,IF(AND($B164="Approved",N($U164)&gt;0,$AQ164&lt;&gt;"Y"),COUNTIF(BC$1:BC163,"&gt;0")+1,0))</f>
        <v>0</v>
      </c>
      <c r="BD164" s="26" t="n">
        <f aca="true">IF($A164="",0,IF(AND($AR164&lt;&gt;"",N($AR164)&lt;TODAY(),$AS164="",$B164&lt;&gt;"Closed",$B164&lt;&gt;"Cancelled",$B164&lt;&gt;"Denied"),COUNTIF(BD$1:BD163,"&gt;0")+1,0))</f>
        <v>0</v>
      </c>
      <c r="BE164" s="26" t="n">
        <f aca="true">IF($A164="",0,IF(AND($AT164&lt;&gt;"",N($AT164)&lt;=TODAY()+7,$AU164="",$B164&lt;&gt;"Denied",$B164&lt;&gt;"Cancelled",$B164&lt;&gt;"Closed"),COUNTIF(BE$1:BE163,"&gt;0")+1,0))</f>
        <v>0</v>
      </c>
      <c r="BF164" s="22"/>
      <c r="BG164" s="22"/>
      <c r="BH164" s="22"/>
      <c r="BI164" s="22"/>
    </row>
    <row r="165" customFormat="false" ht="15" hidden="false" customHeight="false" outlineLevel="0" collapsed="false">
      <c r="A165" s="27"/>
      <c r="B165" s="27"/>
      <c r="C165" s="27"/>
      <c r="D165" s="27"/>
      <c r="E165" s="27"/>
      <c r="F165" s="27"/>
      <c r="G165" s="27"/>
      <c r="H165" s="27"/>
      <c r="I165" s="27"/>
      <c r="J165" s="27"/>
      <c r="K165" s="27"/>
      <c r="L165" s="27"/>
      <c r="M165" s="27"/>
      <c r="N165" s="28"/>
      <c r="O165" s="28"/>
      <c r="P165" s="28"/>
      <c r="Q165" s="29"/>
      <c r="R165" s="28"/>
      <c r="S165" s="29"/>
      <c r="T165" s="30"/>
      <c r="U165" s="31"/>
      <c r="V165" s="30"/>
      <c r="W165" s="30" t="str">
        <f aca="false">IF($A165="","",N($U165)*N($V165))</f>
        <v/>
      </c>
      <c r="X165" s="27"/>
      <c r="Y165" s="31"/>
      <c r="Z165" s="30"/>
      <c r="AA165" s="30" t="str">
        <f aca="false">IF($A165="","",IF($X165="POV",N($Y165)*MileageRate,0)+N($Z165))</f>
        <v/>
      </c>
      <c r="AB165" s="30" t="str">
        <f aca="false">IF(OR($A165="",$P165="",$R165="",$Q165="",$S165=""),"",IF($R165=$P165,($Q165&lt;=T_DepBfast)*($S165&gt;=T_RetBfast)*PD_Bfast+($Q165&lt;=T_DepLunch)*($S165&gt;=T_RetLunch)*PD_Lunch+($Q165&lt;=T_DepDinner)*($S165&gt;=T_RetDinner)*PD_Dinner+PD_Incid,($Q165&lt;=T_DepBfast)*PD_Bfast+($Q165&lt;=T_DepLunch)*PD_Lunch+($Q165&lt;=T_DepDinner)*PD_Dinner+($S165&gt;=T_RetBfast)*PD_Bfast+($S165&gt;=T_RetLunch)*PD_Lunch+($S165&gt;=T_RetDinner)*PD_Dinner+MAX($R165-$P165-1,0)*(PD_Bfast+PD_Lunch+PD_Dinner)+($R165-$P165+1)*PD_Incid))</f>
        <v/>
      </c>
      <c r="AC165" s="30"/>
      <c r="AD165" s="30" t="str">
        <f aca="false">IF($A165="","",N($T165)+N($W165)+N($AA165)+N($AB165)+N($AC165))</f>
        <v/>
      </c>
      <c r="AE165" s="30"/>
      <c r="AF165" s="30"/>
      <c r="AG165" s="30"/>
      <c r="AH165" s="30"/>
      <c r="AI165" s="30"/>
      <c r="AJ165" s="30" t="str">
        <f aca="false">IF($A165="","",IF(COUNT($AE165:$AI165)=0,"",SUM($AE165:$AI165)))</f>
        <v/>
      </c>
      <c r="AK165" s="30"/>
      <c r="AL165" s="30"/>
      <c r="AM165" s="30" t="str">
        <f aca="false">IF(OR($A165="",$AJ165=""),"",$AJ165-N($AK165)-N($AL165))</f>
        <v/>
      </c>
      <c r="AN165" s="28"/>
      <c r="AO165" s="28"/>
      <c r="AP165" s="27"/>
      <c r="AQ165" s="27"/>
      <c r="AR165" s="28" t="str">
        <f aca="false">IF(OR($A165="",$R165=""),"",$R165+ReceiptDays)</f>
        <v/>
      </c>
      <c r="AS165" s="28"/>
      <c r="AT165" s="28" t="str">
        <f aca="false">IF(OR($A165="",$P165=""),"",($P165-FinanceLeadDays)-MOD(($P165-FinanceLeadDays)-DATE(2024,1,2),7))</f>
        <v/>
      </c>
      <c r="AU165" s="28"/>
      <c r="AV165" s="27"/>
      <c r="AW165" s="27"/>
      <c r="AX165" s="30" t="n">
        <f aca="false">IF(OR($A165="",$B165="Denied",$B165="Cancelled"),0,N($AD165))</f>
        <v>0</v>
      </c>
      <c r="AY165" s="30" t="n">
        <f aca="false">IF($A165="",0,N($AJ165))</f>
        <v>0</v>
      </c>
      <c r="AZ165" s="30" t="n">
        <f aca="false">IF(OR($A165="",$B165="Denied",$B165="Cancelled",$B165="Closed"),0,IF(N($AJ165)&gt;0,0,N($AD165)))</f>
        <v>0</v>
      </c>
      <c r="BA165" s="31" t="n">
        <f aca="false">IF($A165="",0,IF($B165="Awaiting Approval",COUNTIF(BA$1:BA164,"&gt;0")+1,0))</f>
        <v>0</v>
      </c>
      <c r="BB165" s="31" t="n">
        <f aca="false">IF($A165="",0,IF(AND($B165="Approved",$AP165&lt;&gt;"Y"),COUNTIF(BB$1:BB164,"&gt;0")+1,0))</f>
        <v>0</v>
      </c>
      <c r="BC165" s="31" t="n">
        <f aca="false">IF($A165="",0,IF(AND($B165="Approved",N($U165)&gt;0,$AQ165&lt;&gt;"Y"),COUNTIF(BC$1:BC164,"&gt;0")+1,0))</f>
        <v>0</v>
      </c>
      <c r="BD165" s="31" t="n">
        <f aca="true">IF($A165="",0,IF(AND($AR165&lt;&gt;"",N($AR165)&lt;TODAY(),$AS165="",$B165&lt;&gt;"Closed",$B165&lt;&gt;"Cancelled",$B165&lt;&gt;"Denied"),COUNTIF(BD$1:BD164,"&gt;0")+1,0))</f>
        <v>0</v>
      </c>
      <c r="BE165" s="31" t="n">
        <f aca="true">IF($A165="",0,IF(AND($AT165&lt;&gt;"",N($AT165)&lt;=TODAY()+7,$AU165="",$B165&lt;&gt;"Denied",$B165&lt;&gt;"Cancelled",$B165&lt;&gt;"Closed"),COUNTIF(BE$1:BE164,"&gt;0")+1,0))</f>
        <v>0</v>
      </c>
      <c r="BF165" s="27"/>
      <c r="BG165" s="27"/>
      <c r="BH165" s="27"/>
      <c r="BI165" s="27"/>
    </row>
    <row r="166" customFormat="false" ht="15" hidden="false" customHeight="false" outlineLevel="0" collapsed="false">
      <c r="A166" s="22"/>
      <c r="B166" s="22"/>
      <c r="C166" s="22"/>
      <c r="D166" s="22"/>
      <c r="E166" s="22"/>
      <c r="F166" s="22"/>
      <c r="G166" s="22"/>
      <c r="H166" s="22"/>
      <c r="I166" s="22"/>
      <c r="J166" s="22"/>
      <c r="K166" s="22"/>
      <c r="L166" s="22"/>
      <c r="M166" s="22"/>
      <c r="N166" s="23"/>
      <c r="O166" s="23"/>
      <c r="P166" s="23"/>
      <c r="Q166" s="24"/>
      <c r="R166" s="23"/>
      <c r="S166" s="24"/>
      <c r="T166" s="25"/>
      <c r="U166" s="26"/>
      <c r="V166" s="25"/>
      <c r="W166" s="25" t="str">
        <f aca="false">IF($A166="","",N($U166)*N($V166))</f>
        <v/>
      </c>
      <c r="X166" s="22"/>
      <c r="Y166" s="26"/>
      <c r="Z166" s="25"/>
      <c r="AA166" s="25" t="str">
        <f aca="false">IF($A166="","",IF($X166="POV",N($Y166)*MileageRate,0)+N($Z166))</f>
        <v/>
      </c>
      <c r="AB166" s="25" t="str">
        <f aca="false">IF(OR($A166="",$P166="",$R166="",$Q166="",$S166=""),"",IF($R166=$P166,($Q166&lt;=T_DepBfast)*($S166&gt;=T_RetBfast)*PD_Bfast+($Q166&lt;=T_DepLunch)*($S166&gt;=T_RetLunch)*PD_Lunch+($Q166&lt;=T_DepDinner)*($S166&gt;=T_RetDinner)*PD_Dinner+PD_Incid,($Q166&lt;=T_DepBfast)*PD_Bfast+($Q166&lt;=T_DepLunch)*PD_Lunch+($Q166&lt;=T_DepDinner)*PD_Dinner+($S166&gt;=T_RetBfast)*PD_Bfast+($S166&gt;=T_RetLunch)*PD_Lunch+($S166&gt;=T_RetDinner)*PD_Dinner+MAX($R166-$P166-1,0)*(PD_Bfast+PD_Lunch+PD_Dinner)+($R166-$P166+1)*PD_Incid))</f>
        <v/>
      </c>
      <c r="AC166" s="25"/>
      <c r="AD166" s="25" t="str">
        <f aca="false">IF($A166="","",N($T166)+N($W166)+N($AA166)+N($AB166)+N($AC166))</f>
        <v/>
      </c>
      <c r="AE166" s="25"/>
      <c r="AF166" s="25"/>
      <c r="AG166" s="25"/>
      <c r="AH166" s="25"/>
      <c r="AI166" s="25"/>
      <c r="AJ166" s="25" t="str">
        <f aca="false">IF($A166="","",IF(COUNT($AE166:$AI166)=0,"",SUM($AE166:$AI166)))</f>
        <v/>
      </c>
      <c r="AK166" s="25"/>
      <c r="AL166" s="25"/>
      <c r="AM166" s="25" t="str">
        <f aca="false">IF(OR($A166="",$AJ166=""),"",$AJ166-N($AK166)-N($AL166))</f>
        <v/>
      </c>
      <c r="AN166" s="23"/>
      <c r="AO166" s="23"/>
      <c r="AP166" s="22"/>
      <c r="AQ166" s="22"/>
      <c r="AR166" s="23" t="str">
        <f aca="false">IF(OR($A166="",$R166=""),"",$R166+ReceiptDays)</f>
        <v/>
      </c>
      <c r="AS166" s="23"/>
      <c r="AT166" s="23" t="str">
        <f aca="false">IF(OR($A166="",$P166=""),"",($P166-FinanceLeadDays)-MOD(($P166-FinanceLeadDays)-DATE(2024,1,2),7))</f>
        <v/>
      </c>
      <c r="AU166" s="23"/>
      <c r="AV166" s="22"/>
      <c r="AW166" s="22"/>
      <c r="AX166" s="25" t="n">
        <f aca="false">IF(OR($A166="",$B166="Denied",$B166="Cancelled"),0,N($AD166))</f>
        <v>0</v>
      </c>
      <c r="AY166" s="25" t="n">
        <f aca="false">IF($A166="",0,N($AJ166))</f>
        <v>0</v>
      </c>
      <c r="AZ166" s="25" t="n">
        <f aca="false">IF(OR($A166="",$B166="Denied",$B166="Cancelled",$B166="Closed"),0,IF(N($AJ166)&gt;0,0,N($AD166)))</f>
        <v>0</v>
      </c>
      <c r="BA166" s="26" t="n">
        <f aca="false">IF($A166="",0,IF($B166="Awaiting Approval",COUNTIF(BA$1:BA165,"&gt;0")+1,0))</f>
        <v>0</v>
      </c>
      <c r="BB166" s="26" t="n">
        <f aca="false">IF($A166="",0,IF(AND($B166="Approved",$AP166&lt;&gt;"Y"),COUNTIF(BB$1:BB165,"&gt;0")+1,0))</f>
        <v>0</v>
      </c>
      <c r="BC166" s="26" t="n">
        <f aca="false">IF($A166="",0,IF(AND($B166="Approved",N($U166)&gt;0,$AQ166&lt;&gt;"Y"),COUNTIF(BC$1:BC165,"&gt;0")+1,0))</f>
        <v>0</v>
      </c>
      <c r="BD166" s="26" t="n">
        <f aca="true">IF($A166="",0,IF(AND($AR166&lt;&gt;"",N($AR166)&lt;TODAY(),$AS166="",$B166&lt;&gt;"Closed",$B166&lt;&gt;"Cancelled",$B166&lt;&gt;"Denied"),COUNTIF(BD$1:BD165,"&gt;0")+1,0))</f>
        <v>0</v>
      </c>
      <c r="BE166" s="26" t="n">
        <f aca="true">IF($A166="",0,IF(AND($AT166&lt;&gt;"",N($AT166)&lt;=TODAY()+7,$AU166="",$B166&lt;&gt;"Denied",$B166&lt;&gt;"Cancelled",$B166&lt;&gt;"Closed"),COUNTIF(BE$1:BE165,"&gt;0")+1,0))</f>
        <v>0</v>
      </c>
      <c r="BF166" s="22"/>
      <c r="BG166" s="22"/>
      <c r="BH166" s="22"/>
      <c r="BI166" s="22"/>
    </row>
    <row r="167" customFormat="false" ht="15" hidden="false" customHeight="false" outlineLevel="0" collapsed="false">
      <c r="A167" s="27"/>
      <c r="B167" s="27"/>
      <c r="C167" s="27"/>
      <c r="D167" s="27"/>
      <c r="E167" s="27"/>
      <c r="F167" s="27"/>
      <c r="G167" s="27"/>
      <c r="H167" s="27"/>
      <c r="I167" s="27"/>
      <c r="J167" s="27"/>
      <c r="K167" s="27"/>
      <c r="L167" s="27"/>
      <c r="M167" s="27"/>
      <c r="N167" s="28"/>
      <c r="O167" s="28"/>
      <c r="P167" s="28"/>
      <c r="Q167" s="29"/>
      <c r="R167" s="28"/>
      <c r="S167" s="29"/>
      <c r="T167" s="30"/>
      <c r="U167" s="31"/>
      <c r="V167" s="30"/>
      <c r="W167" s="30" t="str">
        <f aca="false">IF($A167="","",N($U167)*N($V167))</f>
        <v/>
      </c>
      <c r="X167" s="27"/>
      <c r="Y167" s="31"/>
      <c r="Z167" s="30"/>
      <c r="AA167" s="30" t="str">
        <f aca="false">IF($A167="","",IF($X167="POV",N($Y167)*MileageRate,0)+N($Z167))</f>
        <v/>
      </c>
      <c r="AB167" s="30" t="str">
        <f aca="false">IF(OR($A167="",$P167="",$R167="",$Q167="",$S167=""),"",IF($R167=$P167,($Q167&lt;=T_DepBfast)*($S167&gt;=T_RetBfast)*PD_Bfast+($Q167&lt;=T_DepLunch)*($S167&gt;=T_RetLunch)*PD_Lunch+($Q167&lt;=T_DepDinner)*($S167&gt;=T_RetDinner)*PD_Dinner+PD_Incid,($Q167&lt;=T_DepBfast)*PD_Bfast+($Q167&lt;=T_DepLunch)*PD_Lunch+($Q167&lt;=T_DepDinner)*PD_Dinner+($S167&gt;=T_RetBfast)*PD_Bfast+($S167&gt;=T_RetLunch)*PD_Lunch+($S167&gt;=T_RetDinner)*PD_Dinner+MAX($R167-$P167-1,0)*(PD_Bfast+PD_Lunch+PD_Dinner)+($R167-$P167+1)*PD_Incid))</f>
        <v/>
      </c>
      <c r="AC167" s="30"/>
      <c r="AD167" s="30" t="str">
        <f aca="false">IF($A167="","",N($T167)+N($W167)+N($AA167)+N($AB167)+N($AC167))</f>
        <v/>
      </c>
      <c r="AE167" s="30"/>
      <c r="AF167" s="30"/>
      <c r="AG167" s="30"/>
      <c r="AH167" s="30"/>
      <c r="AI167" s="30"/>
      <c r="AJ167" s="30" t="str">
        <f aca="false">IF($A167="","",IF(COUNT($AE167:$AI167)=0,"",SUM($AE167:$AI167)))</f>
        <v/>
      </c>
      <c r="AK167" s="30"/>
      <c r="AL167" s="30"/>
      <c r="AM167" s="30" t="str">
        <f aca="false">IF(OR($A167="",$AJ167=""),"",$AJ167-N($AK167)-N($AL167))</f>
        <v/>
      </c>
      <c r="AN167" s="28"/>
      <c r="AO167" s="28"/>
      <c r="AP167" s="27"/>
      <c r="AQ167" s="27"/>
      <c r="AR167" s="28" t="str">
        <f aca="false">IF(OR($A167="",$R167=""),"",$R167+ReceiptDays)</f>
        <v/>
      </c>
      <c r="AS167" s="28"/>
      <c r="AT167" s="28" t="str">
        <f aca="false">IF(OR($A167="",$P167=""),"",($P167-FinanceLeadDays)-MOD(($P167-FinanceLeadDays)-DATE(2024,1,2),7))</f>
        <v/>
      </c>
      <c r="AU167" s="28"/>
      <c r="AV167" s="27"/>
      <c r="AW167" s="27"/>
      <c r="AX167" s="30" t="n">
        <f aca="false">IF(OR($A167="",$B167="Denied",$B167="Cancelled"),0,N($AD167))</f>
        <v>0</v>
      </c>
      <c r="AY167" s="30" t="n">
        <f aca="false">IF($A167="",0,N($AJ167))</f>
        <v>0</v>
      </c>
      <c r="AZ167" s="30" t="n">
        <f aca="false">IF(OR($A167="",$B167="Denied",$B167="Cancelled",$B167="Closed"),0,IF(N($AJ167)&gt;0,0,N($AD167)))</f>
        <v>0</v>
      </c>
      <c r="BA167" s="31" t="n">
        <f aca="false">IF($A167="",0,IF($B167="Awaiting Approval",COUNTIF(BA$1:BA166,"&gt;0")+1,0))</f>
        <v>0</v>
      </c>
      <c r="BB167" s="31" t="n">
        <f aca="false">IF($A167="",0,IF(AND($B167="Approved",$AP167&lt;&gt;"Y"),COUNTIF(BB$1:BB166,"&gt;0")+1,0))</f>
        <v>0</v>
      </c>
      <c r="BC167" s="31" t="n">
        <f aca="false">IF($A167="",0,IF(AND($B167="Approved",N($U167)&gt;0,$AQ167&lt;&gt;"Y"),COUNTIF(BC$1:BC166,"&gt;0")+1,0))</f>
        <v>0</v>
      </c>
      <c r="BD167" s="31" t="n">
        <f aca="true">IF($A167="",0,IF(AND($AR167&lt;&gt;"",N($AR167)&lt;TODAY(),$AS167="",$B167&lt;&gt;"Closed",$B167&lt;&gt;"Cancelled",$B167&lt;&gt;"Denied"),COUNTIF(BD$1:BD166,"&gt;0")+1,0))</f>
        <v>0</v>
      </c>
      <c r="BE167" s="31" t="n">
        <f aca="true">IF($A167="",0,IF(AND($AT167&lt;&gt;"",N($AT167)&lt;=TODAY()+7,$AU167="",$B167&lt;&gt;"Denied",$B167&lt;&gt;"Cancelled",$B167&lt;&gt;"Closed"),COUNTIF(BE$1:BE166,"&gt;0")+1,0))</f>
        <v>0</v>
      </c>
      <c r="BF167" s="27"/>
      <c r="BG167" s="27"/>
      <c r="BH167" s="27"/>
      <c r="BI167" s="27"/>
    </row>
    <row r="168" customFormat="false" ht="15" hidden="false" customHeight="false" outlineLevel="0" collapsed="false">
      <c r="A168" s="22"/>
      <c r="B168" s="22"/>
      <c r="C168" s="22"/>
      <c r="D168" s="22"/>
      <c r="E168" s="22"/>
      <c r="F168" s="22"/>
      <c r="G168" s="22"/>
      <c r="H168" s="22"/>
      <c r="I168" s="22"/>
      <c r="J168" s="22"/>
      <c r="K168" s="22"/>
      <c r="L168" s="22"/>
      <c r="M168" s="22"/>
      <c r="N168" s="23"/>
      <c r="O168" s="23"/>
      <c r="P168" s="23"/>
      <c r="Q168" s="24"/>
      <c r="R168" s="23"/>
      <c r="S168" s="24"/>
      <c r="T168" s="25"/>
      <c r="U168" s="26"/>
      <c r="V168" s="25"/>
      <c r="W168" s="25" t="str">
        <f aca="false">IF($A168="","",N($U168)*N($V168))</f>
        <v/>
      </c>
      <c r="X168" s="22"/>
      <c r="Y168" s="26"/>
      <c r="Z168" s="25"/>
      <c r="AA168" s="25" t="str">
        <f aca="false">IF($A168="","",IF($X168="POV",N($Y168)*MileageRate,0)+N($Z168))</f>
        <v/>
      </c>
      <c r="AB168" s="25" t="str">
        <f aca="false">IF(OR($A168="",$P168="",$R168="",$Q168="",$S168=""),"",IF($R168=$P168,($Q168&lt;=T_DepBfast)*($S168&gt;=T_RetBfast)*PD_Bfast+($Q168&lt;=T_DepLunch)*($S168&gt;=T_RetLunch)*PD_Lunch+($Q168&lt;=T_DepDinner)*($S168&gt;=T_RetDinner)*PD_Dinner+PD_Incid,($Q168&lt;=T_DepBfast)*PD_Bfast+($Q168&lt;=T_DepLunch)*PD_Lunch+($Q168&lt;=T_DepDinner)*PD_Dinner+($S168&gt;=T_RetBfast)*PD_Bfast+($S168&gt;=T_RetLunch)*PD_Lunch+($S168&gt;=T_RetDinner)*PD_Dinner+MAX($R168-$P168-1,0)*(PD_Bfast+PD_Lunch+PD_Dinner)+($R168-$P168+1)*PD_Incid))</f>
        <v/>
      </c>
      <c r="AC168" s="25"/>
      <c r="AD168" s="25" t="str">
        <f aca="false">IF($A168="","",N($T168)+N($W168)+N($AA168)+N($AB168)+N($AC168))</f>
        <v/>
      </c>
      <c r="AE168" s="25"/>
      <c r="AF168" s="25"/>
      <c r="AG168" s="25"/>
      <c r="AH168" s="25"/>
      <c r="AI168" s="25"/>
      <c r="AJ168" s="25" t="str">
        <f aca="false">IF($A168="","",IF(COUNT($AE168:$AI168)=0,"",SUM($AE168:$AI168)))</f>
        <v/>
      </c>
      <c r="AK168" s="25"/>
      <c r="AL168" s="25"/>
      <c r="AM168" s="25" t="str">
        <f aca="false">IF(OR($A168="",$AJ168=""),"",$AJ168-N($AK168)-N($AL168))</f>
        <v/>
      </c>
      <c r="AN168" s="23"/>
      <c r="AO168" s="23"/>
      <c r="AP168" s="22"/>
      <c r="AQ168" s="22"/>
      <c r="AR168" s="23" t="str">
        <f aca="false">IF(OR($A168="",$R168=""),"",$R168+ReceiptDays)</f>
        <v/>
      </c>
      <c r="AS168" s="23"/>
      <c r="AT168" s="23" t="str">
        <f aca="false">IF(OR($A168="",$P168=""),"",($P168-FinanceLeadDays)-MOD(($P168-FinanceLeadDays)-DATE(2024,1,2),7))</f>
        <v/>
      </c>
      <c r="AU168" s="23"/>
      <c r="AV168" s="22"/>
      <c r="AW168" s="22"/>
      <c r="AX168" s="25" t="n">
        <f aca="false">IF(OR($A168="",$B168="Denied",$B168="Cancelled"),0,N($AD168))</f>
        <v>0</v>
      </c>
      <c r="AY168" s="25" t="n">
        <f aca="false">IF($A168="",0,N($AJ168))</f>
        <v>0</v>
      </c>
      <c r="AZ168" s="25" t="n">
        <f aca="false">IF(OR($A168="",$B168="Denied",$B168="Cancelled",$B168="Closed"),0,IF(N($AJ168)&gt;0,0,N($AD168)))</f>
        <v>0</v>
      </c>
      <c r="BA168" s="26" t="n">
        <f aca="false">IF($A168="",0,IF($B168="Awaiting Approval",COUNTIF(BA$1:BA167,"&gt;0")+1,0))</f>
        <v>0</v>
      </c>
      <c r="BB168" s="26" t="n">
        <f aca="false">IF($A168="",0,IF(AND($B168="Approved",$AP168&lt;&gt;"Y"),COUNTIF(BB$1:BB167,"&gt;0")+1,0))</f>
        <v>0</v>
      </c>
      <c r="BC168" s="26" t="n">
        <f aca="false">IF($A168="",0,IF(AND($B168="Approved",N($U168)&gt;0,$AQ168&lt;&gt;"Y"),COUNTIF(BC$1:BC167,"&gt;0")+1,0))</f>
        <v>0</v>
      </c>
      <c r="BD168" s="26" t="n">
        <f aca="true">IF($A168="",0,IF(AND($AR168&lt;&gt;"",N($AR168)&lt;TODAY(),$AS168="",$B168&lt;&gt;"Closed",$B168&lt;&gt;"Cancelled",$B168&lt;&gt;"Denied"),COUNTIF(BD$1:BD167,"&gt;0")+1,0))</f>
        <v>0</v>
      </c>
      <c r="BE168" s="26" t="n">
        <f aca="true">IF($A168="",0,IF(AND($AT168&lt;&gt;"",N($AT168)&lt;=TODAY()+7,$AU168="",$B168&lt;&gt;"Denied",$B168&lt;&gt;"Cancelled",$B168&lt;&gt;"Closed"),COUNTIF(BE$1:BE167,"&gt;0")+1,0))</f>
        <v>0</v>
      </c>
      <c r="BF168" s="22"/>
      <c r="BG168" s="22"/>
      <c r="BH168" s="22"/>
      <c r="BI168" s="22"/>
    </row>
    <row r="169" customFormat="false" ht="15" hidden="false" customHeight="false" outlineLevel="0" collapsed="false">
      <c r="A169" s="27"/>
      <c r="B169" s="27"/>
      <c r="C169" s="27"/>
      <c r="D169" s="27"/>
      <c r="E169" s="27"/>
      <c r="F169" s="27"/>
      <c r="G169" s="27"/>
      <c r="H169" s="27"/>
      <c r="I169" s="27"/>
      <c r="J169" s="27"/>
      <c r="K169" s="27"/>
      <c r="L169" s="27"/>
      <c r="M169" s="27"/>
      <c r="N169" s="28"/>
      <c r="O169" s="28"/>
      <c r="P169" s="28"/>
      <c r="Q169" s="29"/>
      <c r="R169" s="28"/>
      <c r="S169" s="29"/>
      <c r="T169" s="30"/>
      <c r="U169" s="31"/>
      <c r="V169" s="30"/>
      <c r="W169" s="30" t="str">
        <f aca="false">IF($A169="","",N($U169)*N($V169))</f>
        <v/>
      </c>
      <c r="X169" s="27"/>
      <c r="Y169" s="31"/>
      <c r="Z169" s="30"/>
      <c r="AA169" s="30" t="str">
        <f aca="false">IF($A169="","",IF($X169="POV",N($Y169)*MileageRate,0)+N($Z169))</f>
        <v/>
      </c>
      <c r="AB169" s="30" t="str">
        <f aca="false">IF(OR($A169="",$P169="",$R169="",$Q169="",$S169=""),"",IF($R169=$P169,($Q169&lt;=T_DepBfast)*($S169&gt;=T_RetBfast)*PD_Bfast+($Q169&lt;=T_DepLunch)*($S169&gt;=T_RetLunch)*PD_Lunch+($Q169&lt;=T_DepDinner)*($S169&gt;=T_RetDinner)*PD_Dinner+PD_Incid,($Q169&lt;=T_DepBfast)*PD_Bfast+($Q169&lt;=T_DepLunch)*PD_Lunch+($Q169&lt;=T_DepDinner)*PD_Dinner+($S169&gt;=T_RetBfast)*PD_Bfast+($S169&gt;=T_RetLunch)*PD_Lunch+($S169&gt;=T_RetDinner)*PD_Dinner+MAX($R169-$P169-1,0)*(PD_Bfast+PD_Lunch+PD_Dinner)+($R169-$P169+1)*PD_Incid))</f>
        <v/>
      </c>
      <c r="AC169" s="30"/>
      <c r="AD169" s="30" t="str">
        <f aca="false">IF($A169="","",N($T169)+N($W169)+N($AA169)+N($AB169)+N($AC169))</f>
        <v/>
      </c>
      <c r="AE169" s="30"/>
      <c r="AF169" s="30"/>
      <c r="AG169" s="30"/>
      <c r="AH169" s="30"/>
      <c r="AI169" s="30"/>
      <c r="AJ169" s="30" t="str">
        <f aca="false">IF($A169="","",IF(COUNT($AE169:$AI169)=0,"",SUM($AE169:$AI169)))</f>
        <v/>
      </c>
      <c r="AK169" s="30"/>
      <c r="AL169" s="30"/>
      <c r="AM169" s="30" t="str">
        <f aca="false">IF(OR($A169="",$AJ169=""),"",$AJ169-N($AK169)-N($AL169))</f>
        <v/>
      </c>
      <c r="AN169" s="28"/>
      <c r="AO169" s="28"/>
      <c r="AP169" s="27"/>
      <c r="AQ169" s="27"/>
      <c r="AR169" s="28" t="str">
        <f aca="false">IF(OR($A169="",$R169=""),"",$R169+ReceiptDays)</f>
        <v/>
      </c>
      <c r="AS169" s="28"/>
      <c r="AT169" s="28" t="str">
        <f aca="false">IF(OR($A169="",$P169=""),"",($P169-FinanceLeadDays)-MOD(($P169-FinanceLeadDays)-DATE(2024,1,2),7))</f>
        <v/>
      </c>
      <c r="AU169" s="28"/>
      <c r="AV169" s="27"/>
      <c r="AW169" s="27"/>
      <c r="AX169" s="30" t="n">
        <f aca="false">IF(OR($A169="",$B169="Denied",$B169="Cancelled"),0,N($AD169))</f>
        <v>0</v>
      </c>
      <c r="AY169" s="30" t="n">
        <f aca="false">IF($A169="",0,N($AJ169))</f>
        <v>0</v>
      </c>
      <c r="AZ169" s="30" t="n">
        <f aca="false">IF(OR($A169="",$B169="Denied",$B169="Cancelled",$B169="Closed"),0,IF(N($AJ169)&gt;0,0,N($AD169)))</f>
        <v>0</v>
      </c>
      <c r="BA169" s="31" t="n">
        <f aca="false">IF($A169="",0,IF($B169="Awaiting Approval",COUNTIF(BA$1:BA168,"&gt;0")+1,0))</f>
        <v>0</v>
      </c>
      <c r="BB169" s="31" t="n">
        <f aca="false">IF($A169="",0,IF(AND($B169="Approved",$AP169&lt;&gt;"Y"),COUNTIF(BB$1:BB168,"&gt;0")+1,0))</f>
        <v>0</v>
      </c>
      <c r="BC169" s="31" t="n">
        <f aca="false">IF($A169="",0,IF(AND($B169="Approved",N($U169)&gt;0,$AQ169&lt;&gt;"Y"),COUNTIF(BC$1:BC168,"&gt;0")+1,0))</f>
        <v>0</v>
      </c>
      <c r="BD169" s="31" t="n">
        <f aca="true">IF($A169="",0,IF(AND($AR169&lt;&gt;"",N($AR169)&lt;TODAY(),$AS169="",$B169&lt;&gt;"Closed",$B169&lt;&gt;"Cancelled",$B169&lt;&gt;"Denied"),COUNTIF(BD$1:BD168,"&gt;0")+1,0))</f>
        <v>0</v>
      </c>
      <c r="BE169" s="31" t="n">
        <f aca="true">IF($A169="",0,IF(AND($AT169&lt;&gt;"",N($AT169)&lt;=TODAY()+7,$AU169="",$B169&lt;&gt;"Denied",$B169&lt;&gt;"Cancelled",$B169&lt;&gt;"Closed"),COUNTIF(BE$1:BE168,"&gt;0")+1,0))</f>
        <v>0</v>
      </c>
      <c r="BF169" s="27"/>
      <c r="BG169" s="27"/>
      <c r="BH169" s="27"/>
      <c r="BI169" s="27"/>
    </row>
    <row r="170" customFormat="false" ht="15" hidden="false" customHeight="false" outlineLevel="0" collapsed="false">
      <c r="A170" s="22"/>
      <c r="B170" s="22"/>
      <c r="C170" s="22"/>
      <c r="D170" s="22"/>
      <c r="E170" s="22"/>
      <c r="F170" s="22"/>
      <c r="G170" s="22"/>
      <c r="H170" s="22"/>
      <c r="I170" s="22"/>
      <c r="J170" s="22"/>
      <c r="K170" s="22"/>
      <c r="L170" s="22"/>
      <c r="M170" s="22"/>
      <c r="N170" s="23"/>
      <c r="O170" s="23"/>
      <c r="P170" s="23"/>
      <c r="Q170" s="24"/>
      <c r="R170" s="23"/>
      <c r="S170" s="24"/>
      <c r="T170" s="25"/>
      <c r="U170" s="26"/>
      <c r="V170" s="25"/>
      <c r="W170" s="25" t="str">
        <f aca="false">IF($A170="","",N($U170)*N($V170))</f>
        <v/>
      </c>
      <c r="X170" s="22"/>
      <c r="Y170" s="26"/>
      <c r="Z170" s="25"/>
      <c r="AA170" s="25" t="str">
        <f aca="false">IF($A170="","",IF($X170="POV",N($Y170)*MileageRate,0)+N($Z170))</f>
        <v/>
      </c>
      <c r="AB170" s="25" t="str">
        <f aca="false">IF(OR($A170="",$P170="",$R170="",$Q170="",$S170=""),"",IF($R170=$P170,($Q170&lt;=T_DepBfast)*($S170&gt;=T_RetBfast)*PD_Bfast+($Q170&lt;=T_DepLunch)*($S170&gt;=T_RetLunch)*PD_Lunch+($Q170&lt;=T_DepDinner)*($S170&gt;=T_RetDinner)*PD_Dinner+PD_Incid,($Q170&lt;=T_DepBfast)*PD_Bfast+($Q170&lt;=T_DepLunch)*PD_Lunch+($Q170&lt;=T_DepDinner)*PD_Dinner+($S170&gt;=T_RetBfast)*PD_Bfast+($S170&gt;=T_RetLunch)*PD_Lunch+($S170&gt;=T_RetDinner)*PD_Dinner+MAX($R170-$P170-1,0)*(PD_Bfast+PD_Lunch+PD_Dinner)+($R170-$P170+1)*PD_Incid))</f>
        <v/>
      </c>
      <c r="AC170" s="25"/>
      <c r="AD170" s="25" t="str">
        <f aca="false">IF($A170="","",N($T170)+N($W170)+N($AA170)+N($AB170)+N($AC170))</f>
        <v/>
      </c>
      <c r="AE170" s="25"/>
      <c r="AF170" s="25"/>
      <c r="AG170" s="25"/>
      <c r="AH170" s="25"/>
      <c r="AI170" s="25"/>
      <c r="AJ170" s="25" t="str">
        <f aca="false">IF($A170="","",IF(COUNT($AE170:$AI170)=0,"",SUM($AE170:$AI170)))</f>
        <v/>
      </c>
      <c r="AK170" s="25"/>
      <c r="AL170" s="25"/>
      <c r="AM170" s="25" t="str">
        <f aca="false">IF(OR($A170="",$AJ170=""),"",$AJ170-N($AK170)-N($AL170))</f>
        <v/>
      </c>
      <c r="AN170" s="23"/>
      <c r="AO170" s="23"/>
      <c r="AP170" s="22"/>
      <c r="AQ170" s="22"/>
      <c r="AR170" s="23" t="str">
        <f aca="false">IF(OR($A170="",$R170=""),"",$R170+ReceiptDays)</f>
        <v/>
      </c>
      <c r="AS170" s="23"/>
      <c r="AT170" s="23" t="str">
        <f aca="false">IF(OR($A170="",$P170=""),"",($P170-FinanceLeadDays)-MOD(($P170-FinanceLeadDays)-DATE(2024,1,2),7))</f>
        <v/>
      </c>
      <c r="AU170" s="23"/>
      <c r="AV170" s="22"/>
      <c r="AW170" s="22"/>
      <c r="AX170" s="25" t="n">
        <f aca="false">IF(OR($A170="",$B170="Denied",$B170="Cancelled"),0,N($AD170))</f>
        <v>0</v>
      </c>
      <c r="AY170" s="25" t="n">
        <f aca="false">IF($A170="",0,N($AJ170))</f>
        <v>0</v>
      </c>
      <c r="AZ170" s="25" t="n">
        <f aca="false">IF(OR($A170="",$B170="Denied",$B170="Cancelled",$B170="Closed"),0,IF(N($AJ170)&gt;0,0,N($AD170)))</f>
        <v>0</v>
      </c>
      <c r="BA170" s="26" t="n">
        <f aca="false">IF($A170="",0,IF($B170="Awaiting Approval",COUNTIF(BA$1:BA169,"&gt;0")+1,0))</f>
        <v>0</v>
      </c>
      <c r="BB170" s="26" t="n">
        <f aca="false">IF($A170="",0,IF(AND($B170="Approved",$AP170&lt;&gt;"Y"),COUNTIF(BB$1:BB169,"&gt;0")+1,0))</f>
        <v>0</v>
      </c>
      <c r="BC170" s="26" t="n">
        <f aca="false">IF($A170="",0,IF(AND($B170="Approved",N($U170)&gt;0,$AQ170&lt;&gt;"Y"),COUNTIF(BC$1:BC169,"&gt;0")+1,0))</f>
        <v>0</v>
      </c>
      <c r="BD170" s="26" t="n">
        <f aca="true">IF($A170="",0,IF(AND($AR170&lt;&gt;"",N($AR170)&lt;TODAY(),$AS170="",$B170&lt;&gt;"Closed",$B170&lt;&gt;"Cancelled",$B170&lt;&gt;"Denied"),COUNTIF(BD$1:BD169,"&gt;0")+1,0))</f>
        <v>0</v>
      </c>
      <c r="BE170" s="26" t="n">
        <f aca="true">IF($A170="",0,IF(AND($AT170&lt;&gt;"",N($AT170)&lt;=TODAY()+7,$AU170="",$B170&lt;&gt;"Denied",$B170&lt;&gt;"Cancelled",$B170&lt;&gt;"Closed"),COUNTIF(BE$1:BE169,"&gt;0")+1,0))</f>
        <v>0</v>
      </c>
      <c r="BF170" s="22"/>
      <c r="BG170" s="22"/>
      <c r="BH170" s="22"/>
      <c r="BI170" s="22"/>
    </row>
    <row r="171" customFormat="false" ht="15" hidden="false" customHeight="false" outlineLevel="0" collapsed="false">
      <c r="A171" s="27"/>
      <c r="B171" s="27"/>
      <c r="C171" s="27"/>
      <c r="D171" s="27"/>
      <c r="E171" s="27"/>
      <c r="F171" s="27"/>
      <c r="G171" s="27"/>
      <c r="H171" s="27"/>
      <c r="I171" s="27"/>
      <c r="J171" s="27"/>
      <c r="K171" s="27"/>
      <c r="L171" s="27"/>
      <c r="M171" s="27"/>
      <c r="N171" s="28"/>
      <c r="O171" s="28"/>
      <c r="P171" s="28"/>
      <c r="Q171" s="29"/>
      <c r="R171" s="28"/>
      <c r="S171" s="29"/>
      <c r="T171" s="30"/>
      <c r="U171" s="31"/>
      <c r="V171" s="30"/>
      <c r="W171" s="30" t="str">
        <f aca="false">IF($A171="","",N($U171)*N($V171))</f>
        <v/>
      </c>
      <c r="X171" s="27"/>
      <c r="Y171" s="31"/>
      <c r="Z171" s="30"/>
      <c r="AA171" s="30" t="str">
        <f aca="false">IF($A171="","",IF($X171="POV",N($Y171)*MileageRate,0)+N($Z171))</f>
        <v/>
      </c>
      <c r="AB171" s="30" t="str">
        <f aca="false">IF(OR($A171="",$P171="",$R171="",$Q171="",$S171=""),"",IF($R171=$P171,($Q171&lt;=T_DepBfast)*($S171&gt;=T_RetBfast)*PD_Bfast+($Q171&lt;=T_DepLunch)*($S171&gt;=T_RetLunch)*PD_Lunch+($Q171&lt;=T_DepDinner)*($S171&gt;=T_RetDinner)*PD_Dinner+PD_Incid,($Q171&lt;=T_DepBfast)*PD_Bfast+($Q171&lt;=T_DepLunch)*PD_Lunch+($Q171&lt;=T_DepDinner)*PD_Dinner+($S171&gt;=T_RetBfast)*PD_Bfast+($S171&gt;=T_RetLunch)*PD_Lunch+($S171&gt;=T_RetDinner)*PD_Dinner+MAX($R171-$P171-1,0)*(PD_Bfast+PD_Lunch+PD_Dinner)+($R171-$P171+1)*PD_Incid))</f>
        <v/>
      </c>
      <c r="AC171" s="30"/>
      <c r="AD171" s="30" t="str">
        <f aca="false">IF($A171="","",N($T171)+N($W171)+N($AA171)+N($AB171)+N($AC171))</f>
        <v/>
      </c>
      <c r="AE171" s="30"/>
      <c r="AF171" s="30"/>
      <c r="AG171" s="30"/>
      <c r="AH171" s="30"/>
      <c r="AI171" s="30"/>
      <c r="AJ171" s="30" t="str">
        <f aca="false">IF($A171="","",IF(COUNT($AE171:$AI171)=0,"",SUM($AE171:$AI171)))</f>
        <v/>
      </c>
      <c r="AK171" s="30"/>
      <c r="AL171" s="30"/>
      <c r="AM171" s="30" t="str">
        <f aca="false">IF(OR($A171="",$AJ171=""),"",$AJ171-N($AK171)-N($AL171))</f>
        <v/>
      </c>
      <c r="AN171" s="28"/>
      <c r="AO171" s="28"/>
      <c r="AP171" s="27"/>
      <c r="AQ171" s="27"/>
      <c r="AR171" s="28" t="str">
        <f aca="false">IF(OR($A171="",$R171=""),"",$R171+ReceiptDays)</f>
        <v/>
      </c>
      <c r="AS171" s="28"/>
      <c r="AT171" s="28" t="str">
        <f aca="false">IF(OR($A171="",$P171=""),"",($P171-FinanceLeadDays)-MOD(($P171-FinanceLeadDays)-DATE(2024,1,2),7))</f>
        <v/>
      </c>
      <c r="AU171" s="28"/>
      <c r="AV171" s="27"/>
      <c r="AW171" s="27"/>
      <c r="AX171" s="30" t="n">
        <f aca="false">IF(OR($A171="",$B171="Denied",$B171="Cancelled"),0,N($AD171))</f>
        <v>0</v>
      </c>
      <c r="AY171" s="30" t="n">
        <f aca="false">IF($A171="",0,N($AJ171))</f>
        <v>0</v>
      </c>
      <c r="AZ171" s="30" t="n">
        <f aca="false">IF(OR($A171="",$B171="Denied",$B171="Cancelled",$B171="Closed"),0,IF(N($AJ171)&gt;0,0,N($AD171)))</f>
        <v>0</v>
      </c>
      <c r="BA171" s="31" t="n">
        <f aca="false">IF($A171="",0,IF($B171="Awaiting Approval",COUNTIF(BA$1:BA170,"&gt;0")+1,0))</f>
        <v>0</v>
      </c>
      <c r="BB171" s="31" t="n">
        <f aca="false">IF($A171="",0,IF(AND($B171="Approved",$AP171&lt;&gt;"Y"),COUNTIF(BB$1:BB170,"&gt;0")+1,0))</f>
        <v>0</v>
      </c>
      <c r="BC171" s="31" t="n">
        <f aca="false">IF($A171="",0,IF(AND($B171="Approved",N($U171)&gt;0,$AQ171&lt;&gt;"Y"),COUNTIF(BC$1:BC170,"&gt;0")+1,0))</f>
        <v>0</v>
      </c>
      <c r="BD171" s="31" t="n">
        <f aca="true">IF($A171="",0,IF(AND($AR171&lt;&gt;"",N($AR171)&lt;TODAY(),$AS171="",$B171&lt;&gt;"Closed",$B171&lt;&gt;"Cancelled",$B171&lt;&gt;"Denied"),COUNTIF(BD$1:BD170,"&gt;0")+1,0))</f>
        <v>0</v>
      </c>
      <c r="BE171" s="31" t="n">
        <f aca="true">IF($A171="",0,IF(AND($AT171&lt;&gt;"",N($AT171)&lt;=TODAY()+7,$AU171="",$B171&lt;&gt;"Denied",$B171&lt;&gt;"Cancelled",$B171&lt;&gt;"Closed"),COUNTIF(BE$1:BE170,"&gt;0")+1,0))</f>
        <v>0</v>
      </c>
      <c r="BF171" s="27"/>
      <c r="BG171" s="27"/>
      <c r="BH171" s="27"/>
      <c r="BI171" s="27"/>
    </row>
    <row r="172" customFormat="false" ht="15" hidden="false" customHeight="false" outlineLevel="0" collapsed="false">
      <c r="A172" s="22"/>
      <c r="B172" s="22"/>
      <c r="C172" s="22"/>
      <c r="D172" s="22"/>
      <c r="E172" s="22"/>
      <c r="F172" s="22"/>
      <c r="G172" s="22"/>
      <c r="H172" s="22"/>
      <c r="I172" s="22"/>
      <c r="J172" s="22"/>
      <c r="K172" s="22"/>
      <c r="L172" s="22"/>
      <c r="M172" s="22"/>
      <c r="N172" s="23"/>
      <c r="O172" s="23"/>
      <c r="P172" s="23"/>
      <c r="Q172" s="24"/>
      <c r="R172" s="23"/>
      <c r="S172" s="24"/>
      <c r="T172" s="25"/>
      <c r="U172" s="26"/>
      <c r="V172" s="25"/>
      <c r="W172" s="25" t="str">
        <f aca="false">IF($A172="","",N($U172)*N($V172))</f>
        <v/>
      </c>
      <c r="X172" s="22"/>
      <c r="Y172" s="26"/>
      <c r="Z172" s="25"/>
      <c r="AA172" s="25" t="str">
        <f aca="false">IF($A172="","",IF($X172="POV",N($Y172)*MileageRate,0)+N($Z172))</f>
        <v/>
      </c>
      <c r="AB172" s="25" t="str">
        <f aca="false">IF(OR($A172="",$P172="",$R172="",$Q172="",$S172=""),"",IF($R172=$P172,($Q172&lt;=T_DepBfast)*($S172&gt;=T_RetBfast)*PD_Bfast+($Q172&lt;=T_DepLunch)*($S172&gt;=T_RetLunch)*PD_Lunch+($Q172&lt;=T_DepDinner)*($S172&gt;=T_RetDinner)*PD_Dinner+PD_Incid,($Q172&lt;=T_DepBfast)*PD_Bfast+($Q172&lt;=T_DepLunch)*PD_Lunch+($Q172&lt;=T_DepDinner)*PD_Dinner+($S172&gt;=T_RetBfast)*PD_Bfast+($S172&gt;=T_RetLunch)*PD_Lunch+($S172&gt;=T_RetDinner)*PD_Dinner+MAX($R172-$P172-1,0)*(PD_Bfast+PD_Lunch+PD_Dinner)+($R172-$P172+1)*PD_Incid))</f>
        <v/>
      </c>
      <c r="AC172" s="25"/>
      <c r="AD172" s="25" t="str">
        <f aca="false">IF($A172="","",N($T172)+N($W172)+N($AA172)+N($AB172)+N($AC172))</f>
        <v/>
      </c>
      <c r="AE172" s="25"/>
      <c r="AF172" s="25"/>
      <c r="AG172" s="25"/>
      <c r="AH172" s="25"/>
      <c r="AI172" s="25"/>
      <c r="AJ172" s="25" t="str">
        <f aca="false">IF($A172="","",IF(COUNT($AE172:$AI172)=0,"",SUM($AE172:$AI172)))</f>
        <v/>
      </c>
      <c r="AK172" s="25"/>
      <c r="AL172" s="25"/>
      <c r="AM172" s="25" t="str">
        <f aca="false">IF(OR($A172="",$AJ172=""),"",$AJ172-N($AK172)-N($AL172))</f>
        <v/>
      </c>
      <c r="AN172" s="23"/>
      <c r="AO172" s="23"/>
      <c r="AP172" s="22"/>
      <c r="AQ172" s="22"/>
      <c r="AR172" s="23" t="str">
        <f aca="false">IF(OR($A172="",$R172=""),"",$R172+ReceiptDays)</f>
        <v/>
      </c>
      <c r="AS172" s="23"/>
      <c r="AT172" s="23" t="str">
        <f aca="false">IF(OR($A172="",$P172=""),"",($P172-FinanceLeadDays)-MOD(($P172-FinanceLeadDays)-DATE(2024,1,2),7))</f>
        <v/>
      </c>
      <c r="AU172" s="23"/>
      <c r="AV172" s="22"/>
      <c r="AW172" s="22"/>
      <c r="AX172" s="25" t="n">
        <f aca="false">IF(OR($A172="",$B172="Denied",$B172="Cancelled"),0,N($AD172))</f>
        <v>0</v>
      </c>
      <c r="AY172" s="25" t="n">
        <f aca="false">IF($A172="",0,N($AJ172))</f>
        <v>0</v>
      </c>
      <c r="AZ172" s="25" t="n">
        <f aca="false">IF(OR($A172="",$B172="Denied",$B172="Cancelled",$B172="Closed"),0,IF(N($AJ172)&gt;0,0,N($AD172)))</f>
        <v>0</v>
      </c>
      <c r="BA172" s="26" t="n">
        <f aca="false">IF($A172="",0,IF($B172="Awaiting Approval",COUNTIF(BA$1:BA171,"&gt;0")+1,0))</f>
        <v>0</v>
      </c>
      <c r="BB172" s="26" t="n">
        <f aca="false">IF($A172="",0,IF(AND($B172="Approved",$AP172&lt;&gt;"Y"),COUNTIF(BB$1:BB171,"&gt;0")+1,0))</f>
        <v>0</v>
      </c>
      <c r="BC172" s="26" t="n">
        <f aca="false">IF($A172="",0,IF(AND($B172="Approved",N($U172)&gt;0,$AQ172&lt;&gt;"Y"),COUNTIF(BC$1:BC171,"&gt;0")+1,0))</f>
        <v>0</v>
      </c>
      <c r="BD172" s="26" t="n">
        <f aca="true">IF($A172="",0,IF(AND($AR172&lt;&gt;"",N($AR172)&lt;TODAY(),$AS172="",$B172&lt;&gt;"Closed",$B172&lt;&gt;"Cancelled",$B172&lt;&gt;"Denied"),COUNTIF(BD$1:BD171,"&gt;0")+1,0))</f>
        <v>0</v>
      </c>
      <c r="BE172" s="26" t="n">
        <f aca="true">IF($A172="",0,IF(AND($AT172&lt;&gt;"",N($AT172)&lt;=TODAY()+7,$AU172="",$B172&lt;&gt;"Denied",$B172&lt;&gt;"Cancelled",$B172&lt;&gt;"Closed"),COUNTIF(BE$1:BE171,"&gt;0")+1,0))</f>
        <v>0</v>
      </c>
      <c r="BF172" s="22"/>
      <c r="BG172" s="22"/>
      <c r="BH172" s="22"/>
      <c r="BI172" s="22"/>
    </row>
    <row r="173" customFormat="false" ht="15" hidden="false" customHeight="false" outlineLevel="0" collapsed="false">
      <c r="A173" s="27"/>
      <c r="B173" s="27"/>
      <c r="C173" s="27"/>
      <c r="D173" s="27"/>
      <c r="E173" s="27"/>
      <c r="F173" s="27"/>
      <c r="G173" s="27"/>
      <c r="H173" s="27"/>
      <c r="I173" s="27"/>
      <c r="J173" s="27"/>
      <c r="K173" s="27"/>
      <c r="L173" s="27"/>
      <c r="M173" s="27"/>
      <c r="N173" s="28"/>
      <c r="O173" s="28"/>
      <c r="P173" s="28"/>
      <c r="Q173" s="29"/>
      <c r="R173" s="28"/>
      <c r="S173" s="29"/>
      <c r="T173" s="30"/>
      <c r="U173" s="31"/>
      <c r="V173" s="30"/>
      <c r="W173" s="30" t="str">
        <f aca="false">IF($A173="","",N($U173)*N($V173))</f>
        <v/>
      </c>
      <c r="X173" s="27"/>
      <c r="Y173" s="31"/>
      <c r="Z173" s="30"/>
      <c r="AA173" s="30" t="str">
        <f aca="false">IF($A173="","",IF($X173="POV",N($Y173)*MileageRate,0)+N($Z173))</f>
        <v/>
      </c>
      <c r="AB173" s="30" t="str">
        <f aca="false">IF(OR($A173="",$P173="",$R173="",$Q173="",$S173=""),"",IF($R173=$P173,($Q173&lt;=T_DepBfast)*($S173&gt;=T_RetBfast)*PD_Bfast+($Q173&lt;=T_DepLunch)*($S173&gt;=T_RetLunch)*PD_Lunch+($Q173&lt;=T_DepDinner)*($S173&gt;=T_RetDinner)*PD_Dinner+PD_Incid,($Q173&lt;=T_DepBfast)*PD_Bfast+($Q173&lt;=T_DepLunch)*PD_Lunch+($Q173&lt;=T_DepDinner)*PD_Dinner+($S173&gt;=T_RetBfast)*PD_Bfast+($S173&gt;=T_RetLunch)*PD_Lunch+($S173&gt;=T_RetDinner)*PD_Dinner+MAX($R173-$P173-1,0)*(PD_Bfast+PD_Lunch+PD_Dinner)+($R173-$P173+1)*PD_Incid))</f>
        <v/>
      </c>
      <c r="AC173" s="30"/>
      <c r="AD173" s="30" t="str">
        <f aca="false">IF($A173="","",N($T173)+N($W173)+N($AA173)+N($AB173)+N($AC173))</f>
        <v/>
      </c>
      <c r="AE173" s="30"/>
      <c r="AF173" s="30"/>
      <c r="AG173" s="30"/>
      <c r="AH173" s="30"/>
      <c r="AI173" s="30"/>
      <c r="AJ173" s="30" t="str">
        <f aca="false">IF($A173="","",IF(COUNT($AE173:$AI173)=0,"",SUM($AE173:$AI173)))</f>
        <v/>
      </c>
      <c r="AK173" s="30"/>
      <c r="AL173" s="30"/>
      <c r="AM173" s="30" t="str">
        <f aca="false">IF(OR($A173="",$AJ173=""),"",$AJ173-N($AK173)-N($AL173))</f>
        <v/>
      </c>
      <c r="AN173" s="28"/>
      <c r="AO173" s="28"/>
      <c r="AP173" s="27"/>
      <c r="AQ173" s="27"/>
      <c r="AR173" s="28" t="str">
        <f aca="false">IF(OR($A173="",$R173=""),"",$R173+ReceiptDays)</f>
        <v/>
      </c>
      <c r="AS173" s="28"/>
      <c r="AT173" s="28" t="str">
        <f aca="false">IF(OR($A173="",$P173=""),"",($P173-FinanceLeadDays)-MOD(($P173-FinanceLeadDays)-DATE(2024,1,2),7))</f>
        <v/>
      </c>
      <c r="AU173" s="28"/>
      <c r="AV173" s="27"/>
      <c r="AW173" s="27"/>
      <c r="AX173" s="30" t="n">
        <f aca="false">IF(OR($A173="",$B173="Denied",$B173="Cancelled"),0,N($AD173))</f>
        <v>0</v>
      </c>
      <c r="AY173" s="30" t="n">
        <f aca="false">IF($A173="",0,N($AJ173))</f>
        <v>0</v>
      </c>
      <c r="AZ173" s="30" t="n">
        <f aca="false">IF(OR($A173="",$B173="Denied",$B173="Cancelled",$B173="Closed"),0,IF(N($AJ173)&gt;0,0,N($AD173)))</f>
        <v>0</v>
      </c>
      <c r="BA173" s="31" t="n">
        <f aca="false">IF($A173="",0,IF($B173="Awaiting Approval",COUNTIF(BA$1:BA172,"&gt;0")+1,0))</f>
        <v>0</v>
      </c>
      <c r="BB173" s="31" t="n">
        <f aca="false">IF($A173="",0,IF(AND($B173="Approved",$AP173&lt;&gt;"Y"),COUNTIF(BB$1:BB172,"&gt;0")+1,0))</f>
        <v>0</v>
      </c>
      <c r="BC173" s="31" t="n">
        <f aca="false">IF($A173="",0,IF(AND($B173="Approved",N($U173)&gt;0,$AQ173&lt;&gt;"Y"),COUNTIF(BC$1:BC172,"&gt;0")+1,0))</f>
        <v>0</v>
      </c>
      <c r="BD173" s="31" t="n">
        <f aca="true">IF($A173="",0,IF(AND($AR173&lt;&gt;"",N($AR173)&lt;TODAY(),$AS173="",$B173&lt;&gt;"Closed",$B173&lt;&gt;"Cancelled",$B173&lt;&gt;"Denied"),COUNTIF(BD$1:BD172,"&gt;0")+1,0))</f>
        <v>0</v>
      </c>
      <c r="BE173" s="31" t="n">
        <f aca="true">IF($A173="",0,IF(AND($AT173&lt;&gt;"",N($AT173)&lt;=TODAY()+7,$AU173="",$B173&lt;&gt;"Denied",$B173&lt;&gt;"Cancelled",$B173&lt;&gt;"Closed"),COUNTIF(BE$1:BE172,"&gt;0")+1,0))</f>
        <v>0</v>
      </c>
      <c r="BF173" s="27"/>
      <c r="BG173" s="27"/>
      <c r="BH173" s="27"/>
      <c r="BI173" s="27"/>
    </row>
    <row r="174" customFormat="false" ht="15" hidden="false" customHeight="false" outlineLevel="0" collapsed="false">
      <c r="A174" s="22"/>
      <c r="B174" s="22"/>
      <c r="C174" s="22"/>
      <c r="D174" s="22"/>
      <c r="E174" s="22"/>
      <c r="F174" s="22"/>
      <c r="G174" s="22"/>
      <c r="H174" s="22"/>
      <c r="I174" s="22"/>
      <c r="J174" s="22"/>
      <c r="K174" s="22"/>
      <c r="L174" s="22"/>
      <c r="M174" s="22"/>
      <c r="N174" s="23"/>
      <c r="O174" s="23"/>
      <c r="P174" s="23"/>
      <c r="Q174" s="24"/>
      <c r="R174" s="23"/>
      <c r="S174" s="24"/>
      <c r="T174" s="25"/>
      <c r="U174" s="26"/>
      <c r="V174" s="25"/>
      <c r="W174" s="25" t="str">
        <f aca="false">IF($A174="","",N($U174)*N($V174))</f>
        <v/>
      </c>
      <c r="X174" s="22"/>
      <c r="Y174" s="26"/>
      <c r="Z174" s="25"/>
      <c r="AA174" s="25" t="str">
        <f aca="false">IF($A174="","",IF($X174="POV",N($Y174)*MileageRate,0)+N($Z174))</f>
        <v/>
      </c>
      <c r="AB174" s="25" t="str">
        <f aca="false">IF(OR($A174="",$P174="",$R174="",$Q174="",$S174=""),"",IF($R174=$P174,($Q174&lt;=T_DepBfast)*($S174&gt;=T_RetBfast)*PD_Bfast+($Q174&lt;=T_DepLunch)*($S174&gt;=T_RetLunch)*PD_Lunch+($Q174&lt;=T_DepDinner)*($S174&gt;=T_RetDinner)*PD_Dinner+PD_Incid,($Q174&lt;=T_DepBfast)*PD_Bfast+($Q174&lt;=T_DepLunch)*PD_Lunch+($Q174&lt;=T_DepDinner)*PD_Dinner+($S174&gt;=T_RetBfast)*PD_Bfast+($S174&gt;=T_RetLunch)*PD_Lunch+($S174&gt;=T_RetDinner)*PD_Dinner+MAX($R174-$P174-1,0)*(PD_Bfast+PD_Lunch+PD_Dinner)+($R174-$P174+1)*PD_Incid))</f>
        <v/>
      </c>
      <c r="AC174" s="25"/>
      <c r="AD174" s="25" t="str">
        <f aca="false">IF($A174="","",N($T174)+N($W174)+N($AA174)+N($AB174)+N($AC174))</f>
        <v/>
      </c>
      <c r="AE174" s="25"/>
      <c r="AF174" s="25"/>
      <c r="AG174" s="25"/>
      <c r="AH174" s="25"/>
      <c r="AI174" s="25"/>
      <c r="AJ174" s="25" t="str">
        <f aca="false">IF($A174="","",IF(COUNT($AE174:$AI174)=0,"",SUM($AE174:$AI174)))</f>
        <v/>
      </c>
      <c r="AK174" s="25"/>
      <c r="AL174" s="25"/>
      <c r="AM174" s="25" t="str">
        <f aca="false">IF(OR($A174="",$AJ174=""),"",$AJ174-N($AK174)-N($AL174))</f>
        <v/>
      </c>
      <c r="AN174" s="23"/>
      <c r="AO174" s="23"/>
      <c r="AP174" s="22"/>
      <c r="AQ174" s="22"/>
      <c r="AR174" s="23" t="str">
        <f aca="false">IF(OR($A174="",$R174=""),"",$R174+ReceiptDays)</f>
        <v/>
      </c>
      <c r="AS174" s="23"/>
      <c r="AT174" s="23" t="str">
        <f aca="false">IF(OR($A174="",$P174=""),"",($P174-FinanceLeadDays)-MOD(($P174-FinanceLeadDays)-DATE(2024,1,2),7))</f>
        <v/>
      </c>
      <c r="AU174" s="23"/>
      <c r="AV174" s="22"/>
      <c r="AW174" s="22"/>
      <c r="AX174" s="25" t="n">
        <f aca="false">IF(OR($A174="",$B174="Denied",$B174="Cancelled"),0,N($AD174))</f>
        <v>0</v>
      </c>
      <c r="AY174" s="25" t="n">
        <f aca="false">IF($A174="",0,N($AJ174))</f>
        <v>0</v>
      </c>
      <c r="AZ174" s="25" t="n">
        <f aca="false">IF(OR($A174="",$B174="Denied",$B174="Cancelled",$B174="Closed"),0,IF(N($AJ174)&gt;0,0,N($AD174)))</f>
        <v>0</v>
      </c>
      <c r="BA174" s="26" t="n">
        <f aca="false">IF($A174="",0,IF($B174="Awaiting Approval",COUNTIF(BA$1:BA173,"&gt;0")+1,0))</f>
        <v>0</v>
      </c>
      <c r="BB174" s="26" t="n">
        <f aca="false">IF($A174="",0,IF(AND($B174="Approved",$AP174&lt;&gt;"Y"),COUNTIF(BB$1:BB173,"&gt;0")+1,0))</f>
        <v>0</v>
      </c>
      <c r="BC174" s="26" t="n">
        <f aca="false">IF($A174="",0,IF(AND($B174="Approved",N($U174)&gt;0,$AQ174&lt;&gt;"Y"),COUNTIF(BC$1:BC173,"&gt;0")+1,0))</f>
        <v>0</v>
      </c>
      <c r="BD174" s="26" t="n">
        <f aca="true">IF($A174="",0,IF(AND($AR174&lt;&gt;"",N($AR174)&lt;TODAY(),$AS174="",$B174&lt;&gt;"Closed",$B174&lt;&gt;"Cancelled",$B174&lt;&gt;"Denied"),COUNTIF(BD$1:BD173,"&gt;0")+1,0))</f>
        <v>0</v>
      </c>
      <c r="BE174" s="26" t="n">
        <f aca="true">IF($A174="",0,IF(AND($AT174&lt;&gt;"",N($AT174)&lt;=TODAY()+7,$AU174="",$B174&lt;&gt;"Denied",$B174&lt;&gt;"Cancelled",$B174&lt;&gt;"Closed"),COUNTIF(BE$1:BE173,"&gt;0")+1,0))</f>
        <v>0</v>
      </c>
      <c r="BF174" s="22"/>
      <c r="BG174" s="22"/>
      <c r="BH174" s="22"/>
      <c r="BI174" s="22"/>
    </row>
    <row r="175" customFormat="false" ht="15" hidden="false" customHeight="false" outlineLevel="0" collapsed="false">
      <c r="A175" s="27"/>
      <c r="B175" s="27"/>
      <c r="C175" s="27"/>
      <c r="D175" s="27"/>
      <c r="E175" s="27"/>
      <c r="F175" s="27"/>
      <c r="G175" s="27"/>
      <c r="H175" s="27"/>
      <c r="I175" s="27"/>
      <c r="J175" s="27"/>
      <c r="K175" s="27"/>
      <c r="L175" s="27"/>
      <c r="M175" s="27"/>
      <c r="N175" s="28"/>
      <c r="O175" s="28"/>
      <c r="P175" s="28"/>
      <c r="Q175" s="29"/>
      <c r="R175" s="28"/>
      <c r="S175" s="29"/>
      <c r="T175" s="30"/>
      <c r="U175" s="31"/>
      <c r="V175" s="30"/>
      <c r="W175" s="30" t="str">
        <f aca="false">IF($A175="","",N($U175)*N($V175))</f>
        <v/>
      </c>
      <c r="X175" s="27"/>
      <c r="Y175" s="31"/>
      <c r="Z175" s="30"/>
      <c r="AA175" s="30" t="str">
        <f aca="false">IF($A175="","",IF($X175="POV",N($Y175)*MileageRate,0)+N($Z175))</f>
        <v/>
      </c>
      <c r="AB175" s="30" t="str">
        <f aca="false">IF(OR($A175="",$P175="",$R175="",$Q175="",$S175=""),"",IF($R175=$P175,($Q175&lt;=T_DepBfast)*($S175&gt;=T_RetBfast)*PD_Bfast+($Q175&lt;=T_DepLunch)*($S175&gt;=T_RetLunch)*PD_Lunch+($Q175&lt;=T_DepDinner)*($S175&gt;=T_RetDinner)*PD_Dinner+PD_Incid,($Q175&lt;=T_DepBfast)*PD_Bfast+($Q175&lt;=T_DepLunch)*PD_Lunch+($Q175&lt;=T_DepDinner)*PD_Dinner+($S175&gt;=T_RetBfast)*PD_Bfast+($S175&gt;=T_RetLunch)*PD_Lunch+($S175&gt;=T_RetDinner)*PD_Dinner+MAX($R175-$P175-1,0)*(PD_Bfast+PD_Lunch+PD_Dinner)+($R175-$P175+1)*PD_Incid))</f>
        <v/>
      </c>
      <c r="AC175" s="30"/>
      <c r="AD175" s="30" t="str">
        <f aca="false">IF($A175="","",N($T175)+N($W175)+N($AA175)+N($AB175)+N($AC175))</f>
        <v/>
      </c>
      <c r="AE175" s="30"/>
      <c r="AF175" s="30"/>
      <c r="AG175" s="30"/>
      <c r="AH175" s="30"/>
      <c r="AI175" s="30"/>
      <c r="AJ175" s="30" t="str">
        <f aca="false">IF($A175="","",IF(COUNT($AE175:$AI175)=0,"",SUM($AE175:$AI175)))</f>
        <v/>
      </c>
      <c r="AK175" s="30"/>
      <c r="AL175" s="30"/>
      <c r="AM175" s="30" t="str">
        <f aca="false">IF(OR($A175="",$AJ175=""),"",$AJ175-N($AK175)-N($AL175))</f>
        <v/>
      </c>
      <c r="AN175" s="28"/>
      <c r="AO175" s="28"/>
      <c r="AP175" s="27"/>
      <c r="AQ175" s="27"/>
      <c r="AR175" s="28" t="str">
        <f aca="false">IF(OR($A175="",$R175=""),"",$R175+ReceiptDays)</f>
        <v/>
      </c>
      <c r="AS175" s="28"/>
      <c r="AT175" s="28" t="str">
        <f aca="false">IF(OR($A175="",$P175=""),"",($P175-FinanceLeadDays)-MOD(($P175-FinanceLeadDays)-DATE(2024,1,2),7))</f>
        <v/>
      </c>
      <c r="AU175" s="28"/>
      <c r="AV175" s="27"/>
      <c r="AW175" s="27"/>
      <c r="AX175" s="30" t="n">
        <f aca="false">IF(OR($A175="",$B175="Denied",$B175="Cancelled"),0,N($AD175))</f>
        <v>0</v>
      </c>
      <c r="AY175" s="30" t="n">
        <f aca="false">IF($A175="",0,N($AJ175))</f>
        <v>0</v>
      </c>
      <c r="AZ175" s="30" t="n">
        <f aca="false">IF(OR($A175="",$B175="Denied",$B175="Cancelled",$B175="Closed"),0,IF(N($AJ175)&gt;0,0,N($AD175)))</f>
        <v>0</v>
      </c>
      <c r="BA175" s="31" t="n">
        <f aca="false">IF($A175="",0,IF($B175="Awaiting Approval",COUNTIF(BA$1:BA174,"&gt;0")+1,0))</f>
        <v>0</v>
      </c>
      <c r="BB175" s="31" t="n">
        <f aca="false">IF($A175="",0,IF(AND($B175="Approved",$AP175&lt;&gt;"Y"),COUNTIF(BB$1:BB174,"&gt;0")+1,0))</f>
        <v>0</v>
      </c>
      <c r="BC175" s="31" t="n">
        <f aca="false">IF($A175="",0,IF(AND($B175="Approved",N($U175)&gt;0,$AQ175&lt;&gt;"Y"),COUNTIF(BC$1:BC174,"&gt;0")+1,0))</f>
        <v>0</v>
      </c>
      <c r="BD175" s="31" t="n">
        <f aca="true">IF($A175="",0,IF(AND($AR175&lt;&gt;"",N($AR175)&lt;TODAY(),$AS175="",$B175&lt;&gt;"Closed",$B175&lt;&gt;"Cancelled",$B175&lt;&gt;"Denied"),COUNTIF(BD$1:BD174,"&gt;0")+1,0))</f>
        <v>0</v>
      </c>
      <c r="BE175" s="31" t="n">
        <f aca="true">IF($A175="",0,IF(AND($AT175&lt;&gt;"",N($AT175)&lt;=TODAY()+7,$AU175="",$B175&lt;&gt;"Denied",$B175&lt;&gt;"Cancelled",$B175&lt;&gt;"Closed"),COUNTIF(BE$1:BE174,"&gt;0")+1,0))</f>
        <v>0</v>
      </c>
      <c r="BF175" s="27"/>
      <c r="BG175" s="27"/>
      <c r="BH175" s="27"/>
      <c r="BI175" s="27"/>
    </row>
    <row r="176" customFormat="false" ht="15" hidden="false" customHeight="false" outlineLevel="0" collapsed="false">
      <c r="A176" s="22"/>
      <c r="B176" s="22"/>
      <c r="C176" s="22"/>
      <c r="D176" s="22"/>
      <c r="E176" s="22"/>
      <c r="F176" s="22"/>
      <c r="G176" s="22"/>
      <c r="H176" s="22"/>
      <c r="I176" s="22"/>
      <c r="J176" s="22"/>
      <c r="K176" s="22"/>
      <c r="L176" s="22"/>
      <c r="M176" s="22"/>
      <c r="N176" s="23"/>
      <c r="O176" s="23"/>
      <c r="P176" s="23"/>
      <c r="Q176" s="24"/>
      <c r="R176" s="23"/>
      <c r="S176" s="24"/>
      <c r="T176" s="25"/>
      <c r="U176" s="26"/>
      <c r="V176" s="25"/>
      <c r="W176" s="25" t="str">
        <f aca="false">IF($A176="","",N($U176)*N($V176))</f>
        <v/>
      </c>
      <c r="X176" s="22"/>
      <c r="Y176" s="26"/>
      <c r="Z176" s="25"/>
      <c r="AA176" s="25" t="str">
        <f aca="false">IF($A176="","",IF($X176="POV",N($Y176)*MileageRate,0)+N($Z176))</f>
        <v/>
      </c>
      <c r="AB176" s="25" t="str">
        <f aca="false">IF(OR($A176="",$P176="",$R176="",$Q176="",$S176=""),"",IF($R176=$P176,($Q176&lt;=T_DepBfast)*($S176&gt;=T_RetBfast)*PD_Bfast+($Q176&lt;=T_DepLunch)*($S176&gt;=T_RetLunch)*PD_Lunch+($Q176&lt;=T_DepDinner)*($S176&gt;=T_RetDinner)*PD_Dinner+PD_Incid,($Q176&lt;=T_DepBfast)*PD_Bfast+($Q176&lt;=T_DepLunch)*PD_Lunch+($Q176&lt;=T_DepDinner)*PD_Dinner+($S176&gt;=T_RetBfast)*PD_Bfast+($S176&gt;=T_RetLunch)*PD_Lunch+($S176&gt;=T_RetDinner)*PD_Dinner+MAX($R176-$P176-1,0)*(PD_Bfast+PD_Lunch+PD_Dinner)+($R176-$P176+1)*PD_Incid))</f>
        <v/>
      </c>
      <c r="AC176" s="25"/>
      <c r="AD176" s="25" t="str">
        <f aca="false">IF($A176="","",N($T176)+N($W176)+N($AA176)+N($AB176)+N($AC176))</f>
        <v/>
      </c>
      <c r="AE176" s="25"/>
      <c r="AF176" s="25"/>
      <c r="AG176" s="25"/>
      <c r="AH176" s="25"/>
      <c r="AI176" s="25"/>
      <c r="AJ176" s="25" t="str">
        <f aca="false">IF($A176="","",IF(COUNT($AE176:$AI176)=0,"",SUM($AE176:$AI176)))</f>
        <v/>
      </c>
      <c r="AK176" s="25"/>
      <c r="AL176" s="25"/>
      <c r="AM176" s="25" t="str">
        <f aca="false">IF(OR($A176="",$AJ176=""),"",$AJ176-N($AK176)-N($AL176))</f>
        <v/>
      </c>
      <c r="AN176" s="23"/>
      <c r="AO176" s="23"/>
      <c r="AP176" s="22"/>
      <c r="AQ176" s="22"/>
      <c r="AR176" s="23" t="str">
        <f aca="false">IF(OR($A176="",$R176=""),"",$R176+ReceiptDays)</f>
        <v/>
      </c>
      <c r="AS176" s="23"/>
      <c r="AT176" s="23" t="str">
        <f aca="false">IF(OR($A176="",$P176=""),"",($P176-FinanceLeadDays)-MOD(($P176-FinanceLeadDays)-DATE(2024,1,2),7))</f>
        <v/>
      </c>
      <c r="AU176" s="23"/>
      <c r="AV176" s="22"/>
      <c r="AW176" s="22"/>
      <c r="AX176" s="25" t="n">
        <f aca="false">IF(OR($A176="",$B176="Denied",$B176="Cancelled"),0,N($AD176))</f>
        <v>0</v>
      </c>
      <c r="AY176" s="25" t="n">
        <f aca="false">IF($A176="",0,N($AJ176))</f>
        <v>0</v>
      </c>
      <c r="AZ176" s="25" t="n">
        <f aca="false">IF(OR($A176="",$B176="Denied",$B176="Cancelled",$B176="Closed"),0,IF(N($AJ176)&gt;0,0,N($AD176)))</f>
        <v>0</v>
      </c>
      <c r="BA176" s="26" t="n">
        <f aca="false">IF($A176="",0,IF($B176="Awaiting Approval",COUNTIF(BA$1:BA175,"&gt;0")+1,0))</f>
        <v>0</v>
      </c>
      <c r="BB176" s="26" t="n">
        <f aca="false">IF($A176="",0,IF(AND($B176="Approved",$AP176&lt;&gt;"Y"),COUNTIF(BB$1:BB175,"&gt;0")+1,0))</f>
        <v>0</v>
      </c>
      <c r="BC176" s="26" t="n">
        <f aca="false">IF($A176="",0,IF(AND($B176="Approved",N($U176)&gt;0,$AQ176&lt;&gt;"Y"),COUNTIF(BC$1:BC175,"&gt;0")+1,0))</f>
        <v>0</v>
      </c>
      <c r="BD176" s="26" t="n">
        <f aca="true">IF($A176="",0,IF(AND($AR176&lt;&gt;"",N($AR176)&lt;TODAY(),$AS176="",$B176&lt;&gt;"Closed",$B176&lt;&gt;"Cancelled",$B176&lt;&gt;"Denied"),COUNTIF(BD$1:BD175,"&gt;0")+1,0))</f>
        <v>0</v>
      </c>
      <c r="BE176" s="26" t="n">
        <f aca="true">IF($A176="",0,IF(AND($AT176&lt;&gt;"",N($AT176)&lt;=TODAY()+7,$AU176="",$B176&lt;&gt;"Denied",$B176&lt;&gt;"Cancelled",$B176&lt;&gt;"Closed"),COUNTIF(BE$1:BE175,"&gt;0")+1,0))</f>
        <v>0</v>
      </c>
      <c r="BF176" s="22"/>
      <c r="BG176" s="22"/>
      <c r="BH176" s="22"/>
      <c r="BI176" s="22"/>
    </row>
    <row r="177" customFormat="false" ht="15" hidden="false" customHeight="false" outlineLevel="0" collapsed="false">
      <c r="A177" s="27"/>
      <c r="B177" s="27"/>
      <c r="C177" s="27"/>
      <c r="D177" s="27"/>
      <c r="E177" s="27"/>
      <c r="F177" s="27"/>
      <c r="G177" s="27"/>
      <c r="H177" s="27"/>
      <c r="I177" s="27"/>
      <c r="J177" s="27"/>
      <c r="K177" s="27"/>
      <c r="L177" s="27"/>
      <c r="M177" s="27"/>
      <c r="N177" s="28"/>
      <c r="O177" s="28"/>
      <c r="P177" s="28"/>
      <c r="Q177" s="29"/>
      <c r="R177" s="28"/>
      <c r="S177" s="29"/>
      <c r="T177" s="30"/>
      <c r="U177" s="31"/>
      <c r="V177" s="30"/>
      <c r="W177" s="30" t="str">
        <f aca="false">IF($A177="","",N($U177)*N($V177))</f>
        <v/>
      </c>
      <c r="X177" s="27"/>
      <c r="Y177" s="31"/>
      <c r="Z177" s="30"/>
      <c r="AA177" s="30" t="str">
        <f aca="false">IF($A177="","",IF($X177="POV",N($Y177)*MileageRate,0)+N($Z177))</f>
        <v/>
      </c>
      <c r="AB177" s="30" t="str">
        <f aca="false">IF(OR($A177="",$P177="",$R177="",$Q177="",$S177=""),"",IF($R177=$P177,($Q177&lt;=T_DepBfast)*($S177&gt;=T_RetBfast)*PD_Bfast+($Q177&lt;=T_DepLunch)*($S177&gt;=T_RetLunch)*PD_Lunch+($Q177&lt;=T_DepDinner)*($S177&gt;=T_RetDinner)*PD_Dinner+PD_Incid,($Q177&lt;=T_DepBfast)*PD_Bfast+($Q177&lt;=T_DepLunch)*PD_Lunch+($Q177&lt;=T_DepDinner)*PD_Dinner+($S177&gt;=T_RetBfast)*PD_Bfast+($S177&gt;=T_RetLunch)*PD_Lunch+($S177&gt;=T_RetDinner)*PD_Dinner+MAX($R177-$P177-1,0)*(PD_Bfast+PD_Lunch+PD_Dinner)+($R177-$P177+1)*PD_Incid))</f>
        <v/>
      </c>
      <c r="AC177" s="30"/>
      <c r="AD177" s="30" t="str">
        <f aca="false">IF($A177="","",N($T177)+N($W177)+N($AA177)+N($AB177)+N($AC177))</f>
        <v/>
      </c>
      <c r="AE177" s="30"/>
      <c r="AF177" s="30"/>
      <c r="AG177" s="30"/>
      <c r="AH177" s="30"/>
      <c r="AI177" s="30"/>
      <c r="AJ177" s="30" t="str">
        <f aca="false">IF($A177="","",IF(COUNT($AE177:$AI177)=0,"",SUM($AE177:$AI177)))</f>
        <v/>
      </c>
      <c r="AK177" s="30"/>
      <c r="AL177" s="30"/>
      <c r="AM177" s="30" t="str">
        <f aca="false">IF(OR($A177="",$AJ177=""),"",$AJ177-N($AK177)-N($AL177))</f>
        <v/>
      </c>
      <c r="AN177" s="28"/>
      <c r="AO177" s="28"/>
      <c r="AP177" s="27"/>
      <c r="AQ177" s="27"/>
      <c r="AR177" s="28" t="str">
        <f aca="false">IF(OR($A177="",$R177=""),"",$R177+ReceiptDays)</f>
        <v/>
      </c>
      <c r="AS177" s="28"/>
      <c r="AT177" s="28" t="str">
        <f aca="false">IF(OR($A177="",$P177=""),"",($P177-FinanceLeadDays)-MOD(($P177-FinanceLeadDays)-DATE(2024,1,2),7))</f>
        <v/>
      </c>
      <c r="AU177" s="28"/>
      <c r="AV177" s="27"/>
      <c r="AW177" s="27"/>
      <c r="AX177" s="30" t="n">
        <f aca="false">IF(OR($A177="",$B177="Denied",$B177="Cancelled"),0,N($AD177))</f>
        <v>0</v>
      </c>
      <c r="AY177" s="30" t="n">
        <f aca="false">IF($A177="",0,N($AJ177))</f>
        <v>0</v>
      </c>
      <c r="AZ177" s="30" t="n">
        <f aca="false">IF(OR($A177="",$B177="Denied",$B177="Cancelled",$B177="Closed"),0,IF(N($AJ177)&gt;0,0,N($AD177)))</f>
        <v>0</v>
      </c>
      <c r="BA177" s="31" t="n">
        <f aca="false">IF($A177="",0,IF($B177="Awaiting Approval",COUNTIF(BA$1:BA176,"&gt;0")+1,0))</f>
        <v>0</v>
      </c>
      <c r="BB177" s="31" t="n">
        <f aca="false">IF($A177="",0,IF(AND($B177="Approved",$AP177&lt;&gt;"Y"),COUNTIF(BB$1:BB176,"&gt;0")+1,0))</f>
        <v>0</v>
      </c>
      <c r="BC177" s="31" t="n">
        <f aca="false">IF($A177="",0,IF(AND($B177="Approved",N($U177)&gt;0,$AQ177&lt;&gt;"Y"),COUNTIF(BC$1:BC176,"&gt;0")+1,0))</f>
        <v>0</v>
      </c>
      <c r="BD177" s="31" t="n">
        <f aca="true">IF($A177="",0,IF(AND($AR177&lt;&gt;"",N($AR177)&lt;TODAY(),$AS177="",$B177&lt;&gt;"Closed",$B177&lt;&gt;"Cancelled",$B177&lt;&gt;"Denied"),COUNTIF(BD$1:BD176,"&gt;0")+1,0))</f>
        <v>0</v>
      </c>
      <c r="BE177" s="31" t="n">
        <f aca="true">IF($A177="",0,IF(AND($AT177&lt;&gt;"",N($AT177)&lt;=TODAY()+7,$AU177="",$B177&lt;&gt;"Denied",$B177&lt;&gt;"Cancelled",$B177&lt;&gt;"Closed"),COUNTIF(BE$1:BE176,"&gt;0")+1,0))</f>
        <v>0</v>
      </c>
      <c r="BF177" s="27"/>
      <c r="BG177" s="27"/>
      <c r="BH177" s="27"/>
      <c r="BI177" s="27"/>
    </row>
    <row r="178" customFormat="false" ht="15" hidden="false" customHeight="false" outlineLevel="0" collapsed="false">
      <c r="A178" s="22"/>
      <c r="B178" s="22"/>
      <c r="C178" s="22"/>
      <c r="D178" s="22"/>
      <c r="E178" s="22"/>
      <c r="F178" s="22"/>
      <c r="G178" s="22"/>
      <c r="H178" s="22"/>
      <c r="I178" s="22"/>
      <c r="J178" s="22"/>
      <c r="K178" s="22"/>
      <c r="L178" s="22"/>
      <c r="M178" s="22"/>
      <c r="N178" s="23"/>
      <c r="O178" s="23"/>
      <c r="P178" s="23"/>
      <c r="Q178" s="24"/>
      <c r="R178" s="23"/>
      <c r="S178" s="24"/>
      <c r="T178" s="25"/>
      <c r="U178" s="26"/>
      <c r="V178" s="25"/>
      <c r="W178" s="25" t="str">
        <f aca="false">IF($A178="","",N($U178)*N($V178))</f>
        <v/>
      </c>
      <c r="X178" s="22"/>
      <c r="Y178" s="26"/>
      <c r="Z178" s="25"/>
      <c r="AA178" s="25" t="str">
        <f aca="false">IF($A178="","",IF($X178="POV",N($Y178)*MileageRate,0)+N($Z178))</f>
        <v/>
      </c>
      <c r="AB178" s="25" t="str">
        <f aca="false">IF(OR($A178="",$P178="",$R178="",$Q178="",$S178=""),"",IF($R178=$P178,($Q178&lt;=T_DepBfast)*($S178&gt;=T_RetBfast)*PD_Bfast+($Q178&lt;=T_DepLunch)*($S178&gt;=T_RetLunch)*PD_Lunch+($Q178&lt;=T_DepDinner)*($S178&gt;=T_RetDinner)*PD_Dinner+PD_Incid,($Q178&lt;=T_DepBfast)*PD_Bfast+($Q178&lt;=T_DepLunch)*PD_Lunch+($Q178&lt;=T_DepDinner)*PD_Dinner+($S178&gt;=T_RetBfast)*PD_Bfast+($S178&gt;=T_RetLunch)*PD_Lunch+($S178&gt;=T_RetDinner)*PD_Dinner+MAX($R178-$P178-1,0)*(PD_Bfast+PD_Lunch+PD_Dinner)+($R178-$P178+1)*PD_Incid))</f>
        <v/>
      </c>
      <c r="AC178" s="25"/>
      <c r="AD178" s="25" t="str">
        <f aca="false">IF($A178="","",N($T178)+N($W178)+N($AA178)+N($AB178)+N($AC178))</f>
        <v/>
      </c>
      <c r="AE178" s="25"/>
      <c r="AF178" s="25"/>
      <c r="AG178" s="25"/>
      <c r="AH178" s="25"/>
      <c r="AI178" s="25"/>
      <c r="AJ178" s="25" t="str">
        <f aca="false">IF($A178="","",IF(COUNT($AE178:$AI178)=0,"",SUM($AE178:$AI178)))</f>
        <v/>
      </c>
      <c r="AK178" s="25"/>
      <c r="AL178" s="25"/>
      <c r="AM178" s="25" t="str">
        <f aca="false">IF(OR($A178="",$AJ178=""),"",$AJ178-N($AK178)-N($AL178))</f>
        <v/>
      </c>
      <c r="AN178" s="23"/>
      <c r="AO178" s="23"/>
      <c r="AP178" s="22"/>
      <c r="AQ178" s="22"/>
      <c r="AR178" s="23" t="str">
        <f aca="false">IF(OR($A178="",$R178=""),"",$R178+ReceiptDays)</f>
        <v/>
      </c>
      <c r="AS178" s="23"/>
      <c r="AT178" s="23" t="str">
        <f aca="false">IF(OR($A178="",$P178=""),"",($P178-FinanceLeadDays)-MOD(($P178-FinanceLeadDays)-DATE(2024,1,2),7))</f>
        <v/>
      </c>
      <c r="AU178" s="23"/>
      <c r="AV178" s="22"/>
      <c r="AW178" s="22"/>
      <c r="AX178" s="25" t="n">
        <f aca="false">IF(OR($A178="",$B178="Denied",$B178="Cancelled"),0,N($AD178))</f>
        <v>0</v>
      </c>
      <c r="AY178" s="25" t="n">
        <f aca="false">IF($A178="",0,N($AJ178))</f>
        <v>0</v>
      </c>
      <c r="AZ178" s="25" t="n">
        <f aca="false">IF(OR($A178="",$B178="Denied",$B178="Cancelled",$B178="Closed"),0,IF(N($AJ178)&gt;0,0,N($AD178)))</f>
        <v>0</v>
      </c>
      <c r="BA178" s="26" t="n">
        <f aca="false">IF($A178="",0,IF($B178="Awaiting Approval",COUNTIF(BA$1:BA177,"&gt;0")+1,0))</f>
        <v>0</v>
      </c>
      <c r="BB178" s="26" t="n">
        <f aca="false">IF($A178="",0,IF(AND($B178="Approved",$AP178&lt;&gt;"Y"),COUNTIF(BB$1:BB177,"&gt;0")+1,0))</f>
        <v>0</v>
      </c>
      <c r="BC178" s="26" t="n">
        <f aca="false">IF($A178="",0,IF(AND($B178="Approved",N($U178)&gt;0,$AQ178&lt;&gt;"Y"),COUNTIF(BC$1:BC177,"&gt;0")+1,0))</f>
        <v>0</v>
      </c>
      <c r="BD178" s="26" t="n">
        <f aca="true">IF($A178="",0,IF(AND($AR178&lt;&gt;"",N($AR178)&lt;TODAY(),$AS178="",$B178&lt;&gt;"Closed",$B178&lt;&gt;"Cancelled",$B178&lt;&gt;"Denied"),COUNTIF(BD$1:BD177,"&gt;0")+1,0))</f>
        <v>0</v>
      </c>
      <c r="BE178" s="26" t="n">
        <f aca="true">IF($A178="",0,IF(AND($AT178&lt;&gt;"",N($AT178)&lt;=TODAY()+7,$AU178="",$B178&lt;&gt;"Denied",$B178&lt;&gt;"Cancelled",$B178&lt;&gt;"Closed"),COUNTIF(BE$1:BE177,"&gt;0")+1,0))</f>
        <v>0</v>
      </c>
      <c r="BF178" s="22"/>
      <c r="BG178" s="22"/>
      <c r="BH178" s="22"/>
      <c r="BI178" s="22"/>
    </row>
    <row r="179" customFormat="false" ht="15" hidden="false" customHeight="false" outlineLevel="0" collapsed="false">
      <c r="A179" s="27"/>
      <c r="B179" s="27"/>
      <c r="C179" s="27"/>
      <c r="D179" s="27"/>
      <c r="E179" s="27"/>
      <c r="F179" s="27"/>
      <c r="G179" s="27"/>
      <c r="H179" s="27"/>
      <c r="I179" s="27"/>
      <c r="J179" s="27"/>
      <c r="K179" s="27"/>
      <c r="L179" s="27"/>
      <c r="M179" s="27"/>
      <c r="N179" s="28"/>
      <c r="O179" s="28"/>
      <c r="P179" s="28"/>
      <c r="Q179" s="29"/>
      <c r="R179" s="28"/>
      <c r="S179" s="29"/>
      <c r="T179" s="30"/>
      <c r="U179" s="31"/>
      <c r="V179" s="30"/>
      <c r="W179" s="30" t="str">
        <f aca="false">IF($A179="","",N($U179)*N($V179))</f>
        <v/>
      </c>
      <c r="X179" s="27"/>
      <c r="Y179" s="31"/>
      <c r="Z179" s="30"/>
      <c r="AA179" s="30" t="str">
        <f aca="false">IF($A179="","",IF($X179="POV",N($Y179)*MileageRate,0)+N($Z179))</f>
        <v/>
      </c>
      <c r="AB179" s="30" t="str">
        <f aca="false">IF(OR($A179="",$P179="",$R179="",$Q179="",$S179=""),"",IF($R179=$P179,($Q179&lt;=T_DepBfast)*($S179&gt;=T_RetBfast)*PD_Bfast+($Q179&lt;=T_DepLunch)*($S179&gt;=T_RetLunch)*PD_Lunch+($Q179&lt;=T_DepDinner)*($S179&gt;=T_RetDinner)*PD_Dinner+PD_Incid,($Q179&lt;=T_DepBfast)*PD_Bfast+($Q179&lt;=T_DepLunch)*PD_Lunch+($Q179&lt;=T_DepDinner)*PD_Dinner+($S179&gt;=T_RetBfast)*PD_Bfast+($S179&gt;=T_RetLunch)*PD_Lunch+($S179&gt;=T_RetDinner)*PD_Dinner+MAX($R179-$P179-1,0)*(PD_Bfast+PD_Lunch+PD_Dinner)+($R179-$P179+1)*PD_Incid))</f>
        <v/>
      </c>
      <c r="AC179" s="30"/>
      <c r="AD179" s="30" t="str">
        <f aca="false">IF($A179="","",N($T179)+N($W179)+N($AA179)+N($AB179)+N($AC179))</f>
        <v/>
      </c>
      <c r="AE179" s="30"/>
      <c r="AF179" s="30"/>
      <c r="AG179" s="30"/>
      <c r="AH179" s="30"/>
      <c r="AI179" s="30"/>
      <c r="AJ179" s="30" t="str">
        <f aca="false">IF($A179="","",IF(COUNT($AE179:$AI179)=0,"",SUM($AE179:$AI179)))</f>
        <v/>
      </c>
      <c r="AK179" s="30"/>
      <c r="AL179" s="30"/>
      <c r="AM179" s="30" t="str">
        <f aca="false">IF(OR($A179="",$AJ179=""),"",$AJ179-N($AK179)-N($AL179))</f>
        <v/>
      </c>
      <c r="AN179" s="28"/>
      <c r="AO179" s="28"/>
      <c r="AP179" s="27"/>
      <c r="AQ179" s="27"/>
      <c r="AR179" s="28" t="str">
        <f aca="false">IF(OR($A179="",$R179=""),"",$R179+ReceiptDays)</f>
        <v/>
      </c>
      <c r="AS179" s="28"/>
      <c r="AT179" s="28" t="str">
        <f aca="false">IF(OR($A179="",$P179=""),"",($P179-FinanceLeadDays)-MOD(($P179-FinanceLeadDays)-DATE(2024,1,2),7))</f>
        <v/>
      </c>
      <c r="AU179" s="28"/>
      <c r="AV179" s="27"/>
      <c r="AW179" s="27"/>
      <c r="AX179" s="30" t="n">
        <f aca="false">IF(OR($A179="",$B179="Denied",$B179="Cancelled"),0,N($AD179))</f>
        <v>0</v>
      </c>
      <c r="AY179" s="30" t="n">
        <f aca="false">IF($A179="",0,N($AJ179))</f>
        <v>0</v>
      </c>
      <c r="AZ179" s="30" t="n">
        <f aca="false">IF(OR($A179="",$B179="Denied",$B179="Cancelled",$B179="Closed"),0,IF(N($AJ179)&gt;0,0,N($AD179)))</f>
        <v>0</v>
      </c>
      <c r="BA179" s="31" t="n">
        <f aca="false">IF($A179="",0,IF($B179="Awaiting Approval",COUNTIF(BA$1:BA178,"&gt;0")+1,0))</f>
        <v>0</v>
      </c>
      <c r="BB179" s="31" t="n">
        <f aca="false">IF($A179="",0,IF(AND($B179="Approved",$AP179&lt;&gt;"Y"),COUNTIF(BB$1:BB178,"&gt;0")+1,0))</f>
        <v>0</v>
      </c>
      <c r="BC179" s="31" t="n">
        <f aca="false">IF($A179="",0,IF(AND($B179="Approved",N($U179)&gt;0,$AQ179&lt;&gt;"Y"),COUNTIF(BC$1:BC178,"&gt;0")+1,0))</f>
        <v>0</v>
      </c>
      <c r="BD179" s="31" t="n">
        <f aca="true">IF($A179="",0,IF(AND($AR179&lt;&gt;"",N($AR179)&lt;TODAY(),$AS179="",$B179&lt;&gt;"Closed",$B179&lt;&gt;"Cancelled",$B179&lt;&gt;"Denied"),COUNTIF(BD$1:BD178,"&gt;0")+1,0))</f>
        <v>0</v>
      </c>
      <c r="BE179" s="31" t="n">
        <f aca="true">IF($A179="",0,IF(AND($AT179&lt;&gt;"",N($AT179)&lt;=TODAY()+7,$AU179="",$B179&lt;&gt;"Denied",$B179&lt;&gt;"Cancelled",$B179&lt;&gt;"Closed"),COUNTIF(BE$1:BE178,"&gt;0")+1,0))</f>
        <v>0</v>
      </c>
      <c r="BF179" s="27"/>
      <c r="BG179" s="27"/>
      <c r="BH179" s="27"/>
      <c r="BI179" s="27"/>
    </row>
    <row r="180" customFormat="false" ht="15" hidden="false" customHeight="false" outlineLevel="0" collapsed="false">
      <c r="A180" s="22"/>
      <c r="B180" s="22"/>
      <c r="C180" s="22"/>
      <c r="D180" s="22"/>
      <c r="E180" s="22"/>
      <c r="F180" s="22"/>
      <c r="G180" s="22"/>
      <c r="H180" s="22"/>
      <c r="I180" s="22"/>
      <c r="J180" s="22"/>
      <c r="K180" s="22"/>
      <c r="L180" s="22"/>
      <c r="M180" s="22"/>
      <c r="N180" s="23"/>
      <c r="O180" s="23"/>
      <c r="P180" s="23"/>
      <c r="Q180" s="24"/>
      <c r="R180" s="23"/>
      <c r="S180" s="24"/>
      <c r="T180" s="25"/>
      <c r="U180" s="26"/>
      <c r="V180" s="25"/>
      <c r="W180" s="25" t="str">
        <f aca="false">IF($A180="","",N($U180)*N($V180))</f>
        <v/>
      </c>
      <c r="X180" s="22"/>
      <c r="Y180" s="26"/>
      <c r="Z180" s="25"/>
      <c r="AA180" s="25" t="str">
        <f aca="false">IF($A180="","",IF($X180="POV",N($Y180)*MileageRate,0)+N($Z180))</f>
        <v/>
      </c>
      <c r="AB180" s="25" t="str">
        <f aca="false">IF(OR($A180="",$P180="",$R180="",$Q180="",$S180=""),"",IF($R180=$P180,($Q180&lt;=T_DepBfast)*($S180&gt;=T_RetBfast)*PD_Bfast+($Q180&lt;=T_DepLunch)*($S180&gt;=T_RetLunch)*PD_Lunch+($Q180&lt;=T_DepDinner)*($S180&gt;=T_RetDinner)*PD_Dinner+PD_Incid,($Q180&lt;=T_DepBfast)*PD_Bfast+($Q180&lt;=T_DepLunch)*PD_Lunch+($Q180&lt;=T_DepDinner)*PD_Dinner+($S180&gt;=T_RetBfast)*PD_Bfast+($S180&gt;=T_RetLunch)*PD_Lunch+($S180&gt;=T_RetDinner)*PD_Dinner+MAX($R180-$P180-1,0)*(PD_Bfast+PD_Lunch+PD_Dinner)+($R180-$P180+1)*PD_Incid))</f>
        <v/>
      </c>
      <c r="AC180" s="25"/>
      <c r="AD180" s="25" t="str">
        <f aca="false">IF($A180="","",N($T180)+N($W180)+N($AA180)+N($AB180)+N($AC180))</f>
        <v/>
      </c>
      <c r="AE180" s="25"/>
      <c r="AF180" s="25"/>
      <c r="AG180" s="25"/>
      <c r="AH180" s="25"/>
      <c r="AI180" s="25"/>
      <c r="AJ180" s="25" t="str">
        <f aca="false">IF($A180="","",IF(COUNT($AE180:$AI180)=0,"",SUM($AE180:$AI180)))</f>
        <v/>
      </c>
      <c r="AK180" s="25"/>
      <c r="AL180" s="25"/>
      <c r="AM180" s="25" t="str">
        <f aca="false">IF(OR($A180="",$AJ180=""),"",$AJ180-N($AK180)-N($AL180))</f>
        <v/>
      </c>
      <c r="AN180" s="23"/>
      <c r="AO180" s="23"/>
      <c r="AP180" s="22"/>
      <c r="AQ180" s="22"/>
      <c r="AR180" s="23" t="str">
        <f aca="false">IF(OR($A180="",$R180=""),"",$R180+ReceiptDays)</f>
        <v/>
      </c>
      <c r="AS180" s="23"/>
      <c r="AT180" s="23" t="str">
        <f aca="false">IF(OR($A180="",$P180=""),"",($P180-FinanceLeadDays)-MOD(($P180-FinanceLeadDays)-DATE(2024,1,2),7))</f>
        <v/>
      </c>
      <c r="AU180" s="23"/>
      <c r="AV180" s="22"/>
      <c r="AW180" s="22"/>
      <c r="AX180" s="25" t="n">
        <f aca="false">IF(OR($A180="",$B180="Denied",$B180="Cancelled"),0,N($AD180))</f>
        <v>0</v>
      </c>
      <c r="AY180" s="25" t="n">
        <f aca="false">IF($A180="",0,N($AJ180))</f>
        <v>0</v>
      </c>
      <c r="AZ180" s="25" t="n">
        <f aca="false">IF(OR($A180="",$B180="Denied",$B180="Cancelled",$B180="Closed"),0,IF(N($AJ180)&gt;0,0,N($AD180)))</f>
        <v>0</v>
      </c>
      <c r="BA180" s="26" t="n">
        <f aca="false">IF($A180="",0,IF($B180="Awaiting Approval",COUNTIF(BA$1:BA179,"&gt;0")+1,0))</f>
        <v>0</v>
      </c>
      <c r="BB180" s="26" t="n">
        <f aca="false">IF($A180="",0,IF(AND($B180="Approved",$AP180&lt;&gt;"Y"),COUNTIF(BB$1:BB179,"&gt;0")+1,0))</f>
        <v>0</v>
      </c>
      <c r="BC180" s="26" t="n">
        <f aca="false">IF($A180="",0,IF(AND($B180="Approved",N($U180)&gt;0,$AQ180&lt;&gt;"Y"),COUNTIF(BC$1:BC179,"&gt;0")+1,0))</f>
        <v>0</v>
      </c>
      <c r="BD180" s="26" t="n">
        <f aca="true">IF($A180="",0,IF(AND($AR180&lt;&gt;"",N($AR180)&lt;TODAY(),$AS180="",$B180&lt;&gt;"Closed",$B180&lt;&gt;"Cancelled",$B180&lt;&gt;"Denied"),COUNTIF(BD$1:BD179,"&gt;0")+1,0))</f>
        <v>0</v>
      </c>
      <c r="BE180" s="26" t="n">
        <f aca="true">IF($A180="",0,IF(AND($AT180&lt;&gt;"",N($AT180)&lt;=TODAY()+7,$AU180="",$B180&lt;&gt;"Denied",$B180&lt;&gt;"Cancelled",$B180&lt;&gt;"Closed"),COUNTIF(BE$1:BE179,"&gt;0")+1,0))</f>
        <v>0</v>
      </c>
      <c r="BF180" s="22"/>
      <c r="BG180" s="22"/>
      <c r="BH180" s="22"/>
      <c r="BI180" s="22"/>
    </row>
    <row r="181" customFormat="false" ht="15" hidden="false" customHeight="false" outlineLevel="0" collapsed="false">
      <c r="A181" s="27"/>
      <c r="B181" s="27"/>
      <c r="C181" s="27"/>
      <c r="D181" s="27"/>
      <c r="E181" s="27"/>
      <c r="F181" s="27"/>
      <c r="G181" s="27"/>
      <c r="H181" s="27"/>
      <c r="I181" s="27"/>
      <c r="J181" s="27"/>
      <c r="K181" s="27"/>
      <c r="L181" s="27"/>
      <c r="M181" s="27"/>
      <c r="N181" s="28"/>
      <c r="O181" s="28"/>
      <c r="P181" s="28"/>
      <c r="Q181" s="29"/>
      <c r="R181" s="28"/>
      <c r="S181" s="29"/>
      <c r="T181" s="30"/>
      <c r="U181" s="31"/>
      <c r="V181" s="30"/>
      <c r="W181" s="30" t="str">
        <f aca="false">IF($A181="","",N($U181)*N($V181))</f>
        <v/>
      </c>
      <c r="X181" s="27"/>
      <c r="Y181" s="31"/>
      <c r="Z181" s="30"/>
      <c r="AA181" s="30" t="str">
        <f aca="false">IF($A181="","",IF($X181="POV",N($Y181)*MileageRate,0)+N($Z181))</f>
        <v/>
      </c>
      <c r="AB181" s="30" t="str">
        <f aca="false">IF(OR($A181="",$P181="",$R181="",$Q181="",$S181=""),"",IF($R181=$P181,($Q181&lt;=T_DepBfast)*($S181&gt;=T_RetBfast)*PD_Bfast+($Q181&lt;=T_DepLunch)*($S181&gt;=T_RetLunch)*PD_Lunch+($Q181&lt;=T_DepDinner)*($S181&gt;=T_RetDinner)*PD_Dinner+PD_Incid,($Q181&lt;=T_DepBfast)*PD_Bfast+($Q181&lt;=T_DepLunch)*PD_Lunch+($Q181&lt;=T_DepDinner)*PD_Dinner+($S181&gt;=T_RetBfast)*PD_Bfast+($S181&gt;=T_RetLunch)*PD_Lunch+($S181&gt;=T_RetDinner)*PD_Dinner+MAX($R181-$P181-1,0)*(PD_Bfast+PD_Lunch+PD_Dinner)+($R181-$P181+1)*PD_Incid))</f>
        <v/>
      </c>
      <c r="AC181" s="30"/>
      <c r="AD181" s="30" t="str">
        <f aca="false">IF($A181="","",N($T181)+N($W181)+N($AA181)+N($AB181)+N($AC181))</f>
        <v/>
      </c>
      <c r="AE181" s="30"/>
      <c r="AF181" s="30"/>
      <c r="AG181" s="30"/>
      <c r="AH181" s="30"/>
      <c r="AI181" s="30"/>
      <c r="AJ181" s="30" t="str">
        <f aca="false">IF($A181="","",IF(COUNT($AE181:$AI181)=0,"",SUM($AE181:$AI181)))</f>
        <v/>
      </c>
      <c r="AK181" s="30"/>
      <c r="AL181" s="30"/>
      <c r="AM181" s="30" t="str">
        <f aca="false">IF(OR($A181="",$AJ181=""),"",$AJ181-N($AK181)-N($AL181))</f>
        <v/>
      </c>
      <c r="AN181" s="28"/>
      <c r="AO181" s="28"/>
      <c r="AP181" s="27"/>
      <c r="AQ181" s="27"/>
      <c r="AR181" s="28" t="str">
        <f aca="false">IF(OR($A181="",$R181=""),"",$R181+ReceiptDays)</f>
        <v/>
      </c>
      <c r="AS181" s="28"/>
      <c r="AT181" s="28" t="str">
        <f aca="false">IF(OR($A181="",$P181=""),"",($P181-FinanceLeadDays)-MOD(($P181-FinanceLeadDays)-DATE(2024,1,2),7))</f>
        <v/>
      </c>
      <c r="AU181" s="28"/>
      <c r="AV181" s="27"/>
      <c r="AW181" s="27"/>
      <c r="AX181" s="30" t="n">
        <f aca="false">IF(OR($A181="",$B181="Denied",$B181="Cancelled"),0,N($AD181))</f>
        <v>0</v>
      </c>
      <c r="AY181" s="30" t="n">
        <f aca="false">IF($A181="",0,N($AJ181))</f>
        <v>0</v>
      </c>
      <c r="AZ181" s="30" t="n">
        <f aca="false">IF(OR($A181="",$B181="Denied",$B181="Cancelled",$B181="Closed"),0,IF(N($AJ181)&gt;0,0,N($AD181)))</f>
        <v>0</v>
      </c>
      <c r="BA181" s="31" t="n">
        <f aca="false">IF($A181="",0,IF($B181="Awaiting Approval",COUNTIF(BA$1:BA180,"&gt;0")+1,0))</f>
        <v>0</v>
      </c>
      <c r="BB181" s="31" t="n">
        <f aca="false">IF($A181="",0,IF(AND($B181="Approved",$AP181&lt;&gt;"Y"),COUNTIF(BB$1:BB180,"&gt;0")+1,0))</f>
        <v>0</v>
      </c>
      <c r="BC181" s="31" t="n">
        <f aca="false">IF($A181="",0,IF(AND($B181="Approved",N($U181)&gt;0,$AQ181&lt;&gt;"Y"),COUNTIF(BC$1:BC180,"&gt;0")+1,0))</f>
        <v>0</v>
      </c>
      <c r="BD181" s="31" t="n">
        <f aca="true">IF($A181="",0,IF(AND($AR181&lt;&gt;"",N($AR181)&lt;TODAY(),$AS181="",$B181&lt;&gt;"Closed",$B181&lt;&gt;"Cancelled",$B181&lt;&gt;"Denied"),COUNTIF(BD$1:BD180,"&gt;0")+1,0))</f>
        <v>0</v>
      </c>
      <c r="BE181" s="31" t="n">
        <f aca="true">IF($A181="",0,IF(AND($AT181&lt;&gt;"",N($AT181)&lt;=TODAY()+7,$AU181="",$B181&lt;&gt;"Denied",$B181&lt;&gt;"Cancelled",$B181&lt;&gt;"Closed"),COUNTIF(BE$1:BE180,"&gt;0")+1,0))</f>
        <v>0</v>
      </c>
      <c r="BF181" s="27"/>
      <c r="BG181" s="27"/>
      <c r="BH181" s="27"/>
      <c r="BI181" s="27"/>
    </row>
    <row r="182" customFormat="false" ht="15" hidden="false" customHeight="false" outlineLevel="0" collapsed="false">
      <c r="A182" s="22"/>
      <c r="B182" s="22"/>
      <c r="C182" s="22"/>
      <c r="D182" s="22"/>
      <c r="E182" s="22"/>
      <c r="F182" s="22"/>
      <c r="G182" s="22"/>
      <c r="H182" s="22"/>
      <c r="I182" s="22"/>
      <c r="J182" s="22"/>
      <c r="K182" s="22"/>
      <c r="L182" s="22"/>
      <c r="M182" s="22"/>
      <c r="N182" s="23"/>
      <c r="O182" s="23"/>
      <c r="P182" s="23"/>
      <c r="Q182" s="24"/>
      <c r="R182" s="23"/>
      <c r="S182" s="24"/>
      <c r="T182" s="25"/>
      <c r="U182" s="26"/>
      <c r="V182" s="25"/>
      <c r="W182" s="25" t="str">
        <f aca="false">IF($A182="","",N($U182)*N($V182))</f>
        <v/>
      </c>
      <c r="X182" s="22"/>
      <c r="Y182" s="26"/>
      <c r="Z182" s="25"/>
      <c r="AA182" s="25" t="str">
        <f aca="false">IF($A182="","",IF($X182="POV",N($Y182)*MileageRate,0)+N($Z182))</f>
        <v/>
      </c>
      <c r="AB182" s="25" t="str">
        <f aca="false">IF(OR($A182="",$P182="",$R182="",$Q182="",$S182=""),"",IF($R182=$P182,($Q182&lt;=T_DepBfast)*($S182&gt;=T_RetBfast)*PD_Bfast+($Q182&lt;=T_DepLunch)*($S182&gt;=T_RetLunch)*PD_Lunch+($Q182&lt;=T_DepDinner)*($S182&gt;=T_RetDinner)*PD_Dinner+PD_Incid,($Q182&lt;=T_DepBfast)*PD_Bfast+($Q182&lt;=T_DepLunch)*PD_Lunch+($Q182&lt;=T_DepDinner)*PD_Dinner+($S182&gt;=T_RetBfast)*PD_Bfast+($S182&gt;=T_RetLunch)*PD_Lunch+($S182&gt;=T_RetDinner)*PD_Dinner+MAX($R182-$P182-1,0)*(PD_Bfast+PD_Lunch+PD_Dinner)+($R182-$P182+1)*PD_Incid))</f>
        <v/>
      </c>
      <c r="AC182" s="25"/>
      <c r="AD182" s="25" t="str">
        <f aca="false">IF($A182="","",N($T182)+N($W182)+N($AA182)+N($AB182)+N($AC182))</f>
        <v/>
      </c>
      <c r="AE182" s="25"/>
      <c r="AF182" s="25"/>
      <c r="AG182" s="25"/>
      <c r="AH182" s="25"/>
      <c r="AI182" s="25"/>
      <c r="AJ182" s="25" t="str">
        <f aca="false">IF($A182="","",IF(COUNT($AE182:$AI182)=0,"",SUM($AE182:$AI182)))</f>
        <v/>
      </c>
      <c r="AK182" s="25"/>
      <c r="AL182" s="25"/>
      <c r="AM182" s="25" t="str">
        <f aca="false">IF(OR($A182="",$AJ182=""),"",$AJ182-N($AK182)-N($AL182))</f>
        <v/>
      </c>
      <c r="AN182" s="23"/>
      <c r="AO182" s="23"/>
      <c r="AP182" s="22"/>
      <c r="AQ182" s="22"/>
      <c r="AR182" s="23" t="str">
        <f aca="false">IF(OR($A182="",$R182=""),"",$R182+ReceiptDays)</f>
        <v/>
      </c>
      <c r="AS182" s="23"/>
      <c r="AT182" s="23" t="str">
        <f aca="false">IF(OR($A182="",$P182=""),"",($P182-FinanceLeadDays)-MOD(($P182-FinanceLeadDays)-DATE(2024,1,2),7))</f>
        <v/>
      </c>
      <c r="AU182" s="23"/>
      <c r="AV182" s="22"/>
      <c r="AW182" s="22"/>
      <c r="AX182" s="25" t="n">
        <f aca="false">IF(OR($A182="",$B182="Denied",$B182="Cancelled"),0,N($AD182))</f>
        <v>0</v>
      </c>
      <c r="AY182" s="25" t="n">
        <f aca="false">IF($A182="",0,N($AJ182))</f>
        <v>0</v>
      </c>
      <c r="AZ182" s="25" t="n">
        <f aca="false">IF(OR($A182="",$B182="Denied",$B182="Cancelled",$B182="Closed"),0,IF(N($AJ182)&gt;0,0,N($AD182)))</f>
        <v>0</v>
      </c>
      <c r="BA182" s="26" t="n">
        <f aca="false">IF($A182="",0,IF($B182="Awaiting Approval",COUNTIF(BA$1:BA181,"&gt;0")+1,0))</f>
        <v>0</v>
      </c>
      <c r="BB182" s="26" t="n">
        <f aca="false">IF($A182="",0,IF(AND($B182="Approved",$AP182&lt;&gt;"Y"),COUNTIF(BB$1:BB181,"&gt;0")+1,0))</f>
        <v>0</v>
      </c>
      <c r="BC182" s="26" t="n">
        <f aca="false">IF($A182="",0,IF(AND($B182="Approved",N($U182)&gt;0,$AQ182&lt;&gt;"Y"),COUNTIF(BC$1:BC181,"&gt;0")+1,0))</f>
        <v>0</v>
      </c>
      <c r="BD182" s="26" t="n">
        <f aca="true">IF($A182="",0,IF(AND($AR182&lt;&gt;"",N($AR182)&lt;TODAY(),$AS182="",$B182&lt;&gt;"Closed",$B182&lt;&gt;"Cancelled",$B182&lt;&gt;"Denied"),COUNTIF(BD$1:BD181,"&gt;0")+1,0))</f>
        <v>0</v>
      </c>
      <c r="BE182" s="26" t="n">
        <f aca="true">IF($A182="",0,IF(AND($AT182&lt;&gt;"",N($AT182)&lt;=TODAY()+7,$AU182="",$B182&lt;&gt;"Denied",$B182&lt;&gt;"Cancelled",$B182&lt;&gt;"Closed"),COUNTIF(BE$1:BE181,"&gt;0")+1,0))</f>
        <v>0</v>
      </c>
      <c r="BF182" s="22"/>
      <c r="BG182" s="22"/>
      <c r="BH182" s="22"/>
      <c r="BI182" s="22"/>
    </row>
    <row r="183" customFormat="false" ht="15" hidden="false" customHeight="false" outlineLevel="0" collapsed="false">
      <c r="A183" s="27"/>
      <c r="B183" s="27"/>
      <c r="C183" s="27"/>
      <c r="D183" s="27"/>
      <c r="E183" s="27"/>
      <c r="F183" s="27"/>
      <c r="G183" s="27"/>
      <c r="H183" s="27"/>
      <c r="I183" s="27"/>
      <c r="J183" s="27"/>
      <c r="K183" s="27"/>
      <c r="L183" s="27"/>
      <c r="M183" s="27"/>
      <c r="N183" s="28"/>
      <c r="O183" s="28"/>
      <c r="P183" s="28"/>
      <c r="Q183" s="29"/>
      <c r="R183" s="28"/>
      <c r="S183" s="29"/>
      <c r="T183" s="30"/>
      <c r="U183" s="31"/>
      <c r="V183" s="30"/>
      <c r="W183" s="30" t="str">
        <f aca="false">IF($A183="","",N($U183)*N($V183))</f>
        <v/>
      </c>
      <c r="X183" s="27"/>
      <c r="Y183" s="31"/>
      <c r="Z183" s="30"/>
      <c r="AA183" s="30" t="str">
        <f aca="false">IF($A183="","",IF($X183="POV",N($Y183)*MileageRate,0)+N($Z183))</f>
        <v/>
      </c>
      <c r="AB183" s="30" t="str">
        <f aca="false">IF(OR($A183="",$P183="",$R183="",$Q183="",$S183=""),"",IF($R183=$P183,($Q183&lt;=T_DepBfast)*($S183&gt;=T_RetBfast)*PD_Bfast+($Q183&lt;=T_DepLunch)*($S183&gt;=T_RetLunch)*PD_Lunch+($Q183&lt;=T_DepDinner)*($S183&gt;=T_RetDinner)*PD_Dinner+PD_Incid,($Q183&lt;=T_DepBfast)*PD_Bfast+($Q183&lt;=T_DepLunch)*PD_Lunch+($Q183&lt;=T_DepDinner)*PD_Dinner+($S183&gt;=T_RetBfast)*PD_Bfast+($S183&gt;=T_RetLunch)*PD_Lunch+($S183&gt;=T_RetDinner)*PD_Dinner+MAX($R183-$P183-1,0)*(PD_Bfast+PD_Lunch+PD_Dinner)+($R183-$P183+1)*PD_Incid))</f>
        <v/>
      </c>
      <c r="AC183" s="30"/>
      <c r="AD183" s="30" t="str">
        <f aca="false">IF($A183="","",N($T183)+N($W183)+N($AA183)+N($AB183)+N($AC183))</f>
        <v/>
      </c>
      <c r="AE183" s="30"/>
      <c r="AF183" s="30"/>
      <c r="AG183" s="30"/>
      <c r="AH183" s="30"/>
      <c r="AI183" s="30"/>
      <c r="AJ183" s="30" t="str">
        <f aca="false">IF($A183="","",IF(COUNT($AE183:$AI183)=0,"",SUM($AE183:$AI183)))</f>
        <v/>
      </c>
      <c r="AK183" s="30"/>
      <c r="AL183" s="30"/>
      <c r="AM183" s="30" t="str">
        <f aca="false">IF(OR($A183="",$AJ183=""),"",$AJ183-N($AK183)-N($AL183))</f>
        <v/>
      </c>
      <c r="AN183" s="28"/>
      <c r="AO183" s="28"/>
      <c r="AP183" s="27"/>
      <c r="AQ183" s="27"/>
      <c r="AR183" s="28" t="str">
        <f aca="false">IF(OR($A183="",$R183=""),"",$R183+ReceiptDays)</f>
        <v/>
      </c>
      <c r="AS183" s="28"/>
      <c r="AT183" s="28" t="str">
        <f aca="false">IF(OR($A183="",$P183=""),"",($P183-FinanceLeadDays)-MOD(($P183-FinanceLeadDays)-DATE(2024,1,2),7))</f>
        <v/>
      </c>
      <c r="AU183" s="28"/>
      <c r="AV183" s="27"/>
      <c r="AW183" s="27"/>
      <c r="AX183" s="30" t="n">
        <f aca="false">IF(OR($A183="",$B183="Denied",$B183="Cancelled"),0,N($AD183))</f>
        <v>0</v>
      </c>
      <c r="AY183" s="30" t="n">
        <f aca="false">IF($A183="",0,N($AJ183))</f>
        <v>0</v>
      </c>
      <c r="AZ183" s="30" t="n">
        <f aca="false">IF(OR($A183="",$B183="Denied",$B183="Cancelled",$B183="Closed"),0,IF(N($AJ183)&gt;0,0,N($AD183)))</f>
        <v>0</v>
      </c>
      <c r="BA183" s="31" t="n">
        <f aca="false">IF($A183="",0,IF($B183="Awaiting Approval",COUNTIF(BA$1:BA182,"&gt;0")+1,0))</f>
        <v>0</v>
      </c>
      <c r="BB183" s="31" t="n">
        <f aca="false">IF($A183="",0,IF(AND($B183="Approved",$AP183&lt;&gt;"Y"),COUNTIF(BB$1:BB182,"&gt;0")+1,0))</f>
        <v>0</v>
      </c>
      <c r="BC183" s="31" t="n">
        <f aca="false">IF($A183="",0,IF(AND($B183="Approved",N($U183)&gt;0,$AQ183&lt;&gt;"Y"),COUNTIF(BC$1:BC182,"&gt;0")+1,0))</f>
        <v>0</v>
      </c>
      <c r="BD183" s="31" t="n">
        <f aca="true">IF($A183="",0,IF(AND($AR183&lt;&gt;"",N($AR183)&lt;TODAY(),$AS183="",$B183&lt;&gt;"Closed",$B183&lt;&gt;"Cancelled",$B183&lt;&gt;"Denied"),COUNTIF(BD$1:BD182,"&gt;0")+1,0))</f>
        <v>0</v>
      </c>
      <c r="BE183" s="31" t="n">
        <f aca="true">IF($A183="",0,IF(AND($AT183&lt;&gt;"",N($AT183)&lt;=TODAY()+7,$AU183="",$B183&lt;&gt;"Denied",$B183&lt;&gt;"Cancelled",$B183&lt;&gt;"Closed"),COUNTIF(BE$1:BE182,"&gt;0")+1,0))</f>
        <v>0</v>
      </c>
      <c r="BF183" s="27"/>
      <c r="BG183" s="27"/>
      <c r="BH183" s="27"/>
      <c r="BI183" s="27"/>
    </row>
    <row r="184" customFormat="false" ht="15" hidden="false" customHeight="false" outlineLevel="0" collapsed="false">
      <c r="A184" s="22"/>
      <c r="B184" s="22"/>
      <c r="C184" s="22"/>
      <c r="D184" s="22"/>
      <c r="E184" s="22"/>
      <c r="F184" s="22"/>
      <c r="G184" s="22"/>
      <c r="H184" s="22"/>
      <c r="I184" s="22"/>
      <c r="J184" s="22"/>
      <c r="K184" s="22"/>
      <c r="L184" s="22"/>
      <c r="M184" s="22"/>
      <c r="N184" s="23"/>
      <c r="O184" s="23"/>
      <c r="P184" s="23"/>
      <c r="Q184" s="24"/>
      <c r="R184" s="23"/>
      <c r="S184" s="24"/>
      <c r="T184" s="25"/>
      <c r="U184" s="26"/>
      <c r="V184" s="25"/>
      <c r="W184" s="25" t="str">
        <f aca="false">IF($A184="","",N($U184)*N($V184))</f>
        <v/>
      </c>
      <c r="X184" s="22"/>
      <c r="Y184" s="26"/>
      <c r="Z184" s="25"/>
      <c r="AA184" s="25" t="str">
        <f aca="false">IF($A184="","",IF($X184="POV",N($Y184)*MileageRate,0)+N($Z184))</f>
        <v/>
      </c>
      <c r="AB184" s="25" t="str">
        <f aca="false">IF(OR($A184="",$P184="",$R184="",$Q184="",$S184=""),"",IF($R184=$P184,($Q184&lt;=T_DepBfast)*($S184&gt;=T_RetBfast)*PD_Bfast+($Q184&lt;=T_DepLunch)*($S184&gt;=T_RetLunch)*PD_Lunch+($Q184&lt;=T_DepDinner)*($S184&gt;=T_RetDinner)*PD_Dinner+PD_Incid,($Q184&lt;=T_DepBfast)*PD_Bfast+($Q184&lt;=T_DepLunch)*PD_Lunch+($Q184&lt;=T_DepDinner)*PD_Dinner+($S184&gt;=T_RetBfast)*PD_Bfast+($S184&gt;=T_RetLunch)*PD_Lunch+($S184&gt;=T_RetDinner)*PD_Dinner+MAX($R184-$P184-1,0)*(PD_Bfast+PD_Lunch+PD_Dinner)+($R184-$P184+1)*PD_Incid))</f>
        <v/>
      </c>
      <c r="AC184" s="25"/>
      <c r="AD184" s="25" t="str">
        <f aca="false">IF($A184="","",N($T184)+N($W184)+N($AA184)+N($AB184)+N($AC184))</f>
        <v/>
      </c>
      <c r="AE184" s="25"/>
      <c r="AF184" s="25"/>
      <c r="AG184" s="25"/>
      <c r="AH184" s="25"/>
      <c r="AI184" s="25"/>
      <c r="AJ184" s="25" t="str">
        <f aca="false">IF($A184="","",IF(COUNT($AE184:$AI184)=0,"",SUM($AE184:$AI184)))</f>
        <v/>
      </c>
      <c r="AK184" s="25"/>
      <c r="AL184" s="25"/>
      <c r="AM184" s="25" t="str">
        <f aca="false">IF(OR($A184="",$AJ184=""),"",$AJ184-N($AK184)-N($AL184))</f>
        <v/>
      </c>
      <c r="AN184" s="23"/>
      <c r="AO184" s="23"/>
      <c r="AP184" s="22"/>
      <c r="AQ184" s="22"/>
      <c r="AR184" s="23" t="str">
        <f aca="false">IF(OR($A184="",$R184=""),"",$R184+ReceiptDays)</f>
        <v/>
      </c>
      <c r="AS184" s="23"/>
      <c r="AT184" s="23" t="str">
        <f aca="false">IF(OR($A184="",$P184=""),"",($P184-FinanceLeadDays)-MOD(($P184-FinanceLeadDays)-DATE(2024,1,2),7))</f>
        <v/>
      </c>
      <c r="AU184" s="23"/>
      <c r="AV184" s="22"/>
      <c r="AW184" s="22"/>
      <c r="AX184" s="25" t="n">
        <f aca="false">IF(OR($A184="",$B184="Denied",$B184="Cancelled"),0,N($AD184))</f>
        <v>0</v>
      </c>
      <c r="AY184" s="25" t="n">
        <f aca="false">IF($A184="",0,N($AJ184))</f>
        <v>0</v>
      </c>
      <c r="AZ184" s="25" t="n">
        <f aca="false">IF(OR($A184="",$B184="Denied",$B184="Cancelled",$B184="Closed"),0,IF(N($AJ184)&gt;0,0,N($AD184)))</f>
        <v>0</v>
      </c>
      <c r="BA184" s="26" t="n">
        <f aca="false">IF($A184="",0,IF($B184="Awaiting Approval",COUNTIF(BA$1:BA183,"&gt;0")+1,0))</f>
        <v>0</v>
      </c>
      <c r="BB184" s="26" t="n">
        <f aca="false">IF($A184="",0,IF(AND($B184="Approved",$AP184&lt;&gt;"Y"),COUNTIF(BB$1:BB183,"&gt;0")+1,0))</f>
        <v>0</v>
      </c>
      <c r="BC184" s="26" t="n">
        <f aca="false">IF($A184="",0,IF(AND($B184="Approved",N($U184)&gt;0,$AQ184&lt;&gt;"Y"),COUNTIF(BC$1:BC183,"&gt;0")+1,0))</f>
        <v>0</v>
      </c>
      <c r="BD184" s="26" t="n">
        <f aca="true">IF($A184="",0,IF(AND($AR184&lt;&gt;"",N($AR184)&lt;TODAY(),$AS184="",$B184&lt;&gt;"Closed",$B184&lt;&gt;"Cancelled",$B184&lt;&gt;"Denied"),COUNTIF(BD$1:BD183,"&gt;0")+1,0))</f>
        <v>0</v>
      </c>
      <c r="BE184" s="26" t="n">
        <f aca="true">IF($A184="",0,IF(AND($AT184&lt;&gt;"",N($AT184)&lt;=TODAY()+7,$AU184="",$B184&lt;&gt;"Denied",$B184&lt;&gt;"Cancelled",$B184&lt;&gt;"Closed"),COUNTIF(BE$1:BE183,"&gt;0")+1,0))</f>
        <v>0</v>
      </c>
      <c r="BF184" s="22"/>
      <c r="BG184" s="22"/>
      <c r="BH184" s="22"/>
      <c r="BI184" s="22"/>
    </row>
    <row r="185" customFormat="false" ht="15" hidden="false" customHeight="false" outlineLevel="0" collapsed="false">
      <c r="A185" s="27"/>
      <c r="B185" s="27"/>
      <c r="C185" s="27"/>
      <c r="D185" s="27"/>
      <c r="E185" s="27"/>
      <c r="F185" s="27"/>
      <c r="G185" s="27"/>
      <c r="H185" s="27"/>
      <c r="I185" s="27"/>
      <c r="J185" s="27"/>
      <c r="K185" s="27"/>
      <c r="L185" s="27"/>
      <c r="M185" s="27"/>
      <c r="N185" s="28"/>
      <c r="O185" s="28"/>
      <c r="P185" s="28"/>
      <c r="Q185" s="29"/>
      <c r="R185" s="28"/>
      <c r="S185" s="29"/>
      <c r="T185" s="30"/>
      <c r="U185" s="31"/>
      <c r="V185" s="30"/>
      <c r="W185" s="30" t="str">
        <f aca="false">IF($A185="","",N($U185)*N($V185))</f>
        <v/>
      </c>
      <c r="X185" s="27"/>
      <c r="Y185" s="31"/>
      <c r="Z185" s="30"/>
      <c r="AA185" s="30" t="str">
        <f aca="false">IF($A185="","",IF($X185="POV",N($Y185)*MileageRate,0)+N($Z185))</f>
        <v/>
      </c>
      <c r="AB185" s="30" t="str">
        <f aca="false">IF(OR($A185="",$P185="",$R185="",$Q185="",$S185=""),"",IF($R185=$P185,($Q185&lt;=T_DepBfast)*($S185&gt;=T_RetBfast)*PD_Bfast+($Q185&lt;=T_DepLunch)*($S185&gt;=T_RetLunch)*PD_Lunch+($Q185&lt;=T_DepDinner)*($S185&gt;=T_RetDinner)*PD_Dinner+PD_Incid,($Q185&lt;=T_DepBfast)*PD_Bfast+($Q185&lt;=T_DepLunch)*PD_Lunch+($Q185&lt;=T_DepDinner)*PD_Dinner+($S185&gt;=T_RetBfast)*PD_Bfast+($S185&gt;=T_RetLunch)*PD_Lunch+($S185&gt;=T_RetDinner)*PD_Dinner+MAX($R185-$P185-1,0)*(PD_Bfast+PD_Lunch+PD_Dinner)+($R185-$P185+1)*PD_Incid))</f>
        <v/>
      </c>
      <c r="AC185" s="30"/>
      <c r="AD185" s="30" t="str">
        <f aca="false">IF($A185="","",N($T185)+N($W185)+N($AA185)+N($AB185)+N($AC185))</f>
        <v/>
      </c>
      <c r="AE185" s="30"/>
      <c r="AF185" s="30"/>
      <c r="AG185" s="30"/>
      <c r="AH185" s="30"/>
      <c r="AI185" s="30"/>
      <c r="AJ185" s="30" t="str">
        <f aca="false">IF($A185="","",IF(COUNT($AE185:$AI185)=0,"",SUM($AE185:$AI185)))</f>
        <v/>
      </c>
      <c r="AK185" s="30"/>
      <c r="AL185" s="30"/>
      <c r="AM185" s="30" t="str">
        <f aca="false">IF(OR($A185="",$AJ185=""),"",$AJ185-N($AK185)-N($AL185))</f>
        <v/>
      </c>
      <c r="AN185" s="28"/>
      <c r="AO185" s="28"/>
      <c r="AP185" s="27"/>
      <c r="AQ185" s="27"/>
      <c r="AR185" s="28" t="str">
        <f aca="false">IF(OR($A185="",$R185=""),"",$R185+ReceiptDays)</f>
        <v/>
      </c>
      <c r="AS185" s="28"/>
      <c r="AT185" s="28" t="str">
        <f aca="false">IF(OR($A185="",$P185=""),"",($P185-FinanceLeadDays)-MOD(($P185-FinanceLeadDays)-DATE(2024,1,2),7))</f>
        <v/>
      </c>
      <c r="AU185" s="28"/>
      <c r="AV185" s="27"/>
      <c r="AW185" s="27"/>
      <c r="AX185" s="30" t="n">
        <f aca="false">IF(OR($A185="",$B185="Denied",$B185="Cancelled"),0,N($AD185))</f>
        <v>0</v>
      </c>
      <c r="AY185" s="30" t="n">
        <f aca="false">IF($A185="",0,N($AJ185))</f>
        <v>0</v>
      </c>
      <c r="AZ185" s="30" t="n">
        <f aca="false">IF(OR($A185="",$B185="Denied",$B185="Cancelled",$B185="Closed"),0,IF(N($AJ185)&gt;0,0,N($AD185)))</f>
        <v>0</v>
      </c>
      <c r="BA185" s="31" t="n">
        <f aca="false">IF($A185="",0,IF($B185="Awaiting Approval",COUNTIF(BA$1:BA184,"&gt;0")+1,0))</f>
        <v>0</v>
      </c>
      <c r="BB185" s="31" t="n">
        <f aca="false">IF($A185="",0,IF(AND($B185="Approved",$AP185&lt;&gt;"Y"),COUNTIF(BB$1:BB184,"&gt;0")+1,0))</f>
        <v>0</v>
      </c>
      <c r="BC185" s="31" t="n">
        <f aca="false">IF($A185="",0,IF(AND($B185="Approved",N($U185)&gt;0,$AQ185&lt;&gt;"Y"),COUNTIF(BC$1:BC184,"&gt;0")+1,0))</f>
        <v>0</v>
      </c>
      <c r="BD185" s="31" t="n">
        <f aca="true">IF($A185="",0,IF(AND($AR185&lt;&gt;"",N($AR185)&lt;TODAY(),$AS185="",$B185&lt;&gt;"Closed",$B185&lt;&gt;"Cancelled",$B185&lt;&gt;"Denied"),COUNTIF(BD$1:BD184,"&gt;0")+1,0))</f>
        <v>0</v>
      </c>
      <c r="BE185" s="31" t="n">
        <f aca="true">IF($A185="",0,IF(AND($AT185&lt;&gt;"",N($AT185)&lt;=TODAY()+7,$AU185="",$B185&lt;&gt;"Denied",$B185&lt;&gt;"Cancelled",$B185&lt;&gt;"Closed"),COUNTIF(BE$1:BE184,"&gt;0")+1,0))</f>
        <v>0</v>
      </c>
      <c r="BF185" s="27"/>
      <c r="BG185" s="27"/>
      <c r="BH185" s="27"/>
      <c r="BI185" s="27"/>
    </row>
    <row r="186" customFormat="false" ht="15" hidden="false" customHeight="false" outlineLevel="0" collapsed="false">
      <c r="A186" s="22"/>
      <c r="B186" s="22"/>
      <c r="C186" s="22"/>
      <c r="D186" s="22"/>
      <c r="E186" s="22"/>
      <c r="F186" s="22"/>
      <c r="G186" s="22"/>
      <c r="H186" s="22"/>
      <c r="I186" s="22"/>
      <c r="J186" s="22"/>
      <c r="K186" s="22"/>
      <c r="L186" s="22"/>
      <c r="M186" s="22"/>
      <c r="N186" s="23"/>
      <c r="O186" s="23"/>
      <c r="P186" s="23"/>
      <c r="Q186" s="24"/>
      <c r="R186" s="23"/>
      <c r="S186" s="24"/>
      <c r="T186" s="25"/>
      <c r="U186" s="26"/>
      <c r="V186" s="25"/>
      <c r="W186" s="25" t="str">
        <f aca="false">IF($A186="","",N($U186)*N($V186))</f>
        <v/>
      </c>
      <c r="X186" s="22"/>
      <c r="Y186" s="26"/>
      <c r="Z186" s="25"/>
      <c r="AA186" s="25" t="str">
        <f aca="false">IF($A186="","",IF($X186="POV",N($Y186)*MileageRate,0)+N($Z186))</f>
        <v/>
      </c>
      <c r="AB186" s="25" t="str">
        <f aca="false">IF(OR($A186="",$P186="",$R186="",$Q186="",$S186=""),"",IF($R186=$P186,($Q186&lt;=T_DepBfast)*($S186&gt;=T_RetBfast)*PD_Bfast+($Q186&lt;=T_DepLunch)*($S186&gt;=T_RetLunch)*PD_Lunch+($Q186&lt;=T_DepDinner)*($S186&gt;=T_RetDinner)*PD_Dinner+PD_Incid,($Q186&lt;=T_DepBfast)*PD_Bfast+($Q186&lt;=T_DepLunch)*PD_Lunch+($Q186&lt;=T_DepDinner)*PD_Dinner+($S186&gt;=T_RetBfast)*PD_Bfast+($S186&gt;=T_RetLunch)*PD_Lunch+($S186&gt;=T_RetDinner)*PD_Dinner+MAX($R186-$P186-1,0)*(PD_Bfast+PD_Lunch+PD_Dinner)+($R186-$P186+1)*PD_Incid))</f>
        <v/>
      </c>
      <c r="AC186" s="25"/>
      <c r="AD186" s="25" t="str">
        <f aca="false">IF($A186="","",N($T186)+N($W186)+N($AA186)+N($AB186)+N($AC186))</f>
        <v/>
      </c>
      <c r="AE186" s="25"/>
      <c r="AF186" s="25"/>
      <c r="AG186" s="25"/>
      <c r="AH186" s="25"/>
      <c r="AI186" s="25"/>
      <c r="AJ186" s="25" t="str">
        <f aca="false">IF($A186="","",IF(COUNT($AE186:$AI186)=0,"",SUM($AE186:$AI186)))</f>
        <v/>
      </c>
      <c r="AK186" s="25"/>
      <c r="AL186" s="25"/>
      <c r="AM186" s="25" t="str">
        <f aca="false">IF(OR($A186="",$AJ186=""),"",$AJ186-N($AK186)-N($AL186))</f>
        <v/>
      </c>
      <c r="AN186" s="23"/>
      <c r="AO186" s="23"/>
      <c r="AP186" s="22"/>
      <c r="AQ186" s="22"/>
      <c r="AR186" s="23" t="str">
        <f aca="false">IF(OR($A186="",$R186=""),"",$R186+ReceiptDays)</f>
        <v/>
      </c>
      <c r="AS186" s="23"/>
      <c r="AT186" s="23" t="str">
        <f aca="false">IF(OR($A186="",$P186=""),"",($P186-FinanceLeadDays)-MOD(($P186-FinanceLeadDays)-DATE(2024,1,2),7))</f>
        <v/>
      </c>
      <c r="AU186" s="23"/>
      <c r="AV186" s="22"/>
      <c r="AW186" s="22"/>
      <c r="AX186" s="25" t="n">
        <f aca="false">IF(OR($A186="",$B186="Denied",$B186="Cancelled"),0,N($AD186))</f>
        <v>0</v>
      </c>
      <c r="AY186" s="25" t="n">
        <f aca="false">IF($A186="",0,N($AJ186))</f>
        <v>0</v>
      </c>
      <c r="AZ186" s="25" t="n">
        <f aca="false">IF(OR($A186="",$B186="Denied",$B186="Cancelled",$B186="Closed"),0,IF(N($AJ186)&gt;0,0,N($AD186)))</f>
        <v>0</v>
      </c>
      <c r="BA186" s="26" t="n">
        <f aca="false">IF($A186="",0,IF($B186="Awaiting Approval",COUNTIF(BA$1:BA185,"&gt;0")+1,0))</f>
        <v>0</v>
      </c>
      <c r="BB186" s="26" t="n">
        <f aca="false">IF($A186="",0,IF(AND($B186="Approved",$AP186&lt;&gt;"Y"),COUNTIF(BB$1:BB185,"&gt;0")+1,0))</f>
        <v>0</v>
      </c>
      <c r="BC186" s="26" t="n">
        <f aca="false">IF($A186="",0,IF(AND($B186="Approved",N($U186)&gt;0,$AQ186&lt;&gt;"Y"),COUNTIF(BC$1:BC185,"&gt;0")+1,0))</f>
        <v>0</v>
      </c>
      <c r="BD186" s="26" t="n">
        <f aca="true">IF($A186="",0,IF(AND($AR186&lt;&gt;"",N($AR186)&lt;TODAY(),$AS186="",$B186&lt;&gt;"Closed",$B186&lt;&gt;"Cancelled",$B186&lt;&gt;"Denied"),COUNTIF(BD$1:BD185,"&gt;0")+1,0))</f>
        <v>0</v>
      </c>
      <c r="BE186" s="26" t="n">
        <f aca="true">IF($A186="",0,IF(AND($AT186&lt;&gt;"",N($AT186)&lt;=TODAY()+7,$AU186="",$B186&lt;&gt;"Denied",$B186&lt;&gt;"Cancelled",$B186&lt;&gt;"Closed"),COUNTIF(BE$1:BE185,"&gt;0")+1,0))</f>
        <v>0</v>
      </c>
      <c r="BF186" s="22"/>
      <c r="BG186" s="22"/>
      <c r="BH186" s="22"/>
      <c r="BI186" s="22"/>
    </row>
    <row r="187" customFormat="false" ht="15" hidden="false" customHeight="false" outlineLevel="0" collapsed="false">
      <c r="A187" s="27"/>
      <c r="B187" s="27"/>
      <c r="C187" s="27"/>
      <c r="D187" s="27"/>
      <c r="E187" s="27"/>
      <c r="F187" s="27"/>
      <c r="G187" s="27"/>
      <c r="H187" s="27"/>
      <c r="I187" s="27"/>
      <c r="J187" s="27"/>
      <c r="K187" s="27"/>
      <c r="L187" s="27"/>
      <c r="M187" s="27"/>
      <c r="N187" s="28"/>
      <c r="O187" s="28"/>
      <c r="P187" s="28"/>
      <c r="Q187" s="29"/>
      <c r="R187" s="28"/>
      <c r="S187" s="29"/>
      <c r="T187" s="30"/>
      <c r="U187" s="31"/>
      <c r="V187" s="30"/>
      <c r="W187" s="30" t="str">
        <f aca="false">IF($A187="","",N($U187)*N($V187))</f>
        <v/>
      </c>
      <c r="X187" s="27"/>
      <c r="Y187" s="31"/>
      <c r="Z187" s="30"/>
      <c r="AA187" s="30" t="str">
        <f aca="false">IF($A187="","",IF($X187="POV",N($Y187)*MileageRate,0)+N($Z187))</f>
        <v/>
      </c>
      <c r="AB187" s="30" t="str">
        <f aca="false">IF(OR($A187="",$P187="",$R187="",$Q187="",$S187=""),"",IF($R187=$P187,($Q187&lt;=T_DepBfast)*($S187&gt;=T_RetBfast)*PD_Bfast+($Q187&lt;=T_DepLunch)*($S187&gt;=T_RetLunch)*PD_Lunch+($Q187&lt;=T_DepDinner)*($S187&gt;=T_RetDinner)*PD_Dinner+PD_Incid,($Q187&lt;=T_DepBfast)*PD_Bfast+($Q187&lt;=T_DepLunch)*PD_Lunch+($Q187&lt;=T_DepDinner)*PD_Dinner+($S187&gt;=T_RetBfast)*PD_Bfast+($S187&gt;=T_RetLunch)*PD_Lunch+($S187&gt;=T_RetDinner)*PD_Dinner+MAX($R187-$P187-1,0)*(PD_Bfast+PD_Lunch+PD_Dinner)+($R187-$P187+1)*PD_Incid))</f>
        <v/>
      </c>
      <c r="AC187" s="30"/>
      <c r="AD187" s="30" t="str">
        <f aca="false">IF($A187="","",N($T187)+N($W187)+N($AA187)+N($AB187)+N($AC187))</f>
        <v/>
      </c>
      <c r="AE187" s="30"/>
      <c r="AF187" s="30"/>
      <c r="AG187" s="30"/>
      <c r="AH187" s="30"/>
      <c r="AI187" s="30"/>
      <c r="AJ187" s="30" t="str">
        <f aca="false">IF($A187="","",IF(COUNT($AE187:$AI187)=0,"",SUM($AE187:$AI187)))</f>
        <v/>
      </c>
      <c r="AK187" s="30"/>
      <c r="AL187" s="30"/>
      <c r="AM187" s="30" t="str">
        <f aca="false">IF(OR($A187="",$AJ187=""),"",$AJ187-N($AK187)-N($AL187))</f>
        <v/>
      </c>
      <c r="AN187" s="28"/>
      <c r="AO187" s="28"/>
      <c r="AP187" s="27"/>
      <c r="AQ187" s="27"/>
      <c r="AR187" s="28" t="str">
        <f aca="false">IF(OR($A187="",$R187=""),"",$R187+ReceiptDays)</f>
        <v/>
      </c>
      <c r="AS187" s="28"/>
      <c r="AT187" s="28" t="str">
        <f aca="false">IF(OR($A187="",$P187=""),"",($P187-FinanceLeadDays)-MOD(($P187-FinanceLeadDays)-DATE(2024,1,2),7))</f>
        <v/>
      </c>
      <c r="AU187" s="28"/>
      <c r="AV187" s="27"/>
      <c r="AW187" s="27"/>
      <c r="AX187" s="30" t="n">
        <f aca="false">IF(OR($A187="",$B187="Denied",$B187="Cancelled"),0,N($AD187))</f>
        <v>0</v>
      </c>
      <c r="AY187" s="30" t="n">
        <f aca="false">IF($A187="",0,N($AJ187))</f>
        <v>0</v>
      </c>
      <c r="AZ187" s="30" t="n">
        <f aca="false">IF(OR($A187="",$B187="Denied",$B187="Cancelled",$B187="Closed"),0,IF(N($AJ187)&gt;0,0,N($AD187)))</f>
        <v>0</v>
      </c>
      <c r="BA187" s="31" t="n">
        <f aca="false">IF($A187="",0,IF($B187="Awaiting Approval",COUNTIF(BA$1:BA186,"&gt;0")+1,0))</f>
        <v>0</v>
      </c>
      <c r="BB187" s="31" t="n">
        <f aca="false">IF($A187="",0,IF(AND($B187="Approved",$AP187&lt;&gt;"Y"),COUNTIF(BB$1:BB186,"&gt;0")+1,0))</f>
        <v>0</v>
      </c>
      <c r="BC187" s="31" t="n">
        <f aca="false">IF($A187="",0,IF(AND($B187="Approved",N($U187)&gt;0,$AQ187&lt;&gt;"Y"),COUNTIF(BC$1:BC186,"&gt;0")+1,0))</f>
        <v>0</v>
      </c>
      <c r="BD187" s="31" t="n">
        <f aca="true">IF($A187="",0,IF(AND($AR187&lt;&gt;"",N($AR187)&lt;TODAY(),$AS187="",$B187&lt;&gt;"Closed",$B187&lt;&gt;"Cancelled",$B187&lt;&gt;"Denied"),COUNTIF(BD$1:BD186,"&gt;0")+1,0))</f>
        <v>0</v>
      </c>
      <c r="BE187" s="31" t="n">
        <f aca="true">IF($A187="",0,IF(AND($AT187&lt;&gt;"",N($AT187)&lt;=TODAY()+7,$AU187="",$B187&lt;&gt;"Denied",$B187&lt;&gt;"Cancelled",$B187&lt;&gt;"Closed"),COUNTIF(BE$1:BE186,"&gt;0")+1,0))</f>
        <v>0</v>
      </c>
      <c r="BF187" s="27"/>
      <c r="BG187" s="27"/>
      <c r="BH187" s="27"/>
      <c r="BI187" s="27"/>
    </row>
    <row r="188" customFormat="false" ht="15" hidden="false" customHeight="false" outlineLevel="0" collapsed="false">
      <c r="A188" s="22"/>
      <c r="B188" s="22"/>
      <c r="C188" s="22"/>
      <c r="D188" s="22"/>
      <c r="E188" s="22"/>
      <c r="F188" s="22"/>
      <c r="G188" s="22"/>
      <c r="H188" s="22"/>
      <c r="I188" s="22"/>
      <c r="J188" s="22"/>
      <c r="K188" s="22"/>
      <c r="L188" s="22"/>
      <c r="M188" s="22"/>
      <c r="N188" s="23"/>
      <c r="O188" s="23"/>
      <c r="P188" s="23"/>
      <c r="Q188" s="24"/>
      <c r="R188" s="23"/>
      <c r="S188" s="24"/>
      <c r="T188" s="25"/>
      <c r="U188" s="26"/>
      <c r="V188" s="25"/>
      <c r="W188" s="25" t="str">
        <f aca="false">IF($A188="","",N($U188)*N($V188))</f>
        <v/>
      </c>
      <c r="X188" s="22"/>
      <c r="Y188" s="26"/>
      <c r="Z188" s="25"/>
      <c r="AA188" s="25" t="str">
        <f aca="false">IF($A188="","",IF($X188="POV",N($Y188)*MileageRate,0)+N($Z188))</f>
        <v/>
      </c>
      <c r="AB188" s="25" t="str">
        <f aca="false">IF(OR($A188="",$P188="",$R188="",$Q188="",$S188=""),"",IF($R188=$P188,($Q188&lt;=T_DepBfast)*($S188&gt;=T_RetBfast)*PD_Bfast+($Q188&lt;=T_DepLunch)*($S188&gt;=T_RetLunch)*PD_Lunch+($Q188&lt;=T_DepDinner)*($S188&gt;=T_RetDinner)*PD_Dinner+PD_Incid,($Q188&lt;=T_DepBfast)*PD_Bfast+($Q188&lt;=T_DepLunch)*PD_Lunch+($Q188&lt;=T_DepDinner)*PD_Dinner+($S188&gt;=T_RetBfast)*PD_Bfast+($S188&gt;=T_RetLunch)*PD_Lunch+($S188&gt;=T_RetDinner)*PD_Dinner+MAX($R188-$P188-1,0)*(PD_Bfast+PD_Lunch+PD_Dinner)+($R188-$P188+1)*PD_Incid))</f>
        <v/>
      </c>
      <c r="AC188" s="25"/>
      <c r="AD188" s="25" t="str">
        <f aca="false">IF($A188="","",N($T188)+N($W188)+N($AA188)+N($AB188)+N($AC188))</f>
        <v/>
      </c>
      <c r="AE188" s="25"/>
      <c r="AF188" s="25"/>
      <c r="AG188" s="25"/>
      <c r="AH188" s="25"/>
      <c r="AI188" s="25"/>
      <c r="AJ188" s="25" t="str">
        <f aca="false">IF($A188="","",IF(COUNT($AE188:$AI188)=0,"",SUM($AE188:$AI188)))</f>
        <v/>
      </c>
      <c r="AK188" s="25"/>
      <c r="AL188" s="25"/>
      <c r="AM188" s="25" t="str">
        <f aca="false">IF(OR($A188="",$AJ188=""),"",$AJ188-N($AK188)-N($AL188))</f>
        <v/>
      </c>
      <c r="AN188" s="23"/>
      <c r="AO188" s="23"/>
      <c r="AP188" s="22"/>
      <c r="AQ188" s="22"/>
      <c r="AR188" s="23" t="str">
        <f aca="false">IF(OR($A188="",$R188=""),"",$R188+ReceiptDays)</f>
        <v/>
      </c>
      <c r="AS188" s="23"/>
      <c r="AT188" s="23" t="str">
        <f aca="false">IF(OR($A188="",$P188=""),"",($P188-FinanceLeadDays)-MOD(($P188-FinanceLeadDays)-DATE(2024,1,2),7))</f>
        <v/>
      </c>
      <c r="AU188" s="23"/>
      <c r="AV188" s="22"/>
      <c r="AW188" s="22"/>
      <c r="AX188" s="25" t="n">
        <f aca="false">IF(OR($A188="",$B188="Denied",$B188="Cancelled"),0,N($AD188))</f>
        <v>0</v>
      </c>
      <c r="AY188" s="25" t="n">
        <f aca="false">IF($A188="",0,N($AJ188))</f>
        <v>0</v>
      </c>
      <c r="AZ188" s="25" t="n">
        <f aca="false">IF(OR($A188="",$B188="Denied",$B188="Cancelled",$B188="Closed"),0,IF(N($AJ188)&gt;0,0,N($AD188)))</f>
        <v>0</v>
      </c>
      <c r="BA188" s="26" t="n">
        <f aca="false">IF($A188="",0,IF($B188="Awaiting Approval",COUNTIF(BA$1:BA187,"&gt;0")+1,0))</f>
        <v>0</v>
      </c>
      <c r="BB188" s="26" t="n">
        <f aca="false">IF($A188="",0,IF(AND($B188="Approved",$AP188&lt;&gt;"Y"),COUNTIF(BB$1:BB187,"&gt;0")+1,0))</f>
        <v>0</v>
      </c>
      <c r="BC188" s="26" t="n">
        <f aca="false">IF($A188="",0,IF(AND($B188="Approved",N($U188)&gt;0,$AQ188&lt;&gt;"Y"),COUNTIF(BC$1:BC187,"&gt;0")+1,0))</f>
        <v>0</v>
      </c>
      <c r="BD188" s="26" t="n">
        <f aca="true">IF($A188="",0,IF(AND($AR188&lt;&gt;"",N($AR188)&lt;TODAY(),$AS188="",$B188&lt;&gt;"Closed",$B188&lt;&gt;"Cancelled",$B188&lt;&gt;"Denied"),COUNTIF(BD$1:BD187,"&gt;0")+1,0))</f>
        <v>0</v>
      </c>
      <c r="BE188" s="26" t="n">
        <f aca="true">IF($A188="",0,IF(AND($AT188&lt;&gt;"",N($AT188)&lt;=TODAY()+7,$AU188="",$B188&lt;&gt;"Denied",$B188&lt;&gt;"Cancelled",$B188&lt;&gt;"Closed"),COUNTIF(BE$1:BE187,"&gt;0")+1,0))</f>
        <v>0</v>
      </c>
      <c r="BF188" s="22"/>
      <c r="BG188" s="22"/>
      <c r="BH188" s="22"/>
      <c r="BI188" s="22"/>
    </row>
    <row r="189" customFormat="false" ht="15" hidden="false" customHeight="false" outlineLevel="0" collapsed="false">
      <c r="A189" s="27"/>
      <c r="B189" s="27"/>
      <c r="C189" s="27"/>
      <c r="D189" s="27"/>
      <c r="E189" s="27"/>
      <c r="F189" s="27"/>
      <c r="G189" s="27"/>
      <c r="H189" s="27"/>
      <c r="I189" s="27"/>
      <c r="J189" s="27"/>
      <c r="K189" s="27"/>
      <c r="L189" s="27"/>
      <c r="M189" s="27"/>
      <c r="N189" s="28"/>
      <c r="O189" s="28"/>
      <c r="P189" s="28"/>
      <c r="Q189" s="29"/>
      <c r="R189" s="28"/>
      <c r="S189" s="29"/>
      <c r="T189" s="30"/>
      <c r="U189" s="31"/>
      <c r="V189" s="30"/>
      <c r="W189" s="30" t="str">
        <f aca="false">IF($A189="","",N($U189)*N($V189))</f>
        <v/>
      </c>
      <c r="X189" s="27"/>
      <c r="Y189" s="31"/>
      <c r="Z189" s="30"/>
      <c r="AA189" s="30" t="str">
        <f aca="false">IF($A189="","",IF($X189="POV",N($Y189)*MileageRate,0)+N($Z189))</f>
        <v/>
      </c>
      <c r="AB189" s="30" t="str">
        <f aca="false">IF(OR($A189="",$P189="",$R189="",$Q189="",$S189=""),"",IF($R189=$P189,($Q189&lt;=T_DepBfast)*($S189&gt;=T_RetBfast)*PD_Bfast+($Q189&lt;=T_DepLunch)*($S189&gt;=T_RetLunch)*PD_Lunch+($Q189&lt;=T_DepDinner)*($S189&gt;=T_RetDinner)*PD_Dinner+PD_Incid,($Q189&lt;=T_DepBfast)*PD_Bfast+($Q189&lt;=T_DepLunch)*PD_Lunch+($Q189&lt;=T_DepDinner)*PD_Dinner+($S189&gt;=T_RetBfast)*PD_Bfast+($S189&gt;=T_RetLunch)*PD_Lunch+($S189&gt;=T_RetDinner)*PD_Dinner+MAX($R189-$P189-1,0)*(PD_Bfast+PD_Lunch+PD_Dinner)+($R189-$P189+1)*PD_Incid))</f>
        <v/>
      </c>
      <c r="AC189" s="30"/>
      <c r="AD189" s="30" t="str">
        <f aca="false">IF($A189="","",N($T189)+N($W189)+N($AA189)+N($AB189)+N($AC189))</f>
        <v/>
      </c>
      <c r="AE189" s="30"/>
      <c r="AF189" s="30"/>
      <c r="AG189" s="30"/>
      <c r="AH189" s="30"/>
      <c r="AI189" s="30"/>
      <c r="AJ189" s="30" t="str">
        <f aca="false">IF($A189="","",IF(COUNT($AE189:$AI189)=0,"",SUM($AE189:$AI189)))</f>
        <v/>
      </c>
      <c r="AK189" s="30"/>
      <c r="AL189" s="30"/>
      <c r="AM189" s="30" t="str">
        <f aca="false">IF(OR($A189="",$AJ189=""),"",$AJ189-N($AK189)-N($AL189))</f>
        <v/>
      </c>
      <c r="AN189" s="28"/>
      <c r="AO189" s="28"/>
      <c r="AP189" s="27"/>
      <c r="AQ189" s="27"/>
      <c r="AR189" s="28" t="str">
        <f aca="false">IF(OR($A189="",$R189=""),"",$R189+ReceiptDays)</f>
        <v/>
      </c>
      <c r="AS189" s="28"/>
      <c r="AT189" s="28" t="str">
        <f aca="false">IF(OR($A189="",$P189=""),"",($P189-FinanceLeadDays)-MOD(($P189-FinanceLeadDays)-DATE(2024,1,2),7))</f>
        <v/>
      </c>
      <c r="AU189" s="28"/>
      <c r="AV189" s="27"/>
      <c r="AW189" s="27"/>
      <c r="AX189" s="30" t="n">
        <f aca="false">IF(OR($A189="",$B189="Denied",$B189="Cancelled"),0,N($AD189))</f>
        <v>0</v>
      </c>
      <c r="AY189" s="30" t="n">
        <f aca="false">IF($A189="",0,N($AJ189))</f>
        <v>0</v>
      </c>
      <c r="AZ189" s="30" t="n">
        <f aca="false">IF(OR($A189="",$B189="Denied",$B189="Cancelled",$B189="Closed"),0,IF(N($AJ189)&gt;0,0,N($AD189)))</f>
        <v>0</v>
      </c>
      <c r="BA189" s="31" t="n">
        <f aca="false">IF($A189="",0,IF($B189="Awaiting Approval",COUNTIF(BA$1:BA188,"&gt;0")+1,0))</f>
        <v>0</v>
      </c>
      <c r="BB189" s="31" t="n">
        <f aca="false">IF($A189="",0,IF(AND($B189="Approved",$AP189&lt;&gt;"Y"),COUNTIF(BB$1:BB188,"&gt;0")+1,0))</f>
        <v>0</v>
      </c>
      <c r="BC189" s="31" t="n">
        <f aca="false">IF($A189="",0,IF(AND($B189="Approved",N($U189)&gt;0,$AQ189&lt;&gt;"Y"),COUNTIF(BC$1:BC188,"&gt;0")+1,0))</f>
        <v>0</v>
      </c>
      <c r="BD189" s="31" t="n">
        <f aca="true">IF($A189="",0,IF(AND($AR189&lt;&gt;"",N($AR189)&lt;TODAY(),$AS189="",$B189&lt;&gt;"Closed",$B189&lt;&gt;"Cancelled",$B189&lt;&gt;"Denied"),COUNTIF(BD$1:BD188,"&gt;0")+1,0))</f>
        <v>0</v>
      </c>
      <c r="BE189" s="31" t="n">
        <f aca="true">IF($A189="",0,IF(AND($AT189&lt;&gt;"",N($AT189)&lt;=TODAY()+7,$AU189="",$B189&lt;&gt;"Denied",$B189&lt;&gt;"Cancelled",$B189&lt;&gt;"Closed"),COUNTIF(BE$1:BE188,"&gt;0")+1,0))</f>
        <v>0</v>
      </c>
      <c r="BF189" s="27"/>
      <c r="BG189" s="27"/>
      <c r="BH189" s="27"/>
      <c r="BI189" s="27"/>
    </row>
    <row r="190" customFormat="false" ht="15" hidden="false" customHeight="false" outlineLevel="0" collapsed="false">
      <c r="A190" s="22"/>
      <c r="B190" s="22"/>
      <c r="C190" s="22"/>
      <c r="D190" s="22"/>
      <c r="E190" s="22"/>
      <c r="F190" s="22"/>
      <c r="G190" s="22"/>
      <c r="H190" s="22"/>
      <c r="I190" s="22"/>
      <c r="J190" s="22"/>
      <c r="K190" s="22"/>
      <c r="L190" s="22"/>
      <c r="M190" s="22"/>
      <c r="N190" s="23"/>
      <c r="O190" s="23"/>
      <c r="P190" s="23"/>
      <c r="Q190" s="24"/>
      <c r="R190" s="23"/>
      <c r="S190" s="24"/>
      <c r="T190" s="25"/>
      <c r="U190" s="26"/>
      <c r="V190" s="25"/>
      <c r="W190" s="25" t="str">
        <f aca="false">IF($A190="","",N($U190)*N($V190))</f>
        <v/>
      </c>
      <c r="X190" s="22"/>
      <c r="Y190" s="26"/>
      <c r="Z190" s="25"/>
      <c r="AA190" s="25" t="str">
        <f aca="false">IF($A190="","",IF($X190="POV",N($Y190)*MileageRate,0)+N($Z190))</f>
        <v/>
      </c>
      <c r="AB190" s="25" t="str">
        <f aca="false">IF(OR($A190="",$P190="",$R190="",$Q190="",$S190=""),"",IF($R190=$P190,($Q190&lt;=T_DepBfast)*($S190&gt;=T_RetBfast)*PD_Bfast+($Q190&lt;=T_DepLunch)*($S190&gt;=T_RetLunch)*PD_Lunch+($Q190&lt;=T_DepDinner)*($S190&gt;=T_RetDinner)*PD_Dinner+PD_Incid,($Q190&lt;=T_DepBfast)*PD_Bfast+($Q190&lt;=T_DepLunch)*PD_Lunch+($Q190&lt;=T_DepDinner)*PD_Dinner+($S190&gt;=T_RetBfast)*PD_Bfast+($S190&gt;=T_RetLunch)*PD_Lunch+($S190&gt;=T_RetDinner)*PD_Dinner+MAX($R190-$P190-1,0)*(PD_Bfast+PD_Lunch+PD_Dinner)+($R190-$P190+1)*PD_Incid))</f>
        <v/>
      </c>
      <c r="AC190" s="25"/>
      <c r="AD190" s="25" t="str">
        <f aca="false">IF($A190="","",N($T190)+N($W190)+N($AA190)+N($AB190)+N($AC190))</f>
        <v/>
      </c>
      <c r="AE190" s="25"/>
      <c r="AF190" s="25"/>
      <c r="AG190" s="25"/>
      <c r="AH190" s="25"/>
      <c r="AI190" s="25"/>
      <c r="AJ190" s="25" t="str">
        <f aca="false">IF($A190="","",IF(COUNT($AE190:$AI190)=0,"",SUM($AE190:$AI190)))</f>
        <v/>
      </c>
      <c r="AK190" s="25"/>
      <c r="AL190" s="25"/>
      <c r="AM190" s="25" t="str">
        <f aca="false">IF(OR($A190="",$AJ190=""),"",$AJ190-N($AK190)-N($AL190))</f>
        <v/>
      </c>
      <c r="AN190" s="23"/>
      <c r="AO190" s="23"/>
      <c r="AP190" s="22"/>
      <c r="AQ190" s="22"/>
      <c r="AR190" s="23" t="str">
        <f aca="false">IF(OR($A190="",$R190=""),"",$R190+ReceiptDays)</f>
        <v/>
      </c>
      <c r="AS190" s="23"/>
      <c r="AT190" s="23" t="str">
        <f aca="false">IF(OR($A190="",$P190=""),"",($P190-FinanceLeadDays)-MOD(($P190-FinanceLeadDays)-DATE(2024,1,2),7))</f>
        <v/>
      </c>
      <c r="AU190" s="23"/>
      <c r="AV190" s="22"/>
      <c r="AW190" s="22"/>
      <c r="AX190" s="25" t="n">
        <f aca="false">IF(OR($A190="",$B190="Denied",$B190="Cancelled"),0,N($AD190))</f>
        <v>0</v>
      </c>
      <c r="AY190" s="25" t="n">
        <f aca="false">IF($A190="",0,N($AJ190))</f>
        <v>0</v>
      </c>
      <c r="AZ190" s="25" t="n">
        <f aca="false">IF(OR($A190="",$B190="Denied",$B190="Cancelled",$B190="Closed"),0,IF(N($AJ190)&gt;0,0,N($AD190)))</f>
        <v>0</v>
      </c>
      <c r="BA190" s="26" t="n">
        <f aca="false">IF($A190="",0,IF($B190="Awaiting Approval",COUNTIF(BA$1:BA189,"&gt;0")+1,0))</f>
        <v>0</v>
      </c>
      <c r="BB190" s="26" t="n">
        <f aca="false">IF($A190="",0,IF(AND($B190="Approved",$AP190&lt;&gt;"Y"),COUNTIF(BB$1:BB189,"&gt;0")+1,0))</f>
        <v>0</v>
      </c>
      <c r="BC190" s="26" t="n">
        <f aca="false">IF($A190="",0,IF(AND($B190="Approved",N($U190)&gt;0,$AQ190&lt;&gt;"Y"),COUNTIF(BC$1:BC189,"&gt;0")+1,0))</f>
        <v>0</v>
      </c>
      <c r="BD190" s="26" t="n">
        <f aca="true">IF($A190="",0,IF(AND($AR190&lt;&gt;"",N($AR190)&lt;TODAY(),$AS190="",$B190&lt;&gt;"Closed",$B190&lt;&gt;"Cancelled",$B190&lt;&gt;"Denied"),COUNTIF(BD$1:BD189,"&gt;0")+1,0))</f>
        <v>0</v>
      </c>
      <c r="BE190" s="26" t="n">
        <f aca="true">IF($A190="",0,IF(AND($AT190&lt;&gt;"",N($AT190)&lt;=TODAY()+7,$AU190="",$B190&lt;&gt;"Denied",$B190&lt;&gt;"Cancelled",$B190&lt;&gt;"Closed"),COUNTIF(BE$1:BE189,"&gt;0")+1,0))</f>
        <v>0</v>
      </c>
      <c r="BF190" s="22"/>
      <c r="BG190" s="22"/>
      <c r="BH190" s="22"/>
      <c r="BI190" s="22"/>
    </row>
    <row r="191" customFormat="false" ht="15" hidden="false" customHeight="false" outlineLevel="0" collapsed="false">
      <c r="A191" s="27"/>
      <c r="B191" s="27"/>
      <c r="C191" s="27"/>
      <c r="D191" s="27"/>
      <c r="E191" s="27"/>
      <c r="F191" s="27"/>
      <c r="G191" s="27"/>
      <c r="H191" s="27"/>
      <c r="I191" s="27"/>
      <c r="J191" s="27"/>
      <c r="K191" s="27"/>
      <c r="L191" s="27"/>
      <c r="M191" s="27"/>
      <c r="N191" s="28"/>
      <c r="O191" s="28"/>
      <c r="P191" s="28"/>
      <c r="Q191" s="29"/>
      <c r="R191" s="28"/>
      <c r="S191" s="29"/>
      <c r="T191" s="30"/>
      <c r="U191" s="31"/>
      <c r="V191" s="30"/>
      <c r="W191" s="30" t="str">
        <f aca="false">IF($A191="","",N($U191)*N($V191))</f>
        <v/>
      </c>
      <c r="X191" s="27"/>
      <c r="Y191" s="31"/>
      <c r="Z191" s="30"/>
      <c r="AA191" s="30" t="str">
        <f aca="false">IF($A191="","",IF($X191="POV",N($Y191)*MileageRate,0)+N($Z191))</f>
        <v/>
      </c>
      <c r="AB191" s="30" t="str">
        <f aca="false">IF(OR($A191="",$P191="",$R191="",$Q191="",$S191=""),"",IF($R191=$P191,($Q191&lt;=T_DepBfast)*($S191&gt;=T_RetBfast)*PD_Bfast+($Q191&lt;=T_DepLunch)*($S191&gt;=T_RetLunch)*PD_Lunch+($Q191&lt;=T_DepDinner)*($S191&gt;=T_RetDinner)*PD_Dinner+PD_Incid,($Q191&lt;=T_DepBfast)*PD_Bfast+($Q191&lt;=T_DepLunch)*PD_Lunch+($Q191&lt;=T_DepDinner)*PD_Dinner+($S191&gt;=T_RetBfast)*PD_Bfast+($S191&gt;=T_RetLunch)*PD_Lunch+($S191&gt;=T_RetDinner)*PD_Dinner+MAX($R191-$P191-1,0)*(PD_Bfast+PD_Lunch+PD_Dinner)+($R191-$P191+1)*PD_Incid))</f>
        <v/>
      </c>
      <c r="AC191" s="30"/>
      <c r="AD191" s="30" t="str">
        <f aca="false">IF($A191="","",N($T191)+N($W191)+N($AA191)+N($AB191)+N($AC191))</f>
        <v/>
      </c>
      <c r="AE191" s="30"/>
      <c r="AF191" s="30"/>
      <c r="AG191" s="30"/>
      <c r="AH191" s="30"/>
      <c r="AI191" s="30"/>
      <c r="AJ191" s="30" t="str">
        <f aca="false">IF($A191="","",IF(COUNT($AE191:$AI191)=0,"",SUM($AE191:$AI191)))</f>
        <v/>
      </c>
      <c r="AK191" s="30"/>
      <c r="AL191" s="30"/>
      <c r="AM191" s="30" t="str">
        <f aca="false">IF(OR($A191="",$AJ191=""),"",$AJ191-N($AK191)-N($AL191))</f>
        <v/>
      </c>
      <c r="AN191" s="28"/>
      <c r="AO191" s="28"/>
      <c r="AP191" s="27"/>
      <c r="AQ191" s="27"/>
      <c r="AR191" s="28" t="str">
        <f aca="false">IF(OR($A191="",$R191=""),"",$R191+ReceiptDays)</f>
        <v/>
      </c>
      <c r="AS191" s="28"/>
      <c r="AT191" s="28" t="str">
        <f aca="false">IF(OR($A191="",$P191=""),"",($P191-FinanceLeadDays)-MOD(($P191-FinanceLeadDays)-DATE(2024,1,2),7))</f>
        <v/>
      </c>
      <c r="AU191" s="28"/>
      <c r="AV191" s="27"/>
      <c r="AW191" s="27"/>
      <c r="AX191" s="30" t="n">
        <f aca="false">IF(OR($A191="",$B191="Denied",$B191="Cancelled"),0,N($AD191))</f>
        <v>0</v>
      </c>
      <c r="AY191" s="30" t="n">
        <f aca="false">IF($A191="",0,N($AJ191))</f>
        <v>0</v>
      </c>
      <c r="AZ191" s="30" t="n">
        <f aca="false">IF(OR($A191="",$B191="Denied",$B191="Cancelled",$B191="Closed"),0,IF(N($AJ191)&gt;0,0,N($AD191)))</f>
        <v>0</v>
      </c>
      <c r="BA191" s="31" t="n">
        <f aca="false">IF($A191="",0,IF($B191="Awaiting Approval",COUNTIF(BA$1:BA190,"&gt;0")+1,0))</f>
        <v>0</v>
      </c>
      <c r="BB191" s="31" t="n">
        <f aca="false">IF($A191="",0,IF(AND($B191="Approved",$AP191&lt;&gt;"Y"),COUNTIF(BB$1:BB190,"&gt;0")+1,0))</f>
        <v>0</v>
      </c>
      <c r="BC191" s="31" t="n">
        <f aca="false">IF($A191="",0,IF(AND($B191="Approved",N($U191)&gt;0,$AQ191&lt;&gt;"Y"),COUNTIF(BC$1:BC190,"&gt;0")+1,0))</f>
        <v>0</v>
      </c>
      <c r="BD191" s="31" t="n">
        <f aca="true">IF($A191="",0,IF(AND($AR191&lt;&gt;"",N($AR191)&lt;TODAY(),$AS191="",$B191&lt;&gt;"Closed",$B191&lt;&gt;"Cancelled",$B191&lt;&gt;"Denied"),COUNTIF(BD$1:BD190,"&gt;0")+1,0))</f>
        <v>0</v>
      </c>
      <c r="BE191" s="31" t="n">
        <f aca="true">IF($A191="",0,IF(AND($AT191&lt;&gt;"",N($AT191)&lt;=TODAY()+7,$AU191="",$B191&lt;&gt;"Denied",$B191&lt;&gt;"Cancelled",$B191&lt;&gt;"Closed"),COUNTIF(BE$1:BE190,"&gt;0")+1,0))</f>
        <v>0</v>
      </c>
      <c r="BF191" s="27"/>
      <c r="BG191" s="27"/>
      <c r="BH191" s="27"/>
      <c r="BI191" s="27"/>
    </row>
    <row r="192" customFormat="false" ht="15" hidden="false" customHeight="false" outlineLevel="0" collapsed="false">
      <c r="A192" s="22"/>
      <c r="B192" s="22"/>
      <c r="C192" s="22"/>
      <c r="D192" s="22"/>
      <c r="E192" s="22"/>
      <c r="F192" s="22"/>
      <c r="G192" s="22"/>
      <c r="H192" s="22"/>
      <c r="I192" s="22"/>
      <c r="J192" s="22"/>
      <c r="K192" s="22"/>
      <c r="L192" s="22"/>
      <c r="M192" s="22"/>
      <c r="N192" s="23"/>
      <c r="O192" s="23"/>
      <c r="P192" s="23"/>
      <c r="Q192" s="24"/>
      <c r="R192" s="23"/>
      <c r="S192" s="24"/>
      <c r="T192" s="25"/>
      <c r="U192" s="26"/>
      <c r="V192" s="25"/>
      <c r="W192" s="25" t="str">
        <f aca="false">IF($A192="","",N($U192)*N($V192))</f>
        <v/>
      </c>
      <c r="X192" s="22"/>
      <c r="Y192" s="26"/>
      <c r="Z192" s="25"/>
      <c r="AA192" s="25" t="str">
        <f aca="false">IF($A192="","",IF($X192="POV",N($Y192)*MileageRate,0)+N($Z192))</f>
        <v/>
      </c>
      <c r="AB192" s="25" t="str">
        <f aca="false">IF(OR($A192="",$P192="",$R192="",$Q192="",$S192=""),"",IF($R192=$P192,($Q192&lt;=T_DepBfast)*($S192&gt;=T_RetBfast)*PD_Bfast+($Q192&lt;=T_DepLunch)*($S192&gt;=T_RetLunch)*PD_Lunch+($Q192&lt;=T_DepDinner)*($S192&gt;=T_RetDinner)*PD_Dinner+PD_Incid,($Q192&lt;=T_DepBfast)*PD_Bfast+($Q192&lt;=T_DepLunch)*PD_Lunch+($Q192&lt;=T_DepDinner)*PD_Dinner+($S192&gt;=T_RetBfast)*PD_Bfast+($S192&gt;=T_RetLunch)*PD_Lunch+($S192&gt;=T_RetDinner)*PD_Dinner+MAX($R192-$P192-1,0)*(PD_Bfast+PD_Lunch+PD_Dinner)+($R192-$P192+1)*PD_Incid))</f>
        <v/>
      </c>
      <c r="AC192" s="25"/>
      <c r="AD192" s="25" t="str">
        <f aca="false">IF($A192="","",N($T192)+N($W192)+N($AA192)+N($AB192)+N($AC192))</f>
        <v/>
      </c>
      <c r="AE192" s="25"/>
      <c r="AF192" s="25"/>
      <c r="AG192" s="25"/>
      <c r="AH192" s="25"/>
      <c r="AI192" s="25"/>
      <c r="AJ192" s="25" t="str">
        <f aca="false">IF($A192="","",IF(COUNT($AE192:$AI192)=0,"",SUM($AE192:$AI192)))</f>
        <v/>
      </c>
      <c r="AK192" s="25"/>
      <c r="AL192" s="25"/>
      <c r="AM192" s="25" t="str">
        <f aca="false">IF(OR($A192="",$AJ192=""),"",$AJ192-N($AK192)-N($AL192))</f>
        <v/>
      </c>
      <c r="AN192" s="23"/>
      <c r="AO192" s="23"/>
      <c r="AP192" s="22"/>
      <c r="AQ192" s="22"/>
      <c r="AR192" s="23" t="str">
        <f aca="false">IF(OR($A192="",$R192=""),"",$R192+ReceiptDays)</f>
        <v/>
      </c>
      <c r="AS192" s="23"/>
      <c r="AT192" s="23" t="str">
        <f aca="false">IF(OR($A192="",$P192=""),"",($P192-FinanceLeadDays)-MOD(($P192-FinanceLeadDays)-DATE(2024,1,2),7))</f>
        <v/>
      </c>
      <c r="AU192" s="23"/>
      <c r="AV192" s="22"/>
      <c r="AW192" s="22"/>
      <c r="AX192" s="25" t="n">
        <f aca="false">IF(OR($A192="",$B192="Denied",$B192="Cancelled"),0,N($AD192))</f>
        <v>0</v>
      </c>
      <c r="AY192" s="25" t="n">
        <f aca="false">IF($A192="",0,N($AJ192))</f>
        <v>0</v>
      </c>
      <c r="AZ192" s="25" t="n">
        <f aca="false">IF(OR($A192="",$B192="Denied",$B192="Cancelled",$B192="Closed"),0,IF(N($AJ192)&gt;0,0,N($AD192)))</f>
        <v>0</v>
      </c>
      <c r="BA192" s="26" t="n">
        <f aca="false">IF($A192="",0,IF($B192="Awaiting Approval",COUNTIF(BA$1:BA191,"&gt;0")+1,0))</f>
        <v>0</v>
      </c>
      <c r="BB192" s="26" t="n">
        <f aca="false">IF($A192="",0,IF(AND($B192="Approved",$AP192&lt;&gt;"Y"),COUNTIF(BB$1:BB191,"&gt;0")+1,0))</f>
        <v>0</v>
      </c>
      <c r="BC192" s="26" t="n">
        <f aca="false">IF($A192="",0,IF(AND($B192="Approved",N($U192)&gt;0,$AQ192&lt;&gt;"Y"),COUNTIF(BC$1:BC191,"&gt;0")+1,0))</f>
        <v>0</v>
      </c>
      <c r="BD192" s="26" t="n">
        <f aca="true">IF($A192="",0,IF(AND($AR192&lt;&gt;"",N($AR192)&lt;TODAY(),$AS192="",$B192&lt;&gt;"Closed",$B192&lt;&gt;"Cancelled",$B192&lt;&gt;"Denied"),COUNTIF(BD$1:BD191,"&gt;0")+1,0))</f>
        <v>0</v>
      </c>
      <c r="BE192" s="26" t="n">
        <f aca="true">IF($A192="",0,IF(AND($AT192&lt;&gt;"",N($AT192)&lt;=TODAY()+7,$AU192="",$B192&lt;&gt;"Denied",$B192&lt;&gt;"Cancelled",$B192&lt;&gt;"Closed"),COUNTIF(BE$1:BE191,"&gt;0")+1,0))</f>
        <v>0</v>
      </c>
      <c r="BF192" s="22"/>
      <c r="BG192" s="22"/>
      <c r="BH192" s="22"/>
      <c r="BI192" s="22"/>
    </row>
    <row r="193" customFormat="false" ht="15" hidden="false" customHeight="false" outlineLevel="0" collapsed="false">
      <c r="A193" s="27"/>
      <c r="B193" s="27"/>
      <c r="C193" s="27"/>
      <c r="D193" s="27"/>
      <c r="E193" s="27"/>
      <c r="F193" s="27"/>
      <c r="G193" s="27"/>
      <c r="H193" s="27"/>
      <c r="I193" s="27"/>
      <c r="J193" s="27"/>
      <c r="K193" s="27"/>
      <c r="L193" s="27"/>
      <c r="M193" s="27"/>
      <c r="N193" s="28"/>
      <c r="O193" s="28"/>
      <c r="P193" s="28"/>
      <c r="Q193" s="29"/>
      <c r="R193" s="28"/>
      <c r="S193" s="29"/>
      <c r="T193" s="30"/>
      <c r="U193" s="31"/>
      <c r="V193" s="30"/>
      <c r="W193" s="30" t="str">
        <f aca="false">IF($A193="","",N($U193)*N($V193))</f>
        <v/>
      </c>
      <c r="X193" s="27"/>
      <c r="Y193" s="31"/>
      <c r="Z193" s="30"/>
      <c r="AA193" s="30" t="str">
        <f aca="false">IF($A193="","",IF($X193="POV",N($Y193)*MileageRate,0)+N($Z193))</f>
        <v/>
      </c>
      <c r="AB193" s="30" t="str">
        <f aca="false">IF(OR($A193="",$P193="",$R193="",$Q193="",$S193=""),"",IF($R193=$P193,($Q193&lt;=T_DepBfast)*($S193&gt;=T_RetBfast)*PD_Bfast+($Q193&lt;=T_DepLunch)*($S193&gt;=T_RetLunch)*PD_Lunch+($Q193&lt;=T_DepDinner)*($S193&gt;=T_RetDinner)*PD_Dinner+PD_Incid,($Q193&lt;=T_DepBfast)*PD_Bfast+($Q193&lt;=T_DepLunch)*PD_Lunch+($Q193&lt;=T_DepDinner)*PD_Dinner+($S193&gt;=T_RetBfast)*PD_Bfast+($S193&gt;=T_RetLunch)*PD_Lunch+($S193&gt;=T_RetDinner)*PD_Dinner+MAX($R193-$P193-1,0)*(PD_Bfast+PD_Lunch+PD_Dinner)+($R193-$P193+1)*PD_Incid))</f>
        <v/>
      </c>
      <c r="AC193" s="30"/>
      <c r="AD193" s="30" t="str">
        <f aca="false">IF($A193="","",N($T193)+N($W193)+N($AA193)+N($AB193)+N($AC193))</f>
        <v/>
      </c>
      <c r="AE193" s="30"/>
      <c r="AF193" s="30"/>
      <c r="AG193" s="30"/>
      <c r="AH193" s="30"/>
      <c r="AI193" s="30"/>
      <c r="AJ193" s="30" t="str">
        <f aca="false">IF($A193="","",IF(COUNT($AE193:$AI193)=0,"",SUM($AE193:$AI193)))</f>
        <v/>
      </c>
      <c r="AK193" s="30"/>
      <c r="AL193" s="30"/>
      <c r="AM193" s="30" t="str">
        <f aca="false">IF(OR($A193="",$AJ193=""),"",$AJ193-N($AK193)-N($AL193))</f>
        <v/>
      </c>
      <c r="AN193" s="28"/>
      <c r="AO193" s="28"/>
      <c r="AP193" s="27"/>
      <c r="AQ193" s="27"/>
      <c r="AR193" s="28" t="str">
        <f aca="false">IF(OR($A193="",$R193=""),"",$R193+ReceiptDays)</f>
        <v/>
      </c>
      <c r="AS193" s="28"/>
      <c r="AT193" s="28" t="str">
        <f aca="false">IF(OR($A193="",$P193=""),"",($P193-FinanceLeadDays)-MOD(($P193-FinanceLeadDays)-DATE(2024,1,2),7))</f>
        <v/>
      </c>
      <c r="AU193" s="28"/>
      <c r="AV193" s="27"/>
      <c r="AW193" s="27"/>
      <c r="AX193" s="30" t="n">
        <f aca="false">IF(OR($A193="",$B193="Denied",$B193="Cancelled"),0,N($AD193))</f>
        <v>0</v>
      </c>
      <c r="AY193" s="30" t="n">
        <f aca="false">IF($A193="",0,N($AJ193))</f>
        <v>0</v>
      </c>
      <c r="AZ193" s="30" t="n">
        <f aca="false">IF(OR($A193="",$B193="Denied",$B193="Cancelled",$B193="Closed"),0,IF(N($AJ193)&gt;0,0,N($AD193)))</f>
        <v>0</v>
      </c>
      <c r="BA193" s="31" t="n">
        <f aca="false">IF($A193="",0,IF($B193="Awaiting Approval",COUNTIF(BA$1:BA192,"&gt;0")+1,0))</f>
        <v>0</v>
      </c>
      <c r="BB193" s="31" t="n">
        <f aca="false">IF($A193="",0,IF(AND($B193="Approved",$AP193&lt;&gt;"Y"),COUNTIF(BB$1:BB192,"&gt;0")+1,0))</f>
        <v>0</v>
      </c>
      <c r="BC193" s="31" t="n">
        <f aca="false">IF($A193="",0,IF(AND($B193="Approved",N($U193)&gt;0,$AQ193&lt;&gt;"Y"),COUNTIF(BC$1:BC192,"&gt;0")+1,0))</f>
        <v>0</v>
      </c>
      <c r="BD193" s="31" t="n">
        <f aca="true">IF($A193="",0,IF(AND($AR193&lt;&gt;"",N($AR193)&lt;TODAY(),$AS193="",$B193&lt;&gt;"Closed",$B193&lt;&gt;"Cancelled",$B193&lt;&gt;"Denied"),COUNTIF(BD$1:BD192,"&gt;0")+1,0))</f>
        <v>0</v>
      </c>
      <c r="BE193" s="31" t="n">
        <f aca="true">IF($A193="",0,IF(AND($AT193&lt;&gt;"",N($AT193)&lt;=TODAY()+7,$AU193="",$B193&lt;&gt;"Denied",$B193&lt;&gt;"Cancelled",$B193&lt;&gt;"Closed"),COUNTIF(BE$1:BE192,"&gt;0")+1,0))</f>
        <v>0</v>
      </c>
      <c r="BF193" s="27"/>
      <c r="BG193" s="27"/>
      <c r="BH193" s="27"/>
      <c r="BI193" s="27"/>
    </row>
    <row r="194" customFormat="false" ht="15" hidden="false" customHeight="false" outlineLevel="0" collapsed="false">
      <c r="A194" s="22"/>
      <c r="B194" s="22"/>
      <c r="C194" s="22"/>
      <c r="D194" s="22"/>
      <c r="E194" s="22"/>
      <c r="F194" s="22"/>
      <c r="G194" s="22"/>
      <c r="H194" s="22"/>
      <c r="I194" s="22"/>
      <c r="J194" s="22"/>
      <c r="K194" s="22"/>
      <c r="L194" s="22"/>
      <c r="M194" s="22"/>
      <c r="N194" s="23"/>
      <c r="O194" s="23"/>
      <c r="P194" s="23"/>
      <c r="Q194" s="24"/>
      <c r="R194" s="23"/>
      <c r="S194" s="24"/>
      <c r="T194" s="25"/>
      <c r="U194" s="26"/>
      <c r="V194" s="25"/>
      <c r="W194" s="25" t="str">
        <f aca="false">IF($A194="","",N($U194)*N($V194))</f>
        <v/>
      </c>
      <c r="X194" s="22"/>
      <c r="Y194" s="26"/>
      <c r="Z194" s="25"/>
      <c r="AA194" s="25" t="str">
        <f aca="false">IF($A194="","",IF($X194="POV",N($Y194)*MileageRate,0)+N($Z194))</f>
        <v/>
      </c>
      <c r="AB194" s="25" t="str">
        <f aca="false">IF(OR($A194="",$P194="",$R194="",$Q194="",$S194=""),"",IF($R194=$P194,($Q194&lt;=T_DepBfast)*($S194&gt;=T_RetBfast)*PD_Bfast+($Q194&lt;=T_DepLunch)*($S194&gt;=T_RetLunch)*PD_Lunch+($Q194&lt;=T_DepDinner)*($S194&gt;=T_RetDinner)*PD_Dinner+PD_Incid,($Q194&lt;=T_DepBfast)*PD_Bfast+($Q194&lt;=T_DepLunch)*PD_Lunch+($Q194&lt;=T_DepDinner)*PD_Dinner+($S194&gt;=T_RetBfast)*PD_Bfast+($S194&gt;=T_RetLunch)*PD_Lunch+($S194&gt;=T_RetDinner)*PD_Dinner+MAX($R194-$P194-1,0)*(PD_Bfast+PD_Lunch+PD_Dinner)+($R194-$P194+1)*PD_Incid))</f>
        <v/>
      </c>
      <c r="AC194" s="25"/>
      <c r="AD194" s="25" t="str">
        <f aca="false">IF($A194="","",N($T194)+N($W194)+N($AA194)+N($AB194)+N($AC194))</f>
        <v/>
      </c>
      <c r="AE194" s="25"/>
      <c r="AF194" s="25"/>
      <c r="AG194" s="25"/>
      <c r="AH194" s="25"/>
      <c r="AI194" s="25"/>
      <c r="AJ194" s="25" t="str">
        <f aca="false">IF($A194="","",IF(COUNT($AE194:$AI194)=0,"",SUM($AE194:$AI194)))</f>
        <v/>
      </c>
      <c r="AK194" s="25"/>
      <c r="AL194" s="25"/>
      <c r="AM194" s="25" t="str">
        <f aca="false">IF(OR($A194="",$AJ194=""),"",$AJ194-N($AK194)-N($AL194))</f>
        <v/>
      </c>
      <c r="AN194" s="23"/>
      <c r="AO194" s="23"/>
      <c r="AP194" s="22"/>
      <c r="AQ194" s="22"/>
      <c r="AR194" s="23" t="str">
        <f aca="false">IF(OR($A194="",$R194=""),"",$R194+ReceiptDays)</f>
        <v/>
      </c>
      <c r="AS194" s="23"/>
      <c r="AT194" s="23" t="str">
        <f aca="false">IF(OR($A194="",$P194=""),"",($P194-FinanceLeadDays)-MOD(($P194-FinanceLeadDays)-DATE(2024,1,2),7))</f>
        <v/>
      </c>
      <c r="AU194" s="23"/>
      <c r="AV194" s="22"/>
      <c r="AW194" s="22"/>
      <c r="AX194" s="25" t="n">
        <f aca="false">IF(OR($A194="",$B194="Denied",$B194="Cancelled"),0,N($AD194))</f>
        <v>0</v>
      </c>
      <c r="AY194" s="25" t="n">
        <f aca="false">IF($A194="",0,N($AJ194))</f>
        <v>0</v>
      </c>
      <c r="AZ194" s="25" t="n">
        <f aca="false">IF(OR($A194="",$B194="Denied",$B194="Cancelled",$B194="Closed"),0,IF(N($AJ194)&gt;0,0,N($AD194)))</f>
        <v>0</v>
      </c>
      <c r="BA194" s="26" t="n">
        <f aca="false">IF($A194="",0,IF($B194="Awaiting Approval",COUNTIF(BA$1:BA193,"&gt;0")+1,0))</f>
        <v>0</v>
      </c>
      <c r="BB194" s="26" t="n">
        <f aca="false">IF($A194="",0,IF(AND($B194="Approved",$AP194&lt;&gt;"Y"),COUNTIF(BB$1:BB193,"&gt;0")+1,0))</f>
        <v>0</v>
      </c>
      <c r="BC194" s="26" t="n">
        <f aca="false">IF($A194="",0,IF(AND($B194="Approved",N($U194)&gt;0,$AQ194&lt;&gt;"Y"),COUNTIF(BC$1:BC193,"&gt;0")+1,0))</f>
        <v>0</v>
      </c>
      <c r="BD194" s="26" t="n">
        <f aca="true">IF($A194="",0,IF(AND($AR194&lt;&gt;"",N($AR194)&lt;TODAY(),$AS194="",$B194&lt;&gt;"Closed",$B194&lt;&gt;"Cancelled",$B194&lt;&gt;"Denied"),COUNTIF(BD$1:BD193,"&gt;0")+1,0))</f>
        <v>0</v>
      </c>
      <c r="BE194" s="26" t="n">
        <f aca="true">IF($A194="",0,IF(AND($AT194&lt;&gt;"",N($AT194)&lt;=TODAY()+7,$AU194="",$B194&lt;&gt;"Denied",$B194&lt;&gt;"Cancelled",$B194&lt;&gt;"Closed"),COUNTIF(BE$1:BE193,"&gt;0")+1,0))</f>
        <v>0</v>
      </c>
      <c r="BF194" s="22"/>
      <c r="BG194" s="22"/>
      <c r="BH194" s="22"/>
      <c r="BI194" s="22"/>
    </row>
    <row r="195" customFormat="false" ht="15" hidden="false" customHeight="false" outlineLevel="0" collapsed="false">
      <c r="A195" s="27"/>
      <c r="B195" s="27"/>
      <c r="C195" s="27"/>
      <c r="D195" s="27"/>
      <c r="E195" s="27"/>
      <c r="F195" s="27"/>
      <c r="G195" s="27"/>
      <c r="H195" s="27"/>
      <c r="I195" s="27"/>
      <c r="J195" s="27"/>
      <c r="K195" s="27"/>
      <c r="L195" s="27"/>
      <c r="M195" s="27"/>
      <c r="N195" s="28"/>
      <c r="O195" s="28"/>
      <c r="P195" s="28"/>
      <c r="Q195" s="29"/>
      <c r="R195" s="28"/>
      <c r="S195" s="29"/>
      <c r="T195" s="30"/>
      <c r="U195" s="31"/>
      <c r="V195" s="30"/>
      <c r="W195" s="30" t="str">
        <f aca="false">IF($A195="","",N($U195)*N($V195))</f>
        <v/>
      </c>
      <c r="X195" s="27"/>
      <c r="Y195" s="31"/>
      <c r="Z195" s="30"/>
      <c r="AA195" s="30" t="str">
        <f aca="false">IF($A195="","",IF($X195="POV",N($Y195)*MileageRate,0)+N($Z195))</f>
        <v/>
      </c>
      <c r="AB195" s="30" t="str">
        <f aca="false">IF(OR($A195="",$P195="",$R195="",$Q195="",$S195=""),"",IF($R195=$P195,($Q195&lt;=T_DepBfast)*($S195&gt;=T_RetBfast)*PD_Bfast+($Q195&lt;=T_DepLunch)*($S195&gt;=T_RetLunch)*PD_Lunch+($Q195&lt;=T_DepDinner)*($S195&gt;=T_RetDinner)*PD_Dinner+PD_Incid,($Q195&lt;=T_DepBfast)*PD_Bfast+($Q195&lt;=T_DepLunch)*PD_Lunch+($Q195&lt;=T_DepDinner)*PD_Dinner+($S195&gt;=T_RetBfast)*PD_Bfast+($S195&gt;=T_RetLunch)*PD_Lunch+($S195&gt;=T_RetDinner)*PD_Dinner+MAX($R195-$P195-1,0)*(PD_Bfast+PD_Lunch+PD_Dinner)+($R195-$P195+1)*PD_Incid))</f>
        <v/>
      </c>
      <c r="AC195" s="30"/>
      <c r="AD195" s="30" t="str">
        <f aca="false">IF($A195="","",N($T195)+N($W195)+N($AA195)+N($AB195)+N($AC195))</f>
        <v/>
      </c>
      <c r="AE195" s="30"/>
      <c r="AF195" s="30"/>
      <c r="AG195" s="30"/>
      <c r="AH195" s="30"/>
      <c r="AI195" s="30"/>
      <c r="AJ195" s="30" t="str">
        <f aca="false">IF($A195="","",IF(COUNT($AE195:$AI195)=0,"",SUM($AE195:$AI195)))</f>
        <v/>
      </c>
      <c r="AK195" s="30"/>
      <c r="AL195" s="30"/>
      <c r="AM195" s="30" t="str">
        <f aca="false">IF(OR($A195="",$AJ195=""),"",$AJ195-N($AK195)-N($AL195))</f>
        <v/>
      </c>
      <c r="AN195" s="28"/>
      <c r="AO195" s="28"/>
      <c r="AP195" s="27"/>
      <c r="AQ195" s="27"/>
      <c r="AR195" s="28" t="str">
        <f aca="false">IF(OR($A195="",$R195=""),"",$R195+ReceiptDays)</f>
        <v/>
      </c>
      <c r="AS195" s="28"/>
      <c r="AT195" s="28" t="str">
        <f aca="false">IF(OR($A195="",$P195=""),"",($P195-FinanceLeadDays)-MOD(($P195-FinanceLeadDays)-DATE(2024,1,2),7))</f>
        <v/>
      </c>
      <c r="AU195" s="28"/>
      <c r="AV195" s="27"/>
      <c r="AW195" s="27"/>
      <c r="AX195" s="30" t="n">
        <f aca="false">IF(OR($A195="",$B195="Denied",$B195="Cancelled"),0,N($AD195))</f>
        <v>0</v>
      </c>
      <c r="AY195" s="30" t="n">
        <f aca="false">IF($A195="",0,N($AJ195))</f>
        <v>0</v>
      </c>
      <c r="AZ195" s="30" t="n">
        <f aca="false">IF(OR($A195="",$B195="Denied",$B195="Cancelled",$B195="Closed"),0,IF(N($AJ195)&gt;0,0,N($AD195)))</f>
        <v>0</v>
      </c>
      <c r="BA195" s="31" t="n">
        <f aca="false">IF($A195="",0,IF($B195="Awaiting Approval",COUNTIF(BA$1:BA194,"&gt;0")+1,0))</f>
        <v>0</v>
      </c>
      <c r="BB195" s="31" t="n">
        <f aca="false">IF($A195="",0,IF(AND($B195="Approved",$AP195&lt;&gt;"Y"),COUNTIF(BB$1:BB194,"&gt;0")+1,0))</f>
        <v>0</v>
      </c>
      <c r="BC195" s="31" t="n">
        <f aca="false">IF($A195="",0,IF(AND($B195="Approved",N($U195)&gt;0,$AQ195&lt;&gt;"Y"),COUNTIF(BC$1:BC194,"&gt;0")+1,0))</f>
        <v>0</v>
      </c>
      <c r="BD195" s="31" t="n">
        <f aca="true">IF($A195="",0,IF(AND($AR195&lt;&gt;"",N($AR195)&lt;TODAY(),$AS195="",$B195&lt;&gt;"Closed",$B195&lt;&gt;"Cancelled",$B195&lt;&gt;"Denied"),COUNTIF(BD$1:BD194,"&gt;0")+1,0))</f>
        <v>0</v>
      </c>
      <c r="BE195" s="31" t="n">
        <f aca="true">IF($A195="",0,IF(AND($AT195&lt;&gt;"",N($AT195)&lt;=TODAY()+7,$AU195="",$B195&lt;&gt;"Denied",$B195&lt;&gt;"Cancelled",$B195&lt;&gt;"Closed"),COUNTIF(BE$1:BE194,"&gt;0")+1,0))</f>
        <v>0</v>
      </c>
      <c r="BF195" s="27"/>
      <c r="BG195" s="27"/>
      <c r="BH195" s="27"/>
      <c r="BI195" s="27"/>
    </row>
    <row r="196" customFormat="false" ht="15" hidden="false" customHeight="false" outlineLevel="0" collapsed="false">
      <c r="A196" s="22"/>
      <c r="B196" s="22"/>
      <c r="C196" s="22"/>
      <c r="D196" s="22"/>
      <c r="E196" s="22"/>
      <c r="F196" s="22"/>
      <c r="G196" s="22"/>
      <c r="H196" s="22"/>
      <c r="I196" s="22"/>
      <c r="J196" s="22"/>
      <c r="K196" s="22"/>
      <c r="L196" s="22"/>
      <c r="M196" s="22"/>
      <c r="N196" s="23"/>
      <c r="O196" s="23"/>
      <c r="P196" s="23"/>
      <c r="Q196" s="24"/>
      <c r="R196" s="23"/>
      <c r="S196" s="24"/>
      <c r="T196" s="25"/>
      <c r="U196" s="26"/>
      <c r="V196" s="25"/>
      <c r="W196" s="25" t="str">
        <f aca="false">IF($A196="","",N($U196)*N($V196))</f>
        <v/>
      </c>
      <c r="X196" s="22"/>
      <c r="Y196" s="26"/>
      <c r="Z196" s="25"/>
      <c r="AA196" s="25" t="str">
        <f aca="false">IF($A196="","",IF($X196="POV",N($Y196)*MileageRate,0)+N($Z196))</f>
        <v/>
      </c>
      <c r="AB196" s="25" t="str">
        <f aca="false">IF(OR($A196="",$P196="",$R196="",$Q196="",$S196=""),"",IF($R196=$P196,($Q196&lt;=T_DepBfast)*($S196&gt;=T_RetBfast)*PD_Bfast+($Q196&lt;=T_DepLunch)*($S196&gt;=T_RetLunch)*PD_Lunch+($Q196&lt;=T_DepDinner)*($S196&gt;=T_RetDinner)*PD_Dinner+PD_Incid,($Q196&lt;=T_DepBfast)*PD_Bfast+($Q196&lt;=T_DepLunch)*PD_Lunch+($Q196&lt;=T_DepDinner)*PD_Dinner+($S196&gt;=T_RetBfast)*PD_Bfast+($S196&gt;=T_RetLunch)*PD_Lunch+($S196&gt;=T_RetDinner)*PD_Dinner+MAX($R196-$P196-1,0)*(PD_Bfast+PD_Lunch+PD_Dinner)+($R196-$P196+1)*PD_Incid))</f>
        <v/>
      </c>
      <c r="AC196" s="25"/>
      <c r="AD196" s="25" t="str">
        <f aca="false">IF($A196="","",N($T196)+N($W196)+N($AA196)+N($AB196)+N($AC196))</f>
        <v/>
      </c>
      <c r="AE196" s="25"/>
      <c r="AF196" s="25"/>
      <c r="AG196" s="25"/>
      <c r="AH196" s="25"/>
      <c r="AI196" s="25"/>
      <c r="AJ196" s="25" t="str">
        <f aca="false">IF($A196="","",IF(COUNT($AE196:$AI196)=0,"",SUM($AE196:$AI196)))</f>
        <v/>
      </c>
      <c r="AK196" s="25"/>
      <c r="AL196" s="25"/>
      <c r="AM196" s="25" t="str">
        <f aca="false">IF(OR($A196="",$AJ196=""),"",$AJ196-N($AK196)-N($AL196))</f>
        <v/>
      </c>
      <c r="AN196" s="23"/>
      <c r="AO196" s="23"/>
      <c r="AP196" s="22"/>
      <c r="AQ196" s="22"/>
      <c r="AR196" s="23" t="str">
        <f aca="false">IF(OR($A196="",$R196=""),"",$R196+ReceiptDays)</f>
        <v/>
      </c>
      <c r="AS196" s="23"/>
      <c r="AT196" s="23" t="str">
        <f aca="false">IF(OR($A196="",$P196=""),"",($P196-FinanceLeadDays)-MOD(($P196-FinanceLeadDays)-DATE(2024,1,2),7))</f>
        <v/>
      </c>
      <c r="AU196" s="23"/>
      <c r="AV196" s="22"/>
      <c r="AW196" s="22"/>
      <c r="AX196" s="25" t="n">
        <f aca="false">IF(OR($A196="",$B196="Denied",$B196="Cancelled"),0,N($AD196))</f>
        <v>0</v>
      </c>
      <c r="AY196" s="25" t="n">
        <f aca="false">IF($A196="",0,N($AJ196))</f>
        <v>0</v>
      </c>
      <c r="AZ196" s="25" t="n">
        <f aca="false">IF(OR($A196="",$B196="Denied",$B196="Cancelled",$B196="Closed"),0,IF(N($AJ196)&gt;0,0,N($AD196)))</f>
        <v>0</v>
      </c>
      <c r="BA196" s="26" t="n">
        <f aca="false">IF($A196="",0,IF($B196="Awaiting Approval",COUNTIF(BA$1:BA195,"&gt;0")+1,0))</f>
        <v>0</v>
      </c>
      <c r="BB196" s="26" t="n">
        <f aca="false">IF($A196="",0,IF(AND($B196="Approved",$AP196&lt;&gt;"Y"),COUNTIF(BB$1:BB195,"&gt;0")+1,0))</f>
        <v>0</v>
      </c>
      <c r="BC196" s="26" t="n">
        <f aca="false">IF($A196="",0,IF(AND($B196="Approved",N($U196)&gt;0,$AQ196&lt;&gt;"Y"),COUNTIF(BC$1:BC195,"&gt;0")+1,0))</f>
        <v>0</v>
      </c>
      <c r="BD196" s="26" t="n">
        <f aca="true">IF($A196="",0,IF(AND($AR196&lt;&gt;"",N($AR196)&lt;TODAY(),$AS196="",$B196&lt;&gt;"Closed",$B196&lt;&gt;"Cancelled",$B196&lt;&gt;"Denied"),COUNTIF(BD$1:BD195,"&gt;0")+1,0))</f>
        <v>0</v>
      </c>
      <c r="BE196" s="26" t="n">
        <f aca="true">IF($A196="",0,IF(AND($AT196&lt;&gt;"",N($AT196)&lt;=TODAY()+7,$AU196="",$B196&lt;&gt;"Denied",$B196&lt;&gt;"Cancelled",$B196&lt;&gt;"Closed"),COUNTIF(BE$1:BE195,"&gt;0")+1,0))</f>
        <v>0</v>
      </c>
      <c r="BF196" s="22"/>
      <c r="BG196" s="22"/>
      <c r="BH196" s="22"/>
      <c r="BI196" s="22"/>
    </row>
    <row r="197" customFormat="false" ht="15" hidden="false" customHeight="false" outlineLevel="0" collapsed="false">
      <c r="A197" s="27"/>
      <c r="B197" s="27"/>
      <c r="C197" s="27"/>
      <c r="D197" s="27"/>
      <c r="E197" s="27"/>
      <c r="F197" s="27"/>
      <c r="G197" s="27"/>
      <c r="H197" s="27"/>
      <c r="I197" s="27"/>
      <c r="J197" s="27"/>
      <c r="K197" s="27"/>
      <c r="L197" s="27"/>
      <c r="M197" s="27"/>
      <c r="N197" s="28"/>
      <c r="O197" s="28"/>
      <c r="P197" s="28"/>
      <c r="Q197" s="29"/>
      <c r="R197" s="28"/>
      <c r="S197" s="29"/>
      <c r="T197" s="30"/>
      <c r="U197" s="31"/>
      <c r="V197" s="30"/>
      <c r="W197" s="30" t="str">
        <f aca="false">IF($A197="","",N($U197)*N($V197))</f>
        <v/>
      </c>
      <c r="X197" s="27"/>
      <c r="Y197" s="31"/>
      <c r="Z197" s="30"/>
      <c r="AA197" s="30" t="str">
        <f aca="false">IF($A197="","",IF($X197="POV",N($Y197)*MileageRate,0)+N($Z197))</f>
        <v/>
      </c>
      <c r="AB197" s="30" t="str">
        <f aca="false">IF(OR($A197="",$P197="",$R197="",$Q197="",$S197=""),"",IF($R197=$P197,($Q197&lt;=T_DepBfast)*($S197&gt;=T_RetBfast)*PD_Bfast+($Q197&lt;=T_DepLunch)*($S197&gt;=T_RetLunch)*PD_Lunch+($Q197&lt;=T_DepDinner)*($S197&gt;=T_RetDinner)*PD_Dinner+PD_Incid,($Q197&lt;=T_DepBfast)*PD_Bfast+($Q197&lt;=T_DepLunch)*PD_Lunch+($Q197&lt;=T_DepDinner)*PD_Dinner+($S197&gt;=T_RetBfast)*PD_Bfast+($S197&gt;=T_RetLunch)*PD_Lunch+($S197&gt;=T_RetDinner)*PD_Dinner+MAX($R197-$P197-1,0)*(PD_Bfast+PD_Lunch+PD_Dinner)+($R197-$P197+1)*PD_Incid))</f>
        <v/>
      </c>
      <c r="AC197" s="30"/>
      <c r="AD197" s="30" t="str">
        <f aca="false">IF($A197="","",N($T197)+N($W197)+N($AA197)+N($AB197)+N($AC197))</f>
        <v/>
      </c>
      <c r="AE197" s="30"/>
      <c r="AF197" s="30"/>
      <c r="AG197" s="30"/>
      <c r="AH197" s="30"/>
      <c r="AI197" s="30"/>
      <c r="AJ197" s="30" t="str">
        <f aca="false">IF($A197="","",IF(COUNT($AE197:$AI197)=0,"",SUM($AE197:$AI197)))</f>
        <v/>
      </c>
      <c r="AK197" s="30"/>
      <c r="AL197" s="30"/>
      <c r="AM197" s="30" t="str">
        <f aca="false">IF(OR($A197="",$AJ197=""),"",$AJ197-N($AK197)-N($AL197))</f>
        <v/>
      </c>
      <c r="AN197" s="28"/>
      <c r="AO197" s="28"/>
      <c r="AP197" s="27"/>
      <c r="AQ197" s="27"/>
      <c r="AR197" s="28" t="str">
        <f aca="false">IF(OR($A197="",$R197=""),"",$R197+ReceiptDays)</f>
        <v/>
      </c>
      <c r="AS197" s="28"/>
      <c r="AT197" s="28" t="str">
        <f aca="false">IF(OR($A197="",$P197=""),"",($P197-FinanceLeadDays)-MOD(($P197-FinanceLeadDays)-DATE(2024,1,2),7))</f>
        <v/>
      </c>
      <c r="AU197" s="28"/>
      <c r="AV197" s="27"/>
      <c r="AW197" s="27"/>
      <c r="AX197" s="30" t="n">
        <f aca="false">IF(OR($A197="",$B197="Denied",$B197="Cancelled"),0,N($AD197))</f>
        <v>0</v>
      </c>
      <c r="AY197" s="30" t="n">
        <f aca="false">IF($A197="",0,N($AJ197))</f>
        <v>0</v>
      </c>
      <c r="AZ197" s="30" t="n">
        <f aca="false">IF(OR($A197="",$B197="Denied",$B197="Cancelled",$B197="Closed"),0,IF(N($AJ197)&gt;0,0,N($AD197)))</f>
        <v>0</v>
      </c>
      <c r="BA197" s="31" t="n">
        <f aca="false">IF($A197="",0,IF($B197="Awaiting Approval",COUNTIF(BA$1:BA196,"&gt;0")+1,0))</f>
        <v>0</v>
      </c>
      <c r="BB197" s="31" t="n">
        <f aca="false">IF($A197="",0,IF(AND($B197="Approved",$AP197&lt;&gt;"Y"),COUNTIF(BB$1:BB196,"&gt;0")+1,0))</f>
        <v>0</v>
      </c>
      <c r="BC197" s="31" t="n">
        <f aca="false">IF($A197="",0,IF(AND($B197="Approved",N($U197)&gt;0,$AQ197&lt;&gt;"Y"),COUNTIF(BC$1:BC196,"&gt;0")+1,0))</f>
        <v>0</v>
      </c>
      <c r="BD197" s="31" t="n">
        <f aca="true">IF($A197="",0,IF(AND($AR197&lt;&gt;"",N($AR197)&lt;TODAY(),$AS197="",$B197&lt;&gt;"Closed",$B197&lt;&gt;"Cancelled",$B197&lt;&gt;"Denied"),COUNTIF(BD$1:BD196,"&gt;0")+1,0))</f>
        <v>0</v>
      </c>
      <c r="BE197" s="31" t="n">
        <f aca="true">IF($A197="",0,IF(AND($AT197&lt;&gt;"",N($AT197)&lt;=TODAY()+7,$AU197="",$B197&lt;&gt;"Denied",$B197&lt;&gt;"Cancelled",$B197&lt;&gt;"Closed"),COUNTIF(BE$1:BE196,"&gt;0")+1,0))</f>
        <v>0</v>
      </c>
      <c r="BF197" s="27"/>
      <c r="BG197" s="27"/>
      <c r="BH197" s="27"/>
      <c r="BI197" s="27"/>
    </row>
    <row r="198" customFormat="false" ht="15" hidden="false" customHeight="false" outlineLevel="0" collapsed="false">
      <c r="A198" s="22"/>
      <c r="B198" s="22"/>
      <c r="C198" s="22"/>
      <c r="D198" s="22"/>
      <c r="E198" s="22"/>
      <c r="F198" s="22"/>
      <c r="G198" s="22"/>
      <c r="H198" s="22"/>
      <c r="I198" s="22"/>
      <c r="J198" s="22"/>
      <c r="K198" s="22"/>
      <c r="L198" s="22"/>
      <c r="M198" s="22"/>
      <c r="N198" s="23"/>
      <c r="O198" s="23"/>
      <c r="P198" s="23"/>
      <c r="Q198" s="24"/>
      <c r="R198" s="23"/>
      <c r="S198" s="24"/>
      <c r="T198" s="25"/>
      <c r="U198" s="26"/>
      <c r="V198" s="25"/>
      <c r="W198" s="25" t="str">
        <f aca="false">IF($A198="","",N($U198)*N($V198))</f>
        <v/>
      </c>
      <c r="X198" s="22"/>
      <c r="Y198" s="26"/>
      <c r="Z198" s="25"/>
      <c r="AA198" s="25" t="str">
        <f aca="false">IF($A198="","",IF($X198="POV",N($Y198)*MileageRate,0)+N($Z198))</f>
        <v/>
      </c>
      <c r="AB198" s="25" t="str">
        <f aca="false">IF(OR($A198="",$P198="",$R198="",$Q198="",$S198=""),"",IF($R198=$P198,($Q198&lt;=T_DepBfast)*($S198&gt;=T_RetBfast)*PD_Bfast+($Q198&lt;=T_DepLunch)*($S198&gt;=T_RetLunch)*PD_Lunch+($Q198&lt;=T_DepDinner)*($S198&gt;=T_RetDinner)*PD_Dinner+PD_Incid,($Q198&lt;=T_DepBfast)*PD_Bfast+($Q198&lt;=T_DepLunch)*PD_Lunch+($Q198&lt;=T_DepDinner)*PD_Dinner+($S198&gt;=T_RetBfast)*PD_Bfast+($S198&gt;=T_RetLunch)*PD_Lunch+($S198&gt;=T_RetDinner)*PD_Dinner+MAX($R198-$P198-1,0)*(PD_Bfast+PD_Lunch+PD_Dinner)+($R198-$P198+1)*PD_Incid))</f>
        <v/>
      </c>
      <c r="AC198" s="25"/>
      <c r="AD198" s="25" t="str">
        <f aca="false">IF($A198="","",N($T198)+N($W198)+N($AA198)+N($AB198)+N($AC198))</f>
        <v/>
      </c>
      <c r="AE198" s="25"/>
      <c r="AF198" s="25"/>
      <c r="AG198" s="25"/>
      <c r="AH198" s="25"/>
      <c r="AI198" s="25"/>
      <c r="AJ198" s="25" t="str">
        <f aca="false">IF($A198="","",IF(COUNT($AE198:$AI198)=0,"",SUM($AE198:$AI198)))</f>
        <v/>
      </c>
      <c r="AK198" s="25"/>
      <c r="AL198" s="25"/>
      <c r="AM198" s="25" t="str">
        <f aca="false">IF(OR($A198="",$AJ198=""),"",$AJ198-N($AK198)-N($AL198))</f>
        <v/>
      </c>
      <c r="AN198" s="23"/>
      <c r="AO198" s="23"/>
      <c r="AP198" s="22"/>
      <c r="AQ198" s="22"/>
      <c r="AR198" s="23" t="str">
        <f aca="false">IF(OR($A198="",$R198=""),"",$R198+ReceiptDays)</f>
        <v/>
      </c>
      <c r="AS198" s="23"/>
      <c r="AT198" s="23" t="str">
        <f aca="false">IF(OR($A198="",$P198=""),"",($P198-FinanceLeadDays)-MOD(($P198-FinanceLeadDays)-DATE(2024,1,2),7))</f>
        <v/>
      </c>
      <c r="AU198" s="23"/>
      <c r="AV198" s="22"/>
      <c r="AW198" s="22"/>
      <c r="AX198" s="25" t="n">
        <f aca="false">IF(OR($A198="",$B198="Denied",$B198="Cancelled"),0,N($AD198))</f>
        <v>0</v>
      </c>
      <c r="AY198" s="25" t="n">
        <f aca="false">IF($A198="",0,N($AJ198))</f>
        <v>0</v>
      </c>
      <c r="AZ198" s="25" t="n">
        <f aca="false">IF(OR($A198="",$B198="Denied",$B198="Cancelled",$B198="Closed"),0,IF(N($AJ198)&gt;0,0,N($AD198)))</f>
        <v>0</v>
      </c>
      <c r="BA198" s="26" t="n">
        <f aca="false">IF($A198="",0,IF($B198="Awaiting Approval",COUNTIF(BA$1:BA197,"&gt;0")+1,0))</f>
        <v>0</v>
      </c>
      <c r="BB198" s="26" t="n">
        <f aca="false">IF($A198="",0,IF(AND($B198="Approved",$AP198&lt;&gt;"Y"),COUNTIF(BB$1:BB197,"&gt;0")+1,0))</f>
        <v>0</v>
      </c>
      <c r="BC198" s="26" t="n">
        <f aca="false">IF($A198="",0,IF(AND($B198="Approved",N($U198)&gt;0,$AQ198&lt;&gt;"Y"),COUNTIF(BC$1:BC197,"&gt;0")+1,0))</f>
        <v>0</v>
      </c>
      <c r="BD198" s="26" t="n">
        <f aca="true">IF($A198="",0,IF(AND($AR198&lt;&gt;"",N($AR198)&lt;TODAY(),$AS198="",$B198&lt;&gt;"Closed",$B198&lt;&gt;"Cancelled",$B198&lt;&gt;"Denied"),COUNTIF(BD$1:BD197,"&gt;0")+1,0))</f>
        <v>0</v>
      </c>
      <c r="BE198" s="26" t="n">
        <f aca="true">IF($A198="",0,IF(AND($AT198&lt;&gt;"",N($AT198)&lt;=TODAY()+7,$AU198="",$B198&lt;&gt;"Denied",$B198&lt;&gt;"Cancelled",$B198&lt;&gt;"Closed"),COUNTIF(BE$1:BE197,"&gt;0")+1,0))</f>
        <v>0</v>
      </c>
      <c r="BF198" s="22"/>
      <c r="BG198" s="22"/>
      <c r="BH198" s="22"/>
      <c r="BI198" s="22"/>
    </row>
    <row r="199" customFormat="false" ht="15" hidden="false" customHeight="false" outlineLevel="0" collapsed="false">
      <c r="A199" s="27"/>
      <c r="B199" s="27"/>
      <c r="C199" s="27"/>
      <c r="D199" s="27"/>
      <c r="E199" s="27"/>
      <c r="F199" s="27"/>
      <c r="G199" s="27"/>
      <c r="H199" s="27"/>
      <c r="I199" s="27"/>
      <c r="J199" s="27"/>
      <c r="K199" s="27"/>
      <c r="L199" s="27"/>
      <c r="M199" s="27"/>
      <c r="N199" s="28"/>
      <c r="O199" s="28"/>
      <c r="P199" s="28"/>
      <c r="Q199" s="29"/>
      <c r="R199" s="28"/>
      <c r="S199" s="29"/>
      <c r="T199" s="30"/>
      <c r="U199" s="31"/>
      <c r="V199" s="30"/>
      <c r="W199" s="30" t="str">
        <f aca="false">IF($A199="","",N($U199)*N($V199))</f>
        <v/>
      </c>
      <c r="X199" s="27"/>
      <c r="Y199" s="31"/>
      <c r="Z199" s="30"/>
      <c r="AA199" s="30" t="str">
        <f aca="false">IF($A199="","",IF($X199="POV",N($Y199)*MileageRate,0)+N($Z199))</f>
        <v/>
      </c>
      <c r="AB199" s="30" t="str">
        <f aca="false">IF(OR($A199="",$P199="",$R199="",$Q199="",$S199=""),"",IF($R199=$P199,($Q199&lt;=T_DepBfast)*($S199&gt;=T_RetBfast)*PD_Bfast+($Q199&lt;=T_DepLunch)*($S199&gt;=T_RetLunch)*PD_Lunch+($Q199&lt;=T_DepDinner)*($S199&gt;=T_RetDinner)*PD_Dinner+PD_Incid,($Q199&lt;=T_DepBfast)*PD_Bfast+($Q199&lt;=T_DepLunch)*PD_Lunch+($Q199&lt;=T_DepDinner)*PD_Dinner+($S199&gt;=T_RetBfast)*PD_Bfast+($S199&gt;=T_RetLunch)*PD_Lunch+($S199&gt;=T_RetDinner)*PD_Dinner+MAX($R199-$P199-1,0)*(PD_Bfast+PD_Lunch+PD_Dinner)+($R199-$P199+1)*PD_Incid))</f>
        <v/>
      </c>
      <c r="AC199" s="30"/>
      <c r="AD199" s="30" t="str">
        <f aca="false">IF($A199="","",N($T199)+N($W199)+N($AA199)+N($AB199)+N($AC199))</f>
        <v/>
      </c>
      <c r="AE199" s="30"/>
      <c r="AF199" s="30"/>
      <c r="AG199" s="30"/>
      <c r="AH199" s="30"/>
      <c r="AI199" s="30"/>
      <c r="AJ199" s="30" t="str">
        <f aca="false">IF($A199="","",IF(COUNT($AE199:$AI199)=0,"",SUM($AE199:$AI199)))</f>
        <v/>
      </c>
      <c r="AK199" s="30"/>
      <c r="AL199" s="30"/>
      <c r="AM199" s="30" t="str">
        <f aca="false">IF(OR($A199="",$AJ199=""),"",$AJ199-N($AK199)-N($AL199))</f>
        <v/>
      </c>
      <c r="AN199" s="28"/>
      <c r="AO199" s="28"/>
      <c r="AP199" s="27"/>
      <c r="AQ199" s="27"/>
      <c r="AR199" s="28" t="str">
        <f aca="false">IF(OR($A199="",$R199=""),"",$R199+ReceiptDays)</f>
        <v/>
      </c>
      <c r="AS199" s="28"/>
      <c r="AT199" s="28" t="str">
        <f aca="false">IF(OR($A199="",$P199=""),"",($P199-FinanceLeadDays)-MOD(($P199-FinanceLeadDays)-DATE(2024,1,2),7))</f>
        <v/>
      </c>
      <c r="AU199" s="28"/>
      <c r="AV199" s="27"/>
      <c r="AW199" s="27"/>
      <c r="AX199" s="30" t="n">
        <f aca="false">IF(OR($A199="",$B199="Denied",$B199="Cancelled"),0,N($AD199))</f>
        <v>0</v>
      </c>
      <c r="AY199" s="30" t="n">
        <f aca="false">IF($A199="",0,N($AJ199))</f>
        <v>0</v>
      </c>
      <c r="AZ199" s="30" t="n">
        <f aca="false">IF(OR($A199="",$B199="Denied",$B199="Cancelled",$B199="Closed"),0,IF(N($AJ199)&gt;0,0,N($AD199)))</f>
        <v>0</v>
      </c>
      <c r="BA199" s="31" t="n">
        <f aca="false">IF($A199="",0,IF($B199="Awaiting Approval",COUNTIF(BA$1:BA198,"&gt;0")+1,0))</f>
        <v>0</v>
      </c>
      <c r="BB199" s="31" t="n">
        <f aca="false">IF($A199="",0,IF(AND($B199="Approved",$AP199&lt;&gt;"Y"),COUNTIF(BB$1:BB198,"&gt;0")+1,0))</f>
        <v>0</v>
      </c>
      <c r="BC199" s="31" t="n">
        <f aca="false">IF($A199="",0,IF(AND($B199="Approved",N($U199)&gt;0,$AQ199&lt;&gt;"Y"),COUNTIF(BC$1:BC198,"&gt;0")+1,0))</f>
        <v>0</v>
      </c>
      <c r="BD199" s="31" t="n">
        <f aca="true">IF($A199="",0,IF(AND($AR199&lt;&gt;"",N($AR199)&lt;TODAY(),$AS199="",$B199&lt;&gt;"Closed",$B199&lt;&gt;"Cancelled",$B199&lt;&gt;"Denied"),COUNTIF(BD$1:BD198,"&gt;0")+1,0))</f>
        <v>0</v>
      </c>
      <c r="BE199" s="31" t="n">
        <f aca="true">IF($A199="",0,IF(AND($AT199&lt;&gt;"",N($AT199)&lt;=TODAY()+7,$AU199="",$B199&lt;&gt;"Denied",$B199&lt;&gt;"Cancelled",$B199&lt;&gt;"Closed"),COUNTIF(BE$1:BE198,"&gt;0")+1,0))</f>
        <v>0</v>
      </c>
      <c r="BF199" s="27"/>
      <c r="BG199" s="27"/>
      <c r="BH199" s="27"/>
      <c r="BI199" s="27"/>
    </row>
    <row r="200" customFormat="false" ht="15" hidden="false" customHeight="false" outlineLevel="0" collapsed="false">
      <c r="A200" s="22"/>
      <c r="B200" s="22"/>
      <c r="C200" s="22"/>
      <c r="D200" s="22"/>
      <c r="E200" s="22"/>
      <c r="F200" s="22"/>
      <c r="G200" s="22"/>
      <c r="H200" s="22"/>
      <c r="I200" s="22"/>
      <c r="J200" s="22"/>
      <c r="K200" s="22"/>
      <c r="L200" s="22"/>
      <c r="M200" s="22"/>
      <c r="N200" s="23"/>
      <c r="O200" s="23"/>
      <c r="P200" s="23"/>
      <c r="Q200" s="24"/>
      <c r="R200" s="23"/>
      <c r="S200" s="24"/>
      <c r="T200" s="25"/>
      <c r="U200" s="26"/>
      <c r="V200" s="25"/>
      <c r="W200" s="25" t="str">
        <f aca="false">IF($A200="","",N($U200)*N($V200))</f>
        <v/>
      </c>
      <c r="X200" s="22"/>
      <c r="Y200" s="26"/>
      <c r="Z200" s="25"/>
      <c r="AA200" s="25" t="str">
        <f aca="false">IF($A200="","",IF($X200="POV",N($Y200)*MileageRate,0)+N($Z200))</f>
        <v/>
      </c>
      <c r="AB200" s="25" t="str">
        <f aca="false">IF(OR($A200="",$P200="",$R200="",$Q200="",$S200=""),"",IF($R200=$P200,($Q200&lt;=T_DepBfast)*($S200&gt;=T_RetBfast)*PD_Bfast+($Q200&lt;=T_DepLunch)*($S200&gt;=T_RetLunch)*PD_Lunch+($Q200&lt;=T_DepDinner)*($S200&gt;=T_RetDinner)*PD_Dinner+PD_Incid,($Q200&lt;=T_DepBfast)*PD_Bfast+($Q200&lt;=T_DepLunch)*PD_Lunch+($Q200&lt;=T_DepDinner)*PD_Dinner+($S200&gt;=T_RetBfast)*PD_Bfast+($S200&gt;=T_RetLunch)*PD_Lunch+($S200&gt;=T_RetDinner)*PD_Dinner+MAX($R200-$P200-1,0)*(PD_Bfast+PD_Lunch+PD_Dinner)+($R200-$P200+1)*PD_Incid))</f>
        <v/>
      </c>
      <c r="AC200" s="25"/>
      <c r="AD200" s="25" t="str">
        <f aca="false">IF($A200="","",N($T200)+N($W200)+N($AA200)+N($AB200)+N($AC200))</f>
        <v/>
      </c>
      <c r="AE200" s="25"/>
      <c r="AF200" s="25"/>
      <c r="AG200" s="25"/>
      <c r="AH200" s="25"/>
      <c r="AI200" s="25"/>
      <c r="AJ200" s="25" t="str">
        <f aca="false">IF($A200="","",IF(COUNT($AE200:$AI200)=0,"",SUM($AE200:$AI200)))</f>
        <v/>
      </c>
      <c r="AK200" s="25"/>
      <c r="AL200" s="25"/>
      <c r="AM200" s="25" t="str">
        <f aca="false">IF(OR($A200="",$AJ200=""),"",$AJ200-N($AK200)-N($AL200))</f>
        <v/>
      </c>
      <c r="AN200" s="23"/>
      <c r="AO200" s="23"/>
      <c r="AP200" s="22"/>
      <c r="AQ200" s="22"/>
      <c r="AR200" s="23" t="str">
        <f aca="false">IF(OR($A200="",$R200=""),"",$R200+ReceiptDays)</f>
        <v/>
      </c>
      <c r="AS200" s="23"/>
      <c r="AT200" s="23" t="str">
        <f aca="false">IF(OR($A200="",$P200=""),"",($P200-FinanceLeadDays)-MOD(($P200-FinanceLeadDays)-DATE(2024,1,2),7))</f>
        <v/>
      </c>
      <c r="AU200" s="23"/>
      <c r="AV200" s="22"/>
      <c r="AW200" s="22"/>
      <c r="AX200" s="25" t="n">
        <f aca="false">IF(OR($A200="",$B200="Denied",$B200="Cancelled"),0,N($AD200))</f>
        <v>0</v>
      </c>
      <c r="AY200" s="25" t="n">
        <f aca="false">IF($A200="",0,N($AJ200))</f>
        <v>0</v>
      </c>
      <c r="AZ200" s="25" t="n">
        <f aca="false">IF(OR($A200="",$B200="Denied",$B200="Cancelled",$B200="Closed"),0,IF(N($AJ200)&gt;0,0,N($AD200)))</f>
        <v>0</v>
      </c>
      <c r="BA200" s="26" t="n">
        <f aca="false">IF($A200="",0,IF($B200="Awaiting Approval",COUNTIF(BA$1:BA199,"&gt;0")+1,0))</f>
        <v>0</v>
      </c>
      <c r="BB200" s="26" t="n">
        <f aca="false">IF($A200="",0,IF(AND($B200="Approved",$AP200&lt;&gt;"Y"),COUNTIF(BB$1:BB199,"&gt;0")+1,0))</f>
        <v>0</v>
      </c>
      <c r="BC200" s="26" t="n">
        <f aca="false">IF($A200="",0,IF(AND($B200="Approved",N($U200)&gt;0,$AQ200&lt;&gt;"Y"),COUNTIF(BC$1:BC199,"&gt;0")+1,0))</f>
        <v>0</v>
      </c>
      <c r="BD200" s="26" t="n">
        <f aca="true">IF($A200="",0,IF(AND($AR200&lt;&gt;"",N($AR200)&lt;TODAY(),$AS200="",$B200&lt;&gt;"Closed",$B200&lt;&gt;"Cancelled",$B200&lt;&gt;"Denied"),COUNTIF(BD$1:BD199,"&gt;0")+1,0))</f>
        <v>0</v>
      </c>
      <c r="BE200" s="26" t="n">
        <f aca="true">IF($A200="",0,IF(AND($AT200&lt;&gt;"",N($AT200)&lt;=TODAY()+7,$AU200="",$B200&lt;&gt;"Denied",$B200&lt;&gt;"Cancelled",$B200&lt;&gt;"Closed"),COUNTIF(BE$1:BE199,"&gt;0")+1,0))</f>
        <v>0</v>
      </c>
      <c r="BF200" s="22"/>
      <c r="BG200" s="22"/>
      <c r="BH200" s="22"/>
      <c r="BI200" s="22"/>
    </row>
    <row r="201" customFormat="false" ht="15" hidden="false" customHeight="false" outlineLevel="0" collapsed="false">
      <c r="A201" s="27"/>
      <c r="B201" s="27"/>
      <c r="C201" s="27"/>
      <c r="D201" s="27"/>
      <c r="E201" s="27"/>
      <c r="F201" s="27"/>
      <c r="G201" s="27"/>
      <c r="H201" s="27"/>
      <c r="I201" s="27"/>
      <c r="J201" s="27"/>
      <c r="K201" s="27"/>
      <c r="L201" s="27"/>
      <c r="M201" s="27"/>
      <c r="N201" s="28"/>
      <c r="O201" s="28"/>
      <c r="P201" s="28"/>
      <c r="Q201" s="29"/>
      <c r="R201" s="28"/>
      <c r="S201" s="29"/>
      <c r="T201" s="30"/>
      <c r="U201" s="31"/>
      <c r="V201" s="30"/>
      <c r="W201" s="30" t="str">
        <f aca="false">IF($A201="","",N($U201)*N($V201))</f>
        <v/>
      </c>
      <c r="X201" s="27"/>
      <c r="Y201" s="31"/>
      <c r="Z201" s="30"/>
      <c r="AA201" s="30" t="str">
        <f aca="false">IF($A201="","",IF($X201="POV",N($Y201)*MileageRate,0)+N($Z201))</f>
        <v/>
      </c>
      <c r="AB201" s="30" t="str">
        <f aca="false">IF(OR($A201="",$P201="",$R201="",$Q201="",$S201=""),"",IF($R201=$P201,($Q201&lt;=T_DepBfast)*($S201&gt;=T_RetBfast)*PD_Bfast+($Q201&lt;=T_DepLunch)*($S201&gt;=T_RetLunch)*PD_Lunch+($Q201&lt;=T_DepDinner)*($S201&gt;=T_RetDinner)*PD_Dinner+PD_Incid,($Q201&lt;=T_DepBfast)*PD_Bfast+($Q201&lt;=T_DepLunch)*PD_Lunch+($Q201&lt;=T_DepDinner)*PD_Dinner+($S201&gt;=T_RetBfast)*PD_Bfast+($S201&gt;=T_RetLunch)*PD_Lunch+($S201&gt;=T_RetDinner)*PD_Dinner+MAX($R201-$P201-1,0)*(PD_Bfast+PD_Lunch+PD_Dinner)+($R201-$P201+1)*PD_Incid))</f>
        <v/>
      </c>
      <c r="AC201" s="30"/>
      <c r="AD201" s="30" t="str">
        <f aca="false">IF($A201="","",N($T201)+N($W201)+N($AA201)+N($AB201)+N($AC201))</f>
        <v/>
      </c>
      <c r="AE201" s="30"/>
      <c r="AF201" s="30"/>
      <c r="AG201" s="30"/>
      <c r="AH201" s="30"/>
      <c r="AI201" s="30"/>
      <c r="AJ201" s="30" t="str">
        <f aca="false">IF($A201="","",IF(COUNT($AE201:$AI201)=0,"",SUM($AE201:$AI201)))</f>
        <v/>
      </c>
      <c r="AK201" s="30"/>
      <c r="AL201" s="30"/>
      <c r="AM201" s="30" t="str">
        <f aca="false">IF(OR($A201="",$AJ201=""),"",$AJ201-N($AK201)-N($AL201))</f>
        <v/>
      </c>
      <c r="AN201" s="28"/>
      <c r="AO201" s="28"/>
      <c r="AP201" s="27"/>
      <c r="AQ201" s="27"/>
      <c r="AR201" s="28" t="str">
        <f aca="false">IF(OR($A201="",$R201=""),"",$R201+ReceiptDays)</f>
        <v/>
      </c>
      <c r="AS201" s="28"/>
      <c r="AT201" s="28" t="str">
        <f aca="false">IF(OR($A201="",$P201=""),"",($P201-FinanceLeadDays)-MOD(($P201-FinanceLeadDays)-DATE(2024,1,2),7))</f>
        <v/>
      </c>
      <c r="AU201" s="28"/>
      <c r="AV201" s="27"/>
      <c r="AW201" s="27"/>
      <c r="AX201" s="30" t="n">
        <f aca="false">IF(OR($A201="",$B201="Denied",$B201="Cancelled"),0,N($AD201))</f>
        <v>0</v>
      </c>
      <c r="AY201" s="30" t="n">
        <f aca="false">IF($A201="",0,N($AJ201))</f>
        <v>0</v>
      </c>
      <c r="AZ201" s="30" t="n">
        <f aca="false">IF(OR($A201="",$B201="Denied",$B201="Cancelled",$B201="Closed"),0,IF(N($AJ201)&gt;0,0,N($AD201)))</f>
        <v>0</v>
      </c>
      <c r="BA201" s="31" t="n">
        <f aca="false">IF($A201="",0,IF($B201="Awaiting Approval",COUNTIF(BA$1:BA200,"&gt;0")+1,0))</f>
        <v>0</v>
      </c>
      <c r="BB201" s="31" t="n">
        <f aca="false">IF($A201="",0,IF(AND($B201="Approved",$AP201&lt;&gt;"Y"),COUNTIF(BB$1:BB200,"&gt;0")+1,0))</f>
        <v>0</v>
      </c>
      <c r="BC201" s="31" t="n">
        <f aca="false">IF($A201="",0,IF(AND($B201="Approved",N($U201)&gt;0,$AQ201&lt;&gt;"Y"),COUNTIF(BC$1:BC200,"&gt;0")+1,0))</f>
        <v>0</v>
      </c>
      <c r="BD201" s="31" t="n">
        <f aca="true">IF($A201="",0,IF(AND($AR201&lt;&gt;"",N($AR201)&lt;TODAY(),$AS201="",$B201&lt;&gt;"Closed",$B201&lt;&gt;"Cancelled",$B201&lt;&gt;"Denied"),COUNTIF(BD$1:BD200,"&gt;0")+1,0))</f>
        <v>0</v>
      </c>
      <c r="BE201" s="31" t="n">
        <f aca="true">IF($A201="",0,IF(AND($AT201&lt;&gt;"",N($AT201)&lt;=TODAY()+7,$AU201="",$B201&lt;&gt;"Denied",$B201&lt;&gt;"Cancelled",$B201&lt;&gt;"Closed"),COUNTIF(BE$1:BE200,"&gt;0")+1,0))</f>
        <v>0</v>
      </c>
      <c r="BF201" s="27"/>
      <c r="BG201" s="27"/>
      <c r="BH201" s="27"/>
      <c r="BI201" s="27"/>
    </row>
    <row r="202" customFormat="false" ht="15" hidden="false" customHeight="false" outlineLevel="0" collapsed="false">
      <c r="A202" s="22"/>
      <c r="B202" s="22"/>
      <c r="C202" s="22"/>
      <c r="D202" s="22"/>
      <c r="E202" s="22"/>
      <c r="F202" s="22"/>
      <c r="G202" s="22"/>
      <c r="H202" s="22"/>
      <c r="I202" s="22"/>
      <c r="J202" s="22"/>
      <c r="K202" s="22"/>
      <c r="L202" s="22"/>
      <c r="M202" s="22"/>
      <c r="N202" s="23"/>
      <c r="O202" s="23"/>
      <c r="P202" s="23"/>
      <c r="Q202" s="24"/>
      <c r="R202" s="23"/>
      <c r="S202" s="24"/>
      <c r="T202" s="25"/>
      <c r="U202" s="26"/>
      <c r="V202" s="25"/>
      <c r="W202" s="25" t="str">
        <f aca="false">IF($A202="","",N($U202)*N($V202))</f>
        <v/>
      </c>
      <c r="X202" s="22"/>
      <c r="Y202" s="26"/>
      <c r="Z202" s="25"/>
      <c r="AA202" s="25" t="str">
        <f aca="false">IF($A202="","",IF($X202="POV",N($Y202)*MileageRate,0)+N($Z202))</f>
        <v/>
      </c>
      <c r="AB202" s="25" t="str">
        <f aca="false">IF(OR($A202="",$P202="",$R202="",$Q202="",$S202=""),"",IF($R202=$P202,($Q202&lt;=T_DepBfast)*($S202&gt;=T_RetBfast)*PD_Bfast+($Q202&lt;=T_DepLunch)*($S202&gt;=T_RetLunch)*PD_Lunch+($Q202&lt;=T_DepDinner)*($S202&gt;=T_RetDinner)*PD_Dinner+PD_Incid,($Q202&lt;=T_DepBfast)*PD_Bfast+($Q202&lt;=T_DepLunch)*PD_Lunch+($Q202&lt;=T_DepDinner)*PD_Dinner+($S202&gt;=T_RetBfast)*PD_Bfast+($S202&gt;=T_RetLunch)*PD_Lunch+($S202&gt;=T_RetDinner)*PD_Dinner+MAX($R202-$P202-1,0)*(PD_Bfast+PD_Lunch+PD_Dinner)+($R202-$P202+1)*PD_Incid))</f>
        <v/>
      </c>
      <c r="AC202" s="25"/>
      <c r="AD202" s="25" t="str">
        <f aca="false">IF($A202="","",N($T202)+N($W202)+N($AA202)+N($AB202)+N($AC202))</f>
        <v/>
      </c>
      <c r="AE202" s="25"/>
      <c r="AF202" s="25"/>
      <c r="AG202" s="25"/>
      <c r="AH202" s="25"/>
      <c r="AI202" s="25"/>
      <c r="AJ202" s="25" t="str">
        <f aca="false">IF($A202="","",IF(COUNT($AE202:$AI202)=0,"",SUM($AE202:$AI202)))</f>
        <v/>
      </c>
      <c r="AK202" s="25"/>
      <c r="AL202" s="25"/>
      <c r="AM202" s="25" t="str">
        <f aca="false">IF(OR($A202="",$AJ202=""),"",$AJ202-N($AK202)-N($AL202))</f>
        <v/>
      </c>
      <c r="AN202" s="23"/>
      <c r="AO202" s="23"/>
      <c r="AP202" s="22"/>
      <c r="AQ202" s="22"/>
      <c r="AR202" s="23" t="str">
        <f aca="false">IF(OR($A202="",$R202=""),"",$R202+ReceiptDays)</f>
        <v/>
      </c>
      <c r="AS202" s="23"/>
      <c r="AT202" s="23" t="str">
        <f aca="false">IF(OR($A202="",$P202=""),"",($P202-FinanceLeadDays)-MOD(($P202-FinanceLeadDays)-DATE(2024,1,2),7))</f>
        <v/>
      </c>
      <c r="AU202" s="23"/>
      <c r="AV202" s="22"/>
      <c r="AW202" s="22"/>
      <c r="AX202" s="25" t="n">
        <f aca="false">IF(OR($A202="",$B202="Denied",$B202="Cancelled"),0,N($AD202))</f>
        <v>0</v>
      </c>
      <c r="AY202" s="25" t="n">
        <f aca="false">IF($A202="",0,N($AJ202))</f>
        <v>0</v>
      </c>
      <c r="AZ202" s="25" t="n">
        <f aca="false">IF(OR($A202="",$B202="Denied",$B202="Cancelled",$B202="Closed"),0,IF(N($AJ202)&gt;0,0,N($AD202)))</f>
        <v>0</v>
      </c>
      <c r="BA202" s="26" t="n">
        <f aca="false">IF($A202="",0,IF($B202="Awaiting Approval",COUNTIF(BA$1:BA201,"&gt;0")+1,0))</f>
        <v>0</v>
      </c>
      <c r="BB202" s="26" t="n">
        <f aca="false">IF($A202="",0,IF(AND($B202="Approved",$AP202&lt;&gt;"Y"),COUNTIF(BB$1:BB201,"&gt;0")+1,0))</f>
        <v>0</v>
      </c>
      <c r="BC202" s="26" t="n">
        <f aca="false">IF($A202="",0,IF(AND($B202="Approved",N($U202)&gt;0,$AQ202&lt;&gt;"Y"),COUNTIF(BC$1:BC201,"&gt;0")+1,0))</f>
        <v>0</v>
      </c>
      <c r="BD202" s="26" t="n">
        <f aca="true">IF($A202="",0,IF(AND($AR202&lt;&gt;"",N($AR202)&lt;TODAY(),$AS202="",$B202&lt;&gt;"Closed",$B202&lt;&gt;"Cancelled",$B202&lt;&gt;"Denied"),COUNTIF(BD$1:BD201,"&gt;0")+1,0))</f>
        <v>0</v>
      </c>
      <c r="BE202" s="26" t="n">
        <f aca="true">IF($A202="",0,IF(AND($AT202&lt;&gt;"",N($AT202)&lt;=TODAY()+7,$AU202="",$B202&lt;&gt;"Denied",$B202&lt;&gt;"Cancelled",$B202&lt;&gt;"Closed"),COUNTIF(BE$1:BE201,"&gt;0")+1,0))</f>
        <v>0</v>
      </c>
      <c r="BF202" s="22"/>
      <c r="BG202" s="22"/>
      <c r="BH202" s="22"/>
      <c r="BI202" s="22"/>
    </row>
    <row r="203" customFormat="false" ht="15" hidden="false" customHeight="false" outlineLevel="0" collapsed="false">
      <c r="A203" s="27"/>
      <c r="B203" s="27"/>
      <c r="C203" s="27"/>
      <c r="D203" s="27"/>
      <c r="E203" s="27"/>
      <c r="F203" s="27"/>
      <c r="G203" s="27"/>
      <c r="H203" s="27"/>
      <c r="I203" s="27"/>
      <c r="J203" s="27"/>
      <c r="K203" s="27"/>
      <c r="L203" s="27"/>
      <c r="M203" s="27"/>
      <c r="N203" s="28"/>
      <c r="O203" s="28"/>
      <c r="P203" s="28"/>
      <c r="Q203" s="29"/>
      <c r="R203" s="28"/>
      <c r="S203" s="29"/>
      <c r="T203" s="30"/>
      <c r="U203" s="31"/>
      <c r="V203" s="30"/>
      <c r="W203" s="30" t="str">
        <f aca="false">IF($A203="","",N($U203)*N($V203))</f>
        <v/>
      </c>
      <c r="X203" s="27"/>
      <c r="Y203" s="31"/>
      <c r="Z203" s="30"/>
      <c r="AA203" s="30" t="str">
        <f aca="false">IF($A203="","",IF($X203="POV",N($Y203)*MileageRate,0)+N($Z203))</f>
        <v/>
      </c>
      <c r="AB203" s="30" t="str">
        <f aca="false">IF(OR($A203="",$P203="",$R203="",$Q203="",$S203=""),"",IF($R203=$P203,($Q203&lt;=T_DepBfast)*($S203&gt;=T_RetBfast)*PD_Bfast+($Q203&lt;=T_DepLunch)*($S203&gt;=T_RetLunch)*PD_Lunch+($Q203&lt;=T_DepDinner)*($S203&gt;=T_RetDinner)*PD_Dinner+PD_Incid,($Q203&lt;=T_DepBfast)*PD_Bfast+($Q203&lt;=T_DepLunch)*PD_Lunch+($Q203&lt;=T_DepDinner)*PD_Dinner+($S203&gt;=T_RetBfast)*PD_Bfast+($S203&gt;=T_RetLunch)*PD_Lunch+($S203&gt;=T_RetDinner)*PD_Dinner+MAX($R203-$P203-1,0)*(PD_Bfast+PD_Lunch+PD_Dinner)+($R203-$P203+1)*PD_Incid))</f>
        <v/>
      </c>
      <c r="AC203" s="30"/>
      <c r="AD203" s="30" t="str">
        <f aca="false">IF($A203="","",N($T203)+N($W203)+N($AA203)+N($AB203)+N($AC203))</f>
        <v/>
      </c>
      <c r="AE203" s="30"/>
      <c r="AF203" s="30"/>
      <c r="AG203" s="30"/>
      <c r="AH203" s="30"/>
      <c r="AI203" s="30"/>
      <c r="AJ203" s="30" t="str">
        <f aca="false">IF($A203="","",IF(COUNT($AE203:$AI203)=0,"",SUM($AE203:$AI203)))</f>
        <v/>
      </c>
      <c r="AK203" s="30"/>
      <c r="AL203" s="30"/>
      <c r="AM203" s="30" t="str">
        <f aca="false">IF(OR($A203="",$AJ203=""),"",$AJ203-N($AK203)-N($AL203))</f>
        <v/>
      </c>
      <c r="AN203" s="28"/>
      <c r="AO203" s="28"/>
      <c r="AP203" s="27"/>
      <c r="AQ203" s="27"/>
      <c r="AR203" s="28" t="str">
        <f aca="false">IF(OR($A203="",$R203=""),"",$R203+ReceiptDays)</f>
        <v/>
      </c>
      <c r="AS203" s="28"/>
      <c r="AT203" s="28" t="str">
        <f aca="false">IF(OR($A203="",$P203=""),"",($P203-FinanceLeadDays)-MOD(($P203-FinanceLeadDays)-DATE(2024,1,2),7))</f>
        <v/>
      </c>
      <c r="AU203" s="28"/>
      <c r="AV203" s="27"/>
      <c r="AW203" s="27"/>
      <c r="AX203" s="30" t="n">
        <f aca="false">IF(OR($A203="",$B203="Denied",$B203="Cancelled"),0,N($AD203))</f>
        <v>0</v>
      </c>
      <c r="AY203" s="30" t="n">
        <f aca="false">IF($A203="",0,N($AJ203))</f>
        <v>0</v>
      </c>
      <c r="AZ203" s="30" t="n">
        <f aca="false">IF(OR($A203="",$B203="Denied",$B203="Cancelled",$B203="Closed"),0,IF(N($AJ203)&gt;0,0,N($AD203)))</f>
        <v>0</v>
      </c>
      <c r="BA203" s="31" t="n">
        <f aca="false">IF($A203="",0,IF($B203="Awaiting Approval",COUNTIF(BA$1:BA202,"&gt;0")+1,0))</f>
        <v>0</v>
      </c>
      <c r="BB203" s="31" t="n">
        <f aca="false">IF($A203="",0,IF(AND($B203="Approved",$AP203&lt;&gt;"Y"),COUNTIF(BB$1:BB202,"&gt;0")+1,0))</f>
        <v>0</v>
      </c>
      <c r="BC203" s="31" t="n">
        <f aca="false">IF($A203="",0,IF(AND($B203="Approved",N($U203)&gt;0,$AQ203&lt;&gt;"Y"),COUNTIF(BC$1:BC202,"&gt;0")+1,0))</f>
        <v>0</v>
      </c>
      <c r="BD203" s="31" t="n">
        <f aca="true">IF($A203="",0,IF(AND($AR203&lt;&gt;"",N($AR203)&lt;TODAY(),$AS203="",$B203&lt;&gt;"Closed",$B203&lt;&gt;"Cancelled",$B203&lt;&gt;"Denied"),COUNTIF(BD$1:BD202,"&gt;0")+1,0))</f>
        <v>0</v>
      </c>
      <c r="BE203" s="31" t="n">
        <f aca="true">IF($A203="",0,IF(AND($AT203&lt;&gt;"",N($AT203)&lt;=TODAY()+7,$AU203="",$B203&lt;&gt;"Denied",$B203&lt;&gt;"Cancelled",$B203&lt;&gt;"Closed"),COUNTIF(BE$1:BE202,"&gt;0")+1,0))</f>
        <v>0</v>
      </c>
      <c r="BF203" s="27"/>
      <c r="BG203" s="27"/>
      <c r="BH203" s="27"/>
      <c r="BI203" s="27"/>
    </row>
    <row r="204" customFormat="false" ht="15" hidden="false" customHeight="false" outlineLevel="0" collapsed="false">
      <c r="A204" s="22"/>
      <c r="B204" s="22"/>
      <c r="C204" s="22"/>
      <c r="D204" s="22"/>
      <c r="E204" s="22"/>
      <c r="F204" s="22"/>
      <c r="G204" s="22"/>
      <c r="H204" s="22"/>
      <c r="I204" s="22"/>
      <c r="J204" s="22"/>
      <c r="K204" s="22"/>
      <c r="L204" s="22"/>
      <c r="M204" s="22"/>
      <c r="N204" s="23"/>
      <c r="O204" s="23"/>
      <c r="P204" s="23"/>
      <c r="Q204" s="24"/>
      <c r="R204" s="23"/>
      <c r="S204" s="24"/>
      <c r="T204" s="25"/>
      <c r="U204" s="26"/>
      <c r="V204" s="25"/>
      <c r="W204" s="25" t="str">
        <f aca="false">IF($A204="","",N($U204)*N($V204))</f>
        <v/>
      </c>
      <c r="X204" s="22"/>
      <c r="Y204" s="26"/>
      <c r="Z204" s="25"/>
      <c r="AA204" s="25" t="str">
        <f aca="false">IF($A204="","",IF($X204="POV",N($Y204)*MileageRate,0)+N($Z204))</f>
        <v/>
      </c>
      <c r="AB204" s="25" t="str">
        <f aca="false">IF(OR($A204="",$P204="",$R204="",$Q204="",$S204=""),"",IF($R204=$P204,($Q204&lt;=T_DepBfast)*($S204&gt;=T_RetBfast)*PD_Bfast+($Q204&lt;=T_DepLunch)*($S204&gt;=T_RetLunch)*PD_Lunch+($Q204&lt;=T_DepDinner)*($S204&gt;=T_RetDinner)*PD_Dinner+PD_Incid,($Q204&lt;=T_DepBfast)*PD_Bfast+($Q204&lt;=T_DepLunch)*PD_Lunch+($Q204&lt;=T_DepDinner)*PD_Dinner+($S204&gt;=T_RetBfast)*PD_Bfast+($S204&gt;=T_RetLunch)*PD_Lunch+($S204&gt;=T_RetDinner)*PD_Dinner+MAX($R204-$P204-1,0)*(PD_Bfast+PD_Lunch+PD_Dinner)+($R204-$P204+1)*PD_Incid))</f>
        <v/>
      </c>
      <c r="AC204" s="25"/>
      <c r="AD204" s="25" t="str">
        <f aca="false">IF($A204="","",N($T204)+N($W204)+N($AA204)+N($AB204)+N($AC204))</f>
        <v/>
      </c>
      <c r="AE204" s="25"/>
      <c r="AF204" s="25"/>
      <c r="AG204" s="25"/>
      <c r="AH204" s="25"/>
      <c r="AI204" s="25"/>
      <c r="AJ204" s="25" t="str">
        <f aca="false">IF($A204="","",IF(COUNT($AE204:$AI204)=0,"",SUM($AE204:$AI204)))</f>
        <v/>
      </c>
      <c r="AK204" s="25"/>
      <c r="AL204" s="25"/>
      <c r="AM204" s="25" t="str">
        <f aca="false">IF(OR($A204="",$AJ204=""),"",$AJ204-N($AK204)-N($AL204))</f>
        <v/>
      </c>
      <c r="AN204" s="23"/>
      <c r="AO204" s="23"/>
      <c r="AP204" s="22"/>
      <c r="AQ204" s="22"/>
      <c r="AR204" s="23" t="str">
        <f aca="false">IF(OR($A204="",$R204=""),"",$R204+ReceiptDays)</f>
        <v/>
      </c>
      <c r="AS204" s="23"/>
      <c r="AT204" s="23" t="str">
        <f aca="false">IF(OR($A204="",$P204=""),"",($P204-FinanceLeadDays)-MOD(($P204-FinanceLeadDays)-DATE(2024,1,2),7))</f>
        <v/>
      </c>
      <c r="AU204" s="23"/>
      <c r="AV204" s="22"/>
      <c r="AW204" s="22"/>
      <c r="AX204" s="25" t="n">
        <f aca="false">IF(OR($A204="",$B204="Denied",$B204="Cancelled"),0,N($AD204))</f>
        <v>0</v>
      </c>
      <c r="AY204" s="25" t="n">
        <f aca="false">IF($A204="",0,N($AJ204))</f>
        <v>0</v>
      </c>
      <c r="AZ204" s="25" t="n">
        <f aca="false">IF(OR($A204="",$B204="Denied",$B204="Cancelled",$B204="Closed"),0,IF(N($AJ204)&gt;0,0,N($AD204)))</f>
        <v>0</v>
      </c>
      <c r="BA204" s="26" t="n">
        <f aca="false">IF($A204="",0,IF($B204="Awaiting Approval",COUNTIF(BA$1:BA203,"&gt;0")+1,0))</f>
        <v>0</v>
      </c>
      <c r="BB204" s="26" t="n">
        <f aca="false">IF($A204="",0,IF(AND($B204="Approved",$AP204&lt;&gt;"Y"),COUNTIF(BB$1:BB203,"&gt;0")+1,0))</f>
        <v>0</v>
      </c>
      <c r="BC204" s="26" t="n">
        <f aca="false">IF($A204="",0,IF(AND($B204="Approved",N($U204)&gt;0,$AQ204&lt;&gt;"Y"),COUNTIF(BC$1:BC203,"&gt;0")+1,0))</f>
        <v>0</v>
      </c>
      <c r="BD204" s="26" t="n">
        <f aca="true">IF($A204="",0,IF(AND($AR204&lt;&gt;"",N($AR204)&lt;TODAY(),$AS204="",$B204&lt;&gt;"Closed",$B204&lt;&gt;"Cancelled",$B204&lt;&gt;"Denied"),COUNTIF(BD$1:BD203,"&gt;0")+1,0))</f>
        <v>0</v>
      </c>
      <c r="BE204" s="26" t="n">
        <f aca="true">IF($A204="",0,IF(AND($AT204&lt;&gt;"",N($AT204)&lt;=TODAY()+7,$AU204="",$B204&lt;&gt;"Denied",$B204&lt;&gt;"Cancelled",$B204&lt;&gt;"Closed"),COUNTIF(BE$1:BE203,"&gt;0")+1,0))</f>
        <v>0</v>
      </c>
      <c r="BF204" s="22"/>
      <c r="BG204" s="22"/>
      <c r="BH204" s="22"/>
      <c r="BI204" s="22"/>
    </row>
    <row r="205" customFormat="false" ht="15" hidden="false" customHeight="false" outlineLevel="0" collapsed="false">
      <c r="A205" s="27"/>
      <c r="B205" s="27"/>
      <c r="C205" s="27"/>
      <c r="D205" s="27"/>
      <c r="E205" s="27"/>
      <c r="F205" s="27"/>
      <c r="G205" s="27"/>
      <c r="H205" s="27"/>
      <c r="I205" s="27"/>
      <c r="J205" s="27"/>
      <c r="K205" s="27"/>
      <c r="L205" s="27"/>
      <c r="M205" s="27"/>
      <c r="N205" s="28"/>
      <c r="O205" s="28"/>
      <c r="P205" s="28"/>
      <c r="Q205" s="29"/>
      <c r="R205" s="28"/>
      <c r="S205" s="29"/>
      <c r="T205" s="30"/>
      <c r="U205" s="31"/>
      <c r="V205" s="30"/>
      <c r="W205" s="30" t="str">
        <f aca="false">IF($A205="","",N($U205)*N($V205))</f>
        <v/>
      </c>
      <c r="X205" s="27"/>
      <c r="Y205" s="31"/>
      <c r="Z205" s="30"/>
      <c r="AA205" s="30" t="str">
        <f aca="false">IF($A205="","",IF($X205="POV",N($Y205)*MileageRate,0)+N($Z205))</f>
        <v/>
      </c>
      <c r="AB205" s="30" t="str">
        <f aca="false">IF(OR($A205="",$P205="",$R205="",$Q205="",$S205=""),"",IF($R205=$P205,($Q205&lt;=T_DepBfast)*($S205&gt;=T_RetBfast)*PD_Bfast+($Q205&lt;=T_DepLunch)*($S205&gt;=T_RetLunch)*PD_Lunch+($Q205&lt;=T_DepDinner)*($S205&gt;=T_RetDinner)*PD_Dinner+PD_Incid,($Q205&lt;=T_DepBfast)*PD_Bfast+($Q205&lt;=T_DepLunch)*PD_Lunch+($Q205&lt;=T_DepDinner)*PD_Dinner+($S205&gt;=T_RetBfast)*PD_Bfast+($S205&gt;=T_RetLunch)*PD_Lunch+($S205&gt;=T_RetDinner)*PD_Dinner+MAX($R205-$P205-1,0)*(PD_Bfast+PD_Lunch+PD_Dinner)+($R205-$P205+1)*PD_Incid))</f>
        <v/>
      </c>
      <c r="AC205" s="30"/>
      <c r="AD205" s="30" t="str">
        <f aca="false">IF($A205="","",N($T205)+N($W205)+N($AA205)+N($AB205)+N($AC205))</f>
        <v/>
      </c>
      <c r="AE205" s="30"/>
      <c r="AF205" s="30"/>
      <c r="AG205" s="30"/>
      <c r="AH205" s="30"/>
      <c r="AI205" s="30"/>
      <c r="AJ205" s="30" t="str">
        <f aca="false">IF($A205="","",IF(COUNT($AE205:$AI205)=0,"",SUM($AE205:$AI205)))</f>
        <v/>
      </c>
      <c r="AK205" s="30"/>
      <c r="AL205" s="30"/>
      <c r="AM205" s="30" t="str">
        <f aca="false">IF(OR($A205="",$AJ205=""),"",$AJ205-N($AK205)-N($AL205))</f>
        <v/>
      </c>
      <c r="AN205" s="28"/>
      <c r="AO205" s="28"/>
      <c r="AP205" s="27"/>
      <c r="AQ205" s="27"/>
      <c r="AR205" s="28" t="str">
        <f aca="false">IF(OR($A205="",$R205=""),"",$R205+ReceiptDays)</f>
        <v/>
      </c>
      <c r="AS205" s="28"/>
      <c r="AT205" s="28" t="str">
        <f aca="false">IF(OR($A205="",$P205=""),"",($P205-FinanceLeadDays)-MOD(($P205-FinanceLeadDays)-DATE(2024,1,2),7))</f>
        <v/>
      </c>
      <c r="AU205" s="28"/>
      <c r="AV205" s="27"/>
      <c r="AW205" s="27"/>
      <c r="AX205" s="30" t="n">
        <f aca="false">IF(OR($A205="",$B205="Denied",$B205="Cancelled"),0,N($AD205))</f>
        <v>0</v>
      </c>
      <c r="AY205" s="30" t="n">
        <f aca="false">IF($A205="",0,N($AJ205))</f>
        <v>0</v>
      </c>
      <c r="AZ205" s="30" t="n">
        <f aca="false">IF(OR($A205="",$B205="Denied",$B205="Cancelled",$B205="Closed"),0,IF(N($AJ205)&gt;0,0,N($AD205)))</f>
        <v>0</v>
      </c>
      <c r="BA205" s="31" t="n">
        <f aca="false">IF($A205="",0,IF($B205="Awaiting Approval",COUNTIF(BA$1:BA204,"&gt;0")+1,0))</f>
        <v>0</v>
      </c>
      <c r="BB205" s="31" t="n">
        <f aca="false">IF($A205="",0,IF(AND($B205="Approved",$AP205&lt;&gt;"Y"),COUNTIF(BB$1:BB204,"&gt;0")+1,0))</f>
        <v>0</v>
      </c>
      <c r="BC205" s="31" t="n">
        <f aca="false">IF($A205="",0,IF(AND($B205="Approved",N($U205)&gt;0,$AQ205&lt;&gt;"Y"),COUNTIF(BC$1:BC204,"&gt;0")+1,0))</f>
        <v>0</v>
      </c>
      <c r="BD205" s="31" t="n">
        <f aca="true">IF($A205="",0,IF(AND($AR205&lt;&gt;"",N($AR205)&lt;TODAY(),$AS205="",$B205&lt;&gt;"Closed",$B205&lt;&gt;"Cancelled",$B205&lt;&gt;"Denied"),COUNTIF(BD$1:BD204,"&gt;0")+1,0))</f>
        <v>0</v>
      </c>
      <c r="BE205" s="31" t="n">
        <f aca="true">IF($A205="",0,IF(AND($AT205&lt;&gt;"",N($AT205)&lt;=TODAY()+7,$AU205="",$B205&lt;&gt;"Denied",$B205&lt;&gt;"Cancelled",$B205&lt;&gt;"Closed"),COUNTIF(BE$1:BE204,"&gt;0")+1,0))</f>
        <v>0</v>
      </c>
      <c r="BF205" s="27"/>
      <c r="BG205" s="27"/>
      <c r="BH205" s="27"/>
      <c r="BI205" s="27"/>
    </row>
    <row r="206" customFormat="false" ht="15" hidden="false" customHeight="false" outlineLevel="0" collapsed="false">
      <c r="A206" s="22"/>
      <c r="B206" s="22"/>
      <c r="C206" s="22"/>
      <c r="D206" s="22"/>
      <c r="E206" s="22"/>
      <c r="F206" s="22"/>
      <c r="G206" s="22"/>
      <c r="H206" s="22"/>
      <c r="I206" s="22"/>
      <c r="J206" s="22"/>
      <c r="K206" s="22"/>
      <c r="L206" s="22"/>
      <c r="M206" s="22"/>
      <c r="N206" s="23"/>
      <c r="O206" s="23"/>
      <c r="P206" s="23"/>
      <c r="Q206" s="24"/>
      <c r="R206" s="23"/>
      <c r="S206" s="24"/>
      <c r="T206" s="25"/>
      <c r="U206" s="26"/>
      <c r="V206" s="25"/>
      <c r="W206" s="25" t="str">
        <f aca="false">IF($A206="","",N($U206)*N($V206))</f>
        <v/>
      </c>
      <c r="X206" s="22"/>
      <c r="Y206" s="26"/>
      <c r="Z206" s="25"/>
      <c r="AA206" s="25" t="str">
        <f aca="false">IF($A206="","",IF($X206="POV",N($Y206)*MileageRate,0)+N($Z206))</f>
        <v/>
      </c>
      <c r="AB206" s="25" t="str">
        <f aca="false">IF(OR($A206="",$P206="",$R206="",$Q206="",$S206=""),"",IF($R206=$P206,($Q206&lt;=T_DepBfast)*($S206&gt;=T_RetBfast)*PD_Bfast+($Q206&lt;=T_DepLunch)*($S206&gt;=T_RetLunch)*PD_Lunch+($Q206&lt;=T_DepDinner)*($S206&gt;=T_RetDinner)*PD_Dinner+PD_Incid,($Q206&lt;=T_DepBfast)*PD_Bfast+($Q206&lt;=T_DepLunch)*PD_Lunch+($Q206&lt;=T_DepDinner)*PD_Dinner+($S206&gt;=T_RetBfast)*PD_Bfast+($S206&gt;=T_RetLunch)*PD_Lunch+($S206&gt;=T_RetDinner)*PD_Dinner+MAX($R206-$P206-1,0)*(PD_Bfast+PD_Lunch+PD_Dinner)+($R206-$P206+1)*PD_Incid))</f>
        <v/>
      </c>
      <c r="AC206" s="25"/>
      <c r="AD206" s="25" t="str">
        <f aca="false">IF($A206="","",N($T206)+N($W206)+N($AA206)+N($AB206)+N($AC206))</f>
        <v/>
      </c>
      <c r="AE206" s="25"/>
      <c r="AF206" s="25"/>
      <c r="AG206" s="25"/>
      <c r="AH206" s="25"/>
      <c r="AI206" s="25"/>
      <c r="AJ206" s="25" t="str">
        <f aca="false">IF($A206="","",IF(COUNT($AE206:$AI206)=0,"",SUM($AE206:$AI206)))</f>
        <v/>
      </c>
      <c r="AK206" s="25"/>
      <c r="AL206" s="25"/>
      <c r="AM206" s="25" t="str">
        <f aca="false">IF(OR($A206="",$AJ206=""),"",$AJ206-N($AK206)-N($AL206))</f>
        <v/>
      </c>
      <c r="AN206" s="23"/>
      <c r="AO206" s="23"/>
      <c r="AP206" s="22"/>
      <c r="AQ206" s="22"/>
      <c r="AR206" s="23" t="str">
        <f aca="false">IF(OR($A206="",$R206=""),"",$R206+ReceiptDays)</f>
        <v/>
      </c>
      <c r="AS206" s="23"/>
      <c r="AT206" s="23" t="str">
        <f aca="false">IF(OR($A206="",$P206=""),"",($P206-FinanceLeadDays)-MOD(($P206-FinanceLeadDays)-DATE(2024,1,2),7))</f>
        <v/>
      </c>
      <c r="AU206" s="23"/>
      <c r="AV206" s="22"/>
      <c r="AW206" s="22"/>
      <c r="AX206" s="25" t="n">
        <f aca="false">IF(OR($A206="",$B206="Denied",$B206="Cancelled"),0,N($AD206))</f>
        <v>0</v>
      </c>
      <c r="AY206" s="25" t="n">
        <f aca="false">IF($A206="",0,N($AJ206))</f>
        <v>0</v>
      </c>
      <c r="AZ206" s="25" t="n">
        <f aca="false">IF(OR($A206="",$B206="Denied",$B206="Cancelled",$B206="Closed"),0,IF(N($AJ206)&gt;0,0,N($AD206)))</f>
        <v>0</v>
      </c>
      <c r="BA206" s="26" t="n">
        <f aca="false">IF($A206="",0,IF($B206="Awaiting Approval",COUNTIF(BA$1:BA205,"&gt;0")+1,0))</f>
        <v>0</v>
      </c>
      <c r="BB206" s="26" t="n">
        <f aca="false">IF($A206="",0,IF(AND($B206="Approved",$AP206&lt;&gt;"Y"),COUNTIF(BB$1:BB205,"&gt;0")+1,0))</f>
        <v>0</v>
      </c>
      <c r="BC206" s="26" t="n">
        <f aca="false">IF($A206="",0,IF(AND($B206="Approved",N($U206)&gt;0,$AQ206&lt;&gt;"Y"),COUNTIF(BC$1:BC205,"&gt;0")+1,0))</f>
        <v>0</v>
      </c>
      <c r="BD206" s="26" t="n">
        <f aca="true">IF($A206="",0,IF(AND($AR206&lt;&gt;"",N($AR206)&lt;TODAY(),$AS206="",$B206&lt;&gt;"Closed",$B206&lt;&gt;"Cancelled",$B206&lt;&gt;"Denied"),COUNTIF(BD$1:BD205,"&gt;0")+1,0))</f>
        <v>0</v>
      </c>
      <c r="BE206" s="26" t="n">
        <f aca="true">IF($A206="",0,IF(AND($AT206&lt;&gt;"",N($AT206)&lt;=TODAY()+7,$AU206="",$B206&lt;&gt;"Denied",$B206&lt;&gt;"Cancelled",$B206&lt;&gt;"Closed"),COUNTIF(BE$1:BE205,"&gt;0")+1,0))</f>
        <v>0</v>
      </c>
      <c r="BF206" s="22"/>
      <c r="BG206" s="22"/>
      <c r="BH206" s="22"/>
      <c r="BI206" s="22"/>
    </row>
    <row r="207" customFormat="false" ht="15" hidden="false" customHeight="false" outlineLevel="0" collapsed="false">
      <c r="A207" s="27"/>
      <c r="B207" s="27"/>
      <c r="C207" s="27"/>
      <c r="D207" s="27"/>
      <c r="E207" s="27"/>
      <c r="F207" s="27"/>
      <c r="G207" s="27"/>
      <c r="H207" s="27"/>
      <c r="I207" s="27"/>
      <c r="J207" s="27"/>
      <c r="K207" s="27"/>
      <c r="L207" s="27"/>
      <c r="M207" s="27"/>
      <c r="N207" s="28"/>
      <c r="O207" s="28"/>
      <c r="P207" s="28"/>
      <c r="Q207" s="29"/>
      <c r="R207" s="28"/>
      <c r="S207" s="29"/>
      <c r="T207" s="30"/>
      <c r="U207" s="31"/>
      <c r="V207" s="30"/>
      <c r="W207" s="30" t="str">
        <f aca="false">IF($A207="","",N($U207)*N($V207))</f>
        <v/>
      </c>
      <c r="X207" s="27"/>
      <c r="Y207" s="31"/>
      <c r="Z207" s="30"/>
      <c r="AA207" s="30" t="str">
        <f aca="false">IF($A207="","",IF($X207="POV",N($Y207)*MileageRate,0)+N($Z207))</f>
        <v/>
      </c>
      <c r="AB207" s="30" t="str">
        <f aca="false">IF(OR($A207="",$P207="",$R207="",$Q207="",$S207=""),"",IF($R207=$P207,($Q207&lt;=T_DepBfast)*($S207&gt;=T_RetBfast)*PD_Bfast+($Q207&lt;=T_DepLunch)*($S207&gt;=T_RetLunch)*PD_Lunch+($Q207&lt;=T_DepDinner)*($S207&gt;=T_RetDinner)*PD_Dinner+PD_Incid,($Q207&lt;=T_DepBfast)*PD_Bfast+($Q207&lt;=T_DepLunch)*PD_Lunch+($Q207&lt;=T_DepDinner)*PD_Dinner+($S207&gt;=T_RetBfast)*PD_Bfast+($S207&gt;=T_RetLunch)*PD_Lunch+($S207&gt;=T_RetDinner)*PD_Dinner+MAX($R207-$P207-1,0)*(PD_Bfast+PD_Lunch+PD_Dinner)+($R207-$P207+1)*PD_Incid))</f>
        <v/>
      </c>
      <c r="AC207" s="30"/>
      <c r="AD207" s="30" t="str">
        <f aca="false">IF($A207="","",N($T207)+N($W207)+N($AA207)+N($AB207)+N($AC207))</f>
        <v/>
      </c>
      <c r="AE207" s="30"/>
      <c r="AF207" s="30"/>
      <c r="AG207" s="30"/>
      <c r="AH207" s="30"/>
      <c r="AI207" s="30"/>
      <c r="AJ207" s="30" t="str">
        <f aca="false">IF($A207="","",IF(COUNT($AE207:$AI207)=0,"",SUM($AE207:$AI207)))</f>
        <v/>
      </c>
      <c r="AK207" s="30"/>
      <c r="AL207" s="30"/>
      <c r="AM207" s="30" t="str">
        <f aca="false">IF(OR($A207="",$AJ207=""),"",$AJ207-N($AK207)-N($AL207))</f>
        <v/>
      </c>
      <c r="AN207" s="28"/>
      <c r="AO207" s="28"/>
      <c r="AP207" s="27"/>
      <c r="AQ207" s="27"/>
      <c r="AR207" s="28" t="str">
        <f aca="false">IF(OR($A207="",$R207=""),"",$R207+ReceiptDays)</f>
        <v/>
      </c>
      <c r="AS207" s="28"/>
      <c r="AT207" s="28" t="str">
        <f aca="false">IF(OR($A207="",$P207=""),"",($P207-FinanceLeadDays)-MOD(($P207-FinanceLeadDays)-DATE(2024,1,2),7))</f>
        <v/>
      </c>
      <c r="AU207" s="28"/>
      <c r="AV207" s="27"/>
      <c r="AW207" s="27"/>
      <c r="AX207" s="30" t="n">
        <f aca="false">IF(OR($A207="",$B207="Denied",$B207="Cancelled"),0,N($AD207))</f>
        <v>0</v>
      </c>
      <c r="AY207" s="30" t="n">
        <f aca="false">IF($A207="",0,N($AJ207))</f>
        <v>0</v>
      </c>
      <c r="AZ207" s="30" t="n">
        <f aca="false">IF(OR($A207="",$B207="Denied",$B207="Cancelled",$B207="Closed"),0,IF(N($AJ207)&gt;0,0,N($AD207)))</f>
        <v>0</v>
      </c>
      <c r="BA207" s="31" t="n">
        <f aca="false">IF($A207="",0,IF($B207="Awaiting Approval",COUNTIF(BA$1:BA206,"&gt;0")+1,0))</f>
        <v>0</v>
      </c>
      <c r="BB207" s="31" t="n">
        <f aca="false">IF($A207="",0,IF(AND($B207="Approved",$AP207&lt;&gt;"Y"),COUNTIF(BB$1:BB206,"&gt;0")+1,0))</f>
        <v>0</v>
      </c>
      <c r="BC207" s="31" t="n">
        <f aca="false">IF($A207="",0,IF(AND($B207="Approved",N($U207)&gt;0,$AQ207&lt;&gt;"Y"),COUNTIF(BC$1:BC206,"&gt;0")+1,0))</f>
        <v>0</v>
      </c>
      <c r="BD207" s="31" t="n">
        <f aca="true">IF($A207="",0,IF(AND($AR207&lt;&gt;"",N($AR207)&lt;TODAY(),$AS207="",$B207&lt;&gt;"Closed",$B207&lt;&gt;"Cancelled",$B207&lt;&gt;"Denied"),COUNTIF(BD$1:BD206,"&gt;0")+1,0))</f>
        <v>0</v>
      </c>
      <c r="BE207" s="31" t="n">
        <f aca="true">IF($A207="",0,IF(AND($AT207&lt;&gt;"",N($AT207)&lt;=TODAY()+7,$AU207="",$B207&lt;&gt;"Denied",$B207&lt;&gt;"Cancelled",$B207&lt;&gt;"Closed"),COUNTIF(BE$1:BE206,"&gt;0")+1,0))</f>
        <v>0</v>
      </c>
      <c r="BF207" s="27"/>
      <c r="BG207" s="27"/>
      <c r="BH207" s="27"/>
      <c r="BI207" s="27"/>
    </row>
    <row r="208" customFormat="false" ht="15" hidden="false" customHeight="false" outlineLevel="0" collapsed="false">
      <c r="A208" s="22"/>
      <c r="B208" s="22"/>
      <c r="C208" s="22"/>
      <c r="D208" s="22"/>
      <c r="E208" s="22"/>
      <c r="F208" s="22"/>
      <c r="G208" s="22"/>
      <c r="H208" s="22"/>
      <c r="I208" s="22"/>
      <c r="J208" s="22"/>
      <c r="K208" s="22"/>
      <c r="L208" s="22"/>
      <c r="M208" s="22"/>
      <c r="N208" s="23"/>
      <c r="O208" s="23"/>
      <c r="P208" s="23"/>
      <c r="Q208" s="24"/>
      <c r="R208" s="23"/>
      <c r="S208" s="24"/>
      <c r="T208" s="25"/>
      <c r="U208" s="26"/>
      <c r="V208" s="25"/>
      <c r="W208" s="25" t="str">
        <f aca="false">IF($A208="","",N($U208)*N($V208))</f>
        <v/>
      </c>
      <c r="X208" s="22"/>
      <c r="Y208" s="26"/>
      <c r="Z208" s="25"/>
      <c r="AA208" s="25" t="str">
        <f aca="false">IF($A208="","",IF($X208="POV",N($Y208)*MileageRate,0)+N($Z208))</f>
        <v/>
      </c>
      <c r="AB208" s="25" t="str">
        <f aca="false">IF(OR($A208="",$P208="",$R208="",$Q208="",$S208=""),"",IF($R208=$P208,($Q208&lt;=T_DepBfast)*($S208&gt;=T_RetBfast)*PD_Bfast+($Q208&lt;=T_DepLunch)*($S208&gt;=T_RetLunch)*PD_Lunch+($Q208&lt;=T_DepDinner)*($S208&gt;=T_RetDinner)*PD_Dinner+PD_Incid,($Q208&lt;=T_DepBfast)*PD_Bfast+($Q208&lt;=T_DepLunch)*PD_Lunch+($Q208&lt;=T_DepDinner)*PD_Dinner+($S208&gt;=T_RetBfast)*PD_Bfast+($S208&gt;=T_RetLunch)*PD_Lunch+($S208&gt;=T_RetDinner)*PD_Dinner+MAX($R208-$P208-1,0)*(PD_Bfast+PD_Lunch+PD_Dinner)+($R208-$P208+1)*PD_Incid))</f>
        <v/>
      </c>
      <c r="AC208" s="25"/>
      <c r="AD208" s="25" t="str">
        <f aca="false">IF($A208="","",N($T208)+N($W208)+N($AA208)+N($AB208)+N($AC208))</f>
        <v/>
      </c>
      <c r="AE208" s="25"/>
      <c r="AF208" s="25"/>
      <c r="AG208" s="25"/>
      <c r="AH208" s="25"/>
      <c r="AI208" s="25"/>
      <c r="AJ208" s="25" t="str">
        <f aca="false">IF($A208="","",IF(COUNT($AE208:$AI208)=0,"",SUM($AE208:$AI208)))</f>
        <v/>
      </c>
      <c r="AK208" s="25"/>
      <c r="AL208" s="25"/>
      <c r="AM208" s="25" t="str">
        <f aca="false">IF(OR($A208="",$AJ208=""),"",$AJ208-N($AK208)-N($AL208))</f>
        <v/>
      </c>
      <c r="AN208" s="23"/>
      <c r="AO208" s="23"/>
      <c r="AP208" s="22"/>
      <c r="AQ208" s="22"/>
      <c r="AR208" s="23" t="str">
        <f aca="false">IF(OR($A208="",$R208=""),"",$R208+ReceiptDays)</f>
        <v/>
      </c>
      <c r="AS208" s="23"/>
      <c r="AT208" s="23" t="str">
        <f aca="false">IF(OR($A208="",$P208=""),"",($P208-FinanceLeadDays)-MOD(($P208-FinanceLeadDays)-DATE(2024,1,2),7))</f>
        <v/>
      </c>
      <c r="AU208" s="23"/>
      <c r="AV208" s="22"/>
      <c r="AW208" s="22"/>
      <c r="AX208" s="25" t="n">
        <f aca="false">IF(OR($A208="",$B208="Denied",$B208="Cancelled"),0,N($AD208))</f>
        <v>0</v>
      </c>
      <c r="AY208" s="25" t="n">
        <f aca="false">IF($A208="",0,N($AJ208))</f>
        <v>0</v>
      </c>
      <c r="AZ208" s="25" t="n">
        <f aca="false">IF(OR($A208="",$B208="Denied",$B208="Cancelled",$B208="Closed"),0,IF(N($AJ208)&gt;0,0,N($AD208)))</f>
        <v>0</v>
      </c>
      <c r="BA208" s="26" t="n">
        <f aca="false">IF($A208="",0,IF($B208="Awaiting Approval",COUNTIF(BA$1:BA207,"&gt;0")+1,0))</f>
        <v>0</v>
      </c>
      <c r="BB208" s="26" t="n">
        <f aca="false">IF($A208="",0,IF(AND($B208="Approved",$AP208&lt;&gt;"Y"),COUNTIF(BB$1:BB207,"&gt;0")+1,0))</f>
        <v>0</v>
      </c>
      <c r="BC208" s="26" t="n">
        <f aca="false">IF($A208="",0,IF(AND($B208="Approved",N($U208)&gt;0,$AQ208&lt;&gt;"Y"),COUNTIF(BC$1:BC207,"&gt;0")+1,0))</f>
        <v>0</v>
      </c>
      <c r="BD208" s="26" t="n">
        <f aca="true">IF($A208="",0,IF(AND($AR208&lt;&gt;"",N($AR208)&lt;TODAY(),$AS208="",$B208&lt;&gt;"Closed",$B208&lt;&gt;"Cancelled",$B208&lt;&gt;"Denied"),COUNTIF(BD$1:BD207,"&gt;0")+1,0))</f>
        <v>0</v>
      </c>
      <c r="BE208" s="26" t="n">
        <f aca="true">IF($A208="",0,IF(AND($AT208&lt;&gt;"",N($AT208)&lt;=TODAY()+7,$AU208="",$B208&lt;&gt;"Denied",$B208&lt;&gt;"Cancelled",$B208&lt;&gt;"Closed"),COUNTIF(BE$1:BE207,"&gt;0")+1,0))</f>
        <v>0</v>
      </c>
      <c r="BF208" s="22"/>
      <c r="BG208" s="22"/>
      <c r="BH208" s="22"/>
      <c r="BI208" s="22"/>
    </row>
    <row r="209" customFormat="false" ht="15" hidden="false" customHeight="false" outlineLevel="0" collapsed="false">
      <c r="A209" s="27"/>
      <c r="B209" s="27"/>
      <c r="C209" s="27"/>
      <c r="D209" s="27"/>
      <c r="E209" s="27"/>
      <c r="F209" s="27"/>
      <c r="G209" s="27"/>
      <c r="H209" s="27"/>
      <c r="I209" s="27"/>
      <c r="J209" s="27"/>
      <c r="K209" s="27"/>
      <c r="L209" s="27"/>
      <c r="M209" s="27"/>
      <c r="N209" s="28"/>
      <c r="O209" s="28"/>
      <c r="P209" s="28"/>
      <c r="Q209" s="29"/>
      <c r="R209" s="28"/>
      <c r="S209" s="29"/>
      <c r="T209" s="30"/>
      <c r="U209" s="31"/>
      <c r="V209" s="30"/>
      <c r="W209" s="30" t="str">
        <f aca="false">IF($A209="","",N($U209)*N($V209))</f>
        <v/>
      </c>
      <c r="X209" s="27"/>
      <c r="Y209" s="31"/>
      <c r="Z209" s="30"/>
      <c r="AA209" s="30" t="str">
        <f aca="false">IF($A209="","",IF($X209="POV",N($Y209)*MileageRate,0)+N($Z209))</f>
        <v/>
      </c>
      <c r="AB209" s="30" t="str">
        <f aca="false">IF(OR($A209="",$P209="",$R209="",$Q209="",$S209=""),"",IF($R209=$P209,($Q209&lt;=T_DepBfast)*($S209&gt;=T_RetBfast)*PD_Bfast+($Q209&lt;=T_DepLunch)*($S209&gt;=T_RetLunch)*PD_Lunch+($Q209&lt;=T_DepDinner)*($S209&gt;=T_RetDinner)*PD_Dinner+PD_Incid,($Q209&lt;=T_DepBfast)*PD_Bfast+($Q209&lt;=T_DepLunch)*PD_Lunch+($Q209&lt;=T_DepDinner)*PD_Dinner+($S209&gt;=T_RetBfast)*PD_Bfast+($S209&gt;=T_RetLunch)*PD_Lunch+($S209&gt;=T_RetDinner)*PD_Dinner+MAX($R209-$P209-1,0)*(PD_Bfast+PD_Lunch+PD_Dinner)+($R209-$P209+1)*PD_Incid))</f>
        <v/>
      </c>
      <c r="AC209" s="30"/>
      <c r="AD209" s="30" t="str">
        <f aca="false">IF($A209="","",N($T209)+N($W209)+N($AA209)+N($AB209)+N($AC209))</f>
        <v/>
      </c>
      <c r="AE209" s="30"/>
      <c r="AF209" s="30"/>
      <c r="AG209" s="30"/>
      <c r="AH209" s="30"/>
      <c r="AI209" s="30"/>
      <c r="AJ209" s="30" t="str">
        <f aca="false">IF($A209="","",IF(COUNT($AE209:$AI209)=0,"",SUM($AE209:$AI209)))</f>
        <v/>
      </c>
      <c r="AK209" s="30"/>
      <c r="AL209" s="30"/>
      <c r="AM209" s="30" t="str">
        <f aca="false">IF(OR($A209="",$AJ209=""),"",$AJ209-N($AK209)-N($AL209))</f>
        <v/>
      </c>
      <c r="AN209" s="28"/>
      <c r="AO209" s="28"/>
      <c r="AP209" s="27"/>
      <c r="AQ209" s="27"/>
      <c r="AR209" s="28" t="str">
        <f aca="false">IF(OR($A209="",$R209=""),"",$R209+ReceiptDays)</f>
        <v/>
      </c>
      <c r="AS209" s="28"/>
      <c r="AT209" s="28" t="str">
        <f aca="false">IF(OR($A209="",$P209=""),"",($P209-FinanceLeadDays)-MOD(($P209-FinanceLeadDays)-DATE(2024,1,2),7))</f>
        <v/>
      </c>
      <c r="AU209" s="28"/>
      <c r="AV209" s="27"/>
      <c r="AW209" s="27"/>
      <c r="AX209" s="30" t="n">
        <f aca="false">IF(OR($A209="",$B209="Denied",$B209="Cancelled"),0,N($AD209))</f>
        <v>0</v>
      </c>
      <c r="AY209" s="30" t="n">
        <f aca="false">IF($A209="",0,N($AJ209))</f>
        <v>0</v>
      </c>
      <c r="AZ209" s="30" t="n">
        <f aca="false">IF(OR($A209="",$B209="Denied",$B209="Cancelled",$B209="Closed"),0,IF(N($AJ209)&gt;0,0,N($AD209)))</f>
        <v>0</v>
      </c>
      <c r="BA209" s="31" t="n">
        <f aca="false">IF($A209="",0,IF($B209="Awaiting Approval",COUNTIF(BA$1:BA208,"&gt;0")+1,0))</f>
        <v>0</v>
      </c>
      <c r="BB209" s="31" t="n">
        <f aca="false">IF($A209="",0,IF(AND($B209="Approved",$AP209&lt;&gt;"Y"),COUNTIF(BB$1:BB208,"&gt;0")+1,0))</f>
        <v>0</v>
      </c>
      <c r="BC209" s="31" t="n">
        <f aca="false">IF($A209="",0,IF(AND($B209="Approved",N($U209)&gt;0,$AQ209&lt;&gt;"Y"),COUNTIF(BC$1:BC208,"&gt;0")+1,0))</f>
        <v>0</v>
      </c>
      <c r="BD209" s="31" t="n">
        <f aca="true">IF($A209="",0,IF(AND($AR209&lt;&gt;"",N($AR209)&lt;TODAY(),$AS209="",$B209&lt;&gt;"Closed",$B209&lt;&gt;"Cancelled",$B209&lt;&gt;"Denied"),COUNTIF(BD$1:BD208,"&gt;0")+1,0))</f>
        <v>0</v>
      </c>
      <c r="BE209" s="31" t="n">
        <f aca="true">IF($A209="",0,IF(AND($AT209&lt;&gt;"",N($AT209)&lt;=TODAY()+7,$AU209="",$B209&lt;&gt;"Denied",$B209&lt;&gt;"Cancelled",$B209&lt;&gt;"Closed"),COUNTIF(BE$1:BE208,"&gt;0")+1,0))</f>
        <v>0</v>
      </c>
      <c r="BF209" s="27"/>
      <c r="BG209" s="27"/>
      <c r="BH209" s="27"/>
      <c r="BI209" s="27"/>
    </row>
    <row r="210" customFormat="false" ht="15" hidden="false" customHeight="false" outlineLevel="0" collapsed="false">
      <c r="A210" s="22"/>
      <c r="B210" s="22"/>
      <c r="C210" s="22"/>
      <c r="D210" s="22"/>
      <c r="E210" s="22"/>
      <c r="F210" s="22"/>
      <c r="G210" s="22"/>
      <c r="H210" s="22"/>
      <c r="I210" s="22"/>
      <c r="J210" s="22"/>
      <c r="K210" s="22"/>
      <c r="L210" s="22"/>
      <c r="M210" s="22"/>
      <c r="N210" s="23"/>
      <c r="O210" s="23"/>
      <c r="P210" s="23"/>
      <c r="Q210" s="24"/>
      <c r="R210" s="23"/>
      <c r="S210" s="24"/>
      <c r="T210" s="25"/>
      <c r="U210" s="26"/>
      <c r="V210" s="25"/>
      <c r="W210" s="25" t="str">
        <f aca="false">IF($A210="","",N($U210)*N($V210))</f>
        <v/>
      </c>
      <c r="X210" s="22"/>
      <c r="Y210" s="26"/>
      <c r="Z210" s="25"/>
      <c r="AA210" s="25" t="str">
        <f aca="false">IF($A210="","",IF($X210="POV",N($Y210)*MileageRate,0)+N($Z210))</f>
        <v/>
      </c>
      <c r="AB210" s="25" t="str">
        <f aca="false">IF(OR($A210="",$P210="",$R210="",$Q210="",$S210=""),"",IF($R210=$P210,($Q210&lt;=T_DepBfast)*($S210&gt;=T_RetBfast)*PD_Bfast+($Q210&lt;=T_DepLunch)*($S210&gt;=T_RetLunch)*PD_Lunch+($Q210&lt;=T_DepDinner)*($S210&gt;=T_RetDinner)*PD_Dinner+PD_Incid,($Q210&lt;=T_DepBfast)*PD_Bfast+($Q210&lt;=T_DepLunch)*PD_Lunch+($Q210&lt;=T_DepDinner)*PD_Dinner+($S210&gt;=T_RetBfast)*PD_Bfast+($S210&gt;=T_RetLunch)*PD_Lunch+($S210&gt;=T_RetDinner)*PD_Dinner+MAX($R210-$P210-1,0)*(PD_Bfast+PD_Lunch+PD_Dinner)+($R210-$P210+1)*PD_Incid))</f>
        <v/>
      </c>
      <c r="AC210" s="25"/>
      <c r="AD210" s="25" t="str">
        <f aca="false">IF($A210="","",N($T210)+N($W210)+N($AA210)+N($AB210)+N($AC210))</f>
        <v/>
      </c>
      <c r="AE210" s="25"/>
      <c r="AF210" s="25"/>
      <c r="AG210" s="25"/>
      <c r="AH210" s="25"/>
      <c r="AI210" s="25"/>
      <c r="AJ210" s="25" t="str">
        <f aca="false">IF($A210="","",IF(COUNT($AE210:$AI210)=0,"",SUM($AE210:$AI210)))</f>
        <v/>
      </c>
      <c r="AK210" s="25"/>
      <c r="AL210" s="25"/>
      <c r="AM210" s="25" t="str">
        <f aca="false">IF(OR($A210="",$AJ210=""),"",$AJ210-N($AK210)-N($AL210))</f>
        <v/>
      </c>
      <c r="AN210" s="23"/>
      <c r="AO210" s="23"/>
      <c r="AP210" s="22"/>
      <c r="AQ210" s="22"/>
      <c r="AR210" s="23" t="str">
        <f aca="false">IF(OR($A210="",$R210=""),"",$R210+ReceiptDays)</f>
        <v/>
      </c>
      <c r="AS210" s="23"/>
      <c r="AT210" s="23" t="str">
        <f aca="false">IF(OR($A210="",$P210=""),"",($P210-FinanceLeadDays)-MOD(($P210-FinanceLeadDays)-DATE(2024,1,2),7))</f>
        <v/>
      </c>
      <c r="AU210" s="23"/>
      <c r="AV210" s="22"/>
      <c r="AW210" s="22"/>
      <c r="AX210" s="25" t="n">
        <f aca="false">IF(OR($A210="",$B210="Denied",$B210="Cancelled"),0,N($AD210))</f>
        <v>0</v>
      </c>
      <c r="AY210" s="25" t="n">
        <f aca="false">IF($A210="",0,N($AJ210))</f>
        <v>0</v>
      </c>
      <c r="AZ210" s="25" t="n">
        <f aca="false">IF(OR($A210="",$B210="Denied",$B210="Cancelled",$B210="Closed"),0,IF(N($AJ210)&gt;0,0,N($AD210)))</f>
        <v>0</v>
      </c>
      <c r="BA210" s="26" t="n">
        <f aca="false">IF($A210="",0,IF($B210="Awaiting Approval",COUNTIF(BA$1:BA209,"&gt;0")+1,0))</f>
        <v>0</v>
      </c>
      <c r="BB210" s="26" t="n">
        <f aca="false">IF($A210="",0,IF(AND($B210="Approved",$AP210&lt;&gt;"Y"),COUNTIF(BB$1:BB209,"&gt;0")+1,0))</f>
        <v>0</v>
      </c>
      <c r="BC210" s="26" t="n">
        <f aca="false">IF($A210="",0,IF(AND($B210="Approved",N($U210)&gt;0,$AQ210&lt;&gt;"Y"),COUNTIF(BC$1:BC209,"&gt;0")+1,0))</f>
        <v>0</v>
      </c>
      <c r="BD210" s="26" t="n">
        <f aca="true">IF($A210="",0,IF(AND($AR210&lt;&gt;"",N($AR210)&lt;TODAY(),$AS210="",$B210&lt;&gt;"Closed",$B210&lt;&gt;"Cancelled",$B210&lt;&gt;"Denied"),COUNTIF(BD$1:BD209,"&gt;0")+1,0))</f>
        <v>0</v>
      </c>
      <c r="BE210" s="26" t="n">
        <f aca="true">IF($A210="",0,IF(AND($AT210&lt;&gt;"",N($AT210)&lt;=TODAY()+7,$AU210="",$B210&lt;&gt;"Denied",$B210&lt;&gt;"Cancelled",$B210&lt;&gt;"Closed"),COUNTIF(BE$1:BE209,"&gt;0")+1,0))</f>
        <v>0</v>
      </c>
      <c r="BF210" s="22"/>
      <c r="BG210" s="22"/>
      <c r="BH210" s="22"/>
      <c r="BI210" s="22"/>
    </row>
    <row r="211" customFormat="false" ht="15" hidden="false" customHeight="false" outlineLevel="0" collapsed="false">
      <c r="A211" s="27"/>
      <c r="B211" s="27"/>
      <c r="C211" s="27"/>
      <c r="D211" s="27"/>
      <c r="E211" s="27"/>
      <c r="F211" s="27"/>
      <c r="G211" s="27"/>
      <c r="H211" s="27"/>
      <c r="I211" s="27"/>
      <c r="J211" s="27"/>
      <c r="K211" s="27"/>
      <c r="L211" s="27"/>
      <c r="M211" s="27"/>
      <c r="N211" s="28"/>
      <c r="O211" s="28"/>
      <c r="P211" s="28"/>
      <c r="Q211" s="29"/>
      <c r="R211" s="28"/>
      <c r="S211" s="29"/>
      <c r="T211" s="30"/>
      <c r="U211" s="31"/>
      <c r="V211" s="30"/>
      <c r="W211" s="30" t="str">
        <f aca="false">IF($A211="","",N($U211)*N($V211))</f>
        <v/>
      </c>
      <c r="X211" s="27"/>
      <c r="Y211" s="31"/>
      <c r="Z211" s="30"/>
      <c r="AA211" s="30" t="str">
        <f aca="false">IF($A211="","",IF($X211="POV",N($Y211)*MileageRate,0)+N($Z211))</f>
        <v/>
      </c>
      <c r="AB211" s="30" t="str">
        <f aca="false">IF(OR($A211="",$P211="",$R211="",$Q211="",$S211=""),"",IF($R211=$P211,($Q211&lt;=T_DepBfast)*($S211&gt;=T_RetBfast)*PD_Bfast+($Q211&lt;=T_DepLunch)*($S211&gt;=T_RetLunch)*PD_Lunch+($Q211&lt;=T_DepDinner)*($S211&gt;=T_RetDinner)*PD_Dinner+PD_Incid,($Q211&lt;=T_DepBfast)*PD_Bfast+($Q211&lt;=T_DepLunch)*PD_Lunch+($Q211&lt;=T_DepDinner)*PD_Dinner+($S211&gt;=T_RetBfast)*PD_Bfast+($S211&gt;=T_RetLunch)*PD_Lunch+($S211&gt;=T_RetDinner)*PD_Dinner+MAX($R211-$P211-1,0)*(PD_Bfast+PD_Lunch+PD_Dinner)+($R211-$P211+1)*PD_Incid))</f>
        <v/>
      </c>
      <c r="AC211" s="30"/>
      <c r="AD211" s="30" t="str">
        <f aca="false">IF($A211="","",N($T211)+N($W211)+N($AA211)+N($AB211)+N($AC211))</f>
        <v/>
      </c>
      <c r="AE211" s="30"/>
      <c r="AF211" s="30"/>
      <c r="AG211" s="30"/>
      <c r="AH211" s="30"/>
      <c r="AI211" s="30"/>
      <c r="AJ211" s="30" t="str">
        <f aca="false">IF($A211="","",IF(COUNT($AE211:$AI211)=0,"",SUM($AE211:$AI211)))</f>
        <v/>
      </c>
      <c r="AK211" s="30"/>
      <c r="AL211" s="30"/>
      <c r="AM211" s="30" t="str">
        <f aca="false">IF(OR($A211="",$AJ211=""),"",$AJ211-N($AK211)-N($AL211))</f>
        <v/>
      </c>
      <c r="AN211" s="28"/>
      <c r="AO211" s="28"/>
      <c r="AP211" s="27"/>
      <c r="AQ211" s="27"/>
      <c r="AR211" s="28" t="str">
        <f aca="false">IF(OR($A211="",$R211=""),"",$R211+ReceiptDays)</f>
        <v/>
      </c>
      <c r="AS211" s="28"/>
      <c r="AT211" s="28" t="str">
        <f aca="false">IF(OR($A211="",$P211=""),"",($P211-FinanceLeadDays)-MOD(($P211-FinanceLeadDays)-DATE(2024,1,2),7))</f>
        <v/>
      </c>
      <c r="AU211" s="28"/>
      <c r="AV211" s="27"/>
      <c r="AW211" s="27"/>
      <c r="AX211" s="30" t="n">
        <f aca="false">IF(OR($A211="",$B211="Denied",$B211="Cancelled"),0,N($AD211))</f>
        <v>0</v>
      </c>
      <c r="AY211" s="30" t="n">
        <f aca="false">IF($A211="",0,N($AJ211))</f>
        <v>0</v>
      </c>
      <c r="AZ211" s="30" t="n">
        <f aca="false">IF(OR($A211="",$B211="Denied",$B211="Cancelled",$B211="Closed"),0,IF(N($AJ211)&gt;0,0,N($AD211)))</f>
        <v>0</v>
      </c>
      <c r="BA211" s="31" t="n">
        <f aca="false">IF($A211="",0,IF($B211="Awaiting Approval",COUNTIF(BA$1:BA210,"&gt;0")+1,0))</f>
        <v>0</v>
      </c>
      <c r="BB211" s="31" t="n">
        <f aca="false">IF($A211="",0,IF(AND($B211="Approved",$AP211&lt;&gt;"Y"),COUNTIF(BB$1:BB210,"&gt;0")+1,0))</f>
        <v>0</v>
      </c>
      <c r="BC211" s="31" t="n">
        <f aca="false">IF($A211="",0,IF(AND($B211="Approved",N($U211)&gt;0,$AQ211&lt;&gt;"Y"),COUNTIF(BC$1:BC210,"&gt;0")+1,0))</f>
        <v>0</v>
      </c>
      <c r="BD211" s="31" t="n">
        <f aca="true">IF($A211="",0,IF(AND($AR211&lt;&gt;"",N($AR211)&lt;TODAY(),$AS211="",$B211&lt;&gt;"Closed",$B211&lt;&gt;"Cancelled",$B211&lt;&gt;"Denied"),COUNTIF(BD$1:BD210,"&gt;0")+1,0))</f>
        <v>0</v>
      </c>
      <c r="BE211" s="31" t="n">
        <f aca="true">IF($A211="",0,IF(AND($AT211&lt;&gt;"",N($AT211)&lt;=TODAY()+7,$AU211="",$B211&lt;&gt;"Denied",$B211&lt;&gt;"Cancelled",$B211&lt;&gt;"Closed"),COUNTIF(BE$1:BE210,"&gt;0")+1,0))</f>
        <v>0</v>
      </c>
      <c r="BF211" s="27"/>
      <c r="BG211" s="27"/>
      <c r="BH211" s="27"/>
      <c r="BI211" s="27"/>
    </row>
    <row r="212" customFormat="false" ht="15" hidden="false" customHeight="false" outlineLevel="0" collapsed="false">
      <c r="A212" s="22"/>
      <c r="B212" s="22"/>
      <c r="C212" s="22"/>
      <c r="D212" s="22"/>
      <c r="E212" s="22"/>
      <c r="F212" s="22"/>
      <c r="G212" s="22"/>
      <c r="H212" s="22"/>
      <c r="I212" s="22"/>
      <c r="J212" s="22"/>
      <c r="K212" s="22"/>
      <c r="L212" s="22"/>
      <c r="M212" s="22"/>
      <c r="N212" s="23"/>
      <c r="O212" s="23"/>
      <c r="P212" s="23"/>
      <c r="Q212" s="24"/>
      <c r="R212" s="23"/>
      <c r="S212" s="24"/>
      <c r="T212" s="25"/>
      <c r="U212" s="26"/>
      <c r="V212" s="25"/>
      <c r="W212" s="25" t="str">
        <f aca="false">IF($A212="","",N($U212)*N($V212))</f>
        <v/>
      </c>
      <c r="X212" s="22"/>
      <c r="Y212" s="26"/>
      <c r="Z212" s="25"/>
      <c r="AA212" s="25" t="str">
        <f aca="false">IF($A212="","",IF($X212="POV",N($Y212)*MileageRate,0)+N($Z212))</f>
        <v/>
      </c>
      <c r="AB212" s="25" t="str">
        <f aca="false">IF(OR($A212="",$P212="",$R212="",$Q212="",$S212=""),"",IF($R212=$P212,($Q212&lt;=T_DepBfast)*($S212&gt;=T_RetBfast)*PD_Bfast+($Q212&lt;=T_DepLunch)*($S212&gt;=T_RetLunch)*PD_Lunch+($Q212&lt;=T_DepDinner)*($S212&gt;=T_RetDinner)*PD_Dinner+PD_Incid,($Q212&lt;=T_DepBfast)*PD_Bfast+($Q212&lt;=T_DepLunch)*PD_Lunch+($Q212&lt;=T_DepDinner)*PD_Dinner+($S212&gt;=T_RetBfast)*PD_Bfast+($S212&gt;=T_RetLunch)*PD_Lunch+($S212&gt;=T_RetDinner)*PD_Dinner+MAX($R212-$P212-1,0)*(PD_Bfast+PD_Lunch+PD_Dinner)+($R212-$P212+1)*PD_Incid))</f>
        <v/>
      </c>
      <c r="AC212" s="25"/>
      <c r="AD212" s="25" t="str">
        <f aca="false">IF($A212="","",N($T212)+N($W212)+N($AA212)+N($AB212)+N($AC212))</f>
        <v/>
      </c>
      <c r="AE212" s="25"/>
      <c r="AF212" s="25"/>
      <c r="AG212" s="25"/>
      <c r="AH212" s="25"/>
      <c r="AI212" s="25"/>
      <c r="AJ212" s="25" t="str">
        <f aca="false">IF($A212="","",IF(COUNT($AE212:$AI212)=0,"",SUM($AE212:$AI212)))</f>
        <v/>
      </c>
      <c r="AK212" s="25"/>
      <c r="AL212" s="25"/>
      <c r="AM212" s="25" t="str">
        <f aca="false">IF(OR($A212="",$AJ212=""),"",$AJ212-N($AK212)-N($AL212))</f>
        <v/>
      </c>
      <c r="AN212" s="23"/>
      <c r="AO212" s="23"/>
      <c r="AP212" s="22"/>
      <c r="AQ212" s="22"/>
      <c r="AR212" s="23" t="str">
        <f aca="false">IF(OR($A212="",$R212=""),"",$R212+ReceiptDays)</f>
        <v/>
      </c>
      <c r="AS212" s="23"/>
      <c r="AT212" s="23" t="str">
        <f aca="false">IF(OR($A212="",$P212=""),"",($P212-FinanceLeadDays)-MOD(($P212-FinanceLeadDays)-DATE(2024,1,2),7))</f>
        <v/>
      </c>
      <c r="AU212" s="23"/>
      <c r="AV212" s="22"/>
      <c r="AW212" s="22"/>
      <c r="AX212" s="25" t="n">
        <f aca="false">IF(OR($A212="",$B212="Denied",$B212="Cancelled"),0,N($AD212))</f>
        <v>0</v>
      </c>
      <c r="AY212" s="25" t="n">
        <f aca="false">IF($A212="",0,N($AJ212))</f>
        <v>0</v>
      </c>
      <c r="AZ212" s="25" t="n">
        <f aca="false">IF(OR($A212="",$B212="Denied",$B212="Cancelled",$B212="Closed"),0,IF(N($AJ212)&gt;0,0,N($AD212)))</f>
        <v>0</v>
      </c>
      <c r="BA212" s="26" t="n">
        <f aca="false">IF($A212="",0,IF($B212="Awaiting Approval",COUNTIF(BA$1:BA211,"&gt;0")+1,0))</f>
        <v>0</v>
      </c>
      <c r="BB212" s="26" t="n">
        <f aca="false">IF($A212="",0,IF(AND($B212="Approved",$AP212&lt;&gt;"Y"),COUNTIF(BB$1:BB211,"&gt;0")+1,0))</f>
        <v>0</v>
      </c>
      <c r="BC212" s="26" t="n">
        <f aca="false">IF($A212="",0,IF(AND($B212="Approved",N($U212)&gt;0,$AQ212&lt;&gt;"Y"),COUNTIF(BC$1:BC211,"&gt;0")+1,0))</f>
        <v>0</v>
      </c>
      <c r="BD212" s="26" t="n">
        <f aca="true">IF($A212="",0,IF(AND($AR212&lt;&gt;"",N($AR212)&lt;TODAY(),$AS212="",$B212&lt;&gt;"Closed",$B212&lt;&gt;"Cancelled",$B212&lt;&gt;"Denied"),COUNTIF(BD$1:BD211,"&gt;0")+1,0))</f>
        <v>0</v>
      </c>
      <c r="BE212" s="26" t="n">
        <f aca="true">IF($A212="",0,IF(AND($AT212&lt;&gt;"",N($AT212)&lt;=TODAY()+7,$AU212="",$B212&lt;&gt;"Denied",$B212&lt;&gt;"Cancelled",$B212&lt;&gt;"Closed"),COUNTIF(BE$1:BE211,"&gt;0")+1,0))</f>
        <v>0</v>
      </c>
      <c r="BF212" s="22"/>
      <c r="BG212" s="22"/>
      <c r="BH212" s="22"/>
      <c r="BI212" s="22"/>
    </row>
    <row r="213" customFormat="false" ht="15" hidden="false" customHeight="false" outlineLevel="0" collapsed="false">
      <c r="A213" s="27"/>
      <c r="B213" s="27"/>
      <c r="C213" s="27"/>
      <c r="D213" s="27"/>
      <c r="E213" s="27"/>
      <c r="F213" s="27"/>
      <c r="G213" s="27"/>
      <c r="H213" s="27"/>
      <c r="I213" s="27"/>
      <c r="J213" s="27"/>
      <c r="K213" s="27"/>
      <c r="L213" s="27"/>
      <c r="M213" s="27"/>
      <c r="N213" s="28"/>
      <c r="O213" s="28"/>
      <c r="P213" s="28"/>
      <c r="Q213" s="29"/>
      <c r="R213" s="28"/>
      <c r="S213" s="29"/>
      <c r="T213" s="30"/>
      <c r="U213" s="31"/>
      <c r="V213" s="30"/>
      <c r="W213" s="30" t="str">
        <f aca="false">IF($A213="","",N($U213)*N($V213))</f>
        <v/>
      </c>
      <c r="X213" s="27"/>
      <c r="Y213" s="31"/>
      <c r="Z213" s="30"/>
      <c r="AA213" s="30" t="str">
        <f aca="false">IF($A213="","",IF($X213="POV",N($Y213)*MileageRate,0)+N($Z213))</f>
        <v/>
      </c>
      <c r="AB213" s="30" t="str">
        <f aca="false">IF(OR($A213="",$P213="",$R213="",$Q213="",$S213=""),"",IF($R213=$P213,($Q213&lt;=T_DepBfast)*($S213&gt;=T_RetBfast)*PD_Bfast+($Q213&lt;=T_DepLunch)*($S213&gt;=T_RetLunch)*PD_Lunch+($Q213&lt;=T_DepDinner)*($S213&gt;=T_RetDinner)*PD_Dinner+PD_Incid,($Q213&lt;=T_DepBfast)*PD_Bfast+($Q213&lt;=T_DepLunch)*PD_Lunch+($Q213&lt;=T_DepDinner)*PD_Dinner+($S213&gt;=T_RetBfast)*PD_Bfast+($S213&gt;=T_RetLunch)*PD_Lunch+($S213&gt;=T_RetDinner)*PD_Dinner+MAX($R213-$P213-1,0)*(PD_Bfast+PD_Lunch+PD_Dinner)+($R213-$P213+1)*PD_Incid))</f>
        <v/>
      </c>
      <c r="AC213" s="30"/>
      <c r="AD213" s="30" t="str">
        <f aca="false">IF($A213="","",N($T213)+N($W213)+N($AA213)+N($AB213)+N($AC213))</f>
        <v/>
      </c>
      <c r="AE213" s="30"/>
      <c r="AF213" s="30"/>
      <c r="AG213" s="30"/>
      <c r="AH213" s="30"/>
      <c r="AI213" s="30"/>
      <c r="AJ213" s="30" t="str">
        <f aca="false">IF($A213="","",IF(COUNT($AE213:$AI213)=0,"",SUM($AE213:$AI213)))</f>
        <v/>
      </c>
      <c r="AK213" s="30"/>
      <c r="AL213" s="30"/>
      <c r="AM213" s="30" t="str">
        <f aca="false">IF(OR($A213="",$AJ213=""),"",$AJ213-N($AK213)-N($AL213))</f>
        <v/>
      </c>
      <c r="AN213" s="28"/>
      <c r="AO213" s="28"/>
      <c r="AP213" s="27"/>
      <c r="AQ213" s="27"/>
      <c r="AR213" s="28" t="str">
        <f aca="false">IF(OR($A213="",$R213=""),"",$R213+ReceiptDays)</f>
        <v/>
      </c>
      <c r="AS213" s="28"/>
      <c r="AT213" s="28" t="str">
        <f aca="false">IF(OR($A213="",$P213=""),"",($P213-FinanceLeadDays)-MOD(($P213-FinanceLeadDays)-DATE(2024,1,2),7))</f>
        <v/>
      </c>
      <c r="AU213" s="28"/>
      <c r="AV213" s="27"/>
      <c r="AW213" s="27"/>
      <c r="AX213" s="30" t="n">
        <f aca="false">IF(OR($A213="",$B213="Denied",$B213="Cancelled"),0,N($AD213))</f>
        <v>0</v>
      </c>
      <c r="AY213" s="30" t="n">
        <f aca="false">IF($A213="",0,N($AJ213))</f>
        <v>0</v>
      </c>
      <c r="AZ213" s="30" t="n">
        <f aca="false">IF(OR($A213="",$B213="Denied",$B213="Cancelled",$B213="Closed"),0,IF(N($AJ213)&gt;0,0,N($AD213)))</f>
        <v>0</v>
      </c>
      <c r="BA213" s="31" t="n">
        <f aca="false">IF($A213="",0,IF($B213="Awaiting Approval",COUNTIF(BA$1:BA212,"&gt;0")+1,0))</f>
        <v>0</v>
      </c>
      <c r="BB213" s="31" t="n">
        <f aca="false">IF($A213="",0,IF(AND($B213="Approved",$AP213&lt;&gt;"Y"),COUNTIF(BB$1:BB212,"&gt;0")+1,0))</f>
        <v>0</v>
      </c>
      <c r="BC213" s="31" t="n">
        <f aca="false">IF($A213="",0,IF(AND($B213="Approved",N($U213)&gt;0,$AQ213&lt;&gt;"Y"),COUNTIF(BC$1:BC212,"&gt;0")+1,0))</f>
        <v>0</v>
      </c>
      <c r="BD213" s="31" t="n">
        <f aca="true">IF($A213="",0,IF(AND($AR213&lt;&gt;"",N($AR213)&lt;TODAY(),$AS213="",$B213&lt;&gt;"Closed",$B213&lt;&gt;"Cancelled",$B213&lt;&gt;"Denied"),COUNTIF(BD$1:BD212,"&gt;0")+1,0))</f>
        <v>0</v>
      </c>
      <c r="BE213" s="31" t="n">
        <f aca="true">IF($A213="",0,IF(AND($AT213&lt;&gt;"",N($AT213)&lt;=TODAY()+7,$AU213="",$B213&lt;&gt;"Denied",$B213&lt;&gt;"Cancelled",$B213&lt;&gt;"Closed"),COUNTIF(BE$1:BE212,"&gt;0")+1,0))</f>
        <v>0</v>
      </c>
      <c r="BF213" s="27"/>
      <c r="BG213" s="27"/>
      <c r="BH213" s="27"/>
      <c r="BI213" s="27"/>
    </row>
    <row r="214" customFormat="false" ht="15" hidden="false" customHeight="false" outlineLevel="0" collapsed="false">
      <c r="A214" s="22"/>
      <c r="B214" s="22"/>
      <c r="C214" s="22"/>
      <c r="D214" s="22"/>
      <c r="E214" s="22"/>
      <c r="F214" s="22"/>
      <c r="G214" s="22"/>
      <c r="H214" s="22"/>
      <c r="I214" s="22"/>
      <c r="J214" s="22"/>
      <c r="K214" s="22"/>
      <c r="L214" s="22"/>
      <c r="M214" s="22"/>
      <c r="N214" s="23"/>
      <c r="O214" s="23"/>
      <c r="P214" s="23"/>
      <c r="Q214" s="24"/>
      <c r="R214" s="23"/>
      <c r="S214" s="24"/>
      <c r="T214" s="25"/>
      <c r="U214" s="26"/>
      <c r="V214" s="25"/>
      <c r="W214" s="25" t="str">
        <f aca="false">IF($A214="","",N($U214)*N($V214))</f>
        <v/>
      </c>
      <c r="X214" s="22"/>
      <c r="Y214" s="26"/>
      <c r="Z214" s="25"/>
      <c r="AA214" s="25" t="str">
        <f aca="false">IF($A214="","",IF($X214="POV",N($Y214)*MileageRate,0)+N($Z214))</f>
        <v/>
      </c>
      <c r="AB214" s="25" t="str">
        <f aca="false">IF(OR($A214="",$P214="",$R214="",$Q214="",$S214=""),"",IF($R214=$P214,($Q214&lt;=T_DepBfast)*($S214&gt;=T_RetBfast)*PD_Bfast+($Q214&lt;=T_DepLunch)*($S214&gt;=T_RetLunch)*PD_Lunch+($Q214&lt;=T_DepDinner)*($S214&gt;=T_RetDinner)*PD_Dinner+PD_Incid,($Q214&lt;=T_DepBfast)*PD_Bfast+($Q214&lt;=T_DepLunch)*PD_Lunch+($Q214&lt;=T_DepDinner)*PD_Dinner+($S214&gt;=T_RetBfast)*PD_Bfast+($S214&gt;=T_RetLunch)*PD_Lunch+($S214&gt;=T_RetDinner)*PD_Dinner+MAX($R214-$P214-1,0)*(PD_Bfast+PD_Lunch+PD_Dinner)+($R214-$P214+1)*PD_Incid))</f>
        <v/>
      </c>
      <c r="AC214" s="25"/>
      <c r="AD214" s="25" t="str">
        <f aca="false">IF($A214="","",N($T214)+N($W214)+N($AA214)+N($AB214)+N($AC214))</f>
        <v/>
      </c>
      <c r="AE214" s="25"/>
      <c r="AF214" s="25"/>
      <c r="AG214" s="25"/>
      <c r="AH214" s="25"/>
      <c r="AI214" s="25"/>
      <c r="AJ214" s="25" t="str">
        <f aca="false">IF($A214="","",IF(COUNT($AE214:$AI214)=0,"",SUM($AE214:$AI214)))</f>
        <v/>
      </c>
      <c r="AK214" s="25"/>
      <c r="AL214" s="25"/>
      <c r="AM214" s="25" t="str">
        <f aca="false">IF(OR($A214="",$AJ214=""),"",$AJ214-N($AK214)-N($AL214))</f>
        <v/>
      </c>
      <c r="AN214" s="23"/>
      <c r="AO214" s="23"/>
      <c r="AP214" s="22"/>
      <c r="AQ214" s="22"/>
      <c r="AR214" s="23" t="str">
        <f aca="false">IF(OR($A214="",$R214=""),"",$R214+ReceiptDays)</f>
        <v/>
      </c>
      <c r="AS214" s="23"/>
      <c r="AT214" s="23" t="str">
        <f aca="false">IF(OR($A214="",$P214=""),"",($P214-FinanceLeadDays)-MOD(($P214-FinanceLeadDays)-DATE(2024,1,2),7))</f>
        <v/>
      </c>
      <c r="AU214" s="23"/>
      <c r="AV214" s="22"/>
      <c r="AW214" s="22"/>
      <c r="AX214" s="25" t="n">
        <f aca="false">IF(OR($A214="",$B214="Denied",$B214="Cancelled"),0,N($AD214))</f>
        <v>0</v>
      </c>
      <c r="AY214" s="25" t="n">
        <f aca="false">IF($A214="",0,N($AJ214))</f>
        <v>0</v>
      </c>
      <c r="AZ214" s="25" t="n">
        <f aca="false">IF(OR($A214="",$B214="Denied",$B214="Cancelled",$B214="Closed"),0,IF(N($AJ214)&gt;0,0,N($AD214)))</f>
        <v>0</v>
      </c>
      <c r="BA214" s="26" t="n">
        <f aca="false">IF($A214="",0,IF($B214="Awaiting Approval",COUNTIF(BA$1:BA213,"&gt;0")+1,0))</f>
        <v>0</v>
      </c>
      <c r="BB214" s="26" t="n">
        <f aca="false">IF($A214="",0,IF(AND($B214="Approved",$AP214&lt;&gt;"Y"),COUNTIF(BB$1:BB213,"&gt;0")+1,0))</f>
        <v>0</v>
      </c>
      <c r="BC214" s="26" t="n">
        <f aca="false">IF($A214="",0,IF(AND($B214="Approved",N($U214)&gt;0,$AQ214&lt;&gt;"Y"),COUNTIF(BC$1:BC213,"&gt;0")+1,0))</f>
        <v>0</v>
      </c>
      <c r="BD214" s="26" t="n">
        <f aca="true">IF($A214="",0,IF(AND($AR214&lt;&gt;"",N($AR214)&lt;TODAY(),$AS214="",$B214&lt;&gt;"Closed",$B214&lt;&gt;"Cancelled",$B214&lt;&gt;"Denied"),COUNTIF(BD$1:BD213,"&gt;0")+1,0))</f>
        <v>0</v>
      </c>
      <c r="BE214" s="26" t="n">
        <f aca="true">IF($A214="",0,IF(AND($AT214&lt;&gt;"",N($AT214)&lt;=TODAY()+7,$AU214="",$B214&lt;&gt;"Denied",$B214&lt;&gt;"Cancelled",$B214&lt;&gt;"Closed"),COUNTIF(BE$1:BE213,"&gt;0")+1,0))</f>
        <v>0</v>
      </c>
      <c r="BF214" s="22"/>
      <c r="BG214" s="22"/>
      <c r="BH214" s="22"/>
      <c r="BI214" s="22"/>
    </row>
    <row r="215" customFormat="false" ht="15" hidden="false" customHeight="false" outlineLevel="0" collapsed="false">
      <c r="A215" s="27"/>
      <c r="B215" s="27"/>
      <c r="C215" s="27"/>
      <c r="D215" s="27"/>
      <c r="E215" s="27"/>
      <c r="F215" s="27"/>
      <c r="G215" s="27"/>
      <c r="H215" s="27"/>
      <c r="I215" s="27"/>
      <c r="J215" s="27"/>
      <c r="K215" s="27"/>
      <c r="L215" s="27"/>
      <c r="M215" s="27"/>
      <c r="N215" s="28"/>
      <c r="O215" s="28"/>
      <c r="P215" s="28"/>
      <c r="Q215" s="29"/>
      <c r="R215" s="28"/>
      <c r="S215" s="29"/>
      <c r="T215" s="30"/>
      <c r="U215" s="31"/>
      <c r="V215" s="30"/>
      <c r="W215" s="30" t="str">
        <f aca="false">IF($A215="","",N($U215)*N($V215))</f>
        <v/>
      </c>
      <c r="X215" s="27"/>
      <c r="Y215" s="31"/>
      <c r="Z215" s="30"/>
      <c r="AA215" s="30" t="str">
        <f aca="false">IF($A215="","",IF($X215="POV",N($Y215)*MileageRate,0)+N($Z215))</f>
        <v/>
      </c>
      <c r="AB215" s="30" t="str">
        <f aca="false">IF(OR($A215="",$P215="",$R215="",$Q215="",$S215=""),"",IF($R215=$P215,($Q215&lt;=T_DepBfast)*($S215&gt;=T_RetBfast)*PD_Bfast+($Q215&lt;=T_DepLunch)*($S215&gt;=T_RetLunch)*PD_Lunch+($Q215&lt;=T_DepDinner)*($S215&gt;=T_RetDinner)*PD_Dinner+PD_Incid,($Q215&lt;=T_DepBfast)*PD_Bfast+($Q215&lt;=T_DepLunch)*PD_Lunch+($Q215&lt;=T_DepDinner)*PD_Dinner+($S215&gt;=T_RetBfast)*PD_Bfast+($S215&gt;=T_RetLunch)*PD_Lunch+($S215&gt;=T_RetDinner)*PD_Dinner+MAX($R215-$P215-1,0)*(PD_Bfast+PD_Lunch+PD_Dinner)+($R215-$P215+1)*PD_Incid))</f>
        <v/>
      </c>
      <c r="AC215" s="30"/>
      <c r="AD215" s="30" t="str">
        <f aca="false">IF($A215="","",N($T215)+N($W215)+N($AA215)+N($AB215)+N($AC215))</f>
        <v/>
      </c>
      <c r="AE215" s="30"/>
      <c r="AF215" s="30"/>
      <c r="AG215" s="30"/>
      <c r="AH215" s="30"/>
      <c r="AI215" s="30"/>
      <c r="AJ215" s="30" t="str">
        <f aca="false">IF($A215="","",IF(COUNT($AE215:$AI215)=0,"",SUM($AE215:$AI215)))</f>
        <v/>
      </c>
      <c r="AK215" s="30"/>
      <c r="AL215" s="30"/>
      <c r="AM215" s="30" t="str">
        <f aca="false">IF(OR($A215="",$AJ215=""),"",$AJ215-N($AK215)-N($AL215))</f>
        <v/>
      </c>
      <c r="AN215" s="28"/>
      <c r="AO215" s="28"/>
      <c r="AP215" s="27"/>
      <c r="AQ215" s="27"/>
      <c r="AR215" s="28" t="str">
        <f aca="false">IF(OR($A215="",$R215=""),"",$R215+ReceiptDays)</f>
        <v/>
      </c>
      <c r="AS215" s="28"/>
      <c r="AT215" s="28" t="str">
        <f aca="false">IF(OR($A215="",$P215=""),"",($P215-FinanceLeadDays)-MOD(($P215-FinanceLeadDays)-DATE(2024,1,2),7))</f>
        <v/>
      </c>
      <c r="AU215" s="28"/>
      <c r="AV215" s="27"/>
      <c r="AW215" s="27"/>
      <c r="AX215" s="30" t="n">
        <f aca="false">IF(OR($A215="",$B215="Denied",$B215="Cancelled"),0,N($AD215))</f>
        <v>0</v>
      </c>
      <c r="AY215" s="30" t="n">
        <f aca="false">IF($A215="",0,N($AJ215))</f>
        <v>0</v>
      </c>
      <c r="AZ215" s="30" t="n">
        <f aca="false">IF(OR($A215="",$B215="Denied",$B215="Cancelled",$B215="Closed"),0,IF(N($AJ215)&gt;0,0,N($AD215)))</f>
        <v>0</v>
      </c>
      <c r="BA215" s="31" t="n">
        <f aca="false">IF($A215="",0,IF($B215="Awaiting Approval",COUNTIF(BA$1:BA214,"&gt;0")+1,0))</f>
        <v>0</v>
      </c>
      <c r="BB215" s="31" t="n">
        <f aca="false">IF($A215="",0,IF(AND($B215="Approved",$AP215&lt;&gt;"Y"),COUNTIF(BB$1:BB214,"&gt;0")+1,0))</f>
        <v>0</v>
      </c>
      <c r="BC215" s="31" t="n">
        <f aca="false">IF($A215="",0,IF(AND($B215="Approved",N($U215)&gt;0,$AQ215&lt;&gt;"Y"),COUNTIF(BC$1:BC214,"&gt;0")+1,0))</f>
        <v>0</v>
      </c>
      <c r="BD215" s="31" t="n">
        <f aca="true">IF($A215="",0,IF(AND($AR215&lt;&gt;"",N($AR215)&lt;TODAY(),$AS215="",$B215&lt;&gt;"Closed",$B215&lt;&gt;"Cancelled",$B215&lt;&gt;"Denied"),COUNTIF(BD$1:BD214,"&gt;0")+1,0))</f>
        <v>0</v>
      </c>
      <c r="BE215" s="31" t="n">
        <f aca="true">IF($A215="",0,IF(AND($AT215&lt;&gt;"",N($AT215)&lt;=TODAY()+7,$AU215="",$B215&lt;&gt;"Denied",$B215&lt;&gt;"Cancelled",$B215&lt;&gt;"Closed"),COUNTIF(BE$1:BE214,"&gt;0")+1,0))</f>
        <v>0</v>
      </c>
      <c r="BF215" s="27"/>
      <c r="BG215" s="27"/>
      <c r="BH215" s="27"/>
      <c r="BI215" s="27"/>
    </row>
    <row r="216" customFormat="false" ht="15" hidden="false" customHeight="false" outlineLevel="0" collapsed="false">
      <c r="A216" s="22"/>
      <c r="B216" s="22"/>
      <c r="C216" s="22"/>
      <c r="D216" s="22"/>
      <c r="E216" s="22"/>
      <c r="F216" s="22"/>
      <c r="G216" s="22"/>
      <c r="H216" s="22"/>
      <c r="I216" s="22"/>
      <c r="J216" s="22"/>
      <c r="K216" s="22"/>
      <c r="L216" s="22"/>
      <c r="M216" s="22"/>
      <c r="N216" s="23"/>
      <c r="O216" s="23"/>
      <c r="P216" s="23"/>
      <c r="Q216" s="24"/>
      <c r="R216" s="23"/>
      <c r="S216" s="24"/>
      <c r="T216" s="25"/>
      <c r="U216" s="26"/>
      <c r="V216" s="25"/>
      <c r="W216" s="25" t="str">
        <f aca="false">IF($A216="","",N($U216)*N($V216))</f>
        <v/>
      </c>
      <c r="X216" s="22"/>
      <c r="Y216" s="26"/>
      <c r="Z216" s="25"/>
      <c r="AA216" s="25" t="str">
        <f aca="false">IF($A216="","",IF($X216="POV",N($Y216)*MileageRate,0)+N($Z216))</f>
        <v/>
      </c>
      <c r="AB216" s="25" t="str">
        <f aca="false">IF(OR($A216="",$P216="",$R216="",$Q216="",$S216=""),"",IF($R216=$P216,($Q216&lt;=T_DepBfast)*($S216&gt;=T_RetBfast)*PD_Bfast+($Q216&lt;=T_DepLunch)*($S216&gt;=T_RetLunch)*PD_Lunch+($Q216&lt;=T_DepDinner)*($S216&gt;=T_RetDinner)*PD_Dinner+PD_Incid,($Q216&lt;=T_DepBfast)*PD_Bfast+($Q216&lt;=T_DepLunch)*PD_Lunch+($Q216&lt;=T_DepDinner)*PD_Dinner+($S216&gt;=T_RetBfast)*PD_Bfast+($S216&gt;=T_RetLunch)*PD_Lunch+($S216&gt;=T_RetDinner)*PD_Dinner+MAX($R216-$P216-1,0)*(PD_Bfast+PD_Lunch+PD_Dinner)+($R216-$P216+1)*PD_Incid))</f>
        <v/>
      </c>
      <c r="AC216" s="25"/>
      <c r="AD216" s="25" t="str">
        <f aca="false">IF($A216="","",N($T216)+N($W216)+N($AA216)+N($AB216)+N($AC216))</f>
        <v/>
      </c>
      <c r="AE216" s="25"/>
      <c r="AF216" s="25"/>
      <c r="AG216" s="25"/>
      <c r="AH216" s="25"/>
      <c r="AI216" s="25"/>
      <c r="AJ216" s="25" t="str">
        <f aca="false">IF($A216="","",IF(COUNT($AE216:$AI216)=0,"",SUM($AE216:$AI216)))</f>
        <v/>
      </c>
      <c r="AK216" s="25"/>
      <c r="AL216" s="25"/>
      <c r="AM216" s="25" t="str">
        <f aca="false">IF(OR($A216="",$AJ216=""),"",$AJ216-N($AK216)-N($AL216))</f>
        <v/>
      </c>
      <c r="AN216" s="23"/>
      <c r="AO216" s="23"/>
      <c r="AP216" s="22"/>
      <c r="AQ216" s="22"/>
      <c r="AR216" s="23" t="str">
        <f aca="false">IF(OR($A216="",$R216=""),"",$R216+ReceiptDays)</f>
        <v/>
      </c>
      <c r="AS216" s="23"/>
      <c r="AT216" s="23" t="str">
        <f aca="false">IF(OR($A216="",$P216=""),"",($P216-FinanceLeadDays)-MOD(($P216-FinanceLeadDays)-DATE(2024,1,2),7))</f>
        <v/>
      </c>
      <c r="AU216" s="23"/>
      <c r="AV216" s="22"/>
      <c r="AW216" s="22"/>
      <c r="AX216" s="25" t="n">
        <f aca="false">IF(OR($A216="",$B216="Denied",$B216="Cancelled"),0,N($AD216))</f>
        <v>0</v>
      </c>
      <c r="AY216" s="25" t="n">
        <f aca="false">IF($A216="",0,N($AJ216))</f>
        <v>0</v>
      </c>
      <c r="AZ216" s="25" t="n">
        <f aca="false">IF(OR($A216="",$B216="Denied",$B216="Cancelled",$B216="Closed"),0,IF(N($AJ216)&gt;0,0,N($AD216)))</f>
        <v>0</v>
      </c>
      <c r="BA216" s="26" t="n">
        <f aca="false">IF($A216="",0,IF($B216="Awaiting Approval",COUNTIF(BA$1:BA215,"&gt;0")+1,0))</f>
        <v>0</v>
      </c>
      <c r="BB216" s="26" t="n">
        <f aca="false">IF($A216="",0,IF(AND($B216="Approved",$AP216&lt;&gt;"Y"),COUNTIF(BB$1:BB215,"&gt;0")+1,0))</f>
        <v>0</v>
      </c>
      <c r="BC216" s="26" t="n">
        <f aca="false">IF($A216="",0,IF(AND($B216="Approved",N($U216)&gt;0,$AQ216&lt;&gt;"Y"),COUNTIF(BC$1:BC215,"&gt;0")+1,0))</f>
        <v>0</v>
      </c>
      <c r="BD216" s="26" t="n">
        <f aca="true">IF($A216="",0,IF(AND($AR216&lt;&gt;"",N($AR216)&lt;TODAY(),$AS216="",$B216&lt;&gt;"Closed",$B216&lt;&gt;"Cancelled",$B216&lt;&gt;"Denied"),COUNTIF(BD$1:BD215,"&gt;0")+1,0))</f>
        <v>0</v>
      </c>
      <c r="BE216" s="26" t="n">
        <f aca="true">IF($A216="",0,IF(AND($AT216&lt;&gt;"",N($AT216)&lt;=TODAY()+7,$AU216="",$B216&lt;&gt;"Denied",$B216&lt;&gt;"Cancelled",$B216&lt;&gt;"Closed"),COUNTIF(BE$1:BE215,"&gt;0")+1,0))</f>
        <v>0</v>
      </c>
      <c r="BF216" s="22"/>
      <c r="BG216" s="22"/>
      <c r="BH216" s="22"/>
      <c r="BI216" s="22"/>
    </row>
    <row r="217" customFormat="false" ht="15" hidden="false" customHeight="false" outlineLevel="0" collapsed="false">
      <c r="A217" s="27"/>
      <c r="B217" s="27"/>
      <c r="C217" s="27"/>
      <c r="D217" s="27"/>
      <c r="E217" s="27"/>
      <c r="F217" s="27"/>
      <c r="G217" s="27"/>
      <c r="H217" s="27"/>
      <c r="I217" s="27"/>
      <c r="J217" s="27"/>
      <c r="K217" s="27"/>
      <c r="L217" s="27"/>
      <c r="M217" s="27"/>
      <c r="N217" s="28"/>
      <c r="O217" s="28"/>
      <c r="P217" s="28"/>
      <c r="Q217" s="29"/>
      <c r="R217" s="28"/>
      <c r="S217" s="29"/>
      <c r="T217" s="30"/>
      <c r="U217" s="31"/>
      <c r="V217" s="30"/>
      <c r="W217" s="30" t="str">
        <f aca="false">IF($A217="","",N($U217)*N($V217))</f>
        <v/>
      </c>
      <c r="X217" s="27"/>
      <c r="Y217" s="31"/>
      <c r="Z217" s="30"/>
      <c r="AA217" s="30" t="str">
        <f aca="false">IF($A217="","",IF($X217="POV",N($Y217)*MileageRate,0)+N($Z217))</f>
        <v/>
      </c>
      <c r="AB217" s="30" t="str">
        <f aca="false">IF(OR($A217="",$P217="",$R217="",$Q217="",$S217=""),"",IF($R217=$P217,($Q217&lt;=T_DepBfast)*($S217&gt;=T_RetBfast)*PD_Bfast+($Q217&lt;=T_DepLunch)*($S217&gt;=T_RetLunch)*PD_Lunch+($Q217&lt;=T_DepDinner)*($S217&gt;=T_RetDinner)*PD_Dinner+PD_Incid,($Q217&lt;=T_DepBfast)*PD_Bfast+($Q217&lt;=T_DepLunch)*PD_Lunch+($Q217&lt;=T_DepDinner)*PD_Dinner+($S217&gt;=T_RetBfast)*PD_Bfast+($S217&gt;=T_RetLunch)*PD_Lunch+($S217&gt;=T_RetDinner)*PD_Dinner+MAX($R217-$P217-1,0)*(PD_Bfast+PD_Lunch+PD_Dinner)+($R217-$P217+1)*PD_Incid))</f>
        <v/>
      </c>
      <c r="AC217" s="30"/>
      <c r="AD217" s="30" t="str">
        <f aca="false">IF($A217="","",N($T217)+N($W217)+N($AA217)+N($AB217)+N($AC217))</f>
        <v/>
      </c>
      <c r="AE217" s="30"/>
      <c r="AF217" s="30"/>
      <c r="AG217" s="30"/>
      <c r="AH217" s="30"/>
      <c r="AI217" s="30"/>
      <c r="AJ217" s="30" t="str">
        <f aca="false">IF($A217="","",IF(COUNT($AE217:$AI217)=0,"",SUM($AE217:$AI217)))</f>
        <v/>
      </c>
      <c r="AK217" s="30"/>
      <c r="AL217" s="30"/>
      <c r="AM217" s="30" t="str">
        <f aca="false">IF(OR($A217="",$AJ217=""),"",$AJ217-N($AK217)-N($AL217))</f>
        <v/>
      </c>
      <c r="AN217" s="28"/>
      <c r="AO217" s="28"/>
      <c r="AP217" s="27"/>
      <c r="AQ217" s="27"/>
      <c r="AR217" s="28" t="str">
        <f aca="false">IF(OR($A217="",$R217=""),"",$R217+ReceiptDays)</f>
        <v/>
      </c>
      <c r="AS217" s="28"/>
      <c r="AT217" s="28" t="str">
        <f aca="false">IF(OR($A217="",$P217=""),"",($P217-FinanceLeadDays)-MOD(($P217-FinanceLeadDays)-DATE(2024,1,2),7))</f>
        <v/>
      </c>
      <c r="AU217" s="28"/>
      <c r="AV217" s="27"/>
      <c r="AW217" s="27"/>
      <c r="AX217" s="30" t="n">
        <f aca="false">IF(OR($A217="",$B217="Denied",$B217="Cancelled"),0,N($AD217))</f>
        <v>0</v>
      </c>
      <c r="AY217" s="30" t="n">
        <f aca="false">IF($A217="",0,N($AJ217))</f>
        <v>0</v>
      </c>
      <c r="AZ217" s="30" t="n">
        <f aca="false">IF(OR($A217="",$B217="Denied",$B217="Cancelled",$B217="Closed"),0,IF(N($AJ217)&gt;0,0,N($AD217)))</f>
        <v>0</v>
      </c>
      <c r="BA217" s="31" t="n">
        <f aca="false">IF($A217="",0,IF($B217="Awaiting Approval",COUNTIF(BA$1:BA216,"&gt;0")+1,0))</f>
        <v>0</v>
      </c>
      <c r="BB217" s="31" t="n">
        <f aca="false">IF($A217="",0,IF(AND($B217="Approved",$AP217&lt;&gt;"Y"),COUNTIF(BB$1:BB216,"&gt;0")+1,0))</f>
        <v>0</v>
      </c>
      <c r="BC217" s="31" t="n">
        <f aca="false">IF($A217="",0,IF(AND($B217="Approved",N($U217)&gt;0,$AQ217&lt;&gt;"Y"),COUNTIF(BC$1:BC216,"&gt;0")+1,0))</f>
        <v>0</v>
      </c>
      <c r="BD217" s="31" t="n">
        <f aca="true">IF($A217="",0,IF(AND($AR217&lt;&gt;"",N($AR217)&lt;TODAY(),$AS217="",$B217&lt;&gt;"Closed",$B217&lt;&gt;"Cancelled",$B217&lt;&gt;"Denied"),COUNTIF(BD$1:BD216,"&gt;0")+1,0))</f>
        <v>0</v>
      </c>
      <c r="BE217" s="31" t="n">
        <f aca="true">IF($A217="",0,IF(AND($AT217&lt;&gt;"",N($AT217)&lt;=TODAY()+7,$AU217="",$B217&lt;&gt;"Denied",$B217&lt;&gt;"Cancelled",$B217&lt;&gt;"Closed"),COUNTIF(BE$1:BE216,"&gt;0")+1,0))</f>
        <v>0</v>
      </c>
      <c r="BF217" s="27"/>
      <c r="BG217" s="27"/>
      <c r="BH217" s="27"/>
      <c r="BI217" s="27"/>
    </row>
    <row r="218" customFormat="false" ht="15" hidden="false" customHeight="false" outlineLevel="0" collapsed="false">
      <c r="A218" s="22"/>
      <c r="B218" s="22"/>
      <c r="C218" s="22"/>
      <c r="D218" s="22"/>
      <c r="E218" s="22"/>
      <c r="F218" s="22"/>
      <c r="G218" s="22"/>
      <c r="H218" s="22"/>
      <c r="I218" s="22"/>
      <c r="J218" s="22"/>
      <c r="K218" s="22"/>
      <c r="L218" s="22"/>
      <c r="M218" s="22"/>
      <c r="N218" s="23"/>
      <c r="O218" s="23"/>
      <c r="P218" s="23"/>
      <c r="Q218" s="24"/>
      <c r="R218" s="23"/>
      <c r="S218" s="24"/>
      <c r="T218" s="25"/>
      <c r="U218" s="26"/>
      <c r="V218" s="25"/>
      <c r="W218" s="25" t="str">
        <f aca="false">IF($A218="","",N($U218)*N($V218))</f>
        <v/>
      </c>
      <c r="X218" s="22"/>
      <c r="Y218" s="26"/>
      <c r="Z218" s="25"/>
      <c r="AA218" s="25" t="str">
        <f aca="false">IF($A218="","",IF($X218="POV",N($Y218)*MileageRate,0)+N($Z218))</f>
        <v/>
      </c>
      <c r="AB218" s="25" t="str">
        <f aca="false">IF(OR($A218="",$P218="",$R218="",$Q218="",$S218=""),"",IF($R218=$P218,($Q218&lt;=T_DepBfast)*($S218&gt;=T_RetBfast)*PD_Bfast+($Q218&lt;=T_DepLunch)*($S218&gt;=T_RetLunch)*PD_Lunch+($Q218&lt;=T_DepDinner)*($S218&gt;=T_RetDinner)*PD_Dinner+PD_Incid,($Q218&lt;=T_DepBfast)*PD_Bfast+($Q218&lt;=T_DepLunch)*PD_Lunch+($Q218&lt;=T_DepDinner)*PD_Dinner+($S218&gt;=T_RetBfast)*PD_Bfast+($S218&gt;=T_RetLunch)*PD_Lunch+($S218&gt;=T_RetDinner)*PD_Dinner+MAX($R218-$P218-1,0)*(PD_Bfast+PD_Lunch+PD_Dinner)+($R218-$P218+1)*PD_Incid))</f>
        <v/>
      </c>
      <c r="AC218" s="25"/>
      <c r="AD218" s="25" t="str">
        <f aca="false">IF($A218="","",N($T218)+N($W218)+N($AA218)+N($AB218)+N($AC218))</f>
        <v/>
      </c>
      <c r="AE218" s="25"/>
      <c r="AF218" s="25"/>
      <c r="AG218" s="25"/>
      <c r="AH218" s="25"/>
      <c r="AI218" s="25"/>
      <c r="AJ218" s="25" t="str">
        <f aca="false">IF($A218="","",IF(COUNT($AE218:$AI218)=0,"",SUM($AE218:$AI218)))</f>
        <v/>
      </c>
      <c r="AK218" s="25"/>
      <c r="AL218" s="25"/>
      <c r="AM218" s="25" t="str">
        <f aca="false">IF(OR($A218="",$AJ218=""),"",$AJ218-N($AK218)-N($AL218))</f>
        <v/>
      </c>
      <c r="AN218" s="23"/>
      <c r="AO218" s="23"/>
      <c r="AP218" s="22"/>
      <c r="AQ218" s="22"/>
      <c r="AR218" s="23" t="str">
        <f aca="false">IF(OR($A218="",$R218=""),"",$R218+ReceiptDays)</f>
        <v/>
      </c>
      <c r="AS218" s="23"/>
      <c r="AT218" s="23" t="str">
        <f aca="false">IF(OR($A218="",$P218=""),"",($P218-FinanceLeadDays)-MOD(($P218-FinanceLeadDays)-DATE(2024,1,2),7))</f>
        <v/>
      </c>
      <c r="AU218" s="23"/>
      <c r="AV218" s="22"/>
      <c r="AW218" s="22"/>
      <c r="AX218" s="25" t="n">
        <f aca="false">IF(OR($A218="",$B218="Denied",$B218="Cancelled"),0,N($AD218))</f>
        <v>0</v>
      </c>
      <c r="AY218" s="25" t="n">
        <f aca="false">IF($A218="",0,N($AJ218))</f>
        <v>0</v>
      </c>
      <c r="AZ218" s="25" t="n">
        <f aca="false">IF(OR($A218="",$B218="Denied",$B218="Cancelled",$B218="Closed"),0,IF(N($AJ218)&gt;0,0,N($AD218)))</f>
        <v>0</v>
      </c>
      <c r="BA218" s="26" t="n">
        <f aca="false">IF($A218="",0,IF($B218="Awaiting Approval",COUNTIF(BA$1:BA217,"&gt;0")+1,0))</f>
        <v>0</v>
      </c>
      <c r="BB218" s="26" t="n">
        <f aca="false">IF($A218="",0,IF(AND($B218="Approved",$AP218&lt;&gt;"Y"),COUNTIF(BB$1:BB217,"&gt;0")+1,0))</f>
        <v>0</v>
      </c>
      <c r="BC218" s="26" t="n">
        <f aca="false">IF($A218="",0,IF(AND($B218="Approved",N($U218)&gt;0,$AQ218&lt;&gt;"Y"),COUNTIF(BC$1:BC217,"&gt;0")+1,0))</f>
        <v>0</v>
      </c>
      <c r="BD218" s="26" t="n">
        <f aca="true">IF($A218="",0,IF(AND($AR218&lt;&gt;"",N($AR218)&lt;TODAY(),$AS218="",$B218&lt;&gt;"Closed",$B218&lt;&gt;"Cancelled",$B218&lt;&gt;"Denied"),COUNTIF(BD$1:BD217,"&gt;0")+1,0))</f>
        <v>0</v>
      </c>
      <c r="BE218" s="26" t="n">
        <f aca="true">IF($A218="",0,IF(AND($AT218&lt;&gt;"",N($AT218)&lt;=TODAY()+7,$AU218="",$B218&lt;&gt;"Denied",$B218&lt;&gt;"Cancelled",$B218&lt;&gt;"Closed"),COUNTIF(BE$1:BE217,"&gt;0")+1,0))</f>
        <v>0</v>
      </c>
      <c r="BF218" s="22"/>
      <c r="BG218" s="22"/>
      <c r="BH218" s="22"/>
      <c r="BI218" s="22"/>
    </row>
    <row r="219" customFormat="false" ht="15" hidden="false" customHeight="false" outlineLevel="0" collapsed="false">
      <c r="A219" s="27"/>
      <c r="B219" s="27"/>
      <c r="C219" s="27"/>
      <c r="D219" s="27"/>
      <c r="E219" s="27"/>
      <c r="F219" s="27"/>
      <c r="G219" s="27"/>
      <c r="H219" s="27"/>
      <c r="I219" s="27"/>
      <c r="J219" s="27"/>
      <c r="K219" s="27"/>
      <c r="L219" s="27"/>
      <c r="M219" s="27"/>
      <c r="N219" s="28"/>
      <c r="O219" s="28"/>
      <c r="P219" s="28"/>
      <c r="Q219" s="29"/>
      <c r="R219" s="28"/>
      <c r="S219" s="29"/>
      <c r="T219" s="30"/>
      <c r="U219" s="31"/>
      <c r="V219" s="30"/>
      <c r="W219" s="30" t="str">
        <f aca="false">IF($A219="","",N($U219)*N($V219))</f>
        <v/>
      </c>
      <c r="X219" s="27"/>
      <c r="Y219" s="31"/>
      <c r="Z219" s="30"/>
      <c r="AA219" s="30" t="str">
        <f aca="false">IF($A219="","",IF($X219="POV",N($Y219)*MileageRate,0)+N($Z219))</f>
        <v/>
      </c>
      <c r="AB219" s="30" t="str">
        <f aca="false">IF(OR($A219="",$P219="",$R219="",$Q219="",$S219=""),"",IF($R219=$P219,($Q219&lt;=T_DepBfast)*($S219&gt;=T_RetBfast)*PD_Bfast+($Q219&lt;=T_DepLunch)*($S219&gt;=T_RetLunch)*PD_Lunch+($Q219&lt;=T_DepDinner)*($S219&gt;=T_RetDinner)*PD_Dinner+PD_Incid,($Q219&lt;=T_DepBfast)*PD_Bfast+($Q219&lt;=T_DepLunch)*PD_Lunch+($Q219&lt;=T_DepDinner)*PD_Dinner+($S219&gt;=T_RetBfast)*PD_Bfast+($S219&gt;=T_RetLunch)*PD_Lunch+($S219&gt;=T_RetDinner)*PD_Dinner+MAX($R219-$P219-1,0)*(PD_Bfast+PD_Lunch+PD_Dinner)+($R219-$P219+1)*PD_Incid))</f>
        <v/>
      </c>
      <c r="AC219" s="30"/>
      <c r="AD219" s="30" t="str">
        <f aca="false">IF($A219="","",N($T219)+N($W219)+N($AA219)+N($AB219)+N($AC219))</f>
        <v/>
      </c>
      <c r="AE219" s="30"/>
      <c r="AF219" s="30"/>
      <c r="AG219" s="30"/>
      <c r="AH219" s="30"/>
      <c r="AI219" s="30"/>
      <c r="AJ219" s="30" t="str">
        <f aca="false">IF($A219="","",IF(COUNT($AE219:$AI219)=0,"",SUM($AE219:$AI219)))</f>
        <v/>
      </c>
      <c r="AK219" s="30"/>
      <c r="AL219" s="30"/>
      <c r="AM219" s="30" t="str">
        <f aca="false">IF(OR($A219="",$AJ219=""),"",$AJ219-N($AK219)-N($AL219))</f>
        <v/>
      </c>
      <c r="AN219" s="28"/>
      <c r="AO219" s="28"/>
      <c r="AP219" s="27"/>
      <c r="AQ219" s="27"/>
      <c r="AR219" s="28" t="str">
        <f aca="false">IF(OR($A219="",$R219=""),"",$R219+ReceiptDays)</f>
        <v/>
      </c>
      <c r="AS219" s="28"/>
      <c r="AT219" s="28" t="str">
        <f aca="false">IF(OR($A219="",$P219=""),"",($P219-FinanceLeadDays)-MOD(($P219-FinanceLeadDays)-DATE(2024,1,2),7))</f>
        <v/>
      </c>
      <c r="AU219" s="28"/>
      <c r="AV219" s="27"/>
      <c r="AW219" s="27"/>
      <c r="AX219" s="30" t="n">
        <f aca="false">IF(OR($A219="",$B219="Denied",$B219="Cancelled"),0,N($AD219))</f>
        <v>0</v>
      </c>
      <c r="AY219" s="30" t="n">
        <f aca="false">IF($A219="",0,N($AJ219))</f>
        <v>0</v>
      </c>
      <c r="AZ219" s="30" t="n">
        <f aca="false">IF(OR($A219="",$B219="Denied",$B219="Cancelled",$B219="Closed"),0,IF(N($AJ219)&gt;0,0,N($AD219)))</f>
        <v>0</v>
      </c>
      <c r="BA219" s="31" t="n">
        <f aca="false">IF($A219="",0,IF($B219="Awaiting Approval",COUNTIF(BA$1:BA218,"&gt;0")+1,0))</f>
        <v>0</v>
      </c>
      <c r="BB219" s="31" t="n">
        <f aca="false">IF($A219="",0,IF(AND($B219="Approved",$AP219&lt;&gt;"Y"),COUNTIF(BB$1:BB218,"&gt;0")+1,0))</f>
        <v>0</v>
      </c>
      <c r="BC219" s="31" t="n">
        <f aca="false">IF($A219="",0,IF(AND($B219="Approved",N($U219)&gt;0,$AQ219&lt;&gt;"Y"),COUNTIF(BC$1:BC218,"&gt;0")+1,0))</f>
        <v>0</v>
      </c>
      <c r="BD219" s="31" t="n">
        <f aca="true">IF($A219="",0,IF(AND($AR219&lt;&gt;"",N($AR219)&lt;TODAY(),$AS219="",$B219&lt;&gt;"Closed",$B219&lt;&gt;"Cancelled",$B219&lt;&gt;"Denied"),COUNTIF(BD$1:BD218,"&gt;0")+1,0))</f>
        <v>0</v>
      </c>
      <c r="BE219" s="31" t="n">
        <f aca="true">IF($A219="",0,IF(AND($AT219&lt;&gt;"",N($AT219)&lt;=TODAY()+7,$AU219="",$B219&lt;&gt;"Denied",$B219&lt;&gt;"Cancelled",$B219&lt;&gt;"Closed"),COUNTIF(BE$1:BE218,"&gt;0")+1,0))</f>
        <v>0</v>
      </c>
      <c r="BF219" s="27"/>
      <c r="BG219" s="27"/>
      <c r="BH219" s="27"/>
      <c r="BI219" s="27"/>
    </row>
    <row r="220" customFormat="false" ht="15" hidden="false" customHeight="false" outlineLevel="0" collapsed="false">
      <c r="A220" s="22"/>
      <c r="B220" s="22"/>
      <c r="C220" s="22"/>
      <c r="D220" s="22"/>
      <c r="E220" s="22"/>
      <c r="F220" s="22"/>
      <c r="G220" s="22"/>
      <c r="H220" s="22"/>
      <c r="I220" s="22"/>
      <c r="J220" s="22"/>
      <c r="K220" s="22"/>
      <c r="L220" s="22"/>
      <c r="M220" s="22"/>
      <c r="N220" s="23"/>
      <c r="O220" s="23"/>
      <c r="P220" s="23"/>
      <c r="Q220" s="24"/>
      <c r="R220" s="23"/>
      <c r="S220" s="24"/>
      <c r="T220" s="25"/>
      <c r="U220" s="26"/>
      <c r="V220" s="25"/>
      <c r="W220" s="25" t="str">
        <f aca="false">IF($A220="","",N($U220)*N($V220))</f>
        <v/>
      </c>
      <c r="X220" s="22"/>
      <c r="Y220" s="26"/>
      <c r="Z220" s="25"/>
      <c r="AA220" s="25" t="str">
        <f aca="false">IF($A220="","",IF($X220="POV",N($Y220)*MileageRate,0)+N($Z220))</f>
        <v/>
      </c>
      <c r="AB220" s="25" t="str">
        <f aca="false">IF(OR($A220="",$P220="",$R220="",$Q220="",$S220=""),"",IF($R220=$P220,($Q220&lt;=T_DepBfast)*($S220&gt;=T_RetBfast)*PD_Bfast+($Q220&lt;=T_DepLunch)*($S220&gt;=T_RetLunch)*PD_Lunch+($Q220&lt;=T_DepDinner)*($S220&gt;=T_RetDinner)*PD_Dinner+PD_Incid,($Q220&lt;=T_DepBfast)*PD_Bfast+($Q220&lt;=T_DepLunch)*PD_Lunch+($Q220&lt;=T_DepDinner)*PD_Dinner+($S220&gt;=T_RetBfast)*PD_Bfast+($S220&gt;=T_RetLunch)*PD_Lunch+($S220&gt;=T_RetDinner)*PD_Dinner+MAX($R220-$P220-1,0)*(PD_Bfast+PD_Lunch+PD_Dinner)+($R220-$P220+1)*PD_Incid))</f>
        <v/>
      </c>
      <c r="AC220" s="25"/>
      <c r="AD220" s="25" t="str">
        <f aca="false">IF($A220="","",N($T220)+N($W220)+N($AA220)+N($AB220)+N($AC220))</f>
        <v/>
      </c>
      <c r="AE220" s="25"/>
      <c r="AF220" s="25"/>
      <c r="AG220" s="25"/>
      <c r="AH220" s="25"/>
      <c r="AI220" s="25"/>
      <c r="AJ220" s="25" t="str">
        <f aca="false">IF($A220="","",IF(COUNT($AE220:$AI220)=0,"",SUM($AE220:$AI220)))</f>
        <v/>
      </c>
      <c r="AK220" s="25"/>
      <c r="AL220" s="25"/>
      <c r="AM220" s="25" t="str">
        <f aca="false">IF(OR($A220="",$AJ220=""),"",$AJ220-N($AK220)-N($AL220))</f>
        <v/>
      </c>
      <c r="AN220" s="23"/>
      <c r="AO220" s="23"/>
      <c r="AP220" s="22"/>
      <c r="AQ220" s="22"/>
      <c r="AR220" s="23" t="str">
        <f aca="false">IF(OR($A220="",$R220=""),"",$R220+ReceiptDays)</f>
        <v/>
      </c>
      <c r="AS220" s="23"/>
      <c r="AT220" s="23" t="str">
        <f aca="false">IF(OR($A220="",$P220=""),"",($P220-FinanceLeadDays)-MOD(($P220-FinanceLeadDays)-DATE(2024,1,2),7))</f>
        <v/>
      </c>
      <c r="AU220" s="23"/>
      <c r="AV220" s="22"/>
      <c r="AW220" s="22"/>
      <c r="AX220" s="25" t="n">
        <f aca="false">IF(OR($A220="",$B220="Denied",$B220="Cancelled"),0,N($AD220))</f>
        <v>0</v>
      </c>
      <c r="AY220" s="25" t="n">
        <f aca="false">IF($A220="",0,N($AJ220))</f>
        <v>0</v>
      </c>
      <c r="AZ220" s="25" t="n">
        <f aca="false">IF(OR($A220="",$B220="Denied",$B220="Cancelled",$B220="Closed"),0,IF(N($AJ220)&gt;0,0,N($AD220)))</f>
        <v>0</v>
      </c>
      <c r="BA220" s="26" t="n">
        <f aca="false">IF($A220="",0,IF($B220="Awaiting Approval",COUNTIF(BA$1:BA219,"&gt;0")+1,0))</f>
        <v>0</v>
      </c>
      <c r="BB220" s="26" t="n">
        <f aca="false">IF($A220="",0,IF(AND($B220="Approved",$AP220&lt;&gt;"Y"),COUNTIF(BB$1:BB219,"&gt;0")+1,0))</f>
        <v>0</v>
      </c>
      <c r="BC220" s="26" t="n">
        <f aca="false">IF($A220="",0,IF(AND($B220="Approved",N($U220)&gt;0,$AQ220&lt;&gt;"Y"),COUNTIF(BC$1:BC219,"&gt;0")+1,0))</f>
        <v>0</v>
      </c>
      <c r="BD220" s="26" t="n">
        <f aca="true">IF($A220="",0,IF(AND($AR220&lt;&gt;"",N($AR220)&lt;TODAY(),$AS220="",$B220&lt;&gt;"Closed",$B220&lt;&gt;"Cancelled",$B220&lt;&gt;"Denied"),COUNTIF(BD$1:BD219,"&gt;0")+1,0))</f>
        <v>0</v>
      </c>
      <c r="BE220" s="26" t="n">
        <f aca="true">IF($A220="",0,IF(AND($AT220&lt;&gt;"",N($AT220)&lt;=TODAY()+7,$AU220="",$B220&lt;&gt;"Denied",$B220&lt;&gt;"Cancelled",$B220&lt;&gt;"Closed"),COUNTIF(BE$1:BE219,"&gt;0")+1,0))</f>
        <v>0</v>
      </c>
      <c r="BF220" s="22"/>
      <c r="BG220" s="22"/>
      <c r="BH220" s="22"/>
      <c r="BI220" s="22"/>
    </row>
    <row r="221" customFormat="false" ht="15" hidden="false" customHeight="false" outlineLevel="0" collapsed="false">
      <c r="A221" s="27"/>
      <c r="B221" s="27"/>
      <c r="C221" s="27"/>
      <c r="D221" s="27"/>
      <c r="E221" s="27"/>
      <c r="F221" s="27"/>
      <c r="G221" s="27"/>
      <c r="H221" s="27"/>
      <c r="I221" s="27"/>
      <c r="J221" s="27"/>
      <c r="K221" s="27"/>
      <c r="L221" s="27"/>
      <c r="M221" s="27"/>
      <c r="N221" s="28"/>
      <c r="O221" s="28"/>
      <c r="P221" s="28"/>
      <c r="Q221" s="29"/>
      <c r="R221" s="28"/>
      <c r="S221" s="29"/>
      <c r="T221" s="30"/>
      <c r="U221" s="31"/>
      <c r="V221" s="30"/>
      <c r="W221" s="30" t="str">
        <f aca="false">IF($A221="","",N($U221)*N($V221))</f>
        <v/>
      </c>
      <c r="X221" s="27"/>
      <c r="Y221" s="31"/>
      <c r="Z221" s="30"/>
      <c r="AA221" s="30" t="str">
        <f aca="false">IF($A221="","",IF($X221="POV",N($Y221)*MileageRate,0)+N($Z221))</f>
        <v/>
      </c>
      <c r="AB221" s="30" t="str">
        <f aca="false">IF(OR($A221="",$P221="",$R221="",$Q221="",$S221=""),"",IF($R221=$P221,($Q221&lt;=T_DepBfast)*($S221&gt;=T_RetBfast)*PD_Bfast+($Q221&lt;=T_DepLunch)*($S221&gt;=T_RetLunch)*PD_Lunch+($Q221&lt;=T_DepDinner)*($S221&gt;=T_RetDinner)*PD_Dinner+PD_Incid,($Q221&lt;=T_DepBfast)*PD_Bfast+($Q221&lt;=T_DepLunch)*PD_Lunch+($Q221&lt;=T_DepDinner)*PD_Dinner+($S221&gt;=T_RetBfast)*PD_Bfast+($S221&gt;=T_RetLunch)*PD_Lunch+($S221&gt;=T_RetDinner)*PD_Dinner+MAX($R221-$P221-1,0)*(PD_Bfast+PD_Lunch+PD_Dinner)+($R221-$P221+1)*PD_Incid))</f>
        <v/>
      </c>
      <c r="AC221" s="30"/>
      <c r="AD221" s="30" t="str">
        <f aca="false">IF($A221="","",N($T221)+N($W221)+N($AA221)+N($AB221)+N($AC221))</f>
        <v/>
      </c>
      <c r="AE221" s="30"/>
      <c r="AF221" s="30"/>
      <c r="AG221" s="30"/>
      <c r="AH221" s="30"/>
      <c r="AI221" s="30"/>
      <c r="AJ221" s="30" t="str">
        <f aca="false">IF($A221="","",IF(COUNT($AE221:$AI221)=0,"",SUM($AE221:$AI221)))</f>
        <v/>
      </c>
      <c r="AK221" s="30"/>
      <c r="AL221" s="30"/>
      <c r="AM221" s="30" t="str">
        <f aca="false">IF(OR($A221="",$AJ221=""),"",$AJ221-N($AK221)-N($AL221))</f>
        <v/>
      </c>
      <c r="AN221" s="28"/>
      <c r="AO221" s="28"/>
      <c r="AP221" s="27"/>
      <c r="AQ221" s="27"/>
      <c r="AR221" s="28" t="str">
        <f aca="false">IF(OR($A221="",$R221=""),"",$R221+ReceiptDays)</f>
        <v/>
      </c>
      <c r="AS221" s="28"/>
      <c r="AT221" s="28" t="str">
        <f aca="false">IF(OR($A221="",$P221=""),"",($P221-FinanceLeadDays)-MOD(($P221-FinanceLeadDays)-DATE(2024,1,2),7))</f>
        <v/>
      </c>
      <c r="AU221" s="28"/>
      <c r="AV221" s="27"/>
      <c r="AW221" s="27"/>
      <c r="AX221" s="30" t="n">
        <f aca="false">IF(OR($A221="",$B221="Denied",$B221="Cancelled"),0,N($AD221))</f>
        <v>0</v>
      </c>
      <c r="AY221" s="30" t="n">
        <f aca="false">IF($A221="",0,N($AJ221))</f>
        <v>0</v>
      </c>
      <c r="AZ221" s="30" t="n">
        <f aca="false">IF(OR($A221="",$B221="Denied",$B221="Cancelled",$B221="Closed"),0,IF(N($AJ221)&gt;0,0,N($AD221)))</f>
        <v>0</v>
      </c>
      <c r="BA221" s="31" t="n">
        <f aca="false">IF($A221="",0,IF($B221="Awaiting Approval",COUNTIF(BA$1:BA220,"&gt;0")+1,0))</f>
        <v>0</v>
      </c>
      <c r="BB221" s="31" t="n">
        <f aca="false">IF($A221="",0,IF(AND($B221="Approved",$AP221&lt;&gt;"Y"),COUNTIF(BB$1:BB220,"&gt;0")+1,0))</f>
        <v>0</v>
      </c>
      <c r="BC221" s="31" t="n">
        <f aca="false">IF($A221="",0,IF(AND($B221="Approved",N($U221)&gt;0,$AQ221&lt;&gt;"Y"),COUNTIF(BC$1:BC220,"&gt;0")+1,0))</f>
        <v>0</v>
      </c>
      <c r="BD221" s="31" t="n">
        <f aca="true">IF($A221="",0,IF(AND($AR221&lt;&gt;"",N($AR221)&lt;TODAY(),$AS221="",$B221&lt;&gt;"Closed",$B221&lt;&gt;"Cancelled",$B221&lt;&gt;"Denied"),COUNTIF(BD$1:BD220,"&gt;0")+1,0))</f>
        <v>0</v>
      </c>
      <c r="BE221" s="31" t="n">
        <f aca="true">IF($A221="",0,IF(AND($AT221&lt;&gt;"",N($AT221)&lt;=TODAY()+7,$AU221="",$B221&lt;&gt;"Denied",$B221&lt;&gt;"Cancelled",$B221&lt;&gt;"Closed"),COUNTIF(BE$1:BE220,"&gt;0")+1,0))</f>
        <v>0</v>
      </c>
      <c r="BF221" s="27"/>
      <c r="BG221" s="27"/>
      <c r="BH221" s="27"/>
      <c r="BI221" s="27"/>
    </row>
    <row r="222" customFormat="false" ht="15" hidden="false" customHeight="false" outlineLevel="0" collapsed="false">
      <c r="A222" s="22"/>
      <c r="B222" s="22"/>
      <c r="C222" s="22"/>
      <c r="D222" s="22"/>
      <c r="E222" s="22"/>
      <c r="F222" s="22"/>
      <c r="G222" s="22"/>
      <c r="H222" s="22"/>
      <c r="I222" s="22"/>
      <c r="J222" s="22"/>
      <c r="K222" s="22"/>
      <c r="L222" s="22"/>
      <c r="M222" s="22"/>
      <c r="N222" s="23"/>
      <c r="O222" s="23"/>
      <c r="P222" s="23"/>
      <c r="Q222" s="24"/>
      <c r="R222" s="23"/>
      <c r="S222" s="24"/>
      <c r="T222" s="25"/>
      <c r="U222" s="26"/>
      <c r="V222" s="25"/>
      <c r="W222" s="25" t="str">
        <f aca="false">IF($A222="","",N($U222)*N($V222))</f>
        <v/>
      </c>
      <c r="X222" s="22"/>
      <c r="Y222" s="26"/>
      <c r="Z222" s="25"/>
      <c r="AA222" s="25" t="str">
        <f aca="false">IF($A222="","",IF($X222="POV",N($Y222)*MileageRate,0)+N($Z222))</f>
        <v/>
      </c>
      <c r="AB222" s="25" t="str">
        <f aca="false">IF(OR($A222="",$P222="",$R222="",$Q222="",$S222=""),"",IF($R222=$P222,($Q222&lt;=T_DepBfast)*($S222&gt;=T_RetBfast)*PD_Bfast+($Q222&lt;=T_DepLunch)*($S222&gt;=T_RetLunch)*PD_Lunch+($Q222&lt;=T_DepDinner)*($S222&gt;=T_RetDinner)*PD_Dinner+PD_Incid,($Q222&lt;=T_DepBfast)*PD_Bfast+($Q222&lt;=T_DepLunch)*PD_Lunch+($Q222&lt;=T_DepDinner)*PD_Dinner+($S222&gt;=T_RetBfast)*PD_Bfast+($S222&gt;=T_RetLunch)*PD_Lunch+($S222&gt;=T_RetDinner)*PD_Dinner+MAX($R222-$P222-1,0)*(PD_Bfast+PD_Lunch+PD_Dinner)+($R222-$P222+1)*PD_Incid))</f>
        <v/>
      </c>
      <c r="AC222" s="25"/>
      <c r="AD222" s="25" t="str">
        <f aca="false">IF($A222="","",N($T222)+N($W222)+N($AA222)+N($AB222)+N($AC222))</f>
        <v/>
      </c>
      <c r="AE222" s="25"/>
      <c r="AF222" s="25"/>
      <c r="AG222" s="25"/>
      <c r="AH222" s="25"/>
      <c r="AI222" s="25"/>
      <c r="AJ222" s="25" t="str">
        <f aca="false">IF($A222="","",IF(COUNT($AE222:$AI222)=0,"",SUM($AE222:$AI222)))</f>
        <v/>
      </c>
      <c r="AK222" s="25"/>
      <c r="AL222" s="25"/>
      <c r="AM222" s="25" t="str">
        <f aca="false">IF(OR($A222="",$AJ222=""),"",$AJ222-N($AK222)-N($AL222))</f>
        <v/>
      </c>
      <c r="AN222" s="23"/>
      <c r="AO222" s="23"/>
      <c r="AP222" s="22"/>
      <c r="AQ222" s="22"/>
      <c r="AR222" s="23" t="str">
        <f aca="false">IF(OR($A222="",$R222=""),"",$R222+ReceiptDays)</f>
        <v/>
      </c>
      <c r="AS222" s="23"/>
      <c r="AT222" s="23" t="str">
        <f aca="false">IF(OR($A222="",$P222=""),"",($P222-FinanceLeadDays)-MOD(($P222-FinanceLeadDays)-DATE(2024,1,2),7))</f>
        <v/>
      </c>
      <c r="AU222" s="23"/>
      <c r="AV222" s="22"/>
      <c r="AW222" s="22"/>
      <c r="AX222" s="25" t="n">
        <f aca="false">IF(OR($A222="",$B222="Denied",$B222="Cancelled"),0,N($AD222))</f>
        <v>0</v>
      </c>
      <c r="AY222" s="25" t="n">
        <f aca="false">IF($A222="",0,N($AJ222))</f>
        <v>0</v>
      </c>
      <c r="AZ222" s="25" t="n">
        <f aca="false">IF(OR($A222="",$B222="Denied",$B222="Cancelled",$B222="Closed"),0,IF(N($AJ222)&gt;0,0,N($AD222)))</f>
        <v>0</v>
      </c>
      <c r="BA222" s="26" t="n">
        <f aca="false">IF($A222="",0,IF($B222="Awaiting Approval",COUNTIF(BA$1:BA221,"&gt;0")+1,0))</f>
        <v>0</v>
      </c>
      <c r="BB222" s="26" t="n">
        <f aca="false">IF($A222="",0,IF(AND($B222="Approved",$AP222&lt;&gt;"Y"),COUNTIF(BB$1:BB221,"&gt;0")+1,0))</f>
        <v>0</v>
      </c>
      <c r="BC222" s="26" t="n">
        <f aca="false">IF($A222="",0,IF(AND($B222="Approved",N($U222)&gt;0,$AQ222&lt;&gt;"Y"),COUNTIF(BC$1:BC221,"&gt;0")+1,0))</f>
        <v>0</v>
      </c>
      <c r="BD222" s="26" t="n">
        <f aca="true">IF($A222="",0,IF(AND($AR222&lt;&gt;"",N($AR222)&lt;TODAY(),$AS222="",$B222&lt;&gt;"Closed",$B222&lt;&gt;"Cancelled",$B222&lt;&gt;"Denied"),COUNTIF(BD$1:BD221,"&gt;0")+1,0))</f>
        <v>0</v>
      </c>
      <c r="BE222" s="26" t="n">
        <f aca="true">IF($A222="",0,IF(AND($AT222&lt;&gt;"",N($AT222)&lt;=TODAY()+7,$AU222="",$B222&lt;&gt;"Denied",$B222&lt;&gt;"Cancelled",$B222&lt;&gt;"Closed"),COUNTIF(BE$1:BE221,"&gt;0")+1,0))</f>
        <v>0</v>
      </c>
      <c r="BF222" s="22"/>
      <c r="BG222" s="22"/>
      <c r="BH222" s="22"/>
      <c r="BI222" s="22"/>
    </row>
    <row r="223" customFormat="false" ht="15" hidden="false" customHeight="false" outlineLevel="0" collapsed="false">
      <c r="A223" s="27"/>
      <c r="B223" s="27"/>
      <c r="C223" s="27"/>
      <c r="D223" s="27"/>
      <c r="E223" s="27"/>
      <c r="F223" s="27"/>
      <c r="G223" s="27"/>
      <c r="H223" s="27"/>
      <c r="I223" s="27"/>
      <c r="J223" s="27"/>
      <c r="K223" s="27"/>
      <c r="L223" s="27"/>
      <c r="M223" s="27"/>
      <c r="N223" s="28"/>
      <c r="O223" s="28"/>
      <c r="P223" s="28"/>
      <c r="Q223" s="29"/>
      <c r="R223" s="28"/>
      <c r="S223" s="29"/>
      <c r="T223" s="30"/>
      <c r="U223" s="31"/>
      <c r="V223" s="30"/>
      <c r="W223" s="30" t="str">
        <f aca="false">IF($A223="","",N($U223)*N($V223))</f>
        <v/>
      </c>
      <c r="X223" s="27"/>
      <c r="Y223" s="31"/>
      <c r="Z223" s="30"/>
      <c r="AA223" s="30" t="str">
        <f aca="false">IF($A223="","",IF($X223="POV",N($Y223)*MileageRate,0)+N($Z223))</f>
        <v/>
      </c>
      <c r="AB223" s="30" t="str">
        <f aca="false">IF(OR($A223="",$P223="",$R223="",$Q223="",$S223=""),"",IF($R223=$P223,($Q223&lt;=T_DepBfast)*($S223&gt;=T_RetBfast)*PD_Bfast+($Q223&lt;=T_DepLunch)*($S223&gt;=T_RetLunch)*PD_Lunch+($Q223&lt;=T_DepDinner)*($S223&gt;=T_RetDinner)*PD_Dinner+PD_Incid,($Q223&lt;=T_DepBfast)*PD_Bfast+($Q223&lt;=T_DepLunch)*PD_Lunch+($Q223&lt;=T_DepDinner)*PD_Dinner+($S223&gt;=T_RetBfast)*PD_Bfast+($S223&gt;=T_RetLunch)*PD_Lunch+($S223&gt;=T_RetDinner)*PD_Dinner+MAX($R223-$P223-1,0)*(PD_Bfast+PD_Lunch+PD_Dinner)+($R223-$P223+1)*PD_Incid))</f>
        <v/>
      </c>
      <c r="AC223" s="30"/>
      <c r="AD223" s="30" t="str">
        <f aca="false">IF($A223="","",N($T223)+N($W223)+N($AA223)+N($AB223)+N($AC223))</f>
        <v/>
      </c>
      <c r="AE223" s="30"/>
      <c r="AF223" s="30"/>
      <c r="AG223" s="30"/>
      <c r="AH223" s="30"/>
      <c r="AI223" s="30"/>
      <c r="AJ223" s="30" t="str">
        <f aca="false">IF($A223="","",IF(COUNT($AE223:$AI223)=0,"",SUM($AE223:$AI223)))</f>
        <v/>
      </c>
      <c r="AK223" s="30"/>
      <c r="AL223" s="30"/>
      <c r="AM223" s="30" t="str">
        <f aca="false">IF(OR($A223="",$AJ223=""),"",$AJ223-N($AK223)-N($AL223))</f>
        <v/>
      </c>
      <c r="AN223" s="28"/>
      <c r="AO223" s="28"/>
      <c r="AP223" s="27"/>
      <c r="AQ223" s="27"/>
      <c r="AR223" s="28" t="str">
        <f aca="false">IF(OR($A223="",$R223=""),"",$R223+ReceiptDays)</f>
        <v/>
      </c>
      <c r="AS223" s="28"/>
      <c r="AT223" s="28" t="str">
        <f aca="false">IF(OR($A223="",$P223=""),"",($P223-FinanceLeadDays)-MOD(($P223-FinanceLeadDays)-DATE(2024,1,2),7))</f>
        <v/>
      </c>
      <c r="AU223" s="28"/>
      <c r="AV223" s="27"/>
      <c r="AW223" s="27"/>
      <c r="AX223" s="30" t="n">
        <f aca="false">IF(OR($A223="",$B223="Denied",$B223="Cancelled"),0,N($AD223))</f>
        <v>0</v>
      </c>
      <c r="AY223" s="30" t="n">
        <f aca="false">IF($A223="",0,N($AJ223))</f>
        <v>0</v>
      </c>
      <c r="AZ223" s="30" t="n">
        <f aca="false">IF(OR($A223="",$B223="Denied",$B223="Cancelled",$B223="Closed"),0,IF(N($AJ223)&gt;0,0,N($AD223)))</f>
        <v>0</v>
      </c>
      <c r="BA223" s="31" t="n">
        <f aca="false">IF($A223="",0,IF($B223="Awaiting Approval",COUNTIF(BA$1:BA222,"&gt;0")+1,0))</f>
        <v>0</v>
      </c>
      <c r="BB223" s="31" t="n">
        <f aca="false">IF($A223="",0,IF(AND($B223="Approved",$AP223&lt;&gt;"Y"),COUNTIF(BB$1:BB222,"&gt;0")+1,0))</f>
        <v>0</v>
      </c>
      <c r="BC223" s="31" t="n">
        <f aca="false">IF($A223="",0,IF(AND($B223="Approved",N($U223)&gt;0,$AQ223&lt;&gt;"Y"),COUNTIF(BC$1:BC222,"&gt;0")+1,0))</f>
        <v>0</v>
      </c>
      <c r="BD223" s="31" t="n">
        <f aca="true">IF($A223="",0,IF(AND($AR223&lt;&gt;"",N($AR223)&lt;TODAY(),$AS223="",$B223&lt;&gt;"Closed",$B223&lt;&gt;"Cancelled",$B223&lt;&gt;"Denied"),COUNTIF(BD$1:BD222,"&gt;0")+1,0))</f>
        <v>0</v>
      </c>
      <c r="BE223" s="31" t="n">
        <f aca="true">IF($A223="",0,IF(AND($AT223&lt;&gt;"",N($AT223)&lt;=TODAY()+7,$AU223="",$B223&lt;&gt;"Denied",$B223&lt;&gt;"Cancelled",$B223&lt;&gt;"Closed"),COUNTIF(BE$1:BE222,"&gt;0")+1,0))</f>
        <v>0</v>
      </c>
      <c r="BF223" s="27"/>
      <c r="BG223" s="27"/>
      <c r="BH223" s="27"/>
      <c r="BI223" s="27"/>
    </row>
    <row r="224" customFormat="false" ht="15" hidden="false" customHeight="false" outlineLevel="0" collapsed="false">
      <c r="A224" s="22"/>
      <c r="B224" s="22"/>
      <c r="C224" s="22"/>
      <c r="D224" s="22"/>
      <c r="E224" s="22"/>
      <c r="F224" s="22"/>
      <c r="G224" s="22"/>
      <c r="H224" s="22"/>
      <c r="I224" s="22"/>
      <c r="J224" s="22"/>
      <c r="K224" s="22"/>
      <c r="L224" s="22"/>
      <c r="M224" s="22"/>
      <c r="N224" s="23"/>
      <c r="O224" s="23"/>
      <c r="P224" s="23"/>
      <c r="Q224" s="24"/>
      <c r="R224" s="23"/>
      <c r="S224" s="24"/>
      <c r="T224" s="25"/>
      <c r="U224" s="26"/>
      <c r="V224" s="25"/>
      <c r="W224" s="25" t="str">
        <f aca="false">IF($A224="","",N($U224)*N($V224))</f>
        <v/>
      </c>
      <c r="X224" s="22"/>
      <c r="Y224" s="26"/>
      <c r="Z224" s="25"/>
      <c r="AA224" s="25" t="str">
        <f aca="false">IF($A224="","",IF($X224="POV",N($Y224)*MileageRate,0)+N($Z224))</f>
        <v/>
      </c>
      <c r="AB224" s="25" t="str">
        <f aca="false">IF(OR($A224="",$P224="",$R224="",$Q224="",$S224=""),"",IF($R224=$P224,($Q224&lt;=T_DepBfast)*($S224&gt;=T_RetBfast)*PD_Bfast+($Q224&lt;=T_DepLunch)*($S224&gt;=T_RetLunch)*PD_Lunch+($Q224&lt;=T_DepDinner)*($S224&gt;=T_RetDinner)*PD_Dinner+PD_Incid,($Q224&lt;=T_DepBfast)*PD_Bfast+($Q224&lt;=T_DepLunch)*PD_Lunch+($Q224&lt;=T_DepDinner)*PD_Dinner+($S224&gt;=T_RetBfast)*PD_Bfast+($S224&gt;=T_RetLunch)*PD_Lunch+($S224&gt;=T_RetDinner)*PD_Dinner+MAX($R224-$P224-1,0)*(PD_Bfast+PD_Lunch+PD_Dinner)+($R224-$P224+1)*PD_Incid))</f>
        <v/>
      </c>
      <c r="AC224" s="25"/>
      <c r="AD224" s="25" t="str">
        <f aca="false">IF($A224="","",N($T224)+N($W224)+N($AA224)+N($AB224)+N($AC224))</f>
        <v/>
      </c>
      <c r="AE224" s="25"/>
      <c r="AF224" s="25"/>
      <c r="AG224" s="25"/>
      <c r="AH224" s="25"/>
      <c r="AI224" s="25"/>
      <c r="AJ224" s="25" t="str">
        <f aca="false">IF($A224="","",IF(COUNT($AE224:$AI224)=0,"",SUM($AE224:$AI224)))</f>
        <v/>
      </c>
      <c r="AK224" s="25"/>
      <c r="AL224" s="25"/>
      <c r="AM224" s="25" t="str">
        <f aca="false">IF(OR($A224="",$AJ224=""),"",$AJ224-N($AK224)-N($AL224))</f>
        <v/>
      </c>
      <c r="AN224" s="23"/>
      <c r="AO224" s="23"/>
      <c r="AP224" s="22"/>
      <c r="AQ224" s="22"/>
      <c r="AR224" s="23" t="str">
        <f aca="false">IF(OR($A224="",$R224=""),"",$R224+ReceiptDays)</f>
        <v/>
      </c>
      <c r="AS224" s="23"/>
      <c r="AT224" s="23" t="str">
        <f aca="false">IF(OR($A224="",$P224=""),"",($P224-FinanceLeadDays)-MOD(($P224-FinanceLeadDays)-DATE(2024,1,2),7))</f>
        <v/>
      </c>
      <c r="AU224" s="23"/>
      <c r="AV224" s="22"/>
      <c r="AW224" s="22"/>
      <c r="AX224" s="25" t="n">
        <f aca="false">IF(OR($A224="",$B224="Denied",$B224="Cancelled"),0,N($AD224))</f>
        <v>0</v>
      </c>
      <c r="AY224" s="25" t="n">
        <f aca="false">IF($A224="",0,N($AJ224))</f>
        <v>0</v>
      </c>
      <c r="AZ224" s="25" t="n">
        <f aca="false">IF(OR($A224="",$B224="Denied",$B224="Cancelled",$B224="Closed"),0,IF(N($AJ224)&gt;0,0,N($AD224)))</f>
        <v>0</v>
      </c>
      <c r="BA224" s="26" t="n">
        <f aca="false">IF($A224="",0,IF($B224="Awaiting Approval",COUNTIF(BA$1:BA223,"&gt;0")+1,0))</f>
        <v>0</v>
      </c>
      <c r="BB224" s="26" t="n">
        <f aca="false">IF($A224="",0,IF(AND($B224="Approved",$AP224&lt;&gt;"Y"),COUNTIF(BB$1:BB223,"&gt;0")+1,0))</f>
        <v>0</v>
      </c>
      <c r="BC224" s="26" t="n">
        <f aca="false">IF($A224="",0,IF(AND($B224="Approved",N($U224)&gt;0,$AQ224&lt;&gt;"Y"),COUNTIF(BC$1:BC223,"&gt;0")+1,0))</f>
        <v>0</v>
      </c>
      <c r="BD224" s="26" t="n">
        <f aca="true">IF($A224="",0,IF(AND($AR224&lt;&gt;"",N($AR224)&lt;TODAY(),$AS224="",$B224&lt;&gt;"Closed",$B224&lt;&gt;"Cancelled",$B224&lt;&gt;"Denied"),COUNTIF(BD$1:BD223,"&gt;0")+1,0))</f>
        <v>0</v>
      </c>
      <c r="BE224" s="26" t="n">
        <f aca="true">IF($A224="",0,IF(AND($AT224&lt;&gt;"",N($AT224)&lt;=TODAY()+7,$AU224="",$B224&lt;&gt;"Denied",$B224&lt;&gt;"Cancelled",$B224&lt;&gt;"Closed"),COUNTIF(BE$1:BE223,"&gt;0")+1,0))</f>
        <v>0</v>
      </c>
      <c r="BF224" s="22"/>
      <c r="BG224" s="22"/>
      <c r="BH224" s="22"/>
      <c r="BI224" s="22"/>
    </row>
    <row r="225" customFormat="false" ht="15" hidden="false" customHeight="false" outlineLevel="0" collapsed="false">
      <c r="A225" s="27"/>
      <c r="B225" s="27"/>
      <c r="C225" s="27"/>
      <c r="D225" s="27"/>
      <c r="E225" s="27"/>
      <c r="F225" s="27"/>
      <c r="G225" s="27"/>
      <c r="H225" s="27"/>
      <c r="I225" s="27"/>
      <c r="J225" s="27"/>
      <c r="K225" s="27"/>
      <c r="L225" s="27"/>
      <c r="M225" s="27"/>
      <c r="N225" s="28"/>
      <c r="O225" s="28"/>
      <c r="P225" s="28"/>
      <c r="Q225" s="29"/>
      <c r="R225" s="28"/>
      <c r="S225" s="29"/>
      <c r="T225" s="30"/>
      <c r="U225" s="31"/>
      <c r="V225" s="30"/>
      <c r="W225" s="30" t="str">
        <f aca="false">IF($A225="","",N($U225)*N($V225))</f>
        <v/>
      </c>
      <c r="X225" s="27"/>
      <c r="Y225" s="31"/>
      <c r="Z225" s="30"/>
      <c r="AA225" s="30" t="str">
        <f aca="false">IF($A225="","",IF($X225="POV",N($Y225)*MileageRate,0)+N($Z225))</f>
        <v/>
      </c>
      <c r="AB225" s="30" t="str">
        <f aca="false">IF(OR($A225="",$P225="",$R225="",$Q225="",$S225=""),"",IF($R225=$P225,($Q225&lt;=T_DepBfast)*($S225&gt;=T_RetBfast)*PD_Bfast+($Q225&lt;=T_DepLunch)*($S225&gt;=T_RetLunch)*PD_Lunch+($Q225&lt;=T_DepDinner)*($S225&gt;=T_RetDinner)*PD_Dinner+PD_Incid,($Q225&lt;=T_DepBfast)*PD_Bfast+($Q225&lt;=T_DepLunch)*PD_Lunch+($Q225&lt;=T_DepDinner)*PD_Dinner+($S225&gt;=T_RetBfast)*PD_Bfast+($S225&gt;=T_RetLunch)*PD_Lunch+($S225&gt;=T_RetDinner)*PD_Dinner+MAX($R225-$P225-1,0)*(PD_Bfast+PD_Lunch+PD_Dinner)+($R225-$P225+1)*PD_Incid))</f>
        <v/>
      </c>
      <c r="AC225" s="30"/>
      <c r="AD225" s="30" t="str">
        <f aca="false">IF($A225="","",N($T225)+N($W225)+N($AA225)+N($AB225)+N($AC225))</f>
        <v/>
      </c>
      <c r="AE225" s="30"/>
      <c r="AF225" s="30"/>
      <c r="AG225" s="30"/>
      <c r="AH225" s="30"/>
      <c r="AI225" s="30"/>
      <c r="AJ225" s="30" t="str">
        <f aca="false">IF($A225="","",IF(COUNT($AE225:$AI225)=0,"",SUM($AE225:$AI225)))</f>
        <v/>
      </c>
      <c r="AK225" s="30"/>
      <c r="AL225" s="30"/>
      <c r="AM225" s="30" t="str">
        <f aca="false">IF(OR($A225="",$AJ225=""),"",$AJ225-N($AK225)-N($AL225))</f>
        <v/>
      </c>
      <c r="AN225" s="28"/>
      <c r="AO225" s="28"/>
      <c r="AP225" s="27"/>
      <c r="AQ225" s="27"/>
      <c r="AR225" s="28" t="str">
        <f aca="false">IF(OR($A225="",$R225=""),"",$R225+ReceiptDays)</f>
        <v/>
      </c>
      <c r="AS225" s="28"/>
      <c r="AT225" s="28" t="str">
        <f aca="false">IF(OR($A225="",$P225=""),"",($P225-FinanceLeadDays)-MOD(($P225-FinanceLeadDays)-DATE(2024,1,2),7))</f>
        <v/>
      </c>
      <c r="AU225" s="28"/>
      <c r="AV225" s="27"/>
      <c r="AW225" s="27"/>
      <c r="AX225" s="30" t="n">
        <f aca="false">IF(OR($A225="",$B225="Denied",$B225="Cancelled"),0,N($AD225))</f>
        <v>0</v>
      </c>
      <c r="AY225" s="30" t="n">
        <f aca="false">IF($A225="",0,N($AJ225))</f>
        <v>0</v>
      </c>
      <c r="AZ225" s="30" t="n">
        <f aca="false">IF(OR($A225="",$B225="Denied",$B225="Cancelled",$B225="Closed"),0,IF(N($AJ225)&gt;0,0,N($AD225)))</f>
        <v>0</v>
      </c>
      <c r="BA225" s="31" t="n">
        <f aca="false">IF($A225="",0,IF($B225="Awaiting Approval",COUNTIF(BA$1:BA224,"&gt;0")+1,0))</f>
        <v>0</v>
      </c>
      <c r="BB225" s="31" t="n">
        <f aca="false">IF($A225="",0,IF(AND($B225="Approved",$AP225&lt;&gt;"Y"),COUNTIF(BB$1:BB224,"&gt;0")+1,0))</f>
        <v>0</v>
      </c>
      <c r="BC225" s="31" t="n">
        <f aca="false">IF($A225="",0,IF(AND($B225="Approved",N($U225)&gt;0,$AQ225&lt;&gt;"Y"),COUNTIF(BC$1:BC224,"&gt;0")+1,0))</f>
        <v>0</v>
      </c>
      <c r="BD225" s="31" t="n">
        <f aca="true">IF($A225="",0,IF(AND($AR225&lt;&gt;"",N($AR225)&lt;TODAY(),$AS225="",$B225&lt;&gt;"Closed",$B225&lt;&gt;"Cancelled",$B225&lt;&gt;"Denied"),COUNTIF(BD$1:BD224,"&gt;0")+1,0))</f>
        <v>0</v>
      </c>
      <c r="BE225" s="31" t="n">
        <f aca="true">IF($A225="",0,IF(AND($AT225&lt;&gt;"",N($AT225)&lt;=TODAY()+7,$AU225="",$B225&lt;&gt;"Denied",$B225&lt;&gt;"Cancelled",$B225&lt;&gt;"Closed"),COUNTIF(BE$1:BE224,"&gt;0")+1,0))</f>
        <v>0</v>
      </c>
      <c r="BF225" s="27"/>
      <c r="BG225" s="27"/>
      <c r="BH225" s="27"/>
      <c r="BI225" s="27"/>
    </row>
    <row r="226" customFormat="false" ht="15" hidden="false" customHeight="false" outlineLevel="0" collapsed="false">
      <c r="A226" s="22"/>
      <c r="B226" s="22"/>
      <c r="C226" s="22"/>
      <c r="D226" s="22"/>
      <c r="E226" s="22"/>
      <c r="F226" s="22"/>
      <c r="G226" s="22"/>
      <c r="H226" s="22"/>
      <c r="I226" s="22"/>
      <c r="J226" s="22"/>
      <c r="K226" s="22"/>
      <c r="L226" s="22"/>
      <c r="M226" s="22"/>
      <c r="N226" s="23"/>
      <c r="O226" s="23"/>
      <c r="P226" s="23"/>
      <c r="Q226" s="24"/>
      <c r="R226" s="23"/>
      <c r="S226" s="24"/>
      <c r="T226" s="25"/>
      <c r="U226" s="26"/>
      <c r="V226" s="25"/>
      <c r="W226" s="25" t="str">
        <f aca="false">IF($A226="","",N($U226)*N($V226))</f>
        <v/>
      </c>
      <c r="X226" s="22"/>
      <c r="Y226" s="26"/>
      <c r="Z226" s="25"/>
      <c r="AA226" s="25" t="str">
        <f aca="false">IF($A226="","",IF($X226="POV",N($Y226)*MileageRate,0)+N($Z226))</f>
        <v/>
      </c>
      <c r="AB226" s="25" t="str">
        <f aca="false">IF(OR($A226="",$P226="",$R226="",$Q226="",$S226=""),"",IF($R226=$P226,($Q226&lt;=T_DepBfast)*($S226&gt;=T_RetBfast)*PD_Bfast+($Q226&lt;=T_DepLunch)*($S226&gt;=T_RetLunch)*PD_Lunch+($Q226&lt;=T_DepDinner)*($S226&gt;=T_RetDinner)*PD_Dinner+PD_Incid,($Q226&lt;=T_DepBfast)*PD_Bfast+($Q226&lt;=T_DepLunch)*PD_Lunch+($Q226&lt;=T_DepDinner)*PD_Dinner+($S226&gt;=T_RetBfast)*PD_Bfast+($S226&gt;=T_RetLunch)*PD_Lunch+($S226&gt;=T_RetDinner)*PD_Dinner+MAX($R226-$P226-1,0)*(PD_Bfast+PD_Lunch+PD_Dinner)+($R226-$P226+1)*PD_Incid))</f>
        <v/>
      </c>
      <c r="AC226" s="25"/>
      <c r="AD226" s="25" t="str">
        <f aca="false">IF($A226="","",N($T226)+N($W226)+N($AA226)+N($AB226)+N($AC226))</f>
        <v/>
      </c>
      <c r="AE226" s="25"/>
      <c r="AF226" s="25"/>
      <c r="AG226" s="25"/>
      <c r="AH226" s="25"/>
      <c r="AI226" s="25"/>
      <c r="AJ226" s="25" t="str">
        <f aca="false">IF($A226="","",IF(COUNT($AE226:$AI226)=0,"",SUM($AE226:$AI226)))</f>
        <v/>
      </c>
      <c r="AK226" s="25"/>
      <c r="AL226" s="25"/>
      <c r="AM226" s="25" t="str">
        <f aca="false">IF(OR($A226="",$AJ226=""),"",$AJ226-N($AK226)-N($AL226))</f>
        <v/>
      </c>
      <c r="AN226" s="23"/>
      <c r="AO226" s="23"/>
      <c r="AP226" s="22"/>
      <c r="AQ226" s="22"/>
      <c r="AR226" s="23" t="str">
        <f aca="false">IF(OR($A226="",$R226=""),"",$R226+ReceiptDays)</f>
        <v/>
      </c>
      <c r="AS226" s="23"/>
      <c r="AT226" s="23" t="str">
        <f aca="false">IF(OR($A226="",$P226=""),"",($P226-FinanceLeadDays)-MOD(($P226-FinanceLeadDays)-DATE(2024,1,2),7))</f>
        <v/>
      </c>
      <c r="AU226" s="23"/>
      <c r="AV226" s="22"/>
      <c r="AW226" s="22"/>
      <c r="AX226" s="25" t="n">
        <f aca="false">IF(OR($A226="",$B226="Denied",$B226="Cancelled"),0,N($AD226))</f>
        <v>0</v>
      </c>
      <c r="AY226" s="25" t="n">
        <f aca="false">IF($A226="",0,N($AJ226))</f>
        <v>0</v>
      </c>
      <c r="AZ226" s="25" t="n">
        <f aca="false">IF(OR($A226="",$B226="Denied",$B226="Cancelled",$B226="Closed"),0,IF(N($AJ226)&gt;0,0,N($AD226)))</f>
        <v>0</v>
      </c>
      <c r="BA226" s="26" t="n">
        <f aca="false">IF($A226="",0,IF($B226="Awaiting Approval",COUNTIF(BA$1:BA225,"&gt;0")+1,0))</f>
        <v>0</v>
      </c>
      <c r="BB226" s="26" t="n">
        <f aca="false">IF($A226="",0,IF(AND($B226="Approved",$AP226&lt;&gt;"Y"),COUNTIF(BB$1:BB225,"&gt;0")+1,0))</f>
        <v>0</v>
      </c>
      <c r="BC226" s="26" t="n">
        <f aca="false">IF($A226="",0,IF(AND($B226="Approved",N($U226)&gt;0,$AQ226&lt;&gt;"Y"),COUNTIF(BC$1:BC225,"&gt;0")+1,0))</f>
        <v>0</v>
      </c>
      <c r="BD226" s="26" t="n">
        <f aca="true">IF($A226="",0,IF(AND($AR226&lt;&gt;"",N($AR226)&lt;TODAY(),$AS226="",$B226&lt;&gt;"Closed",$B226&lt;&gt;"Cancelled",$B226&lt;&gt;"Denied"),COUNTIF(BD$1:BD225,"&gt;0")+1,0))</f>
        <v>0</v>
      </c>
      <c r="BE226" s="26" t="n">
        <f aca="true">IF($A226="",0,IF(AND($AT226&lt;&gt;"",N($AT226)&lt;=TODAY()+7,$AU226="",$B226&lt;&gt;"Denied",$B226&lt;&gt;"Cancelled",$B226&lt;&gt;"Closed"),COUNTIF(BE$1:BE225,"&gt;0")+1,0))</f>
        <v>0</v>
      </c>
      <c r="BF226" s="22"/>
      <c r="BG226" s="22"/>
      <c r="BH226" s="22"/>
      <c r="BI226" s="22"/>
    </row>
    <row r="227" customFormat="false" ht="15" hidden="false" customHeight="false" outlineLevel="0" collapsed="false">
      <c r="A227" s="27"/>
      <c r="B227" s="27"/>
      <c r="C227" s="27"/>
      <c r="D227" s="27"/>
      <c r="E227" s="27"/>
      <c r="F227" s="27"/>
      <c r="G227" s="27"/>
      <c r="H227" s="27"/>
      <c r="I227" s="27"/>
      <c r="J227" s="27"/>
      <c r="K227" s="27"/>
      <c r="L227" s="27"/>
      <c r="M227" s="27"/>
      <c r="N227" s="28"/>
      <c r="O227" s="28"/>
      <c r="P227" s="28"/>
      <c r="Q227" s="29"/>
      <c r="R227" s="28"/>
      <c r="S227" s="29"/>
      <c r="T227" s="30"/>
      <c r="U227" s="31"/>
      <c r="V227" s="30"/>
      <c r="W227" s="30" t="str">
        <f aca="false">IF($A227="","",N($U227)*N($V227))</f>
        <v/>
      </c>
      <c r="X227" s="27"/>
      <c r="Y227" s="31"/>
      <c r="Z227" s="30"/>
      <c r="AA227" s="30" t="str">
        <f aca="false">IF($A227="","",IF($X227="POV",N($Y227)*MileageRate,0)+N($Z227))</f>
        <v/>
      </c>
      <c r="AB227" s="30" t="str">
        <f aca="false">IF(OR($A227="",$P227="",$R227="",$Q227="",$S227=""),"",IF($R227=$P227,($Q227&lt;=T_DepBfast)*($S227&gt;=T_RetBfast)*PD_Bfast+($Q227&lt;=T_DepLunch)*($S227&gt;=T_RetLunch)*PD_Lunch+($Q227&lt;=T_DepDinner)*($S227&gt;=T_RetDinner)*PD_Dinner+PD_Incid,($Q227&lt;=T_DepBfast)*PD_Bfast+($Q227&lt;=T_DepLunch)*PD_Lunch+($Q227&lt;=T_DepDinner)*PD_Dinner+($S227&gt;=T_RetBfast)*PD_Bfast+($S227&gt;=T_RetLunch)*PD_Lunch+($S227&gt;=T_RetDinner)*PD_Dinner+MAX($R227-$P227-1,0)*(PD_Bfast+PD_Lunch+PD_Dinner)+($R227-$P227+1)*PD_Incid))</f>
        <v/>
      </c>
      <c r="AC227" s="30"/>
      <c r="AD227" s="30" t="str">
        <f aca="false">IF($A227="","",N($T227)+N($W227)+N($AA227)+N($AB227)+N($AC227))</f>
        <v/>
      </c>
      <c r="AE227" s="30"/>
      <c r="AF227" s="30"/>
      <c r="AG227" s="30"/>
      <c r="AH227" s="30"/>
      <c r="AI227" s="30"/>
      <c r="AJ227" s="30" t="str">
        <f aca="false">IF($A227="","",IF(COUNT($AE227:$AI227)=0,"",SUM($AE227:$AI227)))</f>
        <v/>
      </c>
      <c r="AK227" s="30"/>
      <c r="AL227" s="30"/>
      <c r="AM227" s="30" t="str">
        <f aca="false">IF(OR($A227="",$AJ227=""),"",$AJ227-N($AK227)-N($AL227))</f>
        <v/>
      </c>
      <c r="AN227" s="28"/>
      <c r="AO227" s="28"/>
      <c r="AP227" s="27"/>
      <c r="AQ227" s="27"/>
      <c r="AR227" s="28" t="str">
        <f aca="false">IF(OR($A227="",$R227=""),"",$R227+ReceiptDays)</f>
        <v/>
      </c>
      <c r="AS227" s="28"/>
      <c r="AT227" s="28" t="str">
        <f aca="false">IF(OR($A227="",$P227=""),"",($P227-FinanceLeadDays)-MOD(($P227-FinanceLeadDays)-DATE(2024,1,2),7))</f>
        <v/>
      </c>
      <c r="AU227" s="28"/>
      <c r="AV227" s="27"/>
      <c r="AW227" s="27"/>
      <c r="AX227" s="30" t="n">
        <f aca="false">IF(OR($A227="",$B227="Denied",$B227="Cancelled"),0,N($AD227))</f>
        <v>0</v>
      </c>
      <c r="AY227" s="30" t="n">
        <f aca="false">IF($A227="",0,N($AJ227))</f>
        <v>0</v>
      </c>
      <c r="AZ227" s="30" t="n">
        <f aca="false">IF(OR($A227="",$B227="Denied",$B227="Cancelled",$B227="Closed"),0,IF(N($AJ227)&gt;0,0,N($AD227)))</f>
        <v>0</v>
      </c>
      <c r="BA227" s="31" t="n">
        <f aca="false">IF($A227="",0,IF($B227="Awaiting Approval",COUNTIF(BA$1:BA226,"&gt;0")+1,0))</f>
        <v>0</v>
      </c>
      <c r="BB227" s="31" t="n">
        <f aca="false">IF($A227="",0,IF(AND($B227="Approved",$AP227&lt;&gt;"Y"),COUNTIF(BB$1:BB226,"&gt;0")+1,0))</f>
        <v>0</v>
      </c>
      <c r="BC227" s="31" t="n">
        <f aca="false">IF($A227="",0,IF(AND($B227="Approved",N($U227)&gt;0,$AQ227&lt;&gt;"Y"),COUNTIF(BC$1:BC226,"&gt;0")+1,0))</f>
        <v>0</v>
      </c>
      <c r="BD227" s="31" t="n">
        <f aca="true">IF($A227="",0,IF(AND($AR227&lt;&gt;"",N($AR227)&lt;TODAY(),$AS227="",$B227&lt;&gt;"Closed",$B227&lt;&gt;"Cancelled",$B227&lt;&gt;"Denied"),COUNTIF(BD$1:BD226,"&gt;0")+1,0))</f>
        <v>0</v>
      </c>
      <c r="BE227" s="31" t="n">
        <f aca="true">IF($A227="",0,IF(AND($AT227&lt;&gt;"",N($AT227)&lt;=TODAY()+7,$AU227="",$B227&lt;&gt;"Denied",$B227&lt;&gt;"Cancelled",$B227&lt;&gt;"Closed"),COUNTIF(BE$1:BE226,"&gt;0")+1,0))</f>
        <v>0</v>
      </c>
      <c r="BF227" s="27"/>
      <c r="BG227" s="27"/>
      <c r="BH227" s="27"/>
      <c r="BI227" s="27"/>
    </row>
    <row r="228" customFormat="false" ht="15" hidden="false" customHeight="false" outlineLevel="0" collapsed="false">
      <c r="A228" s="22"/>
      <c r="B228" s="22"/>
      <c r="C228" s="22"/>
      <c r="D228" s="22"/>
      <c r="E228" s="22"/>
      <c r="F228" s="22"/>
      <c r="G228" s="22"/>
      <c r="H228" s="22"/>
      <c r="I228" s="22"/>
      <c r="J228" s="22"/>
      <c r="K228" s="22"/>
      <c r="L228" s="22"/>
      <c r="M228" s="22"/>
      <c r="N228" s="23"/>
      <c r="O228" s="23"/>
      <c r="P228" s="23"/>
      <c r="Q228" s="24"/>
      <c r="R228" s="23"/>
      <c r="S228" s="24"/>
      <c r="T228" s="25"/>
      <c r="U228" s="26"/>
      <c r="V228" s="25"/>
      <c r="W228" s="25" t="str">
        <f aca="false">IF($A228="","",N($U228)*N($V228))</f>
        <v/>
      </c>
      <c r="X228" s="22"/>
      <c r="Y228" s="26"/>
      <c r="Z228" s="25"/>
      <c r="AA228" s="25" t="str">
        <f aca="false">IF($A228="","",IF($X228="POV",N($Y228)*MileageRate,0)+N($Z228))</f>
        <v/>
      </c>
      <c r="AB228" s="25" t="str">
        <f aca="false">IF(OR($A228="",$P228="",$R228="",$Q228="",$S228=""),"",IF($R228=$P228,($Q228&lt;=T_DepBfast)*($S228&gt;=T_RetBfast)*PD_Bfast+($Q228&lt;=T_DepLunch)*($S228&gt;=T_RetLunch)*PD_Lunch+($Q228&lt;=T_DepDinner)*($S228&gt;=T_RetDinner)*PD_Dinner+PD_Incid,($Q228&lt;=T_DepBfast)*PD_Bfast+($Q228&lt;=T_DepLunch)*PD_Lunch+($Q228&lt;=T_DepDinner)*PD_Dinner+($S228&gt;=T_RetBfast)*PD_Bfast+($S228&gt;=T_RetLunch)*PD_Lunch+($S228&gt;=T_RetDinner)*PD_Dinner+MAX($R228-$P228-1,0)*(PD_Bfast+PD_Lunch+PD_Dinner)+($R228-$P228+1)*PD_Incid))</f>
        <v/>
      </c>
      <c r="AC228" s="25"/>
      <c r="AD228" s="25" t="str">
        <f aca="false">IF($A228="","",N($T228)+N($W228)+N($AA228)+N($AB228)+N($AC228))</f>
        <v/>
      </c>
      <c r="AE228" s="25"/>
      <c r="AF228" s="25"/>
      <c r="AG228" s="25"/>
      <c r="AH228" s="25"/>
      <c r="AI228" s="25"/>
      <c r="AJ228" s="25" t="str">
        <f aca="false">IF($A228="","",IF(COUNT($AE228:$AI228)=0,"",SUM($AE228:$AI228)))</f>
        <v/>
      </c>
      <c r="AK228" s="25"/>
      <c r="AL228" s="25"/>
      <c r="AM228" s="25" t="str">
        <f aca="false">IF(OR($A228="",$AJ228=""),"",$AJ228-N($AK228)-N($AL228))</f>
        <v/>
      </c>
      <c r="AN228" s="23"/>
      <c r="AO228" s="23"/>
      <c r="AP228" s="22"/>
      <c r="AQ228" s="22"/>
      <c r="AR228" s="23" t="str">
        <f aca="false">IF(OR($A228="",$R228=""),"",$R228+ReceiptDays)</f>
        <v/>
      </c>
      <c r="AS228" s="23"/>
      <c r="AT228" s="23" t="str">
        <f aca="false">IF(OR($A228="",$P228=""),"",($P228-FinanceLeadDays)-MOD(($P228-FinanceLeadDays)-DATE(2024,1,2),7))</f>
        <v/>
      </c>
      <c r="AU228" s="23"/>
      <c r="AV228" s="22"/>
      <c r="AW228" s="22"/>
      <c r="AX228" s="25" t="n">
        <f aca="false">IF(OR($A228="",$B228="Denied",$B228="Cancelled"),0,N($AD228))</f>
        <v>0</v>
      </c>
      <c r="AY228" s="25" t="n">
        <f aca="false">IF($A228="",0,N($AJ228))</f>
        <v>0</v>
      </c>
      <c r="AZ228" s="25" t="n">
        <f aca="false">IF(OR($A228="",$B228="Denied",$B228="Cancelled",$B228="Closed"),0,IF(N($AJ228)&gt;0,0,N($AD228)))</f>
        <v>0</v>
      </c>
      <c r="BA228" s="26" t="n">
        <f aca="false">IF($A228="",0,IF($B228="Awaiting Approval",COUNTIF(BA$1:BA227,"&gt;0")+1,0))</f>
        <v>0</v>
      </c>
      <c r="BB228" s="26" t="n">
        <f aca="false">IF($A228="",0,IF(AND($B228="Approved",$AP228&lt;&gt;"Y"),COUNTIF(BB$1:BB227,"&gt;0")+1,0))</f>
        <v>0</v>
      </c>
      <c r="BC228" s="26" t="n">
        <f aca="false">IF($A228="",0,IF(AND($B228="Approved",N($U228)&gt;0,$AQ228&lt;&gt;"Y"),COUNTIF(BC$1:BC227,"&gt;0")+1,0))</f>
        <v>0</v>
      </c>
      <c r="BD228" s="26" t="n">
        <f aca="true">IF($A228="",0,IF(AND($AR228&lt;&gt;"",N($AR228)&lt;TODAY(),$AS228="",$B228&lt;&gt;"Closed",$B228&lt;&gt;"Cancelled",$B228&lt;&gt;"Denied"),COUNTIF(BD$1:BD227,"&gt;0")+1,0))</f>
        <v>0</v>
      </c>
      <c r="BE228" s="26" t="n">
        <f aca="true">IF($A228="",0,IF(AND($AT228&lt;&gt;"",N($AT228)&lt;=TODAY()+7,$AU228="",$B228&lt;&gt;"Denied",$B228&lt;&gt;"Cancelled",$B228&lt;&gt;"Closed"),COUNTIF(BE$1:BE227,"&gt;0")+1,0))</f>
        <v>0</v>
      </c>
      <c r="BF228" s="22"/>
      <c r="BG228" s="22"/>
      <c r="BH228" s="22"/>
      <c r="BI228" s="22"/>
    </row>
    <row r="229" customFormat="false" ht="15" hidden="false" customHeight="false" outlineLevel="0" collapsed="false">
      <c r="A229" s="27"/>
      <c r="B229" s="27"/>
      <c r="C229" s="27"/>
      <c r="D229" s="27"/>
      <c r="E229" s="27"/>
      <c r="F229" s="27"/>
      <c r="G229" s="27"/>
      <c r="H229" s="27"/>
      <c r="I229" s="27"/>
      <c r="J229" s="27"/>
      <c r="K229" s="27"/>
      <c r="L229" s="27"/>
      <c r="M229" s="27"/>
      <c r="N229" s="28"/>
      <c r="O229" s="28"/>
      <c r="P229" s="28"/>
      <c r="Q229" s="29"/>
      <c r="R229" s="28"/>
      <c r="S229" s="29"/>
      <c r="T229" s="30"/>
      <c r="U229" s="31"/>
      <c r="V229" s="30"/>
      <c r="W229" s="30" t="str">
        <f aca="false">IF($A229="","",N($U229)*N($V229))</f>
        <v/>
      </c>
      <c r="X229" s="27"/>
      <c r="Y229" s="31"/>
      <c r="Z229" s="30"/>
      <c r="AA229" s="30" t="str">
        <f aca="false">IF($A229="","",IF($X229="POV",N($Y229)*MileageRate,0)+N($Z229))</f>
        <v/>
      </c>
      <c r="AB229" s="30" t="str">
        <f aca="false">IF(OR($A229="",$P229="",$R229="",$Q229="",$S229=""),"",IF($R229=$P229,($Q229&lt;=T_DepBfast)*($S229&gt;=T_RetBfast)*PD_Bfast+($Q229&lt;=T_DepLunch)*($S229&gt;=T_RetLunch)*PD_Lunch+($Q229&lt;=T_DepDinner)*($S229&gt;=T_RetDinner)*PD_Dinner+PD_Incid,($Q229&lt;=T_DepBfast)*PD_Bfast+($Q229&lt;=T_DepLunch)*PD_Lunch+($Q229&lt;=T_DepDinner)*PD_Dinner+($S229&gt;=T_RetBfast)*PD_Bfast+($S229&gt;=T_RetLunch)*PD_Lunch+($S229&gt;=T_RetDinner)*PD_Dinner+MAX($R229-$P229-1,0)*(PD_Bfast+PD_Lunch+PD_Dinner)+($R229-$P229+1)*PD_Incid))</f>
        <v/>
      </c>
      <c r="AC229" s="30"/>
      <c r="AD229" s="30" t="str">
        <f aca="false">IF($A229="","",N($T229)+N($W229)+N($AA229)+N($AB229)+N($AC229))</f>
        <v/>
      </c>
      <c r="AE229" s="30"/>
      <c r="AF229" s="30"/>
      <c r="AG229" s="30"/>
      <c r="AH229" s="30"/>
      <c r="AI229" s="30"/>
      <c r="AJ229" s="30" t="str">
        <f aca="false">IF($A229="","",IF(COUNT($AE229:$AI229)=0,"",SUM($AE229:$AI229)))</f>
        <v/>
      </c>
      <c r="AK229" s="30"/>
      <c r="AL229" s="30"/>
      <c r="AM229" s="30" t="str">
        <f aca="false">IF(OR($A229="",$AJ229=""),"",$AJ229-N($AK229)-N($AL229))</f>
        <v/>
      </c>
      <c r="AN229" s="28"/>
      <c r="AO229" s="28"/>
      <c r="AP229" s="27"/>
      <c r="AQ229" s="27"/>
      <c r="AR229" s="28" t="str">
        <f aca="false">IF(OR($A229="",$R229=""),"",$R229+ReceiptDays)</f>
        <v/>
      </c>
      <c r="AS229" s="28"/>
      <c r="AT229" s="28" t="str">
        <f aca="false">IF(OR($A229="",$P229=""),"",($P229-FinanceLeadDays)-MOD(($P229-FinanceLeadDays)-DATE(2024,1,2),7))</f>
        <v/>
      </c>
      <c r="AU229" s="28"/>
      <c r="AV229" s="27"/>
      <c r="AW229" s="27"/>
      <c r="AX229" s="30" t="n">
        <f aca="false">IF(OR($A229="",$B229="Denied",$B229="Cancelled"),0,N($AD229))</f>
        <v>0</v>
      </c>
      <c r="AY229" s="30" t="n">
        <f aca="false">IF($A229="",0,N($AJ229))</f>
        <v>0</v>
      </c>
      <c r="AZ229" s="30" t="n">
        <f aca="false">IF(OR($A229="",$B229="Denied",$B229="Cancelled",$B229="Closed"),0,IF(N($AJ229)&gt;0,0,N($AD229)))</f>
        <v>0</v>
      </c>
      <c r="BA229" s="31" t="n">
        <f aca="false">IF($A229="",0,IF($B229="Awaiting Approval",COUNTIF(BA$1:BA228,"&gt;0")+1,0))</f>
        <v>0</v>
      </c>
      <c r="BB229" s="31" t="n">
        <f aca="false">IF($A229="",0,IF(AND($B229="Approved",$AP229&lt;&gt;"Y"),COUNTIF(BB$1:BB228,"&gt;0")+1,0))</f>
        <v>0</v>
      </c>
      <c r="BC229" s="31" t="n">
        <f aca="false">IF($A229="",0,IF(AND($B229="Approved",N($U229)&gt;0,$AQ229&lt;&gt;"Y"),COUNTIF(BC$1:BC228,"&gt;0")+1,0))</f>
        <v>0</v>
      </c>
      <c r="BD229" s="31" t="n">
        <f aca="true">IF($A229="",0,IF(AND($AR229&lt;&gt;"",N($AR229)&lt;TODAY(),$AS229="",$B229&lt;&gt;"Closed",$B229&lt;&gt;"Cancelled",$B229&lt;&gt;"Denied"),COUNTIF(BD$1:BD228,"&gt;0")+1,0))</f>
        <v>0</v>
      </c>
      <c r="BE229" s="31" t="n">
        <f aca="true">IF($A229="",0,IF(AND($AT229&lt;&gt;"",N($AT229)&lt;=TODAY()+7,$AU229="",$B229&lt;&gt;"Denied",$B229&lt;&gt;"Cancelled",$B229&lt;&gt;"Closed"),COUNTIF(BE$1:BE228,"&gt;0")+1,0))</f>
        <v>0</v>
      </c>
      <c r="BF229" s="27"/>
      <c r="BG229" s="27"/>
      <c r="BH229" s="27"/>
      <c r="BI229" s="27"/>
    </row>
    <row r="230" customFormat="false" ht="15" hidden="false" customHeight="false" outlineLevel="0" collapsed="false">
      <c r="A230" s="22"/>
      <c r="B230" s="22"/>
      <c r="C230" s="22"/>
      <c r="D230" s="22"/>
      <c r="E230" s="22"/>
      <c r="F230" s="22"/>
      <c r="G230" s="22"/>
      <c r="H230" s="22"/>
      <c r="I230" s="22"/>
      <c r="J230" s="22"/>
      <c r="K230" s="22"/>
      <c r="L230" s="22"/>
      <c r="M230" s="22"/>
      <c r="N230" s="23"/>
      <c r="O230" s="23"/>
      <c r="P230" s="23"/>
      <c r="Q230" s="24"/>
      <c r="R230" s="23"/>
      <c r="S230" s="24"/>
      <c r="T230" s="25"/>
      <c r="U230" s="26"/>
      <c r="V230" s="25"/>
      <c r="W230" s="25" t="str">
        <f aca="false">IF($A230="","",N($U230)*N($V230))</f>
        <v/>
      </c>
      <c r="X230" s="22"/>
      <c r="Y230" s="26"/>
      <c r="Z230" s="25"/>
      <c r="AA230" s="25" t="str">
        <f aca="false">IF($A230="","",IF($X230="POV",N($Y230)*MileageRate,0)+N($Z230))</f>
        <v/>
      </c>
      <c r="AB230" s="25" t="str">
        <f aca="false">IF(OR($A230="",$P230="",$R230="",$Q230="",$S230=""),"",IF($R230=$P230,($Q230&lt;=T_DepBfast)*($S230&gt;=T_RetBfast)*PD_Bfast+($Q230&lt;=T_DepLunch)*($S230&gt;=T_RetLunch)*PD_Lunch+($Q230&lt;=T_DepDinner)*($S230&gt;=T_RetDinner)*PD_Dinner+PD_Incid,($Q230&lt;=T_DepBfast)*PD_Bfast+($Q230&lt;=T_DepLunch)*PD_Lunch+($Q230&lt;=T_DepDinner)*PD_Dinner+($S230&gt;=T_RetBfast)*PD_Bfast+($S230&gt;=T_RetLunch)*PD_Lunch+($S230&gt;=T_RetDinner)*PD_Dinner+MAX($R230-$P230-1,0)*(PD_Bfast+PD_Lunch+PD_Dinner)+($R230-$P230+1)*PD_Incid))</f>
        <v/>
      </c>
      <c r="AC230" s="25"/>
      <c r="AD230" s="25" t="str">
        <f aca="false">IF($A230="","",N($T230)+N($W230)+N($AA230)+N($AB230)+N($AC230))</f>
        <v/>
      </c>
      <c r="AE230" s="25"/>
      <c r="AF230" s="25"/>
      <c r="AG230" s="25"/>
      <c r="AH230" s="25"/>
      <c r="AI230" s="25"/>
      <c r="AJ230" s="25" t="str">
        <f aca="false">IF($A230="","",IF(COUNT($AE230:$AI230)=0,"",SUM($AE230:$AI230)))</f>
        <v/>
      </c>
      <c r="AK230" s="25"/>
      <c r="AL230" s="25"/>
      <c r="AM230" s="25" t="str">
        <f aca="false">IF(OR($A230="",$AJ230=""),"",$AJ230-N($AK230)-N($AL230))</f>
        <v/>
      </c>
      <c r="AN230" s="23"/>
      <c r="AO230" s="23"/>
      <c r="AP230" s="22"/>
      <c r="AQ230" s="22"/>
      <c r="AR230" s="23" t="str">
        <f aca="false">IF(OR($A230="",$R230=""),"",$R230+ReceiptDays)</f>
        <v/>
      </c>
      <c r="AS230" s="23"/>
      <c r="AT230" s="23" t="str">
        <f aca="false">IF(OR($A230="",$P230=""),"",($P230-FinanceLeadDays)-MOD(($P230-FinanceLeadDays)-DATE(2024,1,2),7))</f>
        <v/>
      </c>
      <c r="AU230" s="23"/>
      <c r="AV230" s="22"/>
      <c r="AW230" s="22"/>
      <c r="AX230" s="25" t="n">
        <f aca="false">IF(OR($A230="",$B230="Denied",$B230="Cancelled"),0,N($AD230))</f>
        <v>0</v>
      </c>
      <c r="AY230" s="25" t="n">
        <f aca="false">IF($A230="",0,N($AJ230))</f>
        <v>0</v>
      </c>
      <c r="AZ230" s="25" t="n">
        <f aca="false">IF(OR($A230="",$B230="Denied",$B230="Cancelled",$B230="Closed"),0,IF(N($AJ230)&gt;0,0,N($AD230)))</f>
        <v>0</v>
      </c>
      <c r="BA230" s="26" t="n">
        <f aca="false">IF($A230="",0,IF($B230="Awaiting Approval",COUNTIF(BA$1:BA229,"&gt;0")+1,0))</f>
        <v>0</v>
      </c>
      <c r="BB230" s="26" t="n">
        <f aca="false">IF($A230="",0,IF(AND($B230="Approved",$AP230&lt;&gt;"Y"),COUNTIF(BB$1:BB229,"&gt;0")+1,0))</f>
        <v>0</v>
      </c>
      <c r="BC230" s="26" t="n">
        <f aca="false">IF($A230="",0,IF(AND($B230="Approved",N($U230)&gt;0,$AQ230&lt;&gt;"Y"),COUNTIF(BC$1:BC229,"&gt;0")+1,0))</f>
        <v>0</v>
      </c>
      <c r="BD230" s="26" t="n">
        <f aca="true">IF($A230="",0,IF(AND($AR230&lt;&gt;"",N($AR230)&lt;TODAY(),$AS230="",$B230&lt;&gt;"Closed",$B230&lt;&gt;"Cancelled",$B230&lt;&gt;"Denied"),COUNTIF(BD$1:BD229,"&gt;0")+1,0))</f>
        <v>0</v>
      </c>
      <c r="BE230" s="26" t="n">
        <f aca="true">IF($A230="",0,IF(AND($AT230&lt;&gt;"",N($AT230)&lt;=TODAY()+7,$AU230="",$B230&lt;&gt;"Denied",$B230&lt;&gt;"Cancelled",$B230&lt;&gt;"Closed"),COUNTIF(BE$1:BE229,"&gt;0")+1,0))</f>
        <v>0</v>
      </c>
      <c r="BF230" s="22"/>
      <c r="BG230" s="22"/>
      <c r="BH230" s="22"/>
      <c r="BI230" s="22"/>
    </row>
    <row r="231" customFormat="false" ht="15" hidden="false" customHeight="false" outlineLevel="0" collapsed="false">
      <c r="A231" s="27"/>
      <c r="B231" s="27"/>
      <c r="C231" s="27"/>
      <c r="D231" s="27"/>
      <c r="E231" s="27"/>
      <c r="F231" s="27"/>
      <c r="G231" s="27"/>
      <c r="H231" s="27"/>
      <c r="I231" s="27"/>
      <c r="J231" s="27"/>
      <c r="K231" s="27"/>
      <c r="L231" s="27"/>
      <c r="M231" s="27"/>
      <c r="N231" s="28"/>
      <c r="O231" s="28"/>
      <c r="P231" s="28"/>
      <c r="Q231" s="29"/>
      <c r="R231" s="28"/>
      <c r="S231" s="29"/>
      <c r="T231" s="30"/>
      <c r="U231" s="31"/>
      <c r="V231" s="30"/>
      <c r="W231" s="30" t="str">
        <f aca="false">IF($A231="","",N($U231)*N($V231))</f>
        <v/>
      </c>
      <c r="X231" s="27"/>
      <c r="Y231" s="31"/>
      <c r="Z231" s="30"/>
      <c r="AA231" s="30" t="str">
        <f aca="false">IF($A231="","",IF($X231="POV",N($Y231)*MileageRate,0)+N($Z231))</f>
        <v/>
      </c>
      <c r="AB231" s="30" t="str">
        <f aca="false">IF(OR($A231="",$P231="",$R231="",$Q231="",$S231=""),"",IF($R231=$P231,($Q231&lt;=T_DepBfast)*($S231&gt;=T_RetBfast)*PD_Bfast+($Q231&lt;=T_DepLunch)*($S231&gt;=T_RetLunch)*PD_Lunch+($Q231&lt;=T_DepDinner)*($S231&gt;=T_RetDinner)*PD_Dinner+PD_Incid,($Q231&lt;=T_DepBfast)*PD_Bfast+($Q231&lt;=T_DepLunch)*PD_Lunch+($Q231&lt;=T_DepDinner)*PD_Dinner+($S231&gt;=T_RetBfast)*PD_Bfast+($S231&gt;=T_RetLunch)*PD_Lunch+($S231&gt;=T_RetDinner)*PD_Dinner+MAX($R231-$P231-1,0)*(PD_Bfast+PD_Lunch+PD_Dinner)+($R231-$P231+1)*PD_Incid))</f>
        <v/>
      </c>
      <c r="AC231" s="30"/>
      <c r="AD231" s="30" t="str">
        <f aca="false">IF($A231="","",N($T231)+N($W231)+N($AA231)+N($AB231)+N($AC231))</f>
        <v/>
      </c>
      <c r="AE231" s="30"/>
      <c r="AF231" s="30"/>
      <c r="AG231" s="30"/>
      <c r="AH231" s="30"/>
      <c r="AI231" s="30"/>
      <c r="AJ231" s="30" t="str">
        <f aca="false">IF($A231="","",IF(COUNT($AE231:$AI231)=0,"",SUM($AE231:$AI231)))</f>
        <v/>
      </c>
      <c r="AK231" s="30"/>
      <c r="AL231" s="30"/>
      <c r="AM231" s="30" t="str">
        <f aca="false">IF(OR($A231="",$AJ231=""),"",$AJ231-N($AK231)-N($AL231))</f>
        <v/>
      </c>
      <c r="AN231" s="28"/>
      <c r="AO231" s="28"/>
      <c r="AP231" s="27"/>
      <c r="AQ231" s="27"/>
      <c r="AR231" s="28" t="str">
        <f aca="false">IF(OR($A231="",$R231=""),"",$R231+ReceiptDays)</f>
        <v/>
      </c>
      <c r="AS231" s="28"/>
      <c r="AT231" s="28" t="str">
        <f aca="false">IF(OR($A231="",$P231=""),"",($P231-FinanceLeadDays)-MOD(($P231-FinanceLeadDays)-DATE(2024,1,2),7))</f>
        <v/>
      </c>
      <c r="AU231" s="28"/>
      <c r="AV231" s="27"/>
      <c r="AW231" s="27"/>
      <c r="AX231" s="30" t="n">
        <f aca="false">IF(OR($A231="",$B231="Denied",$B231="Cancelled"),0,N($AD231))</f>
        <v>0</v>
      </c>
      <c r="AY231" s="30" t="n">
        <f aca="false">IF($A231="",0,N($AJ231))</f>
        <v>0</v>
      </c>
      <c r="AZ231" s="30" t="n">
        <f aca="false">IF(OR($A231="",$B231="Denied",$B231="Cancelled",$B231="Closed"),0,IF(N($AJ231)&gt;0,0,N($AD231)))</f>
        <v>0</v>
      </c>
      <c r="BA231" s="31" t="n">
        <f aca="false">IF($A231="",0,IF($B231="Awaiting Approval",COUNTIF(BA$1:BA230,"&gt;0")+1,0))</f>
        <v>0</v>
      </c>
      <c r="BB231" s="31" t="n">
        <f aca="false">IF($A231="",0,IF(AND($B231="Approved",$AP231&lt;&gt;"Y"),COUNTIF(BB$1:BB230,"&gt;0")+1,0))</f>
        <v>0</v>
      </c>
      <c r="BC231" s="31" t="n">
        <f aca="false">IF($A231="",0,IF(AND($B231="Approved",N($U231)&gt;0,$AQ231&lt;&gt;"Y"),COUNTIF(BC$1:BC230,"&gt;0")+1,0))</f>
        <v>0</v>
      </c>
      <c r="BD231" s="31" t="n">
        <f aca="true">IF($A231="",0,IF(AND($AR231&lt;&gt;"",N($AR231)&lt;TODAY(),$AS231="",$B231&lt;&gt;"Closed",$B231&lt;&gt;"Cancelled",$B231&lt;&gt;"Denied"),COUNTIF(BD$1:BD230,"&gt;0")+1,0))</f>
        <v>0</v>
      </c>
      <c r="BE231" s="31" t="n">
        <f aca="true">IF($A231="",0,IF(AND($AT231&lt;&gt;"",N($AT231)&lt;=TODAY()+7,$AU231="",$B231&lt;&gt;"Denied",$B231&lt;&gt;"Cancelled",$B231&lt;&gt;"Closed"),COUNTIF(BE$1:BE230,"&gt;0")+1,0))</f>
        <v>0</v>
      </c>
      <c r="BF231" s="27"/>
      <c r="BG231" s="27"/>
      <c r="BH231" s="27"/>
      <c r="BI231" s="27"/>
    </row>
    <row r="232" customFormat="false" ht="15" hidden="false" customHeight="false" outlineLevel="0" collapsed="false">
      <c r="A232" s="22"/>
      <c r="B232" s="22"/>
      <c r="C232" s="22"/>
      <c r="D232" s="22"/>
      <c r="E232" s="22"/>
      <c r="F232" s="22"/>
      <c r="G232" s="22"/>
      <c r="H232" s="22"/>
      <c r="I232" s="22"/>
      <c r="J232" s="22"/>
      <c r="K232" s="22"/>
      <c r="L232" s="22"/>
      <c r="M232" s="22"/>
      <c r="N232" s="23"/>
      <c r="O232" s="23"/>
      <c r="P232" s="23"/>
      <c r="Q232" s="24"/>
      <c r="R232" s="23"/>
      <c r="S232" s="24"/>
      <c r="T232" s="25"/>
      <c r="U232" s="26"/>
      <c r="V232" s="25"/>
      <c r="W232" s="25" t="str">
        <f aca="false">IF($A232="","",N($U232)*N($V232))</f>
        <v/>
      </c>
      <c r="X232" s="22"/>
      <c r="Y232" s="26"/>
      <c r="Z232" s="25"/>
      <c r="AA232" s="25" t="str">
        <f aca="false">IF($A232="","",IF($X232="POV",N($Y232)*MileageRate,0)+N($Z232))</f>
        <v/>
      </c>
      <c r="AB232" s="25" t="str">
        <f aca="false">IF(OR($A232="",$P232="",$R232="",$Q232="",$S232=""),"",IF($R232=$P232,($Q232&lt;=T_DepBfast)*($S232&gt;=T_RetBfast)*PD_Bfast+($Q232&lt;=T_DepLunch)*($S232&gt;=T_RetLunch)*PD_Lunch+($Q232&lt;=T_DepDinner)*($S232&gt;=T_RetDinner)*PD_Dinner+PD_Incid,($Q232&lt;=T_DepBfast)*PD_Bfast+($Q232&lt;=T_DepLunch)*PD_Lunch+($Q232&lt;=T_DepDinner)*PD_Dinner+($S232&gt;=T_RetBfast)*PD_Bfast+($S232&gt;=T_RetLunch)*PD_Lunch+($S232&gt;=T_RetDinner)*PD_Dinner+MAX($R232-$P232-1,0)*(PD_Bfast+PD_Lunch+PD_Dinner)+($R232-$P232+1)*PD_Incid))</f>
        <v/>
      </c>
      <c r="AC232" s="25"/>
      <c r="AD232" s="25" t="str">
        <f aca="false">IF($A232="","",N($T232)+N($W232)+N($AA232)+N($AB232)+N($AC232))</f>
        <v/>
      </c>
      <c r="AE232" s="25"/>
      <c r="AF232" s="25"/>
      <c r="AG232" s="25"/>
      <c r="AH232" s="25"/>
      <c r="AI232" s="25"/>
      <c r="AJ232" s="25" t="str">
        <f aca="false">IF($A232="","",IF(COUNT($AE232:$AI232)=0,"",SUM($AE232:$AI232)))</f>
        <v/>
      </c>
      <c r="AK232" s="25"/>
      <c r="AL232" s="25"/>
      <c r="AM232" s="25" t="str">
        <f aca="false">IF(OR($A232="",$AJ232=""),"",$AJ232-N($AK232)-N($AL232))</f>
        <v/>
      </c>
      <c r="AN232" s="23"/>
      <c r="AO232" s="23"/>
      <c r="AP232" s="22"/>
      <c r="AQ232" s="22"/>
      <c r="AR232" s="23" t="str">
        <f aca="false">IF(OR($A232="",$R232=""),"",$R232+ReceiptDays)</f>
        <v/>
      </c>
      <c r="AS232" s="23"/>
      <c r="AT232" s="23" t="str">
        <f aca="false">IF(OR($A232="",$P232=""),"",($P232-FinanceLeadDays)-MOD(($P232-FinanceLeadDays)-DATE(2024,1,2),7))</f>
        <v/>
      </c>
      <c r="AU232" s="23"/>
      <c r="AV232" s="22"/>
      <c r="AW232" s="22"/>
      <c r="AX232" s="25" t="n">
        <f aca="false">IF(OR($A232="",$B232="Denied",$B232="Cancelled"),0,N($AD232))</f>
        <v>0</v>
      </c>
      <c r="AY232" s="25" t="n">
        <f aca="false">IF($A232="",0,N($AJ232))</f>
        <v>0</v>
      </c>
      <c r="AZ232" s="25" t="n">
        <f aca="false">IF(OR($A232="",$B232="Denied",$B232="Cancelled",$B232="Closed"),0,IF(N($AJ232)&gt;0,0,N($AD232)))</f>
        <v>0</v>
      </c>
      <c r="BA232" s="26" t="n">
        <f aca="false">IF($A232="",0,IF($B232="Awaiting Approval",COUNTIF(BA$1:BA231,"&gt;0")+1,0))</f>
        <v>0</v>
      </c>
      <c r="BB232" s="26" t="n">
        <f aca="false">IF($A232="",0,IF(AND($B232="Approved",$AP232&lt;&gt;"Y"),COUNTIF(BB$1:BB231,"&gt;0")+1,0))</f>
        <v>0</v>
      </c>
      <c r="BC232" s="26" t="n">
        <f aca="false">IF($A232="",0,IF(AND($B232="Approved",N($U232)&gt;0,$AQ232&lt;&gt;"Y"),COUNTIF(BC$1:BC231,"&gt;0")+1,0))</f>
        <v>0</v>
      </c>
      <c r="BD232" s="26" t="n">
        <f aca="true">IF($A232="",0,IF(AND($AR232&lt;&gt;"",N($AR232)&lt;TODAY(),$AS232="",$B232&lt;&gt;"Closed",$B232&lt;&gt;"Cancelled",$B232&lt;&gt;"Denied"),COUNTIF(BD$1:BD231,"&gt;0")+1,0))</f>
        <v>0</v>
      </c>
      <c r="BE232" s="26" t="n">
        <f aca="true">IF($A232="",0,IF(AND($AT232&lt;&gt;"",N($AT232)&lt;=TODAY()+7,$AU232="",$B232&lt;&gt;"Denied",$B232&lt;&gt;"Cancelled",$B232&lt;&gt;"Closed"),COUNTIF(BE$1:BE231,"&gt;0")+1,0))</f>
        <v>0</v>
      </c>
      <c r="BF232" s="22"/>
      <c r="BG232" s="22"/>
      <c r="BH232" s="22"/>
      <c r="BI232" s="22"/>
    </row>
    <row r="233" customFormat="false" ht="15" hidden="false" customHeight="false" outlineLevel="0" collapsed="false">
      <c r="A233" s="27"/>
      <c r="B233" s="27"/>
      <c r="C233" s="27"/>
      <c r="D233" s="27"/>
      <c r="E233" s="27"/>
      <c r="F233" s="27"/>
      <c r="G233" s="27"/>
      <c r="H233" s="27"/>
      <c r="I233" s="27"/>
      <c r="J233" s="27"/>
      <c r="K233" s="27"/>
      <c r="L233" s="27"/>
      <c r="M233" s="27"/>
      <c r="N233" s="28"/>
      <c r="O233" s="28"/>
      <c r="P233" s="28"/>
      <c r="Q233" s="29"/>
      <c r="R233" s="28"/>
      <c r="S233" s="29"/>
      <c r="T233" s="30"/>
      <c r="U233" s="31"/>
      <c r="V233" s="30"/>
      <c r="W233" s="30" t="str">
        <f aca="false">IF($A233="","",N($U233)*N($V233))</f>
        <v/>
      </c>
      <c r="X233" s="27"/>
      <c r="Y233" s="31"/>
      <c r="Z233" s="30"/>
      <c r="AA233" s="30" t="str">
        <f aca="false">IF($A233="","",IF($X233="POV",N($Y233)*MileageRate,0)+N($Z233))</f>
        <v/>
      </c>
      <c r="AB233" s="30" t="str">
        <f aca="false">IF(OR($A233="",$P233="",$R233="",$Q233="",$S233=""),"",IF($R233=$P233,($Q233&lt;=T_DepBfast)*($S233&gt;=T_RetBfast)*PD_Bfast+($Q233&lt;=T_DepLunch)*($S233&gt;=T_RetLunch)*PD_Lunch+($Q233&lt;=T_DepDinner)*($S233&gt;=T_RetDinner)*PD_Dinner+PD_Incid,($Q233&lt;=T_DepBfast)*PD_Bfast+($Q233&lt;=T_DepLunch)*PD_Lunch+($Q233&lt;=T_DepDinner)*PD_Dinner+($S233&gt;=T_RetBfast)*PD_Bfast+($S233&gt;=T_RetLunch)*PD_Lunch+($S233&gt;=T_RetDinner)*PD_Dinner+MAX($R233-$P233-1,0)*(PD_Bfast+PD_Lunch+PD_Dinner)+($R233-$P233+1)*PD_Incid))</f>
        <v/>
      </c>
      <c r="AC233" s="30"/>
      <c r="AD233" s="30" t="str">
        <f aca="false">IF($A233="","",N($T233)+N($W233)+N($AA233)+N($AB233)+N($AC233))</f>
        <v/>
      </c>
      <c r="AE233" s="30"/>
      <c r="AF233" s="30"/>
      <c r="AG233" s="30"/>
      <c r="AH233" s="30"/>
      <c r="AI233" s="30"/>
      <c r="AJ233" s="30" t="str">
        <f aca="false">IF($A233="","",IF(COUNT($AE233:$AI233)=0,"",SUM($AE233:$AI233)))</f>
        <v/>
      </c>
      <c r="AK233" s="30"/>
      <c r="AL233" s="30"/>
      <c r="AM233" s="30" t="str">
        <f aca="false">IF(OR($A233="",$AJ233=""),"",$AJ233-N($AK233)-N($AL233))</f>
        <v/>
      </c>
      <c r="AN233" s="28"/>
      <c r="AO233" s="28"/>
      <c r="AP233" s="27"/>
      <c r="AQ233" s="27"/>
      <c r="AR233" s="28" t="str">
        <f aca="false">IF(OR($A233="",$R233=""),"",$R233+ReceiptDays)</f>
        <v/>
      </c>
      <c r="AS233" s="28"/>
      <c r="AT233" s="28" t="str">
        <f aca="false">IF(OR($A233="",$P233=""),"",($P233-FinanceLeadDays)-MOD(($P233-FinanceLeadDays)-DATE(2024,1,2),7))</f>
        <v/>
      </c>
      <c r="AU233" s="28"/>
      <c r="AV233" s="27"/>
      <c r="AW233" s="27"/>
      <c r="AX233" s="30" t="n">
        <f aca="false">IF(OR($A233="",$B233="Denied",$B233="Cancelled"),0,N($AD233))</f>
        <v>0</v>
      </c>
      <c r="AY233" s="30" t="n">
        <f aca="false">IF($A233="",0,N($AJ233))</f>
        <v>0</v>
      </c>
      <c r="AZ233" s="30" t="n">
        <f aca="false">IF(OR($A233="",$B233="Denied",$B233="Cancelled",$B233="Closed"),0,IF(N($AJ233)&gt;0,0,N($AD233)))</f>
        <v>0</v>
      </c>
      <c r="BA233" s="31" t="n">
        <f aca="false">IF($A233="",0,IF($B233="Awaiting Approval",COUNTIF(BA$1:BA232,"&gt;0")+1,0))</f>
        <v>0</v>
      </c>
      <c r="BB233" s="31" t="n">
        <f aca="false">IF($A233="",0,IF(AND($B233="Approved",$AP233&lt;&gt;"Y"),COUNTIF(BB$1:BB232,"&gt;0")+1,0))</f>
        <v>0</v>
      </c>
      <c r="BC233" s="31" t="n">
        <f aca="false">IF($A233="",0,IF(AND($B233="Approved",N($U233)&gt;0,$AQ233&lt;&gt;"Y"),COUNTIF(BC$1:BC232,"&gt;0")+1,0))</f>
        <v>0</v>
      </c>
      <c r="BD233" s="31" t="n">
        <f aca="true">IF($A233="",0,IF(AND($AR233&lt;&gt;"",N($AR233)&lt;TODAY(),$AS233="",$B233&lt;&gt;"Closed",$B233&lt;&gt;"Cancelled",$B233&lt;&gt;"Denied"),COUNTIF(BD$1:BD232,"&gt;0")+1,0))</f>
        <v>0</v>
      </c>
      <c r="BE233" s="31" t="n">
        <f aca="true">IF($A233="",0,IF(AND($AT233&lt;&gt;"",N($AT233)&lt;=TODAY()+7,$AU233="",$B233&lt;&gt;"Denied",$B233&lt;&gt;"Cancelled",$B233&lt;&gt;"Closed"),COUNTIF(BE$1:BE232,"&gt;0")+1,0))</f>
        <v>0</v>
      </c>
      <c r="BF233" s="27"/>
      <c r="BG233" s="27"/>
      <c r="BH233" s="27"/>
      <c r="BI233" s="27"/>
    </row>
    <row r="234" customFormat="false" ht="15" hidden="false" customHeight="false" outlineLevel="0" collapsed="false">
      <c r="A234" s="22"/>
      <c r="B234" s="22"/>
      <c r="C234" s="22"/>
      <c r="D234" s="22"/>
      <c r="E234" s="22"/>
      <c r="F234" s="22"/>
      <c r="G234" s="22"/>
      <c r="H234" s="22"/>
      <c r="I234" s="22"/>
      <c r="J234" s="22"/>
      <c r="K234" s="22"/>
      <c r="L234" s="22"/>
      <c r="M234" s="22"/>
      <c r="N234" s="23"/>
      <c r="O234" s="23"/>
      <c r="P234" s="23"/>
      <c r="Q234" s="24"/>
      <c r="R234" s="23"/>
      <c r="S234" s="24"/>
      <c r="T234" s="25"/>
      <c r="U234" s="26"/>
      <c r="V234" s="25"/>
      <c r="W234" s="25" t="str">
        <f aca="false">IF($A234="","",N($U234)*N($V234))</f>
        <v/>
      </c>
      <c r="X234" s="22"/>
      <c r="Y234" s="26"/>
      <c r="Z234" s="25"/>
      <c r="AA234" s="25" t="str">
        <f aca="false">IF($A234="","",IF($X234="POV",N($Y234)*MileageRate,0)+N($Z234))</f>
        <v/>
      </c>
      <c r="AB234" s="25" t="str">
        <f aca="false">IF(OR($A234="",$P234="",$R234="",$Q234="",$S234=""),"",IF($R234=$P234,($Q234&lt;=T_DepBfast)*($S234&gt;=T_RetBfast)*PD_Bfast+($Q234&lt;=T_DepLunch)*($S234&gt;=T_RetLunch)*PD_Lunch+($Q234&lt;=T_DepDinner)*($S234&gt;=T_RetDinner)*PD_Dinner+PD_Incid,($Q234&lt;=T_DepBfast)*PD_Bfast+($Q234&lt;=T_DepLunch)*PD_Lunch+($Q234&lt;=T_DepDinner)*PD_Dinner+($S234&gt;=T_RetBfast)*PD_Bfast+($S234&gt;=T_RetLunch)*PD_Lunch+($S234&gt;=T_RetDinner)*PD_Dinner+MAX($R234-$P234-1,0)*(PD_Bfast+PD_Lunch+PD_Dinner)+($R234-$P234+1)*PD_Incid))</f>
        <v/>
      </c>
      <c r="AC234" s="25"/>
      <c r="AD234" s="25" t="str">
        <f aca="false">IF($A234="","",N($T234)+N($W234)+N($AA234)+N($AB234)+N($AC234))</f>
        <v/>
      </c>
      <c r="AE234" s="25"/>
      <c r="AF234" s="25"/>
      <c r="AG234" s="25"/>
      <c r="AH234" s="25"/>
      <c r="AI234" s="25"/>
      <c r="AJ234" s="25" t="str">
        <f aca="false">IF($A234="","",IF(COUNT($AE234:$AI234)=0,"",SUM($AE234:$AI234)))</f>
        <v/>
      </c>
      <c r="AK234" s="25"/>
      <c r="AL234" s="25"/>
      <c r="AM234" s="25" t="str">
        <f aca="false">IF(OR($A234="",$AJ234=""),"",$AJ234-N($AK234)-N($AL234))</f>
        <v/>
      </c>
      <c r="AN234" s="23"/>
      <c r="AO234" s="23"/>
      <c r="AP234" s="22"/>
      <c r="AQ234" s="22"/>
      <c r="AR234" s="23" t="str">
        <f aca="false">IF(OR($A234="",$R234=""),"",$R234+ReceiptDays)</f>
        <v/>
      </c>
      <c r="AS234" s="23"/>
      <c r="AT234" s="23" t="str">
        <f aca="false">IF(OR($A234="",$P234=""),"",($P234-FinanceLeadDays)-MOD(($P234-FinanceLeadDays)-DATE(2024,1,2),7))</f>
        <v/>
      </c>
      <c r="AU234" s="23"/>
      <c r="AV234" s="22"/>
      <c r="AW234" s="22"/>
      <c r="AX234" s="25" t="n">
        <f aca="false">IF(OR($A234="",$B234="Denied",$B234="Cancelled"),0,N($AD234))</f>
        <v>0</v>
      </c>
      <c r="AY234" s="25" t="n">
        <f aca="false">IF($A234="",0,N($AJ234))</f>
        <v>0</v>
      </c>
      <c r="AZ234" s="25" t="n">
        <f aca="false">IF(OR($A234="",$B234="Denied",$B234="Cancelled",$B234="Closed"),0,IF(N($AJ234)&gt;0,0,N($AD234)))</f>
        <v>0</v>
      </c>
      <c r="BA234" s="26" t="n">
        <f aca="false">IF($A234="",0,IF($B234="Awaiting Approval",COUNTIF(BA$1:BA233,"&gt;0")+1,0))</f>
        <v>0</v>
      </c>
      <c r="BB234" s="26" t="n">
        <f aca="false">IF($A234="",0,IF(AND($B234="Approved",$AP234&lt;&gt;"Y"),COUNTIF(BB$1:BB233,"&gt;0")+1,0))</f>
        <v>0</v>
      </c>
      <c r="BC234" s="26" t="n">
        <f aca="false">IF($A234="",0,IF(AND($B234="Approved",N($U234)&gt;0,$AQ234&lt;&gt;"Y"),COUNTIF(BC$1:BC233,"&gt;0")+1,0))</f>
        <v>0</v>
      </c>
      <c r="BD234" s="26" t="n">
        <f aca="true">IF($A234="",0,IF(AND($AR234&lt;&gt;"",N($AR234)&lt;TODAY(),$AS234="",$B234&lt;&gt;"Closed",$B234&lt;&gt;"Cancelled",$B234&lt;&gt;"Denied"),COUNTIF(BD$1:BD233,"&gt;0")+1,0))</f>
        <v>0</v>
      </c>
      <c r="BE234" s="26" t="n">
        <f aca="true">IF($A234="",0,IF(AND($AT234&lt;&gt;"",N($AT234)&lt;=TODAY()+7,$AU234="",$B234&lt;&gt;"Denied",$B234&lt;&gt;"Cancelled",$B234&lt;&gt;"Closed"),COUNTIF(BE$1:BE233,"&gt;0")+1,0))</f>
        <v>0</v>
      </c>
      <c r="BF234" s="22"/>
      <c r="BG234" s="22"/>
      <c r="BH234" s="22"/>
      <c r="BI234" s="22"/>
    </row>
    <row r="235" customFormat="false" ht="15" hidden="false" customHeight="false" outlineLevel="0" collapsed="false">
      <c r="A235" s="27"/>
      <c r="B235" s="27"/>
      <c r="C235" s="27"/>
      <c r="D235" s="27"/>
      <c r="E235" s="27"/>
      <c r="F235" s="27"/>
      <c r="G235" s="27"/>
      <c r="H235" s="27"/>
      <c r="I235" s="27"/>
      <c r="J235" s="27"/>
      <c r="K235" s="27"/>
      <c r="L235" s="27"/>
      <c r="M235" s="27"/>
      <c r="N235" s="28"/>
      <c r="O235" s="28"/>
      <c r="P235" s="28"/>
      <c r="Q235" s="29"/>
      <c r="R235" s="28"/>
      <c r="S235" s="29"/>
      <c r="T235" s="30"/>
      <c r="U235" s="31"/>
      <c r="V235" s="30"/>
      <c r="W235" s="30" t="str">
        <f aca="false">IF($A235="","",N($U235)*N($V235))</f>
        <v/>
      </c>
      <c r="X235" s="27"/>
      <c r="Y235" s="31"/>
      <c r="Z235" s="30"/>
      <c r="AA235" s="30" t="str">
        <f aca="false">IF($A235="","",IF($X235="POV",N($Y235)*MileageRate,0)+N($Z235))</f>
        <v/>
      </c>
      <c r="AB235" s="30" t="str">
        <f aca="false">IF(OR($A235="",$P235="",$R235="",$Q235="",$S235=""),"",IF($R235=$P235,($Q235&lt;=T_DepBfast)*($S235&gt;=T_RetBfast)*PD_Bfast+($Q235&lt;=T_DepLunch)*($S235&gt;=T_RetLunch)*PD_Lunch+($Q235&lt;=T_DepDinner)*($S235&gt;=T_RetDinner)*PD_Dinner+PD_Incid,($Q235&lt;=T_DepBfast)*PD_Bfast+($Q235&lt;=T_DepLunch)*PD_Lunch+($Q235&lt;=T_DepDinner)*PD_Dinner+($S235&gt;=T_RetBfast)*PD_Bfast+($S235&gt;=T_RetLunch)*PD_Lunch+($S235&gt;=T_RetDinner)*PD_Dinner+MAX($R235-$P235-1,0)*(PD_Bfast+PD_Lunch+PD_Dinner)+($R235-$P235+1)*PD_Incid))</f>
        <v/>
      </c>
      <c r="AC235" s="30"/>
      <c r="AD235" s="30" t="str">
        <f aca="false">IF($A235="","",N($T235)+N($W235)+N($AA235)+N($AB235)+N($AC235))</f>
        <v/>
      </c>
      <c r="AE235" s="30"/>
      <c r="AF235" s="30"/>
      <c r="AG235" s="30"/>
      <c r="AH235" s="30"/>
      <c r="AI235" s="30"/>
      <c r="AJ235" s="30" t="str">
        <f aca="false">IF($A235="","",IF(COUNT($AE235:$AI235)=0,"",SUM($AE235:$AI235)))</f>
        <v/>
      </c>
      <c r="AK235" s="30"/>
      <c r="AL235" s="30"/>
      <c r="AM235" s="30" t="str">
        <f aca="false">IF(OR($A235="",$AJ235=""),"",$AJ235-N($AK235)-N($AL235))</f>
        <v/>
      </c>
      <c r="AN235" s="28"/>
      <c r="AO235" s="28"/>
      <c r="AP235" s="27"/>
      <c r="AQ235" s="27"/>
      <c r="AR235" s="28" t="str">
        <f aca="false">IF(OR($A235="",$R235=""),"",$R235+ReceiptDays)</f>
        <v/>
      </c>
      <c r="AS235" s="28"/>
      <c r="AT235" s="28" t="str">
        <f aca="false">IF(OR($A235="",$P235=""),"",($P235-FinanceLeadDays)-MOD(($P235-FinanceLeadDays)-DATE(2024,1,2),7))</f>
        <v/>
      </c>
      <c r="AU235" s="28"/>
      <c r="AV235" s="27"/>
      <c r="AW235" s="27"/>
      <c r="AX235" s="30" t="n">
        <f aca="false">IF(OR($A235="",$B235="Denied",$B235="Cancelled"),0,N($AD235))</f>
        <v>0</v>
      </c>
      <c r="AY235" s="30" t="n">
        <f aca="false">IF($A235="",0,N($AJ235))</f>
        <v>0</v>
      </c>
      <c r="AZ235" s="30" t="n">
        <f aca="false">IF(OR($A235="",$B235="Denied",$B235="Cancelled",$B235="Closed"),0,IF(N($AJ235)&gt;0,0,N($AD235)))</f>
        <v>0</v>
      </c>
      <c r="BA235" s="31" t="n">
        <f aca="false">IF($A235="",0,IF($B235="Awaiting Approval",COUNTIF(BA$1:BA234,"&gt;0")+1,0))</f>
        <v>0</v>
      </c>
      <c r="BB235" s="31" t="n">
        <f aca="false">IF($A235="",0,IF(AND($B235="Approved",$AP235&lt;&gt;"Y"),COUNTIF(BB$1:BB234,"&gt;0")+1,0))</f>
        <v>0</v>
      </c>
      <c r="BC235" s="31" t="n">
        <f aca="false">IF($A235="",0,IF(AND($B235="Approved",N($U235)&gt;0,$AQ235&lt;&gt;"Y"),COUNTIF(BC$1:BC234,"&gt;0")+1,0))</f>
        <v>0</v>
      </c>
      <c r="BD235" s="31" t="n">
        <f aca="true">IF($A235="",0,IF(AND($AR235&lt;&gt;"",N($AR235)&lt;TODAY(),$AS235="",$B235&lt;&gt;"Closed",$B235&lt;&gt;"Cancelled",$B235&lt;&gt;"Denied"),COUNTIF(BD$1:BD234,"&gt;0")+1,0))</f>
        <v>0</v>
      </c>
      <c r="BE235" s="31" t="n">
        <f aca="true">IF($A235="",0,IF(AND($AT235&lt;&gt;"",N($AT235)&lt;=TODAY()+7,$AU235="",$B235&lt;&gt;"Denied",$B235&lt;&gt;"Cancelled",$B235&lt;&gt;"Closed"),COUNTIF(BE$1:BE234,"&gt;0")+1,0))</f>
        <v>0</v>
      </c>
      <c r="BF235" s="27"/>
      <c r="BG235" s="27"/>
      <c r="BH235" s="27"/>
      <c r="BI235" s="27"/>
    </row>
    <row r="236" customFormat="false" ht="15" hidden="false" customHeight="false" outlineLevel="0" collapsed="false">
      <c r="A236" s="22"/>
      <c r="B236" s="22"/>
      <c r="C236" s="22"/>
      <c r="D236" s="22"/>
      <c r="E236" s="22"/>
      <c r="F236" s="22"/>
      <c r="G236" s="22"/>
      <c r="H236" s="22"/>
      <c r="I236" s="22"/>
      <c r="J236" s="22"/>
      <c r="K236" s="22"/>
      <c r="L236" s="22"/>
      <c r="M236" s="22"/>
      <c r="N236" s="23"/>
      <c r="O236" s="23"/>
      <c r="P236" s="23"/>
      <c r="Q236" s="24"/>
      <c r="R236" s="23"/>
      <c r="S236" s="24"/>
      <c r="T236" s="25"/>
      <c r="U236" s="26"/>
      <c r="V236" s="25"/>
      <c r="W236" s="25" t="str">
        <f aca="false">IF($A236="","",N($U236)*N($V236))</f>
        <v/>
      </c>
      <c r="X236" s="22"/>
      <c r="Y236" s="26"/>
      <c r="Z236" s="25"/>
      <c r="AA236" s="25" t="str">
        <f aca="false">IF($A236="","",IF($X236="POV",N($Y236)*MileageRate,0)+N($Z236))</f>
        <v/>
      </c>
      <c r="AB236" s="25" t="str">
        <f aca="false">IF(OR($A236="",$P236="",$R236="",$Q236="",$S236=""),"",IF($R236=$P236,($Q236&lt;=T_DepBfast)*($S236&gt;=T_RetBfast)*PD_Bfast+($Q236&lt;=T_DepLunch)*($S236&gt;=T_RetLunch)*PD_Lunch+($Q236&lt;=T_DepDinner)*($S236&gt;=T_RetDinner)*PD_Dinner+PD_Incid,($Q236&lt;=T_DepBfast)*PD_Bfast+($Q236&lt;=T_DepLunch)*PD_Lunch+($Q236&lt;=T_DepDinner)*PD_Dinner+($S236&gt;=T_RetBfast)*PD_Bfast+($S236&gt;=T_RetLunch)*PD_Lunch+($S236&gt;=T_RetDinner)*PD_Dinner+MAX($R236-$P236-1,0)*(PD_Bfast+PD_Lunch+PD_Dinner)+($R236-$P236+1)*PD_Incid))</f>
        <v/>
      </c>
      <c r="AC236" s="25"/>
      <c r="AD236" s="25" t="str">
        <f aca="false">IF($A236="","",N($T236)+N($W236)+N($AA236)+N($AB236)+N($AC236))</f>
        <v/>
      </c>
      <c r="AE236" s="25"/>
      <c r="AF236" s="25"/>
      <c r="AG236" s="25"/>
      <c r="AH236" s="25"/>
      <c r="AI236" s="25"/>
      <c r="AJ236" s="25" t="str">
        <f aca="false">IF($A236="","",IF(COUNT($AE236:$AI236)=0,"",SUM($AE236:$AI236)))</f>
        <v/>
      </c>
      <c r="AK236" s="25"/>
      <c r="AL236" s="25"/>
      <c r="AM236" s="25" t="str">
        <f aca="false">IF(OR($A236="",$AJ236=""),"",$AJ236-N($AK236)-N($AL236))</f>
        <v/>
      </c>
      <c r="AN236" s="23"/>
      <c r="AO236" s="23"/>
      <c r="AP236" s="22"/>
      <c r="AQ236" s="22"/>
      <c r="AR236" s="23" t="str">
        <f aca="false">IF(OR($A236="",$R236=""),"",$R236+ReceiptDays)</f>
        <v/>
      </c>
      <c r="AS236" s="23"/>
      <c r="AT236" s="23" t="str">
        <f aca="false">IF(OR($A236="",$P236=""),"",($P236-FinanceLeadDays)-MOD(($P236-FinanceLeadDays)-DATE(2024,1,2),7))</f>
        <v/>
      </c>
      <c r="AU236" s="23"/>
      <c r="AV236" s="22"/>
      <c r="AW236" s="22"/>
      <c r="AX236" s="25" t="n">
        <f aca="false">IF(OR($A236="",$B236="Denied",$B236="Cancelled"),0,N($AD236))</f>
        <v>0</v>
      </c>
      <c r="AY236" s="25" t="n">
        <f aca="false">IF($A236="",0,N($AJ236))</f>
        <v>0</v>
      </c>
      <c r="AZ236" s="25" t="n">
        <f aca="false">IF(OR($A236="",$B236="Denied",$B236="Cancelled",$B236="Closed"),0,IF(N($AJ236)&gt;0,0,N($AD236)))</f>
        <v>0</v>
      </c>
      <c r="BA236" s="26" t="n">
        <f aca="false">IF($A236="",0,IF($B236="Awaiting Approval",COUNTIF(BA$1:BA235,"&gt;0")+1,0))</f>
        <v>0</v>
      </c>
      <c r="BB236" s="26" t="n">
        <f aca="false">IF($A236="",0,IF(AND($B236="Approved",$AP236&lt;&gt;"Y"),COUNTIF(BB$1:BB235,"&gt;0")+1,0))</f>
        <v>0</v>
      </c>
      <c r="BC236" s="26" t="n">
        <f aca="false">IF($A236="",0,IF(AND($B236="Approved",N($U236)&gt;0,$AQ236&lt;&gt;"Y"),COUNTIF(BC$1:BC235,"&gt;0")+1,0))</f>
        <v>0</v>
      </c>
      <c r="BD236" s="26" t="n">
        <f aca="true">IF($A236="",0,IF(AND($AR236&lt;&gt;"",N($AR236)&lt;TODAY(),$AS236="",$B236&lt;&gt;"Closed",$B236&lt;&gt;"Cancelled",$B236&lt;&gt;"Denied"),COUNTIF(BD$1:BD235,"&gt;0")+1,0))</f>
        <v>0</v>
      </c>
      <c r="BE236" s="26" t="n">
        <f aca="true">IF($A236="",0,IF(AND($AT236&lt;&gt;"",N($AT236)&lt;=TODAY()+7,$AU236="",$B236&lt;&gt;"Denied",$B236&lt;&gt;"Cancelled",$B236&lt;&gt;"Closed"),COUNTIF(BE$1:BE235,"&gt;0")+1,0))</f>
        <v>0</v>
      </c>
      <c r="BF236" s="22"/>
      <c r="BG236" s="22"/>
      <c r="BH236" s="22"/>
      <c r="BI236" s="22"/>
    </row>
    <row r="237" customFormat="false" ht="15" hidden="false" customHeight="false" outlineLevel="0" collapsed="false">
      <c r="A237" s="27"/>
      <c r="B237" s="27"/>
      <c r="C237" s="27"/>
      <c r="D237" s="27"/>
      <c r="E237" s="27"/>
      <c r="F237" s="27"/>
      <c r="G237" s="27"/>
      <c r="H237" s="27"/>
      <c r="I237" s="27"/>
      <c r="J237" s="27"/>
      <c r="K237" s="27"/>
      <c r="L237" s="27"/>
      <c r="M237" s="27"/>
      <c r="N237" s="28"/>
      <c r="O237" s="28"/>
      <c r="P237" s="28"/>
      <c r="Q237" s="29"/>
      <c r="R237" s="28"/>
      <c r="S237" s="29"/>
      <c r="T237" s="30"/>
      <c r="U237" s="31"/>
      <c r="V237" s="30"/>
      <c r="W237" s="30" t="str">
        <f aca="false">IF($A237="","",N($U237)*N($V237))</f>
        <v/>
      </c>
      <c r="X237" s="27"/>
      <c r="Y237" s="31"/>
      <c r="Z237" s="30"/>
      <c r="AA237" s="30" t="str">
        <f aca="false">IF($A237="","",IF($X237="POV",N($Y237)*MileageRate,0)+N($Z237))</f>
        <v/>
      </c>
      <c r="AB237" s="30" t="str">
        <f aca="false">IF(OR($A237="",$P237="",$R237="",$Q237="",$S237=""),"",IF($R237=$P237,($Q237&lt;=T_DepBfast)*($S237&gt;=T_RetBfast)*PD_Bfast+($Q237&lt;=T_DepLunch)*($S237&gt;=T_RetLunch)*PD_Lunch+($Q237&lt;=T_DepDinner)*($S237&gt;=T_RetDinner)*PD_Dinner+PD_Incid,($Q237&lt;=T_DepBfast)*PD_Bfast+($Q237&lt;=T_DepLunch)*PD_Lunch+($Q237&lt;=T_DepDinner)*PD_Dinner+($S237&gt;=T_RetBfast)*PD_Bfast+($S237&gt;=T_RetLunch)*PD_Lunch+($S237&gt;=T_RetDinner)*PD_Dinner+MAX($R237-$P237-1,0)*(PD_Bfast+PD_Lunch+PD_Dinner)+($R237-$P237+1)*PD_Incid))</f>
        <v/>
      </c>
      <c r="AC237" s="30"/>
      <c r="AD237" s="30" t="str">
        <f aca="false">IF($A237="","",N($T237)+N($W237)+N($AA237)+N($AB237)+N($AC237))</f>
        <v/>
      </c>
      <c r="AE237" s="30"/>
      <c r="AF237" s="30"/>
      <c r="AG237" s="30"/>
      <c r="AH237" s="30"/>
      <c r="AI237" s="30"/>
      <c r="AJ237" s="30" t="str">
        <f aca="false">IF($A237="","",IF(COUNT($AE237:$AI237)=0,"",SUM($AE237:$AI237)))</f>
        <v/>
      </c>
      <c r="AK237" s="30"/>
      <c r="AL237" s="30"/>
      <c r="AM237" s="30" t="str">
        <f aca="false">IF(OR($A237="",$AJ237=""),"",$AJ237-N($AK237)-N($AL237))</f>
        <v/>
      </c>
      <c r="AN237" s="28"/>
      <c r="AO237" s="28"/>
      <c r="AP237" s="27"/>
      <c r="AQ237" s="27"/>
      <c r="AR237" s="28" t="str">
        <f aca="false">IF(OR($A237="",$R237=""),"",$R237+ReceiptDays)</f>
        <v/>
      </c>
      <c r="AS237" s="28"/>
      <c r="AT237" s="28" t="str">
        <f aca="false">IF(OR($A237="",$P237=""),"",($P237-FinanceLeadDays)-MOD(($P237-FinanceLeadDays)-DATE(2024,1,2),7))</f>
        <v/>
      </c>
      <c r="AU237" s="28"/>
      <c r="AV237" s="27"/>
      <c r="AW237" s="27"/>
      <c r="AX237" s="30" t="n">
        <f aca="false">IF(OR($A237="",$B237="Denied",$B237="Cancelled"),0,N($AD237))</f>
        <v>0</v>
      </c>
      <c r="AY237" s="30" t="n">
        <f aca="false">IF($A237="",0,N($AJ237))</f>
        <v>0</v>
      </c>
      <c r="AZ237" s="30" t="n">
        <f aca="false">IF(OR($A237="",$B237="Denied",$B237="Cancelled",$B237="Closed"),0,IF(N($AJ237)&gt;0,0,N($AD237)))</f>
        <v>0</v>
      </c>
      <c r="BA237" s="31" t="n">
        <f aca="false">IF($A237="",0,IF($B237="Awaiting Approval",COUNTIF(BA$1:BA236,"&gt;0")+1,0))</f>
        <v>0</v>
      </c>
      <c r="BB237" s="31" t="n">
        <f aca="false">IF($A237="",0,IF(AND($B237="Approved",$AP237&lt;&gt;"Y"),COUNTIF(BB$1:BB236,"&gt;0")+1,0))</f>
        <v>0</v>
      </c>
      <c r="BC237" s="31" t="n">
        <f aca="false">IF($A237="",0,IF(AND($B237="Approved",N($U237)&gt;0,$AQ237&lt;&gt;"Y"),COUNTIF(BC$1:BC236,"&gt;0")+1,0))</f>
        <v>0</v>
      </c>
      <c r="BD237" s="31" t="n">
        <f aca="true">IF($A237="",0,IF(AND($AR237&lt;&gt;"",N($AR237)&lt;TODAY(),$AS237="",$B237&lt;&gt;"Closed",$B237&lt;&gt;"Cancelled",$B237&lt;&gt;"Denied"),COUNTIF(BD$1:BD236,"&gt;0")+1,0))</f>
        <v>0</v>
      </c>
      <c r="BE237" s="31" t="n">
        <f aca="true">IF($A237="",0,IF(AND($AT237&lt;&gt;"",N($AT237)&lt;=TODAY()+7,$AU237="",$B237&lt;&gt;"Denied",$B237&lt;&gt;"Cancelled",$B237&lt;&gt;"Closed"),COUNTIF(BE$1:BE236,"&gt;0")+1,0))</f>
        <v>0</v>
      </c>
      <c r="BF237" s="27"/>
      <c r="BG237" s="27"/>
      <c r="BH237" s="27"/>
      <c r="BI237" s="27"/>
    </row>
    <row r="238" customFormat="false" ht="15" hidden="false" customHeight="false" outlineLevel="0" collapsed="false">
      <c r="A238" s="22"/>
      <c r="B238" s="22"/>
      <c r="C238" s="22"/>
      <c r="D238" s="22"/>
      <c r="E238" s="22"/>
      <c r="F238" s="22"/>
      <c r="G238" s="22"/>
      <c r="H238" s="22"/>
      <c r="I238" s="22"/>
      <c r="J238" s="22"/>
      <c r="K238" s="22"/>
      <c r="L238" s="22"/>
      <c r="M238" s="22"/>
      <c r="N238" s="23"/>
      <c r="O238" s="23"/>
      <c r="P238" s="23"/>
      <c r="Q238" s="24"/>
      <c r="R238" s="23"/>
      <c r="S238" s="24"/>
      <c r="T238" s="25"/>
      <c r="U238" s="26"/>
      <c r="V238" s="25"/>
      <c r="W238" s="25" t="str">
        <f aca="false">IF($A238="","",N($U238)*N($V238))</f>
        <v/>
      </c>
      <c r="X238" s="22"/>
      <c r="Y238" s="26"/>
      <c r="Z238" s="25"/>
      <c r="AA238" s="25" t="str">
        <f aca="false">IF($A238="","",IF($X238="POV",N($Y238)*MileageRate,0)+N($Z238))</f>
        <v/>
      </c>
      <c r="AB238" s="25" t="str">
        <f aca="false">IF(OR($A238="",$P238="",$R238="",$Q238="",$S238=""),"",IF($R238=$P238,($Q238&lt;=T_DepBfast)*($S238&gt;=T_RetBfast)*PD_Bfast+($Q238&lt;=T_DepLunch)*($S238&gt;=T_RetLunch)*PD_Lunch+($Q238&lt;=T_DepDinner)*($S238&gt;=T_RetDinner)*PD_Dinner+PD_Incid,($Q238&lt;=T_DepBfast)*PD_Bfast+($Q238&lt;=T_DepLunch)*PD_Lunch+($Q238&lt;=T_DepDinner)*PD_Dinner+($S238&gt;=T_RetBfast)*PD_Bfast+($S238&gt;=T_RetLunch)*PD_Lunch+($S238&gt;=T_RetDinner)*PD_Dinner+MAX($R238-$P238-1,0)*(PD_Bfast+PD_Lunch+PD_Dinner)+($R238-$P238+1)*PD_Incid))</f>
        <v/>
      </c>
      <c r="AC238" s="25"/>
      <c r="AD238" s="25" t="str">
        <f aca="false">IF($A238="","",N($T238)+N($W238)+N($AA238)+N($AB238)+N($AC238))</f>
        <v/>
      </c>
      <c r="AE238" s="25"/>
      <c r="AF238" s="25"/>
      <c r="AG238" s="25"/>
      <c r="AH238" s="25"/>
      <c r="AI238" s="25"/>
      <c r="AJ238" s="25" t="str">
        <f aca="false">IF($A238="","",IF(COUNT($AE238:$AI238)=0,"",SUM($AE238:$AI238)))</f>
        <v/>
      </c>
      <c r="AK238" s="25"/>
      <c r="AL238" s="25"/>
      <c r="AM238" s="25" t="str">
        <f aca="false">IF(OR($A238="",$AJ238=""),"",$AJ238-N($AK238)-N($AL238))</f>
        <v/>
      </c>
      <c r="AN238" s="23"/>
      <c r="AO238" s="23"/>
      <c r="AP238" s="22"/>
      <c r="AQ238" s="22"/>
      <c r="AR238" s="23" t="str">
        <f aca="false">IF(OR($A238="",$R238=""),"",$R238+ReceiptDays)</f>
        <v/>
      </c>
      <c r="AS238" s="23"/>
      <c r="AT238" s="23" t="str">
        <f aca="false">IF(OR($A238="",$P238=""),"",($P238-FinanceLeadDays)-MOD(($P238-FinanceLeadDays)-DATE(2024,1,2),7))</f>
        <v/>
      </c>
      <c r="AU238" s="23"/>
      <c r="AV238" s="22"/>
      <c r="AW238" s="22"/>
      <c r="AX238" s="25" t="n">
        <f aca="false">IF(OR($A238="",$B238="Denied",$B238="Cancelled"),0,N($AD238))</f>
        <v>0</v>
      </c>
      <c r="AY238" s="25" t="n">
        <f aca="false">IF($A238="",0,N($AJ238))</f>
        <v>0</v>
      </c>
      <c r="AZ238" s="25" t="n">
        <f aca="false">IF(OR($A238="",$B238="Denied",$B238="Cancelled",$B238="Closed"),0,IF(N($AJ238)&gt;0,0,N($AD238)))</f>
        <v>0</v>
      </c>
      <c r="BA238" s="26" t="n">
        <f aca="false">IF($A238="",0,IF($B238="Awaiting Approval",COUNTIF(BA$1:BA237,"&gt;0")+1,0))</f>
        <v>0</v>
      </c>
      <c r="BB238" s="26" t="n">
        <f aca="false">IF($A238="",0,IF(AND($B238="Approved",$AP238&lt;&gt;"Y"),COUNTIF(BB$1:BB237,"&gt;0")+1,0))</f>
        <v>0</v>
      </c>
      <c r="BC238" s="26" t="n">
        <f aca="false">IF($A238="",0,IF(AND($B238="Approved",N($U238)&gt;0,$AQ238&lt;&gt;"Y"),COUNTIF(BC$1:BC237,"&gt;0")+1,0))</f>
        <v>0</v>
      </c>
      <c r="BD238" s="26" t="n">
        <f aca="true">IF($A238="",0,IF(AND($AR238&lt;&gt;"",N($AR238)&lt;TODAY(),$AS238="",$B238&lt;&gt;"Closed",$B238&lt;&gt;"Cancelled",$B238&lt;&gt;"Denied"),COUNTIF(BD$1:BD237,"&gt;0")+1,0))</f>
        <v>0</v>
      </c>
      <c r="BE238" s="26" t="n">
        <f aca="true">IF($A238="",0,IF(AND($AT238&lt;&gt;"",N($AT238)&lt;=TODAY()+7,$AU238="",$B238&lt;&gt;"Denied",$B238&lt;&gt;"Cancelled",$B238&lt;&gt;"Closed"),COUNTIF(BE$1:BE237,"&gt;0")+1,0))</f>
        <v>0</v>
      </c>
      <c r="BF238" s="22"/>
      <c r="BG238" s="22"/>
      <c r="BH238" s="22"/>
      <c r="BI238" s="22"/>
    </row>
    <row r="239" customFormat="false" ht="15" hidden="false" customHeight="false" outlineLevel="0" collapsed="false">
      <c r="A239" s="27"/>
      <c r="B239" s="27"/>
      <c r="C239" s="27"/>
      <c r="D239" s="27"/>
      <c r="E239" s="27"/>
      <c r="F239" s="27"/>
      <c r="G239" s="27"/>
      <c r="H239" s="27"/>
      <c r="I239" s="27"/>
      <c r="J239" s="27"/>
      <c r="K239" s="27"/>
      <c r="L239" s="27"/>
      <c r="M239" s="27"/>
      <c r="N239" s="28"/>
      <c r="O239" s="28"/>
      <c r="P239" s="28"/>
      <c r="Q239" s="29"/>
      <c r="R239" s="28"/>
      <c r="S239" s="29"/>
      <c r="T239" s="30"/>
      <c r="U239" s="31"/>
      <c r="V239" s="30"/>
      <c r="W239" s="30" t="str">
        <f aca="false">IF($A239="","",N($U239)*N($V239))</f>
        <v/>
      </c>
      <c r="X239" s="27"/>
      <c r="Y239" s="31"/>
      <c r="Z239" s="30"/>
      <c r="AA239" s="30" t="str">
        <f aca="false">IF($A239="","",IF($X239="POV",N($Y239)*MileageRate,0)+N($Z239))</f>
        <v/>
      </c>
      <c r="AB239" s="30" t="str">
        <f aca="false">IF(OR($A239="",$P239="",$R239="",$Q239="",$S239=""),"",IF($R239=$P239,($Q239&lt;=T_DepBfast)*($S239&gt;=T_RetBfast)*PD_Bfast+($Q239&lt;=T_DepLunch)*($S239&gt;=T_RetLunch)*PD_Lunch+($Q239&lt;=T_DepDinner)*($S239&gt;=T_RetDinner)*PD_Dinner+PD_Incid,($Q239&lt;=T_DepBfast)*PD_Bfast+($Q239&lt;=T_DepLunch)*PD_Lunch+($Q239&lt;=T_DepDinner)*PD_Dinner+($S239&gt;=T_RetBfast)*PD_Bfast+($S239&gt;=T_RetLunch)*PD_Lunch+($S239&gt;=T_RetDinner)*PD_Dinner+MAX($R239-$P239-1,0)*(PD_Bfast+PD_Lunch+PD_Dinner)+($R239-$P239+1)*PD_Incid))</f>
        <v/>
      </c>
      <c r="AC239" s="30"/>
      <c r="AD239" s="30" t="str">
        <f aca="false">IF($A239="","",N($T239)+N($W239)+N($AA239)+N($AB239)+N($AC239))</f>
        <v/>
      </c>
      <c r="AE239" s="30"/>
      <c r="AF239" s="30"/>
      <c r="AG239" s="30"/>
      <c r="AH239" s="30"/>
      <c r="AI239" s="30"/>
      <c r="AJ239" s="30" t="str">
        <f aca="false">IF($A239="","",IF(COUNT($AE239:$AI239)=0,"",SUM($AE239:$AI239)))</f>
        <v/>
      </c>
      <c r="AK239" s="30"/>
      <c r="AL239" s="30"/>
      <c r="AM239" s="30" t="str">
        <f aca="false">IF(OR($A239="",$AJ239=""),"",$AJ239-N($AK239)-N($AL239))</f>
        <v/>
      </c>
      <c r="AN239" s="28"/>
      <c r="AO239" s="28"/>
      <c r="AP239" s="27"/>
      <c r="AQ239" s="27"/>
      <c r="AR239" s="28" t="str">
        <f aca="false">IF(OR($A239="",$R239=""),"",$R239+ReceiptDays)</f>
        <v/>
      </c>
      <c r="AS239" s="28"/>
      <c r="AT239" s="28" t="str">
        <f aca="false">IF(OR($A239="",$P239=""),"",($P239-FinanceLeadDays)-MOD(($P239-FinanceLeadDays)-DATE(2024,1,2),7))</f>
        <v/>
      </c>
      <c r="AU239" s="28"/>
      <c r="AV239" s="27"/>
      <c r="AW239" s="27"/>
      <c r="AX239" s="30" t="n">
        <f aca="false">IF(OR($A239="",$B239="Denied",$B239="Cancelled"),0,N($AD239))</f>
        <v>0</v>
      </c>
      <c r="AY239" s="30" t="n">
        <f aca="false">IF($A239="",0,N($AJ239))</f>
        <v>0</v>
      </c>
      <c r="AZ239" s="30" t="n">
        <f aca="false">IF(OR($A239="",$B239="Denied",$B239="Cancelled",$B239="Closed"),0,IF(N($AJ239)&gt;0,0,N($AD239)))</f>
        <v>0</v>
      </c>
      <c r="BA239" s="31" t="n">
        <f aca="false">IF($A239="",0,IF($B239="Awaiting Approval",COUNTIF(BA$1:BA238,"&gt;0")+1,0))</f>
        <v>0</v>
      </c>
      <c r="BB239" s="31" t="n">
        <f aca="false">IF($A239="",0,IF(AND($B239="Approved",$AP239&lt;&gt;"Y"),COUNTIF(BB$1:BB238,"&gt;0")+1,0))</f>
        <v>0</v>
      </c>
      <c r="BC239" s="31" t="n">
        <f aca="false">IF($A239="",0,IF(AND($B239="Approved",N($U239)&gt;0,$AQ239&lt;&gt;"Y"),COUNTIF(BC$1:BC238,"&gt;0")+1,0))</f>
        <v>0</v>
      </c>
      <c r="BD239" s="31" t="n">
        <f aca="true">IF($A239="",0,IF(AND($AR239&lt;&gt;"",N($AR239)&lt;TODAY(),$AS239="",$B239&lt;&gt;"Closed",$B239&lt;&gt;"Cancelled",$B239&lt;&gt;"Denied"),COUNTIF(BD$1:BD238,"&gt;0")+1,0))</f>
        <v>0</v>
      </c>
      <c r="BE239" s="31" t="n">
        <f aca="true">IF($A239="",0,IF(AND($AT239&lt;&gt;"",N($AT239)&lt;=TODAY()+7,$AU239="",$B239&lt;&gt;"Denied",$B239&lt;&gt;"Cancelled",$B239&lt;&gt;"Closed"),COUNTIF(BE$1:BE238,"&gt;0")+1,0))</f>
        <v>0</v>
      </c>
      <c r="BF239" s="27"/>
      <c r="BG239" s="27"/>
      <c r="BH239" s="27"/>
      <c r="BI239" s="27"/>
    </row>
    <row r="240" customFormat="false" ht="15" hidden="false" customHeight="false" outlineLevel="0" collapsed="false">
      <c r="A240" s="22"/>
      <c r="B240" s="22"/>
      <c r="C240" s="22"/>
      <c r="D240" s="22"/>
      <c r="E240" s="22"/>
      <c r="F240" s="22"/>
      <c r="G240" s="22"/>
      <c r="H240" s="22"/>
      <c r="I240" s="22"/>
      <c r="J240" s="22"/>
      <c r="K240" s="22"/>
      <c r="L240" s="22"/>
      <c r="M240" s="22"/>
      <c r="N240" s="23"/>
      <c r="O240" s="23"/>
      <c r="P240" s="23"/>
      <c r="Q240" s="24"/>
      <c r="R240" s="23"/>
      <c r="S240" s="24"/>
      <c r="T240" s="25"/>
      <c r="U240" s="26"/>
      <c r="V240" s="25"/>
      <c r="W240" s="25" t="str">
        <f aca="false">IF($A240="","",N($U240)*N($V240))</f>
        <v/>
      </c>
      <c r="X240" s="22"/>
      <c r="Y240" s="26"/>
      <c r="Z240" s="25"/>
      <c r="AA240" s="25" t="str">
        <f aca="false">IF($A240="","",IF($X240="POV",N($Y240)*MileageRate,0)+N($Z240))</f>
        <v/>
      </c>
      <c r="AB240" s="25" t="str">
        <f aca="false">IF(OR($A240="",$P240="",$R240="",$Q240="",$S240=""),"",IF($R240=$P240,($Q240&lt;=T_DepBfast)*($S240&gt;=T_RetBfast)*PD_Bfast+($Q240&lt;=T_DepLunch)*($S240&gt;=T_RetLunch)*PD_Lunch+($Q240&lt;=T_DepDinner)*($S240&gt;=T_RetDinner)*PD_Dinner+PD_Incid,($Q240&lt;=T_DepBfast)*PD_Bfast+($Q240&lt;=T_DepLunch)*PD_Lunch+($Q240&lt;=T_DepDinner)*PD_Dinner+($S240&gt;=T_RetBfast)*PD_Bfast+($S240&gt;=T_RetLunch)*PD_Lunch+($S240&gt;=T_RetDinner)*PD_Dinner+MAX($R240-$P240-1,0)*(PD_Bfast+PD_Lunch+PD_Dinner)+($R240-$P240+1)*PD_Incid))</f>
        <v/>
      </c>
      <c r="AC240" s="25"/>
      <c r="AD240" s="25" t="str">
        <f aca="false">IF($A240="","",N($T240)+N($W240)+N($AA240)+N($AB240)+N($AC240))</f>
        <v/>
      </c>
      <c r="AE240" s="25"/>
      <c r="AF240" s="25"/>
      <c r="AG240" s="25"/>
      <c r="AH240" s="25"/>
      <c r="AI240" s="25"/>
      <c r="AJ240" s="25" t="str">
        <f aca="false">IF($A240="","",IF(COUNT($AE240:$AI240)=0,"",SUM($AE240:$AI240)))</f>
        <v/>
      </c>
      <c r="AK240" s="25"/>
      <c r="AL240" s="25"/>
      <c r="AM240" s="25" t="str">
        <f aca="false">IF(OR($A240="",$AJ240=""),"",$AJ240-N($AK240)-N($AL240))</f>
        <v/>
      </c>
      <c r="AN240" s="23"/>
      <c r="AO240" s="23"/>
      <c r="AP240" s="22"/>
      <c r="AQ240" s="22"/>
      <c r="AR240" s="23" t="str">
        <f aca="false">IF(OR($A240="",$R240=""),"",$R240+ReceiptDays)</f>
        <v/>
      </c>
      <c r="AS240" s="23"/>
      <c r="AT240" s="23" t="str">
        <f aca="false">IF(OR($A240="",$P240=""),"",($P240-FinanceLeadDays)-MOD(($P240-FinanceLeadDays)-DATE(2024,1,2),7))</f>
        <v/>
      </c>
      <c r="AU240" s="23"/>
      <c r="AV240" s="22"/>
      <c r="AW240" s="22"/>
      <c r="AX240" s="25" t="n">
        <f aca="false">IF(OR($A240="",$B240="Denied",$B240="Cancelled"),0,N($AD240))</f>
        <v>0</v>
      </c>
      <c r="AY240" s="25" t="n">
        <f aca="false">IF($A240="",0,N($AJ240))</f>
        <v>0</v>
      </c>
      <c r="AZ240" s="25" t="n">
        <f aca="false">IF(OR($A240="",$B240="Denied",$B240="Cancelled",$B240="Closed"),0,IF(N($AJ240)&gt;0,0,N($AD240)))</f>
        <v>0</v>
      </c>
      <c r="BA240" s="26" t="n">
        <f aca="false">IF($A240="",0,IF($B240="Awaiting Approval",COUNTIF(BA$1:BA239,"&gt;0")+1,0))</f>
        <v>0</v>
      </c>
      <c r="BB240" s="26" t="n">
        <f aca="false">IF($A240="",0,IF(AND($B240="Approved",$AP240&lt;&gt;"Y"),COUNTIF(BB$1:BB239,"&gt;0")+1,0))</f>
        <v>0</v>
      </c>
      <c r="BC240" s="26" t="n">
        <f aca="false">IF($A240="",0,IF(AND($B240="Approved",N($U240)&gt;0,$AQ240&lt;&gt;"Y"),COUNTIF(BC$1:BC239,"&gt;0")+1,0))</f>
        <v>0</v>
      </c>
      <c r="BD240" s="26" t="n">
        <f aca="true">IF($A240="",0,IF(AND($AR240&lt;&gt;"",N($AR240)&lt;TODAY(),$AS240="",$B240&lt;&gt;"Closed",$B240&lt;&gt;"Cancelled",$B240&lt;&gt;"Denied"),COUNTIF(BD$1:BD239,"&gt;0")+1,0))</f>
        <v>0</v>
      </c>
      <c r="BE240" s="26" t="n">
        <f aca="true">IF($A240="",0,IF(AND($AT240&lt;&gt;"",N($AT240)&lt;=TODAY()+7,$AU240="",$B240&lt;&gt;"Denied",$B240&lt;&gt;"Cancelled",$B240&lt;&gt;"Closed"),COUNTIF(BE$1:BE239,"&gt;0")+1,0))</f>
        <v>0</v>
      </c>
      <c r="BF240" s="22"/>
      <c r="BG240" s="22"/>
      <c r="BH240" s="22"/>
      <c r="BI240" s="22"/>
    </row>
    <row r="241" customFormat="false" ht="15" hidden="false" customHeight="false" outlineLevel="0" collapsed="false">
      <c r="A241" s="27"/>
      <c r="B241" s="27"/>
      <c r="C241" s="27"/>
      <c r="D241" s="27"/>
      <c r="E241" s="27"/>
      <c r="F241" s="27"/>
      <c r="G241" s="27"/>
      <c r="H241" s="27"/>
      <c r="I241" s="27"/>
      <c r="J241" s="27"/>
      <c r="K241" s="27"/>
      <c r="L241" s="27"/>
      <c r="M241" s="27"/>
      <c r="N241" s="28"/>
      <c r="O241" s="28"/>
      <c r="P241" s="28"/>
      <c r="Q241" s="29"/>
      <c r="R241" s="28"/>
      <c r="S241" s="29"/>
      <c r="T241" s="30"/>
      <c r="U241" s="31"/>
      <c r="V241" s="30"/>
      <c r="W241" s="30" t="str">
        <f aca="false">IF($A241="","",N($U241)*N($V241))</f>
        <v/>
      </c>
      <c r="X241" s="27"/>
      <c r="Y241" s="31"/>
      <c r="Z241" s="30"/>
      <c r="AA241" s="30" t="str">
        <f aca="false">IF($A241="","",IF($X241="POV",N($Y241)*MileageRate,0)+N($Z241))</f>
        <v/>
      </c>
      <c r="AB241" s="30" t="str">
        <f aca="false">IF(OR($A241="",$P241="",$R241="",$Q241="",$S241=""),"",IF($R241=$P241,($Q241&lt;=T_DepBfast)*($S241&gt;=T_RetBfast)*PD_Bfast+($Q241&lt;=T_DepLunch)*($S241&gt;=T_RetLunch)*PD_Lunch+($Q241&lt;=T_DepDinner)*($S241&gt;=T_RetDinner)*PD_Dinner+PD_Incid,($Q241&lt;=T_DepBfast)*PD_Bfast+($Q241&lt;=T_DepLunch)*PD_Lunch+($Q241&lt;=T_DepDinner)*PD_Dinner+($S241&gt;=T_RetBfast)*PD_Bfast+($S241&gt;=T_RetLunch)*PD_Lunch+($S241&gt;=T_RetDinner)*PD_Dinner+MAX($R241-$P241-1,0)*(PD_Bfast+PD_Lunch+PD_Dinner)+($R241-$P241+1)*PD_Incid))</f>
        <v/>
      </c>
      <c r="AC241" s="30"/>
      <c r="AD241" s="30" t="str">
        <f aca="false">IF($A241="","",N($T241)+N($W241)+N($AA241)+N($AB241)+N($AC241))</f>
        <v/>
      </c>
      <c r="AE241" s="30"/>
      <c r="AF241" s="30"/>
      <c r="AG241" s="30"/>
      <c r="AH241" s="30"/>
      <c r="AI241" s="30"/>
      <c r="AJ241" s="30" t="str">
        <f aca="false">IF($A241="","",IF(COUNT($AE241:$AI241)=0,"",SUM($AE241:$AI241)))</f>
        <v/>
      </c>
      <c r="AK241" s="30"/>
      <c r="AL241" s="30"/>
      <c r="AM241" s="30" t="str">
        <f aca="false">IF(OR($A241="",$AJ241=""),"",$AJ241-N($AK241)-N($AL241))</f>
        <v/>
      </c>
      <c r="AN241" s="28"/>
      <c r="AO241" s="28"/>
      <c r="AP241" s="27"/>
      <c r="AQ241" s="27"/>
      <c r="AR241" s="28" t="str">
        <f aca="false">IF(OR($A241="",$R241=""),"",$R241+ReceiptDays)</f>
        <v/>
      </c>
      <c r="AS241" s="28"/>
      <c r="AT241" s="28" t="str">
        <f aca="false">IF(OR($A241="",$P241=""),"",($P241-FinanceLeadDays)-MOD(($P241-FinanceLeadDays)-DATE(2024,1,2),7))</f>
        <v/>
      </c>
      <c r="AU241" s="28"/>
      <c r="AV241" s="27"/>
      <c r="AW241" s="27"/>
      <c r="AX241" s="30" t="n">
        <f aca="false">IF(OR($A241="",$B241="Denied",$B241="Cancelled"),0,N($AD241))</f>
        <v>0</v>
      </c>
      <c r="AY241" s="30" t="n">
        <f aca="false">IF($A241="",0,N($AJ241))</f>
        <v>0</v>
      </c>
      <c r="AZ241" s="30" t="n">
        <f aca="false">IF(OR($A241="",$B241="Denied",$B241="Cancelled",$B241="Closed"),0,IF(N($AJ241)&gt;0,0,N($AD241)))</f>
        <v>0</v>
      </c>
      <c r="BA241" s="31" t="n">
        <f aca="false">IF($A241="",0,IF($B241="Awaiting Approval",COUNTIF(BA$1:BA240,"&gt;0")+1,0))</f>
        <v>0</v>
      </c>
      <c r="BB241" s="31" t="n">
        <f aca="false">IF($A241="",0,IF(AND($B241="Approved",$AP241&lt;&gt;"Y"),COUNTIF(BB$1:BB240,"&gt;0")+1,0))</f>
        <v>0</v>
      </c>
      <c r="BC241" s="31" t="n">
        <f aca="false">IF($A241="",0,IF(AND($B241="Approved",N($U241)&gt;0,$AQ241&lt;&gt;"Y"),COUNTIF(BC$1:BC240,"&gt;0")+1,0))</f>
        <v>0</v>
      </c>
      <c r="BD241" s="31" t="n">
        <f aca="true">IF($A241="",0,IF(AND($AR241&lt;&gt;"",N($AR241)&lt;TODAY(),$AS241="",$B241&lt;&gt;"Closed",$B241&lt;&gt;"Cancelled",$B241&lt;&gt;"Denied"),COUNTIF(BD$1:BD240,"&gt;0")+1,0))</f>
        <v>0</v>
      </c>
      <c r="BE241" s="31" t="n">
        <f aca="true">IF($A241="",0,IF(AND($AT241&lt;&gt;"",N($AT241)&lt;=TODAY()+7,$AU241="",$B241&lt;&gt;"Denied",$B241&lt;&gt;"Cancelled",$B241&lt;&gt;"Closed"),COUNTIF(BE$1:BE240,"&gt;0")+1,0))</f>
        <v>0</v>
      </c>
      <c r="BF241" s="27"/>
      <c r="BG241" s="27"/>
      <c r="BH241" s="27"/>
      <c r="BI241" s="27"/>
    </row>
    <row r="242" customFormat="false" ht="15" hidden="false" customHeight="false" outlineLevel="0" collapsed="false">
      <c r="A242" s="22"/>
      <c r="B242" s="22"/>
      <c r="C242" s="22"/>
      <c r="D242" s="22"/>
      <c r="E242" s="22"/>
      <c r="F242" s="22"/>
      <c r="G242" s="22"/>
      <c r="H242" s="22"/>
      <c r="I242" s="22"/>
      <c r="J242" s="22"/>
      <c r="K242" s="22"/>
      <c r="L242" s="22"/>
      <c r="M242" s="22"/>
      <c r="N242" s="23"/>
      <c r="O242" s="23"/>
      <c r="P242" s="23"/>
      <c r="Q242" s="24"/>
      <c r="R242" s="23"/>
      <c r="S242" s="24"/>
      <c r="T242" s="25"/>
      <c r="U242" s="26"/>
      <c r="V242" s="25"/>
      <c r="W242" s="25" t="str">
        <f aca="false">IF($A242="","",N($U242)*N($V242))</f>
        <v/>
      </c>
      <c r="X242" s="22"/>
      <c r="Y242" s="26"/>
      <c r="Z242" s="25"/>
      <c r="AA242" s="25" t="str">
        <f aca="false">IF($A242="","",IF($X242="POV",N($Y242)*MileageRate,0)+N($Z242))</f>
        <v/>
      </c>
      <c r="AB242" s="25" t="str">
        <f aca="false">IF(OR($A242="",$P242="",$R242="",$Q242="",$S242=""),"",IF($R242=$P242,($Q242&lt;=T_DepBfast)*($S242&gt;=T_RetBfast)*PD_Bfast+($Q242&lt;=T_DepLunch)*($S242&gt;=T_RetLunch)*PD_Lunch+($Q242&lt;=T_DepDinner)*($S242&gt;=T_RetDinner)*PD_Dinner+PD_Incid,($Q242&lt;=T_DepBfast)*PD_Bfast+($Q242&lt;=T_DepLunch)*PD_Lunch+($Q242&lt;=T_DepDinner)*PD_Dinner+($S242&gt;=T_RetBfast)*PD_Bfast+($S242&gt;=T_RetLunch)*PD_Lunch+($S242&gt;=T_RetDinner)*PD_Dinner+MAX($R242-$P242-1,0)*(PD_Bfast+PD_Lunch+PD_Dinner)+($R242-$P242+1)*PD_Incid))</f>
        <v/>
      </c>
      <c r="AC242" s="25"/>
      <c r="AD242" s="25" t="str">
        <f aca="false">IF($A242="","",N($T242)+N($W242)+N($AA242)+N($AB242)+N($AC242))</f>
        <v/>
      </c>
      <c r="AE242" s="25"/>
      <c r="AF242" s="25"/>
      <c r="AG242" s="25"/>
      <c r="AH242" s="25"/>
      <c r="AI242" s="25"/>
      <c r="AJ242" s="25" t="str">
        <f aca="false">IF($A242="","",IF(COUNT($AE242:$AI242)=0,"",SUM($AE242:$AI242)))</f>
        <v/>
      </c>
      <c r="AK242" s="25"/>
      <c r="AL242" s="25"/>
      <c r="AM242" s="25" t="str">
        <f aca="false">IF(OR($A242="",$AJ242=""),"",$AJ242-N($AK242)-N($AL242))</f>
        <v/>
      </c>
      <c r="AN242" s="23"/>
      <c r="AO242" s="23"/>
      <c r="AP242" s="22"/>
      <c r="AQ242" s="22"/>
      <c r="AR242" s="23" t="str">
        <f aca="false">IF(OR($A242="",$R242=""),"",$R242+ReceiptDays)</f>
        <v/>
      </c>
      <c r="AS242" s="23"/>
      <c r="AT242" s="23" t="str">
        <f aca="false">IF(OR($A242="",$P242=""),"",($P242-FinanceLeadDays)-MOD(($P242-FinanceLeadDays)-DATE(2024,1,2),7))</f>
        <v/>
      </c>
      <c r="AU242" s="23"/>
      <c r="AV242" s="22"/>
      <c r="AW242" s="22"/>
      <c r="AX242" s="25" t="n">
        <f aca="false">IF(OR($A242="",$B242="Denied",$B242="Cancelled"),0,N($AD242))</f>
        <v>0</v>
      </c>
      <c r="AY242" s="25" t="n">
        <f aca="false">IF($A242="",0,N($AJ242))</f>
        <v>0</v>
      </c>
      <c r="AZ242" s="25" t="n">
        <f aca="false">IF(OR($A242="",$B242="Denied",$B242="Cancelled",$B242="Closed"),0,IF(N($AJ242)&gt;0,0,N($AD242)))</f>
        <v>0</v>
      </c>
      <c r="BA242" s="26" t="n">
        <f aca="false">IF($A242="",0,IF($B242="Awaiting Approval",COUNTIF(BA$1:BA241,"&gt;0")+1,0))</f>
        <v>0</v>
      </c>
      <c r="BB242" s="26" t="n">
        <f aca="false">IF($A242="",0,IF(AND($B242="Approved",$AP242&lt;&gt;"Y"),COUNTIF(BB$1:BB241,"&gt;0")+1,0))</f>
        <v>0</v>
      </c>
      <c r="BC242" s="26" t="n">
        <f aca="false">IF($A242="",0,IF(AND($B242="Approved",N($U242)&gt;0,$AQ242&lt;&gt;"Y"),COUNTIF(BC$1:BC241,"&gt;0")+1,0))</f>
        <v>0</v>
      </c>
      <c r="BD242" s="26" t="n">
        <f aca="true">IF($A242="",0,IF(AND($AR242&lt;&gt;"",N($AR242)&lt;TODAY(),$AS242="",$B242&lt;&gt;"Closed",$B242&lt;&gt;"Cancelled",$B242&lt;&gt;"Denied"),COUNTIF(BD$1:BD241,"&gt;0")+1,0))</f>
        <v>0</v>
      </c>
      <c r="BE242" s="26" t="n">
        <f aca="true">IF($A242="",0,IF(AND($AT242&lt;&gt;"",N($AT242)&lt;=TODAY()+7,$AU242="",$B242&lt;&gt;"Denied",$B242&lt;&gt;"Cancelled",$B242&lt;&gt;"Closed"),COUNTIF(BE$1:BE241,"&gt;0")+1,0))</f>
        <v>0</v>
      </c>
      <c r="BF242" s="22"/>
      <c r="BG242" s="22"/>
      <c r="BH242" s="22"/>
      <c r="BI242" s="22"/>
    </row>
    <row r="243" customFormat="false" ht="15" hidden="false" customHeight="false" outlineLevel="0" collapsed="false">
      <c r="A243" s="27"/>
      <c r="B243" s="27"/>
      <c r="C243" s="27"/>
      <c r="D243" s="27"/>
      <c r="E243" s="27"/>
      <c r="F243" s="27"/>
      <c r="G243" s="27"/>
      <c r="H243" s="27"/>
      <c r="I243" s="27"/>
      <c r="J243" s="27"/>
      <c r="K243" s="27"/>
      <c r="L243" s="27"/>
      <c r="M243" s="27"/>
      <c r="N243" s="28"/>
      <c r="O243" s="28"/>
      <c r="P243" s="28"/>
      <c r="Q243" s="29"/>
      <c r="R243" s="28"/>
      <c r="S243" s="29"/>
      <c r="T243" s="30"/>
      <c r="U243" s="31"/>
      <c r="V243" s="30"/>
      <c r="W243" s="30" t="str">
        <f aca="false">IF($A243="","",N($U243)*N($V243))</f>
        <v/>
      </c>
      <c r="X243" s="27"/>
      <c r="Y243" s="31"/>
      <c r="Z243" s="30"/>
      <c r="AA243" s="30" t="str">
        <f aca="false">IF($A243="","",IF($X243="POV",N($Y243)*MileageRate,0)+N($Z243))</f>
        <v/>
      </c>
      <c r="AB243" s="30" t="str">
        <f aca="false">IF(OR($A243="",$P243="",$R243="",$Q243="",$S243=""),"",IF($R243=$P243,($Q243&lt;=T_DepBfast)*($S243&gt;=T_RetBfast)*PD_Bfast+($Q243&lt;=T_DepLunch)*($S243&gt;=T_RetLunch)*PD_Lunch+($Q243&lt;=T_DepDinner)*($S243&gt;=T_RetDinner)*PD_Dinner+PD_Incid,($Q243&lt;=T_DepBfast)*PD_Bfast+($Q243&lt;=T_DepLunch)*PD_Lunch+($Q243&lt;=T_DepDinner)*PD_Dinner+($S243&gt;=T_RetBfast)*PD_Bfast+($S243&gt;=T_RetLunch)*PD_Lunch+($S243&gt;=T_RetDinner)*PD_Dinner+MAX($R243-$P243-1,0)*(PD_Bfast+PD_Lunch+PD_Dinner)+($R243-$P243+1)*PD_Incid))</f>
        <v/>
      </c>
      <c r="AC243" s="30"/>
      <c r="AD243" s="30" t="str">
        <f aca="false">IF($A243="","",N($T243)+N($W243)+N($AA243)+N($AB243)+N($AC243))</f>
        <v/>
      </c>
      <c r="AE243" s="30"/>
      <c r="AF243" s="30"/>
      <c r="AG243" s="30"/>
      <c r="AH243" s="30"/>
      <c r="AI243" s="30"/>
      <c r="AJ243" s="30" t="str">
        <f aca="false">IF($A243="","",IF(COUNT($AE243:$AI243)=0,"",SUM($AE243:$AI243)))</f>
        <v/>
      </c>
      <c r="AK243" s="30"/>
      <c r="AL243" s="30"/>
      <c r="AM243" s="30" t="str">
        <f aca="false">IF(OR($A243="",$AJ243=""),"",$AJ243-N($AK243)-N($AL243))</f>
        <v/>
      </c>
      <c r="AN243" s="28"/>
      <c r="AO243" s="28"/>
      <c r="AP243" s="27"/>
      <c r="AQ243" s="27"/>
      <c r="AR243" s="28" t="str">
        <f aca="false">IF(OR($A243="",$R243=""),"",$R243+ReceiptDays)</f>
        <v/>
      </c>
      <c r="AS243" s="28"/>
      <c r="AT243" s="28" t="str">
        <f aca="false">IF(OR($A243="",$P243=""),"",($P243-FinanceLeadDays)-MOD(($P243-FinanceLeadDays)-DATE(2024,1,2),7))</f>
        <v/>
      </c>
      <c r="AU243" s="28"/>
      <c r="AV243" s="27"/>
      <c r="AW243" s="27"/>
      <c r="AX243" s="30" t="n">
        <f aca="false">IF(OR($A243="",$B243="Denied",$B243="Cancelled"),0,N($AD243))</f>
        <v>0</v>
      </c>
      <c r="AY243" s="30" t="n">
        <f aca="false">IF($A243="",0,N($AJ243))</f>
        <v>0</v>
      </c>
      <c r="AZ243" s="30" t="n">
        <f aca="false">IF(OR($A243="",$B243="Denied",$B243="Cancelled",$B243="Closed"),0,IF(N($AJ243)&gt;0,0,N($AD243)))</f>
        <v>0</v>
      </c>
      <c r="BA243" s="31" t="n">
        <f aca="false">IF($A243="",0,IF($B243="Awaiting Approval",COUNTIF(BA$1:BA242,"&gt;0")+1,0))</f>
        <v>0</v>
      </c>
      <c r="BB243" s="31" t="n">
        <f aca="false">IF($A243="",0,IF(AND($B243="Approved",$AP243&lt;&gt;"Y"),COUNTIF(BB$1:BB242,"&gt;0")+1,0))</f>
        <v>0</v>
      </c>
      <c r="BC243" s="31" t="n">
        <f aca="false">IF($A243="",0,IF(AND($B243="Approved",N($U243)&gt;0,$AQ243&lt;&gt;"Y"),COUNTIF(BC$1:BC242,"&gt;0")+1,0))</f>
        <v>0</v>
      </c>
      <c r="BD243" s="31" t="n">
        <f aca="true">IF($A243="",0,IF(AND($AR243&lt;&gt;"",N($AR243)&lt;TODAY(),$AS243="",$B243&lt;&gt;"Closed",$B243&lt;&gt;"Cancelled",$B243&lt;&gt;"Denied"),COUNTIF(BD$1:BD242,"&gt;0")+1,0))</f>
        <v>0</v>
      </c>
      <c r="BE243" s="31" t="n">
        <f aca="true">IF($A243="",0,IF(AND($AT243&lt;&gt;"",N($AT243)&lt;=TODAY()+7,$AU243="",$B243&lt;&gt;"Denied",$B243&lt;&gt;"Cancelled",$B243&lt;&gt;"Closed"),COUNTIF(BE$1:BE242,"&gt;0")+1,0))</f>
        <v>0</v>
      </c>
      <c r="BF243" s="27"/>
      <c r="BG243" s="27"/>
      <c r="BH243" s="27"/>
      <c r="BI243" s="27"/>
    </row>
    <row r="244" customFormat="false" ht="15" hidden="false" customHeight="false" outlineLevel="0" collapsed="false">
      <c r="A244" s="22"/>
      <c r="B244" s="22"/>
      <c r="C244" s="22"/>
      <c r="D244" s="22"/>
      <c r="E244" s="22"/>
      <c r="F244" s="22"/>
      <c r="G244" s="22"/>
      <c r="H244" s="22"/>
      <c r="I244" s="22"/>
      <c r="J244" s="22"/>
      <c r="K244" s="22"/>
      <c r="L244" s="22"/>
      <c r="M244" s="22"/>
      <c r="N244" s="23"/>
      <c r="O244" s="23"/>
      <c r="P244" s="23"/>
      <c r="Q244" s="24"/>
      <c r="R244" s="23"/>
      <c r="S244" s="24"/>
      <c r="T244" s="25"/>
      <c r="U244" s="26"/>
      <c r="V244" s="25"/>
      <c r="W244" s="25" t="str">
        <f aca="false">IF($A244="","",N($U244)*N($V244))</f>
        <v/>
      </c>
      <c r="X244" s="22"/>
      <c r="Y244" s="26"/>
      <c r="Z244" s="25"/>
      <c r="AA244" s="25" t="str">
        <f aca="false">IF($A244="","",IF($X244="POV",N($Y244)*MileageRate,0)+N($Z244))</f>
        <v/>
      </c>
      <c r="AB244" s="25" t="str">
        <f aca="false">IF(OR($A244="",$P244="",$R244="",$Q244="",$S244=""),"",IF($R244=$P244,($Q244&lt;=T_DepBfast)*($S244&gt;=T_RetBfast)*PD_Bfast+($Q244&lt;=T_DepLunch)*($S244&gt;=T_RetLunch)*PD_Lunch+($Q244&lt;=T_DepDinner)*($S244&gt;=T_RetDinner)*PD_Dinner+PD_Incid,($Q244&lt;=T_DepBfast)*PD_Bfast+($Q244&lt;=T_DepLunch)*PD_Lunch+($Q244&lt;=T_DepDinner)*PD_Dinner+($S244&gt;=T_RetBfast)*PD_Bfast+($S244&gt;=T_RetLunch)*PD_Lunch+($S244&gt;=T_RetDinner)*PD_Dinner+MAX($R244-$P244-1,0)*(PD_Bfast+PD_Lunch+PD_Dinner)+($R244-$P244+1)*PD_Incid))</f>
        <v/>
      </c>
      <c r="AC244" s="25"/>
      <c r="AD244" s="25" t="str">
        <f aca="false">IF($A244="","",N($T244)+N($W244)+N($AA244)+N($AB244)+N($AC244))</f>
        <v/>
      </c>
      <c r="AE244" s="25"/>
      <c r="AF244" s="25"/>
      <c r="AG244" s="25"/>
      <c r="AH244" s="25"/>
      <c r="AI244" s="25"/>
      <c r="AJ244" s="25" t="str">
        <f aca="false">IF($A244="","",IF(COUNT($AE244:$AI244)=0,"",SUM($AE244:$AI244)))</f>
        <v/>
      </c>
      <c r="AK244" s="25"/>
      <c r="AL244" s="25"/>
      <c r="AM244" s="25" t="str">
        <f aca="false">IF(OR($A244="",$AJ244=""),"",$AJ244-N($AK244)-N($AL244))</f>
        <v/>
      </c>
      <c r="AN244" s="23"/>
      <c r="AO244" s="23"/>
      <c r="AP244" s="22"/>
      <c r="AQ244" s="22"/>
      <c r="AR244" s="23" t="str">
        <f aca="false">IF(OR($A244="",$R244=""),"",$R244+ReceiptDays)</f>
        <v/>
      </c>
      <c r="AS244" s="23"/>
      <c r="AT244" s="23" t="str">
        <f aca="false">IF(OR($A244="",$P244=""),"",($P244-FinanceLeadDays)-MOD(($P244-FinanceLeadDays)-DATE(2024,1,2),7))</f>
        <v/>
      </c>
      <c r="AU244" s="23"/>
      <c r="AV244" s="22"/>
      <c r="AW244" s="22"/>
      <c r="AX244" s="25" t="n">
        <f aca="false">IF(OR($A244="",$B244="Denied",$B244="Cancelled"),0,N($AD244))</f>
        <v>0</v>
      </c>
      <c r="AY244" s="25" t="n">
        <f aca="false">IF($A244="",0,N($AJ244))</f>
        <v>0</v>
      </c>
      <c r="AZ244" s="25" t="n">
        <f aca="false">IF(OR($A244="",$B244="Denied",$B244="Cancelled",$B244="Closed"),0,IF(N($AJ244)&gt;0,0,N($AD244)))</f>
        <v>0</v>
      </c>
      <c r="BA244" s="26" t="n">
        <f aca="false">IF($A244="",0,IF($B244="Awaiting Approval",COUNTIF(BA$1:BA243,"&gt;0")+1,0))</f>
        <v>0</v>
      </c>
      <c r="BB244" s="26" t="n">
        <f aca="false">IF($A244="",0,IF(AND($B244="Approved",$AP244&lt;&gt;"Y"),COUNTIF(BB$1:BB243,"&gt;0")+1,0))</f>
        <v>0</v>
      </c>
      <c r="BC244" s="26" t="n">
        <f aca="false">IF($A244="",0,IF(AND($B244="Approved",N($U244)&gt;0,$AQ244&lt;&gt;"Y"),COUNTIF(BC$1:BC243,"&gt;0")+1,0))</f>
        <v>0</v>
      </c>
      <c r="BD244" s="26" t="n">
        <f aca="true">IF($A244="",0,IF(AND($AR244&lt;&gt;"",N($AR244)&lt;TODAY(),$AS244="",$B244&lt;&gt;"Closed",$B244&lt;&gt;"Cancelled",$B244&lt;&gt;"Denied"),COUNTIF(BD$1:BD243,"&gt;0")+1,0))</f>
        <v>0</v>
      </c>
      <c r="BE244" s="26" t="n">
        <f aca="true">IF($A244="",0,IF(AND($AT244&lt;&gt;"",N($AT244)&lt;=TODAY()+7,$AU244="",$B244&lt;&gt;"Denied",$B244&lt;&gt;"Cancelled",$B244&lt;&gt;"Closed"),COUNTIF(BE$1:BE243,"&gt;0")+1,0))</f>
        <v>0</v>
      </c>
      <c r="BF244" s="22"/>
      <c r="BG244" s="22"/>
      <c r="BH244" s="22"/>
      <c r="BI244" s="22"/>
    </row>
    <row r="245" customFormat="false" ht="15" hidden="false" customHeight="false" outlineLevel="0" collapsed="false">
      <c r="A245" s="27"/>
      <c r="B245" s="27"/>
      <c r="C245" s="27"/>
      <c r="D245" s="27"/>
      <c r="E245" s="27"/>
      <c r="F245" s="27"/>
      <c r="G245" s="27"/>
      <c r="H245" s="27"/>
      <c r="I245" s="27"/>
      <c r="J245" s="27"/>
      <c r="K245" s="27"/>
      <c r="L245" s="27"/>
      <c r="M245" s="27"/>
      <c r="N245" s="28"/>
      <c r="O245" s="28"/>
      <c r="P245" s="28"/>
      <c r="Q245" s="29"/>
      <c r="R245" s="28"/>
      <c r="S245" s="29"/>
      <c r="T245" s="30"/>
      <c r="U245" s="31"/>
      <c r="V245" s="30"/>
      <c r="W245" s="30" t="str">
        <f aca="false">IF($A245="","",N($U245)*N($V245))</f>
        <v/>
      </c>
      <c r="X245" s="27"/>
      <c r="Y245" s="31"/>
      <c r="Z245" s="30"/>
      <c r="AA245" s="30" t="str">
        <f aca="false">IF($A245="","",IF($X245="POV",N($Y245)*MileageRate,0)+N($Z245))</f>
        <v/>
      </c>
      <c r="AB245" s="30" t="str">
        <f aca="false">IF(OR($A245="",$P245="",$R245="",$Q245="",$S245=""),"",IF($R245=$P245,($Q245&lt;=T_DepBfast)*($S245&gt;=T_RetBfast)*PD_Bfast+($Q245&lt;=T_DepLunch)*($S245&gt;=T_RetLunch)*PD_Lunch+($Q245&lt;=T_DepDinner)*($S245&gt;=T_RetDinner)*PD_Dinner+PD_Incid,($Q245&lt;=T_DepBfast)*PD_Bfast+($Q245&lt;=T_DepLunch)*PD_Lunch+($Q245&lt;=T_DepDinner)*PD_Dinner+($S245&gt;=T_RetBfast)*PD_Bfast+($S245&gt;=T_RetLunch)*PD_Lunch+($S245&gt;=T_RetDinner)*PD_Dinner+MAX($R245-$P245-1,0)*(PD_Bfast+PD_Lunch+PD_Dinner)+($R245-$P245+1)*PD_Incid))</f>
        <v/>
      </c>
      <c r="AC245" s="30"/>
      <c r="AD245" s="30" t="str">
        <f aca="false">IF($A245="","",N($T245)+N($W245)+N($AA245)+N($AB245)+N($AC245))</f>
        <v/>
      </c>
      <c r="AE245" s="30"/>
      <c r="AF245" s="30"/>
      <c r="AG245" s="30"/>
      <c r="AH245" s="30"/>
      <c r="AI245" s="30"/>
      <c r="AJ245" s="30" t="str">
        <f aca="false">IF($A245="","",IF(COUNT($AE245:$AI245)=0,"",SUM($AE245:$AI245)))</f>
        <v/>
      </c>
      <c r="AK245" s="30"/>
      <c r="AL245" s="30"/>
      <c r="AM245" s="30" t="str">
        <f aca="false">IF(OR($A245="",$AJ245=""),"",$AJ245-N($AK245)-N($AL245))</f>
        <v/>
      </c>
      <c r="AN245" s="28"/>
      <c r="AO245" s="28"/>
      <c r="AP245" s="27"/>
      <c r="AQ245" s="27"/>
      <c r="AR245" s="28" t="str">
        <f aca="false">IF(OR($A245="",$R245=""),"",$R245+ReceiptDays)</f>
        <v/>
      </c>
      <c r="AS245" s="28"/>
      <c r="AT245" s="28" t="str">
        <f aca="false">IF(OR($A245="",$P245=""),"",($P245-FinanceLeadDays)-MOD(($P245-FinanceLeadDays)-DATE(2024,1,2),7))</f>
        <v/>
      </c>
      <c r="AU245" s="28"/>
      <c r="AV245" s="27"/>
      <c r="AW245" s="27"/>
      <c r="AX245" s="30" t="n">
        <f aca="false">IF(OR($A245="",$B245="Denied",$B245="Cancelled"),0,N($AD245))</f>
        <v>0</v>
      </c>
      <c r="AY245" s="30" t="n">
        <f aca="false">IF($A245="",0,N($AJ245))</f>
        <v>0</v>
      </c>
      <c r="AZ245" s="30" t="n">
        <f aca="false">IF(OR($A245="",$B245="Denied",$B245="Cancelled",$B245="Closed"),0,IF(N($AJ245)&gt;0,0,N($AD245)))</f>
        <v>0</v>
      </c>
      <c r="BA245" s="31" t="n">
        <f aca="false">IF($A245="",0,IF($B245="Awaiting Approval",COUNTIF(BA$1:BA244,"&gt;0")+1,0))</f>
        <v>0</v>
      </c>
      <c r="BB245" s="31" t="n">
        <f aca="false">IF($A245="",0,IF(AND($B245="Approved",$AP245&lt;&gt;"Y"),COUNTIF(BB$1:BB244,"&gt;0")+1,0))</f>
        <v>0</v>
      </c>
      <c r="BC245" s="31" t="n">
        <f aca="false">IF($A245="",0,IF(AND($B245="Approved",N($U245)&gt;0,$AQ245&lt;&gt;"Y"),COUNTIF(BC$1:BC244,"&gt;0")+1,0))</f>
        <v>0</v>
      </c>
      <c r="BD245" s="31" t="n">
        <f aca="true">IF($A245="",0,IF(AND($AR245&lt;&gt;"",N($AR245)&lt;TODAY(),$AS245="",$B245&lt;&gt;"Closed",$B245&lt;&gt;"Cancelled",$B245&lt;&gt;"Denied"),COUNTIF(BD$1:BD244,"&gt;0")+1,0))</f>
        <v>0</v>
      </c>
      <c r="BE245" s="31" t="n">
        <f aca="true">IF($A245="",0,IF(AND($AT245&lt;&gt;"",N($AT245)&lt;=TODAY()+7,$AU245="",$B245&lt;&gt;"Denied",$B245&lt;&gt;"Cancelled",$B245&lt;&gt;"Closed"),COUNTIF(BE$1:BE244,"&gt;0")+1,0))</f>
        <v>0</v>
      </c>
      <c r="BF245" s="27"/>
      <c r="BG245" s="27"/>
      <c r="BH245" s="27"/>
      <c r="BI245" s="27"/>
    </row>
    <row r="246" customFormat="false" ht="15" hidden="false" customHeight="false" outlineLevel="0" collapsed="false">
      <c r="A246" s="22"/>
      <c r="B246" s="22"/>
      <c r="C246" s="22"/>
      <c r="D246" s="22"/>
      <c r="E246" s="22"/>
      <c r="F246" s="22"/>
      <c r="G246" s="22"/>
      <c r="H246" s="22"/>
      <c r="I246" s="22"/>
      <c r="J246" s="22"/>
      <c r="K246" s="22"/>
      <c r="L246" s="22"/>
      <c r="M246" s="22"/>
      <c r="N246" s="23"/>
      <c r="O246" s="23"/>
      <c r="P246" s="23"/>
      <c r="Q246" s="24"/>
      <c r="R246" s="23"/>
      <c r="S246" s="24"/>
      <c r="T246" s="25"/>
      <c r="U246" s="26"/>
      <c r="V246" s="25"/>
      <c r="W246" s="25" t="str">
        <f aca="false">IF($A246="","",N($U246)*N($V246))</f>
        <v/>
      </c>
      <c r="X246" s="22"/>
      <c r="Y246" s="26"/>
      <c r="Z246" s="25"/>
      <c r="AA246" s="25" t="str">
        <f aca="false">IF($A246="","",IF($X246="POV",N($Y246)*MileageRate,0)+N($Z246))</f>
        <v/>
      </c>
      <c r="AB246" s="25" t="str">
        <f aca="false">IF(OR($A246="",$P246="",$R246="",$Q246="",$S246=""),"",IF($R246=$P246,($Q246&lt;=T_DepBfast)*($S246&gt;=T_RetBfast)*PD_Bfast+($Q246&lt;=T_DepLunch)*($S246&gt;=T_RetLunch)*PD_Lunch+($Q246&lt;=T_DepDinner)*($S246&gt;=T_RetDinner)*PD_Dinner+PD_Incid,($Q246&lt;=T_DepBfast)*PD_Bfast+($Q246&lt;=T_DepLunch)*PD_Lunch+($Q246&lt;=T_DepDinner)*PD_Dinner+($S246&gt;=T_RetBfast)*PD_Bfast+($S246&gt;=T_RetLunch)*PD_Lunch+($S246&gt;=T_RetDinner)*PD_Dinner+MAX($R246-$P246-1,0)*(PD_Bfast+PD_Lunch+PD_Dinner)+($R246-$P246+1)*PD_Incid))</f>
        <v/>
      </c>
      <c r="AC246" s="25"/>
      <c r="AD246" s="25" t="str">
        <f aca="false">IF($A246="","",N($T246)+N($W246)+N($AA246)+N($AB246)+N($AC246))</f>
        <v/>
      </c>
      <c r="AE246" s="25"/>
      <c r="AF246" s="25"/>
      <c r="AG246" s="25"/>
      <c r="AH246" s="25"/>
      <c r="AI246" s="25"/>
      <c r="AJ246" s="25" t="str">
        <f aca="false">IF($A246="","",IF(COUNT($AE246:$AI246)=0,"",SUM($AE246:$AI246)))</f>
        <v/>
      </c>
      <c r="AK246" s="25"/>
      <c r="AL246" s="25"/>
      <c r="AM246" s="25" t="str">
        <f aca="false">IF(OR($A246="",$AJ246=""),"",$AJ246-N($AK246)-N($AL246))</f>
        <v/>
      </c>
      <c r="AN246" s="23"/>
      <c r="AO246" s="23"/>
      <c r="AP246" s="22"/>
      <c r="AQ246" s="22"/>
      <c r="AR246" s="23" t="str">
        <f aca="false">IF(OR($A246="",$R246=""),"",$R246+ReceiptDays)</f>
        <v/>
      </c>
      <c r="AS246" s="23"/>
      <c r="AT246" s="23" t="str">
        <f aca="false">IF(OR($A246="",$P246=""),"",($P246-FinanceLeadDays)-MOD(($P246-FinanceLeadDays)-DATE(2024,1,2),7))</f>
        <v/>
      </c>
      <c r="AU246" s="23"/>
      <c r="AV246" s="22"/>
      <c r="AW246" s="22"/>
      <c r="AX246" s="25" t="n">
        <f aca="false">IF(OR($A246="",$B246="Denied",$B246="Cancelled"),0,N($AD246))</f>
        <v>0</v>
      </c>
      <c r="AY246" s="25" t="n">
        <f aca="false">IF($A246="",0,N($AJ246))</f>
        <v>0</v>
      </c>
      <c r="AZ246" s="25" t="n">
        <f aca="false">IF(OR($A246="",$B246="Denied",$B246="Cancelled",$B246="Closed"),0,IF(N($AJ246)&gt;0,0,N($AD246)))</f>
        <v>0</v>
      </c>
      <c r="BA246" s="26" t="n">
        <f aca="false">IF($A246="",0,IF($B246="Awaiting Approval",COUNTIF(BA$1:BA245,"&gt;0")+1,0))</f>
        <v>0</v>
      </c>
      <c r="BB246" s="26" t="n">
        <f aca="false">IF($A246="",0,IF(AND($B246="Approved",$AP246&lt;&gt;"Y"),COUNTIF(BB$1:BB245,"&gt;0")+1,0))</f>
        <v>0</v>
      </c>
      <c r="BC246" s="26" t="n">
        <f aca="false">IF($A246="",0,IF(AND($B246="Approved",N($U246)&gt;0,$AQ246&lt;&gt;"Y"),COUNTIF(BC$1:BC245,"&gt;0")+1,0))</f>
        <v>0</v>
      </c>
      <c r="BD246" s="26" t="n">
        <f aca="true">IF($A246="",0,IF(AND($AR246&lt;&gt;"",N($AR246)&lt;TODAY(),$AS246="",$B246&lt;&gt;"Closed",$B246&lt;&gt;"Cancelled",$B246&lt;&gt;"Denied"),COUNTIF(BD$1:BD245,"&gt;0")+1,0))</f>
        <v>0</v>
      </c>
      <c r="BE246" s="26" t="n">
        <f aca="true">IF($A246="",0,IF(AND($AT246&lt;&gt;"",N($AT246)&lt;=TODAY()+7,$AU246="",$B246&lt;&gt;"Denied",$B246&lt;&gt;"Cancelled",$B246&lt;&gt;"Closed"),COUNTIF(BE$1:BE245,"&gt;0")+1,0))</f>
        <v>0</v>
      </c>
      <c r="BF246" s="22"/>
      <c r="BG246" s="22"/>
      <c r="BH246" s="22"/>
      <c r="BI246" s="22"/>
    </row>
    <row r="247" customFormat="false" ht="15" hidden="false" customHeight="false" outlineLevel="0" collapsed="false">
      <c r="A247" s="27"/>
      <c r="B247" s="27"/>
      <c r="C247" s="27"/>
      <c r="D247" s="27"/>
      <c r="E247" s="27"/>
      <c r="F247" s="27"/>
      <c r="G247" s="27"/>
      <c r="H247" s="27"/>
      <c r="I247" s="27"/>
      <c r="J247" s="27"/>
      <c r="K247" s="27"/>
      <c r="L247" s="27"/>
      <c r="M247" s="27"/>
      <c r="N247" s="28"/>
      <c r="O247" s="28"/>
      <c r="P247" s="28"/>
      <c r="Q247" s="29"/>
      <c r="R247" s="28"/>
      <c r="S247" s="29"/>
      <c r="T247" s="30"/>
      <c r="U247" s="31"/>
      <c r="V247" s="30"/>
      <c r="W247" s="30" t="str">
        <f aca="false">IF($A247="","",N($U247)*N($V247))</f>
        <v/>
      </c>
      <c r="X247" s="27"/>
      <c r="Y247" s="31"/>
      <c r="Z247" s="30"/>
      <c r="AA247" s="30" t="str">
        <f aca="false">IF($A247="","",IF($X247="POV",N($Y247)*MileageRate,0)+N($Z247))</f>
        <v/>
      </c>
      <c r="AB247" s="30" t="str">
        <f aca="false">IF(OR($A247="",$P247="",$R247="",$Q247="",$S247=""),"",IF($R247=$P247,($Q247&lt;=T_DepBfast)*($S247&gt;=T_RetBfast)*PD_Bfast+($Q247&lt;=T_DepLunch)*($S247&gt;=T_RetLunch)*PD_Lunch+($Q247&lt;=T_DepDinner)*($S247&gt;=T_RetDinner)*PD_Dinner+PD_Incid,($Q247&lt;=T_DepBfast)*PD_Bfast+($Q247&lt;=T_DepLunch)*PD_Lunch+($Q247&lt;=T_DepDinner)*PD_Dinner+($S247&gt;=T_RetBfast)*PD_Bfast+($S247&gt;=T_RetLunch)*PD_Lunch+($S247&gt;=T_RetDinner)*PD_Dinner+MAX($R247-$P247-1,0)*(PD_Bfast+PD_Lunch+PD_Dinner)+($R247-$P247+1)*PD_Incid))</f>
        <v/>
      </c>
      <c r="AC247" s="30"/>
      <c r="AD247" s="30" t="str">
        <f aca="false">IF($A247="","",N($T247)+N($W247)+N($AA247)+N($AB247)+N($AC247))</f>
        <v/>
      </c>
      <c r="AE247" s="30"/>
      <c r="AF247" s="30"/>
      <c r="AG247" s="30"/>
      <c r="AH247" s="30"/>
      <c r="AI247" s="30"/>
      <c r="AJ247" s="30" t="str">
        <f aca="false">IF($A247="","",IF(COUNT($AE247:$AI247)=0,"",SUM($AE247:$AI247)))</f>
        <v/>
      </c>
      <c r="AK247" s="30"/>
      <c r="AL247" s="30"/>
      <c r="AM247" s="30" t="str">
        <f aca="false">IF(OR($A247="",$AJ247=""),"",$AJ247-N($AK247)-N($AL247))</f>
        <v/>
      </c>
      <c r="AN247" s="28"/>
      <c r="AO247" s="28"/>
      <c r="AP247" s="27"/>
      <c r="AQ247" s="27"/>
      <c r="AR247" s="28" t="str">
        <f aca="false">IF(OR($A247="",$R247=""),"",$R247+ReceiptDays)</f>
        <v/>
      </c>
      <c r="AS247" s="28"/>
      <c r="AT247" s="28" t="str">
        <f aca="false">IF(OR($A247="",$P247=""),"",($P247-FinanceLeadDays)-MOD(($P247-FinanceLeadDays)-DATE(2024,1,2),7))</f>
        <v/>
      </c>
      <c r="AU247" s="28"/>
      <c r="AV247" s="27"/>
      <c r="AW247" s="27"/>
      <c r="AX247" s="30" t="n">
        <f aca="false">IF(OR($A247="",$B247="Denied",$B247="Cancelled"),0,N($AD247))</f>
        <v>0</v>
      </c>
      <c r="AY247" s="30" t="n">
        <f aca="false">IF($A247="",0,N($AJ247))</f>
        <v>0</v>
      </c>
      <c r="AZ247" s="30" t="n">
        <f aca="false">IF(OR($A247="",$B247="Denied",$B247="Cancelled",$B247="Closed"),0,IF(N($AJ247)&gt;0,0,N($AD247)))</f>
        <v>0</v>
      </c>
      <c r="BA247" s="31" t="n">
        <f aca="false">IF($A247="",0,IF($B247="Awaiting Approval",COUNTIF(BA$1:BA246,"&gt;0")+1,0))</f>
        <v>0</v>
      </c>
      <c r="BB247" s="31" t="n">
        <f aca="false">IF($A247="",0,IF(AND($B247="Approved",$AP247&lt;&gt;"Y"),COUNTIF(BB$1:BB246,"&gt;0")+1,0))</f>
        <v>0</v>
      </c>
      <c r="BC247" s="31" t="n">
        <f aca="false">IF($A247="",0,IF(AND($B247="Approved",N($U247)&gt;0,$AQ247&lt;&gt;"Y"),COUNTIF(BC$1:BC246,"&gt;0")+1,0))</f>
        <v>0</v>
      </c>
      <c r="BD247" s="31" t="n">
        <f aca="true">IF($A247="",0,IF(AND($AR247&lt;&gt;"",N($AR247)&lt;TODAY(),$AS247="",$B247&lt;&gt;"Closed",$B247&lt;&gt;"Cancelled",$B247&lt;&gt;"Denied"),COUNTIF(BD$1:BD246,"&gt;0")+1,0))</f>
        <v>0</v>
      </c>
      <c r="BE247" s="31" t="n">
        <f aca="true">IF($A247="",0,IF(AND($AT247&lt;&gt;"",N($AT247)&lt;=TODAY()+7,$AU247="",$B247&lt;&gt;"Denied",$B247&lt;&gt;"Cancelled",$B247&lt;&gt;"Closed"),COUNTIF(BE$1:BE246,"&gt;0")+1,0))</f>
        <v>0</v>
      </c>
      <c r="BF247" s="27"/>
      <c r="BG247" s="27"/>
      <c r="BH247" s="27"/>
      <c r="BI247" s="27"/>
    </row>
    <row r="248" customFormat="false" ht="15" hidden="false" customHeight="false" outlineLevel="0" collapsed="false">
      <c r="A248" s="22"/>
      <c r="B248" s="22"/>
      <c r="C248" s="22"/>
      <c r="D248" s="22"/>
      <c r="E248" s="22"/>
      <c r="F248" s="22"/>
      <c r="G248" s="22"/>
      <c r="H248" s="22"/>
      <c r="I248" s="22"/>
      <c r="J248" s="22"/>
      <c r="K248" s="22"/>
      <c r="L248" s="22"/>
      <c r="M248" s="22"/>
      <c r="N248" s="23"/>
      <c r="O248" s="23"/>
      <c r="P248" s="23"/>
      <c r="Q248" s="24"/>
      <c r="R248" s="23"/>
      <c r="S248" s="24"/>
      <c r="T248" s="25"/>
      <c r="U248" s="26"/>
      <c r="V248" s="25"/>
      <c r="W248" s="25" t="str">
        <f aca="false">IF($A248="","",N($U248)*N($V248))</f>
        <v/>
      </c>
      <c r="X248" s="22"/>
      <c r="Y248" s="26"/>
      <c r="Z248" s="25"/>
      <c r="AA248" s="25" t="str">
        <f aca="false">IF($A248="","",IF($X248="POV",N($Y248)*MileageRate,0)+N($Z248))</f>
        <v/>
      </c>
      <c r="AB248" s="25" t="str">
        <f aca="false">IF(OR($A248="",$P248="",$R248="",$Q248="",$S248=""),"",IF($R248=$P248,($Q248&lt;=T_DepBfast)*($S248&gt;=T_RetBfast)*PD_Bfast+($Q248&lt;=T_DepLunch)*($S248&gt;=T_RetLunch)*PD_Lunch+($Q248&lt;=T_DepDinner)*($S248&gt;=T_RetDinner)*PD_Dinner+PD_Incid,($Q248&lt;=T_DepBfast)*PD_Bfast+($Q248&lt;=T_DepLunch)*PD_Lunch+($Q248&lt;=T_DepDinner)*PD_Dinner+($S248&gt;=T_RetBfast)*PD_Bfast+($S248&gt;=T_RetLunch)*PD_Lunch+($S248&gt;=T_RetDinner)*PD_Dinner+MAX($R248-$P248-1,0)*(PD_Bfast+PD_Lunch+PD_Dinner)+($R248-$P248+1)*PD_Incid))</f>
        <v/>
      </c>
      <c r="AC248" s="25"/>
      <c r="AD248" s="25" t="str">
        <f aca="false">IF($A248="","",N($T248)+N($W248)+N($AA248)+N($AB248)+N($AC248))</f>
        <v/>
      </c>
      <c r="AE248" s="25"/>
      <c r="AF248" s="25"/>
      <c r="AG248" s="25"/>
      <c r="AH248" s="25"/>
      <c r="AI248" s="25"/>
      <c r="AJ248" s="25" t="str">
        <f aca="false">IF($A248="","",IF(COUNT($AE248:$AI248)=0,"",SUM($AE248:$AI248)))</f>
        <v/>
      </c>
      <c r="AK248" s="25"/>
      <c r="AL248" s="25"/>
      <c r="AM248" s="25" t="str">
        <f aca="false">IF(OR($A248="",$AJ248=""),"",$AJ248-N($AK248)-N($AL248))</f>
        <v/>
      </c>
      <c r="AN248" s="23"/>
      <c r="AO248" s="23"/>
      <c r="AP248" s="22"/>
      <c r="AQ248" s="22"/>
      <c r="AR248" s="23" t="str">
        <f aca="false">IF(OR($A248="",$R248=""),"",$R248+ReceiptDays)</f>
        <v/>
      </c>
      <c r="AS248" s="23"/>
      <c r="AT248" s="23" t="str">
        <f aca="false">IF(OR($A248="",$P248=""),"",($P248-FinanceLeadDays)-MOD(($P248-FinanceLeadDays)-DATE(2024,1,2),7))</f>
        <v/>
      </c>
      <c r="AU248" s="23"/>
      <c r="AV248" s="22"/>
      <c r="AW248" s="22"/>
      <c r="AX248" s="25" t="n">
        <f aca="false">IF(OR($A248="",$B248="Denied",$B248="Cancelled"),0,N($AD248))</f>
        <v>0</v>
      </c>
      <c r="AY248" s="25" t="n">
        <f aca="false">IF($A248="",0,N($AJ248))</f>
        <v>0</v>
      </c>
      <c r="AZ248" s="25" t="n">
        <f aca="false">IF(OR($A248="",$B248="Denied",$B248="Cancelled",$B248="Closed"),0,IF(N($AJ248)&gt;0,0,N($AD248)))</f>
        <v>0</v>
      </c>
      <c r="BA248" s="26" t="n">
        <f aca="false">IF($A248="",0,IF($B248="Awaiting Approval",COUNTIF(BA$1:BA247,"&gt;0")+1,0))</f>
        <v>0</v>
      </c>
      <c r="BB248" s="26" t="n">
        <f aca="false">IF($A248="",0,IF(AND($B248="Approved",$AP248&lt;&gt;"Y"),COUNTIF(BB$1:BB247,"&gt;0")+1,0))</f>
        <v>0</v>
      </c>
      <c r="BC248" s="26" t="n">
        <f aca="false">IF($A248="",0,IF(AND($B248="Approved",N($U248)&gt;0,$AQ248&lt;&gt;"Y"),COUNTIF(BC$1:BC247,"&gt;0")+1,0))</f>
        <v>0</v>
      </c>
      <c r="BD248" s="26" t="n">
        <f aca="true">IF($A248="",0,IF(AND($AR248&lt;&gt;"",N($AR248)&lt;TODAY(),$AS248="",$B248&lt;&gt;"Closed",$B248&lt;&gt;"Cancelled",$B248&lt;&gt;"Denied"),COUNTIF(BD$1:BD247,"&gt;0")+1,0))</f>
        <v>0</v>
      </c>
      <c r="BE248" s="26" t="n">
        <f aca="true">IF($A248="",0,IF(AND($AT248&lt;&gt;"",N($AT248)&lt;=TODAY()+7,$AU248="",$B248&lt;&gt;"Denied",$B248&lt;&gt;"Cancelled",$B248&lt;&gt;"Closed"),COUNTIF(BE$1:BE247,"&gt;0")+1,0))</f>
        <v>0</v>
      </c>
      <c r="BF248" s="22"/>
      <c r="BG248" s="22"/>
      <c r="BH248" s="22"/>
      <c r="BI248" s="22"/>
    </row>
    <row r="249" customFormat="false" ht="15" hidden="false" customHeight="false" outlineLevel="0" collapsed="false">
      <c r="A249" s="27"/>
      <c r="B249" s="27"/>
      <c r="C249" s="27"/>
      <c r="D249" s="27"/>
      <c r="E249" s="27"/>
      <c r="F249" s="27"/>
      <c r="G249" s="27"/>
      <c r="H249" s="27"/>
      <c r="I249" s="27"/>
      <c r="J249" s="27"/>
      <c r="K249" s="27"/>
      <c r="L249" s="27"/>
      <c r="M249" s="27"/>
      <c r="N249" s="28"/>
      <c r="O249" s="28"/>
      <c r="P249" s="28"/>
      <c r="Q249" s="29"/>
      <c r="R249" s="28"/>
      <c r="S249" s="29"/>
      <c r="T249" s="30"/>
      <c r="U249" s="31"/>
      <c r="V249" s="30"/>
      <c r="W249" s="30" t="str">
        <f aca="false">IF($A249="","",N($U249)*N($V249))</f>
        <v/>
      </c>
      <c r="X249" s="27"/>
      <c r="Y249" s="31"/>
      <c r="Z249" s="30"/>
      <c r="AA249" s="30" t="str">
        <f aca="false">IF($A249="","",IF($X249="POV",N($Y249)*MileageRate,0)+N($Z249))</f>
        <v/>
      </c>
      <c r="AB249" s="30" t="str">
        <f aca="false">IF(OR($A249="",$P249="",$R249="",$Q249="",$S249=""),"",IF($R249=$P249,($Q249&lt;=T_DepBfast)*($S249&gt;=T_RetBfast)*PD_Bfast+($Q249&lt;=T_DepLunch)*($S249&gt;=T_RetLunch)*PD_Lunch+($Q249&lt;=T_DepDinner)*($S249&gt;=T_RetDinner)*PD_Dinner+PD_Incid,($Q249&lt;=T_DepBfast)*PD_Bfast+($Q249&lt;=T_DepLunch)*PD_Lunch+($Q249&lt;=T_DepDinner)*PD_Dinner+($S249&gt;=T_RetBfast)*PD_Bfast+($S249&gt;=T_RetLunch)*PD_Lunch+($S249&gt;=T_RetDinner)*PD_Dinner+MAX($R249-$P249-1,0)*(PD_Bfast+PD_Lunch+PD_Dinner)+($R249-$P249+1)*PD_Incid))</f>
        <v/>
      </c>
      <c r="AC249" s="30"/>
      <c r="AD249" s="30" t="str">
        <f aca="false">IF($A249="","",N($T249)+N($W249)+N($AA249)+N($AB249)+N($AC249))</f>
        <v/>
      </c>
      <c r="AE249" s="30"/>
      <c r="AF249" s="30"/>
      <c r="AG249" s="30"/>
      <c r="AH249" s="30"/>
      <c r="AI249" s="30"/>
      <c r="AJ249" s="30" t="str">
        <f aca="false">IF($A249="","",IF(COUNT($AE249:$AI249)=0,"",SUM($AE249:$AI249)))</f>
        <v/>
      </c>
      <c r="AK249" s="30"/>
      <c r="AL249" s="30"/>
      <c r="AM249" s="30" t="str">
        <f aca="false">IF(OR($A249="",$AJ249=""),"",$AJ249-N($AK249)-N($AL249))</f>
        <v/>
      </c>
      <c r="AN249" s="28"/>
      <c r="AO249" s="28"/>
      <c r="AP249" s="27"/>
      <c r="AQ249" s="27"/>
      <c r="AR249" s="28" t="str">
        <f aca="false">IF(OR($A249="",$R249=""),"",$R249+ReceiptDays)</f>
        <v/>
      </c>
      <c r="AS249" s="28"/>
      <c r="AT249" s="28" t="str">
        <f aca="false">IF(OR($A249="",$P249=""),"",($P249-FinanceLeadDays)-MOD(($P249-FinanceLeadDays)-DATE(2024,1,2),7))</f>
        <v/>
      </c>
      <c r="AU249" s="28"/>
      <c r="AV249" s="27"/>
      <c r="AW249" s="27"/>
      <c r="AX249" s="30" t="n">
        <f aca="false">IF(OR($A249="",$B249="Denied",$B249="Cancelled"),0,N($AD249))</f>
        <v>0</v>
      </c>
      <c r="AY249" s="30" t="n">
        <f aca="false">IF($A249="",0,N($AJ249))</f>
        <v>0</v>
      </c>
      <c r="AZ249" s="30" t="n">
        <f aca="false">IF(OR($A249="",$B249="Denied",$B249="Cancelled",$B249="Closed"),0,IF(N($AJ249)&gt;0,0,N($AD249)))</f>
        <v>0</v>
      </c>
      <c r="BA249" s="31" t="n">
        <f aca="false">IF($A249="",0,IF($B249="Awaiting Approval",COUNTIF(BA$1:BA248,"&gt;0")+1,0))</f>
        <v>0</v>
      </c>
      <c r="BB249" s="31" t="n">
        <f aca="false">IF($A249="",0,IF(AND($B249="Approved",$AP249&lt;&gt;"Y"),COUNTIF(BB$1:BB248,"&gt;0")+1,0))</f>
        <v>0</v>
      </c>
      <c r="BC249" s="31" t="n">
        <f aca="false">IF($A249="",0,IF(AND($B249="Approved",N($U249)&gt;0,$AQ249&lt;&gt;"Y"),COUNTIF(BC$1:BC248,"&gt;0")+1,0))</f>
        <v>0</v>
      </c>
      <c r="BD249" s="31" t="n">
        <f aca="true">IF($A249="",0,IF(AND($AR249&lt;&gt;"",N($AR249)&lt;TODAY(),$AS249="",$B249&lt;&gt;"Closed",$B249&lt;&gt;"Cancelled",$B249&lt;&gt;"Denied"),COUNTIF(BD$1:BD248,"&gt;0")+1,0))</f>
        <v>0</v>
      </c>
      <c r="BE249" s="31" t="n">
        <f aca="true">IF($A249="",0,IF(AND($AT249&lt;&gt;"",N($AT249)&lt;=TODAY()+7,$AU249="",$B249&lt;&gt;"Denied",$B249&lt;&gt;"Cancelled",$B249&lt;&gt;"Closed"),COUNTIF(BE$1:BE248,"&gt;0")+1,0))</f>
        <v>0</v>
      </c>
      <c r="BF249" s="27"/>
      <c r="BG249" s="27"/>
      <c r="BH249" s="27"/>
      <c r="BI249" s="27"/>
    </row>
    <row r="250" customFormat="false" ht="15" hidden="false" customHeight="false" outlineLevel="0" collapsed="false">
      <c r="A250" s="22"/>
      <c r="B250" s="22"/>
      <c r="C250" s="22"/>
      <c r="D250" s="22"/>
      <c r="E250" s="22"/>
      <c r="F250" s="22"/>
      <c r="G250" s="22"/>
      <c r="H250" s="22"/>
      <c r="I250" s="22"/>
      <c r="J250" s="22"/>
      <c r="K250" s="22"/>
      <c r="L250" s="22"/>
      <c r="M250" s="22"/>
      <c r="N250" s="23"/>
      <c r="O250" s="23"/>
      <c r="P250" s="23"/>
      <c r="Q250" s="24"/>
      <c r="R250" s="23"/>
      <c r="S250" s="24"/>
      <c r="T250" s="25"/>
      <c r="U250" s="26"/>
      <c r="V250" s="25"/>
      <c r="W250" s="25" t="str">
        <f aca="false">IF($A250="","",N($U250)*N($V250))</f>
        <v/>
      </c>
      <c r="X250" s="22"/>
      <c r="Y250" s="26"/>
      <c r="Z250" s="25"/>
      <c r="AA250" s="25" t="str">
        <f aca="false">IF($A250="","",IF($X250="POV",N($Y250)*MileageRate,0)+N($Z250))</f>
        <v/>
      </c>
      <c r="AB250" s="25" t="str">
        <f aca="false">IF(OR($A250="",$P250="",$R250="",$Q250="",$S250=""),"",IF($R250=$P250,($Q250&lt;=T_DepBfast)*($S250&gt;=T_RetBfast)*PD_Bfast+($Q250&lt;=T_DepLunch)*($S250&gt;=T_RetLunch)*PD_Lunch+($Q250&lt;=T_DepDinner)*($S250&gt;=T_RetDinner)*PD_Dinner+PD_Incid,($Q250&lt;=T_DepBfast)*PD_Bfast+($Q250&lt;=T_DepLunch)*PD_Lunch+($Q250&lt;=T_DepDinner)*PD_Dinner+($S250&gt;=T_RetBfast)*PD_Bfast+($S250&gt;=T_RetLunch)*PD_Lunch+($S250&gt;=T_RetDinner)*PD_Dinner+MAX($R250-$P250-1,0)*(PD_Bfast+PD_Lunch+PD_Dinner)+($R250-$P250+1)*PD_Incid))</f>
        <v/>
      </c>
      <c r="AC250" s="25"/>
      <c r="AD250" s="25" t="str">
        <f aca="false">IF($A250="","",N($T250)+N($W250)+N($AA250)+N($AB250)+N($AC250))</f>
        <v/>
      </c>
      <c r="AE250" s="25"/>
      <c r="AF250" s="25"/>
      <c r="AG250" s="25"/>
      <c r="AH250" s="25"/>
      <c r="AI250" s="25"/>
      <c r="AJ250" s="25" t="str">
        <f aca="false">IF($A250="","",IF(COUNT($AE250:$AI250)=0,"",SUM($AE250:$AI250)))</f>
        <v/>
      </c>
      <c r="AK250" s="25"/>
      <c r="AL250" s="25"/>
      <c r="AM250" s="25" t="str">
        <f aca="false">IF(OR($A250="",$AJ250=""),"",$AJ250-N($AK250)-N($AL250))</f>
        <v/>
      </c>
      <c r="AN250" s="23"/>
      <c r="AO250" s="23"/>
      <c r="AP250" s="22"/>
      <c r="AQ250" s="22"/>
      <c r="AR250" s="23" t="str">
        <f aca="false">IF(OR($A250="",$R250=""),"",$R250+ReceiptDays)</f>
        <v/>
      </c>
      <c r="AS250" s="23"/>
      <c r="AT250" s="23" t="str">
        <f aca="false">IF(OR($A250="",$P250=""),"",($P250-FinanceLeadDays)-MOD(($P250-FinanceLeadDays)-DATE(2024,1,2),7))</f>
        <v/>
      </c>
      <c r="AU250" s="23"/>
      <c r="AV250" s="22"/>
      <c r="AW250" s="22"/>
      <c r="AX250" s="25" t="n">
        <f aca="false">IF(OR($A250="",$B250="Denied",$B250="Cancelled"),0,N($AD250))</f>
        <v>0</v>
      </c>
      <c r="AY250" s="25" t="n">
        <f aca="false">IF($A250="",0,N($AJ250))</f>
        <v>0</v>
      </c>
      <c r="AZ250" s="25" t="n">
        <f aca="false">IF(OR($A250="",$B250="Denied",$B250="Cancelled",$B250="Closed"),0,IF(N($AJ250)&gt;0,0,N($AD250)))</f>
        <v>0</v>
      </c>
      <c r="BA250" s="26" t="n">
        <f aca="false">IF($A250="",0,IF($B250="Awaiting Approval",COUNTIF(BA$1:BA249,"&gt;0")+1,0))</f>
        <v>0</v>
      </c>
      <c r="BB250" s="26" t="n">
        <f aca="false">IF($A250="",0,IF(AND($B250="Approved",$AP250&lt;&gt;"Y"),COUNTIF(BB$1:BB249,"&gt;0")+1,0))</f>
        <v>0</v>
      </c>
      <c r="BC250" s="26" t="n">
        <f aca="false">IF($A250="",0,IF(AND($B250="Approved",N($U250)&gt;0,$AQ250&lt;&gt;"Y"),COUNTIF(BC$1:BC249,"&gt;0")+1,0))</f>
        <v>0</v>
      </c>
      <c r="BD250" s="26" t="n">
        <f aca="true">IF($A250="",0,IF(AND($AR250&lt;&gt;"",N($AR250)&lt;TODAY(),$AS250="",$B250&lt;&gt;"Closed",$B250&lt;&gt;"Cancelled",$B250&lt;&gt;"Denied"),COUNTIF(BD$1:BD249,"&gt;0")+1,0))</f>
        <v>0</v>
      </c>
      <c r="BE250" s="26" t="n">
        <f aca="true">IF($A250="",0,IF(AND($AT250&lt;&gt;"",N($AT250)&lt;=TODAY()+7,$AU250="",$B250&lt;&gt;"Denied",$B250&lt;&gt;"Cancelled",$B250&lt;&gt;"Closed"),COUNTIF(BE$1:BE249,"&gt;0")+1,0))</f>
        <v>0</v>
      </c>
      <c r="BF250" s="22"/>
      <c r="BG250" s="22"/>
      <c r="BH250" s="22"/>
      <c r="BI250" s="22"/>
    </row>
    <row r="251" customFormat="false" ht="15" hidden="false" customHeight="false" outlineLevel="0" collapsed="false">
      <c r="A251" s="27"/>
      <c r="B251" s="27"/>
      <c r="C251" s="27"/>
      <c r="D251" s="27"/>
      <c r="E251" s="27"/>
      <c r="F251" s="27"/>
      <c r="G251" s="27"/>
      <c r="H251" s="27"/>
      <c r="I251" s="27"/>
      <c r="J251" s="27"/>
      <c r="K251" s="27"/>
      <c r="L251" s="27"/>
      <c r="M251" s="27"/>
      <c r="N251" s="28"/>
      <c r="O251" s="28"/>
      <c r="P251" s="28"/>
      <c r="Q251" s="29"/>
      <c r="R251" s="28"/>
      <c r="S251" s="29"/>
      <c r="T251" s="30"/>
      <c r="U251" s="31"/>
      <c r="V251" s="30"/>
      <c r="W251" s="30" t="str">
        <f aca="false">IF($A251="","",N($U251)*N($V251))</f>
        <v/>
      </c>
      <c r="X251" s="27"/>
      <c r="Y251" s="31"/>
      <c r="Z251" s="30"/>
      <c r="AA251" s="30" t="str">
        <f aca="false">IF($A251="","",IF($X251="POV",N($Y251)*MileageRate,0)+N($Z251))</f>
        <v/>
      </c>
      <c r="AB251" s="30" t="str">
        <f aca="false">IF(OR($A251="",$P251="",$R251="",$Q251="",$S251=""),"",IF($R251=$P251,($Q251&lt;=T_DepBfast)*($S251&gt;=T_RetBfast)*PD_Bfast+($Q251&lt;=T_DepLunch)*($S251&gt;=T_RetLunch)*PD_Lunch+($Q251&lt;=T_DepDinner)*($S251&gt;=T_RetDinner)*PD_Dinner+PD_Incid,($Q251&lt;=T_DepBfast)*PD_Bfast+($Q251&lt;=T_DepLunch)*PD_Lunch+($Q251&lt;=T_DepDinner)*PD_Dinner+($S251&gt;=T_RetBfast)*PD_Bfast+($S251&gt;=T_RetLunch)*PD_Lunch+($S251&gt;=T_RetDinner)*PD_Dinner+MAX($R251-$P251-1,0)*(PD_Bfast+PD_Lunch+PD_Dinner)+($R251-$P251+1)*PD_Incid))</f>
        <v/>
      </c>
      <c r="AC251" s="30"/>
      <c r="AD251" s="30" t="str">
        <f aca="false">IF($A251="","",N($T251)+N($W251)+N($AA251)+N($AB251)+N($AC251))</f>
        <v/>
      </c>
      <c r="AE251" s="30"/>
      <c r="AF251" s="30"/>
      <c r="AG251" s="30"/>
      <c r="AH251" s="30"/>
      <c r="AI251" s="30"/>
      <c r="AJ251" s="30" t="str">
        <f aca="false">IF($A251="","",IF(COUNT($AE251:$AI251)=0,"",SUM($AE251:$AI251)))</f>
        <v/>
      </c>
      <c r="AK251" s="30"/>
      <c r="AL251" s="30"/>
      <c r="AM251" s="30" t="str">
        <f aca="false">IF(OR($A251="",$AJ251=""),"",$AJ251-N($AK251)-N($AL251))</f>
        <v/>
      </c>
      <c r="AN251" s="28"/>
      <c r="AO251" s="28"/>
      <c r="AP251" s="27"/>
      <c r="AQ251" s="27"/>
      <c r="AR251" s="28" t="str">
        <f aca="false">IF(OR($A251="",$R251=""),"",$R251+ReceiptDays)</f>
        <v/>
      </c>
      <c r="AS251" s="28"/>
      <c r="AT251" s="28" t="str">
        <f aca="false">IF(OR($A251="",$P251=""),"",($P251-FinanceLeadDays)-MOD(($P251-FinanceLeadDays)-DATE(2024,1,2),7))</f>
        <v/>
      </c>
      <c r="AU251" s="28"/>
      <c r="AV251" s="27"/>
      <c r="AW251" s="27"/>
      <c r="AX251" s="30" t="n">
        <f aca="false">IF(OR($A251="",$B251="Denied",$B251="Cancelled"),0,N($AD251))</f>
        <v>0</v>
      </c>
      <c r="AY251" s="30" t="n">
        <f aca="false">IF($A251="",0,N($AJ251))</f>
        <v>0</v>
      </c>
      <c r="AZ251" s="30" t="n">
        <f aca="false">IF(OR($A251="",$B251="Denied",$B251="Cancelled",$B251="Closed"),0,IF(N($AJ251)&gt;0,0,N($AD251)))</f>
        <v>0</v>
      </c>
      <c r="BA251" s="31" t="n">
        <f aca="false">IF($A251="",0,IF($B251="Awaiting Approval",COUNTIF(BA$1:BA250,"&gt;0")+1,0))</f>
        <v>0</v>
      </c>
      <c r="BB251" s="31" t="n">
        <f aca="false">IF($A251="",0,IF(AND($B251="Approved",$AP251&lt;&gt;"Y"),COUNTIF(BB$1:BB250,"&gt;0")+1,0))</f>
        <v>0</v>
      </c>
      <c r="BC251" s="31" t="n">
        <f aca="false">IF($A251="",0,IF(AND($B251="Approved",N($U251)&gt;0,$AQ251&lt;&gt;"Y"),COUNTIF(BC$1:BC250,"&gt;0")+1,0))</f>
        <v>0</v>
      </c>
      <c r="BD251" s="31" t="n">
        <f aca="true">IF($A251="",0,IF(AND($AR251&lt;&gt;"",N($AR251)&lt;TODAY(),$AS251="",$B251&lt;&gt;"Closed",$B251&lt;&gt;"Cancelled",$B251&lt;&gt;"Denied"),COUNTIF(BD$1:BD250,"&gt;0")+1,0))</f>
        <v>0</v>
      </c>
      <c r="BE251" s="31" t="n">
        <f aca="true">IF($A251="",0,IF(AND($AT251&lt;&gt;"",N($AT251)&lt;=TODAY()+7,$AU251="",$B251&lt;&gt;"Denied",$B251&lt;&gt;"Cancelled",$B251&lt;&gt;"Closed"),COUNTIF(BE$1:BE250,"&gt;0")+1,0))</f>
        <v>0</v>
      </c>
      <c r="BF251" s="27"/>
      <c r="BG251" s="27"/>
      <c r="BH251" s="27"/>
      <c r="BI251" s="27"/>
    </row>
  </sheetData>
  <autoFilter ref="A1:BI251"/>
  <dataValidations count="3">
    <dataValidation allowBlank="true" errorStyle="stop" operator="between" showDropDown="false" showErrorMessage="false" showInputMessage="false" sqref="B2:B251" type="list">
      <formula1>StatusList</formula1>
      <formula2>0</formula2>
    </dataValidation>
    <dataValidation allowBlank="true" errorStyle="stop" operator="between" showDropDown="false" showErrorMessage="false" showInputMessage="false" sqref="X2:X251" type="list">
      <formula1>ModeList</formula1>
      <formula2>0</formula2>
    </dataValidation>
    <dataValidation allowBlank="true" errorStyle="stop" operator="between" showDropDown="false" showErrorMessage="false" showInputMessage="false" sqref="AP2:AQ251 AV2:AV251" type="list">
      <formula1>YNList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3" min="3" style="0" width="22"/>
    <col collapsed="false" customWidth="true" hidden="false" outlineLevel="0" max="4" min="4" style="0" width="20"/>
    <col collapsed="false" customWidth="true" hidden="false" outlineLevel="0" max="5" min="5" style="0" width="22"/>
    <col collapsed="false" customWidth="true" hidden="false" outlineLevel="0" max="6" min="6" style="0" width="2"/>
  </cols>
  <sheetData>
    <row r="1" customFormat="false" ht="25.5" hidden="false" customHeight="true" outlineLevel="0" collapsed="false">
      <c r="A1" s="1" t="s">
        <v>131</v>
      </c>
      <c r="B1" s="1"/>
      <c r="C1" s="1"/>
      <c r="D1" s="1"/>
      <c r="E1" s="1"/>
      <c r="F1" s="1"/>
    </row>
    <row r="2" customFormat="false" ht="13.5" hidden="false" customHeight="true" outlineLevel="0" collapsed="false">
      <c r="A2" s="2" t="s">
        <v>132</v>
      </c>
      <c r="B2" s="2"/>
      <c r="C2" s="2"/>
      <c r="D2" s="2"/>
      <c r="E2" s="2"/>
      <c r="F2" s="2"/>
    </row>
    <row r="3" customFormat="false" ht="3" hidden="false" customHeight="true" outlineLevel="0" collapsed="false">
      <c r="A3" s="3"/>
      <c r="B3" s="3"/>
      <c r="C3" s="3"/>
      <c r="D3" s="3"/>
      <c r="E3" s="3"/>
      <c r="F3" s="3"/>
    </row>
    <row r="4" customFormat="false" ht="15" hidden="false" customHeight="false" outlineLevel="0" collapsed="false">
      <c r="A4" s="4"/>
      <c r="B4" s="4"/>
      <c r="C4" s="4"/>
      <c r="D4" s="4"/>
      <c r="E4" s="4"/>
      <c r="F4" s="4"/>
    </row>
    <row r="5" customFormat="false" ht="15" hidden="false" customHeight="false" outlineLevel="0" collapsed="false">
      <c r="A5" s="4"/>
      <c r="B5" s="5" t="s">
        <v>20</v>
      </c>
      <c r="C5" s="32" t="str">
        <f aca="false">IF(ActiveRow=0,"",INDEX(Requests!$A$2:$A$251,ActiveRow))</f>
        <v>T26-003</v>
      </c>
      <c r="D5" s="5" t="s">
        <v>133</v>
      </c>
      <c r="E5" s="33" t="n">
        <f aca="false">IF(ActiveRow=0,"",INDEX(Requests!$AN$2:$AN$251,ActiveRow))</f>
        <v>46223</v>
      </c>
      <c r="F5" s="4"/>
    </row>
    <row r="6" customFormat="false" ht="15" hidden="false" customHeight="false" outlineLevel="0" collapsed="false">
      <c r="A6" s="4"/>
      <c r="B6" s="4"/>
      <c r="C6" s="4"/>
      <c r="D6" s="4"/>
      <c r="E6" s="4"/>
      <c r="F6" s="4"/>
    </row>
    <row r="7" customFormat="false" ht="15.75" hidden="false" customHeight="true" outlineLevel="0" collapsed="false">
      <c r="A7" s="4"/>
      <c r="B7" s="18" t="s">
        <v>134</v>
      </c>
      <c r="C7" s="18"/>
      <c r="D7" s="18"/>
      <c r="E7" s="18"/>
      <c r="F7" s="4"/>
    </row>
    <row r="8" customFormat="false" ht="15" hidden="false" customHeight="false" outlineLevel="0" collapsed="false">
      <c r="A8" s="4"/>
      <c r="B8" s="5" t="s">
        <v>135</v>
      </c>
      <c r="C8" s="34" t="str">
        <f aca="false">IF(ActiveRow=0,"",INDEX(Requests!$C$2:$C$251,ActiveRow))</f>
        <v>SAMPLE — A. Chen</v>
      </c>
      <c r="D8" s="5" t="s">
        <v>22</v>
      </c>
      <c r="E8" s="34" t="str">
        <f aca="false">IF(ActiveRow=0,"",INDEX(Requests!$D$2:$D$251,ActiveRow))</f>
        <v>Corporal</v>
      </c>
      <c r="F8" s="4"/>
    </row>
    <row r="9" customFormat="false" ht="15" hidden="false" customHeight="false" outlineLevel="0" collapsed="false">
      <c r="A9" s="4"/>
      <c r="B9" s="5" t="s">
        <v>136</v>
      </c>
      <c r="C9" s="34" t="str">
        <f aca="false">IF(ActiveRow=0,"",INDEX(Requests!$E$2:$E$251,ActiveRow))</f>
        <v>4215</v>
      </c>
      <c r="D9" s="5" t="s">
        <v>24</v>
      </c>
      <c r="E9" s="34" t="str">
        <f aca="false">IF(ActiveRow=0,"",INDEX(Requests!$F$2:$F$251,ActiveRow))</f>
        <v>Traffic</v>
      </c>
      <c r="F9" s="4"/>
    </row>
    <row r="10" customFormat="false" ht="15" hidden="false" customHeight="false" outlineLevel="0" collapsed="false">
      <c r="A10" s="4"/>
      <c r="B10" s="5" t="s">
        <v>27</v>
      </c>
      <c r="C10" s="34" t="str">
        <f aca="false">IF(ActiveRow=0,"",INDEX(Requests!$I$2:$I$251,ActiveRow))</f>
        <v>Sgt. R. Lee</v>
      </c>
      <c r="D10" s="5" t="s">
        <v>26</v>
      </c>
      <c r="E10" s="34" t="str">
        <f aca="false">IF(ActiveRow=0,"",INDEX(Requests!$H$2:$H$251,ActiveRow))</f>
        <v>903-555-0103</v>
      </c>
      <c r="F10" s="4"/>
    </row>
    <row r="11" customFormat="false" ht="15" hidden="false" customHeight="false" outlineLevel="0" collapsed="false">
      <c r="A11" s="4"/>
      <c r="B11" s="4"/>
      <c r="C11" s="4"/>
      <c r="D11" s="4"/>
      <c r="E11" s="4"/>
      <c r="F11" s="4"/>
    </row>
    <row r="12" customFormat="false" ht="15.75" hidden="false" customHeight="true" outlineLevel="0" collapsed="false">
      <c r="A12" s="4"/>
      <c r="B12" s="18" t="s">
        <v>137</v>
      </c>
      <c r="C12" s="18"/>
      <c r="D12" s="18"/>
      <c r="E12" s="18"/>
      <c r="F12" s="4"/>
    </row>
    <row r="13" customFormat="false" ht="15" hidden="false" customHeight="false" outlineLevel="0" collapsed="false">
      <c r="A13" s="4"/>
      <c r="B13" s="5" t="s">
        <v>13</v>
      </c>
      <c r="C13" s="34" t="str">
        <f aca="false">IF(ActiveRow=0,"",INDEX(Requests!$K$2:$K$251,ActiveRow))</f>
        <v>Advanced Crash Reconstruction</v>
      </c>
      <c r="D13" s="34"/>
      <c r="E13" s="34"/>
      <c r="F13" s="4"/>
    </row>
    <row r="14" customFormat="false" ht="15" hidden="false" customHeight="false" outlineLevel="0" collapsed="false">
      <c r="A14" s="4"/>
      <c r="B14" s="5" t="s">
        <v>138</v>
      </c>
      <c r="C14" s="34" t="str">
        <f aca="false">IF(ActiveRow=0,"",INDEX(Requests!$L$2:$L$251,ActiveRow))</f>
        <v>TEEX</v>
      </c>
      <c r="D14" s="5" t="s">
        <v>75</v>
      </c>
      <c r="E14" s="34" t="n">
        <f aca="false">IF(ActiveRow=0,"",INDEX(Requests!$BF$2:$BF$251,ActiveRow))</f>
        <v>0</v>
      </c>
      <c r="F14" s="4"/>
    </row>
    <row r="15" customFormat="false" ht="15" hidden="false" customHeight="false" outlineLevel="0" collapsed="false">
      <c r="A15" s="4"/>
      <c r="B15" s="5" t="s">
        <v>31</v>
      </c>
      <c r="C15" s="34" t="str">
        <f aca="false">IF(ActiveRow=0,"",INDEX(Requests!$M$2:$M$251,ActiveRow))</f>
        <v>College Station, TX</v>
      </c>
      <c r="D15" s="5" t="s">
        <v>139</v>
      </c>
      <c r="E15" s="34" t="str">
        <f aca="false">IF(ActiveRow=0,"",TEXT(INDEX(Requests!$N$2:$N$251,ActiveRow),"mm/dd/yy")&amp;" – "&amp;TEXT(INDEX(Requests!$O$2:$O$251,ActiveRow),"mm/dd/yy"))</f>
        <v>08/24/26 – 08/28/26</v>
      </c>
      <c r="F15" s="4"/>
    </row>
    <row r="16" customFormat="false" ht="15" hidden="false" customHeight="false" outlineLevel="0" collapsed="false">
      <c r="A16" s="4"/>
      <c r="B16" s="5" t="s">
        <v>140</v>
      </c>
      <c r="C16" s="34" t="str">
        <f aca="false">IF(ActiveRow=0,"",TEXT(INDEX(Requests!$P$2:$P$251,ActiveRow),"mm/dd/yy")&amp;" "&amp;TEXT(INDEX(Requests!$Q$2:$Q$251,ActiveRow),"h:mm AM/PM"))</f>
        <v>08/23/26 1:00 PM</v>
      </c>
      <c r="D16" s="5" t="s">
        <v>141</v>
      </c>
      <c r="E16" s="34" t="str">
        <f aca="false">IF(ActiveRow=0,"",TEXT(INDEX(Requests!$R$2:$R$251,ActiveRow),"mm/dd/yy")&amp;" "&amp;TEXT(INDEX(Requests!$S$2:$S$251,ActiveRow),"h:mm AM/PM"))</f>
        <v>08/28/26 6:30 PM</v>
      </c>
      <c r="F16" s="4"/>
    </row>
    <row r="17" customFormat="false" ht="15" hidden="false" customHeight="false" outlineLevel="0" collapsed="false">
      <c r="A17" s="4"/>
      <c r="B17" s="4"/>
      <c r="C17" s="4"/>
      <c r="D17" s="4"/>
      <c r="E17" s="4"/>
      <c r="F17" s="4"/>
    </row>
    <row r="18" customFormat="false" ht="15.75" hidden="false" customHeight="true" outlineLevel="0" collapsed="false">
      <c r="A18" s="4"/>
      <c r="B18" s="18" t="s">
        <v>142</v>
      </c>
      <c r="C18" s="18"/>
      <c r="D18" s="18"/>
      <c r="E18" s="18"/>
      <c r="F18" s="4"/>
    </row>
    <row r="19" customFormat="false" ht="15" hidden="false" customHeight="false" outlineLevel="0" collapsed="false">
      <c r="A19" s="4"/>
      <c r="B19" s="5" t="s">
        <v>143</v>
      </c>
      <c r="C19" s="35" t="n">
        <f aca="false">IF(ActiveRow=0,"",INDEX(Requests!$T$2:$T$251,ActiveRow))</f>
        <v>450</v>
      </c>
      <c r="D19" s="4"/>
      <c r="E19" s="4"/>
      <c r="F19" s="4"/>
    </row>
    <row r="20" customFormat="false" ht="15" hidden="false" customHeight="false" outlineLevel="0" collapsed="false">
      <c r="A20" s="4"/>
      <c r="B20" s="5" t="s">
        <v>144</v>
      </c>
      <c r="C20" s="35" t="n">
        <f aca="false">IF(ActiveRow=0,"",INDEX(Requests!$W$2:$W$251,ActiveRow))</f>
        <v>645</v>
      </c>
      <c r="D20" s="4"/>
      <c r="E20" s="4"/>
      <c r="F20" s="4"/>
    </row>
    <row r="21" customFormat="false" ht="15" hidden="false" customHeight="false" outlineLevel="0" collapsed="false">
      <c r="A21" s="4"/>
      <c r="B21" s="5" t="s">
        <v>145</v>
      </c>
      <c r="C21" s="35" t="n">
        <f aca="false">IF(ActiveRow=0,"",INDEX(Requests!$AA$2:$AA$251,ActiveRow))</f>
        <v>0</v>
      </c>
      <c r="D21" s="4"/>
      <c r="E21" s="4"/>
      <c r="F21" s="4"/>
    </row>
    <row r="22" customFormat="false" ht="15" hidden="false" customHeight="false" outlineLevel="0" collapsed="false">
      <c r="A22" s="4"/>
      <c r="B22" s="5" t="s">
        <v>146</v>
      </c>
      <c r="C22" s="35" t="n">
        <f aca="false">IF(ActiveRow=0,"",INDEX(Requests!$AB$2:$AB$251,ActiveRow))</f>
        <v>300</v>
      </c>
      <c r="D22" s="4"/>
      <c r="E22" s="4"/>
      <c r="F22" s="4"/>
    </row>
    <row r="23" customFormat="false" ht="15" hidden="false" customHeight="false" outlineLevel="0" collapsed="false">
      <c r="A23" s="4"/>
      <c r="B23" s="5" t="s">
        <v>147</v>
      </c>
      <c r="C23" s="35" t="n">
        <f aca="false">IF(ActiveRow=0,"",INDEX(Requests!$AC$2:$AC$251,ActiveRow))</f>
        <v>35</v>
      </c>
      <c r="D23" s="4"/>
      <c r="E23" s="4"/>
      <c r="F23" s="4"/>
    </row>
    <row r="24" customFormat="false" ht="15" hidden="false" customHeight="false" outlineLevel="0" collapsed="false">
      <c r="A24" s="4"/>
      <c r="B24" s="5" t="s">
        <v>148</v>
      </c>
      <c r="C24" s="36" t="n">
        <f aca="false">IF(ActiveRow=0,"",INDEX(Requests!$AD$2:$AD$251,ActiveRow))</f>
        <v>1430</v>
      </c>
      <c r="D24" s="4"/>
      <c r="E24" s="4"/>
      <c r="F24" s="4"/>
    </row>
    <row r="25" customFormat="false" ht="15" hidden="false" customHeight="false" outlineLevel="0" collapsed="false">
      <c r="A25" s="4"/>
      <c r="B25" s="4"/>
      <c r="C25" s="4"/>
      <c r="D25" s="4"/>
      <c r="E25" s="4"/>
      <c r="F25" s="4"/>
    </row>
    <row r="26" customFormat="false" ht="15.75" hidden="false" customHeight="true" outlineLevel="0" collapsed="false">
      <c r="A26" s="4"/>
      <c r="B26" s="18" t="s">
        <v>149</v>
      </c>
      <c r="C26" s="18"/>
      <c r="D26" s="18"/>
      <c r="E26" s="18"/>
      <c r="F26" s="4"/>
    </row>
    <row r="27" customFormat="false" ht="15" hidden="false" customHeight="false" outlineLevel="0" collapsed="false">
      <c r="A27" s="4"/>
      <c r="B27" s="37" t="str">
        <f aca="false">IF(ActiveRow=0,"",INDEX(Requests!$BI$2:$BI$251,ActiveRow))</f>
        <v>Required for accident-investigator certification.</v>
      </c>
      <c r="C27" s="37"/>
      <c r="D27" s="37"/>
      <c r="E27" s="37"/>
      <c r="F27" s="4"/>
    </row>
    <row r="28" customFormat="false" ht="15" hidden="false" customHeight="false" outlineLevel="0" collapsed="false">
      <c r="A28" s="4"/>
      <c r="B28" s="37"/>
      <c r="C28" s="37"/>
      <c r="D28" s="37"/>
      <c r="E28" s="37"/>
      <c r="F28" s="4"/>
    </row>
    <row r="29" customFormat="false" ht="15" hidden="false" customHeight="false" outlineLevel="0" collapsed="false">
      <c r="A29" s="4"/>
      <c r="B29" s="37"/>
      <c r="C29" s="37"/>
      <c r="D29" s="37"/>
      <c r="E29" s="37"/>
      <c r="F29" s="4"/>
    </row>
    <row r="30" customFormat="false" ht="15" hidden="false" customHeight="false" outlineLevel="0" collapsed="false">
      <c r="A30" s="4"/>
      <c r="B30" s="4"/>
      <c r="C30" s="4"/>
      <c r="D30" s="4"/>
      <c r="E30" s="4"/>
      <c r="F30" s="4"/>
    </row>
    <row r="31" customFormat="false" ht="15.75" hidden="false" customHeight="true" outlineLevel="0" collapsed="false">
      <c r="A31" s="4"/>
      <c r="B31" s="18" t="s">
        <v>150</v>
      </c>
      <c r="C31" s="18"/>
      <c r="D31" s="18"/>
      <c r="E31" s="18"/>
      <c r="F31" s="4"/>
    </row>
    <row r="32" customFormat="false" ht="15" hidden="false" customHeight="false" outlineLevel="0" collapsed="false">
      <c r="A32" s="4"/>
      <c r="B32" s="4"/>
      <c r="C32" s="4"/>
      <c r="D32" s="4"/>
      <c r="E32" s="4"/>
      <c r="F32" s="4"/>
    </row>
    <row r="33" customFormat="false" ht="15" hidden="false" customHeight="false" outlineLevel="0" collapsed="false">
      <c r="A33" s="4"/>
      <c r="B33" s="38"/>
      <c r="C33" s="38"/>
      <c r="D33" s="38"/>
      <c r="E33" s="38"/>
      <c r="F33" s="4"/>
    </row>
    <row r="34" customFormat="false" ht="15" hidden="false" customHeight="false" outlineLevel="0" collapsed="false">
      <c r="A34" s="4"/>
      <c r="B34" s="39" t="s">
        <v>151</v>
      </c>
      <c r="C34" s="4"/>
      <c r="D34" s="39" t="s">
        <v>152</v>
      </c>
      <c r="E34" s="4"/>
      <c r="F34" s="4"/>
    </row>
    <row r="35" customFormat="false" ht="15" hidden="false" customHeight="false" outlineLevel="0" collapsed="false">
      <c r="A35" s="4"/>
      <c r="B35" s="4"/>
      <c r="C35" s="4"/>
      <c r="D35" s="4"/>
      <c r="E35" s="4"/>
      <c r="F35" s="4"/>
    </row>
    <row r="36" customFormat="false" ht="15" hidden="false" customHeight="false" outlineLevel="0" collapsed="false">
      <c r="A36" s="4"/>
      <c r="B36" s="38"/>
      <c r="C36" s="38"/>
      <c r="D36" s="38"/>
      <c r="E36" s="38"/>
      <c r="F36" s="4"/>
    </row>
    <row r="37" customFormat="false" ht="15" hidden="false" customHeight="false" outlineLevel="0" collapsed="false">
      <c r="A37" s="4"/>
      <c r="B37" s="39" t="s">
        <v>153</v>
      </c>
      <c r="C37" s="4"/>
      <c r="D37" s="39" t="s">
        <v>154</v>
      </c>
      <c r="E37" s="4"/>
      <c r="F37" s="4"/>
    </row>
    <row r="38" customFormat="false" ht="15" hidden="false" customHeight="false" outlineLevel="0" collapsed="false">
      <c r="A38" s="4"/>
      <c r="B38" s="4"/>
      <c r="C38" s="4"/>
      <c r="D38" s="4"/>
      <c r="E38" s="4"/>
      <c r="F38" s="4"/>
    </row>
    <row r="39" customFormat="false" ht="15" hidden="false" customHeight="false" outlineLevel="0" collapsed="false">
      <c r="A39" s="4"/>
      <c r="B39" s="40" t="str">
        <f aca="true">"Generated by TPD Training Master — record "&amp;IF(ActiveRow=0,"(none selected)",ActiveTrk)&amp;" — "&amp;TEXT(TODAY(),"mm/dd/yyyy")</f>
        <v>Generated by TPD Training Master — record T26-003 — 08/09/2026</v>
      </c>
      <c r="C39" s="40"/>
      <c r="D39" s="40"/>
      <c r="E39" s="40"/>
      <c r="F39" s="4"/>
    </row>
    <row r="40" customFormat="false" ht="15" hidden="false" customHeight="false" outlineLevel="0" collapsed="false">
      <c r="A40" s="4"/>
      <c r="B40" s="4"/>
      <c r="C40" s="4"/>
      <c r="D40" s="4"/>
      <c r="E40" s="4"/>
      <c r="F40" s="4"/>
    </row>
    <row r="41" customFormat="false" ht="15" hidden="false" customHeight="false" outlineLevel="0" collapsed="false">
      <c r="A41" s="4"/>
      <c r="B41" s="4"/>
      <c r="C41" s="4"/>
      <c r="D41" s="4"/>
      <c r="E41" s="4"/>
      <c r="F41" s="4"/>
    </row>
    <row r="42" customFormat="false" ht="15" hidden="false" customHeight="false" outlineLevel="0" collapsed="false">
      <c r="A42" s="4"/>
      <c r="B42" s="4"/>
      <c r="C42" s="4"/>
      <c r="D42" s="4"/>
      <c r="E42" s="4"/>
      <c r="F42" s="4"/>
    </row>
    <row r="43" customFormat="false" ht="15" hidden="false" customHeight="false" outlineLevel="0" collapsed="false">
      <c r="A43" s="4"/>
      <c r="B43" s="4"/>
      <c r="C43" s="4"/>
      <c r="D43" s="4"/>
      <c r="E43" s="4"/>
      <c r="F43" s="4"/>
    </row>
    <row r="44" customFormat="false" ht="15" hidden="false" customHeight="false" outlineLevel="0" collapsed="false">
      <c r="A44" s="4"/>
      <c r="B44" s="4"/>
      <c r="C44" s="4"/>
      <c r="D44" s="4"/>
      <c r="E44" s="4"/>
      <c r="F44" s="4"/>
    </row>
    <row r="45" customFormat="false" ht="15" hidden="false" customHeight="false" outlineLevel="0" collapsed="false">
      <c r="A45" s="4"/>
      <c r="B45" s="4"/>
      <c r="C45" s="4"/>
      <c r="D45" s="4"/>
      <c r="E45" s="4"/>
      <c r="F45" s="4"/>
    </row>
    <row r="46" customFormat="false" ht="15" hidden="false" customHeight="false" outlineLevel="0" collapsed="false">
      <c r="A46" s="4"/>
      <c r="B46" s="4"/>
      <c r="C46" s="4"/>
      <c r="D46" s="4"/>
      <c r="E46" s="4"/>
      <c r="F46" s="4"/>
    </row>
  </sheetData>
  <sheetProtection sheet="true"/>
  <mergeCells count="14">
    <mergeCell ref="A1:F1"/>
    <mergeCell ref="A2:F2"/>
    <mergeCell ref="B7:E7"/>
    <mergeCell ref="B12:E12"/>
    <mergeCell ref="C13:E13"/>
    <mergeCell ref="B18:E18"/>
    <mergeCell ref="B26:E26"/>
    <mergeCell ref="B27:E29"/>
    <mergeCell ref="B31:E31"/>
    <mergeCell ref="B33:C33"/>
    <mergeCell ref="D33:E33"/>
    <mergeCell ref="B36:C36"/>
    <mergeCell ref="D36:E36"/>
    <mergeCell ref="B39:E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6" min="3" style="0" width="16"/>
    <col collapsed="false" customWidth="true" hidden="false" outlineLevel="0" max="7" min="7" style="0" width="2"/>
  </cols>
  <sheetData>
    <row r="1" customFormat="false" ht="25.5" hidden="false" customHeight="true" outlineLevel="0" collapsed="false">
      <c r="A1" s="1" t="s">
        <v>155</v>
      </c>
      <c r="B1" s="1"/>
      <c r="C1" s="1"/>
      <c r="D1" s="1"/>
      <c r="E1" s="1"/>
      <c r="F1" s="1"/>
      <c r="G1" s="1"/>
    </row>
    <row r="2" customFormat="false" ht="13.5" hidden="false" customHeight="true" outlineLevel="0" collapsed="false">
      <c r="A2" s="2" t="s">
        <v>156</v>
      </c>
      <c r="B2" s="2"/>
      <c r="C2" s="2"/>
      <c r="D2" s="2"/>
      <c r="E2" s="2"/>
      <c r="F2" s="2"/>
      <c r="G2" s="2"/>
    </row>
    <row r="3" customFormat="false" ht="3" hidden="false" customHeight="true" outlineLevel="0" collapsed="false">
      <c r="A3" s="3"/>
      <c r="B3" s="3"/>
      <c r="C3" s="3"/>
      <c r="D3" s="3"/>
      <c r="E3" s="3"/>
      <c r="F3" s="3"/>
      <c r="G3" s="3"/>
    </row>
    <row r="4" customFormat="false" ht="15" hidden="false" customHeight="false" outlineLevel="0" collapsed="false">
      <c r="A4" s="4"/>
      <c r="B4" s="4"/>
      <c r="C4" s="4"/>
      <c r="D4" s="4"/>
      <c r="E4" s="4"/>
      <c r="F4" s="4"/>
      <c r="G4" s="4"/>
    </row>
    <row r="5" customFormat="false" ht="15" hidden="false" customHeight="false" outlineLevel="0" collapsed="false">
      <c r="A5" s="4"/>
      <c r="B5" s="5" t="s">
        <v>157</v>
      </c>
      <c r="C5" s="34" t="str">
        <f aca="false">"Police"</f>
        <v>Police</v>
      </c>
      <c r="D5" s="4"/>
      <c r="E5" s="5" t="s">
        <v>20</v>
      </c>
      <c r="F5" s="32" t="str">
        <f aca="false">IF(ActiveRow=0,"",INDEX(Requests!$A$2:$A$251,ActiveRow))</f>
        <v>T26-003</v>
      </c>
      <c r="G5" s="4"/>
    </row>
    <row r="6" customFormat="false" ht="15" hidden="false" customHeight="false" outlineLevel="0" collapsed="false">
      <c r="A6" s="4"/>
      <c r="B6" s="5" t="s">
        <v>158</v>
      </c>
      <c r="C6" s="34" t="str">
        <f aca="false">IF(ActiveRow=0,"",INDEX(Requests!$C$2:$C$251,ActiveRow))</f>
        <v>SAMPLE — A. Chen</v>
      </c>
      <c r="D6" s="4"/>
      <c r="E6" s="5" t="s">
        <v>159</v>
      </c>
      <c r="F6" s="34" t="str">
        <f aca="false">IF(ActiveRow=0,"",INDEX(Requests!$D$2:$D$251,ActiveRow))</f>
        <v>Corporal</v>
      </c>
      <c r="G6" s="4"/>
    </row>
    <row r="7" customFormat="false" ht="15" hidden="false" customHeight="false" outlineLevel="0" collapsed="false">
      <c r="A7" s="4"/>
      <c r="B7" s="5" t="s">
        <v>160</v>
      </c>
      <c r="C7" s="34" t="str">
        <f aca="false">IF(ActiveRow=0,"",INDEX(Requests!$M$2:$M$251,ActiveRow))</f>
        <v>College Station, TX</v>
      </c>
      <c r="D7" s="4"/>
      <c r="E7" s="5" t="s">
        <v>136</v>
      </c>
      <c r="F7" s="34" t="str">
        <f aca="false">IF(ActiveRow=0,"",INDEX(Requests!$E$2:$E$251,ActiveRow))</f>
        <v>4215</v>
      </c>
      <c r="G7" s="4"/>
    </row>
    <row r="8" customFormat="false" ht="15" hidden="false" customHeight="false" outlineLevel="0" collapsed="false">
      <c r="A8" s="4"/>
      <c r="B8" s="5" t="s">
        <v>161</v>
      </c>
      <c r="C8" s="34" t="str">
        <f aca="false">IF(ActiveRow=0,"",INDEX(Requests!$K$2:$K$251,ActiveRow))</f>
        <v>Advanced Crash Reconstruction</v>
      </c>
      <c r="D8" s="34"/>
      <c r="E8" s="34"/>
      <c r="F8" s="34"/>
      <c r="G8" s="4"/>
    </row>
    <row r="9" customFormat="false" ht="15" hidden="false" customHeight="false" outlineLevel="0" collapsed="false">
      <c r="A9" s="4"/>
      <c r="B9" s="5" t="s">
        <v>140</v>
      </c>
      <c r="C9" s="34" t="str">
        <f aca="false">IF(ActiveRow=0,"",TEXT(INDEX(Requests!$P$2:$P$251,ActiveRow),"mm/dd/yy")&amp;" "&amp;TEXT(INDEX(Requests!$Q$2:$Q$251,ActiveRow),"h:mm AM/PM"))</f>
        <v>08/23/26 1:00 PM</v>
      </c>
      <c r="D9" s="4"/>
      <c r="E9" s="5" t="s">
        <v>141</v>
      </c>
      <c r="F9" s="34" t="str">
        <f aca="false">IF(ActiveRow=0,"",TEXT(INDEX(Requests!$R$2:$R$251,ActiveRow),"mm/dd/yy")&amp;" "&amp;TEXT(INDEX(Requests!$S$2:$S$251,ActiveRow),"h:mm AM/PM"))</f>
        <v>08/28/26 6:30 PM</v>
      </c>
      <c r="G9" s="4"/>
    </row>
    <row r="10" customFormat="false" ht="15" hidden="false" customHeight="false" outlineLevel="0" collapsed="false">
      <c r="A10" s="4"/>
      <c r="B10" s="4"/>
      <c r="C10" s="4"/>
      <c r="D10" s="4"/>
      <c r="E10" s="4"/>
      <c r="F10" s="4"/>
      <c r="G10" s="4"/>
    </row>
    <row r="11" customFormat="false" ht="15.75" hidden="false" customHeight="true" outlineLevel="0" collapsed="false">
      <c r="A11" s="4"/>
      <c r="B11" s="18" t="s">
        <v>162</v>
      </c>
      <c r="C11" s="18"/>
      <c r="D11" s="18"/>
      <c r="E11" s="18"/>
      <c r="F11" s="18"/>
      <c r="G11" s="4"/>
    </row>
    <row r="12" customFormat="false" ht="15" hidden="false" customHeight="false" outlineLevel="0" collapsed="false">
      <c r="A12" s="4"/>
      <c r="B12" s="41" t="s">
        <v>163</v>
      </c>
      <c r="C12" s="41" t="s">
        <v>164</v>
      </c>
      <c r="D12" s="41" t="s">
        <v>165</v>
      </c>
      <c r="E12" s="4"/>
      <c r="F12" s="4"/>
      <c r="G12" s="4"/>
    </row>
    <row r="13" customFormat="false" ht="15" hidden="false" customHeight="false" outlineLevel="0" collapsed="false">
      <c r="A13" s="4"/>
      <c r="B13" s="42" t="s">
        <v>166</v>
      </c>
      <c r="C13" s="43"/>
      <c r="D13" s="44" t="n">
        <f aca="false">IF(ActiveRow=0,"",INDEX(Requests!$T$2:$T$251,ActiveRow))</f>
        <v>450</v>
      </c>
      <c r="E13" s="4"/>
      <c r="F13" s="4"/>
      <c r="G13" s="4"/>
    </row>
    <row r="14" customFormat="false" ht="15" hidden="false" customHeight="false" outlineLevel="0" collapsed="false">
      <c r="A14" s="4"/>
      <c r="B14" s="42" t="s">
        <v>144</v>
      </c>
      <c r="C14" s="43"/>
      <c r="D14" s="44" t="n">
        <f aca="false">IF(ActiveRow=0,"",INDEX(Requests!$W$2:$W$251,ActiveRow))</f>
        <v>645</v>
      </c>
      <c r="E14" s="4"/>
      <c r="F14" s="4"/>
      <c r="G14" s="4"/>
    </row>
    <row r="15" customFormat="false" ht="15" hidden="false" customHeight="false" outlineLevel="0" collapsed="false">
      <c r="A15" s="4"/>
      <c r="B15" s="42" t="s">
        <v>167</v>
      </c>
      <c r="C15" s="43"/>
      <c r="D15" s="44" t="n">
        <f aca="false">IF(ActiveRow=0,"",INDEX(Requests!$AB$2:$AB$251,ActiveRow))</f>
        <v>300</v>
      </c>
      <c r="E15" s="4"/>
      <c r="F15" s="4"/>
      <c r="G15" s="4"/>
    </row>
    <row r="16" customFormat="false" ht="15" hidden="false" customHeight="false" outlineLevel="0" collapsed="false">
      <c r="A16" s="4"/>
      <c r="B16" s="42" t="s">
        <v>168</v>
      </c>
      <c r="C16" s="43"/>
      <c r="D16" s="44" t="n">
        <f aca="false">IF(ActiveRow=0,"",INDEX(Requests!$AA$2:$AA$251,ActiveRow))</f>
        <v>0</v>
      </c>
      <c r="E16" s="4"/>
      <c r="F16" s="4"/>
      <c r="G16" s="4"/>
    </row>
    <row r="17" customFormat="false" ht="15" hidden="false" customHeight="false" outlineLevel="0" collapsed="false">
      <c r="A17" s="4"/>
      <c r="B17" s="42" t="s">
        <v>147</v>
      </c>
      <c r="C17" s="43"/>
      <c r="D17" s="44" t="n">
        <f aca="false">IF(ActiveRow=0,"",INDEX(Requests!$AC$2:$AC$251,ActiveRow))</f>
        <v>35</v>
      </c>
      <c r="E17" s="4"/>
      <c r="F17" s="4"/>
      <c r="G17" s="4"/>
    </row>
    <row r="18" customFormat="false" ht="15" hidden="false" customHeight="false" outlineLevel="0" collapsed="false">
      <c r="A18" s="4"/>
      <c r="B18" s="45" t="s">
        <v>169</v>
      </c>
      <c r="C18" s="42"/>
      <c r="D18" s="46" t="n">
        <f aca="false">IF(ActiveRow=0,"",SUM(D13:D17))</f>
        <v>1430</v>
      </c>
      <c r="E18" s="4"/>
      <c r="F18" s="4"/>
      <c r="G18" s="4"/>
    </row>
    <row r="19" customFormat="false" ht="15" hidden="false" customHeight="false" outlineLevel="0" collapsed="false">
      <c r="A19" s="4"/>
      <c r="B19" s="4"/>
      <c r="C19" s="4"/>
      <c r="D19" s="4"/>
      <c r="E19" s="4"/>
      <c r="F19" s="4"/>
      <c r="G19" s="4"/>
    </row>
    <row r="20" customFormat="false" ht="15" hidden="false" customHeight="false" outlineLevel="0" collapsed="false">
      <c r="A20" s="4"/>
      <c r="B20" s="5" t="s">
        <v>170</v>
      </c>
      <c r="C20" s="4"/>
      <c r="D20" s="47"/>
      <c r="E20" s="4"/>
      <c r="F20" s="4"/>
      <c r="G20" s="4"/>
    </row>
    <row r="21" customFormat="false" ht="15" hidden="false" customHeight="false" outlineLevel="0" collapsed="false">
      <c r="A21" s="4"/>
      <c r="B21" s="4"/>
      <c r="C21" s="4"/>
      <c r="D21" s="4"/>
      <c r="E21" s="4"/>
      <c r="F21" s="4"/>
      <c r="G21" s="4"/>
    </row>
    <row r="22" customFormat="false" ht="15" hidden="false" customHeight="false" outlineLevel="0" collapsed="false">
      <c r="A22" s="4"/>
      <c r="B22" s="4"/>
      <c r="C22" s="4"/>
      <c r="D22" s="4"/>
      <c r="E22" s="4"/>
      <c r="F22" s="4"/>
      <c r="G22" s="4"/>
    </row>
    <row r="23" customFormat="false" ht="15" hidden="false" customHeight="false" outlineLevel="0" collapsed="false">
      <c r="A23" s="4"/>
      <c r="B23" s="38"/>
      <c r="C23" s="38"/>
      <c r="D23" s="4"/>
      <c r="E23" s="38"/>
      <c r="F23" s="38"/>
      <c r="G23" s="4"/>
    </row>
    <row r="24" customFormat="false" ht="15" hidden="false" customHeight="false" outlineLevel="0" collapsed="false">
      <c r="A24" s="4"/>
      <c r="B24" s="39" t="s">
        <v>171</v>
      </c>
      <c r="C24" s="4"/>
      <c r="D24" s="4"/>
      <c r="E24" s="39" t="s">
        <v>172</v>
      </c>
      <c r="F24" s="4"/>
      <c r="G24" s="4"/>
    </row>
    <row r="25" customFormat="false" ht="15" hidden="false" customHeight="false" outlineLevel="0" collapsed="false">
      <c r="A25" s="4"/>
      <c r="B25" s="4"/>
      <c r="C25" s="4"/>
      <c r="D25" s="4"/>
      <c r="E25" s="4"/>
      <c r="F25" s="4"/>
      <c r="G25" s="4"/>
    </row>
    <row r="26" customFormat="false" ht="15" hidden="false" customHeight="false" outlineLevel="0" collapsed="false">
      <c r="A26" s="4"/>
      <c r="B26" s="38"/>
      <c r="C26" s="38"/>
      <c r="D26" s="4"/>
      <c r="E26" s="4"/>
      <c r="F26" s="4"/>
      <c r="G26" s="4"/>
    </row>
    <row r="27" customFormat="false" ht="15" hidden="false" customHeight="false" outlineLevel="0" collapsed="false">
      <c r="A27" s="4"/>
      <c r="B27" s="39" t="s">
        <v>173</v>
      </c>
      <c r="C27" s="4"/>
      <c r="D27" s="4"/>
      <c r="E27" s="4"/>
      <c r="F27" s="4"/>
      <c r="G27" s="4"/>
    </row>
    <row r="28" customFormat="false" ht="15" hidden="false" customHeight="false" outlineLevel="0" collapsed="false">
      <c r="A28" s="4"/>
      <c r="B28" s="4"/>
      <c r="C28" s="4"/>
      <c r="D28" s="4"/>
      <c r="E28" s="4"/>
      <c r="F28" s="4"/>
      <c r="G28" s="4"/>
    </row>
    <row r="29" customFormat="false" ht="15" hidden="false" customHeight="false" outlineLevel="0" collapsed="false">
      <c r="A29" s="4"/>
      <c r="B29" s="4"/>
      <c r="C29" s="4"/>
      <c r="D29" s="4"/>
      <c r="E29" s="4"/>
      <c r="F29" s="4"/>
      <c r="G29" s="4"/>
    </row>
    <row r="30" customFormat="false" ht="15" hidden="false" customHeight="false" outlineLevel="0" collapsed="false">
      <c r="A30" s="4"/>
      <c r="B30" s="4"/>
      <c r="C30" s="4"/>
      <c r="D30" s="4"/>
      <c r="E30" s="4"/>
      <c r="F30" s="4"/>
      <c r="G30" s="4"/>
    </row>
    <row r="31" customFormat="false" ht="15" hidden="false" customHeight="false" outlineLevel="0" collapsed="false">
      <c r="A31" s="4"/>
      <c r="B31" s="4"/>
      <c r="C31" s="4"/>
      <c r="D31" s="4"/>
      <c r="E31" s="4"/>
      <c r="F31" s="4"/>
      <c r="G31" s="4"/>
    </row>
    <row r="32" customFormat="false" ht="15" hidden="false" customHeight="false" outlineLevel="0" collapsed="false">
      <c r="A32" s="4"/>
      <c r="B32" s="4"/>
      <c r="C32" s="4"/>
      <c r="D32" s="4"/>
      <c r="E32" s="4"/>
      <c r="F32" s="4"/>
      <c r="G32" s="4"/>
    </row>
    <row r="33" customFormat="false" ht="15" hidden="false" customHeight="false" outlineLevel="0" collapsed="false">
      <c r="A33" s="4"/>
      <c r="B33" s="4"/>
      <c r="C33" s="4"/>
      <c r="D33" s="4"/>
      <c r="E33" s="4"/>
      <c r="F33" s="4"/>
      <c r="G33" s="4"/>
    </row>
    <row r="34" customFormat="false" ht="15" hidden="false" customHeight="false" outlineLevel="0" collapsed="false">
      <c r="A34" s="4"/>
      <c r="B34" s="4"/>
      <c r="C34" s="4"/>
      <c r="D34" s="4"/>
      <c r="E34" s="4"/>
      <c r="F34" s="4"/>
      <c r="G34" s="4"/>
    </row>
    <row r="35" customFormat="false" ht="15" hidden="false" customHeight="false" outlineLevel="0" collapsed="false">
      <c r="A35" s="4"/>
      <c r="B35" s="4"/>
      <c r="C35" s="4"/>
      <c r="D35" s="4"/>
      <c r="E35" s="4"/>
      <c r="F35" s="4"/>
      <c r="G35" s="4"/>
    </row>
    <row r="36" customFormat="false" ht="15" hidden="false" customHeight="false" outlineLevel="0" collapsed="false">
      <c r="A36" s="4"/>
      <c r="B36" s="4"/>
      <c r="C36" s="4"/>
      <c r="D36" s="4"/>
      <c r="E36" s="4"/>
      <c r="F36" s="4"/>
      <c r="G36" s="4"/>
    </row>
    <row r="37" customFormat="false" ht="15" hidden="false" customHeight="false" outlineLevel="0" collapsed="false">
      <c r="A37" s="4"/>
      <c r="B37" s="4"/>
      <c r="C37" s="4"/>
      <c r="D37" s="4"/>
      <c r="E37" s="4"/>
      <c r="F37" s="4"/>
      <c r="G37" s="4"/>
    </row>
    <row r="38" customFormat="false" ht="15" hidden="false" customHeight="false" outlineLevel="0" collapsed="false">
      <c r="A38" s="4"/>
      <c r="B38" s="4"/>
      <c r="C38" s="4"/>
      <c r="D38" s="4"/>
      <c r="E38" s="4"/>
      <c r="F38" s="4"/>
      <c r="G38" s="4"/>
    </row>
    <row r="39" customFormat="false" ht="15" hidden="false" customHeight="false" outlineLevel="0" collapsed="false">
      <c r="A39" s="4"/>
      <c r="B39" s="4"/>
      <c r="C39" s="4"/>
      <c r="D39" s="4"/>
      <c r="E39" s="4"/>
      <c r="F39" s="4"/>
      <c r="G39" s="4"/>
    </row>
    <row r="40" customFormat="false" ht="15" hidden="false" customHeight="false" outlineLevel="0" collapsed="false">
      <c r="A40" s="4"/>
      <c r="B40" s="4"/>
      <c r="C40" s="4"/>
      <c r="D40" s="4"/>
      <c r="E40" s="4"/>
      <c r="F40" s="4"/>
      <c r="G40" s="4"/>
    </row>
    <row r="41" customFormat="false" ht="15" hidden="false" customHeight="false" outlineLevel="0" collapsed="false">
      <c r="A41" s="4"/>
      <c r="B41" s="4"/>
      <c r="C41" s="4"/>
      <c r="D41" s="4"/>
      <c r="E41" s="4"/>
      <c r="F41" s="4"/>
      <c r="G41" s="4"/>
    </row>
    <row r="42" customFormat="false" ht="15" hidden="false" customHeight="false" outlineLevel="0" collapsed="false">
      <c r="A42" s="4"/>
      <c r="B42" s="4"/>
      <c r="C42" s="4"/>
      <c r="D42" s="4"/>
      <c r="E42" s="4"/>
      <c r="F42" s="4"/>
      <c r="G42" s="4"/>
    </row>
    <row r="43" customFormat="false" ht="15" hidden="false" customHeight="false" outlineLevel="0" collapsed="false">
      <c r="A43" s="4"/>
      <c r="B43" s="4"/>
      <c r="C43" s="4"/>
      <c r="D43" s="4"/>
      <c r="E43" s="4"/>
      <c r="F43" s="4"/>
      <c r="G43" s="4"/>
    </row>
    <row r="44" customFormat="false" ht="15" hidden="false" customHeight="false" outlineLevel="0" collapsed="false">
      <c r="A44" s="4"/>
      <c r="B44" s="4"/>
      <c r="C44" s="4"/>
      <c r="D44" s="4"/>
      <c r="E44" s="4"/>
      <c r="F44" s="4"/>
      <c r="G44" s="4"/>
    </row>
    <row r="45" customFormat="false" ht="15" hidden="false" customHeight="false" outlineLevel="0" collapsed="false">
      <c r="A45" s="4"/>
      <c r="B45" s="4"/>
      <c r="C45" s="4"/>
      <c r="D45" s="4"/>
      <c r="E45" s="4"/>
      <c r="F45" s="4"/>
      <c r="G45" s="4"/>
    </row>
    <row r="46" customFormat="false" ht="15" hidden="false" customHeight="false" outlineLevel="0" collapsed="false">
      <c r="A46" s="4"/>
      <c r="B46" s="4"/>
      <c r="C46" s="4"/>
      <c r="D46" s="4"/>
      <c r="E46" s="4"/>
      <c r="F46" s="4"/>
      <c r="G46" s="4"/>
    </row>
    <row r="47" customFormat="false" ht="15" hidden="false" customHeight="false" outlineLevel="0" collapsed="false">
      <c r="A47" s="4"/>
      <c r="B47" s="4"/>
      <c r="C47" s="4"/>
      <c r="D47" s="4"/>
      <c r="E47" s="4"/>
      <c r="F47" s="4"/>
      <c r="G47" s="4"/>
    </row>
    <row r="48" customFormat="false" ht="15" hidden="false" customHeight="false" outlineLevel="0" collapsed="false">
      <c r="A48" s="4"/>
      <c r="B48" s="4"/>
      <c r="C48" s="4"/>
      <c r="D48" s="4"/>
      <c r="E48" s="4"/>
      <c r="F48" s="4"/>
      <c r="G48" s="4"/>
    </row>
  </sheetData>
  <sheetProtection sheet="true"/>
  <mergeCells count="7">
    <mergeCell ref="A1:G1"/>
    <mergeCell ref="A2:G2"/>
    <mergeCell ref="C8:F8"/>
    <mergeCell ref="B11:F11"/>
    <mergeCell ref="B23:C23"/>
    <mergeCell ref="E23:F23"/>
    <mergeCell ref="B26:C2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4"/>
    <col collapsed="false" customWidth="true" hidden="false" outlineLevel="0" max="6" min="3" style="0" width="16"/>
    <col collapsed="false" customWidth="true" hidden="false" outlineLevel="0" max="7" min="7" style="0" width="2"/>
  </cols>
  <sheetData>
    <row r="1" customFormat="false" ht="25.5" hidden="false" customHeight="true" outlineLevel="0" collapsed="false">
      <c r="A1" s="1" t="s">
        <v>174</v>
      </c>
      <c r="B1" s="1"/>
      <c r="C1" s="1"/>
      <c r="D1" s="1"/>
      <c r="E1" s="1"/>
      <c r="F1" s="1"/>
      <c r="G1" s="1"/>
    </row>
    <row r="2" customFormat="false" ht="13.5" hidden="false" customHeight="true" outlineLevel="0" collapsed="false">
      <c r="A2" s="2" t="s">
        <v>156</v>
      </c>
      <c r="B2" s="2"/>
      <c r="C2" s="2"/>
      <c r="D2" s="2"/>
      <c r="E2" s="2"/>
      <c r="F2" s="2"/>
      <c r="G2" s="2"/>
    </row>
    <row r="3" customFormat="false" ht="3" hidden="false" customHeight="true" outlineLevel="0" collapsed="false">
      <c r="A3" s="3"/>
      <c r="B3" s="3"/>
      <c r="C3" s="3"/>
      <c r="D3" s="3"/>
      <c r="E3" s="3"/>
      <c r="F3" s="3"/>
      <c r="G3" s="3"/>
    </row>
    <row r="4" customFormat="false" ht="15" hidden="false" customHeight="false" outlineLevel="0" collapsed="false">
      <c r="A4" s="4"/>
      <c r="B4" s="4"/>
      <c r="C4" s="4"/>
      <c r="D4" s="4"/>
      <c r="E4" s="4"/>
      <c r="F4" s="4"/>
      <c r="G4" s="4"/>
    </row>
    <row r="5" customFormat="false" ht="15" hidden="false" customHeight="false" outlineLevel="0" collapsed="false">
      <c r="A5" s="4"/>
      <c r="B5" s="5" t="s">
        <v>157</v>
      </c>
      <c r="C5" s="34" t="str">
        <f aca="false">"Police"</f>
        <v>Police</v>
      </c>
      <c r="D5" s="4"/>
      <c r="E5" s="5" t="s">
        <v>20</v>
      </c>
      <c r="F5" s="32" t="str">
        <f aca="false">IF(ActiveRow=0,"",INDEX(Requests!$A$2:$A$251,ActiveRow))</f>
        <v>T26-003</v>
      </c>
      <c r="G5" s="4"/>
    </row>
    <row r="6" customFormat="false" ht="15" hidden="false" customHeight="false" outlineLevel="0" collapsed="false">
      <c r="A6" s="4"/>
      <c r="B6" s="5" t="s">
        <v>158</v>
      </c>
      <c r="C6" s="34" t="str">
        <f aca="false">IF(ActiveRow=0,"",INDEX(Requests!$C$2:$C$251,ActiveRow))</f>
        <v>SAMPLE — A. Chen</v>
      </c>
      <c r="D6" s="4"/>
      <c r="E6" s="5" t="s">
        <v>159</v>
      </c>
      <c r="F6" s="34" t="str">
        <f aca="false">IF(ActiveRow=0,"",INDEX(Requests!$D$2:$D$251,ActiveRow))</f>
        <v>Corporal</v>
      </c>
      <c r="G6" s="4"/>
    </row>
    <row r="7" customFormat="false" ht="15" hidden="false" customHeight="false" outlineLevel="0" collapsed="false">
      <c r="A7" s="4"/>
      <c r="B7" s="5" t="s">
        <v>160</v>
      </c>
      <c r="C7" s="34" t="str">
        <f aca="false">IF(ActiveRow=0,"",INDEX(Requests!$M$2:$M$251,ActiveRow))</f>
        <v>College Station, TX</v>
      </c>
      <c r="D7" s="4"/>
      <c r="E7" s="5" t="s">
        <v>136</v>
      </c>
      <c r="F7" s="34" t="str">
        <f aca="false">IF(ActiveRow=0,"",INDEX(Requests!$E$2:$E$251,ActiveRow))</f>
        <v>4215</v>
      </c>
      <c r="G7" s="4"/>
    </row>
    <row r="8" customFormat="false" ht="15" hidden="false" customHeight="false" outlineLevel="0" collapsed="false">
      <c r="A8" s="4"/>
      <c r="B8" s="5" t="s">
        <v>161</v>
      </c>
      <c r="C8" s="34" t="str">
        <f aca="false">IF(ActiveRow=0,"",INDEX(Requests!$K$2:$K$251,ActiveRow))</f>
        <v>Advanced Crash Reconstruction</v>
      </c>
      <c r="D8" s="34"/>
      <c r="E8" s="34"/>
      <c r="F8" s="34"/>
      <c r="G8" s="4"/>
    </row>
    <row r="9" customFormat="false" ht="15" hidden="false" customHeight="false" outlineLevel="0" collapsed="false">
      <c r="A9" s="4"/>
      <c r="B9" s="5" t="s">
        <v>140</v>
      </c>
      <c r="C9" s="34" t="str">
        <f aca="false">IF(ActiveRow=0,"",TEXT(INDEX(Requests!$P$2:$P$251,ActiveRow),"mm/dd/yy")&amp;" "&amp;TEXT(INDEX(Requests!$Q$2:$Q$251,ActiveRow),"h:mm AM/PM"))</f>
        <v>08/23/26 1:00 PM</v>
      </c>
      <c r="D9" s="4"/>
      <c r="E9" s="5" t="s">
        <v>141</v>
      </c>
      <c r="F9" s="34" t="str">
        <f aca="false">IF(ActiveRow=0,"",TEXT(INDEX(Requests!$R$2:$R$251,ActiveRow),"mm/dd/yy")&amp;" "&amp;TEXT(INDEX(Requests!$S$2:$S$251,ActiveRow),"h:mm AM/PM"))</f>
        <v>08/28/26 6:30 PM</v>
      </c>
      <c r="G9" s="4"/>
    </row>
    <row r="10" customFormat="false" ht="15" hidden="false" customHeight="false" outlineLevel="0" collapsed="false">
      <c r="A10" s="4"/>
      <c r="B10" s="4"/>
      <c r="C10" s="4"/>
      <c r="D10" s="4"/>
      <c r="E10" s="4"/>
      <c r="F10" s="4"/>
      <c r="G10" s="4"/>
    </row>
    <row r="11" customFormat="false" ht="15.75" hidden="false" customHeight="true" outlineLevel="0" collapsed="false">
      <c r="A11" s="4"/>
      <c r="B11" s="18" t="s">
        <v>175</v>
      </c>
      <c r="C11" s="18"/>
      <c r="D11" s="18"/>
      <c r="E11" s="18"/>
      <c r="F11" s="18"/>
      <c r="G11" s="4"/>
    </row>
    <row r="12" customFormat="false" ht="15" hidden="false" customHeight="false" outlineLevel="0" collapsed="false">
      <c r="A12" s="4"/>
      <c r="B12" s="41" t="s">
        <v>163</v>
      </c>
      <c r="C12" s="41" t="s">
        <v>164</v>
      </c>
      <c r="D12" s="41" t="s">
        <v>165</v>
      </c>
      <c r="E12" s="41" t="s">
        <v>176</v>
      </c>
      <c r="F12" s="41" t="s">
        <v>177</v>
      </c>
      <c r="G12" s="4"/>
    </row>
    <row r="13" customFormat="false" ht="15" hidden="false" customHeight="false" outlineLevel="0" collapsed="false">
      <c r="A13" s="4"/>
      <c r="B13" s="42" t="s">
        <v>166</v>
      </c>
      <c r="C13" s="43"/>
      <c r="D13" s="44" t="n">
        <f aca="false">IF(ActiveRow=0,"",INDEX(Requests!$T$2:$T$251,ActiveRow))</f>
        <v>450</v>
      </c>
      <c r="E13" s="44" t="n">
        <f aca="false">IF(ActiveRow=0,"",INDEX(Requests!$AE$2:$AE$251,ActiveRow))</f>
        <v>0</v>
      </c>
      <c r="F13" s="44" t="str">
        <f aca="false">IF(OR($D13="",$E13=""),"",$D13-$E13)</f>
        <v/>
      </c>
      <c r="G13" s="4"/>
    </row>
    <row r="14" customFormat="false" ht="15" hidden="false" customHeight="false" outlineLevel="0" collapsed="false">
      <c r="A14" s="4"/>
      <c r="B14" s="42" t="s">
        <v>144</v>
      </c>
      <c r="C14" s="43"/>
      <c r="D14" s="44" t="n">
        <f aca="false">IF(ActiveRow=0,"",INDEX(Requests!$W$2:$W$251,ActiveRow))</f>
        <v>645</v>
      </c>
      <c r="E14" s="44" t="n">
        <f aca="false">IF(ActiveRow=0,"",INDEX(Requests!$AF$2:$AF$251,ActiveRow))</f>
        <v>0</v>
      </c>
      <c r="F14" s="44" t="str">
        <f aca="false">IF(OR($D14="",$E14=""),"",$D14-$E14)</f>
        <v/>
      </c>
      <c r="G14" s="4"/>
    </row>
    <row r="15" customFormat="false" ht="15" hidden="false" customHeight="false" outlineLevel="0" collapsed="false">
      <c r="A15" s="4"/>
      <c r="B15" s="42" t="s">
        <v>167</v>
      </c>
      <c r="C15" s="43"/>
      <c r="D15" s="44" t="n">
        <f aca="false">IF(ActiveRow=0,"",INDEX(Requests!$AB$2:$AB$251,ActiveRow))</f>
        <v>300</v>
      </c>
      <c r="E15" s="44" t="n">
        <f aca="false">IF(ActiveRow=0,"",INDEX(Requests!$AH$2:$AH$251,ActiveRow))</f>
        <v>0</v>
      </c>
      <c r="F15" s="44" t="str">
        <f aca="false">IF(OR($D15="",$E15=""),"",$D15-$E15)</f>
        <v/>
      </c>
      <c r="G15" s="4"/>
    </row>
    <row r="16" customFormat="false" ht="15" hidden="false" customHeight="false" outlineLevel="0" collapsed="false">
      <c r="A16" s="4"/>
      <c r="B16" s="42" t="s">
        <v>168</v>
      </c>
      <c r="C16" s="43"/>
      <c r="D16" s="44" t="n">
        <f aca="false">IF(ActiveRow=0,"",INDEX(Requests!$AA$2:$AA$251,ActiveRow))</f>
        <v>0</v>
      </c>
      <c r="E16" s="44" t="n">
        <f aca="false">IF(ActiveRow=0,"",INDEX(Requests!$AG$2:$AG$251,ActiveRow))</f>
        <v>0</v>
      </c>
      <c r="F16" s="44" t="str">
        <f aca="false">IF(OR($D16="",$E16=""),"",$D16-$E16)</f>
        <v/>
      </c>
      <c r="G16" s="4"/>
    </row>
    <row r="17" customFormat="false" ht="15" hidden="false" customHeight="false" outlineLevel="0" collapsed="false">
      <c r="A17" s="4"/>
      <c r="B17" s="42" t="s">
        <v>147</v>
      </c>
      <c r="C17" s="43"/>
      <c r="D17" s="44" t="n">
        <f aca="false">IF(ActiveRow=0,"",INDEX(Requests!$AC$2:$AC$251,ActiveRow))</f>
        <v>35</v>
      </c>
      <c r="E17" s="44" t="n">
        <f aca="false">IF(ActiveRow=0,"",INDEX(Requests!$AI$2:$AI$251,ActiveRow))</f>
        <v>0</v>
      </c>
      <c r="F17" s="44" t="str">
        <f aca="false">IF(OR($D17="",$E17=""),"",$D17-$E17)</f>
        <v/>
      </c>
      <c r="G17" s="4"/>
    </row>
    <row r="18" customFormat="false" ht="15" hidden="false" customHeight="false" outlineLevel="0" collapsed="false">
      <c r="A18" s="4"/>
      <c r="B18" s="45" t="s">
        <v>169</v>
      </c>
      <c r="C18" s="42"/>
      <c r="D18" s="46" t="n">
        <f aca="false">IF(ActiveRow=0,"",SUM(D13:D17))</f>
        <v>1430</v>
      </c>
      <c r="E18" s="46" t="n">
        <f aca="false">IF(ActiveRow=0,"",SUM(E13:E17))</f>
        <v>0</v>
      </c>
      <c r="F18" s="42"/>
      <c r="G18" s="4"/>
    </row>
    <row r="19" customFormat="false" ht="15" hidden="false" customHeight="false" outlineLevel="0" collapsed="false">
      <c r="A19" s="4"/>
      <c r="B19" s="4"/>
      <c r="C19" s="4"/>
      <c r="D19" s="4"/>
      <c r="E19" s="4"/>
      <c r="F19" s="4"/>
      <c r="G19" s="4"/>
    </row>
    <row r="20" customFormat="false" ht="15" hidden="false" customHeight="false" outlineLevel="0" collapsed="false">
      <c r="A20" s="4"/>
      <c r="B20" s="5" t="s">
        <v>178</v>
      </c>
      <c r="C20" s="35" t="str">
        <f aca="false">IF(ActiveRow=0,"",INDEX(Requests!$AJ$2:$AJ$251,ActiveRow))</f>
        <v/>
      </c>
      <c r="D20" s="4"/>
      <c r="E20" s="4"/>
      <c r="F20" s="4"/>
      <c r="G20" s="4"/>
    </row>
    <row r="21" customFormat="false" ht="15" hidden="false" customHeight="false" outlineLevel="0" collapsed="false">
      <c r="A21" s="4"/>
      <c r="B21" s="5" t="s">
        <v>179</v>
      </c>
      <c r="C21" s="35" t="n">
        <f aca="false">IF(ActiveRow=0,"",INDEX(Requests!$AK$2:$AK$251,ActiveRow))</f>
        <v>0</v>
      </c>
      <c r="D21" s="4"/>
      <c r="E21" s="4"/>
      <c r="F21" s="4"/>
      <c r="G21" s="4"/>
    </row>
    <row r="22" customFormat="false" ht="15" hidden="false" customHeight="false" outlineLevel="0" collapsed="false">
      <c r="A22" s="4"/>
      <c r="B22" s="5" t="s">
        <v>180</v>
      </c>
      <c r="C22" s="35" t="n">
        <f aca="false">IF(ActiveRow=0,"",INDEX(Requests!$AL$2:$AL$251,ActiveRow))</f>
        <v>0</v>
      </c>
      <c r="D22" s="4"/>
      <c r="E22" s="4"/>
      <c r="F22" s="4"/>
      <c r="G22" s="4"/>
    </row>
    <row r="23" customFormat="false" ht="15" hidden="false" customHeight="false" outlineLevel="0" collapsed="false">
      <c r="A23" s="4"/>
      <c r="B23" s="5" t="s">
        <v>181</v>
      </c>
      <c r="C23" s="36" t="str">
        <f aca="false">IF(ActiveRow=0,"",INDEX(Requests!$AM$2:$AM$251,ActiveRow))</f>
        <v/>
      </c>
      <c r="D23" s="4"/>
      <c r="E23" s="4"/>
      <c r="F23" s="4"/>
      <c r="G23" s="4"/>
    </row>
    <row r="24" customFormat="false" ht="15" hidden="false" customHeight="false" outlineLevel="0" collapsed="false">
      <c r="A24" s="4"/>
      <c r="B24" s="4"/>
      <c r="C24" s="4"/>
      <c r="D24" s="4"/>
      <c r="E24" s="4"/>
      <c r="F24" s="4"/>
      <c r="G24" s="4"/>
    </row>
    <row r="25" customFormat="false" ht="15" hidden="false" customHeight="false" outlineLevel="0" collapsed="false">
      <c r="A25" s="4"/>
      <c r="B25" s="19" t="s">
        <v>182</v>
      </c>
      <c r="C25" s="19"/>
      <c r="D25" s="19"/>
      <c r="E25" s="19"/>
      <c r="F25" s="19"/>
      <c r="G25" s="4"/>
    </row>
    <row r="26" customFormat="false" ht="15" hidden="false" customHeight="false" outlineLevel="0" collapsed="false">
      <c r="A26" s="4"/>
      <c r="B26" s="4"/>
      <c r="C26" s="4"/>
      <c r="D26" s="4"/>
      <c r="E26" s="4"/>
      <c r="F26" s="4"/>
      <c r="G26" s="4"/>
    </row>
    <row r="27" customFormat="false" ht="15" hidden="false" customHeight="false" outlineLevel="0" collapsed="false">
      <c r="A27" s="4"/>
      <c r="B27" s="4"/>
      <c r="C27" s="4"/>
      <c r="D27" s="4"/>
      <c r="E27" s="4"/>
      <c r="F27" s="4"/>
      <c r="G27" s="4"/>
    </row>
    <row r="28" customFormat="false" ht="15" hidden="false" customHeight="false" outlineLevel="0" collapsed="false">
      <c r="A28" s="4"/>
      <c r="B28" s="38"/>
      <c r="C28" s="38"/>
      <c r="D28" s="4"/>
      <c r="E28" s="38"/>
      <c r="F28" s="38"/>
      <c r="G28" s="4"/>
    </row>
    <row r="29" customFormat="false" ht="15" hidden="false" customHeight="false" outlineLevel="0" collapsed="false">
      <c r="A29" s="4"/>
      <c r="B29" s="39" t="s">
        <v>171</v>
      </c>
      <c r="C29" s="4"/>
      <c r="D29" s="4"/>
      <c r="E29" s="39" t="s">
        <v>172</v>
      </c>
      <c r="F29" s="4"/>
      <c r="G29" s="4"/>
    </row>
    <row r="30" customFormat="false" ht="15" hidden="false" customHeight="false" outlineLevel="0" collapsed="false">
      <c r="A30" s="4"/>
      <c r="B30" s="4"/>
      <c r="C30" s="4"/>
      <c r="D30" s="4"/>
      <c r="E30" s="4"/>
      <c r="F30" s="4"/>
      <c r="G30" s="4"/>
    </row>
    <row r="31" customFormat="false" ht="15" hidden="false" customHeight="false" outlineLevel="0" collapsed="false">
      <c r="A31" s="4"/>
      <c r="B31" s="38"/>
      <c r="C31" s="38"/>
      <c r="D31" s="4"/>
      <c r="E31" s="4"/>
      <c r="F31" s="4"/>
      <c r="G31" s="4"/>
    </row>
    <row r="32" customFormat="false" ht="15" hidden="false" customHeight="false" outlineLevel="0" collapsed="false">
      <c r="A32" s="4"/>
      <c r="B32" s="39" t="s">
        <v>173</v>
      </c>
      <c r="C32" s="4"/>
      <c r="D32" s="4"/>
      <c r="E32" s="4"/>
      <c r="F32" s="4"/>
      <c r="G32" s="4"/>
    </row>
    <row r="33" customFormat="false" ht="15" hidden="false" customHeight="false" outlineLevel="0" collapsed="false">
      <c r="A33" s="4"/>
      <c r="B33" s="4"/>
      <c r="C33" s="4"/>
      <c r="D33" s="4"/>
      <c r="E33" s="4"/>
      <c r="F33" s="4"/>
      <c r="G33" s="4"/>
    </row>
    <row r="34" customFormat="false" ht="15" hidden="false" customHeight="false" outlineLevel="0" collapsed="false">
      <c r="A34" s="4"/>
      <c r="B34" s="4"/>
      <c r="C34" s="4"/>
      <c r="D34" s="4"/>
      <c r="E34" s="4"/>
      <c r="F34" s="4"/>
      <c r="G34" s="4"/>
    </row>
    <row r="35" customFormat="false" ht="15" hidden="false" customHeight="false" outlineLevel="0" collapsed="false">
      <c r="A35" s="4"/>
      <c r="B35" s="4"/>
      <c r="C35" s="4"/>
      <c r="D35" s="4"/>
      <c r="E35" s="4"/>
      <c r="F35" s="4"/>
      <c r="G35" s="4"/>
    </row>
    <row r="36" customFormat="false" ht="15" hidden="false" customHeight="false" outlineLevel="0" collapsed="false">
      <c r="A36" s="4"/>
      <c r="B36" s="4"/>
      <c r="C36" s="4"/>
      <c r="D36" s="4"/>
      <c r="E36" s="4"/>
      <c r="F36" s="4"/>
      <c r="G36" s="4"/>
    </row>
    <row r="37" customFormat="false" ht="15" hidden="false" customHeight="false" outlineLevel="0" collapsed="false">
      <c r="A37" s="4"/>
      <c r="B37" s="4"/>
      <c r="C37" s="4"/>
      <c r="D37" s="4"/>
      <c r="E37" s="4"/>
      <c r="F37" s="4"/>
      <c r="G37" s="4"/>
    </row>
    <row r="38" customFormat="false" ht="15" hidden="false" customHeight="false" outlineLevel="0" collapsed="false">
      <c r="A38" s="4"/>
      <c r="B38" s="4"/>
      <c r="C38" s="4"/>
      <c r="D38" s="4"/>
      <c r="E38" s="4"/>
      <c r="F38" s="4"/>
      <c r="G38" s="4"/>
    </row>
    <row r="39" customFormat="false" ht="15" hidden="false" customHeight="false" outlineLevel="0" collapsed="false">
      <c r="A39" s="4"/>
      <c r="B39" s="4"/>
      <c r="C39" s="4"/>
      <c r="D39" s="4"/>
      <c r="E39" s="4"/>
      <c r="F39" s="4"/>
      <c r="G39" s="4"/>
    </row>
    <row r="40" customFormat="false" ht="15" hidden="false" customHeight="false" outlineLevel="0" collapsed="false">
      <c r="A40" s="4"/>
      <c r="B40" s="4"/>
      <c r="C40" s="4"/>
      <c r="D40" s="4"/>
      <c r="E40" s="4"/>
      <c r="F40" s="4"/>
      <c r="G40" s="4"/>
    </row>
    <row r="41" customFormat="false" ht="15" hidden="false" customHeight="false" outlineLevel="0" collapsed="false">
      <c r="A41" s="4"/>
      <c r="B41" s="4"/>
      <c r="C41" s="4"/>
      <c r="D41" s="4"/>
      <c r="E41" s="4"/>
      <c r="F41" s="4"/>
      <c r="G41" s="4"/>
    </row>
    <row r="42" customFormat="false" ht="15" hidden="false" customHeight="false" outlineLevel="0" collapsed="false">
      <c r="A42" s="4"/>
      <c r="B42" s="4"/>
      <c r="C42" s="4"/>
      <c r="D42" s="4"/>
      <c r="E42" s="4"/>
      <c r="F42" s="4"/>
      <c r="G42" s="4"/>
    </row>
    <row r="43" customFormat="false" ht="15" hidden="false" customHeight="false" outlineLevel="0" collapsed="false">
      <c r="A43" s="4"/>
      <c r="B43" s="4"/>
      <c r="C43" s="4"/>
      <c r="D43" s="4"/>
      <c r="E43" s="4"/>
      <c r="F43" s="4"/>
      <c r="G43" s="4"/>
    </row>
    <row r="44" customFormat="false" ht="15" hidden="false" customHeight="false" outlineLevel="0" collapsed="false">
      <c r="A44" s="4"/>
      <c r="B44" s="4"/>
      <c r="C44" s="4"/>
      <c r="D44" s="4"/>
      <c r="E44" s="4"/>
      <c r="F44" s="4"/>
      <c r="G44" s="4"/>
    </row>
    <row r="45" customFormat="false" ht="15" hidden="false" customHeight="false" outlineLevel="0" collapsed="false">
      <c r="A45" s="4"/>
      <c r="B45" s="4"/>
      <c r="C45" s="4"/>
      <c r="D45" s="4"/>
      <c r="E45" s="4"/>
      <c r="F45" s="4"/>
      <c r="G45" s="4"/>
    </row>
    <row r="46" customFormat="false" ht="15" hidden="false" customHeight="false" outlineLevel="0" collapsed="false">
      <c r="A46" s="4"/>
      <c r="B46" s="4"/>
      <c r="C46" s="4"/>
      <c r="D46" s="4"/>
      <c r="E46" s="4"/>
      <c r="F46" s="4"/>
      <c r="G46" s="4"/>
    </row>
    <row r="47" customFormat="false" ht="15" hidden="false" customHeight="false" outlineLevel="0" collapsed="false">
      <c r="A47" s="4"/>
      <c r="B47" s="4"/>
      <c r="C47" s="4"/>
      <c r="D47" s="4"/>
      <c r="E47" s="4"/>
      <c r="F47" s="4"/>
      <c r="G47" s="4"/>
    </row>
    <row r="48" customFormat="false" ht="15" hidden="false" customHeight="false" outlineLevel="0" collapsed="false">
      <c r="A48" s="4"/>
      <c r="B48" s="4"/>
      <c r="C48" s="4"/>
      <c r="D48" s="4"/>
      <c r="E48" s="4"/>
      <c r="F48" s="4"/>
      <c r="G48" s="4"/>
    </row>
  </sheetData>
  <sheetProtection sheet="true"/>
  <mergeCells count="8">
    <mergeCell ref="A1:G1"/>
    <mergeCell ref="A2:G2"/>
    <mergeCell ref="C8:F8"/>
    <mergeCell ref="B11:F11"/>
    <mergeCell ref="B25:F25"/>
    <mergeCell ref="B28:C28"/>
    <mergeCell ref="E28:F28"/>
    <mergeCell ref="B31:C3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24"/>
    <col collapsed="false" customWidth="true" hidden="false" outlineLevel="0" max="4" min="4" style="0" width="20"/>
    <col collapsed="false" customWidth="true" hidden="false" outlineLevel="0" max="5" min="5" style="0" width="24"/>
    <col collapsed="false" customWidth="true" hidden="false" outlineLevel="0" max="6" min="6" style="0" width="2"/>
  </cols>
  <sheetData>
    <row r="1" customFormat="false" ht="25.5" hidden="false" customHeight="true" outlineLevel="0" collapsed="false">
      <c r="A1" s="1" t="s">
        <v>183</v>
      </c>
      <c r="B1" s="1"/>
      <c r="C1" s="1"/>
      <c r="D1" s="1"/>
      <c r="E1" s="1"/>
      <c r="F1" s="1"/>
    </row>
    <row r="2" customFormat="false" ht="13.5" hidden="false" customHeight="true" outlineLevel="0" collapsed="false">
      <c r="A2" s="2" t="s">
        <v>184</v>
      </c>
      <c r="B2" s="2"/>
      <c r="C2" s="2"/>
      <c r="D2" s="2"/>
      <c r="E2" s="2"/>
      <c r="F2" s="2"/>
    </row>
    <row r="3" customFormat="false" ht="3" hidden="false" customHeight="true" outlineLevel="0" collapsed="false">
      <c r="A3" s="3"/>
      <c r="B3" s="3"/>
      <c r="C3" s="3"/>
      <c r="D3" s="3"/>
      <c r="E3" s="3"/>
      <c r="F3" s="3"/>
    </row>
    <row r="4" customFormat="false" ht="15" hidden="false" customHeight="false" outlineLevel="0" collapsed="false">
      <c r="A4" s="4"/>
      <c r="B4" s="4"/>
      <c r="C4" s="4"/>
      <c r="D4" s="4"/>
      <c r="E4" s="4"/>
      <c r="F4" s="4"/>
    </row>
    <row r="5" customFormat="false" ht="15" hidden="false" customHeight="false" outlineLevel="0" collapsed="false">
      <c r="A5" s="4"/>
      <c r="B5" s="5" t="s">
        <v>185</v>
      </c>
      <c r="C5" s="32" t="str">
        <f aca="false">IF(ActiveRow=0,"",INDEX(Requests!$C$2:$C$251,ActiveRow))</f>
        <v>SAMPLE — A. Chen</v>
      </c>
      <c r="D5" s="5" t="s">
        <v>20</v>
      </c>
      <c r="E5" s="32" t="str">
        <f aca="false">IF(ActiveRow=0,"",INDEX(Requests!$A$2:$A$251,ActiveRow))</f>
        <v>T26-003</v>
      </c>
      <c r="F5" s="4"/>
    </row>
    <row r="6" customFormat="false" ht="15" hidden="false" customHeight="false" outlineLevel="0" collapsed="false">
      <c r="A6" s="4"/>
      <c r="B6" s="5" t="s">
        <v>186</v>
      </c>
      <c r="C6" s="34" t="str">
        <f aca="false">CoordName</f>
        <v>Training Coordinator</v>
      </c>
      <c r="D6" s="5" t="s">
        <v>187</v>
      </c>
      <c r="E6" s="33" t="n">
        <f aca="true">TODAY()</f>
        <v>46243</v>
      </c>
      <c r="F6" s="4"/>
    </row>
    <row r="7" customFormat="false" ht="15" hidden="false" customHeight="false" outlineLevel="0" collapsed="false">
      <c r="A7" s="4"/>
      <c r="B7" s="4"/>
      <c r="C7" s="4"/>
      <c r="D7" s="4"/>
      <c r="E7" s="4"/>
      <c r="F7" s="4"/>
    </row>
    <row r="8" customFormat="false" ht="15.75" hidden="false" customHeight="true" outlineLevel="0" collapsed="false">
      <c r="A8" s="4"/>
      <c r="B8" s="18" t="s">
        <v>188</v>
      </c>
      <c r="C8" s="18"/>
      <c r="D8" s="18"/>
      <c r="E8" s="18"/>
      <c r="F8" s="4"/>
    </row>
    <row r="9" customFormat="false" ht="15" hidden="false" customHeight="false" outlineLevel="0" collapsed="false">
      <c r="A9" s="4"/>
      <c r="B9" s="5" t="s">
        <v>13</v>
      </c>
      <c r="C9" s="34" t="str">
        <f aca="false">IF(ActiveRow=0,"",INDEX(Requests!$K$2:$K$251,ActiveRow))</f>
        <v>Advanced Crash Reconstruction</v>
      </c>
      <c r="D9" s="34"/>
      <c r="E9" s="34"/>
      <c r="F9" s="4"/>
    </row>
    <row r="10" customFormat="false" ht="15" hidden="false" customHeight="false" outlineLevel="0" collapsed="false">
      <c r="A10" s="4"/>
      <c r="B10" s="5" t="s">
        <v>30</v>
      </c>
      <c r="C10" s="34" t="str">
        <f aca="false">IF(ActiveRow=0,"",INDEX(Requests!$L$2:$L$251,ActiveRow))</f>
        <v>TEEX</v>
      </c>
      <c r="D10" s="5" t="s">
        <v>31</v>
      </c>
      <c r="E10" s="34" t="str">
        <f aca="false">IF(ActiveRow=0,"",INDEX(Requests!$M$2:$M$251,ActiveRow))</f>
        <v>College Station, TX</v>
      </c>
      <c r="F10" s="4"/>
    </row>
    <row r="11" customFormat="false" ht="15" hidden="false" customHeight="false" outlineLevel="0" collapsed="false">
      <c r="A11" s="4"/>
      <c r="B11" s="5" t="s">
        <v>139</v>
      </c>
      <c r="C11" s="34" t="str">
        <f aca="false">IF(ActiveRow=0,"",TEXT(INDEX(Requests!$N$2:$N$251,ActiveRow),"mm/dd/yy")&amp;" – "&amp;TEXT(INDEX(Requests!$O$2:$O$251,ActiveRow),"mm/dd/yy"))</f>
        <v>08/24/26 – 08/28/26</v>
      </c>
      <c r="D11" s="5" t="s">
        <v>42</v>
      </c>
      <c r="E11" s="34" t="str">
        <f aca="false">IF(ActiveRow=0,"",INDEX(Requests!$X$2:$X$251,ActiveRow))</f>
        <v>City Vehicle</v>
      </c>
      <c r="F11" s="4"/>
    </row>
    <row r="12" customFormat="false" ht="15" hidden="false" customHeight="false" outlineLevel="0" collapsed="false">
      <c r="A12" s="4"/>
      <c r="B12" s="5" t="s">
        <v>189</v>
      </c>
      <c r="C12" s="34" t="str">
        <f aca="false">IF(ActiveRow=0,"",TEXT(INDEX(Requests!$P$2:$P$251,ActiveRow),"dddd mm/dd")&amp;" at "&amp;TEXT(INDEX(Requests!$Q$2:$Q$251,ActiveRow),"h:mm AM/PM"))</f>
        <v>Sunday 08/23 at 1:00 PM</v>
      </c>
      <c r="D12" s="5" t="s">
        <v>141</v>
      </c>
      <c r="E12" s="34" t="str">
        <f aca="false">IF(ActiveRow=0,"",TEXT(INDEX(Requests!$R$2:$R$251,ActiveRow),"dddd mm/dd")&amp;" at "&amp;TEXT(INDEX(Requests!$S$2:$S$251,ActiveRow),"h:mm AM/PM"))</f>
        <v>Friday 08/28 at 6:30 PM</v>
      </c>
      <c r="F12" s="4"/>
    </row>
    <row r="13" customFormat="false" ht="15" hidden="false" customHeight="false" outlineLevel="0" collapsed="false">
      <c r="A13" s="4"/>
      <c r="B13" s="4"/>
      <c r="C13" s="4"/>
      <c r="D13" s="4"/>
      <c r="E13" s="4"/>
      <c r="F13" s="4"/>
    </row>
    <row r="14" customFormat="false" ht="15.75" hidden="false" customHeight="true" outlineLevel="0" collapsed="false">
      <c r="A14" s="4"/>
      <c r="B14" s="18" t="s">
        <v>190</v>
      </c>
      <c r="C14" s="18"/>
      <c r="D14" s="18"/>
      <c r="E14" s="18"/>
      <c r="F14" s="4"/>
    </row>
    <row r="15" customFormat="false" ht="15" hidden="false" customHeight="false" outlineLevel="0" collapsed="false">
      <c r="A15" s="4"/>
      <c r="B15" s="5" t="s">
        <v>143</v>
      </c>
      <c r="C15" s="34" t="str">
        <f aca="false">IF(ActiveRow=0,"",IF(INDEX(Requests!$AP$2:$AP$251,ActiveRow)="Y","PAID — "&amp;TEXT(INDEX(Requests!$T$2:$T$251,ActiveRow),"$#,##0.00"),"Pending"))</f>
        <v>Pending</v>
      </c>
      <c r="D15" s="5" t="s">
        <v>191</v>
      </c>
      <c r="E15" s="34" t="str">
        <f aca="false">IF(ActiveRow=0,"",IF(N(INDEX(Requests!$U$2:$U$251,ActiveRow))=0,"None needed",IF(INDEX(Requests!$AQ$2:$AQ$251,ActiveRow)="Y","BOOKED — "&amp;INDEX(Requests!$U$2:$U$251,ActiveRow)&amp;" nights","Pending")))</f>
        <v>Pending</v>
      </c>
      <c r="F15" s="4"/>
    </row>
    <row r="16" customFormat="false" ht="15" hidden="false" customHeight="false" outlineLevel="0" collapsed="false">
      <c r="A16" s="4"/>
      <c r="B16" s="4"/>
      <c r="C16" s="4"/>
      <c r="D16" s="4"/>
      <c r="E16" s="4"/>
      <c r="F16" s="4"/>
    </row>
    <row r="17" customFormat="false" ht="15.75" hidden="false" customHeight="true" outlineLevel="0" collapsed="false">
      <c r="A17" s="4"/>
      <c r="B17" s="18" t="s">
        <v>192</v>
      </c>
      <c r="C17" s="18"/>
      <c r="D17" s="18"/>
      <c r="E17" s="18"/>
      <c r="F17" s="4"/>
    </row>
    <row r="18" customFormat="false" ht="15" hidden="false" customHeight="false" outlineLevel="0" collapsed="false">
      <c r="A18" s="4"/>
      <c r="B18" s="5" t="s">
        <v>146</v>
      </c>
      <c r="C18" s="48" t="n">
        <f aca="false">IF(ActiveRow=0,"",INDEX(Requests!$AB$2:$AB$251,ActiveRow))</f>
        <v>300</v>
      </c>
      <c r="D18" s="5" t="s">
        <v>193</v>
      </c>
      <c r="E18" s="35" t="n">
        <f aca="false">IF(ActiveRow=0,"",INDEX(Requests!$AA$2:$AA$251,ActiveRow))</f>
        <v>0</v>
      </c>
      <c r="F18" s="4"/>
    </row>
    <row r="19" customFormat="false" ht="15" hidden="false" customHeight="false" outlineLevel="0" collapsed="false">
      <c r="A19" s="4"/>
      <c r="B19" s="4"/>
      <c r="C19" s="4"/>
      <c r="D19" s="4"/>
      <c r="E19" s="4"/>
      <c r="F19" s="4"/>
    </row>
    <row r="20" customFormat="false" ht="15" hidden="false" customHeight="false" outlineLevel="0" collapsed="false">
      <c r="A20" s="4"/>
      <c r="B20" s="37" t="str">
        <f aca="false">IF(ActiveRow=0,"","Per diem is calculated from your departure and return times under city travel policy. KEEP EVERY ITEMIZED RECEIPT — turn them in to the Training Unit by "&amp;TEXT(INDEX(Requests!$AR$2:$AR$251,ActiveRow),"dddd, mmmm d")&amp;". Questions: "&amp;CoordName&amp;", "&amp;CoordPhone&amp;".")</f>
        <v>Per diem is calculated from your departure and return times under city travel policy. KEEP EVERY ITEMIZED RECEIPT — turn them in to the Training Unit by Friday, September 4. Questions: Training Coordinator, 903-555-0100.</v>
      </c>
      <c r="C20" s="37"/>
      <c r="D20" s="37"/>
      <c r="E20" s="37"/>
      <c r="F20" s="4"/>
    </row>
    <row r="21" customFormat="false" ht="15" hidden="false" customHeight="false" outlineLevel="0" collapsed="false">
      <c r="A21" s="4"/>
      <c r="B21" s="37"/>
      <c r="C21" s="37"/>
      <c r="D21" s="37"/>
      <c r="E21" s="37"/>
      <c r="F21" s="4"/>
    </row>
    <row r="22" customFormat="false" ht="15" hidden="false" customHeight="false" outlineLevel="0" collapsed="false">
      <c r="A22" s="4"/>
      <c r="B22" s="37"/>
      <c r="C22" s="37"/>
      <c r="D22" s="37"/>
      <c r="E22" s="37"/>
      <c r="F22" s="4"/>
    </row>
    <row r="23" customFormat="false" ht="15" hidden="false" customHeight="false" outlineLevel="0" collapsed="false">
      <c r="A23" s="4"/>
      <c r="B23" s="4"/>
      <c r="C23" s="4"/>
      <c r="D23" s="4"/>
      <c r="E23" s="4"/>
      <c r="F23" s="4"/>
    </row>
    <row r="24" customFormat="false" ht="15" hidden="false" customHeight="false" outlineLevel="0" collapsed="false">
      <c r="A24" s="4"/>
      <c r="B24" s="4"/>
      <c r="C24" s="4"/>
      <c r="D24" s="4"/>
      <c r="E24" s="4"/>
      <c r="F24" s="4"/>
    </row>
    <row r="25" customFormat="false" ht="15" hidden="false" customHeight="false" outlineLevel="0" collapsed="false">
      <c r="A25" s="4"/>
      <c r="B25" s="4"/>
      <c r="C25" s="4"/>
      <c r="D25" s="4"/>
      <c r="E25" s="4"/>
      <c r="F25" s="4"/>
    </row>
    <row r="26" customFormat="false" ht="15" hidden="false" customHeight="false" outlineLevel="0" collapsed="false">
      <c r="A26" s="4"/>
      <c r="B26" s="4"/>
      <c r="C26" s="4"/>
      <c r="D26" s="4"/>
      <c r="E26" s="4"/>
      <c r="F26" s="4"/>
    </row>
    <row r="27" customFormat="false" ht="15" hidden="false" customHeight="false" outlineLevel="0" collapsed="false">
      <c r="A27" s="4"/>
      <c r="B27" s="4"/>
      <c r="C27" s="4"/>
      <c r="D27" s="4"/>
      <c r="E27" s="4"/>
      <c r="F27" s="4"/>
    </row>
    <row r="28" customFormat="false" ht="15" hidden="false" customHeight="false" outlineLevel="0" collapsed="false">
      <c r="A28" s="4"/>
      <c r="B28" s="4"/>
      <c r="C28" s="4"/>
      <c r="D28" s="4"/>
      <c r="E28" s="4"/>
      <c r="F28" s="4"/>
    </row>
    <row r="29" customFormat="false" ht="15" hidden="false" customHeight="false" outlineLevel="0" collapsed="false">
      <c r="A29" s="4"/>
      <c r="B29" s="4"/>
      <c r="C29" s="4"/>
      <c r="D29" s="4"/>
      <c r="E29" s="4"/>
      <c r="F29" s="4"/>
    </row>
    <row r="30" customFormat="false" ht="15" hidden="false" customHeight="false" outlineLevel="0" collapsed="false">
      <c r="A30" s="4"/>
      <c r="B30" s="4"/>
      <c r="C30" s="4"/>
      <c r="D30" s="4"/>
      <c r="E30" s="4"/>
      <c r="F30" s="4"/>
    </row>
    <row r="31" customFormat="false" ht="15" hidden="false" customHeight="false" outlineLevel="0" collapsed="false">
      <c r="A31" s="4"/>
      <c r="B31" s="4"/>
      <c r="C31" s="4"/>
      <c r="D31" s="4"/>
      <c r="E31" s="4"/>
      <c r="F31" s="4"/>
    </row>
    <row r="32" customFormat="false" ht="15" hidden="false" customHeight="false" outlineLevel="0" collapsed="false">
      <c r="A32" s="4"/>
      <c r="B32" s="4"/>
      <c r="C32" s="4"/>
      <c r="D32" s="4"/>
      <c r="E32" s="4"/>
      <c r="F32" s="4"/>
    </row>
    <row r="33" customFormat="false" ht="15" hidden="false" customHeight="false" outlineLevel="0" collapsed="false">
      <c r="A33" s="4"/>
      <c r="B33" s="4"/>
      <c r="C33" s="4"/>
      <c r="D33" s="4"/>
      <c r="E33" s="4"/>
      <c r="F33" s="4"/>
    </row>
    <row r="34" customFormat="false" ht="15" hidden="false" customHeight="false" outlineLevel="0" collapsed="false">
      <c r="A34" s="4"/>
      <c r="B34" s="4"/>
      <c r="C34" s="4"/>
      <c r="D34" s="4"/>
      <c r="E34" s="4"/>
      <c r="F34" s="4"/>
    </row>
    <row r="35" customFormat="false" ht="15" hidden="false" customHeight="false" outlineLevel="0" collapsed="false">
      <c r="A35" s="4"/>
      <c r="B35" s="4"/>
      <c r="C35" s="4"/>
      <c r="D35" s="4"/>
      <c r="E35" s="4"/>
      <c r="F35" s="4"/>
    </row>
    <row r="36" customFormat="false" ht="15" hidden="false" customHeight="false" outlineLevel="0" collapsed="false">
      <c r="A36" s="4"/>
      <c r="B36" s="4"/>
      <c r="C36" s="4"/>
      <c r="D36" s="4"/>
      <c r="E36" s="4"/>
      <c r="F36" s="4"/>
    </row>
    <row r="37" customFormat="false" ht="15" hidden="false" customHeight="false" outlineLevel="0" collapsed="false">
      <c r="A37" s="4"/>
      <c r="B37" s="4"/>
      <c r="C37" s="4"/>
      <c r="D37" s="4"/>
      <c r="E37" s="4"/>
      <c r="F37" s="4"/>
    </row>
    <row r="38" customFormat="false" ht="15" hidden="false" customHeight="false" outlineLevel="0" collapsed="false">
      <c r="A38" s="4"/>
      <c r="B38" s="4"/>
      <c r="C38" s="4"/>
      <c r="D38" s="4"/>
      <c r="E38" s="4"/>
      <c r="F38" s="4"/>
    </row>
    <row r="39" customFormat="false" ht="15" hidden="false" customHeight="false" outlineLevel="0" collapsed="false">
      <c r="A39" s="4"/>
      <c r="B39" s="4"/>
      <c r="C39" s="4"/>
      <c r="D39" s="4"/>
      <c r="E39" s="4"/>
      <c r="F39" s="4"/>
    </row>
    <row r="40" customFormat="false" ht="15" hidden="false" customHeight="false" outlineLevel="0" collapsed="false">
      <c r="A40" s="4"/>
      <c r="B40" s="4"/>
      <c r="C40" s="4"/>
      <c r="D40" s="4"/>
      <c r="E40" s="4"/>
      <c r="F40" s="4"/>
    </row>
    <row r="41" customFormat="false" ht="15" hidden="false" customHeight="false" outlineLevel="0" collapsed="false">
      <c r="A41" s="4"/>
      <c r="B41" s="4"/>
      <c r="C41" s="4"/>
      <c r="D41" s="4"/>
      <c r="E41" s="4"/>
      <c r="F41" s="4"/>
    </row>
    <row r="42" customFormat="false" ht="15" hidden="false" customHeight="false" outlineLevel="0" collapsed="false">
      <c r="A42" s="4"/>
      <c r="B42" s="4"/>
      <c r="C42" s="4"/>
      <c r="D42" s="4"/>
      <c r="E42" s="4"/>
      <c r="F42" s="4"/>
    </row>
    <row r="43" customFormat="false" ht="15" hidden="false" customHeight="false" outlineLevel="0" collapsed="false">
      <c r="A43" s="4"/>
      <c r="B43" s="4"/>
      <c r="C43" s="4"/>
      <c r="D43" s="4"/>
      <c r="E43" s="4"/>
      <c r="F43" s="4"/>
    </row>
    <row r="44" customFormat="false" ht="15" hidden="false" customHeight="false" outlineLevel="0" collapsed="false">
      <c r="A44" s="4"/>
      <c r="B44" s="4"/>
      <c r="C44" s="4"/>
      <c r="D44" s="4"/>
      <c r="E44" s="4"/>
      <c r="F44" s="4"/>
    </row>
  </sheetData>
  <mergeCells count="7">
    <mergeCell ref="A1:F1"/>
    <mergeCell ref="A2:F2"/>
    <mergeCell ref="B8:E8"/>
    <mergeCell ref="C9:E9"/>
    <mergeCell ref="B14:E14"/>
    <mergeCell ref="B17:E17"/>
    <mergeCell ref="B20:E2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20"/>
    <col collapsed="false" customWidth="true" hidden="false" outlineLevel="0" max="4" min="4" style="0" width="30"/>
    <col collapsed="false" customWidth="true" hidden="false" outlineLevel="0" max="5" min="5" style="0" width="15"/>
    <col collapsed="false" customWidth="true" hidden="false" outlineLevel="0" max="8" min="6" style="0" width="12"/>
    <col collapsed="false" customWidth="true" hidden="false" outlineLevel="0" max="9" min="9" style="0" width="14"/>
    <col collapsed="false" customWidth="true" hidden="false" outlineLevel="0" max="11" min="10" style="0" width="12"/>
    <col collapsed="false" customWidth="true" hidden="false" outlineLevel="0" max="12" min="12" style="0" width="10"/>
  </cols>
  <sheetData>
    <row r="1" customFormat="false" ht="27.75" hidden="false" customHeight="true" outlineLevel="0" collapsed="false">
      <c r="A1" s="20" t="s">
        <v>20</v>
      </c>
      <c r="B1" s="20" t="s">
        <v>194</v>
      </c>
      <c r="C1" s="20" t="s">
        <v>12</v>
      </c>
      <c r="D1" s="20" t="s">
        <v>29</v>
      </c>
      <c r="E1" s="20" t="s">
        <v>21</v>
      </c>
      <c r="F1" s="20" t="s">
        <v>165</v>
      </c>
      <c r="G1" s="20" t="s">
        <v>176</v>
      </c>
      <c r="H1" s="20" t="s">
        <v>195</v>
      </c>
      <c r="I1" s="20" t="s">
        <v>57</v>
      </c>
      <c r="J1" s="20" t="s">
        <v>62</v>
      </c>
      <c r="K1" s="20" t="s">
        <v>64</v>
      </c>
      <c r="L1" s="20" t="s">
        <v>196</v>
      </c>
    </row>
    <row r="2" customFormat="false" ht="15" hidden="false" customHeight="false" outlineLevel="0" collapsed="false">
      <c r="A2" s="22" t="str">
        <f aca="false">IF(Requests!$A2="","",Requests!$A2)</f>
        <v>T26-001</v>
      </c>
      <c r="B2" s="22" t="str">
        <f aca="false">IF(OR(Requests!$A2="",Requests!$P2=""),"",TEXT(Requests!$P2,"yyyy-mm"))</f>
        <v>2026-03</v>
      </c>
      <c r="C2" s="22" t="str">
        <f aca="false">IF(Requests!$A2="","",Requests!$C2)</f>
        <v>SAMPLE — J. Doe</v>
      </c>
      <c r="D2" s="22" t="str">
        <f aca="false">IF(Requests!$A2="","",Requests!$K2)</f>
        <v>Interview &amp; Interrogation</v>
      </c>
      <c r="E2" s="22" t="str">
        <f aca="false">IF(Requests!$A2="","",Requests!$B2)</f>
        <v>Closed</v>
      </c>
      <c r="F2" s="25" t="n">
        <f aca="false">IF(Requests!$A2="","",Requests!$AD2)</f>
        <v>889</v>
      </c>
      <c r="G2" s="25" t="n">
        <f aca="false">IF(Requests!$A2="","",Requests!$AJ2)</f>
        <v>889.07</v>
      </c>
      <c r="H2" s="25" t="n">
        <f aca="false">IF(OR(Requests!$A2="",Requests!$AJ2=""),"",Requests!$AD2-Requests!$AJ2)</f>
        <v>-0.0699999999999363</v>
      </c>
      <c r="I2" s="25" t="n">
        <f aca="false">IF(Requests!$A2="","",Requests!$AM2)</f>
        <v>0</v>
      </c>
      <c r="J2" s="23" t="n">
        <f aca="false">IF(OR(Requests!$A2="",Requests!$AS2=""),"",Requests!$AS2)</f>
        <v>46097</v>
      </c>
      <c r="K2" s="23" t="n">
        <f aca="false">IF(OR(Requests!$A2="",Requests!$AU2=""),"",Requests!$AU2)</f>
        <v>46098</v>
      </c>
      <c r="L2" s="22" t="str">
        <f aca="false">IF(Requests!$A2="","",IF(AND(Requests!$AJ2&lt;&gt;"",Requests!$AS2&lt;&gt;"",Requests!$AU2&lt;&gt;""),"Yes","Open"))</f>
        <v>Yes</v>
      </c>
    </row>
    <row r="3" customFormat="false" ht="15" hidden="false" customHeight="false" outlineLevel="0" collapsed="false">
      <c r="A3" s="27" t="str">
        <f aca="false">IF(Requests!$A3="","",Requests!$A3)</f>
        <v>T26-002</v>
      </c>
      <c r="B3" s="27" t="str">
        <f aca="false">IF(OR(Requests!$A3="",Requests!$P3=""),"",TEXT(Requests!$P3,"yyyy-mm"))</f>
        <v>2026-07</v>
      </c>
      <c r="C3" s="27" t="str">
        <f aca="false">IF(Requests!$A3="","",Requests!$C3)</f>
        <v>SAMPLE — M. Rivera</v>
      </c>
      <c r="D3" s="27" t="str">
        <f aca="false">IF(Requests!$A3="","",Requests!$K3)</f>
        <v>Homicide Investigation</v>
      </c>
      <c r="E3" s="27" t="str">
        <f aca="false">IF(Requests!$A3="","",Requests!$B3)</f>
        <v>Travel Complete</v>
      </c>
      <c r="F3" s="30" t="n">
        <f aca="false">IF(Requests!$A3="","",Requests!$AD3)</f>
        <v>802</v>
      </c>
      <c r="G3" s="30" t="str">
        <f aca="false">IF(Requests!$A3="","",Requests!$AJ3)</f>
        <v/>
      </c>
      <c r="H3" s="30" t="str">
        <f aca="false">IF(OR(Requests!$A3="",Requests!$AJ3=""),"",Requests!$AD3-Requests!$AJ3)</f>
        <v/>
      </c>
      <c r="I3" s="30" t="str">
        <f aca="false">IF(Requests!$A3="","",Requests!$AM3)</f>
        <v/>
      </c>
      <c r="J3" s="28" t="str">
        <f aca="false">IF(OR(Requests!$A3="",Requests!$AS3=""),"",Requests!$AS3)</f>
        <v/>
      </c>
      <c r="K3" s="28" t="str">
        <f aca="false">IF(OR(Requests!$A3="",Requests!$AU3=""),"",Requests!$AU3)</f>
        <v/>
      </c>
      <c r="L3" s="27" t="str">
        <f aca="false">IF(Requests!$A3="","",IF(AND(Requests!$AJ3&lt;&gt;"",Requests!$AS3&lt;&gt;"",Requests!$AU3&lt;&gt;""),"Yes","Open"))</f>
        <v>Open</v>
      </c>
    </row>
    <row r="4" customFormat="false" ht="15" hidden="false" customHeight="false" outlineLevel="0" collapsed="false">
      <c r="A4" s="22" t="str">
        <f aca="false">IF(Requests!$A4="","",Requests!$A4)</f>
        <v>T26-003</v>
      </c>
      <c r="B4" s="22" t="str">
        <f aca="false">IF(OR(Requests!$A4="",Requests!$P4=""),"",TEXT(Requests!$P4,"yyyy-mm"))</f>
        <v>2026-08</v>
      </c>
      <c r="C4" s="22" t="str">
        <f aca="false">IF(Requests!$A4="","",Requests!$C4)</f>
        <v>SAMPLE — A. Chen</v>
      </c>
      <c r="D4" s="22" t="str">
        <f aca="false">IF(Requests!$A4="","",Requests!$K4)</f>
        <v>Advanced Crash Reconstruction</v>
      </c>
      <c r="E4" s="22" t="str">
        <f aca="false">IF(Requests!$A4="","",Requests!$B4)</f>
        <v>Approved</v>
      </c>
      <c r="F4" s="25" t="n">
        <f aca="false">IF(Requests!$A4="","",Requests!$AD4)</f>
        <v>1430</v>
      </c>
      <c r="G4" s="25" t="str">
        <f aca="false">IF(Requests!$A4="","",Requests!$AJ4)</f>
        <v/>
      </c>
      <c r="H4" s="25" t="str">
        <f aca="false">IF(OR(Requests!$A4="",Requests!$AJ4=""),"",Requests!$AD4-Requests!$AJ4)</f>
        <v/>
      </c>
      <c r="I4" s="25" t="str">
        <f aca="false">IF(Requests!$A4="","",Requests!$AM4)</f>
        <v/>
      </c>
      <c r="J4" s="23" t="str">
        <f aca="false">IF(OR(Requests!$A4="",Requests!$AS4=""),"",Requests!$AS4)</f>
        <v/>
      </c>
      <c r="K4" s="23" t="str">
        <f aca="false">IF(OR(Requests!$A4="",Requests!$AU4=""),"",Requests!$AU4)</f>
        <v/>
      </c>
      <c r="L4" s="22" t="str">
        <f aca="false">IF(Requests!$A4="","",IF(AND(Requests!$AJ4&lt;&gt;"",Requests!$AS4&lt;&gt;"",Requests!$AU4&lt;&gt;""),"Yes","Open"))</f>
        <v>Open</v>
      </c>
    </row>
    <row r="5" customFormat="false" ht="15" hidden="false" customHeight="false" outlineLevel="0" collapsed="false">
      <c r="A5" s="27" t="str">
        <f aca="false">IF(Requests!$A5="","",Requests!$A5)</f>
        <v>T26-004</v>
      </c>
      <c r="B5" s="27" t="str">
        <f aca="false">IF(OR(Requests!$A5="",Requests!$P5=""),"",TEXT(Requests!$P5,"yyyy-mm"))</f>
        <v>2026-09</v>
      </c>
      <c r="C5" s="27" t="str">
        <f aca="false">IF(Requests!$A5="","",Requests!$C5)</f>
        <v>SAMPLE — T. Okafor</v>
      </c>
      <c r="D5" s="27" t="str">
        <f aca="false">IF(Requests!$A5="","",Requests!$K5)</f>
        <v>Crisis Intervention Training</v>
      </c>
      <c r="E5" s="27" t="str">
        <f aca="false">IF(Requests!$A5="","",Requests!$B5)</f>
        <v>Awaiting Approval</v>
      </c>
      <c r="F5" s="30" t="n">
        <f aca="false">IF(Requests!$A5="","",Requests!$AD5)</f>
        <v>369</v>
      </c>
      <c r="G5" s="30" t="str">
        <f aca="false">IF(Requests!$A5="","",Requests!$AJ5)</f>
        <v/>
      </c>
      <c r="H5" s="30" t="str">
        <f aca="false">IF(OR(Requests!$A5="",Requests!$AJ5=""),"",Requests!$AD5-Requests!$AJ5)</f>
        <v/>
      </c>
      <c r="I5" s="30" t="str">
        <f aca="false">IF(Requests!$A5="","",Requests!$AM5)</f>
        <v/>
      </c>
      <c r="J5" s="28" t="str">
        <f aca="false">IF(OR(Requests!$A5="",Requests!$AS5=""),"",Requests!$AS5)</f>
        <v/>
      </c>
      <c r="K5" s="28" t="str">
        <f aca="false">IF(OR(Requests!$A5="",Requests!$AU5=""),"",Requests!$AU5)</f>
        <v/>
      </c>
      <c r="L5" s="27" t="str">
        <f aca="false">IF(Requests!$A5="","",IF(AND(Requests!$AJ5&lt;&gt;"",Requests!$AS5&lt;&gt;"",Requests!$AU5&lt;&gt;""),"Yes","Open"))</f>
        <v>Open</v>
      </c>
    </row>
    <row r="6" customFormat="false" ht="15" hidden="false" customHeight="false" outlineLevel="0" collapsed="false">
      <c r="A6" s="22" t="str">
        <f aca="false">IF(Requests!$A6="","",Requests!$A6)</f>
        <v/>
      </c>
      <c r="B6" s="22" t="str">
        <f aca="false">IF(OR(Requests!$A6="",Requests!$P6=""),"",TEXT(Requests!$P6,"yyyy-mm"))</f>
        <v/>
      </c>
      <c r="C6" s="22" t="str">
        <f aca="false">IF(Requests!$A6="","",Requests!$C6)</f>
        <v/>
      </c>
      <c r="D6" s="22" t="str">
        <f aca="false">IF(Requests!$A6="","",Requests!$K6)</f>
        <v/>
      </c>
      <c r="E6" s="22" t="str">
        <f aca="false">IF(Requests!$A6="","",Requests!$B6)</f>
        <v/>
      </c>
      <c r="F6" s="25" t="str">
        <f aca="false">IF(Requests!$A6="","",Requests!$AD6)</f>
        <v/>
      </c>
      <c r="G6" s="25" t="str">
        <f aca="false">IF(Requests!$A6="","",Requests!$AJ6)</f>
        <v/>
      </c>
      <c r="H6" s="25" t="str">
        <f aca="false">IF(OR(Requests!$A6="",Requests!$AJ6=""),"",Requests!$AD6-Requests!$AJ6)</f>
        <v/>
      </c>
      <c r="I6" s="25" t="str">
        <f aca="false">IF(Requests!$A6="","",Requests!$AM6)</f>
        <v/>
      </c>
      <c r="J6" s="23" t="str">
        <f aca="false">IF(OR(Requests!$A6="",Requests!$AS6=""),"",Requests!$AS6)</f>
        <v/>
      </c>
      <c r="K6" s="23" t="str">
        <f aca="false">IF(OR(Requests!$A6="",Requests!$AU6=""),"",Requests!$AU6)</f>
        <v/>
      </c>
      <c r="L6" s="22" t="str">
        <f aca="false">IF(Requests!$A6="","",IF(AND(Requests!$AJ6&lt;&gt;"",Requests!$AS6&lt;&gt;"",Requests!$AU6&lt;&gt;""),"Yes","Open"))</f>
        <v/>
      </c>
    </row>
    <row r="7" customFormat="false" ht="15" hidden="false" customHeight="false" outlineLevel="0" collapsed="false">
      <c r="A7" s="27" t="str">
        <f aca="false">IF(Requests!$A7="","",Requests!$A7)</f>
        <v/>
      </c>
      <c r="B7" s="27" t="str">
        <f aca="false">IF(OR(Requests!$A7="",Requests!$P7=""),"",TEXT(Requests!$P7,"yyyy-mm"))</f>
        <v/>
      </c>
      <c r="C7" s="27" t="str">
        <f aca="false">IF(Requests!$A7="","",Requests!$C7)</f>
        <v/>
      </c>
      <c r="D7" s="27" t="str">
        <f aca="false">IF(Requests!$A7="","",Requests!$K7)</f>
        <v/>
      </c>
      <c r="E7" s="27" t="str">
        <f aca="false">IF(Requests!$A7="","",Requests!$B7)</f>
        <v/>
      </c>
      <c r="F7" s="30" t="str">
        <f aca="false">IF(Requests!$A7="","",Requests!$AD7)</f>
        <v/>
      </c>
      <c r="G7" s="30" t="str">
        <f aca="false">IF(Requests!$A7="","",Requests!$AJ7)</f>
        <v/>
      </c>
      <c r="H7" s="30" t="str">
        <f aca="false">IF(OR(Requests!$A7="",Requests!$AJ7=""),"",Requests!$AD7-Requests!$AJ7)</f>
        <v/>
      </c>
      <c r="I7" s="30" t="str">
        <f aca="false">IF(Requests!$A7="","",Requests!$AM7)</f>
        <v/>
      </c>
      <c r="J7" s="28" t="str">
        <f aca="false">IF(OR(Requests!$A7="",Requests!$AS7=""),"",Requests!$AS7)</f>
        <v/>
      </c>
      <c r="K7" s="28" t="str">
        <f aca="false">IF(OR(Requests!$A7="",Requests!$AU7=""),"",Requests!$AU7)</f>
        <v/>
      </c>
      <c r="L7" s="27" t="str">
        <f aca="false">IF(Requests!$A7="","",IF(AND(Requests!$AJ7&lt;&gt;"",Requests!$AS7&lt;&gt;"",Requests!$AU7&lt;&gt;""),"Yes","Open"))</f>
        <v/>
      </c>
    </row>
    <row r="8" customFormat="false" ht="15" hidden="false" customHeight="false" outlineLevel="0" collapsed="false">
      <c r="A8" s="22" t="str">
        <f aca="false">IF(Requests!$A8="","",Requests!$A8)</f>
        <v/>
      </c>
      <c r="B8" s="22" t="str">
        <f aca="false">IF(OR(Requests!$A8="",Requests!$P8=""),"",TEXT(Requests!$P8,"yyyy-mm"))</f>
        <v/>
      </c>
      <c r="C8" s="22" t="str">
        <f aca="false">IF(Requests!$A8="","",Requests!$C8)</f>
        <v/>
      </c>
      <c r="D8" s="22" t="str">
        <f aca="false">IF(Requests!$A8="","",Requests!$K8)</f>
        <v/>
      </c>
      <c r="E8" s="22" t="str">
        <f aca="false">IF(Requests!$A8="","",Requests!$B8)</f>
        <v/>
      </c>
      <c r="F8" s="25" t="str">
        <f aca="false">IF(Requests!$A8="","",Requests!$AD8)</f>
        <v/>
      </c>
      <c r="G8" s="25" t="str">
        <f aca="false">IF(Requests!$A8="","",Requests!$AJ8)</f>
        <v/>
      </c>
      <c r="H8" s="25" t="str">
        <f aca="false">IF(OR(Requests!$A8="",Requests!$AJ8=""),"",Requests!$AD8-Requests!$AJ8)</f>
        <v/>
      </c>
      <c r="I8" s="25" t="str">
        <f aca="false">IF(Requests!$A8="","",Requests!$AM8)</f>
        <v/>
      </c>
      <c r="J8" s="23" t="str">
        <f aca="false">IF(OR(Requests!$A8="",Requests!$AS8=""),"",Requests!$AS8)</f>
        <v/>
      </c>
      <c r="K8" s="23" t="str">
        <f aca="false">IF(OR(Requests!$A8="",Requests!$AU8=""),"",Requests!$AU8)</f>
        <v/>
      </c>
      <c r="L8" s="22" t="str">
        <f aca="false">IF(Requests!$A8="","",IF(AND(Requests!$AJ8&lt;&gt;"",Requests!$AS8&lt;&gt;"",Requests!$AU8&lt;&gt;""),"Yes","Open"))</f>
        <v/>
      </c>
    </row>
    <row r="9" customFormat="false" ht="15" hidden="false" customHeight="false" outlineLevel="0" collapsed="false">
      <c r="A9" s="27" t="str">
        <f aca="false">IF(Requests!$A9="","",Requests!$A9)</f>
        <v/>
      </c>
      <c r="B9" s="27" t="str">
        <f aca="false">IF(OR(Requests!$A9="",Requests!$P9=""),"",TEXT(Requests!$P9,"yyyy-mm"))</f>
        <v/>
      </c>
      <c r="C9" s="27" t="str">
        <f aca="false">IF(Requests!$A9="","",Requests!$C9)</f>
        <v/>
      </c>
      <c r="D9" s="27" t="str">
        <f aca="false">IF(Requests!$A9="","",Requests!$K9)</f>
        <v/>
      </c>
      <c r="E9" s="27" t="str">
        <f aca="false">IF(Requests!$A9="","",Requests!$B9)</f>
        <v/>
      </c>
      <c r="F9" s="30" t="str">
        <f aca="false">IF(Requests!$A9="","",Requests!$AD9)</f>
        <v/>
      </c>
      <c r="G9" s="30" t="str">
        <f aca="false">IF(Requests!$A9="","",Requests!$AJ9)</f>
        <v/>
      </c>
      <c r="H9" s="30" t="str">
        <f aca="false">IF(OR(Requests!$A9="",Requests!$AJ9=""),"",Requests!$AD9-Requests!$AJ9)</f>
        <v/>
      </c>
      <c r="I9" s="30" t="str">
        <f aca="false">IF(Requests!$A9="","",Requests!$AM9)</f>
        <v/>
      </c>
      <c r="J9" s="28" t="str">
        <f aca="false">IF(OR(Requests!$A9="",Requests!$AS9=""),"",Requests!$AS9)</f>
        <v/>
      </c>
      <c r="K9" s="28" t="str">
        <f aca="false">IF(OR(Requests!$A9="",Requests!$AU9=""),"",Requests!$AU9)</f>
        <v/>
      </c>
      <c r="L9" s="27" t="str">
        <f aca="false">IF(Requests!$A9="","",IF(AND(Requests!$AJ9&lt;&gt;"",Requests!$AS9&lt;&gt;"",Requests!$AU9&lt;&gt;""),"Yes","Open"))</f>
        <v/>
      </c>
    </row>
    <row r="10" customFormat="false" ht="15" hidden="false" customHeight="false" outlineLevel="0" collapsed="false">
      <c r="A10" s="22" t="str">
        <f aca="false">IF(Requests!$A10="","",Requests!$A10)</f>
        <v/>
      </c>
      <c r="B10" s="22" t="str">
        <f aca="false">IF(OR(Requests!$A10="",Requests!$P10=""),"",TEXT(Requests!$P10,"yyyy-mm"))</f>
        <v/>
      </c>
      <c r="C10" s="22" t="str">
        <f aca="false">IF(Requests!$A10="","",Requests!$C10)</f>
        <v/>
      </c>
      <c r="D10" s="22" t="str">
        <f aca="false">IF(Requests!$A10="","",Requests!$K10)</f>
        <v/>
      </c>
      <c r="E10" s="22" t="str">
        <f aca="false">IF(Requests!$A10="","",Requests!$B10)</f>
        <v/>
      </c>
      <c r="F10" s="25" t="str">
        <f aca="false">IF(Requests!$A10="","",Requests!$AD10)</f>
        <v/>
      </c>
      <c r="G10" s="25" t="str">
        <f aca="false">IF(Requests!$A10="","",Requests!$AJ10)</f>
        <v/>
      </c>
      <c r="H10" s="25" t="str">
        <f aca="false">IF(OR(Requests!$A10="",Requests!$AJ10=""),"",Requests!$AD10-Requests!$AJ10)</f>
        <v/>
      </c>
      <c r="I10" s="25" t="str">
        <f aca="false">IF(Requests!$A10="","",Requests!$AM10)</f>
        <v/>
      </c>
      <c r="J10" s="23" t="str">
        <f aca="false">IF(OR(Requests!$A10="",Requests!$AS10=""),"",Requests!$AS10)</f>
        <v/>
      </c>
      <c r="K10" s="23" t="str">
        <f aca="false">IF(OR(Requests!$A10="",Requests!$AU10=""),"",Requests!$AU10)</f>
        <v/>
      </c>
      <c r="L10" s="22" t="str">
        <f aca="false">IF(Requests!$A10="","",IF(AND(Requests!$AJ10&lt;&gt;"",Requests!$AS10&lt;&gt;"",Requests!$AU10&lt;&gt;""),"Yes","Open"))</f>
        <v/>
      </c>
    </row>
    <row r="11" customFormat="false" ht="15" hidden="false" customHeight="false" outlineLevel="0" collapsed="false">
      <c r="A11" s="27" t="str">
        <f aca="false">IF(Requests!$A11="","",Requests!$A11)</f>
        <v/>
      </c>
      <c r="B11" s="27" t="str">
        <f aca="false">IF(OR(Requests!$A11="",Requests!$P11=""),"",TEXT(Requests!$P11,"yyyy-mm"))</f>
        <v/>
      </c>
      <c r="C11" s="27" t="str">
        <f aca="false">IF(Requests!$A11="","",Requests!$C11)</f>
        <v/>
      </c>
      <c r="D11" s="27" t="str">
        <f aca="false">IF(Requests!$A11="","",Requests!$K11)</f>
        <v/>
      </c>
      <c r="E11" s="27" t="str">
        <f aca="false">IF(Requests!$A11="","",Requests!$B11)</f>
        <v/>
      </c>
      <c r="F11" s="30" t="str">
        <f aca="false">IF(Requests!$A11="","",Requests!$AD11)</f>
        <v/>
      </c>
      <c r="G11" s="30" t="str">
        <f aca="false">IF(Requests!$A11="","",Requests!$AJ11)</f>
        <v/>
      </c>
      <c r="H11" s="30" t="str">
        <f aca="false">IF(OR(Requests!$A11="",Requests!$AJ11=""),"",Requests!$AD11-Requests!$AJ11)</f>
        <v/>
      </c>
      <c r="I11" s="30" t="str">
        <f aca="false">IF(Requests!$A11="","",Requests!$AM11)</f>
        <v/>
      </c>
      <c r="J11" s="28" t="str">
        <f aca="false">IF(OR(Requests!$A11="",Requests!$AS11=""),"",Requests!$AS11)</f>
        <v/>
      </c>
      <c r="K11" s="28" t="str">
        <f aca="false">IF(OR(Requests!$A11="",Requests!$AU11=""),"",Requests!$AU11)</f>
        <v/>
      </c>
      <c r="L11" s="27" t="str">
        <f aca="false">IF(Requests!$A11="","",IF(AND(Requests!$AJ11&lt;&gt;"",Requests!$AS11&lt;&gt;"",Requests!$AU11&lt;&gt;""),"Yes","Open"))</f>
        <v/>
      </c>
    </row>
    <row r="12" customFormat="false" ht="15" hidden="false" customHeight="false" outlineLevel="0" collapsed="false">
      <c r="A12" s="22" t="str">
        <f aca="false">IF(Requests!$A12="","",Requests!$A12)</f>
        <v/>
      </c>
      <c r="B12" s="22" t="str">
        <f aca="false">IF(OR(Requests!$A12="",Requests!$P12=""),"",TEXT(Requests!$P12,"yyyy-mm"))</f>
        <v/>
      </c>
      <c r="C12" s="22" t="str">
        <f aca="false">IF(Requests!$A12="","",Requests!$C12)</f>
        <v/>
      </c>
      <c r="D12" s="22" t="str">
        <f aca="false">IF(Requests!$A12="","",Requests!$K12)</f>
        <v/>
      </c>
      <c r="E12" s="22" t="str">
        <f aca="false">IF(Requests!$A12="","",Requests!$B12)</f>
        <v/>
      </c>
      <c r="F12" s="25" t="str">
        <f aca="false">IF(Requests!$A12="","",Requests!$AD12)</f>
        <v/>
      </c>
      <c r="G12" s="25" t="str">
        <f aca="false">IF(Requests!$A12="","",Requests!$AJ12)</f>
        <v/>
      </c>
      <c r="H12" s="25" t="str">
        <f aca="false">IF(OR(Requests!$A12="",Requests!$AJ12=""),"",Requests!$AD12-Requests!$AJ12)</f>
        <v/>
      </c>
      <c r="I12" s="25" t="str">
        <f aca="false">IF(Requests!$A12="","",Requests!$AM12)</f>
        <v/>
      </c>
      <c r="J12" s="23" t="str">
        <f aca="false">IF(OR(Requests!$A12="",Requests!$AS12=""),"",Requests!$AS12)</f>
        <v/>
      </c>
      <c r="K12" s="23" t="str">
        <f aca="false">IF(OR(Requests!$A12="",Requests!$AU12=""),"",Requests!$AU12)</f>
        <v/>
      </c>
      <c r="L12" s="22" t="str">
        <f aca="false">IF(Requests!$A12="","",IF(AND(Requests!$AJ12&lt;&gt;"",Requests!$AS12&lt;&gt;"",Requests!$AU12&lt;&gt;""),"Yes","Open"))</f>
        <v/>
      </c>
    </row>
    <row r="13" customFormat="false" ht="15" hidden="false" customHeight="false" outlineLevel="0" collapsed="false">
      <c r="A13" s="27" t="str">
        <f aca="false">IF(Requests!$A13="","",Requests!$A13)</f>
        <v/>
      </c>
      <c r="B13" s="27" t="str">
        <f aca="false">IF(OR(Requests!$A13="",Requests!$P13=""),"",TEXT(Requests!$P13,"yyyy-mm"))</f>
        <v/>
      </c>
      <c r="C13" s="27" t="str">
        <f aca="false">IF(Requests!$A13="","",Requests!$C13)</f>
        <v/>
      </c>
      <c r="D13" s="27" t="str">
        <f aca="false">IF(Requests!$A13="","",Requests!$K13)</f>
        <v/>
      </c>
      <c r="E13" s="27" t="str">
        <f aca="false">IF(Requests!$A13="","",Requests!$B13)</f>
        <v/>
      </c>
      <c r="F13" s="30" t="str">
        <f aca="false">IF(Requests!$A13="","",Requests!$AD13)</f>
        <v/>
      </c>
      <c r="G13" s="30" t="str">
        <f aca="false">IF(Requests!$A13="","",Requests!$AJ13)</f>
        <v/>
      </c>
      <c r="H13" s="30" t="str">
        <f aca="false">IF(OR(Requests!$A13="",Requests!$AJ13=""),"",Requests!$AD13-Requests!$AJ13)</f>
        <v/>
      </c>
      <c r="I13" s="30" t="str">
        <f aca="false">IF(Requests!$A13="","",Requests!$AM13)</f>
        <v/>
      </c>
      <c r="J13" s="28" t="str">
        <f aca="false">IF(OR(Requests!$A13="",Requests!$AS13=""),"",Requests!$AS13)</f>
        <v/>
      </c>
      <c r="K13" s="28" t="str">
        <f aca="false">IF(OR(Requests!$A13="",Requests!$AU13=""),"",Requests!$AU13)</f>
        <v/>
      </c>
      <c r="L13" s="27" t="str">
        <f aca="false">IF(Requests!$A13="","",IF(AND(Requests!$AJ13&lt;&gt;"",Requests!$AS13&lt;&gt;"",Requests!$AU13&lt;&gt;""),"Yes","Open"))</f>
        <v/>
      </c>
    </row>
    <row r="14" customFormat="false" ht="15" hidden="false" customHeight="false" outlineLevel="0" collapsed="false">
      <c r="A14" s="22" t="str">
        <f aca="false">IF(Requests!$A14="","",Requests!$A14)</f>
        <v/>
      </c>
      <c r="B14" s="22" t="str">
        <f aca="false">IF(OR(Requests!$A14="",Requests!$P14=""),"",TEXT(Requests!$P14,"yyyy-mm"))</f>
        <v/>
      </c>
      <c r="C14" s="22" t="str">
        <f aca="false">IF(Requests!$A14="","",Requests!$C14)</f>
        <v/>
      </c>
      <c r="D14" s="22" t="str">
        <f aca="false">IF(Requests!$A14="","",Requests!$K14)</f>
        <v/>
      </c>
      <c r="E14" s="22" t="str">
        <f aca="false">IF(Requests!$A14="","",Requests!$B14)</f>
        <v/>
      </c>
      <c r="F14" s="25" t="str">
        <f aca="false">IF(Requests!$A14="","",Requests!$AD14)</f>
        <v/>
      </c>
      <c r="G14" s="25" t="str">
        <f aca="false">IF(Requests!$A14="","",Requests!$AJ14)</f>
        <v/>
      </c>
      <c r="H14" s="25" t="str">
        <f aca="false">IF(OR(Requests!$A14="",Requests!$AJ14=""),"",Requests!$AD14-Requests!$AJ14)</f>
        <v/>
      </c>
      <c r="I14" s="25" t="str">
        <f aca="false">IF(Requests!$A14="","",Requests!$AM14)</f>
        <v/>
      </c>
      <c r="J14" s="23" t="str">
        <f aca="false">IF(OR(Requests!$A14="",Requests!$AS14=""),"",Requests!$AS14)</f>
        <v/>
      </c>
      <c r="K14" s="23" t="str">
        <f aca="false">IF(OR(Requests!$A14="",Requests!$AU14=""),"",Requests!$AU14)</f>
        <v/>
      </c>
      <c r="L14" s="22" t="str">
        <f aca="false">IF(Requests!$A14="","",IF(AND(Requests!$AJ14&lt;&gt;"",Requests!$AS14&lt;&gt;"",Requests!$AU14&lt;&gt;""),"Yes","Open"))</f>
        <v/>
      </c>
    </row>
    <row r="15" customFormat="false" ht="15" hidden="false" customHeight="false" outlineLevel="0" collapsed="false">
      <c r="A15" s="27" t="str">
        <f aca="false">IF(Requests!$A15="","",Requests!$A15)</f>
        <v/>
      </c>
      <c r="B15" s="27" t="str">
        <f aca="false">IF(OR(Requests!$A15="",Requests!$P15=""),"",TEXT(Requests!$P15,"yyyy-mm"))</f>
        <v/>
      </c>
      <c r="C15" s="27" t="str">
        <f aca="false">IF(Requests!$A15="","",Requests!$C15)</f>
        <v/>
      </c>
      <c r="D15" s="27" t="str">
        <f aca="false">IF(Requests!$A15="","",Requests!$K15)</f>
        <v/>
      </c>
      <c r="E15" s="27" t="str">
        <f aca="false">IF(Requests!$A15="","",Requests!$B15)</f>
        <v/>
      </c>
      <c r="F15" s="30" t="str">
        <f aca="false">IF(Requests!$A15="","",Requests!$AD15)</f>
        <v/>
      </c>
      <c r="G15" s="30" t="str">
        <f aca="false">IF(Requests!$A15="","",Requests!$AJ15)</f>
        <v/>
      </c>
      <c r="H15" s="30" t="str">
        <f aca="false">IF(OR(Requests!$A15="",Requests!$AJ15=""),"",Requests!$AD15-Requests!$AJ15)</f>
        <v/>
      </c>
      <c r="I15" s="30" t="str">
        <f aca="false">IF(Requests!$A15="","",Requests!$AM15)</f>
        <v/>
      </c>
      <c r="J15" s="28" t="str">
        <f aca="false">IF(OR(Requests!$A15="",Requests!$AS15=""),"",Requests!$AS15)</f>
        <v/>
      </c>
      <c r="K15" s="28" t="str">
        <f aca="false">IF(OR(Requests!$A15="",Requests!$AU15=""),"",Requests!$AU15)</f>
        <v/>
      </c>
      <c r="L15" s="27" t="str">
        <f aca="false">IF(Requests!$A15="","",IF(AND(Requests!$AJ15&lt;&gt;"",Requests!$AS15&lt;&gt;"",Requests!$AU15&lt;&gt;""),"Yes","Open"))</f>
        <v/>
      </c>
    </row>
    <row r="16" customFormat="false" ht="15" hidden="false" customHeight="false" outlineLevel="0" collapsed="false">
      <c r="A16" s="22" t="str">
        <f aca="false">IF(Requests!$A16="","",Requests!$A16)</f>
        <v/>
      </c>
      <c r="B16" s="22" t="str">
        <f aca="false">IF(OR(Requests!$A16="",Requests!$P16=""),"",TEXT(Requests!$P16,"yyyy-mm"))</f>
        <v/>
      </c>
      <c r="C16" s="22" t="str">
        <f aca="false">IF(Requests!$A16="","",Requests!$C16)</f>
        <v/>
      </c>
      <c r="D16" s="22" t="str">
        <f aca="false">IF(Requests!$A16="","",Requests!$K16)</f>
        <v/>
      </c>
      <c r="E16" s="22" t="str">
        <f aca="false">IF(Requests!$A16="","",Requests!$B16)</f>
        <v/>
      </c>
      <c r="F16" s="25" t="str">
        <f aca="false">IF(Requests!$A16="","",Requests!$AD16)</f>
        <v/>
      </c>
      <c r="G16" s="25" t="str">
        <f aca="false">IF(Requests!$A16="","",Requests!$AJ16)</f>
        <v/>
      </c>
      <c r="H16" s="25" t="str">
        <f aca="false">IF(OR(Requests!$A16="",Requests!$AJ16=""),"",Requests!$AD16-Requests!$AJ16)</f>
        <v/>
      </c>
      <c r="I16" s="25" t="str">
        <f aca="false">IF(Requests!$A16="","",Requests!$AM16)</f>
        <v/>
      </c>
      <c r="J16" s="23" t="str">
        <f aca="false">IF(OR(Requests!$A16="",Requests!$AS16=""),"",Requests!$AS16)</f>
        <v/>
      </c>
      <c r="K16" s="23" t="str">
        <f aca="false">IF(OR(Requests!$A16="",Requests!$AU16=""),"",Requests!$AU16)</f>
        <v/>
      </c>
      <c r="L16" s="22" t="str">
        <f aca="false">IF(Requests!$A16="","",IF(AND(Requests!$AJ16&lt;&gt;"",Requests!$AS16&lt;&gt;"",Requests!$AU16&lt;&gt;""),"Yes","Open"))</f>
        <v/>
      </c>
    </row>
    <row r="17" customFormat="false" ht="15" hidden="false" customHeight="false" outlineLevel="0" collapsed="false">
      <c r="A17" s="27" t="str">
        <f aca="false">IF(Requests!$A17="","",Requests!$A17)</f>
        <v/>
      </c>
      <c r="B17" s="27" t="str">
        <f aca="false">IF(OR(Requests!$A17="",Requests!$P17=""),"",TEXT(Requests!$P17,"yyyy-mm"))</f>
        <v/>
      </c>
      <c r="C17" s="27" t="str">
        <f aca="false">IF(Requests!$A17="","",Requests!$C17)</f>
        <v/>
      </c>
      <c r="D17" s="27" t="str">
        <f aca="false">IF(Requests!$A17="","",Requests!$K17)</f>
        <v/>
      </c>
      <c r="E17" s="27" t="str">
        <f aca="false">IF(Requests!$A17="","",Requests!$B17)</f>
        <v/>
      </c>
      <c r="F17" s="30" t="str">
        <f aca="false">IF(Requests!$A17="","",Requests!$AD17)</f>
        <v/>
      </c>
      <c r="G17" s="30" t="str">
        <f aca="false">IF(Requests!$A17="","",Requests!$AJ17)</f>
        <v/>
      </c>
      <c r="H17" s="30" t="str">
        <f aca="false">IF(OR(Requests!$A17="",Requests!$AJ17=""),"",Requests!$AD17-Requests!$AJ17)</f>
        <v/>
      </c>
      <c r="I17" s="30" t="str">
        <f aca="false">IF(Requests!$A17="","",Requests!$AM17)</f>
        <v/>
      </c>
      <c r="J17" s="28" t="str">
        <f aca="false">IF(OR(Requests!$A17="",Requests!$AS17=""),"",Requests!$AS17)</f>
        <v/>
      </c>
      <c r="K17" s="28" t="str">
        <f aca="false">IF(OR(Requests!$A17="",Requests!$AU17=""),"",Requests!$AU17)</f>
        <v/>
      </c>
      <c r="L17" s="27" t="str">
        <f aca="false">IF(Requests!$A17="","",IF(AND(Requests!$AJ17&lt;&gt;"",Requests!$AS17&lt;&gt;"",Requests!$AU17&lt;&gt;""),"Yes","Open"))</f>
        <v/>
      </c>
    </row>
    <row r="18" customFormat="false" ht="15" hidden="false" customHeight="false" outlineLevel="0" collapsed="false">
      <c r="A18" s="22" t="str">
        <f aca="false">IF(Requests!$A18="","",Requests!$A18)</f>
        <v/>
      </c>
      <c r="B18" s="22" t="str">
        <f aca="false">IF(OR(Requests!$A18="",Requests!$P18=""),"",TEXT(Requests!$P18,"yyyy-mm"))</f>
        <v/>
      </c>
      <c r="C18" s="22" t="str">
        <f aca="false">IF(Requests!$A18="","",Requests!$C18)</f>
        <v/>
      </c>
      <c r="D18" s="22" t="str">
        <f aca="false">IF(Requests!$A18="","",Requests!$K18)</f>
        <v/>
      </c>
      <c r="E18" s="22" t="str">
        <f aca="false">IF(Requests!$A18="","",Requests!$B18)</f>
        <v/>
      </c>
      <c r="F18" s="25" t="str">
        <f aca="false">IF(Requests!$A18="","",Requests!$AD18)</f>
        <v/>
      </c>
      <c r="G18" s="25" t="str">
        <f aca="false">IF(Requests!$A18="","",Requests!$AJ18)</f>
        <v/>
      </c>
      <c r="H18" s="25" t="str">
        <f aca="false">IF(OR(Requests!$A18="",Requests!$AJ18=""),"",Requests!$AD18-Requests!$AJ18)</f>
        <v/>
      </c>
      <c r="I18" s="25" t="str">
        <f aca="false">IF(Requests!$A18="","",Requests!$AM18)</f>
        <v/>
      </c>
      <c r="J18" s="23" t="str">
        <f aca="false">IF(OR(Requests!$A18="",Requests!$AS18=""),"",Requests!$AS18)</f>
        <v/>
      </c>
      <c r="K18" s="23" t="str">
        <f aca="false">IF(OR(Requests!$A18="",Requests!$AU18=""),"",Requests!$AU18)</f>
        <v/>
      </c>
      <c r="L18" s="22" t="str">
        <f aca="false">IF(Requests!$A18="","",IF(AND(Requests!$AJ18&lt;&gt;"",Requests!$AS18&lt;&gt;"",Requests!$AU18&lt;&gt;""),"Yes","Open"))</f>
        <v/>
      </c>
    </row>
    <row r="19" customFormat="false" ht="15" hidden="false" customHeight="false" outlineLevel="0" collapsed="false">
      <c r="A19" s="27" t="str">
        <f aca="false">IF(Requests!$A19="","",Requests!$A19)</f>
        <v/>
      </c>
      <c r="B19" s="27" t="str">
        <f aca="false">IF(OR(Requests!$A19="",Requests!$P19=""),"",TEXT(Requests!$P19,"yyyy-mm"))</f>
        <v/>
      </c>
      <c r="C19" s="27" t="str">
        <f aca="false">IF(Requests!$A19="","",Requests!$C19)</f>
        <v/>
      </c>
      <c r="D19" s="27" t="str">
        <f aca="false">IF(Requests!$A19="","",Requests!$K19)</f>
        <v/>
      </c>
      <c r="E19" s="27" t="str">
        <f aca="false">IF(Requests!$A19="","",Requests!$B19)</f>
        <v/>
      </c>
      <c r="F19" s="30" t="str">
        <f aca="false">IF(Requests!$A19="","",Requests!$AD19)</f>
        <v/>
      </c>
      <c r="G19" s="30" t="str">
        <f aca="false">IF(Requests!$A19="","",Requests!$AJ19)</f>
        <v/>
      </c>
      <c r="H19" s="30" t="str">
        <f aca="false">IF(OR(Requests!$A19="",Requests!$AJ19=""),"",Requests!$AD19-Requests!$AJ19)</f>
        <v/>
      </c>
      <c r="I19" s="30" t="str">
        <f aca="false">IF(Requests!$A19="","",Requests!$AM19)</f>
        <v/>
      </c>
      <c r="J19" s="28" t="str">
        <f aca="false">IF(OR(Requests!$A19="",Requests!$AS19=""),"",Requests!$AS19)</f>
        <v/>
      </c>
      <c r="K19" s="28" t="str">
        <f aca="false">IF(OR(Requests!$A19="",Requests!$AU19=""),"",Requests!$AU19)</f>
        <v/>
      </c>
      <c r="L19" s="27" t="str">
        <f aca="false">IF(Requests!$A19="","",IF(AND(Requests!$AJ19&lt;&gt;"",Requests!$AS19&lt;&gt;"",Requests!$AU19&lt;&gt;""),"Yes","Open"))</f>
        <v/>
      </c>
    </row>
    <row r="20" customFormat="false" ht="15" hidden="false" customHeight="false" outlineLevel="0" collapsed="false">
      <c r="A20" s="22" t="str">
        <f aca="false">IF(Requests!$A20="","",Requests!$A20)</f>
        <v/>
      </c>
      <c r="B20" s="22" t="str">
        <f aca="false">IF(OR(Requests!$A20="",Requests!$P20=""),"",TEXT(Requests!$P20,"yyyy-mm"))</f>
        <v/>
      </c>
      <c r="C20" s="22" t="str">
        <f aca="false">IF(Requests!$A20="","",Requests!$C20)</f>
        <v/>
      </c>
      <c r="D20" s="22" t="str">
        <f aca="false">IF(Requests!$A20="","",Requests!$K20)</f>
        <v/>
      </c>
      <c r="E20" s="22" t="str">
        <f aca="false">IF(Requests!$A20="","",Requests!$B20)</f>
        <v/>
      </c>
      <c r="F20" s="25" t="str">
        <f aca="false">IF(Requests!$A20="","",Requests!$AD20)</f>
        <v/>
      </c>
      <c r="G20" s="25" t="str">
        <f aca="false">IF(Requests!$A20="","",Requests!$AJ20)</f>
        <v/>
      </c>
      <c r="H20" s="25" t="str">
        <f aca="false">IF(OR(Requests!$A20="",Requests!$AJ20=""),"",Requests!$AD20-Requests!$AJ20)</f>
        <v/>
      </c>
      <c r="I20" s="25" t="str">
        <f aca="false">IF(Requests!$A20="","",Requests!$AM20)</f>
        <v/>
      </c>
      <c r="J20" s="23" t="str">
        <f aca="false">IF(OR(Requests!$A20="",Requests!$AS20=""),"",Requests!$AS20)</f>
        <v/>
      </c>
      <c r="K20" s="23" t="str">
        <f aca="false">IF(OR(Requests!$A20="",Requests!$AU20=""),"",Requests!$AU20)</f>
        <v/>
      </c>
      <c r="L20" s="22" t="str">
        <f aca="false">IF(Requests!$A20="","",IF(AND(Requests!$AJ20&lt;&gt;"",Requests!$AS20&lt;&gt;"",Requests!$AU20&lt;&gt;""),"Yes","Open"))</f>
        <v/>
      </c>
    </row>
    <row r="21" customFormat="false" ht="15" hidden="false" customHeight="false" outlineLevel="0" collapsed="false">
      <c r="A21" s="27" t="str">
        <f aca="false">IF(Requests!$A21="","",Requests!$A21)</f>
        <v/>
      </c>
      <c r="B21" s="27" t="str">
        <f aca="false">IF(OR(Requests!$A21="",Requests!$P21=""),"",TEXT(Requests!$P21,"yyyy-mm"))</f>
        <v/>
      </c>
      <c r="C21" s="27" t="str">
        <f aca="false">IF(Requests!$A21="","",Requests!$C21)</f>
        <v/>
      </c>
      <c r="D21" s="27" t="str">
        <f aca="false">IF(Requests!$A21="","",Requests!$K21)</f>
        <v/>
      </c>
      <c r="E21" s="27" t="str">
        <f aca="false">IF(Requests!$A21="","",Requests!$B21)</f>
        <v/>
      </c>
      <c r="F21" s="30" t="str">
        <f aca="false">IF(Requests!$A21="","",Requests!$AD21)</f>
        <v/>
      </c>
      <c r="G21" s="30" t="str">
        <f aca="false">IF(Requests!$A21="","",Requests!$AJ21)</f>
        <v/>
      </c>
      <c r="H21" s="30" t="str">
        <f aca="false">IF(OR(Requests!$A21="",Requests!$AJ21=""),"",Requests!$AD21-Requests!$AJ21)</f>
        <v/>
      </c>
      <c r="I21" s="30" t="str">
        <f aca="false">IF(Requests!$A21="","",Requests!$AM21)</f>
        <v/>
      </c>
      <c r="J21" s="28" t="str">
        <f aca="false">IF(OR(Requests!$A21="",Requests!$AS21=""),"",Requests!$AS21)</f>
        <v/>
      </c>
      <c r="K21" s="28" t="str">
        <f aca="false">IF(OR(Requests!$A21="",Requests!$AU21=""),"",Requests!$AU21)</f>
        <v/>
      </c>
      <c r="L21" s="27" t="str">
        <f aca="false">IF(Requests!$A21="","",IF(AND(Requests!$AJ21&lt;&gt;"",Requests!$AS21&lt;&gt;"",Requests!$AU21&lt;&gt;""),"Yes","Open"))</f>
        <v/>
      </c>
    </row>
    <row r="22" customFormat="false" ht="15" hidden="false" customHeight="false" outlineLevel="0" collapsed="false">
      <c r="A22" s="22" t="str">
        <f aca="false">IF(Requests!$A22="","",Requests!$A22)</f>
        <v/>
      </c>
      <c r="B22" s="22" t="str">
        <f aca="false">IF(OR(Requests!$A22="",Requests!$P22=""),"",TEXT(Requests!$P22,"yyyy-mm"))</f>
        <v/>
      </c>
      <c r="C22" s="22" t="str">
        <f aca="false">IF(Requests!$A22="","",Requests!$C22)</f>
        <v/>
      </c>
      <c r="D22" s="22" t="str">
        <f aca="false">IF(Requests!$A22="","",Requests!$K22)</f>
        <v/>
      </c>
      <c r="E22" s="22" t="str">
        <f aca="false">IF(Requests!$A22="","",Requests!$B22)</f>
        <v/>
      </c>
      <c r="F22" s="25" t="str">
        <f aca="false">IF(Requests!$A22="","",Requests!$AD22)</f>
        <v/>
      </c>
      <c r="G22" s="25" t="str">
        <f aca="false">IF(Requests!$A22="","",Requests!$AJ22)</f>
        <v/>
      </c>
      <c r="H22" s="25" t="str">
        <f aca="false">IF(OR(Requests!$A22="",Requests!$AJ22=""),"",Requests!$AD22-Requests!$AJ22)</f>
        <v/>
      </c>
      <c r="I22" s="25" t="str">
        <f aca="false">IF(Requests!$A22="","",Requests!$AM22)</f>
        <v/>
      </c>
      <c r="J22" s="23" t="str">
        <f aca="false">IF(OR(Requests!$A22="",Requests!$AS22=""),"",Requests!$AS22)</f>
        <v/>
      </c>
      <c r="K22" s="23" t="str">
        <f aca="false">IF(OR(Requests!$A22="",Requests!$AU22=""),"",Requests!$AU22)</f>
        <v/>
      </c>
      <c r="L22" s="22" t="str">
        <f aca="false">IF(Requests!$A22="","",IF(AND(Requests!$AJ22&lt;&gt;"",Requests!$AS22&lt;&gt;"",Requests!$AU22&lt;&gt;""),"Yes","Open"))</f>
        <v/>
      </c>
    </row>
    <row r="23" customFormat="false" ht="15" hidden="false" customHeight="false" outlineLevel="0" collapsed="false">
      <c r="A23" s="27" t="str">
        <f aca="false">IF(Requests!$A23="","",Requests!$A23)</f>
        <v/>
      </c>
      <c r="B23" s="27" t="str">
        <f aca="false">IF(OR(Requests!$A23="",Requests!$P23=""),"",TEXT(Requests!$P23,"yyyy-mm"))</f>
        <v/>
      </c>
      <c r="C23" s="27" t="str">
        <f aca="false">IF(Requests!$A23="","",Requests!$C23)</f>
        <v/>
      </c>
      <c r="D23" s="27" t="str">
        <f aca="false">IF(Requests!$A23="","",Requests!$K23)</f>
        <v/>
      </c>
      <c r="E23" s="27" t="str">
        <f aca="false">IF(Requests!$A23="","",Requests!$B23)</f>
        <v/>
      </c>
      <c r="F23" s="30" t="str">
        <f aca="false">IF(Requests!$A23="","",Requests!$AD23)</f>
        <v/>
      </c>
      <c r="G23" s="30" t="str">
        <f aca="false">IF(Requests!$A23="","",Requests!$AJ23)</f>
        <v/>
      </c>
      <c r="H23" s="30" t="str">
        <f aca="false">IF(OR(Requests!$A23="",Requests!$AJ23=""),"",Requests!$AD23-Requests!$AJ23)</f>
        <v/>
      </c>
      <c r="I23" s="30" t="str">
        <f aca="false">IF(Requests!$A23="","",Requests!$AM23)</f>
        <v/>
      </c>
      <c r="J23" s="28" t="str">
        <f aca="false">IF(OR(Requests!$A23="",Requests!$AS23=""),"",Requests!$AS23)</f>
        <v/>
      </c>
      <c r="K23" s="28" t="str">
        <f aca="false">IF(OR(Requests!$A23="",Requests!$AU23=""),"",Requests!$AU23)</f>
        <v/>
      </c>
      <c r="L23" s="27" t="str">
        <f aca="false">IF(Requests!$A23="","",IF(AND(Requests!$AJ23&lt;&gt;"",Requests!$AS23&lt;&gt;"",Requests!$AU23&lt;&gt;""),"Yes","Open"))</f>
        <v/>
      </c>
    </row>
    <row r="24" customFormat="false" ht="15" hidden="false" customHeight="false" outlineLevel="0" collapsed="false">
      <c r="A24" s="22" t="str">
        <f aca="false">IF(Requests!$A24="","",Requests!$A24)</f>
        <v/>
      </c>
      <c r="B24" s="22" t="str">
        <f aca="false">IF(OR(Requests!$A24="",Requests!$P24=""),"",TEXT(Requests!$P24,"yyyy-mm"))</f>
        <v/>
      </c>
      <c r="C24" s="22" t="str">
        <f aca="false">IF(Requests!$A24="","",Requests!$C24)</f>
        <v/>
      </c>
      <c r="D24" s="22" t="str">
        <f aca="false">IF(Requests!$A24="","",Requests!$K24)</f>
        <v/>
      </c>
      <c r="E24" s="22" t="str">
        <f aca="false">IF(Requests!$A24="","",Requests!$B24)</f>
        <v/>
      </c>
      <c r="F24" s="25" t="str">
        <f aca="false">IF(Requests!$A24="","",Requests!$AD24)</f>
        <v/>
      </c>
      <c r="G24" s="25" t="str">
        <f aca="false">IF(Requests!$A24="","",Requests!$AJ24)</f>
        <v/>
      </c>
      <c r="H24" s="25" t="str">
        <f aca="false">IF(OR(Requests!$A24="",Requests!$AJ24=""),"",Requests!$AD24-Requests!$AJ24)</f>
        <v/>
      </c>
      <c r="I24" s="25" t="str">
        <f aca="false">IF(Requests!$A24="","",Requests!$AM24)</f>
        <v/>
      </c>
      <c r="J24" s="23" t="str">
        <f aca="false">IF(OR(Requests!$A24="",Requests!$AS24=""),"",Requests!$AS24)</f>
        <v/>
      </c>
      <c r="K24" s="23" t="str">
        <f aca="false">IF(OR(Requests!$A24="",Requests!$AU24=""),"",Requests!$AU24)</f>
        <v/>
      </c>
      <c r="L24" s="22" t="str">
        <f aca="false">IF(Requests!$A24="","",IF(AND(Requests!$AJ24&lt;&gt;"",Requests!$AS24&lt;&gt;"",Requests!$AU24&lt;&gt;""),"Yes","Open"))</f>
        <v/>
      </c>
    </row>
    <row r="25" customFormat="false" ht="15" hidden="false" customHeight="false" outlineLevel="0" collapsed="false">
      <c r="A25" s="27" t="str">
        <f aca="false">IF(Requests!$A25="","",Requests!$A25)</f>
        <v/>
      </c>
      <c r="B25" s="27" t="str">
        <f aca="false">IF(OR(Requests!$A25="",Requests!$P25=""),"",TEXT(Requests!$P25,"yyyy-mm"))</f>
        <v/>
      </c>
      <c r="C25" s="27" t="str">
        <f aca="false">IF(Requests!$A25="","",Requests!$C25)</f>
        <v/>
      </c>
      <c r="D25" s="27" t="str">
        <f aca="false">IF(Requests!$A25="","",Requests!$K25)</f>
        <v/>
      </c>
      <c r="E25" s="27" t="str">
        <f aca="false">IF(Requests!$A25="","",Requests!$B25)</f>
        <v/>
      </c>
      <c r="F25" s="30" t="str">
        <f aca="false">IF(Requests!$A25="","",Requests!$AD25)</f>
        <v/>
      </c>
      <c r="G25" s="30" t="str">
        <f aca="false">IF(Requests!$A25="","",Requests!$AJ25)</f>
        <v/>
      </c>
      <c r="H25" s="30" t="str">
        <f aca="false">IF(OR(Requests!$A25="",Requests!$AJ25=""),"",Requests!$AD25-Requests!$AJ25)</f>
        <v/>
      </c>
      <c r="I25" s="30" t="str">
        <f aca="false">IF(Requests!$A25="","",Requests!$AM25)</f>
        <v/>
      </c>
      <c r="J25" s="28" t="str">
        <f aca="false">IF(OR(Requests!$A25="",Requests!$AS25=""),"",Requests!$AS25)</f>
        <v/>
      </c>
      <c r="K25" s="28" t="str">
        <f aca="false">IF(OR(Requests!$A25="",Requests!$AU25=""),"",Requests!$AU25)</f>
        <v/>
      </c>
      <c r="L25" s="27" t="str">
        <f aca="false">IF(Requests!$A25="","",IF(AND(Requests!$AJ25&lt;&gt;"",Requests!$AS25&lt;&gt;"",Requests!$AU25&lt;&gt;""),"Yes","Open"))</f>
        <v/>
      </c>
    </row>
    <row r="26" customFormat="false" ht="15" hidden="false" customHeight="false" outlineLevel="0" collapsed="false">
      <c r="A26" s="22" t="str">
        <f aca="false">IF(Requests!$A26="","",Requests!$A26)</f>
        <v/>
      </c>
      <c r="B26" s="22" t="str">
        <f aca="false">IF(OR(Requests!$A26="",Requests!$P26=""),"",TEXT(Requests!$P26,"yyyy-mm"))</f>
        <v/>
      </c>
      <c r="C26" s="22" t="str">
        <f aca="false">IF(Requests!$A26="","",Requests!$C26)</f>
        <v/>
      </c>
      <c r="D26" s="22" t="str">
        <f aca="false">IF(Requests!$A26="","",Requests!$K26)</f>
        <v/>
      </c>
      <c r="E26" s="22" t="str">
        <f aca="false">IF(Requests!$A26="","",Requests!$B26)</f>
        <v/>
      </c>
      <c r="F26" s="25" t="str">
        <f aca="false">IF(Requests!$A26="","",Requests!$AD26)</f>
        <v/>
      </c>
      <c r="G26" s="25" t="str">
        <f aca="false">IF(Requests!$A26="","",Requests!$AJ26)</f>
        <v/>
      </c>
      <c r="H26" s="25" t="str">
        <f aca="false">IF(OR(Requests!$A26="",Requests!$AJ26=""),"",Requests!$AD26-Requests!$AJ26)</f>
        <v/>
      </c>
      <c r="I26" s="25" t="str">
        <f aca="false">IF(Requests!$A26="","",Requests!$AM26)</f>
        <v/>
      </c>
      <c r="J26" s="23" t="str">
        <f aca="false">IF(OR(Requests!$A26="",Requests!$AS26=""),"",Requests!$AS26)</f>
        <v/>
      </c>
      <c r="K26" s="23" t="str">
        <f aca="false">IF(OR(Requests!$A26="",Requests!$AU26=""),"",Requests!$AU26)</f>
        <v/>
      </c>
      <c r="L26" s="22" t="str">
        <f aca="false">IF(Requests!$A26="","",IF(AND(Requests!$AJ26&lt;&gt;"",Requests!$AS26&lt;&gt;"",Requests!$AU26&lt;&gt;""),"Yes","Open"))</f>
        <v/>
      </c>
    </row>
    <row r="27" customFormat="false" ht="15" hidden="false" customHeight="false" outlineLevel="0" collapsed="false">
      <c r="A27" s="27" t="str">
        <f aca="false">IF(Requests!$A27="","",Requests!$A27)</f>
        <v/>
      </c>
      <c r="B27" s="27" t="str">
        <f aca="false">IF(OR(Requests!$A27="",Requests!$P27=""),"",TEXT(Requests!$P27,"yyyy-mm"))</f>
        <v/>
      </c>
      <c r="C27" s="27" t="str">
        <f aca="false">IF(Requests!$A27="","",Requests!$C27)</f>
        <v/>
      </c>
      <c r="D27" s="27" t="str">
        <f aca="false">IF(Requests!$A27="","",Requests!$K27)</f>
        <v/>
      </c>
      <c r="E27" s="27" t="str">
        <f aca="false">IF(Requests!$A27="","",Requests!$B27)</f>
        <v/>
      </c>
      <c r="F27" s="30" t="str">
        <f aca="false">IF(Requests!$A27="","",Requests!$AD27)</f>
        <v/>
      </c>
      <c r="G27" s="30" t="str">
        <f aca="false">IF(Requests!$A27="","",Requests!$AJ27)</f>
        <v/>
      </c>
      <c r="H27" s="30" t="str">
        <f aca="false">IF(OR(Requests!$A27="",Requests!$AJ27=""),"",Requests!$AD27-Requests!$AJ27)</f>
        <v/>
      </c>
      <c r="I27" s="30" t="str">
        <f aca="false">IF(Requests!$A27="","",Requests!$AM27)</f>
        <v/>
      </c>
      <c r="J27" s="28" t="str">
        <f aca="false">IF(OR(Requests!$A27="",Requests!$AS27=""),"",Requests!$AS27)</f>
        <v/>
      </c>
      <c r="K27" s="28" t="str">
        <f aca="false">IF(OR(Requests!$A27="",Requests!$AU27=""),"",Requests!$AU27)</f>
        <v/>
      </c>
      <c r="L27" s="27" t="str">
        <f aca="false">IF(Requests!$A27="","",IF(AND(Requests!$AJ27&lt;&gt;"",Requests!$AS27&lt;&gt;"",Requests!$AU27&lt;&gt;""),"Yes","Open"))</f>
        <v/>
      </c>
    </row>
    <row r="28" customFormat="false" ht="15" hidden="false" customHeight="false" outlineLevel="0" collapsed="false">
      <c r="A28" s="22" t="str">
        <f aca="false">IF(Requests!$A28="","",Requests!$A28)</f>
        <v/>
      </c>
      <c r="B28" s="22" t="str">
        <f aca="false">IF(OR(Requests!$A28="",Requests!$P28=""),"",TEXT(Requests!$P28,"yyyy-mm"))</f>
        <v/>
      </c>
      <c r="C28" s="22" t="str">
        <f aca="false">IF(Requests!$A28="","",Requests!$C28)</f>
        <v/>
      </c>
      <c r="D28" s="22" t="str">
        <f aca="false">IF(Requests!$A28="","",Requests!$K28)</f>
        <v/>
      </c>
      <c r="E28" s="22" t="str">
        <f aca="false">IF(Requests!$A28="","",Requests!$B28)</f>
        <v/>
      </c>
      <c r="F28" s="25" t="str">
        <f aca="false">IF(Requests!$A28="","",Requests!$AD28)</f>
        <v/>
      </c>
      <c r="G28" s="25" t="str">
        <f aca="false">IF(Requests!$A28="","",Requests!$AJ28)</f>
        <v/>
      </c>
      <c r="H28" s="25" t="str">
        <f aca="false">IF(OR(Requests!$A28="",Requests!$AJ28=""),"",Requests!$AD28-Requests!$AJ28)</f>
        <v/>
      </c>
      <c r="I28" s="25" t="str">
        <f aca="false">IF(Requests!$A28="","",Requests!$AM28)</f>
        <v/>
      </c>
      <c r="J28" s="23" t="str">
        <f aca="false">IF(OR(Requests!$A28="",Requests!$AS28=""),"",Requests!$AS28)</f>
        <v/>
      </c>
      <c r="K28" s="23" t="str">
        <f aca="false">IF(OR(Requests!$A28="",Requests!$AU28=""),"",Requests!$AU28)</f>
        <v/>
      </c>
      <c r="L28" s="22" t="str">
        <f aca="false">IF(Requests!$A28="","",IF(AND(Requests!$AJ28&lt;&gt;"",Requests!$AS28&lt;&gt;"",Requests!$AU28&lt;&gt;""),"Yes","Open"))</f>
        <v/>
      </c>
    </row>
    <row r="29" customFormat="false" ht="15" hidden="false" customHeight="false" outlineLevel="0" collapsed="false">
      <c r="A29" s="27" t="str">
        <f aca="false">IF(Requests!$A29="","",Requests!$A29)</f>
        <v/>
      </c>
      <c r="B29" s="27" t="str">
        <f aca="false">IF(OR(Requests!$A29="",Requests!$P29=""),"",TEXT(Requests!$P29,"yyyy-mm"))</f>
        <v/>
      </c>
      <c r="C29" s="27" t="str">
        <f aca="false">IF(Requests!$A29="","",Requests!$C29)</f>
        <v/>
      </c>
      <c r="D29" s="27" t="str">
        <f aca="false">IF(Requests!$A29="","",Requests!$K29)</f>
        <v/>
      </c>
      <c r="E29" s="27" t="str">
        <f aca="false">IF(Requests!$A29="","",Requests!$B29)</f>
        <v/>
      </c>
      <c r="F29" s="30" t="str">
        <f aca="false">IF(Requests!$A29="","",Requests!$AD29)</f>
        <v/>
      </c>
      <c r="G29" s="30" t="str">
        <f aca="false">IF(Requests!$A29="","",Requests!$AJ29)</f>
        <v/>
      </c>
      <c r="H29" s="30" t="str">
        <f aca="false">IF(OR(Requests!$A29="",Requests!$AJ29=""),"",Requests!$AD29-Requests!$AJ29)</f>
        <v/>
      </c>
      <c r="I29" s="30" t="str">
        <f aca="false">IF(Requests!$A29="","",Requests!$AM29)</f>
        <v/>
      </c>
      <c r="J29" s="28" t="str">
        <f aca="false">IF(OR(Requests!$A29="",Requests!$AS29=""),"",Requests!$AS29)</f>
        <v/>
      </c>
      <c r="K29" s="28" t="str">
        <f aca="false">IF(OR(Requests!$A29="",Requests!$AU29=""),"",Requests!$AU29)</f>
        <v/>
      </c>
      <c r="L29" s="27" t="str">
        <f aca="false">IF(Requests!$A29="","",IF(AND(Requests!$AJ29&lt;&gt;"",Requests!$AS29&lt;&gt;"",Requests!$AU29&lt;&gt;""),"Yes","Open"))</f>
        <v/>
      </c>
    </row>
    <row r="30" customFormat="false" ht="15" hidden="false" customHeight="false" outlineLevel="0" collapsed="false">
      <c r="A30" s="22" t="str">
        <f aca="false">IF(Requests!$A30="","",Requests!$A30)</f>
        <v/>
      </c>
      <c r="B30" s="22" t="str">
        <f aca="false">IF(OR(Requests!$A30="",Requests!$P30=""),"",TEXT(Requests!$P30,"yyyy-mm"))</f>
        <v/>
      </c>
      <c r="C30" s="22" t="str">
        <f aca="false">IF(Requests!$A30="","",Requests!$C30)</f>
        <v/>
      </c>
      <c r="D30" s="22" t="str">
        <f aca="false">IF(Requests!$A30="","",Requests!$K30)</f>
        <v/>
      </c>
      <c r="E30" s="22" t="str">
        <f aca="false">IF(Requests!$A30="","",Requests!$B30)</f>
        <v/>
      </c>
      <c r="F30" s="25" t="str">
        <f aca="false">IF(Requests!$A30="","",Requests!$AD30)</f>
        <v/>
      </c>
      <c r="G30" s="25" t="str">
        <f aca="false">IF(Requests!$A30="","",Requests!$AJ30)</f>
        <v/>
      </c>
      <c r="H30" s="25" t="str">
        <f aca="false">IF(OR(Requests!$A30="",Requests!$AJ30=""),"",Requests!$AD30-Requests!$AJ30)</f>
        <v/>
      </c>
      <c r="I30" s="25" t="str">
        <f aca="false">IF(Requests!$A30="","",Requests!$AM30)</f>
        <v/>
      </c>
      <c r="J30" s="23" t="str">
        <f aca="false">IF(OR(Requests!$A30="",Requests!$AS30=""),"",Requests!$AS30)</f>
        <v/>
      </c>
      <c r="K30" s="23" t="str">
        <f aca="false">IF(OR(Requests!$A30="",Requests!$AU30=""),"",Requests!$AU30)</f>
        <v/>
      </c>
      <c r="L30" s="22" t="str">
        <f aca="false">IF(Requests!$A30="","",IF(AND(Requests!$AJ30&lt;&gt;"",Requests!$AS30&lt;&gt;"",Requests!$AU30&lt;&gt;""),"Yes","Open"))</f>
        <v/>
      </c>
    </row>
    <row r="31" customFormat="false" ht="15" hidden="false" customHeight="false" outlineLevel="0" collapsed="false">
      <c r="A31" s="27" t="str">
        <f aca="false">IF(Requests!$A31="","",Requests!$A31)</f>
        <v/>
      </c>
      <c r="B31" s="27" t="str">
        <f aca="false">IF(OR(Requests!$A31="",Requests!$P31=""),"",TEXT(Requests!$P31,"yyyy-mm"))</f>
        <v/>
      </c>
      <c r="C31" s="27" t="str">
        <f aca="false">IF(Requests!$A31="","",Requests!$C31)</f>
        <v/>
      </c>
      <c r="D31" s="27" t="str">
        <f aca="false">IF(Requests!$A31="","",Requests!$K31)</f>
        <v/>
      </c>
      <c r="E31" s="27" t="str">
        <f aca="false">IF(Requests!$A31="","",Requests!$B31)</f>
        <v/>
      </c>
      <c r="F31" s="30" t="str">
        <f aca="false">IF(Requests!$A31="","",Requests!$AD31)</f>
        <v/>
      </c>
      <c r="G31" s="30" t="str">
        <f aca="false">IF(Requests!$A31="","",Requests!$AJ31)</f>
        <v/>
      </c>
      <c r="H31" s="30" t="str">
        <f aca="false">IF(OR(Requests!$A31="",Requests!$AJ31=""),"",Requests!$AD31-Requests!$AJ31)</f>
        <v/>
      </c>
      <c r="I31" s="30" t="str">
        <f aca="false">IF(Requests!$A31="","",Requests!$AM31)</f>
        <v/>
      </c>
      <c r="J31" s="28" t="str">
        <f aca="false">IF(OR(Requests!$A31="",Requests!$AS31=""),"",Requests!$AS31)</f>
        <v/>
      </c>
      <c r="K31" s="28" t="str">
        <f aca="false">IF(OR(Requests!$A31="",Requests!$AU31=""),"",Requests!$AU31)</f>
        <v/>
      </c>
      <c r="L31" s="27" t="str">
        <f aca="false">IF(Requests!$A31="","",IF(AND(Requests!$AJ31&lt;&gt;"",Requests!$AS31&lt;&gt;"",Requests!$AU31&lt;&gt;""),"Yes","Open"))</f>
        <v/>
      </c>
    </row>
    <row r="32" customFormat="false" ht="15" hidden="false" customHeight="false" outlineLevel="0" collapsed="false">
      <c r="A32" s="22" t="str">
        <f aca="false">IF(Requests!$A32="","",Requests!$A32)</f>
        <v/>
      </c>
      <c r="B32" s="22" t="str">
        <f aca="false">IF(OR(Requests!$A32="",Requests!$P32=""),"",TEXT(Requests!$P32,"yyyy-mm"))</f>
        <v/>
      </c>
      <c r="C32" s="22" t="str">
        <f aca="false">IF(Requests!$A32="","",Requests!$C32)</f>
        <v/>
      </c>
      <c r="D32" s="22" t="str">
        <f aca="false">IF(Requests!$A32="","",Requests!$K32)</f>
        <v/>
      </c>
      <c r="E32" s="22" t="str">
        <f aca="false">IF(Requests!$A32="","",Requests!$B32)</f>
        <v/>
      </c>
      <c r="F32" s="25" t="str">
        <f aca="false">IF(Requests!$A32="","",Requests!$AD32)</f>
        <v/>
      </c>
      <c r="G32" s="25" t="str">
        <f aca="false">IF(Requests!$A32="","",Requests!$AJ32)</f>
        <v/>
      </c>
      <c r="H32" s="25" t="str">
        <f aca="false">IF(OR(Requests!$A32="",Requests!$AJ32=""),"",Requests!$AD32-Requests!$AJ32)</f>
        <v/>
      </c>
      <c r="I32" s="25" t="str">
        <f aca="false">IF(Requests!$A32="","",Requests!$AM32)</f>
        <v/>
      </c>
      <c r="J32" s="23" t="str">
        <f aca="false">IF(OR(Requests!$A32="",Requests!$AS32=""),"",Requests!$AS32)</f>
        <v/>
      </c>
      <c r="K32" s="23" t="str">
        <f aca="false">IF(OR(Requests!$A32="",Requests!$AU32=""),"",Requests!$AU32)</f>
        <v/>
      </c>
      <c r="L32" s="22" t="str">
        <f aca="false">IF(Requests!$A32="","",IF(AND(Requests!$AJ32&lt;&gt;"",Requests!$AS32&lt;&gt;"",Requests!$AU32&lt;&gt;""),"Yes","Open"))</f>
        <v/>
      </c>
    </row>
    <row r="33" customFormat="false" ht="15" hidden="false" customHeight="false" outlineLevel="0" collapsed="false">
      <c r="A33" s="27" t="str">
        <f aca="false">IF(Requests!$A33="","",Requests!$A33)</f>
        <v/>
      </c>
      <c r="B33" s="27" t="str">
        <f aca="false">IF(OR(Requests!$A33="",Requests!$P33=""),"",TEXT(Requests!$P33,"yyyy-mm"))</f>
        <v/>
      </c>
      <c r="C33" s="27" t="str">
        <f aca="false">IF(Requests!$A33="","",Requests!$C33)</f>
        <v/>
      </c>
      <c r="D33" s="27" t="str">
        <f aca="false">IF(Requests!$A33="","",Requests!$K33)</f>
        <v/>
      </c>
      <c r="E33" s="27" t="str">
        <f aca="false">IF(Requests!$A33="","",Requests!$B33)</f>
        <v/>
      </c>
      <c r="F33" s="30" t="str">
        <f aca="false">IF(Requests!$A33="","",Requests!$AD33)</f>
        <v/>
      </c>
      <c r="G33" s="30" t="str">
        <f aca="false">IF(Requests!$A33="","",Requests!$AJ33)</f>
        <v/>
      </c>
      <c r="H33" s="30" t="str">
        <f aca="false">IF(OR(Requests!$A33="",Requests!$AJ33=""),"",Requests!$AD33-Requests!$AJ33)</f>
        <v/>
      </c>
      <c r="I33" s="30" t="str">
        <f aca="false">IF(Requests!$A33="","",Requests!$AM33)</f>
        <v/>
      </c>
      <c r="J33" s="28" t="str">
        <f aca="false">IF(OR(Requests!$A33="",Requests!$AS33=""),"",Requests!$AS33)</f>
        <v/>
      </c>
      <c r="K33" s="28" t="str">
        <f aca="false">IF(OR(Requests!$A33="",Requests!$AU33=""),"",Requests!$AU33)</f>
        <v/>
      </c>
      <c r="L33" s="27" t="str">
        <f aca="false">IF(Requests!$A33="","",IF(AND(Requests!$AJ33&lt;&gt;"",Requests!$AS33&lt;&gt;"",Requests!$AU33&lt;&gt;""),"Yes","Open"))</f>
        <v/>
      </c>
    </row>
    <row r="34" customFormat="false" ht="15" hidden="false" customHeight="false" outlineLevel="0" collapsed="false">
      <c r="A34" s="22" t="str">
        <f aca="false">IF(Requests!$A34="","",Requests!$A34)</f>
        <v/>
      </c>
      <c r="B34" s="22" t="str">
        <f aca="false">IF(OR(Requests!$A34="",Requests!$P34=""),"",TEXT(Requests!$P34,"yyyy-mm"))</f>
        <v/>
      </c>
      <c r="C34" s="22" t="str">
        <f aca="false">IF(Requests!$A34="","",Requests!$C34)</f>
        <v/>
      </c>
      <c r="D34" s="22" t="str">
        <f aca="false">IF(Requests!$A34="","",Requests!$K34)</f>
        <v/>
      </c>
      <c r="E34" s="22" t="str">
        <f aca="false">IF(Requests!$A34="","",Requests!$B34)</f>
        <v/>
      </c>
      <c r="F34" s="25" t="str">
        <f aca="false">IF(Requests!$A34="","",Requests!$AD34)</f>
        <v/>
      </c>
      <c r="G34" s="25" t="str">
        <f aca="false">IF(Requests!$A34="","",Requests!$AJ34)</f>
        <v/>
      </c>
      <c r="H34" s="25" t="str">
        <f aca="false">IF(OR(Requests!$A34="",Requests!$AJ34=""),"",Requests!$AD34-Requests!$AJ34)</f>
        <v/>
      </c>
      <c r="I34" s="25" t="str">
        <f aca="false">IF(Requests!$A34="","",Requests!$AM34)</f>
        <v/>
      </c>
      <c r="J34" s="23" t="str">
        <f aca="false">IF(OR(Requests!$A34="",Requests!$AS34=""),"",Requests!$AS34)</f>
        <v/>
      </c>
      <c r="K34" s="23" t="str">
        <f aca="false">IF(OR(Requests!$A34="",Requests!$AU34=""),"",Requests!$AU34)</f>
        <v/>
      </c>
      <c r="L34" s="22" t="str">
        <f aca="false">IF(Requests!$A34="","",IF(AND(Requests!$AJ34&lt;&gt;"",Requests!$AS34&lt;&gt;"",Requests!$AU34&lt;&gt;""),"Yes","Open"))</f>
        <v/>
      </c>
    </row>
    <row r="35" customFormat="false" ht="15" hidden="false" customHeight="false" outlineLevel="0" collapsed="false">
      <c r="A35" s="27" t="str">
        <f aca="false">IF(Requests!$A35="","",Requests!$A35)</f>
        <v/>
      </c>
      <c r="B35" s="27" t="str">
        <f aca="false">IF(OR(Requests!$A35="",Requests!$P35=""),"",TEXT(Requests!$P35,"yyyy-mm"))</f>
        <v/>
      </c>
      <c r="C35" s="27" t="str">
        <f aca="false">IF(Requests!$A35="","",Requests!$C35)</f>
        <v/>
      </c>
      <c r="D35" s="27" t="str">
        <f aca="false">IF(Requests!$A35="","",Requests!$K35)</f>
        <v/>
      </c>
      <c r="E35" s="27" t="str">
        <f aca="false">IF(Requests!$A35="","",Requests!$B35)</f>
        <v/>
      </c>
      <c r="F35" s="30" t="str">
        <f aca="false">IF(Requests!$A35="","",Requests!$AD35)</f>
        <v/>
      </c>
      <c r="G35" s="30" t="str">
        <f aca="false">IF(Requests!$A35="","",Requests!$AJ35)</f>
        <v/>
      </c>
      <c r="H35" s="30" t="str">
        <f aca="false">IF(OR(Requests!$A35="",Requests!$AJ35=""),"",Requests!$AD35-Requests!$AJ35)</f>
        <v/>
      </c>
      <c r="I35" s="30" t="str">
        <f aca="false">IF(Requests!$A35="","",Requests!$AM35)</f>
        <v/>
      </c>
      <c r="J35" s="28" t="str">
        <f aca="false">IF(OR(Requests!$A35="",Requests!$AS35=""),"",Requests!$AS35)</f>
        <v/>
      </c>
      <c r="K35" s="28" t="str">
        <f aca="false">IF(OR(Requests!$A35="",Requests!$AU35=""),"",Requests!$AU35)</f>
        <v/>
      </c>
      <c r="L35" s="27" t="str">
        <f aca="false">IF(Requests!$A35="","",IF(AND(Requests!$AJ35&lt;&gt;"",Requests!$AS35&lt;&gt;"",Requests!$AU35&lt;&gt;""),"Yes","Open"))</f>
        <v/>
      </c>
    </row>
    <row r="36" customFormat="false" ht="15" hidden="false" customHeight="false" outlineLevel="0" collapsed="false">
      <c r="A36" s="22" t="str">
        <f aca="false">IF(Requests!$A36="","",Requests!$A36)</f>
        <v/>
      </c>
      <c r="B36" s="22" t="str">
        <f aca="false">IF(OR(Requests!$A36="",Requests!$P36=""),"",TEXT(Requests!$P36,"yyyy-mm"))</f>
        <v/>
      </c>
      <c r="C36" s="22" t="str">
        <f aca="false">IF(Requests!$A36="","",Requests!$C36)</f>
        <v/>
      </c>
      <c r="D36" s="22" t="str">
        <f aca="false">IF(Requests!$A36="","",Requests!$K36)</f>
        <v/>
      </c>
      <c r="E36" s="22" t="str">
        <f aca="false">IF(Requests!$A36="","",Requests!$B36)</f>
        <v/>
      </c>
      <c r="F36" s="25" t="str">
        <f aca="false">IF(Requests!$A36="","",Requests!$AD36)</f>
        <v/>
      </c>
      <c r="G36" s="25" t="str">
        <f aca="false">IF(Requests!$A36="","",Requests!$AJ36)</f>
        <v/>
      </c>
      <c r="H36" s="25" t="str">
        <f aca="false">IF(OR(Requests!$A36="",Requests!$AJ36=""),"",Requests!$AD36-Requests!$AJ36)</f>
        <v/>
      </c>
      <c r="I36" s="25" t="str">
        <f aca="false">IF(Requests!$A36="","",Requests!$AM36)</f>
        <v/>
      </c>
      <c r="J36" s="23" t="str">
        <f aca="false">IF(OR(Requests!$A36="",Requests!$AS36=""),"",Requests!$AS36)</f>
        <v/>
      </c>
      <c r="K36" s="23" t="str">
        <f aca="false">IF(OR(Requests!$A36="",Requests!$AU36=""),"",Requests!$AU36)</f>
        <v/>
      </c>
      <c r="L36" s="22" t="str">
        <f aca="false">IF(Requests!$A36="","",IF(AND(Requests!$AJ36&lt;&gt;"",Requests!$AS36&lt;&gt;"",Requests!$AU36&lt;&gt;""),"Yes","Open"))</f>
        <v/>
      </c>
    </row>
    <row r="37" customFormat="false" ht="15" hidden="false" customHeight="false" outlineLevel="0" collapsed="false">
      <c r="A37" s="27" t="str">
        <f aca="false">IF(Requests!$A37="","",Requests!$A37)</f>
        <v/>
      </c>
      <c r="B37" s="27" t="str">
        <f aca="false">IF(OR(Requests!$A37="",Requests!$P37=""),"",TEXT(Requests!$P37,"yyyy-mm"))</f>
        <v/>
      </c>
      <c r="C37" s="27" t="str">
        <f aca="false">IF(Requests!$A37="","",Requests!$C37)</f>
        <v/>
      </c>
      <c r="D37" s="27" t="str">
        <f aca="false">IF(Requests!$A37="","",Requests!$K37)</f>
        <v/>
      </c>
      <c r="E37" s="27" t="str">
        <f aca="false">IF(Requests!$A37="","",Requests!$B37)</f>
        <v/>
      </c>
      <c r="F37" s="30" t="str">
        <f aca="false">IF(Requests!$A37="","",Requests!$AD37)</f>
        <v/>
      </c>
      <c r="G37" s="30" t="str">
        <f aca="false">IF(Requests!$A37="","",Requests!$AJ37)</f>
        <v/>
      </c>
      <c r="H37" s="30" t="str">
        <f aca="false">IF(OR(Requests!$A37="",Requests!$AJ37=""),"",Requests!$AD37-Requests!$AJ37)</f>
        <v/>
      </c>
      <c r="I37" s="30" t="str">
        <f aca="false">IF(Requests!$A37="","",Requests!$AM37)</f>
        <v/>
      </c>
      <c r="J37" s="28" t="str">
        <f aca="false">IF(OR(Requests!$A37="",Requests!$AS37=""),"",Requests!$AS37)</f>
        <v/>
      </c>
      <c r="K37" s="28" t="str">
        <f aca="false">IF(OR(Requests!$A37="",Requests!$AU37=""),"",Requests!$AU37)</f>
        <v/>
      </c>
      <c r="L37" s="27" t="str">
        <f aca="false">IF(Requests!$A37="","",IF(AND(Requests!$AJ37&lt;&gt;"",Requests!$AS37&lt;&gt;"",Requests!$AU37&lt;&gt;""),"Yes","Open"))</f>
        <v/>
      </c>
    </row>
    <row r="38" customFormat="false" ht="15" hidden="false" customHeight="false" outlineLevel="0" collapsed="false">
      <c r="A38" s="22" t="str">
        <f aca="false">IF(Requests!$A38="","",Requests!$A38)</f>
        <v/>
      </c>
      <c r="B38" s="22" t="str">
        <f aca="false">IF(OR(Requests!$A38="",Requests!$P38=""),"",TEXT(Requests!$P38,"yyyy-mm"))</f>
        <v/>
      </c>
      <c r="C38" s="22" t="str">
        <f aca="false">IF(Requests!$A38="","",Requests!$C38)</f>
        <v/>
      </c>
      <c r="D38" s="22" t="str">
        <f aca="false">IF(Requests!$A38="","",Requests!$K38)</f>
        <v/>
      </c>
      <c r="E38" s="22" t="str">
        <f aca="false">IF(Requests!$A38="","",Requests!$B38)</f>
        <v/>
      </c>
      <c r="F38" s="25" t="str">
        <f aca="false">IF(Requests!$A38="","",Requests!$AD38)</f>
        <v/>
      </c>
      <c r="G38" s="25" t="str">
        <f aca="false">IF(Requests!$A38="","",Requests!$AJ38)</f>
        <v/>
      </c>
      <c r="H38" s="25" t="str">
        <f aca="false">IF(OR(Requests!$A38="",Requests!$AJ38=""),"",Requests!$AD38-Requests!$AJ38)</f>
        <v/>
      </c>
      <c r="I38" s="25" t="str">
        <f aca="false">IF(Requests!$A38="","",Requests!$AM38)</f>
        <v/>
      </c>
      <c r="J38" s="23" t="str">
        <f aca="false">IF(OR(Requests!$A38="",Requests!$AS38=""),"",Requests!$AS38)</f>
        <v/>
      </c>
      <c r="K38" s="23" t="str">
        <f aca="false">IF(OR(Requests!$A38="",Requests!$AU38=""),"",Requests!$AU38)</f>
        <v/>
      </c>
      <c r="L38" s="22" t="str">
        <f aca="false">IF(Requests!$A38="","",IF(AND(Requests!$AJ38&lt;&gt;"",Requests!$AS38&lt;&gt;"",Requests!$AU38&lt;&gt;""),"Yes","Open"))</f>
        <v/>
      </c>
    </row>
    <row r="39" customFormat="false" ht="15" hidden="false" customHeight="false" outlineLevel="0" collapsed="false">
      <c r="A39" s="27" t="str">
        <f aca="false">IF(Requests!$A39="","",Requests!$A39)</f>
        <v/>
      </c>
      <c r="B39" s="27" t="str">
        <f aca="false">IF(OR(Requests!$A39="",Requests!$P39=""),"",TEXT(Requests!$P39,"yyyy-mm"))</f>
        <v/>
      </c>
      <c r="C39" s="27" t="str">
        <f aca="false">IF(Requests!$A39="","",Requests!$C39)</f>
        <v/>
      </c>
      <c r="D39" s="27" t="str">
        <f aca="false">IF(Requests!$A39="","",Requests!$K39)</f>
        <v/>
      </c>
      <c r="E39" s="27" t="str">
        <f aca="false">IF(Requests!$A39="","",Requests!$B39)</f>
        <v/>
      </c>
      <c r="F39" s="30" t="str">
        <f aca="false">IF(Requests!$A39="","",Requests!$AD39)</f>
        <v/>
      </c>
      <c r="G39" s="30" t="str">
        <f aca="false">IF(Requests!$A39="","",Requests!$AJ39)</f>
        <v/>
      </c>
      <c r="H39" s="30" t="str">
        <f aca="false">IF(OR(Requests!$A39="",Requests!$AJ39=""),"",Requests!$AD39-Requests!$AJ39)</f>
        <v/>
      </c>
      <c r="I39" s="30" t="str">
        <f aca="false">IF(Requests!$A39="","",Requests!$AM39)</f>
        <v/>
      </c>
      <c r="J39" s="28" t="str">
        <f aca="false">IF(OR(Requests!$A39="",Requests!$AS39=""),"",Requests!$AS39)</f>
        <v/>
      </c>
      <c r="K39" s="28" t="str">
        <f aca="false">IF(OR(Requests!$A39="",Requests!$AU39=""),"",Requests!$AU39)</f>
        <v/>
      </c>
      <c r="L39" s="27" t="str">
        <f aca="false">IF(Requests!$A39="","",IF(AND(Requests!$AJ39&lt;&gt;"",Requests!$AS39&lt;&gt;"",Requests!$AU39&lt;&gt;""),"Yes","Open"))</f>
        <v/>
      </c>
    </row>
    <row r="40" customFormat="false" ht="15" hidden="false" customHeight="false" outlineLevel="0" collapsed="false">
      <c r="A40" s="22" t="str">
        <f aca="false">IF(Requests!$A40="","",Requests!$A40)</f>
        <v/>
      </c>
      <c r="B40" s="22" t="str">
        <f aca="false">IF(OR(Requests!$A40="",Requests!$P40=""),"",TEXT(Requests!$P40,"yyyy-mm"))</f>
        <v/>
      </c>
      <c r="C40" s="22" t="str">
        <f aca="false">IF(Requests!$A40="","",Requests!$C40)</f>
        <v/>
      </c>
      <c r="D40" s="22" t="str">
        <f aca="false">IF(Requests!$A40="","",Requests!$K40)</f>
        <v/>
      </c>
      <c r="E40" s="22" t="str">
        <f aca="false">IF(Requests!$A40="","",Requests!$B40)</f>
        <v/>
      </c>
      <c r="F40" s="25" t="str">
        <f aca="false">IF(Requests!$A40="","",Requests!$AD40)</f>
        <v/>
      </c>
      <c r="G40" s="25" t="str">
        <f aca="false">IF(Requests!$A40="","",Requests!$AJ40)</f>
        <v/>
      </c>
      <c r="H40" s="25" t="str">
        <f aca="false">IF(OR(Requests!$A40="",Requests!$AJ40=""),"",Requests!$AD40-Requests!$AJ40)</f>
        <v/>
      </c>
      <c r="I40" s="25" t="str">
        <f aca="false">IF(Requests!$A40="","",Requests!$AM40)</f>
        <v/>
      </c>
      <c r="J40" s="23" t="str">
        <f aca="false">IF(OR(Requests!$A40="",Requests!$AS40=""),"",Requests!$AS40)</f>
        <v/>
      </c>
      <c r="K40" s="23" t="str">
        <f aca="false">IF(OR(Requests!$A40="",Requests!$AU40=""),"",Requests!$AU40)</f>
        <v/>
      </c>
      <c r="L40" s="22" t="str">
        <f aca="false">IF(Requests!$A40="","",IF(AND(Requests!$AJ40&lt;&gt;"",Requests!$AS40&lt;&gt;"",Requests!$AU40&lt;&gt;""),"Yes","Open"))</f>
        <v/>
      </c>
    </row>
    <row r="41" customFormat="false" ht="15" hidden="false" customHeight="false" outlineLevel="0" collapsed="false">
      <c r="A41" s="27" t="str">
        <f aca="false">IF(Requests!$A41="","",Requests!$A41)</f>
        <v/>
      </c>
      <c r="B41" s="27" t="str">
        <f aca="false">IF(OR(Requests!$A41="",Requests!$P41=""),"",TEXT(Requests!$P41,"yyyy-mm"))</f>
        <v/>
      </c>
      <c r="C41" s="27" t="str">
        <f aca="false">IF(Requests!$A41="","",Requests!$C41)</f>
        <v/>
      </c>
      <c r="D41" s="27" t="str">
        <f aca="false">IF(Requests!$A41="","",Requests!$K41)</f>
        <v/>
      </c>
      <c r="E41" s="27" t="str">
        <f aca="false">IF(Requests!$A41="","",Requests!$B41)</f>
        <v/>
      </c>
      <c r="F41" s="30" t="str">
        <f aca="false">IF(Requests!$A41="","",Requests!$AD41)</f>
        <v/>
      </c>
      <c r="G41" s="30" t="str">
        <f aca="false">IF(Requests!$A41="","",Requests!$AJ41)</f>
        <v/>
      </c>
      <c r="H41" s="30" t="str">
        <f aca="false">IF(OR(Requests!$A41="",Requests!$AJ41=""),"",Requests!$AD41-Requests!$AJ41)</f>
        <v/>
      </c>
      <c r="I41" s="30" t="str">
        <f aca="false">IF(Requests!$A41="","",Requests!$AM41)</f>
        <v/>
      </c>
      <c r="J41" s="28" t="str">
        <f aca="false">IF(OR(Requests!$A41="",Requests!$AS41=""),"",Requests!$AS41)</f>
        <v/>
      </c>
      <c r="K41" s="28" t="str">
        <f aca="false">IF(OR(Requests!$A41="",Requests!$AU41=""),"",Requests!$AU41)</f>
        <v/>
      </c>
      <c r="L41" s="27" t="str">
        <f aca="false">IF(Requests!$A41="","",IF(AND(Requests!$AJ41&lt;&gt;"",Requests!$AS41&lt;&gt;"",Requests!$AU41&lt;&gt;""),"Yes","Open"))</f>
        <v/>
      </c>
    </row>
    <row r="42" customFormat="false" ht="15" hidden="false" customHeight="false" outlineLevel="0" collapsed="false">
      <c r="A42" s="22" t="str">
        <f aca="false">IF(Requests!$A42="","",Requests!$A42)</f>
        <v/>
      </c>
      <c r="B42" s="22" t="str">
        <f aca="false">IF(OR(Requests!$A42="",Requests!$P42=""),"",TEXT(Requests!$P42,"yyyy-mm"))</f>
        <v/>
      </c>
      <c r="C42" s="22" t="str">
        <f aca="false">IF(Requests!$A42="","",Requests!$C42)</f>
        <v/>
      </c>
      <c r="D42" s="22" t="str">
        <f aca="false">IF(Requests!$A42="","",Requests!$K42)</f>
        <v/>
      </c>
      <c r="E42" s="22" t="str">
        <f aca="false">IF(Requests!$A42="","",Requests!$B42)</f>
        <v/>
      </c>
      <c r="F42" s="25" t="str">
        <f aca="false">IF(Requests!$A42="","",Requests!$AD42)</f>
        <v/>
      </c>
      <c r="G42" s="25" t="str">
        <f aca="false">IF(Requests!$A42="","",Requests!$AJ42)</f>
        <v/>
      </c>
      <c r="H42" s="25" t="str">
        <f aca="false">IF(OR(Requests!$A42="",Requests!$AJ42=""),"",Requests!$AD42-Requests!$AJ42)</f>
        <v/>
      </c>
      <c r="I42" s="25" t="str">
        <f aca="false">IF(Requests!$A42="","",Requests!$AM42)</f>
        <v/>
      </c>
      <c r="J42" s="23" t="str">
        <f aca="false">IF(OR(Requests!$A42="",Requests!$AS42=""),"",Requests!$AS42)</f>
        <v/>
      </c>
      <c r="K42" s="23" t="str">
        <f aca="false">IF(OR(Requests!$A42="",Requests!$AU42=""),"",Requests!$AU42)</f>
        <v/>
      </c>
      <c r="L42" s="22" t="str">
        <f aca="false">IF(Requests!$A42="","",IF(AND(Requests!$AJ42&lt;&gt;"",Requests!$AS42&lt;&gt;"",Requests!$AU42&lt;&gt;""),"Yes","Open"))</f>
        <v/>
      </c>
    </row>
    <row r="43" customFormat="false" ht="15" hidden="false" customHeight="false" outlineLevel="0" collapsed="false">
      <c r="A43" s="27" t="str">
        <f aca="false">IF(Requests!$A43="","",Requests!$A43)</f>
        <v/>
      </c>
      <c r="B43" s="27" t="str">
        <f aca="false">IF(OR(Requests!$A43="",Requests!$P43=""),"",TEXT(Requests!$P43,"yyyy-mm"))</f>
        <v/>
      </c>
      <c r="C43" s="27" t="str">
        <f aca="false">IF(Requests!$A43="","",Requests!$C43)</f>
        <v/>
      </c>
      <c r="D43" s="27" t="str">
        <f aca="false">IF(Requests!$A43="","",Requests!$K43)</f>
        <v/>
      </c>
      <c r="E43" s="27" t="str">
        <f aca="false">IF(Requests!$A43="","",Requests!$B43)</f>
        <v/>
      </c>
      <c r="F43" s="30" t="str">
        <f aca="false">IF(Requests!$A43="","",Requests!$AD43)</f>
        <v/>
      </c>
      <c r="G43" s="30" t="str">
        <f aca="false">IF(Requests!$A43="","",Requests!$AJ43)</f>
        <v/>
      </c>
      <c r="H43" s="30" t="str">
        <f aca="false">IF(OR(Requests!$A43="",Requests!$AJ43=""),"",Requests!$AD43-Requests!$AJ43)</f>
        <v/>
      </c>
      <c r="I43" s="30" t="str">
        <f aca="false">IF(Requests!$A43="","",Requests!$AM43)</f>
        <v/>
      </c>
      <c r="J43" s="28" t="str">
        <f aca="false">IF(OR(Requests!$A43="",Requests!$AS43=""),"",Requests!$AS43)</f>
        <v/>
      </c>
      <c r="K43" s="28" t="str">
        <f aca="false">IF(OR(Requests!$A43="",Requests!$AU43=""),"",Requests!$AU43)</f>
        <v/>
      </c>
      <c r="L43" s="27" t="str">
        <f aca="false">IF(Requests!$A43="","",IF(AND(Requests!$AJ43&lt;&gt;"",Requests!$AS43&lt;&gt;"",Requests!$AU43&lt;&gt;""),"Yes","Open"))</f>
        <v/>
      </c>
    </row>
    <row r="44" customFormat="false" ht="15" hidden="false" customHeight="false" outlineLevel="0" collapsed="false">
      <c r="A44" s="22" t="str">
        <f aca="false">IF(Requests!$A44="","",Requests!$A44)</f>
        <v/>
      </c>
      <c r="B44" s="22" t="str">
        <f aca="false">IF(OR(Requests!$A44="",Requests!$P44=""),"",TEXT(Requests!$P44,"yyyy-mm"))</f>
        <v/>
      </c>
      <c r="C44" s="22" t="str">
        <f aca="false">IF(Requests!$A44="","",Requests!$C44)</f>
        <v/>
      </c>
      <c r="D44" s="22" t="str">
        <f aca="false">IF(Requests!$A44="","",Requests!$K44)</f>
        <v/>
      </c>
      <c r="E44" s="22" t="str">
        <f aca="false">IF(Requests!$A44="","",Requests!$B44)</f>
        <v/>
      </c>
      <c r="F44" s="25" t="str">
        <f aca="false">IF(Requests!$A44="","",Requests!$AD44)</f>
        <v/>
      </c>
      <c r="G44" s="25" t="str">
        <f aca="false">IF(Requests!$A44="","",Requests!$AJ44)</f>
        <v/>
      </c>
      <c r="H44" s="25" t="str">
        <f aca="false">IF(OR(Requests!$A44="",Requests!$AJ44=""),"",Requests!$AD44-Requests!$AJ44)</f>
        <v/>
      </c>
      <c r="I44" s="25" t="str">
        <f aca="false">IF(Requests!$A44="","",Requests!$AM44)</f>
        <v/>
      </c>
      <c r="J44" s="23" t="str">
        <f aca="false">IF(OR(Requests!$A44="",Requests!$AS44=""),"",Requests!$AS44)</f>
        <v/>
      </c>
      <c r="K44" s="23" t="str">
        <f aca="false">IF(OR(Requests!$A44="",Requests!$AU44=""),"",Requests!$AU44)</f>
        <v/>
      </c>
      <c r="L44" s="22" t="str">
        <f aca="false">IF(Requests!$A44="","",IF(AND(Requests!$AJ44&lt;&gt;"",Requests!$AS44&lt;&gt;"",Requests!$AU44&lt;&gt;""),"Yes","Open"))</f>
        <v/>
      </c>
    </row>
    <row r="45" customFormat="false" ht="15" hidden="false" customHeight="false" outlineLevel="0" collapsed="false">
      <c r="A45" s="27" t="str">
        <f aca="false">IF(Requests!$A45="","",Requests!$A45)</f>
        <v/>
      </c>
      <c r="B45" s="27" t="str">
        <f aca="false">IF(OR(Requests!$A45="",Requests!$P45=""),"",TEXT(Requests!$P45,"yyyy-mm"))</f>
        <v/>
      </c>
      <c r="C45" s="27" t="str">
        <f aca="false">IF(Requests!$A45="","",Requests!$C45)</f>
        <v/>
      </c>
      <c r="D45" s="27" t="str">
        <f aca="false">IF(Requests!$A45="","",Requests!$K45)</f>
        <v/>
      </c>
      <c r="E45" s="27" t="str">
        <f aca="false">IF(Requests!$A45="","",Requests!$B45)</f>
        <v/>
      </c>
      <c r="F45" s="30" t="str">
        <f aca="false">IF(Requests!$A45="","",Requests!$AD45)</f>
        <v/>
      </c>
      <c r="G45" s="30" t="str">
        <f aca="false">IF(Requests!$A45="","",Requests!$AJ45)</f>
        <v/>
      </c>
      <c r="H45" s="30" t="str">
        <f aca="false">IF(OR(Requests!$A45="",Requests!$AJ45=""),"",Requests!$AD45-Requests!$AJ45)</f>
        <v/>
      </c>
      <c r="I45" s="30" t="str">
        <f aca="false">IF(Requests!$A45="","",Requests!$AM45)</f>
        <v/>
      </c>
      <c r="J45" s="28" t="str">
        <f aca="false">IF(OR(Requests!$A45="",Requests!$AS45=""),"",Requests!$AS45)</f>
        <v/>
      </c>
      <c r="K45" s="28" t="str">
        <f aca="false">IF(OR(Requests!$A45="",Requests!$AU45=""),"",Requests!$AU45)</f>
        <v/>
      </c>
      <c r="L45" s="27" t="str">
        <f aca="false">IF(Requests!$A45="","",IF(AND(Requests!$AJ45&lt;&gt;"",Requests!$AS45&lt;&gt;"",Requests!$AU45&lt;&gt;""),"Yes","Open"))</f>
        <v/>
      </c>
    </row>
    <row r="46" customFormat="false" ht="15" hidden="false" customHeight="false" outlineLevel="0" collapsed="false">
      <c r="A46" s="22" t="str">
        <f aca="false">IF(Requests!$A46="","",Requests!$A46)</f>
        <v/>
      </c>
      <c r="B46" s="22" t="str">
        <f aca="false">IF(OR(Requests!$A46="",Requests!$P46=""),"",TEXT(Requests!$P46,"yyyy-mm"))</f>
        <v/>
      </c>
      <c r="C46" s="22" t="str">
        <f aca="false">IF(Requests!$A46="","",Requests!$C46)</f>
        <v/>
      </c>
      <c r="D46" s="22" t="str">
        <f aca="false">IF(Requests!$A46="","",Requests!$K46)</f>
        <v/>
      </c>
      <c r="E46" s="22" t="str">
        <f aca="false">IF(Requests!$A46="","",Requests!$B46)</f>
        <v/>
      </c>
      <c r="F46" s="25" t="str">
        <f aca="false">IF(Requests!$A46="","",Requests!$AD46)</f>
        <v/>
      </c>
      <c r="G46" s="25" t="str">
        <f aca="false">IF(Requests!$A46="","",Requests!$AJ46)</f>
        <v/>
      </c>
      <c r="H46" s="25" t="str">
        <f aca="false">IF(OR(Requests!$A46="",Requests!$AJ46=""),"",Requests!$AD46-Requests!$AJ46)</f>
        <v/>
      </c>
      <c r="I46" s="25" t="str">
        <f aca="false">IF(Requests!$A46="","",Requests!$AM46)</f>
        <v/>
      </c>
      <c r="J46" s="23" t="str">
        <f aca="false">IF(OR(Requests!$A46="",Requests!$AS46=""),"",Requests!$AS46)</f>
        <v/>
      </c>
      <c r="K46" s="23" t="str">
        <f aca="false">IF(OR(Requests!$A46="",Requests!$AU46=""),"",Requests!$AU46)</f>
        <v/>
      </c>
      <c r="L46" s="22" t="str">
        <f aca="false">IF(Requests!$A46="","",IF(AND(Requests!$AJ46&lt;&gt;"",Requests!$AS46&lt;&gt;"",Requests!$AU46&lt;&gt;""),"Yes","Open"))</f>
        <v/>
      </c>
    </row>
    <row r="47" customFormat="false" ht="15" hidden="false" customHeight="false" outlineLevel="0" collapsed="false">
      <c r="A47" s="27" t="str">
        <f aca="false">IF(Requests!$A47="","",Requests!$A47)</f>
        <v/>
      </c>
      <c r="B47" s="27" t="str">
        <f aca="false">IF(OR(Requests!$A47="",Requests!$P47=""),"",TEXT(Requests!$P47,"yyyy-mm"))</f>
        <v/>
      </c>
      <c r="C47" s="27" t="str">
        <f aca="false">IF(Requests!$A47="","",Requests!$C47)</f>
        <v/>
      </c>
      <c r="D47" s="27" t="str">
        <f aca="false">IF(Requests!$A47="","",Requests!$K47)</f>
        <v/>
      </c>
      <c r="E47" s="27" t="str">
        <f aca="false">IF(Requests!$A47="","",Requests!$B47)</f>
        <v/>
      </c>
      <c r="F47" s="30" t="str">
        <f aca="false">IF(Requests!$A47="","",Requests!$AD47)</f>
        <v/>
      </c>
      <c r="G47" s="30" t="str">
        <f aca="false">IF(Requests!$A47="","",Requests!$AJ47)</f>
        <v/>
      </c>
      <c r="H47" s="30" t="str">
        <f aca="false">IF(OR(Requests!$A47="",Requests!$AJ47=""),"",Requests!$AD47-Requests!$AJ47)</f>
        <v/>
      </c>
      <c r="I47" s="30" t="str">
        <f aca="false">IF(Requests!$A47="","",Requests!$AM47)</f>
        <v/>
      </c>
      <c r="J47" s="28" t="str">
        <f aca="false">IF(OR(Requests!$A47="",Requests!$AS47=""),"",Requests!$AS47)</f>
        <v/>
      </c>
      <c r="K47" s="28" t="str">
        <f aca="false">IF(OR(Requests!$A47="",Requests!$AU47=""),"",Requests!$AU47)</f>
        <v/>
      </c>
      <c r="L47" s="27" t="str">
        <f aca="false">IF(Requests!$A47="","",IF(AND(Requests!$AJ47&lt;&gt;"",Requests!$AS47&lt;&gt;"",Requests!$AU47&lt;&gt;""),"Yes","Open"))</f>
        <v/>
      </c>
    </row>
    <row r="48" customFormat="false" ht="15" hidden="false" customHeight="false" outlineLevel="0" collapsed="false">
      <c r="A48" s="22" t="str">
        <f aca="false">IF(Requests!$A48="","",Requests!$A48)</f>
        <v/>
      </c>
      <c r="B48" s="22" t="str">
        <f aca="false">IF(OR(Requests!$A48="",Requests!$P48=""),"",TEXT(Requests!$P48,"yyyy-mm"))</f>
        <v/>
      </c>
      <c r="C48" s="22" t="str">
        <f aca="false">IF(Requests!$A48="","",Requests!$C48)</f>
        <v/>
      </c>
      <c r="D48" s="22" t="str">
        <f aca="false">IF(Requests!$A48="","",Requests!$K48)</f>
        <v/>
      </c>
      <c r="E48" s="22" t="str">
        <f aca="false">IF(Requests!$A48="","",Requests!$B48)</f>
        <v/>
      </c>
      <c r="F48" s="25" t="str">
        <f aca="false">IF(Requests!$A48="","",Requests!$AD48)</f>
        <v/>
      </c>
      <c r="G48" s="25" t="str">
        <f aca="false">IF(Requests!$A48="","",Requests!$AJ48)</f>
        <v/>
      </c>
      <c r="H48" s="25" t="str">
        <f aca="false">IF(OR(Requests!$A48="",Requests!$AJ48=""),"",Requests!$AD48-Requests!$AJ48)</f>
        <v/>
      </c>
      <c r="I48" s="25" t="str">
        <f aca="false">IF(Requests!$A48="","",Requests!$AM48)</f>
        <v/>
      </c>
      <c r="J48" s="23" t="str">
        <f aca="false">IF(OR(Requests!$A48="",Requests!$AS48=""),"",Requests!$AS48)</f>
        <v/>
      </c>
      <c r="K48" s="23" t="str">
        <f aca="false">IF(OR(Requests!$A48="",Requests!$AU48=""),"",Requests!$AU48)</f>
        <v/>
      </c>
      <c r="L48" s="22" t="str">
        <f aca="false">IF(Requests!$A48="","",IF(AND(Requests!$AJ48&lt;&gt;"",Requests!$AS48&lt;&gt;"",Requests!$AU48&lt;&gt;""),"Yes","Open"))</f>
        <v/>
      </c>
    </row>
    <row r="49" customFormat="false" ht="15" hidden="false" customHeight="false" outlineLevel="0" collapsed="false">
      <c r="A49" s="27" t="str">
        <f aca="false">IF(Requests!$A49="","",Requests!$A49)</f>
        <v/>
      </c>
      <c r="B49" s="27" t="str">
        <f aca="false">IF(OR(Requests!$A49="",Requests!$P49=""),"",TEXT(Requests!$P49,"yyyy-mm"))</f>
        <v/>
      </c>
      <c r="C49" s="27" t="str">
        <f aca="false">IF(Requests!$A49="","",Requests!$C49)</f>
        <v/>
      </c>
      <c r="D49" s="27" t="str">
        <f aca="false">IF(Requests!$A49="","",Requests!$K49)</f>
        <v/>
      </c>
      <c r="E49" s="27" t="str">
        <f aca="false">IF(Requests!$A49="","",Requests!$B49)</f>
        <v/>
      </c>
      <c r="F49" s="30" t="str">
        <f aca="false">IF(Requests!$A49="","",Requests!$AD49)</f>
        <v/>
      </c>
      <c r="G49" s="30" t="str">
        <f aca="false">IF(Requests!$A49="","",Requests!$AJ49)</f>
        <v/>
      </c>
      <c r="H49" s="30" t="str">
        <f aca="false">IF(OR(Requests!$A49="",Requests!$AJ49=""),"",Requests!$AD49-Requests!$AJ49)</f>
        <v/>
      </c>
      <c r="I49" s="30" t="str">
        <f aca="false">IF(Requests!$A49="","",Requests!$AM49)</f>
        <v/>
      </c>
      <c r="J49" s="28" t="str">
        <f aca="false">IF(OR(Requests!$A49="",Requests!$AS49=""),"",Requests!$AS49)</f>
        <v/>
      </c>
      <c r="K49" s="28" t="str">
        <f aca="false">IF(OR(Requests!$A49="",Requests!$AU49=""),"",Requests!$AU49)</f>
        <v/>
      </c>
      <c r="L49" s="27" t="str">
        <f aca="false">IF(Requests!$A49="","",IF(AND(Requests!$AJ49&lt;&gt;"",Requests!$AS49&lt;&gt;"",Requests!$AU49&lt;&gt;""),"Yes","Open"))</f>
        <v/>
      </c>
    </row>
    <row r="50" customFormat="false" ht="15" hidden="false" customHeight="false" outlineLevel="0" collapsed="false">
      <c r="A50" s="22" t="str">
        <f aca="false">IF(Requests!$A50="","",Requests!$A50)</f>
        <v/>
      </c>
      <c r="B50" s="22" t="str">
        <f aca="false">IF(OR(Requests!$A50="",Requests!$P50=""),"",TEXT(Requests!$P50,"yyyy-mm"))</f>
        <v/>
      </c>
      <c r="C50" s="22" t="str">
        <f aca="false">IF(Requests!$A50="","",Requests!$C50)</f>
        <v/>
      </c>
      <c r="D50" s="22" t="str">
        <f aca="false">IF(Requests!$A50="","",Requests!$K50)</f>
        <v/>
      </c>
      <c r="E50" s="22" t="str">
        <f aca="false">IF(Requests!$A50="","",Requests!$B50)</f>
        <v/>
      </c>
      <c r="F50" s="25" t="str">
        <f aca="false">IF(Requests!$A50="","",Requests!$AD50)</f>
        <v/>
      </c>
      <c r="G50" s="25" t="str">
        <f aca="false">IF(Requests!$A50="","",Requests!$AJ50)</f>
        <v/>
      </c>
      <c r="H50" s="25" t="str">
        <f aca="false">IF(OR(Requests!$A50="",Requests!$AJ50=""),"",Requests!$AD50-Requests!$AJ50)</f>
        <v/>
      </c>
      <c r="I50" s="25" t="str">
        <f aca="false">IF(Requests!$A50="","",Requests!$AM50)</f>
        <v/>
      </c>
      <c r="J50" s="23" t="str">
        <f aca="false">IF(OR(Requests!$A50="",Requests!$AS50=""),"",Requests!$AS50)</f>
        <v/>
      </c>
      <c r="K50" s="23" t="str">
        <f aca="false">IF(OR(Requests!$A50="",Requests!$AU50=""),"",Requests!$AU50)</f>
        <v/>
      </c>
      <c r="L50" s="22" t="str">
        <f aca="false">IF(Requests!$A50="","",IF(AND(Requests!$AJ50&lt;&gt;"",Requests!$AS50&lt;&gt;"",Requests!$AU50&lt;&gt;""),"Yes","Open"))</f>
        <v/>
      </c>
    </row>
    <row r="51" customFormat="false" ht="15" hidden="false" customHeight="false" outlineLevel="0" collapsed="false">
      <c r="A51" s="27" t="str">
        <f aca="false">IF(Requests!$A51="","",Requests!$A51)</f>
        <v/>
      </c>
      <c r="B51" s="27" t="str">
        <f aca="false">IF(OR(Requests!$A51="",Requests!$P51=""),"",TEXT(Requests!$P51,"yyyy-mm"))</f>
        <v/>
      </c>
      <c r="C51" s="27" t="str">
        <f aca="false">IF(Requests!$A51="","",Requests!$C51)</f>
        <v/>
      </c>
      <c r="D51" s="27" t="str">
        <f aca="false">IF(Requests!$A51="","",Requests!$K51)</f>
        <v/>
      </c>
      <c r="E51" s="27" t="str">
        <f aca="false">IF(Requests!$A51="","",Requests!$B51)</f>
        <v/>
      </c>
      <c r="F51" s="30" t="str">
        <f aca="false">IF(Requests!$A51="","",Requests!$AD51)</f>
        <v/>
      </c>
      <c r="G51" s="30" t="str">
        <f aca="false">IF(Requests!$A51="","",Requests!$AJ51)</f>
        <v/>
      </c>
      <c r="H51" s="30" t="str">
        <f aca="false">IF(OR(Requests!$A51="",Requests!$AJ51=""),"",Requests!$AD51-Requests!$AJ51)</f>
        <v/>
      </c>
      <c r="I51" s="30" t="str">
        <f aca="false">IF(Requests!$A51="","",Requests!$AM51)</f>
        <v/>
      </c>
      <c r="J51" s="28" t="str">
        <f aca="false">IF(OR(Requests!$A51="",Requests!$AS51=""),"",Requests!$AS51)</f>
        <v/>
      </c>
      <c r="K51" s="28" t="str">
        <f aca="false">IF(OR(Requests!$A51="",Requests!$AU51=""),"",Requests!$AU51)</f>
        <v/>
      </c>
      <c r="L51" s="27" t="str">
        <f aca="false">IF(Requests!$A51="","",IF(AND(Requests!$AJ51&lt;&gt;"",Requests!$AS51&lt;&gt;"",Requests!$AU51&lt;&gt;""),"Yes","Open"))</f>
        <v/>
      </c>
    </row>
    <row r="52" customFormat="false" ht="15" hidden="false" customHeight="false" outlineLevel="0" collapsed="false">
      <c r="A52" s="22" t="str">
        <f aca="false">IF(Requests!$A52="","",Requests!$A52)</f>
        <v/>
      </c>
      <c r="B52" s="22" t="str">
        <f aca="false">IF(OR(Requests!$A52="",Requests!$P52=""),"",TEXT(Requests!$P52,"yyyy-mm"))</f>
        <v/>
      </c>
      <c r="C52" s="22" t="str">
        <f aca="false">IF(Requests!$A52="","",Requests!$C52)</f>
        <v/>
      </c>
      <c r="D52" s="22" t="str">
        <f aca="false">IF(Requests!$A52="","",Requests!$K52)</f>
        <v/>
      </c>
      <c r="E52" s="22" t="str">
        <f aca="false">IF(Requests!$A52="","",Requests!$B52)</f>
        <v/>
      </c>
      <c r="F52" s="25" t="str">
        <f aca="false">IF(Requests!$A52="","",Requests!$AD52)</f>
        <v/>
      </c>
      <c r="G52" s="25" t="str">
        <f aca="false">IF(Requests!$A52="","",Requests!$AJ52)</f>
        <v/>
      </c>
      <c r="H52" s="25" t="str">
        <f aca="false">IF(OR(Requests!$A52="",Requests!$AJ52=""),"",Requests!$AD52-Requests!$AJ52)</f>
        <v/>
      </c>
      <c r="I52" s="25" t="str">
        <f aca="false">IF(Requests!$A52="","",Requests!$AM52)</f>
        <v/>
      </c>
      <c r="J52" s="23" t="str">
        <f aca="false">IF(OR(Requests!$A52="",Requests!$AS52=""),"",Requests!$AS52)</f>
        <v/>
      </c>
      <c r="K52" s="23" t="str">
        <f aca="false">IF(OR(Requests!$A52="",Requests!$AU52=""),"",Requests!$AU52)</f>
        <v/>
      </c>
      <c r="L52" s="22" t="str">
        <f aca="false">IF(Requests!$A52="","",IF(AND(Requests!$AJ52&lt;&gt;"",Requests!$AS52&lt;&gt;"",Requests!$AU52&lt;&gt;""),"Yes","Open"))</f>
        <v/>
      </c>
    </row>
    <row r="53" customFormat="false" ht="15" hidden="false" customHeight="false" outlineLevel="0" collapsed="false">
      <c r="A53" s="27" t="str">
        <f aca="false">IF(Requests!$A53="","",Requests!$A53)</f>
        <v/>
      </c>
      <c r="B53" s="27" t="str">
        <f aca="false">IF(OR(Requests!$A53="",Requests!$P53=""),"",TEXT(Requests!$P53,"yyyy-mm"))</f>
        <v/>
      </c>
      <c r="C53" s="27" t="str">
        <f aca="false">IF(Requests!$A53="","",Requests!$C53)</f>
        <v/>
      </c>
      <c r="D53" s="27" t="str">
        <f aca="false">IF(Requests!$A53="","",Requests!$K53)</f>
        <v/>
      </c>
      <c r="E53" s="27" t="str">
        <f aca="false">IF(Requests!$A53="","",Requests!$B53)</f>
        <v/>
      </c>
      <c r="F53" s="30" t="str">
        <f aca="false">IF(Requests!$A53="","",Requests!$AD53)</f>
        <v/>
      </c>
      <c r="G53" s="30" t="str">
        <f aca="false">IF(Requests!$A53="","",Requests!$AJ53)</f>
        <v/>
      </c>
      <c r="H53" s="30" t="str">
        <f aca="false">IF(OR(Requests!$A53="",Requests!$AJ53=""),"",Requests!$AD53-Requests!$AJ53)</f>
        <v/>
      </c>
      <c r="I53" s="30" t="str">
        <f aca="false">IF(Requests!$A53="","",Requests!$AM53)</f>
        <v/>
      </c>
      <c r="J53" s="28" t="str">
        <f aca="false">IF(OR(Requests!$A53="",Requests!$AS53=""),"",Requests!$AS53)</f>
        <v/>
      </c>
      <c r="K53" s="28" t="str">
        <f aca="false">IF(OR(Requests!$A53="",Requests!$AU53=""),"",Requests!$AU53)</f>
        <v/>
      </c>
      <c r="L53" s="27" t="str">
        <f aca="false">IF(Requests!$A53="","",IF(AND(Requests!$AJ53&lt;&gt;"",Requests!$AS53&lt;&gt;"",Requests!$AU53&lt;&gt;""),"Yes","Open"))</f>
        <v/>
      </c>
    </row>
    <row r="54" customFormat="false" ht="15" hidden="false" customHeight="false" outlineLevel="0" collapsed="false">
      <c r="A54" s="22" t="str">
        <f aca="false">IF(Requests!$A54="","",Requests!$A54)</f>
        <v/>
      </c>
      <c r="B54" s="22" t="str">
        <f aca="false">IF(OR(Requests!$A54="",Requests!$P54=""),"",TEXT(Requests!$P54,"yyyy-mm"))</f>
        <v/>
      </c>
      <c r="C54" s="22" t="str">
        <f aca="false">IF(Requests!$A54="","",Requests!$C54)</f>
        <v/>
      </c>
      <c r="D54" s="22" t="str">
        <f aca="false">IF(Requests!$A54="","",Requests!$K54)</f>
        <v/>
      </c>
      <c r="E54" s="22" t="str">
        <f aca="false">IF(Requests!$A54="","",Requests!$B54)</f>
        <v/>
      </c>
      <c r="F54" s="25" t="str">
        <f aca="false">IF(Requests!$A54="","",Requests!$AD54)</f>
        <v/>
      </c>
      <c r="G54" s="25" t="str">
        <f aca="false">IF(Requests!$A54="","",Requests!$AJ54)</f>
        <v/>
      </c>
      <c r="H54" s="25" t="str">
        <f aca="false">IF(OR(Requests!$A54="",Requests!$AJ54=""),"",Requests!$AD54-Requests!$AJ54)</f>
        <v/>
      </c>
      <c r="I54" s="25" t="str">
        <f aca="false">IF(Requests!$A54="","",Requests!$AM54)</f>
        <v/>
      </c>
      <c r="J54" s="23" t="str">
        <f aca="false">IF(OR(Requests!$A54="",Requests!$AS54=""),"",Requests!$AS54)</f>
        <v/>
      </c>
      <c r="K54" s="23" t="str">
        <f aca="false">IF(OR(Requests!$A54="",Requests!$AU54=""),"",Requests!$AU54)</f>
        <v/>
      </c>
      <c r="L54" s="22" t="str">
        <f aca="false">IF(Requests!$A54="","",IF(AND(Requests!$AJ54&lt;&gt;"",Requests!$AS54&lt;&gt;"",Requests!$AU54&lt;&gt;""),"Yes","Open"))</f>
        <v/>
      </c>
    </row>
    <row r="55" customFormat="false" ht="15" hidden="false" customHeight="false" outlineLevel="0" collapsed="false">
      <c r="A55" s="27" t="str">
        <f aca="false">IF(Requests!$A55="","",Requests!$A55)</f>
        <v/>
      </c>
      <c r="B55" s="27" t="str">
        <f aca="false">IF(OR(Requests!$A55="",Requests!$P55=""),"",TEXT(Requests!$P55,"yyyy-mm"))</f>
        <v/>
      </c>
      <c r="C55" s="27" t="str">
        <f aca="false">IF(Requests!$A55="","",Requests!$C55)</f>
        <v/>
      </c>
      <c r="D55" s="27" t="str">
        <f aca="false">IF(Requests!$A55="","",Requests!$K55)</f>
        <v/>
      </c>
      <c r="E55" s="27" t="str">
        <f aca="false">IF(Requests!$A55="","",Requests!$B55)</f>
        <v/>
      </c>
      <c r="F55" s="30" t="str">
        <f aca="false">IF(Requests!$A55="","",Requests!$AD55)</f>
        <v/>
      </c>
      <c r="G55" s="30" t="str">
        <f aca="false">IF(Requests!$A55="","",Requests!$AJ55)</f>
        <v/>
      </c>
      <c r="H55" s="30" t="str">
        <f aca="false">IF(OR(Requests!$A55="",Requests!$AJ55=""),"",Requests!$AD55-Requests!$AJ55)</f>
        <v/>
      </c>
      <c r="I55" s="30" t="str">
        <f aca="false">IF(Requests!$A55="","",Requests!$AM55)</f>
        <v/>
      </c>
      <c r="J55" s="28" t="str">
        <f aca="false">IF(OR(Requests!$A55="",Requests!$AS55=""),"",Requests!$AS55)</f>
        <v/>
      </c>
      <c r="K55" s="28" t="str">
        <f aca="false">IF(OR(Requests!$A55="",Requests!$AU55=""),"",Requests!$AU55)</f>
        <v/>
      </c>
      <c r="L55" s="27" t="str">
        <f aca="false">IF(Requests!$A55="","",IF(AND(Requests!$AJ55&lt;&gt;"",Requests!$AS55&lt;&gt;"",Requests!$AU55&lt;&gt;""),"Yes","Open"))</f>
        <v/>
      </c>
    </row>
    <row r="56" customFormat="false" ht="15" hidden="false" customHeight="false" outlineLevel="0" collapsed="false">
      <c r="A56" s="22" t="str">
        <f aca="false">IF(Requests!$A56="","",Requests!$A56)</f>
        <v/>
      </c>
      <c r="B56" s="22" t="str">
        <f aca="false">IF(OR(Requests!$A56="",Requests!$P56=""),"",TEXT(Requests!$P56,"yyyy-mm"))</f>
        <v/>
      </c>
      <c r="C56" s="22" t="str">
        <f aca="false">IF(Requests!$A56="","",Requests!$C56)</f>
        <v/>
      </c>
      <c r="D56" s="22" t="str">
        <f aca="false">IF(Requests!$A56="","",Requests!$K56)</f>
        <v/>
      </c>
      <c r="E56" s="22" t="str">
        <f aca="false">IF(Requests!$A56="","",Requests!$B56)</f>
        <v/>
      </c>
      <c r="F56" s="25" t="str">
        <f aca="false">IF(Requests!$A56="","",Requests!$AD56)</f>
        <v/>
      </c>
      <c r="G56" s="25" t="str">
        <f aca="false">IF(Requests!$A56="","",Requests!$AJ56)</f>
        <v/>
      </c>
      <c r="H56" s="25" t="str">
        <f aca="false">IF(OR(Requests!$A56="",Requests!$AJ56=""),"",Requests!$AD56-Requests!$AJ56)</f>
        <v/>
      </c>
      <c r="I56" s="25" t="str">
        <f aca="false">IF(Requests!$A56="","",Requests!$AM56)</f>
        <v/>
      </c>
      <c r="J56" s="23" t="str">
        <f aca="false">IF(OR(Requests!$A56="",Requests!$AS56=""),"",Requests!$AS56)</f>
        <v/>
      </c>
      <c r="K56" s="23" t="str">
        <f aca="false">IF(OR(Requests!$A56="",Requests!$AU56=""),"",Requests!$AU56)</f>
        <v/>
      </c>
      <c r="L56" s="22" t="str">
        <f aca="false">IF(Requests!$A56="","",IF(AND(Requests!$AJ56&lt;&gt;"",Requests!$AS56&lt;&gt;"",Requests!$AU56&lt;&gt;""),"Yes","Open"))</f>
        <v/>
      </c>
    </row>
    <row r="57" customFormat="false" ht="15" hidden="false" customHeight="false" outlineLevel="0" collapsed="false">
      <c r="A57" s="27" t="str">
        <f aca="false">IF(Requests!$A57="","",Requests!$A57)</f>
        <v/>
      </c>
      <c r="B57" s="27" t="str">
        <f aca="false">IF(OR(Requests!$A57="",Requests!$P57=""),"",TEXT(Requests!$P57,"yyyy-mm"))</f>
        <v/>
      </c>
      <c r="C57" s="27" t="str">
        <f aca="false">IF(Requests!$A57="","",Requests!$C57)</f>
        <v/>
      </c>
      <c r="D57" s="27" t="str">
        <f aca="false">IF(Requests!$A57="","",Requests!$K57)</f>
        <v/>
      </c>
      <c r="E57" s="27" t="str">
        <f aca="false">IF(Requests!$A57="","",Requests!$B57)</f>
        <v/>
      </c>
      <c r="F57" s="30" t="str">
        <f aca="false">IF(Requests!$A57="","",Requests!$AD57)</f>
        <v/>
      </c>
      <c r="G57" s="30" t="str">
        <f aca="false">IF(Requests!$A57="","",Requests!$AJ57)</f>
        <v/>
      </c>
      <c r="H57" s="30" t="str">
        <f aca="false">IF(OR(Requests!$A57="",Requests!$AJ57=""),"",Requests!$AD57-Requests!$AJ57)</f>
        <v/>
      </c>
      <c r="I57" s="30" t="str">
        <f aca="false">IF(Requests!$A57="","",Requests!$AM57)</f>
        <v/>
      </c>
      <c r="J57" s="28" t="str">
        <f aca="false">IF(OR(Requests!$A57="",Requests!$AS57=""),"",Requests!$AS57)</f>
        <v/>
      </c>
      <c r="K57" s="28" t="str">
        <f aca="false">IF(OR(Requests!$A57="",Requests!$AU57=""),"",Requests!$AU57)</f>
        <v/>
      </c>
      <c r="L57" s="27" t="str">
        <f aca="false">IF(Requests!$A57="","",IF(AND(Requests!$AJ57&lt;&gt;"",Requests!$AS57&lt;&gt;"",Requests!$AU57&lt;&gt;""),"Yes","Open"))</f>
        <v/>
      </c>
    </row>
    <row r="58" customFormat="false" ht="15" hidden="false" customHeight="false" outlineLevel="0" collapsed="false">
      <c r="A58" s="22" t="str">
        <f aca="false">IF(Requests!$A58="","",Requests!$A58)</f>
        <v/>
      </c>
      <c r="B58" s="22" t="str">
        <f aca="false">IF(OR(Requests!$A58="",Requests!$P58=""),"",TEXT(Requests!$P58,"yyyy-mm"))</f>
        <v/>
      </c>
      <c r="C58" s="22" t="str">
        <f aca="false">IF(Requests!$A58="","",Requests!$C58)</f>
        <v/>
      </c>
      <c r="D58" s="22" t="str">
        <f aca="false">IF(Requests!$A58="","",Requests!$K58)</f>
        <v/>
      </c>
      <c r="E58" s="22" t="str">
        <f aca="false">IF(Requests!$A58="","",Requests!$B58)</f>
        <v/>
      </c>
      <c r="F58" s="25" t="str">
        <f aca="false">IF(Requests!$A58="","",Requests!$AD58)</f>
        <v/>
      </c>
      <c r="G58" s="25" t="str">
        <f aca="false">IF(Requests!$A58="","",Requests!$AJ58)</f>
        <v/>
      </c>
      <c r="H58" s="25" t="str">
        <f aca="false">IF(OR(Requests!$A58="",Requests!$AJ58=""),"",Requests!$AD58-Requests!$AJ58)</f>
        <v/>
      </c>
      <c r="I58" s="25" t="str">
        <f aca="false">IF(Requests!$A58="","",Requests!$AM58)</f>
        <v/>
      </c>
      <c r="J58" s="23" t="str">
        <f aca="false">IF(OR(Requests!$A58="",Requests!$AS58=""),"",Requests!$AS58)</f>
        <v/>
      </c>
      <c r="K58" s="23" t="str">
        <f aca="false">IF(OR(Requests!$A58="",Requests!$AU58=""),"",Requests!$AU58)</f>
        <v/>
      </c>
      <c r="L58" s="22" t="str">
        <f aca="false">IF(Requests!$A58="","",IF(AND(Requests!$AJ58&lt;&gt;"",Requests!$AS58&lt;&gt;"",Requests!$AU58&lt;&gt;""),"Yes","Open"))</f>
        <v/>
      </c>
    </row>
    <row r="59" customFormat="false" ht="15" hidden="false" customHeight="false" outlineLevel="0" collapsed="false">
      <c r="A59" s="27" t="str">
        <f aca="false">IF(Requests!$A59="","",Requests!$A59)</f>
        <v/>
      </c>
      <c r="B59" s="27" t="str">
        <f aca="false">IF(OR(Requests!$A59="",Requests!$P59=""),"",TEXT(Requests!$P59,"yyyy-mm"))</f>
        <v/>
      </c>
      <c r="C59" s="27" t="str">
        <f aca="false">IF(Requests!$A59="","",Requests!$C59)</f>
        <v/>
      </c>
      <c r="D59" s="27" t="str">
        <f aca="false">IF(Requests!$A59="","",Requests!$K59)</f>
        <v/>
      </c>
      <c r="E59" s="27" t="str">
        <f aca="false">IF(Requests!$A59="","",Requests!$B59)</f>
        <v/>
      </c>
      <c r="F59" s="30" t="str">
        <f aca="false">IF(Requests!$A59="","",Requests!$AD59)</f>
        <v/>
      </c>
      <c r="G59" s="30" t="str">
        <f aca="false">IF(Requests!$A59="","",Requests!$AJ59)</f>
        <v/>
      </c>
      <c r="H59" s="30" t="str">
        <f aca="false">IF(OR(Requests!$A59="",Requests!$AJ59=""),"",Requests!$AD59-Requests!$AJ59)</f>
        <v/>
      </c>
      <c r="I59" s="30" t="str">
        <f aca="false">IF(Requests!$A59="","",Requests!$AM59)</f>
        <v/>
      </c>
      <c r="J59" s="28" t="str">
        <f aca="false">IF(OR(Requests!$A59="",Requests!$AS59=""),"",Requests!$AS59)</f>
        <v/>
      </c>
      <c r="K59" s="28" t="str">
        <f aca="false">IF(OR(Requests!$A59="",Requests!$AU59=""),"",Requests!$AU59)</f>
        <v/>
      </c>
      <c r="L59" s="27" t="str">
        <f aca="false">IF(Requests!$A59="","",IF(AND(Requests!$AJ59&lt;&gt;"",Requests!$AS59&lt;&gt;"",Requests!$AU59&lt;&gt;""),"Yes","Open"))</f>
        <v/>
      </c>
    </row>
    <row r="60" customFormat="false" ht="15" hidden="false" customHeight="false" outlineLevel="0" collapsed="false">
      <c r="A60" s="22" t="str">
        <f aca="false">IF(Requests!$A60="","",Requests!$A60)</f>
        <v/>
      </c>
      <c r="B60" s="22" t="str">
        <f aca="false">IF(OR(Requests!$A60="",Requests!$P60=""),"",TEXT(Requests!$P60,"yyyy-mm"))</f>
        <v/>
      </c>
      <c r="C60" s="22" t="str">
        <f aca="false">IF(Requests!$A60="","",Requests!$C60)</f>
        <v/>
      </c>
      <c r="D60" s="22" t="str">
        <f aca="false">IF(Requests!$A60="","",Requests!$K60)</f>
        <v/>
      </c>
      <c r="E60" s="22" t="str">
        <f aca="false">IF(Requests!$A60="","",Requests!$B60)</f>
        <v/>
      </c>
      <c r="F60" s="25" t="str">
        <f aca="false">IF(Requests!$A60="","",Requests!$AD60)</f>
        <v/>
      </c>
      <c r="G60" s="25" t="str">
        <f aca="false">IF(Requests!$A60="","",Requests!$AJ60)</f>
        <v/>
      </c>
      <c r="H60" s="25" t="str">
        <f aca="false">IF(OR(Requests!$A60="",Requests!$AJ60=""),"",Requests!$AD60-Requests!$AJ60)</f>
        <v/>
      </c>
      <c r="I60" s="25" t="str">
        <f aca="false">IF(Requests!$A60="","",Requests!$AM60)</f>
        <v/>
      </c>
      <c r="J60" s="23" t="str">
        <f aca="false">IF(OR(Requests!$A60="",Requests!$AS60=""),"",Requests!$AS60)</f>
        <v/>
      </c>
      <c r="K60" s="23" t="str">
        <f aca="false">IF(OR(Requests!$A60="",Requests!$AU60=""),"",Requests!$AU60)</f>
        <v/>
      </c>
      <c r="L60" s="22" t="str">
        <f aca="false">IF(Requests!$A60="","",IF(AND(Requests!$AJ60&lt;&gt;"",Requests!$AS60&lt;&gt;"",Requests!$AU60&lt;&gt;""),"Yes","Open"))</f>
        <v/>
      </c>
    </row>
    <row r="61" customFormat="false" ht="15" hidden="false" customHeight="false" outlineLevel="0" collapsed="false">
      <c r="A61" s="27" t="str">
        <f aca="false">IF(Requests!$A61="","",Requests!$A61)</f>
        <v/>
      </c>
      <c r="B61" s="27" t="str">
        <f aca="false">IF(OR(Requests!$A61="",Requests!$P61=""),"",TEXT(Requests!$P61,"yyyy-mm"))</f>
        <v/>
      </c>
      <c r="C61" s="27" t="str">
        <f aca="false">IF(Requests!$A61="","",Requests!$C61)</f>
        <v/>
      </c>
      <c r="D61" s="27" t="str">
        <f aca="false">IF(Requests!$A61="","",Requests!$K61)</f>
        <v/>
      </c>
      <c r="E61" s="27" t="str">
        <f aca="false">IF(Requests!$A61="","",Requests!$B61)</f>
        <v/>
      </c>
      <c r="F61" s="30" t="str">
        <f aca="false">IF(Requests!$A61="","",Requests!$AD61)</f>
        <v/>
      </c>
      <c r="G61" s="30" t="str">
        <f aca="false">IF(Requests!$A61="","",Requests!$AJ61)</f>
        <v/>
      </c>
      <c r="H61" s="30" t="str">
        <f aca="false">IF(OR(Requests!$A61="",Requests!$AJ61=""),"",Requests!$AD61-Requests!$AJ61)</f>
        <v/>
      </c>
      <c r="I61" s="30" t="str">
        <f aca="false">IF(Requests!$A61="","",Requests!$AM61)</f>
        <v/>
      </c>
      <c r="J61" s="28" t="str">
        <f aca="false">IF(OR(Requests!$A61="",Requests!$AS61=""),"",Requests!$AS61)</f>
        <v/>
      </c>
      <c r="K61" s="28" t="str">
        <f aca="false">IF(OR(Requests!$A61="",Requests!$AU61=""),"",Requests!$AU61)</f>
        <v/>
      </c>
      <c r="L61" s="27" t="str">
        <f aca="false">IF(Requests!$A61="","",IF(AND(Requests!$AJ61&lt;&gt;"",Requests!$AS61&lt;&gt;"",Requests!$AU61&lt;&gt;""),"Yes","Open"))</f>
        <v/>
      </c>
    </row>
    <row r="62" customFormat="false" ht="15" hidden="false" customHeight="false" outlineLevel="0" collapsed="false">
      <c r="A62" s="22" t="str">
        <f aca="false">IF(Requests!$A62="","",Requests!$A62)</f>
        <v/>
      </c>
      <c r="B62" s="22" t="str">
        <f aca="false">IF(OR(Requests!$A62="",Requests!$P62=""),"",TEXT(Requests!$P62,"yyyy-mm"))</f>
        <v/>
      </c>
      <c r="C62" s="22" t="str">
        <f aca="false">IF(Requests!$A62="","",Requests!$C62)</f>
        <v/>
      </c>
      <c r="D62" s="22" t="str">
        <f aca="false">IF(Requests!$A62="","",Requests!$K62)</f>
        <v/>
      </c>
      <c r="E62" s="22" t="str">
        <f aca="false">IF(Requests!$A62="","",Requests!$B62)</f>
        <v/>
      </c>
      <c r="F62" s="25" t="str">
        <f aca="false">IF(Requests!$A62="","",Requests!$AD62)</f>
        <v/>
      </c>
      <c r="G62" s="25" t="str">
        <f aca="false">IF(Requests!$A62="","",Requests!$AJ62)</f>
        <v/>
      </c>
      <c r="H62" s="25" t="str">
        <f aca="false">IF(OR(Requests!$A62="",Requests!$AJ62=""),"",Requests!$AD62-Requests!$AJ62)</f>
        <v/>
      </c>
      <c r="I62" s="25" t="str">
        <f aca="false">IF(Requests!$A62="","",Requests!$AM62)</f>
        <v/>
      </c>
      <c r="J62" s="23" t="str">
        <f aca="false">IF(OR(Requests!$A62="",Requests!$AS62=""),"",Requests!$AS62)</f>
        <v/>
      </c>
      <c r="K62" s="23" t="str">
        <f aca="false">IF(OR(Requests!$A62="",Requests!$AU62=""),"",Requests!$AU62)</f>
        <v/>
      </c>
      <c r="L62" s="22" t="str">
        <f aca="false">IF(Requests!$A62="","",IF(AND(Requests!$AJ62&lt;&gt;"",Requests!$AS62&lt;&gt;"",Requests!$AU62&lt;&gt;""),"Yes","Open"))</f>
        <v/>
      </c>
    </row>
    <row r="63" customFormat="false" ht="15" hidden="false" customHeight="false" outlineLevel="0" collapsed="false">
      <c r="A63" s="27" t="str">
        <f aca="false">IF(Requests!$A63="","",Requests!$A63)</f>
        <v/>
      </c>
      <c r="B63" s="27" t="str">
        <f aca="false">IF(OR(Requests!$A63="",Requests!$P63=""),"",TEXT(Requests!$P63,"yyyy-mm"))</f>
        <v/>
      </c>
      <c r="C63" s="27" t="str">
        <f aca="false">IF(Requests!$A63="","",Requests!$C63)</f>
        <v/>
      </c>
      <c r="D63" s="27" t="str">
        <f aca="false">IF(Requests!$A63="","",Requests!$K63)</f>
        <v/>
      </c>
      <c r="E63" s="27" t="str">
        <f aca="false">IF(Requests!$A63="","",Requests!$B63)</f>
        <v/>
      </c>
      <c r="F63" s="30" t="str">
        <f aca="false">IF(Requests!$A63="","",Requests!$AD63)</f>
        <v/>
      </c>
      <c r="G63" s="30" t="str">
        <f aca="false">IF(Requests!$A63="","",Requests!$AJ63)</f>
        <v/>
      </c>
      <c r="H63" s="30" t="str">
        <f aca="false">IF(OR(Requests!$A63="",Requests!$AJ63=""),"",Requests!$AD63-Requests!$AJ63)</f>
        <v/>
      </c>
      <c r="I63" s="30" t="str">
        <f aca="false">IF(Requests!$A63="","",Requests!$AM63)</f>
        <v/>
      </c>
      <c r="J63" s="28" t="str">
        <f aca="false">IF(OR(Requests!$A63="",Requests!$AS63=""),"",Requests!$AS63)</f>
        <v/>
      </c>
      <c r="K63" s="28" t="str">
        <f aca="false">IF(OR(Requests!$A63="",Requests!$AU63=""),"",Requests!$AU63)</f>
        <v/>
      </c>
      <c r="L63" s="27" t="str">
        <f aca="false">IF(Requests!$A63="","",IF(AND(Requests!$AJ63&lt;&gt;"",Requests!$AS63&lt;&gt;"",Requests!$AU63&lt;&gt;""),"Yes","Open"))</f>
        <v/>
      </c>
    </row>
    <row r="64" customFormat="false" ht="15" hidden="false" customHeight="false" outlineLevel="0" collapsed="false">
      <c r="A64" s="22" t="str">
        <f aca="false">IF(Requests!$A64="","",Requests!$A64)</f>
        <v/>
      </c>
      <c r="B64" s="22" t="str">
        <f aca="false">IF(OR(Requests!$A64="",Requests!$P64=""),"",TEXT(Requests!$P64,"yyyy-mm"))</f>
        <v/>
      </c>
      <c r="C64" s="22" t="str">
        <f aca="false">IF(Requests!$A64="","",Requests!$C64)</f>
        <v/>
      </c>
      <c r="D64" s="22" t="str">
        <f aca="false">IF(Requests!$A64="","",Requests!$K64)</f>
        <v/>
      </c>
      <c r="E64" s="22" t="str">
        <f aca="false">IF(Requests!$A64="","",Requests!$B64)</f>
        <v/>
      </c>
      <c r="F64" s="25" t="str">
        <f aca="false">IF(Requests!$A64="","",Requests!$AD64)</f>
        <v/>
      </c>
      <c r="G64" s="25" t="str">
        <f aca="false">IF(Requests!$A64="","",Requests!$AJ64)</f>
        <v/>
      </c>
      <c r="H64" s="25" t="str">
        <f aca="false">IF(OR(Requests!$A64="",Requests!$AJ64=""),"",Requests!$AD64-Requests!$AJ64)</f>
        <v/>
      </c>
      <c r="I64" s="25" t="str">
        <f aca="false">IF(Requests!$A64="","",Requests!$AM64)</f>
        <v/>
      </c>
      <c r="J64" s="23" t="str">
        <f aca="false">IF(OR(Requests!$A64="",Requests!$AS64=""),"",Requests!$AS64)</f>
        <v/>
      </c>
      <c r="K64" s="23" t="str">
        <f aca="false">IF(OR(Requests!$A64="",Requests!$AU64=""),"",Requests!$AU64)</f>
        <v/>
      </c>
      <c r="L64" s="22" t="str">
        <f aca="false">IF(Requests!$A64="","",IF(AND(Requests!$AJ64&lt;&gt;"",Requests!$AS64&lt;&gt;"",Requests!$AU64&lt;&gt;""),"Yes","Open"))</f>
        <v/>
      </c>
    </row>
    <row r="65" customFormat="false" ht="15" hidden="false" customHeight="false" outlineLevel="0" collapsed="false">
      <c r="A65" s="27" t="str">
        <f aca="false">IF(Requests!$A65="","",Requests!$A65)</f>
        <v/>
      </c>
      <c r="B65" s="27" t="str">
        <f aca="false">IF(OR(Requests!$A65="",Requests!$P65=""),"",TEXT(Requests!$P65,"yyyy-mm"))</f>
        <v/>
      </c>
      <c r="C65" s="27" t="str">
        <f aca="false">IF(Requests!$A65="","",Requests!$C65)</f>
        <v/>
      </c>
      <c r="D65" s="27" t="str">
        <f aca="false">IF(Requests!$A65="","",Requests!$K65)</f>
        <v/>
      </c>
      <c r="E65" s="27" t="str">
        <f aca="false">IF(Requests!$A65="","",Requests!$B65)</f>
        <v/>
      </c>
      <c r="F65" s="30" t="str">
        <f aca="false">IF(Requests!$A65="","",Requests!$AD65)</f>
        <v/>
      </c>
      <c r="G65" s="30" t="str">
        <f aca="false">IF(Requests!$A65="","",Requests!$AJ65)</f>
        <v/>
      </c>
      <c r="H65" s="30" t="str">
        <f aca="false">IF(OR(Requests!$A65="",Requests!$AJ65=""),"",Requests!$AD65-Requests!$AJ65)</f>
        <v/>
      </c>
      <c r="I65" s="30" t="str">
        <f aca="false">IF(Requests!$A65="","",Requests!$AM65)</f>
        <v/>
      </c>
      <c r="J65" s="28" t="str">
        <f aca="false">IF(OR(Requests!$A65="",Requests!$AS65=""),"",Requests!$AS65)</f>
        <v/>
      </c>
      <c r="K65" s="28" t="str">
        <f aca="false">IF(OR(Requests!$A65="",Requests!$AU65=""),"",Requests!$AU65)</f>
        <v/>
      </c>
      <c r="L65" s="27" t="str">
        <f aca="false">IF(Requests!$A65="","",IF(AND(Requests!$AJ65&lt;&gt;"",Requests!$AS65&lt;&gt;"",Requests!$AU65&lt;&gt;""),"Yes","Open"))</f>
        <v/>
      </c>
    </row>
    <row r="66" customFormat="false" ht="15" hidden="false" customHeight="false" outlineLevel="0" collapsed="false">
      <c r="A66" s="22" t="str">
        <f aca="false">IF(Requests!$A66="","",Requests!$A66)</f>
        <v/>
      </c>
      <c r="B66" s="22" t="str">
        <f aca="false">IF(OR(Requests!$A66="",Requests!$P66=""),"",TEXT(Requests!$P66,"yyyy-mm"))</f>
        <v/>
      </c>
      <c r="C66" s="22" t="str">
        <f aca="false">IF(Requests!$A66="","",Requests!$C66)</f>
        <v/>
      </c>
      <c r="D66" s="22" t="str">
        <f aca="false">IF(Requests!$A66="","",Requests!$K66)</f>
        <v/>
      </c>
      <c r="E66" s="22" t="str">
        <f aca="false">IF(Requests!$A66="","",Requests!$B66)</f>
        <v/>
      </c>
      <c r="F66" s="25" t="str">
        <f aca="false">IF(Requests!$A66="","",Requests!$AD66)</f>
        <v/>
      </c>
      <c r="G66" s="25" t="str">
        <f aca="false">IF(Requests!$A66="","",Requests!$AJ66)</f>
        <v/>
      </c>
      <c r="H66" s="25" t="str">
        <f aca="false">IF(OR(Requests!$A66="",Requests!$AJ66=""),"",Requests!$AD66-Requests!$AJ66)</f>
        <v/>
      </c>
      <c r="I66" s="25" t="str">
        <f aca="false">IF(Requests!$A66="","",Requests!$AM66)</f>
        <v/>
      </c>
      <c r="J66" s="23" t="str">
        <f aca="false">IF(OR(Requests!$A66="",Requests!$AS66=""),"",Requests!$AS66)</f>
        <v/>
      </c>
      <c r="K66" s="23" t="str">
        <f aca="false">IF(OR(Requests!$A66="",Requests!$AU66=""),"",Requests!$AU66)</f>
        <v/>
      </c>
      <c r="L66" s="22" t="str">
        <f aca="false">IF(Requests!$A66="","",IF(AND(Requests!$AJ66&lt;&gt;"",Requests!$AS66&lt;&gt;"",Requests!$AU66&lt;&gt;""),"Yes","Open"))</f>
        <v/>
      </c>
    </row>
    <row r="67" customFormat="false" ht="15" hidden="false" customHeight="false" outlineLevel="0" collapsed="false">
      <c r="A67" s="27" t="str">
        <f aca="false">IF(Requests!$A67="","",Requests!$A67)</f>
        <v/>
      </c>
      <c r="B67" s="27" t="str">
        <f aca="false">IF(OR(Requests!$A67="",Requests!$P67=""),"",TEXT(Requests!$P67,"yyyy-mm"))</f>
        <v/>
      </c>
      <c r="C67" s="27" t="str">
        <f aca="false">IF(Requests!$A67="","",Requests!$C67)</f>
        <v/>
      </c>
      <c r="D67" s="27" t="str">
        <f aca="false">IF(Requests!$A67="","",Requests!$K67)</f>
        <v/>
      </c>
      <c r="E67" s="27" t="str">
        <f aca="false">IF(Requests!$A67="","",Requests!$B67)</f>
        <v/>
      </c>
      <c r="F67" s="30" t="str">
        <f aca="false">IF(Requests!$A67="","",Requests!$AD67)</f>
        <v/>
      </c>
      <c r="G67" s="30" t="str">
        <f aca="false">IF(Requests!$A67="","",Requests!$AJ67)</f>
        <v/>
      </c>
      <c r="H67" s="30" t="str">
        <f aca="false">IF(OR(Requests!$A67="",Requests!$AJ67=""),"",Requests!$AD67-Requests!$AJ67)</f>
        <v/>
      </c>
      <c r="I67" s="30" t="str">
        <f aca="false">IF(Requests!$A67="","",Requests!$AM67)</f>
        <v/>
      </c>
      <c r="J67" s="28" t="str">
        <f aca="false">IF(OR(Requests!$A67="",Requests!$AS67=""),"",Requests!$AS67)</f>
        <v/>
      </c>
      <c r="K67" s="28" t="str">
        <f aca="false">IF(OR(Requests!$A67="",Requests!$AU67=""),"",Requests!$AU67)</f>
        <v/>
      </c>
      <c r="L67" s="27" t="str">
        <f aca="false">IF(Requests!$A67="","",IF(AND(Requests!$AJ67&lt;&gt;"",Requests!$AS67&lt;&gt;"",Requests!$AU67&lt;&gt;""),"Yes","Open"))</f>
        <v/>
      </c>
    </row>
    <row r="68" customFormat="false" ht="15" hidden="false" customHeight="false" outlineLevel="0" collapsed="false">
      <c r="A68" s="22" t="str">
        <f aca="false">IF(Requests!$A68="","",Requests!$A68)</f>
        <v/>
      </c>
      <c r="B68" s="22" t="str">
        <f aca="false">IF(OR(Requests!$A68="",Requests!$P68=""),"",TEXT(Requests!$P68,"yyyy-mm"))</f>
        <v/>
      </c>
      <c r="C68" s="22" t="str">
        <f aca="false">IF(Requests!$A68="","",Requests!$C68)</f>
        <v/>
      </c>
      <c r="D68" s="22" t="str">
        <f aca="false">IF(Requests!$A68="","",Requests!$K68)</f>
        <v/>
      </c>
      <c r="E68" s="22" t="str">
        <f aca="false">IF(Requests!$A68="","",Requests!$B68)</f>
        <v/>
      </c>
      <c r="F68" s="25" t="str">
        <f aca="false">IF(Requests!$A68="","",Requests!$AD68)</f>
        <v/>
      </c>
      <c r="G68" s="25" t="str">
        <f aca="false">IF(Requests!$A68="","",Requests!$AJ68)</f>
        <v/>
      </c>
      <c r="H68" s="25" t="str">
        <f aca="false">IF(OR(Requests!$A68="",Requests!$AJ68=""),"",Requests!$AD68-Requests!$AJ68)</f>
        <v/>
      </c>
      <c r="I68" s="25" t="str">
        <f aca="false">IF(Requests!$A68="","",Requests!$AM68)</f>
        <v/>
      </c>
      <c r="J68" s="23" t="str">
        <f aca="false">IF(OR(Requests!$A68="",Requests!$AS68=""),"",Requests!$AS68)</f>
        <v/>
      </c>
      <c r="K68" s="23" t="str">
        <f aca="false">IF(OR(Requests!$A68="",Requests!$AU68=""),"",Requests!$AU68)</f>
        <v/>
      </c>
      <c r="L68" s="22" t="str">
        <f aca="false">IF(Requests!$A68="","",IF(AND(Requests!$AJ68&lt;&gt;"",Requests!$AS68&lt;&gt;"",Requests!$AU68&lt;&gt;""),"Yes","Open"))</f>
        <v/>
      </c>
    </row>
    <row r="69" customFormat="false" ht="15" hidden="false" customHeight="false" outlineLevel="0" collapsed="false">
      <c r="A69" s="27" t="str">
        <f aca="false">IF(Requests!$A69="","",Requests!$A69)</f>
        <v/>
      </c>
      <c r="B69" s="27" t="str">
        <f aca="false">IF(OR(Requests!$A69="",Requests!$P69=""),"",TEXT(Requests!$P69,"yyyy-mm"))</f>
        <v/>
      </c>
      <c r="C69" s="27" t="str">
        <f aca="false">IF(Requests!$A69="","",Requests!$C69)</f>
        <v/>
      </c>
      <c r="D69" s="27" t="str">
        <f aca="false">IF(Requests!$A69="","",Requests!$K69)</f>
        <v/>
      </c>
      <c r="E69" s="27" t="str">
        <f aca="false">IF(Requests!$A69="","",Requests!$B69)</f>
        <v/>
      </c>
      <c r="F69" s="30" t="str">
        <f aca="false">IF(Requests!$A69="","",Requests!$AD69)</f>
        <v/>
      </c>
      <c r="G69" s="30" t="str">
        <f aca="false">IF(Requests!$A69="","",Requests!$AJ69)</f>
        <v/>
      </c>
      <c r="H69" s="30" t="str">
        <f aca="false">IF(OR(Requests!$A69="",Requests!$AJ69=""),"",Requests!$AD69-Requests!$AJ69)</f>
        <v/>
      </c>
      <c r="I69" s="30" t="str">
        <f aca="false">IF(Requests!$A69="","",Requests!$AM69)</f>
        <v/>
      </c>
      <c r="J69" s="28" t="str">
        <f aca="false">IF(OR(Requests!$A69="",Requests!$AS69=""),"",Requests!$AS69)</f>
        <v/>
      </c>
      <c r="K69" s="28" t="str">
        <f aca="false">IF(OR(Requests!$A69="",Requests!$AU69=""),"",Requests!$AU69)</f>
        <v/>
      </c>
      <c r="L69" s="27" t="str">
        <f aca="false">IF(Requests!$A69="","",IF(AND(Requests!$AJ69&lt;&gt;"",Requests!$AS69&lt;&gt;"",Requests!$AU69&lt;&gt;""),"Yes","Open"))</f>
        <v/>
      </c>
    </row>
    <row r="70" customFormat="false" ht="15" hidden="false" customHeight="false" outlineLevel="0" collapsed="false">
      <c r="A70" s="22" t="str">
        <f aca="false">IF(Requests!$A70="","",Requests!$A70)</f>
        <v/>
      </c>
      <c r="B70" s="22" t="str">
        <f aca="false">IF(OR(Requests!$A70="",Requests!$P70=""),"",TEXT(Requests!$P70,"yyyy-mm"))</f>
        <v/>
      </c>
      <c r="C70" s="22" t="str">
        <f aca="false">IF(Requests!$A70="","",Requests!$C70)</f>
        <v/>
      </c>
      <c r="D70" s="22" t="str">
        <f aca="false">IF(Requests!$A70="","",Requests!$K70)</f>
        <v/>
      </c>
      <c r="E70" s="22" t="str">
        <f aca="false">IF(Requests!$A70="","",Requests!$B70)</f>
        <v/>
      </c>
      <c r="F70" s="25" t="str">
        <f aca="false">IF(Requests!$A70="","",Requests!$AD70)</f>
        <v/>
      </c>
      <c r="G70" s="25" t="str">
        <f aca="false">IF(Requests!$A70="","",Requests!$AJ70)</f>
        <v/>
      </c>
      <c r="H70" s="25" t="str">
        <f aca="false">IF(OR(Requests!$A70="",Requests!$AJ70=""),"",Requests!$AD70-Requests!$AJ70)</f>
        <v/>
      </c>
      <c r="I70" s="25" t="str">
        <f aca="false">IF(Requests!$A70="","",Requests!$AM70)</f>
        <v/>
      </c>
      <c r="J70" s="23" t="str">
        <f aca="false">IF(OR(Requests!$A70="",Requests!$AS70=""),"",Requests!$AS70)</f>
        <v/>
      </c>
      <c r="K70" s="23" t="str">
        <f aca="false">IF(OR(Requests!$A70="",Requests!$AU70=""),"",Requests!$AU70)</f>
        <v/>
      </c>
      <c r="L70" s="22" t="str">
        <f aca="false">IF(Requests!$A70="","",IF(AND(Requests!$AJ70&lt;&gt;"",Requests!$AS70&lt;&gt;"",Requests!$AU70&lt;&gt;""),"Yes","Open"))</f>
        <v/>
      </c>
    </row>
    <row r="71" customFormat="false" ht="15" hidden="false" customHeight="false" outlineLevel="0" collapsed="false">
      <c r="A71" s="27" t="str">
        <f aca="false">IF(Requests!$A71="","",Requests!$A71)</f>
        <v/>
      </c>
      <c r="B71" s="27" t="str">
        <f aca="false">IF(OR(Requests!$A71="",Requests!$P71=""),"",TEXT(Requests!$P71,"yyyy-mm"))</f>
        <v/>
      </c>
      <c r="C71" s="27" t="str">
        <f aca="false">IF(Requests!$A71="","",Requests!$C71)</f>
        <v/>
      </c>
      <c r="D71" s="27" t="str">
        <f aca="false">IF(Requests!$A71="","",Requests!$K71)</f>
        <v/>
      </c>
      <c r="E71" s="27" t="str">
        <f aca="false">IF(Requests!$A71="","",Requests!$B71)</f>
        <v/>
      </c>
      <c r="F71" s="30" t="str">
        <f aca="false">IF(Requests!$A71="","",Requests!$AD71)</f>
        <v/>
      </c>
      <c r="G71" s="30" t="str">
        <f aca="false">IF(Requests!$A71="","",Requests!$AJ71)</f>
        <v/>
      </c>
      <c r="H71" s="30" t="str">
        <f aca="false">IF(OR(Requests!$A71="",Requests!$AJ71=""),"",Requests!$AD71-Requests!$AJ71)</f>
        <v/>
      </c>
      <c r="I71" s="30" t="str">
        <f aca="false">IF(Requests!$A71="","",Requests!$AM71)</f>
        <v/>
      </c>
      <c r="J71" s="28" t="str">
        <f aca="false">IF(OR(Requests!$A71="",Requests!$AS71=""),"",Requests!$AS71)</f>
        <v/>
      </c>
      <c r="K71" s="28" t="str">
        <f aca="false">IF(OR(Requests!$A71="",Requests!$AU71=""),"",Requests!$AU71)</f>
        <v/>
      </c>
      <c r="L71" s="27" t="str">
        <f aca="false">IF(Requests!$A71="","",IF(AND(Requests!$AJ71&lt;&gt;"",Requests!$AS71&lt;&gt;"",Requests!$AU71&lt;&gt;""),"Yes","Open"))</f>
        <v/>
      </c>
    </row>
    <row r="72" customFormat="false" ht="15" hidden="false" customHeight="false" outlineLevel="0" collapsed="false">
      <c r="A72" s="22" t="str">
        <f aca="false">IF(Requests!$A72="","",Requests!$A72)</f>
        <v/>
      </c>
      <c r="B72" s="22" t="str">
        <f aca="false">IF(OR(Requests!$A72="",Requests!$P72=""),"",TEXT(Requests!$P72,"yyyy-mm"))</f>
        <v/>
      </c>
      <c r="C72" s="22" t="str">
        <f aca="false">IF(Requests!$A72="","",Requests!$C72)</f>
        <v/>
      </c>
      <c r="D72" s="22" t="str">
        <f aca="false">IF(Requests!$A72="","",Requests!$K72)</f>
        <v/>
      </c>
      <c r="E72" s="22" t="str">
        <f aca="false">IF(Requests!$A72="","",Requests!$B72)</f>
        <v/>
      </c>
      <c r="F72" s="25" t="str">
        <f aca="false">IF(Requests!$A72="","",Requests!$AD72)</f>
        <v/>
      </c>
      <c r="G72" s="25" t="str">
        <f aca="false">IF(Requests!$A72="","",Requests!$AJ72)</f>
        <v/>
      </c>
      <c r="H72" s="25" t="str">
        <f aca="false">IF(OR(Requests!$A72="",Requests!$AJ72=""),"",Requests!$AD72-Requests!$AJ72)</f>
        <v/>
      </c>
      <c r="I72" s="25" t="str">
        <f aca="false">IF(Requests!$A72="","",Requests!$AM72)</f>
        <v/>
      </c>
      <c r="J72" s="23" t="str">
        <f aca="false">IF(OR(Requests!$A72="",Requests!$AS72=""),"",Requests!$AS72)</f>
        <v/>
      </c>
      <c r="K72" s="23" t="str">
        <f aca="false">IF(OR(Requests!$A72="",Requests!$AU72=""),"",Requests!$AU72)</f>
        <v/>
      </c>
      <c r="L72" s="22" t="str">
        <f aca="false">IF(Requests!$A72="","",IF(AND(Requests!$AJ72&lt;&gt;"",Requests!$AS72&lt;&gt;"",Requests!$AU72&lt;&gt;""),"Yes","Open"))</f>
        <v/>
      </c>
    </row>
    <row r="73" customFormat="false" ht="15" hidden="false" customHeight="false" outlineLevel="0" collapsed="false">
      <c r="A73" s="27" t="str">
        <f aca="false">IF(Requests!$A73="","",Requests!$A73)</f>
        <v/>
      </c>
      <c r="B73" s="27" t="str">
        <f aca="false">IF(OR(Requests!$A73="",Requests!$P73=""),"",TEXT(Requests!$P73,"yyyy-mm"))</f>
        <v/>
      </c>
      <c r="C73" s="27" t="str">
        <f aca="false">IF(Requests!$A73="","",Requests!$C73)</f>
        <v/>
      </c>
      <c r="D73" s="27" t="str">
        <f aca="false">IF(Requests!$A73="","",Requests!$K73)</f>
        <v/>
      </c>
      <c r="E73" s="27" t="str">
        <f aca="false">IF(Requests!$A73="","",Requests!$B73)</f>
        <v/>
      </c>
      <c r="F73" s="30" t="str">
        <f aca="false">IF(Requests!$A73="","",Requests!$AD73)</f>
        <v/>
      </c>
      <c r="G73" s="30" t="str">
        <f aca="false">IF(Requests!$A73="","",Requests!$AJ73)</f>
        <v/>
      </c>
      <c r="H73" s="30" t="str">
        <f aca="false">IF(OR(Requests!$A73="",Requests!$AJ73=""),"",Requests!$AD73-Requests!$AJ73)</f>
        <v/>
      </c>
      <c r="I73" s="30" t="str">
        <f aca="false">IF(Requests!$A73="","",Requests!$AM73)</f>
        <v/>
      </c>
      <c r="J73" s="28" t="str">
        <f aca="false">IF(OR(Requests!$A73="",Requests!$AS73=""),"",Requests!$AS73)</f>
        <v/>
      </c>
      <c r="K73" s="28" t="str">
        <f aca="false">IF(OR(Requests!$A73="",Requests!$AU73=""),"",Requests!$AU73)</f>
        <v/>
      </c>
      <c r="L73" s="27" t="str">
        <f aca="false">IF(Requests!$A73="","",IF(AND(Requests!$AJ73&lt;&gt;"",Requests!$AS73&lt;&gt;"",Requests!$AU73&lt;&gt;""),"Yes","Open"))</f>
        <v/>
      </c>
    </row>
    <row r="74" customFormat="false" ht="15" hidden="false" customHeight="false" outlineLevel="0" collapsed="false">
      <c r="A74" s="22" t="str">
        <f aca="false">IF(Requests!$A74="","",Requests!$A74)</f>
        <v/>
      </c>
      <c r="B74" s="22" t="str">
        <f aca="false">IF(OR(Requests!$A74="",Requests!$P74=""),"",TEXT(Requests!$P74,"yyyy-mm"))</f>
        <v/>
      </c>
      <c r="C74" s="22" t="str">
        <f aca="false">IF(Requests!$A74="","",Requests!$C74)</f>
        <v/>
      </c>
      <c r="D74" s="22" t="str">
        <f aca="false">IF(Requests!$A74="","",Requests!$K74)</f>
        <v/>
      </c>
      <c r="E74" s="22" t="str">
        <f aca="false">IF(Requests!$A74="","",Requests!$B74)</f>
        <v/>
      </c>
      <c r="F74" s="25" t="str">
        <f aca="false">IF(Requests!$A74="","",Requests!$AD74)</f>
        <v/>
      </c>
      <c r="G74" s="25" t="str">
        <f aca="false">IF(Requests!$A74="","",Requests!$AJ74)</f>
        <v/>
      </c>
      <c r="H74" s="25" t="str">
        <f aca="false">IF(OR(Requests!$A74="",Requests!$AJ74=""),"",Requests!$AD74-Requests!$AJ74)</f>
        <v/>
      </c>
      <c r="I74" s="25" t="str">
        <f aca="false">IF(Requests!$A74="","",Requests!$AM74)</f>
        <v/>
      </c>
      <c r="J74" s="23" t="str">
        <f aca="false">IF(OR(Requests!$A74="",Requests!$AS74=""),"",Requests!$AS74)</f>
        <v/>
      </c>
      <c r="K74" s="23" t="str">
        <f aca="false">IF(OR(Requests!$A74="",Requests!$AU74=""),"",Requests!$AU74)</f>
        <v/>
      </c>
      <c r="L74" s="22" t="str">
        <f aca="false">IF(Requests!$A74="","",IF(AND(Requests!$AJ74&lt;&gt;"",Requests!$AS74&lt;&gt;"",Requests!$AU74&lt;&gt;""),"Yes","Open"))</f>
        <v/>
      </c>
    </row>
    <row r="75" customFormat="false" ht="15" hidden="false" customHeight="false" outlineLevel="0" collapsed="false">
      <c r="A75" s="27" t="str">
        <f aca="false">IF(Requests!$A75="","",Requests!$A75)</f>
        <v/>
      </c>
      <c r="B75" s="27" t="str">
        <f aca="false">IF(OR(Requests!$A75="",Requests!$P75=""),"",TEXT(Requests!$P75,"yyyy-mm"))</f>
        <v/>
      </c>
      <c r="C75" s="27" t="str">
        <f aca="false">IF(Requests!$A75="","",Requests!$C75)</f>
        <v/>
      </c>
      <c r="D75" s="27" t="str">
        <f aca="false">IF(Requests!$A75="","",Requests!$K75)</f>
        <v/>
      </c>
      <c r="E75" s="27" t="str">
        <f aca="false">IF(Requests!$A75="","",Requests!$B75)</f>
        <v/>
      </c>
      <c r="F75" s="30" t="str">
        <f aca="false">IF(Requests!$A75="","",Requests!$AD75)</f>
        <v/>
      </c>
      <c r="G75" s="30" t="str">
        <f aca="false">IF(Requests!$A75="","",Requests!$AJ75)</f>
        <v/>
      </c>
      <c r="H75" s="30" t="str">
        <f aca="false">IF(OR(Requests!$A75="",Requests!$AJ75=""),"",Requests!$AD75-Requests!$AJ75)</f>
        <v/>
      </c>
      <c r="I75" s="30" t="str">
        <f aca="false">IF(Requests!$A75="","",Requests!$AM75)</f>
        <v/>
      </c>
      <c r="J75" s="28" t="str">
        <f aca="false">IF(OR(Requests!$A75="",Requests!$AS75=""),"",Requests!$AS75)</f>
        <v/>
      </c>
      <c r="K75" s="28" t="str">
        <f aca="false">IF(OR(Requests!$A75="",Requests!$AU75=""),"",Requests!$AU75)</f>
        <v/>
      </c>
      <c r="L75" s="27" t="str">
        <f aca="false">IF(Requests!$A75="","",IF(AND(Requests!$AJ75&lt;&gt;"",Requests!$AS75&lt;&gt;"",Requests!$AU75&lt;&gt;""),"Yes","Open"))</f>
        <v/>
      </c>
    </row>
    <row r="76" customFormat="false" ht="15" hidden="false" customHeight="false" outlineLevel="0" collapsed="false">
      <c r="A76" s="22" t="str">
        <f aca="false">IF(Requests!$A76="","",Requests!$A76)</f>
        <v/>
      </c>
      <c r="B76" s="22" t="str">
        <f aca="false">IF(OR(Requests!$A76="",Requests!$P76=""),"",TEXT(Requests!$P76,"yyyy-mm"))</f>
        <v/>
      </c>
      <c r="C76" s="22" t="str">
        <f aca="false">IF(Requests!$A76="","",Requests!$C76)</f>
        <v/>
      </c>
      <c r="D76" s="22" t="str">
        <f aca="false">IF(Requests!$A76="","",Requests!$K76)</f>
        <v/>
      </c>
      <c r="E76" s="22" t="str">
        <f aca="false">IF(Requests!$A76="","",Requests!$B76)</f>
        <v/>
      </c>
      <c r="F76" s="25" t="str">
        <f aca="false">IF(Requests!$A76="","",Requests!$AD76)</f>
        <v/>
      </c>
      <c r="G76" s="25" t="str">
        <f aca="false">IF(Requests!$A76="","",Requests!$AJ76)</f>
        <v/>
      </c>
      <c r="H76" s="25" t="str">
        <f aca="false">IF(OR(Requests!$A76="",Requests!$AJ76=""),"",Requests!$AD76-Requests!$AJ76)</f>
        <v/>
      </c>
      <c r="I76" s="25" t="str">
        <f aca="false">IF(Requests!$A76="","",Requests!$AM76)</f>
        <v/>
      </c>
      <c r="J76" s="23" t="str">
        <f aca="false">IF(OR(Requests!$A76="",Requests!$AS76=""),"",Requests!$AS76)</f>
        <v/>
      </c>
      <c r="K76" s="23" t="str">
        <f aca="false">IF(OR(Requests!$A76="",Requests!$AU76=""),"",Requests!$AU76)</f>
        <v/>
      </c>
      <c r="L76" s="22" t="str">
        <f aca="false">IF(Requests!$A76="","",IF(AND(Requests!$AJ76&lt;&gt;"",Requests!$AS76&lt;&gt;"",Requests!$AU76&lt;&gt;""),"Yes","Open"))</f>
        <v/>
      </c>
    </row>
    <row r="77" customFormat="false" ht="15" hidden="false" customHeight="false" outlineLevel="0" collapsed="false">
      <c r="A77" s="27" t="str">
        <f aca="false">IF(Requests!$A77="","",Requests!$A77)</f>
        <v/>
      </c>
      <c r="B77" s="27" t="str">
        <f aca="false">IF(OR(Requests!$A77="",Requests!$P77=""),"",TEXT(Requests!$P77,"yyyy-mm"))</f>
        <v/>
      </c>
      <c r="C77" s="27" t="str">
        <f aca="false">IF(Requests!$A77="","",Requests!$C77)</f>
        <v/>
      </c>
      <c r="D77" s="27" t="str">
        <f aca="false">IF(Requests!$A77="","",Requests!$K77)</f>
        <v/>
      </c>
      <c r="E77" s="27" t="str">
        <f aca="false">IF(Requests!$A77="","",Requests!$B77)</f>
        <v/>
      </c>
      <c r="F77" s="30" t="str">
        <f aca="false">IF(Requests!$A77="","",Requests!$AD77)</f>
        <v/>
      </c>
      <c r="G77" s="30" t="str">
        <f aca="false">IF(Requests!$A77="","",Requests!$AJ77)</f>
        <v/>
      </c>
      <c r="H77" s="30" t="str">
        <f aca="false">IF(OR(Requests!$A77="",Requests!$AJ77=""),"",Requests!$AD77-Requests!$AJ77)</f>
        <v/>
      </c>
      <c r="I77" s="30" t="str">
        <f aca="false">IF(Requests!$A77="","",Requests!$AM77)</f>
        <v/>
      </c>
      <c r="J77" s="28" t="str">
        <f aca="false">IF(OR(Requests!$A77="",Requests!$AS77=""),"",Requests!$AS77)</f>
        <v/>
      </c>
      <c r="K77" s="28" t="str">
        <f aca="false">IF(OR(Requests!$A77="",Requests!$AU77=""),"",Requests!$AU77)</f>
        <v/>
      </c>
      <c r="L77" s="27" t="str">
        <f aca="false">IF(Requests!$A77="","",IF(AND(Requests!$AJ77&lt;&gt;"",Requests!$AS77&lt;&gt;"",Requests!$AU77&lt;&gt;""),"Yes","Open"))</f>
        <v/>
      </c>
    </row>
    <row r="78" customFormat="false" ht="15" hidden="false" customHeight="false" outlineLevel="0" collapsed="false">
      <c r="A78" s="22" t="str">
        <f aca="false">IF(Requests!$A78="","",Requests!$A78)</f>
        <v/>
      </c>
      <c r="B78" s="22" t="str">
        <f aca="false">IF(OR(Requests!$A78="",Requests!$P78=""),"",TEXT(Requests!$P78,"yyyy-mm"))</f>
        <v/>
      </c>
      <c r="C78" s="22" t="str">
        <f aca="false">IF(Requests!$A78="","",Requests!$C78)</f>
        <v/>
      </c>
      <c r="D78" s="22" t="str">
        <f aca="false">IF(Requests!$A78="","",Requests!$K78)</f>
        <v/>
      </c>
      <c r="E78" s="22" t="str">
        <f aca="false">IF(Requests!$A78="","",Requests!$B78)</f>
        <v/>
      </c>
      <c r="F78" s="25" t="str">
        <f aca="false">IF(Requests!$A78="","",Requests!$AD78)</f>
        <v/>
      </c>
      <c r="G78" s="25" t="str">
        <f aca="false">IF(Requests!$A78="","",Requests!$AJ78)</f>
        <v/>
      </c>
      <c r="H78" s="25" t="str">
        <f aca="false">IF(OR(Requests!$A78="",Requests!$AJ78=""),"",Requests!$AD78-Requests!$AJ78)</f>
        <v/>
      </c>
      <c r="I78" s="25" t="str">
        <f aca="false">IF(Requests!$A78="","",Requests!$AM78)</f>
        <v/>
      </c>
      <c r="J78" s="23" t="str">
        <f aca="false">IF(OR(Requests!$A78="",Requests!$AS78=""),"",Requests!$AS78)</f>
        <v/>
      </c>
      <c r="K78" s="23" t="str">
        <f aca="false">IF(OR(Requests!$A78="",Requests!$AU78=""),"",Requests!$AU78)</f>
        <v/>
      </c>
      <c r="L78" s="22" t="str">
        <f aca="false">IF(Requests!$A78="","",IF(AND(Requests!$AJ78&lt;&gt;"",Requests!$AS78&lt;&gt;"",Requests!$AU78&lt;&gt;""),"Yes","Open"))</f>
        <v/>
      </c>
    </row>
    <row r="79" customFormat="false" ht="15" hidden="false" customHeight="false" outlineLevel="0" collapsed="false">
      <c r="A79" s="27" t="str">
        <f aca="false">IF(Requests!$A79="","",Requests!$A79)</f>
        <v/>
      </c>
      <c r="B79" s="27" t="str">
        <f aca="false">IF(OR(Requests!$A79="",Requests!$P79=""),"",TEXT(Requests!$P79,"yyyy-mm"))</f>
        <v/>
      </c>
      <c r="C79" s="27" t="str">
        <f aca="false">IF(Requests!$A79="","",Requests!$C79)</f>
        <v/>
      </c>
      <c r="D79" s="27" t="str">
        <f aca="false">IF(Requests!$A79="","",Requests!$K79)</f>
        <v/>
      </c>
      <c r="E79" s="27" t="str">
        <f aca="false">IF(Requests!$A79="","",Requests!$B79)</f>
        <v/>
      </c>
      <c r="F79" s="30" t="str">
        <f aca="false">IF(Requests!$A79="","",Requests!$AD79)</f>
        <v/>
      </c>
      <c r="G79" s="30" t="str">
        <f aca="false">IF(Requests!$A79="","",Requests!$AJ79)</f>
        <v/>
      </c>
      <c r="H79" s="30" t="str">
        <f aca="false">IF(OR(Requests!$A79="",Requests!$AJ79=""),"",Requests!$AD79-Requests!$AJ79)</f>
        <v/>
      </c>
      <c r="I79" s="30" t="str">
        <f aca="false">IF(Requests!$A79="","",Requests!$AM79)</f>
        <v/>
      </c>
      <c r="J79" s="28" t="str">
        <f aca="false">IF(OR(Requests!$A79="",Requests!$AS79=""),"",Requests!$AS79)</f>
        <v/>
      </c>
      <c r="K79" s="28" t="str">
        <f aca="false">IF(OR(Requests!$A79="",Requests!$AU79=""),"",Requests!$AU79)</f>
        <v/>
      </c>
      <c r="L79" s="27" t="str">
        <f aca="false">IF(Requests!$A79="","",IF(AND(Requests!$AJ79&lt;&gt;"",Requests!$AS79&lt;&gt;"",Requests!$AU79&lt;&gt;""),"Yes","Open"))</f>
        <v/>
      </c>
    </row>
    <row r="80" customFormat="false" ht="15" hidden="false" customHeight="false" outlineLevel="0" collapsed="false">
      <c r="A80" s="22" t="str">
        <f aca="false">IF(Requests!$A80="","",Requests!$A80)</f>
        <v/>
      </c>
      <c r="B80" s="22" t="str">
        <f aca="false">IF(OR(Requests!$A80="",Requests!$P80=""),"",TEXT(Requests!$P80,"yyyy-mm"))</f>
        <v/>
      </c>
      <c r="C80" s="22" t="str">
        <f aca="false">IF(Requests!$A80="","",Requests!$C80)</f>
        <v/>
      </c>
      <c r="D80" s="22" t="str">
        <f aca="false">IF(Requests!$A80="","",Requests!$K80)</f>
        <v/>
      </c>
      <c r="E80" s="22" t="str">
        <f aca="false">IF(Requests!$A80="","",Requests!$B80)</f>
        <v/>
      </c>
      <c r="F80" s="25" t="str">
        <f aca="false">IF(Requests!$A80="","",Requests!$AD80)</f>
        <v/>
      </c>
      <c r="G80" s="25" t="str">
        <f aca="false">IF(Requests!$A80="","",Requests!$AJ80)</f>
        <v/>
      </c>
      <c r="H80" s="25" t="str">
        <f aca="false">IF(OR(Requests!$A80="",Requests!$AJ80=""),"",Requests!$AD80-Requests!$AJ80)</f>
        <v/>
      </c>
      <c r="I80" s="25" t="str">
        <f aca="false">IF(Requests!$A80="","",Requests!$AM80)</f>
        <v/>
      </c>
      <c r="J80" s="23" t="str">
        <f aca="false">IF(OR(Requests!$A80="",Requests!$AS80=""),"",Requests!$AS80)</f>
        <v/>
      </c>
      <c r="K80" s="23" t="str">
        <f aca="false">IF(OR(Requests!$A80="",Requests!$AU80=""),"",Requests!$AU80)</f>
        <v/>
      </c>
      <c r="L80" s="22" t="str">
        <f aca="false">IF(Requests!$A80="","",IF(AND(Requests!$AJ80&lt;&gt;"",Requests!$AS80&lt;&gt;"",Requests!$AU80&lt;&gt;""),"Yes","Open"))</f>
        <v/>
      </c>
    </row>
    <row r="81" customFormat="false" ht="15" hidden="false" customHeight="false" outlineLevel="0" collapsed="false">
      <c r="A81" s="27" t="str">
        <f aca="false">IF(Requests!$A81="","",Requests!$A81)</f>
        <v/>
      </c>
      <c r="B81" s="27" t="str">
        <f aca="false">IF(OR(Requests!$A81="",Requests!$P81=""),"",TEXT(Requests!$P81,"yyyy-mm"))</f>
        <v/>
      </c>
      <c r="C81" s="27" t="str">
        <f aca="false">IF(Requests!$A81="","",Requests!$C81)</f>
        <v/>
      </c>
      <c r="D81" s="27" t="str">
        <f aca="false">IF(Requests!$A81="","",Requests!$K81)</f>
        <v/>
      </c>
      <c r="E81" s="27" t="str">
        <f aca="false">IF(Requests!$A81="","",Requests!$B81)</f>
        <v/>
      </c>
      <c r="F81" s="30" t="str">
        <f aca="false">IF(Requests!$A81="","",Requests!$AD81)</f>
        <v/>
      </c>
      <c r="G81" s="30" t="str">
        <f aca="false">IF(Requests!$A81="","",Requests!$AJ81)</f>
        <v/>
      </c>
      <c r="H81" s="30" t="str">
        <f aca="false">IF(OR(Requests!$A81="",Requests!$AJ81=""),"",Requests!$AD81-Requests!$AJ81)</f>
        <v/>
      </c>
      <c r="I81" s="30" t="str">
        <f aca="false">IF(Requests!$A81="","",Requests!$AM81)</f>
        <v/>
      </c>
      <c r="J81" s="28" t="str">
        <f aca="false">IF(OR(Requests!$A81="",Requests!$AS81=""),"",Requests!$AS81)</f>
        <v/>
      </c>
      <c r="K81" s="28" t="str">
        <f aca="false">IF(OR(Requests!$A81="",Requests!$AU81=""),"",Requests!$AU81)</f>
        <v/>
      </c>
      <c r="L81" s="27" t="str">
        <f aca="false">IF(Requests!$A81="","",IF(AND(Requests!$AJ81&lt;&gt;"",Requests!$AS81&lt;&gt;"",Requests!$AU81&lt;&gt;""),"Yes","Open"))</f>
        <v/>
      </c>
    </row>
    <row r="82" customFormat="false" ht="15" hidden="false" customHeight="false" outlineLevel="0" collapsed="false">
      <c r="A82" s="22" t="str">
        <f aca="false">IF(Requests!$A82="","",Requests!$A82)</f>
        <v/>
      </c>
      <c r="B82" s="22" t="str">
        <f aca="false">IF(OR(Requests!$A82="",Requests!$P82=""),"",TEXT(Requests!$P82,"yyyy-mm"))</f>
        <v/>
      </c>
      <c r="C82" s="22" t="str">
        <f aca="false">IF(Requests!$A82="","",Requests!$C82)</f>
        <v/>
      </c>
      <c r="D82" s="22" t="str">
        <f aca="false">IF(Requests!$A82="","",Requests!$K82)</f>
        <v/>
      </c>
      <c r="E82" s="22" t="str">
        <f aca="false">IF(Requests!$A82="","",Requests!$B82)</f>
        <v/>
      </c>
      <c r="F82" s="25" t="str">
        <f aca="false">IF(Requests!$A82="","",Requests!$AD82)</f>
        <v/>
      </c>
      <c r="G82" s="25" t="str">
        <f aca="false">IF(Requests!$A82="","",Requests!$AJ82)</f>
        <v/>
      </c>
      <c r="H82" s="25" t="str">
        <f aca="false">IF(OR(Requests!$A82="",Requests!$AJ82=""),"",Requests!$AD82-Requests!$AJ82)</f>
        <v/>
      </c>
      <c r="I82" s="25" t="str">
        <f aca="false">IF(Requests!$A82="","",Requests!$AM82)</f>
        <v/>
      </c>
      <c r="J82" s="23" t="str">
        <f aca="false">IF(OR(Requests!$A82="",Requests!$AS82=""),"",Requests!$AS82)</f>
        <v/>
      </c>
      <c r="K82" s="23" t="str">
        <f aca="false">IF(OR(Requests!$A82="",Requests!$AU82=""),"",Requests!$AU82)</f>
        <v/>
      </c>
      <c r="L82" s="22" t="str">
        <f aca="false">IF(Requests!$A82="","",IF(AND(Requests!$AJ82&lt;&gt;"",Requests!$AS82&lt;&gt;"",Requests!$AU82&lt;&gt;""),"Yes","Open"))</f>
        <v/>
      </c>
    </row>
    <row r="83" customFormat="false" ht="15" hidden="false" customHeight="false" outlineLevel="0" collapsed="false">
      <c r="A83" s="27" t="str">
        <f aca="false">IF(Requests!$A83="","",Requests!$A83)</f>
        <v/>
      </c>
      <c r="B83" s="27" t="str">
        <f aca="false">IF(OR(Requests!$A83="",Requests!$P83=""),"",TEXT(Requests!$P83,"yyyy-mm"))</f>
        <v/>
      </c>
      <c r="C83" s="27" t="str">
        <f aca="false">IF(Requests!$A83="","",Requests!$C83)</f>
        <v/>
      </c>
      <c r="D83" s="27" t="str">
        <f aca="false">IF(Requests!$A83="","",Requests!$K83)</f>
        <v/>
      </c>
      <c r="E83" s="27" t="str">
        <f aca="false">IF(Requests!$A83="","",Requests!$B83)</f>
        <v/>
      </c>
      <c r="F83" s="30" t="str">
        <f aca="false">IF(Requests!$A83="","",Requests!$AD83)</f>
        <v/>
      </c>
      <c r="G83" s="30" t="str">
        <f aca="false">IF(Requests!$A83="","",Requests!$AJ83)</f>
        <v/>
      </c>
      <c r="H83" s="30" t="str">
        <f aca="false">IF(OR(Requests!$A83="",Requests!$AJ83=""),"",Requests!$AD83-Requests!$AJ83)</f>
        <v/>
      </c>
      <c r="I83" s="30" t="str">
        <f aca="false">IF(Requests!$A83="","",Requests!$AM83)</f>
        <v/>
      </c>
      <c r="J83" s="28" t="str">
        <f aca="false">IF(OR(Requests!$A83="",Requests!$AS83=""),"",Requests!$AS83)</f>
        <v/>
      </c>
      <c r="K83" s="28" t="str">
        <f aca="false">IF(OR(Requests!$A83="",Requests!$AU83=""),"",Requests!$AU83)</f>
        <v/>
      </c>
      <c r="L83" s="27" t="str">
        <f aca="false">IF(Requests!$A83="","",IF(AND(Requests!$AJ83&lt;&gt;"",Requests!$AS83&lt;&gt;"",Requests!$AU83&lt;&gt;""),"Yes","Open"))</f>
        <v/>
      </c>
    </row>
    <row r="84" customFormat="false" ht="15" hidden="false" customHeight="false" outlineLevel="0" collapsed="false">
      <c r="A84" s="22" t="str">
        <f aca="false">IF(Requests!$A84="","",Requests!$A84)</f>
        <v/>
      </c>
      <c r="B84" s="22" t="str">
        <f aca="false">IF(OR(Requests!$A84="",Requests!$P84=""),"",TEXT(Requests!$P84,"yyyy-mm"))</f>
        <v/>
      </c>
      <c r="C84" s="22" t="str">
        <f aca="false">IF(Requests!$A84="","",Requests!$C84)</f>
        <v/>
      </c>
      <c r="D84" s="22" t="str">
        <f aca="false">IF(Requests!$A84="","",Requests!$K84)</f>
        <v/>
      </c>
      <c r="E84" s="22" t="str">
        <f aca="false">IF(Requests!$A84="","",Requests!$B84)</f>
        <v/>
      </c>
      <c r="F84" s="25" t="str">
        <f aca="false">IF(Requests!$A84="","",Requests!$AD84)</f>
        <v/>
      </c>
      <c r="G84" s="25" t="str">
        <f aca="false">IF(Requests!$A84="","",Requests!$AJ84)</f>
        <v/>
      </c>
      <c r="H84" s="25" t="str">
        <f aca="false">IF(OR(Requests!$A84="",Requests!$AJ84=""),"",Requests!$AD84-Requests!$AJ84)</f>
        <v/>
      </c>
      <c r="I84" s="25" t="str">
        <f aca="false">IF(Requests!$A84="","",Requests!$AM84)</f>
        <v/>
      </c>
      <c r="J84" s="23" t="str">
        <f aca="false">IF(OR(Requests!$A84="",Requests!$AS84=""),"",Requests!$AS84)</f>
        <v/>
      </c>
      <c r="K84" s="23" t="str">
        <f aca="false">IF(OR(Requests!$A84="",Requests!$AU84=""),"",Requests!$AU84)</f>
        <v/>
      </c>
      <c r="L84" s="22" t="str">
        <f aca="false">IF(Requests!$A84="","",IF(AND(Requests!$AJ84&lt;&gt;"",Requests!$AS84&lt;&gt;"",Requests!$AU84&lt;&gt;""),"Yes","Open"))</f>
        <v/>
      </c>
    </row>
    <row r="85" customFormat="false" ht="15" hidden="false" customHeight="false" outlineLevel="0" collapsed="false">
      <c r="A85" s="27" t="str">
        <f aca="false">IF(Requests!$A85="","",Requests!$A85)</f>
        <v/>
      </c>
      <c r="B85" s="27" t="str">
        <f aca="false">IF(OR(Requests!$A85="",Requests!$P85=""),"",TEXT(Requests!$P85,"yyyy-mm"))</f>
        <v/>
      </c>
      <c r="C85" s="27" t="str">
        <f aca="false">IF(Requests!$A85="","",Requests!$C85)</f>
        <v/>
      </c>
      <c r="D85" s="27" t="str">
        <f aca="false">IF(Requests!$A85="","",Requests!$K85)</f>
        <v/>
      </c>
      <c r="E85" s="27" t="str">
        <f aca="false">IF(Requests!$A85="","",Requests!$B85)</f>
        <v/>
      </c>
      <c r="F85" s="30" t="str">
        <f aca="false">IF(Requests!$A85="","",Requests!$AD85)</f>
        <v/>
      </c>
      <c r="G85" s="30" t="str">
        <f aca="false">IF(Requests!$A85="","",Requests!$AJ85)</f>
        <v/>
      </c>
      <c r="H85" s="30" t="str">
        <f aca="false">IF(OR(Requests!$A85="",Requests!$AJ85=""),"",Requests!$AD85-Requests!$AJ85)</f>
        <v/>
      </c>
      <c r="I85" s="30" t="str">
        <f aca="false">IF(Requests!$A85="","",Requests!$AM85)</f>
        <v/>
      </c>
      <c r="J85" s="28" t="str">
        <f aca="false">IF(OR(Requests!$A85="",Requests!$AS85=""),"",Requests!$AS85)</f>
        <v/>
      </c>
      <c r="K85" s="28" t="str">
        <f aca="false">IF(OR(Requests!$A85="",Requests!$AU85=""),"",Requests!$AU85)</f>
        <v/>
      </c>
      <c r="L85" s="27" t="str">
        <f aca="false">IF(Requests!$A85="","",IF(AND(Requests!$AJ85&lt;&gt;"",Requests!$AS85&lt;&gt;"",Requests!$AU85&lt;&gt;""),"Yes","Open"))</f>
        <v/>
      </c>
    </row>
    <row r="86" customFormat="false" ht="15" hidden="false" customHeight="false" outlineLevel="0" collapsed="false">
      <c r="A86" s="22" t="str">
        <f aca="false">IF(Requests!$A86="","",Requests!$A86)</f>
        <v/>
      </c>
      <c r="B86" s="22" t="str">
        <f aca="false">IF(OR(Requests!$A86="",Requests!$P86=""),"",TEXT(Requests!$P86,"yyyy-mm"))</f>
        <v/>
      </c>
      <c r="C86" s="22" t="str">
        <f aca="false">IF(Requests!$A86="","",Requests!$C86)</f>
        <v/>
      </c>
      <c r="D86" s="22" t="str">
        <f aca="false">IF(Requests!$A86="","",Requests!$K86)</f>
        <v/>
      </c>
      <c r="E86" s="22" t="str">
        <f aca="false">IF(Requests!$A86="","",Requests!$B86)</f>
        <v/>
      </c>
      <c r="F86" s="25" t="str">
        <f aca="false">IF(Requests!$A86="","",Requests!$AD86)</f>
        <v/>
      </c>
      <c r="G86" s="25" t="str">
        <f aca="false">IF(Requests!$A86="","",Requests!$AJ86)</f>
        <v/>
      </c>
      <c r="H86" s="25" t="str">
        <f aca="false">IF(OR(Requests!$A86="",Requests!$AJ86=""),"",Requests!$AD86-Requests!$AJ86)</f>
        <v/>
      </c>
      <c r="I86" s="25" t="str">
        <f aca="false">IF(Requests!$A86="","",Requests!$AM86)</f>
        <v/>
      </c>
      <c r="J86" s="23" t="str">
        <f aca="false">IF(OR(Requests!$A86="",Requests!$AS86=""),"",Requests!$AS86)</f>
        <v/>
      </c>
      <c r="K86" s="23" t="str">
        <f aca="false">IF(OR(Requests!$A86="",Requests!$AU86=""),"",Requests!$AU86)</f>
        <v/>
      </c>
      <c r="L86" s="22" t="str">
        <f aca="false">IF(Requests!$A86="","",IF(AND(Requests!$AJ86&lt;&gt;"",Requests!$AS86&lt;&gt;"",Requests!$AU86&lt;&gt;""),"Yes","Open"))</f>
        <v/>
      </c>
    </row>
    <row r="87" customFormat="false" ht="15" hidden="false" customHeight="false" outlineLevel="0" collapsed="false">
      <c r="A87" s="27" t="str">
        <f aca="false">IF(Requests!$A87="","",Requests!$A87)</f>
        <v/>
      </c>
      <c r="B87" s="27" t="str">
        <f aca="false">IF(OR(Requests!$A87="",Requests!$P87=""),"",TEXT(Requests!$P87,"yyyy-mm"))</f>
        <v/>
      </c>
      <c r="C87" s="27" t="str">
        <f aca="false">IF(Requests!$A87="","",Requests!$C87)</f>
        <v/>
      </c>
      <c r="D87" s="27" t="str">
        <f aca="false">IF(Requests!$A87="","",Requests!$K87)</f>
        <v/>
      </c>
      <c r="E87" s="27" t="str">
        <f aca="false">IF(Requests!$A87="","",Requests!$B87)</f>
        <v/>
      </c>
      <c r="F87" s="30" t="str">
        <f aca="false">IF(Requests!$A87="","",Requests!$AD87)</f>
        <v/>
      </c>
      <c r="G87" s="30" t="str">
        <f aca="false">IF(Requests!$A87="","",Requests!$AJ87)</f>
        <v/>
      </c>
      <c r="H87" s="30" t="str">
        <f aca="false">IF(OR(Requests!$A87="",Requests!$AJ87=""),"",Requests!$AD87-Requests!$AJ87)</f>
        <v/>
      </c>
      <c r="I87" s="30" t="str">
        <f aca="false">IF(Requests!$A87="","",Requests!$AM87)</f>
        <v/>
      </c>
      <c r="J87" s="28" t="str">
        <f aca="false">IF(OR(Requests!$A87="",Requests!$AS87=""),"",Requests!$AS87)</f>
        <v/>
      </c>
      <c r="K87" s="28" t="str">
        <f aca="false">IF(OR(Requests!$A87="",Requests!$AU87=""),"",Requests!$AU87)</f>
        <v/>
      </c>
      <c r="L87" s="27" t="str">
        <f aca="false">IF(Requests!$A87="","",IF(AND(Requests!$AJ87&lt;&gt;"",Requests!$AS87&lt;&gt;"",Requests!$AU87&lt;&gt;""),"Yes","Open"))</f>
        <v/>
      </c>
    </row>
    <row r="88" customFormat="false" ht="15" hidden="false" customHeight="false" outlineLevel="0" collapsed="false">
      <c r="A88" s="22" t="str">
        <f aca="false">IF(Requests!$A88="","",Requests!$A88)</f>
        <v/>
      </c>
      <c r="B88" s="22" t="str">
        <f aca="false">IF(OR(Requests!$A88="",Requests!$P88=""),"",TEXT(Requests!$P88,"yyyy-mm"))</f>
        <v/>
      </c>
      <c r="C88" s="22" t="str">
        <f aca="false">IF(Requests!$A88="","",Requests!$C88)</f>
        <v/>
      </c>
      <c r="D88" s="22" t="str">
        <f aca="false">IF(Requests!$A88="","",Requests!$K88)</f>
        <v/>
      </c>
      <c r="E88" s="22" t="str">
        <f aca="false">IF(Requests!$A88="","",Requests!$B88)</f>
        <v/>
      </c>
      <c r="F88" s="25" t="str">
        <f aca="false">IF(Requests!$A88="","",Requests!$AD88)</f>
        <v/>
      </c>
      <c r="G88" s="25" t="str">
        <f aca="false">IF(Requests!$A88="","",Requests!$AJ88)</f>
        <v/>
      </c>
      <c r="H88" s="25" t="str">
        <f aca="false">IF(OR(Requests!$A88="",Requests!$AJ88=""),"",Requests!$AD88-Requests!$AJ88)</f>
        <v/>
      </c>
      <c r="I88" s="25" t="str">
        <f aca="false">IF(Requests!$A88="","",Requests!$AM88)</f>
        <v/>
      </c>
      <c r="J88" s="23" t="str">
        <f aca="false">IF(OR(Requests!$A88="",Requests!$AS88=""),"",Requests!$AS88)</f>
        <v/>
      </c>
      <c r="K88" s="23" t="str">
        <f aca="false">IF(OR(Requests!$A88="",Requests!$AU88=""),"",Requests!$AU88)</f>
        <v/>
      </c>
      <c r="L88" s="22" t="str">
        <f aca="false">IF(Requests!$A88="","",IF(AND(Requests!$AJ88&lt;&gt;"",Requests!$AS88&lt;&gt;"",Requests!$AU88&lt;&gt;""),"Yes","Open"))</f>
        <v/>
      </c>
    </row>
    <row r="89" customFormat="false" ht="15" hidden="false" customHeight="false" outlineLevel="0" collapsed="false">
      <c r="A89" s="27" t="str">
        <f aca="false">IF(Requests!$A89="","",Requests!$A89)</f>
        <v/>
      </c>
      <c r="B89" s="27" t="str">
        <f aca="false">IF(OR(Requests!$A89="",Requests!$P89=""),"",TEXT(Requests!$P89,"yyyy-mm"))</f>
        <v/>
      </c>
      <c r="C89" s="27" t="str">
        <f aca="false">IF(Requests!$A89="","",Requests!$C89)</f>
        <v/>
      </c>
      <c r="D89" s="27" t="str">
        <f aca="false">IF(Requests!$A89="","",Requests!$K89)</f>
        <v/>
      </c>
      <c r="E89" s="27" t="str">
        <f aca="false">IF(Requests!$A89="","",Requests!$B89)</f>
        <v/>
      </c>
      <c r="F89" s="30" t="str">
        <f aca="false">IF(Requests!$A89="","",Requests!$AD89)</f>
        <v/>
      </c>
      <c r="G89" s="30" t="str">
        <f aca="false">IF(Requests!$A89="","",Requests!$AJ89)</f>
        <v/>
      </c>
      <c r="H89" s="30" t="str">
        <f aca="false">IF(OR(Requests!$A89="",Requests!$AJ89=""),"",Requests!$AD89-Requests!$AJ89)</f>
        <v/>
      </c>
      <c r="I89" s="30" t="str">
        <f aca="false">IF(Requests!$A89="","",Requests!$AM89)</f>
        <v/>
      </c>
      <c r="J89" s="28" t="str">
        <f aca="false">IF(OR(Requests!$A89="",Requests!$AS89=""),"",Requests!$AS89)</f>
        <v/>
      </c>
      <c r="K89" s="28" t="str">
        <f aca="false">IF(OR(Requests!$A89="",Requests!$AU89=""),"",Requests!$AU89)</f>
        <v/>
      </c>
      <c r="L89" s="27" t="str">
        <f aca="false">IF(Requests!$A89="","",IF(AND(Requests!$AJ89&lt;&gt;"",Requests!$AS89&lt;&gt;"",Requests!$AU89&lt;&gt;""),"Yes","Open"))</f>
        <v/>
      </c>
    </row>
    <row r="90" customFormat="false" ht="15" hidden="false" customHeight="false" outlineLevel="0" collapsed="false">
      <c r="A90" s="22" t="str">
        <f aca="false">IF(Requests!$A90="","",Requests!$A90)</f>
        <v/>
      </c>
      <c r="B90" s="22" t="str">
        <f aca="false">IF(OR(Requests!$A90="",Requests!$P90=""),"",TEXT(Requests!$P90,"yyyy-mm"))</f>
        <v/>
      </c>
      <c r="C90" s="22" t="str">
        <f aca="false">IF(Requests!$A90="","",Requests!$C90)</f>
        <v/>
      </c>
      <c r="D90" s="22" t="str">
        <f aca="false">IF(Requests!$A90="","",Requests!$K90)</f>
        <v/>
      </c>
      <c r="E90" s="22" t="str">
        <f aca="false">IF(Requests!$A90="","",Requests!$B90)</f>
        <v/>
      </c>
      <c r="F90" s="25" t="str">
        <f aca="false">IF(Requests!$A90="","",Requests!$AD90)</f>
        <v/>
      </c>
      <c r="G90" s="25" t="str">
        <f aca="false">IF(Requests!$A90="","",Requests!$AJ90)</f>
        <v/>
      </c>
      <c r="H90" s="25" t="str">
        <f aca="false">IF(OR(Requests!$A90="",Requests!$AJ90=""),"",Requests!$AD90-Requests!$AJ90)</f>
        <v/>
      </c>
      <c r="I90" s="25" t="str">
        <f aca="false">IF(Requests!$A90="","",Requests!$AM90)</f>
        <v/>
      </c>
      <c r="J90" s="23" t="str">
        <f aca="false">IF(OR(Requests!$A90="",Requests!$AS90=""),"",Requests!$AS90)</f>
        <v/>
      </c>
      <c r="K90" s="23" t="str">
        <f aca="false">IF(OR(Requests!$A90="",Requests!$AU90=""),"",Requests!$AU90)</f>
        <v/>
      </c>
      <c r="L90" s="22" t="str">
        <f aca="false">IF(Requests!$A90="","",IF(AND(Requests!$AJ90&lt;&gt;"",Requests!$AS90&lt;&gt;"",Requests!$AU90&lt;&gt;""),"Yes","Open"))</f>
        <v/>
      </c>
    </row>
    <row r="91" customFormat="false" ht="15" hidden="false" customHeight="false" outlineLevel="0" collapsed="false">
      <c r="A91" s="27" t="str">
        <f aca="false">IF(Requests!$A91="","",Requests!$A91)</f>
        <v/>
      </c>
      <c r="B91" s="27" t="str">
        <f aca="false">IF(OR(Requests!$A91="",Requests!$P91=""),"",TEXT(Requests!$P91,"yyyy-mm"))</f>
        <v/>
      </c>
      <c r="C91" s="27" t="str">
        <f aca="false">IF(Requests!$A91="","",Requests!$C91)</f>
        <v/>
      </c>
      <c r="D91" s="27" t="str">
        <f aca="false">IF(Requests!$A91="","",Requests!$K91)</f>
        <v/>
      </c>
      <c r="E91" s="27" t="str">
        <f aca="false">IF(Requests!$A91="","",Requests!$B91)</f>
        <v/>
      </c>
      <c r="F91" s="30" t="str">
        <f aca="false">IF(Requests!$A91="","",Requests!$AD91)</f>
        <v/>
      </c>
      <c r="G91" s="30" t="str">
        <f aca="false">IF(Requests!$A91="","",Requests!$AJ91)</f>
        <v/>
      </c>
      <c r="H91" s="30" t="str">
        <f aca="false">IF(OR(Requests!$A91="",Requests!$AJ91=""),"",Requests!$AD91-Requests!$AJ91)</f>
        <v/>
      </c>
      <c r="I91" s="30" t="str">
        <f aca="false">IF(Requests!$A91="","",Requests!$AM91)</f>
        <v/>
      </c>
      <c r="J91" s="28" t="str">
        <f aca="false">IF(OR(Requests!$A91="",Requests!$AS91=""),"",Requests!$AS91)</f>
        <v/>
      </c>
      <c r="K91" s="28" t="str">
        <f aca="false">IF(OR(Requests!$A91="",Requests!$AU91=""),"",Requests!$AU91)</f>
        <v/>
      </c>
      <c r="L91" s="27" t="str">
        <f aca="false">IF(Requests!$A91="","",IF(AND(Requests!$AJ91&lt;&gt;"",Requests!$AS91&lt;&gt;"",Requests!$AU91&lt;&gt;""),"Yes","Open"))</f>
        <v/>
      </c>
    </row>
    <row r="92" customFormat="false" ht="15" hidden="false" customHeight="false" outlineLevel="0" collapsed="false">
      <c r="A92" s="22" t="str">
        <f aca="false">IF(Requests!$A92="","",Requests!$A92)</f>
        <v/>
      </c>
      <c r="B92" s="22" t="str">
        <f aca="false">IF(OR(Requests!$A92="",Requests!$P92=""),"",TEXT(Requests!$P92,"yyyy-mm"))</f>
        <v/>
      </c>
      <c r="C92" s="22" t="str">
        <f aca="false">IF(Requests!$A92="","",Requests!$C92)</f>
        <v/>
      </c>
      <c r="D92" s="22" t="str">
        <f aca="false">IF(Requests!$A92="","",Requests!$K92)</f>
        <v/>
      </c>
      <c r="E92" s="22" t="str">
        <f aca="false">IF(Requests!$A92="","",Requests!$B92)</f>
        <v/>
      </c>
      <c r="F92" s="25" t="str">
        <f aca="false">IF(Requests!$A92="","",Requests!$AD92)</f>
        <v/>
      </c>
      <c r="G92" s="25" t="str">
        <f aca="false">IF(Requests!$A92="","",Requests!$AJ92)</f>
        <v/>
      </c>
      <c r="H92" s="25" t="str">
        <f aca="false">IF(OR(Requests!$A92="",Requests!$AJ92=""),"",Requests!$AD92-Requests!$AJ92)</f>
        <v/>
      </c>
      <c r="I92" s="25" t="str">
        <f aca="false">IF(Requests!$A92="","",Requests!$AM92)</f>
        <v/>
      </c>
      <c r="J92" s="23" t="str">
        <f aca="false">IF(OR(Requests!$A92="",Requests!$AS92=""),"",Requests!$AS92)</f>
        <v/>
      </c>
      <c r="K92" s="23" t="str">
        <f aca="false">IF(OR(Requests!$A92="",Requests!$AU92=""),"",Requests!$AU92)</f>
        <v/>
      </c>
      <c r="L92" s="22" t="str">
        <f aca="false">IF(Requests!$A92="","",IF(AND(Requests!$AJ92&lt;&gt;"",Requests!$AS92&lt;&gt;"",Requests!$AU92&lt;&gt;""),"Yes","Open"))</f>
        <v/>
      </c>
    </row>
    <row r="93" customFormat="false" ht="15" hidden="false" customHeight="false" outlineLevel="0" collapsed="false">
      <c r="A93" s="27" t="str">
        <f aca="false">IF(Requests!$A93="","",Requests!$A93)</f>
        <v/>
      </c>
      <c r="B93" s="27" t="str">
        <f aca="false">IF(OR(Requests!$A93="",Requests!$P93=""),"",TEXT(Requests!$P93,"yyyy-mm"))</f>
        <v/>
      </c>
      <c r="C93" s="27" t="str">
        <f aca="false">IF(Requests!$A93="","",Requests!$C93)</f>
        <v/>
      </c>
      <c r="D93" s="27" t="str">
        <f aca="false">IF(Requests!$A93="","",Requests!$K93)</f>
        <v/>
      </c>
      <c r="E93" s="27" t="str">
        <f aca="false">IF(Requests!$A93="","",Requests!$B93)</f>
        <v/>
      </c>
      <c r="F93" s="30" t="str">
        <f aca="false">IF(Requests!$A93="","",Requests!$AD93)</f>
        <v/>
      </c>
      <c r="G93" s="30" t="str">
        <f aca="false">IF(Requests!$A93="","",Requests!$AJ93)</f>
        <v/>
      </c>
      <c r="H93" s="30" t="str">
        <f aca="false">IF(OR(Requests!$A93="",Requests!$AJ93=""),"",Requests!$AD93-Requests!$AJ93)</f>
        <v/>
      </c>
      <c r="I93" s="30" t="str">
        <f aca="false">IF(Requests!$A93="","",Requests!$AM93)</f>
        <v/>
      </c>
      <c r="J93" s="28" t="str">
        <f aca="false">IF(OR(Requests!$A93="",Requests!$AS93=""),"",Requests!$AS93)</f>
        <v/>
      </c>
      <c r="K93" s="28" t="str">
        <f aca="false">IF(OR(Requests!$A93="",Requests!$AU93=""),"",Requests!$AU93)</f>
        <v/>
      </c>
      <c r="L93" s="27" t="str">
        <f aca="false">IF(Requests!$A93="","",IF(AND(Requests!$AJ93&lt;&gt;"",Requests!$AS93&lt;&gt;"",Requests!$AU93&lt;&gt;""),"Yes","Open"))</f>
        <v/>
      </c>
    </row>
    <row r="94" customFormat="false" ht="15" hidden="false" customHeight="false" outlineLevel="0" collapsed="false">
      <c r="A94" s="22" t="str">
        <f aca="false">IF(Requests!$A94="","",Requests!$A94)</f>
        <v/>
      </c>
      <c r="B94" s="22" t="str">
        <f aca="false">IF(OR(Requests!$A94="",Requests!$P94=""),"",TEXT(Requests!$P94,"yyyy-mm"))</f>
        <v/>
      </c>
      <c r="C94" s="22" t="str">
        <f aca="false">IF(Requests!$A94="","",Requests!$C94)</f>
        <v/>
      </c>
      <c r="D94" s="22" t="str">
        <f aca="false">IF(Requests!$A94="","",Requests!$K94)</f>
        <v/>
      </c>
      <c r="E94" s="22" t="str">
        <f aca="false">IF(Requests!$A94="","",Requests!$B94)</f>
        <v/>
      </c>
      <c r="F94" s="25" t="str">
        <f aca="false">IF(Requests!$A94="","",Requests!$AD94)</f>
        <v/>
      </c>
      <c r="G94" s="25" t="str">
        <f aca="false">IF(Requests!$A94="","",Requests!$AJ94)</f>
        <v/>
      </c>
      <c r="H94" s="25" t="str">
        <f aca="false">IF(OR(Requests!$A94="",Requests!$AJ94=""),"",Requests!$AD94-Requests!$AJ94)</f>
        <v/>
      </c>
      <c r="I94" s="25" t="str">
        <f aca="false">IF(Requests!$A94="","",Requests!$AM94)</f>
        <v/>
      </c>
      <c r="J94" s="23" t="str">
        <f aca="false">IF(OR(Requests!$A94="",Requests!$AS94=""),"",Requests!$AS94)</f>
        <v/>
      </c>
      <c r="K94" s="23" t="str">
        <f aca="false">IF(OR(Requests!$A94="",Requests!$AU94=""),"",Requests!$AU94)</f>
        <v/>
      </c>
      <c r="L94" s="22" t="str">
        <f aca="false">IF(Requests!$A94="","",IF(AND(Requests!$AJ94&lt;&gt;"",Requests!$AS94&lt;&gt;"",Requests!$AU94&lt;&gt;""),"Yes","Open"))</f>
        <v/>
      </c>
    </row>
    <row r="95" customFormat="false" ht="15" hidden="false" customHeight="false" outlineLevel="0" collapsed="false">
      <c r="A95" s="27" t="str">
        <f aca="false">IF(Requests!$A95="","",Requests!$A95)</f>
        <v/>
      </c>
      <c r="B95" s="27" t="str">
        <f aca="false">IF(OR(Requests!$A95="",Requests!$P95=""),"",TEXT(Requests!$P95,"yyyy-mm"))</f>
        <v/>
      </c>
      <c r="C95" s="27" t="str">
        <f aca="false">IF(Requests!$A95="","",Requests!$C95)</f>
        <v/>
      </c>
      <c r="D95" s="27" t="str">
        <f aca="false">IF(Requests!$A95="","",Requests!$K95)</f>
        <v/>
      </c>
      <c r="E95" s="27" t="str">
        <f aca="false">IF(Requests!$A95="","",Requests!$B95)</f>
        <v/>
      </c>
      <c r="F95" s="30" t="str">
        <f aca="false">IF(Requests!$A95="","",Requests!$AD95)</f>
        <v/>
      </c>
      <c r="G95" s="30" t="str">
        <f aca="false">IF(Requests!$A95="","",Requests!$AJ95)</f>
        <v/>
      </c>
      <c r="H95" s="30" t="str">
        <f aca="false">IF(OR(Requests!$A95="",Requests!$AJ95=""),"",Requests!$AD95-Requests!$AJ95)</f>
        <v/>
      </c>
      <c r="I95" s="30" t="str">
        <f aca="false">IF(Requests!$A95="","",Requests!$AM95)</f>
        <v/>
      </c>
      <c r="J95" s="28" t="str">
        <f aca="false">IF(OR(Requests!$A95="",Requests!$AS95=""),"",Requests!$AS95)</f>
        <v/>
      </c>
      <c r="K95" s="28" t="str">
        <f aca="false">IF(OR(Requests!$A95="",Requests!$AU95=""),"",Requests!$AU95)</f>
        <v/>
      </c>
      <c r="L95" s="27" t="str">
        <f aca="false">IF(Requests!$A95="","",IF(AND(Requests!$AJ95&lt;&gt;"",Requests!$AS95&lt;&gt;"",Requests!$AU95&lt;&gt;""),"Yes","Open"))</f>
        <v/>
      </c>
    </row>
    <row r="96" customFormat="false" ht="15" hidden="false" customHeight="false" outlineLevel="0" collapsed="false">
      <c r="A96" s="22" t="str">
        <f aca="false">IF(Requests!$A96="","",Requests!$A96)</f>
        <v/>
      </c>
      <c r="B96" s="22" t="str">
        <f aca="false">IF(OR(Requests!$A96="",Requests!$P96=""),"",TEXT(Requests!$P96,"yyyy-mm"))</f>
        <v/>
      </c>
      <c r="C96" s="22" t="str">
        <f aca="false">IF(Requests!$A96="","",Requests!$C96)</f>
        <v/>
      </c>
      <c r="D96" s="22" t="str">
        <f aca="false">IF(Requests!$A96="","",Requests!$K96)</f>
        <v/>
      </c>
      <c r="E96" s="22" t="str">
        <f aca="false">IF(Requests!$A96="","",Requests!$B96)</f>
        <v/>
      </c>
      <c r="F96" s="25" t="str">
        <f aca="false">IF(Requests!$A96="","",Requests!$AD96)</f>
        <v/>
      </c>
      <c r="G96" s="25" t="str">
        <f aca="false">IF(Requests!$A96="","",Requests!$AJ96)</f>
        <v/>
      </c>
      <c r="H96" s="25" t="str">
        <f aca="false">IF(OR(Requests!$A96="",Requests!$AJ96=""),"",Requests!$AD96-Requests!$AJ96)</f>
        <v/>
      </c>
      <c r="I96" s="25" t="str">
        <f aca="false">IF(Requests!$A96="","",Requests!$AM96)</f>
        <v/>
      </c>
      <c r="J96" s="23" t="str">
        <f aca="false">IF(OR(Requests!$A96="",Requests!$AS96=""),"",Requests!$AS96)</f>
        <v/>
      </c>
      <c r="K96" s="23" t="str">
        <f aca="false">IF(OR(Requests!$A96="",Requests!$AU96=""),"",Requests!$AU96)</f>
        <v/>
      </c>
      <c r="L96" s="22" t="str">
        <f aca="false">IF(Requests!$A96="","",IF(AND(Requests!$AJ96&lt;&gt;"",Requests!$AS96&lt;&gt;"",Requests!$AU96&lt;&gt;""),"Yes","Open"))</f>
        <v/>
      </c>
    </row>
    <row r="97" customFormat="false" ht="15" hidden="false" customHeight="false" outlineLevel="0" collapsed="false">
      <c r="A97" s="27" t="str">
        <f aca="false">IF(Requests!$A97="","",Requests!$A97)</f>
        <v/>
      </c>
      <c r="B97" s="27" t="str">
        <f aca="false">IF(OR(Requests!$A97="",Requests!$P97=""),"",TEXT(Requests!$P97,"yyyy-mm"))</f>
        <v/>
      </c>
      <c r="C97" s="27" t="str">
        <f aca="false">IF(Requests!$A97="","",Requests!$C97)</f>
        <v/>
      </c>
      <c r="D97" s="27" t="str">
        <f aca="false">IF(Requests!$A97="","",Requests!$K97)</f>
        <v/>
      </c>
      <c r="E97" s="27" t="str">
        <f aca="false">IF(Requests!$A97="","",Requests!$B97)</f>
        <v/>
      </c>
      <c r="F97" s="30" t="str">
        <f aca="false">IF(Requests!$A97="","",Requests!$AD97)</f>
        <v/>
      </c>
      <c r="G97" s="30" t="str">
        <f aca="false">IF(Requests!$A97="","",Requests!$AJ97)</f>
        <v/>
      </c>
      <c r="H97" s="30" t="str">
        <f aca="false">IF(OR(Requests!$A97="",Requests!$AJ97=""),"",Requests!$AD97-Requests!$AJ97)</f>
        <v/>
      </c>
      <c r="I97" s="30" t="str">
        <f aca="false">IF(Requests!$A97="","",Requests!$AM97)</f>
        <v/>
      </c>
      <c r="J97" s="28" t="str">
        <f aca="false">IF(OR(Requests!$A97="",Requests!$AS97=""),"",Requests!$AS97)</f>
        <v/>
      </c>
      <c r="K97" s="28" t="str">
        <f aca="false">IF(OR(Requests!$A97="",Requests!$AU97=""),"",Requests!$AU97)</f>
        <v/>
      </c>
      <c r="L97" s="27" t="str">
        <f aca="false">IF(Requests!$A97="","",IF(AND(Requests!$AJ97&lt;&gt;"",Requests!$AS97&lt;&gt;"",Requests!$AU97&lt;&gt;""),"Yes","Open"))</f>
        <v/>
      </c>
    </row>
    <row r="98" customFormat="false" ht="15" hidden="false" customHeight="false" outlineLevel="0" collapsed="false">
      <c r="A98" s="22" t="str">
        <f aca="false">IF(Requests!$A98="","",Requests!$A98)</f>
        <v/>
      </c>
      <c r="B98" s="22" t="str">
        <f aca="false">IF(OR(Requests!$A98="",Requests!$P98=""),"",TEXT(Requests!$P98,"yyyy-mm"))</f>
        <v/>
      </c>
      <c r="C98" s="22" t="str">
        <f aca="false">IF(Requests!$A98="","",Requests!$C98)</f>
        <v/>
      </c>
      <c r="D98" s="22" t="str">
        <f aca="false">IF(Requests!$A98="","",Requests!$K98)</f>
        <v/>
      </c>
      <c r="E98" s="22" t="str">
        <f aca="false">IF(Requests!$A98="","",Requests!$B98)</f>
        <v/>
      </c>
      <c r="F98" s="25" t="str">
        <f aca="false">IF(Requests!$A98="","",Requests!$AD98)</f>
        <v/>
      </c>
      <c r="G98" s="25" t="str">
        <f aca="false">IF(Requests!$A98="","",Requests!$AJ98)</f>
        <v/>
      </c>
      <c r="H98" s="25" t="str">
        <f aca="false">IF(OR(Requests!$A98="",Requests!$AJ98=""),"",Requests!$AD98-Requests!$AJ98)</f>
        <v/>
      </c>
      <c r="I98" s="25" t="str">
        <f aca="false">IF(Requests!$A98="","",Requests!$AM98)</f>
        <v/>
      </c>
      <c r="J98" s="23" t="str">
        <f aca="false">IF(OR(Requests!$A98="",Requests!$AS98=""),"",Requests!$AS98)</f>
        <v/>
      </c>
      <c r="K98" s="23" t="str">
        <f aca="false">IF(OR(Requests!$A98="",Requests!$AU98=""),"",Requests!$AU98)</f>
        <v/>
      </c>
      <c r="L98" s="22" t="str">
        <f aca="false">IF(Requests!$A98="","",IF(AND(Requests!$AJ98&lt;&gt;"",Requests!$AS98&lt;&gt;"",Requests!$AU98&lt;&gt;""),"Yes","Open"))</f>
        <v/>
      </c>
    </row>
    <row r="99" customFormat="false" ht="15" hidden="false" customHeight="false" outlineLevel="0" collapsed="false">
      <c r="A99" s="27" t="str">
        <f aca="false">IF(Requests!$A99="","",Requests!$A99)</f>
        <v/>
      </c>
      <c r="B99" s="27" t="str">
        <f aca="false">IF(OR(Requests!$A99="",Requests!$P99=""),"",TEXT(Requests!$P99,"yyyy-mm"))</f>
        <v/>
      </c>
      <c r="C99" s="27" t="str">
        <f aca="false">IF(Requests!$A99="","",Requests!$C99)</f>
        <v/>
      </c>
      <c r="D99" s="27" t="str">
        <f aca="false">IF(Requests!$A99="","",Requests!$K99)</f>
        <v/>
      </c>
      <c r="E99" s="27" t="str">
        <f aca="false">IF(Requests!$A99="","",Requests!$B99)</f>
        <v/>
      </c>
      <c r="F99" s="30" t="str">
        <f aca="false">IF(Requests!$A99="","",Requests!$AD99)</f>
        <v/>
      </c>
      <c r="G99" s="30" t="str">
        <f aca="false">IF(Requests!$A99="","",Requests!$AJ99)</f>
        <v/>
      </c>
      <c r="H99" s="30" t="str">
        <f aca="false">IF(OR(Requests!$A99="",Requests!$AJ99=""),"",Requests!$AD99-Requests!$AJ99)</f>
        <v/>
      </c>
      <c r="I99" s="30" t="str">
        <f aca="false">IF(Requests!$A99="","",Requests!$AM99)</f>
        <v/>
      </c>
      <c r="J99" s="28" t="str">
        <f aca="false">IF(OR(Requests!$A99="",Requests!$AS99=""),"",Requests!$AS99)</f>
        <v/>
      </c>
      <c r="K99" s="28" t="str">
        <f aca="false">IF(OR(Requests!$A99="",Requests!$AU99=""),"",Requests!$AU99)</f>
        <v/>
      </c>
      <c r="L99" s="27" t="str">
        <f aca="false">IF(Requests!$A99="","",IF(AND(Requests!$AJ99&lt;&gt;"",Requests!$AS99&lt;&gt;"",Requests!$AU99&lt;&gt;""),"Yes","Open"))</f>
        <v/>
      </c>
    </row>
    <row r="100" customFormat="false" ht="15" hidden="false" customHeight="false" outlineLevel="0" collapsed="false">
      <c r="A100" s="22" t="str">
        <f aca="false">IF(Requests!$A100="","",Requests!$A100)</f>
        <v/>
      </c>
      <c r="B100" s="22" t="str">
        <f aca="false">IF(OR(Requests!$A100="",Requests!$P100=""),"",TEXT(Requests!$P100,"yyyy-mm"))</f>
        <v/>
      </c>
      <c r="C100" s="22" t="str">
        <f aca="false">IF(Requests!$A100="","",Requests!$C100)</f>
        <v/>
      </c>
      <c r="D100" s="22" t="str">
        <f aca="false">IF(Requests!$A100="","",Requests!$K100)</f>
        <v/>
      </c>
      <c r="E100" s="22" t="str">
        <f aca="false">IF(Requests!$A100="","",Requests!$B100)</f>
        <v/>
      </c>
      <c r="F100" s="25" t="str">
        <f aca="false">IF(Requests!$A100="","",Requests!$AD100)</f>
        <v/>
      </c>
      <c r="G100" s="25" t="str">
        <f aca="false">IF(Requests!$A100="","",Requests!$AJ100)</f>
        <v/>
      </c>
      <c r="H100" s="25" t="str">
        <f aca="false">IF(OR(Requests!$A100="",Requests!$AJ100=""),"",Requests!$AD100-Requests!$AJ100)</f>
        <v/>
      </c>
      <c r="I100" s="25" t="str">
        <f aca="false">IF(Requests!$A100="","",Requests!$AM100)</f>
        <v/>
      </c>
      <c r="J100" s="23" t="str">
        <f aca="false">IF(OR(Requests!$A100="",Requests!$AS100=""),"",Requests!$AS100)</f>
        <v/>
      </c>
      <c r="K100" s="23" t="str">
        <f aca="false">IF(OR(Requests!$A100="",Requests!$AU100=""),"",Requests!$AU100)</f>
        <v/>
      </c>
      <c r="L100" s="22" t="str">
        <f aca="false">IF(Requests!$A100="","",IF(AND(Requests!$AJ100&lt;&gt;"",Requests!$AS100&lt;&gt;"",Requests!$AU100&lt;&gt;""),"Yes","Open"))</f>
        <v/>
      </c>
    </row>
    <row r="101" customFormat="false" ht="15" hidden="false" customHeight="false" outlineLevel="0" collapsed="false">
      <c r="A101" s="27" t="str">
        <f aca="false">IF(Requests!$A101="","",Requests!$A101)</f>
        <v/>
      </c>
      <c r="B101" s="27" t="str">
        <f aca="false">IF(OR(Requests!$A101="",Requests!$P101=""),"",TEXT(Requests!$P101,"yyyy-mm"))</f>
        <v/>
      </c>
      <c r="C101" s="27" t="str">
        <f aca="false">IF(Requests!$A101="","",Requests!$C101)</f>
        <v/>
      </c>
      <c r="D101" s="27" t="str">
        <f aca="false">IF(Requests!$A101="","",Requests!$K101)</f>
        <v/>
      </c>
      <c r="E101" s="27" t="str">
        <f aca="false">IF(Requests!$A101="","",Requests!$B101)</f>
        <v/>
      </c>
      <c r="F101" s="30" t="str">
        <f aca="false">IF(Requests!$A101="","",Requests!$AD101)</f>
        <v/>
      </c>
      <c r="G101" s="30" t="str">
        <f aca="false">IF(Requests!$A101="","",Requests!$AJ101)</f>
        <v/>
      </c>
      <c r="H101" s="30" t="str">
        <f aca="false">IF(OR(Requests!$A101="",Requests!$AJ101=""),"",Requests!$AD101-Requests!$AJ101)</f>
        <v/>
      </c>
      <c r="I101" s="30" t="str">
        <f aca="false">IF(Requests!$A101="","",Requests!$AM101)</f>
        <v/>
      </c>
      <c r="J101" s="28" t="str">
        <f aca="false">IF(OR(Requests!$A101="",Requests!$AS101=""),"",Requests!$AS101)</f>
        <v/>
      </c>
      <c r="K101" s="28" t="str">
        <f aca="false">IF(OR(Requests!$A101="",Requests!$AU101=""),"",Requests!$AU101)</f>
        <v/>
      </c>
      <c r="L101" s="27" t="str">
        <f aca="false">IF(Requests!$A101="","",IF(AND(Requests!$AJ101&lt;&gt;"",Requests!$AS101&lt;&gt;"",Requests!$AU101&lt;&gt;""),"Yes","Open"))</f>
        <v/>
      </c>
    </row>
    <row r="102" customFormat="false" ht="15" hidden="false" customHeight="false" outlineLevel="0" collapsed="false">
      <c r="A102" s="22" t="str">
        <f aca="false">IF(Requests!$A102="","",Requests!$A102)</f>
        <v/>
      </c>
      <c r="B102" s="22" t="str">
        <f aca="false">IF(OR(Requests!$A102="",Requests!$P102=""),"",TEXT(Requests!$P102,"yyyy-mm"))</f>
        <v/>
      </c>
      <c r="C102" s="22" t="str">
        <f aca="false">IF(Requests!$A102="","",Requests!$C102)</f>
        <v/>
      </c>
      <c r="D102" s="22" t="str">
        <f aca="false">IF(Requests!$A102="","",Requests!$K102)</f>
        <v/>
      </c>
      <c r="E102" s="22" t="str">
        <f aca="false">IF(Requests!$A102="","",Requests!$B102)</f>
        <v/>
      </c>
      <c r="F102" s="25" t="str">
        <f aca="false">IF(Requests!$A102="","",Requests!$AD102)</f>
        <v/>
      </c>
      <c r="G102" s="25" t="str">
        <f aca="false">IF(Requests!$A102="","",Requests!$AJ102)</f>
        <v/>
      </c>
      <c r="H102" s="25" t="str">
        <f aca="false">IF(OR(Requests!$A102="",Requests!$AJ102=""),"",Requests!$AD102-Requests!$AJ102)</f>
        <v/>
      </c>
      <c r="I102" s="25" t="str">
        <f aca="false">IF(Requests!$A102="","",Requests!$AM102)</f>
        <v/>
      </c>
      <c r="J102" s="23" t="str">
        <f aca="false">IF(OR(Requests!$A102="",Requests!$AS102=""),"",Requests!$AS102)</f>
        <v/>
      </c>
      <c r="K102" s="23" t="str">
        <f aca="false">IF(OR(Requests!$A102="",Requests!$AU102=""),"",Requests!$AU102)</f>
        <v/>
      </c>
      <c r="L102" s="22" t="str">
        <f aca="false">IF(Requests!$A102="","",IF(AND(Requests!$AJ102&lt;&gt;"",Requests!$AS102&lt;&gt;"",Requests!$AU102&lt;&gt;""),"Yes","Open"))</f>
        <v/>
      </c>
    </row>
    <row r="103" customFormat="false" ht="15" hidden="false" customHeight="false" outlineLevel="0" collapsed="false">
      <c r="A103" s="27" t="str">
        <f aca="false">IF(Requests!$A103="","",Requests!$A103)</f>
        <v/>
      </c>
      <c r="B103" s="27" t="str">
        <f aca="false">IF(OR(Requests!$A103="",Requests!$P103=""),"",TEXT(Requests!$P103,"yyyy-mm"))</f>
        <v/>
      </c>
      <c r="C103" s="27" t="str">
        <f aca="false">IF(Requests!$A103="","",Requests!$C103)</f>
        <v/>
      </c>
      <c r="D103" s="27" t="str">
        <f aca="false">IF(Requests!$A103="","",Requests!$K103)</f>
        <v/>
      </c>
      <c r="E103" s="27" t="str">
        <f aca="false">IF(Requests!$A103="","",Requests!$B103)</f>
        <v/>
      </c>
      <c r="F103" s="30" t="str">
        <f aca="false">IF(Requests!$A103="","",Requests!$AD103)</f>
        <v/>
      </c>
      <c r="G103" s="30" t="str">
        <f aca="false">IF(Requests!$A103="","",Requests!$AJ103)</f>
        <v/>
      </c>
      <c r="H103" s="30" t="str">
        <f aca="false">IF(OR(Requests!$A103="",Requests!$AJ103=""),"",Requests!$AD103-Requests!$AJ103)</f>
        <v/>
      </c>
      <c r="I103" s="30" t="str">
        <f aca="false">IF(Requests!$A103="","",Requests!$AM103)</f>
        <v/>
      </c>
      <c r="J103" s="28" t="str">
        <f aca="false">IF(OR(Requests!$A103="",Requests!$AS103=""),"",Requests!$AS103)</f>
        <v/>
      </c>
      <c r="K103" s="28" t="str">
        <f aca="false">IF(OR(Requests!$A103="",Requests!$AU103=""),"",Requests!$AU103)</f>
        <v/>
      </c>
      <c r="L103" s="27" t="str">
        <f aca="false">IF(Requests!$A103="","",IF(AND(Requests!$AJ103&lt;&gt;"",Requests!$AS103&lt;&gt;"",Requests!$AU103&lt;&gt;""),"Yes","Open"))</f>
        <v/>
      </c>
    </row>
    <row r="104" customFormat="false" ht="15" hidden="false" customHeight="false" outlineLevel="0" collapsed="false">
      <c r="A104" s="22" t="str">
        <f aca="false">IF(Requests!$A104="","",Requests!$A104)</f>
        <v/>
      </c>
      <c r="B104" s="22" t="str">
        <f aca="false">IF(OR(Requests!$A104="",Requests!$P104=""),"",TEXT(Requests!$P104,"yyyy-mm"))</f>
        <v/>
      </c>
      <c r="C104" s="22" t="str">
        <f aca="false">IF(Requests!$A104="","",Requests!$C104)</f>
        <v/>
      </c>
      <c r="D104" s="22" t="str">
        <f aca="false">IF(Requests!$A104="","",Requests!$K104)</f>
        <v/>
      </c>
      <c r="E104" s="22" t="str">
        <f aca="false">IF(Requests!$A104="","",Requests!$B104)</f>
        <v/>
      </c>
      <c r="F104" s="25" t="str">
        <f aca="false">IF(Requests!$A104="","",Requests!$AD104)</f>
        <v/>
      </c>
      <c r="G104" s="25" t="str">
        <f aca="false">IF(Requests!$A104="","",Requests!$AJ104)</f>
        <v/>
      </c>
      <c r="H104" s="25" t="str">
        <f aca="false">IF(OR(Requests!$A104="",Requests!$AJ104=""),"",Requests!$AD104-Requests!$AJ104)</f>
        <v/>
      </c>
      <c r="I104" s="25" t="str">
        <f aca="false">IF(Requests!$A104="","",Requests!$AM104)</f>
        <v/>
      </c>
      <c r="J104" s="23" t="str">
        <f aca="false">IF(OR(Requests!$A104="",Requests!$AS104=""),"",Requests!$AS104)</f>
        <v/>
      </c>
      <c r="K104" s="23" t="str">
        <f aca="false">IF(OR(Requests!$A104="",Requests!$AU104=""),"",Requests!$AU104)</f>
        <v/>
      </c>
      <c r="L104" s="22" t="str">
        <f aca="false">IF(Requests!$A104="","",IF(AND(Requests!$AJ104&lt;&gt;"",Requests!$AS104&lt;&gt;"",Requests!$AU104&lt;&gt;""),"Yes","Open"))</f>
        <v/>
      </c>
    </row>
    <row r="105" customFormat="false" ht="15" hidden="false" customHeight="false" outlineLevel="0" collapsed="false">
      <c r="A105" s="27" t="str">
        <f aca="false">IF(Requests!$A105="","",Requests!$A105)</f>
        <v/>
      </c>
      <c r="B105" s="27" t="str">
        <f aca="false">IF(OR(Requests!$A105="",Requests!$P105=""),"",TEXT(Requests!$P105,"yyyy-mm"))</f>
        <v/>
      </c>
      <c r="C105" s="27" t="str">
        <f aca="false">IF(Requests!$A105="","",Requests!$C105)</f>
        <v/>
      </c>
      <c r="D105" s="27" t="str">
        <f aca="false">IF(Requests!$A105="","",Requests!$K105)</f>
        <v/>
      </c>
      <c r="E105" s="27" t="str">
        <f aca="false">IF(Requests!$A105="","",Requests!$B105)</f>
        <v/>
      </c>
      <c r="F105" s="30" t="str">
        <f aca="false">IF(Requests!$A105="","",Requests!$AD105)</f>
        <v/>
      </c>
      <c r="G105" s="30" t="str">
        <f aca="false">IF(Requests!$A105="","",Requests!$AJ105)</f>
        <v/>
      </c>
      <c r="H105" s="30" t="str">
        <f aca="false">IF(OR(Requests!$A105="",Requests!$AJ105=""),"",Requests!$AD105-Requests!$AJ105)</f>
        <v/>
      </c>
      <c r="I105" s="30" t="str">
        <f aca="false">IF(Requests!$A105="","",Requests!$AM105)</f>
        <v/>
      </c>
      <c r="J105" s="28" t="str">
        <f aca="false">IF(OR(Requests!$A105="",Requests!$AS105=""),"",Requests!$AS105)</f>
        <v/>
      </c>
      <c r="K105" s="28" t="str">
        <f aca="false">IF(OR(Requests!$A105="",Requests!$AU105=""),"",Requests!$AU105)</f>
        <v/>
      </c>
      <c r="L105" s="27" t="str">
        <f aca="false">IF(Requests!$A105="","",IF(AND(Requests!$AJ105&lt;&gt;"",Requests!$AS105&lt;&gt;"",Requests!$AU105&lt;&gt;""),"Yes","Open"))</f>
        <v/>
      </c>
    </row>
    <row r="106" customFormat="false" ht="15" hidden="false" customHeight="false" outlineLevel="0" collapsed="false">
      <c r="A106" s="22" t="str">
        <f aca="false">IF(Requests!$A106="","",Requests!$A106)</f>
        <v/>
      </c>
      <c r="B106" s="22" t="str">
        <f aca="false">IF(OR(Requests!$A106="",Requests!$P106=""),"",TEXT(Requests!$P106,"yyyy-mm"))</f>
        <v/>
      </c>
      <c r="C106" s="22" t="str">
        <f aca="false">IF(Requests!$A106="","",Requests!$C106)</f>
        <v/>
      </c>
      <c r="D106" s="22" t="str">
        <f aca="false">IF(Requests!$A106="","",Requests!$K106)</f>
        <v/>
      </c>
      <c r="E106" s="22" t="str">
        <f aca="false">IF(Requests!$A106="","",Requests!$B106)</f>
        <v/>
      </c>
      <c r="F106" s="25" t="str">
        <f aca="false">IF(Requests!$A106="","",Requests!$AD106)</f>
        <v/>
      </c>
      <c r="G106" s="25" t="str">
        <f aca="false">IF(Requests!$A106="","",Requests!$AJ106)</f>
        <v/>
      </c>
      <c r="H106" s="25" t="str">
        <f aca="false">IF(OR(Requests!$A106="",Requests!$AJ106=""),"",Requests!$AD106-Requests!$AJ106)</f>
        <v/>
      </c>
      <c r="I106" s="25" t="str">
        <f aca="false">IF(Requests!$A106="","",Requests!$AM106)</f>
        <v/>
      </c>
      <c r="J106" s="23" t="str">
        <f aca="false">IF(OR(Requests!$A106="",Requests!$AS106=""),"",Requests!$AS106)</f>
        <v/>
      </c>
      <c r="K106" s="23" t="str">
        <f aca="false">IF(OR(Requests!$A106="",Requests!$AU106=""),"",Requests!$AU106)</f>
        <v/>
      </c>
      <c r="L106" s="22" t="str">
        <f aca="false">IF(Requests!$A106="","",IF(AND(Requests!$AJ106&lt;&gt;"",Requests!$AS106&lt;&gt;"",Requests!$AU106&lt;&gt;""),"Yes","Open"))</f>
        <v/>
      </c>
    </row>
    <row r="107" customFormat="false" ht="15" hidden="false" customHeight="false" outlineLevel="0" collapsed="false">
      <c r="A107" s="27" t="str">
        <f aca="false">IF(Requests!$A107="","",Requests!$A107)</f>
        <v/>
      </c>
      <c r="B107" s="27" t="str">
        <f aca="false">IF(OR(Requests!$A107="",Requests!$P107=""),"",TEXT(Requests!$P107,"yyyy-mm"))</f>
        <v/>
      </c>
      <c r="C107" s="27" t="str">
        <f aca="false">IF(Requests!$A107="","",Requests!$C107)</f>
        <v/>
      </c>
      <c r="D107" s="27" t="str">
        <f aca="false">IF(Requests!$A107="","",Requests!$K107)</f>
        <v/>
      </c>
      <c r="E107" s="27" t="str">
        <f aca="false">IF(Requests!$A107="","",Requests!$B107)</f>
        <v/>
      </c>
      <c r="F107" s="30" t="str">
        <f aca="false">IF(Requests!$A107="","",Requests!$AD107)</f>
        <v/>
      </c>
      <c r="G107" s="30" t="str">
        <f aca="false">IF(Requests!$A107="","",Requests!$AJ107)</f>
        <v/>
      </c>
      <c r="H107" s="30" t="str">
        <f aca="false">IF(OR(Requests!$A107="",Requests!$AJ107=""),"",Requests!$AD107-Requests!$AJ107)</f>
        <v/>
      </c>
      <c r="I107" s="30" t="str">
        <f aca="false">IF(Requests!$A107="","",Requests!$AM107)</f>
        <v/>
      </c>
      <c r="J107" s="28" t="str">
        <f aca="false">IF(OR(Requests!$A107="",Requests!$AS107=""),"",Requests!$AS107)</f>
        <v/>
      </c>
      <c r="K107" s="28" t="str">
        <f aca="false">IF(OR(Requests!$A107="",Requests!$AU107=""),"",Requests!$AU107)</f>
        <v/>
      </c>
      <c r="L107" s="27" t="str">
        <f aca="false">IF(Requests!$A107="","",IF(AND(Requests!$AJ107&lt;&gt;"",Requests!$AS107&lt;&gt;"",Requests!$AU107&lt;&gt;""),"Yes","Open"))</f>
        <v/>
      </c>
    </row>
    <row r="108" customFormat="false" ht="15" hidden="false" customHeight="false" outlineLevel="0" collapsed="false">
      <c r="A108" s="22" t="str">
        <f aca="false">IF(Requests!$A108="","",Requests!$A108)</f>
        <v/>
      </c>
      <c r="B108" s="22" t="str">
        <f aca="false">IF(OR(Requests!$A108="",Requests!$P108=""),"",TEXT(Requests!$P108,"yyyy-mm"))</f>
        <v/>
      </c>
      <c r="C108" s="22" t="str">
        <f aca="false">IF(Requests!$A108="","",Requests!$C108)</f>
        <v/>
      </c>
      <c r="D108" s="22" t="str">
        <f aca="false">IF(Requests!$A108="","",Requests!$K108)</f>
        <v/>
      </c>
      <c r="E108" s="22" t="str">
        <f aca="false">IF(Requests!$A108="","",Requests!$B108)</f>
        <v/>
      </c>
      <c r="F108" s="25" t="str">
        <f aca="false">IF(Requests!$A108="","",Requests!$AD108)</f>
        <v/>
      </c>
      <c r="G108" s="25" t="str">
        <f aca="false">IF(Requests!$A108="","",Requests!$AJ108)</f>
        <v/>
      </c>
      <c r="H108" s="25" t="str">
        <f aca="false">IF(OR(Requests!$A108="",Requests!$AJ108=""),"",Requests!$AD108-Requests!$AJ108)</f>
        <v/>
      </c>
      <c r="I108" s="25" t="str">
        <f aca="false">IF(Requests!$A108="","",Requests!$AM108)</f>
        <v/>
      </c>
      <c r="J108" s="23" t="str">
        <f aca="false">IF(OR(Requests!$A108="",Requests!$AS108=""),"",Requests!$AS108)</f>
        <v/>
      </c>
      <c r="K108" s="23" t="str">
        <f aca="false">IF(OR(Requests!$A108="",Requests!$AU108=""),"",Requests!$AU108)</f>
        <v/>
      </c>
      <c r="L108" s="22" t="str">
        <f aca="false">IF(Requests!$A108="","",IF(AND(Requests!$AJ108&lt;&gt;"",Requests!$AS108&lt;&gt;"",Requests!$AU108&lt;&gt;""),"Yes","Open"))</f>
        <v/>
      </c>
    </row>
    <row r="109" customFormat="false" ht="15" hidden="false" customHeight="false" outlineLevel="0" collapsed="false">
      <c r="A109" s="27" t="str">
        <f aca="false">IF(Requests!$A109="","",Requests!$A109)</f>
        <v/>
      </c>
      <c r="B109" s="27" t="str">
        <f aca="false">IF(OR(Requests!$A109="",Requests!$P109=""),"",TEXT(Requests!$P109,"yyyy-mm"))</f>
        <v/>
      </c>
      <c r="C109" s="27" t="str">
        <f aca="false">IF(Requests!$A109="","",Requests!$C109)</f>
        <v/>
      </c>
      <c r="D109" s="27" t="str">
        <f aca="false">IF(Requests!$A109="","",Requests!$K109)</f>
        <v/>
      </c>
      <c r="E109" s="27" t="str">
        <f aca="false">IF(Requests!$A109="","",Requests!$B109)</f>
        <v/>
      </c>
      <c r="F109" s="30" t="str">
        <f aca="false">IF(Requests!$A109="","",Requests!$AD109)</f>
        <v/>
      </c>
      <c r="G109" s="30" t="str">
        <f aca="false">IF(Requests!$A109="","",Requests!$AJ109)</f>
        <v/>
      </c>
      <c r="H109" s="30" t="str">
        <f aca="false">IF(OR(Requests!$A109="",Requests!$AJ109=""),"",Requests!$AD109-Requests!$AJ109)</f>
        <v/>
      </c>
      <c r="I109" s="30" t="str">
        <f aca="false">IF(Requests!$A109="","",Requests!$AM109)</f>
        <v/>
      </c>
      <c r="J109" s="28" t="str">
        <f aca="false">IF(OR(Requests!$A109="",Requests!$AS109=""),"",Requests!$AS109)</f>
        <v/>
      </c>
      <c r="K109" s="28" t="str">
        <f aca="false">IF(OR(Requests!$A109="",Requests!$AU109=""),"",Requests!$AU109)</f>
        <v/>
      </c>
      <c r="L109" s="27" t="str">
        <f aca="false">IF(Requests!$A109="","",IF(AND(Requests!$AJ109&lt;&gt;"",Requests!$AS109&lt;&gt;"",Requests!$AU109&lt;&gt;""),"Yes","Open"))</f>
        <v/>
      </c>
    </row>
    <row r="110" customFormat="false" ht="15" hidden="false" customHeight="false" outlineLevel="0" collapsed="false">
      <c r="A110" s="22" t="str">
        <f aca="false">IF(Requests!$A110="","",Requests!$A110)</f>
        <v/>
      </c>
      <c r="B110" s="22" t="str">
        <f aca="false">IF(OR(Requests!$A110="",Requests!$P110=""),"",TEXT(Requests!$P110,"yyyy-mm"))</f>
        <v/>
      </c>
      <c r="C110" s="22" t="str">
        <f aca="false">IF(Requests!$A110="","",Requests!$C110)</f>
        <v/>
      </c>
      <c r="D110" s="22" t="str">
        <f aca="false">IF(Requests!$A110="","",Requests!$K110)</f>
        <v/>
      </c>
      <c r="E110" s="22" t="str">
        <f aca="false">IF(Requests!$A110="","",Requests!$B110)</f>
        <v/>
      </c>
      <c r="F110" s="25" t="str">
        <f aca="false">IF(Requests!$A110="","",Requests!$AD110)</f>
        <v/>
      </c>
      <c r="G110" s="25" t="str">
        <f aca="false">IF(Requests!$A110="","",Requests!$AJ110)</f>
        <v/>
      </c>
      <c r="H110" s="25" t="str">
        <f aca="false">IF(OR(Requests!$A110="",Requests!$AJ110=""),"",Requests!$AD110-Requests!$AJ110)</f>
        <v/>
      </c>
      <c r="I110" s="25" t="str">
        <f aca="false">IF(Requests!$A110="","",Requests!$AM110)</f>
        <v/>
      </c>
      <c r="J110" s="23" t="str">
        <f aca="false">IF(OR(Requests!$A110="",Requests!$AS110=""),"",Requests!$AS110)</f>
        <v/>
      </c>
      <c r="K110" s="23" t="str">
        <f aca="false">IF(OR(Requests!$A110="",Requests!$AU110=""),"",Requests!$AU110)</f>
        <v/>
      </c>
      <c r="L110" s="22" t="str">
        <f aca="false">IF(Requests!$A110="","",IF(AND(Requests!$AJ110&lt;&gt;"",Requests!$AS110&lt;&gt;"",Requests!$AU110&lt;&gt;""),"Yes","Open"))</f>
        <v/>
      </c>
    </row>
    <row r="111" customFormat="false" ht="15" hidden="false" customHeight="false" outlineLevel="0" collapsed="false">
      <c r="A111" s="27" t="str">
        <f aca="false">IF(Requests!$A111="","",Requests!$A111)</f>
        <v/>
      </c>
      <c r="B111" s="27" t="str">
        <f aca="false">IF(OR(Requests!$A111="",Requests!$P111=""),"",TEXT(Requests!$P111,"yyyy-mm"))</f>
        <v/>
      </c>
      <c r="C111" s="27" t="str">
        <f aca="false">IF(Requests!$A111="","",Requests!$C111)</f>
        <v/>
      </c>
      <c r="D111" s="27" t="str">
        <f aca="false">IF(Requests!$A111="","",Requests!$K111)</f>
        <v/>
      </c>
      <c r="E111" s="27" t="str">
        <f aca="false">IF(Requests!$A111="","",Requests!$B111)</f>
        <v/>
      </c>
      <c r="F111" s="30" t="str">
        <f aca="false">IF(Requests!$A111="","",Requests!$AD111)</f>
        <v/>
      </c>
      <c r="G111" s="30" t="str">
        <f aca="false">IF(Requests!$A111="","",Requests!$AJ111)</f>
        <v/>
      </c>
      <c r="H111" s="30" t="str">
        <f aca="false">IF(OR(Requests!$A111="",Requests!$AJ111=""),"",Requests!$AD111-Requests!$AJ111)</f>
        <v/>
      </c>
      <c r="I111" s="30" t="str">
        <f aca="false">IF(Requests!$A111="","",Requests!$AM111)</f>
        <v/>
      </c>
      <c r="J111" s="28" t="str">
        <f aca="false">IF(OR(Requests!$A111="",Requests!$AS111=""),"",Requests!$AS111)</f>
        <v/>
      </c>
      <c r="K111" s="28" t="str">
        <f aca="false">IF(OR(Requests!$A111="",Requests!$AU111=""),"",Requests!$AU111)</f>
        <v/>
      </c>
      <c r="L111" s="27" t="str">
        <f aca="false">IF(Requests!$A111="","",IF(AND(Requests!$AJ111&lt;&gt;"",Requests!$AS111&lt;&gt;"",Requests!$AU111&lt;&gt;""),"Yes","Open"))</f>
        <v/>
      </c>
    </row>
    <row r="112" customFormat="false" ht="15" hidden="false" customHeight="false" outlineLevel="0" collapsed="false">
      <c r="A112" s="22" t="str">
        <f aca="false">IF(Requests!$A112="","",Requests!$A112)</f>
        <v/>
      </c>
      <c r="B112" s="22" t="str">
        <f aca="false">IF(OR(Requests!$A112="",Requests!$P112=""),"",TEXT(Requests!$P112,"yyyy-mm"))</f>
        <v/>
      </c>
      <c r="C112" s="22" t="str">
        <f aca="false">IF(Requests!$A112="","",Requests!$C112)</f>
        <v/>
      </c>
      <c r="D112" s="22" t="str">
        <f aca="false">IF(Requests!$A112="","",Requests!$K112)</f>
        <v/>
      </c>
      <c r="E112" s="22" t="str">
        <f aca="false">IF(Requests!$A112="","",Requests!$B112)</f>
        <v/>
      </c>
      <c r="F112" s="25" t="str">
        <f aca="false">IF(Requests!$A112="","",Requests!$AD112)</f>
        <v/>
      </c>
      <c r="G112" s="25" t="str">
        <f aca="false">IF(Requests!$A112="","",Requests!$AJ112)</f>
        <v/>
      </c>
      <c r="H112" s="25" t="str">
        <f aca="false">IF(OR(Requests!$A112="",Requests!$AJ112=""),"",Requests!$AD112-Requests!$AJ112)</f>
        <v/>
      </c>
      <c r="I112" s="25" t="str">
        <f aca="false">IF(Requests!$A112="","",Requests!$AM112)</f>
        <v/>
      </c>
      <c r="J112" s="23" t="str">
        <f aca="false">IF(OR(Requests!$A112="",Requests!$AS112=""),"",Requests!$AS112)</f>
        <v/>
      </c>
      <c r="K112" s="23" t="str">
        <f aca="false">IF(OR(Requests!$A112="",Requests!$AU112=""),"",Requests!$AU112)</f>
        <v/>
      </c>
      <c r="L112" s="22" t="str">
        <f aca="false">IF(Requests!$A112="","",IF(AND(Requests!$AJ112&lt;&gt;"",Requests!$AS112&lt;&gt;"",Requests!$AU112&lt;&gt;""),"Yes","Open"))</f>
        <v/>
      </c>
    </row>
    <row r="113" customFormat="false" ht="15" hidden="false" customHeight="false" outlineLevel="0" collapsed="false">
      <c r="A113" s="27" t="str">
        <f aca="false">IF(Requests!$A113="","",Requests!$A113)</f>
        <v/>
      </c>
      <c r="B113" s="27" t="str">
        <f aca="false">IF(OR(Requests!$A113="",Requests!$P113=""),"",TEXT(Requests!$P113,"yyyy-mm"))</f>
        <v/>
      </c>
      <c r="C113" s="27" t="str">
        <f aca="false">IF(Requests!$A113="","",Requests!$C113)</f>
        <v/>
      </c>
      <c r="D113" s="27" t="str">
        <f aca="false">IF(Requests!$A113="","",Requests!$K113)</f>
        <v/>
      </c>
      <c r="E113" s="27" t="str">
        <f aca="false">IF(Requests!$A113="","",Requests!$B113)</f>
        <v/>
      </c>
      <c r="F113" s="30" t="str">
        <f aca="false">IF(Requests!$A113="","",Requests!$AD113)</f>
        <v/>
      </c>
      <c r="G113" s="30" t="str">
        <f aca="false">IF(Requests!$A113="","",Requests!$AJ113)</f>
        <v/>
      </c>
      <c r="H113" s="30" t="str">
        <f aca="false">IF(OR(Requests!$A113="",Requests!$AJ113=""),"",Requests!$AD113-Requests!$AJ113)</f>
        <v/>
      </c>
      <c r="I113" s="30" t="str">
        <f aca="false">IF(Requests!$A113="","",Requests!$AM113)</f>
        <v/>
      </c>
      <c r="J113" s="28" t="str">
        <f aca="false">IF(OR(Requests!$A113="",Requests!$AS113=""),"",Requests!$AS113)</f>
        <v/>
      </c>
      <c r="K113" s="28" t="str">
        <f aca="false">IF(OR(Requests!$A113="",Requests!$AU113=""),"",Requests!$AU113)</f>
        <v/>
      </c>
      <c r="L113" s="27" t="str">
        <f aca="false">IF(Requests!$A113="","",IF(AND(Requests!$AJ113&lt;&gt;"",Requests!$AS113&lt;&gt;"",Requests!$AU113&lt;&gt;""),"Yes","Open"))</f>
        <v/>
      </c>
    </row>
    <row r="114" customFormat="false" ht="15" hidden="false" customHeight="false" outlineLevel="0" collapsed="false">
      <c r="A114" s="22" t="str">
        <f aca="false">IF(Requests!$A114="","",Requests!$A114)</f>
        <v/>
      </c>
      <c r="B114" s="22" t="str">
        <f aca="false">IF(OR(Requests!$A114="",Requests!$P114=""),"",TEXT(Requests!$P114,"yyyy-mm"))</f>
        <v/>
      </c>
      <c r="C114" s="22" t="str">
        <f aca="false">IF(Requests!$A114="","",Requests!$C114)</f>
        <v/>
      </c>
      <c r="D114" s="22" t="str">
        <f aca="false">IF(Requests!$A114="","",Requests!$K114)</f>
        <v/>
      </c>
      <c r="E114" s="22" t="str">
        <f aca="false">IF(Requests!$A114="","",Requests!$B114)</f>
        <v/>
      </c>
      <c r="F114" s="25" t="str">
        <f aca="false">IF(Requests!$A114="","",Requests!$AD114)</f>
        <v/>
      </c>
      <c r="G114" s="25" t="str">
        <f aca="false">IF(Requests!$A114="","",Requests!$AJ114)</f>
        <v/>
      </c>
      <c r="H114" s="25" t="str">
        <f aca="false">IF(OR(Requests!$A114="",Requests!$AJ114=""),"",Requests!$AD114-Requests!$AJ114)</f>
        <v/>
      </c>
      <c r="I114" s="25" t="str">
        <f aca="false">IF(Requests!$A114="","",Requests!$AM114)</f>
        <v/>
      </c>
      <c r="J114" s="23" t="str">
        <f aca="false">IF(OR(Requests!$A114="",Requests!$AS114=""),"",Requests!$AS114)</f>
        <v/>
      </c>
      <c r="K114" s="23" t="str">
        <f aca="false">IF(OR(Requests!$A114="",Requests!$AU114=""),"",Requests!$AU114)</f>
        <v/>
      </c>
      <c r="L114" s="22" t="str">
        <f aca="false">IF(Requests!$A114="","",IF(AND(Requests!$AJ114&lt;&gt;"",Requests!$AS114&lt;&gt;"",Requests!$AU114&lt;&gt;""),"Yes","Open"))</f>
        <v/>
      </c>
    </row>
    <row r="115" customFormat="false" ht="15" hidden="false" customHeight="false" outlineLevel="0" collapsed="false">
      <c r="A115" s="27" t="str">
        <f aca="false">IF(Requests!$A115="","",Requests!$A115)</f>
        <v/>
      </c>
      <c r="B115" s="27" t="str">
        <f aca="false">IF(OR(Requests!$A115="",Requests!$P115=""),"",TEXT(Requests!$P115,"yyyy-mm"))</f>
        <v/>
      </c>
      <c r="C115" s="27" t="str">
        <f aca="false">IF(Requests!$A115="","",Requests!$C115)</f>
        <v/>
      </c>
      <c r="D115" s="27" t="str">
        <f aca="false">IF(Requests!$A115="","",Requests!$K115)</f>
        <v/>
      </c>
      <c r="E115" s="27" t="str">
        <f aca="false">IF(Requests!$A115="","",Requests!$B115)</f>
        <v/>
      </c>
      <c r="F115" s="30" t="str">
        <f aca="false">IF(Requests!$A115="","",Requests!$AD115)</f>
        <v/>
      </c>
      <c r="G115" s="30" t="str">
        <f aca="false">IF(Requests!$A115="","",Requests!$AJ115)</f>
        <v/>
      </c>
      <c r="H115" s="30" t="str">
        <f aca="false">IF(OR(Requests!$A115="",Requests!$AJ115=""),"",Requests!$AD115-Requests!$AJ115)</f>
        <v/>
      </c>
      <c r="I115" s="30" t="str">
        <f aca="false">IF(Requests!$A115="","",Requests!$AM115)</f>
        <v/>
      </c>
      <c r="J115" s="28" t="str">
        <f aca="false">IF(OR(Requests!$A115="",Requests!$AS115=""),"",Requests!$AS115)</f>
        <v/>
      </c>
      <c r="K115" s="28" t="str">
        <f aca="false">IF(OR(Requests!$A115="",Requests!$AU115=""),"",Requests!$AU115)</f>
        <v/>
      </c>
      <c r="L115" s="27" t="str">
        <f aca="false">IF(Requests!$A115="","",IF(AND(Requests!$AJ115&lt;&gt;"",Requests!$AS115&lt;&gt;"",Requests!$AU115&lt;&gt;""),"Yes","Open"))</f>
        <v/>
      </c>
    </row>
    <row r="116" customFormat="false" ht="15" hidden="false" customHeight="false" outlineLevel="0" collapsed="false">
      <c r="A116" s="22" t="str">
        <f aca="false">IF(Requests!$A116="","",Requests!$A116)</f>
        <v/>
      </c>
      <c r="B116" s="22" t="str">
        <f aca="false">IF(OR(Requests!$A116="",Requests!$P116=""),"",TEXT(Requests!$P116,"yyyy-mm"))</f>
        <v/>
      </c>
      <c r="C116" s="22" t="str">
        <f aca="false">IF(Requests!$A116="","",Requests!$C116)</f>
        <v/>
      </c>
      <c r="D116" s="22" t="str">
        <f aca="false">IF(Requests!$A116="","",Requests!$K116)</f>
        <v/>
      </c>
      <c r="E116" s="22" t="str">
        <f aca="false">IF(Requests!$A116="","",Requests!$B116)</f>
        <v/>
      </c>
      <c r="F116" s="25" t="str">
        <f aca="false">IF(Requests!$A116="","",Requests!$AD116)</f>
        <v/>
      </c>
      <c r="G116" s="25" t="str">
        <f aca="false">IF(Requests!$A116="","",Requests!$AJ116)</f>
        <v/>
      </c>
      <c r="H116" s="25" t="str">
        <f aca="false">IF(OR(Requests!$A116="",Requests!$AJ116=""),"",Requests!$AD116-Requests!$AJ116)</f>
        <v/>
      </c>
      <c r="I116" s="25" t="str">
        <f aca="false">IF(Requests!$A116="","",Requests!$AM116)</f>
        <v/>
      </c>
      <c r="J116" s="23" t="str">
        <f aca="false">IF(OR(Requests!$A116="",Requests!$AS116=""),"",Requests!$AS116)</f>
        <v/>
      </c>
      <c r="K116" s="23" t="str">
        <f aca="false">IF(OR(Requests!$A116="",Requests!$AU116=""),"",Requests!$AU116)</f>
        <v/>
      </c>
      <c r="L116" s="22" t="str">
        <f aca="false">IF(Requests!$A116="","",IF(AND(Requests!$AJ116&lt;&gt;"",Requests!$AS116&lt;&gt;"",Requests!$AU116&lt;&gt;""),"Yes","Open"))</f>
        <v/>
      </c>
    </row>
    <row r="117" customFormat="false" ht="15" hidden="false" customHeight="false" outlineLevel="0" collapsed="false">
      <c r="A117" s="27" t="str">
        <f aca="false">IF(Requests!$A117="","",Requests!$A117)</f>
        <v/>
      </c>
      <c r="B117" s="27" t="str">
        <f aca="false">IF(OR(Requests!$A117="",Requests!$P117=""),"",TEXT(Requests!$P117,"yyyy-mm"))</f>
        <v/>
      </c>
      <c r="C117" s="27" t="str">
        <f aca="false">IF(Requests!$A117="","",Requests!$C117)</f>
        <v/>
      </c>
      <c r="D117" s="27" t="str">
        <f aca="false">IF(Requests!$A117="","",Requests!$K117)</f>
        <v/>
      </c>
      <c r="E117" s="27" t="str">
        <f aca="false">IF(Requests!$A117="","",Requests!$B117)</f>
        <v/>
      </c>
      <c r="F117" s="30" t="str">
        <f aca="false">IF(Requests!$A117="","",Requests!$AD117)</f>
        <v/>
      </c>
      <c r="G117" s="30" t="str">
        <f aca="false">IF(Requests!$A117="","",Requests!$AJ117)</f>
        <v/>
      </c>
      <c r="H117" s="30" t="str">
        <f aca="false">IF(OR(Requests!$A117="",Requests!$AJ117=""),"",Requests!$AD117-Requests!$AJ117)</f>
        <v/>
      </c>
      <c r="I117" s="30" t="str">
        <f aca="false">IF(Requests!$A117="","",Requests!$AM117)</f>
        <v/>
      </c>
      <c r="J117" s="28" t="str">
        <f aca="false">IF(OR(Requests!$A117="",Requests!$AS117=""),"",Requests!$AS117)</f>
        <v/>
      </c>
      <c r="K117" s="28" t="str">
        <f aca="false">IF(OR(Requests!$A117="",Requests!$AU117=""),"",Requests!$AU117)</f>
        <v/>
      </c>
      <c r="L117" s="27" t="str">
        <f aca="false">IF(Requests!$A117="","",IF(AND(Requests!$AJ117&lt;&gt;"",Requests!$AS117&lt;&gt;"",Requests!$AU117&lt;&gt;""),"Yes","Open"))</f>
        <v/>
      </c>
    </row>
    <row r="118" customFormat="false" ht="15" hidden="false" customHeight="false" outlineLevel="0" collapsed="false">
      <c r="A118" s="22" t="str">
        <f aca="false">IF(Requests!$A118="","",Requests!$A118)</f>
        <v/>
      </c>
      <c r="B118" s="22" t="str">
        <f aca="false">IF(OR(Requests!$A118="",Requests!$P118=""),"",TEXT(Requests!$P118,"yyyy-mm"))</f>
        <v/>
      </c>
      <c r="C118" s="22" t="str">
        <f aca="false">IF(Requests!$A118="","",Requests!$C118)</f>
        <v/>
      </c>
      <c r="D118" s="22" t="str">
        <f aca="false">IF(Requests!$A118="","",Requests!$K118)</f>
        <v/>
      </c>
      <c r="E118" s="22" t="str">
        <f aca="false">IF(Requests!$A118="","",Requests!$B118)</f>
        <v/>
      </c>
      <c r="F118" s="25" t="str">
        <f aca="false">IF(Requests!$A118="","",Requests!$AD118)</f>
        <v/>
      </c>
      <c r="G118" s="25" t="str">
        <f aca="false">IF(Requests!$A118="","",Requests!$AJ118)</f>
        <v/>
      </c>
      <c r="H118" s="25" t="str">
        <f aca="false">IF(OR(Requests!$A118="",Requests!$AJ118=""),"",Requests!$AD118-Requests!$AJ118)</f>
        <v/>
      </c>
      <c r="I118" s="25" t="str">
        <f aca="false">IF(Requests!$A118="","",Requests!$AM118)</f>
        <v/>
      </c>
      <c r="J118" s="23" t="str">
        <f aca="false">IF(OR(Requests!$A118="",Requests!$AS118=""),"",Requests!$AS118)</f>
        <v/>
      </c>
      <c r="K118" s="23" t="str">
        <f aca="false">IF(OR(Requests!$A118="",Requests!$AU118=""),"",Requests!$AU118)</f>
        <v/>
      </c>
      <c r="L118" s="22" t="str">
        <f aca="false">IF(Requests!$A118="","",IF(AND(Requests!$AJ118&lt;&gt;"",Requests!$AS118&lt;&gt;"",Requests!$AU118&lt;&gt;""),"Yes","Open"))</f>
        <v/>
      </c>
    </row>
    <row r="119" customFormat="false" ht="15" hidden="false" customHeight="false" outlineLevel="0" collapsed="false">
      <c r="A119" s="27" t="str">
        <f aca="false">IF(Requests!$A119="","",Requests!$A119)</f>
        <v/>
      </c>
      <c r="B119" s="27" t="str">
        <f aca="false">IF(OR(Requests!$A119="",Requests!$P119=""),"",TEXT(Requests!$P119,"yyyy-mm"))</f>
        <v/>
      </c>
      <c r="C119" s="27" t="str">
        <f aca="false">IF(Requests!$A119="","",Requests!$C119)</f>
        <v/>
      </c>
      <c r="D119" s="27" t="str">
        <f aca="false">IF(Requests!$A119="","",Requests!$K119)</f>
        <v/>
      </c>
      <c r="E119" s="27" t="str">
        <f aca="false">IF(Requests!$A119="","",Requests!$B119)</f>
        <v/>
      </c>
      <c r="F119" s="30" t="str">
        <f aca="false">IF(Requests!$A119="","",Requests!$AD119)</f>
        <v/>
      </c>
      <c r="G119" s="30" t="str">
        <f aca="false">IF(Requests!$A119="","",Requests!$AJ119)</f>
        <v/>
      </c>
      <c r="H119" s="30" t="str">
        <f aca="false">IF(OR(Requests!$A119="",Requests!$AJ119=""),"",Requests!$AD119-Requests!$AJ119)</f>
        <v/>
      </c>
      <c r="I119" s="30" t="str">
        <f aca="false">IF(Requests!$A119="","",Requests!$AM119)</f>
        <v/>
      </c>
      <c r="J119" s="28" t="str">
        <f aca="false">IF(OR(Requests!$A119="",Requests!$AS119=""),"",Requests!$AS119)</f>
        <v/>
      </c>
      <c r="K119" s="28" t="str">
        <f aca="false">IF(OR(Requests!$A119="",Requests!$AU119=""),"",Requests!$AU119)</f>
        <v/>
      </c>
      <c r="L119" s="27" t="str">
        <f aca="false">IF(Requests!$A119="","",IF(AND(Requests!$AJ119&lt;&gt;"",Requests!$AS119&lt;&gt;"",Requests!$AU119&lt;&gt;""),"Yes","Open"))</f>
        <v/>
      </c>
    </row>
    <row r="120" customFormat="false" ht="15" hidden="false" customHeight="false" outlineLevel="0" collapsed="false">
      <c r="A120" s="22" t="str">
        <f aca="false">IF(Requests!$A120="","",Requests!$A120)</f>
        <v/>
      </c>
      <c r="B120" s="22" t="str">
        <f aca="false">IF(OR(Requests!$A120="",Requests!$P120=""),"",TEXT(Requests!$P120,"yyyy-mm"))</f>
        <v/>
      </c>
      <c r="C120" s="22" t="str">
        <f aca="false">IF(Requests!$A120="","",Requests!$C120)</f>
        <v/>
      </c>
      <c r="D120" s="22" t="str">
        <f aca="false">IF(Requests!$A120="","",Requests!$K120)</f>
        <v/>
      </c>
      <c r="E120" s="22" t="str">
        <f aca="false">IF(Requests!$A120="","",Requests!$B120)</f>
        <v/>
      </c>
      <c r="F120" s="25" t="str">
        <f aca="false">IF(Requests!$A120="","",Requests!$AD120)</f>
        <v/>
      </c>
      <c r="G120" s="25" t="str">
        <f aca="false">IF(Requests!$A120="","",Requests!$AJ120)</f>
        <v/>
      </c>
      <c r="H120" s="25" t="str">
        <f aca="false">IF(OR(Requests!$A120="",Requests!$AJ120=""),"",Requests!$AD120-Requests!$AJ120)</f>
        <v/>
      </c>
      <c r="I120" s="25" t="str">
        <f aca="false">IF(Requests!$A120="","",Requests!$AM120)</f>
        <v/>
      </c>
      <c r="J120" s="23" t="str">
        <f aca="false">IF(OR(Requests!$A120="",Requests!$AS120=""),"",Requests!$AS120)</f>
        <v/>
      </c>
      <c r="K120" s="23" t="str">
        <f aca="false">IF(OR(Requests!$A120="",Requests!$AU120=""),"",Requests!$AU120)</f>
        <v/>
      </c>
      <c r="L120" s="22" t="str">
        <f aca="false">IF(Requests!$A120="","",IF(AND(Requests!$AJ120&lt;&gt;"",Requests!$AS120&lt;&gt;"",Requests!$AU120&lt;&gt;""),"Yes","Open"))</f>
        <v/>
      </c>
    </row>
    <row r="121" customFormat="false" ht="15" hidden="false" customHeight="false" outlineLevel="0" collapsed="false">
      <c r="A121" s="27" t="str">
        <f aca="false">IF(Requests!$A121="","",Requests!$A121)</f>
        <v/>
      </c>
      <c r="B121" s="27" t="str">
        <f aca="false">IF(OR(Requests!$A121="",Requests!$P121=""),"",TEXT(Requests!$P121,"yyyy-mm"))</f>
        <v/>
      </c>
      <c r="C121" s="27" t="str">
        <f aca="false">IF(Requests!$A121="","",Requests!$C121)</f>
        <v/>
      </c>
      <c r="D121" s="27" t="str">
        <f aca="false">IF(Requests!$A121="","",Requests!$K121)</f>
        <v/>
      </c>
      <c r="E121" s="27" t="str">
        <f aca="false">IF(Requests!$A121="","",Requests!$B121)</f>
        <v/>
      </c>
      <c r="F121" s="30" t="str">
        <f aca="false">IF(Requests!$A121="","",Requests!$AD121)</f>
        <v/>
      </c>
      <c r="G121" s="30" t="str">
        <f aca="false">IF(Requests!$A121="","",Requests!$AJ121)</f>
        <v/>
      </c>
      <c r="H121" s="30" t="str">
        <f aca="false">IF(OR(Requests!$A121="",Requests!$AJ121=""),"",Requests!$AD121-Requests!$AJ121)</f>
        <v/>
      </c>
      <c r="I121" s="30" t="str">
        <f aca="false">IF(Requests!$A121="","",Requests!$AM121)</f>
        <v/>
      </c>
      <c r="J121" s="28" t="str">
        <f aca="false">IF(OR(Requests!$A121="",Requests!$AS121=""),"",Requests!$AS121)</f>
        <v/>
      </c>
      <c r="K121" s="28" t="str">
        <f aca="false">IF(OR(Requests!$A121="",Requests!$AU121=""),"",Requests!$AU121)</f>
        <v/>
      </c>
      <c r="L121" s="27" t="str">
        <f aca="false">IF(Requests!$A121="","",IF(AND(Requests!$AJ121&lt;&gt;"",Requests!$AS121&lt;&gt;"",Requests!$AU121&lt;&gt;""),"Yes","Open"))</f>
        <v/>
      </c>
    </row>
    <row r="122" customFormat="false" ht="15" hidden="false" customHeight="false" outlineLevel="0" collapsed="false">
      <c r="A122" s="22" t="str">
        <f aca="false">IF(Requests!$A122="","",Requests!$A122)</f>
        <v/>
      </c>
      <c r="B122" s="22" t="str">
        <f aca="false">IF(OR(Requests!$A122="",Requests!$P122=""),"",TEXT(Requests!$P122,"yyyy-mm"))</f>
        <v/>
      </c>
      <c r="C122" s="22" t="str">
        <f aca="false">IF(Requests!$A122="","",Requests!$C122)</f>
        <v/>
      </c>
      <c r="D122" s="22" t="str">
        <f aca="false">IF(Requests!$A122="","",Requests!$K122)</f>
        <v/>
      </c>
      <c r="E122" s="22" t="str">
        <f aca="false">IF(Requests!$A122="","",Requests!$B122)</f>
        <v/>
      </c>
      <c r="F122" s="25" t="str">
        <f aca="false">IF(Requests!$A122="","",Requests!$AD122)</f>
        <v/>
      </c>
      <c r="G122" s="25" t="str">
        <f aca="false">IF(Requests!$A122="","",Requests!$AJ122)</f>
        <v/>
      </c>
      <c r="H122" s="25" t="str">
        <f aca="false">IF(OR(Requests!$A122="",Requests!$AJ122=""),"",Requests!$AD122-Requests!$AJ122)</f>
        <v/>
      </c>
      <c r="I122" s="25" t="str">
        <f aca="false">IF(Requests!$A122="","",Requests!$AM122)</f>
        <v/>
      </c>
      <c r="J122" s="23" t="str">
        <f aca="false">IF(OR(Requests!$A122="",Requests!$AS122=""),"",Requests!$AS122)</f>
        <v/>
      </c>
      <c r="K122" s="23" t="str">
        <f aca="false">IF(OR(Requests!$A122="",Requests!$AU122=""),"",Requests!$AU122)</f>
        <v/>
      </c>
      <c r="L122" s="22" t="str">
        <f aca="false">IF(Requests!$A122="","",IF(AND(Requests!$AJ122&lt;&gt;"",Requests!$AS122&lt;&gt;"",Requests!$AU122&lt;&gt;""),"Yes","Open"))</f>
        <v/>
      </c>
    </row>
    <row r="123" customFormat="false" ht="15" hidden="false" customHeight="false" outlineLevel="0" collapsed="false">
      <c r="A123" s="27" t="str">
        <f aca="false">IF(Requests!$A123="","",Requests!$A123)</f>
        <v/>
      </c>
      <c r="B123" s="27" t="str">
        <f aca="false">IF(OR(Requests!$A123="",Requests!$P123=""),"",TEXT(Requests!$P123,"yyyy-mm"))</f>
        <v/>
      </c>
      <c r="C123" s="27" t="str">
        <f aca="false">IF(Requests!$A123="","",Requests!$C123)</f>
        <v/>
      </c>
      <c r="D123" s="27" t="str">
        <f aca="false">IF(Requests!$A123="","",Requests!$K123)</f>
        <v/>
      </c>
      <c r="E123" s="27" t="str">
        <f aca="false">IF(Requests!$A123="","",Requests!$B123)</f>
        <v/>
      </c>
      <c r="F123" s="30" t="str">
        <f aca="false">IF(Requests!$A123="","",Requests!$AD123)</f>
        <v/>
      </c>
      <c r="G123" s="30" t="str">
        <f aca="false">IF(Requests!$A123="","",Requests!$AJ123)</f>
        <v/>
      </c>
      <c r="H123" s="30" t="str">
        <f aca="false">IF(OR(Requests!$A123="",Requests!$AJ123=""),"",Requests!$AD123-Requests!$AJ123)</f>
        <v/>
      </c>
      <c r="I123" s="30" t="str">
        <f aca="false">IF(Requests!$A123="","",Requests!$AM123)</f>
        <v/>
      </c>
      <c r="J123" s="28" t="str">
        <f aca="false">IF(OR(Requests!$A123="",Requests!$AS123=""),"",Requests!$AS123)</f>
        <v/>
      </c>
      <c r="K123" s="28" t="str">
        <f aca="false">IF(OR(Requests!$A123="",Requests!$AU123=""),"",Requests!$AU123)</f>
        <v/>
      </c>
      <c r="L123" s="27" t="str">
        <f aca="false">IF(Requests!$A123="","",IF(AND(Requests!$AJ123&lt;&gt;"",Requests!$AS123&lt;&gt;"",Requests!$AU123&lt;&gt;""),"Yes","Open"))</f>
        <v/>
      </c>
    </row>
    <row r="124" customFormat="false" ht="15" hidden="false" customHeight="false" outlineLevel="0" collapsed="false">
      <c r="A124" s="22" t="str">
        <f aca="false">IF(Requests!$A124="","",Requests!$A124)</f>
        <v/>
      </c>
      <c r="B124" s="22" t="str">
        <f aca="false">IF(OR(Requests!$A124="",Requests!$P124=""),"",TEXT(Requests!$P124,"yyyy-mm"))</f>
        <v/>
      </c>
      <c r="C124" s="22" t="str">
        <f aca="false">IF(Requests!$A124="","",Requests!$C124)</f>
        <v/>
      </c>
      <c r="D124" s="22" t="str">
        <f aca="false">IF(Requests!$A124="","",Requests!$K124)</f>
        <v/>
      </c>
      <c r="E124" s="22" t="str">
        <f aca="false">IF(Requests!$A124="","",Requests!$B124)</f>
        <v/>
      </c>
      <c r="F124" s="25" t="str">
        <f aca="false">IF(Requests!$A124="","",Requests!$AD124)</f>
        <v/>
      </c>
      <c r="G124" s="25" t="str">
        <f aca="false">IF(Requests!$A124="","",Requests!$AJ124)</f>
        <v/>
      </c>
      <c r="H124" s="25" t="str">
        <f aca="false">IF(OR(Requests!$A124="",Requests!$AJ124=""),"",Requests!$AD124-Requests!$AJ124)</f>
        <v/>
      </c>
      <c r="I124" s="25" t="str">
        <f aca="false">IF(Requests!$A124="","",Requests!$AM124)</f>
        <v/>
      </c>
      <c r="J124" s="23" t="str">
        <f aca="false">IF(OR(Requests!$A124="",Requests!$AS124=""),"",Requests!$AS124)</f>
        <v/>
      </c>
      <c r="K124" s="23" t="str">
        <f aca="false">IF(OR(Requests!$A124="",Requests!$AU124=""),"",Requests!$AU124)</f>
        <v/>
      </c>
      <c r="L124" s="22" t="str">
        <f aca="false">IF(Requests!$A124="","",IF(AND(Requests!$AJ124&lt;&gt;"",Requests!$AS124&lt;&gt;"",Requests!$AU124&lt;&gt;""),"Yes","Open"))</f>
        <v/>
      </c>
    </row>
    <row r="125" customFormat="false" ht="15" hidden="false" customHeight="false" outlineLevel="0" collapsed="false">
      <c r="A125" s="27" t="str">
        <f aca="false">IF(Requests!$A125="","",Requests!$A125)</f>
        <v/>
      </c>
      <c r="B125" s="27" t="str">
        <f aca="false">IF(OR(Requests!$A125="",Requests!$P125=""),"",TEXT(Requests!$P125,"yyyy-mm"))</f>
        <v/>
      </c>
      <c r="C125" s="27" t="str">
        <f aca="false">IF(Requests!$A125="","",Requests!$C125)</f>
        <v/>
      </c>
      <c r="D125" s="27" t="str">
        <f aca="false">IF(Requests!$A125="","",Requests!$K125)</f>
        <v/>
      </c>
      <c r="E125" s="27" t="str">
        <f aca="false">IF(Requests!$A125="","",Requests!$B125)</f>
        <v/>
      </c>
      <c r="F125" s="30" t="str">
        <f aca="false">IF(Requests!$A125="","",Requests!$AD125)</f>
        <v/>
      </c>
      <c r="G125" s="30" t="str">
        <f aca="false">IF(Requests!$A125="","",Requests!$AJ125)</f>
        <v/>
      </c>
      <c r="H125" s="30" t="str">
        <f aca="false">IF(OR(Requests!$A125="",Requests!$AJ125=""),"",Requests!$AD125-Requests!$AJ125)</f>
        <v/>
      </c>
      <c r="I125" s="30" t="str">
        <f aca="false">IF(Requests!$A125="","",Requests!$AM125)</f>
        <v/>
      </c>
      <c r="J125" s="28" t="str">
        <f aca="false">IF(OR(Requests!$A125="",Requests!$AS125=""),"",Requests!$AS125)</f>
        <v/>
      </c>
      <c r="K125" s="28" t="str">
        <f aca="false">IF(OR(Requests!$A125="",Requests!$AU125=""),"",Requests!$AU125)</f>
        <v/>
      </c>
      <c r="L125" s="27" t="str">
        <f aca="false">IF(Requests!$A125="","",IF(AND(Requests!$AJ125&lt;&gt;"",Requests!$AS125&lt;&gt;"",Requests!$AU125&lt;&gt;""),"Yes","Open"))</f>
        <v/>
      </c>
    </row>
    <row r="126" customFormat="false" ht="15" hidden="false" customHeight="false" outlineLevel="0" collapsed="false">
      <c r="A126" s="22" t="str">
        <f aca="false">IF(Requests!$A126="","",Requests!$A126)</f>
        <v/>
      </c>
      <c r="B126" s="22" t="str">
        <f aca="false">IF(OR(Requests!$A126="",Requests!$P126=""),"",TEXT(Requests!$P126,"yyyy-mm"))</f>
        <v/>
      </c>
      <c r="C126" s="22" t="str">
        <f aca="false">IF(Requests!$A126="","",Requests!$C126)</f>
        <v/>
      </c>
      <c r="D126" s="22" t="str">
        <f aca="false">IF(Requests!$A126="","",Requests!$K126)</f>
        <v/>
      </c>
      <c r="E126" s="22" t="str">
        <f aca="false">IF(Requests!$A126="","",Requests!$B126)</f>
        <v/>
      </c>
      <c r="F126" s="25" t="str">
        <f aca="false">IF(Requests!$A126="","",Requests!$AD126)</f>
        <v/>
      </c>
      <c r="G126" s="25" t="str">
        <f aca="false">IF(Requests!$A126="","",Requests!$AJ126)</f>
        <v/>
      </c>
      <c r="H126" s="25" t="str">
        <f aca="false">IF(OR(Requests!$A126="",Requests!$AJ126=""),"",Requests!$AD126-Requests!$AJ126)</f>
        <v/>
      </c>
      <c r="I126" s="25" t="str">
        <f aca="false">IF(Requests!$A126="","",Requests!$AM126)</f>
        <v/>
      </c>
      <c r="J126" s="23" t="str">
        <f aca="false">IF(OR(Requests!$A126="",Requests!$AS126=""),"",Requests!$AS126)</f>
        <v/>
      </c>
      <c r="K126" s="23" t="str">
        <f aca="false">IF(OR(Requests!$A126="",Requests!$AU126=""),"",Requests!$AU126)</f>
        <v/>
      </c>
      <c r="L126" s="22" t="str">
        <f aca="false">IF(Requests!$A126="","",IF(AND(Requests!$AJ126&lt;&gt;"",Requests!$AS126&lt;&gt;"",Requests!$AU126&lt;&gt;""),"Yes","Open"))</f>
        <v/>
      </c>
    </row>
    <row r="127" customFormat="false" ht="15" hidden="false" customHeight="false" outlineLevel="0" collapsed="false">
      <c r="A127" s="27" t="str">
        <f aca="false">IF(Requests!$A127="","",Requests!$A127)</f>
        <v/>
      </c>
      <c r="B127" s="27" t="str">
        <f aca="false">IF(OR(Requests!$A127="",Requests!$P127=""),"",TEXT(Requests!$P127,"yyyy-mm"))</f>
        <v/>
      </c>
      <c r="C127" s="27" t="str">
        <f aca="false">IF(Requests!$A127="","",Requests!$C127)</f>
        <v/>
      </c>
      <c r="D127" s="27" t="str">
        <f aca="false">IF(Requests!$A127="","",Requests!$K127)</f>
        <v/>
      </c>
      <c r="E127" s="27" t="str">
        <f aca="false">IF(Requests!$A127="","",Requests!$B127)</f>
        <v/>
      </c>
      <c r="F127" s="30" t="str">
        <f aca="false">IF(Requests!$A127="","",Requests!$AD127)</f>
        <v/>
      </c>
      <c r="G127" s="30" t="str">
        <f aca="false">IF(Requests!$A127="","",Requests!$AJ127)</f>
        <v/>
      </c>
      <c r="H127" s="30" t="str">
        <f aca="false">IF(OR(Requests!$A127="",Requests!$AJ127=""),"",Requests!$AD127-Requests!$AJ127)</f>
        <v/>
      </c>
      <c r="I127" s="30" t="str">
        <f aca="false">IF(Requests!$A127="","",Requests!$AM127)</f>
        <v/>
      </c>
      <c r="J127" s="28" t="str">
        <f aca="false">IF(OR(Requests!$A127="",Requests!$AS127=""),"",Requests!$AS127)</f>
        <v/>
      </c>
      <c r="K127" s="28" t="str">
        <f aca="false">IF(OR(Requests!$A127="",Requests!$AU127=""),"",Requests!$AU127)</f>
        <v/>
      </c>
      <c r="L127" s="27" t="str">
        <f aca="false">IF(Requests!$A127="","",IF(AND(Requests!$AJ127&lt;&gt;"",Requests!$AS127&lt;&gt;"",Requests!$AU127&lt;&gt;""),"Yes","Open"))</f>
        <v/>
      </c>
    </row>
    <row r="128" customFormat="false" ht="15" hidden="false" customHeight="false" outlineLevel="0" collapsed="false">
      <c r="A128" s="22" t="str">
        <f aca="false">IF(Requests!$A128="","",Requests!$A128)</f>
        <v/>
      </c>
      <c r="B128" s="22" t="str">
        <f aca="false">IF(OR(Requests!$A128="",Requests!$P128=""),"",TEXT(Requests!$P128,"yyyy-mm"))</f>
        <v/>
      </c>
      <c r="C128" s="22" t="str">
        <f aca="false">IF(Requests!$A128="","",Requests!$C128)</f>
        <v/>
      </c>
      <c r="D128" s="22" t="str">
        <f aca="false">IF(Requests!$A128="","",Requests!$K128)</f>
        <v/>
      </c>
      <c r="E128" s="22" t="str">
        <f aca="false">IF(Requests!$A128="","",Requests!$B128)</f>
        <v/>
      </c>
      <c r="F128" s="25" t="str">
        <f aca="false">IF(Requests!$A128="","",Requests!$AD128)</f>
        <v/>
      </c>
      <c r="G128" s="25" t="str">
        <f aca="false">IF(Requests!$A128="","",Requests!$AJ128)</f>
        <v/>
      </c>
      <c r="H128" s="25" t="str">
        <f aca="false">IF(OR(Requests!$A128="",Requests!$AJ128=""),"",Requests!$AD128-Requests!$AJ128)</f>
        <v/>
      </c>
      <c r="I128" s="25" t="str">
        <f aca="false">IF(Requests!$A128="","",Requests!$AM128)</f>
        <v/>
      </c>
      <c r="J128" s="23" t="str">
        <f aca="false">IF(OR(Requests!$A128="",Requests!$AS128=""),"",Requests!$AS128)</f>
        <v/>
      </c>
      <c r="K128" s="23" t="str">
        <f aca="false">IF(OR(Requests!$A128="",Requests!$AU128=""),"",Requests!$AU128)</f>
        <v/>
      </c>
      <c r="L128" s="22" t="str">
        <f aca="false">IF(Requests!$A128="","",IF(AND(Requests!$AJ128&lt;&gt;"",Requests!$AS128&lt;&gt;"",Requests!$AU128&lt;&gt;""),"Yes","Open"))</f>
        <v/>
      </c>
    </row>
    <row r="129" customFormat="false" ht="15" hidden="false" customHeight="false" outlineLevel="0" collapsed="false">
      <c r="A129" s="27" t="str">
        <f aca="false">IF(Requests!$A129="","",Requests!$A129)</f>
        <v/>
      </c>
      <c r="B129" s="27" t="str">
        <f aca="false">IF(OR(Requests!$A129="",Requests!$P129=""),"",TEXT(Requests!$P129,"yyyy-mm"))</f>
        <v/>
      </c>
      <c r="C129" s="27" t="str">
        <f aca="false">IF(Requests!$A129="","",Requests!$C129)</f>
        <v/>
      </c>
      <c r="D129" s="27" t="str">
        <f aca="false">IF(Requests!$A129="","",Requests!$K129)</f>
        <v/>
      </c>
      <c r="E129" s="27" t="str">
        <f aca="false">IF(Requests!$A129="","",Requests!$B129)</f>
        <v/>
      </c>
      <c r="F129" s="30" t="str">
        <f aca="false">IF(Requests!$A129="","",Requests!$AD129)</f>
        <v/>
      </c>
      <c r="G129" s="30" t="str">
        <f aca="false">IF(Requests!$A129="","",Requests!$AJ129)</f>
        <v/>
      </c>
      <c r="H129" s="30" t="str">
        <f aca="false">IF(OR(Requests!$A129="",Requests!$AJ129=""),"",Requests!$AD129-Requests!$AJ129)</f>
        <v/>
      </c>
      <c r="I129" s="30" t="str">
        <f aca="false">IF(Requests!$A129="","",Requests!$AM129)</f>
        <v/>
      </c>
      <c r="J129" s="28" t="str">
        <f aca="false">IF(OR(Requests!$A129="",Requests!$AS129=""),"",Requests!$AS129)</f>
        <v/>
      </c>
      <c r="K129" s="28" t="str">
        <f aca="false">IF(OR(Requests!$A129="",Requests!$AU129=""),"",Requests!$AU129)</f>
        <v/>
      </c>
      <c r="L129" s="27" t="str">
        <f aca="false">IF(Requests!$A129="","",IF(AND(Requests!$AJ129&lt;&gt;"",Requests!$AS129&lt;&gt;"",Requests!$AU129&lt;&gt;""),"Yes","Open"))</f>
        <v/>
      </c>
    </row>
    <row r="130" customFormat="false" ht="15" hidden="false" customHeight="false" outlineLevel="0" collapsed="false">
      <c r="A130" s="22" t="str">
        <f aca="false">IF(Requests!$A130="","",Requests!$A130)</f>
        <v/>
      </c>
      <c r="B130" s="22" t="str">
        <f aca="false">IF(OR(Requests!$A130="",Requests!$P130=""),"",TEXT(Requests!$P130,"yyyy-mm"))</f>
        <v/>
      </c>
      <c r="C130" s="22" t="str">
        <f aca="false">IF(Requests!$A130="","",Requests!$C130)</f>
        <v/>
      </c>
      <c r="D130" s="22" t="str">
        <f aca="false">IF(Requests!$A130="","",Requests!$K130)</f>
        <v/>
      </c>
      <c r="E130" s="22" t="str">
        <f aca="false">IF(Requests!$A130="","",Requests!$B130)</f>
        <v/>
      </c>
      <c r="F130" s="25" t="str">
        <f aca="false">IF(Requests!$A130="","",Requests!$AD130)</f>
        <v/>
      </c>
      <c r="G130" s="25" t="str">
        <f aca="false">IF(Requests!$A130="","",Requests!$AJ130)</f>
        <v/>
      </c>
      <c r="H130" s="25" t="str">
        <f aca="false">IF(OR(Requests!$A130="",Requests!$AJ130=""),"",Requests!$AD130-Requests!$AJ130)</f>
        <v/>
      </c>
      <c r="I130" s="25" t="str">
        <f aca="false">IF(Requests!$A130="","",Requests!$AM130)</f>
        <v/>
      </c>
      <c r="J130" s="23" t="str">
        <f aca="false">IF(OR(Requests!$A130="",Requests!$AS130=""),"",Requests!$AS130)</f>
        <v/>
      </c>
      <c r="K130" s="23" t="str">
        <f aca="false">IF(OR(Requests!$A130="",Requests!$AU130=""),"",Requests!$AU130)</f>
        <v/>
      </c>
      <c r="L130" s="22" t="str">
        <f aca="false">IF(Requests!$A130="","",IF(AND(Requests!$AJ130&lt;&gt;"",Requests!$AS130&lt;&gt;"",Requests!$AU130&lt;&gt;""),"Yes","Open"))</f>
        <v/>
      </c>
    </row>
    <row r="131" customFormat="false" ht="15" hidden="false" customHeight="false" outlineLevel="0" collapsed="false">
      <c r="A131" s="27" t="str">
        <f aca="false">IF(Requests!$A131="","",Requests!$A131)</f>
        <v/>
      </c>
      <c r="B131" s="27" t="str">
        <f aca="false">IF(OR(Requests!$A131="",Requests!$P131=""),"",TEXT(Requests!$P131,"yyyy-mm"))</f>
        <v/>
      </c>
      <c r="C131" s="27" t="str">
        <f aca="false">IF(Requests!$A131="","",Requests!$C131)</f>
        <v/>
      </c>
      <c r="D131" s="27" t="str">
        <f aca="false">IF(Requests!$A131="","",Requests!$K131)</f>
        <v/>
      </c>
      <c r="E131" s="27" t="str">
        <f aca="false">IF(Requests!$A131="","",Requests!$B131)</f>
        <v/>
      </c>
      <c r="F131" s="30" t="str">
        <f aca="false">IF(Requests!$A131="","",Requests!$AD131)</f>
        <v/>
      </c>
      <c r="G131" s="30" t="str">
        <f aca="false">IF(Requests!$A131="","",Requests!$AJ131)</f>
        <v/>
      </c>
      <c r="H131" s="30" t="str">
        <f aca="false">IF(OR(Requests!$A131="",Requests!$AJ131=""),"",Requests!$AD131-Requests!$AJ131)</f>
        <v/>
      </c>
      <c r="I131" s="30" t="str">
        <f aca="false">IF(Requests!$A131="","",Requests!$AM131)</f>
        <v/>
      </c>
      <c r="J131" s="28" t="str">
        <f aca="false">IF(OR(Requests!$A131="",Requests!$AS131=""),"",Requests!$AS131)</f>
        <v/>
      </c>
      <c r="K131" s="28" t="str">
        <f aca="false">IF(OR(Requests!$A131="",Requests!$AU131=""),"",Requests!$AU131)</f>
        <v/>
      </c>
      <c r="L131" s="27" t="str">
        <f aca="false">IF(Requests!$A131="","",IF(AND(Requests!$AJ131&lt;&gt;"",Requests!$AS131&lt;&gt;"",Requests!$AU131&lt;&gt;""),"Yes","Open"))</f>
        <v/>
      </c>
    </row>
    <row r="132" customFormat="false" ht="15" hidden="false" customHeight="false" outlineLevel="0" collapsed="false">
      <c r="A132" s="22" t="str">
        <f aca="false">IF(Requests!$A132="","",Requests!$A132)</f>
        <v/>
      </c>
      <c r="B132" s="22" t="str">
        <f aca="false">IF(OR(Requests!$A132="",Requests!$P132=""),"",TEXT(Requests!$P132,"yyyy-mm"))</f>
        <v/>
      </c>
      <c r="C132" s="22" t="str">
        <f aca="false">IF(Requests!$A132="","",Requests!$C132)</f>
        <v/>
      </c>
      <c r="D132" s="22" t="str">
        <f aca="false">IF(Requests!$A132="","",Requests!$K132)</f>
        <v/>
      </c>
      <c r="E132" s="22" t="str">
        <f aca="false">IF(Requests!$A132="","",Requests!$B132)</f>
        <v/>
      </c>
      <c r="F132" s="25" t="str">
        <f aca="false">IF(Requests!$A132="","",Requests!$AD132)</f>
        <v/>
      </c>
      <c r="G132" s="25" t="str">
        <f aca="false">IF(Requests!$A132="","",Requests!$AJ132)</f>
        <v/>
      </c>
      <c r="H132" s="25" t="str">
        <f aca="false">IF(OR(Requests!$A132="",Requests!$AJ132=""),"",Requests!$AD132-Requests!$AJ132)</f>
        <v/>
      </c>
      <c r="I132" s="25" t="str">
        <f aca="false">IF(Requests!$A132="","",Requests!$AM132)</f>
        <v/>
      </c>
      <c r="J132" s="23" t="str">
        <f aca="false">IF(OR(Requests!$A132="",Requests!$AS132=""),"",Requests!$AS132)</f>
        <v/>
      </c>
      <c r="K132" s="23" t="str">
        <f aca="false">IF(OR(Requests!$A132="",Requests!$AU132=""),"",Requests!$AU132)</f>
        <v/>
      </c>
      <c r="L132" s="22" t="str">
        <f aca="false">IF(Requests!$A132="","",IF(AND(Requests!$AJ132&lt;&gt;"",Requests!$AS132&lt;&gt;"",Requests!$AU132&lt;&gt;""),"Yes","Open"))</f>
        <v/>
      </c>
    </row>
    <row r="133" customFormat="false" ht="15" hidden="false" customHeight="false" outlineLevel="0" collapsed="false">
      <c r="A133" s="27" t="str">
        <f aca="false">IF(Requests!$A133="","",Requests!$A133)</f>
        <v/>
      </c>
      <c r="B133" s="27" t="str">
        <f aca="false">IF(OR(Requests!$A133="",Requests!$P133=""),"",TEXT(Requests!$P133,"yyyy-mm"))</f>
        <v/>
      </c>
      <c r="C133" s="27" t="str">
        <f aca="false">IF(Requests!$A133="","",Requests!$C133)</f>
        <v/>
      </c>
      <c r="D133" s="27" t="str">
        <f aca="false">IF(Requests!$A133="","",Requests!$K133)</f>
        <v/>
      </c>
      <c r="E133" s="27" t="str">
        <f aca="false">IF(Requests!$A133="","",Requests!$B133)</f>
        <v/>
      </c>
      <c r="F133" s="30" t="str">
        <f aca="false">IF(Requests!$A133="","",Requests!$AD133)</f>
        <v/>
      </c>
      <c r="G133" s="30" t="str">
        <f aca="false">IF(Requests!$A133="","",Requests!$AJ133)</f>
        <v/>
      </c>
      <c r="H133" s="30" t="str">
        <f aca="false">IF(OR(Requests!$A133="",Requests!$AJ133=""),"",Requests!$AD133-Requests!$AJ133)</f>
        <v/>
      </c>
      <c r="I133" s="30" t="str">
        <f aca="false">IF(Requests!$A133="","",Requests!$AM133)</f>
        <v/>
      </c>
      <c r="J133" s="28" t="str">
        <f aca="false">IF(OR(Requests!$A133="",Requests!$AS133=""),"",Requests!$AS133)</f>
        <v/>
      </c>
      <c r="K133" s="28" t="str">
        <f aca="false">IF(OR(Requests!$A133="",Requests!$AU133=""),"",Requests!$AU133)</f>
        <v/>
      </c>
      <c r="L133" s="27" t="str">
        <f aca="false">IF(Requests!$A133="","",IF(AND(Requests!$AJ133&lt;&gt;"",Requests!$AS133&lt;&gt;"",Requests!$AU133&lt;&gt;""),"Yes","Open"))</f>
        <v/>
      </c>
    </row>
    <row r="134" customFormat="false" ht="15" hidden="false" customHeight="false" outlineLevel="0" collapsed="false">
      <c r="A134" s="22" t="str">
        <f aca="false">IF(Requests!$A134="","",Requests!$A134)</f>
        <v/>
      </c>
      <c r="B134" s="22" t="str">
        <f aca="false">IF(OR(Requests!$A134="",Requests!$P134=""),"",TEXT(Requests!$P134,"yyyy-mm"))</f>
        <v/>
      </c>
      <c r="C134" s="22" t="str">
        <f aca="false">IF(Requests!$A134="","",Requests!$C134)</f>
        <v/>
      </c>
      <c r="D134" s="22" t="str">
        <f aca="false">IF(Requests!$A134="","",Requests!$K134)</f>
        <v/>
      </c>
      <c r="E134" s="22" t="str">
        <f aca="false">IF(Requests!$A134="","",Requests!$B134)</f>
        <v/>
      </c>
      <c r="F134" s="25" t="str">
        <f aca="false">IF(Requests!$A134="","",Requests!$AD134)</f>
        <v/>
      </c>
      <c r="G134" s="25" t="str">
        <f aca="false">IF(Requests!$A134="","",Requests!$AJ134)</f>
        <v/>
      </c>
      <c r="H134" s="25" t="str">
        <f aca="false">IF(OR(Requests!$A134="",Requests!$AJ134=""),"",Requests!$AD134-Requests!$AJ134)</f>
        <v/>
      </c>
      <c r="I134" s="25" t="str">
        <f aca="false">IF(Requests!$A134="","",Requests!$AM134)</f>
        <v/>
      </c>
      <c r="J134" s="23" t="str">
        <f aca="false">IF(OR(Requests!$A134="",Requests!$AS134=""),"",Requests!$AS134)</f>
        <v/>
      </c>
      <c r="K134" s="23" t="str">
        <f aca="false">IF(OR(Requests!$A134="",Requests!$AU134=""),"",Requests!$AU134)</f>
        <v/>
      </c>
      <c r="L134" s="22" t="str">
        <f aca="false">IF(Requests!$A134="","",IF(AND(Requests!$AJ134&lt;&gt;"",Requests!$AS134&lt;&gt;"",Requests!$AU134&lt;&gt;""),"Yes","Open"))</f>
        <v/>
      </c>
    </row>
    <row r="135" customFormat="false" ht="15" hidden="false" customHeight="false" outlineLevel="0" collapsed="false">
      <c r="A135" s="27" t="str">
        <f aca="false">IF(Requests!$A135="","",Requests!$A135)</f>
        <v/>
      </c>
      <c r="B135" s="27" t="str">
        <f aca="false">IF(OR(Requests!$A135="",Requests!$P135=""),"",TEXT(Requests!$P135,"yyyy-mm"))</f>
        <v/>
      </c>
      <c r="C135" s="27" t="str">
        <f aca="false">IF(Requests!$A135="","",Requests!$C135)</f>
        <v/>
      </c>
      <c r="D135" s="27" t="str">
        <f aca="false">IF(Requests!$A135="","",Requests!$K135)</f>
        <v/>
      </c>
      <c r="E135" s="27" t="str">
        <f aca="false">IF(Requests!$A135="","",Requests!$B135)</f>
        <v/>
      </c>
      <c r="F135" s="30" t="str">
        <f aca="false">IF(Requests!$A135="","",Requests!$AD135)</f>
        <v/>
      </c>
      <c r="G135" s="30" t="str">
        <f aca="false">IF(Requests!$A135="","",Requests!$AJ135)</f>
        <v/>
      </c>
      <c r="H135" s="30" t="str">
        <f aca="false">IF(OR(Requests!$A135="",Requests!$AJ135=""),"",Requests!$AD135-Requests!$AJ135)</f>
        <v/>
      </c>
      <c r="I135" s="30" t="str">
        <f aca="false">IF(Requests!$A135="","",Requests!$AM135)</f>
        <v/>
      </c>
      <c r="J135" s="28" t="str">
        <f aca="false">IF(OR(Requests!$A135="",Requests!$AS135=""),"",Requests!$AS135)</f>
        <v/>
      </c>
      <c r="K135" s="28" t="str">
        <f aca="false">IF(OR(Requests!$A135="",Requests!$AU135=""),"",Requests!$AU135)</f>
        <v/>
      </c>
      <c r="L135" s="27" t="str">
        <f aca="false">IF(Requests!$A135="","",IF(AND(Requests!$AJ135&lt;&gt;"",Requests!$AS135&lt;&gt;"",Requests!$AU135&lt;&gt;""),"Yes","Open"))</f>
        <v/>
      </c>
    </row>
    <row r="136" customFormat="false" ht="15" hidden="false" customHeight="false" outlineLevel="0" collapsed="false">
      <c r="A136" s="22" t="str">
        <f aca="false">IF(Requests!$A136="","",Requests!$A136)</f>
        <v/>
      </c>
      <c r="B136" s="22" t="str">
        <f aca="false">IF(OR(Requests!$A136="",Requests!$P136=""),"",TEXT(Requests!$P136,"yyyy-mm"))</f>
        <v/>
      </c>
      <c r="C136" s="22" t="str">
        <f aca="false">IF(Requests!$A136="","",Requests!$C136)</f>
        <v/>
      </c>
      <c r="D136" s="22" t="str">
        <f aca="false">IF(Requests!$A136="","",Requests!$K136)</f>
        <v/>
      </c>
      <c r="E136" s="22" t="str">
        <f aca="false">IF(Requests!$A136="","",Requests!$B136)</f>
        <v/>
      </c>
      <c r="F136" s="25" t="str">
        <f aca="false">IF(Requests!$A136="","",Requests!$AD136)</f>
        <v/>
      </c>
      <c r="G136" s="25" t="str">
        <f aca="false">IF(Requests!$A136="","",Requests!$AJ136)</f>
        <v/>
      </c>
      <c r="H136" s="25" t="str">
        <f aca="false">IF(OR(Requests!$A136="",Requests!$AJ136=""),"",Requests!$AD136-Requests!$AJ136)</f>
        <v/>
      </c>
      <c r="I136" s="25" t="str">
        <f aca="false">IF(Requests!$A136="","",Requests!$AM136)</f>
        <v/>
      </c>
      <c r="J136" s="23" t="str">
        <f aca="false">IF(OR(Requests!$A136="",Requests!$AS136=""),"",Requests!$AS136)</f>
        <v/>
      </c>
      <c r="K136" s="23" t="str">
        <f aca="false">IF(OR(Requests!$A136="",Requests!$AU136=""),"",Requests!$AU136)</f>
        <v/>
      </c>
      <c r="L136" s="22" t="str">
        <f aca="false">IF(Requests!$A136="","",IF(AND(Requests!$AJ136&lt;&gt;"",Requests!$AS136&lt;&gt;"",Requests!$AU136&lt;&gt;""),"Yes","Open"))</f>
        <v/>
      </c>
    </row>
    <row r="137" customFormat="false" ht="15" hidden="false" customHeight="false" outlineLevel="0" collapsed="false">
      <c r="A137" s="27" t="str">
        <f aca="false">IF(Requests!$A137="","",Requests!$A137)</f>
        <v/>
      </c>
      <c r="B137" s="27" t="str">
        <f aca="false">IF(OR(Requests!$A137="",Requests!$P137=""),"",TEXT(Requests!$P137,"yyyy-mm"))</f>
        <v/>
      </c>
      <c r="C137" s="27" t="str">
        <f aca="false">IF(Requests!$A137="","",Requests!$C137)</f>
        <v/>
      </c>
      <c r="D137" s="27" t="str">
        <f aca="false">IF(Requests!$A137="","",Requests!$K137)</f>
        <v/>
      </c>
      <c r="E137" s="27" t="str">
        <f aca="false">IF(Requests!$A137="","",Requests!$B137)</f>
        <v/>
      </c>
      <c r="F137" s="30" t="str">
        <f aca="false">IF(Requests!$A137="","",Requests!$AD137)</f>
        <v/>
      </c>
      <c r="G137" s="30" t="str">
        <f aca="false">IF(Requests!$A137="","",Requests!$AJ137)</f>
        <v/>
      </c>
      <c r="H137" s="30" t="str">
        <f aca="false">IF(OR(Requests!$A137="",Requests!$AJ137=""),"",Requests!$AD137-Requests!$AJ137)</f>
        <v/>
      </c>
      <c r="I137" s="30" t="str">
        <f aca="false">IF(Requests!$A137="","",Requests!$AM137)</f>
        <v/>
      </c>
      <c r="J137" s="28" t="str">
        <f aca="false">IF(OR(Requests!$A137="",Requests!$AS137=""),"",Requests!$AS137)</f>
        <v/>
      </c>
      <c r="K137" s="28" t="str">
        <f aca="false">IF(OR(Requests!$A137="",Requests!$AU137=""),"",Requests!$AU137)</f>
        <v/>
      </c>
      <c r="L137" s="27" t="str">
        <f aca="false">IF(Requests!$A137="","",IF(AND(Requests!$AJ137&lt;&gt;"",Requests!$AS137&lt;&gt;"",Requests!$AU137&lt;&gt;""),"Yes","Open"))</f>
        <v/>
      </c>
    </row>
    <row r="138" customFormat="false" ht="15" hidden="false" customHeight="false" outlineLevel="0" collapsed="false">
      <c r="A138" s="22" t="str">
        <f aca="false">IF(Requests!$A138="","",Requests!$A138)</f>
        <v/>
      </c>
      <c r="B138" s="22" t="str">
        <f aca="false">IF(OR(Requests!$A138="",Requests!$P138=""),"",TEXT(Requests!$P138,"yyyy-mm"))</f>
        <v/>
      </c>
      <c r="C138" s="22" t="str">
        <f aca="false">IF(Requests!$A138="","",Requests!$C138)</f>
        <v/>
      </c>
      <c r="D138" s="22" t="str">
        <f aca="false">IF(Requests!$A138="","",Requests!$K138)</f>
        <v/>
      </c>
      <c r="E138" s="22" t="str">
        <f aca="false">IF(Requests!$A138="","",Requests!$B138)</f>
        <v/>
      </c>
      <c r="F138" s="25" t="str">
        <f aca="false">IF(Requests!$A138="","",Requests!$AD138)</f>
        <v/>
      </c>
      <c r="G138" s="25" t="str">
        <f aca="false">IF(Requests!$A138="","",Requests!$AJ138)</f>
        <v/>
      </c>
      <c r="H138" s="25" t="str">
        <f aca="false">IF(OR(Requests!$A138="",Requests!$AJ138=""),"",Requests!$AD138-Requests!$AJ138)</f>
        <v/>
      </c>
      <c r="I138" s="25" t="str">
        <f aca="false">IF(Requests!$A138="","",Requests!$AM138)</f>
        <v/>
      </c>
      <c r="J138" s="23" t="str">
        <f aca="false">IF(OR(Requests!$A138="",Requests!$AS138=""),"",Requests!$AS138)</f>
        <v/>
      </c>
      <c r="K138" s="23" t="str">
        <f aca="false">IF(OR(Requests!$A138="",Requests!$AU138=""),"",Requests!$AU138)</f>
        <v/>
      </c>
      <c r="L138" s="22" t="str">
        <f aca="false">IF(Requests!$A138="","",IF(AND(Requests!$AJ138&lt;&gt;"",Requests!$AS138&lt;&gt;"",Requests!$AU138&lt;&gt;""),"Yes","Open"))</f>
        <v/>
      </c>
    </row>
    <row r="139" customFormat="false" ht="15" hidden="false" customHeight="false" outlineLevel="0" collapsed="false">
      <c r="A139" s="27" t="str">
        <f aca="false">IF(Requests!$A139="","",Requests!$A139)</f>
        <v/>
      </c>
      <c r="B139" s="27" t="str">
        <f aca="false">IF(OR(Requests!$A139="",Requests!$P139=""),"",TEXT(Requests!$P139,"yyyy-mm"))</f>
        <v/>
      </c>
      <c r="C139" s="27" t="str">
        <f aca="false">IF(Requests!$A139="","",Requests!$C139)</f>
        <v/>
      </c>
      <c r="D139" s="27" t="str">
        <f aca="false">IF(Requests!$A139="","",Requests!$K139)</f>
        <v/>
      </c>
      <c r="E139" s="27" t="str">
        <f aca="false">IF(Requests!$A139="","",Requests!$B139)</f>
        <v/>
      </c>
      <c r="F139" s="30" t="str">
        <f aca="false">IF(Requests!$A139="","",Requests!$AD139)</f>
        <v/>
      </c>
      <c r="G139" s="30" t="str">
        <f aca="false">IF(Requests!$A139="","",Requests!$AJ139)</f>
        <v/>
      </c>
      <c r="H139" s="30" t="str">
        <f aca="false">IF(OR(Requests!$A139="",Requests!$AJ139=""),"",Requests!$AD139-Requests!$AJ139)</f>
        <v/>
      </c>
      <c r="I139" s="30" t="str">
        <f aca="false">IF(Requests!$A139="","",Requests!$AM139)</f>
        <v/>
      </c>
      <c r="J139" s="28" t="str">
        <f aca="false">IF(OR(Requests!$A139="",Requests!$AS139=""),"",Requests!$AS139)</f>
        <v/>
      </c>
      <c r="K139" s="28" t="str">
        <f aca="false">IF(OR(Requests!$A139="",Requests!$AU139=""),"",Requests!$AU139)</f>
        <v/>
      </c>
      <c r="L139" s="27" t="str">
        <f aca="false">IF(Requests!$A139="","",IF(AND(Requests!$AJ139&lt;&gt;"",Requests!$AS139&lt;&gt;"",Requests!$AU139&lt;&gt;""),"Yes","Open"))</f>
        <v/>
      </c>
    </row>
    <row r="140" customFormat="false" ht="15" hidden="false" customHeight="false" outlineLevel="0" collapsed="false">
      <c r="A140" s="22" t="str">
        <f aca="false">IF(Requests!$A140="","",Requests!$A140)</f>
        <v/>
      </c>
      <c r="B140" s="22" t="str">
        <f aca="false">IF(OR(Requests!$A140="",Requests!$P140=""),"",TEXT(Requests!$P140,"yyyy-mm"))</f>
        <v/>
      </c>
      <c r="C140" s="22" t="str">
        <f aca="false">IF(Requests!$A140="","",Requests!$C140)</f>
        <v/>
      </c>
      <c r="D140" s="22" t="str">
        <f aca="false">IF(Requests!$A140="","",Requests!$K140)</f>
        <v/>
      </c>
      <c r="E140" s="22" t="str">
        <f aca="false">IF(Requests!$A140="","",Requests!$B140)</f>
        <v/>
      </c>
      <c r="F140" s="25" t="str">
        <f aca="false">IF(Requests!$A140="","",Requests!$AD140)</f>
        <v/>
      </c>
      <c r="G140" s="25" t="str">
        <f aca="false">IF(Requests!$A140="","",Requests!$AJ140)</f>
        <v/>
      </c>
      <c r="H140" s="25" t="str">
        <f aca="false">IF(OR(Requests!$A140="",Requests!$AJ140=""),"",Requests!$AD140-Requests!$AJ140)</f>
        <v/>
      </c>
      <c r="I140" s="25" t="str">
        <f aca="false">IF(Requests!$A140="","",Requests!$AM140)</f>
        <v/>
      </c>
      <c r="J140" s="23" t="str">
        <f aca="false">IF(OR(Requests!$A140="",Requests!$AS140=""),"",Requests!$AS140)</f>
        <v/>
      </c>
      <c r="K140" s="23" t="str">
        <f aca="false">IF(OR(Requests!$A140="",Requests!$AU140=""),"",Requests!$AU140)</f>
        <v/>
      </c>
      <c r="L140" s="22" t="str">
        <f aca="false">IF(Requests!$A140="","",IF(AND(Requests!$AJ140&lt;&gt;"",Requests!$AS140&lt;&gt;"",Requests!$AU140&lt;&gt;""),"Yes","Open"))</f>
        <v/>
      </c>
    </row>
    <row r="141" customFormat="false" ht="15" hidden="false" customHeight="false" outlineLevel="0" collapsed="false">
      <c r="A141" s="27" t="str">
        <f aca="false">IF(Requests!$A141="","",Requests!$A141)</f>
        <v/>
      </c>
      <c r="B141" s="27" t="str">
        <f aca="false">IF(OR(Requests!$A141="",Requests!$P141=""),"",TEXT(Requests!$P141,"yyyy-mm"))</f>
        <v/>
      </c>
      <c r="C141" s="27" t="str">
        <f aca="false">IF(Requests!$A141="","",Requests!$C141)</f>
        <v/>
      </c>
      <c r="D141" s="27" t="str">
        <f aca="false">IF(Requests!$A141="","",Requests!$K141)</f>
        <v/>
      </c>
      <c r="E141" s="27" t="str">
        <f aca="false">IF(Requests!$A141="","",Requests!$B141)</f>
        <v/>
      </c>
      <c r="F141" s="30" t="str">
        <f aca="false">IF(Requests!$A141="","",Requests!$AD141)</f>
        <v/>
      </c>
      <c r="G141" s="30" t="str">
        <f aca="false">IF(Requests!$A141="","",Requests!$AJ141)</f>
        <v/>
      </c>
      <c r="H141" s="30" t="str">
        <f aca="false">IF(OR(Requests!$A141="",Requests!$AJ141=""),"",Requests!$AD141-Requests!$AJ141)</f>
        <v/>
      </c>
      <c r="I141" s="30" t="str">
        <f aca="false">IF(Requests!$A141="","",Requests!$AM141)</f>
        <v/>
      </c>
      <c r="J141" s="28" t="str">
        <f aca="false">IF(OR(Requests!$A141="",Requests!$AS141=""),"",Requests!$AS141)</f>
        <v/>
      </c>
      <c r="K141" s="28" t="str">
        <f aca="false">IF(OR(Requests!$A141="",Requests!$AU141=""),"",Requests!$AU141)</f>
        <v/>
      </c>
      <c r="L141" s="27" t="str">
        <f aca="false">IF(Requests!$A141="","",IF(AND(Requests!$AJ141&lt;&gt;"",Requests!$AS141&lt;&gt;"",Requests!$AU141&lt;&gt;""),"Yes","Open"))</f>
        <v/>
      </c>
    </row>
    <row r="142" customFormat="false" ht="15" hidden="false" customHeight="false" outlineLevel="0" collapsed="false">
      <c r="A142" s="22" t="str">
        <f aca="false">IF(Requests!$A142="","",Requests!$A142)</f>
        <v/>
      </c>
      <c r="B142" s="22" t="str">
        <f aca="false">IF(OR(Requests!$A142="",Requests!$P142=""),"",TEXT(Requests!$P142,"yyyy-mm"))</f>
        <v/>
      </c>
      <c r="C142" s="22" t="str">
        <f aca="false">IF(Requests!$A142="","",Requests!$C142)</f>
        <v/>
      </c>
      <c r="D142" s="22" t="str">
        <f aca="false">IF(Requests!$A142="","",Requests!$K142)</f>
        <v/>
      </c>
      <c r="E142" s="22" t="str">
        <f aca="false">IF(Requests!$A142="","",Requests!$B142)</f>
        <v/>
      </c>
      <c r="F142" s="25" t="str">
        <f aca="false">IF(Requests!$A142="","",Requests!$AD142)</f>
        <v/>
      </c>
      <c r="G142" s="25" t="str">
        <f aca="false">IF(Requests!$A142="","",Requests!$AJ142)</f>
        <v/>
      </c>
      <c r="H142" s="25" t="str">
        <f aca="false">IF(OR(Requests!$A142="",Requests!$AJ142=""),"",Requests!$AD142-Requests!$AJ142)</f>
        <v/>
      </c>
      <c r="I142" s="25" t="str">
        <f aca="false">IF(Requests!$A142="","",Requests!$AM142)</f>
        <v/>
      </c>
      <c r="J142" s="23" t="str">
        <f aca="false">IF(OR(Requests!$A142="",Requests!$AS142=""),"",Requests!$AS142)</f>
        <v/>
      </c>
      <c r="K142" s="23" t="str">
        <f aca="false">IF(OR(Requests!$A142="",Requests!$AU142=""),"",Requests!$AU142)</f>
        <v/>
      </c>
      <c r="L142" s="22" t="str">
        <f aca="false">IF(Requests!$A142="","",IF(AND(Requests!$AJ142&lt;&gt;"",Requests!$AS142&lt;&gt;"",Requests!$AU142&lt;&gt;""),"Yes","Open"))</f>
        <v/>
      </c>
    </row>
    <row r="143" customFormat="false" ht="15" hidden="false" customHeight="false" outlineLevel="0" collapsed="false">
      <c r="A143" s="27" t="str">
        <f aca="false">IF(Requests!$A143="","",Requests!$A143)</f>
        <v/>
      </c>
      <c r="B143" s="27" t="str">
        <f aca="false">IF(OR(Requests!$A143="",Requests!$P143=""),"",TEXT(Requests!$P143,"yyyy-mm"))</f>
        <v/>
      </c>
      <c r="C143" s="27" t="str">
        <f aca="false">IF(Requests!$A143="","",Requests!$C143)</f>
        <v/>
      </c>
      <c r="D143" s="27" t="str">
        <f aca="false">IF(Requests!$A143="","",Requests!$K143)</f>
        <v/>
      </c>
      <c r="E143" s="27" t="str">
        <f aca="false">IF(Requests!$A143="","",Requests!$B143)</f>
        <v/>
      </c>
      <c r="F143" s="30" t="str">
        <f aca="false">IF(Requests!$A143="","",Requests!$AD143)</f>
        <v/>
      </c>
      <c r="G143" s="30" t="str">
        <f aca="false">IF(Requests!$A143="","",Requests!$AJ143)</f>
        <v/>
      </c>
      <c r="H143" s="30" t="str">
        <f aca="false">IF(OR(Requests!$A143="",Requests!$AJ143=""),"",Requests!$AD143-Requests!$AJ143)</f>
        <v/>
      </c>
      <c r="I143" s="30" t="str">
        <f aca="false">IF(Requests!$A143="","",Requests!$AM143)</f>
        <v/>
      </c>
      <c r="J143" s="28" t="str">
        <f aca="false">IF(OR(Requests!$A143="",Requests!$AS143=""),"",Requests!$AS143)</f>
        <v/>
      </c>
      <c r="K143" s="28" t="str">
        <f aca="false">IF(OR(Requests!$A143="",Requests!$AU143=""),"",Requests!$AU143)</f>
        <v/>
      </c>
      <c r="L143" s="27" t="str">
        <f aca="false">IF(Requests!$A143="","",IF(AND(Requests!$AJ143&lt;&gt;"",Requests!$AS143&lt;&gt;"",Requests!$AU143&lt;&gt;""),"Yes","Open"))</f>
        <v/>
      </c>
    </row>
    <row r="144" customFormat="false" ht="15" hidden="false" customHeight="false" outlineLevel="0" collapsed="false">
      <c r="A144" s="22" t="str">
        <f aca="false">IF(Requests!$A144="","",Requests!$A144)</f>
        <v/>
      </c>
      <c r="B144" s="22" t="str">
        <f aca="false">IF(OR(Requests!$A144="",Requests!$P144=""),"",TEXT(Requests!$P144,"yyyy-mm"))</f>
        <v/>
      </c>
      <c r="C144" s="22" t="str">
        <f aca="false">IF(Requests!$A144="","",Requests!$C144)</f>
        <v/>
      </c>
      <c r="D144" s="22" t="str">
        <f aca="false">IF(Requests!$A144="","",Requests!$K144)</f>
        <v/>
      </c>
      <c r="E144" s="22" t="str">
        <f aca="false">IF(Requests!$A144="","",Requests!$B144)</f>
        <v/>
      </c>
      <c r="F144" s="25" t="str">
        <f aca="false">IF(Requests!$A144="","",Requests!$AD144)</f>
        <v/>
      </c>
      <c r="G144" s="25" t="str">
        <f aca="false">IF(Requests!$A144="","",Requests!$AJ144)</f>
        <v/>
      </c>
      <c r="H144" s="25" t="str">
        <f aca="false">IF(OR(Requests!$A144="",Requests!$AJ144=""),"",Requests!$AD144-Requests!$AJ144)</f>
        <v/>
      </c>
      <c r="I144" s="25" t="str">
        <f aca="false">IF(Requests!$A144="","",Requests!$AM144)</f>
        <v/>
      </c>
      <c r="J144" s="23" t="str">
        <f aca="false">IF(OR(Requests!$A144="",Requests!$AS144=""),"",Requests!$AS144)</f>
        <v/>
      </c>
      <c r="K144" s="23" t="str">
        <f aca="false">IF(OR(Requests!$A144="",Requests!$AU144=""),"",Requests!$AU144)</f>
        <v/>
      </c>
      <c r="L144" s="22" t="str">
        <f aca="false">IF(Requests!$A144="","",IF(AND(Requests!$AJ144&lt;&gt;"",Requests!$AS144&lt;&gt;"",Requests!$AU144&lt;&gt;""),"Yes","Open"))</f>
        <v/>
      </c>
    </row>
    <row r="145" customFormat="false" ht="15" hidden="false" customHeight="false" outlineLevel="0" collapsed="false">
      <c r="A145" s="27" t="str">
        <f aca="false">IF(Requests!$A145="","",Requests!$A145)</f>
        <v/>
      </c>
      <c r="B145" s="27" t="str">
        <f aca="false">IF(OR(Requests!$A145="",Requests!$P145=""),"",TEXT(Requests!$P145,"yyyy-mm"))</f>
        <v/>
      </c>
      <c r="C145" s="27" t="str">
        <f aca="false">IF(Requests!$A145="","",Requests!$C145)</f>
        <v/>
      </c>
      <c r="D145" s="27" t="str">
        <f aca="false">IF(Requests!$A145="","",Requests!$K145)</f>
        <v/>
      </c>
      <c r="E145" s="27" t="str">
        <f aca="false">IF(Requests!$A145="","",Requests!$B145)</f>
        <v/>
      </c>
      <c r="F145" s="30" t="str">
        <f aca="false">IF(Requests!$A145="","",Requests!$AD145)</f>
        <v/>
      </c>
      <c r="G145" s="30" t="str">
        <f aca="false">IF(Requests!$A145="","",Requests!$AJ145)</f>
        <v/>
      </c>
      <c r="H145" s="30" t="str">
        <f aca="false">IF(OR(Requests!$A145="",Requests!$AJ145=""),"",Requests!$AD145-Requests!$AJ145)</f>
        <v/>
      </c>
      <c r="I145" s="30" t="str">
        <f aca="false">IF(Requests!$A145="","",Requests!$AM145)</f>
        <v/>
      </c>
      <c r="J145" s="28" t="str">
        <f aca="false">IF(OR(Requests!$A145="",Requests!$AS145=""),"",Requests!$AS145)</f>
        <v/>
      </c>
      <c r="K145" s="28" t="str">
        <f aca="false">IF(OR(Requests!$A145="",Requests!$AU145=""),"",Requests!$AU145)</f>
        <v/>
      </c>
      <c r="L145" s="27" t="str">
        <f aca="false">IF(Requests!$A145="","",IF(AND(Requests!$AJ145&lt;&gt;"",Requests!$AS145&lt;&gt;"",Requests!$AU145&lt;&gt;""),"Yes","Open"))</f>
        <v/>
      </c>
    </row>
    <row r="146" customFormat="false" ht="15" hidden="false" customHeight="false" outlineLevel="0" collapsed="false">
      <c r="A146" s="22" t="str">
        <f aca="false">IF(Requests!$A146="","",Requests!$A146)</f>
        <v/>
      </c>
      <c r="B146" s="22" t="str">
        <f aca="false">IF(OR(Requests!$A146="",Requests!$P146=""),"",TEXT(Requests!$P146,"yyyy-mm"))</f>
        <v/>
      </c>
      <c r="C146" s="22" t="str">
        <f aca="false">IF(Requests!$A146="","",Requests!$C146)</f>
        <v/>
      </c>
      <c r="D146" s="22" t="str">
        <f aca="false">IF(Requests!$A146="","",Requests!$K146)</f>
        <v/>
      </c>
      <c r="E146" s="22" t="str">
        <f aca="false">IF(Requests!$A146="","",Requests!$B146)</f>
        <v/>
      </c>
      <c r="F146" s="25" t="str">
        <f aca="false">IF(Requests!$A146="","",Requests!$AD146)</f>
        <v/>
      </c>
      <c r="G146" s="25" t="str">
        <f aca="false">IF(Requests!$A146="","",Requests!$AJ146)</f>
        <v/>
      </c>
      <c r="H146" s="25" t="str">
        <f aca="false">IF(OR(Requests!$A146="",Requests!$AJ146=""),"",Requests!$AD146-Requests!$AJ146)</f>
        <v/>
      </c>
      <c r="I146" s="25" t="str">
        <f aca="false">IF(Requests!$A146="","",Requests!$AM146)</f>
        <v/>
      </c>
      <c r="J146" s="23" t="str">
        <f aca="false">IF(OR(Requests!$A146="",Requests!$AS146=""),"",Requests!$AS146)</f>
        <v/>
      </c>
      <c r="K146" s="23" t="str">
        <f aca="false">IF(OR(Requests!$A146="",Requests!$AU146=""),"",Requests!$AU146)</f>
        <v/>
      </c>
      <c r="L146" s="22" t="str">
        <f aca="false">IF(Requests!$A146="","",IF(AND(Requests!$AJ146&lt;&gt;"",Requests!$AS146&lt;&gt;"",Requests!$AU146&lt;&gt;""),"Yes","Open"))</f>
        <v/>
      </c>
    </row>
    <row r="147" customFormat="false" ht="15" hidden="false" customHeight="false" outlineLevel="0" collapsed="false">
      <c r="A147" s="27" t="str">
        <f aca="false">IF(Requests!$A147="","",Requests!$A147)</f>
        <v/>
      </c>
      <c r="B147" s="27" t="str">
        <f aca="false">IF(OR(Requests!$A147="",Requests!$P147=""),"",TEXT(Requests!$P147,"yyyy-mm"))</f>
        <v/>
      </c>
      <c r="C147" s="27" t="str">
        <f aca="false">IF(Requests!$A147="","",Requests!$C147)</f>
        <v/>
      </c>
      <c r="D147" s="27" t="str">
        <f aca="false">IF(Requests!$A147="","",Requests!$K147)</f>
        <v/>
      </c>
      <c r="E147" s="27" t="str">
        <f aca="false">IF(Requests!$A147="","",Requests!$B147)</f>
        <v/>
      </c>
      <c r="F147" s="30" t="str">
        <f aca="false">IF(Requests!$A147="","",Requests!$AD147)</f>
        <v/>
      </c>
      <c r="G147" s="30" t="str">
        <f aca="false">IF(Requests!$A147="","",Requests!$AJ147)</f>
        <v/>
      </c>
      <c r="H147" s="30" t="str">
        <f aca="false">IF(OR(Requests!$A147="",Requests!$AJ147=""),"",Requests!$AD147-Requests!$AJ147)</f>
        <v/>
      </c>
      <c r="I147" s="30" t="str">
        <f aca="false">IF(Requests!$A147="","",Requests!$AM147)</f>
        <v/>
      </c>
      <c r="J147" s="28" t="str">
        <f aca="false">IF(OR(Requests!$A147="",Requests!$AS147=""),"",Requests!$AS147)</f>
        <v/>
      </c>
      <c r="K147" s="28" t="str">
        <f aca="false">IF(OR(Requests!$A147="",Requests!$AU147=""),"",Requests!$AU147)</f>
        <v/>
      </c>
      <c r="L147" s="27" t="str">
        <f aca="false">IF(Requests!$A147="","",IF(AND(Requests!$AJ147&lt;&gt;"",Requests!$AS147&lt;&gt;"",Requests!$AU147&lt;&gt;""),"Yes","Open"))</f>
        <v/>
      </c>
    </row>
    <row r="148" customFormat="false" ht="15" hidden="false" customHeight="false" outlineLevel="0" collapsed="false">
      <c r="A148" s="22" t="str">
        <f aca="false">IF(Requests!$A148="","",Requests!$A148)</f>
        <v/>
      </c>
      <c r="B148" s="22" t="str">
        <f aca="false">IF(OR(Requests!$A148="",Requests!$P148=""),"",TEXT(Requests!$P148,"yyyy-mm"))</f>
        <v/>
      </c>
      <c r="C148" s="22" t="str">
        <f aca="false">IF(Requests!$A148="","",Requests!$C148)</f>
        <v/>
      </c>
      <c r="D148" s="22" t="str">
        <f aca="false">IF(Requests!$A148="","",Requests!$K148)</f>
        <v/>
      </c>
      <c r="E148" s="22" t="str">
        <f aca="false">IF(Requests!$A148="","",Requests!$B148)</f>
        <v/>
      </c>
      <c r="F148" s="25" t="str">
        <f aca="false">IF(Requests!$A148="","",Requests!$AD148)</f>
        <v/>
      </c>
      <c r="G148" s="25" t="str">
        <f aca="false">IF(Requests!$A148="","",Requests!$AJ148)</f>
        <v/>
      </c>
      <c r="H148" s="25" t="str">
        <f aca="false">IF(OR(Requests!$A148="",Requests!$AJ148=""),"",Requests!$AD148-Requests!$AJ148)</f>
        <v/>
      </c>
      <c r="I148" s="25" t="str">
        <f aca="false">IF(Requests!$A148="","",Requests!$AM148)</f>
        <v/>
      </c>
      <c r="J148" s="23" t="str">
        <f aca="false">IF(OR(Requests!$A148="",Requests!$AS148=""),"",Requests!$AS148)</f>
        <v/>
      </c>
      <c r="K148" s="23" t="str">
        <f aca="false">IF(OR(Requests!$A148="",Requests!$AU148=""),"",Requests!$AU148)</f>
        <v/>
      </c>
      <c r="L148" s="22" t="str">
        <f aca="false">IF(Requests!$A148="","",IF(AND(Requests!$AJ148&lt;&gt;"",Requests!$AS148&lt;&gt;"",Requests!$AU148&lt;&gt;""),"Yes","Open"))</f>
        <v/>
      </c>
    </row>
    <row r="149" customFormat="false" ht="15" hidden="false" customHeight="false" outlineLevel="0" collapsed="false">
      <c r="A149" s="27" t="str">
        <f aca="false">IF(Requests!$A149="","",Requests!$A149)</f>
        <v/>
      </c>
      <c r="B149" s="27" t="str">
        <f aca="false">IF(OR(Requests!$A149="",Requests!$P149=""),"",TEXT(Requests!$P149,"yyyy-mm"))</f>
        <v/>
      </c>
      <c r="C149" s="27" t="str">
        <f aca="false">IF(Requests!$A149="","",Requests!$C149)</f>
        <v/>
      </c>
      <c r="D149" s="27" t="str">
        <f aca="false">IF(Requests!$A149="","",Requests!$K149)</f>
        <v/>
      </c>
      <c r="E149" s="27" t="str">
        <f aca="false">IF(Requests!$A149="","",Requests!$B149)</f>
        <v/>
      </c>
      <c r="F149" s="30" t="str">
        <f aca="false">IF(Requests!$A149="","",Requests!$AD149)</f>
        <v/>
      </c>
      <c r="G149" s="30" t="str">
        <f aca="false">IF(Requests!$A149="","",Requests!$AJ149)</f>
        <v/>
      </c>
      <c r="H149" s="30" t="str">
        <f aca="false">IF(OR(Requests!$A149="",Requests!$AJ149=""),"",Requests!$AD149-Requests!$AJ149)</f>
        <v/>
      </c>
      <c r="I149" s="30" t="str">
        <f aca="false">IF(Requests!$A149="","",Requests!$AM149)</f>
        <v/>
      </c>
      <c r="J149" s="28" t="str">
        <f aca="false">IF(OR(Requests!$A149="",Requests!$AS149=""),"",Requests!$AS149)</f>
        <v/>
      </c>
      <c r="K149" s="28" t="str">
        <f aca="false">IF(OR(Requests!$A149="",Requests!$AU149=""),"",Requests!$AU149)</f>
        <v/>
      </c>
      <c r="L149" s="27" t="str">
        <f aca="false">IF(Requests!$A149="","",IF(AND(Requests!$AJ149&lt;&gt;"",Requests!$AS149&lt;&gt;"",Requests!$AU149&lt;&gt;""),"Yes","Open"))</f>
        <v/>
      </c>
    </row>
    <row r="150" customFormat="false" ht="15" hidden="false" customHeight="false" outlineLevel="0" collapsed="false">
      <c r="A150" s="22" t="str">
        <f aca="false">IF(Requests!$A150="","",Requests!$A150)</f>
        <v/>
      </c>
      <c r="B150" s="22" t="str">
        <f aca="false">IF(OR(Requests!$A150="",Requests!$P150=""),"",TEXT(Requests!$P150,"yyyy-mm"))</f>
        <v/>
      </c>
      <c r="C150" s="22" t="str">
        <f aca="false">IF(Requests!$A150="","",Requests!$C150)</f>
        <v/>
      </c>
      <c r="D150" s="22" t="str">
        <f aca="false">IF(Requests!$A150="","",Requests!$K150)</f>
        <v/>
      </c>
      <c r="E150" s="22" t="str">
        <f aca="false">IF(Requests!$A150="","",Requests!$B150)</f>
        <v/>
      </c>
      <c r="F150" s="25" t="str">
        <f aca="false">IF(Requests!$A150="","",Requests!$AD150)</f>
        <v/>
      </c>
      <c r="G150" s="25" t="str">
        <f aca="false">IF(Requests!$A150="","",Requests!$AJ150)</f>
        <v/>
      </c>
      <c r="H150" s="25" t="str">
        <f aca="false">IF(OR(Requests!$A150="",Requests!$AJ150=""),"",Requests!$AD150-Requests!$AJ150)</f>
        <v/>
      </c>
      <c r="I150" s="25" t="str">
        <f aca="false">IF(Requests!$A150="","",Requests!$AM150)</f>
        <v/>
      </c>
      <c r="J150" s="23" t="str">
        <f aca="false">IF(OR(Requests!$A150="",Requests!$AS150=""),"",Requests!$AS150)</f>
        <v/>
      </c>
      <c r="K150" s="23" t="str">
        <f aca="false">IF(OR(Requests!$A150="",Requests!$AU150=""),"",Requests!$AU150)</f>
        <v/>
      </c>
      <c r="L150" s="22" t="str">
        <f aca="false">IF(Requests!$A150="","",IF(AND(Requests!$AJ150&lt;&gt;"",Requests!$AS150&lt;&gt;"",Requests!$AU150&lt;&gt;""),"Yes","Open"))</f>
        <v/>
      </c>
    </row>
    <row r="151" customFormat="false" ht="15" hidden="false" customHeight="false" outlineLevel="0" collapsed="false">
      <c r="A151" s="27" t="str">
        <f aca="false">IF(Requests!$A151="","",Requests!$A151)</f>
        <v/>
      </c>
      <c r="B151" s="27" t="str">
        <f aca="false">IF(OR(Requests!$A151="",Requests!$P151=""),"",TEXT(Requests!$P151,"yyyy-mm"))</f>
        <v/>
      </c>
      <c r="C151" s="27" t="str">
        <f aca="false">IF(Requests!$A151="","",Requests!$C151)</f>
        <v/>
      </c>
      <c r="D151" s="27" t="str">
        <f aca="false">IF(Requests!$A151="","",Requests!$K151)</f>
        <v/>
      </c>
      <c r="E151" s="27" t="str">
        <f aca="false">IF(Requests!$A151="","",Requests!$B151)</f>
        <v/>
      </c>
      <c r="F151" s="30" t="str">
        <f aca="false">IF(Requests!$A151="","",Requests!$AD151)</f>
        <v/>
      </c>
      <c r="G151" s="30" t="str">
        <f aca="false">IF(Requests!$A151="","",Requests!$AJ151)</f>
        <v/>
      </c>
      <c r="H151" s="30" t="str">
        <f aca="false">IF(OR(Requests!$A151="",Requests!$AJ151=""),"",Requests!$AD151-Requests!$AJ151)</f>
        <v/>
      </c>
      <c r="I151" s="30" t="str">
        <f aca="false">IF(Requests!$A151="","",Requests!$AM151)</f>
        <v/>
      </c>
      <c r="J151" s="28" t="str">
        <f aca="false">IF(OR(Requests!$A151="",Requests!$AS151=""),"",Requests!$AS151)</f>
        <v/>
      </c>
      <c r="K151" s="28" t="str">
        <f aca="false">IF(OR(Requests!$A151="",Requests!$AU151=""),"",Requests!$AU151)</f>
        <v/>
      </c>
      <c r="L151" s="27" t="str">
        <f aca="false">IF(Requests!$A151="","",IF(AND(Requests!$AJ151&lt;&gt;"",Requests!$AS151&lt;&gt;"",Requests!$AU151&lt;&gt;""),"Yes","Open"))</f>
        <v/>
      </c>
    </row>
    <row r="152" customFormat="false" ht="15" hidden="false" customHeight="false" outlineLevel="0" collapsed="false">
      <c r="A152" s="22" t="str">
        <f aca="false">IF(Requests!$A152="","",Requests!$A152)</f>
        <v/>
      </c>
      <c r="B152" s="22" t="str">
        <f aca="false">IF(OR(Requests!$A152="",Requests!$P152=""),"",TEXT(Requests!$P152,"yyyy-mm"))</f>
        <v/>
      </c>
      <c r="C152" s="22" t="str">
        <f aca="false">IF(Requests!$A152="","",Requests!$C152)</f>
        <v/>
      </c>
      <c r="D152" s="22" t="str">
        <f aca="false">IF(Requests!$A152="","",Requests!$K152)</f>
        <v/>
      </c>
      <c r="E152" s="22" t="str">
        <f aca="false">IF(Requests!$A152="","",Requests!$B152)</f>
        <v/>
      </c>
      <c r="F152" s="25" t="str">
        <f aca="false">IF(Requests!$A152="","",Requests!$AD152)</f>
        <v/>
      </c>
      <c r="G152" s="25" t="str">
        <f aca="false">IF(Requests!$A152="","",Requests!$AJ152)</f>
        <v/>
      </c>
      <c r="H152" s="25" t="str">
        <f aca="false">IF(OR(Requests!$A152="",Requests!$AJ152=""),"",Requests!$AD152-Requests!$AJ152)</f>
        <v/>
      </c>
      <c r="I152" s="25" t="str">
        <f aca="false">IF(Requests!$A152="","",Requests!$AM152)</f>
        <v/>
      </c>
      <c r="J152" s="23" t="str">
        <f aca="false">IF(OR(Requests!$A152="",Requests!$AS152=""),"",Requests!$AS152)</f>
        <v/>
      </c>
      <c r="K152" s="23" t="str">
        <f aca="false">IF(OR(Requests!$A152="",Requests!$AU152=""),"",Requests!$AU152)</f>
        <v/>
      </c>
      <c r="L152" s="22" t="str">
        <f aca="false">IF(Requests!$A152="","",IF(AND(Requests!$AJ152&lt;&gt;"",Requests!$AS152&lt;&gt;"",Requests!$AU152&lt;&gt;""),"Yes","Open"))</f>
        <v/>
      </c>
    </row>
    <row r="153" customFormat="false" ht="15" hidden="false" customHeight="false" outlineLevel="0" collapsed="false">
      <c r="A153" s="27" t="str">
        <f aca="false">IF(Requests!$A153="","",Requests!$A153)</f>
        <v/>
      </c>
      <c r="B153" s="27" t="str">
        <f aca="false">IF(OR(Requests!$A153="",Requests!$P153=""),"",TEXT(Requests!$P153,"yyyy-mm"))</f>
        <v/>
      </c>
      <c r="C153" s="27" t="str">
        <f aca="false">IF(Requests!$A153="","",Requests!$C153)</f>
        <v/>
      </c>
      <c r="D153" s="27" t="str">
        <f aca="false">IF(Requests!$A153="","",Requests!$K153)</f>
        <v/>
      </c>
      <c r="E153" s="27" t="str">
        <f aca="false">IF(Requests!$A153="","",Requests!$B153)</f>
        <v/>
      </c>
      <c r="F153" s="30" t="str">
        <f aca="false">IF(Requests!$A153="","",Requests!$AD153)</f>
        <v/>
      </c>
      <c r="G153" s="30" t="str">
        <f aca="false">IF(Requests!$A153="","",Requests!$AJ153)</f>
        <v/>
      </c>
      <c r="H153" s="30" t="str">
        <f aca="false">IF(OR(Requests!$A153="",Requests!$AJ153=""),"",Requests!$AD153-Requests!$AJ153)</f>
        <v/>
      </c>
      <c r="I153" s="30" t="str">
        <f aca="false">IF(Requests!$A153="","",Requests!$AM153)</f>
        <v/>
      </c>
      <c r="J153" s="28" t="str">
        <f aca="false">IF(OR(Requests!$A153="",Requests!$AS153=""),"",Requests!$AS153)</f>
        <v/>
      </c>
      <c r="K153" s="28" t="str">
        <f aca="false">IF(OR(Requests!$A153="",Requests!$AU153=""),"",Requests!$AU153)</f>
        <v/>
      </c>
      <c r="L153" s="27" t="str">
        <f aca="false">IF(Requests!$A153="","",IF(AND(Requests!$AJ153&lt;&gt;"",Requests!$AS153&lt;&gt;"",Requests!$AU153&lt;&gt;""),"Yes","Open"))</f>
        <v/>
      </c>
    </row>
    <row r="154" customFormat="false" ht="15" hidden="false" customHeight="false" outlineLevel="0" collapsed="false">
      <c r="A154" s="22" t="str">
        <f aca="false">IF(Requests!$A154="","",Requests!$A154)</f>
        <v/>
      </c>
      <c r="B154" s="22" t="str">
        <f aca="false">IF(OR(Requests!$A154="",Requests!$P154=""),"",TEXT(Requests!$P154,"yyyy-mm"))</f>
        <v/>
      </c>
      <c r="C154" s="22" t="str">
        <f aca="false">IF(Requests!$A154="","",Requests!$C154)</f>
        <v/>
      </c>
      <c r="D154" s="22" t="str">
        <f aca="false">IF(Requests!$A154="","",Requests!$K154)</f>
        <v/>
      </c>
      <c r="E154" s="22" t="str">
        <f aca="false">IF(Requests!$A154="","",Requests!$B154)</f>
        <v/>
      </c>
      <c r="F154" s="25" t="str">
        <f aca="false">IF(Requests!$A154="","",Requests!$AD154)</f>
        <v/>
      </c>
      <c r="G154" s="25" t="str">
        <f aca="false">IF(Requests!$A154="","",Requests!$AJ154)</f>
        <v/>
      </c>
      <c r="H154" s="25" t="str">
        <f aca="false">IF(OR(Requests!$A154="",Requests!$AJ154=""),"",Requests!$AD154-Requests!$AJ154)</f>
        <v/>
      </c>
      <c r="I154" s="25" t="str">
        <f aca="false">IF(Requests!$A154="","",Requests!$AM154)</f>
        <v/>
      </c>
      <c r="J154" s="23" t="str">
        <f aca="false">IF(OR(Requests!$A154="",Requests!$AS154=""),"",Requests!$AS154)</f>
        <v/>
      </c>
      <c r="K154" s="23" t="str">
        <f aca="false">IF(OR(Requests!$A154="",Requests!$AU154=""),"",Requests!$AU154)</f>
        <v/>
      </c>
      <c r="L154" s="22" t="str">
        <f aca="false">IF(Requests!$A154="","",IF(AND(Requests!$AJ154&lt;&gt;"",Requests!$AS154&lt;&gt;"",Requests!$AU154&lt;&gt;""),"Yes","Open"))</f>
        <v/>
      </c>
    </row>
    <row r="155" customFormat="false" ht="15" hidden="false" customHeight="false" outlineLevel="0" collapsed="false">
      <c r="A155" s="27" t="str">
        <f aca="false">IF(Requests!$A155="","",Requests!$A155)</f>
        <v/>
      </c>
      <c r="B155" s="27" t="str">
        <f aca="false">IF(OR(Requests!$A155="",Requests!$P155=""),"",TEXT(Requests!$P155,"yyyy-mm"))</f>
        <v/>
      </c>
      <c r="C155" s="27" t="str">
        <f aca="false">IF(Requests!$A155="","",Requests!$C155)</f>
        <v/>
      </c>
      <c r="D155" s="27" t="str">
        <f aca="false">IF(Requests!$A155="","",Requests!$K155)</f>
        <v/>
      </c>
      <c r="E155" s="27" t="str">
        <f aca="false">IF(Requests!$A155="","",Requests!$B155)</f>
        <v/>
      </c>
      <c r="F155" s="30" t="str">
        <f aca="false">IF(Requests!$A155="","",Requests!$AD155)</f>
        <v/>
      </c>
      <c r="G155" s="30" t="str">
        <f aca="false">IF(Requests!$A155="","",Requests!$AJ155)</f>
        <v/>
      </c>
      <c r="H155" s="30" t="str">
        <f aca="false">IF(OR(Requests!$A155="",Requests!$AJ155=""),"",Requests!$AD155-Requests!$AJ155)</f>
        <v/>
      </c>
      <c r="I155" s="30" t="str">
        <f aca="false">IF(Requests!$A155="","",Requests!$AM155)</f>
        <v/>
      </c>
      <c r="J155" s="28" t="str">
        <f aca="false">IF(OR(Requests!$A155="",Requests!$AS155=""),"",Requests!$AS155)</f>
        <v/>
      </c>
      <c r="K155" s="28" t="str">
        <f aca="false">IF(OR(Requests!$A155="",Requests!$AU155=""),"",Requests!$AU155)</f>
        <v/>
      </c>
      <c r="L155" s="27" t="str">
        <f aca="false">IF(Requests!$A155="","",IF(AND(Requests!$AJ155&lt;&gt;"",Requests!$AS155&lt;&gt;"",Requests!$AU155&lt;&gt;""),"Yes","Open"))</f>
        <v/>
      </c>
    </row>
    <row r="156" customFormat="false" ht="15" hidden="false" customHeight="false" outlineLevel="0" collapsed="false">
      <c r="A156" s="22" t="str">
        <f aca="false">IF(Requests!$A156="","",Requests!$A156)</f>
        <v/>
      </c>
      <c r="B156" s="22" t="str">
        <f aca="false">IF(OR(Requests!$A156="",Requests!$P156=""),"",TEXT(Requests!$P156,"yyyy-mm"))</f>
        <v/>
      </c>
      <c r="C156" s="22" t="str">
        <f aca="false">IF(Requests!$A156="","",Requests!$C156)</f>
        <v/>
      </c>
      <c r="D156" s="22" t="str">
        <f aca="false">IF(Requests!$A156="","",Requests!$K156)</f>
        <v/>
      </c>
      <c r="E156" s="22" t="str">
        <f aca="false">IF(Requests!$A156="","",Requests!$B156)</f>
        <v/>
      </c>
      <c r="F156" s="25" t="str">
        <f aca="false">IF(Requests!$A156="","",Requests!$AD156)</f>
        <v/>
      </c>
      <c r="G156" s="25" t="str">
        <f aca="false">IF(Requests!$A156="","",Requests!$AJ156)</f>
        <v/>
      </c>
      <c r="H156" s="25" t="str">
        <f aca="false">IF(OR(Requests!$A156="",Requests!$AJ156=""),"",Requests!$AD156-Requests!$AJ156)</f>
        <v/>
      </c>
      <c r="I156" s="25" t="str">
        <f aca="false">IF(Requests!$A156="","",Requests!$AM156)</f>
        <v/>
      </c>
      <c r="J156" s="23" t="str">
        <f aca="false">IF(OR(Requests!$A156="",Requests!$AS156=""),"",Requests!$AS156)</f>
        <v/>
      </c>
      <c r="K156" s="23" t="str">
        <f aca="false">IF(OR(Requests!$A156="",Requests!$AU156=""),"",Requests!$AU156)</f>
        <v/>
      </c>
      <c r="L156" s="22" t="str">
        <f aca="false">IF(Requests!$A156="","",IF(AND(Requests!$AJ156&lt;&gt;"",Requests!$AS156&lt;&gt;"",Requests!$AU156&lt;&gt;""),"Yes","Open"))</f>
        <v/>
      </c>
    </row>
    <row r="157" customFormat="false" ht="15" hidden="false" customHeight="false" outlineLevel="0" collapsed="false">
      <c r="A157" s="27" t="str">
        <f aca="false">IF(Requests!$A157="","",Requests!$A157)</f>
        <v/>
      </c>
      <c r="B157" s="27" t="str">
        <f aca="false">IF(OR(Requests!$A157="",Requests!$P157=""),"",TEXT(Requests!$P157,"yyyy-mm"))</f>
        <v/>
      </c>
      <c r="C157" s="27" t="str">
        <f aca="false">IF(Requests!$A157="","",Requests!$C157)</f>
        <v/>
      </c>
      <c r="D157" s="27" t="str">
        <f aca="false">IF(Requests!$A157="","",Requests!$K157)</f>
        <v/>
      </c>
      <c r="E157" s="27" t="str">
        <f aca="false">IF(Requests!$A157="","",Requests!$B157)</f>
        <v/>
      </c>
      <c r="F157" s="30" t="str">
        <f aca="false">IF(Requests!$A157="","",Requests!$AD157)</f>
        <v/>
      </c>
      <c r="G157" s="30" t="str">
        <f aca="false">IF(Requests!$A157="","",Requests!$AJ157)</f>
        <v/>
      </c>
      <c r="H157" s="30" t="str">
        <f aca="false">IF(OR(Requests!$A157="",Requests!$AJ157=""),"",Requests!$AD157-Requests!$AJ157)</f>
        <v/>
      </c>
      <c r="I157" s="30" t="str">
        <f aca="false">IF(Requests!$A157="","",Requests!$AM157)</f>
        <v/>
      </c>
      <c r="J157" s="28" t="str">
        <f aca="false">IF(OR(Requests!$A157="",Requests!$AS157=""),"",Requests!$AS157)</f>
        <v/>
      </c>
      <c r="K157" s="28" t="str">
        <f aca="false">IF(OR(Requests!$A157="",Requests!$AU157=""),"",Requests!$AU157)</f>
        <v/>
      </c>
      <c r="L157" s="27" t="str">
        <f aca="false">IF(Requests!$A157="","",IF(AND(Requests!$AJ157&lt;&gt;"",Requests!$AS157&lt;&gt;"",Requests!$AU157&lt;&gt;""),"Yes","Open"))</f>
        <v/>
      </c>
    </row>
    <row r="158" customFormat="false" ht="15" hidden="false" customHeight="false" outlineLevel="0" collapsed="false">
      <c r="A158" s="22" t="str">
        <f aca="false">IF(Requests!$A158="","",Requests!$A158)</f>
        <v/>
      </c>
      <c r="B158" s="22" t="str">
        <f aca="false">IF(OR(Requests!$A158="",Requests!$P158=""),"",TEXT(Requests!$P158,"yyyy-mm"))</f>
        <v/>
      </c>
      <c r="C158" s="22" t="str">
        <f aca="false">IF(Requests!$A158="","",Requests!$C158)</f>
        <v/>
      </c>
      <c r="D158" s="22" t="str">
        <f aca="false">IF(Requests!$A158="","",Requests!$K158)</f>
        <v/>
      </c>
      <c r="E158" s="22" t="str">
        <f aca="false">IF(Requests!$A158="","",Requests!$B158)</f>
        <v/>
      </c>
      <c r="F158" s="25" t="str">
        <f aca="false">IF(Requests!$A158="","",Requests!$AD158)</f>
        <v/>
      </c>
      <c r="G158" s="25" t="str">
        <f aca="false">IF(Requests!$A158="","",Requests!$AJ158)</f>
        <v/>
      </c>
      <c r="H158" s="25" t="str">
        <f aca="false">IF(OR(Requests!$A158="",Requests!$AJ158=""),"",Requests!$AD158-Requests!$AJ158)</f>
        <v/>
      </c>
      <c r="I158" s="25" t="str">
        <f aca="false">IF(Requests!$A158="","",Requests!$AM158)</f>
        <v/>
      </c>
      <c r="J158" s="23" t="str">
        <f aca="false">IF(OR(Requests!$A158="",Requests!$AS158=""),"",Requests!$AS158)</f>
        <v/>
      </c>
      <c r="K158" s="23" t="str">
        <f aca="false">IF(OR(Requests!$A158="",Requests!$AU158=""),"",Requests!$AU158)</f>
        <v/>
      </c>
      <c r="L158" s="22" t="str">
        <f aca="false">IF(Requests!$A158="","",IF(AND(Requests!$AJ158&lt;&gt;"",Requests!$AS158&lt;&gt;"",Requests!$AU158&lt;&gt;""),"Yes","Open"))</f>
        <v/>
      </c>
    </row>
    <row r="159" customFormat="false" ht="15" hidden="false" customHeight="false" outlineLevel="0" collapsed="false">
      <c r="A159" s="27" t="str">
        <f aca="false">IF(Requests!$A159="","",Requests!$A159)</f>
        <v/>
      </c>
      <c r="B159" s="27" t="str">
        <f aca="false">IF(OR(Requests!$A159="",Requests!$P159=""),"",TEXT(Requests!$P159,"yyyy-mm"))</f>
        <v/>
      </c>
      <c r="C159" s="27" t="str">
        <f aca="false">IF(Requests!$A159="","",Requests!$C159)</f>
        <v/>
      </c>
      <c r="D159" s="27" t="str">
        <f aca="false">IF(Requests!$A159="","",Requests!$K159)</f>
        <v/>
      </c>
      <c r="E159" s="27" t="str">
        <f aca="false">IF(Requests!$A159="","",Requests!$B159)</f>
        <v/>
      </c>
      <c r="F159" s="30" t="str">
        <f aca="false">IF(Requests!$A159="","",Requests!$AD159)</f>
        <v/>
      </c>
      <c r="G159" s="30" t="str">
        <f aca="false">IF(Requests!$A159="","",Requests!$AJ159)</f>
        <v/>
      </c>
      <c r="H159" s="30" t="str">
        <f aca="false">IF(OR(Requests!$A159="",Requests!$AJ159=""),"",Requests!$AD159-Requests!$AJ159)</f>
        <v/>
      </c>
      <c r="I159" s="30" t="str">
        <f aca="false">IF(Requests!$A159="","",Requests!$AM159)</f>
        <v/>
      </c>
      <c r="J159" s="28" t="str">
        <f aca="false">IF(OR(Requests!$A159="",Requests!$AS159=""),"",Requests!$AS159)</f>
        <v/>
      </c>
      <c r="K159" s="28" t="str">
        <f aca="false">IF(OR(Requests!$A159="",Requests!$AU159=""),"",Requests!$AU159)</f>
        <v/>
      </c>
      <c r="L159" s="27" t="str">
        <f aca="false">IF(Requests!$A159="","",IF(AND(Requests!$AJ159&lt;&gt;"",Requests!$AS159&lt;&gt;"",Requests!$AU159&lt;&gt;""),"Yes","Open"))</f>
        <v/>
      </c>
    </row>
    <row r="160" customFormat="false" ht="15" hidden="false" customHeight="false" outlineLevel="0" collapsed="false">
      <c r="A160" s="22" t="str">
        <f aca="false">IF(Requests!$A160="","",Requests!$A160)</f>
        <v/>
      </c>
      <c r="B160" s="22" t="str">
        <f aca="false">IF(OR(Requests!$A160="",Requests!$P160=""),"",TEXT(Requests!$P160,"yyyy-mm"))</f>
        <v/>
      </c>
      <c r="C160" s="22" t="str">
        <f aca="false">IF(Requests!$A160="","",Requests!$C160)</f>
        <v/>
      </c>
      <c r="D160" s="22" t="str">
        <f aca="false">IF(Requests!$A160="","",Requests!$K160)</f>
        <v/>
      </c>
      <c r="E160" s="22" t="str">
        <f aca="false">IF(Requests!$A160="","",Requests!$B160)</f>
        <v/>
      </c>
      <c r="F160" s="25" t="str">
        <f aca="false">IF(Requests!$A160="","",Requests!$AD160)</f>
        <v/>
      </c>
      <c r="G160" s="25" t="str">
        <f aca="false">IF(Requests!$A160="","",Requests!$AJ160)</f>
        <v/>
      </c>
      <c r="H160" s="25" t="str">
        <f aca="false">IF(OR(Requests!$A160="",Requests!$AJ160=""),"",Requests!$AD160-Requests!$AJ160)</f>
        <v/>
      </c>
      <c r="I160" s="25" t="str">
        <f aca="false">IF(Requests!$A160="","",Requests!$AM160)</f>
        <v/>
      </c>
      <c r="J160" s="23" t="str">
        <f aca="false">IF(OR(Requests!$A160="",Requests!$AS160=""),"",Requests!$AS160)</f>
        <v/>
      </c>
      <c r="K160" s="23" t="str">
        <f aca="false">IF(OR(Requests!$A160="",Requests!$AU160=""),"",Requests!$AU160)</f>
        <v/>
      </c>
      <c r="L160" s="22" t="str">
        <f aca="false">IF(Requests!$A160="","",IF(AND(Requests!$AJ160&lt;&gt;"",Requests!$AS160&lt;&gt;"",Requests!$AU160&lt;&gt;""),"Yes","Open"))</f>
        <v/>
      </c>
    </row>
    <row r="161" customFormat="false" ht="15" hidden="false" customHeight="false" outlineLevel="0" collapsed="false">
      <c r="A161" s="27" t="str">
        <f aca="false">IF(Requests!$A161="","",Requests!$A161)</f>
        <v/>
      </c>
      <c r="B161" s="27" t="str">
        <f aca="false">IF(OR(Requests!$A161="",Requests!$P161=""),"",TEXT(Requests!$P161,"yyyy-mm"))</f>
        <v/>
      </c>
      <c r="C161" s="27" t="str">
        <f aca="false">IF(Requests!$A161="","",Requests!$C161)</f>
        <v/>
      </c>
      <c r="D161" s="27" t="str">
        <f aca="false">IF(Requests!$A161="","",Requests!$K161)</f>
        <v/>
      </c>
      <c r="E161" s="27" t="str">
        <f aca="false">IF(Requests!$A161="","",Requests!$B161)</f>
        <v/>
      </c>
      <c r="F161" s="30" t="str">
        <f aca="false">IF(Requests!$A161="","",Requests!$AD161)</f>
        <v/>
      </c>
      <c r="G161" s="30" t="str">
        <f aca="false">IF(Requests!$A161="","",Requests!$AJ161)</f>
        <v/>
      </c>
      <c r="H161" s="30" t="str">
        <f aca="false">IF(OR(Requests!$A161="",Requests!$AJ161=""),"",Requests!$AD161-Requests!$AJ161)</f>
        <v/>
      </c>
      <c r="I161" s="30" t="str">
        <f aca="false">IF(Requests!$A161="","",Requests!$AM161)</f>
        <v/>
      </c>
      <c r="J161" s="28" t="str">
        <f aca="false">IF(OR(Requests!$A161="",Requests!$AS161=""),"",Requests!$AS161)</f>
        <v/>
      </c>
      <c r="K161" s="28" t="str">
        <f aca="false">IF(OR(Requests!$A161="",Requests!$AU161=""),"",Requests!$AU161)</f>
        <v/>
      </c>
      <c r="L161" s="27" t="str">
        <f aca="false">IF(Requests!$A161="","",IF(AND(Requests!$AJ161&lt;&gt;"",Requests!$AS161&lt;&gt;"",Requests!$AU161&lt;&gt;""),"Yes","Open"))</f>
        <v/>
      </c>
    </row>
    <row r="162" customFormat="false" ht="15" hidden="false" customHeight="false" outlineLevel="0" collapsed="false">
      <c r="A162" s="22" t="str">
        <f aca="false">IF(Requests!$A162="","",Requests!$A162)</f>
        <v/>
      </c>
      <c r="B162" s="22" t="str">
        <f aca="false">IF(OR(Requests!$A162="",Requests!$P162=""),"",TEXT(Requests!$P162,"yyyy-mm"))</f>
        <v/>
      </c>
      <c r="C162" s="22" t="str">
        <f aca="false">IF(Requests!$A162="","",Requests!$C162)</f>
        <v/>
      </c>
      <c r="D162" s="22" t="str">
        <f aca="false">IF(Requests!$A162="","",Requests!$K162)</f>
        <v/>
      </c>
      <c r="E162" s="22" t="str">
        <f aca="false">IF(Requests!$A162="","",Requests!$B162)</f>
        <v/>
      </c>
      <c r="F162" s="25" t="str">
        <f aca="false">IF(Requests!$A162="","",Requests!$AD162)</f>
        <v/>
      </c>
      <c r="G162" s="25" t="str">
        <f aca="false">IF(Requests!$A162="","",Requests!$AJ162)</f>
        <v/>
      </c>
      <c r="H162" s="25" t="str">
        <f aca="false">IF(OR(Requests!$A162="",Requests!$AJ162=""),"",Requests!$AD162-Requests!$AJ162)</f>
        <v/>
      </c>
      <c r="I162" s="25" t="str">
        <f aca="false">IF(Requests!$A162="","",Requests!$AM162)</f>
        <v/>
      </c>
      <c r="J162" s="23" t="str">
        <f aca="false">IF(OR(Requests!$A162="",Requests!$AS162=""),"",Requests!$AS162)</f>
        <v/>
      </c>
      <c r="K162" s="23" t="str">
        <f aca="false">IF(OR(Requests!$A162="",Requests!$AU162=""),"",Requests!$AU162)</f>
        <v/>
      </c>
      <c r="L162" s="22" t="str">
        <f aca="false">IF(Requests!$A162="","",IF(AND(Requests!$AJ162&lt;&gt;"",Requests!$AS162&lt;&gt;"",Requests!$AU162&lt;&gt;""),"Yes","Open"))</f>
        <v/>
      </c>
    </row>
    <row r="163" customFormat="false" ht="15" hidden="false" customHeight="false" outlineLevel="0" collapsed="false">
      <c r="A163" s="27" t="str">
        <f aca="false">IF(Requests!$A163="","",Requests!$A163)</f>
        <v/>
      </c>
      <c r="B163" s="27" t="str">
        <f aca="false">IF(OR(Requests!$A163="",Requests!$P163=""),"",TEXT(Requests!$P163,"yyyy-mm"))</f>
        <v/>
      </c>
      <c r="C163" s="27" t="str">
        <f aca="false">IF(Requests!$A163="","",Requests!$C163)</f>
        <v/>
      </c>
      <c r="D163" s="27" t="str">
        <f aca="false">IF(Requests!$A163="","",Requests!$K163)</f>
        <v/>
      </c>
      <c r="E163" s="27" t="str">
        <f aca="false">IF(Requests!$A163="","",Requests!$B163)</f>
        <v/>
      </c>
      <c r="F163" s="30" t="str">
        <f aca="false">IF(Requests!$A163="","",Requests!$AD163)</f>
        <v/>
      </c>
      <c r="G163" s="30" t="str">
        <f aca="false">IF(Requests!$A163="","",Requests!$AJ163)</f>
        <v/>
      </c>
      <c r="H163" s="30" t="str">
        <f aca="false">IF(OR(Requests!$A163="",Requests!$AJ163=""),"",Requests!$AD163-Requests!$AJ163)</f>
        <v/>
      </c>
      <c r="I163" s="30" t="str">
        <f aca="false">IF(Requests!$A163="","",Requests!$AM163)</f>
        <v/>
      </c>
      <c r="J163" s="28" t="str">
        <f aca="false">IF(OR(Requests!$A163="",Requests!$AS163=""),"",Requests!$AS163)</f>
        <v/>
      </c>
      <c r="K163" s="28" t="str">
        <f aca="false">IF(OR(Requests!$A163="",Requests!$AU163=""),"",Requests!$AU163)</f>
        <v/>
      </c>
      <c r="L163" s="27" t="str">
        <f aca="false">IF(Requests!$A163="","",IF(AND(Requests!$AJ163&lt;&gt;"",Requests!$AS163&lt;&gt;"",Requests!$AU163&lt;&gt;""),"Yes","Open"))</f>
        <v/>
      </c>
    </row>
    <row r="164" customFormat="false" ht="15" hidden="false" customHeight="false" outlineLevel="0" collapsed="false">
      <c r="A164" s="22" t="str">
        <f aca="false">IF(Requests!$A164="","",Requests!$A164)</f>
        <v/>
      </c>
      <c r="B164" s="22" t="str">
        <f aca="false">IF(OR(Requests!$A164="",Requests!$P164=""),"",TEXT(Requests!$P164,"yyyy-mm"))</f>
        <v/>
      </c>
      <c r="C164" s="22" t="str">
        <f aca="false">IF(Requests!$A164="","",Requests!$C164)</f>
        <v/>
      </c>
      <c r="D164" s="22" t="str">
        <f aca="false">IF(Requests!$A164="","",Requests!$K164)</f>
        <v/>
      </c>
      <c r="E164" s="22" t="str">
        <f aca="false">IF(Requests!$A164="","",Requests!$B164)</f>
        <v/>
      </c>
      <c r="F164" s="25" t="str">
        <f aca="false">IF(Requests!$A164="","",Requests!$AD164)</f>
        <v/>
      </c>
      <c r="G164" s="25" t="str">
        <f aca="false">IF(Requests!$A164="","",Requests!$AJ164)</f>
        <v/>
      </c>
      <c r="H164" s="25" t="str">
        <f aca="false">IF(OR(Requests!$A164="",Requests!$AJ164=""),"",Requests!$AD164-Requests!$AJ164)</f>
        <v/>
      </c>
      <c r="I164" s="25" t="str">
        <f aca="false">IF(Requests!$A164="","",Requests!$AM164)</f>
        <v/>
      </c>
      <c r="J164" s="23" t="str">
        <f aca="false">IF(OR(Requests!$A164="",Requests!$AS164=""),"",Requests!$AS164)</f>
        <v/>
      </c>
      <c r="K164" s="23" t="str">
        <f aca="false">IF(OR(Requests!$A164="",Requests!$AU164=""),"",Requests!$AU164)</f>
        <v/>
      </c>
      <c r="L164" s="22" t="str">
        <f aca="false">IF(Requests!$A164="","",IF(AND(Requests!$AJ164&lt;&gt;"",Requests!$AS164&lt;&gt;"",Requests!$AU164&lt;&gt;""),"Yes","Open"))</f>
        <v/>
      </c>
    </row>
    <row r="165" customFormat="false" ht="15" hidden="false" customHeight="false" outlineLevel="0" collapsed="false">
      <c r="A165" s="27" t="str">
        <f aca="false">IF(Requests!$A165="","",Requests!$A165)</f>
        <v/>
      </c>
      <c r="B165" s="27" t="str">
        <f aca="false">IF(OR(Requests!$A165="",Requests!$P165=""),"",TEXT(Requests!$P165,"yyyy-mm"))</f>
        <v/>
      </c>
      <c r="C165" s="27" t="str">
        <f aca="false">IF(Requests!$A165="","",Requests!$C165)</f>
        <v/>
      </c>
      <c r="D165" s="27" t="str">
        <f aca="false">IF(Requests!$A165="","",Requests!$K165)</f>
        <v/>
      </c>
      <c r="E165" s="27" t="str">
        <f aca="false">IF(Requests!$A165="","",Requests!$B165)</f>
        <v/>
      </c>
      <c r="F165" s="30" t="str">
        <f aca="false">IF(Requests!$A165="","",Requests!$AD165)</f>
        <v/>
      </c>
      <c r="G165" s="30" t="str">
        <f aca="false">IF(Requests!$A165="","",Requests!$AJ165)</f>
        <v/>
      </c>
      <c r="H165" s="30" t="str">
        <f aca="false">IF(OR(Requests!$A165="",Requests!$AJ165=""),"",Requests!$AD165-Requests!$AJ165)</f>
        <v/>
      </c>
      <c r="I165" s="30" t="str">
        <f aca="false">IF(Requests!$A165="","",Requests!$AM165)</f>
        <v/>
      </c>
      <c r="J165" s="28" t="str">
        <f aca="false">IF(OR(Requests!$A165="",Requests!$AS165=""),"",Requests!$AS165)</f>
        <v/>
      </c>
      <c r="K165" s="28" t="str">
        <f aca="false">IF(OR(Requests!$A165="",Requests!$AU165=""),"",Requests!$AU165)</f>
        <v/>
      </c>
      <c r="L165" s="27" t="str">
        <f aca="false">IF(Requests!$A165="","",IF(AND(Requests!$AJ165&lt;&gt;"",Requests!$AS165&lt;&gt;"",Requests!$AU165&lt;&gt;""),"Yes","Open"))</f>
        <v/>
      </c>
    </row>
    <row r="166" customFormat="false" ht="15" hidden="false" customHeight="false" outlineLevel="0" collapsed="false">
      <c r="A166" s="22" t="str">
        <f aca="false">IF(Requests!$A166="","",Requests!$A166)</f>
        <v/>
      </c>
      <c r="B166" s="22" t="str">
        <f aca="false">IF(OR(Requests!$A166="",Requests!$P166=""),"",TEXT(Requests!$P166,"yyyy-mm"))</f>
        <v/>
      </c>
      <c r="C166" s="22" t="str">
        <f aca="false">IF(Requests!$A166="","",Requests!$C166)</f>
        <v/>
      </c>
      <c r="D166" s="22" t="str">
        <f aca="false">IF(Requests!$A166="","",Requests!$K166)</f>
        <v/>
      </c>
      <c r="E166" s="22" t="str">
        <f aca="false">IF(Requests!$A166="","",Requests!$B166)</f>
        <v/>
      </c>
      <c r="F166" s="25" t="str">
        <f aca="false">IF(Requests!$A166="","",Requests!$AD166)</f>
        <v/>
      </c>
      <c r="G166" s="25" t="str">
        <f aca="false">IF(Requests!$A166="","",Requests!$AJ166)</f>
        <v/>
      </c>
      <c r="H166" s="25" t="str">
        <f aca="false">IF(OR(Requests!$A166="",Requests!$AJ166=""),"",Requests!$AD166-Requests!$AJ166)</f>
        <v/>
      </c>
      <c r="I166" s="25" t="str">
        <f aca="false">IF(Requests!$A166="","",Requests!$AM166)</f>
        <v/>
      </c>
      <c r="J166" s="23" t="str">
        <f aca="false">IF(OR(Requests!$A166="",Requests!$AS166=""),"",Requests!$AS166)</f>
        <v/>
      </c>
      <c r="K166" s="23" t="str">
        <f aca="false">IF(OR(Requests!$A166="",Requests!$AU166=""),"",Requests!$AU166)</f>
        <v/>
      </c>
      <c r="L166" s="22" t="str">
        <f aca="false">IF(Requests!$A166="","",IF(AND(Requests!$AJ166&lt;&gt;"",Requests!$AS166&lt;&gt;"",Requests!$AU166&lt;&gt;""),"Yes","Open"))</f>
        <v/>
      </c>
    </row>
    <row r="167" customFormat="false" ht="15" hidden="false" customHeight="false" outlineLevel="0" collapsed="false">
      <c r="A167" s="27" t="str">
        <f aca="false">IF(Requests!$A167="","",Requests!$A167)</f>
        <v/>
      </c>
      <c r="B167" s="27" t="str">
        <f aca="false">IF(OR(Requests!$A167="",Requests!$P167=""),"",TEXT(Requests!$P167,"yyyy-mm"))</f>
        <v/>
      </c>
      <c r="C167" s="27" t="str">
        <f aca="false">IF(Requests!$A167="","",Requests!$C167)</f>
        <v/>
      </c>
      <c r="D167" s="27" t="str">
        <f aca="false">IF(Requests!$A167="","",Requests!$K167)</f>
        <v/>
      </c>
      <c r="E167" s="27" t="str">
        <f aca="false">IF(Requests!$A167="","",Requests!$B167)</f>
        <v/>
      </c>
      <c r="F167" s="30" t="str">
        <f aca="false">IF(Requests!$A167="","",Requests!$AD167)</f>
        <v/>
      </c>
      <c r="G167" s="30" t="str">
        <f aca="false">IF(Requests!$A167="","",Requests!$AJ167)</f>
        <v/>
      </c>
      <c r="H167" s="30" t="str">
        <f aca="false">IF(OR(Requests!$A167="",Requests!$AJ167=""),"",Requests!$AD167-Requests!$AJ167)</f>
        <v/>
      </c>
      <c r="I167" s="30" t="str">
        <f aca="false">IF(Requests!$A167="","",Requests!$AM167)</f>
        <v/>
      </c>
      <c r="J167" s="28" t="str">
        <f aca="false">IF(OR(Requests!$A167="",Requests!$AS167=""),"",Requests!$AS167)</f>
        <v/>
      </c>
      <c r="K167" s="28" t="str">
        <f aca="false">IF(OR(Requests!$A167="",Requests!$AU167=""),"",Requests!$AU167)</f>
        <v/>
      </c>
      <c r="L167" s="27" t="str">
        <f aca="false">IF(Requests!$A167="","",IF(AND(Requests!$AJ167&lt;&gt;"",Requests!$AS167&lt;&gt;"",Requests!$AU167&lt;&gt;""),"Yes","Open"))</f>
        <v/>
      </c>
    </row>
    <row r="168" customFormat="false" ht="15" hidden="false" customHeight="false" outlineLevel="0" collapsed="false">
      <c r="A168" s="22" t="str">
        <f aca="false">IF(Requests!$A168="","",Requests!$A168)</f>
        <v/>
      </c>
      <c r="B168" s="22" t="str">
        <f aca="false">IF(OR(Requests!$A168="",Requests!$P168=""),"",TEXT(Requests!$P168,"yyyy-mm"))</f>
        <v/>
      </c>
      <c r="C168" s="22" t="str">
        <f aca="false">IF(Requests!$A168="","",Requests!$C168)</f>
        <v/>
      </c>
      <c r="D168" s="22" t="str">
        <f aca="false">IF(Requests!$A168="","",Requests!$K168)</f>
        <v/>
      </c>
      <c r="E168" s="22" t="str">
        <f aca="false">IF(Requests!$A168="","",Requests!$B168)</f>
        <v/>
      </c>
      <c r="F168" s="25" t="str">
        <f aca="false">IF(Requests!$A168="","",Requests!$AD168)</f>
        <v/>
      </c>
      <c r="G168" s="25" t="str">
        <f aca="false">IF(Requests!$A168="","",Requests!$AJ168)</f>
        <v/>
      </c>
      <c r="H168" s="25" t="str">
        <f aca="false">IF(OR(Requests!$A168="",Requests!$AJ168=""),"",Requests!$AD168-Requests!$AJ168)</f>
        <v/>
      </c>
      <c r="I168" s="25" t="str">
        <f aca="false">IF(Requests!$A168="","",Requests!$AM168)</f>
        <v/>
      </c>
      <c r="J168" s="23" t="str">
        <f aca="false">IF(OR(Requests!$A168="",Requests!$AS168=""),"",Requests!$AS168)</f>
        <v/>
      </c>
      <c r="K168" s="23" t="str">
        <f aca="false">IF(OR(Requests!$A168="",Requests!$AU168=""),"",Requests!$AU168)</f>
        <v/>
      </c>
      <c r="L168" s="22" t="str">
        <f aca="false">IF(Requests!$A168="","",IF(AND(Requests!$AJ168&lt;&gt;"",Requests!$AS168&lt;&gt;"",Requests!$AU168&lt;&gt;""),"Yes","Open"))</f>
        <v/>
      </c>
    </row>
    <row r="169" customFormat="false" ht="15" hidden="false" customHeight="false" outlineLevel="0" collapsed="false">
      <c r="A169" s="27" t="str">
        <f aca="false">IF(Requests!$A169="","",Requests!$A169)</f>
        <v/>
      </c>
      <c r="B169" s="27" t="str">
        <f aca="false">IF(OR(Requests!$A169="",Requests!$P169=""),"",TEXT(Requests!$P169,"yyyy-mm"))</f>
        <v/>
      </c>
      <c r="C169" s="27" t="str">
        <f aca="false">IF(Requests!$A169="","",Requests!$C169)</f>
        <v/>
      </c>
      <c r="D169" s="27" t="str">
        <f aca="false">IF(Requests!$A169="","",Requests!$K169)</f>
        <v/>
      </c>
      <c r="E169" s="27" t="str">
        <f aca="false">IF(Requests!$A169="","",Requests!$B169)</f>
        <v/>
      </c>
      <c r="F169" s="30" t="str">
        <f aca="false">IF(Requests!$A169="","",Requests!$AD169)</f>
        <v/>
      </c>
      <c r="G169" s="30" t="str">
        <f aca="false">IF(Requests!$A169="","",Requests!$AJ169)</f>
        <v/>
      </c>
      <c r="H169" s="30" t="str">
        <f aca="false">IF(OR(Requests!$A169="",Requests!$AJ169=""),"",Requests!$AD169-Requests!$AJ169)</f>
        <v/>
      </c>
      <c r="I169" s="30" t="str">
        <f aca="false">IF(Requests!$A169="","",Requests!$AM169)</f>
        <v/>
      </c>
      <c r="J169" s="28" t="str">
        <f aca="false">IF(OR(Requests!$A169="",Requests!$AS169=""),"",Requests!$AS169)</f>
        <v/>
      </c>
      <c r="K169" s="28" t="str">
        <f aca="false">IF(OR(Requests!$A169="",Requests!$AU169=""),"",Requests!$AU169)</f>
        <v/>
      </c>
      <c r="L169" s="27" t="str">
        <f aca="false">IF(Requests!$A169="","",IF(AND(Requests!$AJ169&lt;&gt;"",Requests!$AS169&lt;&gt;"",Requests!$AU169&lt;&gt;""),"Yes","Open"))</f>
        <v/>
      </c>
    </row>
    <row r="170" customFormat="false" ht="15" hidden="false" customHeight="false" outlineLevel="0" collapsed="false">
      <c r="A170" s="22" t="str">
        <f aca="false">IF(Requests!$A170="","",Requests!$A170)</f>
        <v/>
      </c>
      <c r="B170" s="22" t="str">
        <f aca="false">IF(OR(Requests!$A170="",Requests!$P170=""),"",TEXT(Requests!$P170,"yyyy-mm"))</f>
        <v/>
      </c>
      <c r="C170" s="22" t="str">
        <f aca="false">IF(Requests!$A170="","",Requests!$C170)</f>
        <v/>
      </c>
      <c r="D170" s="22" t="str">
        <f aca="false">IF(Requests!$A170="","",Requests!$K170)</f>
        <v/>
      </c>
      <c r="E170" s="22" t="str">
        <f aca="false">IF(Requests!$A170="","",Requests!$B170)</f>
        <v/>
      </c>
      <c r="F170" s="25" t="str">
        <f aca="false">IF(Requests!$A170="","",Requests!$AD170)</f>
        <v/>
      </c>
      <c r="G170" s="25" t="str">
        <f aca="false">IF(Requests!$A170="","",Requests!$AJ170)</f>
        <v/>
      </c>
      <c r="H170" s="25" t="str">
        <f aca="false">IF(OR(Requests!$A170="",Requests!$AJ170=""),"",Requests!$AD170-Requests!$AJ170)</f>
        <v/>
      </c>
      <c r="I170" s="25" t="str">
        <f aca="false">IF(Requests!$A170="","",Requests!$AM170)</f>
        <v/>
      </c>
      <c r="J170" s="23" t="str">
        <f aca="false">IF(OR(Requests!$A170="",Requests!$AS170=""),"",Requests!$AS170)</f>
        <v/>
      </c>
      <c r="K170" s="23" t="str">
        <f aca="false">IF(OR(Requests!$A170="",Requests!$AU170=""),"",Requests!$AU170)</f>
        <v/>
      </c>
      <c r="L170" s="22" t="str">
        <f aca="false">IF(Requests!$A170="","",IF(AND(Requests!$AJ170&lt;&gt;"",Requests!$AS170&lt;&gt;"",Requests!$AU170&lt;&gt;""),"Yes","Open"))</f>
        <v/>
      </c>
    </row>
    <row r="171" customFormat="false" ht="15" hidden="false" customHeight="false" outlineLevel="0" collapsed="false">
      <c r="A171" s="27" t="str">
        <f aca="false">IF(Requests!$A171="","",Requests!$A171)</f>
        <v/>
      </c>
      <c r="B171" s="27" t="str">
        <f aca="false">IF(OR(Requests!$A171="",Requests!$P171=""),"",TEXT(Requests!$P171,"yyyy-mm"))</f>
        <v/>
      </c>
      <c r="C171" s="27" t="str">
        <f aca="false">IF(Requests!$A171="","",Requests!$C171)</f>
        <v/>
      </c>
      <c r="D171" s="27" t="str">
        <f aca="false">IF(Requests!$A171="","",Requests!$K171)</f>
        <v/>
      </c>
      <c r="E171" s="27" t="str">
        <f aca="false">IF(Requests!$A171="","",Requests!$B171)</f>
        <v/>
      </c>
      <c r="F171" s="30" t="str">
        <f aca="false">IF(Requests!$A171="","",Requests!$AD171)</f>
        <v/>
      </c>
      <c r="G171" s="30" t="str">
        <f aca="false">IF(Requests!$A171="","",Requests!$AJ171)</f>
        <v/>
      </c>
      <c r="H171" s="30" t="str">
        <f aca="false">IF(OR(Requests!$A171="",Requests!$AJ171=""),"",Requests!$AD171-Requests!$AJ171)</f>
        <v/>
      </c>
      <c r="I171" s="30" t="str">
        <f aca="false">IF(Requests!$A171="","",Requests!$AM171)</f>
        <v/>
      </c>
      <c r="J171" s="28" t="str">
        <f aca="false">IF(OR(Requests!$A171="",Requests!$AS171=""),"",Requests!$AS171)</f>
        <v/>
      </c>
      <c r="K171" s="28" t="str">
        <f aca="false">IF(OR(Requests!$A171="",Requests!$AU171=""),"",Requests!$AU171)</f>
        <v/>
      </c>
      <c r="L171" s="27" t="str">
        <f aca="false">IF(Requests!$A171="","",IF(AND(Requests!$AJ171&lt;&gt;"",Requests!$AS171&lt;&gt;"",Requests!$AU171&lt;&gt;""),"Yes","Open"))</f>
        <v/>
      </c>
    </row>
    <row r="172" customFormat="false" ht="15" hidden="false" customHeight="false" outlineLevel="0" collapsed="false">
      <c r="A172" s="22" t="str">
        <f aca="false">IF(Requests!$A172="","",Requests!$A172)</f>
        <v/>
      </c>
      <c r="B172" s="22" t="str">
        <f aca="false">IF(OR(Requests!$A172="",Requests!$P172=""),"",TEXT(Requests!$P172,"yyyy-mm"))</f>
        <v/>
      </c>
      <c r="C172" s="22" t="str">
        <f aca="false">IF(Requests!$A172="","",Requests!$C172)</f>
        <v/>
      </c>
      <c r="D172" s="22" t="str">
        <f aca="false">IF(Requests!$A172="","",Requests!$K172)</f>
        <v/>
      </c>
      <c r="E172" s="22" t="str">
        <f aca="false">IF(Requests!$A172="","",Requests!$B172)</f>
        <v/>
      </c>
      <c r="F172" s="25" t="str">
        <f aca="false">IF(Requests!$A172="","",Requests!$AD172)</f>
        <v/>
      </c>
      <c r="G172" s="25" t="str">
        <f aca="false">IF(Requests!$A172="","",Requests!$AJ172)</f>
        <v/>
      </c>
      <c r="H172" s="25" t="str">
        <f aca="false">IF(OR(Requests!$A172="",Requests!$AJ172=""),"",Requests!$AD172-Requests!$AJ172)</f>
        <v/>
      </c>
      <c r="I172" s="25" t="str">
        <f aca="false">IF(Requests!$A172="","",Requests!$AM172)</f>
        <v/>
      </c>
      <c r="J172" s="23" t="str">
        <f aca="false">IF(OR(Requests!$A172="",Requests!$AS172=""),"",Requests!$AS172)</f>
        <v/>
      </c>
      <c r="K172" s="23" t="str">
        <f aca="false">IF(OR(Requests!$A172="",Requests!$AU172=""),"",Requests!$AU172)</f>
        <v/>
      </c>
      <c r="L172" s="22" t="str">
        <f aca="false">IF(Requests!$A172="","",IF(AND(Requests!$AJ172&lt;&gt;"",Requests!$AS172&lt;&gt;"",Requests!$AU172&lt;&gt;""),"Yes","Open"))</f>
        <v/>
      </c>
    </row>
    <row r="173" customFormat="false" ht="15" hidden="false" customHeight="false" outlineLevel="0" collapsed="false">
      <c r="A173" s="27" t="str">
        <f aca="false">IF(Requests!$A173="","",Requests!$A173)</f>
        <v/>
      </c>
      <c r="B173" s="27" t="str">
        <f aca="false">IF(OR(Requests!$A173="",Requests!$P173=""),"",TEXT(Requests!$P173,"yyyy-mm"))</f>
        <v/>
      </c>
      <c r="C173" s="27" t="str">
        <f aca="false">IF(Requests!$A173="","",Requests!$C173)</f>
        <v/>
      </c>
      <c r="D173" s="27" t="str">
        <f aca="false">IF(Requests!$A173="","",Requests!$K173)</f>
        <v/>
      </c>
      <c r="E173" s="27" t="str">
        <f aca="false">IF(Requests!$A173="","",Requests!$B173)</f>
        <v/>
      </c>
      <c r="F173" s="30" t="str">
        <f aca="false">IF(Requests!$A173="","",Requests!$AD173)</f>
        <v/>
      </c>
      <c r="G173" s="30" t="str">
        <f aca="false">IF(Requests!$A173="","",Requests!$AJ173)</f>
        <v/>
      </c>
      <c r="H173" s="30" t="str">
        <f aca="false">IF(OR(Requests!$A173="",Requests!$AJ173=""),"",Requests!$AD173-Requests!$AJ173)</f>
        <v/>
      </c>
      <c r="I173" s="30" t="str">
        <f aca="false">IF(Requests!$A173="","",Requests!$AM173)</f>
        <v/>
      </c>
      <c r="J173" s="28" t="str">
        <f aca="false">IF(OR(Requests!$A173="",Requests!$AS173=""),"",Requests!$AS173)</f>
        <v/>
      </c>
      <c r="K173" s="28" t="str">
        <f aca="false">IF(OR(Requests!$A173="",Requests!$AU173=""),"",Requests!$AU173)</f>
        <v/>
      </c>
      <c r="L173" s="27" t="str">
        <f aca="false">IF(Requests!$A173="","",IF(AND(Requests!$AJ173&lt;&gt;"",Requests!$AS173&lt;&gt;"",Requests!$AU173&lt;&gt;""),"Yes","Open"))</f>
        <v/>
      </c>
    </row>
    <row r="174" customFormat="false" ht="15" hidden="false" customHeight="false" outlineLevel="0" collapsed="false">
      <c r="A174" s="22" t="str">
        <f aca="false">IF(Requests!$A174="","",Requests!$A174)</f>
        <v/>
      </c>
      <c r="B174" s="22" t="str">
        <f aca="false">IF(OR(Requests!$A174="",Requests!$P174=""),"",TEXT(Requests!$P174,"yyyy-mm"))</f>
        <v/>
      </c>
      <c r="C174" s="22" t="str">
        <f aca="false">IF(Requests!$A174="","",Requests!$C174)</f>
        <v/>
      </c>
      <c r="D174" s="22" t="str">
        <f aca="false">IF(Requests!$A174="","",Requests!$K174)</f>
        <v/>
      </c>
      <c r="E174" s="22" t="str">
        <f aca="false">IF(Requests!$A174="","",Requests!$B174)</f>
        <v/>
      </c>
      <c r="F174" s="25" t="str">
        <f aca="false">IF(Requests!$A174="","",Requests!$AD174)</f>
        <v/>
      </c>
      <c r="G174" s="25" t="str">
        <f aca="false">IF(Requests!$A174="","",Requests!$AJ174)</f>
        <v/>
      </c>
      <c r="H174" s="25" t="str">
        <f aca="false">IF(OR(Requests!$A174="",Requests!$AJ174=""),"",Requests!$AD174-Requests!$AJ174)</f>
        <v/>
      </c>
      <c r="I174" s="25" t="str">
        <f aca="false">IF(Requests!$A174="","",Requests!$AM174)</f>
        <v/>
      </c>
      <c r="J174" s="23" t="str">
        <f aca="false">IF(OR(Requests!$A174="",Requests!$AS174=""),"",Requests!$AS174)</f>
        <v/>
      </c>
      <c r="K174" s="23" t="str">
        <f aca="false">IF(OR(Requests!$A174="",Requests!$AU174=""),"",Requests!$AU174)</f>
        <v/>
      </c>
      <c r="L174" s="22" t="str">
        <f aca="false">IF(Requests!$A174="","",IF(AND(Requests!$AJ174&lt;&gt;"",Requests!$AS174&lt;&gt;"",Requests!$AU174&lt;&gt;""),"Yes","Open"))</f>
        <v/>
      </c>
    </row>
    <row r="175" customFormat="false" ht="15" hidden="false" customHeight="false" outlineLevel="0" collapsed="false">
      <c r="A175" s="27" t="str">
        <f aca="false">IF(Requests!$A175="","",Requests!$A175)</f>
        <v/>
      </c>
      <c r="B175" s="27" t="str">
        <f aca="false">IF(OR(Requests!$A175="",Requests!$P175=""),"",TEXT(Requests!$P175,"yyyy-mm"))</f>
        <v/>
      </c>
      <c r="C175" s="27" t="str">
        <f aca="false">IF(Requests!$A175="","",Requests!$C175)</f>
        <v/>
      </c>
      <c r="D175" s="27" t="str">
        <f aca="false">IF(Requests!$A175="","",Requests!$K175)</f>
        <v/>
      </c>
      <c r="E175" s="27" t="str">
        <f aca="false">IF(Requests!$A175="","",Requests!$B175)</f>
        <v/>
      </c>
      <c r="F175" s="30" t="str">
        <f aca="false">IF(Requests!$A175="","",Requests!$AD175)</f>
        <v/>
      </c>
      <c r="G175" s="30" t="str">
        <f aca="false">IF(Requests!$A175="","",Requests!$AJ175)</f>
        <v/>
      </c>
      <c r="H175" s="30" t="str">
        <f aca="false">IF(OR(Requests!$A175="",Requests!$AJ175=""),"",Requests!$AD175-Requests!$AJ175)</f>
        <v/>
      </c>
      <c r="I175" s="30" t="str">
        <f aca="false">IF(Requests!$A175="","",Requests!$AM175)</f>
        <v/>
      </c>
      <c r="J175" s="28" t="str">
        <f aca="false">IF(OR(Requests!$A175="",Requests!$AS175=""),"",Requests!$AS175)</f>
        <v/>
      </c>
      <c r="K175" s="28" t="str">
        <f aca="false">IF(OR(Requests!$A175="",Requests!$AU175=""),"",Requests!$AU175)</f>
        <v/>
      </c>
      <c r="L175" s="27" t="str">
        <f aca="false">IF(Requests!$A175="","",IF(AND(Requests!$AJ175&lt;&gt;"",Requests!$AS175&lt;&gt;"",Requests!$AU175&lt;&gt;""),"Yes","Open"))</f>
        <v/>
      </c>
    </row>
    <row r="176" customFormat="false" ht="15" hidden="false" customHeight="false" outlineLevel="0" collapsed="false">
      <c r="A176" s="22" t="str">
        <f aca="false">IF(Requests!$A176="","",Requests!$A176)</f>
        <v/>
      </c>
      <c r="B176" s="22" t="str">
        <f aca="false">IF(OR(Requests!$A176="",Requests!$P176=""),"",TEXT(Requests!$P176,"yyyy-mm"))</f>
        <v/>
      </c>
      <c r="C176" s="22" t="str">
        <f aca="false">IF(Requests!$A176="","",Requests!$C176)</f>
        <v/>
      </c>
      <c r="D176" s="22" t="str">
        <f aca="false">IF(Requests!$A176="","",Requests!$K176)</f>
        <v/>
      </c>
      <c r="E176" s="22" t="str">
        <f aca="false">IF(Requests!$A176="","",Requests!$B176)</f>
        <v/>
      </c>
      <c r="F176" s="25" t="str">
        <f aca="false">IF(Requests!$A176="","",Requests!$AD176)</f>
        <v/>
      </c>
      <c r="G176" s="25" t="str">
        <f aca="false">IF(Requests!$A176="","",Requests!$AJ176)</f>
        <v/>
      </c>
      <c r="H176" s="25" t="str">
        <f aca="false">IF(OR(Requests!$A176="",Requests!$AJ176=""),"",Requests!$AD176-Requests!$AJ176)</f>
        <v/>
      </c>
      <c r="I176" s="25" t="str">
        <f aca="false">IF(Requests!$A176="","",Requests!$AM176)</f>
        <v/>
      </c>
      <c r="J176" s="23" t="str">
        <f aca="false">IF(OR(Requests!$A176="",Requests!$AS176=""),"",Requests!$AS176)</f>
        <v/>
      </c>
      <c r="K176" s="23" t="str">
        <f aca="false">IF(OR(Requests!$A176="",Requests!$AU176=""),"",Requests!$AU176)</f>
        <v/>
      </c>
      <c r="L176" s="22" t="str">
        <f aca="false">IF(Requests!$A176="","",IF(AND(Requests!$AJ176&lt;&gt;"",Requests!$AS176&lt;&gt;"",Requests!$AU176&lt;&gt;""),"Yes","Open"))</f>
        <v/>
      </c>
    </row>
    <row r="177" customFormat="false" ht="15" hidden="false" customHeight="false" outlineLevel="0" collapsed="false">
      <c r="A177" s="27" t="str">
        <f aca="false">IF(Requests!$A177="","",Requests!$A177)</f>
        <v/>
      </c>
      <c r="B177" s="27" t="str">
        <f aca="false">IF(OR(Requests!$A177="",Requests!$P177=""),"",TEXT(Requests!$P177,"yyyy-mm"))</f>
        <v/>
      </c>
      <c r="C177" s="27" t="str">
        <f aca="false">IF(Requests!$A177="","",Requests!$C177)</f>
        <v/>
      </c>
      <c r="D177" s="27" t="str">
        <f aca="false">IF(Requests!$A177="","",Requests!$K177)</f>
        <v/>
      </c>
      <c r="E177" s="27" t="str">
        <f aca="false">IF(Requests!$A177="","",Requests!$B177)</f>
        <v/>
      </c>
      <c r="F177" s="30" t="str">
        <f aca="false">IF(Requests!$A177="","",Requests!$AD177)</f>
        <v/>
      </c>
      <c r="G177" s="30" t="str">
        <f aca="false">IF(Requests!$A177="","",Requests!$AJ177)</f>
        <v/>
      </c>
      <c r="H177" s="30" t="str">
        <f aca="false">IF(OR(Requests!$A177="",Requests!$AJ177=""),"",Requests!$AD177-Requests!$AJ177)</f>
        <v/>
      </c>
      <c r="I177" s="30" t="str">
        <f aca="false">IF(Requests!$A177="","",Requests!$AM177)</f>
        <v/>
      </c>
      <c r="J177" s="28" t="str">
        <f aca="false">IF(OR(Requests!$A177="",Requests!$AS177=""),"",Requests!$AS177)</f>
        <v/>
      </c>
      <c r="K177" s="28" t="str">
        <f aca="false">IF(OR(Requests!$A177="",Requests!$AU177=""),"",Requests!$AU177)</f>
        <v/>
      </c>
      <c r="L177" s="27" t="str">
        <f aca="false">IF(Requests!$A177="","",IF(AND(Requests!$AJ177&lt;&gt;"",Requests!$AS177&lt;&gt;"",Requests!$AU177&lt;&gt;""),"Yes","Open"))</f>
        <v/>
      </c>
    </row>
    <row r="178" customFormat="false" ht="15" hidden="false" customHeight="false" outlineLevel="0" collapsed="false">
      <c r="A178" s="22" t="str">
        <f aca="false">IF(Requests!$A178="","",Requests!$A178)</f>
        <v/>
      </c>
      <c r="B178" s="22" t="str">
        <f aca="false">IF(OR(Requests!$A178="",Requests!$P178=""),"",TEXT(Requests!$P178,"yyyy-mm"))</f>
        <v/>
      </c>
      <c r="C178" s="22" t="str">
        <f aca="false">IF(Requests!$A178="","",Requests!$C178)</f>
        <v/>
      </c>
      <c r="D178" s="22" t="str">
        <f aca="false">IF(Requests!$A178="","",Requests!$K178)</f>
        <v/>
      </c>
      <c r="E178" s="22" t="str">
        <f aca="false">IF(Requests!$A178="","",Requests!$B178)</f>
        <v/>
      </c>
      <c r="F178" s="25" t="str">
        <f aca="false">IF(Requests!$A178="","",Requests!$AD178)</f>
        <v/>
      </c>
      <c r="G178" s="25" t="str">
        <f aca="false">IF(Requests!$A178="","",Requests!$AJ178)</f>
        <v/>
      </c>
      <c r="H178" s="25" t="str">
        <f aca="false">IF(OR(Requests!$A178="",Requests!$AJ178=""),"",Requests!$AD178-Requests!$AJ178)</f>
        <v/>
      </c>
      <c r="I178" s="25" t="str">
        <f aca="false">IF(Requests!$A178="","",Requests!$AM178)</f>
        <v/>
      </c>
      <c r="J178" s="23" t="str">
        <f aca="false">IF(OR(Requests!$A178="",Requests!$AS178=""),"",Requests!$AS178)</f>
        <v/>
      </c>
      <c r="K178" s="23" t="str">
        <f aca="false">IF(OR(Requests!$A178="",Requests!$AU178=""),"",Requests!$AU178)</f>
        <v/>
      </c>
      <c r="L178" s="22" t="str">
        <f aca="false">IF(Requests!$A178="","",IF(AND(Requests!$AJ178&lt;&gt;"",Requests!$AS178&lt;&gt;"",Requests!$AU178&lt;&gt;""),"Yes","Open"))</f>
        <v/>
      </c>
    </row>
    <row r="179" customFormat="false" ht="15" hidden="false" customHeight="false" outlineLevel="0" collapsed="false">
      <c r="A179" s="27" t="str">
        <f aca="false">IF(Requests!$A179="","",Requests!$A179)</f>
        <v/>
      </c>
      <c r="B179" s="27" t="str">
        <f aca="false">IF(OR(Requests!$A179="",Requests!$P179=""),"",TEXT(Requests!$P179,"yyyy-mm"))</f>
        <v/>
      </c>
      <c r="C179" s="27" t="str">
        <f aca="false">IF(Requests!$A179="","",Requests!$C179)</f>
        <v/>
      </c>
      <c r="D179" s="27" t="str">
        <f aca="false">IF(Requests!$A179="","",Requests!$K179)</f>
        <v/>
      </c>
      <c r="E179" s="27" t="str">
        <f aca="false">IF(Requests!$A179="","",Requests!$B179)</f>
        <v/>
      </c>
      <c r="F179" s="30" t="str">
        <f aca="false">IF(Requests!$A179="","",Requests!$AD179)</f>
        <v/>
      </c>
      <c r="G179" s="30" t="str">
        <f aca="false">IF(Requests!$A179="","",Requests!$AJ179)</f>
        <v/>
      </c>
      <c r="H179" s="30" t="str">
        <f aca="false">IF(OR(Requests!$A179="",Requests!$AJ179=""),"",Requests!$AD179-Requests!$AJ179)</f>
        <v/>
      </c>
      <c r="I179" s="30" t="str">
        <f aca="false">IF(Requests!$A179="","",Requests!$AM179)</f>
        <v/>
      </c>
      <c r="J179" s="28" t="str">
        <f aca="false">IF(OR(Requests!$A179="",Requests!$AS179=""),"",Requests!$AS179)</f>
        <v/>
      </c>
      <c r="K179" s="28" t="str">
        <f aca="false">IF(OR(Requests!$A179="",Requests!$AU179=""),"",Requests!$AU179)</f>
        <v/>
      </c>
      <c r="L179" s="27" t="str">
        <f aca="false">IF(Requests!$A179="","",IF(AND(Requests!$AJ179&lt;&gt;"",Requests!$AS179&lt;&gt;"",Requests!$AU179&lt;&gt;""),"Yes","Open"))</f>
        <v/>
      </c>
    </row>
    <row r="180" customFormat="false" ht="15" hidden="false" customHeight="false" outlineLevel="0" collapsed="false">
      <c r="A180" s="22" t="str">
        <f aca="false">IF(Requests!$A180="","",Requests!$A180)</f>
        <v/>
      </c>
      <c r="B180" s="22" t="str">
        <f aca="false">IF(OR(Requests!$A180="",Requests!$P180=""),"",TEXT(Requests!$P180,"yyyy-mm"))</f>
        <v/>
      </c>
      <c r="C180" s="22" t="str">
        <f aca="false">IF(Requests!$A180="","",Requests!$C180)</f>
        <v/>
      </c>
      <c r="D180" s="22" t="str">
        <f aca="false">IF(Requests!$A180="","",Requests!$K180)</f>
        <v/>
      </c>
      <c r="E180" s="22" t="str">
        <f aca="false">IF(Requests!$A180="","",Requests!$B180)</f>
        <v/>
      </c>
      <c r="F180" s="25" t="str">
        <f aca="false">IF(Requests!$A180="","",Requests!$AD180)</f>
        <v/>
      </c>
      <c r="G180" s="25" t="str">
        <f aca="false">IF(Requests!$A180="","",Requests!$AJ180)</f>
        <v/>
      </c>
      <c r="H180" s="25" t="str">
        <f aca="false">IF(OR(Requests!$A180="",Requests!$AJ180=""),"",Requests!$AD180-Requests!$AJ180)</f>
        <v/>
      </c>
      <c r="I180" s="25" t="str">
        <f aca="false">IF(Requests!$A180="","",Requests!$AM180)</f>
        <v/>
      </c>
      <c r="J180" s="23" t="str">
        <f aca="false">IF(OR(Requests!$A180="",Requests!$AS180=""),"",Requests!$AS180)</f>
        <v/>
      </c>
      <c r="K180" s="23" t="str">
        <f aca="false">IF(OR(Requests!$A180="",Requests!$AU180=""),"",Requests!$AU180)</f>
        <v/>
      </c>
      <c r="L180" s="22" t="str">
        <f aca="false">IF(Requests!$A180="","",IF(AND(Requests!$AJ180&lt;&gt;"",Requests!$AS180&lt;&gt;"",Requests!$AU180&lt;&gt;""),"Yes","Open"))</f>
        <v/>
      </c>
    </row>
    <row r="181" customFormat="false" ht="15" hidden="false" customHeight="false" outlineLevel="0" collapsed="false">
      <c r="A181" s="27" t="str">
        <f aca="false">IF(Requests!$A181="","",Requests!$A181)</f>
        <v/>
      </c>
      <c r="B181" s="27" t="str">
        <f aca="false">IF(OR(Requests!$A181="",Requests!$P181=""),"",TEXT(Requests!$P181,"yyyy-mm"))</f>
        <v/>
      </c>
      <c r="C181" s="27" t="str">
        <f aca="false">IF(Requests!$A181="","",Requests!$C181)</f>
        <v/>
      </c>
      <c r="D181" s="27" t="str">
        <f aca="false">IF(Requests!$A181="","",Requests!$K181)</f>
        <v/>
      </c>
      <c r="E181" s="27" t="str">
        <f aca="false">IF(Requests!$A181="","",Requests!$B181)</f>
        <v/>
      </c>
      <c r="F181" s="30" t="str">
        <f aca="false">IF(Requests!$A181="","",Requests!$AD181)</f>
        <v/>
      </c>
      <c r="G181" s="30" t="str">
        <f aca="false">IF(Requests!$A181="","",Requests!$AJ181)</f>
        <v/>
      </c>
      <c r="H181" s="30" t="str">
        <f aca="false">IF(OR(Requests!$A181="",Requests!$AJ181=""),"",Requests!$AD181-Requests!$AJ181)</f>
        <v/>
      </c>
      <c r="I181" s="30" t="str">
        <f aca="false">IF(Requests!$A181="","",Requests!$AM181)</f>
        <v/>
      </c>
      <c r="J181" s="28" t="str">
        <f aca="false">IF(OR(Requests!$A181="",Requests!$AS181=""),"",Requests!$AS181)</f>
        <v/>
      </c>
      <c r="K181" s="28" t="str">
        <f aca="false">IF(OR(Requests!$A181="",Requests!$AU181=""),"",Requests!$AU181)</f>
        <v/>
      </c>
      <c r="L181" s="27" t="str">
        <f aca="false">IF(Requests!$A181="","",IF(AND(Requests!$AJ181&lt;&gt;"",Requests!$AS181&lt;&gt;"",Requests!$AU181&lt;&gt;""),"Yes","Open"))</f>
        <v/>
      </c>
    </row>
    <row r="182" customFormat="false" ht="15" hidden="false" customHeight="false" outlineLevel="0" collapsed="false">
      <c r="A182" s="22" t="str">
        <f aca="false">IF(Requests!$A182="","",Requests!$A182)</f>
        <v/>
      </c>
      <c r="B182" s="22" t="str">
        <f aca="false">IF(OR(Requests!$A182="",Requests!$P182=""),"",TEXT(Requests!$P182,"yyyy-mm"))</f>
        <v/>
      </c>
      <c r="C182" s="22" t="str">
        <f aca="false">IF(Requests!$A182="","",Requests!$C182)</f>
        <v/>
      </c>
      <c r="D182" s="22" t="str">
        <f aca="false">IF(Requests!$A182="","",Requests!$K182)</f>
        <v/>
      </c>
      <c r="E182" s="22" t="str">
        <f aca="false">IF(Requests!$A182="","",Requests!$B182)</f>
        <v/>
      </c>
      <c r="F182" s="25" t="str">
        <f aca="false">IF(Requests!$A182="","",Requests!$AD182)</f>
        <v/>
      </c>
      <c r="G182" s="25" t="str">
        <f aca="false">IF(Requests!$A182="","",Requests!$AJ182)</f>
        <v/>
      </c>
      <c r="H182" s="25" t="str">
        <f aca="false">IF(OR(Requests!$A182="",Requests!$AJ182=""),"",Requests!$AD182-Requests!$AJ182)</f>
        <v/>
      </c>
      <c r="I182" s="25" t="str">
        <f aca="false">IF(Requests!$A182="","",Requests!$AM182)</f>
        <v/>
      </c>
      <c r="J182" s="23" t="str">
        <f aca="false">IF(OR(Requests!$A182="",Requests!$AS182=""),"",Requests!$AS182)</f>
        <v/>
      </c>
      <c r="K182" s="23" t="str">
        <f aca="false">IF(OR(Requests!$A182="",Requests!$AU182=""),"",Requests!$AU182)</f>
        <v/>
      </c>
      <c r="L182" s="22" t="str">
        <f aca="false">IF(Requests!$A182="","",IF(AND(Requests!$AJ182&lt;&gt;"",Requests!$AS182&lt;&gt;"",Requests!$AU182&lt;&gt;""),"Yes","Open"))</f>
        <v/>
      </c>
    </row>
    <row r="183" customFormat="false" ht="15" hidden="false" customHeight="false" outlineLevel="0" collapsed="false">
      <c r="A183" s="27" t="str">
        <f aca="false">IF(Requests!$A183="","",Requests!$A183)</f>
        <v/>
      </c>
      <c r="B183" s="27" t="str">
        <f aca="false">IF(OR(Requests!$A183="",Requests!$P183=""),"",TEXT(Requests!$P183,"yyyy-mm"))</f>
        <v/>
      </c>
      <c r="C183" s="27" t="str">
        <f aca="false">IF(Requests!$A183="","",Requests!$C183)</f>
        <v/>
      </c>
      <c r="D183" s="27" t="str">
        <f aca="false">IF(Requests!$A183="","",Requests!$K183)</f>
        <v/>
      </c>
      <c r="E183" s="27" t="str">
        <f aca="false">IF(Requests!$A183="","",Requests!$B183)</f>
        <v/>
      </c>
      <c r="F183" s="30" t="str">
        <f aca="false">IF(Requests!$A183="","",Requests!$AD183)</f>
        <v/>
      </c>
      <c r="G183" s="30" t="str">
        <f aca="false">IF(Requests!$A183="","",Requests!$AJ183)</f>
        <v/>
      </c>
      <c r="H183" s="30" t="str">
        <f aca="false">IF(OR(Requests!$A183="",Requests!$AJ183=""),"",Requests!$AD183-Requests!$AJ183)</f>
        <v/>
      </c>
      <c r="I183" s="30" t="str">
        <f aca="false">IF(Requests!$A183="","",Requests!$AM183)</f>
        <v/>
      </c>
      <c r="J183" s="28" t="str">
        <f aca="false">IF(OR(Requests!$A183="",Requests!$AS183=""),"",Requests!$AS183)</f>
        <v/>
      </c>
      <c r="K183" s="28" t="str">
        <f aca="false">IF(OR(Requests!$A183="",Requests!$AU183=""),"",Requests!$AU183)</f>
        <v/>
      </c>
      <c r="L183" s="27" t="str">
        <f aca="false">IF(Requests!$A183="","",IF(AND(Requests!$AJ183&lt;&gt;"",Requests!$AS183&lt;&gt;"",Requests!$AU183&lt;&gt;""),"Yes","Open"))</f>
        <v/>
      </c>
    </row>
    <row r="184" customFormat="false" ht="15" hidden="false" customHeight="false" outlineLevel="0" collapsed="false">
      <c r="A184" s="22" t="str">
        <f aca="false">IF(Requests!$A184="","",Requests!$A184)</f>
        <v/>
      </c>
      <c r="B184" s="22" t="str">
        <f aca="false">IF(OR(Requests!$A184="",Requests!$P184=""),"",TEXT(Requests!$P184,"yyyy-mm"))</f>
        <v/>
      </c>
      <c r="C184" s="22" t="str">
        <f aca="false">IF(Requests!$A184="","",Requests!$C184)</f>
        <v/>
      </c>
      <c r="D184" s="22" t="str">
        <f aca="false">IF(Requests!$A184="","",Requests!$K184)</f>
        <v/>
      </c>
      <c r="E184" s="22" t="str">
        <f aca="false">IF(Requests!$A184="","",Requests!$B184)</f>
        <v/>
      </c>
      <c r="F184" s="25" t="str">
        <f aca="false">IF(Requests!$A184="","",Requests!$AD184)</f>
        <v/>
      </c>
      <c r="G184" s="25" t="str">
        <f aca="false">IF(Requests!$A184="","",Requests!$AJ184)</f>
        <v/>
      </c>
      <c r="H184" s="25" t="str">
        <f aca="false">IF(OR(Requests!$A184="",Requests!$AJ184=""),"",Requests!$AD184-Requests!$AJ184)</f>
        <v/>
      </c>
      <c r="I184" s="25" t="str">
        <f aca="false">IF(Requests!$A184="","",Requests!$AM184)</f>
        <v/>
      </c>
      <c r="J184" s="23" t="str">
        <f aca="false">IF(OR(Requests!$A184="",Requests!$AS184=""),"",Requests!$AS184)</f>
        <v/>
      </c>
      <c r="K184" s="23" t="str">
        <f aca="false">IF(OR(Requests!$A184="",Requests!$AU184=""),"",Requests!$AU184)</f>
        <v/>
      </c>
      <c r="L184" s="22" t="str">
        <f aca="false">IF(Requests!$A184="","",IF(AND(Requests!$AJ184&lt;&gt;"",Requests!$AS184&lt;&gt;"",Requests!$AU184&lt;&gt;""),"Yes","Open"))</f>
        <v/>
      </c>
    </row>
    <row r="185" customFormat="false" ht="15" hidden="false" customHeight="false" outlineLevel="0" collapsed="false">
      <c r="A185" s="27" t="str">
        <f aca="false">IF(Requests!$A185="","",Requests!$A185)</f>
        <v/>
      </c>
      <c r="B185" s="27" t="str">
        <f aca="false">IF(OR(Requests!$A185="",Requests!$P185=""),"",TEXT(Requests!$P185,"yyyy-mm"))</f>
        <v/>
      </c>
      <c r="C185" s="27" t="str">
        <f aca="false">IF(Requests!$A185="","",Requests!$C185)</f>
        <v/>
      </c>
      <c r="D185" s="27" t="str">
        <f aca="false">IF(Requests!$A185="","",Requests!$K185)</f>
        <v/>
      </c>
      <c r="E185" s="27" t="str">
        <f aca="false">IF(Requests!$A185="","",Requests!$B185)</f>
        <v/>
      </c>
      <c r="F185" s="30" t="str">
        <f aca="false">IF(Requests!$A185="","",Requests!$AD185)</f>
        <v/>
      </c>
      <c r="G185" s="30" t="str">
        <f aca="false">IF(Requests!$A185="","",Requests!$AJ185)</f>
        <v/>
      </c>
      <c r="H185" s="30" t="str">
        <f aca="false">IF(OR(Requests!$A185="",Requests!$AJ185=""),"",Requests!$AD185-Requests!$AJ185)</f>
        <v/>
      </c>
      <c r="I185" s="30" t="str">
        <f aca="false">IF(Requests!$A185="","",Requests!$AM185)</f>
        <v/>
      </c>
      <c r="J185" s="28" t="str">
        <f aca="false">IF(OR(Requests!$A185="",Requests!$AS185=""),"",Requests!$AS185)</f>
        <v/>
      </c>
      <c r="K185" s="28" t="str">
        <f aca="false">IF(OR(Requests!$A185="",Requests!$AU185=""),"",Requests!$AU185)</f>
        <v/>
      </c>
      <c r="L185" s="27" t="str">
        <f aca="false">IF(Requests!$A185="","",IF(AND(Requests!$AJ185&lt;&gt;"",Requests!$AS185&lt;&gt;"",Requests!$AU185&lt;&gt;""),"Yes","Open"))</f>
        <v/>
      </c>
    </row>
    <row r="186" customFormat="false" ht="15" hidden="false" customHeight="false" outlineLevel="0" collapsed="false">
      <c r="A186" s="22" t="str">
        <f aca="false">IF(Requests!$A186="","",Requests!$A186)</f>
        <v/>
      </c>
      <c r="B186" s="22" t="str">
        <f aca="false">IF(OR(Requests!$A186="",Requests!$P186=""),"",TEXT(Requests!$P186,"yyyy-mm"))</f>
        <v/>
      </c>
      <c r="C186" s="22" t="str">
        <f aca="false">IF(Requests!$A186="","",Requests!$C186)</f>
        <v/>
      </c>
      <c r="D186" s="22" t="str">
        <f aca="false">IF(Requests!$A186="","",Requests!$K186)</f>
        <v/>
      </c>
      <c r="E186" s="22" t="str">
        <f aca="false">IF(Requests!$A186="","",Requests!$B186)</f>
        <v/>
      </c>
      <c r="F186" s="25" t="str">
        <f aca="false">IF(Requests!$A186="","",Requests!$AD186)</f>
        <v/>
      </c>
      <c r="G186" s="25" t="str">
        <f aca="false">IF(Requests!$A186="","",Requests!$AJ186)</f>
        <v/>
      </c>
      <c r="H186" s="25" t="str">
        <f aca="false">IF(OR(Requests!$A186="",Requests!$AJ186=""),"",Requests!$AD186-Requests!$AJ186)</f>
        <v/>
      </c>
      <c r="I186" s="25" t="str">
        <f aca="false">IF(Requests!$A186="","",Requests!$AM186)</f>
        <v/>
      </c>
      <c r="J186" s="23" t="str">
        <f aca="false">IF(OR(Requests!$A186="",Requests!$AS186=""),"",Requests!$AS186)</f>
        <v/>
      </c>
      <c r="K186" s="23" t="str">
        <f aca="false">IF(OR(Requests!$A186="",Requests!$AU186=""),"",Requests!$AU186)</f>
        <v/>
      </c>
      <c r="L186" s="22" t="str">
        <f aca="false">IF(Requests!$A186="","",IF(AND(Requests!$AJ186&lt;&gt;"",Requests!$AS186&lt;&gt;"",Requests!$AU186&lt;&gt;""),"Yes","Open"))</f>
        <v/>
      </c>
    </row>
    <row r="187" customFormat="false" ht="15" hidden="false" customHeight="false" outlineLevel="0" collapsed="false">
      <c r="A187" s="27" t="str">
        <f aca="false">IF(Requests!$A187="","",Requests!$A187)</f>
        <v/>
      </c>
      <c r="B187" s="27" t="str">
        <f aca="false">IF(OR(Requests!$A187="",Requests!$P187=""),"",TEXT(Requests!$P187,"yyyy-mm"))</f>
        <v/>
      </c>
      <c r="C187" s="27" t="str">
        <f aca="false">IF(Requests!$A187="","",Requests!$C187)</f>
        <v/>
      </c>
      <c r="D187" s="27" t="str">
        <f aca="false">IF(Requests!$A187="","",Requests!$K187)</f>
        <v/>
      </c>
      <c r="E187" s="27" t="str">
        <f aca="false">IF(Requests!$A187="","",Requests!$B187)</f>
        <v/>
      </c>
      <c r="F187" s="30" t="str">
        <f aca="false">IF(Requests!$A187="","",Requests!$AD187)</f>
        <v/>
      </c>
      <c r="G187" s="30" t="str">
        <f aca="false">IF(Requests!$A187="","",Requests!$AJ187)</f>
        <v/>
      </c>
      <c r="H187" s="30" t="str">
        <f aca="false">IF(OR(Requests!$A187="",Requests!$AJ187=""),"",Requests!$AD187-Requests!$AJ187)</f>
        <v/>
      </c>
      <c r="I187" s="30" t="str">
        <f aca="false">IF(Requests!$A187="","",Requests!$AM187)</f>
        <v/>
      </c>
      <c r="J187" s="28" t="str">
        <f aca="false">IF(OR(Requests!$A187="",Requests!$AS187=""),"",Requests!$AS187)</f>
        <v/>
      </c>
      <c r="K187" s="28" t="str">
        <f aca="false">IF(OR(Requests!$A187="",Requests!$AU187=""),"",Requests!$AU187)</f>
        <v/>
      </c>
      <c r="L187" s="27" t="str">
        <f aca="false">IF(Requests!$A187="","",IF(AND(Requests!$AJ187&lt;&gt;"",Requests!$AS187&lt;&gt;"",Requests!$AU187&lt;&gt;""),"Yes","Open"))</f>
        <v/>
      </c>
    </row>
    <row r="188" customFormat="false" ht="15" hidden="false" customHeight="false" outlineLevel="0" collapsed="false">
      <c r="A188" s="22" t="str">
        <f aca="false">IF(Requests!$A188="","",Requests!$A188)</f>
        <v/>
      </c>
      <c r="B188" s="22" t="str">
        <f aca="false">IF(OR(Requests!$A188="",Requests!$P188=""),"",TEXT(Requests!$P188,"yyyy-mm"))</f>
        <v/>
      </c>
      <c r="C188" s="22" t="str">
        <f aca="false">IF(Requests!$A188="","",Requests!$C188)</f>
        <v/>
      </c>
      <c r="D188" s="22" t="str">
        <f aca="false">IF(Requests!$A188="","",Requests!$K188)</f>
        <v/>
      </c>
      <c r="E188" s="22" t="str">
        <f aca="false">IF(Requests!$A188="","",Requests!$B188)</f>
        <v/>
      </c>
      <c r="F188" s="25" t="str">
        <f aca="false">IF(Requests!$A188="","",Requests!$AD188)</f>
        <v/>
      </c>
      <c r="G188" s="25" t="str">
        <f aca="false">IF(Requests!$A188="","",Requests!$AJ188)</f>
        <v/>
      </c>
      <c r="H188" s="25" t="str">
        <f aca="false">IF(OR(Requests!$A188="",Requests!$AJ188=""),"",Requests!$AD188-Requests!$AJ188)</f>
        <v/>
      </c>
      <c r="I188" s="25" t="str">
        <f aca="false">IF(Requests!$A188="","",Requests!$AM188)</f>
        <v/>
      </c>
      <c r="J188" s="23" t="str">
        <f aca="false">IF(OR(Requests!$A188="",Requests!$AS188=""),"",Requests!$AS188)</f>
        <v/>
      </c>
      <c r="K188" s="23" t="str">
        <f aca="false">IF(OR(Requests!$A188="",Requests!$AU188=""),"",Requests!$AU188)</f>
        <v/>
      </c>
      <c r="L188" s="22" t="str">
        <f aca="false">IF(Requests!$A188="","",IF(AND(Requests!$AJ188&lt;&gt;"",Requests!$AS188&lt;&gt;"",Requests!$AU188&lt;&gt;""),"Yes","Open"))</f>
        <v/>
      </c>
    </row>
    <row r="189" customFormat="false" ht="15" hidden="false" customHeight="false" outlineLevel="0" collapsed="false">
      <c r="A189" s="27" t="str">
        <f aca="false">IF(Requests!$A189="","",Requests!$A189)</f>
        <v/>
      </c>
      <c r="B189" s="27" t="str">
        <f aca="false">IF(OR(Requests!$A189="",Requests!$P189=""),"",TEXT(Requests!$P189,"yyyy-mm"))</f>
        <v/>
      </c>
      <c r="C189" s="27" t="str">
        <f aca="false">IF(Requests!$A189="","",Requests!$C189)</f>
        <v/>
      </c>
      <c r="D189" s="27" t="str">
        <f aca="false">IF(Requests!$A189="","",Requests!$K189)</f>
        <v/>
      </c>
      <c r="E189" s="27" t="str">
        <f aca="false">IF(Requests!$A189="","",Requests!$B189)</f>
        <v/>
      </c>
      <c r="F189" s="30" t="str">
        <f aca="false">IF(Requests!$A189="","",Requests!$AD189)</f>
        <v/>
      </c>
      <c r="G189" s="30" t="str">
        <f aca="false">IF(Requests!$A189="","",Requests!$AJ189)</f>
        <v/>
      </c>
      <c r="H189" s="30" t="str">
        <f aca="false">IF(OR(Requests!$A189="",Requests!$AJ189=""),"",Requests!$AD189-Requests!$AJ189)</f>
        <v/>
      </c>
      <c r="I189" s="30" t="str">
        <f aca="false">IF(Requests!$A189="","",Requests!$AM189)</f>
        <v/>
      </c>
      <c r="J189" s="28" t="str">
        <f aca="false">IF(OR(Requests!$A189="",Requests!$AS189=""),"",Requests!$AS189)</f>
        <v/>
      </c>
      <c r="K189" s="28" t="str">
        <f aca="false">IF(OR(Requests!$A189="",Requests!$AU189=""),"",Requests!$AU189)</f>
        <v/>
      </c>
      <c r="L189" s="27" t="str">
        <f aca="false">IF(Requests!$A189="","",IF(AND(Requests!$AJ189&lt;&gt;"",Requests!$AS189&lt;&gt;"",Requests!$AU189&lt;&gt;""),"Yes","Open"))</f>
        <v/>
      </c>
    </row>
    <row r="190" customFormat="false" ht="15" hidden="false" customHeight="false" outlineLevel="0" collapsed="false">
      <c r="A190" s="22" t="str">
        <f aca="false">IF(Requests!$A190="","",Requests!$A190)</f>
        <v/>
      </c>
      <c r="B190" s="22" t="str">
        <f aca="false">IF(OR(Requests!$A190="",Requests!$P190=""),"",TEXT(Requests!$P190,"yyyy-mm"))</f>
        <v/>
      </c>
      <c r="C190" s="22" t="str">
        <f aca="false">IF(Requests!$A190="","",Requests!$C190)</f>
        <v/>
      </c>
      <c r="D190" s="22" t="str">
        <f aca="false">IF(Requests!$A190="","",Requests!$K190)</f>
        <v/>
      </c>
      <c r="E190" s="22" t="str">
        <f aca="false">IF(Requests!$A190="","",Requests!$B190)</f>
        <v/>
      </c>
      <c r="F190" s="25" t="str">
        <f aca="false">IF(Requests!$A190="","",Requests!$AD190)</f>
        <v/>
      </c>
      <c r="G190" s="25" t="str">
        <f aca="false">IF(Requests!$A190="","",Requests!$AJ190)</f>
        <v/>
      </c>
      <c r="H190" s="25" t="str">
        <f aca="false">IF(OR(Requests!$A190="",Requests!$AJ190=""),"",Requests!$AD190-Requests!$AJ190)</f>
        <v/>
      </c>
      <c r="I190" s="25" t="str">
        <f aca="false">IF(Requests!$A190="","",Requests!$AM190)</f>
        <v/>
      </c>
      <c r="J190" s="23" t="str">
        <f aca="false">IF(OR(Requests!$A190="",Requests!$AS190=""),"",Requests!$AS190)</f>
        <v/>
      </c>
      <c r="K190" s="23" t="str">
        <f aca="false">IF(OR(Requests!$A190="",Requests!$AU190=""),"",Requests!$AU190)</f>
        <v/>
      </c>
      <c r="L190" s="22" t="str">
        <f aca="false">IF(Requests!$A190="","",IF(AND(Requests!$AJ190&lt;&gt;"",Requests!$AS190&lt;&gt;"",Requests!$AU190&lt;&gt;""),"Yes","Open"))</f>
        <v/>
      </c>
    </row>
    <row r="191" customFormat="false" ht="15" hidden="false" customHeight="false" outlineLevel="0" collapsed="false">
      <c r="A191" s="27" t="str">
        <f aca="false">IF(Requests!$A191="","",Requests!$A191)</f>
        <v/>
      </c>
      <c r="B191" s="27" t="str">
        <f aca="false">IF(OR(Requests!$A191="",Requests!$P191=""),"",TEXT(Requests!$P191,"yyyy-mm"))</f>
        <v/>
      </c>
      <c r="C191" s="27" t="str">
        <f aca="false">IF(Requests!$A191="","",Requests!$C191)</f>
        <v/>
      </c>
      <c r="D191" s="27" t="str">
        <f aca="false">IF(Requests!$A191="","",Requests!$K191)</f>
        <v/>
      </c>
      <c r="E191" s="27" t="str">
        <f aca="false">IF(Requests!$A191="","",Requests!$B191)</f>
        <v/>
      </c>
      <c r="F191" s="30" t="str">
        <f aca="false">IF(Requests!$A191="","",Requests!$AD191)</f>
        <v/>
      </c>
      <c r="G191" s="30" t="str">
        <f aca="false">IF(Requests!$A191="","",Requests!$AJ191)</f>
        <v/>
      </c>
      <c r="H191" s="30" t="str">
        <f aca="false">IF(OR(Requests!$A191="",Requests!$AJ191=""),"",Requests!$AD191-Requests!$AJ191)</f>
        <v/>
      </c>
      <c r="I191" s="30" t="str">
        <f aca="false">IF(Requests!$A191="","",Requests!$AM191)</f>
        <v/>
      </c>
      <c r="J191" s="28" t="str">
        <f aca="false">IF(OR(Requests!$A191="",Requests!$AS191=""),"",Requests!$AS191)</f>
        <v/>
      </c>
      <c r="K191" s="28" t="str">
        <f aca="false">IF(OR(Requests!$A191="",Requests!$AU191=""),"",Requests!$AU191)</f>
        <v/>
      </c>
      <c r="L191" s="27" t="str">
        <f aca="false">IF(Requests!$A191="","",IF(AND(Requests!$AJ191&lt;&gt;"",Requests!$AS191&lt;&gt;"",Requests!$AU191&lt;&gt;""),"Yes","Open"))</f>
        <v/>
      </c>
    </row>
    <row r="192" customFormat="false" ht="15" hidden="false" customHeight="false" outlineLevel="0" collapsed="false">
      <c r="A192" s="22" t="str">
        <f aca="false">IF(Requests!$A192="","",Requests!$A192)</f>
        <v/>
      </c>
      <c r="B192" s="22" t="str">
        <f aca="false">IF(OR(Requests!$A192="",Requests!$P192=""),"",TEXT(Requests!$P192,"yyyy-mm"))</f>
        <v/>
      </c>
      <c r="C192" s="22" t="str">
        <f aca="false">IF(Requests!$A192="","",Requests!$C192)</f>
        <v/>
      </c>
      <c r="D192" s="22" t="str">
        <f aca="false">IF(Requests!$A192="","",Requests!$K192)</f>
        <v/>
      </c>
      <c r="E192" s="22" t="str">
        <f aca="false">IF(Requests!$A192="","",Requests!$B192)</f>
        <v/>
      </c>
      <c r="F192" s="25" t="str">
        <f aca="false">IF(Requests!$A192="","",Requests!$AD192)</f>
        <v/>
      </c>
      <c r="G192" s="25" t="str">
        <f aca="false">IF(Requests!$A192="","",Requests!$AJ192)</f>
        <v/>
      </c>
      <c r="H192" s="25" t="str">
        <f aca="false">IF(OR(Requests!$A192="",Requests!$AJ192=""),"",Requests!$AD192-Requests!$AJ192)</f>
        <v/>
      </c>
      <c r="I192" s="25" t="str">
        <f aca="false">IF(Requests!$A192="","",Requests!$AM192)</f>
        <v/>
      </c>
      <c r="J192" s="23" t="str">
        <f aca="false">IF(OR(Requests!$A192="",Requests!$AS192=""),"",Requests!$AS192)</f>
        <v/>
      </c>
      <c r="K192" s="23" t="str">
        <f aca="false">IF(OR(Requests!$A192="",Requests!$AU192=""),"",Requests!$AU192)</f>
        <v/>
      </c>
      <c r="L192" s="22" t="str">
        <f aca="false">IF(Requests!$A192="","",IF(AND(Requests!$AJ192&lt;&gt;"",Requests!$AS192&lt;&gt;"",Requests!$AU192&lt;&gt;""),"Yes","Open"))</f>
        <v/>
      </c>
    </row>
    <row r="193" customFormat="false" ht="15" hidden="false" customHeight="false" outlineLevel="0" collapsed="false">
      <c r="A193" s="27" t="str">
        <f aca="false">IF(Requests!$A193="","",Requests!$A193)</f>
        <v/>
      </c>
      <c r="B193" s="27" t="str">
        <f aca="false">IF(OR(Requests!$A193="",Requests!$P193=""),"",TEXT(Requests!$P193,"yyyy-mm"))</f>
        <v/>
      </c>
      <c r="C193" s="27" t="str">
        <f aca="false">IF(Requests!$A193="","",Requests!$C193)</f>
        <v/>
      </c>
      <c r="D193" s="27" t="str">
        <f aca="false">IF(Requests!$A193="","",Requests!$K193)</f>
        <v/>
      </c>
      <c r="E193" s="27" t="str">
        <f aca="false">IF(Requests!$A193="","",Requests!$B193)</f>
        <v/>
      </c>
      <c r="F193" s="30" t="str">
        <f aca="false">IF(Requests!$A193="","",Requests!$AD193)</f>
        <v/>
      </c>
      <c r="G193" s="30" t="str">
        <f aca="false">IF(Requests!$A193="","",Requests!$AJ193)</f>
        <v/>
      </c>
      <c r="H193" s="30" t="str">
        <f aca="false">IF(OR(Requests!$A193="",Requests!$AJ193=""),"",Requests!$AD193-Requests!$AJ193)</f>
        <v/>
      </c>
      <c r="I193" s="30" t="str">
        <f aca="false">IF(Requests!$A193="","",Requests!$AM193)</f>
        <v/>
      </c>
      <c r="J193" s="28" t="str">
        <f aca="false">IF(OR(Requests!$A193="",Requests!$AS193=""),"",Requests!$AS193)</f>
        <v/>
      </c>
      <c r="K193" s="28" t="str">
        <f aca="false">IF(OR(Requests!$A193="",Requests!$AU193=""),"",Requests!$AU193)</f>
        <v/>
      </c>
      <c r="L193" s="27" t="str">
        <f aca="false">IF(Requests!$A193="","",IF(AND(Requests!$AJ193&lt;&gt;"",Requests!$AS193&lt;&gt;"",Requests!$AU193&lt;&gt;""),"Yes","Open"))</f>
        <v/>
      </c>
    </row>
    <row r="194" customFormat="false" ht="15" hidden="false" customHeight="false" outlineLevel="0" collapsed="false">
      <c r="A194" s="22" t="str">
        <f aca="false">IF(Requests!$A194="","",Requests!$A194)</f>
        <v/>
      </c>
      <c r="B194" s="22" t="str">
        <f aca="false">IF(OR(Requests!$A194="",Requests!$P194=""),"",TEXT(Requests!$P194,"yyyy-mm"))</f>
        <v/>
      </c>
      <c r="C194" s="22" t="str">
        <f aca="false">IF(Requests!$A194="","",Requests!$C194)</f>
        <v/>
      </c>
      <c r="D194" s="22" t="str">
        <f aca="false">IF(Requests!$A194="","",Requests!$K194)</f>
        <v/>
      </c>
      <c r="E194" s="22" t="str">
        <f aca="false">IF(Requests!$A194="","",Requests!$B194)</f>
        <v/>
      </c>
      <c r="F194" s="25" t="str">
        <f aca="false">IF(Requests!$A194="","",Requests!$AD194)</f>
        <v/>
      </c>
      <c r="G194" s="25" t="str">
        <f aca="false">IF(Requests!$A194="","",Requests!$AJ194)</f>
        <v/>
      </c>
      <c r="H194" s="25" t="str">
        <f aca="false">IF(OR(Requests!$A194="",Requests!$AJ194=""),"",Requests!$AD194-Requests!$AJ194)</f>
        <v/>
      </c>
      <c r="I194" s="25" t="str">
        <f aca="false">IF(Requests!$A194="","",Requests!$AM194)</f>
        <v/>
      </c>
      <c r="J194" s="23" t="str">
        <f aca="false">IF(OR(Requests!$A194="",Requests!$AS194=""),"",Requests!$AS194)</f>
        <v/>
      </c>
      <c r="K194" s="23" t="str">
        <f aca="false">IF(OR(Requests!$A194="",Requests!$AU194=""),"",Requests!$AU194)</f>
        <v/>
      </c>
      <c r="L194" s="22" t="str">
        <f aca="false">IF(Requests!$A194="","",IF(AND(Requests!$AJ194&lt;&gt;"",Requests!$AS194&lt;&gt;"",Requests!$AU194&lt;&gt;""),"Yes","Open"))</f>
        <v/>
      </c>
    </row>
    <row r="195" customFormat="false" ht="15" hidden="false" customHeight="false" outlineLevel="0" collapsed="false">
      <c r="A195" s="27" t="str">
        <f aca="false">IF(Requests!$A195="","",Requests!$A195)</f>
        <v/>
      </c>
      <c r="B195" s="27" t="str">
        <f aca="false">IF(OR(Requests!$A195="",Requests!$P195=""),"",TEXT(Requests!$P195,"yyyy-mm"))</f>
        <v/>
      </c>
      <c r="C195" s="27" t="str">
        <f aca="false">IF(Requests!$A195="","",Requests!$C195)</f>
        <v/>
      </c>
      <c r="D195" s="27" t="str">
        <f aca="false">IF(Requests!$A195="","",Requests!$K195)</f>
        <v/>
      </c>
      <c r="E195" s="27" t="str">
        <f aca="false">IF(Requests!$A195="","",Requests!$B195)</f>
        <v/>
      </c>
      <c r="F195" s="30" t="str">
        <f aca="false">IF(Requests!$A195="","",Requests!$AD195)</f>
        <v/>
      </c>
      <c r="G195" s="30" t="str">
        <f aca="false">IF(Requests!$A195="","",Requests!$AJ195)</f>
        <v/>
      </c>
      <c r="H195" s="30" t="str">
        <f aca="false">IF(OR(Requests!$A195="",Requests!$AJ195=""),"",Requests!$AD195-Requests!$AJ195)</f>
        <v/>
      </c>
      <c r="I195" s="30" t="str">
        <f aca="false">IF(Requests!$A195="","",Requests!$AM195)</f>
        <v/>
      </c>
      <c r="J195" s="28" t="str">
        <f aca="false">IF(OR(Requests!$A195="",Requests!$AS195=""),"",Requests!$AS195)</f>
        <v/>
      </c>
      <c r="K195" s="28" t="str">
        <f aca="false">IF(OR(Requests!$A195="",Requests!$AU195=""),"",Requests!$AU195)</f>
        <v/>
      </c>
      <c r="L195" s="27" t="str">
        <f aca="false">IF(Requests!$A195="","",IF(AND(Requests!$AJ195&lt;&gt;"",Requests!$AS195&lt;&gt;"",Requests!$AU195&lt;&gt;""),"Yes","Open"))</f>
        <v/>
      </c>
    </row>
    <row r="196" customFormat="false" ht="15" hidden="false" customHeight="false" outlineLevel="0" collapsed="false">
      <c r="A196" s="22" t="str">
        <f aca="false">IF(Requests!$A196="","",Requests!$A196)</f>
        <v/>
      </c>
      <c r="B196" s="22" t="str">
        <f aca="false">IF(OR(Requests!$A196="",Requests!$P196=""),"",TEXT(Requests!$P196,"yyyy-mm"))</f>
        <v/>
      </c>
      <c r="C196" s="22" t="str">
        <f aca="false">IF(Requests!$A196="","",Requests!$C196)</f>
        <v/>
      </c>
      <c r="D196" s="22" t="str">
        <f aca="false">IF(Requests!$A196="","",Requests!$K196)</f>
        <v/>
      </c>
      <c r="E196" s="22" t="str">
        <f aca="false">IF(Requests!$A196="","",Requests!$B196)</f>
        <v/>
      </c>
      <c r="F196" s="25" t="str">
        <f aca="false">IF(Requests!$A196="","",Requests!$AD196)</f>
        <v/>
      </c>
      <c r="G196" s="25" t="str">
        <f aca="false">IF(Requests!$A196="","",Requests!$AJ196)</f>
        <v/>
      </c>
      <c r="H196" s="25" t="str">
        <f aca="false">IF(OR(Requests!$A196="",Requests!$AJ196=""),"",Requests!$AD196-Requests!$AJ196)</f>
        <v/>
      </c>
      <c r="I196" s="25" t="str">
        <f aca="false">IF(Requests!$A196="","",Requests!$AM196)</f>
        <v/>
      </c>
      <c r="J196" s="23" t="str">
        <f aca="false">IF(OR(Requests!$A196="",Requests!$AS196=""),"",Requests!$AS196)</f>
        <v/>
      </c>
      <c r="K196" s="23" t="str">
        <f aca="false">IF(OR(Requests!$A196="",Requests!$AU196=""),"",Requests!$AU196)</f>
        <v/>
      </c>
      <c r="L196" s="22" t="str">
        <f aca="false">IF(Requests!$A196="","",IF(AND(Requests!$AJ196&lt;&gt;"",Requests!$AS196&lt;&gt;"",Requests!$AU196&lt;&gt;""),"Yes","Open"))</f>
        <v/>
      </c>
    </row>
    <row r="197" customFormat="false" ht="15" hidden="false" customHeight="false" outlineLevel="0" collapsed="false">
      <c r="A197" s="27" t="str">
        <f aca="false">IF(Requests!$A197="","",Requests!$A197)</f>
        <v/>
      </c>
      <c r="B197" s="27" t="str">
        <f aca="false">IF(OR(Requests!$A197="",Requests!$P197=""),"",TEXT(Requests!$P197,"yyyy-mm"))</f>
        <v/>
      </c>
      <c r="C197" s="27" t="str">
        <f aca="false">IF(Requests!$A197="","",Requests!$C197)</f>
        <v/>
      </c>
      <c r="D197" s="27" t="str">
        <f aca="false">IF(Requests!$A197="","",Requests!$K197)</f>
        <v/>
      </c>
      <c r="E197" s="27" t="str">
        <f aca="false">IF(Requests!$A197="","",Requests!$B197)</f>
        <v/>
      </c>
      <c r="F197" s="30" t="str">
        <f aca="false">IF(Requests!$A197="","",Requests!$AD197)</f>
        <v/>
      </c>
      <c r="G197" s="30" t="str">
        <f aca="false">IF(Requests!$A197="","",Requests!$AJ197)</f>
        <v/>
      </c>
      <c r="H197" s="30" t="str">
        <f aca="false">IF(OR(Requests!$A197="",Requests!$AJ197=""),"",Requests!$AD197-Requests!$AJ197)</f>
        <v/>
      </c>
      <c r="I197" s="30" t="str">
        <f aca="false">IF(Requests!$A197="","",Requests!$AM197)</f>
        <v/>
      </c>
      <c r="J197" s="28" t="str">
        <f aca="false">IF(OR(Requests!$A197="",Requests!$AS197=""),"",Requests!$AS197)</f>
        <v/>
      </c>
      <c r="K197" s="28" t="str">
        <f aca="false">IF(OR(Requests!$A197="",Requests!$AU197=""),"",Requests!$AU197)</f>
        <v/>
      </c>
      <c r="L197" s="27" t="str">
        <f aca="false">IF(Requests!$A197="","",IF(AND(Requests!$AJ197&lt;&gt;"",Requests!$AS197&lt;&gt;"",Requests!$AU197&lt;&gt;""),"Yes","Open"))</f>
        <v/>
      </c>
    </row>
    <row r="198" customFormat="false" ht="15" hidden="false" customHeight="false" outlineLevel="0" collapsed="false">
      <c r="A198" s="22" t="str">
        <f aca="false">IF(Requests!$A198="","",Requests!$A198)</f>
        <v/>
      </c>
      <c r="B198" s="22" t="str">
        <f aca="false">IF(OR(Requests!$A198="",Requests!$P198=""),"",TEXT(Requests!$P198,"yyyy-mm"))</f>
        <v/>
      </c>
      <c r="C198" s="22" t="str">
        <f aca="false">IF(Requests!$A198="","",Requests!$C198)</f>
        <v/>
      </c>
      <c r="D198" s="22" t="str">
        <f aca="false">IF(Requests!$A198="","",Requests!$K198)</f>
        <v/>
      </c>
      <c r="E198" s="22" t="str">
        <f aca="false">IF(Requests!$A198="","",Requests!$B198)</f>
        <v/>
      </c>
      <c r="F198" s="25" t="str">
        <f aca="false">IF(Requests!$A198="","",Requests!$AD198)</f>
        <v/>
      </c>
      <c r="G198" s="25" t="str">
        <f aca="false">IF(Requests!$A198="","",Requests!$AJ198)</f>
        <v/>
      </c>
      <c r="H198" s="25" t="str">
        <f aca="false">IF(OR(Requests!$A198="",Requests!$AJ198=""),"",Requests!$AD198-Requests!$AJ198)</f>
        <v/>
      </c>
      <c r="I198" s="25" t="str">
        <f aca="false">IF(Requests!$A198="","",Requests!$AM198)</f>
        <v/>
      </c>
      <c r="J198" s="23" t="str">
        <f aca="false">IF(OR(Requests!$A198="",Requests!$AS198=""),"",Requests!$AS198)</f>
        <v/>
      </c>
      <c r="K198" s="23" t="str">
        <f aca="false">IF(OR(Requests!$A198="",Requests!$AU198=""),"",Requests!$AU198)</f>
        <v/>
      </c>
      <c r="L198" s="22" t="str">
        <f aca="false">IF(Requests!$A198="","",IF(AND(Requests!$AJ198&lt;&gt;"",Requests!$AS198&lt;&gt;"",Requests!$AU198&lt;&gt;""),"Yes","Open"))</f>
        <v/>
      </c>
    </row>
    <row r="199" customFormat="false" ht="15" hidden="false" customHeight="false" outlineLevel="0" collapsed="false">
      <c r="A199" s="27" t="str">
        <f aca="false">IF(Requests!$A199="","",Requests!$A199)</f>
        <v/>
      </c>
      <c r="B199" s="27" t="str">
        <f aca="false">IF(OR(Requests!$A199="",Requests!$P199=""),"",TEXT(Requests!$P199,"yyyy-mm"))</f>
        <v/>
      </c>
      <c r="C199" s="27" t="str">
        <f aca="false">IF(Requests!$A199="","",Requests!$C199)</f>
        <v/>
      </c>
      <c r="D199" s="27" t="str">
        <f aca="false">IF(Requests!$A199="","",Requests!$K199)</f>
        <v/>
      </c>
      <c r="E199" s="27" t="str">
        <f aca="false">IF(Requests!$A199="","",Requests!$B199)</f>
        <v/>
      </c>
      <c r="F199" s="30" t="str">
        <f aca="false">IF(Requests!$A199="","",Requests!$AD199)</f>
        <v/>
      </c>
      <c r="G199" s="30" t="str">
        <f aca="false">IF(Requests!$A199="","",Requests!$AJ199)</f>
        <v/>
      </c>
      <c r="H199" s="30" t="str">
        <f aca="false">IF(OR(Requests!$A199="",Requests!$AJ199=""),"",Requests!$AD199-Requests!$AJ199)</f>
        <v/>
      </c>
      <c r="I199" s="30" t="str">
        <f aca="false">IF(Requests!$A199="","",Requests!$AM199)</f>
        <v/>
      </c>
      <c r="J199" s="28" t="str">
        <f aca="false">IF(OR(Requests!$A199="",Requests!$AS199=""),"",Requests!$AS199)</f>
        <v/>
      </c>
      <c r="K199" s="28" t="str">
        <f aca="false">IF(OR(Requests!$A199="",Requests!$AU199=""),"",Requests!$AU199)</f>
        <v/>
      </c>
      <c r="L199" s="27" t="str">
        <f aca="false">IF(Requests!$A199="","",IF(AND(Requests!$AJ199&lt;&gt;"",Requests!$AS199&lt;&gt;"",Requests!$AU199&lt;&gt;""),"Yes","Open"))</f>
        <v/>
      </c>
    </row>
    <row r="200" customFormat="false" ht="15" hidden="false" customHeight="false" outlineLevel="0" collapsed="false">
      <c r="A200" s="22" t="str">
        <f aca="false">IF(Requests!$A200="","",Requests!$A200)</f>
        <v/>
      </c>
      <c r="B200" s="22" t="str">
        <f aca="false">IF(OR(Requests!$A200="",Requests!$P200=""),"",TEXT(Requests!$P200,"yyyy-mm"))</f>
        <v/>
      </c>
      <c r="C200" s="22" t="str">
        <f aca="false">IF(Requests!$A200="","",Requests!$C200)</f>
        <v/>
      </c>
      <c r="D200" s="22" t="str">
        <f aca="false">IF(Requests!$A200="","",Requests!$K200)</f>
        <v/>
      </c>
      <c r="E200" s="22" t="str">
        <f aca="false">IF(Requests!$A200="","",Requests!$B200)</f>
        <v/>
      </c>
      <c r="F200" s="25" t="str">
        <f aca="false">IF(Requests!$A200="","",Requests!$AD200)</f>
        <v/>
      </c>
      <c r="G200" s="25" t="str">
        <f aca="false">IF(Requests!$A200="","",Requests!$AJ200)</f>
        <v/>
      </c>
      <c r="H200" s="25" t="str">
        <f aca="false">IF(OR(Requests!$A200="",Requests!$AJ200=""),"",Requests!$AD200-Requests!$AJ200)</f>
        <v/>
      </c>
      <c r="I200" s="25" t="str">
        <f aca="false">IF(Requests!$A200="","",Requests!$AM200)</f>
        <v/>
      </c>
      <c r="J200" s="23" t="str">
        <f aca="false">IF(OR(Requests!$A200="",Requests!$AS200=""),"",Requests!$AS200)</f>
        <v/>
      </c>
      <c r="K200" s="23" t="str">
        <f aca="false">IF(OR(Requests!$A200="",Requests!$AU200=""),"",Requests!$AU200)</f>
        <v/>
      </c>
      <c r="L200" s="22" t="str">
        <f aca="false">IF(Requests!$A200="","",IF(AND(Requests!$AJ200&lt;&gt;"",Requests!$AS200&lt;&gt;"",Requests!$AU200&lt;&gt;""),"Yes","Open"))</f>
        <v/>
      </c>
    </row>
    <row r="201" customFormat="false" ht="15" hidden="false" customHeight="false" outlineLevel="0" collapsed="false">
      <c r="A201" s="27" t="str">
        <f aca="false">IF(Requests!$A201="","",Requests!$A201)</f>
        <v/>
      </c>
      <c r="B201" s="27" t="str">
        <f aca="false">IF(OR(Requests!$A201="",Requests!$P201=""),"",TEXT(Requests!$P201,"yyyy-mm"))</f>
        <v/>
      </c>
      <c r="C201" s="27" t="str">
        <f aca="false">IF(Requests!$A201="","",Requests!$C201)</f>
        <v/>
      </c>
      <c r="D201" s="27" t="str">
        <f aca="false">IF(Requests!$A201="","",Requests!$K201)</f>
        <v/>
      </c>
      <c r="E201" s="27" t="str">
        <f aca="false">IF(Requests!$A201="","",Requests!$B201)</f>
        <v/>
      </c>
      <c r="F201" s="30" t="str">
        <f aca="false">IF(Requests!$A201="","",Requests!$AD201)</f>
        <v/>
      </c>
      <c r="G201" s="30" t="str">
        <f aca="false">IF(Requests!$A201="","",Requests!$AJ201)</f>
        <v/>
      </c>
      <c r="H201" s="30" t="str">
        <f aca="false">IF(OR(Requests!$A201="",Requests!$AJ201=""),"",Requests!$AD201-Requests!$AJ201)</f>
        <v/>
      </c>
      <c r="I201" s="30" t="str">
        <f aca="false">IF(Requests!$A201="","",Requests!$AM201)</f>
        <v/>
      </c>
      <c r="J201" s="28" t="str">
        <f aca="false">IF(OR(Requests!$A201="",Requests!$AS201=""),"",Requests!$AS201)</f>
        <v/>
      </c>
      <c r="K201" s="28" t="str">
        <f aca="false">IF(OR(Requests!$A201="",Requests!$AU201=""),"",Requests!$AU201)</f>
        <v/>
      </c>
      <c r="L201" s="27" t="str">
        <f aca="false">IF(Requests!$A201="","",IF(AND(Requests!$AJ201&lt;&gt;"",Requests!$AS201&lt;&gt;"",Requests!$AU201&lt;&gt;""),"Yes","Open"))</f>
        <v/>
      </c>
    </row>
    <row r="202" customFormat="false" ht="15" hidden="false" customHeight="false" outlineLevel="0" collapsed="false">
      <c r="A202" s="22" t="str">
        <f aca="false">IF(Requests!$A202="","",Requests!$A202)</f>
        <v/>
      </c>
      <c r="B202" s="22" t="str">
        <f aca="false">IF(OR(Requests!$A202="",Requests!$P202=""),"",TEXT(Requests!$P202,"yyyy-mm"))</f>
        <v/>
      </c>
      <c r="C202" s="22" t="str">
        <f aca="false">IF(Requests!$A202="","",Requests!$C202)</f>
        <v/>
      </c>
      <c r="D202" s="22" t="str">
        <f aca="false">IF(Requests!$A202="","",Requests!$K202)</f>
        <v/>
      </c>
      <c r="E202" s="22" t="str">
        <f aca="false">IF(Requests!$A202="","",Requests!$B202)</f>
        <v/>
      </c>
      <c r="F202" s="25" t="str">
        <f aca="false">IF(Requests!$A202="","",Requests!$AD202)</f>
        <v/>
      </c>
      <c r="G202" s="25" t="str">
        <f aca="false">IF(Requests!$A202="","",Requests!$AJ202)</f>
        <v/>
      </c>
      <c r="H202" s="25" t="str">
        <f aca="false">IF(OR(Requests!$A202="",Requests!$AJ202=""),"",Requests!$AD202-Requests!$AJ202)</f>
        <v/>
      </c>
      <c r="I202" s="25" t="str">
        <f aca="false">IF(Requests!$A202="","",Requests!$AM202)</f>
        <v/>
      </c>
      <c r="J202" s="23" t="str">
        <f aca="false">IF(OR(Requests!$A202="",Requests!$AS202=""),"",Requests!$AS202)</f>
        <v/>
      </c>
      <c r="K202" s="23" t="str">
        <f aca="false">IF(OR(Requests!$A202="",Requests!$AU202=""),"",Requests!$AU202)</f>
        <v/>
      </c>
      <c r="L202" s="22" t="str">
        <f aca="false">IF(Requests!$A202="","",IF(AND(Requests!$AJ202&lt;&gt;"",Requests!$AS202&lt;&gt;"",Requests!$AU202&lt;&gt;""),"Yes","Open"))</f>
        <v/>
      </c>
    </row>
    <row r="203" customFormat="false" ht="15" hidden="false" customHeight="false" outlineLevel="0" collapsed="false">
      <c r="A203" s="27" t="str">
        <f aca="false">IF(Requests!$A203="","",Requests!$A203)</f>
        <v/>
      </c>
      <c r="B203" s="27" t="str">
        <f aca="false">IF(OR(Requests!$A203="",Requests!$P203=""),"",TEXT(Requests!$P203,"yyyy-mm"))</f>
        <v/>
      </c>
      <c r="C203" s="27" t="str">
        <f aca="false">IF(Requests!$A203="","",Requests!$C203)</f>
        <v/>
      </c>
      <c r="D203" s="27" t="str">
        <f aca="false">IF(Requests!$A203="","",Requests!$K203)</f>
        <v/>
      </c>
      <c r="E203" s="27" t="str">
        <f aca="false">IF(Requests!$A203="","",Requests!$B203)</f>
        <v/>
      </c>
      <c r="F203" s="30" t="str">
        <f aca="false">IF(Requests!$A203="","",Requests!$AD203)</f>
        <v/>
      </c>
      <c r="G203" s="30" t="str">
        <f aca="false">IF(Requests!$A203="","",Requests!$AJ203)</f>
        <v/>
      </c>
      <c r="H203" s="30" t="str">
        <f aca="false">IF(OR(Requests!$A203="",Requests!$AJ203=""),"",Requests!$AD203-Requests!$AJ203)</f>
        <v/>
      </c>
      <c r="I203" s="30" t="str">
        <f aca="false">IF(Requests!$A203="","",Requests!$AM203)</f>
        <v/>
      </c>
      <c r="J203" s="28" t="str">
        <f aca="false">IF(OR(Requests!$A203="",Requests!$AS203=""),"",Requests!$AS203)</f>
        <v/>
      </c>
      <c r="K203" s="28" t="str">
        <f aca="false">IF(OR(Requests!$A203="",Requests!$AU203=""),"",Requests!$AU203)</f>
        <v/>
      </c>
      <c r="L203" s="27" t="str">
        <f aca="false">IF(Requests!$A203="","",IF(AND(Requests!$AJ203&lt;&gt;"",Requests!$AS203&lt;&gt;"",Requests!$AU203&lt;&gt;""),"Yes","Open"))</f>
        <v/>
      </c>
    </row>
    <row r="204" customFormat="false" ht="15" hidden="false" customHeight="false" outlineLevel="0" collapsed="false">
      <c r="A204" s="22" t="str">
        <f aca="false">IF(Requests!$A204="","",Requests!$A204)</f>
        <v/>
      </c>
      <c r="B204" s="22" t="str">
        <f aca="false">IF(OR(Requests!$A204="",Requests!$P204=""),"",TEXT(Requests!$P204,"yyyy-mm"))</f>
        <v/>
      </c>
      <c r="C204" s="22" t="str">
        <f aca="false">IF(Requests!$A204="","",Requests!$C204)</f>
        <v/>
      </c>
      <c r="D204" s="22" t="str">
        <f aca="false">IF(Requests!$A204="","",Requests!$K204)</f>
        <v/>
      </c>
      <c r="E204" s="22" t="str">
        <f aca="false">IF(Requests!$A204="","",Requests!$B204)</f>
        <v/>
      </c>
      <c r="F204" s="25" t="str">
        <f aca="false">IF(Requests!$A204="","",Requests!$AD204)</f>
        <v/>
      </c>
      <c r="G204" s="25" t="str">
        <f aca="false">IF(Requests!$A204="","",Requests!$AJ204)</f>
        <v/>
      </c>
      <c r="H204" s="25" t="str">
        <f aca="false">IF(OR(Requests!$A204="",Requests!$AJ204=""),"",Requests!$AD204-Requests!$AJ204)</f>
        <v/>
      </c>
      <c r="I204" s="25" t="str">
        <f aca="false">IF(Requests!$A204="","",Requests!$AM204)</f>
        <v/>
      </c>
      <c r="J204" s="23" t="str">
        <f aca="false">IF(OR(Requests!$A204="",Requests!$AS204=""),"",Requests!$AS204)</f>
        <v/>
      </c>
      <c r="K204" s="23" t="str">
        <f aca="false">IF(OR(Requests!$A204="",Requests!$AU204=""),"",Requests!$AU204)</f>
        <v/>
      </c>
      <c r="L204" s="22" t="str">
        <f aca="false">IF(Requests!$A204="","",IF(AND(Requests!$AJ204&lt;&gt;"",Requests!$AS204&lt;&gt;"",Requests!$AU204&lt;&gt;""),"Yes","Open"))</f>
        <v/>
      </c>
    </row>
    <row r="205" customFormat="false" ht="15" hidden="false" customHeight="false" outlineLevel="0" collapsed="false">
      <c r="A205" s="27" t="str">
        <f aca="false">IF(Requests!$A205="","",Requests!$A205)</f>
        <v/>
      </c>
      <c r="B205" s="27" t="str">
        <f aca="false">IF(OR(Requests!$A205="",Requests!$P205=""),"",TEXT(Requests!$P205,"yyyy-mm"))</f>
        <v/>
      </c>
      <c r="C205" s="27" t="str">
        <f aca="false">IF(Requests!$A205="","",Requests!$C205)</f>
        <v/>
      </c>
      <c r="D205" s="27" t="str">
        <f aca="false">IF(Requests!$A205="","",Requests!$K205)</f>
        <v/>
      </c>
      <c r="E205" s="27" t="str">
        <f aca="false">IF(Requests!$A205="","",Requests!$B205)</f>
        <v/>
      </c>
      <c r="F205" s="30" t="str">
        <f aca="false">IF(Requests!$A205="","",Requests!$AD205)</f>
        <v/>
      </c>
      <c r="G205" s="30" t="str">
        <f aca="false">IF(Requests!$A205="","",Requests!$AJ205)</f>
        <v/>
      </c>
      <c r="H205" s="30" t="str">
        <f aca="false">IF(OR(Requests!$A205="",Requests!$AJ205=""),"",Requests!$AD205-Requests!$AJ205)</f>
        <v/>
      </c>
      <c r="I205" s="30" t="str">
        <f aca="false">IF(Requests!$A205="","",Requests!$AM205)</f>
        <v/>
      </c>
      <c r="J205" s="28" t="str">
        <f aca="false">IF(OR(Requests!$A205="",Requests!$AS205=""),"",Requests!$AS205)</f>
        <v/>
      </c>
      <c r="K205" s="28" t="str">
        <f aca="false">IF(OR(Requests!$A205="",Requests!$AU205=""),"",Requests!$AU205)</f>
        <v/>
      </c>
      <c r="L205" s="27" t="str">
        <f aca="false">IF(Requests!$A205="","",IF(AND(Requests!$AJ205&lt;&gt;"",Requests!$AS205&lt;&gt;"",Requests!$AU205&lt;&gt;""),"Yes","Open"))</f>
        <v/>
      </c>
    </row>
    <row r="206" customFormat="false" ht="15" hidden="false" customHeight="false" outlineLevel="0" collapsed="false">
      <c r="A206" s="22" t="str">
        <f aca="false">IF(Requests!$A206="","",Requests!$A206)</f>
        <v/>
      </c>
      <c r="B206" s="22" t="str">
        <f aca="false">IF(OR(Requests!$A206="",Requests!$P206=""),"",TEXT(Requests!$P206,"yyyy-mm"))</f>
        <v/>
      </c>
      <c r="C206" s="22" t="str">
        <f aca="false">IF(Requests!$A206="","",Requests!$C206)</f>
        <v/>
      </c>
      <c r="D206" s="22" t="str">
        <f aca="false">IF(Requests!$A206="","",Requests!$K206)</f>
        <v/>
      </c>
      <c r="E206" s="22" t="str">
        <f aca="false">IF(Requests!$A206="","",Requests!$B206)</f>
        <v/>
      </c>
      <c r="F206" s="25" t="str">
        <f aca="false">IF(Requests!$A206="","",Requests!$AD206)</f>
        <v/>
      </c>
      <c r="G206" s="25" t="str">
        <f aca="false">IF(Requests!$A206="","",Requests!$AJ206)</f>
        <v/>
      </c>
      <c r="H206" s="25" t="str">
        <f aca="false">IF(OR(Requests!$A206="",Requests!$AJ206=""),"",Requests!$AD206-Requests!$AJ206)</f>
        <v/>
      </c>
      <c r="I206" s="25" t="str">
        <f aca="false">IF(Requests!$A206="","",Requests!$AM206)</f>
        <v/>
      </c>
      <c r="J206" s="23" t="str">
        <f aca="false">IF(OR(Requests!$A206="",Requests!$AS206=""),"",Requests!$AS206)</f>
        <v/>
      </c>
      <c r="K206" s="23" t="str">
        <f aca="false">IF(OR(Requests!$A206="",Requests!$AU206=""),"",Requests!$AU206)</f>
        <v/>
      </c>
      <c r="L206" s="22" t="str">
        <f aca="false">IF(Requests!$A206="","",IF(AND(Requests!$AJ206&lt;&gt;"",Requests!$AS206&lt;&gt;"",Requests!$AU206&lt;&gt;""),"Yes","Open"))</f>
        <v/>
      </c>
    </row>
    <row r="207" customFormat="false" ht="15" hidden="false" customHeight="false" outlineLevel="0" collapsed="false">
      <c r="A207" s="27" t="str">
        <f aca="false">IF(Requests!$A207="","",Requests!$A207)</f>
        <v/>
      </c>
      <c r="B207" s="27" t="str">
        <f aca="false">IF(OR(Requests!$A207="",Requests!$P207=""),"",TEXT(Requests!$P207,"yyyy-mm"))</f>
        <v/>
      </c>
      <c r="C207" s="27" t="str">
        <f aca="false">IF(Requests!$A207="","",Requests!$C207)</f>
        <v/>
      </c>
      <c r="D207" s="27" t="str">
        <f aca="false">IF(Requests!$A207="","",Requests!$K207)</f>
        <v/>
      </c>
      <c r="E207" s="27" t="str">
        <f aca="false">IF(Requests!$A207="","",Requests!$B207)</f>
        <v/>
      </c>
      <c r="F207" s="30" t="str">
        <f aca="false">IF(Requests!$A207="","",Requests!$AD207)</f>
        <v/>
      </c>
      <c r="G207" s="30" t="str">
        <f aca="false">IF(Requests!$A207="","",Requests!$AJ207)</f>
        <v/>
      </c>
      <c r="H207" s="30" t="str">
        <f aca="false">IF(OR(Requests!$A207="",Requests!$AJ207=""),"",Requests!$AD207-Requests!$AJ207)</f>
        <v/>
      </c>
      <c r="I207" s="30" t="str">
        <f aca="false">IF(Requests!$A207="","",Requests!$AM207)</f>
        <v/>
      </c>
      <c r="J207" s="28" t="str">
        <f aca="false">IF(OR(Requests!$A207="",Requests!$AS207=""),"",Requests!$AS207)</f>
        <v/>
      </c>
      <c r="K207" s="28" t="str">
        <f aca="false">IF(OR(Requests!$A207="",Requests!$AU207=""),"",Requests!$AU207)</f>
        <v/>
      </c>
      <c r="L207" s="27" t="str">
        <f aca="false">IF(Requests!$A207="","",IF(AND(Requests!$AJ207&lt;&gt;"",Requests!$AS207&lt;&gt;"",Requests!$AU207&lt;&gt;""),"Yes","Open"))</f>
        <v/>
      </c>
    </row>
    <row r="208" customFormat="false" ht="15" hidden="false" customHeight="false" outlineLevel="0" collapsed="false">
      <c r="A208" s="22" t="str">
        <f aca="false">IF(Requests!$A208="","",Requests!$A208)</f>
        <v/>
      </c>
      <c r="B208" s="22" t="str">
        <f aca="false">IF(OR(Requests!$A208="",Requests!$P208=""),"",TEXT(Requests!$P208,"yyyy-mm"))</f>
        <v/>
      </c>
      <c r="C208" s="22" t="str">
        <f aca="false">IF(Requests!$A208="","",Requests!$C208)</f>
        <v/>
      </c>
      <c r="D208" s="22" t="str">
        <f aca="false">IF(Requests!$A208="","",Requests!$K208)</f>
        <v/>
      </c>
      <c r="E208" s="22" t="str">
        <f aca="false">IF(Requests!$A208="","",Requests!$B208)</f>
        <v/>
      </c>
      <c r="F208" s="25" t="str">
        <f aca="false">IF(Requests!$A208="","",Requests!$AD208)</f>
        <v/>
      </c>
      <c r="G208" s="25" t="str">
        <f aca="false">IF(Requests!$A208="","",Requests!$AJ208)</f>
        <v/>
      </c>
      <c r="H208" s="25" t="str">
        <f aca="false">IF(OR(Requests!$A208="",Requests!$AJ208=""),"",Requests!$AD208-Requests!$AJ208)</f>
        <v/>
      </c>
      <c r="I208" s="25" t="str">
        <f aca="false">IF(Requests!$A208="","",Requests!$AM208)</f>
        <v/>
      </c>
      <c r="J208" s="23" t="str">
        <f aca="false">IF(OR(Requests!$A208="",Requests!$AS208=""),"",Requests!$AS208)</f>
        <v/>
      </c>
      <c r="K208" s="23" t="str">
        <f aca="false">IF(OR(Requests!$A208="",Requests!$AU208=""),"",Requests!$AU208)</f>
        <v/>
      </c>
      <c r="L208" s="22" t="str">
        <f aca="false">IF(Requests!$A208="","",IF(AND(Requests!$AJ208&lt;&gt;"",Requests!$AS208&lt;&gt;"",Requests!$AU208&lt;&gt;""),"Yes","Open"))</f>
        <v/>
      </c>
    </row>
    <row r="209" customFormat="false" ht="15" hidden="false" customHeight="false" outlineLevel="0" collapsed="false">
      <c r="A209" s="27" t="str">
        <f aca="false">IF(Requests!$A209="","",Requests!$A209)</f>
        <v/>
      </c>
      <c r="B209" s="27" t="str">
        <f aca="false">IF(OR(Requests!$A209="",Requests!$P209=""),"",TEXT(Requests!$P209,"yyyy-mm"))</f>
        <v/>
      </c>
      <c r="C209" s="27" t="str">
        <f aca="false">IF(Requests!$A209="","",Requests!$C209)</f>
        <v/>
      </c>
      <c r="D209" s="27" t="str">
        <f aca="false">IF(Requests!$A209="","",Requests!$K209)</f>
        <v/>
      </c>
      <c r="E209" s="27" t="str">
        <f aca="false">IF(Requests!$A209="","",Requests!$B209)</f>
        <v/>
      </c>
      <c r="F209" s="30" t="str">
        <f aca="false">IF(Requests!$A209="","",Requests!$AD209)</f>
        <v/>
      </c>
      <c r="G209" s="30" t="str">
        <f aca="false">IF(Requests!$A209="","",Requests!$AJ209)</f>
        <v/>
      </c>
      <c r="H209" s="30" t="str">
        <f aca="false">IF(OR(Requests!$A209="",Requests!$AJ209=""),"",Requests!$AD209-Requests!$AJ209)</f>
        <v/>
      </c>
      <c r="I209" s="30" t="str">
        <f aca="false">IF(Requests!$A209="","",Requests!$AM209)</f>
        <v/>
      </c>
      <c r="J209" s="28" t="str">
        <f aca="false">IF(OR(Requests!$A209="",Requests!$AS209=""),"",Requests!$AS209)</f>
        <v/>
      </c>
      <c r="K209" s="28" t="str">
        <f aca="false">IF(OR(Requests!$A209="",Requests!$AU209=""),"",Requests!$AU209)</f>
        <v/>
      </c>
      <c r="L209" s="27" t="str">
        <f aca="false">IF(Requests!$A209="","",IF(AND(Requests!$AJ209&lt;&gt;"",Requests!$AS209&lt;&gt;"",Requests!$AU209&lt;&gt;""),"Yes","Open"))</f>
        <v/>
      </c>
    </row>
    <row r="210" customFormat="false" ht="15" hidden="false" customHeight="false" outlineLevel="0" collapsed="false">
      <c r="A210" s="22" t="str">
        <f aca="false">IF(Requests!$A210="","",Requests!$A210)</f>
        <v/>
      </c>
      <c r="B210" s="22" t="str">
        <f aca="false">IF(OR(Requests!$A210="",Requests!$P210=""),"",TEXT(Requests!$P210,"yyyy-mm"))</f>
        <v/>
      </c>
      <c r="C210" s="22" t="str">
        <f aca="false">IF(Requests!$A210="","",Requests!$C210)</f>
        <v/>
      </c>
      <c r="D210" s="22" t="str">
        <f aca="false">IF(Requests!$A210="","",Requests!$K210)</f>
        <v/>
      </c>
      <c r="E210" s="22" t="str">
        <f aca="false">IF(Requests!$A210="","",Requests!$B210)</f>
        <v/>
      </c>
      <c r="F210" s="25" t="str">
        <f aca="false">IF(Requests!$A210="","",Requests!$AD210)</f>
        <v/>
      </c>
      <c r="G210" s="25" t="str">
        <f aca="false">IF(Requests!$A210="","",Requests!$AJ210)</f>
        <v/>
      </c>
      <c r="H210" s="25" t="str">
        <f aca="false">IF(OR(Requests!$A210="",Requests!$AJ210=""),"",Requests!$AD210-Requests!$AJ210)</f>
        <v/>
      </c>
      <c r="I210" s="25" t="str">
        <f aca="false">IF(Requests!$A210="","",Requests!$AM210)</f>
        <v/>
      </c>
      <c r="J210" s="23" t="str">
        <f aca="false">IF(OR(Requests!$A210="",Requests!$AS210=""),"",Requests!$AS210)</f>
        <v/>
      </c>
      <c r="K210" s="23" t="str">
        <f aca="false">IF(OR(Requests!$A210="",Requests!$AU210=""),"",Requests!$AU210)</f>
        <v/>
      </c>
      <c r="L210" s="22" t="str">
        <f aca="false">IF(Requests!$A210="","",IF(AND(Requests!$AJ210&lt;&gt;"",Requests!$AS210&lt;&gt;"",Requests!$AU210&lt;&gt;""),"Yes","Open"))</f>
        <v/>
      </c>
    </row>
    <row r="211" customFormat="false" ht="15" hidden="false" customHeight="false" outlineLevel="0" collapsed="false">
      <c r="A211" s="27" t="str">
        <f aca="false">IF(Requests!$A211="","",Requests!$A211)</f>
        <v/>
      </c>
      <c r="B211" s="27" t="str">
        <f aca="false">IF(OR(Requests!$A211="",Requests!$P211=""),"",TEXT(Requests!$P211,"yyyy-mm"))</f>
        <v/>
      </c>
      <c r="C211" s="27" t="str">
        <f aca="false">IF(Requests!$A211="","",Requests!$C211)</f>
        <v/>
      </c>
      <c r="D211" s="27" t="str">
        <f aca="false">IF(Requests!$A211="","",Requests!$K211)</f>
        <v/>
      </c>
      <c r="E211" s="27" t="str">
        <f aca="false">IF(Requests!$A211="","",Requests!$B211)</f>
        <v/>
      </c>
      <c r="F211" s="30" t="str">
        <f aca="false">IF(Requests!$A211="","",Requests!$AD211)</f>
        <v/>
      </c>
      <c r="G211" s="30" t="str">
        <f aca="false">IF(Requests!$A211="","",Requests!$AJ211)</f>
        <v/>
      </c>
      <c r="H211" s="30" t="str">
        <f aca="false">IF(OR(Requests!$A211="",Requests!$AJ211=""),"",Requests!$AD211-Requests!$AJ211)</f>
        <v/>
      </c>
      <c r="I211" s="30" t="str">
        <f aca="false">IF(Requests!$A211="","",Requests!$AM211)</f>
        <v/>
      </c>
      <c r="J211" s="28" t="str">
        <f aca="false">IF(OR(Requests!$A211="",Requests!$AS211=""),"",Requests!$AS211)</f>
        <v/>
      </c>
      <c r="K211" s="28" t="str">
        <f aca="false">IF(OR(Requests!$A211="",Requests!$AU211=""),"",Requests!$AU211)</f>
        <v/>
      </c>
      <c r="L211" s="27" t="str">
        <f aca="false">IF(Requests!$A211="","",IF(AND(Requests!$AJ211&lt;&gt;"",Requests!$AS211&lt;&gt;"",Requests!$AU211&lt;&gt;""),"Yes","Open"))</f>
        <v/>
      </c>
    </row>
    <row r="212" customFormat="false" ht="15" hidden="false" customHeight="false" outlineLevel="0" collapsed="false">
      <c r="A212" s="22" t="str">
        <f aca="false">IF(Requests!$A212="","",Requests!$A212)</f>
        <v/>
      </c>
      <c r="B212" s="22" t="str">
        <f aca="false">IF(OR(Requests!$A212="",Requests!$P212=""),"",TEXT(Requests!$P212,"yyyy-mm"))</f>
        <v/>
      </c>
      <c r="C212" s="22" t="str">
        <f aca="false">IF(Requests!$A212="","",Requests!$C212)</f>
        <v/>
      </c>
      <c r="D212" s="22" t="str">
        <f aca="false">IF(Requests!$A212="","",Requests!$K212)</f>
        <v/>
      </c>
      <c r="E212" s="22" t="str">
        <f aca="false">IF(Requests!$A212="","",Requests!$B212)</f>
        <v/>
      </c>
      <c r="F212" s="25" t="str">
        <f aca="false">IF(Requests!$A212="","",Requests!$AD212)</f>
        <v/>
      </c>
      <c r="G212" s="25" t="str">
        <f aca="false">IF(Requests!$A212="","",Requests!$AJ212)</f>
        <v/>
      </c>
      <c r="H212" s="25" t="str">
        <f aca="false">IF(OR(Requests!$A212="",Requests!$AJ212=""),"",Requests!$AD212-Requests!$AJ212)</f>
        <v/>
      </c>
      <c r="I212" s="25" t="str">
        <f aca="false">IF(Requests!$A212="","",Requests!$AM212)</f>
        <v/>
      </c>
      <c r="J212" s="23" t="str">
        <f aca="false">IF(OR(Requests!$A212="",Requests!$AS212=""),"",Requests!$AS212)</f>
        <v/>
      </c>
      <c r="K212" s="23" t="str">
        <f aca="false">IF(OR(Requests!$A212="",Requests!$AU212=""),"",Requests!$AU212)</f>
        <v/>
      </c>
      <c r="L212" s="22" t="str">
        <f aca="false">IF(Requests!$A212="","",IF(AND(Requests!$AJ212&lt;&gt;"",Requests!$AS212&lt;&gt;"",Requests!$AU212&lt;&gt;""),"Yes","Open"))</f>
        <v/>
      </c>
    </row>
    <row r="213" customFormat="false" ht="15" hidden="false" customHeight="false" outlineLevel="0" collapsed="false">
      <c r="A213" s="27" t="str">
        <f aca="false">IF(Requests!$A213="","",Requests!$A213)</f>
        <v/>
      </c>
      <c r="B213" s="27" t="str">
        <f aca="false">IF(OR(Requests!$A213="",Requests!$P213=""),"",TEXT(Requests!$P213,"yyyy-mm"))</f>
        <v/>
      </c>
      <c r="C213" s="27" t="str">
        <f aca="false">IF(Requests!$A213="","",Requests!$C213)</f>
        <v/>
      </c>
      <c r="D213" s="27" t="str">
        <f aca="false">IF(Requests!$A213="","",Requests!$K213)</f>
        <v/>
      </c>
      <c r="E213" s="27" t="str">
        <f aca="false">IF(Requests!$A213="","",Requests!$B213)</f>
        <v/>
      </c>
      <c r="F213" s="30" t="str">
        <f aca="false">IF(Requests!$A213="","",Requests!$AD213)</f>
        <v/>
      </c>
      <c r="G213" s="30" t="str">
        <f aca="false">IF(Requests!$A213="","",Requests!$AJ213)</f>
        <v/>
      </c>
      <c r="H213" s="30" t="str">
        <f aca="false">IF(OR(Requests!$A213="",Requests!$AJ213=""),"",Requests!$AD213-Requests!$AJ213)</f>
        <v/>
      </c>
      <c r="I213" s="30" t="str">
        <f aca="false">IF(Requests!$A213="","",Requests!$AM213)</f>
        <v/>
      </c>
      <c r="J213" s="28" t="str">
        <f aca="false">IF(OR(Requests!$A213="",Requests!$AS213=""),"",Requests!$AS213)</f>
        <v/>
      </c>
      <c r="K213" s="28" t="str">
        <f aca="false">IF(OR(Requests!$A213="",Requests!$AU213=""),"",Requests!$AU213)</f>
        <v/>
      </c>
      <c r="L213" s="27" t="str">
        <f aca="false">IF(Requests!$A213="","",IF(AND(Requests!$AJ213&lt;&gt;"",Requests!$AS213&lt;&gt;"",Requests!$AU213&lt;&gt;""),"Yes","Open"))</f>
        <v/>
      </c>
    </row>
    <row r="214" customFormat="false" ht="15" hidden="false" customHeight="false" outlineLevel="0" collapsed="false">
      <c r="A214" s="22" t="str">
        <f aca="false">IF(Requests!$A214="","",Requests!$A214)</f>
        <v/>
      </c>
      <c r="B214" s="22" t="str">
        <f aca="false">IF(OR(Requests!$A214="",Requests!$P214=""),"",TEXT(Requests!$P214,"yyyy-mm"))</f>
        <v/>
      </c>
      <c r="C214" s="22" t="str">
        <f aca="false">IF(Requests!$A214="","",Requests!$C214)</f>
        <v/>
      </c>
      <c r="D214" s="22" t="str">
        <f aca="false">IF(Requests!$A214="","",Requests!$K214)</f>
        <v/>
      </c>
      <c r="E214" s="22" t="str">
        <f aca="false">IF(Requests!$A214="","",Requests!$B214)</f>
        <v/>
      </c>
      <c r="F214" s="25" t="str">
        <f aca="false">IF(Requests!$A214="","",Requests!$AD214)</f>
        <v/>
      </c>
      <c r="G214" s="25" t="str">
        <f aca="false">IF(Requests!$A214="","",Requests!$AJ214)</f>
        <v/>
      </c>
      <c r="H214" s="25" t="str">
        <f aca="false">IF(OR(Requests!$A214="",Requests!$AJ214=""),"",Requests!$AD214-Requests!$AJ214)</f>
        <v/>
      </c>
      <c r="I214" s="25" t="str">
        <f aca="false">IF(Requests!$A214="","",Requests!$AM214)</f>
        <v/>
      </c>
      <c r="J214" s="23" t="str">
        <f aca="false">IF(OR(Requests!$A214="",Requests!$AS214=""),"",Requests!$AS214)</f>
        <v/>
      </c>
      <c r="K214" s="23" t="str">
        <f aca="false">IF(OR(Requests!$A214="",Requests!$AU214=""),"",Requests!$AU214)</f>
        <v/>
      </c>
      <c r="L214" s="22" t="str">
        <f aca="false">IF(Requests!$A214="","",IF(AND(Requests!$AJ214&lt;&gt;"",Requests!$AS214&lt;&gt;"",Requests!$AU214&lt;&gt;""),"Yes","Open"))</f>
        <v/>
      </c>
    </row>
    <row r="215" customFormat="false" ht="15" hidden="false" customHeight="false" outlineLevel="0" collapsed="false">
      <c r="A215" s="27" t="str">
        <f aca="false">IF(Requests!$A215="","",Requests!$A215)</f>
        <v/>
      </c>
      <c r="B215" s="27" t="str">
        <f aca="false">IF(OR(Requests!$A215="",Requests!$P215=""),"",TEXT(Requests!$P215,"yyyy-mm"))</f>
        <v/>
      </c>
      <c r="C215" s="27" t="str">
        <f aca="false">IF(Requests!$A215="","",Requests!$C215)</f>
        <v/>
      </c>
      <c r="D215" s="27" t="str">
        <f aca="false">IF(Requests!$A215="","",Requests!$K215)</f>
        <v/>
      </c>
      <c r="E215" s="27" t="str">
        <f aca="false">IF(Requests!$A215="","",Requests!$B215)</f>
        <v/>
      </c>
      <c r="F215" s="30" t="str">
        <f aca="false">IF(Requests!$A215="","",Requests!$AD215)</f>
        <v/>
      </c>
      <c r="G215" s="30" t="str">
        <f aca="false">IF(Requests!$A215="","",Requests!$AJ215)</f>
        <v/>
      </c>
      <c r="H215" s="30" t="str">
        <f aca="false">IF(OR(Requests!$A215="",Requests!$AJ215=""),"",Requests!$AD215-Requests!$AJ215)</f>
        <v/>
      </c>
      <c r="I215" s="30" t="str">
        <f aca="false">IF(Requests!$A215="","",Requests!$AM215)</f>
        <v/>
      </c>
      <c r="J215" s="28" t="str">
        <f aca="false">IF(OR(Requests!$A215="",Requests!$AS215=""),"",Requests!$AS215)</f>
        <v/>
      </c>
      <c r="K215" s="28" t="str">
        <f aca="false">IF(OR(Requests!$A215="",Requests!$AU215=""),"",Requests!$AU215)</f>
        <v/>
      </c>
      <c r="L215" s="27" t="str">
        <f aca="false">IF(Requests!$A215="","",IF(AND(Requests!$AJ215&lt;&gt;"",Requests!$AS215&lt;&gt;"",Requests!$AU215&lt;&gt;""),"Yes","Open"))</f>
        <v/>
      </c>
    </row>
    <row r="216" customFormat="false" ht="15" hidden="false" customHeight="false" outlineLevel="0" collapsed="false">
      <c r="A216" s="22" t="str">
        <f aca="false">IF(Requests!$A216="","",Requests!$A216)</f>
        <v/>
      </c>
      <c r="B216" s="22" t="str">
        <f aca="false">IF(OR(Requests!$A216="",Requests!$P216=""),"",TEXT(Requests!$P216,"yyyy-mm"))</f>
        <v/>
      </c>
      <c r="C216" s="22" t="str">
        <f aca="false">IF(Requests!$A216="","",Requests!$C216)</f>
        <v/>
      </c>
      <c r="D216" s="22" t="str">
        <f aca="false">IF(Requests!$A216="","",Requests!$K216)</f>
        <v/>
      </c>
      <c r="E216" s="22" t="str">
        <f aca="false">IF(Requests!$A216="","",Requests!$B216)</f>
        <v/>
      </c>
      <c r="F216" s="25" t="str">
        <f aca="false">IF(Requests!$A216="","",Requests!$AD216)</f>
        <v/>
      </c>
      <c r="G216" s="25" t="str">
        <f aca="false">IF(Requests!$A216="","",Requests!$AJ216)</f>
        <v/>
      </c>
      <c r="H216" s="25" t="str">
        <f aca="false">IF(OR(Requests!$A216="",Requests!$AJ216=""),"",Requests!$AD216-Requests!$AJ216)</f>
        <v/>
      </c>
      <c r="I216" s="25" t="str">
        <f aca="false">IF(Requests!$A216="","",Requests!$AM216)</f>
        <v/>
      </c>
      <c r="J216" s="23" t="str">
        <f aca="false">IF(OR(Requests!$A216="",Requests!$AS216=""),"",Requests!$AS216)</f>
        <v/>
      </c>
      <c r="K216" s="23" t="str">
        <f aca="false">IF(OR(Requests!$A216="",Requests!$AU216=""),"",Requests!$AU216)</f>
        <v/>
      </c>
      <c r="L216" s="22" t="str">
        <f aca="false">IF(Requests!$A216="","",IF(AND(Requests!$AJ216&lt;&gt;"",Requests!$AS216&lt;&gt;"",Requests!$AU216&lt;&gt;""),"Yes","Open"))</f>
        <v/>
      </c>
    </row>
    <row r="217" customFormat="false" ht="15" hidden="false" customHeight="false" outlineLevel="0" collapsed="false">
      <c r="A217" s="27" t="str">
        <f aca="false">IF(Requests!$A217="","",Requests!$A217)</f>
        <v/>
      </c>
      <c r="B217" s="27" t="str">
        <f aca="false">IF(OR(Requests!$A217="",Requests!$P217=""),"",TEXT(Requests!$P217,"yyyy-mm"))</f>
        <v/>
      </c>
      <c r="C217" s="27" t="str">
        <f aca="false">IF(Requests!$A217="","",Requests!$C217)</f>
        <v/>
      </c>
      <c r="D217" s="27" t="str">
        <f aca="false">IF(Requests!$A217="","",Requests!$K217)</f>
        <v/>
      </c>
      <c r="E217" s="27" t="str">
        <f aca="false">IF(Requests!$A217="","",Requests!$B217)</f>
        <v/>
      </c>
      <c r="F217" s="30" t="str">
        <f aca="false">IF(Requests!$A217="","",Requests!$AD217)</f>
        <v/>
      </c>
      <c r="G217" s="30" t="str">
        <f aca="false">IF(Requests!$A217="","",Requests!$AJ217)</f>
        <v/>
      </c>
      <c r="H217" s="30" t="str">
        <f aca="false">IF(OR(Requests!$A217="",Requests!$AJ217=""),"",Requests!$AD217-Requests!$AJ217)</f>
        <v/>
      </c>
      <c r="I217" s="30" t="str">
        <f aca="false">IF(Requests!$A217="","",Requests!$AM217)</f>
        <v/>
      </c>
      <c r="J217" s="28" t="str">
        <f aca="false">IF(OR(Requests!$A217="",Requests!$AS217=""),"",Requests!$AS217)</f>
        <v/>
      </c>
      <c r="K217" s="28" t="str">
        <f aca="false">IF(OR(Requests!$A217="",Requests!$AU217=""),"",Requests!$AU217)</f>
        <v/>
      </c>
      <c r="L217" s="27" t="str">
        <f aca="false">IF(Requests!$A217="","",IF(AND(Requests!$AJ217&lt;&gt;"",Requests!$AS217&lt;&gt;"",Requests!$AU217&lt;&gt;""),"Yes","Open"))</f>
        <v/>
      </c>
    </row>
    <row r="218" customFormat="false" ht="15" hidden="false" customHeight="false" outlineLevel="0" collapsed="false">
      <c r="A218" s="22" t="str">
        <f aca="false">IF(Requests!$A218="","",Requests!$A218)</f>
        <v/>
      </c>
      <c r="B218" s="22" t="str">
        <f aca="false">IF(OR(Requests!$A218="",Requests!$P218=""),"",TEXT(Requests!$P218,"yyyy-mm"))</f>
        <v/>
      </c>
      <c r="C218" s="22" t="str">
        <f aca="false">IF(Requests!$A218="","",Requests!$C218)</f>
        <v/>
      </c>
      <c r="D218" s="22" t="str">
        <f aca="false">IF(Requests!$A218="","",Requests!$K218)</f>
        <v/>
      </c>
      <c r="E218" s="22" t="str">
        <f aca="false">IF(Requests!$A218="","",Requests!$B218)</f>
        <v/>
      </c>
      <c r="F218" s="25" t="str">
        <f aca="false">IF(Requests!$A218="","",Requests!$AD218)</f>
        <v/>
      </c>
      <c r="G218" s="25" t="str">
        <f aca="false">IF(Requests!$A218="","",Requests!$AJ218)</f>
        <v/>
      </c>
      <c r="H218" s="25" t="str">
        <f aca="false">IF(OR(Requests!$A218="",Requests!$AJ218=""),"",Requests!$AD218-Requests!$AJ218)</f>
        <v/>
      </c>
      <c r="I218" s="25" t="str">
        <f aca="false">IF(Requests!$A218="","",Requests!$AM218)</f>
        <v/>
      </c>
      <c r="J218" s="23" t="str">
        <f aca="false">IF(OR(Requests!$A218="",Requests!$AS218=""),"",Requests!$AS218)</f>
        <v/>
      </c>
      <c r="K218" s="23" t="str">
        <f aca="false">IF(OR(Requests!$A218="",Requests!$AU218=""),"",Requests!$AU218)</f>
        <v/>
      </c>
      <c r="L218" s="22" t="str">
        <f aca="false">IF(Requests!$A218="","",IF(AND(Requests!$AJ218&lt;&gt;"",Requests!$AS218&lt;&gt;"",Requests!$AU218&lt;&gt;""),"Yes","Open"))</f>
        <v/>
      </c>
    </row>
    <row r="219" customFormat="false" ht="15" hidden="false" customHeight="false" outlineLevel="0" collapsed="false">
      <c r="A219" s="27" t="str">
        <f aca="false">IF(Requests!$A219="","",Requests!$A219)</f>
        <v/>
      </c>
      <c r="B219" s="27" t="str">
        <f aca="false">IF(OR(Requests!$A219="",Requests!$P219=""),"",TEXT(Requests!$P219,"yyyy-mm"))</f>
        <v/>
      </c>
      <c r="C219" s="27" t="str">
        <f aca="false">IF(Requests!$A219="","",Requests!$C219)</f>
        <v/>
      </c>
      <c r="D219" s="27" t="str">
        <f aca="false">IF(Requests!$A219="","",Requests!$K219)</f>
        <v/>
      </c>
      <c r="E219" s="27" t="str">
        <f aca="false">IF(Requests!$A219="","",Requests!$B219)</f>
        <v/>
      </c>
      <c r="F219" s="30" t="str">
        <f aca="false">IF(Requests!$A219="","",Requests!$AD219)</f>
        <v/>
      </c>
      <c r="G219" s="30" t="str">
        <f aca="false">IF(Requests!$A219="","",Requests!$AJ219)</f>
        <v/>
      </c>
      <c r="H219" s="30" t="str">
        <f aca="false">IF(OR(Requests!$A219="",Requests!$AJ219=""),"",Requests!$AD219-Requests!$AJ219)</f>
        <v/>
      </c>
      <c r="I219" s="30" t="str">
        <f aca="false">IF(Requests!$A219="","",Requests!$AM219)</f>
        <v/>
      </c>
      <c r="J219" s="28" t="str">
        <f aca="false">IF(OR(Requests!$A219="",Requests!$AS219=""),"",Requests!$AS219)</f>
        <v/>
      </c>
      <c r="K219" s="28" t="str">
        <f aca="false">IF(OR(Requests!$A219="",Requests!$AU219=""),"",Requests!$AU219)</f>
        <v/>
      </c>
      <c r="L219" s="27" t="str">
        <f aca="false">IF(Requests!$A219="","",IF(AND(Requests!$AJ219&lt;&gt;"",Requests!$AS219&lt;&gt;"",Requests!$AU219&lt;&gt;""),"Yes","Open"))</f>
        <v/>
      </c>
    </row>
    <row r="220" customFormat="false" ht="15" hidden="false" customHeight="false" outlineLevel="0" collapsed="false">
      <c r="A220" s="22" t="str">
        <f aca="false">IF(Requests!$A220="","",Requests!$A220)</f>
        <v/>
      </c>
      <c r="B220" s="22" t="str">
        <f aca="false">IF(OR(Requests!$A220="",Requests!$P220=""),"",TEXT(Requests!$P220,"yyyy-mm"))</f>
        <v/>
      </c>
      <c r="C220" s="22" t="str">
        <f aca="false">IF(Requests!$A220="","",Requests!$C220)</f>
        <v/>
      </c>
      <c r="D220" s="22" t="str">
        <f aca="false">IF(Requests!$A220="","",Requests!$K220)</f>
        <v/>
      </c>
      <c r="E220" s="22" t="str">
        <f aca="false">IF(Requests!$A220="","",Requests!$B220)</f>
        <v/>
      </c>
      <c r="F220" s="25" t="str">
        <f aca="false">IF(Requests!$A220="","",Requests!$AD220)</f>
        <v/>
      </c>
      <c r="G220" s="25" t="str">
        <f aca="false">IF(Requests!$A220="","",Requests!$AJ220)</f>
        <v/>
      </c>
      <c r="H220" s="25" t="str">
        <f aca="false">IF(OR(Requests!$A220="",Requests!$AJ220=""),"",Requests!$AD220-Requests!$AJ220)</f>
        <v/>
      </c>
      <c r="I220" s="25" t="str">
        <f aca="false">IF(Requests!$A220="","",Requests!$AM220)</f>
        <v/>
      </c>
      <c r="J220" s="23" t="str">
        <f aca="false">IF(OR(Requests!$A220="",Requests!$AS220=""),"",Requests!$AS220)</f>
        <v/>
      </c>
      <c r="K220" s="23" t="str">
        <f aca="false">IF(OR(Requests!$A220="",Requests!$AU220=""),"",Requests!$AU220)</f>
        <v/>
      </c>
      <c r="L220" s="22" t="str">
        <f aca="false">IF(Requests!$A220="","",IF(AND(Requests!$AJ220&lt;&gt;"",Requests!$AS220&lt;&gt;"",Requests!$AU220&lt;&gt;""),"Yes","Open"))</f>
        <v/>
      </c>
    </row>
    <row r="221" customFormat="false" ht="15" hidden="false" customHeight="false" outlineLevel="0" collapsed="false">
      <c r="A221" s="27" t="str">
        <f aca="false">IF(Requests!$A221="","",Requests!$A221)</f>
        <v/>
      </c>
      <c r="B221" s="27" t="str">
        <f aca="false">IF(OR(Requests!$A221="",Requests!$P221=""),"",TEXT(Requests!$P221,"yyyy-mm"))</f>
        <v/>
      </c>
      <c r="C221" s="27" t="str">
        <f aca="false">IF(Requests!$A221="","",Requests!$C221)</f>
        <v/>
      </c>
      <c r="D221" s="27" t="str">
        <f aca="false">IF(Requests!$A221="","",Requests!$K221)</f>
        <v/>
      </c>
      <c r="E221" s="27" t="str">
        <f aca="false">IF(Requests!$A221="","",Requests!$B221)</f>
        <v/>
      </c>
      <c r="F221" s="30" t="str">
        <f aca="false">IF(Requests!$A221="","",Requests!$AD221)</f>
        <v/>
      </c>
      <c r="G221" s="30" t="str">
        <f aca="false">IF(Requests!$A221="","",Requests!$AJ221)</f>
        <v/>
      </c>
      <c r="H221" s="30" t="str">
        <f aca="false">IF(OR(Requests!$A221="",Requests!$AJ221=""),"",Requests!$AD221-Requests!$AJ221)</f>
        <v/>
      </c>
      <c r="I221" s="30" t="str">
        <f aca="false">IF(Requests!$A221="","",Requests!$AM221)</f>
        <v/>
      </c>
      <c r="J221" s="28" t="str">
        <f aca="false">IF(OR(Requests!$A221="",Requests!$AS221=""),"",Requests!$AS221)</f>
        <v/>
      </c>
      <c r="K221" s="28" t="str">
        <f aca="false">IF(OR(Requests!$A221="",Requests!$AU221=""),"",Requests!$AU221)</f>
        <v/>
      </c>
      <c r="L221" s="27" t="str">
        <f aca="false">IF(Requests!$A221="","",IF(AND(Requests!$AJ221&lt;&gt;"",Requests!$AS221&lt;&gt;"",Requests!$AU221&lt;&gt;""),"Yes","Open"))</f>
        <v/>
      </c>
    </row>
    <row r="222" customFormat="false" ht="15" hidden="false" customHeight="false" outlineLevel="0" collapsed="false">
      <c r="A222" s="22" t="str">
        <f aca="false">IF(Requests!$A222="","",Requests!$A222)</f>
        <v/>
      </c>
      <c r="B222" s="22" t="str">
        <f aca="false">IF(OR(Requests!$A222="",Requests!$P222=""),"",TEXT(Requests!$P222,"yyyy-mm"))</f>
        <v/>
      </c>
      <c r="C222" s="22" t="str">
        <f aca="false">IF(Requests!$A222="","",Requests!$C222)</f>
        <v/>
      </c>
      <c r="D222" s="22" t="str">
        <f aca="false">IF(Requests!$A222="","",Requests!$K222)</f>
        <v/>
      </c>
      <c r="E222" s="22" t="str">
        <f aca="false">IF(Requests!$A222="","",Requests!$B222)</f>
        <v/>
      </c>
      <c r="F222" s="25" t="str">
        <f aca="false">IF(Requests!$A222="","",Requests!$AD222)</f>
        <v/>
      </c>
      <c r="G222" s="25" t="str">
        <f aca="false">IF(Requests!$A222="","",Requests!$AJ222)</f>
        <v/>
      </c>
      <c r="H222" s="25" t="str">
        <f aca="false">IF(OR(Requests!$A222="",Requests!$AJ222=""),"",Requests!$AD222-Requests!$AJ222)</f>
        <v/>
      </c>
      <c r="I222" s="25" t="str">
        <f aca="false">IF(Requests!$A222="","",Requests!$AM222)</f>
        <v/>
      </c>
      <c r="J222" s="23" t="str">
        <f aca="false">IF(OR(Requests!$A222="",Requests!$AS222=""),"",Requests!$AS222)</f>
        <v/>
      </c>
      <c r="K222" s="23" t="str">
        <f aca="false">IF(OR(Requests!$A222="",Requests!$AU222=""),"",Requests!$AU222)</f>
        <v/>
      </c>
      <c r="L222" s="22" t="str">
        <f aca="false">IF(Requests!$A222="","",IF(AND(Requests!$AJ222&lt;&gt;"",Requests!$AS222&lt;&gt;"",Requests!$AU222&lt;&gt;""),"Yes","Open"))</f>
        <v/>
      </c>
    </row>
    <row r="223" customFormat="false" ht="15" hidden="false" customHeight="false" outlineLevel="0" collapsed="false">
      <c r="A223" s="27" t="str">
        <f aca="false">IF(Requests!$A223="","",Requests!$A223)</f>
        <v/>
      </c>
      <c r="B223" s="27" t="str">
        <f aca="false">IF(OR(Requests!$A223="",Requests!$P223=""),"",TEXT(Requests!$P223,"yyyy-mm"))</f>
        <v/>
      </c>
      <c r="C223" s="27" t="str">
        <f aca="false">IF(Requests!$A223="","",Requests!$C223)</f>
        <v/>
      </c>
      <c r="D223" s="27" t="str">
        <f aca="false">IF(Requests!$A223="","",Requests!$K223)</f>
        <v/>
      </c>
      <c r="E223" s="27" t="str">
        <f aca="false">IF(Requests!$A223="","",Requests!$B223)</f>
        <v/>
      </c>
      <c r="F223" s="30" t="str">
        <f aca="false">IF(Requests!$A223="","",Requests!$AD223)</f>
        <v/>
      </c>
      <c r="G223" s="30" t="str">
        <f aca="false">IF(Requests!$A223="","",Requests!$AJ223)</f>
        <v/>
      </c>
      <c r="H223" s="30" t="str">
        <f aca="false">IF(OR(Requests!$A223="",Requests!$AJ223=""),"",Requests!$AD223-Requests!$AJ223)</f>
        <v/>
      </c>
      <c r="I223" s="30" t="str">
        <f aca="false">IF(Requests!$A223="","",Requests!$AM223)</f>
        <v/>
      </c>
      <c r="J223" s="28" t="str">
        <f aca="false">IF(OR(Requests!$A223="",Requests!$AS223=""),"",Requests!$AS223)</f>
        <v/>
      </c>
      <c r="K223" s="28" t="str">
        <f aca="false">IF(OR(Requests!$A223="",Requests!$AU223=""),"",Requests!$AU223)</f>
        <v/>
      </c>
      <c r="L223" s="27" t="str">
        <f aca="false">IF(Requests!$A223="","",IF(AND(Requests!$AJ223&lt;&gt;"",Requests!$AS223&lt;&gt;"",Requests!$AU223&lt;&gt;""),"Yes","Open"))</f>
        <v/>
      </c>
    </row>
    <row r="224" customFormat="false" ht="15" hidden="false" customHeight="false" outlineLevel="0" collapsed="false">
      <c r="A224" s="22" t="str">
        <f aca="false">IF(Requests!$A224="","",Requests!$A224)</f>
        <v/>
      </c>
      <c r="B224" s="22" t="str">
        <f aca="false">IF(OR(Requests!$A224="",Requests!$P224=""),"",TEXT(Requests!$P224,"yyyy-mm"))</f>
        <v/>
      </c>
      <c r="C224" s="22" t="str">
        <f aca="false">IF(Requests!$A224="","",Requests!$C224)</f>
        <v/>
      </c>
      <c r="D224" s="22" t="str">
        <f aca="false">IF(Requests!$A224="","",Requests!$K224)</f>
        <v/>
      </c>
      <c r="E224" s="22" t="str">
        <f aca="false">IF(Requests!$A224="","",Requests!$B224)</f>
        <v/>
      </c>
      <c r="F224" s="25" t="str">
        <f aca="false">IF(Requests!$A224="","",Requests!$AD224)</f>
        <v/>
      </c>
      <c r="G224" s="25" t="str">
        <f aca="false">IF(Requests!$A224="","",Requests!$AJ224)</f>
        <v/>
      </c>
      <c r="H224" s="25" t="str">
        <f aca="false">IF(OR(Requests!$A224="",Requests!$AJ224=""),"",Requests!$AD224-Requests!$AJ224)</f>
        <v/>
      </c>
      <c r="I224" s="25" t="str">
        <f aca="false">IF(Requests!$A224="","",Requests!$AM224)</f>
        <v/>
      </c>
      <c r="J224" s="23" t="str">
        <f aca="false">IF(OR(Requests!$A224="",Requests!$AS224=""),"",Requests!$AS224)</f>
        <v/>
      </c>
      <c r="K224" s="23" t="str">
        <f aca="false">IF(OR(Requests!$A224="",Requests!$AU224=""),"",Requests!$AU224)</f>
        <v/>
      </c>
      <c r="L224" s="22" t="str">
        <f aca="false">IF(Requests!$A224="","",IF(AND(Requests!$AJ224&lt;&gt;"",Requests!$AS224&lt;&gt;"",Requests!$AU224&lt;&gt;""),"Yes","Open"))</f>
        <v/>
      </c>
    </row>
    <row r="225" customFormat="false" ht="15" hidden="false" customHeight="false" outlineLevel="0" collapsed="false">
      <c r="A225" s="27" t="str">
        <f aca="false">IF(Requests!$A225="","",Requests!$A225)</f>
        <v/>
      </c>
      <c r="B225" s="27" t="str">
        <f aca="false">IF(OR(Requests!$A225="",Requests!$P225=""),"",TEXT(Requests!$P225,"yyyy-mm"))</f>
        <v/>
      </c>
      <c r="C225" s="27" t="str">
        <f aca="false">IF(Requests!$A225="","",Requests!$C225)</f>
        <v/>
      </c>
      <c r="D225" s="27" t="str">
        <f aca="false">IF(Requests!$A225="","",Requests!$K225)</f>
        <v/>
      </c>
      <c r="E225" s="27" t="str">
        <f aca="false">IF(Requests!$A225="","",Requests!$B225)</f>
        <v/>
      </c>
      <c r="F225" s="30" t="str">
        <f aca="false">IF(Requests!$A225="","",Requests!$AD225)</f>
        <v/>
      </c>
      <c r="G225" s="30" t="str">
        <f aca="false">IF(Requests!$A225="","",Requests!$AJ225)</f>
        <v/>
      </c>
      <c r="H225" s="30" t="str">
        <f aca="false">IF(OR(Requests!$A225="",Requests!$AJ225=""),"",Requests!$AD225-Requests!$AJ225)</f>
        <v/>
      </c>
      <c r="I225" s="30" t="str">
        <f aca="false">IF(Requests!$A225="","",Requests!$AM225)</f>
        <v/>
      </c>
      <c r="J225" s="28" t="str">
        <f aca="false">IF(OR(Requests!$A225="",Requests!$AS225=""),"",Requests!$AS225)</f>
        <v/>
      </c>
      <c r="K225" s="28" t="str">
        <f aca="false">IF(OR(Requests!$A225="",Requests!$AU225=""),"",Requests!$AU225)</f>
        <v/>
      </c>
      <c r="L225" s="27" t="str">
        <f aca="false">IF(Requests!$A225="","",IF(AND(Requests!$AJ225&lt;&gt;"",Requests!$AS225&lt;&gt;"",Requests!$AU225&lt;&gt;""),"Yes","Open"))</f>
        <v/>
      </c>
    </row>
    <row r="226" customFormat="false" ht="15" hidden="false" customHeight="false" outlineLevel="0" collapsed="false">
      <c r="A226" s="22" t="str">
        <f aca="false">IF(Requests!$A226="","",Requests!$A226)</f>
        <v/>
      </c>
      <c r="B226" s="22" t="str">
        <f aca="false">IF(OR(Requests!$A226="",Requests!$P226=""),"",TEXT(Requests!$P226,"yyyy-mm"))</f>
        <v/>
      </c>
      <c r="C226" s="22" t="str">
        <f aca="false">IF(Requests!$A226="","",Requests!$C226)</f>
        <v/>
      </c>
      <c r="D226" s="22" t="str">
        <f aca="false">IF(Requests!$A226="","",Requests!$K226)</f>
        <v/>
      </c>
      <c r="E226" s="22" t="str">
        <f aca="false">IF(Requests!$A226="","",Requests!$B226)</f>
        <v/>
      </c>
      <c r="F226" s="25" t="str">
        <f aca="false">IF(Requests!$A226="","",Requests!$AD226)</f>
        <v/>
      </c>
      <c r="G226" s="25" t="str">
        <f aca="false">IF(Requests!$A226="","",Requests!$AJ226)</f>
        <v/>
      </c>
      <c r="H226" s="25" t="str">
        <f aca="false">IF(OR(Requests!$A226="",Requests!$AJ226=""),"",Requests!$AD226-Requests!$AJ226)</f>
        <v/>
      </c>
      <c r="I226" s="25" t="str">
        <f aca="false">IF(Requests!$A226="","",Requests!$AM226)</f>
        <v/>
      </c>
      <c r="J226" s="23" t="str">
        <f aca="false">IF(OR(Requests!$A226="",Requests!$AS226=""),"",Requests!$AS226)</f>
        <v/>
      </c>
      <c r="K226" s="23" t="str">
        <f aca="false">IF(OR(Requests!$A226="",Requests!$AU226=""),"",Requests!$AU226)</f>
        <v/>
      </c>
      <c r="L226" s="22" t="str">
        <f aca="false">IF(Requests!$A226="","",IF(AND(Requests!$AJ226&lt;&gt;"",Requests!$AS226&lt;&gt;"",Requests!$AU226&lt;&gt;""),"Yes","Open"))</f>
        <v/>
      </c>
    </row>
    <row r="227" customFormat="false" ht="15" hidden="false" customHeight="false" outlineLevel="0" collapsed="false">
      <c r="A227" s="27" t="str">
        <f aca="false">IF(Requests!$A227="","",Requests!$A227)</f>
        <v/>
      </c>
      <c r="B227" s="27" t="str">
        <f aca="false">IF(OR(Requests!$A227="",Requests!$P227=""),"",TEXT(Requests!$P227,"yyyy-mm"))</f>
        <v/>
      </c>
      <c r="C227" s="27" t="str">
        <f aca="false">IF(Requests!$A227="","",Requests!$C227)</f>
        <v/>
      </c>
      <c r="D227" s="27" t="str">
        <f aca="false">IF(Requests!$A227="","",Requests!$K227)</f>
        <v/>
      </c>
      <c r="E227" s="27" t="str">
        <f aca="false">IF(Requests!$A227="","",Requests!$B227)</f>
        <v/>
      </c>
      <c r="F227" s="30" t="str">
        <f aca="false">IF(Requests!$A227="","",Requests!$AD227)</f>
        <v/>
      </c>
      <c r="G227" s="30" t="str">
        <f aca="false">IF(Requests!$A227="","",Requests!$AJ227)</f>
        <v/>
      </c>
      <c r="H227" s="30" t="str">
        <f aca="false">IF(OR(Requests!$A227="",Requests!$AJ227=""),"",Requests!$AD227-Requests!$AJ227)</f>
        <v/>
      </c>
      <c r="I227" s="30" t="str">
        <f aca="false">IF(Requests!$A227="","",Requests!$AM227)</f>
        <v/>
      </c>
      <c r="J227" s="28" t="str">
        <f aca="false">IF(OR(Requests!$A227="",Requests!$AS227=""),"",Requests!$AS227)</f>
        <v/>
      </c>
      <c r="K227" s="28" t="str">
        <f aca="false">IF(OR(Requests!$A227="",Requests!$AU227=""),"",Requests!$AU227)</f>
        <v/>
      </c>
      <c r="L227" s="27" t="str">
        <f aca="false">IF(Requests!$A227="","",IF(AND(Requests!$AJ227&lt;&gt;"",Requests!$AS227&lt;&gt;"",Requests!$AU227&lt;&gt;""),"Yes","Open"))</f>
        <v/>
      </c>
    </row>
    <row r="228" customFormat="false" ht="15" hidden="false" customHeight="false" outlineLevel="0" collapsed="false">
      <c r="A228" s="22" t="str">
        <f aca="false">IF(Requests!$A228="","",Requests!$A228)</f>
        <v/>
      </c>
      <c r="B228" s="22" t="str">
        <f aca="false">IF(OR(Requests!$A228="",Requests!$P228=""),"",TEXT(Requests!$P228,"yyyy-mm"))</f>
        <v/>
      </c>
      <c r="C228" s="22" t="str">
        <f aca="false">IF(Requests!$A228="","",Requests!$C228)</f>
        <v/>
      </c>
      <c r="D228" s="22" t="str">
        <f aca="false">IF(Requests!$A228="","",Requests!$K228)</f>
        <v/>
      </c>
      <c r="E228" s="22" t="str">
        <f aca="false">IF(Requests!$A228="","",Requests!$B228)</f>
        <v/>
      </c>
      <c r="F228" s="25" t="str">
        <f aca="false">IF(Requests!$A228="","",Requests!$AD228)</f>
        <v/>
      </c>
      <c r="G228" s="25" t="str">
        <f aca="false">IF(Requests!$A228="","",Requests!$AJ228)</f>
        <v/>
      </c>
      <c r="H228" s="25" t="str">
        <f aca="false">IF(OR(Requests!$A228="",Requests!$AJ228=""),"",Requests!$AD228-Requests!$AJ228)</f>
        <v/>
      </c>
      <c r="I228" s="25" t="str">
        <f aca="false">IF(Requests!$A228="","",Requests!$AM228)</f>
        <v/>
      </c>
      <c r="J228" s="23" t="str">
        <f aca="false">IF(OR(Requests!$A228="",Requests!$AS228=""),"",Requests!$AS228)</f>
        <v/>
      </c>
      <c r="K228" s="23" t="str">
        <f aca="false">IF(OR(Requests!$A228="",Requests!$AU228=""),"",Requests!$AU228)</f>
        <v/>
      </c>
      <c r="L228" s="22" t="str">
        <f aca="false">IF(Requests!$A228="","",IF(AND(Requests!$AJ228&lt;&gt;"",Requests!$AS228&lt;&gt;"",Requests!$AU228&lt;&gt;""),"Yes","Open"))</f>
        <v/>
      </c>
    </row>
    <row r="229" customFormat="false" ht="15" hidden="false" customHeight="false" outlineLevel="0" collapsed="false">
      <c r="A229" s="27" t="str">
        <f aca="false">IF(Requests!$A229="","",Requests!$A229)</f>
        <v/>
      </c>
      <c r="B229" s="27" t="str">
        <f aca="false">IF(OR(Requests!$A229="",Requests!$P229=""),"",TEXT(Requests!$P229,"yyyy-mm"))</f>
        <v/>
      </c>
      <c r="C229" s="27" t="str">
        <f aca="false">IF(Requests!$A229="","",Requests!$C229)</f>
        <v/>
      </c>
      <c r="D229" s="27" t="str">
        <f aca="false">IF(Requests!$A229="","",Requests!$K229)</f>
        <v/>
      </c>
      <c r="E229" s="27" t="str">
        <f aca="false">IF(Requests!$A229="","",Requests!$B229)</f>
        <v/>
      </c>
      <c r="F229" s="30" t="str">
        <f aca="false">IF(Requests!$A229="","",Requests!$AD229)</f>
        <v/>
      </c>
      <c r="G229" s="30" t="str">
        <f aca="false">IF(Requests!$A229="","",Requests!$AJ229)</f>
        <v/>
      </c>
      <c r="H229" s="30" t="str">
        <f aca="false">IF(OR(Requests!$A229="",Requests!$AJ229=""),"",Requests!$AD229-Requests!$AJ229)</f>
        <v/>
      </c>
      <c r="I229" s="30" t="str">
        <f aca="false">IF(Requests!$A229="","",Requests!$AM229)</f>
        <v/>
      </c>
      <c r="J229" s="28" t="str">
        <f aca="false">IF(OR(Requests!$A229="",Requests!$AS229=""),"",Requests!$AS229)</f>
        <v/>
      </c>
      <c r="K229" s="28" t="str">
        <f aca="false">IF(OR(Requests!$A229="",Requests!$AU229=""),"",Requests!$AU229)</f>
        <v/>
      </c>
      <c r="L229" s="27" t="str">
        <f aca="false">IF(Requests!$A229="","",IF(AND(Requests!$AJ229&lt;&gt;"",Requests!$AS229&lt;&gt;"",Requests!$AU229&lt;&gt;""),"Yes","Open"))</f>
        <v/>
      </c>
    </row>
    <row r="230" customFormat="false" ht="15" hidden="false" customHeight="false" outlineLevel="0" collapsed="false">
      <c r="A230" s="22" t="str">
        <f aca="false">IF(Requests!$A230="","",Requests!$A230)</f>
        <v/>
      </c>
      <c r="B230" s="22" t="str">
        <f aca="false">IF(OR(Requests!$A230="",Requests!$P230=""),"",TEXT(Requests!$P230,"yyyy-mm"))</f>
        <v/>
      </c>
      <c r="C230" s="22" t="str">
        <f aca="false">IF(Requests!$A230="","",Requests!$C230)</f>
        <v/>
      </c>
      <c r="D230" s="22" t="str">
        <f aca="false">IF(Requests!$A230="","",Requests!$K230)</f>
        <v/>
      </c>
      <c r="E230" s="22" t="str">
        <f aca="false">IF(Requests!$A230="","",Requests!$B230)</f>
        <v/>
      </c>
      <c r="F230" s="25" t="str">
        <f aca="false">IF(Requests!$A230="","",Requests!$AD230)</f>
        <v/>
      </c>
      <c r="G230" s="25" t="str">
        <f aca="false">IF(Requests!$A230="","",Requests!$AJ230)</f>
        <v/>
      </c>
      <c r="H230" s="25" t="str">
        <f aca="false">IF(OR(Requests!$A230="",Requests!$AJ230=""),"",Requests!$AD230-Requests!$AJ230)</f>
        <v/>
      </c>
      <c r="I230" s="25" t="str">
        <f aca="false">IF(Requests!$A230="","",Requests!$AM230)</f>
        <v/>
      </c>
      <c r="J230" s="23" t="str">
        <f aca="false">IF(OR(Requests!$A230="",Requests!$AS230=""),"",Requests!$AS230)</f>
        <v/>
      </c>
      <c r="K230" s="23" t="str">
        <f aca="false">IF(OR(Requests!$A230="",Requests!$AU230=""),"",Requests!$AU230)</f>
        <v/>
      </c>
      <c r="L230" s="22" t="str">
        <f aca="false">IF(Requests!$A230="","",IF(AND(Requests!$AJ230&lt;&gt;"",Requests!$AS230&lt;&gt;"",Requests!$AU230&lt;&gt;""),"Yes","Open"))</f>
        <v/>
      </c>
    </row>
    <row r="231" customFormat="false" ht="15" hidden="false" customHeight="false" outlineLevel="0" collapsed="false">
      <c r="A231" s="27" t="str">
        <f aca="false">IF(Requests!$A231="","",Requests!$A231)</f>
        <v/>
      </c>
      <c r="B231" s="27" t="str">
        <f aca="false">IF(OR(Requests!$A231="",Requests!$P231=""),"",TEXT(Requests!$P231,"yyyy-mm"))</f>
        <v/>
      </c>
      <c r="C231" s="27" t="str">
        <f aca="false">IF(Requests!$A231="","",Requests!$C231)</f>
        <v/>
      </c>
      <c r="D231" s="27" t="str">
        <f aca="false">IF(Requests!$A231="","",Requests!$K231)</f>
        <v/>
      </c>
      <c r="E231" s="27" t="str">
        <f aca="false">IF(Requests!$A231="","",Requests!$B231)</f>
        <v/>
      </c>
      <c r="F231" s="30" t="str">
        <f aca="false">IF(Requests!$A231="","",Requests!$AD231)</f>
        <v/>
      </c>
      <c r="G231" s="30" t="str">
        <f aca="false">IF(Requests!$A231="","",Requests!$AJ231)</f>
        <v/>
      </c>
      <c r="H231" s="30" t="str">
        <f aca="false">IF(OR(Requests!$A231="",Requests!$AJ231=""),"",Requests!$AD231-Requests!$AJ231)</f>
        <v/>
      </c>
      <c r="I231" s="30" t="str">
        <f aca="false">IF(Requests!$A231="","",Requests!$AM231)</f>
        <v/>
      </c>
      <c r="J231" s="28" t="str">
        <f aca="false">IF(OR(Requests!$A231="",Requests!$AS231=""),"",Requests!$AS231)</f>
        <v/>
      </c>
      <c r="K231" s="28" t="str">
        <f aca="false">IF(OR(Requests!$A231="",Requests!$AU231=""),"",Requests!$AU231)</f>
        <v/>
      </c>
      <c r="L231" s="27" t="str">
        <f aca="false">IF(Requests!$A231="","",IF(AND(Requests!$AJ231&lt;&gt;"",Requests!$AS231&lt;&gt;"",Requests!$AU231&lt;&gt;""),"Yes","Open"))</f>
        <v/>
      </c>
    </row>
    <row r="232" customFormat="false" ht="15" hidden="false" customHeight="false" outlineLevel="0" collapsed="false">
      <c r="A232" s="22" t="str">
        <f aca="false">IF(Requests!$A232="","",Requests!$A232)</f>
        <v/>
      </c>
      <c r="B232" s="22" t="str">
        <f aca="false">IF(OR(Requests!$A232="",Requests!$P232=""),"",TEXT(Requests!$P232,"yyyy-mm"))</f>
        <v/>
      </c>
      <c r="C232" s="22" t="str">
        <f aca="false">IF(Requests!$A232="","",Requests!$C232)</f>
        <v/>
      </c>
      <c r="D232" s="22" t="str">
        <f aca="false">IF(Requests!$A232="","",Requests!$K232)</f>
        <v/>
      </c>
      <c r="E232" s="22" t="str">
        <f aca="false">IF(Requests!$A232="","",Requests!$B232)</f>
        <v/>
      </c>
      <c r="F232" s="25" t="str">
        <f aca="false">IF(Requests!$A232="","",Requests!$AD232)</f>
        <v/>
      </c>
      <c r="G232" s="25" t="str">
        <f aca="false">IF(Requests!$A232="","",Requests!$AJ232)</f>
        <v/>
      </c>
      <c r="H232" s="25" t="str">
        <f aca="false">IF(OR(Requests!$A232="",Requests!$AJ232=""),"",Requests!$AD232-Requests!$AJ232)</f>
        <v/>
      </c>
      <c r="I232" s="25" t="str">
        <f aca="false">IF(Requests!$A232="","",Requests!$AM232)</f>
        <v/>
      </c>
      <c r="J232" s="23" t="str">
        <f aca="false">IF(OR(Requests!$A232="",Requests!$AS232=""),"",Requests!$AS232)</f>
        <v/>
      </c>
      <c r="K232" s="23" t="str">
        <f aca="false">IF(OR(Requests!$A232="",Requests!$AU232=""),"",Requests!$AU232)</f>
        <v/>
      </c>
      <c r="L232" s="22" t="str">
        <f aca="false">IF(Requests!$A232="","",IF(AND(Requests!$AJ232&lt;&gt;"",Requests!$AS232&lt;&gt;"",Requests!$AU232&lt;&gt;""),"Yes","Open"))</f>
        <v/>
      </c>
    </row>
    <row r="233" customFormat="false" ht="15" hidden="false" customHeight="false" outlineLevel="0" collapsed="false">
      <c r="A233" s="27" t="str">
        <f aca="false">IF(Requests!$A233="","",Requests!$A233)</f>
        <v/>
      </c>
      <c r="B233" s="27" t="str">
        <f aca="false">IF(OR(Requests!$A233="",Requests!$P233=""),"",TEXT(Requests!$P233,"yyyy-mm"))</f>
        <v/>
      </c>
      <c r="C233" s="27" t="str">
        <f aca="false">IF(Requests!$A233="","",Requests!$C233)</f>
        <v/>
      </c>
      <c r="D233" s="27" t="str">
        <f aca="false">IF(Requests!$A233="","",Requests!$K233)</f>
        <v/>
      </c>
      <c r="E233" s="27" t="str">
        <f aca="false">IF(Requests!$A233="","",Requests!$B233)</f>
        <v/>
      </c>
      <c r="F233" s="30" t="str">
        <f aca="false">IF(Requests!$A233="","",Requests!$AD233)</f>
        <v/>
      </c>
      <c r="G233" s="30" t="str">
        <f aca="false">IF(Requests!$A233="","",Requests!$AJ233)</f>
        <v/>
      </c>
      <c r="H233" s="30" t="str">
        <f aca="false">IF(OR(Requests!$A233="",Requests!$AJ233=""),"",Requests!$AD233-Requests!$AJ233)</f>
        <v/>
      </c>
      <c r="I233" s="30" t="str">
        <f aca="false">IF(Requests!$A233="","",Requests!$AM233)</f>
        <v/>
      </c>
      <c r="J233" s="28" t="str">
        <f aca="false">IF(OR(Requests!$A233="",Requests!$AS233=""),"",Requests!$AS233)</f>
        <v/>
      </c>
      <c r="K233" s="28" t="str">
        <f aca="false">IF(OR(Requests!$A233="",Requests!$AU233=""),"",Requests!$AU233)</f>
        <v/>
      </c>
      <c r="L233" s="27" t="str">
        <f aca="false">IF(Requests!$A233="","",IF(AND(Requests!$AJ233&lt;&gt;"",Requests!$AS233&lt;&gt;"",Requests!$AU233&lt;&gt;""),"Yes","Open"))</f>
        <v/>
      </c>
    </row>
    <row r="234" customFormat="false" ht="15" hidden="false" customHeight="false" outlineLevel="0" collapsed="false">
      <c r="A234" s="22" t="str">
        <f aca="false">IF(Requests!$A234="","",Requests!$A234)</f>
        <v/>
      </c>
      <c r="B234" s="22" t="str">
        <f aca="false">IF(OR(Requests!$A234="",Requests!$P234=""),"",TEXT(Requests!$P234,"yyyy-mm"))</f>
        <v/>
      </c>
      <c r="C234" s="22" t="str">
        <f aca="false">IF(Requests!$A234="","",Requests!$C234)</f>
        <v/>
      </c>
      <c r="D234" s="22" t="str">
        <f aca="false">IF(Requests!$A234="","",Requests!$K234)</f>
        <v/>
      </c>
      <c r="E234" s="22" t="str">
        <f aca="false">IF(Requests!$A234="","",Requests!$B234)</f>
        <v/>
      </c>
      <c r="F234" s="25" t="str">
        <f aca="false">IF(Requests!$A234="","",Requests!$AD234)</f>
        <v/>
      </c>
      <c r="G234" s="25" t="str">
        <f aca="false">IF(Requests!$A234="","",Requests!$AJ234)</f>
        <v/>
      </c>
      <c r="H234" s="25" t="str">
        <f aca="false">IF(OR(Requests!$A234="",Requests!$AJ234=""),"",Requests!$AD234-Requests!$AJ234)</f>
        <v/>
      </c>
      <c r="I234" s="25" t="str">
        <f aca="false">IF(Requests!$A234="","",Requests!$AM234)</f>
        <v/>
      </c>
      <c r="J234" s="23" t="str">
        <f aca="false">IF(OR(Requests!$A234="",Requests!$AS234=""),"",Requests!$AS234)</f>
        <v/>
      </c>
      <c r="K234" s="23" t="str">
        <f aca="false">IF(OR(Requests!$A234="",Requests!$AU234=""),"",Requests!$AU234)</f>
        <v/>
      </c>
      <c r="L234" s="22" t="str">
        <f aca="false">IF(Requests!$A234="","",IF(AND(Requests!$AJ234&lt;&gt;"",Requests!$AS234&lt;&gt;"",Requests!$AU234&lt;&gt;""),"Yes","Open"))</f>
        <v/>
      </c>
    </row>
    <row r="235" customFormat="false" ht="15" hidden="false" customHeight="false" outlineLevel="0" collapsed="false">
      <c r="A235" s="27" t="str">
        <f aca="false">IF(Requests!$A235="","",Requests!$A235)</f>
        <v/>
      </c>
      <c r="B235" s="27" t="str">
        <f aca="false">IF(OR(Requests!$A235="",Requests!$P235=""),"",TEXT(Requests!$P235,"yyyy-mm"))</f>
        <v/>
      </c>
      <c r="C235" s="27" t="str">
        <f aca="false">IF(Requests!$A235="","",Requests!$C235)</f>
        <v/>
      </c>
      <c r="D235" s="27" t="str">
        <f aca="false">IF(Requests!$A235="","",Requests!$K235)</f>
        <v/>
      </c>
      <c r="E235" s="27" t="str">
        <f aca="false">IF(Requests!$A235="","",Requests!$B235)</f>
        <v/>
      </c>
      <c r="F235" s="30" t="str">
        <f aca="false">IF(Requests!$A235="","",Requests!$AD235)</f>
        <v/>
      </c>
      <c r="G235" s="30" t="str">
        <f aca="false">IF(Requests!$A235="","",Requests!$AJ235)</f>
        <v/>
      </c>
      <c r="H235" s="30" t="str">
        <f aca="false">IF(OR(Requests!$A235="",Requests!$AJ235=""),"",Requests!$AD235-Requests!$AJ235)</f>
        <v/>
      </c>
      <c r="I235" s="30" t="str">
        <f aca="false">IF(Requests!$A235="","",Requests!$AM235)</f>
        <v/>
      </c>
      <c r="J235" s="28" t="str">
        <f aca="false">IF(OR(Requests!$A235="",Requests!$AS235=""),"",Requests!$AS235)</f>
        <v/>
      </c>
      <c r="K235" s="28" t="str">
        <f aca="false">IF(OR(Requests!$A235="",Requests!$AU235=""),"",Requests!$AU235)</f>
        <v/>
      </c>
      <c r="L235" s="27" t="str">
        <f aca="false">IF(Requests!$A235="","",IF(AND(Requests!$AJ235&lt;&gt;"",Requests!$AS235&lt;&gt;"",Requests!$AU235&lt;&gt;""),"Yes","Open"))</f>
        <v/>
      </c>
    </row>
    <row r="236" customFormat="false" ht="15" hidden="false" customHeight="false" outlineLevel="0" collapsed="false">
      <c r="A236" s="22" t="str">
        <f aca="false">IF(Requests!$A236="","",Requests!$A236)</f>
        <v/>
      </c>
      <c r="B236" s="22" t="str">
        <f aca="false">IF(OR(Requests!$A236="",Requests!$P236=""),"",TEXT(Requests!$P236,"yyyy-mm"))</f>
        <v/>
      </c>
      <c r="C236" s="22" t="str">
        <f aca="false">IF(Requests!$A236="","",Requests!$C236)</f>
        <v/>
      </c>
      <c r="D236" s="22" t="str">
        <f aca="false">IF(Requests!$A236="","",Requests!$K236)</f>
        <v/>
      </c>
      <c r="E236" s="22" t="str">
        <f aca="false">IF(Requests!$A236="","",Requests!$B236)</f>
        <v/>
      </c>
      <c r="F236" s="25" t="str">
        <f aca="false">IF(Requests!$A236="","",Requests!$AD236)</f>
        <v/>
      </c>
      <c r="G236" s="25" t="str">
        <f aca="false">IF(Requests!$A236="","",Requests!$AJ236)</f>
        <v/>
      </c>
      <c r="H236" s="25" t="str">
        <f aca="false">IF(OR(Requests!$A236="",Requests!$AJ236=""),"",Requests!$AD236-Requests!$AJ236)</f>
        <v/>
      </c>
      <c r="I236" s="25" t="str">
        <f aca="false">IF(Requests!$A236="","",Requests!$AM236)</f>
        <v/>
      </c>
      <c r="J236" s="23" t="str">
        <f aca="false">IF(OR(Requests!$A236="",Requests!$AS236=""),"",Requests!$AS236)</f>
        <v/>
      </c>
      <c r="K236" s="23" t="str">
        <f aca="false">IF(OR(Requests!$A236="",Requests!$AU236=""),"",Requests!$AU236)</f>
        <v/>
      </c>
      <c r="L236" s="22" t="str">
        <f aca="false">IF(Requests!$A236="","",IF(AND(Requests!$AJ236&lt;&gt;"",Requests!$AS236&lt;&gt;"",Requests!$AU236&lt;&gt;""),"Yes","Open"))</f>
        <v/>
      </c>
    </row>
    <row r="237" customFormat="false" ht="15" hidden="false" customHeight="false" outlineLevel="0" collapsed="false">
      <c r="A237" s="27" t="str">
        <f aca="false">IF(Requests!$A237="","",Requests!$A237)</f>
        <v/>
      </c>
      <c r="B237" s="27" t="str">
        <f aca="false">IF(OR(Requests!$A237="",Requests!$P237=""),"",TEXT(Requests!$P237,"yyyy-mm"))</f>
        <v/>
      </c>
      <c r="C237" s="27" t="str">
        <f aca="false">IF(Requests!$A237="","",Requests!$C237)</f>
        <v/>
      </c>
      <c r="D237" s="27" t="str">
        <f aca="false">IF(Requests!$A237="","",Requests!$K237)</f>
        <v/>
      </c>
      <c r="E237" s="27" t="str">
        <f aca="false">IF(Requests!$A237="","",Requests!$B237)</f>
        <v/>
      </c>
      <c r="F237" s="30" t="str">
        <f aca="false">IF(Requests!$A237="","",Requests!$AD237)</f>
        <v/>
      </c>
      <c r="G237" s="30" t="str">
        <f aca="false">IF(Requests!$A237="","",Requests!$AJ237)</f>
        <v/>
      </c>
      <c r="H237" s="30" t="str">
        <f aca="false">IF(OR(Requests!$A237="",Requests!$AJ237=""),"",Requests!$AD237-Requests!$AJ237)</f>
        <v/>
      </c>
      <c r="I237" s="30" t="str">
        <f aca="false">IF(Requests!$A237="","",Requests!$AM237)</f>
        <v/>
      </c>
      <c r="J237" s="28" t="str">
        <f aca="false">IF(OR(Requests!$A237="",Requests!$AS237=""),"",Requests!$AS237)</f>
        <v/>
      </c>
      <c r="K237" s="28" t="str">
        <f aca="false">IF(OR(Requests!$A237="",Requests!$AU237=""),"",Requests!$AU237)</f>
        <v/>
      </c>
      <c r="L237" s="27" t="str">
        <f aca="false">IF(Requests!$A237="","",IF(AND(Requests!$AJ237&lt;&gt;"",Requests!$AS237&lt;&gt;"",Requests!$AU237&lt;&gt;""),"Yes","Open"))</f>
        <v/>
      </c>
    </row>
    <row r="238" customFormat="false" ht="15" hidden="false" customHeight="false" outlineLevel="0" collapsed="false">
      <c r="A238" s="22" t="str">
        <f aca="false">IF(Requests!$A238="","",Requests!$A238)</f>
        <v/>
      </c>
      <c r="B238" s="22" t="str">
        <f aca="false">IF(OR(Requests!$A238="",Requests!$P238=""),"",TEXT(Requests!$P238,"yyyy-mm"))</f>
        <v/>
      </c>
      <c r="C238" s="22" t="str">
        <f aca="false">IF(Requests!$A238="","",Requests!$C238)</f>
        <v/>
      </c>
      <c r="D238" s="22" t="str">
        <f aca="false">IF(Requests!$A238="","",Requests!$K238)</f>
        <v/>
      </c>
      <c r="E238" s="22" t="str">
        <f aca="false">IF(Requests!$A238="","",Requests!$B238)</f>
        <v/>
      </c>
      <c r="F238" s="25" t="str">
        <f aca="false">IF(Requests!$A238="","",Requests!$AD238)</f>
        <v/>
      </c>
      <c r="G238" s="25" t="str">
        <f aca="false">IF(Requests!$A238="","",Requests!$AJ238)</f>
        <v/>
      </c>
      <c r="H238" s="25" t="str">
        <f aca="false">IF(OR(Requests!$A238="",Requests!$AJ238=""),"",Requests!$AD238-Requests!$AJ238)</f>
        <v/>
      </c>
      <c r="I238" s="25" t="str">
        <f aca="false">IF(Requests!$A238="","",Requests!$AM238)</f>
        <v/>
      </c>
      <c r="J238" s="23" t="str">
        <f aca="false">IF(OR(Requests!$A238="",Requests!$AS238=""),"",Requests!$AS238)</f>
        <v/>
      </c>
      <c r="K238" s="23" t="str">
        <f aca="false">IF(OR(Requests!$A238="",Requests!$AU238=""),"",Requests!$AU238)</f>
        <v/>
      </c>
      <c r="L238" s="22" t="str">
        <f aca="false">IF(Requests!$A238="","",IF(AND(Requests!$AJ238&lt;&gt;"",Requests!$AS238&lt;&gt;"",Requests!$AU238&lt;&gt;""),"Yes","Open"))</f>
        <v/>
      </c>
    </row>
    <row r="239" customFormat="false" ht="15" hidden="false" customHeight="false" outlineLevel="0" collapsed="false">
      <c r="A239" s="27" t="str">
        <f aca="false">IF(Requests!$A239="","",Requests!$A239)</f>
        <v/>
      </c>
      <c r="B239" s="27" t="str">
        <f aca="false">IF(OR(Requests!$A239="",Requests!$P239=""),"",TEXT(Requests!$P239,"yyyy-mm"))</f>
        <v/>
      </c>
      <c r="C239" s="27" t="str">
        <f aca="false">IF(Requests!$A239="","",Requests!$C239)</f>
        <v/>
      </c>
      <c r="D239" s="27" t="str">
        <f aca="false">IF(Requests!$A239="","",Requests!$K239)</f>
        <v/>
      </c>
      <c r="E239" s="27" t="str">
        <f aca="false">IF(Requests!$A239="","",Requests!$B239)</f>
        <v/>
      </c>
      <c r="F239" s="30" t="str">
        <f aca="false">IF(Requests!$A239="","",Requests!$AD239)</f>
        <v/>
      </c>
      <c r="G239" s="30" t="str">
        <f aca="false">IF(Requests!$A239="","",Requests!$AJ239)</f>
        <v/>
      </c>
      <c r="H239" s="30" t="str">
        <f aca="false">IF(OR(Requests!$A239="",Requests!$AJ239=""),"",Requests!$AD239-Requests!$AJ239)</f>
        <v/>
      </c>
      <c r="I239" s="30" t="str">
        <f aca="false">IF(Requests!$A239="","",Requests!$AM239)</f>
        <v/>
      </c>
      <c r="J239" s="28" t="str">
        <f aca="false">IF(OR(Requests!$A239="",Requests!$AS239=""),"",Requests!$AS239)</f>
        <v/>
      </c>
      <c r="K239" s="28" t="str">
        <f aca="false">IF(OR(Requests!$A239="",Requests!$AU239=""),"",Requests!$AU239)</f>
        <v/>
      </c>
      <c r="L239" s="27" t="str">
        <f aca="false">IF(Requests!$A239="","",IF(AND(Requests!$AJ239&lt;&gt;"",Requests!$AS239&lt;&gt;"",Requests!$AU239&lt;&gt;""),"Yes","Open"))</f>
        <v/>
      </c>
    </row>
    <row r="240" customFormat="false" ht="15" hidden="false" customHeight="false" outlineLevel="0" collapsed="false">
      <c r="A240" s="22" t="str">
        <f aca="false">IF(Requests!$A240="","",Requests!$A240)</f>
        <v/>
      </c>
      <c r="B240" s="22" t="str">
        <f aca="false">IF(OR(Requests!$A240="",Requests!$P240=""),"",TEXT(Requests!$P240,"yyyy-mm"))</f>
        <v/>
      </c>
      <c r="C240" s="22" t="str">
        <f aca="false">IF(Requests!$A240="","",Requests!$C240)</f>
        <v/>
      </c>
      <c r="D240" s="22" t="str">
        <f aca="false">IF(Requests!$A240="","",Requests!$K240)</f>
        <v/>
      </c>
      <c r="E240" s="22" t="str">
        <f aca="false">IF(Requests!$A240="","",Requests!$B240)</f>
        <v/>
      </c>
      <c r="F240" s="25" t="str">
        <f aca="false">IF(Requests!$A240="","",Requests!$AD240)</f>
        <v/>
      </c>
      <c r="G240" s="25" t="str">
        <f aca="false">IF(Requests!$A240="","",Requests!$AJ240)</f>
        <v/>
      </c>
      <c r="H240" s="25" t="str">
        <f aca="false">IF(OR(Requests!$A240="",Requests!$AJ240=""),"",Requests!$AD240-Requests!$AJ240)</f>
        <v/>
      </c>
      <c r="I240" s="25" t="str">
        <f aca="false">IF(Requests!$A240="","",Requests!$AM240)</f>
        <v/>
      </c>
      <c r="J240" s="23" t="str">
        <f aca="false">IF(OR(Requests!$A240="",Requests!$AS240=""),"",Requests!$AS240)</f>
        <v/>
      </c>
      <c r="K240" s="23" t="str">
        <f aca="false">IF(OR(Requests!$A240="",Requests!$AU240=""),"",Requests!$AU240)</f>
        <v/>
      </c>
      <c r="L240" s="22" t="str">
        <f aca="false">IF(Requests!$A240="","",IF(AND(Requests!$AJ240&lt;&gt;"",Requests!$AS240&lt;&gt;"",Requests!$AU240&lt;&gt;""),"Yes","Open"))</f>
        <v/>
      </c>
    </row>
    <row r="241" customFormat="false" ht="15" hidden="false" customHeight="false" outlineLevel="0" collapsed="false">
      <c r="A241" s="27" t="str">
        <f aca="false">IF(Requests!$A241="","",Requests!$A241)</f>
        <v/>
      </c>
      <c r="B241" s="27" t="str">
        <f aca="false">IF(OR(Requests!$A241="",Requests!$P241=""),"",TEXT(Requests!$P241,"yyyy-mm"))</f>
        <v/>
      </c>
      <c r="C241" s="27" t="str">
        <f aca="false">IF(Requests!$A241="","",Requests!$C241)</f>
        <v/>
      </c>
      <c r="D241" s="27" t="str">
        <f aca="false">IF(Requests!$A241="","",Requests!$K241)</f>
        <v/>
      </c>
      <c r="E241" s="27" t="str">
        <f aca="false">IF(Requests!$A241="","",Requests!$B241)</f>
        <v/>
      </c>
      <c r="F241" s="30" t="str">
        <f aca="false">IF(Requests!$A241="","",Requests!$AD241)</f>
        <v/>
      </c>
      <c r="G241" s="30" t="str">
        <f aca="false">IF(Requests!$A241="","",Requests!$AJ241)</f>
        <v/>
      </c>
      <c r="H241" s="30" t="str">
        <f aca="false">IF(OR(Requests!$A241="",Requests!$AJ241=""),"",Requests!$AD241-Requests!$AJ241)</f>
        <v/>
      </c>
      <c r="I241" s="30" t="str">
        <f aca="false">IF(Requests!$A241="","",Requests!$AM241)</f>
        <v/>
      </c>
      <c r="J241" s="28" t="str">
        <f aca="false">IF(OR(Requests!$A241="",Requests!$AS241=""),"",Requests!$AS241)</f>
        <v/>
      </c>
      <c r="K241" s="28" t="str">
        <f aca="false">IF(OR(Requests!$A241="",Requests!$AU241=""),"",Requests!$AU241)</f>
        <v/>
      </c>
      <c r="L241" s="27" t="str">
        <f aca="false">IF(Requests!$A241="","",IF(AND(Requests!$AJ241&lt;&gt;"",Requests!$AS241&lt;&gt;"",Requests!$AU241&lt;&gt;""),"Yes","Open"))</f>
        <v/>
      </c>
    </row>
    <row r="242" customFormat="false" ht="15" hidden="false" customHeight="false" outlineLevel="0" collapsed="false">
      <c r="A242" s="22" t="str">
        <f aca="false">IF(Requests!$A242="","",Requests!$A242)</f>
        <v/>
      </c>
      <c r="B242" s="22" t="str">
        <f aca="false">IF(OR(Requests!$A242="",Requests!$P242=""),"",TEXT(Requests!$P242,"yyyy-mm"))</f>
        <v/>
      </c>
      <c r="C242" s="22" t="str">
        <f aca="false">IF(Requests!$A242="","",Requests!$C242)</f>
        <v/>
      </c>
      <c r="D242" s="22" t="str">
        <f aca="false">IF(Requests!$A242="","",Requests!$K242)</f>
        <v/>
      </c>
      <c r="E242" s="22" t="str">
        <f aca="false">IF(Requests!$A242="","",Requests!$B242)</f>
        <v/>
      </c>
      <c r="F242" s="25" t="str">
        <f aca="false">IF(Requests!$A242="","",Requests!$AD242)</f>
        <v/>
      </c>
      <c r="G242" s="25" t="str">
        <f aca="false">IF(Requests!$A242="","",Requests!$AJ242)</f>
        <v/>
      </c>
      <c r="H242" s="25" t="str">
        <f aca="false">IF(OR(Requests!$A242="",Requests!$AJ242=""),"",Requests!$AD242-Requests!$AJ242)</f>
        <v/>
      </c>
      <c r="I242" s="25" t="str">
        <f aca="false">IF(Requests!$A242="","",Requests!$AM242)</f>
        <v/>
      </c>
      <c r="J242" s="23" t="str">
        <f aca="false">IF(OR(Requests!$A242="",Requests!$AS242=""),"",Requests!$AS242)</f>
        <v/>
      </c>
      <c r="K242" s="23" t="str">
        <f aca="false">IF(OR(Requests!$A242="",Requests!$AU242=""),"",Requests!$AU242)</f>
        <v/>
      </c>
      <c r="L242" s="22" t="str">
        <f aca="false">IF(Requests!$A242="","",IF(AND(Requests!$AJ242&lt;&gt;"",Requests!$AS242&lt;&gt;"",Requests!$AU242&lt;&gt;""),"Yes","Open"))</f>
        <v/>
      </c>
    </row>
    <row r="243" customFormat="false" ht="15" hidden="false" customHeight="false" outlineLevel="0" collapsed="false">
      <c r="A243" s="27" t="str">
        <f aca="false">IF(Requests!$A243="","",Requests!$A243)</f>
        <v/>
      </c>
      <c r="B243" s="27" t="str">
        <f aca="false">IF(OR(Requests!$A243="",Requests!$P243=""),"",TEXT(Requests!$P243,"yyyy-mm"))</f>
        <v/>
      </c>
      <c r="C243" s="27" t="str">
        <f aca="false">IF(Requests!$A243="","",Requests!$C243)</f>
        <v/>
      </c>
      <c r="D243" s="27" t="str">
        <f aca="false">IF(Requests!$A243="","",Requests!$K243)</f>
        <v/>
      </c>
      <c r="E243" s="27" t="str">
        <f aca="false">IF(Requests!$A243="","",Requests!$B243)</f>
        <v/>
      </c>
      <c r="F243" s="30" t="str">
        <f aca="false">IF(Requests!$A243="","",Requests!$AD243)</f>
        <v/>
      </c>
      <c r="G243" s="30" t="str">
        <f aca="false">IF(Requests!$A243="","",Requests!$AJ243)</f>
        <v/>
      </c>
      <c r="H243" s="30" t="str">
        <f aca="false">IF(OR(Requests!$A243="",Requests!$AJ243=""),"",Requests!$AD243-Requests!$AJ243)</f>
        <v/>
      </c>
      <c r="I243" s="30" t="str">
        <f aca="false">IF(Requests!$A243="","",Requests!$AM243)</f>
        <v/>
      </c>
      <c r="J243" s="28" t="str">
        <f aca="false">IF(OR(Requests!$A243="",Requests!$AS243=""),"",Requests!$AS243)</f>
        <v/>
      </c>
      <c r="K243" s="28" t="str">
        <f aca="false">IF(OR(Requests!$A243="",Requests!$AU243=""),"",Requests!$AU243)</f>
        <v/>
      </c>
      <c r="L243" s="27" t="str">
        <f aca="false">IF(Requests!$A243="","",IF(AND(Requests!$AJ243&lt;&gt;"",Requests!$AS243&lt;&gt;"",Requests!$AU243&lt;&gt;""),"Yes","Open"))</f>
        <v/>
      </c>
    </row>
    <row r="244" customFormat="false" ht="15" hidden="false" customHeight="false" outlineLevel="0" collapsed="false">
      <c r="A244" s="22" t="str">
        <f aca="false">IF(Requests!$A244="","",Requests!$A244)</f>
        <v/>
      </c>
      <c r="B244" s="22" t="str">
        <f aca="false">IF(OR(Requests!$A244="",Requests!$P244=""),"",TEXT(Requests!$P244,"yyyy-mm"))</f>
        <v/>
      </c>
      <c r="C244" s="22" t="str">
        <f aca="false">IF(Requests!$A244="","",Requests!$C244)</f>
        <v/>
      </c>
      <c r="D244" s="22" t="str">
        <f aca="false">IF(Requests!$A244="","",Requests!$K244)</f>
        <v/>
      </c>
      <c r="E244" s="22" t="str">
        <f aca="false">IF(Requests!$A244="","",Requests!$B244)</f>
        <v/>
      </c>
      <c r="F244" s="25" t="str">
        <f aca="false">IF(Requests!$A244="","",Requests!$AD244)</f>
        <v/>
      </c>
      <c r="G244" s="25" t="str">
        <f aca="false">IF(Requests!$A244="","",Requests!$AJ244)</f>
        <v/>
      </c>
      <c r="H244" s="25" t="str">
        <f aca="false">IF(OR(Requests!$A244="",Requests!$AJ244=""),"",Requests!$AD244-Requests!$AJ244)</f>
        <v/>
      </c>
      <c r="I244" s="25" t="str">
        <f aca="false">IF(Requests!$A244="","",Requests!$AM244)</f>
        <v/>
      </c>
      <c r="J244" s="23" t="str">
        <f aca="false">IF(OR(Requests!$A244="",Requests!$AS244=""),"",Requests!$AS244)</f>
        <v/>
      </c>
      <c r="K244" s="23" t="str">
        <f aca="false">IF(OR(Requests!$A244="",Requests!$AU244=""),"",Requests!$AU244)</f>
        <v/>
      </c>
      <c r="L244" s="22" t="str">
        <f aca="false">IF(Requests!$A244="","",IF(AND(Requests!$AJ244&lt;&gt;"",Requests!$AS244&lt;&gt;"",Requests!$AU244&lt;&gt;""),"Yes","Open"))</f>
        <v/>
      </c>
    </row>
    <row r="245" customFormat="false" ht="15" hidden="false" customHeight="false" outlineLevel="0" collapsed="false">
      <c r="A245" s="27" t="str">
        <f aca="false">IF(Requests!$A245="","",Requests!$A245)</f>
        <v/>
      </c>
      <c r="B245" s="27" t="str">
        <f aca="false">IF(OR(Requests!$A245="",Requests!$P245=""),"",TEXT(Requests!$P245,"yyyy-mm"))</f>
        <v/>
      </c>
      <c r="C245" s="27" t="str">
        <f aca="false">IF(Requests!$A245="","",Requests!$C245)</f>
        <v/>
      </c>
      <c r="D245" s="27" t="str">
        <f aca="false">IF(Requests!$A245="","",Requests!$K245)</f>
        <v/>
      </c>
      <c r="E245" s="27" t="str">
        <f aca="false">IF(Requests!$A245="","",Requests!$B245)</f>
        <v/>
      </c>
      <c r="F245" s="30" t="str">
        <f aca="false">IF(Requests!$A245="","",Requests!$AD245)</f>
        <v/>
      </c>
      <c r="G245" s="30" t="str">
        <f aca="false">IF(Requests!$A245="","",Requests!$AJ245)</f>
        <v/>
      </c>
      <c r="H245" s="30" t="str">
        <f aca="false">IF(OR(Requests!$A245="",Requests!$AJ245=""),"",Requests!$AD245-Requests!$AJ245)</f>
        <v/>
      </c>
      <c r="I245" s="30" t="str">
        <f aca="false">IF(Requests!$A245="","",Requests!$AM245)</f>
        <v/>
      </c>
      <c r="J245" s="28" t="str">
        <f aca="false">IF(OR(Requests!$A245="",Requests!$AS245=""),"",Requests!$AS245)</f>
        <v/>
      </c>
      <c r="K245" s="28" t="str">
        <f aca="false">IF(OR(Requests!$A245="",Requests!$AU245=""),"",Requests!$AU245)</f>
        <v/>
      </c>
      <c r="L245" s="27" t="str">
        <f aca="false">IF(Requests!$A245="","",IF(AND(Requests!$AJ245&lt;&gt;"",Requests!$AS245&lt;&gt;"",Requests!$AU245&lt;&gt;""),"Yes","Open"))</f>
        <v/>
      </c>
    </row>
    <row r="246" customFormat="false" ht="15" hidden="false" customHeight="false" outlineLevel="0" collapsed="false">
      <c r="A246" s="22" t="str">
        <f aca="false">IF(Requests!$A246="","",Requests!$A246)</f>
        <v/>
      </c>
      <c r="B246" s="22" t="str">
        <f aca="false">IF(OR(Requests!$A246="",Requests!$P246=""),"",TEXT(Requests!$P246,"yyyy-mm"))</f>
        <v/>
      </c>
      <c r="C246" s="22" t="str">
        <f aca="false">IF(Requests!$A246="","",Requests!$C246)</f>
        <v/>
      </c>
      <c r="D246" s="22" t="str">
        <f aca="false">IF(Requests!$A246="","",Requests!$K246)</f>
        <v/>
      </c>
      <c r="E246" s="22" t="str">
        <f aca="false">IF(Requests!$A246="","",Requests!$B246)</f>
        <v/>
      </c>
      <c r="F246" s="25" t="str">
        <f aca="false">IF(Requests!$A246="","",Requests!$AD246)</f>
        <v/>
      </c>
      <c r="G246" s="25" t="str">
        <f aca="false">IF(Requests!$A246="","",Requests!$AJ246)</f>
        <v/>
      </c>
      <c r="H246" s="25" t="str">
        <f aca="false">IF(OR(Requests!$A246="",Requests!$AJ246=""),"",Requests!$AD246-Requests!$AJ246)</f>
        <v/>
      </c>
      <c r="I246" s="25" t="str">
        <f aca="false">IF(Requests!$A246="","",Requests!$AM246)</f>
        <v/>
      </c>
      <c r="J246" s="23" t="str">
        <f aca="false">IF(OR(Requests!$A246="",Requests!$AS246=""),"",Requests!$AS246)</f>
        <v/>
      </c>
      <c r="K246" s="23" t="str">
        <f aca="false">IF(OR(Requests!$A246="",Requests!$AU246=""),"",Requests!$AU246)</f>
        <v/>
      </c>
      <c r="L246" s="22" t="str">
        <f aca="false">IF(Requests!$A246="","",IF(AND(Requests!$AJ246&lt;&gt;"",Requests!$AS246&lt;&gt;"",Requests!$AU246&lt;&gt;""),"Yes","Open"))</f>
        <v/>
      </c>
    </row>
    <row r="247" customFormat="false" ht="15" hidden="false" customHeight="false" outlineLevel="0" collapsed="false">
      <c r="A247" s="27" t="str">
        <f aca="false">IF(Requests!$A247="","",Requests!$A247)</f>
        <v/>
      </c>
      <c r="B247" s="27" t="str">
        <f aca="false">IF(OR(Requests!$A247="",Requests!$P247=""),"",TEXT(Requests!$P247,"yyyy-mm"))</f>
        <v/>
      </c>
      <c r="C247" s="27" t="str">
        <f aca="false">IF(Requests!$A247="","",Requests!$C247)</f>
        <v/>
      </c>
      <c r="D247" s="27" t="str">
        <f aca="false">IF(Requests!$A247="","",Requests!$K247)</f>
        <v/>
      </c>
      <c r="E247" s="27" t="str">
        <f aca="false">IF(Requests!$A247="","",Requests!$B247)</f>
        <v/>
      </c>
      <c r="F247" s="30" t="str">
        <f aca="false">IF(Requests!$A247="","",Requests!$AD247)</f>
        <v/>
      </c>
      <c r="G247" s="30" t="str">
        <f aca="false">IF(Requests!$A247="","",Requests!$AJ247)</f>
        <v/>
      </c>
      <c r="H247" s="30" t="str">
        <f aca="false">IF(OR(Requests!$A247="",Requests!$AJ247=""),"",Requests!$AD247-Requests!$AJ247)</f>
        <v/>
      </c>
      <c r="I247" s="30" t="str">
        <f aca="false">IF(Requests!$A247="","",Requests!$AM247)</f>
        <v/>
      </c>
      <c r="J247" s="28" t="str">
        <f aca="false">IF(OR(Requests!$A247="",Requests!$AS247=""),"",Requests!$AS247)</f>
        <v/>
      </c>
      <c r="K247" s="28" t="str">
        <f aca="false">IF(OR(Requests!$A247="",Requests!$AU247=""),"",Requests!$AU247)</f>
        <v/>
      </c>
      <c r="L247" s="27" t="str">
        <f aca="false">IF(Requests!$A247="","",IF(AND(Requests!$AJ247&lt;&gt;"",Requests!$AS247&lt;&gt;"",Requests!$AU247&lt;&gt;""),"Yes","Open"))</f>
        <v/>
      </c>
    </row>
    <row r="248" customFormat="false" ht="15" hidden="false" customHeight="false" outlineLevel="0" collapsed="false">
      <c r="A248" s="22" t="str">
        <f aca="false">IF(Requests!$A248="","",Requests!$A248)</f>
        <v/>
      </c>
      <c r="B248" s="22" t="str">
        <f aca="false">IF(OR(Requests!$A248="",Requests!$P248=""),"",TEXT(Requests!$P248,"yyyy-mm"))</f>
        <v/>
      </c>
      <c r="C248" s="22" t="str">
        <f aca="false">IF(Requests!$A248="","",Requests!$C248)</f>
        <v/>
      </c>
      <c r="D248" s="22" t="str">
        <f aca="false">IF(Requests!$A248="","",Requests!$K248)</f>
        <v/>
      </c>
      <c r="E248" s="22" t="str">
        <f aca="false">IF(Requests!$A248="","",Requests!$B248)</f>
        <v/>
      </c>
      <c r="F248" s="25" t="str">
        <f aca="false">IF(Requests!$A248="","",Requests!$AD248)</f>
        <v/>
      </c>
      <c r="G248" s="25" t="str">
        <f aca="false">IF(Requests!$A248="","",Requests!$AJ248)</f>
        <v/>
      </c>
      <c r="H248" s="25" t="str">
        <f aca="false">IF(OR(Requests!$A248="",Requests!$AJ248=""),"",Requests!$AD248-Requests!$AJ248)</f>
        <v/>
      </c>
      <c r="I248" s="25" t="str">
        <f aca="false">IF(Requests!$A248="","",Requests!$AM248)</f>
        <v/>
      </c>
      <c r="J248" s="23" t="str">
        <f aca="false">IF(OR(Requests!$A248="",Requests!$AS248=""),"",Requests!$AS248)</f>
        <v/>
      </c>
      <c r="K248" s="23" t="str">
        <f aca="false">IF(OR(Requests!$A248="",Requests!$AU248=""),"",Requests!$AU248)</f>
        <v/>
      </c>
      <c r="L248" s="22" t="str">
        <f aca="false">IF(Requests!$A248="","",IF(AND(Requests!$AJ248&lt;&gt;"",Requests!$AS248&lt;&gt;"",Requests!$AU248&lt;&gt;""),"Yes","Open"))</f>
        <v/>
      </c>
    </row>
    <row r="249" customFormat="false" ht="15" hidden="false" customHeight="false" outlineLevel="0" collapsed="false">
      <c r="A249" s="27" t="str">
        <f aca="false">IF(Requests!$A249="","",Requests!$A249)</f>
        <v/>
      </c>
      <c r="B249" s="27" t="str">
        <f aca="false">IF(OR(Requests!$A249="",Requests!$P249=""),"",TEXT(Requests!$P249,"yyyy-mm"))</f>
        <v/>
      </c>
      <c r="C249" s="27" t="str">
        <f aca="false">IF(Requests!$A249="","",Requests!$C249)</f>
        <v/>
      </c>
      <c r="D249" s="27" t="str">
        <f aca="false">IF(Requests!$A249="","",Requests!$K249)</f>
        <v/>
      </c>
      <c r="E249" s="27" t="str">
        <f aca="false">IF(Requests!$A249="","",Requests!$B249)</f>
        <v/>
      </c>
      <c r="F249" s="30" t="str">
        <f aca="false">IF(Requests!$A249="","",Requests!$AD249)</f>
        <v/>
      </c>
      <c r="G249" s="30" t="str">
        <f aca="false">IF(Requests!$A249="","",Requests!$AJ249)</f>
        <v/>
      </c>
      <c r="H249" s="30" t="str">
        <f aca="false">IF(OR(Requests!$A249="",Requests!$AJ249=""),"",Requests!$AD249-Requests!$AJ249)</f>
        <v/>
      </c>
      <c r="I249" s="30" t="str">
        <f aca="false">IF(Requests!$A249="","",Requests!$AM249)</f>
        <v/>
      </c>
      <c r="J249" s="28" t="str">
        <f aca="false">IF(OR(Requests!$A249="",Requests!$AS249=""),"",Requests!$AS249)</f>
        <v/>
      </c>
      <c r="K249" s="28" t="str">
        <f aca="false">IF(OR(Requests!$A249="",Requests!$AU249=""),"",Requests!$AU249)</f>
        <v/>
      </c>
      <c r="L249" s="27" t="str">
        <f aca="false">IF(Requests!$A249="","",IF(AND(Requests!$AJ249&lt;&gt;"",Requests!$AS249&lt;&gt;"",Requests!$AU249&lt;&gt;""),"Yes","Open"))</f>
        <v/>
      </c>
    </row>
    <row r="250" customFormat="false" ht="15" hidden="false" customHeight="false" outlineLevel="0" collapsed="false">
      <c r="A250" s="22" t="str">
        <f aca="false">IF(Requests!$A250="","",Requests!$A250)</f>
        <v/>
      </c>
      <c r="B250" s="22" t="str">
        <f aca="false">IF(OR(Requests!$A250="",Requests!$P250=""),"",TEXT(Requests!$P250,"yyyy-mm"))</f>
        <v/>
      </c>
      <c r="C250" s="22" t="str">
        <f aca="false">IF(Requests!$A250="","",Requests!$C250)</f>
        <v/>
      </c>
      <c r="D250" s="22" t="str">
        <f aca="false">IF(Requests!$A250="","",Requests!$K250)</f>
        <v/>
      </c>
      <c r="E250" s="22" t="str">
        <f aca="false">IF(Requests!$A250="","",Requests!$B250)</f>
        <v/>
      </c>
      <c r="F250" s="25" t="str">
        <f aca="false">IF(Requests!$A250="","",Requests!$AD250)</f>
        <v/>
      </c>
      <c r="G250" s="25" t="str">
        <f aca="false">IF(Requests!$A250="","",Requests!$AJ250)</f>
        <v/>
      </c>
      <c r="H250" s="25" t="str">
        <f aca="false">IF(OR(Requests!$A250="",Requests!$AJ250=""),"",Requests!$AD250-Requests!$AJ250)</f>
        <v/>
      </c>
      <c r="I250" s="25" t="str">
        <f aca="false">IF(Requests!$A250="","",Requests!$AM250)</f>
        <v/>
      </c>
      <c r="J250" s="23" t="str">
        <f aca="false">IF(OR(Requests!$A250="",Requests!$AS250=""),"",Requests!$AS250)</f>
        <v/>
      </c>
      <c r="K250" s="23" t="str">
        <f aca="false">IF(OR(Requests!$A250="",Requests!$AU250=""),"",Requests!$AU250)</f>
        <v/>
      </c>
      <c r="L250" s="22" t="str">
        <f aca="false">IF(Requests!$A250="","",IF(AND(Requests!$AJ250&lt;&gt;"",Requests!$AS250&lt;&gt;"",Requests!$AU250&lt;&gt;""),"Yes","Open"))</f>
        <v/>
      </c>
    </row>
    <row r="251" customFormat="false" ht="15" hidden="false" customHeight="false" outlineLevel="0" collapsed="false">
      <c r="A251" s="27" t="str">
        <f aca="false">IF(Requests!$A251="","",Requests!$A251)</f>
        <v/>
      </c>
      <c r="B251" s="27" t="str">
        <f aca="false">IF(OR(Requests!$A251="",Requests!$P251=""),"",TEXT(Requests!$P251,"yyyy-mm"))</f>
        <v/>
      </c>
      <c r="C251" s="27" t="str">
        <f aca="false">IF(Requests!$A251="","",Requests!$C251)</f>
        <v/>
      </c>
      <c r="D251" s="27" t="str">
        <f aca="false">IF(Requests!$A251="","",Requests!$K251)</f>
        <v/>
      </c>
      <c r="E251" s="27" t="str">
        <f aca="false">IF(Requests!$A251="","",Requests!$B251)</f>
        <v/>
      </c>
      <c r="F251" s="30" t="str">
        <f aca="false">IF(Requests!$A251="","",Requests!$AD251)</f>
        <v/>
      </c>
      <c r="G251" s="30" t="str">
        <f aca="false">IF(Requests!$A251="","",Requests!$AJ251)</f>
        <v/>
      </c>
      <c r="H251" s="30" t="str">
        <f aca="false">IF(OR(Requests!$A251="",Requests!$AJ251=""),"",Requests!$AD251-Requests!$AJ251)</f>
        <v/>
      </c>
      <c r="I251" s="30" t="str">
        <f aca="false">IF(Requests!$A251="","",Requests!$AM251)</f>
        <v/>
      </c>
      <c r="J251" s="28" t="str">
        <f aca="false">IF(OR(Requests!$A251="",Requests!$AS251=""),"",Requests!$AS251)</f>
        <v/>
      </c>
      <c r="K251" s="28" t="str">
        <f aca="false">IF(OR(Requests!$A251="",Requests!$AU251=""),"",Requests!$AU251)</f>
        <v/>
      </c>
      <c r="L251" s="27" t="str">
        <f aca="false">IF(Requests!$A251="","",IF(AND(Requests!$AJ251&lt;&gt;"",Requests!$AS251&lt;&gt;"",Requests!$AU251&lt;&gt;""),"Yes","Open"))</f>
        <v/>
      </c>
    </row>
    <row r="253" customFormat="false" ht="15" hidden="false" customHeight="false" outlineLevel="0" collapsed="false">
      <c r="D253" s="49" t="s">
        <v>197</v>
      </c>
      <c r="F253" s="50" t="n">
        <f aca="false">SUM(F2:F251)</f>
        <v>3490</v>
      </c>
      <c r="G253" s="50" t="n">
        <f aca="false">SUM(G2:G251)</f>
        <v>889.07</v>
      </c>
      <c r="H253" s="50" t="n">
        <f aca="false">SUM(H2:H251)</f>
        <v>-0.0699999999999363</v>
      </c>
      <c r="I253" s="50" t="n">
        <f aca="false">SUM(I2:I251)</f>
        <v>0</v>
      </c>
    </row>
  </sheetData>
  <autoFilter ref="A1:L25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true" outlineLevel="0" max="1" min="1" style="0" width="11"/>
    <col collapsed="false" customWidth="true" hidden="false" outlineLevel="0" max="3" min="2" style="0" width="12"/>
    <col collapsed="false" customWidth="true" hidden="false" outlineLevel="0" max="6" min="4" style="0" width="14"/>
    <col collapsed="false" customWidth="true" hidden="false" outlineLevel="0" max="7" min="7" style="0" width="3"/>
  </cols>
  <sheetData>
    <row r="1" customFormat="false" ht="25.5" hidden="false" customHeight="true" outlineLevel="0" collapsed="false">
      <c r="A1" s="1" t="s">
        <v>198</v>
      </c>
      <c r="B1" s="1"/>
      <c r="C1" s="1"/>
      <c r="D1" s="1"/>
      <c r="E1" s="1"/>
      <c r="F1" s="1"/>
      <c r="G1" s="1"/>
    </row>
    <row r="2" customFormat="false" ht="13.5" hidden="false" customHeight="true" outlineLevel="0" collapsed="false">
      <c r="A2" s="2" t="str">
        <f aca="true">"Fiscal year "&amp;FY_Label&amp;" (from "&amp;TEXT(FY_Start,"mm/dd/yyyy")&amp;") — updates itself from the Requests sheet. Printed: "&amp;TEXT(TODAY(),"mm/dd/yyyy")</f>
        <v>Fiscal year FY26 (from 10/01/2025) — updates itself from the Requests sheet. Printed: 08/09/2026</v>
      </c>
      <c r="B2" s="2"/>
      <c r="C2" s="2"/>
      <c r="D2" s="2"/>
      <c r="E2" s="2"/>
      <c r="F2" s="2"/>
      <c r="G2" s="2"/>
    </row>
    <row r="3" customFormat="false" ht="3" hidden="false" customHeight="true" outlineLevel="0" collapsed="false">
      <c r="A3" s="3"/>
      <c r="B3" s="3"/>
      <c r="C3" s="3"/>
      <c r="D3" s="3"/>
      <c r="E3" s="3"/>
      <c r="F3" s="3"/>
      <c r="G3" s="3"/>
    </row>
    <row r="4" customFormat="false" ht="15" hidden="false" customHeight="false" outlineLevel="0" collapsed="false">
      <c r="A4" s="4"/>
      <c r="B4" s="4"/>
      <c r="C4" s="4"/>
      <c r="D4" s="4"/>
      <c r="E4" s="4"/>
      <c r="F4" s="4"/>
      <c r="G4" s="4"/>
    </row>
    <row r="5" customFormat="false" ht="15.75" hidden="false" customHeight="true" outlineLevel="0" collapsed="false">
      <c r="A5" s="18" t="s">
        <v>199</v>
      </c>
      <c r="B5" s="18"/>
      <c r="C5" s="18"/>
      <c r="D5" s="18"/>
      <c r="E5" s="18"/>
      <c r="F5" s="18"/>
      <c r="G5" s="4"/>
    </row>
    <row r="6" customFormat="false" ht="15" hidden="false" customHeight="false" outlineLevel="0" collapsed="false">
      <c r="A6" s="51" t="s">
        <v>200</v>
      </c>
      <c r="B6" s="51"/>
      <c r="C6" s="51"/>
      <c r="D6" s="52" t="n">
        <f aca="false">Budget_Total</f>
        <v>75000</v>
      </c>
      <c r="E6" s="4"/>
      <c r="F6" s="4"/>
      <c r="G6" s="4"/>
    </row>
    <row r="7" customFormat="false" ht="15" hidden="false" customHeight="false" outlineLevel="0" collapsed="false">
      <c r="A7" s="51" t="s">
        <v>201</v>
      </c>
      <c r="B7" s="51"/>
      <c r="C7" s="51"/>
      <c r="D7" s="52" t="n">
        <f aca="false">SUM(Requests!$AY$2:$AY$251)</f>
        <v>889.07</v>
      </c>
      <c r="E7" s="4"/>
      <c r="F7" s="4"/>
      <c r="G7" s="4"/>
    </row>
    <row r="8" customFormat="false" ht="15" hidden="false" customHeight="false" outlineLevel="0" collapsed="false">
      <c r="A8" s="51" t="s">
        <v>202</v>
      </c>
      <c r="B8" s="51"/>
      <c r="C8" s="51"/>
      <c r="D8" s="52" t="n">
        <f aca="false">SUM(Requests!$AZ$2:$AZ$251)</f>
        <v>2601</v>
      </c>
      <c r="E8" s="4"/>
      <c r="F8" s="4"/>
      <c r="G8" s="4"/>
    </row>
    <row r="9" customFormat="false" ht="15" hidden="false" customHeight="false" outlineLevel="0" collapsed="false">
      <c r="A9" s="53" t="s">
        <v>8</v>
      </c>
      <c r="B9" s="53"/>
      <c r="C9" s="53"/>
      <c r="D9" s="50" t="n">
        <f aca="false">Budget_Total-SUM(Requests!$AY$2:$AY$251)-SUM(Requests!$AZ$2:$AZ$251)</f>
        <v>71509.93</v>
      </c>
      <c r="E9" s="4"/>
      <c r="F9" s="4"/>
      <c r="G9" s="4"/>
    </row>
    <row r="10" customFormat="false" ht="15" hidden="false" customHeight="false" outlineLevel="0" collapsed="false">
      <c r="A10" s="4"/>
      <c r="B10" s="4"/>
      <c r="C10" s="4"/>
      <c r="D10" s="4"/>
      <c r="E10" s="4"/>
      <c r="F10" s="4"/>
      <c r="G10" s="4"/>
    </row>
    <row r="11" customFormat="false" ht="15.75" hidden="false" customHeight="true" outlineLevel="0" collapsed="false">
      <c r="A11" s="18" t="s">
        <v>203</v>
      </c>
      <c r="B11" s="18"/>
      <c r="C11" s="18"/>
      <c r="D11" s="18"/>
      <c r="E11" s="18"/>
      <c r="F11" s="18"/>
      <c r="G11" s="4"/>
    </row>
    <row r="12" customFormat="false" ht="15" hidden="false" customHeight="false" outlineLevel="0" collapsed="false">
      <c r="A12" s="4"/>
      <c r="B12" s="41" t="s">
        <v>194</v>
      </c>
      <c r="C12" s="41" t="s">
        <v>204</v>
      </c>
      <c r="D12" s="41" t="s">
        <v>165</v>
      </c>
      <c r="E12" s="41" t="s">
        <v>176</v>
      </c>
      <c r="F12" s="4"/>
      <c r="G12" s="4"/>
    </row>
    <row r="13" customFormat="false" ht="15" hidden="false" customHeight="false" outlineLevel="0" collapsed="false">
      <c r="A13" s="54" t="n">
        <f aca="false">FY_Start</f>
        <v>45931</v>
      </c>
      <c r="B13" s="42" t="str">
        <f aca="false">TEXT($A13,"mmm yyyy")</f>
        <v>Oct 2025</v>
      </c>
      <c r="C13" s="55" t="n">
        <f aca="false">SUMPRODUCT((Requests!$P$2:$P$251&gt;=$A13)*(Requests!$P$2:$P$251&lt;EDATE($A13,1))*(Requests!$A$2:$A$251&lt;&gt;""))</f>
        <v>0</v>
      </c>
      <c r="D13" s="44" t="n">
        <f aca="false">SUMIFS(Requests!$AX$2:$AX$251,Requests!$P$2:$P$251,"&gt;="&amp;$A13,Requests!$P$2:$P$251,"&lt;"&amp;EDATE($A13,1))</f>
        <v>0</v>
      </c>
      <c r="E13" s="44" t="n">
        <f aca="false">SUMIFS(Requests!$AY$2:$AY$251,Requests!$P$2:$P$251,"&gt;="&amp;$A13,Requests!$P$2:$P$251,"&lt;"&amp;EDATE($A13,1))</f>
        <v>0</v>
      </c>
      <c r="F13" s="4"/>
      <c r="G13" s="4"/>
    </row>
    <row r="14" customFormat="false" ht="15" hidden="false" customHeight="false" outlineLevel="0" collapsed="false">
      <c r="A14" s="54" t="n">
        <f aca="false">EDATE($A13,1)</f>
        <v>45962</v>
      </c>
      <c r="B14" s="42" t="str">
        <f aca="false">TEXT($A14,"mmm yyyy")</f>
        <v>Nov 2025</v>
      </c>
      <c r="C14" s="55" t="n">
        <f aca="false">SUMPRODUCT((Requests!$P$2:$P$251&gt;=$A14)*(Requests!$P$2:$P$251&lt;EDATE($A14,1))*(Requests!$A$2:$A$251&lt;&gt;""))</f>
        <v>0</v>
      </c>
      <c r="D14" s="44" t="n">
        <f aca="false">SUMIFS(Requests!$AX$2:$AX$251,Requests!$P$2:$P$251,"&gt;="&amp;$A14,Requests!$P$2:$P$251,"&lt;"&amp;EDATE($A14,1))</f>
        <v>0</v>
      </c>
      <c r="E14" s="44" t="n">
        <f aca="false">SUMIFS(Requests!$AY$2:$AY$251,Requests!$P$2:$P$251,"&gt;="&amp;$A14,Requests!$P$2:$P$251,"&lt;"&amp;EDATE($A14,1))</f>
        <v>0</v>
      </c>
      <c r="F14" s="4"/>
      <c r="G14" s="4"/>
    </row>
    <row r="15" customFormat="false" ht="15" hidden="false" customHeight="false" outlineLevel="0" collapsed="false">
      <c r="A15" s="54" t="n">
        <f aca="false">EDATE($A14,1)</f>
        <v>45992</v>
      </c>
      <c r="B15" s="42" t="str">
        <f aca="false">TEXT($A15,"mmm yyyy")</f>
        <v>Dec 2025</v>
      </c>
      <c r="C15" s="55" t="n">
        <f aca="false">SUMPRODUCT((Requests!$P$2:$P$251&gt;=$A15)*(Requests!$P$2:$P$251&lt;EDATE($A15,1))*(Requests!$A$2:$A$251&lt;&gt;""))</f>
        <v>0</v>
      </c>
      <c r="D15" s="44" t="n">
        <f aca="false">SUMIFS(Requests!$AX$2:$AX$251,Requests!$P$2:$P$251,"&gt;="&amp;$A15,Requests!$P$2:$P$251,"&lt;"&amp;EDATE($A15,1))</f>
        <v>0</v>
      </c>
      <c r="E15" s="44" t="n">
        <f aca="false">SUMIFS(Requests!$AY$2:$AY$251,Requests!$P$2:$P$251,"&gt;="&amp;$A15,Requests!$P$2:$P$251,"&lt;"&amp;EDATE($A15,1))</f>
        <v>0</v>
      </c>
      <c r="F15" s="4"/>
      <c r="G15" s="4"/>
    </row>
    <row r="16" customFormat="false" ht="15" hidden="false" customHeight="false" outlineLevel="0" collapsed="false">
      <c r="A16" s="54" t="n">
        <f aca="false">EDATE($A15,1)</f>
        <v>46023</v>
      </c>
      <c r="B16" s="42" t="str">
        <f aca="false">TEXT($A16,"mmm yyyy")</f>
        <v>Jan 2026</v>
      </c>
      <c r="C16" s="55" t="n">
        <f aca="false">SUMPRODUCT((Requests!$P$2:$P$251&gt;=$A16)*(Requests!$P$2:$P$251&lt;EDATE($A16,1))*(Requests!$A$2:$A$251&lt;&gt;""))</f>
        <v>0</v>
      </c>
      <c r="D16" s="44" t="n">
        <f aca="false">SUMIFS(Requests!$AX$2:$AX$251,Requests!$P$2:$P$251,"&gt;="&amp;$A16,Requests!$P$2:$P$251,"&lt;"&amp;EDATE($A16,1))</f>
        <v>0</v>
      </c>
      <c r="E16" s="44" t="n">
        <f aca="false">SUMIFS(Requests!$AY$2:$AY$251,Requests!$P$2:$P$251,"&gt;="&amp;$A16,Requests!$P$2:$P$251,"&lt;"&amp;EDATE($A16,1))</f>
        <v>0</v>
      </c>
      <c r="F16" s="4"/>
      <c r="G16" s="4"/>
    </row>
    <row r="17" customFormat="false" ht="15" hidden="false" customHeight="false" outlineLevel="0" collapsed="false">
      <c r="A17" s="54" t="n">
        <f aca="false">EDATE($A16,1)</f>
        <v>46054</v>
      </c>
      <c r="B17" s="42" t="str">
        <f aca="false">TEXT($A17,"mmm yyyy")</f>
        <v>Feb 2026</v>
      </c>
      <c r="C17" s="55" t="n">
        <f aca="false">SUMPRODUCT((Requests!$P$2:$P$251&gt;=$A17)*(Requests!$P$2:$P$251&lt;EDATE($A17,1))*(Requests!$A$2:$A$251&lt;&gt;""))</f>
        <v>0</v>
      </c>
      <c r="D17" s="44" t="n">
        <f aca="false">SUMIFS(Requests!$AX$2:$AX$251,Requests!$P$2:$P$251,"&gt;="&amp;$A17,Requests!$P$2:$P$251,"&lt;"&amp;EDATE($A17,1))</f>
        <v>0</v>
      </c>
      <c r="E17" s="44" t="n">
        <f aca="false">SUMIFS(Requests!$AY$2:$AY$251,Requests!$P$2:$P$251,"&gt;="&amp;$A17,Requests!$P$2:$P$251,"&lt;"&amp;EDATE($A17,1))</f>
        <v>0</v>
      </c>
      <c r="F17" s="4"/>
      <c r="G17" s="4"/>
    </row>
    <row r="18" customFormat="false" ht="15" hidden="false" customHeight="false" outlineLevel="0" collapsed="false">
      <c r="A18" s="54" t="n">
        <f aca="false">EDATE($A17,1)</f>
        <v>46082</v>
      </c>
      <c r="B18" s="42" t="str">
        <f aca="false">TEXT($A18,"mmm yyyy")</f>
        <v>Mar 2026</v>
      </c>
      <c r="C18" s="55" t="n">
        <f aca="false">SUMPRODUCT((Requests!$P$2:$P$251&gt;=$A18)*(Requests!$P$2:$P$251&lt;EDATE($A18,1))*(Requests!$A$2:$A$251&lt;&gt;""))</f>
        <v>1</v>
      </c>
      <c r="D18" s="44" t="n">
        <f aca="false">SUMIFS(Requests!$AX$2:$AX$251,Requests!$P$2:$P$251,"&gt;="&amp;$A18,Requests!$P$2:$P$251,"&lt;"&amp;EDATE($A18,1))</f>
        <v>889</v>
      </c>
      <c r="E18" s="44" t="n">
        <f aca="false">SUMIFS(Requests!$AY$2:$AY$251,Requests!$P$2:$P$251,"&gt;="&amp;$A18,Requests!$P$2:$P$251,"&lt;"&amp;EDATE($A18,1))</f>
        <v>889.07</v>
      </c>
      <c r="F18" s="4"/>
      <c r="G18" s="4"/>
    </row>
    <row r="19" customFormat="false" ht="15" hidden="false" customHeight="false" outlineLevel="0" collapsed="false">
      <c r="A19" s="54" t="n">
        <f aca="false">EDATE($A18,1)</f>
        <v>46113</v>
      </c>
      <c r="B19" s="42" t="str">
        <f aca="false">TEXT($A19,"mmm yyyy")</f>
        <v>Apr 2026</v>
      </c>
      <c r="C19" s="55" t="n">
        <f aca="false">SUMPRODUCT((Requests!$P$2:$P$251&gt;=$A19)*(Requests!$P$2:$P$251&lt;EDATE($A19,1))*(Requests!$A$2:$A$251&lt;&gt;""))</f>
        <v>0</v>
      </c>
      <c r="D19" s="44" t="n">
        <f aca="false">SUMIFS(Requests!$AX$2:$AX$251,Requests!$P$2:$P$251,"&gt;="&amp;$A19,Requests!$P$2:$P$251,"&lt;"&amp;EDATE($A19,1))</f>
        <v>0</v>
      </c>
      <c r="E19" s="44" t="n">
        <f aca="false">SUMIFS(Requests!$AY$2:$AY$251,Requests!$P$2:$P$251,"&gt;="&amp;$A19,Requests!$P$2:$P$251,"&lt;"&amp;EDATE($A19,1))</f>
        <v>0</v>
      </c>
      <c r="F19" s="4"/>
      <c r="G19" s="4"/>
    </row>
    <row r="20" customFormat="false" ht="15" hidden="false" customHeight="false" outlineLevel="0" collapsed="false">
      <c r="A20" s="54" t="n">
        <f aca="false">EDATE($A19,1)</f>
        <v>46143</v>
      </c>
      <c r="B20" s="42" t="str">
        <f aca="false">TEXT($A20,"mmm yyyy")</f>
        <v>May 2026</v>
      </c>
      <c r="C20" s="55" t="n">
        <f aca="false">SUMPRODUCT((Requests!$P$2:$P$251&gt;=$A20)*(Requests!$P$2:$P$251&lt;EDATE($A20,1))*(Requests!$A$2:$A$251&lt;&gt;""))</f>
        <v>0</v>
      </c>
      <c r="D20" s="44" t="n">
        <f aca="false">SUMIFS(Requests!$AX$2:$AX$251,Requests!$P$2:$P$251,"&gt;="&amp;$A20,Requests!$P$2:$P$251,"&lt;"&amp;EDATE($A20,1))</f>
        <v>0</v>
      </c>
      <c r="E20" s="44" t="n">
        <f aca="false">SUMIFS(Requests!$AY$2:$AY$251,Requests!$P$2:$P$251,"&gt;="&amp;$A20,Requests!$P$2:$P$251,"&lt;"&amp;EDATE($A20,1))</f>
        <v>0</v>
      </c>
      <c r="F20" s="4"/>
      <c r="G20" s="4"/>
    </row>
    <row r="21" customFormat="false" ht="15" hidden="false" customHeight="false" outlineLevel="0" collapsed="false">
      <c r="A21" s="54" t="n">
        <f aca="false">EDATE($A20,1)</f>
        <v>46174</v>
      </c>
      <c r="B21" s="42" t="str">
        <f aca="false">TEXT($A21,"mmm yyyy")</f>
        <v>Jun 2026</v>
      </c>
      <c r="C21" s="55" t="n">
        <f aca="false">SUMPRODUCT((Requests!$P$2:$P$251&gt;=$A21)*(Requests!$P$2:$P$251&lt;EDATE($A21,1))*(Requests!$A$2:$A$251&lt;&gt;""))</f>
        <v>0</v>
      </c>
      <c r="D21" s="44" t="n">
        <f aca="false">SUMIFS(Requests!$AX$2:$AX$251,Requests!$P$2:$P$251,"&gt;="&amp;$A21,Requests!$P$2:$P$251,"&lt;"&amp;EDATE($A21,1))</f>
        <v>0</v>
      </c>
      <c r="E21" s="44" t="n">
        <f aca="false">SUMIFS(Requests!$AY$2:$AY$251,Requests!$P$2:$P$251,"&gt;="&amp;$A21,Requests!$P$2:$P$251,"&lt;"&amp;EDATE($A21,1))</f>
        <v>0</v>
      </c>
      <c r="F21" s="4"/>
      <c r="G21" s="4"/>
    </row>
    <row r="22" customFormat="false" ht="15" hidden="false" customHeight="false" outlineLevel="0" collapsed="false">
      <c r="A22" s="54" t="n">
        <f aca="false">EDATE($A21,1)</f>
        <v>46204</v>
      </c>
      <c r="B22" s="42" t="str">
        <f aca="false">TEXT($A22,"mmm yyyy")</f>
        <v>Jul 2026</v>
      </c>
      <c r="C22" s="55" t="n">
        <f aca="false">SUMPRODUCT((Requests!$P$2:$P$251&gt;=$A22)*(Requests!$P$2:$P$251&lt;EDATE($A22,1))*(Requests!$A$2:$A$251&lt;&gt;""))</f>
        <v>1</v>
      </c>
      <c r="D22" s="44" t="n">
        <f aca="false">SUMIFS(Requests!$AX$2:$AX$251,Requests!$P$2:$P$251,"&gt;="&amp;$A22,Requests!$P$2:$P$251,"&lt;"&amp;EDATE($A22,1))</f>
        <v>802</v>
      </c>
      <c r="E22" s="44" t="n">
        <f aca="false">SUMIFS(Requests!$AY$2:$AY$251,Requests!$P$2:$P$251,"&gt;="&amp;$A22,Requests!$P$2:$P$251,"&lt;"&amp;EDATE($A22,1))</f>
        <v>0</v>
      </c>
      <c r="F22" s="4"/>
      <c r="G22" s="4"/>
    </row>
    <row r="23" customFormat="false" ht="15" hidden="false" customHeight="false" outlineLevel="0" collapsed="false">
      <c r="A23" s="54" t="n">
        <f aca="false">EDATE($A22,1)</f>
        <v>46235</v>
      </c>
      <c r="B23" s="42" t="str">
        <f aca="false">TEXT($A23,"mmm yyyy")</f>
        <v>Aug 2026</v>
      </c>
      <c r="C23" s="55" t="n">
        <f aca="false">SUMPRODUCT((Requests!$P$2:$P$251&gt;=$A23)*(Requests!$P$2:$P$251&lt;EDATE($A23,1))*(Requests!$A$2:$A$251&lt;&gt;""))</f>
        <v>1</v>
      </c>
      <c r="D23" s="44" t="n">
        <f aca="false">SUMIFS(Requests!$AX$2:$AX$251,Requests!$P$2:$P$251,"&gt;="&amp;$A23,Requests!$P$2:$P$251,"&lt;"&amp;EDATE($A23,1))</f>
        <v>1430</v>
      </c>
      <c r="E23" s="44" t="n">
        <f aca="false">SUMIFS(Requests!$AY$2:$AY$251,Requests!$P$2:$P$251,"&gt;="&amp;$A23,Requests!$P$2:$P$251,"&lt;"&amp;EDATE($A23,1))</f>
        <v>0</v>
      </c>
      <c r="F23" s="4"/>
      <c r="G23" s="4"/>
    </row>
    <row r="24" customFormat="false" ht="15" hidden="false" customHeight="false" outlineLevel="0" collapsed="false">
      <c r="A24" s="54" t="n">
        <f aca="false">EDATE($A23,1)</f>
        <v>46266</v>
      </c>
      <c r="B24" s="42" t="str">
        <f aca="false">TEXT($A24,"mmm yyyy")</f>
        <v>Sep 2026</v>
      </c>
      <c r="C24" s="55" t="n">
        <f aca="false">SUMPRODUCT((Requests!$P$2:$P$251&gt;=$A24)*(Requests!$P$2:$P$251&lt;EDATE($A24,1))*(Requests!$A$2:$A$251&lt;&gt;""))</f>
        <v>1</v>
      </c>
      <c r="D24" s="44" t="n">
        <f aca="false">SUMIFS(Requests!$AX$2:$AX$251,Requests!$P$2:$P$251,"&gt;="&amp;$A24,Requests!$P$2:$P$251,"&lt;"&amp;EDATE($A24,1))</f>
        <v>369</v>
      </c>
      <c r="E24" s="44" t="n">
        <f aca="false">SUMIFS(Requests!$AY$2:$AY$251,Requests!$P$2:$P$251,"&gt;="&amp;$A24,Requests!$P$2:$P$251,"&lt;"&amp;EDATE($A24,1))</f>
        <v>0</v>
      </c>
      <c r="F24" s="4"/>
      <c r="G24" s="4"/>
    </row>
    <row r="25" customFormat="false" ht="15" hidden="false" customHeight="false" outlineLevel="0" collapsed="false">
      <c r="A25" s="4"/>
      <c r="B25" s="45" t="s">
        <v>169</v>
      </c>
      <c r="C25" s="56" t="n">
        <f aca="false">SUM(C13:C24)</f>
        <v>4</v>
      </c>
      <c r="D25" s="46" t="n">
        <f aca="false">SUM(D13:D24)</f>
        <v>3490</v>
      </c>
      <c r="E25" s="46" t="n">
        <f aca="false">SUM(E13:E24)</f>
        <v>889.07</v>
      </c>
      <c r="F25" s="4"/>
      <c r="G25" s="4"/>
    </row>
    <row r="26" customFormat="false" ht="15" hidden="false" customHeight="false" outlineLevel="0" collapsed="false">
      <c r="A26" s="4"/>
      <c r="B26" s="4"/>
      <c r="C26" s="4"/>
      <c r="D26" s="4"/>
      <c r="E26" s="4"/>
      <c r="F26" s="4"/>
      <c r="G26" s="4"/>
    </row>
    <row r="27" customFormat="false" ht="15.75" hidden="false" customHeight="true" outlineLevel="0" collapsed="false">
      <c r="A27" s="18" t="s">
        <v>205</v>
      </c>
      <c r="B27" s="18"/>
      <c r="C27" s="18"/>
      <c r="D27" s="18"/>
      <c r="E27" s="18"/>
      <c r="F27" s="18"/>
      <c r="G27" s="4"/>
    </row>
    <row r="28" customFormat="false" ht="15" hidden="false" customHeight="false" outlineLevel="0" collapsed="false">
      <c r="A28" s="4"/>
      <c r="B28" s="41" t="s">
        <v>163</v>
      </c>
      <c r="C28" s="41" t="s">
        <v>165</v>
      </c>
      <c r="D28" s="41" t="s">
        <v>176</v>
      </c>
      <c r="E28" s="4"/>
      <c r="F28" s="4"/>
      <c r="G28" s="4"/>
    </row>
    <row r="29" customFormat="false" ht="15" hidden="false" customHeight="false" outlineLevel="0" collapsed="false">
      <c r="A29" s="4"/>
      <c r="B29" s="42" t="s">
        <v>143</v>
      </c>
      <c r="C29" s="44" t="n">
        <f aca="false">SUM(Requests!$T$2:$T$251)</f>
        <v>1225</v>
      </c>
      <c r="D29" s="44" t="n">
        <f aca="false">SUM(Requests!$AE$2:$AE$251)</f>
        <v>350</v>
      </c>
      <c r="E29" s="4"/>
      <c r="F29" s="4"/>
      <c r="G29" s="4"/>
    </row>
    <row r="30" customFormat="false" ht="15" hidden="false" customHeight="false" outlineLevel="0" collapsed="false">
      <c r="A30" s="4"/>
      <c r="B30" s="42" t="s">
        <v>144</v>
      </c>
      <c r="C30" s="44" t="n">
        <f aca="false">SUM(Requests!$W$2:$W$251)</f>
        <v>1359</v>
      </c>
      <c r="D30" s="44" t="n">
        <f aca="false">SUM(Requests!$AF$2:$AF$251)</f>
        <v>371.07</v>
      </c>
      <c r="E30" s="4"/>
      <c r="F30" s="4"/>
      <c r="G30" s="4"/>
    </row>
    <row r="31" customFormat="false" ht="15" hidden="false" customHeight="false" outlineLevel="0" collapsed="false">
      <c r="A31" s="4"/>
      <c r="B31" s="42" t="s">
        <v>145</v>
      </c>
      <c r="C31" s="44" t="n">
        <f aca="false">SUM(Requests!$AA$2:$AA$251)</f>
        <v>133</v>
      </c>
      <c r="D31" s="44" t="n">
        <f aca="false">SUM(Requests!$AG$2:$AG$251)</f>
        <v>0</v>
      </c>
      <c r="E31" s="4"/>
      <c r="F31" s="4"/>
      <c r="G31" s="4"/>
    </row>
    <row r="32" customFormat="false" ht="15" hidden="false" customHeight="false" outlineLevel="0" collapsed="false">
      <c r="A32" s="4"/>
      <c r="B32" s="42" t="s">
        <v>206</v>
      </c>
      <c r="C32" s="44" t="n">
        <f aca="false">SUM(Requests!$AB$2:$AB$251)</f>
        <v>738</v>
      </c>
      <c r="D32" s="44" t="n">
        <f aca="false">SUM(Requests!$AH$2:$AH$251)</f>
        <v>168</v>
      </c>
      <c r="E32" s="4"/>
      <c r="F32" s="4"/>
      <c r="G32" s="4"/>
    </row>
    <row r="33" customFormat="false" ht="15" hidden="false" customHeight="false" outlineLevel="0" collapsed="false">
      <c r="A33" s="4"/>
      <c r="B33" s="42" t="s">
        <v>147</v>
      </c>
      <c r="C33" s="44" t="n">
        <f aca="false">SUM(Requests!$AC$2:$AC$251)</f>
        <v>35</v>
      </c>
      <c r="D33" s="44" t="n">
        <f aca="false">SUM(Requests!$AI$2:$AI$251)</f>
        <v>0</v>
      </c>
      <c r="E33" s="4"/>
      <c r="F33" s="4"/>
      <c r="G33" s="4"/>
    </row>
    <row r="34" customFormat="false" ht="15" hidden="false" customHeight="false" outlineLevel="0" collapsed="false">
      <c r="A34" s="4"/>
      <c r="B34" s="45" t="s">
        <v>169</v>
      </c>
      <c r="C34" s="46" t="n">
        <f aca="false">SUM(C29:C33)</f>
        <v>3490</v>
      </c>
      <c r="D34" s="46" t="n">
        <f aca="false">SUM(D29:D33)</f>
        <v>889.07</v>
      </c>
      <c r="E34" s="4"/>
      <c r="F34" s="4"/>
      <c r="G34" s="4"/>
    </row>
    <row r="35" customFormat="false" ht="15" hidden="false" customHeight="false" outlineLevel="0" collapsed="false">
      <c r="A35" s="4"/>
      <c r="B35" s="4"/>
      <c r="C35" s="4"/>
      <c r="D35" s="4"/>
      <c r="E35" s="4"/>
      <c r="F35" s="4"/>
      <c r="G35" s="4"/>
    </row>
    <row r="36" customFormat="false" ht="15" hidden="false" customHeight="false" outlineLevel="0" collapsed="false">
      <c r="A36" s="4"/>
      <c r="B36" s="4"/>
      <c r="C36" s="4"/>
      <c r="D36" s="4"/>
      <c r="E36" s="4"/>
      <c r="F36" s="4"/>
      <c r="G36" s="4"/>
    </row>
    <row r="37" customFormat="false" ht="15" hidden="false" customHeight="false" outlineLevel="0" collapsed="false">
      <c r="A37" s="4"/>
      <c r="B37" s="4"/>
      <c r="C37" s="4"/>
      <c r="D37" s="4"/>
      <c r="E37" s="4"/>
      <c r="F37" s="4"/>
      <c r="G37" s="4"/>
    </row>
    <row r="38" customFormat="false" ht="15" hidden="false" customHeight="false" outlineLevel="0" collapsed="false">
      <c r="A38" s="4"/>
      <c r="B38" s="4"/>
      <c r="C38" s="4"/>
      <c r="D38" s="4"/>
      <c r="E38" s="4"/>
      <c r="F38" s="4"/>
      <c r="G38" s="4"/>
    </row>
    <row r="39" customFormat="false" ht="15" hidden="false" customHeight="false" outlineLevel="0" collapsed="false">
      <c r="A39" s="4"/>
      <c r="B39" s="4"/>
      <c r="C39" s="4"/>
      <c r="D39" s="4"/>
      <c r="E39" s="4"/>
      <c r="F39" s="4"/>
      <c r="G39" s="4"/>
    </row>
    <row r="40" customFormat="false" ht="15" hidden="false" customHeight="false" outlineLevel="0" collapsed="false">
      <c r="A40" s="4"/>
      <c r="B40" s="4"/>
      <c r="C40" s="4"/>
      <c r="D40" s="4"/>
      <c r="E40" s="4"/>
      <c r="F40" s="4"/>
      <c r="G40" s="4"/>
    </row>
    <row r="41" customFormat="false" ht="15" hidden="false" customHeight="false" outlineLevel="0" collapsed="false">
      <c r="A41" s="4"/>
      <c r="B41" s="4"/>
      <c r="C41" s="4"/>
      <c r="D41" s="4"/>
      <c r="E41" s="4"/>
      <c r="F41" s="4"/>
      <c r="G41" s="4"/>
    </row>
    <row r="42" customFormat="false" ht="15" hidden="false" customHeight="false" outlineLevel="0" collapsed="false">
      <c r="A42" s="4"/>
      <c r="B42" s="4"/>
      <c r="C42" s="4"/>
      <c r="D42" s="4"/>
      <c r="E42" s="4"/>
      <c r="F42" s="4"/>
      <c r="G42" s="4"/>
    </row>
    <row r="43" customFormat="false" ht="15" hidden="false" customHeight="false" outlineLevel="0" collapsed="false">
      <c r="A43" s="4"/>
      <c r="B43" s="4"/>
      <c r="C43" s="4"/>
      <c r="D43" s="4"/>
      <c r="E43" s="4"/>
      <c r="F43" s="4"/>
      <c r="G43" s="4"/>
    </row>
    <row r="44" customFormat="false" ht="15" hidden="false" customHeight="false" outlineLevel="0" collapsed="false">
      <c r="A44" s="4"/>
      <c r="B44" s="4"/>
      <c r="C44" s="4"/>
      <c r="D44" s="4"/>
      <c r="E44" s="4"/>
      <c r="F44" s="4"/>
      <c r="G44" s="4"/>
    </row>
    <row r="45" customFormat="false" ht="15" hidden="false" customHeight="false" outlineLevel="0" collapsed="false">
      <c r="A45" s="4"/>
      <c r="B45" s="4"/>
      <c r="C45" s="4"/>
      <c r="D45" s="4"/>
      <c r="E45" s="4"/>
      <c r="F45" s="4"/>
      <c r="G45" s="4"/>
    </row>
    <row r="46" customFormat="false" ht="15" hidden="false" customHeight="false" outlineLevel="0" collapsed="false">
      <c r="A46" s="4"/>
      <c r="B46" s="4"/>
      <c r="C46" s="4"/>
      <c r="D46" s="4"/>
      <c r="E46" s="4"/>
      <c r="F46" s="4"/>
      <c r="G46" s="4"/>
    </row>
  </sheetData>
  <mergeCells count="9">
    <mergeCell ref="A1:G1"/>
    <mergeCell ref="A2:G2"/>
    <mergeCell ref="A5:F5"/>
    <mergeCell ref="A6:C6"/>
    <mergeCell ref="A7:C7"/>
    <mergeCell ref="A8:C8"/>
    <mergeCell ref="A9:C9"/>
    <mergeCell ref="A11:F11"/>
    <mergeCell ref="A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34"/>
    <col collapsed="false" customWidth="true" hidden="false" outlineLevel="0" max="4" min="4" style="0" width="78"/>
  </cols>
  <sheetData>
    <row r="1" customFormat="false" ht="25.5" hidden="false" customHeight="true" outlineLevel="0" collapsed="false">
      <c r="A1" s="1" t="s">
        <v>207</v>
      </c>
      <c r="B1" s="1"/>
      <c r="C1" s="1"/>
      <c r="D1" s="1"/>
    </row>
    <row r="2" customFormat="false" ht="13.5" hidden="false" customHeight="true" outlineLevel="0" collapsed="false">
      <c r="A2" s="2" t="s">
        <v>208</v>
      </c>
      <c r="B2" s="2"/>
      <c r="C2" s="2"/>
      <c r="D2" s="2"/>
    </row>
    <row r="3" customFormat="false" ht="15" hidden="false" customHeight="false" outlineLevel="0" collapsed="false">
      <c r="A3" s="4"/>
      <c r="B3" s="4"/>
      <c r="C3" s="4"/>
      <c r="D3" s="4"/>
    </row>
    <row r="4" customFormat="false" ht="15.75" hidden="false" customHeight="true" outlineLevel="0" collapsed="false">
      <c r="A4" s="4"/>
      <c r="B4" s="18" t="s">
        <v>209</v>
      </c>
      <c r="C4" s="18"/>
      <c r="D4" s="18"/>
    </row>
    <row r="5" customFormat="false" ht="15" hidden="false" customHeight="false" outlineLevel="0" collapsed="false">
      <c r="A5" s="4"/>
      <c r="B5" s="5" t="s">
        <v>210</v>
      </c>
      <c r="C5" s="57" t="s">
        <v>211</v>
      </c>
      <c r="D5" s="58" t="s">
        <v>212</v>
      </c>
    </row>
    <row r="6" customFormat="false" ht="15" hidden="false" customHeight="false" outlineLevel="0" collapsed="false">
      <c r="A6" s="4"/>
      <c r="B6" s="5" t="s">
        <v>213</v>
      </c>
      <c r="C6" s="57" t="s">
        <v>214</v>
      </c>
      <c r="D6" s="58" t="s">
        <v>215</v>
      </c>
    </row>
    <row r="7" customFormat="false" ht="15" hidden="false" customHeight="false" outlineLevel="0" collapsed="false">
      <c r="A7" s="4"/>
      <c r="B7" s="5" t="s">
        <v>216</v>
      </c>
      <c r="C7" s="57" t="s">
        <v>217</v>
      </c>
      <c r="D7" s="58"/>
    </row>
    <row r="8" customFormat="false" ht="15" hidden="false" customHeight="false" outlineLevel="0" collapsed="false">
      <c r="A8" s="4"/>
      <c r="B8" s="5" t="s">
        <v>218</v>
      </c>
      <c r="C8" s="57" t="s">
        <v>219</v>
      </c>
      <c r="D8" s="58" t="s">
        <v>220</v>
      </c>
    </row>
    <row r="9" customFormat="false" ht="15.75" hidden="false" customHeight="true" outlineLevel="0" collapsed="false">
      <c r="A9" s="4"/>
      <c r="B9" s="18" t="s">
        <v>221</v>
      </c>
      <c r="C9" s="18"/>
      <c r="D9" s="18"/>
    </row>
    <row r="10" customFormat="false" ht="15" hidden="false" customHeight="false" outlineLevel="0" collapsed="false">
      <c r="A10" s="4"/>
      <c r="B10" s="5" t="s">
        <v>222</v>
      </c>
      <c r="C10" s="59" t="n">
        <v>13</v>
      </c>
      <c r="D10" s="58" t="s">
        <v>223</v>
      </c>
    </row>
    <row r="11" customFormat="false" ht="15" hidden="false" customHeight="false" outlineLevel="0" collapsed="false">
      <c r="A11" s="4"/>
      <c r="B11" s="5" t="s">
        <v>224</v>
      </c>
      <c r="C11" s="59" t="n">
        <v>15</v>
      </c>
      <c r="D11" s="58"/>
    </row>
    <row r="12" customFormat="false" ht="15" hidden="false" customHeight="false" outlineLevel="0" collapsed="false">
      <c r="A12" s="4"/>
      <c r="B12" s="5" t="s">
        <v>225</v>
      </c>
      <c r="C12" s="59" t="n">
        <v>26</v>
      </c>
      <c r="D12" s="58"/>
    </row>
    <row r="13" customFormat="false" ht="15" hidden="false" customHeight="false" outlineLevel="0" collapsed="false">
      <c r="A13" s="4"/>
      <c r="B13" s="5" t="s">
        <v>226</v>
      </c>
      <c r="C13" s="59" t="n">
        <v>5</v>
      </c>
      <c r="D13" s="58" t="s">
        <v>227</v>
      </c>
    </row>
    <row r="14" customFormat="false" ht="15.75" hidden="false" customHeight="true" outlineLevel="0" collapsed="false">
      <c r="A14" s="4"/>
      <c r="B14" s="18" t="s">
        <v>228</v>
      </c>
      <c r="C14" s="18"/>
      <c r="D14" s="18"/>
    </row>
    <row r="15" customFormat="false" ht="15" hidden="false" customHeight="false" outlineLevel="0" collapsed="false">
      <c r="A15" s="4"/>
      <c r="B15" s="5" t="s">
        <v>229</v>
      </c>
      <c r="C15" s="60" t="n">
        <v>0.25</v>
      </c>
      <c r="D15" s="58" t="s">
        <v>230</v>
      </c>
    </row>
    <row r="16" customFormat="false" ht="15" hidden="false" customHeight="false" outlineLevel="0" collapsed="false">
      <c r="A16" s="4"/>
      <c r="B16" s="5" t="s">
        <v>231</v>
      </c>
      <c r="C16" s="60" t="n">
        <v>0.5</v>
      </c>
      <c r="D16" s="58"/>
    </row>
    <row r="17" customFormat="false" ht="15" hidden="false" customHeight="false" outlineLevel="0" collapsed="false">
      <c r="A17" s="4"/>
      <c r="B17" s="5" t="s">
        <v>232</v>
      </c>
      <c r="C17" s="60" t="n">
        <v>0.75</v>
      </c>
      <c r="D17" s="58"/>
    </row>
    <row r="18" customFormat="false" ht="15" hidden="false" customHeight="false" outlineLevel="0" collapsed="false">
      <c r="A18" s="4"/>
      <c r="B18" s="5" t="s">
        <v>233</v>
      </c>
      <c r="C18" s="60" t="n">
        <v>0.333333333333333</v>
      </c>
      <c r="D18" s="58" t="s">
        <v>234</v>
      </c>
    </row>
    <row r="19" customFormat="false" ht="15" hidden="false" customHeight="false" outlineLevel="0" collapsed="false">
      <c r="A19" s="4"/>
      <c r="B19" s="5" t="s">
        <v>235</v>
      </c>
      <c r="C19" s="60" t="n">
        <v>0.541666666666667</v>
      </c>
      <c r="D19" s="58"/>
    </row>
    <row r="20" customFormat="false" ht="15" hidden="false" customHeight="false" outlineLevel="0" collapsed="false">
      <c r="A20" s="4"/>
      <c r="B20" s="5" t="s">
        <v>236</v>
      </c>
      <c r="C20" s="60" t="n">
        <v>0.791666666666667</v>
      </c>
      <c r="D20" s="58"/>
    </row>
    <row r="21" customFormat="false" ht="15.75" hidden="false" customHeight="true" outlineLevel="0" collapsed="false">
      <c r="A21" s="4"/>
      <c r="B21" s="18" t="s">
        <v>237</v>
      </c>
      <c r="C21" s="18"/>
      <c r="D21" s="18"/>
    </row>
    <row r="22" customFormat="false" ht="15" hidden="false" customHeight="false" outlineLevel="0" collapsed="false">
      <c r="A22" s="4"/>
      <c r="B22" s="5" t="s">
        <v>238</v>
      </c>
      <c r="C22" s="61" t="n">
        <v>0.7</v>
      </c>
      <c r="D22" s="58" t="s">
        <v>239</v>
      </c>
    </row>
    <row r="23" customFormat="false" ht="15" hidden="false" customHeight="false" outlineLevel="0" collapsed="false">
      <c r="A23" s="4"/>
      <c r="B23" s="5" t="s">
        <v>240</v>
      </c>
      <c r="C23" s="62" t="n">
        <v>7</v>
      </c>
      <c r="D23" s="58" t="s">
        <v>241</v>
      </c>
    </row>
    <row r="24" customFormat="false" ht="22.35" hidden="false" customHeight="false" outlineLevel="0" collapsed="false">
      <c r="A24" s="4"/>
      <c r="B24" s="5" t="s">
        <v>242</v>
      </c>
      <c r="C24" s="62" t="n">
        <v>7</v>
      </c>
      <c r="D24" s="58" t="s">
        <v>243</v>
      </c>
    </row>
    <row r="25" customFormat="false" ht="15.75" hidden="false" customHeight="true" outlineLevel="0" collapsed="false">
      <c r="A25" s="4"/>
      <c r="B25" s="18" t="s">
        <v>244</v>
      </c>
      <c r="C25" s="18"/>
      <c r="D25" s="18"/>
    </row>
    <row r="26" customFormat="false" ht="15" hidden="false" customHeight="false" outlineLevel="0" collapsed="false">
      <c r="A26" s="4"/>
      <c r="B26" s="5" t="s">
        <v>245</v>
      </c>
      <c r="C26" s="63" t="s">
        <v>246</v>
      </c>
      <c r="D26" s="58" t="s">
        <v>247</v>
      </c>
    </row>
    <row r="27" customFormat="false" ht="15" hidden="false" customHeight="false" outlineLevel="0" collapsed="false">
      <c r="A27" s="4"/>
      <c r="B27" s="5" t="s">
        <v>248</v>
      </c>
      <c r="C27" s="64" t="n">
        <v>45931</v>
      </c>
      <c r="D27" s="58" t="s">
        <v>249</v>
      </c>
    </row>
    <row r="28" customFormat="false" ht="15" hidden="false" customHeight="false" outlineLevel="0" collapsed="false">
      <c r="A28" s="4"/>
      <c r="B28" s="5" t="s">
        <v>250</v>
      </c>
      <c r="C28" s="63" t="s">
        <v>251</v>
      </c>
      <c r="D28" s="58" t="s">
        <v>252</v>
      </c>
    </row>
    <row r="29" customFormat="false" ht="15" hidden="false" customHeight="false" outlineLevel="0" collapsed="false">
      <c r="A29" s="4"/>
      <c r="B29" s="5" t="s">
        <v>253</v>
      </c>
      <c r="C29" s="59" t="n">
        <v>75000</v>
      </c>
      <c r="D29" s="58" t="s">
        <v>254</v>
      </c>
    </row>
    <row r="30" customFormat="false" ht="15.75" hidden="false" customHeight="true" outlineLevel="0" collapsed="false">
      <c r="A30" s="4"/>
      <c r="B30" s="18" t="s">
        <v>255</v>
      </c>
      <c r="C30" s="18"/>
      <c r="D30" s="18"/>
    </row>
    <row r="31" customFormat="false" ht="15" hidden="false" customHeight="false" outlineLevel="0" collapsed="false">
      <c r="A31" s="4"/>
      <c r="B31" s="5" t="s">
        <v>256</v>
      </c>
      <c r="C31" s="57" t="s">
        <v>257</v>
      </c>
      <c r="D31" s="58" t="s">
        <v>258</v>
      </c>
    </row>
    <row r="32" customFormat="false" ht="15" hidden="false" customHeight="false" outlineLevel="0" collapsed="false">
      <c r="A32" s="4"/>
      <c r="B32" s="5" t="s">
        <v>259</v>
      </c>
      <c r="C32" s="57" t="s">
        <v>260</v>
      </c>
      <c r="D32" s="58" t="s">
        <v>261</v>
      </c>
    </row>
    <row r="33" customFormat="false" ht="15" hidden="false" customHeight="false" outlineLevel="0" collapsed="false">
      <c r="A33" s="4"/>
      <c r="B33" s="5" t="s">
        <v>262</v>
      </c>
      <c r="C33" s="57" t="s">
        <v>263</v>
      </c>
      <c r="D33" s="58" t="s">
        <v>264</v>
      </c>
    </row>
    <row r="34" customFormat="false" ht="15" hidden="false" customHeight="false" outlineLevel="0" collapsed="false">
      <c r="A34" s="4"/>
      <c r="B34" s="5" t="s">
        <v>265</v>
      </c>
      <c r="C34" s="57" t="s">
        <v>266</v>
      </c>
      <c r="D34" s="58" t="s">
        <v>267</v>
      </c>
    </row>
    <row r="35" customFormat="false" ht="15.75" hidden="false" customHeight="true" outlineLevel="0" collapsed="false">
      <c r="A35" s="4"/>
      <c r="B35" s="18" t="s">
        <v>268</v>
      </c>
      <c r="C35" s="18"/>
      <c r="D35" s="18"/>
    </row>
    <row r="36" customFormat="false" ht="22.35" hidden="false" customHeight="false" outlineLevel="0" collapsed="false">
      <c r="A36" s="4"/>
      <c r="B36" s="5" t="s">
        <v>269</v>
      </c>
      <c r="C36" s="63" t="s">
        <v>270</v>
      </c>
      <c r="D36" s="58" t="s">
        <v>271</v>
      </c>
    </row>
    <row r="37" customFormat="false" ht="87.75" hidden="false" customHeight="true" outlineLevel="0" collapsed="false">
      <c r="A37" s="4"/>
      <c r="B37" s="5" t="s">
        <v>272</v>
      </c>
      <c r="C37" s="65" t="s">
        <v>273</v>
      </c>
      <c r="D37" s="58"/>
    </row>
    <row r="38" customFormat="false" ht="15" hidden="false" customHeight="false" outlineLevel="0" collapsed="false">
      <c r="A38" s="4"/>
      <c r="B38" s="5" t="s">
        <v>274</v>
      </c>
      <c r="C38" s="63" t="s">
        <v>275</v>
      </c>
      <c r="D38" s="58"/>
    </row>
    <row r="39" customFormat="false" ht="87.75" hidden="false" customHeight="true" outlineLevel="0" collapsed="false">
      <c r="A39" s="4"/>
      <c r="B39" s="5" t="s">
        <v>276</v>
      </c>
      <c r="C39" s="65" t="s">
        <v>277</v>
      </c>
      <c r="D39" s="58"/>
    </row>
    <row r="40" customFormat="false" ht="15" hidden="false" customHeight="false" outlineLevel="0" collapsed="false">
      <c r="A40" s="4"/>
      <c r="B40" s="5" t="s">
        <v>278</v>
      </c>
      <c r="C40" s="63" t="s">
        <v>279</v>
      </c>
      <c r="D40" s="58"/>
    </row>
    <row r="41" customFormat="false" ht="87.75" hidden="false" customHeight="true" outlineLevel="0" collapsed="false">
      <c r="A41" s="4"/>
      <c r="B41" s="5" t="s">
        <v>280</v>
      </c>
      <c r="C41" s="65" t="s">
        <v>281</v>
      </c>
      <c r="D41" s="58"/>
    </row>
    <row r="42" customFormat="false" ht="15" hidden="false" customHeight="false" outlineLevel="0" collapsed="false">
      <c r="A42" s="4"/>
      <c r="B42" s="4"/>
      <c r="C42" s="4"/>
      <c r="D42" s="4"/>
    </row>
    <row r="43" customFormat="false" ht="15" hidden="false" customHeight="false" outlineLevel="0" collapsed="false">
      <c r="A43" s="4"/>
      <c r="B43" s="4"/>
      <c r="C43" s="4"/>
      <c r="D43" s="4"/>
    </row>
    <row r="44" customFormat="false" ht="15" hidden="false" customHeight="false" outlineLevel="0" collapsed="false">
      <c r="A44" s="4"/>
      <c r="B44" s="4"/>
      <c r="C44" s="4"/>
      <c r="D44" s="4"/>
    </row>
    <row r="45" customFormat="false" ht="15" hidden="false" customHeight="false" outlineLevel="0" collapsed="false">
      <c r="A45" s="4"/>
      <c r="B45" s="4"/>
      <c r="C45" s="4"/>
      <c r="D45" s="4"/>
    </row>
    <row r="46" customFormat="false" ht="15" hidden="false" customHeight="false" outlineLevel="0" collapsed="false">
      <c r="A46" s="4"/>
      <c r="B46" s="4"/>
      <c r="C46" s="4"/>
      <c r="D46" s="4"/>
    </row>
    <row r="47" customFormat="false" ht="15" hidden="false" customHeight="false" outlineLevel="0" collapsed="false">
      <c r="A47" s="4"/>
      <c r="B47" s="4"/>
      <c r="C47" s="4"/>
      <c r="D47" s="4"/>
    </row>
    <row r="48" customFormat="false" ht="15" hidden="false" customHeight="false" outlineLevel="0" collapsed="false">
      <c r="A48" s="4"/>
      <c r="B48" s="4"/>
      <c r="C48" s="4"/>
      <c r="D48" s="4"/>
    </row>
    <row r="49" customFormat="false" ht="15" hidden="false" customHeight="false" outlineLevel="0" collapsed="false">
      <c r="A49" s="4"/>
      <c r="B49" s="4"/>
      <c r="C49" s="4"/>
      <c r="D49" s="4"/>
    </row>
    <row r="50" customFormat="false" ht="15" hidden="false" customHeight="false" outlineLevel="0" collapsed="false">
      <c r="A50" s="4"/>
      <c r="B50" s="4"/>
      <c r="C50" s="4"/>
      <c r="D50" s="4"/>
    </row>
    <row r="51" customFormat="false" ht="15" hidden="false" customHeight="false" outlineLevel="0" collapsed="false">
      <c r="A51" s="4"/>
      <c r="B51" s="4"/>
      <c r="C51" s="4"/>
      <c r="D51" s="4"/>
    </row>
    <row r="52" customFormat="false" ht="15" hidden="false" customHeight="false" outlineLevel="0" collapsed="false">
      <c r="A52" s="4"/>
      <c r="B52" s="4"/>
      <c r="C52" s="4"/>
      <c r="D52" s="4"/>
    </row>
    <row r="53" customFormat="false" ht="15" hidden="false" customHeight="false" outlineLevel="0" collapsed="false">
      <c r="A53" s="4"/>
      <c r="B53" s="4"/>
      <c r="C53" s="4"/>
      <c r="D53" s="4"/>
    </row>
    <row r="54" customFormat="false" ht="15" hidden="false" customHeight="false" outlineLevel="0" collapsed="false">
      <c r="A54" s="4"/>
      <c r="B54" s="4"/>
      <c r="C54" s="4"/>
      <c r="D54" s="4"/>
    </row>
    <row r="55" customFormat="false" ht="15" hidden="false" customHeight="false" outlineLevel="0" collapsed="false">
      <c r="A55" s="4"/>
      <c r="B55" s="4"/>
      <c r="C55" s="4"/>
      <c r="D55" s="4"/>
    </row>
    <row r="56" customFormat="false" ht="15" hidden="false" customHeight="false" outlineLevel="0" collapsed="false">
      <c r="A56" s="4"/>
      <c r="B56" s="4"/>
      <c r="C56" s="4"/>
      <c r="D56" s="4"/>
    </row>
    <row r="57" customFormat="false" ht="15" hidden="false" customHeight="false" outlineLevel="0" collapsed="false">
      <c r="A57" s="4"/>
      <c r="B57" s="4"/>
      <c r="C57" s="4"/>
      <c r="D57" s="4"/>
    </row>
    <row r="58" customFormat="false" ht="15" hidden="false" customHeight="false" outlineLevel="0" collapsed="false">
      <c r="A58" s="4"/>
      <c r="B58" s="4"/>
      <c r="C58" s="4"/>
      <c r="D58" s="4"/>
    </row>
    <row r="59" customFormat="false" ht="15" hidden="false" customHeight="false" outlineLevel="0" collapsed="false">
      <c r="A59" s="4"/>
      <c r="B59" s="4"/>
      <c r="C59" s="4"/>
      <c r="D59" s="4"/>
    </row>
    <row r="60" customFormat="false" ht="15" hidden="false" customHeight="false" outlineLevel="0" collapsed="false">
      <c r="A60" s="4"/>
      <c r="B60" s="4"/>
      <c r="C60" s="4"/>
      <c r="D60" s="4"/>
    </row>
    <row r="61" customFormat="false" ht="15" hidden="false" customHeight="false" outlineLevel="0" collapsed="false">
      <c r="A61" s="4"/>
      <c r="B61" s="4"/>
      <c r="C61" s="4"/>
      <c r="D61" s="4"/>
    </row>
    <row r="62" customFormat="false" ht="15" hidden="false" customHeight="false" outlineLevel="0" collapsed="false">
      <c r="A62" s="4"/>
      <c r="B62" s="4"/>
      <c r="C62" s="4"/>
      <c r="D62" s="4"/>
    </row>
    <row r="63" customFormat="false" ht="15" hidden="false" customHeight="false" outlineLevel="0" collapsed="false">
      <c r="A63" s="4"/>
      <c r="B63" s="4"/>
      <c r="C63" s="4"/>
      <c r="D63" s="4"/>
    </row>
    <row r="64" customFormat="false" ht="15" hidden="false" customHeight="false" outlineLevel="0" collapsed="false">
      <c r="A64" s="4"/>
      <c r="B64" s="4"/>
      <c r="C64" s="4"/>
      <c r="D64" s="4"/>
    </row>
    <row r="65" customFormat="false" ht="15" hidden="false" customHeight="false" outlineLevel="0" collapsed="false">
      <c r="A65" s="4"/>
      <c r="B65" s="4"/>
      <c r="C65" s="4"/>
      <c r="D65" s="4"/>
    </row>
    <row r="66" customFormat="false" ht="15" hidden="false" customHeight="false" outlineLevel="0" collapsed="false">
      <c r="A66" s="4"/>
      <c r="B66" s="4"/>
      <c r="C66" s="4"/>
      <c r="D66" s="4"/>
    </row>
    <row r="67" customFormat="false" ht="15" hidden="false" customHeight="false" outlineLevel="0" collapsed="false">
      <c r="A67" s="4"/>
      <c r="B67" s="4"/>
      <c r="C67" s="4"/>
      <c r="D67" s="4"/>
    </row>
    <row r="68" customFormat="false" ht="15" hidden="false" customHeight="false" outlineLevel="0" collapsed="false">
      <c r="A68" s="4"/>
      <c r="B68" s="4"/>
      <c r="C68" s="4"/>
      <c r="D68" s="4"/>
    </row>
    <row r="69" customFormat="false" ht="15" hidden="false" customHeight="false" outlineLevel="0" collapsed="false">
      <c r="A69" s="4"/>
      <c r="B69" s="4"/>
      <c r="C69" s="4"/>
      <c r="D69" s="4"/>
    </row>
    <row r="70" customFormat="false" ht="15" hidden="false" customHeight="false" outlineLevel="0" collapsed="false">
      <c r="A70" s="4"/>
      <c r="B70" s="4"/>
      <c r="C70" s="4"/>
      <c r="D70" s="4"/>
    </row>
    <row r="71" customFormat="false" ht="15" hidden="false" customHeight="false" outlineLevel="0" collapsed="false">
      <c r="A71" s="4"/>
      <c r="B71" s="4"/>
      <c r="C71" s="4"/>
      <c r="D71" s="4"/>
    </row>
    <row r="72" customFormat="false" ht="15" hidden="false" customHeight="false" outlineLevel="0" collapsed="false">
      <c r="A72" s="4"/>
      <c r="B72" s="4"/>
      <c r="C72" s="4"/>
      <c r="D72" s="4"/>
    </row>
    <row r="73" customFormat="false" ht="15" hidden="false" customHeight="false" outlineLevel="0" collapsed="false">
      <c r="A73" s="4"/>
      <c r="B73" s="4"/>
      <c r="C73" s="4"/>
      <c r="D73" s="4"/>
    </row>
    <row r="74" customFormat="false" ht="15" hidden="false" customHeight="false" outlineLevel="0" collapsed="false">
      <c r="A74" s="4"/>
      <c r="B74" s="4"/>
      <c r="C74" s="4"/>
      <c r="D74" s="4"/>
    </row>
    <row r="75" customFormat="false" ht="15" hidden="false" customHeight="false" outlineLevel="0" collapsed="false">
      <c r="A75" s="4"/>
      <c r="B75" s="4"/>
      <c r="C75" s="4"/>
      <c r="D75" s="4"/>
    </row>
    <row r="76" customFormat="false" ht="15" hidden="false" customHeight="false" outlineLevel="0" collapsed="false">
      <c r="A76" s="4"/>
      <c r="B76" s="4"/>
      <c r="C76" s="4"/>
      <c r="D76" s="4"/>
    </row>
    <row r="77" customFormat="false" ht="15" hidden="false" customHeight="false" outlineLevel="0" collapsed="false">
      <c r="A77" s="4"/>
      <c r="B77" s="4"/>
      <c r="C77" s="4"/>
      <c r="D77" s="4"/>
    </row>
    <row r="78" customFormat="false" ht="15" hidden="false" customHeight="false" outlineLevel="0" collapsed="false">
      <c r="A78" s="4"/>
      <c r="B78" s="4"/>
      <c r="C78" s="4"/>
      <c r="D78" s="4"/>
    </row>
  </sheetData>
  <mergeCells count="9">
    <mergeCell ref="A1:D1"/>
    <mergeCell ref="A2:D2"/>
    <mergeCell ref="B4:D4"/>
    <mergeCell ref="B9:D9"/>
    <mergeCell ref="B14:D14"/>
    <mergeCell ref="B21:D21"/>
    <mergeCell ref="B25:D25"/>
    <mergeCell ref="B30:D30"/>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110"/>
  </cols>
  <sheetData>
    <row r="1" customFormat="false" ht="25.5" hidden="false" customHeight="true" outlineLevel="0" collapsed="false">
      <c r="A1" s="1" t="s">
        <v>282</v>
      </c>
      <c r="B1" s="1"/>
    </row>
    <row r="2" customFormat="false" ht="13.5" hidden="false" customHeight="true" outlineLevel="0" collapsed="false">
      <c r="A2" s="2" t="s">
        <v>283</v>
      </c>
      <c r="B2" s="2"/>
    </row>
    <row r="3" customFormat="false" ht="15.75" hidden="false" customHeight="true" outlineLevel="0" collapsed="false">
      <c r="A3" s="18" t="s">
        <v>284</v>
      </c>
      <c r="B3" s="18"/>
    </row>
    <row r="4" customFormat="false" ht="27.75" hidden="false" customHeight="true" outlineLevel="0" collapsed="false">
      <c r="A4" s="4"/>
      <c r="B4" s="66" t="s">
        <v>285</v>
      </c>
    </row>
    <row r="5" customFormat="false" ht="27.75" hidden="false" customHeight="true" outlineLevel="0" collapsed="false">
      <c r="A5" s="4"/>
      <c r="B5" s="66" t="s">
        <v>286</v>
      </c>
    </row>
    <row r="6" customFormat="false" ht="27.75" hidden="false" customHeight="true" outlineLevel="0" collapsed="false">
      <c r="A6" s="4"/>
      <c r="B6" s="66" t="s">
        <v>287</v>
      </c>
    </row>
    <row r="7" customFormat="false" ht="27.75" hidden="false" customHeight="true" outlineLevel="0" collapsed="false">
      <c r="A7" s="4"/>
      <c r="B7" s="66" t="s">
        <v>288</v>
      </c>
    </row>
    <row r="8" customFormat="false" ht="27.75" hidden="false" customHeight="true" outlineLevel="0" collapsed="false">
      <c r="A8" s="4"/>
      <c r="B8" s="66" t="s">
        <v>289</v>
      </c>
    </row>
    <row r="9" customFormat="false" ht="15.75" hidden="false" customHeight="true" outlineLevel="0" collapsed="false">
      <c r="A9" s="18" t="s">
        <v>290</v>
      </c>
      <c r="B9" s="18"/>
    </row>
    <row r="10" customFormat="false" ht="27.75" hidden="false" customHeight="true" outlineLevel="0" collapsed="false">
      <c r="A10" s="4"/>
      <c r="B10" s="66" t="s">
        <v>291</v>
      </c>
    </row>
    <row r="11" customFormat="false" ht="27.75" hidden="false" customHeight="true" outlineLevel="0" collapsed="false">
      <c r="A11" s="4"/>
      <c r="B11" s="66" t="s">
        <v>292</v>
      </c>
    </row>
    <row r="12" customFormat="false" ht="27.75" hidden="false" customHeight="true" outlineLevel="0" collapsed="false">
      <c r="A12" s="4"/>
      <c r="B12" s="66" t="s">
        <v>293</v>
      </c>
    </row>
    <row r="13" customFormat="false" ht="27.75" hidden="false" customHeight="true" outlineLevel="0" collapsed="false">
      <c r="A13" s="4"/>
      <c r="B13" s="66" t="s">
        <v>294</v>
      </c>
    </row>
    <row r="14" customFormat="false" ht="27.75" hidden="false" customHeight="true" outlineLevel="0" collapsed="false">
      <c r="A14" s="4"/>
      <c r="B14" s="66" t="s">
        <v>295</v>
      </c>
    </row>
    <row r="15" customFormat="false" ht="27.75" hidden="false" customHeight="true" outlineLevel="0" collapsed="false">
      <c r="A15" s="4"/>
      <c r="B15" s="66" t="s">
        <v>296</v>
      </c>
    </row>
    <row r="16" customFormat="false" ht="15.75" hidden="false" customHeight="true" outlineLevel="0" collapsed="false">
      <c r="A16" s="18" t="s">
        <v>297</v>
      </c>
      <c r="B16" s="18"/>
    </row>
    <row r="17" customFormat="false" ht="27.75" hidden="false" customHeight="true" outlineLevel="0" collapsed="false">
      <c r="A17" s="4"/>
      <c r="B17" s="66" t="s">
        <v>298</v>
      </c>
    </row>
    <row r="18" customFormat="false" ht="27.75" hidden="false" customHeight="true" outlineLevel="0" collapsed="false">
      <c r="A18" s="4"/>
      <c r="B18" s="66" t="s">
        <v>299</v>
      </c>
    </row>
    <row r="19" customFormat="false" ht="27.75" hidden="false" customHeight="true" outlineLevel="0" collapsed="false">
      <c r="A19" s="4"/>
      <c r="B19" s="66" t="s">
        <v>300</v>
      </c>
    </row>
    <row r="20" customFormat="false" ht="27.75" hidden="false" customHeight="true" outlineLevel="0" collapsed="false">
      <c r="A20" s="4"/>
      <c r="B20" s="66" t="s">
        <v>301</v>
      </c>
    </row>
    <row r="21" customFormat="false" ht="27.75" hidden="false" customHeight="true" outlineLevel="0" collapsed="false">
      <c r="A21" s="4"/>
      <c r="B21" s="66" t="s">
        <v>302</v>
      </c>
    </row>
    <row r="22" customFormat="false" ht="15.75" hidden="false" customHeight="true" outlineLevel="0" collapsed="false">
      <c r="A22" s="18" t="s">
        <v>303</v>
      </c>
      <c r="B22" s="18"/>
    </row>
    <row r="23" customFormat="false" ht="27.75" hidden="false" customHeight="true" outlineLevel="0" collapsed="false">
      <c r="A23" s="4"/>
      <c r="B23" s="66" t="s">
        <v>304</v>
      </c>
    </row>
    <row r="24" customFormat="false" ht="15" hidden="false" customHeight="false" outlineLevel="0" collapsed="false">
      <c r="A24" s="4"/>
      <c r="B24" s="4"/>
    </row>
    <row r="25" customFormat="false" ht="15" hidden="false" customHeight="false" outlineLevel="0" collapsed="false">
      <c r="A25" s="4"/>
      <c r="B25" s="4"/>
    </row>
    <row r="26" customFormat="false" ht="15" hidden="false" customHeight="false" outlineLevel="0" collapsed="false">
      <c r="A26" s="4"/>
      <c r="B26" s="4"/>
    </row>
    <row r="27" customFormat="false" ht="15" hidden="false" customHeight="false" outlineLevel="0" collapsed="false">
      <c r="A27" s="4"/>
      <c r="B27" s="4"/>
    </row>
    <row r="28" customFormat="false" ht="15" hidden="false" customHeight="false" outlineLevel="0" collapsed="false">
      <c r="A28" s="4"/>
      <c r="B28" s="4"/>
    </row>
    <row r="29" customFormat="false" ht="15" hidden="false" customHeight="false" outlineLevel="0" collapsed="false">
      <c r="A29" s="4"/>
      <c r="B29" s="4"/>
    </row>
    <row r="30" customFormat="false" ht="15" hidden="false" customHeight="false" outlineLevel="0" collapsed="false">
      <c r="A30" s="4"/>
      <c r="B30" s="4"/>
    </row>
    <row r="31" customFormat="false" ht="15" hidden="false" customHeight="false" outlineLevel="0" collapsed="false">
      <c r="A31" s="4"/>
      <c r="B31" s="4"/>
    </row>
    <row r="32" customFormat="false" ht="15" hidden="false" customHeight="false" outlineLevel="0" collapsed="false">
      <c r="A32" s="4"/>
      <c r="B32" s="4"/>
    </row>
    <row r="33" customFormat="false" ht="15" hidden="false" customHeight="false" outlineLevel="0" collapsed="false">
      <c r="A33" s="4"/>
      <c r="B33" s="4"/>
    </row>
    <row r="34" customFormat="false" ht="15" hidden="false" customHeight="false" outlineLevel="0" collapsed="false">
      <c r="A34" s="4"/>
      <c r="B34" s="4"/>
    </row>
    <row r="35" customFormat="false" ht="15" hidden="false" customHeight="false" outlineLevel="0" collapsed="false">
      <c r="A35" s="4"/>
      <c r="B35" s="4"/>
    </row>
    <row r="36" customFormat="false" ht="15" hidden="false" customHeight="false" outlineLevel="0" collapsed="false">
      <c r="A36" s="4"/>
      <c r="B36" s="4"/>
    </row>
    <row r="37" customFormat="false" ht="15" hidden="false" customHeight="false" outlineLevel="0" collapsed="false">
      <c r="A37" s="4"/>
      <c r="B37" s="4"/>
    </row>
    <row r="38" customFormat="false" ht="15" hidden="false" customHeight="false" outlineLevel="0" collapsed="false">
      <c r="A38" s="4"/>
      <c r="B38" s="4"/>
    </row>
    <row r="39" customFormat="false" ht="15" hidden="false" customHeight="false" outlineLevel="0" collapsed="false">
      <c r="A39" s="4"/>
      <c r="B39" s="4"/>
    </row>
    <row r="40" customFormat="false" ht="15" hidden="false" customHeight="false" outlineLevel="0" collapsed="false">
      <c r="A40" s="4"/>
      <c r="B40" s="4"/>
    </row>
    <row r="41" customFormat="false" ht="15" hidden="false" customHeight="false" outlineLevel="0" collapsed="false">
      <c r="A41" s="4"/>
      <c r="B41" s="4"/>
    </row>
    <row r="42" customFormat="false" ht="15" hidden="false" customHeight="false" outlineLevel="0" collapsed="false">
      <c r="A42" s="4"/>
      <c r="B42" s="4"/>
    </row>
    <row r="43" customFormat="false" ht="15" hidden="false" customHeight="false" outlineLevel="0" collapsed="false">
      <c r="A43" s="4"/>
      <c r="B43" s="4"/>
    </row>
    <row r="44" customFormat="false" ht="15" hidden="false" customHeight="false" outlineLevel="0" collapsed="false">
      <c r="A44" s="4"/>
      <c r="B44" s="4"/>
    </row>
    <row r="45" customFormat="false" ht="15" hidden="false" customHeight="false" outlineLevel="0" collapsed="false">
      <c r="A45" s="4"/>
      <c r="B45" s="4"/>
    </row>
    <row r="46" customFormat="false" ht="15" hidden="false" customHeight="false" outlineLevel="0" collapsed="false">
      <c r="A46" s="4"/>
      <c r="B46" s="4"/>
    </row>
    <row r="47" customFormat="false" ht="15" hidden="false" customHeight="false" outlineLevel="0" collapsed="false">
      <c r="A47" s="4"/>
      <c r="B47" s="4"/>
    </row>
    <row r="48" customFormat="false" ht="15" hidden="false" customHeight="false" outlineLevel="0" collapsed="false">
      <c r="A48" s="4"/>
      <c r="B48" s="4"/>
    </row>
    <row r="49" customFormat="false" ht="15" hidden="false" customHeight="false" outlineLevel="0" collapsed="false">
      <c r="A49" s="4"/>
      <c r="B49" s="4"/>
    </row>
    <row r="50" customFormat="false" ht="15" hidden="false" customHeight="false" outlineLevel="0" collapsed="false">
      <c r="A50" s="4"/>
      <c r="B50" s="4"/>
    </row>
    <row r="51" customFormat="false" ht="15" hidden="false" customHeight="false" outlineLevel="0" collapsed="false">
      <c r="A51" s="4"/>
      <c r="B51" s="4"/>
    </row>
    <row r="52" customFormat="false" ht="15" hidden="false" customHeight="false" outlineLevel="0" collapsed="false">
      <c r="A52" s="4"/>
      <c r="B52" s="4"/>
    </row>
    <row r="53" customFormat="false" ht="15" hidden="false" customHeight="false" outlineLevel="0" collapsed="false">
      <c r="A53" s="4"/>
      <c r="B53" s="4"/>
    </row>
    <row r="54" customFormat="false" ht="15" hidden="false" customHeight="false" outlineLevel="0" collapsed="false">
      <c r="A54" s="4"/>
      <c r="B54" s="4"/>
    </row>
    <row r="55" customFormat="false" ht="15" hidden="false" customHeight="false" outlineLevel="0" collapsed="false">
      <c r="A55" s="4"/>
      <c r="B55" s="4"/>
    </row>
    <row r="56" customFormat="false" ht="15" hidden="false" customHeight="false" outlineLevel="0" collapsed="false">
      <c r="A56" s="4"/>
      <c r="B56" s="4"/>
    </row>
    <row r="57" customFormat="false" ht="15" hidden="false" customHeight="false" outlineLevel="0" collapsed="false">
      <c r="A57" s="4"/>
      <c r="B57" s="4"/>
    </row>
    <row r="58" customFormat="false" ht="15" hidden="false" customHeight="false" outlineLevel="0" collapsed="false">
      <c r="A58" s="4"/>
      <c r="B58" s="4"/>
    </row>
    <row r="59" customFormat="false" ht="15" hidden="false" customHeight="false" outlineLevel="0" collapsed="false">
      <c r="A59" s="4"/>
      <c r="B59" s="4"/>
    </row>
    <row r="60" customFormat="false" ht="15" hidden="false" customHeight="false" outlineLevel="0" collapsed="false">
      <c r="A60" s="4"/>
      <c r="B60" s="4"/>
    </row>
    <row r="61" customFormat="false" ht="15" hidden="false" customHeight="false" outlineLevel="0" collapsed="false">
      <c r="A61" s="4"/>
      <c r="B61" s="4"/>
    </row>
    <row r="62" customFormat="false" ht="15" hidden="false" customHeight="false" outlineLevel="0" collapsed="false">
      <c r="A62" s="4"/>
      <c r="B62" s="4"/>
    </row>
    <row r="63" customFormat="false" ht="15" hidden="false" customHeight="false" outlineLevel="0" collapsed="false">
      <c r="A63" s="4"/>
      <c r="B63" s="4"/>
    </row>
    <row r="64" customFormat="false" ht="15" hidden="false" customHeight="false" outlineLevel="0" collapsed="false">
      <c r="A64" s="4"/>
      <c r="B64" s="4"/>
    </row>
    <row r="65" customFormat="false" ht="15" hidden="false" customHeight="false" outlineLevel="0" collapsed="false">
      <c r="A65" s="4"/>
      <c r="B65" s="4"/>
    </row>
    <row r="66" customFormat="false" ht="15" hidden="false" customHeight="false" outlineLevel="0" collapsed="false">
      <c r="A66" s="4"/>
      <c r="B66" s="4"/>
    </row>
    <row r="67" customFormat="false" ht="15" hidden="false" customHeight="false" outlineLevel="0" collapsed="false">
      <c r="A67" s="4"/>
      <c r="B67" s="4"/>
    </row>
    <row r="68" customFormat="false" ht="15" hidden="false" customHeight="false" outlineLevel="0" collapsed="false">
      <c r="A68" s="4"/>
      <c r="B68" s="4"/>
    </row>
    <row r="69" customFormat="false" ht="15" hidden="false" customHeight="false" outlineLevel="0" collapsed="false">
      <c r="A69" s="4"/>
      <c r="B69" s="4"/>
    </row>
    <row r="70" customFormat="false" ht="15" hidden="false" customHeight="false" outlineLevel="0" collapsed="false">
      <c r="A70" s="4"/>
      <c r="B70" s="4"/>
    </row>
    <row r="71" customFormat="false" ht="15" hidden="false" customHeight="false" outlineLevel="0" collapsed="false">
      <c r="A71" s="4"/>
      <c r="B71" s="4"/>
    </row>
    <row r="72" customFormat="false" ht="15" hidden="false" customHeight="false" outlineLevel="0" collapsed="false">
      <c r="A72" s="4"/>
      <c r="B72" s="4"/>
    </row>
    <row r="73" customFormat="false" ht="15" hidden="false" customHeight="false" outlineLevel="0" collapsed="false">
      <c r="A73" s="4"/>
      <c r="B73" s="4"/>
    </row>
    <row r="74" customFormat="false" ht="15" hidden="false" customHeight="false" outlineLevel="0" collapsed="false">
      <c r="A74" s="4"/>
      <c r="B74" s="4"/>
    </row>
  </sheetData>
  <mergeCells count="6">
    <mergeCell ref="A1:B1"/>
    <mergeCell ref="A2:B2"/>
    <mergeCell ref="A3:B3"/>
    <mergeCell ref="A9:B9"/>
    <mergeCell ref="A16:B16"/>
    <mergeCell ref="A22:B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sheetData>
    <row r="1" customFormat="false" ht="15" hidden="false" customHeight="false" outlineLevel="0" collapsed="false">
      <c r="A1" s="49" t="s">
        <v>305</v>
      </c>
      <c r="B1" s="49" t="s">
        <v>306</v>
      </c>
      <c r="C1" s="49" t="s">
        <v>307</v>
      </c>
    </row>
    <row r="2" customFormat="false" ht="15" hidden="false" customHeight="false" outlineLevel="0" collapsed="false">
      <c r="A2" s="0" t="s">
        <v>120</v>
      </c>
      <c r="B2" s="0" t="s">
        <v>91</v>
      </c>
      <c r="C2" s="0" t="s">
        <v>92</v>
      </c>
    </row>
    <row r="3" customFormat="false" ht="15" hidden="false" customHeight="false" outlineLevel="0" collapsed="false">
      <c r="A3" s="0" t="s">
        <v>58</v>
      </c>
      <c r="B3" s="0" t="s">
        <v>107</v>
      </c>
      <c r="C3" s="0" t="s">
        <v>308</v>
      </c>
    </row>
    <row r="4" customFormat="false" ht="15" hidden="false" customHeight="false" outlineLevel="0" collapsed="false">
      <c r="A4" s="0" t="s">
        <v>309</v>
      </c>
      <c r="B4" s="0" t="s">
        <v>310</v>
      </c>
    </row>
    <row r="5" customFormat="false" ht="15" hidden="false" customHeight="false" outlineLevel="0" collapsed="false">
      <c r="A5" s="0" t="s">
        <v>95</v>
      </c>
      <c r="B5" s="0" t="s">
        <v>147</v>
      </c>
    </row>
    <row r="6" customFormat="false" ht="15" hidden="false" customHeight="false" outlineLevel="0" collapsed="false">
      <c r="A6" s="0" t="s">
        <v>80</v>
      </c>
    </row>
    <row r="7" customFormat="false" ht="15" hidden="false" customHeight="false" outlineLevel="0" collapsed="false">
      <c r="A7" s="0" t="s">
        <v>311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2026-08-09T07:29:07Z</dcterms:created>
  <dc:creator>openpyxl</dc:creator>
  <dc:description/>
  <dc:language>en-US</dc:language>
  <cp:lastModifiedBy/>
  <dcterms:modified xsi:type="dcterms:W3CDTF">2026-08-09T07:29:07Z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